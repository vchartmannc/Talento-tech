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CION" sheetId="1" r:id="rId5"/>
    <sheet state="visible" name="ESTADISTICA" sheetId="2" r:id="rId6"/>
    <sheet state="visible" name="TABLAS_DINAMICAS" sheetId="3" r:id="rId7"/>
    <sheet state="visible" name="GRAFICOS" sheetId="4" r:id="rId8"/>
    <sheet state="visible" name="VENTAS" sheetId="5" r:id="rId9"/>
    <sheet state="visible" name="CLIENTES" sheetId="6" r:id="rId10"/>
    <sheet state="visible" name="PRODUCTOS" sheetId="7" r:id="rId11"/>
    <sheet state="visible" name="METODOS_DE_PAGO" sheetId="8" r:id="rId12"/>
    <sheet state="visible" name="CATEGORIAS" sheetId="9" r:id="rId13"/>
    <sheet state="visible" name="DOMICILIO" sheetId="10" r:id="rId14"/>
  </sheets>
  <definedNames/>
  <calcPr/>
  <pivotCaches>
    <pivotCache cacheId="0" r:id="rId15"/>
  </pivotCaches>
</workbook>
</file>

<file path=xl/sharedStrings.xml><?xml version="1.0" encoding="utf-8"?>
<sst xmlns="http://schemas.openxmlformats.org/spreadsheetml/2006/main" count="4565" uniqueCount="1098">
  <si>
    <t>Sobre el Total_Venta de la hoja INTEGRACION ,Columna J</t>
  </si>
  <si>
    <t>Columna Auxiliar Total Ventas</t>
  </si>
  <si>
    <t>Total Redondeado</t>
  </si>
  <si>
    <t>Moda</t>
  </si>
  <si>
    <t>Moda sin decimales</t>
  </si>
  <si>
    <t>ID_Venta</t>
  </si>
  <si>
    <t>Fecha</t>
  </si>
  <si>
    <t>ID_Cliente</t>
  </si>
  <si>
    <t>ID_Producto</t>
  </si>
  <si>
    <t>Cantidad</t>
  </si>
  <si>
    <t>ID_Metodo_Pago</t>
  </si>
  <si>
    <t>Estado</t>
  </si>
  <si>
    <t>Nombre_Producto</t>
  </si>
  <si>
    <t>Precio_Unitario</t>
  </si>
  <si>
    <t>Total_Venta</t>
  </si>
  <si>
    <t>Provincia</t>
  </si>
  <si>
    <t>Locacion</t>
  </si>
  <si>
    <t>Metodo_De_Pago</t>
  </si>
  <si>
    <t>Fecha Aux</t>
  </si>
  <si>
    <t>SUM de Total_Venta</t>
  </si>
  <si>
    <t>Media</t>
  </si>
  <si>
    <t>Mediana</t>
  </si>
  <si>
    <t>% del Total</t>
  </si>
  <si>
    <t>Cancelada</t>
  </si>
  <si>
    <t>Completa</t>
  </si>
  <si>
    <t>Pendiente</t>
  </si>
  <si>
    <t>Suma total</t>
  </si>
  <si>
    <t>Meses</t>
  </si>
  <si>
    <t>Total de Venta</t>
  </si>
  <si>
    <t>Mensual Ventas x Estado</t>
  </si>
  <si>
    <t>2024 01</t>
  </si>
  <si>
    <t>2024 02</t>
  </si>
  <si>
    <t>2024 03</t>
  </si>
  <si>
    <t>2024 04</t>
  </si>
  <si>
    <t>2024 05</t>
  </si>
  <si>
    <t>2024 06</t>
  </si>
  <si>
    <t>2024 07</t>
  </si>
  <si>
    <t>2024 08</t>
  </si>
  <si>
    <t>2024 09</t>
  </si>
  <si>
    <t>2024 10</t>
  </si>
  <si>
    <t>2024 11</t>
  </si>
  <si>
    <t>2024 12</t>
  </si>
  <si>
    <t>Total de Ventas</t>
  </si>
  <si>
    <t>Buenos Aires</t>
  </si>
  <si>
    <t>Producto</t>
  </si>
  <si>
    <t>Chaco</t>
  </si>
  <si>
    <t>Córdoba</t>
  </si>
  <si>
    <t>Neuquén</t>
  </si>
  <si>
    <t>Salta</t>
  </si>
  <si>
    <t>San Luis</t>
  </si>
  <si>
    <t>Asado</t>
  </si>
  <si>
    <t>Milanesa</t>
  </si>
  <si>
    <t>Pizza congelada</t>
  </si>
  <si>
    <t>Queso rallado</t>
  </si>
  <si>
    <t>Queso cremoso</t>
  </si>
  <si>
    <t>Pollo</t>
  </si>
  <si>
    <t>Cerveza</t>
  </si>
  <si>
    <t>Empanadas</t>
  </si>
  <si>
    <t>Hamburgesas congeladas</t>
  </si>
  <si>
    <t>Costilla de cerdo</t>
  </si>
  <si>
    <t>Tortas</t>
  </si>
  <si>
    <t>Leche</t>
  </si>
  <si>
    <t>Vino tinto</t>
  </si>
  <si>
    <t>Chorizo</t>
  </si>
  <si>
    <t>Pan integral</t>
  </si>
  <si>
    <t>Salchicha</t>
  </si>
  <si>
    <t>Facturas</t>
  </si>
  <si>
    <t>Papas fritas</t>
  </si>
  <si>
    <t>Pan francés</t>
  </si>
  <si>
    <t>Agua mineral</t>
  </si>
  <si>
    <t>Jugos de frutas</t>
  </si>
  <si>
    <t>Galletitas de chocolate</t>
  </si>
  <si>
    <t>Papas chips</t>
  </si>
  <si>
    <t>Atún enlatado</t>
  </si>
  <si>
    <t>Manzanas</t>
  </si>
  <si>
    <t>Manteca</t>
  </si>
  <si>
    <t>Tomates</t>
  </si>
  <si>
    <t>Galletitas de agua</t>
  </si>
  <si>
    <t>Bananas</t>
  </si>
  <si>
    <t>Maníes</t>
  </si>
  <si>
    <t>Yogur</t>
  </si>
  <si>
    <t>Arroz</t>
  </si>
  <si>
    <t>Lechugas</t>
  </si>
  <si>
    <t>Cebolla</t>
  </si>
  <si>
    <t>Garbanzos</t>
  </si>
  <si>
    <t>Medialunas</t>
  </si>
  <si>
    <t>Zanahorias</t>
  </si>
  <si>
    <t>Lentejas</t>
  </si>
  <si>
    <t>Nombre</t>
  </si>
  <si>
    <t>Apellido</t>
  </si>
  <si>
    <t>Email</t>
  </si>
  <si>
    <t>Fecha_Registro</t>
  </si>
  <si>
    <t>Karisa</t>
  </si>
  <si>
    <t>Cromett</t>
  </si>
  <si>
    <t>kcromett0@imageshack.us</t>
  </si>
  <si>
    <t>Lenette</t>
  </si>
  <si>
    <t>Seabert</t>
  </si>
  <si>
    <t>lseabert1@yahoo.co.jp</t>
  </si>
  <si>
    <t>Buddy</t>
  </si>
  <si>
    <t>Silverson</t>
  </si>
  <si>
    <t>bsilverson2@howstuffworks.com</t>
  </si>
  <si>
    <t>Dan</t>
  </si>
  <si>
    <t>Parkin</t>
  </si>
  <si>
    <t>dparkin3@virginia.edu</t>
  </si>
  <si>
    <t>Conney</t>
  </si>
  <si>
    <t>Cassella</t>
  </si>
  <si>
    <t>ccassella4@who.int</t>
  </si>
  <si>
    <t>Saunder</t>
  </si>
  <si>
    <t>Fone</t>
  </si>
  <si>
    <t>sfone5@tumblr.com</t>
  </si>
  <si>
    <t>Sophia</t>
  </si>
  <si>
    <t>Landon</t>
  </si>
  <si>
    <t>slandon6@imgur.com</t>
  </si>
  <si>
    <t>Joellen</t>
  </si>
  <si>
    <t>Grey</t>
  </si>
  <si>
    <t>jgrey7@buzzfeed.com</t>
  </si>
  <si>
    <t>Ephraim</t>
  </si>
  <si>
    <t>Blackstone</t>
  </si>
  <si>
    <t>eblackstone8@linkedin.com</t>
  </si>
  <si>
    <t>Stephenie</t>
  </si>
  <si>
    <t>Sexty</t>
  </si>
  <si>
    <t>ssexty9@domainmarket.com</t>
  </si>
  <si>
    <t>Hilario</t>
  </si>
  <si>
    <t>Hubble</t>
  </si>
  <si>
    <t>hhubblea@lycos.com</t>
  </si>
  <si>
    <t>Daisy</t>
  </si>
  <si>
    <t>Vennart</t>
  </si>
  <si>
    <t>dvennartb@shutterfly.com</t>
  </si>
  <si>
    <t>Kameko</t>
  </si>
  <si>
    <t>Moland</t>
  </si>
  <si>
    <t>kmolandc@samsung.com</t>
  </si>
  <si>
    <t>Fedora</t>
  </si>
  <si>
    <t>Brackenbury</t>
  </si>
  <si>
    <t>fbrackenburyd@nsw.gov.au</t>
  </si>
  <si>
    <t>Locke</t>
  </si>
  <si>
    <t>Getsham</t>
  </si>
  <si>
    <t>lgetshame@joomla.org</t>
  </si>
  <si>
    <t>Robena</t>
  </si>
  <si>
    <t>Arkill</t>
  </si>
  <si>
    <t>rarkillf@usnews.com</t>
  </si>
  <si>
    <t>Marianna</t>
  </si>
  <si>
    <t>Kyle</t>
  </si>
  <si>
    <t>mkyleg@blogs.com</t>
  </si>
  <si>
    <t>Palm</t>
  </si>
  <si>
    <t>True</t>
  </si>
  <si>
    <t>ptrueh@howstuffworks.com</t>
  </si>
  <si>
    <t>Victoria</t>
  </si>
  <si>
    <t>Filyukov</t>
  </si>
  <si>
    <t>vfilyukovi@thetimes.co.uk</t>
  </si>
  <si>
    <t>Benedicto</t>
  </si>
  <si>
    <t>Selbach</t>
  </si>
  <si>
    <t>bselbachj@ning.com</t>
  </si>
  <si>
    <t>Kleon</t>
  </si>
  <si>
    <t>Mitrovic</t>
  </si>
  <si>
    <t>kmitrovick@opera.com</t>
  </si>
  <si>
    <t>Laird</t>
  </si>
  <si>
    <t>Grainger</t>
  </si>
  <si>
    <t>lgraingerl@4shared.com</t>
  </si>
  <si>
    <t>Essy</t>
  </si>
  <si>
    <t>Ruperti</t>
  </si>
  <si>
    <t>erupertim@theatlantic.com</t>
  </si>
  <si>
    <t>Juan</t>
  </si>
  <si>
    <t>Borrowman</t>
  </si>
  <si>
    <t>jborrowmann@xrea.com</t>
  </si>
  <si>
    <t>Queenie</t>
  </si>
  <si>
    <t>Moyer</t>
  </si>
  <si>
    <t>qmoyero@foxnews.com</t>
  </si>
  <si>
    <t>Byrom</t>
  </si>
  <si>
    <t>Soro</t>
  </si>
  <si>
    <t>bsorop@senate.gov</t>
  </si>
  <si>
    <t>Bealle</t>
  </si>
  <si>
    <t>Andreuzzi</t>
  </si>
  <si>
    <t>bandreuzziq@gov.uk</t>
  </si>
  <si>
    <t>Theodoric</t>
  </si>
  <si>
    <t>Bunny</t>
  </si>
  <si>
    <t>tbunnyr@shinystat.com</t>
  </si>
  <si>
    <t>Hugh</t>
  </si>
  <si>
    <t>Lipsett</t>
  </si>
  <si>
    <t>hlipsetts@sbwire.com</t>
  </si>
  <si>
    <t>Martainn</t>
  </si>
  <si>
    <t>Burton</t>
  </si>
  <si>
    <t>mburtont@jigsy.com</t>
  </si>
  <si>
    <t>Marni</t>
  </si>
  <si>
    <t>Ruthven</t>
  </si>
  <si>
    <t>mruthvenu@cocolog-nifty.com</t>
  </si>
  <si>
    <t>Cristen</t>
  </si>
  <si>
    <t>Ottee</t>
  </si>
  <si>
    <t>cotteev@reference.com</t>
  </si>
  <si>
    <t>Rosemarie</t>
  </si>
  <si>
    <t>Swadling</t>
  </si>
  <si>
    <t>rswadlingw@weebly.com</t>
  </si>
  <si>
    <t>Karolina</t>
  </si>
  <si>
    <t>Husselbee</t>
  </si>
  <si>
    <t>khusselbeex@ezinearticles.com</t>
  </si>
  <si>
    <t>Matthew</t>
  </si>
  <si>
    <t>Rudderham</t>
  </si>
  <si>
    <t>mrudderhamy@mashable.com</t>
  </si>
  <si>
    <t>Lothaire</t>
  </si>
  <si>
    <t>Bolderson</t>
  </si>
  <si>
    <t>lboldersonz@gov.uk</t>
  </si>
  <si>
    <t>Frederik</t>
  </si>
  <si>
    <t>Gook</t>
  </si>
  <si>
    <t>fgook10@newsvine.com</t>
  </si>
  <si>
    <t>Genevra</t>
  </si>
  <si>
    <t>Perree</t>
  </si>
  <si>
    <t>gperree11@usgs.gov</t>
  </si>
  <si>
    <t>Filippo</t>
  </si>
  <si>
    <t>Culkin</t>
  </si>
  <si>
    <t>fculkin12@people.com.cn</t>
  </si>
  <si>
    <t>Holli</t>
  </si>
  <si>
    <t>Cousans</t>
  </si>
  <si>
    <t>hcousans13@yelp.com</t>
  </si>
  <si>
    <t>Felisha</t>
  </si>
  <si>
    <t>Jayne</t>
  </si>
  <si>
    <t>fjayne14@mlb.com</t>
  </si>
  <si>
    <t>Myer</t>
  </si>
  <si>
    <t>Wattinham</t>
  </si>
  <si>
    <t>mwattinham15@oracle.com</t>
  </si>
  <si>
    <t>Brenda</t>
  </si>
  <si>
    <t>Buckel</t>
  </si>
  <si>
    <t>bbuckel16@acquirethisname.com</t>
  </si>
  <si>
    <t>Cyrill</t>
  </si>
  <si>
    <t>Runge</t>
  </si>
  <si>
    <t>crunge17@sfgate.com</t>
  </si>
  <si>
    <t>Doll</t>
  </si>
  <si>
    <t>Rye</t>
  </si>
  <si>
    <t>drye18@ezinearticles.com</t>
  </si>
  <si>
    <t>Slade</t>
  </si>
  <si>
    <t>Stockle</t>
  </si>
  <si>
    <t>sstockle19@slate.com</t>
  </si>
  <si>
    <t>Betteanne</t>
  </si>
  <si>
    <t>Pratley</t>
  </si>
  <si>
    <t>bpratley1a@archive.org</t>
  </si>
  <si>
    <t>Corbie</t>
  </si>
  <si>
    <t>Von Der Empten</t>
  </si>
  <si>
    <t>cvonderempten1b@printfriendly.com</t>
  </si>
  <si>
    <t>Sarita</t>
  </si>
  <si>
    <t>McAsgill</t>
  </si>
  <si>
    <t>smcasgill1c@flavors.me</t>
  </si>
  <si>
    <t>Nickolaus</t>
  </si>
  <si>
    <t>Coppins</t>
  </si>
  <si>
    <t>ncoppins1d@xrea.com</t>
  </si>
  <si>
    <t>Maire</t>
  </si>
  <si>
    <t>Rumble</t>
  </si>
  <si>
    <t>mrumble1e@blinklist.com</t>
  </si>
  <si>
    <t>Albrecht</t>
  </si>
  <si>
    <t>McGrirl</t>
  </si>
  <si>
    <t>amcgrirl1f@163.com</t>
  </si>
  <si>
    <t>Fitz</t>
  </si>
  <si>
    <t>Fuge</t>
  </si>
  <si>
    <t>ffuge1g@joomla.org</t>
  </si>
  <si>
    <t>Byram</t>
  </si>
  <si>
    <t>Ferenczi</t>
  </si>
  <si>
    <t>bferenczi1h@studiopress.com</t>
  </si>
  <si>
    <t>Amory</t>
  </si>
  <si>
    <t>Highnam</t>
  </si>
  <si>
    <t>ahighnam1i@cnbc.com</t>
  </si>
  <si>
    <t>Vevay</t>
  </si>
  <si>
    <t>Wellum</t>
  </si>
  <si>
    <t>vwellum1j@tumblr.com</t>
  </si>
  <si>
    <t>Olenolin</t>
  </si>
  <si>
    <t>Wakeman</t>
  </si>
  <si>
    <t>owakeman1k@mapy.cz</t>
  </si>
  <si>
    <t>Hilarius</t>
  </si>
  <si>
    <t>Abad</t>
  </si>
  <si>
    <t>habad1l@wisc.edu</t>
  </si>
  <si>
    <t>Morse</t>
  </si>
  <si>
    <t>Peters</t>
  </si>
  <si>
    <t>mpeters1m@sitemeter.com</t>
  </si>
  <si>
    <t>Lisabeth</t>
  </si>
  <si>
    <t>Murty</t>
  </si>
  <si>
    <t>lmurty1n@google.it</t>
  </si>
  <si>
    <t>Flore</t>
  </si>
  <si>
    <t>Astlatt</t>
  </si>
  <si>
    <t>fastlatt1o@discovery.com</t>
  </si>
  <si>
    <t>Paula</t>
  </si>
  <si>
    <t>Gittins</t>
  </si>
  <si>
    <t>pgittins1p@quantcast.com</t>
  </si>
  <si>
    <t>Yule</t>
  </si>
  <si>
    <t>Bruin</t>
  </si>
  <si>
    <t>ybruin1q@senate.gov</t>
  </si>
  <si>
    <t>Randolph</t>
  </si>
  <si>
    <t>Collicott</t>
  </si>
  <si>
    <t>rcollicott1r@miibeian.gov.cn</t>
  </si>
  <si>
    <t>Lillian</t>
  </si>
  <si>
    <t>Jizhaki</t>
  </si>
  <si>
    <t>ljizhaki1s@squidoo.com</t>
  </si>
  <si>
    <t>Regan</t>
  </si>
  <si>
    <t>Crocetti</t>
  </si>
  <si>
    <t>rcrocetti1t@csmonitor.com</t>
  </si>
  <si>
    <t>Avigdor</t>
  </si>
  <si>
    <t>Gorey</t>
  </si>
  <si>
    <t>agorey1u@tmall.com</t>
  </si>
  <si>
    <t>Miriam</t>
  </si>
  <si>
    <t>Domerque</t>
  </si>
  <si>
    <t>mdomerque1v@blogspot.com</t>
  </si>
  <si>
    <t>Ham</t>
  </si>
  <si>
    <t>Rapley</t>
  </si>
  <si>
    <t>hrapley1w@meetup.com</t>
  </si>
  <si>
    <t>Drugi</t>
  </si>
  <si>
    <t>Hancill</t>
  </si>
  <si>
    <t>dhancill1x@senate.gov</t>
  </si>
  <si>
    <t>Colly</t>
  </si>
  <si>
    <t>Blucher</t>
  </si>
  <si>
    <t>cblucher1y@youtube.com</t>
  </si>
  <si>
    <t>Amby</t>
  </si>
  <si>
    <t>Maltby</t>
  </si>
  <si>
    <t>amaltby1z@phoca.cz</t>
  </si>
  <si>
    <t>Akim</t>
  </si>
  <si>
    <t>Cruz</t>
  </si>
  <si>
    <t>acruz20@photobucket.com</t>
  </si>
  <si>
    <t>Huey</t>
  </si>
  <si>
    <t>Stead</t>
  </si>
  <si>
    <t>hstead21@vinaora.com</t>
  </si>
  <si>
    <t>Roma</t>
  </si>
  <si>
    <t>Battill</t>
  </si>
  <si>
    <t>rbattill22@ask.com</t>
  </si>
  <si>
    <t>Marlowe</t>
  </si>
  <si>
    <t>Bidgod</t>
  </si>
  <si>
    <t>mbidgod23@nationalgeographic.com</t>
  </si>
  <si>
    <t>Mickie</t>
  </si>
  <si>
    <t>Dellar</t>
  </si>
  <si>
    <t>mdellar24@meetup.com</t>
  </si>
  <si>
    <t>Gabbi</t>
  </si>
  <si>
    <t>Harnell</t>
  </si>
  <si>
    <t>gharnell25@tiny.cc</t>
  </si>
  <si>
    <t>Valentin</t>
  </si>
  <si>
    <t>Coard</t>
  </si>
  <si>
    <t>vcoard26@mayoclinic.com</t>
  </si>
  <si>
    <t>Aubry</t>
  </si>
  <si>
    <t>Stille</t>
  </si>
  <si>
    <t>astille27@bing.com</t>
  </si>
  <si>
    <t>Cthrine</t>
  </si>
  <si>
    <t>Waltho</t>
  </si>
  <si>
    <t>cwaltho28@sfgate.com</t>
  </si>
  <si>
    <t>Adham</t>
  </si>
  <si>
    <t>Leebeter</t>
  </si>
  <si>
    <t>aleebeter29@dedecms.com</t>
  </si>
  <si>
    <t>Nelia</t>
  </si>
  <si>
    <t>MacGow</t>
  </si>
  <si>
    <t>nmacgow2a@ibm.com</t>
  </si>
  <si>
    <t>Stefan</t>
  </si>
  <si>
    <t>Peddel</t>
  </si>
  <si>
    <t>speddel2b@biblegateway.com</t>
  </si>
  <si>
    <t>Curran</t>
  </si>
  <si>
    <t>Macari</t>
  </si>
  <si>
    <t>cmacari2c@arizona.edu</t>
  </si>
  <si>
    <t>Anjela</t>
  </si>
  <si>
    <t>Villaron</t>
  </si>
  <si>
    <t>avillaron2d@eventbrite.com</t>
  </si>
  <si>
    <t>Aeriel</t>
  </si>
  <si>
    <t>Garahan</t>
  </si>
  <si>
    <t>agarahan2e@sfgate.com</t>
  </si>
  <si>
    <t>Joan</t>
  </si>
  <si>
    <t>Broxis</t>
  </si>
  <si>
    <t>jbroxis2f@t.co</t>
  </si>
  <si>
    <t>Tawsha</t>
  </si>
  <si>
    <t>Olle</t>
  </si>
  <si>
    <t>tolle2g@bizjournals.com</t>
  </si>
  <si>
    <t>Pinchas</t>
  </si>
  <si>
    <t>Stollsteiner</t>
  </si>
  <si>
    <t>pstollsteiner2h@hostgator.com</t>
  </si>
  <si>
    <t>Haley</t>
  </si>
  <si>
    <t>Fain</t>
  </si>
  <si>
    <t>hfain2i@illinois.edu</t>
  </si>
  <si>
    <t>Vivianna</t>
  </si>
  <si>
    <t>Foulcher</t>
  </si>
  <si>
    <t>vfoulcher2j@pen.io</t>
  </si>
  <si>
    <t>Gay</t>
  </si>
  <si>
    <t>Allans</t>
  </si>
  <si>
    <t>gallans2k@simplemachines.org</t>
  </si>
  <si>
    <t>Cy</t>
  </si>
  <si>
    <t>Doreward</t>
  </si>
  <si>
    <t>cdoreward2l@so-net.ne.jp</t>
  </si>
  <si>
    <t>Anne-marie</t>
  </si>
  <si>
    <t>Kildahl</t>
  </si>
  <si>
    <t>akildahl2m@csmonitor.com</t>
  </si>
  <si>
    <t>Anallise</t>
  </si>
  <si>
    <t>Iacopini</t>
  </si>
  <si>
    <t>aiacopini2n@ihg.com</t>
  </si>
  <si>
    <t>Judah</t>
  </si>
  <si>
    <t>jdan2o@pagesperso-orange.fr</t>
  </si>
  <si>
    <t>Lin</t>
  </si>
  <si>
    <t>Godard</t>
  </si>
  <si>
    <t>lgodard2p@ihg.com</t>
  </si>
  <si>
    <t>Georgia</t>
  </si>
  <si>
    <t>McAlpine</t>
  </si>
  <si>
    <t>gmcalpine2q@de.vu</t>
  </si>
  <si>
    <t>Orv</t>
  </si>
  <si>
    <t>Hun</t>
  </si>
  <si>
    <t>ohun2r@goo.gl</t>
  </si>
  <si>
    <t>Vannie</t>
  </si>
  <si>
    <t>Kennermann</t>
  </si>
  <si>
    <t>vkennermann2s@blogtalkradio.com</t>
  </si>
  <si>
    <t>Seana</t>
  </si>
  <si>
    <t>Radbone</t>
  </si>
  <si>
    <t>sradbone2t@clickbank.net</t>
  </si>
  <si>
    <t>Adina</t>
  </si>
  <si>
    <t>Cleugh</t>
  </si>
  <si>
    <t>acleugh2u@springer.com</t>
  </si>
  <si>
    <t>Serena</t>
  </si>
  <si>
    <t>Wison</t>
  </si>
  <si>
    <t>swison2v@upenn.edu</t>
  </si>
  <si>
    <t>Yelena</t>
  </si>
  <si>
    <t>Gaytor</t>
  </si>
  <si>
    <t>ygaytor2w@tinyurl.com</t>
  </si>
  <si>
    <t>Benedikta</t>
  </si>
  <si>
    <t>Condon</t>
  </si>
  <si>
    <t>bcondon2x@paypal.com</t>
  </si>
  <si>
    <t>Gretna</t>
  </si>
  <si>
    <t>Kirwin</t>
  </si>
  <si>
    <t>gkirwin2y@bloglines.com</t>
  </si>
  <si>
    <t>Riley</t>
  </si>
  <si>
    <t>Obey</t>
  </si>
  <si>
    <t>robey2z@ucsd.edu</t>
  </si>
  <si>
    <t>Andie</t>
  </si>
  <si>
    <t>Arundale</t>
  </si>
  <si>
    <t>aarundale30@mapquest.com</t>
  </si>
  <si>
    <t>Joeann</t>
  </si>
  <si>
    <t>Muirden</t>
  </si>
  <si>
    <t>jmuirden31@ameblo.jp</t>
  </si>
  <si>
    <t>Ave</t>
  </si>
  <si>
    <t>Purchon</t>
  </si>
  <si>
    <t>apurchon32@cbc.ca</t>
  </si>
  <si>
    <t>Ellie</t>
  </si>
  <si>
    <t>Lockey</t>
  </si>
  <si>
    <t>elockey33@mozilla.org</t>
  </si>
  <si>
    <t>Phip</t>
  </si>
  <si>
    <t>Altree</t>
  </si>
  <si>
    <t>paltree34@indiatimes.com</t>
  </si>
  <si>
    <t>Fabien</t>
  </si>
  <si>
    <t>Roskam</t>
  </si>
  <si>
    <t>froskam35@desdev.cn</t>
  </si>
  <si>
    <t>Reyna</t>
  </si>
  <si>
    <t>Pontefract</t>
  </si>
  <si>
    <t>rpontefract36@yellowbook.com</t>
  </si>
  <si>
    <t>Hedda</t>
  </si>
  <si>
    <t>Garbott</t>
  </si>
  <si>
    <t>hgarbott37@noaa.gov</t>
  </si>
  <si>
    <t>Ginnie</t>
  </si>
  <si>
    <t>Saben</t>
  </si>
  <si>
    <t>gsaben38@shop-pro.jp</t>
  </si>
  <si>
    <t>Dallon</t>
  </si>
  <si>
    <t>Hedworth</t>
  </si>
  <si>
    <t>dhedworth39@samsung.com</t>
  </si>
  <si>
    <t>Chase</t>
  </si>
  <si>
    <t>Rayner</t>
  </si>
  <si>
    <t>crayner3a@netvibes.com</t>
  </si>
  <si>
    <t>Baxter</t>
  </si>
  <si>
    <t>Ritmeier</t>
  </si>
  <si>
    <t>britmeier3b@alibaba.com</t>
  </si>
  <si>
    <t>Mead</t>
  </si>
  <si>
    <t>Brandin</t>
  </si>
  <si>
    <t>mbrandin3c@purevolume.com</t>
  </si>
  <si>
    <t>Kerr</t>
  </si>
  <si>
    <t>Whitesel</t>
  </si>
  <si>
    <t>kwhitesel3d@indiatimes.com</t>
  </si>
  <si>
    <t>Reggie</t>
  </si>
  <si>
    <t>Thorwarth</t>
  </si>
  <si>
    <t>rthorwarth3e@blog.com</t>
  </si>
  <si>
    <t>Rustie</t>
  </si>
  <si>
    <t>Astlet</t>
  </si>
  <si>
    <t>rastlet3f@globo.com</t>
  </si>
  <si>
    <t>Minette</t>
  </si>
  <si>
    <t>Alchin</t>
  </si>
  <si>
    <t>malchin3g@census.gov</t>
  </si>
  <si>
    <t>Glory</t>
  </si>
  <si>
    <t>Hedling</t>
  </si>
  <si>
    <t>ghedling3h@dagondesign.com</t>
  </si>
  <si>
    <t>Jarrod</t>
  </si>
  <si>
    <t>Askham</t>
  </si>
  <si>
    <t>jaskham3i@lulu.com</t>
  </si>
  <si>
    <t>Becka</t>
  </si>
  <si>
    <t>Grinval</t>
  </si>
  <si>
    <t>bgrinval3j@vkontakte.ru</t>
  </si>
  <si>
    <t>Colby</t>
  </si>
  <si>
    <t>Kalderon</t>
  </si>
  <si>
    <t>ckalderon3k@earthlink.net</t>
  </si>
  <si>
    <t>Lori</t>
  </si>
  <si>
    <t>Oram</t>
  </si>
  <si>
    <t>loram3l@narod.ru</t>
  </si>
  <si>
    <t>Corby</t>
  </si>
  <si>
    <t>Lothlorien</t>
  </si>
  <si>
    <t>clothlorien3m@nhs.uk</t>
  </si>
  <si>
    <t>Cassie</t>
  </si>
  <si>
    <t>Corish</t>
  </si>
  <si>
    <t>ccorish3n@virginia.edu</t>
  </si>
  <si>
    <t>Peggi</t>
  </si>
  <si>
    <t>Sainsbury-Brown</t>
  </si>
  <si>
    <t>psainsburybrown3o@amazon.co.uk</t>
  </si>
  <si>
    <t>Zora</t>
  </si>
  <si>
    <t>Halvosen</t>
  </si>
  <si>
    <t>zhalvosen3p@acquirethisname.com</t>
  </si>
  <si>
    <t>Burgess</t>
  </si>
  <si>
    <t>Hawken</t>
  </si>
  <si>
    <t>bhawken3q@patch.com</t>
  </si>
  <si>
    <t>Silvana</t>
  </si>
  <si>
    <t>Jellard</t>
  </si>
  <si>
    <t>sjellard3r@blogspot.com</t>
  </si>
  <si>
    <t>Danica</t>
  </si>
  <si>
    <t>McKerron</t>
  </si>
  <si>
    <t>dmckerron3s@illinois.edu</t>
  </si>
  <si>
    <t>Osborn</t>
  </si>
  <si>
    <t>Pogue</t>
  </si>
  <si>
    <t>opogue3t@51.la</t>
  </si>
  <si>
    <t>Pamella</t>
  </si>
  <si>
    <t>Asker</t>
  </si>
  <si>
    <t>pasker3u@chron.com</t>
  </si>
  <si>
    <t>Estrella</t>
  </si>
  <si>
    <t>Hoggins</t>
  </si>
  <si>
    <t>ehoggins3v@homestead.com</t>
  </si>
  <si>
    <t>Adena</t>
  </si>
  <si>
    <t>Skirvane</t>
  </si>
  <si>
    <t>askirvane3w@shareasale.com</t>
  </si>
  <si>
    <t>Lisette</t>
  </si>
  <si>
    <t>Salle</t>
  </si>
  <si>
    <t>lsalle3x@geocities.com</t>
  </si>
  <si>
    <t>Gabriell</t>
  </si>
  <si>
    <t>Ralton</t>
  </si>
  <si>
    <t>gralton3y@wsj.com</t>
  </si>
  <si>
    <t>Maribeth</t>
  </si>
  <si>
    <t>Hearon</t>
  </si>
  <si>
    <t>mhearon3z@who.int</t>
  </si>
  <si>
    <t>Eugenius</t>
  </si>
  <si>
    <t>Bowness</t>
  </si>
  <si>
    <t>ebowness40@imgur.com</t>
  </si>
  <si>
    <t>Shea</t>
  </si>
  <si>
    <t>Castanaga</t>
  </si>
  <si>
    <t>scastanaga41@geocities.jp</t>
  </si>
  <si>
    <t>Temp</t>
  </si>
  <si>
    <t>Gerlts</t>
  </si>
  <si>
    <t>tgerlts42@mtv.com</t>
  </si>
  <si>
    <t>Nadeen</t>
  </si>
  <si>
    <t>Du Pre</t>
  </si>
  <si>
    <t>ndupre43@goo.gl</t>
  </si>
  <si>
    <t>Joell</t>
  </si>
  <si>
    <t>Abbey</t>
  </si>
  <si>
    <t>jabbey44@ucoz.com</t>
  </si>
  <si>
    <t>Eben</t>
  </si>
  <si>
    <t>Riche</t>
  </si>
  <si>
    <t>eriche45@icq.com</t>
  </si>
  <si>
    <t>Lance</t>
  </si>
  <si>
    <t>Dungey</t>
  </si>
  <si>
    <t>ldungey46@comcast.net</t>
  </si>
  <si>
    <t>Lora</t>
  </si>
  <si>
    <t>Mantione</t>
  </si>
  <si>
    <t>lmantione47@wikispaces.com</t>
  </si>
  <si>
    <t>Merola</t>
  </si>
  <si>
    <t>Sketcher</t>
  </si>
  <si>
    <t>msketcher48@dropbox.com</t>
  </si>
  <si>
    <t>Abagail</t>
  </si>
  <si>
    <t>Wetherby</t>
  </si>
  <si>
    <t>awetherby49@free.fr</t>
  </si>
  <si>
    <t>Sadie</t>
  </si>
  <si>
    <t>Linwood</t>
  </si>
  <si>
    <t>slinwood4a@miibeian.gov.cn</t>
  </si>
  <si>
    <t>Giulia</t>
  </si>
  <si>
    <t>Rudinger</t>
  </si>
  <si>
    <t>grudinger4b@alibaba.com</t>
  </si>
  <si>
    <t>Lammond</t>
  </si>
  <si>
    <t>McCaskill</t>
  </si>
  <si>
    <t>lmccaskill4c@sciencedirect.com</t>
  </si>
  <si>
    <t>Art</t>
  </si>
  <si>
    <t>Van der Velde</t>
  </si>
  <si>
    <t>avandervelde4d@infoseek.co.jp</t>
  </si>
  <si>
    <t>Cyril</t>
  </si>
  <si>
    <t>Pischel</t>
  </si>
  <si>
    <t>cpischel4e@comsenz.com</t>
  </si>
  <si>
    <t>Tedmund</t>
  </si>
  <si>
    <t>Etheridge</t>
  </si>
  <si>
    <t>tetheridge4f@flavors.me</t>
  </si>
  <si>
    <t>Effie</t>
  </si>
  <si>
    <t>Schrinel</t>
  </si>
  <si>
    <t>eschrinel4g@elegantthemes.com</t>
  </si>
  <si>
    <t>Libbie</t>
  </si>
  <si>
    <t>Faircliffe</t>
  </si>
  <si>
    <t>lfaircliffe4h@addtoany.com</t>
  </si>
  <si>
    <t>Bryanty</t>
  </si>
  <si>
    <t>Smurfitt</t>
  </si>
  <si>
    <t>bsmurfitt4i@bing.com</t>
  </si>
  <si>
    <t>Tybie</t>
  </si>
  <si>
    <t>Kemster</t>
  </si>
  <si>
    <t>tkemster4j@sfgate.com</t>
  </si>
  <si>
    <t>Tricia</t>
  </si>
  <si>
    <t>Gimert</t>
  </si>
  <si>
    <t>tgimert4k@deviantart.com</t>
  </si>
  <si>
    <t>Minta</t>
  </si>
  <si>
    <t>Sickling</t>
  </si>
  <si>
    <t>msickling4l@prlog.org</t>
  </si>
  <si>
    <t>Audi</t>
  </si>
  <si>
    <t>Kretchmer</t>
  </si>
  <si>
    <t>akretchmer4m@mit.edu</t>
  </si>
  <si>
    <t>Josephina</t>
  </si>
  <si>
    <t>Humbee</t>
  </si>
  <si>
    <t>jhumbee4n@cornell.edu</t>
  </si>
  <si>
    <t>Carlyle</t>
  </si>
  <si>
    <t>McWhirter</t>
  </si>
  <si>
    <t>cmcwhirter4o@cyberchimps.com</t>
  </si>
  <si>
    <t>Cchaddie</t>
  </si>
  <si>
    <t>Dametti</t>
  </si>
  <si>
    <t>cdametti4p@posterous.com</t>
  </si>
  <si>
    <t>Vladimir</t>
  </si>
  <si>
    <t>Orrill</t>
  </si>
  <si>
    <t>vorrill4q@youku.com</t>
  </si>
  <si>
    <t>Eulalie</t>
  </si>
  <si>
    <t>Vedeshkin</t>
  </si>
  <si>
    <t>evedeshkin4r@nytimes.com</t>
  </si>
  <si>
    <t>Alisander</t>
  </si>
  <si>
    <t>Raecroft</t>
  </si>
  <si>
    <t>araecroft4s@mediafire.com</t>
  </si>
  <si>
    <t>Darda</t>
  </si>
  <si>
    <t>Tarr</t>
  </si>
  <si>
    <t>dtarr4t@ca.gov</t>
  </si>
  <si>
    <t>Caron</t>
  </si>
  <si>
    <t>Raddon</t>
  </si>
  <si>
    <t>craddon4u@seattletimes.com</t>
  </si>
  <si>
    <t>Asa</t>
  </si>
  <si>
    <t>Lamplugh</t>
  </si>
  <si>
    <t>alamplugh4v@noaa.gov</t>
  </si>
  <si>
    <t>Irvin</t>
  </si>
  <si>
    <t>Normanville</t>
  </si>
  <si>
    <t>inormanville4w@amazon.co.uk</t>
  </si>
  <si>
    <t>Val</t>
  </si>
  <si>
    <t>Damarell</t>
  </si>
  <si>
    <t>vdamarell4x@google.nl</t>
  </si>
  <si>
    <t>Constantina</t>
  </si>
  <si>
    <t>Grimm</t>
  </si>
  <si>
    <t>cgrimm4y@cbsnews.com</t>
  </si>
  <si>
    <t>Audra</t>
  </si>
  <si>
    <t>Bleakley</t>
  </si>
  <si>
    <t>ableakley4z@oakley.com</t>
  </si>
  <si>
    <t>Isaak</t>
  </si>
  <si>
    <t>Seyers</t>
  </si>
  <si>
    <t>iseyers50@arizona.edu</t>
  </si>
  <si>
    <t>Bel</t>
  </si>
  <si>
    <t>Geeritz</t>
  </si>
  <si>
    <t>bgeeritz51@noaa.gov</t>
  </si>
  <si>
    <t>Bren</t>
  </si>
  <si>
    <t>Szreter</t>
  </si>
  <si>
    <t>bszreter52@youtube.com</t>
  </si>
  <si>
    <t>Winne</t>
  </si>
  <si>
    <t>Coaker</t>
  </si>
  <si>
    <t>wcoaker53@seattletimes.com</t>
  </si>
  <si>
    <t>Jody</t>
  </si>
  <si>
    <t>Ianelli</t>
  </si>
  <si>
    <t>jianelli54@networkadvertising.org</t>
  </si>
  <si>
    <t>Gabie</t>
  </si>
  <si>
    <t>Pawel</t>
  </si>
  <si>
    <t>gpawel55@mit.edu</t>
  </si>
  <si>
    <t>Elvin</t>
  </si>
  <si>
    <t>gelvin56@exblog.jp</t>
  </si>
  <si>
    <t>Libbey</t>
  </si>
  <si>
    <t>Carefull</t>
  </si>
  <si>
    <t>lcarefull57@google.ca</t>
  </si>
  <si>
    <t>Say</t>
  </si>
  <si>
    <t>Stanistreet</t>
  </si>
  <si>
    <t>sstanistreet58@google.de</t>
  </si>
  <si>
    <t>Derwin</t>
  </si>
  <si>
    <t>Fuzzard</t>
  </si>
  <si>
    <t>dfuzzard59@mashable.com</t>
  </si>
  <si>
    <t>Dominik</t>
  </si>
  <si>
    <t>Alejandro</t>
  </si>
  <si>
    <t>dalejandro5a@google.co.uk</t>
  </si>
  <si>
    <t>Dyan</t>
  </si>
  <si>
    <t>Marquis</t>
  </si>
  <si>
    <t>dmarquis5b@vk.com</t>
  </si>
  <si>
    <t>Harlan</t>
  </si>
  <si>
    <t>Andrzej</t>
  </si>
  <si>
    <t>handrzej5c@over-blog.com</t>
  </si>
  <si>
    <t>Kendra</t>
  </si>
  <si>
    <t>Emor</t>
  </si>
  <si>
    <t>kemor5d@wp.com</t>
  </si>
  <si>
    <t>Keene</t>
  </si>
  <si>
    <t>Cayley</t>
  </si>
  <si>
    <t>kcayley5e@opensource.org</t>
  </si>
  <si>
    <t>Arther</t>
  </si>
  <si>
    <t>Meynell</t>
  </si>
  <si>
    <t>ameynell5f@sun.com</t>
  </si>
  <si>
    <t>Hermon</t>
  </si>
  <si>
    <t>Forman</t>
  </si>
  <si>
    <t>hforman5g@home.pl</t>
  </si>
  <si>
    <t>Raviv</t>
  </si>
  <si>
    <t>Winson</t>
  </si>
  <si>
    <t>rwinson5h@omniture.com</t>
  </si>
  <si>
    <t>Enrique</t>
  </si>
  <si>
    <t>Grove</t>
  </si>
  <si>
    <t>egrove5i@usnews.com</t>
  </si>
  <si>
    <t>Cristobal</t>
  </si>
  <si>
    <t>Gorick</t>
  </si>
  <si>
    <t>cgorick5j@bluehost.com</t>
  </si>
  <si>
    <t>Ros</t>
  </si>
  <si>
    <t>Chrstine</t>
  </si>
  <si>
    <t>rchrstine5k@soundcloud.com</t>
  </si>
  <si>
    <t>Viola</t>
  </si>
  <si>
    <t>Wyke</t>
  </si>
  <si>
    <t>vwyke5l@apache.org</t>
  </si>
  <si>
    <t>Rafaellle</t>
  </si>
  <si>
    <t>Jayes</t>
  </si>
  <si>
    <t>rjayes5m@ameblo.jp</t>
  </si>
  <si>
    <t>Di</t>
  </si>
  <si>
    <t>Kasper</t>
  </si>
  <si>
    <t>dkasper5n@symantec.com</t>
  </si>
  <si>
    <t>Utterson</t>
  </si>
  <si>
    <t>butterson5o@webeden.co.uk</t>
  </si>
  <si>
    <t>Madeleine</t>
  </si>
  <si>
    <t>Toretta</t>
  </si>
  <si>
    <t>mtoretta5p@abc.net.au</t>
  </si>
  <si>
    <t>Gussi</t>
  </si>
  <si>
    <t>Paslow</t>
  </si>
  <si>
    <t>gpaslow5q@europa.eu</t>
  </si>
  <si>
    <t>Frederique</t>
  </si>
  <si>
    <t>Bartholomaus</t>
  </si>
  <si>
    <t>fbartholomaus5r@vkontakte.ru</t>
  </si>
  <si>
    <t>Burr</t>
  </si>
  <si>
    <t>Jiricka</t>
  </si>
  <si>
    <t>bjiricka5s@icq.com</t>
  </si>
  <si>
    <t>Hendrika</t>
  </si>
  <si>
    <t>Smylie</t>
  </si>
  <si>
    <t>hsmylie5t@sbwire.com</t>
  </si>
  <si>
    <t>Lilli</t>
  </si>
  <si>
    <t>Hayers</t>
  </si>
  <si>
    <t>lhayers5u@alibaba.com</t>
  </si>
  <si>
    <t>Justin</t>
  </si>
  <si>
    <t>Featherstonehaugh</t>
  </si>
  <si>
    <t>jfeatherstonehaugh5v@e-recht24.de</t>
  </si>
  <si>
    <t>Cornelia</t>
  </si>
  <si>
    <t>Alberti</t>
  </si>
  <si>
    <t>calberti5w@ibm.com</t>
  </si>
  <si>
    <t>Pippy</t>
  </si>
  <si>
    <t>Pirot</t>
  </si>
  <si>
    <t>ppirot5x@t-online.de</t>
  </si>
  <si>
    <t>Addison</t>
  </si>
  <si>
    <t>Trask</t>
  </si>
  <si>
    <t>atrask5y@goo.ne.jp</t>
  </si>
  <si>
    <t>Tandie</t>
  </si>
  <si>
    <t>Arrowsmith</t>
  </si>
  <si>
    <t>tarrowsmith5z@arizona.edu</t>
  </si>
  <si>
    <t>Derrick</t>
  </si>
  <si>
    <t>Giraldo</t>
  </si>
  <si>
    <t>dgiraldo60@cdbaby.com</t>
  </si>
  <si>
    <t>Ingeborg</t>
  </si>
  <si>
    <t>Downey</t>
  </si>
  <si>
    <t>idowney61@hexun.com</t>
  </si>
  <si>
    <t>Obediah</t>
  </si>
  <si>
    <t>Clineck</t>
  </si>
  <si>
    <t>oclineck62@accuweather.com</t>
  </si>
  <si>
    <t>Ilyssa</t>
  </si>
  <si>
    <t>Camus</t>
  </si>
  <si>
    <t>icamus63@cnn.com</t>
  </si>
  <si>
    <t>Hildagarde</t>
  </si>
  <si>
    <t>Mouton</t>
  </si>
  <si>
    <t>hmouton64@indiatimes.com</t>
  </si>
  <si>
    <t>Connor</t>
  </si>
  <si>
    <t>Simoneton</t>
  </si>
  <si>
    <t>csimoneton65@adobe.com</t>
  </si>
  <si>
    <t>Muldoon</t>
  </si>
  <si>
    <t>lmuldoon66@mozilla.com</t>
  </si>
  <si>
    <t>Katey</t>
  </si>
  <si>
    <t>Gritland</t>
  </si>
  <si>
    <t>kgritland67@odnoklassniki.ru</t>
  </si>
  <si>
    <t>Charlton</t>
  </si>
  <si>
    <t>Amphlett</t>
  </si>
  <si>
    <t>camphlett68@dailymotion.com</t>
  </si>
  <si>
    <t>Jerry</t>
  </si>
  <si>
    <t>Beiderbecke</t>
  </si>
  <si>
    <t>jbeiderbecke69@arizona.edu</t>
  </si>
  <si>
    <t>Falkner</t>
  </si>
  <si>
    <t>Heggs</t>
  </si>
  <si>
    <t>fheggs6a@buzzfeed.com</t>
  </si>
  <si>
    <t>Griff</t>
  </si>
  <si>
    <t>Kearey</t>
  </si>
  <si>
    <t>gkearey6b@ebay.co.uk</t>
  </si>
  <si>
    <t>Angy</t>
  </si>
  <si>
    <t>Quiney</t>
  </si>
  <si>
    <t>aquiney6c@state.gov</t>
  </si>
  <si>
    <t>Alvira</t>
  </si>
  <si>
    <t>Gimber</t>
  </si>
  <si>
    <t>agimber6d@ning.com</t>
  </si>
  <si>
    <t>Rani</t>
  </si>
  <si>
    <t>Chattelaine</t>
  </si>
  <si>
    <t>rchattelaine6e@list-manage.com</t>
  </si>
  <si>
    <t>Truda</t>
  </si>
  <si>
    <t>Staddon</t>
  </si>
  <si>
    <t>tstaddon6f@ox.ac.uk</t>
  </si>
  <si>
    <t>Stefania</t>
  </si>
  <si>
    <t>Jephson</t>
  </si>
  <si>
    <t>sjephson6g@jigsy.com</t>
  </si>
  <si>
    <t>Christopher</t>
  </si>
  <si>
    <t>Bootland</t>
  </si>
  <si>
    <t>cbootland6h@usnews.com</t>
  </si>
  <si>
    <t>Cloe</t>
  </si>
  <si>
    <t>Brun</t>
  </si>
  <si>
    <t>cbrun6i@theglobeandmail.com</t>
  </si>
  <si>
    <t>Ignacio</t>
  </si>
  <si>
    <t>Klimashevich</t>
  </si>
  <si>
    <t>iklimashevich6j@xinhuanet.com</t>
  </si>
  <si>
    <t>Nikki</t>
  </si>
  <si>
    <t>Dalgetty</t>
  </si>
  <si>
    <t>ndalgetty6k@berkeley.edu</t>
  </si>
  <si>
    <t>Kaine</t>
  </si>
  <si>
    <t>Jasper</t>
  </si>
  <si>
    <t>kjasper6l@drupal.org</t>
  </si>
  <si>
    <t>Herbie</t>
  </si>
  <si>
    <t>Puttick</t>
  </si>
  <si>
    <t>hputtick6m@hc360.com</t>
  </si>
  <si>
    <t>Lara</t>
  </si>
  <si>
    <t>Skedgell</t>
  </si>
  <si>
    <t>lskedgell6n@deviantart.com</t>
  </si>
  <si>
    <t>Jeremiah</t>
  </si>
  <si>
    <t>Cosgrave</t>
  </si>
  <si>
    <t>jcosgrave6o@ning.com</t>
  </si>
  <si>
    <t>Hellens</t>
  </si>
  <si>
    <t>ehellens6p@moonfruit.com</t>
  </si>
  <si>
    <t>Gerta</t>
  </si>
  <si>
    <t>Shervington</t>
  </si>
  <si>
    <t>gshervington6q@hao123.com</t>
  </si>
  <si>
    <t>Francesca</t>
  </si>
  <si>
    <t>Barter</t>
  </si>
  <si>
    <t>fbarter6r@fc2.com</t>
  </si>
  <si>
    <t>Ortensia</t>
  </si>
  <si>
    <t>Ruppeli</t>
  </si>
  <si>
    <t>oruppeli6s@paypal.com</t>
  </si>
  <si>
    <t>Almira</t>
  </si>
  <si>
    <t>Zottoli</t>
  </si>
  <si>
    <t>azottoli6t@prweb.com</t>
  </si>
  <si>
    <t>Silvio</t>
  </si>
  <si>
    <t>Butterfield</t>
  </si>
  <si>
    <t>sbutterfield6u@seattletimes.com</t>
  </si>
  <si>
    <t>Benito</t>
  </si>
  <si>
    <t>Craythorne</t>
  </si>
  <si>
    <t>bcraythorne6v@bloomberg.com</t>
  </si>
  <si>
    <t>Dilly</t>
  </si>
  <si>
    <t>Gaveltone</t>
  </si>
  <si>
    <t>dgaveltone6w@oracle.com</t>
  </si>
  <si>
    <t>Stacy</t>
  </si>
  <si>
    <t>Scading</t>
  </si>
  <si>
    <t>sscading6x@google.co.jp</t>
  </si>
  <si>
    <t>Cristian</t>
  </si>
  <si>
    <t>Micka</t>
  </si>
  <si>
    <t>cmicka6y@paginegialle.it</t>
  </si>
  <si>
    <t>Emmalynne</t>
  </si>
  <si>
    <t>Chew</t>
  </si>
  <si>
    <t>echew6z@smh.com.au</t>
  </si>
  <si>
    <t>Alastair</t>
  </si>
  <si>
    <t>Scedall</t>
  </si>
  <si>
    <t>ascedall70@purevolume.com</t>
  </si>
  <si>
    <t>Dunc</t>
  </si>
  <si>
    <t>Battersby</t>
  </si>
  <si>
    <t>dbattersby71@salon.com</t>
  </si>
  <si>
    <t>Merry</t>
  </si>
  <si>
    <t>Zoren</t>
  </si>
  <si>
    <t>mzoren72@webeden.co.uk</t>
  </si>
  <si>
    <t>Felita</t>
  </si>
  <si>
    <t>Duny</t>
  </si>
  <si>
    <t>fduny73@narod.ru</t>
  </si>
  <si>
    <t>Amalie</t>
  </si>
  <si>
    <t>Persitt</t>
  </si>
  <si>
    <t>apersitt74@paypal.com</t>
  </si>
  <si>
    <t>Izabel</t>
  </si>
  <si>
    <t>Starten</t>
  </si>
  <si>
    <t>istarten75@pen.io</t>
  </si>
  <si>
    <t>Nobe</t>
  </si>
  <si>
    <t>Van Hault</t>
  </si>
  <si>
    <t>nvanhault76@dion.ne.jp</t>
  </si>
  <si>
    <t>Cyrille</t>
  </si>
  <si>
    <t>Mulligan</t>
  </si>
  <si>
    <t>cmulligan77@gravatar.com</t>
  </si>
  <si>
    <t>Carlita</t>
  </si>
  <si>
    <t>McArdell</t>
  </si>
  <si>
    <t>cmcardell78@gmpg.org</t>
  </si>
  <si>
    <t>Cairistiona</t>
  </si>
  <si>
    <t>Trevan</t>
  </si>
  <si>
    <t>ctrevan79@xrea.com</t>
  </si>
  <si>
    <t>Onfre</t>
  </si>
  <si>
    <t>Burdekin</t>
  </si>
  <si>
    <t>oburdekin7a@wordpress.org</t>
  </si>
  <si>
    <t>Vivien</t>
  </si>
  <si>
    <t>Demeza</t>
  </si>
  <si>
    <t>vdemeza7b@addtoany.com</t>
  </si>
  <si>
    <t>Valeria</t>
  </si>
  <si>
    <t>Tyres</t>
  </si>
  <si>
    <t>vtyres7c@ebay.co.uk</t>
  </si>
  <si>
    <t>Tabbie</t>
  </si>
  <si>
    <t>Hintzer</t>
  </si>
  <si>
    <t>thintzer7d@canalblog.com</t>
  </si>
  <si>
    <t>Marielle</t>
  </si>
  <si>
    <t>Mickelwright</t>
  </si>
  <si>
    <t>mmickelwright7e@behance.net</t>
  </si>
  <si>
    <t>Thom</t>
  </si>
  <si>
    <t>Gantzer</t>
  </si>
  <si>
    <t>tgantzer7f@state.gov</t>
  </si>
  <si>
    <t>Merill</t>
  </si>
  <si>
    <t>Gogin</t>
  </si>
  <si>
    <t>mgogin7g@whitehouse.gov</t>
  </si>
  <si>
    <t>Davide</t>
  </si>
  <si>
    <t>Dukes</t>
  </si>
  <si>
    <t>ddukes7h@slideshare.net</t>
  </si>
  <si>
    <t>Lotta</t>
  </si>
  <si>
    <t>Matteacci</t>
  </si>
  <si>
    <t>lmatteacci7i@tripod.com</t>
  </si>
  <si>
    <t>Phillipson</t>
  </si>
  <si>
    <t>nphillipson7j@fema.gov</t>
  </si>
  <si>
    <t>Miller</t>
  </si>
  <si>
    <t>Cazereau</t>
  </si>
  <si>
    <t>mcazereau7k@squarespace.com</t>
  </si>
  <si>
    <t>Darby</t>
  </si>
  <si>
    <t>Gerasch</t>
  </si>
  <si>
    <t>dgerasch7l@usatoday.com</t>
  </si>
  <si>
    <t>Perrine</t>
  </si>
  <si>
    <t>Enstone</t>
  </si>
  <si>
    <t>penstone7m@nationalgeographic.com</t>
  </si>
  <si>
    <t>McQueen</t>
  </si>
  <si>
    <t>bmcqueen7n@goo.ne.jp</t>
  </si>
  <si>
    <t>Hearne</t>
  </si>
  <si>
    <t>phearne7o@goo.ne.jp</t>
  </si>
  <si>
    <t>Rouvin</t>
  </si>
  <si>
    <t>Ohrt</t>
  </si>
  <si>
    <t>rohrt7p@devhub.com</t>
  </si>
  <si>
    <t>Weall</t>
  </si>
  <si>
    <t>bweall7q@marriott.com</t>
  </si>
  <si>
    <t>Keriann</t>
  </si>
  <si>
    <t>Doore</t>
  </si>
  <si>
    <t>kdoore7r@hibu.com</t>
  </si>
  <si>
    <t>Issie</t>
  </si>
  <si>
    <t>Hendonson</t>
  </si>
  <si>
    <t>ihendonson7s@google.de</t>
  </si>
  <si>
    <t>Lowrance</t>
  </si>
  <si>
    <t>Coward</t>
  </si>
  <si>
    <t>lcoward7t@telegraph.co.uk</t>
  </si>
  <si>
    <t>Lincoln</t>
  </si>
  <si>
    <t>lkennermann7u@barnesandnoble.com</t>
  </si>
  <si>
    <t>Vanna</t>
  </si>
  <si>
    <t>Milliken</t>
  </si>
  <si>
    <t>vmilliken7v@redcross.org</t>
  </si>
  <si>
    <t>Red</t>
  </si>
  <si>
    <t>Cutmare</t>
  </si>
  <si>
    <t>rcutmare7w@woothemes.com</t>
  </si>
  <si>
    <t>Mikael</t>
  </si>
  <si>
    <t>Freckingham</t>
  </si>
  <si>
    <t>mfreckingham7x@wordpress.com</t>
  </si>
  <si>
    <t>Son</t>
  </si>
  <si>
    <t>Klesse</t>
  </si>
  <si>
    <t>sklesse7y@sohu.com</t>
  </si>
  <si>
    <t>Leoline</t>
  </si>
  <si>
    <t>Hessel</t>
  </si>
  <si>
    <t>lhessel7z@umn.edu</t>
  </si>
  <si>
    <t>Fran</t>
  </si>
  <si>
    <t>McCullen</t>
  </si>
  <si>
    <t>fmccullen80@myspace.com</t>
  </si>
  <si>
    <t>Melinda</t>
  </si>
  <si>
    <t>Water</t>
  </si>
  <si>
    <t>mwater81@huffingtonpost.com</t>
  </si>
  <si>
    <t>Kean</t>
  </si>
  <si>
    <t>Devoy</t>
  </si>
  <si>
    <t>kdevoy82@sphinn.com</t>
  </si>
  <si>
    <t>Larisa</t>
  </si>
  <si>
    <t>Eustace</t>
  </si>
  <si>
    <t>leustace83@shutterfly.com</t>
  </si>
  <si>
    <t>Sebastian</t>
  </si>
  <si>
    <t>Portman</t>
  </si>
  <si>
    <t>sportman84@dmoz.org</t>
  </si>
  <si>
    <t>Alon</t>
  </si>
  <si>
    <t>Gorch</t>
  </si>
  <si>
    <t>agorch85@nifty.com</t>
  </si>
  <si>
    <t>Denise</t>
  </si>
  <si>
    <t>Domsalla</t>
  </si>
  <si>
    <t>ddomsalla86@nih.gov</t>
  </si>
  <si>
    <t>Christean</t>
  </si>
  <si>
    <t>Branigan</t>
  </si>
  <si>
    <t>cbranigan87@dmoz.org</t>
  </si>
  <si>
    <t>Hadleigh</t>
  </si>
  <si>
    <t>McGilben</t>
  </si>
  <si>
    <t>hmcgilben88@typepad.com</t>
  </si>
  <si>
    <t>Osborne</t>
  </si>
  <si>
    <t>Bruton</t>
  </si>
  <si>
    <t>obruton89@oracle.com</t>
  </si>
  <si>
    <t>Simone</t>
  </si>
  <si>
    <t>Tonkes</t>
  </si>
  <si>
    <t>stonkes8a@exblog.jp</t>
  </si>
  <si>
    <t>Marilin</t>
  </si>
  <si>
    <t>Lodin</t>
  </si>
  <si>
    <t>mlodin8b@shop-pro.jp</t>
  </si>
  <si>
    <t>Nannie</t>
  </si>
  <si>
    <t>Toseland</t>
  </si>
  <si>
    <t>ntoseland8c@typepad.com</t>
  </si>
  <si>
    <t>Ferris</t>
  </si>
  <si>
    <t>Duggan</t>
  </si>
  <si>
    <t>fduggan8d@ebay.co.uk</t>
  </si>
  <si>
    <t>Sorcha</t>
  </si>
  <si>
    <t>Leaver</t>
  </si>
  <si>
    <t>sleaver8e@tripod.com</t>
  </si>
  <si>
    <t>Arch</t>
  </si>
  <si>
    <t>Jurasz</t>
  </si>
  <si>
    <t>ajurasz8f@e-recht24.de</t>
  </si>
  <si>
    <t>Karyn</t>
  </si>
  <si>
    <t>Foucard</t>
  </si>
  <si>
    <t>kfoucard8g@furl.net</t>
  </si>
  <si>
    <t>Donna</t>
  </si>
  <si>
    <t>Zamora</t>
  </si>
  <si>
    <t>dzamora8h@mit.edu</t>
  </si>
  <si>
    <t>Shelba</t>
  </si>
  <si>
    <t>Elcombe</t>
  </si>
  <si>
    <t>selcombe8i@ustream.tv</t>
  </si>
  <si>
    <t>Robin</t>
  </si>
  <si>
    <t>Shelp</t>
  </si>
  <si>
    <t>rshelp8j@ebay.co.uk</t>
  </si>
  <si>
    <t>Aggy</t>
  </si>
  <si>
    <t>Warman</t>
  </si>
  <si>
    <t>awarman8k@prnewswire.com</t>
  </si>
  <si>
    <t>Kenyon</t>
  </si>
  <si>
    <t>Grain</t>
  </si>
  <si>
    <t>kgrain8l@t.co</t>
  </si>
  <si>
    <t>Sebastien</t>
  </si>
  <si>
    <t>Tunesi</t>
  </si>
  <si>
    <t>stunesi8m@ox.ac.uk</t>
  </si>
  <si>
    <t>Late</t>
  </si>
  <si>
    <t>glate8n@walmart.com</t>
  </si>
  <si>
    <t>Jeralee</t>
  </si>
  <si>
    <t>Mccaull</t>
  </si>
  <si>
    <t>jmccaull8o@uol.com.br</t>
  </si>
  <si>
    <t>Abelard</t>
  </si>
  <si>
    <t>Bassett</t>
  </si>
  <si>
    <t>abassett8p@google.fr</t>
  </si>
  <si>
    <t>Anastasia</t>
  </si>
  <si>
    <t>Craighill</t>
  </si>
  <si>
    <t>acraighill8q@hhs.gov</t>
  </si>
  <si>
    <t>Glyn</t>
  </si>
  <si>
    <t>Hourston</t>
  </si>
  <si>
    <t>ghourston8r@umich.edu</t>
  </si>
  <si>
    <t>Ricard</t>
  </si>
  <si>
    <t>Dupoy</t>
  </si>
  <si>
    <t>rdupoy8s@domainmarket.com</t>
  </si>
  <si>
    <t>Gustave</t>
  </si>
  <si>
    <t>Chatainier</t>
  </si>
  <si>
    <t>gchatainier8t@house.gov</t>
  </si>
  <si>
    <t>Byrle</t>
  </si>
  <si>
    <t>Crinidge</t>
  </si>
  <si>
    <t>bcrinidge8u@live.com</t>
  </si>
  <si>
    <t>Aubert</t>
  </si>
  <si>
    <t>Caddie</t>
  </si>
  <si>
    <t>acaddie8v@reference.com</t>
  </si>
  <si>
    <t>Bent</t>
  </si>
  <si>
    <t>Auld</t>
  </si>
  <si>
    <t>bauld8w@odnoklassniki.ru</t>
  </si>
  <si>
    <t>Ortelt</t>
  </si>
  <si>
    <t>hortelt8x@google.com.hk</t>
  </si>
  <si>
    <t>Issiah</t>
  </si>
  <si>
    <t>Schoales</t>
  </si>
  <si>
    <t>ischoales8y@twitter.com</t>
  </si>
  <si>
    <t>Nalani</t>
  </si>
  <si>
    <t>Steggals</t>
  </si>
  <si>
    <t>nsteggals8z@nhs.uk</t>
  </si>
  <si>
    <t>Rowland</t>
  </si>
  <si>
    <t>Riddington</t>
  </si>
  <si>
    <t>rriddington90@friendfeed.com</t>
  </si>
  <si>
    <t>Friedrick</t>
  </si>
  <si>
    <t>Paulucci</t>
  </si>
  <si>
    <t>fpaulucci91@arstechnica.com</t>
  </si>
  <si>
    <t>Categoría</t>
  </si>
  <si>
    <t>Stock</t>
  </si>
  <si>
    <t>Lácteos</t>
  </si>
  <si>
    <t>Carnicería</t>
  </si>
  <si>
    <t>Panadería</t>
  </si>
  <si>
    <t>Frutas y Verduras</t>
  </si>
  <si>
    <t>Congelados</t>
  </si>
  <si>
    <t>Bebidas</t>
  </si>
  <si>
    <t>Galletitas y Snacks</t>
  </si>
  <si>
    <t>Conservas</t>
  </si>
  <si>
    <t>ID_Metodo</t>
  </si>
  <si>
    <t>Metodo</t>
  </si>
  <si>
    <t>Descripcion</t>
  </si>
  <si>
    <t>Efectivo</t>
  </si>
  <si>
    <t>Pago en dinero en efectivo, sin intermediarios financieros.</t>
  </si>
  <si>
    <t>Tarjeta de Crédito</t>
  </si>
  <si>
    <t>Pago con tarjetas emitidas por bancos y financieras, con la opción de pago a crédito.</t>
  </si>
  <si>
    <t>Tarjeta de Débito</t>
  </si>
  <si>
    <t>Pago con tarjetas que debitán directamente de la cuenta bancaria del titular.</t>
  </si>
  <si>
    <t>Mercado Pago</t>
  </si>
  <si>
    <t>Plataforma de pagos online que permite realizar transacciones con tarjetas, cuenta bancaria o efectivo.</t>
  </si>
  <si>
    <t>Transferencia</t>
  </si>
  <si>
    <t>Pago realizado a través de una transferencia de fondos entre cuentas bancarias.</t>
  </si>
  <si>
    <t>ID_Categoria</t>
  </si>
  <si>
    <t>Categoria</t>
  </si>
  <si>
    <t>Productos lácteos frescos y procesados, como leche, yogur, queso y manteca.</t>
  </si>
  <si>
    <t>Carnes frescas y procesadas, como carne de vaca, cerdo, pollo y embutidos.</t>
  </si>
  <si>
    <t>Productos horneados frescos, como pan, facturas, medialunas y tortas.</t>
  </si>
  <si>
    <t>Frutas y verduras frescas, locales e importadas, para consumo diario.</t>
  </si>
  <si>
    <t>Productos congelados, como papas fritas, empanadas, pizzas y verduras congeladas.</t>
  </si>
  <si>
    <t>Bebidas de todo tipo, como agua, jugos, refrescos, cerveza, vino y bebidas espirituosas.</t>
  </si>
  <si>
    <t>Productos de snack, como galletitas, papas chips, maníes y otros productos para merendar.</t>
  </si>
  <si>
    <t>Productos alimenticios enlatados o envasados, como arroz, lentejas, garbanzos y atún.</t>
  </si>
  <si>
    <t>ID_Domicilio</t>
  </si>
  <si>
    <t>Calle</t>
  </si>
  <si>
    <t>Nro</t>
  </si>
  <si>
    <t>Localidad</t>
  </si>
  <si>
    <t>Pais</t>
  </si>
  <si>
    <t>Junín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</si>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</sst>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"/>
  </numFmts>
  <fonts count="6">
    <font>
      <sz val="10.0"/>
      <color rgb="FF000000"/>
      <name val="Arial"/>
      <scheme val="minor"/>
    </font>
    <font>
      <sz val="15.0"/>
      <color theme="1"/>
      <name val="Montserrat"/>
    </font>
    <font>
      <color theme="1"/>
      <name val="Montserrat"/>
    </font>
    <font>
      <sz val="16.0"/>
      <color rgb="FFFFFFFF"/>
      <name val="Montserrat"/>
    </font>
    <font>
      <color theme="1"/>
      <name val="Arial"/>
      <scheme val="minor"/>
    </font>
    <font>
      <sz val="12.0"/>
      <color theme="1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1" fillId="0" fontId="5" numFmtId="0" xfId="0" applyAlignment="1" applyBorder="1" applyFont="1">
      <alignment horizont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Font="1"/>
    <xf borderId="0" fillId="0" fontId="4" numFmtId="0" xfId="0" applyAlignment="1" applyFon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Font="1"/>
    <xf borderId="0" fillId="0" fontId="4" numFmtId="10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</dxfs>
  <tableStyles count="6">
    <tableStyle count="4" pivot="0" name="INTEGR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ODOS_DE_PAG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I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Ventas por Provincia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TABLAS_DINAMICAS!$B$23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&quot;$&quot;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TABLAS_DINAMICAS!$A$24:$A$29</c:f>
            </c:strRef>
          </c:cat>
          <c:val>
            <c:numRef>
              <c:f>TABLAS_DINAMICAS!$B$24:$B$29</c:f>
              <c:numCache/>
            </c:numRef>
          </c:val>
        </c:ser>
        <c:axId val="1339813478"/>
        <c:axId val="29660169"/>
      </c:barChart>
      <c:catAx>
        <c:axId val="1339813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Provincia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60169"/>
      </c:catAx>
      <c:valAx>
        <c:axId val="29660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813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Por 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TABLAS_DINAMICAS!$B$7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&quot;$&quot;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TABLAS_DINAMICAS!$A$8:$A$19</c:f>
            </c:strRef>
          </c:cat>
          <c:val>
            <c:numRef>
              <c:f>TABLAS_DINAMICAS!$B$8:$B$19</c:f>
              <c:numCache/>
            </c:numRef>
          </c:val>
          <c:smooth val="0"/>
        </c:ser>
        <c:axId val="132939803"/>
        <c:axId val="349332769"/>
      </c:lineChart>
      <c:catAx>
        <c:axId val="132939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332769"/>
      </c:catAx>
      <c:valAx>
        <c:axId val="349332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Venta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39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133350</xdr:colOff>
      <xdr:row>6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57150</xdr:colOff>
      <xdr:row>0</xdr:row>
      <xdr:rowOff>0</xdr:rowOff>
    </xdr:from>
    <xdr:ext cx="2743200" cy="1047750"/>
    <xdr:pic>
      <xdr:nvPicPr>
        <xdr:cNvPr id="1483894891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001" sheet="INTEGRACION"/>
  </cacheSource>
  <cacheFields>
    <cacheField name="ID_Venta" numFmtId="0">
      <sharedItems containsSemiMixedTypes="0" containsString="0" containsNumber="1" containsInteger="1">
        <n v="947.0"/>
        <n v="1099.0"/>
        <n v="2190.0"/>
        <n v="43.0"/>
        <n v="2746.0"/>
        <n v="2328.0"/>
        <n v="420.0"/>
        <n v="2263.0"/>
        <n v="2896.0"/>
        <n v="484.0"/>
        <n v="1044.0"/>
        <n v="2480.0"/>
        <n v="2719.0"/>
        <n v="1218.0"/>
        <n v="1934.0"/>
        <n v="2534.0"/>
        <n v="1826.0"/>
        <n v="2076.0"/>
        <n v="938.0"/>
        <n v="1928.0"/>
        <n v="2604.0"/>
        <n v="1174.0"/>
        <n v="1253.0"/>
        <n v="1479.0"/>
        <n v="2375.0"/>
        <n v="223.0"/>
        <n v="434.0"/>
        <n v="2969.0"/>
        <n v="2929.0"/>
        <n v="168.0"/>
        <n v="691.0"/>
        <n v="1200.0"/>
        <n v="2206.0"/>
        <n v="88.0"/>
        <n v="267.0"/>
        <n v="783.0"/>
        <n v="948.0"/>
        <n v="134.0"/>
        <n v="2155.0"/>
        <n v="577.0"/>
        <n v="2067.0"/>
        <n v="2248.0"/>
        <n v="2901.0"/>
        <n v="1749.0"/>
        <n v="2047.0"/>
        <n v="1190.0"/>
        <n v="1422.0"/>
        <n v="1535.0"/>
        <n v="2280.0"/>
        <n v="382.0"/>
        <n v="1069.0"/>
        <n v="1214.0"/>
        <n v="2391.0"/>
        <n v="2778.0"/>
        <n v="1531.0"/>
        <n v="2157.0"/>
        <n v="2301.0"/>
        <n v="2175.0"/>
        <n v="54.0"/>
        <n v="2398.0"/>
        <n v="2512.0"/>
        <n v="923.0"/>
        <n v="1970.0"/>
        <n v="2274.0"/>
        <n v="31.0"/>
        <n v="1537.0"/>
        <n v="2545.0"/>
        <n v="2204.0"/>
        <n v="1249.0"/>
        <n v="1708.0"/>
        <n v="2951.0"/>
        <n v="2585.0"/>
        <n v="911.0"/>
        <n v="1473.0"/>
        <n v="1998.0"/>
        <n v="2372.0"/>
        <n v="1549.0"/>
        <n v="1942.0"/>
        <n v="113.0"/>
        <n v="378.0"/>
        <n v="1710.0"/>
        <n v="2683.0"/>
        <n v="737.0"/>
        <n v="1627.0"/>
        <n v="1666.0"/>
        <n v="2225.0"/>
        <n v="189.0"/>
        <n v="265.0"/>
        <n v="2891.0"/>
        <n v="2303.0"/>
        <n v="339.0"/>
        <n v="799.0"/>
        <n v="2945.0"/>
        <n v="2718.0"/>
        <n v="657.0"/>
        <n v="581.0"/>
        <n v="1834.0"/>
        <n v="2140.0"/>
        <n v="2885.0"/>
        <n v="1474.0"/>
        <n v="102.0"/>
        <n v="873.0"/>
        <n v="2137.0"/>
        <n v="788.0"/>
        <n v="2458.0"/>
        <n v="1922.0"/>
        <n v="431.0"/>
        <n v="1319.0"/>
        <n v="1177.0"/>
        <n v="2368.0"/>
        <n v="1282.0"/>
        <n v="1379.0"/>
        <n v="2081.0"/>
        <n v="2092.0"/>
        <n v="598.0"/>
        <n v="1638.0"/>
        <n v="2066.0"/>
        <n v="2356.0"/>
        <n v="2499.0"/>
        <n v="1406.0"/>
        <n v="1677.0"/>
        <n v="1686.0"/>
        <n v="909.0"/>
        <n v="251.0"/>
        <n v="792.0"/>
        <n v="1616.0"/>
        <n v="2554.0"/>
        <n v="1572.0"/>
        <n v="2128.0"/>
        <n v="2799.0"/>
        <n v="2105.0"/>
        <n v="625.0"/>
        <n v="2222.0"/>
        <n v="1926.0"/>
        <n v="2826.0"/>
        <n v="2883.0"/>
        <n v="174.0"/>
        <n v="2544.0"/>
        <n v="1424.0"/>
        <n v="1433.0"/>
        <n v="2602.0"/>
        <n v="686.0"/>
        <n v="1250.0"/>
        <n v="1648.0"/>
        <n v="303.0"/>
        <n v="778.0"/>
        <n v="1467.0"/>
        <n v="63.0"/>
        <n v="857.0"/>
        <n v="1140.0"/>
        <n v="715.0"/>
        <n v="2020.0"/>
        <n v="337.0"/>
        <n v="744.0"/>
        <n v="1691.0"/>
        <n v="1932.0"/>
        <n v="728.0"/>
        <n v="2921.0"/>
        <n v="1294.0"/>
        <n v="2451.0"/>
        <n v="1905.0"/>
        <n v="263.0"/>
        <n v="542.0"/>
        <n v="1239.0"/>
        <n v="1974.0"/>
        <n v="2232.0"/>
        <n v="461.0"/>
        <n v="824.0"/>
        <n v="1587.0"/>
        <n v="1823.0"/>
        <n v="2928.0"/>
        <n v="652.0"/>
        <n v="706.0"/>
        <n v="951.0"/>
        <n v="1291.0"/>
        <n v="30.0"/>
        <n v="190.0"/>
        <n v="1349.0"/>
        <n v="485.0"/>
        <n v="881.0"/>
        <n v="2093.0"/>
        <n v="2880.0"/>
        <n v="197.0"/>
        <n v="2821.0"/>
        <n v="944.0"/>
        <n v="1502.0"/>
        <n v="2790.0"/>
        <n v="580.0"/>
        <n v="833.0"/>
        <n v="2509.0"/>
        <n v="626.0"/>
        <n v="1563.0"/>
        <n v="260.0"/>
        <n v="623.0"/>
        <n v="1966.0"/>
        <n v="2244.0"/>
        <n v="1035.0"/>
        <n v="2655.0"/>
        <n v="1343.0"/>
        <n v="1775.0"/>
        <n v="2648.0"/>
        <n v="2653.0"/>
        <n v="2657.0"/>
        <n v="959.0"/>
        <n v="1757.0"/>
        <n v="2447.0"/>
        <n v="2484.0"/>
        <n v="1425.0"/>
        <n v="616.0"/>
        <n v="789.0"/>
        <n v="1003.0"/>
        <n v="2074.0"/>
        <n v="1369.0"/>
        <n v="1702.0"/>
        <n v="579.0"/>
        <n v="622.0"/>
        <n v="1131.0"/>
        <n v="1423.0"/>
        <n v="1551.0"/>
        <n v="1464.0"/>
        <n v="628.0"/>
        <n v="343.0"/>
        <n v="1890.0"/>
        <n v="2956.0"/>
        <n v="98.0"/>
        <n v="1843.0"/>
        <n v="2373.0"/>
        <n v="27.0"/>
        <n v="2438.0"/>
        <n v="191.0"/>
        <n v="2671.0"/>
        <n v="1452.0"/>
        <n v="920.0"/>
        <n v="2070.0"/>
        <n v="2766.0"/>
        <n v="1052.0"/>
        <n v="2034.0"/>
        <n v="364.0"/>
        <n v="1594.0"/>
        <n v="2715.0"/>
        <n v="2529.0"/>
        <n v="536.0"/>
        <n v="1632.0"/>
        <n v="1813.0"/>
        <n v="2198.0"/>
        <n v="97.0"/>
        <n v="2629.0"/>
        <n v="2727.0"/>
        <n v="2822.0"/>
        <n v="1514.0"/>
        <n v="2932.0"/>
        <n v="560.0"/>
        <n v="2768.0"/>
        <n v="1440.0"/>
        <n v="2886.0"/>
        <n v="1345.0"/>
        <n v="1871.0"/>
        <n v="412.0"/>
        <n v="671.0"/>
        <n v="1305.0"/>
        <n v="977.0"/>
        <n v="1546.0"/>
        <n v="2557.0"/>
        <n v="2652.0"/>
        <n v="2830.0"/>
        <n v="777.0"/>
        <n v="2837.0"/>
        <n v="280.0"/>
        <n v="538.0"/>
        <n v="1912.0"/>
        <n v="2170.0"/>
        <n v="2215.0"/>
        <n v="2528.0"/>
        <n v="2695.0"/>
        <n v="1408.0"/>
        <n v="770.0"/>
        <n v="2389.0"/>
        <n v="178.0"/>
        <n v="906.0"/>
        <n v="1106.0"/>
        <n v="1617.0"/>
        <n v="631.0"/>
        <n v="2408.0"/>
        <n v="57.0"/>
        <n v="313.0"/>
        <n v="333.0"/>
        <n v="1937.0"/>
        <n v="2046.0"/>
        <n v="1604.0"/>
        <n v="2187.0"/>
        <n v="94.0"/>
        <n v="1229.0"/>
        <n v="398.0"/>
        <n v="2049.0"/>
        <n v="502.0"/>
        <n v="2324.0"/>
        <n v="2702.0"/>
        <n v="258.0"/>
        <n v="1499.0"/>
        <n v="2161.0"/>
        <n v="2394.0"/>
        <n v="2533.0"/>
        <n v="2804.0"/>
        <n v="2316.0"/>
        <n v="2329.0"/>
        <n v="1318.0"/>
        <n v="1745.0"/>
        <n v="413.0"/>
        <n v="1845.0"/>
        <n v="276.0"/>
        <n v="575.0"/>
        <n v="1558.0"/>
        <n v="1109.0"/>
        <n v="1663.0"/>
        <n v="2701.0"/>
        <n v="2722.0"/>
        <n v="565.0"/>
        <n v="2515.0"/>
        <n v="640.0"/>
        <n v="1.0"/>
        <n v="2053.0"/>
        <n v="2197.0"/>
        <n v="46.0"/>
        <n v="1964.0"/>
        <n v="624.0"/>
        <n v="1039.0"/>
        <n v="2530.0"/>
        <n v="2025.0"/>
        <n v="2607.0"/>
        <n v="2200.0"/>
        <n v="402.0"/>
        <n v="1821.0"/>
        <n v="2359.0"/>
        <n v="2649.0"/>
        <n v="1466.0"/>
        <n v="1132.0"/>
        <n v="499.0"/>
        <n v="71.0"/>
        <n v="1582.0"/>
        <n v="1614.0"/>
        <n v="1801.0"/>
        <n v="186.0"/>
        <n v="1366.0"/>
        <n v="1963.0"/>
        <n v="2895.0"/>
        <n v="552.0"/>
        <n v="2406.0"/>
        <n v="1144.0"/>
        <n v="1172.0"/>
        <n v="1373.0"/>
        <n v="1180.0"/>
        <n v="1402.0"/>
        <n v="478.0"/>
        <n v="1204.0"/>
        <n v="2513.0"/>
        <n v="1092.0"/>
        <n v="2707.0"/>
        <n v="2819.0"/>
        <n v="112.0"/>
        <n v="254.0"/>
        <n v="2174.0"/>
        <n v="2211.0"/>
        <n v="105.0"/>
        <n v="566.0"/>
        <n v="1334.0"/>
        <n v="1539.0"/>
        <n v="1608.0"/>
        <n v="1295.0"/>
        <n v="2119.0"/>
        <n v="1619.0"/>
        <n v="1997.0"/>
        <n v="2724.0"/>
        <n v="2071.0"/>
        <n v="543.0"/>
        <n v="894.0"/>
        <n v="1015.0"/>
        <n v="1971.0"/>
        <n v="137.0"/>
        <n v="2275.0"/>
        <n v="1280.0"/>
        <n v="602.0"/>
        <n v="84.0"/>
        <n v="359.0"/>
        <n v="2099.0"/>
        <n v="2360.0"/>
        <n v="1376.0"/>
        <n v="2829.0"/>
        <n v="653.0"/>
        <n v="1024.0"/>
        <n v="307.0"/>
        <n v="645.0"/>
        <n v="415.0"/>
        <n v="1969.0"/>
        <n v="2679.0"/>
        <n v="678.0"/>
        <n v="966.0"/>
        <n v="1579.0"/>
        <n v="2422.0"/>
        <n v="2594.0"/>
        <n v="132.0"/>
        <n v="1559.0"/>
        <n v="173.0"/>
        <n v="840.0"/>
        <n v="629.0"/>
        <n v="1485.0"/>
        <n v="2587.0"/>
        <n v="1303.0"/>
        <n v="1283.0"/>
        <n v="1315.0"/>
        <n v="1750.0"/>
        <n v="2549.0"/>
        <n v="1785.0"/>
        <n v="1930.0"/>
        <n v="2858.0"/>
        <n v="1361.0"/>
        <n v="1610.0"/>
        <n v="99.0"/>
        <n v="1048.0"/>
        <n v="830.0"/>
        <n v="1029.0"/>
        <n v="1396.0"/>
        <n v="2063.0"/>
        <n v="1832.0"/>
        <n v="2603.0"/>
        <n v="1298.0"/>
        <n v="101.0"/>
        <n v="1418.0"/>
        <n v="1982.0"/>
        <n v="1654.0"/>
        <n v="1927.0"/>
        <n v="2097.0"/>
        <n v="1276.0"/>
        <n v="2167.0"/>
        <n v="2506.0"/>
        <n v="2062.0"/>
        <n v="747.0"/>
        <n v="2207.0"/>
        <n v="2867.0"/>
        <n v="1892.0"/>
        <n v="1993.0"/>
        <n v="2456.0"/>
        <n v="2343.0"/>
        <n v="2742.0"/>
        <n v="2428.0"/>
        <n v="16.0"/>
        <n v="718.0"/>
        <n v="2637.0"/>
        <n v="1554.0"/>
        <n v="2001.0"/>
        <n v="1178.0"/>
        <n v="1630.0"/>
        <n v="1697.0"/>
        <n v="1953.0"/>
        <n v="440.0"/>
        <n v="2939.0"/>
        <n v="2998.0"/>
        <n v="2764.0"/>
        <n v="496.0"/>
        <n v="2573.0"/>
        <n v="1240.0"/>
        <n v="2173.0"/>
        <n v="1201.0"/>
        <n v="843.0"/>
        <n v="1154.0"/>
        <n v="2378.0"/>
        <n v="347.0"/>
        <n v="369.0"/>
        <n v="1771.0"/>
        <n v="2271.0"/>
        <n v="2834.0"/>
        <n v="1532.0"/>
        <n v="2085.0"/>
        <n v="2875.0"/>
        <n v="218.0"/>
        <n v="1457.0"/>
        <n v="1631.0"/>
        <n v="360.0"/>
        <n v="1781.0"/>
        <n v="157.0"/>
        <n v="868.0"/>
        <n v="1126.0"/>
        <n v="1660.0"/>
        <n v="2358.0"/>
        <n v="562.0"/>
        <n v="1403.0"/>
        <n v="1825.0"/>
        <n v="144.0"/>
        <n v="1779.0"/>
        <n v="2259.0"/>
        <n v="1301.0"/>
        <n v="2747.0"/>
        <n v="9.0"/>
        <n v="1076.0"/>
        <n v="1770.0"/>
        <n v="2640.0"/>
        <n v="850.0"/>
        <n v="1715.0"/>
        <n v="1439.0"/>
        <n v="680.0"/>
        <n v="2889.0"/>
        <n v="1198.0"/>
        <n v="2873.0"/>
        <n v="2680.0"/>
        <n v="215.0"/>
        <n v="1753.0"/>
        <n v="2209.0"/>
        <n v="2043.0"/>
        <n v="2335.0"/>
        <n v="1162.0"/>
        <n v="1217.0"/>
        <n v="1362.0"/>
        <n v="29.0"/>
        <n v="488.0"/>
        <n v="2007.0"/>
        <n v="2355.0"/>
        <n v="2709.0"/>
        <n v="2481.0"/>
        <n v="735.0"/>
        <n v="779.0"/>
        <n v="2771.0"/>
        <n v="207.0"/>
        <n v="1842.0"/>
        <n v="77.0"/>
        <n v="539.0"/>
        <n v="2964.0"/>
        <n v="53.0"/>
        <n v="2310.0"/>
        <n v="2926.0"/>
        <n v="110.0"/>
        <n v="2427.0"/>
        <n v="851.0"/>
        <n v="338.0"/>
        <n v="2449.0"/>
        <n v="1586.0"/>
        <n v="2869.0"/>
        <n v="2982.0"/>
        <n v="1416.0"/>
        <n v="1999.0"/>
        <n v="2331.0"/>
        <n v="39.0"/>
        <n v="713.0"/>
        <n v="89.0"/>
        <n v="2294.0"/>
        <n v="1313.0"/>
        <n v="1713.0"/>
        <n v="2606.0"/>
        <n v="1465.0"/>
        <n v="2420.0"/>
        <n v="1589.0"/>
        <n v="1524.0"/>
        <n v="606.0"/>
        <n v="1185.0"/>
        <n v="1796.0"/>
        <n v="2366.0"/>
        <n v="362.0"/>
        <n v="1788.0"/>
        <n v="1957.0"/>
        <n v="1564.0"/>
        <n v="2058.0"/>
        <n v="2253.0"/>
        <n v="2524.0"/>
        <n v="705.0"/>
        <n v="817.0"/>
        <n v="1622.0"/>
        <n v="1111.0"/>
        <n v="827.0"/>
        <n v="1545.0"/>
        <n v="2981.0"/>
        <n v="44.0"/>
        <n v="1777.0"/>
        <n v="1130.0"/>
        <n v="1903.0"/>
        <n v="1984.0"/>
        <n v="2243.0"/>
        <n v="2397.0"/>
        <n v="416.0"/>
        <n v="1118.0"/>
        <n v="2907.0"/>
        <n v="405.0"/>
        <n v="1947.0"/>
        <n v="1399.0"/>
        <n v="2854.0"/>
        <n v="2993.0"/>
        <n v="1556.0"/>
        <n v="249.0"/>
        <n v="86.0"/>
        <n v="1828.0"/>
        <n v="2142.0"/>
        <n v="1624.0"/>
        <n v="853.0"/>
        <n v="1968.0"/>
        <n v="844.0"/>
        <n v="2961.0"/>
        <n v="1782.0"/>
        <n v="905.0"/>
        <n v="10.0"/>
        <n v="453.0"/>
        <n v="600.0"/>
        <n v="962.0"/>
        <n v="1331.0"/>
        <n v="2920.0"/>
        <n v="2758.0"/>
        <n v="1110.0"/>
        <n v="1143.0"/>
        <n v="2229.0"/>
        <n v="2581.0"/>
        <n v="1899.0"/>
        <n v="2403.0"/>
        <n v="340.0"/>
        <n v="371.0"/>
        <n v="2051.0"/>
        <n v="2838.0"/>
        <n v="976.0"/>
        <n v="547.0"/>
        <n v="1320.0"/>
        <n v="724.0"/>
        <n v="1707.0"/>
        <n v="2205.0"/>
        <n v="135.0"/>
        <n v="1026.0"/>
        <n v="2426.0"/>
        <n v="2827.0"/>
        <n v="523.0"/>
        <n v="61.0"/>
        <n v="849.0"/>
        <n v="1254.0"/>
        <n v="1783.0"/>
        <n v="1996.0"/>
        <n v="751.0"/>
        <n v="1088.0"/>
        <n v="1900.0"/>
        <n v="763.0"/>
        <n v="1621.0"/>
        <n v="2117.0"/>
        <n v="889.0"/>
        <n v="1988.0"/>
        <n v="1127.0"/>
        <n v="1238.0"/>
        <n v="419.0"/>
        <n v="659.0"/>
        <n v="1472.0"/>
        <n v="2810.0"/>
        <n v="2109.0"/>
        <n v="2388.0"/>
        <n v="238.0"/>
        <n v="2146.0"/>
        <n v="2313.0"/>
        <n v="2997.0"/>
        <n v="815.0"/>
        <n v="1051.0"/>
        <n v="182.0"/>
        <n v="422.0"/>
        <n v="1447.0"/>
        <n v="2311.0"/>
        <n v="2794.0"/>
        <n v="214.0"/>
        <n v="2332.0"/>
        <n v="2493.0"/>
        <n v="1685.0"/>
        <n v="2564.0"/>
        <n v="1100.0"/>
        <n v="1875.0"/>
        <n v="1358.0"/>
        <n v="1804.0"/>
        <n v="2674.0"/>
        <n v="2882.0"/>
        <n v="1328.0"/>
        <n v="2196.0"/>
        <n v="329.0"/>
        <n v="51.0"/>
        <n v="1602.0"/>
        <n v="956.0"/>
        <n v="2991.0"/>
        <n v="1441.0"/>
        <n v="1752.0"/>
        <n v="2599.0"/>
        <n v="1709.0"/>
        <n v="1844.0"/>
        <n v="2761.0"/>
        <n v="818.0"/>
        <n v="1962.0"/>
        <n v="867.0"/>
        <n v="2249.0"/>
        <n v="516.0"/>
        <n v="991.0"/>
        <n v="2308.0"/>
        <n v="2433.0"/>
        <n v="2908.0"/>
        <n v="2959.0"/>
        <n v="1281.0"/>
        <n v="1857.0"/>
        <n v="2151.0"/>
        <n v="1386.0"/>
        <n v="1434.0"/>
        <n v="1182.0"/>
        <n v="1805.0"/>
        <n v="2082.0"/>
        <n v="302.0"/>
        <n v="312.0"/>
        <n v="2405.0"/>
        <n v="685.0"/>
        <n v="2586.0"/>
        <n v="969.0"/>
        <n v="2685.0"/>
        <n v="586.0"/>
        <n v="1337.0"/>
        <n v="2894.0"/>
        <n v="972.0"/>
        <n v="2582.0"/>
        <n v="1653.0"/>
        <n v="2364.0"/>
        <n v="1354.0"/>
        <n v="1692.0"/>
        <n v="949.0"/>
        <n v="1760.0"/>
        <n v="1355.0"/>
        <n v="2178.0"/>
        <n v="2351.0"/>
        <n v="2023.0"/>
        <n v="2492.0"/>
        <n v="1534.0"/>
        <n v="1583.0"/>
        <n v="533.0"/>
        <n v="1412.0"/>
        <n v="2334.0"/>
        <n v="2390.0"/>
        <n v="50.0"/>
        <n v="2865.0"/>
        <n v="2820.0"/>
        <n v="578.0"/>
        <n v="750.0"/>
        <n v="2411.0"/>
        <n v="866.0"/>
        <n v="21.0"/>
        <n v="1693.0"/>
        <n v="2399.0"/>
        <n v="2721.0"/>
        <n v="1260.0"/>
        <n v="804.0"/>
        <n v="1159.0"/>
        <n v="306.0"/>
        <n v="1897.0"/>
        <n v="2194.0"/>
        <n v="528.0"/>
        <n v="883.0"/>
        <n v="1036.0"/>
        <n v="67.0"/>
        <n v="960.0"/>
        <n v="2832.0"/>
        <n v="663.0"/>
        <n v="1989.0"/>
        <n v="212.0"/>
        <n v="1541.0"/>
        <n v="1790.0"/>
        <n v="1941.0"/>
        <n v="2432.0"/>
        <n v="1628.0"/>
        <n v="1611.0"/>
        <n v="2254.0"/>
        <n v="1262.0"/>
        <n v="619.0"/>
        <n v="1397.0"/>
        <n v="1620.0"/>
        <n v="2083.0"/>
        <n v="48.0"/>
        <n v="974.0"/>
        <n v="1664.0"/>
        <n v="2061.0"/>
        <n v="335.0"/>
        <n v="2977.0"/>
        <n v="682.0"/>
        <n v="1547.0"/>
        <n v="2676.0"/>
        <n v="1017.0"/>
        <n v="1023.0"/>
        <n v="1887.0"/>
        <n v="1943.0"/>
        <n v="2111.0"/>
        <n v="81.0"/>
        <n v="2749.0"/>
        <n v="92.0"/>
        <n v="104.0"/>
        <n v="939.0"/>
        <n v="2471.0"/>
        <n v="344.0"/>
        <n v="1516.0"/>
        <n v="1858.0"/>
        <n v="531.0"/>
        <n v="701.0"/>
        <n v="308.0"/>
        <n v="1196.0"/>
        <n v="2849.0"/>
        <n v="146.0"/>
        <n v="1297.0"/>
        <n v="2118.0"/>
        <n v="2210.0"/>
        <n v="2152.0"/>
        <n v="211.0"/>
        <n v="282.0"/>
        <n v="2234.0"/>
        <n v="193.0"/>
        <n v="487.0"/>
        <n v="880.0"/>
        <n v="1009.0"/>
        <n v="175.0"/>
        <n v="764.0"/>
        <n v="62.0"/>
        <n v="1827.0"/>
        <n v="2791.0"/>
        <n v="2748.0"/>
        <n v="1873.0"/>
        <n v="1991.0"/>
        <n v="1995.0"/>
        <n v="2692.0"/>
        <n v="315.0"/>
        <n v="773.0"/>
        <n v="2626.0"/>
        <n v="936.0"/>
        <n v="1450.0"/>
        <n v="1799.0"/>
        <n v="1568.0"/>
        <n v="1765.0"/>
        <n v="2537.0"/>
        <n v="2936.0"/>
        <n v="129.0"/>
        <n v="679.0"/>
        <n v="1094.0"/>
        <n v="1122.0"/>
        <n v="1458.0"/>
        <n v="2108.0"/>
        <n v="2454.0"/>
        <n v="1862.0"/>
        <n v="2681.0"/>
        <n v="725.0"/>
        <n v="2531.0"/>
        <n v="926.0"/>
        <n v="142.0"/>
        <n v="2677.0"/>
        <n v="869.0"/>
        <n v="2915.0"/>
        <n v="2688.0"/>
        <n v="1333.0"/>
        <n v="1597.0"/>
        <n v="2295.0"/>
        <n v="1908.0"/>
        <n v="154.0"/>
        <n v="702.0"/>
        <n v="1584.0"/>
        <n v="385.0"/>
        <n v="1042.0"/>
        <n v="1429.0"/>
        <n v="1134.0"/>
        <n v="2714.0"/>
        <n v="299.0"/>
        <n v="726.0"/>
        <n v="1649.0"/>
        <n v="2106.0"/>
        <n v="1272.0"/>
        <n v="1380.0"/>
        <n v="1762.0"/>
        <n v="1829.0"/>
        <n v="2992.0"/>
        <n v="26.0"/>
        <n v="2667.0"/>
        <n v="1306.0"/>
        <n v="1382.0"/>
        <n v="2793.0"/>
        <n v="892.0"/>
        <n v="2988.0"/>
        <n v="1495.0"/>
        <n v="2508.0"/>
        <n v="1265.0"/>
        <n v="2673.0"/>
        <n v="855.0"/>
        <n v="2774.0"/>
        <n v="2968.0"/>
        <n v="2620.0"/>
        <n v="368.0"/>
        <n v="2735.0"/>
        <n v="635.0"/>
        <n v="805.0"/>
        <n v="878.0"/>
        <n v="1072.0"/>
        <n v="1555.0"/>
        <n v="2576.0"/>
        <n v="2650.0"/>
        <n v="2903.0"/>
        <n v="2185.0"/>
        <n v="2470.0"/>
        <n v="400.0"/>
        <n v="2089.0"/>
        <n v="2482.0"/>
        <n v="714.0"/>
        <n v="2617.0"/>
        <n v="289.0"/>
        <n v="159.0"/>
        <n v="1138.0"/>
        <n v="68.0"/>
        <n v="164.0"/>
        <n v="1528.0"/>
        <n v="1012.0"/>
        <n v="1512.0"/>
        <n v="363.0"/>
        <n v="430.0"/>
        <n v="36.0"/>
        <n v="285.0"/>
        <n v="1701.0"/>
        <n v="2710.0"/>
        <n v="2387.0"/>
        <n v="856.0"/>
        <n v="921.0"/>
        <n v="1585.0"/>
        <n v="918.0"/>
        <n v="1469.0"/>
        <n v="2818.0"/>
        <n v="2847.0"/>
        <n v="1277.0"/>
        <n v="1322.0"/>
        <n v="1596.0"/>
        <n v="2171.0"/>
        <n v="439.0"/>
        <n v="841.0"/>
        <n v="1391.0"/>
        <n v="767.0"/>
        <n v="1742.0"/>
        <n v="1491.0"/>
        <n v="235.0"/>
        <n v="1087.0"/>
        <n v="2723.0"/>
        <n v="33.0"/>
        <n v="1293.0"/>
        <n v="1405.0"/>
        <n v="331.0"/>
        <n v="758.0"/>
        <n v="1436.0"/>
        <n v="674.0"/>
        <n v="1445.0"/>
        <n v="158.0"/>
        <n v="791.0"/>
        <n v="2644.0"/>
        <n v="480.0"/>
        <n v="1645.0"/>
        <n v="687.0"/>
        <n v="2148.0"/>
        <n v="2696.0"/>
        <n v="709.0"/>
        <n v="1032.0"/>
        <n v="2468.0"/>
        <n v="2621.0"/>
        <n v="672.0"/>
        <n v="793.0"/>
        <n v="2262.0"/>
        <n v="2298.0"/>
        <n v="1772.0"/>
        <n v="2004.0"/>
        <n v="1883.0"/>
        <n v="1497.0"/>
        <n v="253.0"/>
        <n v="443.0"/>
        <n v="588.0"/>
        <n v="2813.0"/>
        <n v="731.0"/>
        <n v="2535.0"/>
        <n v="797.0"/>
        <n v="2347.0"/>
        <n v="1428.0"/>
        <n v="2307.0"/>
        <n v="2797.0"/>
        <n v="1637.0"/>
        <n v="2230.0"/>
        <n v="2825.0"/>
        <n v="221.0"/>
        <n v="2410.0"/>
        <n v="2754.0"/>
        <n v="2842.0"/>
        <n v="2985.0"/>
        <n v="2425.0"/>
        <n v="151.0"/>
        <n v="1113.0"/>
        <n v="1820.0"/>
        <n v="2912.0"/>
        <n v="924.0"/>
        <n v="1267.0"/>
        <n v="3000.0"/>
        <n v="2817.0"/>
        <n v="1056.0"/>
        <n v="2297.0"/>
        <n v="269.0"/>
        <n v="2517.0"/>
        <n v="222.0"/>
        <n v="1468.0"/>
        <n v="2893.0"/>
        <n v="1063.0"/>
        <n v="2551.0"/>
        <n v="1284.0"/>
        <n v="2320.0"/>
        <n v="2756.0"/>
        <n v="325.0"/>
        <n v="2486.0"/>
        <n v="2675.0"/>
        <n v="2401.0"/>
        <n v="1706.0"/>
        <n v="1047.0"/>
        <n v="2421.0"/>
        <n v="2419.0"/>
        <n v="914.0"/>
        <n v="933.0"/>
        <n v="387.0"/>
        <n v="456.0"/>
        <n v="1065.0"/>
        <n v="2219.0"/>
        <n v="1506.0"/>
        <n v="1487.0"/>
        <n v="1202.0"/>
        <n v="1365.0"/>
        <n v="2782.0"/>
        <n v="721.0"/>
        <n v="2147.0"/>
        <n v="1317.0"/>
        <n v="2436.0"/>
        <n v="448.0"/>
        <n v="349.0"/>
        <n v="262.0"/>
        <n v="997.0"/>
        <n v="546.0"/>
        <n v="2752.0"/>
        <n v="1656.0"/>
        <n v="2126.0"/>
        <n v="1136.0"/>
        <n v="2127.0"/>
        <n v="2935.0"/>
        <n v="1878.0"/>
        <n v="117.0"/>
        <n v="1363.0"/>
        <n v="621.0"/>
        <n v="1680.0"/>
        <n v="1754.0"/>
        <n v="2703.0"/>
        <n v="681.0"/>
        <n v="821.0"/>
        <n v="2555.0"/>
        <n v="294.0"/>
        <n v="696.0"/>
        <n v="2238.0"/>
        <n v="481.0"/>
        <n v="2323.0"/>
        <n v="2937.0"/>
        <n v="2045.0"/>
        <n v="801.0"/>
        <n v="1722.0"/>
        <n v="1041.0"/>
        <n v="2560.0"/>
        <n v="407.0"/>
        <n v="2527.0"/>
        <n v="342.0"/>
        <n v="2439.0"/>
        <n v="2978.0"/>
        <n v="2442.0"/>
        <n v="3.0"/>
        <n v="1907.0"/>
        <n v="66.0"/>
        <n v="183.0"/>
        <n v="1188.0"/>
        <n v="2278.0"/>
        <n v="610.0"/>
        <n v="1164.0"/>
        <n v="298.0"/>
        <n v="28.0"/>
        <n v="916.0"/>
        <n v="210.0"/>
        <n v="820.0"/>
        <n v="876.0"/>
        <n v="1634.0"/>
        <n v="2132.0"/>
        <n v="2260.0"/>
        <n v="225.0"/>
        <n v="1033.0"/>
        <n v="2973.0"/>
        <n v="1494.0"/>
        <n v="1618.0"/>
        <n v="1646.0"/>
        <n v="1085.0"/>
        <n v="18.0"/>
        <n v="1121.0"/>
        <n v="2091.0"/>
        <n v="2478.0"/>
        <n v="414.0"/>
        <n v="1156.0"/>
        <n v="208.0"/>
        <n v="968.0"/>
        <n v="2054.0"/>
        <n v="1098.0"/>
        <n v="1028.0"/>
        <n v="1809.0"/>
        <n v="2258.0"/>
        <n v="2467.0"/>
        <n v="170.0"/>
        <n v="1025.0"/>
        <n v="2048.0"/>
        <n v="2507.0"/>
        <n v="209.0"/>
        <n v="293.0"/>
        <n v="1045.0"/>
        <n v="2326.0"/>
        <n v="837.0"/>
        <n v="1224.0"/>
        <n v="2465.0"/>
        <n v="232.0"/>
        <n v="2641.0"/>
        <n v="1175.0"/>
        <n v="2844.0"/>
        <n v="1195.0"/>
        <n v="2884.0"/>
        <n v="1068.0"/>
        <n v="1960.0"/>
        <n v="2731.0"/>
        <n v="2341.0"/>
        <n v="532.0"/>
        <n v="2490.0"/>
        <n v="677.0"/>
        <n v="2561.0"/>
        <n v="1299.0"/>
        <n v="328.0"/>
        <n v="2159.0"/>
        <n v="708.0"/>
        <n v="82.0"/>
        <n v="1307.0"/>
        <n v="421.0"/>
        <n v="2661.0"/>
        <n v="2666.0"/>
        <n v="800.0"/>
        <n v="1575.0"/>
        <n v="259.0"/>
        <n v="2055.0"/>
        <n v="2925.0"/>
        <n v="952.0"/>
        <n v="1128.0"/>
        <n v="2999.0"/>
        <n v="1961.0"/>
        <n v="1609.0"/>
        <n v="1774.0"/>
        <n v="2943.0"/>
        <n v="103.0"/>
        <n v="2840.0"/>
        <n v="614.0"/>
        <n v="140.0"/>
        <n v="1734.0"/>
        <n v="90.0"/>
        <n v="1824.0"/>
        <n v="2005.0"/>
        <n v="1050.0"/>
        <n v="2567.0"/>
        <n v="2892.0"/>
        <n v="49.0"/>
        <n v="350.0"/>
        <n v="1151.0"/>
        <n v="684.0"/>
        <n v="1067.0"/>
        <n v="1097.0"/>
        <n v="1731.0"/>
        <n v="1699.0"/>
        <n v="2241.0"/>
        <n v="655.0"/>
        <n v="1665.0"/>
        <n v="1870.0"/>
        <n v="1431.0"/>
        <n v="1703.0"/>
        <n v="180.0"/>
        <n v="1919.0"/>
        <n v="723.0"/>
        <n v="1248.0"/>
        <n v="1398.0"/>
        <n v="141.0"/>
        <n v="1081.0"/>
        <n v="1690.0"/>
        <n v="1906.0"/>
        <n v="1437.0"/>
        <n v="1513.0"/>
        <n v="1232.0"/>
        <n v="2086.0"/>
        <n v="1481.0"/>
        <n v="1661.0"/>
        <n v="2123.0"/>
        <n v="2940.0"/>
        <n v="1421.0"/>
        <n v="1837.0"/>
        <n v="650.0"/>
        <n v="1205.0"/>
        <n v="2315.0"/>
        <n v="2.0"/>
        <n v="383.0"/>
        <n v="2909.0"/>
        <n v="45.0"/>
        <n v="1244.0"/>
        <n v="1590.0"/>
        <n v="2498.0"/>
        <n v="2566.0"/>
        <n v="1681.0"/>
        <n v="1112.0"/>
        <n v="2266.0"/>
        <n v="2601.0"/>
        <n v="985.0"/>
        <n v="1243.0"/>
        <n v="300.0"/>
        <n v="2218.0"/>
        <n v="2022.0"/>
        <n v="1780.0"/>
        <n v="2186.0"/>
        <n v="2654.0"/>
        <n v="683.0"/>
        <n v="1375.0"/>
        <n v="2437.0"/>
        <n v="1323.0"/>
        <n v="1673.0"/>
        <n v="1741.0"/>
        <n v="2990.0"/>
        <n v="863.0"/>
        <n v="309.0"/>
        <n v="1543.0"/>
        <n v="96.0"/>
        <n v="243.0"/>
        <n v="510.0"/>
        <n v="2511.0"/>
        <n v="660.0"/>
        <n v="733.0"/>
        <n v="1404.0"/>
        <n v="1688.0"/>
        <n v="1124.0"/>
        <n v="330.0"/>
        <n v="2354.0"/>
        <n v="1945.0"/>
        <n v="1117.0"/>
        <n v="1348.0"/>
        <n v="1901.0"/>
        <n v="73.0"/>
        <n v="2931.0"/>
        <n v="460.0"/>
        <n v="1658.0"/>
        <n v="1849.0"/>
        <n v="2396.0"/>
        <n v="201.0"/>
        <n v="474.0"/>
        <n v="2224.0"/>
        <n v="2503.0"/>
        <n v="2574.0"/>
        <n v="288.0"/>
        <n v="700.0"/>
        <n v="1839.0"/>
        <n v="2624.0"/>
        <n v="2872.0"/>
        <n v="1338.0"/>
        <n v="1626.0"/>
        <n v="1309.0"/>
        <n v="372.0"/>
        <n v="557.0"/>
        <n v="2536.0"/>
        <n v="2788.0"/>
        <n v="2414.0"/>
        <n v="2857.0"/>
        <n v="848.0"/>
        <n v="1388.0"/>
        <n v="2290.0"/>
        <n v="2496.0"/>
        <n v="1476.0"/>
        <n v="246.0"/>
        <n v="391.0"/>
        <n v="2577.0"/>
        <n v="2158.0"/>
        <n v="1093.0"/>
        <n v="519.0"/>
        <n v="549.0"/>
        <n v="2412.0"/>
        <n v="2902.0"/>
        <n v="2474.0"/>
        <n v="500.0"/>
        <n v="367.0"/>
        <n v="666.0"/>
        <n v="1034.0"/>
        <n v="953.0"/>
        <n v="1314.0"/>
        <n v="2277.0"/>
        <n v="2725.0"/>
        <n v="1353.0"/>
        <n v="1744.0"/>
        <n v="323.0"/>
        <n v="515.0"/>
        <n v="689.0"/>
        <n v="2779.0"/>
        <n v="2293.0"/>
        <n v="838.0"/>
        <n v="1515.0"/>
        <n v="2994.0"/>
        <n v="1938.0"/>
        <n v="1316.0"/>
        <n v="1090.0"/>
        <n v="1973.0"/>
        <n v="2285.0"/>
        <n v="486.0"/>
        <n v="1432.0"/>
        <n v="2618.0"/>
        <n v="2212.0"/>
        <n v="2784.0"/>
        <n v="1865.0"/>
        <n v="852.0"/>
        <n v="1059.0"/>
        <n v="2172.0"/>
        <n v="1979.0"/>
        <n v="2911.0"/>
        <n v="17.0"/>
        <n v="1723.0"/>
        <n v="2382.0"/>
        <n v="388.0"/>
        <n v="1339.0"/>
        <n v="69.0"/>
        <n v="673.0"/>
        <n v="816.0"/>
        <n v="829.0"/>
        <n v="2021.0"/>
        <n v="633.0"/>
        <n v="1880.0"/>
        <n v="583.0"/>
        <n v="716.0"/>
        <n v="994.0"/>
        <n v="2381.0"/>
        <n v="2934.0"/>
        <n v="2980.0"/>
        <n v="136.0"/>
        <n v="1591.0"/>
        <n v="1640.0"/>
        <n v="2870.0"/>
        <n v="639.0"/>
        <n v="1245.0"/>
        <n v="1381.0"/>
        <n v="2424.0"/>
        <n v="508.0"/>
        <n v="1419.0"/>
        <n v="1486.0"/>
        <n v="2166.0"/>
        <n v="888.0"/>
        <n v="1053.0"/>
        <n v="670.0"/>
        <n v="729.0"/>
        <n v="2429.0"/>
        <n v="2862.0"/>
        <n v="324.0"/>
        <n v="1956.0"/>
        <n v="2713.0"/>
        <n v="493.0"/>
        <n v="1763.0"/>
        <n v="2745.0"/>
        <n v="518.0"/>
        <n v="2252.0"/>
        <n v="205.0"/>
        <n v="535.0"/>
        <n v="1430.0"/>
        <n v="320.0"/>
        <n v="252.0"/>
        <n v="811.0"/>
        <n v="927.0"/>
        <n v="442.0"/>
        <n v="1252.0"/>
        <n v="582.0"/>
        <n v="2744.0"/>
        <n v="2220.0"/>
        <n v="2489.0"/>
        <n v="958.0"/>
        <n v="2944.0"/>
        <n v="2013.0"/>
        <n v="165.0"/>
        <n v="373.0"/>
        <n v="1599.0"/>
        <n v="720.0"/>
        <n v="1197.0"/>
        <n v="1302.0"/>
        <n v="2738.0"/>
        <n v="2972.0"/>
        <n v="2365.0"/>
        <n v="2457.0"/>
        <n v="568.0"/>
        <n v="1340.0"/>
        <n v="25.0"/>
        <n v="1949.0"/>
        <n v="604.0"/>
        <n v="150.0"/>
        <n v="451.0"/>
        <n v="1523.0"/>
        <n v="2026.0"/>
        <n v="1199.0"/>
        <n v="1288.0"/>
        <n v="2065.0"/>
        <n v="2772.0"/>
        <n v="171.0"/>
        <n v="618.0"/>
        <n v="904.0"/>
        <n v="2613.0"/>
        <n v="2876.0"/>
        <n v="753.0"/>
        <n v="2246.0"/>
        <n v="2616.0"/>
        <n v="664.0"/>
        <n v="2037.0"/>
        <n v="1227.0"/>
        <n v="2491.0"/>
        <n v="1603.0"/>
        <n v="1684.0"/>
        <n v="740.0"/>
        <n v="2776.0"/>
        <n v="1152.0"/>
        <n v="1726.0"/>
        <n v="310.0"/>
        <n v="1018.0"/>
        <n v="1222.0"/>
        <n v="1446.0"/>
        <n v="326.0"/>
        <n v="435.0"/>
        <n v="1209.0"/>
        <n v="2231.0"/>
        <n v="955.0"/>
        <n v="978.0"/>
        <n v="1062.0"/>
        <n v="1719.0"/>
        <n v="2371.0"/>
        <n v="752.0"/>
        <n v="1718.0"/>
        <n v="2279.0"/>
        <n v="2504.0"/>
        <n v="242.0"/>
        <n v="613.0"/>
        <n v="1327.0"/>
        <n v="314.0"/>
        <n v="2866.0"/>
        <n v="2897.0"/>
        <n v="668.0"/>
        <n v="1882.0"/>
        <n v="2242.0"/>
        <n v="2383.0"/>
        <n v="1510.0"/>
        <n v="1978.0"/>
        <n v="2987.0"/>
        <n v="2753.0"/>
        <n v="544.0"/>
        <n v="982.0"/>
        <n v="1490.0"/>
        <n v="1364.0"/>
        <n v="2445.0"/>
        <n v="2859.0"/>
        <n v="1818.0"/>
        <n v="2631.0"/>
        <n v="2983.0"/>
        <n v="509.0"/>
        <n v="2031.0"/>
        <n v="250.0"/>
        <n v="278.0"/>
        <n v="2124.0"/>
        <n v="446.0"/>
        <n v="835.0"/>
        <n v="2296.0"/>
        <n v="1231.0"/>
        <n v="2101.0"/>
        <n v="2195.0"/>
        <n v="2759.0"/>
        <n v="891.0"/>
        <n v="1480.0"/>
        <n v="2686.0"/>
        <n v="1075.0"/>
        <n v="2541.0"/>
        <n v="2807.0"/>
        <n v="2888.0"/>
        <n v="1948.0"/>
        <n v="2006.0"/>
        <n v="907.0"/>
        <n v="2000.0"/>
        <n v="885.0"/>
        <n v="127.0"/>
        <n v="231.0"/>
        <n v="1378.0"/>
        <n v="1578.0"/>
        <n v="1150.0"/>
        <n v="1105.0"/>
        <n v="2871.0"/>
        <n v="942.0"/>
        <n v="2369.0"/>
        <n v="2353.0"/>
        <n v="2984.0"/>
        <n v="404.0"/>
        <n v="1383.0"/>
        <n v="2039.0"/>
        <n v="1273.0"/>
        <n v="1292.0"/>
        <n v="2028.0"/>
        <n v="847.0"/>
        <n v="782.0"/>
        <n v="915.0"/>
        <n v="2010.0"/>
        <n v="1002.0"/>
        <n v="813.0"/>
        <n v="2483.0"/>
        <n v="1011.0"/>
        <n v="1914.0"/>
        <n v="695.0"/>
        <n v="780.0"/>
        <n v="1146.0"/>
        <n v="332.0"/>
        <n v="961.0"/>
        <n v="2016.0"/>
        <n v="429.0"/>
        <n v="1886.0"/>
        <n v="377.0"/>
        <n v="1359.0"/>
        <n v="1389.0"/>
        <n v="896.0"/>
        <n v="1525.0"/>
        <n v="2189.0"/>
        <n v="2522.0"/>
        <n v="749.0"/>
        <n v="2699.0"/>
        <n v="1000.0"/>
        <n v="2188.0"/>
        <n v="2350.0"/>
        <n v="585.0"/>
        <n v="230.0"/>
        <n v="1390.0"/>
        <n v="1519.0"/>
        <n v="2239.0"/>
        <n v="1776.0"/>
        <n v="2755.0"/>
        <n v="351.0"/>
        <n v="822.0"/>
        <n v="1931.0"/>
        <n v="593.0"/>
        <n v="116.0"/>
        <n v="2770.0"/>
        <n v="226.0"/>
        <n v="1102.0"/>
        <n v="2874.0"/>
        <n v="2933.0"/>
        <n v="237.0"/>
        <n v="1168.0"/>
        <n v="2236.0"/>
        <n v="8.0"/>
        <n v="14.0"/>
        <n v="459.0"/>
        <n v="908.0"/>
        <n v="2572.0"/>
        <n v="2687.0"/>
        <n v="1700.0"/>
        <n v="297.0"/>
        <n v="812.0"/>
        <n v="236.0"/>
        <n v="1181.0"/>
        <n v="1625.0"/>
        <n v="1983.0"/>
        <n v="2409.0"/>
        <n v="1332.0"/>
        <n v="2227.0"/>
        <n v="2325.0"/>
        <n v="986.0"/>
        <n v="2905.0"/>
        <n v="1792.0"/>
        <n v="2027.0"/>
        <n v="784.0"/>
        <n v="1674.0"/>
        <n v="1852.0"/>
        <n v="2309.0"/>
        <n v="2729.0"/>
        <n v="1830.0"/>
        <n v="545.0"/>
        <n v="2346.0"/>
        <n v="2550.0"/>
        <n v="2600.0"/>
        <n v="428.0"/>
        <n v="2327.0"/>
        <n v="290.0"/>
        <n v="1444.0"/>
        <n v="2183.0"/>
        <n v="1463.0"/>
        <n v="426.0"/>
        <n v="756.0"/>
        <n v="1601.0"/>
        <n v="2073.0"/>
        <n v="199.0"/>
        <n v="1682.0"/>
        <n v="1133.0"/>
        <n v="1874.0"/>
        <n v="2112.0"/>
        <n v="2563.0"/>
        <n v="118.0"/>
        <n v="2720.0"/>
        <n v="1210.0"/>
        <n v="1504.0"/>
        <n v="1773.0"/>
        <n v="2251.0"/>
        <n v="1814.0"/>
        <n v="2008.0"/>
        <n v="464.0"/>
        <n v="469.0"/>
        <n v="1321.0"/>
        <n v="1679.0"/>
        <n v="279.0"/>
        <n v="321.0"/>
        <n v="669.0"/>
        <n v="1129.0"/>
        <n v="2580.0"/>
        <n v="1705.0"/>
        <n v="2213.0"/>
        <n v="2385.0"/>
        <n v="2611.0"/>
        <n v="1704.0"/>
        <n v="327.0"/>
        <n v="245.0"/>
        <n v="2084.0"/>
        <n v="108.0"/>
        <n v="2716.0"/>
        <n v="1612.0"/>
        <n v="1904.0"/>
        <n v="2469.0"/>
        <n v="379.0"/>
        <n v="831.0"/>
        <n v="1157.0"/>
        <n v="1647.0"/>
        <n v="1915.0"/>
        <n v="15.0"/>
        <n v="1001.0"/>
        <n v="1498.0"/>
        <n v="399.0"/>
        <n v="1258.0"/>
        <n v="2162.0"/>
        <n v="1107.0"/>
        <n v="2149.0"/>
        <n v="1456.0"/>
        <n v="1714.0"/>
        <n v="1894.0"/>
        <n v="1806.0"/>
        <n v="1800.0"/>
        <n v="119.0"/>
        <n v="1460.0"/>
        <n v="2145.0"/>
        <n v="2584.0"/>
        <n v="2615.0"/>
        <n v="2974.0"/>
        <n v="842.0"/>
        <n v="2245.0"/>
        <n v="858.0"/>
        <n v="1689.0"/>
        <n v="2539.0"/>
        <n v="2851.0"/>
        <n v="217.0"/>
        <n v="1207.0"/>
        <n v="1889.0"/>
        <n v="1952.0"/>
        <n v="353.0"/>
        <n v="1652.0"/>
        <n v="2495.0"/>
        <n v="169.0"/>
        <n v="472.0"/>
        <n v="1274.0"/>
        <n v="1743.0"/>
        <n v="1738.0"/>
        <n v="455.0"/>
        <n v="2950.0"/>
        <n v="1739.0"/>
        <n v="2568.0"/>
        <n v="1659.0"/>
        <n v="1019.0"/>
        <n v="524.0"/>
        <n v="1031.0"/>
        <n v="1268.0"/>
        <n v="1385.0"/>
        <n v="1747.0"/>
        <n v="2114.0"/>
        <n v="449.0"/>
        <n v="796.0"/>
        <n v="2583.0"/>
        <n v="2590.0"/>
        <n v="1269.0"/>
        <n v="989.0"/>
        <n v="1831.0"/>
        <n v="133.0"/>
        <n v="286.0"/>
        <n v="393.0"/>
        <n v="1917.0"/>
        <n v="128.0"/>
        <n v="612.0"/>
        <n v="935.0"/>
        <n v="1615.0"/>
        <n v="1030.0"/>
        <n v="70.0"/>
        <n v="895.0"/>
        <n v="2098.0"/>
        <n v="1822.0"/>
        <n v="2024.0"/>
        <n v="2418.0"/>
        <n v="1401.0"/>
        <n v="1755.0"/>
        <n v="711.0"/>
        <n v="2979.0"/>
        <n v="765.0"/>
        <n v="2505.0"/>
        <n v="2824.0"/>
        <n v="2614.0"/>
        <n v="466.0"/>
        <n v="357.0"/>
        <n v="2376.0"/>
        <n v="41.0"/>
        <n v="1010.0"/>
        <n v="1394.0"/>
        <n v="370.0"/>
        <n v="2116.0"/>
        <n v="967.0"/>
        <n v="774.0"/>
        <n v="2270.0"/>
        <n v="2691.0"/>
        <n v="603.0"/>
        <n v="2240.0"/>
        <n v="836.0"/>
        <n v="1758.0"/>
        <n v="1167.0"/>
        <n v="1761.0"/>
        <n v="2050.0"/>
        <n v="861.0"/>
        <n v="1530.0"/>
        <n v="1954.0"/>
        <n v="2636.0"/>
        <n v="1987.0"/>
        <n v="2750.0"/>
        <n v="1764.0"/>
        <n v="216.0"/>
        <n v="445.0"/>
        <n v="192.0"/>
        <n v="1835.0"/>
        <n v="2942.0"/>
        <n v="2014.0"/>
        <n v="2516.0"/>
        <n v="819.0"/>
        <n v="1980.0"/>
        <n v="2330.0"/>
        <n v="754.0"/>
        <n v="1384.0"/>
        <n v="79.0"/>
        <n v="2462.0"/>
        <n v="2663.0"/>
        <n v="2393.0"/>
        <n v="1746.0"/>
        <n v="2787.0"/>
        <n v="2526.0"/>
        <n v="2996.0"/>
        <n v="24.0"/>
        <n v="2191.0"/>
        <n v="1372.0"/>
        <n v="130.0"/>
        <n v="2430.0"/>
        <n v="13.0"/>
        <n v="746.0"/>
        <n v="2930.0"/>
        <n v="2963.0"/>
        <n v="1077.0"/>
        <n v="1791.0"/>
        <n v="2052.0"/>
        <n v="473.0"/>
        <n v="1778.0"/>
        <n v="74.0"/>
        <n v="893.0"/>
        <n v="1400.0"/>
        <n v="1335.0"/>
        <n v="1898.0"/>
        <n v="1493.0"/>
        <n v="1395.0"/>
        <n v="2800.0"/>
        <n v="2966.0"/>
        <n v="707.0"/>
        <n v="803.0"/>
        <n v="1461.0"/>
        <n v="1990.0"/>
        <n v="1261.0"/>
        <n v="2736.0"/>
        <n v="2525.0"/>
        <n v="1233.0"/>
        <n v="2986.0"/>
        <n v="771.0"/>
        <n v="1850.0"/>
        <n v="121.0"/>
        <n v="381.0"/>
        <n v="1520.0"/>
        <n v="2656.0"/>
        <n v="2846.0"/>
        <n v="1279.0"/>
        <n v="47.0"/>
        <n v="1407.0"/>
        <n v="1895.0"/>
        <n v="1786.0"/>
        <n v="153.0"/>
        <n v="584.0"/>
        <n v="1482.0"/>
        <n v="2627.0"/>
        <n v="2773.0"/>
        <n v="2848.0"/>
        <n v="2852.0"/>
        <n v="2284.0"/>
        <n v="2802.0"/>
        <n v="418.0"/>
        <n v="594.0"/>
        <n v="1242.0"/>
        <n v="2796.0"/>
        <n v="1675.0"/>
        <n v="2762.0"/>
        <n v="540.0"/>
        <n v="2130.0"/>
        <n v="139.0"/>
        <n v="2622.0"/>
        <n v="2556.0"/>
        <n v="2216.0"/>
        <n v="346.0"/>
        <n v="479.0"/>
        <n v="1213.0"/>
        <n v="255.0"/>
        <n v="1061.0"/>
        <n v="520.0"/>
        <n v="1049.0"/>
        <n v="1257.0"/>
        <n v="1208.0"/>
        <n v="2693.0"/>
        <n v="526.0"/>
        <n v="2965.0"/>
        <n v="2141.0"/>
        <n v="348.0"/>
        <n v="931.0"/>
        <n v="2288.0"/>
        <n v="738.0"/>
        <n v="2032.0"/>
        <n v="1550.0"/>
        <n v="5.0"/>
        <n v="2612.0"/>
        <n v="615.0"/>
        <n v="2878.0"/>
        <n v="1442.0"/>
        <n v="522.0"/>
        <n v="1183.0"/>
        <n v="2798.0"/>
        <n v="2199.0"/>
        <n v="2651.0"/>
        <n v="946.0"/>
        <n v="1810.0"/>
        <n v="1089.0"/>
        <n v="1289.0"/>
        <n v="1477.0"/>
        <n v="463.0"/>
        <n v="470.0"/>
        <n v="273.0"/>
        <n v="1567.0"/>
        <n v="2711.0"/>
        <n v="1925.0"/>
        <n v="2302.0"/>
        <n v="179.0"/>
        <n v="1311.0"/>
        <n v="2102.0"/>
        <n v="2970.0"/>
        <n v="2103.0"/>
        <n v="2864.0"/>
        <n v="2638.0"/>
        <n v="901.0"/>
        <n v="1116.0"/>
        <n v="2510.0"/>
        <n v="525.0"/>
        <n v="240.0"/>
        <n v="649.0"/>
        <n v="2521.0"/>
        <n v="794.0"/>
        <n v="2404.0"/>
        <n v="2690.0"/>
        <n v="964.0"/>
        <n v="1360.0"/>
        <n v="2569.0"/>
        <n v="2853.0"/>
        <n v="2910.0"/>
        <n v="712.0"/>
        <n v="2919.0"/>
        <n v="541.0"/>
        <n v="1414.0"/>
        <n v="1748.0"/>
        <n v="2922.0"/>
        <n v="301.0"/>
        <n v="859.0"/>
        <n v="569.0"/>
        <n v="1374.0"/>
        <n v="605.0"/>
        <n v="1392.0"/>
        <n v="1453.0"/>
        <n v="2739.0"/>
        <n v="2115.0"/>
        <n v="2542.0"/>
        <n v="675.0"/>
        <n v="2337.0"/>
        <n v="2588.0"/>
        <n v="1683.0"/>
        <n v="886.0"/>
        <n v="2546.0"/>
        <n v="2072.0"/>
        <n v="228.0"/>
        <n v="458.0"/>
        <n v="1308.0"/>
        <n v="2273.0"/>
        <n v="1533.0"/>
        <n v="2501.0"/>
        <n v="2575.0"/>
        <n v="2080.0"/>
        <n v="2812.0"/>
        <n v="1027.0"/>
        <n v="965.0"/>
        <n v="1192.0"/>
        <n v="963.0"/>
        <n v="2877.0"/>
        <n v="93.0"/>
        <n v="1869.0"/>
        <n v="834.0"/>
        <n v="1489.0"/>
        <n v="1711.0"/>
        <n v="1573.0"/>
        <n v="2646.0"/>
        <n v="980.0"/>
        <n v="2500.0"/>
        <n v="366.0"/>
        <n v="1721.0"/>
        <n v="2228.0"/>
        <n v="1219.0"/>
        <n v="2367.0"/>
        <n v="940.0"/>
        <n v="1910.0"/>
        <n v="609.0"/>
        <n v="814.0"/>
        <n v="1016.0"/>
        <n v="1022.0"/>
        <n v="2345.0"/>
        <n v="2463.0"/>
        <n v="2543.0"/>
        <n v="871.0"/>
        <n v="1420.0"/>
        <n v="1488.0"/>
        <n v="2336.0"/>
        <n v="1236.0"/>
        <n v="1410.0"/>
        <n v="1508.0"/>
        <n v="1623.0"/>
        <n v="690.0"/>
        <n v="879.0"/>
        <n v="1815.0"/>
        <n v="2619.0"/>
        <n v="846.0"/>
        <n v="341.0"/>
        <n v="1893.0"/>
        <n v="120.0"/>
        <n v="1251.0"/>
        <n v="2694.0"/>
        <n v="115.0"/>
        <n v="319.0"/>
        <n v="1370.0"/>
        <n v="845.0"/>
        <n v="1170.0"/>
        <n v="2129.0"/>
        <n v="2144.0"/>
        <n v="1811.0"/>
        <n v="196.0"/>
        <n v="390.0"/>
        <n v="937.0"/>
        <n v="1455.0"/>
        <n v="1542.0"/>
        <n v="2906.0"/>
        <n v="693.0"/>
        <n v="1507.0"/>
        <n v="64.0"/>
        <n v="2250.0"/>
        <n v="2706.0"/>
        <n v="145.0"/>
        <n v="264.0"/>
        <n v="1879.0"/>
        <n v="2012.0"/>
        <n v="2179.0"/>
        <n v="2608.0"/>
        <n v="167.0"/>
        <n v="2318.0"/>
        <n v="436.0"/>
        <n v="1256.0"/>
        <n v="1769.0"/>
        <n v="1043.0"/>
        <n v="1057.0"/>
        <n v="2814.0"/>
        <n v="2033.0"/>
        <n v="195.0"/>
        <n v="334.0"/>
        <n v="389.0"/>
        <n v="589.0"/>
        <n v="1629.0"/>
        <n v="1720.0"/>
        <n v="2088.0"/>
        <n v="55.0"/>
        <n v="213.0"/>
        <n v="999.0"/>
        <n v="1642.0"/>
        <n v="925.0"/>
        <n v="1163.0"/>
        <n v="1548.0"/>
        <n v="571.0"/>
        <n v="1084.0"/>
        <n v="75.0"/>
        <n v="1736.0"/>
        <n v="2518.0"/>
        <n v="1916.0"/>
        <n v="1241.0"/>
        <n v="2775.0"/>
        <n v="1344.0"/>
        <n v="1104.0"/>
        <n v="2472.0"/>
        <n v="1285.0"/>
        <n v="2446.0"/>
        <n v="2792.0"/>
        <n v="919.0"/>
        <n v="1607.0"/>
        <n v="2038.0"/>
        <n v="1078.0"/>
        <n v="1221.0"/>
        <n v="1967.0"/>
        <n v="503.0"/>
        <n v="1759.0"/>
        <n v="734.0"/>
        <n v="2947.0"/>
        <n v="995.0"/>
        <n v="2642.0"/>
        <n v="1271.0"/>
        <n v="2763.0"/>
        <n v="2801.0"/>
        <n v="34.0"/>
        <n v="2214.0"/>
        <n v="641.0"/>
        <n v="1263.0"/>
        <n v="572.0"/>
        <n v="1095.0"/>
        <n v="1863.0"/>
        <n v="131.0"/>
        <n v="166.0"/>
        <n v="447.0"/>
        <n v="454.0"/>
        <n v="2134.0"/>
        <n v="979.0"/>
        <n v="1633.0"/>
        <n v="2176.0"/>
        <n v="2751.0"/>
        <n v="85.0"/>
        <n v="2835.0"/>
        <n v="2789.0"/>
        <n v="2460.0"/>
        <n v="123.0"/>
        <n v="452.0"/>
        <n v="2668.0"/>
        <n v="72.0"/>
        <n v="2094.0"/>
        <n v="95.0"/>
        <n v="365.0"/>
        <n v="1501.0"/>
        <n v="275.0"/>
        <n v="1737.0"/>
        <n v="2547.0"/>
        <n v="408.0"/>
        <n v="1171.0"/>
        <n v="2479.0"/>
        <n v="2669.0"/>
        <n v="556.0"/>
        <n v="1756.0"/>
        <n v="2156.0"/>
        <n v="438.0"/>
        <n v="1577.0"/>
        <n v="152.0"/>
        <n v="1639.0"/>
        <n v="1148.0"/>
        <n v="437.0"/>
        <n v="2416.0"/>
        <n v="656.0"/>
        <n v="762.0"/>
        <n v="1808.0"/>
        <n v="2180.0"/>
        <n v="124.0"/>
        <n v="607.0"/>
        <n v="1864.0"/>
        <n v="2107.0"/>
        <n v="42.0"/>
        <n v="1083.0"/>
        <n v="1561.0"/>
        <n v="2689.0"/>
        <n v="2740.0"/>
        <n v="884.0"/>
        <n v="1290.0"/>
        <n v="2917.0"/>
        <n v="1357.0"/>
        <n v="2628.0"/>
        <n v="1096.0"/>
        <n v="608.0"/>
        <n v="2040.0"/>
        <n v="785.0"/>
        <n v="2861.0"/>
        <n v="1139.0"/>
        <n v="1866.0"/>
        <n v="2164.0"/>
        <n v="1125.0"/>
        <n v="2623.0"/>
        <n v="559.0"/>
        <n v="1278.0"/>
        <n v="1312.0"/>
        <n v="2630.0"/>
        <n v="988.0"/>
        <n v="468.0"/>
        <n v="1169.0"/>
        <n v="432.0"/>
        <n v="2863.0"/>
        <n v="1819.0"/>
        <n v="2413.0"/>
        <n v="2899.0"/>
        <n v="1913.0"/>
        <n v="2532.0"/>
        <n v="2571.0"/>
        <n v="2795.0"/>
        <n v="491.0"/>
        <n v="1417.0"/>
        <n v="2879.0"/>
        <n v="2995.0"/>
        <n v="395.0"/>
        <n v="1220.0"/>
        <n v="1470.0"/>
        <n v="1046.0"/>
        <n v="1149.0"/>
        <n v="1698.0"/>
        <n v="2497.0"/>
        <n v="1574.0"/>
        <n v="2138.0"/>
        <n v="2395.0"/>
        <n v="248.0"/>
        <n v="864.0"/>
        <n v="194.0"/>
        <n v="1286.0"/>
        <n v="807.0"/>
        <n v="1717.0"/>
        <n v="2407.0"/>
        <n v="2434.0"/>
        <n v="2596.0"/>
        <n v="2635.0"/>
        <n v="1853.0"/>
        <n v="1732.0"/>
        <n v="1060.0"/>
        <n v="1657.0"/>
        <n v="826.0"/>
        <n v="1733.0"/>
        <n v="2741.0"/>
        <n v="1505.0"/>
        <n v="2281.0"/>
        <n v="1211.0"/>
        <n v="2659.0"/>
        <n v="2890.0"/>
        <n v="692.0"/>
        <n v="2938.0"/>
        <n v="60.0"/>
        <n v="1655.0"/>
        <n v="2898.0"/>
        <n v="1613.0"/>
        <n v="2473.0"/>
        <n v="1517.0"/>
        <n v="2379.0"/>
        <n v="2110.0"/>
        <n v="897.0"/>
        <n v="2487.0"/>
        <n v="2193.0"/>
        <n v="2452.0"/>
        <n v="2485.0"/>
        <n v="1351.0"/>
        <n v="1847.0"/>
        <n v="2520.0"/>
        <n v="1923.0"/>
        <n v="37.0"/>
        <n v="1933.0"/>
        <n v="505.0"/>
        <n v="1860.0"/>
        <n v="1415.0"/>
        <n v="1569.0"/>
        <n v="1838.0"/>
        <n v="380.0"/>
        <n v="1448.0"/>
        <n v="1888.0"/>
        <n v="2712.0"/>
        <n v="281.0"/>
        <n v="1350.0"/>
        <n v="2384.0"/>
        <n v="2448.0"/>
        <n v="1141.0"/>
        <n v="2441.0"/>
        <n v="1066.0"/>
        <n v="1576.0"/>
        <n v="554.0"/>
        <n v="642.0"/>
        <n v="717.0"/>
        <n v="2831.0"/>
        <n v="6.0"/>
        <n v="185.0"/>
        <n v="187.0"/>
        <n v="1427.0"/>
        <n v="1985.0"/>
        <n v="1054.0"/>
        <n v="1562.0"/>
        <n v="2579.0"/>
        <n v="177.0"/>
        <n v="425.0"/>
        <n v="922.0"/>
        <n v="1187.0"/>
        <n v="284.0"/>
        <n v="1935.0"/>
        <n v="2057.0"/>
        <n v="2476.0"/>
        <n v="996.0"/>
        <n v="1225.0"/>
        <n v="2705.0"/>
        <n v="2002.0"/>
        <n v="1165.0"/>
        <n v="2855.0"/>
        <n v="495.0"/>
        <n v="1787.0"/>
        <n v="2009.0"/>
        <n v="2967.0"/>
        <n v="1135.0"/>
        <n v="1636.0"/>
        <n v="2737.0"/>
        <n v="2767.0"/>
        <n v="2955.0"/>
        <n v="244.0"/>
        <n v="694.0"/>
        <n v="1324.0"/>
        <n v="1803.0"/>
        <n v="1902.0"/>
        <n v="2435.0"/>
        <n v="1881.0"/>
        <n v="1234.0"/>
        <n v="450.0"/>
        <n v="1341.0"/>
        <n v="865.0"/>
        <n v="1509.0"/>
        <n v="2257.0"/>
        <n v="743.0"/>
        <n v="2780.0"/>
        <n v="595.0"/>
        <n v="376.0"/>
        <n v="570.0"/>
        <n v="2633.0"/>
        <n v="2881.0"/>
        <n v="268.0"/>
        <n v="1695.0"/>
        <n v="1950.0"/>
        <n v="1462.0"/>
        <n v="1851.0"/>
        <n v="2150.0"/>
        <n v="644.0"/>
        <n v="1091.0"/>
        <n v="2168.0"/>
        <n v="2900.0"/>
        <n v="2976.0"/>
        <n v="957.0"/>
        <n v="1123.0"/>
        <n v="2256.0"/>
        <n v="457.0"/>
        <n v="798.0"/>
        <n v="1475.0"/>
        <n v="2064.0"/>
        <n v="2639.0"/>
        <n v="1393.0"/>
        <n v="2255.0"/>
        <n v="646.0"/>
        <n v="1459.0"/>
        <n v="1676.0"/>
        <n v="2743.0"/>
        <n v="768.0"/>
        <n v="241.0"/>
        <n v="514.0"/>
        <n v="555.0"/>
        <n v="1848.0"/>
        <n v="574.0"/>
        <n v="1500.0"/>
        <n v="392.0"/>
        <n v="410.0"/>
        <n v="1004.0"/>
        <n v="2760.0"/>
        <n v="2836.0"/>
        <n v="475.0"/>
        <n v="2237.0"/>
        <n v="411.0"/>
        <n v="257.0"/>
        <n v="202.0"/>
        <n v="1672.0"/>
        <n v="2423.0"/>
        <n v="929.0"/>
        <n v="2502.0"/>
        <n v="550.0"/>
        <n v="1496.0"/>
        <n v="2361.0"/>
        <n v="2265.0"/>
        <n v="1557.0"/>
        <n v="591.0"/>
        <n v="2357.0"/>
        <n v="1767.0"/>
        <n v="126.0"/>
        <n v="1038.0"/>
        <n v="1058.0"/>
        <n v="1527.0"/>
        <n v="1166.0"/>
        <n v="703.0"/>
        <n v="427.0"/>
        <n v="1008.0"/>
        <n v="987.0"/>
        <n v="1212.0"/>
        <n v="2565.0"/>
        <n v="1471.0"/>
        <n v="2015.0"/>
        <n v="204.0"/>
        <n v="1189.0"/>
        <n v="1553.0"/>
        <n v="266.0"/>
        <n v="1891.0"/>
        <n v="2044.0"/>
        <n v="2415.0"/>
        <n v="2625.0"/>
        <n v="1981.0"/>
        <n v="2697.0"/>
        <n v="206.0"/>
        <n v="903.0"/>
        <n v="984.0"/>
        <n v="1055.0"/>
        <n v="665.0"/>
        <n v="1326.0"/>
        <n v="632.0"/>
        <n v="1300.0"/>
        <n v="587.0"/>
        <n v="1203.0"/>
        <n v="1789.0"/>
        <n v="998.0"/>
        <n v="2538.0"/>
        <n v="476.0"/>
        <n v="862.0"/>
        <n v="1526.0"/>
        <n v="882.0"/>
        <n v="2075.0"/>
        <n v="2455.0"/>
        <n v="2592.0"/>
        <n v="1854.0"/>
        <n v="2809.0"/>
        <n v="2708.0"/>
        <n v="596.0"/>
        <n v="634.0"/>
        <n v="2941.0"/>
        <n v="576.0"/>
        <n v="934.0"/>
        <n v="1346.0"/>
        <n v="2208.0"/>
        <n v="2223.0"/>
        <n v="1929.0"/>
        <n v="2069.0"/>
        <n v="2783.0"/>
        <n v="534.0"/>
        <n v="462.0"/>
        <n v="2377.0"/>
        <n v="2682.0"/>
        <n v="2833.0"/>
        <n v="4.0"/>
        <n v="224.0"/>
        <n v="647.0"/>
        <n v="1670.0"/>
        <n v="1946.0"/>
        <n v="2553.0"/>
        <n v="233.0"/>
        <n v="1179.0"/>
        <n v="745.0"/>
        <n v="2765.0"/>
        <n v="2392.0"/>
        <n v="2757.0"/>
        <n v="517.0"/>
        <n v="261.0"/>
        <n v="274.0"/>
        <n v="2041.0"/>
        <n v="2461.0"/>
        <n v="1435.0"/>
        <n v="2202.0"/>
        <n v="722.0"/>
        <n v="1635.0"/>
        <n v="2090.0"/>
        <n v="1560.0"/>
        <n v="2122.0"/>
        <n v="553.0"/>
        <n v="769.0"/>
        <n v="2684.0"/>
        <n v="993.0"/>
        <n v="2104.0"/>
        <n v="2953.0"/>
        <n v="1836.0"/>
        <n v="2370.0"/>
        <n v="564.0"/>
        <n v="1768.0"/>
        <n v="2374.0"/>
        <n v="945.0"/>
        <n v="2120.0"/>
        <n v="630.0"/>
        <n v="2131.0"/>
        <n v="2386.0"/>
        <n v="2312.0"/>
        <n v="910.0"/>
        <n v="1716.0"/>
        <n v="1911.0"/>
        <n v="2781.0"/>
        <n v="1275.0"/>
        <n v="760.0"/>
        <n v="1191.0"/>
        <n v="1936.0"/>
        <n v="2589.0"/>
        <n v="1728.0"/>
        <n v="2514.0"/>
        <n v="2488.0"/>
        <n v="2494.0"/>
        <n v="1367.0"/>
        <n v="2078.0"/>
        <n v="1483.0"/>
        <n v="234.0"/>
        <n v="1972.0"/>
        <n v="2247.0"/>
        <n v="283.0"/>
        <n v="890.0"/>
        <n v="76.0"/>
        <n v="2121.0"/>
        <n v="1073.0"/>
        <n v="1939.0"/>
        <n v="155.0"/>
        <n v="667.0"/>
        <n v="1965.0"/>
        <n v="2960.0"/>
        <n v="188.0"/>
        <n v="913.0"/>
        <n v="658.0"/>
        <n v="1158.0"/>
        <n v="2292.0"/>
        <n v="12.0"/>
        <n v="781.0"/>
        <n v="1662.0"/>
        <n v="107.0"/>
        <n v="2868.0"/>
        <n v="65.0"/>
        <n v="2203.0"/>
        <n v="2431.0"/>
        <n v="662.0"/>
        <n v="2079.0"/>
        <n v="111.0"/>
        <n v="1296.0"/>
        <n v="2125.0"/>
        <n v="256.0"/>
        <n v="1413.0"/>
        <n v="1958.0"/>
        <n v="558.0"/>
        <n v="501.0"/>
        <n v="2698.0"/>
        <n v="1566.0"/>
        <n v="2595.0"/>
        <n v="161.0"/>
        <n v="1694.0"/>
        <n v="1884.0"/>
        <n v="2856.0"/>
        <n v="122.0"/>
        <n v="2349.0"/>
        <n v="424.0"/>
        <n v="643.0"/>
        <n v="742.0"/>
        <n v="2380.0"/>
        <n v="318.0"/>
        <n v="2287.0"/>
        <n v="229.0"/>
        <n v="1846.0"/>
        <n v="316.0"/>
        <n v="1206.0"/>
        <n v="2233.0"/>
        <n v="2704.0"/>
        <n v="1918.0"/>
        <n v="138.0"/>
        <n v="355.0"/>
        <n v="1940.0"/>
        <n v="567.0"/>
        <n v="1807.0"/>
        <n v="396.0"/>
        <n v="1451.0"/>
        <n v="2096.0"/>
        <n v="2283.0"/>
        <n v="748.0"/>
        <n v="1861.0"/>
        <n v="2734.0"/>
        <n v="1160.0"/>
        <n v="992.0"/>
        <n v="1264.0"/>
        <n v="1492.0"/>
        <n v="2003.0"/>
        <n v="2160.0"/>
        <n v="2453.0"/>
        <n v="162.0"/>
        <n v="870.0"/>
        <n v="1977.0"/>
        <n v="198.0"/>
        <n v="1013.0"/>
        <n v="1511.0"/>
        <n v="2643.0"/>
        <n v="563.0"/>
        <n v="900.0"/>
        <n v="2578.0"/>
        <n v="492.0"/>
        <n v="1565.0"/>
        <n v="272.0"/>
        <n v="1595.0"/>
        <n v="277.0"/>
        <n v="497.0"/>
        <n v="1449.0"/>
        <n v="809.0"/>
        <n v="1735.0"/>
        <n v="2540.0"/>
        <n v="441.0"/>
        <n v="471.0"/>
        <n v="1725.0"/>
        <n v="2610.0"/>
        <n v="1600.0"/>
        <n v="1651.0"/>
        <n v="1540.0"/>
        <n v="1975.0"/>
        <n v="2559.0"/>
        <n v="627.0"/>
        <n v="2362.0"/>
        <n v="386.0"/>
        <n v="1079.0"/>
        <n v="2634.0"/>
        <n v="1007.0"/>
        <n v="11.0"/>
        <n v="1184.0"/>
        <n v="2235.0"/>
        <n v="1287.0"/>
        <n v="1841.0"/>
        <n v="2272.0"/>
        <n v="271.0"/>
        <n v="795.0"/>
        <n v="1037.0"/>
        <n v="2059.0"/>
        <n v="2845.0"/>
        <n v="786.0"/>
        <n v="1730.0"/>
        <n v="1867.0"/>
        <n v="2042.0"/>
        <n v="2913.0"/>
        <n v="311.0"/>
        <n v="2665.0"/>
        <n v="2732.0"/>
        <n v="620.0"/>
        <n v="1226.0"/>
        <n v="444.0"/>
        <n v="790.0"/>
        <n v="2769.0"/>
        <n v="35.0"/>
        <n v="1142.0"/>
        <n v="2678.0"/>
        <n v="971.0"/>
        <n v="2019.0"/>
        <n v="2291.0"/>
        <n v="2519.0"/>
        <n v="2989.0"/>
        <n v="537.0"/>
        <n v="1228.0"/>
        <n v="2660.0"/>
        <n v="2808.0"/>
        <n v="40.0"/>
        <n v="2201.0"/>
        <n v="2264.0"/>
        <n v="875.0"/>
        <n v="1137.0"/>
        <n v="2261.0"/>
        <n v="2135.0"/>
        <n v="741.0"/>
        <n v="1071.0"/>
        <n v="1108.0"/>
        <n v="1920.0"/>
        <n v="1606.0"/>
        <n v="970.0"/>
        <n v="1795.0"/>
        <n v="2815.0"/>
        <n v="1667.0"/>
        <n v="2182.0"/>
        <n v="2570.0"/>
        <n v="172.0"/>
        <n v="295.0"/>
        <n v="1086.0"/>
        <n v="1153.0"/>
        <n v="511.0"/>
        <n v="1409.0"/>
        <n v="433.0"/>
        <n v="590.0"/>
        <n v="1976.0"/>
        <n v="2914.0"/>
        <n v="160.0"/>
        <n v="1687.0"/>
        <n v="2954.0"/>
        <n v="1872.0"/>
        <n v="2276.0"/>
        <n v="2726.0"/>
        <n v="1840.0"/>
        <n v="80.0"/>
        <n v="239.0"/>
        <n v="2785.0"/>
        <n v="354.0"/>
        <n v="2306.0"/>
        <n v="1868.0"/>
        <n v="361.0"/>
        <n v="651.0"/>
        <n v="2949.0"/>
        <n v="2962.0"/>
        <n v="1325.0"/>
        <n v="1951.0"/>
        <n v="2632.0"/>
        <n v="2777.0"/>
        <n v="2087.0"/>
        <n v="1605.0"/>
        <n v="1194.0"/>
        <n v="806.0"/>
        <n v="1074.0"/>
        <n v="2645.0"/>
        <n v="87.0"/>
        <n v="2184.0"/>
        <n v="2269.0"/>
        <n v="617.0"/>
        <n v="1266.0"/>
        <n v="2169.0"/>
        <n v="592.0"/>
        <n v="2957.0"/>
        <n v="1114.0"/>
        <n v="1115.0"/>
        <n v="1552.0"/>
        <n v="2786.0"/>
        <n v="898.0"/>
        <n v="2402.0"/>
        <n v="1237.0"/>
        <n v="1247.0"/>
        <n v="1986.0"/>
        <n v="287.0"/>
        <n v="270.0"/>
        <n v="727.0"/>
        <n v="766.0"/>
        <n v="2605.0"/>
        <n v="2924.0"/>
        <n v="1802.0"/>
        <n v="2136.0"/>
        <n v="1235.0"/>
        <n v="1270.0"/>
        <n v="1921.0"/>
        <n v="1387.0"/>
        <n v="1876.0"/>
        <n v="2289.0"/>
        <n v="2344.0"/>
        <n v="902.0"/>
        <n v="2728.0"/>
        <n v="1155.0"/>
        <n v="1368.0"/>
        <n v="2221.0"/>
        <n v="2339.0"/>
        <n v="808.0"/>
        <n v="58.0"/>
        <n v="227.0"/>
        <n v="1727.0"/>
        <n v="1794.0"/>
        <n v="2018.0"/>
        <n v="2443.0"/>
        <n v="2841.0"/>
        <n v="397.0"/>
        <n v="573.0"/>
        <n v="2717.0"/>
        <n v="2803.0"/>
        <n v="2918.0"/>
        <n v="932.0"/>
        <n v="1581.0"/>
        <n v="2475.0"/>
        <n v="1598.0"/>
        <n v="163.0"/>
        <n v="636.0"/>
        <n v="699.0"/>
        <n v="1751.0"/>
        <n v="1518.0"/>
        <n v="2181.0"/>
        <n v="2300.0"/>
        <n v="2304.0"/>
        <n v="2860.0"/>
        <n v="512.0"/>
        <n v="710.0"/>
        <n v="2153.0"/>
        <n v="739.0"/>
        <n v="2060.0"/>
        <n v="1040.0"/>
        <n v="22.0"/>
        <n v="1924.0"/>
        <n v="1671.0"/>
        <n v="2017.0"/>
        <n v="2450.0"/>
        <n v="597.0"/>
        <n v="2036.0"/>
        <n v="2887.0"/>
        <n v="1064.0"/>
        <n v="1593.0"/>
        <n v="2975.0"/>
        <n v="2700.0"/>
        <n v="506.0"/>
        <n v="1643.0"/>
        <n v="2338.0"/>
        <n v="2658.0"/>
        <n v="2828.0"/>
        <n v="730.0"/>
        <n v="928.0"/>
        <n v="950.0"/>
        <n v="2068.0"/>
        <n v="941.0"/>
        <n v="2163.0"/>
        <n v="2806.0"/>
        <n v="375.0"/>
        <n v="2477.0"/>
        <n v="1347.0"/>
        <n v="1588.0"/>
        <n v="2552.0"/>
        <n v="2268.0"/>
        <n v="1766.0"/>
        <n v="2946.0"/>
        <n v="825.0"/>
        <n v="1329.0"/>
        <n v="1797.0"/>
        <n v="599.0"/>
        <n v="2314.0"/>
        <n v="2609.0"/>
        <n v="507.0"/>
        <n v="1186.0"/>
        <n v="2672.0"/>
        <n v="219.0"/>
        <n v="1005.0"/>
        <n v="1798.0"/>
        <n v="2916.0"/>
        <n v="2077.0"/>
        <n v="1896.0"/>
        <n v="2035.0"/>
        <n v="184.0"/>
        <n v="802.0"/>
        <n v="1411.0"/>
        <n v="181.0"/>
        <n v="551.0"/>
        <n v="688.0"/>
        <n v="975.0"/>
        <n v="981.0"/>
        <n v="2958.0"/>
        <n v="1944.0"/>
        <n v="1103.0"/>
        <n v="1176.0"/>
        <n v="1729.0"/>
        <n v="143.0"/>
        <n v="776.0"/>
        <n v="2342.0"/>
        <n v="548.0"/>
        <n v="648.0"/>
        <n v="2133.0"/>
        <n v="2139.0"/>
        <n v="2321.0"/>
        <n v="489.0"/>
        <n v="1216.0"/>
        <n v="148.0"/>
        <n v="2811.0"/>
        <n v="1885.0"/>
        <n v="291.0"/>
        <n v="1641.0"/>
        <n v="2440.0"/>
        <n v="1145.0"/>
        <n v="2927.0"/>
        <n v="1994.0"/>
        <n v="1255.0"/>
        <n v="1580.0"/>
        <n v="19.0"/>
        <n v="1070.0"/>
        <n v="1678.0"/>
        <n v="2282.0"/>
        <n v="930.0"/>
        <n v="220.0"/>
        <n v="1352.0"/>
        <n v="336.0"/>
        <n v="356.0"/>
        <n v="1377.0"/>
        <n v="1522.0"/>
        <n v="1955.0"/>
        <n v="305.0"/>
        <n v="854.0"/>
        <n v="1544.0"/>
        <n v="114.0"/>
        <n v="839.0"/>
        <n v="1426.0"/>
        <n v="494.0"/>
        <n v="1080.0"/>
        <n v="1101.0"/>
        <n v="1855.0"/>
        <n v="2971.0"/>
        <n v="78.0"/>
        <n v="149.0"/>
        <n v="521.0"/>
        <n v="1147.0"/>
        <n v="403.0"/>
        <n v="2348.0"/>
        <n v="757.0"/>
        <n v="1438.0"/>
        <n v="676.0"/>
        <n v="2056.0"/>
        <n v="1443.0"/>
        <n v="1859.0"/>
        <n v="2165.0"/>
        <n v="358.0"/>
        <n v="247.0"/>
        <n v="498.0"/>
        <n v="2299.0"/>
        <n v="1793.0"/>
        <n v="2839.0"/>
        <n v="732.0"/>
        <n v="23.0"/>
        <n v="917.0"/>
        <n v="1310.0"/>
        <n v="719.0"/>
        <n v="2664.0"/>
        <n v="601.0"/>
        <n v="943.0"/>
        <n v="2923.0"/>
        <n v="203.0"/>
        <n v="2226.0"/>
        <n v="2823.0"/>
        <n v="810.0"/>
        <n v="52.0"/>
        <n v="147.0"/>
        <n v="2459.0"/>
        <n v="83.0"/>
        <n v="527.0"/>
        <n v="761.0"/>
        <n v="1371.0"/>
        <n v="322.0"/>
        <n v="2192.0"/>
        <n v="2154.0"/>
        <n v="561.0"/>
        <n v="1230.0"/>
        <n v="1484.0"/>
        <n v="2286.0"/>
        <n v="304.0"/>
        <n v="1082.0"/>
        <n v="2095.0"/>
        <n v="832.0"/>
        <n v="899.0"/>
        <n v="1259.0"/>
        <n v="1712.0"/>
        <n v="1909.0"/>
        <n v="2647.0"/>
        <n v="292.0"/>
        <n v="654.0"/>
        <n v="156.0"/>
        <n v="637.0"/>
        <n v="1992.0"/>
        <n v="296.0"/>
        <n v="56.0"/>
        <n v="697.0"/>
        <n v="736.0"/>
        <n v="317.0"/>
        <n v="417.0"/>
        <n v="860.0"/>
        <n v="1503.0"/>
        <n v="59.0"/>
        <n v="91.0"/>
        <n v="100.0"/>
        <n v="755.0"/>
        <n v="1120.0"/>
        <n v="1006.0"/>
        <n v="828.0"/>
        <n v="1223.0"/>
        <n v="1570.0"/>
        <n v="2029.0"/>
        <n v="2548.0"/>
        <n v="2558.0"/>
        <n v="772.0"/>
        <n v="2948.0"/>
        <n v="1330.0"/>
        <n v="1571.0"/>
        <n v="2662.0"/>
        <n v="1246.0"/>
        <n v="2523.0"/>
        <n v="394.0"/>
        <n v="2113.0"/>
        <n v="2952.0"/>
        <n v="872.0"/>
        <n v="1021.0"/>
        <n v="1538.0"/>
        <n v="2352.0"/>
        <n v="912.0"/>
        <n v="1020.0"/>
        <n v="2816.0"/>
        <n v="38.0"/>
        <n v="530.0"/>
        <n v="823.0"/>
        <n v="1356.0"/>
        <n v="1454.0"/>
        <n v="1740.0"/>
        <n v="2317.0"/>
        <n v="1336.0"/>
        <n v="2670.0"/>
        <n v="2177.0"/>
        <n v="423.0"/>
        <n v="1536.0"/>
        <n v="2733.0"/>
        <n v="1119.0"/>
        <n v="1696.0"/>
        <n v="1833.0"/>
        <n v="2598.0"/>
        <n v="32.0"/>
        <n v="759.0"/>
        <n v="1668.0"/>
        <n v="125.0"/>
        <n v="1193.0"/>
        <n v="109.0"/>
        <n v="1644.0"/>
        <n v="2843.0"/>
        <n v="2143.0"/>
        <n v="1304.0"/>
        <n v="775.0"/>
        <n v="1161.0"/>
        <n v="2011.0"/>
        <n v="20.0"/>
        <n v="2030.0"/>
        <n v="2904.0"/>
        <n v="1342.0"/>
        <n v="2597.0"/>
        <n v="401.0"/>
        <n v="1215.0"/>
        <n v="467.0"/>
        <n v="698.0"/>
        <n v="176.0"/>
        <n v="638.0"/>
        <n v="477.0"/>
        <n v="2363.0"/>
        <n v="2417.0"/>
        <n v="2730.0"/>
        <n v="345.0"/>
        <n v="661.0"/>
        <n v="490.0"/>
        <n v="2805.0"/>
        <n v="513.0"/>
        <n v="983.0"/>
        <n v="2444.0"/>
        <n v="2267.0"/>
        <n v="611.0"/>
        <n v="887.0"/>
        <n v="1173.0"/>
        <n v="2100.0"/>
        <n v="2562.0"/>
        <n v="704.0"/>
        <n v="874.0"/>
        <n v="1592.0"/>
        <n v="200.0"/>
        <n v="1784.0"/>
        <n v="2464.0"/>
        <n v="1521.0"/>
        <n v="1669.0"/>
        <n v="465.0"/>
        <n v="2322.0"/>
        <n v="1959.0"/>
        <n v="483.0"/>
        <n v="990.0"/>
        <n v="7.0"/>
        <n v="2591.0"/>
        <n v="2217.0"/>
        <n v="2593.0"/>
        <n v="1816.0"/>
        <n v="374.0"/>
        <n v="482.0"/>
        <n v="1817.0"/>
        <n v="877.0"/>
        <n v="787.0"/>
        <n v="2340.0"/>
        <n v="409.0"/>
        <n v="352.0"/>
        <n v="504.0"/>
        <n v="1856.0"/>
        <n v="1478.0"/>
        <n v="2319.0"/>
        <n v="2466.0"/>
        <n v="384.0"/>
        <n v="1724.0"/>
        <n v="2400.0"/>
        <n v="106.0"/>
        <n v="1650.0"/>
        <n v="1812.0"/>
        <n v="1877.0"/>
        <n v="973.0"/>
        <n v="1014.0"/>
        <n v="1529.0"/>
        <n v="2305.0"/>
        <n v="2333.0"/>
        <n v="2850.0"/>
        <n v="406.0"/>
        <n v="529.0"/>
        <n v="954.0"/>
      </sharedItems>
    </cacheField>
    <cacheField name="Fecha" numFmtId="164">
      <sharedItems containsSemiMixedTypes="0" containsDate="1" containsString="0">
        <d v="2024-01-31T00:00:00Z"/>
        <d v="2024-02-01T00:00:00Z"/>
        <d v="2024-02-02T00:00:00Z"/>
        <d v="2024-02-03T00:00:00Z"/>
        <d v="2024-02-04T00:00:00Z"/>
        <d v="2024-02-06T00:00:00Z"/>
        <d v="2024-02-09T00:00:00Z"/>
        <d v="2024-02-10T00:00:00Z"/>
        <d v="2024-02-11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3T00:00:00Z"/>
        <d v="2024-03-04T00:00:00Z"/>
        <d v="2024-03-06T00:00:00Z"/>
        <d v="2024-03-07T00:00:00Z"/>
        <d v="2024-03-08T00:00:00Z"/>
        <d v="2024-03-09T00:00:00Z"/>
        <d v="2024-03-11T00:00:00Z"/>
        <d v="2024-03-13T00:00:00Z"/>
        <d v="2024-03-14T00:00:00Z"/>
        <d v="2024-03-15T00:00:00Z"/>
        <d v="2024-03-16T00:00:00Z"/>
        <d v="2024-03-19T00:00:00Z"/>
        <d v="2024-03-21T00:00:00Z"/>
        <d v="2024-03-22T00:00:00Z"/>
        <d v="2024-03-24T00:00:00Z"/>
        <d v="2024-03-25T00:00:00Z"/>
        <d v="2024-03-26T00:00:00Z"/>
        <d v="2024-03-27T00:00:00Z"/>
        <d v="2024-03-29T00:00:00Z"/>
        <d v="2024-03-30T00:00:00Z"/>
        <d v="2024-04-01T00:00:00Z"/>
        <d v="2024-04-03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2T00:00:00Z"/>
        <d v="2024-05-05T00:00:00Z"/>
        <d v="2024-05-06T00:00:00Z"/>
        <d v="2024-05-07T00:00:00Z"/>
        <d v="2024-05-08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5T00:00:00Z"/>
        <d v="2024-05-26T00:00:00Z"/>
        <d v="2024-05-27T00:00:00Z"/>
        <d v="2024-05-28T00:00:00Z"/>
        <d v="2024-05-30T00:00:00Z"/>
        <d v="2024-05-31T00:00:00Z"/>
        <d v="2024-06-01T00:00:00Z"/>
        <d v="2024-06-03T00:00:00Z"/>
        <d v="2024-06-04T00:00:00Z"/>
        <d v="2024-06-05T00:00:00Z"/>
        <d v="2024-06-06T00:00:00Z"/>
        <d v="2024-06-07T00:00:00Z"/>
        <d v="2024-06-08T00:00:00Z"/>
        <d v="2024-06-10T00:00:00Z"/>
        <d v="2024-06-11T00:00:00Z"/>
        <d v="2024-06-12T00:00:00Z"/>
        <d v="2024-06-13T00:00:00Z"/>
        <d v="2024-06-15T00:00:00Z"/>
        <d v="2024-06-16T00:00:00Z"/>
        <d v="2024-06-17T00:00:00Z"/>
        <d v="2024-06-18T00:00:00Z"/>
        <d v="2024-06-19T00:00:00Z"/>
        <d v="2024-06-21T00:00:00Z"/>
        <d v="2024-06-22T00:00:00Z"/>
        <d v="2024-06-24T00:00:00Z"/>
        <d v="2024-06-25T00:00:00Z"/>
        <d v="2024-06-27T00:00:00Z"/>
        <d v="2024-06-29T00:00:00Z"/>
        <d v="2024-06-30T00:00:00Z"/>
        <d v="2024-07-01T00:00:00Z"/>
        <d v="2024-07-03T00:00:00Z"/>
        <d v="2024-07-04T00:00:00Z"/>
        <d v="2024-07-05T00:00:00Z"/>
        <d v="2024-07-07T00:00:00Z"/>
        <d v="2024-07-09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2T00:00:00Z"/>
        <d v="2024-07-23T00:00:00Z"/>
        <d v="2024-07-24T00:00:00Z"/>
        <d v="2024-07-25T00:00:00Z"/>
        <d v="2024-07-26T00:00:00Z"/>
        <d v="2024-07-28T00:00:00Z"/>
        <d v="2024-07-29T00:00:00Z"/>
        <d v="2024-07-30T00:00:00Z"/>
        <d v="2024-08-01T00:00:00Z"/>
        <d v="2024-08-02T00:00:00Z"/>
        <d v="2024-08-03T00:00:00Z"/>
        <d v="2024-08-05T00:00:00Z"/>
        <d v="2024-08-06T00:00:00Z"/>
        <d v="2024-08-08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9T00:00:00Z"/>
        <d v="2024-08-20T00:00:00Z"/>
        <d v="2024-08-21T00:00:00Z"/>
        <d v="2024-08-22T00:00:00Z"/>
        <d v="2024-08-26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8T00:00:00Z"/>
        <d v="2024-09-09T00:00:00Z"/>
        <d v="2024-09-10T00:00:00Z"/>
        <d v="2024-09-11T00:00:00Z"/>
        <d v="2024-09-12T00:00:00Z"/>
        <d v="2024-09-13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2T00:00:00Z"/>
        <d v="2024-10-03T00:00:00Z"/>
        <d v="2024-10-04T00:00:00Z"/>
        <d v="2024-10-05T00:00:00Z"/>
        <d v="2024-10-06T00:00:00Z"/>
        <d v="2024-10-07T00:00:00Z"/>
        <d v="2024-10-09T00:00:00Z"/>
        <d v="2024-10-10T00:00:00Z"/>
        <d v="2024-10-11T00:00:00Z"/>
        <d v="2024-10-12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3T00:00:00Z"/>
        <d v="2024-10-24T00:00:00Z"/>
        <d v="2024-10-25T00:00:00Z"/>
        <d v="2024-10-26T00:00:00Z"/>
        <d v="2024-10-27T00:00:00Z"/>
        <d v="2024-10-28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10T00:00:00Z"/>
        <d v="2024-11-12T00:00:00Z"/>
        <d v="2024-11-13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3T00:00:00Z"/>
        <d v="2024-11-24T00:00:00Z"/>
        <d v="2024-11-25T00:00:00Z"/>
        <d v="2024-11-26T00:00:00Z"/>
        <d v="2024-11-27T00:00:00Z"/>
        <d v="2024-11-30T00:00:00Z"/>
        <d v="2024-12-02T00:00:00Z"/>
        <d v="2024-12-03T00:00:00Z"/>
        <d v="2024-12-05T00:00:00Z"/>
        <d v="2024-12-06T00:00:00Z"/>
        <d v="2024-12-08T00:00:00Z"/>
        <d v="2024-12-09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1T00:00:00Z"/>
        <d v="2024-12-22T00:00:00Z"/>
        <d v="2024-12-24T00:00:00Z"/>
        <d v="2024-12-26T00:00:00Z"/>
        <d v="2024-12-27T00:00:00Z"/>
        <d v="2024-12-28T00:00:00Z"/>
        <d v="2024-12-29T00:00:00Z"/>
        <d v="2024-02-05T00:00:00Z"/>
        <d v="2024-02-07T00:00:00Z"/>
        <d v="2024-02-08T00:00:00Z"/>
        <d v="2024-02-12T00:00:00Z"/>
        <d v="2024-02-23T00:00:00Z"/>
        <d v="2024-03-05T00:00:00Z"/>
        <d v="2024-03-10T00:00:00Z"/>
        <d v="2024-03-12T00:00:00Z"/>
        <d v="2024-03-17T00:00:00Z"/>
        <d v="2024-03-18T00:00:00Z"/>
        <d v="2024-03-20T00:00:00Z"/>
        <d v="2024-03-23T00:00:00Z"/>
        <d v="2024-03-28T00:00:00Z"/>
        <d v="2024-03-31T00:00:00Z"/>
        <d v="2024-04-02T00:00:00Z"/>
        <d v="2024-04-04T00:00:00Z"/>
        <d v="2024-05-01T00:00:00Z"/>
        <d v="2024-05-03T00:00:00Z"/>
        <d v="2024-05-04T00:00:00Z"/>
        <d v="2024-05-29T00:00:00Z"/>
        <d v="2024-06-02T00:00:00Z"/>
        <d v="2024-06-09T00:00:00Z"/>
        <d v="2024-06-14T00:00:00Z"/>
        <d v="2024-06-20T00:00:00Z"/>
        <d v="2024-06-26T00:00:00Z"/>
        <d v="2024-06-28T00:00:00Z"/>
        <d v="2024-07-02T00:00:00Z"/>
        <d v="2024-07-06T00:00:00Z"/>
        <d v="2024-07-08T00:00:00Z"/>
        <d v="2024-07-10T00:00:00Z"/>
        <d v="2024-07-15T00:00:00Z"/>
        <d v="2024-07-21T00:00:00Z"/>
        <d v="2024-07-27T00:00:00Z"/>
        <d v="2024-07-31T00:00:00Z"/>
        <d v="2024-08-04T00:00:00Z"/>
        <d v="2024-08-07T00:00:00Z"/>
        <d v="2024-08-09T00:00:00Z"/>
        <d v="2024-08-18T00:00:00Z"/>
        <d v="2024-08-23T00:00:00Z"/>
        <d v="2024-08-24T00:00:00Z"/>
        <d v="2024-08-25T00:00:00Z"/>
        <d v="2024-08-27T00:00:00Z"/>
        <d v="2024-08-30T00:00:00Z"/>
        <d v="2024-09-02T00:00:00Z"/>
        <d v="2024-09-07T00:00:00Z"/>
        <d v="2024-09-14T00:00:00Z"/>
        <d v="2024-09-16T00:00:00Z"/>
        <d v="2024-10-01T00:00:00Z"/>
        <d v="2024-10-22T00:00:00Z"/>
        <d v="2024-10-29T00:00:00Z"/>
        <d v="2024-11-09T00:00:00Z"/>
        <d v="2024-11-14T00:00:00Z"/>
        <d v="2024-11-22T00:00:00Z"/>
        <d v="2024-11-28T00:00:00Z"/>
        <d v="2024-11-29T00:00:00Z"/>
        <d v="2024-12-01T00:00:00Z"/>
        <d v="2024-12-04T00:00:00Z"/>
        <d v="2024-12-10T00:00:00Z"/>
        <d v="2024-12-11T00:00:00Z"/>
        <d v="2024-12-12T00:00:00Z"/>
        <d v="2024-12-23T00:00:00Z"/>
        <d v="2024-12-25T00:00:00Z"/>
        <d v="2024-12-30T00:00:00Z"/>
        <d v="2024-03-02T00:00:00Z"/>
        <d v="2024-05-24T00:00:00Z"/>
        <d v="2024-06-23T00:00:00Z"/>
        <d v="2024-11-08T00:00:00Z"/>
        <d v="2024-11-11T00:00:00Z"/>
        <d v="2024-12-07T00:00:00Z"/>
        <d v="2024-12-20T00:00:00Z"/>
        <d v="2024-05-09T00:00:00Z"/>
        <d v="2024-09-15T00:00:00Z"/>
        <d v="2024-10-08T00:00:00Z"/>
        <d v="2024-10-13T00:00:00Z"/>
      </sharedItems>
    </cacheField>
    <cacheField name="ID_Cliente" numFmtId="0">
      <sharedItems containsSemiMixedTypes="0" containsString="0" containsNumber="1" containsInteger="1">
        <n v="106.0"/>
        <n v="282.0"/>
        <n v="98.0"/>
        <n v="294.0"/>
        <n v="217.0"/>
        <n v="275.0"/>
        <n v="259.0"/>
        <n v="48.0"/>
        <n v="168.0"/>
        <n v="69.0"/>
        <n v="278.0"/>
        <n v="57.0"/>
        <n v="34.0"/>
        <n v="250.0"/>
        <n v="300.0"/>
        <n v="5.0"/>
        <n v="204.0"/>
        <n v="310.0"/>
        <n v="319.0"/>
        <n v="286.0"/>
        <n v="50.0"/>
        <n v="211.0"/>
        <n v="82.0"/>
        <n v="221.0"/>
        <n v="90.0"/>
        <n v="128.0"/>
        <n v="28.0"/>
        <n v="186.0"/>
        <n v="175.0"/>
        <n v="143.0"/>
        <n v="236.0"/>
        <n v="176.0"/>
        <n v="273.0"/>
        <n v="124.0"/>
        <n v="218.0"/>
        <n v="308.0"/>
        <n v="162.0"/>
        <n v="169.0"/>
        <n v="73.0"/>
        <n v="16.0"/>
        <n v="95.0"/>
        <n v="117.0"/>
        <n v="119.0"/>
        <n v="58.0"/>
        <n v="255.0"/>
        <n v="134.0"/>
        <n v="208.0"/>
        <n v="37.0"/>
        <n v="67.0"/>
        <n v="271.0"/>
        <n v="64.0"/>
        <n v="326.0"/>
        <n v="193.0"/>
        <n v="321.0"/>
        <n v="108.0"/>
        <n v="203.0"/>
        <n v="87.0"/>
        <n v="172.0"/>
        <n v="167.0"/>
        <n v="213.0"/>
        <n v="267.0"/>
        <n v="138.0"/>
        <n v="233.0"/>
        <n v="55.0"/>
        <n v="77.0"/>
        <n v="68.0"/>
        <n v="229.0"/>
        <n v="323.0"/>
        <n v="288.0"/>
        <n v="279.0"/>
        <n v="177.0"/>
        <n v="260.0"/>
        <n v="41.0"/>
        <n v="72.0"/>
        <n v="199.0"/>
        <n v="131.0"/>
        <n v="14.0"/>
        <n v="56.0"/>
        <n v="269.0"/>
        <n v="170.0"/>
        <n v="257.0"/>
        <n v="76.0"/>
        <n v="314.0"/>
        <n v="81.0"/>
        <n v="245.0"/>
        <n v="157.0"/>
        <n v="297.0"/>
        <n v="141.0"/>
        <n v="174.0"/>
        <n v="202.0"/>
        <n v="52.0"/>
        <n v="105.0"/>
        <n v="231.0"/>
        <n v="192.0"/>
        <n v="280.0"/>
        <n v="301.0"/>
        <n v="206.0"/>
        <n v="272.0"/>
        <n v="151.0"/>
        <n v="139.0"/>
        <n v="100.0"/>
        <n v="122.0"/>
        <n v="287.0"/>
        <n v="158.0"/>
        <n v="130.0"/>
        <n v="144.0"/>
        <n v="306.0"/>
        <n v="85.0"/>
        <n v="11.0"/>
        <n v="163.0"/>
        <n v="251.0"/>
        <n v="264.0"/>
        <n v="222.0"/>
        <n v="171.0"/>
        <n v="234.0"/>
        <n v="216.0"/>
        <n v="46.0"/>
        <n v="59.0"/>
        <n v="180.0"/>
        <n v="325.0"/>
        <n v="184.0"/>
        <n v="281.0"/>
        <n v="265.0"/>
        <n v="247.0"/>
        <n v="283.0"/>
        <n v="146.0"/>
        <n v="262.0"/>
        <n v="311.0"/>
        <n v="254.0"/>
        <n v="99.0"/>
        <n v="185.0"/>
        <n v="292.0"/>
        <n v="153.0"/>
        <n v="189.0"/>
        <n v="159.0"/>
        <n v="316.0"/>
        <n v="152.0"/>
        <n v="32.0"/>
        <n v="21.0"/>
        <n v="136.0"/>
        <n v="39.0"/>
        <n v="248.0"/>
        <n v="66.0"/>
        <n v="51.0"/>
        <n v="165.0"/>
        <n v="97.0"/>
        <n v="195.0"/>
        <n v="303.0"/>
        <n v="114.0"/>
        <n v="324.0"/>
        <n v="313.0"/>
        <n v="17.0"/>
        <n v="86.0"/>
        <n v="249.0"/>
        <n v="126.0"/>
        <n v="299.0"/>
        <n v="53.0"/>
        <n v="125.0"/>
        <n v="129.0"/>
        <n v="19.0"/>
        <n v="232.0"/>
        <n v="289.0"/>
        <n v="244.0"/>
        <n v="268.0"/>
        <n v="6.0"/>
        <n v="307.0"/>
        <n v="36.0"/>
        <n v="89.0"/>
        <n v="219.0"/>
        <n v="15.0"/>
        <n v="253.0"/>
        <n v="224.0"/>
        <n v="103.0"/>
        <n v="27.0"/>
        <n v="156.0"/>
        <n v="149.0"/>
        <n v="25.0"/>
        <n v="235.0"/>
        <n v="243.0"/>
        <n v="23.0"/>
        <n v="35.0"/>
        <n v="164.0"/>
        <n v="123.0"/>
        <n v="179.0"/>
        <n v="120.0"/>
        <n v="305.0"/>
        <n v="26.0"/>
        <n v="13.0"/>
        <n v="1.0"/>
        <n v="107.0"/>
        <n v="212.0"/>
        <n v="42.0"/>
        <n v="94.0"/>
        <n v="12.0"/>
        <n v="197.0"/>
        <n v="145.0"/>
        <n v="137.0"/>
        <n v="70.0"/>
        <n v="112.0"/>
        <n v="318.0"/>
        <n v="191.0"/>
        <n v="79.0"/>
        <n v="298.0"/>
        <n v="178.0"/>
        <n v="207.0"/>
        <n v="214.0"/>
        <n v="115.0"/>
        <n v="45.0"/>
        <n v="230.0"/>
        <n v="215.0"/>
        <n v="88.0"/>
        <n v="60.0"/>
        <n v="256.0"/>
        <n v="31.0"/>
        <n v="290.0"/>
        <n v="3.0"/>
        <n v="24.0"/>
        <n v="109.0"/>
        <n v="78.0"/>
        <n v="296.0"/>
        <n v="246.0"/>
        <n v="302.0"/>
        <n v="83.0"/>
        <n v="227.0"/>
        <n v="239.0"/>
        <n v="110.0"/>
        <n v="147.0"/>
        <n v="61.0"/>
        <n v="188.0"/>
        <n v="29.0"/>
        <n v="148.0"/>
        <n v="63.0"/>
        <n v="47.0"/>
        <n v="20.0"/>
        <n v="75.0"/>
        <n v="226.0"/>
        <n v="116.0"/>
        <n v="154.0"/>
        <n v="198.0"/>
        <n v="9.0"/>
        <n v="209.0"/>
        <n v="8.0"/>
        <n v="173.0"/>
        <n v="111.0"/>
        <n v="183.0"/>
        <n v="84.0"/>
        <n v="7.0"/>
        <n v="263.0"/>
        <n v="317.0"/>
        <n v="71.0"/>
        <n v="228.0"/>
        <n v="161.0"/>
        <n v="96.0"/>
        <n v="284.0"/>
        <n v="315.0"/>
        <n v="54.0"/>
        <n v="194.0"/>
        <n v="102.0"/>
        <n v="155.0"/>
        <n v="104.0"/>
        <n v="205.0"/>
        <n v="150.0"/>
        <n v="304.0"/>
        <n v="166.0"/>
        <n v="252.0"/>
        <n v="320.0"/>
        <n v="274.0"/>
        <n v="210.0"/>
        <n v="30.0"/>
        <n v="238.0"/>
        <n v="65.0"/>
        <n v="113.0"/>
        <n v="285.0"/>
        <n v="258.0"/>
        <n v="142.0"/>
        <n v="266.0"/>
        <n v="312.0"/>
        <n v="223.0"/>
        <n v="18.0"/>
        <n v="91.0"/>
        <n v="220.0"/>
        <n v="127.0"/>
        <n v="101.0"/>
        <n v="201.0"/>
        <n v="118.0"/>
        <n v="40.0"/>
        <n v="181.0"/>
        <n v="295.0"/>
        <n v="190.0"/>
        <n v="93.0"/>
        <n v="200.0"/>
        <n v="225.0"/>
        <n v="133.0"/>
        <n v="121.0"/>
        <n v="44.0"/>
        <n v="277.0"/>
        <n v="160.0"/>
        <n v="22.0"/>
        <n v="140.0"/>
        <n v="43.0"/>
        <n v="182.0"/>
        <n v="241.0"/>
        <n v="62.0"/>
        <n v="187.0"/>
        <n v="74.0"/>
        <n v="132.0"/>
        <n v="135.0"/>
        <n v="276.0"/>
        <n v="261.0"/>
        <n v="270.0"/>
        <n v="237.0"/>
        <n v="2.0"/>
        <n v="10.0"/>
        <n v="293.0"/>
        <n v="4.0"/>
        <n v="240.0"/>
        <n v="291.0"/>
        <n v="242.0"/>
        <n v="49.0"/>
        <n v="80.0"/>
        <n v="309.0"/>
        <n v="38.0"/>
        <n v="196.0"/>
        <n v="92.0"/>
        <n v="322.0"/>
        <n v="33.0"/>
      </sharedItems>
    </cacheField>
    <cacheField name="ID_Producto" numFmtId="0">
      <sharedItems containsSemiMixedTypes="0" containsString="0" containsNumber="1" containsInteger="1">
        <n v="5.0"/>
        <n v="28.0"/>
        <n v="16.0"/>
        <n v="31.0"/>
        <n v="4.0"/>
        <n v="23.0"/>
        <n v="32.0"/>
        <n v="27.0"/>
        <n v="21.0"/>
        <n v="35.0"/>
        <n v="29.0"/>
        <n v="22.0"/>
        <n v="11.0"/>
        <n v="20.0"/>
        <n v="1.0"/>
        <n v="14.0"/>
        <n v="13.0"/>
        <n v="33.0"/>
        <n v="38.0"/>
        <n v="9.0"/>
        <n v="2.0"/>
        <n v="37.0"/>
        <n v="30.0"/>
        <n v="10.0"/>
        <n v="17.0"/>
        <n v="3.0"/>
        <n v="19.0"/>
        <n v="8.0"/>
        <n v="18.0"/>
        <n v="12.0"/>
        <n v="26.0"/>
        <n v="7.0"/>
        <n v="36.0"/>
        <n v="25.0"/>
        <n v="34.0"/>
        <n v="6.0"/>
        <n v="24.0"/>
        <n v="15.0"/>
      </sharedItems>
    </cacheField>
    <cacheField name="Cantidad" numFmtId="0">
      <sharedItems containsSemiMixedTypes="0" containsString="0" containsNumber="1" containsInteger="1">
        <n v="1.0"/>
        <n v="2.0"/>
        <n v="3.0"/>
        <n v="4.0"/>
        <n v="5.0"/>
        <n v="6.0"/>
      </sharedItems>
    </cacheField>
    <cacheField name="ID_Metodo_Pago" numFmtId="0">
      <sharedItems containsSemiMixedTypes="0" containsString="0" containsNumber="1" containsInteger="1">
        <n v="4.0"/>
        <n v="1.0"/>
        <n v="2.0"/>
        <n v="5.0"/>
        <n v="3.0"/>
      </sharedItems>
    </cacheField>
    <cacheField name="Estado" numFmtId="0">
      <sharedItems>
        <s v="Completa"/>
        <s v="Pendiente"/>
        <s v="Cancelada"/>
      </sharedItems>
    </cacheField>
    <cacheField name="Nombre_Producto" numFmtId="49">
      <sharedItems>
        <s v="Manteca"/>
        <s v="Jugos de frutas"/>
        <s v="Tortas"/>
        <s v="Galletitas de agua"/>
        <s v="Queso rallado"/>
        <s v="Papas fritas"/>
        <s v="Galletitas de chocolate"/>
        <s v="Agua mineral"/>
        <s v="Zanahorias"/>
        <s v="Arroz"/>
        <s v="Cerveza"/>
        <s v="Cebolla"/>
        <s v="Salchicha"/>
        <s v="Lechugas"/>
        <s v="Leche"/>
        <s v="Facturas"/>
        <s v="Pan integral"/>
        <s v="Papas chips"/>
        <s v="Atún enlatado"/>
        <s v="Pollo"/>
        <s v="Yogur"/>
        <s v="Garbanzos"/>
        <s v="Vino tinto"/>
        <s v="Costilla de cerdo"/>
        <s v="Manzanas"/>
        <s v="Queso cremoso"/>
        <s v="Tomates"/>
        <s v="Milanesa"/>
        <s v="Bananas"/>
        <s v="Pan francés"/>
        <s v="Hamburgesas congeladas"/>
        <s v="Chorizo"/>
        <s v="Lentejas"/>
        <s v="Pizza congelada"/>
        <s v="Maníes"/>
        <s v="Asado"/>
        <s v="Empanadas"/>
        <s v="Medialunas"/>
      </sharedItems>
    </cacheField>
    <cacheField name="Precio_Unitario" numFmtId="0">
      <sharedItems containsSemiMixedTypes="0" containsString="0" containsNumber="1">
        <n v="5.65"/>
        <n v="9.45"/>
        <n v="15.23"/>
        <n v="5.24"/>
        <n v="19.23"/>
        <n v="8.23"/>
        <n v="6.25"/>
        <n v="6.21"/>
        <n v="3.25"/>
        <n v="4.25"/>
        <n v="11.54"/>
        <n v="4.21"/>
        <n v="11.23"/>
        <n v="12.24"/>
        <n v="12.36"/>
        <n v="12.56"/>
        <n v="8.54"/>
        <n v="18.56"/>
        <n v="5.21"/>
        <n v="3.65"/>
        <n v="13.54"/>
        <n v="14.25"/>
        <n v="6.54"/>
        <n v="17.23"/>
        <n v="16.21"/>
        <n v="7.25"/>
        <n v="8.12"/>
        <n v="9.54"/>
        <n v="11.25"/>
        <n v="15.45"/>
        <n v="5.45"/>
        <n v="28.56"/>
        <n v="3.51"/>
      </sharedItems>
    </cacheField>
    <cacheField name="Total_Venta" numFmtId="0">
      <sharedItems containsSemiMixedTypes="0" containsString="0" containsNumber="1">
        <n v="5.65"/>
        <n v="9.45"/>
        <n v="15.23"/>
        <n v="5.24"/>
        <n v="19.23"/>
        <n v="8.23"/>
        <n v="6.25"/>
        <n v="6.21"/>
        <n v="3.25"/>
        <n v="4.25"/>
        <n v="11.54"/>
        <n v="4.21"/>
        <n v="11.23"/>
        <n v="12.24"/>
        <n v="12.36"/>
        <n v="12.56"/>
        <n v="8.54"/>
        <n v="18.56"/>
        <n v="5.21"/>
        <n v="3.65"/>
        <n v="13.54"/>
        <n v="14.25"/>
        <n v="6.54"/>
        <n v="17.23"/>
        <n v="16.21"/>
        <n v="7.25"/>
        <n v="8.12"/>
        <n v="9.54"/>
        <n v="11.25"/>
        <n v="15.45"/>
        <n v="5.45"/>
        <n v="28.56"/>
        <n v="3.51"/>
        <n v="14.5"/>
        <n v="7.3"/>
        <n v="27.08"/>
        <n v="25.12"/>
        <n v="10.48"/>
        <n v="13.08"/>
        <n v="34.46"/>
        <n v="12.42"/>
        <n v="8.42"/>
        <n v="24.72"/>
        <n v="8.5"/>
        <n v="16.24"/>
        <n v="38.46"/>
        <n v="22.5"/>
        <n v="23.08"/>
        <n v="22.46"/>
        <n v="24.48"/>
        <n v="10.9"/>
        <n v="17.08"/>
        <n v="19.08"/>
        <n v="28.5"/>
        <n v="7.02"/>
        <n v="10.42"/>
        <n v="16.46"/>
        <n v="37.12"/>
        <n v="30.46"/>
        <n v="32.42"/>
        <n v="12.5"/>
        <n v="57.12"/>
        <n v="30.9"/>
        <n v="11.3"/>
        <n v="18.9"/>
        <n v="6.5"/>
        <n v="46.349999999999994"/>
        <n v="51.69"/>
        <n v="19.62"/>
        <n v="15.629999999999999"/>
        <n v="25.619999999999997"/>
        <n v="24.36"/>
        <n v="12.75"/>
        <n v="36.72"/>
        <n v="24.69"/>
        <n v="85.67999999999999"/>
        <n v="42.75"/>
        <n v="28.349999999999998"/>
        <n v="18.63"/>
        <n v="34.62"/>
        <n v="40.62"/>
        <n v="37.68"/>
        <n v="48.63"/>
        <n v="33.75"/>
        <n v="55.67999999999999"/>
        <n v="16.950000000000003"/>
        <n v="37.08"/>
        <n v="28.619999999999997"/>
        <n v="9.75"/>
        <n v="33.69"/>
        <n v="21.75"/>
        <n v="16.35"/>
        <n v="10.95"/>
        <n v="15.72"/>
        <n v="57.69"/>
        <n v="10.53"/>
        <n v="18.75"/>
        <n v="12.629999999999999"/>
        <n v="45.69"/>
        <n v="45.0"/>
        <n v="29.0"/>
        <n v="64.84"/>
        <n v="25.0"/>
        <n v="114.24"/>
        <n v="44.92"/>
        <n v="17.0"/>
        <n v="21.8"/>
        <n v="46.16"/>
        <n v="26.16"/>
        <n v="14.6"/>
        <n v="13.0"/>
        <n v="76.92"/>
        <n v="24.84"/>
        <n v="16.84"/>
        <n v="54.16"/>
        <n v="38.16"/>
        <n v="34.16"/>
        <n v="68.92"/>
        <n v="14.04"/>
        <n v="20.84"/>
        <n v="22.6"/>
        <n v="74.24"/>
        <n v="57.0"/>
        <n v="32.92"/>
        <n v="48.96"/>
        <n v="61.8"/>
        <n v="37.8"/>
        <n v="20.96"/>
        <n v="32.48"/>
        <n v="60.92"/>
        <n v="49.44"/>
        <n v="50.24"/>
        <n v="77.25"/>
        <n v="17.549999999999997"/>
        <n v="26.05"/>
        <n v="142.79999999999998"/>
        <n v="71.25"/>
        <n v="56.25"/>
        <n v="28.25"/>
        <n v="41.150000000000006"/>
        <n v="16.25"/>
        <n v="62.800000000000004"/>
        <n v="18.25"/>
        <n v="31.05"/>
        <n v="32.7"/>
        <n v="21.25"/>
        <n v="36.25"/>
        <n v="47.699999999999996"/>
        <n v="57.699999999999996"/>
        <n v="56.150000000000006"/>
        <n v="40.599999999999994"/>
        <n v="96.15"/>
        <n v="86.15"/>
        <n v="21.05"/>
        <n v="31.25"/>
        <n v="81.05000000000001"/>
        <n v="27.25"/>
        <n v="92.8"/>
        <n v="67.69999999999999"/>
        <n v="76.15"/>
        <n v="47.25"/>
        <n v="61.2"/>
        <n v="26.200000000000003"/>
        <n v="42.699999999999996"/>
        <n v="31.44"/>
        <n v="69.24"/>
        <n v="171.35999999999999"/>
        <n v="103.38"/>
        <n v="115.38"/>
        <n v="33.900000000000006"/>
        <n v="39.24"/>
        <n v="97.26"/>
        <n v="56.699999999999996"/>
        <n v="67.5"/>
        <n v="48.72"/>
        <n v="92.69999999999999"/>
        <n v="73.44"/>
        <n v="81.24"/>
        <n v="75.36"/>
        <n v="74.16"/>
        <n v="21.06"/>
        <n v="19.5"/>
        <n v="37.5"/>
        <n v="67.38"/>
        <n v="37.26"/>
        <n v="91.38"/>
        <n v="25.5"/>
        <n v="51.239999999999995"/>
        <n v="25.259999999999998"/>
        <n v="85.5"/>
        <n v="111.35999999999999"/>
        <n v="31.259999999999998"/>
        <n v="43.5"/>
        <n v="49.38"/>
        <n v="21.9"/>
        <n v="57.239999999999995"/>
      </sharedItems>
    </cacheField>
    <cacheField name="Provincia" numFmtId="49">
      <sharedItems>
        <s v="Chaco"/>
        <s v="Córdoba"/>
        <s v="Buenos Aires"/>
        <s v="San Luis"/>
        <s v="Neuquén"/>
        <s v="Salta"/>
      </sharedItems>
    </cacheField>
    <cacheField name="Locacion" numFmtId="49">
      <sharedItems>
        <s v="Chaco, Argentina"/>
        <s v="Córdoba, Argentina"/>
        <s v="Buenos Aires, Argentina"/>
        <s v="San Luis, Argentina"/>
        <s v="Neuquén, Argentina"/>
        <s v="Salta, Argentina"/>
      </sharedItems>
    </cacheField>
    <cacheField name="Metodo_De_Pago" numFmtId="0">
      <sharedItems>
        <s v="Mercado Pago"/>
        <s v="Efectivo"/>
        <s v="Tarjeta de Crédito"/>
        <s v="Transferencia"/>
        <s v="Tarjeta de Débito"/>
      </sharedItems>
    </cacheField>
    <cacheField name="Fecha Aux" numFmtId="0">
      <sharedItems>
        <s v="2024 01"/>
        <s v="2024 02"/>
        <s v="2024 03"/>
        <s v="2024 04"/>
        <s v="2024 05"/>
        <s v="2024 06"/>
        <s v="2024 07"/>
        <s v="2024 08"/>
        <s v="2024 09"/>
        <s v="2024 10"/>
        <s v="2024 11"/>
        <s v="2024 1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S_DINAMICAS" cacheId="0" dataCaption="" compact="0" compactData="0">
  <location ref="A1:B5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D_Me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axis="axisRow" compact="0" outline="0" multipleItemSelectionAllowed="1" showAll="0" sortType="ascending">
      <items>
        <item x="2"/>
        <item x="0"/>
        <item x="1"/>
        <item t="default"/>
      </items>
    </pivotField>
    <pivotField name="Nombre_Produc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Provincia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cion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De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echa Au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dataFields>
    <dataField name="SUM of Total_Venta" fld="9" baseField="0"/>
  </dataFields>
</pivotTableDefinition>
</file>

<file path=xl/pivotTables/pivotTable2.xml><?xml version="1.0" encoding="utf-8"?>
<pivotTableDefinition xmlns="http://schemas.openxmlformats.org/spreadsheetml/2006/main" name="TABLAS_DINAMICAS 2" cacheId="0" dataCaption="" compact="0" compactData="0">
  <location ref="D1:E5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D_Me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axis="axisRow" compact="0" outline="0" multipleItemSelectionAllowed="1" showAll="0" sortType="ascending">
      <items>
        <item x="2"/>
        <item x="0"/>
        <item x="1"/>
        <item t="default"/>
      </items>
    </pivotField>
    <pivotField name="Nombre_Produc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Provincia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cion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De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echa Au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6"/>
  </rowFields>
  <dataFields>
    <dataField name="% del Total" fld="9" showDataAs="percentOfCol" baseField="0" numFmtId="10"/>
  </dataFields>
</pivotTableDefinition>
</file>

<file path=xl/pivotTables/pivotTable3.xml><?xml version="1.0" encoding="utf-8"?>
<pivotTableDefinition xmlns="http://schemas.openxmlformats.org/spreadsheetml/2006/main" name="TABLAS_DINAMICAS 3" cacheId="0" dataCaption="" compact="0" compactData="0">
  <location ref="A7:B20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D_Me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Nombre_Produc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Provincia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cion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De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se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dataFields>
    <dataField name="Total de Venta" fld="9" baseField="0"/>
  </dataFields>
</pivotTableDefinition>
</file>

<file path=xl/pivotTables/pivotTable4.xml><?xml version="1.0" encoding="utf-8"?>
<pivotTableDefinition xmlns="http://schemas.openxmlformats.org/spreadsheetml/2006/main" name="TABLAS_DINAMICAS 4" cacheId="0" dataCaption="" compact="0" compactData="0">
  <location ref="D7:H21" firstHeaderRow="0" firstDataRow="1" firstDataCol="1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D_Me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axis="axisCol" compact="0" outline="0" multipleItemSelectionAllowed="1" showAll="0" sortType="ascending">
      <items>
        <item x="2"/>
        <item x="0"/>
        <item x="1"/>
        <item t="default"/>
      </items>
    </pivotField>
    <pivotField name="Nombre_Produc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Provincia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Locacion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De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ese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3"/>
  </rowFields>
  <colFields>
    <field x="6"/>
  </colFields>
  <dataFields>
    <dataField name="Mensual Ventas x Estado" fld="9" baseField="0"/>
  </dataFields>
</pivotTableDefinition>
</file>

<file path=xl/pivotTables/pivotTable5.xml><?xml version="1.0" encoding="utf-8"?>
<pivotTableDefinition xmlns="http://schemas.openxmlformats.org/spreadsheetml/2006/main" name="TABLAS_DINAMICAS 5" cacheId="0" dataCaption="" compact="0" compactData="0">
  <location ref="A23:B30" firstHeaderRow="0" firstDataRow="1" firstDataCol="0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D_Me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Nombre_Produc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Provincia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ocacion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De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echa Au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0"/>
  </rowFields>
  <dataFields>
    <dataField name="Total de Ventas" fld="9" baseField="0"/>
  </dataFields>
</pivotTableDefinition>
</file>

<file path=xl/pivotTables/pivotTable6.xml><?xml version="1.0" encoding="utf-8"?>
<pivotTableDefinition xmlns="http://schemas.openxmlformats.org/spreadsheetml/2006/main" name="TABLAS_DINAMICAS 6" cacheId="0" dataCaption="" compact="0" compactData="0">
  <location ref="D23:K63" firstHeaderRow="0" firstDataRow="1" firstDataCol="1"/>
  <pivotFields>
    <pivotField name="ID_V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ID_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t="default"/>
      </items>
    </pivotField>
    <pivotField name="ID_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D_Metodo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Producto" axis="axisRow" compact="0" numFmtId="49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otal_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Provincia" axis="axisCol" compact="0" numFmtId="49" outline="0" multipleItemSelectionAllowed="1" showAll="0" sortType="ascending">
      <items>
        <item x="2"/>
        <item x="0"/>
        <item x="1"/>
        <item x="4"/>
        <item x="5"/>
        <item x="3"/>
        <item t="default"/>
      </items>
    </pivotField>
    <pivotField name="Locacion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etodo_De_Pag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echa Au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7"/>
  </rowFields>
  <colFields>
    <field x="10"/>
  </colFields>
  <dataFields>
    <dataField name="Total de Ventas" fld="9" baseField="0"/>
  </dataFields>
</pivotTableDefinition>
</file>

<file path=xl/tables/table1.xml><?xml version="1.0" encoding="utf-8"?>
<table xmlns="http://schemas.openxmlformats.org/spreadsheetml/2006/main" ref="A1:N3001" displayName="Integracion" name="Integracion" id="1">
  <tableColumns count="14">
    <tableColumn name="ID_Venta" id="1"/>
    <tableColumn name="Fecha" id="2"/>
    <tableColumn name="ID_Cliente" id="3"/>
    <tableColumn name="ID_Producto" id="4"/>
    <tableColumn name="Cantidad" id="5"/>
    <tableColumn name="ID_Metodo_Pago" id="6"/>
    <tableColumn name="Estado" id="7"/>
    <tableColumn name="Nombre_Producto" id="8"/>
    <tableColumn name="Precio_Unitario" id="9"/>
    <tableColumn name="Total_Venta" id="10"/>
    <tableColumn name="Provincia" id="11"/>
    <tableColumn name="Locacion" id="12"/>
    <tableColumn name="Metodo_De_Pago" id="13"/>
    <tableColumn name="Fecha Aux" id="14"/>
  </tableColumns>
  <tableStyleInfo name="INTEGRACION-style" showColumnStripes="0" showFirstColumn="1" showLastColumn="1" showRowStripes="1"/>
</table>
</file>

<file path=xl/tables/table2.xml><?xml version="1.0" encoding="utf-8"?>
<table xmlns="http://schemas.openxmlformats.org/spreadsheetml/2006/main" ref="A1:G3001" displayName="Ventas" name="Ventas" id="2">
  <tableColumns count="7">
    <tableColumn name="ID_Venta" id="1"/>
    <tableColumn name="Fecha" id="2"/>
    <tableColumn name="ID_Cliente" id="3"/>
    <tableColumn name="ID_Producto" id="4"/>
    <tableColumn name="Cantidad" id="5"/>
    <tableColumn name="ID_Metodo_Pago" id="6"/>
    <tableColumn name="Estado" id="7"/>
  </tableColumns>
  <tableStyleInfo name="VENTAS-style" showColumnStripes="0" showFirstColumn="1" showLastColumn="1" showRowStripes="1"/>
</table>
</file>

<file path=xl/tables/table3.xml><?xml version="1.0" encoding="utf-8"?>
<table xmlns="http://schemas.openxmlformats.org/spreadsheetml/2006/main" ref="A1:F327" displayName="Clientes" name="Clientes" id="3">
  <tableColumns count="6">
    <tableColumn name="ID_Cliente" id="1"/>
    <tableColumn name="Nombre" id="2"/>
    <tableColumn name="Apellido" id="3"/>
    <tableColumn name="Email" id="4"/>
    <tableColumn name="Fecha_Registro" id="5"/>
    <tableColumn name="Provincia" id="6"/>
  </tableColumns>
  <tableStyleInfo name="CLIENTES-style" showColumnStripes="0" showFirstColumn="1" showLastColumn="1" showRowStripes="1"/>
</table>
</file>

<file path=xl/tables/table4.xml><?xml version="1.0" encoding="utf-8"?>
<table xmlns="http://schemas.openxmlformats.org/spreadsheetml/2006/main" ref="A1:E39" displayName="Productos" name="Productos" id="4">
  <tableColumns count="5">
    <tableColumn name="ID_Producto" id="1"/>
    <tableColumn name="Nombre_Producto" id="2"/>
    <tableColumn name="Categoría" id="3"/>
    <tableColumn name="Precio_Unitario" id="4"/>
    <tableColumn name="Stock" id="5"/>
  </tableColumns>
  <tableStyleInfo name="PRODUCTOS-style" showColumnStripes="0" showFirstColumn="1" showLastColumn="1" showRowStripes="1"/>
</table>
</file>

<file path=xl/tables/table5.xml><?xml version="1.0" encoding="utf-8"?>
<table xmlns="http://schemas.openxmlformats.org/spreadsheetml/2006/main" ref="A1:C6" displayName="Metodos_De_Pago" name="Metodos_De_Pago" id="5">
  <tableColumns count="3">
    <tableColumn name="ID_Metodo" id="1"/>
    <tableColumn name="Metodo" id="2"/>
    <tableColumn name="Descripcion" id="3"/>
  </tableColumns>
  <tableStyleInfo name="METODOS_DE_PAGO-style" showColumnStripes="0" showFirstColumn="1" showLastColumn="1" showRowStripes="1"/>
</table>
</file>

<file path=xl/tables/table6.xml><?xml version="1.0" encoding="utf-8"?>
<table xmlns="http://schemas.openxmlformats.org/spreadsheetml/2006/main" ref="A1:C9" displayName="Categorias" name="Categorias" id="6">
  <tableColumns count="3">
    <tableColumn name="ID_Categoria" id="1"/>
    <tableColumn name="Categoria" id="2"/>
    <tableColumn name="Descripcion" id="3"/>
  </tableColumns>
  <tableStyleInfo name="CATEGOR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3.25"/>
    <col customWidth="1" min="3" max="3" width="13.63"/>
    <col customWidth="1" min="4" max="4" width="15.5"/>
    <col customWidth="1" min="5" max="5" width="10.13"/>
    <col customWidth="1" min="6" max="6" width="18.25"/>
    <col customWidth="1" min="7" max="7" width="13.88"/>
    <col customWidth="1" min="8" max="8" width="22.25"/>
    <col customWidth="1" min="9" max="9" width="20.0"/>
    <col customWidth="1" min="10" max="10" width="17.5"/>
    <col customWidth="1" min="11" max="12" width="19.88"/>
    <col customWidth="1" min="13" max="13" width="19.38"/>
  </cols>
  <sheetData>
    <row r="1" ht="22.5" customHeight="1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9" t="s">
        <v>15</v>
      </c>
      <c r="L1" s="8" t="s">
        <v>16</v>
      </c>
      <c r="M1" s="11" t="s">
        <v>17</v>
      </c>
      <c r="N1" s="11" t="s">
        <v>18</v>
      </c>
    </row>
    <row r="2" ht="22.5" customHeight="1">
      <c r="A2" s="12">
        <f>IFERROR(__xludf.DUMMYFUNCTION("QUERY(Ventas,""select * order by E"")"),947.0)</f>
        <v>947</v>
      </c>
      <c r="B2" s="13">
        <f>IFERROR(__xludf.DUMMYFUNCTION("""COMPUTED_VALUE"""),45322.0)</f>
        <v>45322</v>
      </c>
      <c r="C2" s="12">
        <f>IFERROR(__xludf.DUMMYFUNCTION("""COMPUTED_VALUE"""),106.0)</f>
        <v>106</v>
      </c>
      <c r="D2" s="12">
        <f>IFERROR(__xludf.DUMMYFUNCTION("""COMPUTED_VALUE"""),5.0)</f>
        <v>5</v>
      </c>
      <c r="E2" s="12">
        <f>IFERROR(__xludf.DUMMYFUNCTION("""COMPUTED_VALUE"""),1.0)</f>
        <v>1</v>
      </c>
      <c r="F2" s="12">
        <f>IFERROR(__xludf.DUMMYFUNCTION("""COMPUTED_VALUE"""),4.0)</f>
        <v>4</v>
      </c>
      <c r="G2" s="15" t="str">
        <f>IFERROR(__xludf.DUMMYFUNCTION("""COMPUTED_VALUE"""),"Completa")</f>
        <v>Completa</v>
      </c>
      <c r="H2" s="16" t="str">
        <f t="array" ref="H2">_xlfn.XLOOKUP(D2,Productos[ID_Producto],Productos[Nombre_Producto])</f>
        <v>Manteca</v>
      </c>
      <c r="I2" s="17">
        <f t="array" ref="I2">_xlfn.XLOOKUP(D2,Productos[ID_Producto],Productos[Precio_Unitario])</f>
        <v>5.65</v>
      </c>
      <c r="J2" s="17">
        <f t="shared" ref="J2:J3001" si="1">E2*I2</f>
        <v>5.65</v>
      </c>
      <c r="K2" s="19" t="str">
        <f t="array" ref="K2">_xlfn.XLOOKUP(C2,Clientes[ID_Cliente],Clientes[Provincia])</f>
        <v>Chaco</v>
      </c>
      <c r="L2" s="16" t="str">
        <f t="array" ref="L2">CONCATENATE(_xlfn.XLOOKUP(C2,Clientes[ID_Cliente],Clientes[Provincia]),", Argentina")</f>
        <v>Chaco, Argentina</v>
      </c>
      <c r="M2" s="20" t="str">
        <f t="array" ref="M2">_xlfn.XLOOKUP(F2,Metodos_De_Pago[ID_Metodo],Metodos_De_Pago[Metodo])</f>
        <v>Mercado Pago</v>
      </c>
      <c r="N2" s="20" t="str">
        <f t="shared" ref="N2:N3001" si="2">TEXT(B2,"yyyy mm")</f>
        <v>2024 01</v>
      </c>
    </row>
    <row r="3" ht="22.5" customHeight="1">
      <c r="A3" s="12">
        <f>IFERROR(__xludf.DUMMYFUNCTION("""COMPUTED_VALUE"""),1099.0)</f>
        <v>1099</v>
      </c>
      <c r="B3" s="13">
        <f>IFERROR(__xludf.DUMMYFUNCTION("""COMPUTED_VALUE"""),45323.0)</f>
        <v>45323</v>
      </c>
      <c r="C3" s="12">
        <f>IFERROR(__xludf.DUMMYFUNCTION("""COMPUTED_VALUE"""),282.0)</f>
        <v>282</v>
      </c>
      <c r="D3" s="12">
        <f>IFERROR(__xludf.DUMMYFUNCTION("""COMPUTED_VALUE"""),28.0)</f>
        <v>28</v>
      </c>
      <c r="E3" s="12">
        <f>IFERROR(__xludf.DUMMYFUNCTION("""COMPUTED_VALUE"""),1.0)</f>
        <v>1</v>
      </c>
      <c r="F3" s="12">
        <f>IFERROR(__xludf.DUMMYFUNCTION("""COMPUTED_VALUE"""),4.0)</f>
        <v>4</v>
      </c>
      <c r="G3" s="15" t="str">
        <f>IFERROR(__xludf.DUMMYFUNCTION("""COMPUTED_VALUE"""),"Completa")</f>
        <v>Completa</v>
      </c>
      <c r="H3" s="16" t="str">
        <f t="array" ref="H3">_xlfn.XLOOKUP(D3,Productos[ID_Producto],Productos[Nombre_Producto])</f>
        <v>Jugos de frutas</v>
      </c>
      <c r="I3" s="17">
        <f t="array" ref="I3">_xlfn.XLOOKUP(D3,Productos[ID_Producto],Productos[Precio_Unitario])</f>
        <v>9.45</v>
      </c>
      <c r="J3" s="17">
        <f t="shared" si="1"/>
        <v>9.45</v>
      </c>
      <c r="K3" s="16" t="str">
        <f t="array" ref="K3">_xlfn.XLOOKUP(C3,Clientes[ID_Cliente],Clientes[Provincia])</f>
        <v>Córdoba</v>
      </c>
      <c r="L3" s="16" t="str">
        <f t="array" ref="L3">CONCATENATE(_xlfn.XLOOKUP(C3,Clientes[ID_Cliente],Clientes[Provincia]),", Argentina")</f>
        <v>Córdoba, Argentina</v>
      </c>
      <c r="M3" s="20" t="str">
        <f t="array" ref="M3">_xlfn.XLOOKUP(F3,Metodos_De_Pago[ID_Metodo],Metodos_De_Pago[Metodo])</f>
        <v>Mercado Pago</v>
      </c>
      <c r="N3" s="20" t="str">
        <f t="shared" si="2"/>
        <v>2024 02</v>
      </c>
    </row>
    <row r="4" ht="22.5" customHeight="1">
      <c r="A4" s="12">
        <f>IFERROR(__xludf.DUMMYFUNCTION("""COMPUTED_VALUE"""),2190.0)</f>
        <v>2190</v>
      </c>
      <c r="B4" s="13">
        <f>IFERROR(__xludf.DUMMYFUNCTION("""COMPUTED_VALUE"""),45323.0)</f>
        <v>45323</v>
      </c>
      <c r="C4" s="12">
        <f>IFERROR(__xludf.DUMMYFUNCTION("""COMPUTED_VALUE"""),98.0)</f>
        <v>98</v>
      </c>
      <c r="D4" s="12">
        <f>IFERROR(__xludf.DUMMYFUNCTION("""COMPUTED_VALUE"""),16.0)</f>
        <v>16</v>
      </c>
      <c r="E4" s="12">
        <f>IFERROR(__xludf.DUMMYFUNCTION("""COMPUTED_VALUE"""),1.0)</f>
        <v>1</v>
      </c>
      <c r="F4" s="12">
        <f>IFERROR(__xludf.DUMMYFUNCTION("""COMPUTED_VALUE"""),1.0)</f>
        <v>1</v>
      </c>
      <c r="G4" s="15" t="str">
        <f>IFERROR(__xludf.DUMMYFUNCTION("""COMPUTED_VALUE"""),"Pendiente")</f>
        <v>Pendiente</v>
      </c>
      <c r="H4" s="16" t="str">
        <f t="array" ref="H4">_xlfn.XLOOKUP(D4,Productos[ID_Producto],Productos[Nombre_Producto])</f>
        <v>Tortas</v>
      </c>
      <c r="I4" s="17">
        <f t="array" ref="I4">_xlfn.XLOOKUP(D4,Productos[ID_Producto],Productos[Precio_Unitario])</f>
        <v>15.23</v>
      </c>
      <c r="J4" s="17">
        <f t="shared" si="1"/>
        <v>15.23</v>
      </c>
      <c r="K4" s="16" t="str">
        <f t="array" ref="K4">_xlfn.XLOOKUP(C4,Clientes[ID_Cliente],Clientes[Provincia])</f>
        <v>Córdoba</v>
      </c>
      <c r="L4" s="16" t="str">
        <f t="array" ref="L4">CONCATENATE(_xlfn.XLOOKUP(C4,Clientes[ID_Cliente],Clientes[Provincia]),", Argentina")</f>
        <v>Córdoba, Argentina</v>
      </c>
      <c r="M4" s="20" t="str">
        <f t="array" ref="M4">_xlfn.XLOOKUP(F4,Metodos_De_Pago[ID_Metodo],Metodos_De_Pago[Metodo])</f>
        <v>Efectivo</v>
      </c>
      <c r="N4" s="20" t="str">
        <f t="shared" si="2"/>
        <v>2024 02</v>
      </c>
    </row>
    <row r="5" ht="22.5" customHeight="1">
      <c r="A5" s="12">
        <f>IFERROR(__xludf.DUMMYFUNCTION("""COMPUTED_VALUE"""),43.0)</f>
        <v>43</v>
      </c>
      <c r="B5" s="13">
        <f>IFERROR(__xludf.DUMMYFUNCTION("""COMPUTED_VALUE"""),45324.0)</f>
        <v>45324</v>
      </c>
      <c r="C5" s="12">
        <f>IFERROR(__xludf.DUMMYFUNCTION("""COMPUTED_VALUE"""),294.0)</f>
        <v>294</v>
      </c>
      <c r="D5" s="12">
        <f>IFERROR(__xludf.DUMMYFUNCTION("""COMPUTED_VALUE"""),31.0)</f>
        <v>31</v>
      </c>
      <c r="E5" s="12">
        <f>IFERROR(__xludf.DUMMYFUNCTION("""COMPUTED_VALUE"""),1.0)</f>
        <v>1</v>
      </c>
      <c r="F5" s="12">
        <f>IFERROR(__xludf.DUMMYFUNCTION("""COMPUTED_VALUE"""),4.0)</f>
        <v>4</v>
      </c>
      <c r="G5" s="15" t="str">
        <f>IFERROR(__xludf.DUMMYFUNCTION("""COMPUTED_VALUE"""),"Completa")</f>
        <v>Completa</v>
      </c>
      <c r="H5" s="16" t="str">
        <f t="array" ref="H5">_xlfn.XLOOKUP(D5,Productos[ID_Producto],Productos[Nombre_Producto])</f>
        <v>Galletitas de agua</v>
      </c>
      <c r="I5" s="17">
        <f t="array" ref="I5">_xlfn.XLOOKUP(D5,Productos[ID_Producto],Productos[Precio_Unitario])</f>
        <v>5.24</v>
      </c>
      <c r="J5" s="17">
        <f t="shared" si="1"/>
        <v>5.24</v>
      </c>
      <c r="K5" s="16" t="str">
        <f t="array" ref="K5">_xlfn.XLOOKUP(C5,Clientes[ID_Cliente],Clientes[Provincia])</f>
        <v>Córdoba</v>
      </c>
      <c r="L5" s="16" t="str">
        <f t="array" ref="L5">CONCATENATE(_xlfn.XLOOKUP(C5,Clientes[ID_Cliente],Clientes[Provincia]),", Argentina")</f>
        <v>Córdoba, Argentina</v>
      </c>
      <c r="M5" s="20" t="str">
        <f t="array" ref="M5">_xlfn.XLOOKUP(F5,Metodos_De_Pago[ID_Metodo],Metodos_De_Pago[Metodo])</f>
        <v>Mercado Pago</v>
      </c>
      <c r="N5" s="20" t="str">
        <f t="shared" si="2"/>
        <v>2024 02</v>
      </c>
    </row>
    <row r="6" ht="22.5" customHeight="1">
      <c r="A6" s="12">
        <f>IFERROR(__xludf.DUMMYFUNCTION("""COMPUTED_VALUE"""),2746.0)</f>
        <v>2746</v>
      </c>
      <c r="B6" s="13">
        <f>IFERROR(__xludf.DUMMYFUNCTION("""COMPUTED_VALUE"""),45324.0)</f>
        <v>45324</v>
      </c>
      <c r="C6" s="12">
        <f>IFERROR(__xludf.DUMMYFUNCTION("""COMPUTED_VALUE"""),217.0)</f>
        <v>217</v>
      </c>
      <c r="D6" s="12">
        <f>IFERROR(__xludf.DUMMYFUNCTION("""COMPUTED_VALUE"""),4.0)</f>
        <v>4</v>
      </c>
      <c r="E6" s="12">
        <f>IFERROR(__xludf.DUMMYFUNCTION("""COMPUTED_VALUE"""),1.0)</f>
        <v>1</v>
      </c>
      <c r="F6" s="12">
        <f>IFERROR(__xludf.DUMMYFUNCTION("""COMPUTED_VALUE"""),4.0)</f>
        <v>4</v>
      </c>
      <c r="G6" s="15" t="str">
        <f>IFERROR(__xludf.DUMMYFUNCTION("""COMPUTED_VALUE"""),"Completa")</f>
        <v>Completa</v>
      </c>
      <c r="H6" s="16" t="str">
        <f t="array" ref="H6">_xlfn.XLOOKUP(D6,Productos[ID_Producto],Productos[Nombre_Producto])</f>
        <v>Queso rallado</v>
      </c>
      <c r="I6" s="17">
        <f t="array" ref="I6">_xlfn.XLOOKUP(D6,Productos[ID_Producto],Productos[Precio_Unitario])</f>
        <v>19.23</v>
      </c>
      <c r="J6" s="17">
        <f t="shared" si="1"/>
        <v>19.23</v>
      </c>
      <c r="K6" s="16" t="str">
        <f t="array" ref="K6">_xlfn.XLOOKUP(C6,Clientes[ID_Cliente],Clientes[Provincia])</f>
        <v>Córdoba</v>
      </c>
      <c r="L6" s="16" t="str">
        <f t="array" ref="L6">CONCATENATE(_xlfn.XLOOKUP(C6,Clientes[ID_Cliente],Clientes[Provincia]),", Argentina")</f>
        <v>Córdoba, Argentina</v>
      </c>
      <c r="M6" s="20" t="str">
        <f t="array" ref="M6">_xlfn.XLOOKUP(F6,Metodos_De_Pago[ID_Metodo],Metodos_De_Pago[Metodo])</f>
        <v>Mercado Pago</v>
      </c>
      <c r="N6" s="20" t="str">
        <f t="shared" si="2"/>
        <v>2024 02</v>
      </c>
    </row>
    <row r="7" ht="22.5" customHeight="1">
      <c r="A7" s="12">
        <f>IFERROR(__xludf.DUMMYFUNCTION("""COMPUTED_VALUE"""),2328.0)</f>
        <v>2328</v>
      </c>
      <c r="B7" s="13">
        <f>IFERROR(__xludf.DUMMYFUNCTION("""COMPUTED_VALUE"""),45325.0)</f>
        <v>45325</v>
      </c>
      <c r="C7" s="12">
        <f>IFERROR(__xludf.DUMMYFUNCTION("""COMPUTED_VALUE"""),275.0)</f>
        <v>275</v>
      </c>
      <c r="D7" s="12">
        <f>IFERROR(__xludf.DUMMYFUNCTION("""COMPUTED_VALUE"""),23.0)</f>
        <v>23</v>
      </c>
      <c r="E7" s="12">
        <f>IFERROR(__xludf.DUMMYFUNCTION("""COMPUTED_VALUE"""),1.0)</f>
        <v>1</v>
      </c>
      <c r="F7" s="12">
        <f>IFERROR(__xludf.DUMMYFUNCTION("""COMPUTED_VALUE"""),2.0)</f>
        <v>2</v>
      </c>
      <c r="G7" s="15" t="str">
        <f>IFERROR(__xludf.DUMMYFUNCTION("""COMPUTED_VALUE"""),"Completa")</f>
        <v>Completa</v>
      </c>
      <c r="H7" s="16" t="str">
        <f t="array" ref="H7">_xlfn.XLOOKUP(D7,Productos[ID_Producto],Productos[Nombre_Producto])</f>
        <v>Papas fritas</v>
      </c>
      <c r="I7" s="17">
        <f t="array" ref="I7">_xlfn.XLOOKUP(D7,Productos[ID_Producto],Productos[Precio_Unitario])</f>
        <v>8.23</v>
      </c>
      <c r="J7" s="17">
        <f t="shared" si="1"/>
        <v>8.23</v>
      </c>
      <c r="K7" s="16" t="str">
        <f t="array" ref="K7">_xlfn.XLOOKUP(C7,Clientes[ID_Cliente],Clientes[Provincia])</f>
        <v>Buenos Aires</v>
      </c>
      <c r="L7" s="16" t="str">
        <f t="array" ref="L7">CONCATENATE(_xlfn.XLOOKUP(C7,Clientes[ID_Cliente],Clientes[Provincia]),", Argentina")</f>
        <v>Buenos Aires, Argentina</v>
      </c>
      <c r="M7" s="20" t="str">
        <f t="array" ref="M7">_xlfn.XLOOKUP(F7,Metodos_De_Pago[ID_Metodo],Metodos_De_Pago[Metodo])</f>
        <v>Tarjeta de Crédito</v>
      </c>
      <c r="N7" s="20" t="str">
        <f t="shared" si="2"/>
        <v>2024 02</v>
      </c>
    </row>
    <row r="8" ht="22.5" customHeight="1">
      <c r="A8" s="12">
        <f>IFERROR(__xludf.DUMMYFUNCTION("""COMPUTED_VALUE"""),420.0)</f>
        <v>420</v>
      </c>
      <c r="B8" s="13">
        <f>IFERROR(__xludf.DUMMYFUNCTION("""COMPUTED_VALUE"""),45326.0)</f>
        <v>45326</v>
      </c>
      <c r="C8" s="12">
        <f>IFERROR(__xludf.DUMMYFUNCTION("""COMPUTED_VALUE"""),259.0)</f>
        <v>259</v>
      </c>
      <c r="D8" s="12">
        <f>IFERROR(__xludf.DUMMYFUNCTION("""COMPUTED_VALUE"""),32.0)</f>
        <v>32</v>
      </c>
      <c r="E8" s="12">
        <f>IFERROR(__xludf.DUMMYFUNCTION("""COMPUTED_VALUE"""),1.0)</f>
        <v>1</v>
      </c>
      <c r="F8" s="12">
        <f>IFERROR(__xludf.DUMMYFUNCTION("""COMPUTED_VALUE"""),2.0)</f>
        <v>2</v>
      </c>
      <c r="G8" s="15" t="str">
        <f>IFERROR(__xludf.DUMMYFUNCTION("""COMPUTED_VALUE"""),"Pendiente")</f>
        <v>Pendiente</v>
      </c>
      <c r="H8" s="16" t="str">
        <f t="array" ref="H8">_xlfn.XLOOKUP(D8,Productos[ID_Producto],Productos[Nombre_Producto])</f>
        <v>Galletitas de chocolate</v>
      </c>
      <c r="I8" s="17">
        <f t="array" ref="I8">_xlfn.XLOOKUP(D8,Productos[ID_Producto],Productos[Precio_Unitario])</f>
        <v>6.25</v>
      </c>
      <c r="J8" s="17">
        <f t="shared" si="1"/>
        <v>6.25</v>
      </c>
      <c r="K8" s="16" t="str">
        <f t="array" ref="K8">_xlfn.XLOOKUP(C8,Clientes[ID_Cliente],Clientes[Provincia])</f>
        <v>San Luis</v>
      </c>
      <c r="L8" s="16" t="str">
        <f t="array" ref="L8">CONCATENATE(_xlfn.XLOOKUP(C8,Clientes[ID_Cliente],Clientes[Provincia]),", Argentina")</f>
        <v>San Luis, Argentina</v>
      </c>
      <c r="M8" s="20" t="str">
        <f t="array" ref="M8">_xlfn.XLOOKUP(F8,Metodos_De_Pago[ID_Metodo],Metodos_De_Pago[Metodo])</f>
        <v>Tarjeta de Crédito</v>
      </c>
      <c r="N8" s="20" t="str">
        <f t="shared" si="2"/>
        <v>2024 02</v>
      </c>
    </row>
    <row r="9" ht="22.5" customHeight="1">
      <c r="A9" s="12">
        <f>IFERROR(__xludf.DUMMYFUNCTION("""COMPUTED_VALUE"""),2263.0)</f>
        <v>2263</v>
      </c>
      <c r="B9" s="13">
        <f>IFERROR(__xludf.DUMMYFUNCTION("""COMPUTED_VALUE"""),45326.0)</f>
        <v>45326</v>
      </c>
      <c r="C9" s="12">
        <f>IFERROR(__xludf.DUMMYFUNCTION("""COMPUTED_VALUE"""),48.0)</f>
        <v>48</v>
      </c>
      <c r="D9" s="12">
        <f>IFERROR(__xludf.DUMMYFUNCTION("""COMPUTED_VALUE"""),27.0)</f>
        <v>27</v>
      </c>
      <c r="E9" s="12">
        <f>IFERROR(__xludf.DUMMYFUNCTION("""COMPUTED_VALUE"""),1.0)</f>
        <v>1</v>
      </c>
      <c r="F9" s="12">
        <f>IFERROR(__xludf.DUMMYFUNCTION("""COMPUTED_VALUE"""),5.0)</f>
        <v>5</v>
      </c>
      <c r="G9" s="15" t="str">
        <f>IFERROR(__xludf.DUMMYFUNCTION("""COMPUTED_VALUE"""),"Completa")</f>
        <v>Completa</v>
      </c>
      <c r="H9" s="16" t="str">
        <f t="array" ref="H9">_xlfn.XLOOKUP(D9,Productos[ID_Producto],Productos[Nombre_Producto])</f>
        <v>Agua mineral</v>
      </c>
      <c r="I9" s="17">
        <f t="array" ref="I9">_xlfn.XLOOKUP(D9,Productos[ID_Producto],Productos[Precio_Unitario])</f>
        <v>6.21</v>
      </c>
      <c r="J9" s="17">
        <f t="shared" si="1"/>
        <v>6.21</v>
      </c>
      <c r="K9" s="16" t="str">
        <f t="array" ref="K9">_xlfn.XLOOKUP(C9,Clientes[ID_Cliente],Clientes[Provincia])</f>
        <v>Neuquén</v>
      </c>
      <c r="L9" s="16" t="str">
        <f t="array" ref="L9">CONCATENATE(_xlfn.XLOOKUP(C9,Clientes[ID_Cliente],Clientes[Provincia]),", Argentina")</f>
        <v>Neuquén, Argentina</v>
      </c>
      <c r="M9" s="20" t="str">
        <f t="array" ref="M9">_xlfn.XLOOKUP(F9,Metodos_De_Pago[ID_Metodo],Metodos_De_Pago[Metodo])</f>
        <v>Transferencia</v>
      </c>
      <c r="N9" s="20" t="str">
        <f t="shared" si="2"/>
        <v>2024 02</v>
      </c>
    </row>
    <row r="10" ht="22.5" customHeight="1">
      <c r="A10" s="12">
        <f>IFERROR(__xludf.DUMMYFUNCTION("""COMPUTED_VALUE"""),2896.0)</f>
        <v>2896</v>
      </c>
      <c r="B10" s="13">
        <f>IFERROR(__xludf.DUMMYFUNCTION("""COMPUTED_VALUE"""),45326.0)</f>
        <v>45326</v>
      </c>
      <c r="C10" s="12">
        <f>IFERROR(__xludf.DUMMYFUNCTION("""COMPUTED_VALUE"""),106.0)</f>
        <v>106</v>
      </c>
      <c r="D10" s="12">
        <f>IFERROR(__xludf.DUMMYFUNCTION("""COMPUTED_VALUE"""),21.0)</f>
        <v>21</v>
      </c>
      <c r="E10" s="12">
        <f>IFERROR(__xludf.DUMMYFUNCTION("""COMPUTED_VALUE"""),1.0)</f>
        <v>1</v>
      </c>
      <c r="F10" s="12">
        <f>IFERROR(__xludf.DUMMYFUNCTION("""COMPUTED_VALUE"""),2.0)</f>
        <v>2</v>
      </c>
      <c r="G10" s="15" t="str">
        <f>IFERROR(__xludf.DUMMYFUNCTION("""COMPUTED_VALUE"""),"Completa")</f>
        <v>Completa</v>
      </c>
      <c r="H10" s="16" t="str">
        <f t="array" ref="H10">_xlfn.XLOOKUP(D10,Productos[ID_Producto],Productos[Nombre_Producto])</f>
        <v>Zanahorias</v>
      </c>
      <c r="I10" s="17">
        <f t="array" ref="I10">_xlfn.XLOOKUP(D10,Productos[ID_Producto],Productos[Precio_Unitario])</f>
        <v>3.25</v>
      </c>
      <c r="J10" s="17">
        <f t="shared" si="1"/>
        <v>3.25</v>
      </c>
      <c r="K10" s="16" t="str">
        <f t="array" ref="K10">_xlfn.XLOOKUP(C10,Clientes[ID_Cliente],Clientes[Provincia])</f>
        <v>Chaco</v>
      </c>
      <c r="L10" s="16" t="str">
        <f t="array" ref="L10">CONCATENATE(_xlfn.XLOOKUP(C10,Clientes[ID_Cliente],Clientes[Provincia]),", Argentina")</f>
        <v>Chaco, Argentina</v>
      </c>
      <c r="M10" s="20" t="str">
        <f t="array" ref="M10">_xlfn.XLOOKUP(F10,Metodos_De_Pago[ID_Metodo],Metodos_De_Pago[Metodo])</f>
        <v>Tarjeta de Crédito</v>
      </c>
      <c r="N10" s="20" t="str">
        <f t="shared" si="2"/>
        <v>2024 02</v>
      </c>
    </row>
    <row r="11" ht="22.5" customHeight="1">
      <c r="A11" s="12">
        <f>IFERROR(__xludf.DUMMYFUNCTION("""COMPUTED_VALUE"""),484.0)</f>
        <v>484</v>
      </c>
      <c r="B11" s="13">
        <f>IFERROR(__xludf.DUMMYFUNCTION("""COMPUTED_VALUE"""),45328.0)</f>
        <v>45328</v>
      </c>
      <c r="C11" s="12">
        <f>IFERROR(__xludf.DUMMYFUNCTION("""COMPUTED_VALUE"""),168.0)</f>
        <v>168</v>
      </c>
      <c r="D11" s="12">
        <f>IFERROR(__xludf.DUMMYFUNCTION("""COMPUTED_VALUE"""),35.0)</f>
        <v>35</v>
      </c>
      <c r="E11" s="12">
        <f>IFERROR(__xludf.DUMMYFUNCTION("""COMPUTED_VALUE"""),1.0)</f>
        <v>1</v>
      </c>
      <c r="F11" s="12">
        <f>IFERROR(__xludf.DUMMYFUNCTION("""COMPUTED_VALUE"""),2.0)</f>
        <v>2</v>
      </c>
      <c r="G11" s="15" t="str">
        <f>IFERROR(__xludf.DUMMYFUNCTION("""COMPUTED_VALUE"""),"Completa")</f>
        <v>Completa</v>
      </c>
      <c r="H11" s="16" t="str">
        <f t="array" ref="H11">_xlfn.XLOOKUP(D11,Productos[ID_Producto],Productos[Nombre_Producto])</f>
        <v>Arroz</v>
      </c>
      <c r="I11" s="17">
        <f t="array" ref="I11">_xlfn.XLOOKUP(D11,Productos[ID_Producto],Productos[Precio_Unitario])</f>
        <v>4.25</v>
      </c>
      <c r="J11" s="17">
        <f t="shared" si="1"/>
        <v>4.25</v>
      </c>
      <c r="K11" s="16" t="str">
        <f t="array" ref="K11">_xlfn.XLOOKUP(C11,Clientes[ID_Cliente],Clientes[Provincia])</f>
        <v>Córdoba</v>
      </c>
      <c r="L11" s="16" t="str">
        <f t="array" ref="L11">CONCATENATE(_xlfn.XLOOKUP(C11,Clientes[ID_Cliente],Clientes[Provincia]),", Argentina")</f>
        <v>Córdoba, Argentina</v>
      </c>
      <c r="M11" s="20" t="str">
        <f t="array" ref="M11">_xlfn.XLOOKUP(F11,Metodos_De_Pago[ID_Metodo],Metodos_De_Pago[Metodo])</f>
        <v>Tarjeta de Crédito</v>
      </c>
      <c r="N11" s="20" t="str">
        <f t="shared" si="2"/>
        <v>2024 02</v>
      </c>
    </row>
    <row r="12" ht="22.5" customHeight="1">
      <c r="A12" s="12">
        <f>IFERROR(__xludf.DUMMYFUNCTION("""COMPUTED_VALUE"""),1044.0)</f>
        <v>1044</v>
      </c>
      <c r="B12" s="13">
        <f>IFERROR(__xludf.DUMMYFUNCTION("""COMPUTED_VALUE"""),45331.0)</f>
        <v>45331</v>
      </c>
      <c r="C12" s="12">
        <f>IFERROR(__xludf.DUMMYFUNCTION("""COMPUTED_VALUE"""),69.0)</f>
        <v>69</v>
      </c>
      <c r="D12" s="12">
        <f>IFERROR(__xludf.DUMMYFUNCTION("""COMPUTED_VALUE"""),29.0)</f>
        <v>29</v>
      </c>
      <c r="E12" s="12">
        <f>IFERROR(__xludf.DUMMYFUNCTION("""COMPUTED_VALUE"""),1.0)</f>
        <v>1</v>
      </c>
      <c r="F12" s="12">
        <f>IFERROR(__xludf.DUMMYFUNCTION("""COMPUTED_VALUE"""),5.0)</f>
        <v>5</v>
      </c>
      <c r="G12" s="15" t="str">
        <f>IFERROR(__xludf.DUMMYFUNCTION("""COMPUTED_VALUE"""),"Completa")</f>
        <v>Completa</v>
      </c>
      <c r="H12" s="16" t="str">
        <f t="array" ref="H12">_xlfn.XLOOKUP(D12,Productos[ID_Producto],Productos[Nombre_Producto])</f>
        <v>Cerveza</v>
      </c>
      <c r="I12" s="17">
        <f t="array" ref="I12">_xlfn.XLOOKUP(D12,Productos[ID_Producto],Productos[Precio_Unitario])</f>
        <v>11.54</v>
      </c>
      <c r="J12" s="17">
        <f t="shared" si="1"/>
        <v>11.54</v>
      </c>
      <c r="K12" s="16" t="str">
        <f t="array" ref="K12">_xlfn.XLOOKUP(C12,Clientes[ID_Cliente],Clientes[Provincia])</f>
        <v>San Luis</v>
      </c>
      <c r="L12" s="16" t="str">
        <f t="array" ref="L12">CONCATENATE(_xlfn.XLOOKUP(C12,Clientes[ID_Cliente],Clientes[Provincia]),", Argentina")</f>
        <v>San Luis, Argentina</v>
      </c>
      <c r="M12" s="20" t="str">
        <f t="array" ref="M12">_xlfn.XLOOKUP(F12,Metodos_De_Pago[ID_Metodo],Metodos_De_Pago[Metodo])</f>
        <v>Transferencia</v>
      </c>
      <c r="N12" s="20" t="str">
        <f t="shared" si="2"/>
        <v>2024 02</v>
      </c>
    </row>
    <row r="13" ht="22.5" customHeight="1">
      <c r="A13" s="12">
        <f>IFERROR(__xludf.DUMMYFUNCTION("""COMPUTED_VALUE"""),2480.0)</f>
        <v>2480</v>
      </c>
      <c r="B13" s="13">
        <f>IFERROR(__xludf.DUMMYFUNCTION("""COMPUTED_VALUE"""),45331.0)</f>
        <v>45331</v>
      </c>
      <c r="C13" s="12">
        <f>IFERROR(__xludf.DUMMYFUNCTION("""COMPUTED_VALUE"""),278.0)</f>
        <v>278</v>
      </c>
      <c r="D13" s="12">
        <f>IFERROR(__xludf.DUMMYFUNCTION("""COMPUTED_VALUE"""),22.0)</f>
        <v>22</v>
      </c>
      <c r="E13" s="12">
        <f>IFERROR(__xludf.DUMMYFUNCTION("""COMPUTED_VALUE"""),1.0)</f>
        <v>1</v>
      </c>
      <c r="F13" s="12">
        <f>IFERROR(__xludf.DUMMYFUNCTION("""COMPUTED_VALUE"""),1.0)</f>
        <v>1</v>
      </c>
      <c r="G13" s="15" t="str">
        <f>IFERROR(__xludf.DUMMYFUNCTION("""COMPUTED_VALUE"""),"Completa")</f>
        <v>Completa</v>
      </c>
      <c r="H13" s="16" t="str">
        <f t="array" ref="H13">_xlfn.XLOOKUP(D13,Productos[ID_Producto],Productos[Nombre_Producto])</f>
        <v>Cebolla</v>
      </c>
      <c r="I13" s="17">
        <f t="array" ref="I13">_xlfn.XLOOKUP(D13,Productos[ID_Producto],Productos[Precio_Unitario])</f>
        <v>4.21</v>
      </c>
      <c r="J13" s="17">
        <f t="shared" si="1"/>
        <v>4.21</v>
      </c>
      <c r="K13" s="16" t="str">
        <f t="array" ref="K13">_xlfn.XLOOKUP(C13,Clientes[ID_Cliente],Clientes[Provincia])</f>
        <v>Córdoba</v>
      </c>
      <c r="L13" s="16" t="str">
        <f t="array" ref="L13">CONCATENATE(_xlfn.XLOOKUP(C13,Clientes[ID_Cliente],Clientes[Provincia]),", Argentina")</f>
        <v>Córdoba, Argentina</v>
      </c>
      <c r="M13" s="20" t="str">
        <f t="array" ref="M13">_xlfn.XLOOKUP(F13,Metodos_De_Pago[ID_Metodo],Metodos_De_Pago[Metodo])</f>
        <v>Efectivo</v>
      </c>
      <c r="N13" s="20" t="str">
        <f t="shared" si="2"/>
        <v>2024 02</v>
      </c>
    </row>
    <row r="14" ht="22.5" customHeight="1">
      <c r="A14" s="12">
        <f>IFERROR(__xludf.DUMMYFUNCTION("""COMPUTED_VALUE"""),2719.0)</f>
        <v>2719</v>
      </c>
      <c r="B14" s="13">
        <f>IFERROR(__xludf.DUMMYFUNCTION("""COMPUTED_VALUE"""),45332.0)</f>
        <v>45332</v>
      </c>
      <c r="C14" s="12">
        <f>IFERROR(__xludf.DUMMYFUNCTION("""COMPUTED_VALUE"""),57.0)</f>
        <v>57</v>
      </c>
      <c r="D14" s="12">
        <f>IFERROR(__xludf.DUMMYFUNCTION("""COMPUTED_VALUE"""),16.0)</f>
        <v>16</v>
      </c>
      <c r="E14" s="12">
        <f>IFERROR(__xludf.DUMMYFUNCTION("""COMPUTED_VALUE"""),1.0)</f>
        <v>1</v>
      </c>
      <c r="F14" s="12">
        <f>IFERROR(__xludf.DUMMYFUNCTION("""COMPUTED_VALUE"""),4.0)</f>
        <v>4</v>
      </c>
      <c r="G14" s="15" t="str">
        <f>IFERROR(__xludf.DUMMYFUNCTION("""COMPUTED_VALUE"""),"Completa")</f>
        <v>Completa</v>
      </c>
      <c r="H14" s="16" t="str">
        <f t="array" ref="H14">_xlfn.XLOOKUP(D14,Productos[ID_Producto],Productos[Nombre_Producto])</f>
        <v>Tortas</v>
      </c>
      <c r="I14" s="17">
        <f t="array" ref="I14">_xlfn.XLOOKUP(D14,Productos[ID_Producto],Productos[Precio_Unitario])</f>
        <v>15.23</v>
      </c>
      <c r="J14" s="17">
        <f t="shared" si="1"/>
        <v>15.23</v>
      </c>
      <c r="K14" s="16" t="str">
        <f t="array" ref="K14">_xlfn.XLOOKUP(C14,Clientes[ID_Cliente],Clientes[Provincia])</f>
        <v>Córdoba</v>
      </c>
      <c r="L14" s="16" t="str">
        <f t="array" ref="L14">CONCATENATE(_xlfn.XLOOKUP(C14,Clientes[ID_Cliente],Clientes[Provincia]),", Argentina")</f>
        <v>Córdoba, Argentina</v>
      </c>
      <c r="M14" s="20" t="str">
        <f t="array" ref="M14">_xlfn.XLOOKUP(F14,Metodos_De_Pago[ID_Metodo],Metodos_De_Pago[Metodo])</f>
        <v>Mercado Pago</v>
      </c>
      <c r="N14" s="20" t="str">
        <f t="shared" si="2"/>
        <v>2024 02</v>
      </c>
    </row>
    <row r="15" ht="22.5" customHeight="1">
      <c r="A15" s="12">
        <f>IFERROR(__xludf.DUMMYFUNCTION("""COMPUTED_VALUE"""),1218.0)</f>
        <v>1218</v>
      </c>
      <c r="B15" s="13">
        <f>IFERROR(__xludf.DUMMYFUNCTION("""COMPUTED_VALUE"""),45333.0)</f>
        <v>45333</v>
      </c>
      <c r="C15" s="12">
        <f>IFERROR(__xludf.DUMMYFUNCTION("""COMPUTED_VALUE"""),34.0)</f>
        <v>34</v>
      </c>
      <c r="D15" s="12">
        <f>IFERROR(__xludf.DUMMYFUNCTION("""COMPUTED_VALUE"""),29.0)</f>
        <v>29</v>
      </c>
      <c r="E15" s="12">
        <f>IFERROR(__xludf.DUMMYFUNCTION("""COMPUTED_VALUE"""),1.0)</f>
        <v>1</v>
      </c>
      <c r="F15" s="12">
        <f>IFERROR(__xludf.DUMMYFUNCTION("""COMPUTED_VALUE"""),2.0)</f>
        <v>2</v>
      </c>
      <c r="G15" s="15" t="str">
        <f>IFERROR(__xludf.DUMMYFUNCTION("""COMPUTED_VALUE"""),"Completa")</f>
        <v>Completa</v>
      </c>
      <c r="H15" s="16" t="str">
        <f t="array" ref="H15">_xlfn.XLOOKUP(D15,Productos[ID_Producto],Productos[Nombre_Producto])</f>
        <v>Cerveza</v>
      </c>
      <c r="I15" s="17">
        <f t="array" ref="I15">_xlfn.XLOOKUP(D15,Productos[ID_Producto],Productos[Precio_Unitario])</f>
        <v>11.54</v>
      </c>
      <c r="J15" s="17">
        <f t="shared" si="1"/>
        <v>11.54</v>
      </c>
      <c r="K15" s="16" t="str">
        <f t="array" ref="K15">_xlfn.XLOOKUP(C15,Clientes[ID_Cliente],Clientes[Provincia])</f>
        <v>San Luis</v>
      </c>
      <c r="L15" s="16" t="str">
        <f t="array" ref="L15">CONCATENATE(_xlfn.XLOOKUP(C15,Clientes[ID_Cliente],Clientes[Provincia]),", Argentina")</f>
        <v>San Luis, Argentina</v>
      </c>
      <c r="M15" s="20" t="str">
        <f t="array" ref="M15">_xlfn.XLOOKUP(F15,Metodos_De_Pago[ID_Metodo],Metodos_De_Pago[Metodo])</f>
        <v>Tarjeta de Crédito</v>
      </c>
      <c r="N15" s="20" t="str">
        <f t="shared" si="2"/>
        <v>2024 02</v>
      </c>
    </row>
    <row r="16" ht="22.5" customHeight="1">
      <c r="A16" s="12">
        <f>IFERROR(__xludf.DUMMYFUNCTION("""COMPUTED_VALUE"""),1934.0)</f>
        <v>1934</v>
      </c>
      <c r="B16" s="13">
        <f>IFERROR(__xludf.DUMMYFUNCTION("""COMPUTED_VALUE"""),45333.0)</f>
        <v>45333</v>
      </c>
      <c r="C16" s="12">
        <f>IFERROR(__xludf.DUMMYFUNCTION("""COMPUTED_VALUE"""),69.0)</f>
        <v>69</v>
      </c>
      <c r="D16" s="12">
        <f>IFERROR(__xludf.DUMMYFUNCTION("""COMPUTED_VALUE"""),27.0)</f>
        <v>27</v>
      </c>
      <c r="E16" s="12">
        <f>IFERROR(__xludf.DUMMYFUNCTION("""COMPUTED_VALUE"""),1.0)</f>
        <v>1</v>
      </c>
      <c r="F16" s="12">
        <f>IFERROR(__xludf.DUMMYFUNCTION("""COMPUTED_VALUE"""),2.0)</f>
        <v>2</v>
      </c>
      <c r="G16" s="15" t="str">
        <f>IFERROR(__xludf.DUMMYFUNCTION("""COMPUTED_VALUE"""),"Completa")</f>
        <v>Completa</v>
      </c>
      <c r="H16" s="16" t="str">
        <f t="array" ref="H16">_xlfn.XLOOKUP(D16,Productos[ID_Producto],Productos[Nombre_Producto])</f>
        <v>Agua mineral</v>
      </c>
      <c r="I16" s="17">
        <f t="array" ref="I16">_xlfn.XLOOKUP(D16,Productos[ID_Producto],Productos[Precio_Unitario])</f>
        <v>6.21</v>
      </c>
      <c r="J16" s="17">
        <f t="shared" si="1"/>
        <v>6.21</v>
      </c>
      <c r="K16" s="16" t="str">
        <f t="array" ref="K16">_xlfn.XLOOKUP(C16,Clientes[ID_Cliente],Clientes[Provincia])</f>
        <v>San Luis</v>
      </c>
      <c r="L16" s="16" t="str">
        <f t="array" ref="L16">CONCATENATE(_xlfn.XLOOKUP(C16,Clientes[ID_Cliente],Clientes[Provincia]),", Argentina")</f>
        <v>San Luis, Argentina</v>
      </c>
      <c r="M16" s="20" t="str">
        <f t="array" ref="M16">_xlfn.XLOOKUP(F16,Metodos_De_Pago[ID_Metodo],Metodos_De_Pago[Metodo])</f>
        <v>Tarjeta de Crédito</v>
      </c>
      <c r="N16" s="20" t="str">
        <f t="shared" si="2"/>
        <v>2024 02</v>
      </c>
    </row>
    <row r="17" ht="22.5" customHeight="1">
      <c r="A17" s="12">
        <f>IFERROR(__xludf.DUMMYFUNCTION("""COMPUTED_VALUE"""),2534.0)</f>
        <v>2534</v>
      </c>
      <c r="B17" s="13">
        <f>IFERROR(__xludf.DUMMYFUNCTION("""COMPUTED_VALUE"""),45333.0)</f>
        <v>45333</v>
      </c>
      <c r="C17" s="12">
        <f>IFERROR(__xludf.DUMMYFUNCTION("""COMPUTED_VALUE"""),250.0)</f>
        <v>250</v>
      </c>
      <c r="D17" s="12">
        <f>IFERROR(__xludf.DUMMYFUNCTION("""COMPUTED_VALUE"""),11.0)</f>
        <v>11</v>
      </c>
      <c r="E17" s="12">
        <f>IFERROR(__xludf.DUMMYFUNCTION("""COMPUTED_VALUE"""),1.0)</f>
        <v>1</v>
      </c>
      <c r="F17" s="12">
        <f>IFERROR(__xludf.DUMMYFUNCTION("""COMPUTED_VALUE"""),5.0)</f>
        <v>5</v>
      </c>
      <c r="G17" s="15" t="str">
        <f>IFERROR(__xludf.DUMMYFUNCTION("""COMPUTED_VALUE"""),"Completa")</f>
        <v>Completa</v>
      </c>
      <c r="H17" s="16" t="str">
        <f t="array" ref="H17">_xlfn.XLOOKUP(D17,Productos[ID_Producto],Productos[Nombre_Producto])</f>
        <v>Salchicha</v>
      </c>
      <c r="I17" s="17">
        <f t="array" ref="I17">_xlfn.XLOOKUP(D17,Productos[ID_Producto],Productos[Precio_Unitario])</f>
        <v>11.23</v>
      </c>
      <c r="J17" s="17">
        <f t="shared" si="1"/>
        <v>11.23</v>
      </c>
      <c r="K17" s="16" t="str">
        <f t="array" ref="K17">_xlfn.XLOOKUP(C17,Clientes[ID_Cliente],Clientes[Provincia])</f>
        <v>Córdoba</v>
      </c>
      <c r="L17" s="16" t="str">
        <f t="array" ref="L17">CONCATENATE(_xlfn.XLOOKUP(C17,Clientes[ID_Cliente],Clientes[Provincia]),", Argentina")</f>
        <v>Córdoba, Argentina</v>
      </c>
      <c r="M17" s="20" t="str">
        <f t="array" ref="M17">_xlfn.XLOOKUP(F17,Metodos_De_Pago[ID_Metodo],Metodos_De_Pago[Metodo])</f>
        <v>Transferencia</v>
      </c>
      <c r="N17" s="20" t="str">
        <f t="shared" si="2"/>
        <v>2024 02</v>
      </c>
    </row>
    <row r="18" ht="22.5" customHeight="1">
      <c r="A18" s="12">
        <f>IFERROR(__xludf.DUMMYFUNCTION("""COMPUTED_VALUE"""),1826.0)</f>
        <v>1826</v>
      </c>
      <c r="B18" s="13">
        <f>IFERROR(__xludf.DUMMYFUNCTION("""COMPUTED_VALUE"""),45335.0)</f>
        <v>45335</v>
      </c>
      <c r="C18" s="12">
        <f>IFERROR(__xludf.DUMMYFUNCTION("""COMPUTED_VALUE"""),300.0)</f>
        <v>300</v>
      </c>
      <c r="D18" s="12">
        <f>IFERROR(__xludf.DUMMYFUNCTION("""COMPUTED_VALUE"""),20.0)</f>
        <v>20</v>
      </c>
      <c r="E18" s="12">
        <f>IFERROR(__xludf.DUMMYFUNCTION("""COMPUTED_VALUE"""),1.0)</f>
        <v>1</v>
      </c>
      <c r="F18" s="12">
        <f>IFERROR(__xludf.DUMMYFUNCTION("""COMPUTED_VALUE"""),1.0)</f>
        <v>1</v>
      </c>
      <c r="G18" s="15" t="str">
        <f>IFERROR(__xludf.DUMMYFUNCTION("""COMPUTED_VALUE"""),"Completa")</f>
        <v>Completa</v>
      </c>
      <c r="H18" s="16" t="str">
        <f t="array" ref="H18">_xlfn.XLOOKUP(D18,Productos[ID_Producto],Productos[Nombre_Producto])</f>
        <v>Lechugas</v>
      </c>
      <c r="I18" s="17">
        <f t="array" ref="I18">_xlfn.XLOOKUP(D18,Productos[ID_Producto],Productos[Precio_Unitario])</f>
        <v>4.25</v>
      </c>
      <c r="J18" s="17">
        <f t="shared" si="1"/>
        <v>4.25</v>
      </c>
      <c r="K18" s="16" t="str">
        <f t="array" ref="K18">_xlfn.XLOOKUP(C18,Clientes[ID_Cliente],Clientes[Provincia])</f>
        <v>Chaco</v>
      </c>
      <c r="L18" s="16" t="str">
        <f t="array" ref="L18">CONCATENATE(_xlfn.XLOOKUP(C18,Clientes[ID_Cliente],Clientes[Provincia]),", Argentina")</f>
        <v>Chaco, Argentina</v>
      </c>
      <c r="M18" s="20" t="str">
        <f t="array" ref="M18">_xlfn.XLOOKUP(F18,Metodos_De_Pago[ID_Metodo],Metodos_De_Pago[Metodo])</f>
        <v>Efectivo</v>
      </c>
      <c r="N18" s="20" t="str">
        <f t="shared" si="2"/>
        <v>2024 02</v>
      </c>
    </row>
    <row r="19" ht="22.5" customHeight="1">
      <c r="A19" s="12">
        <f>IFERROR(__xludf.DUMMYFUNCTION("""COMPUTED_VALUE"""),2076.0)</f>
        <v>2076</v>
      </c>
      <c r="B19" s="13">
        <f>IFERROR(__xludf.DUMMYFUNCTION("""COMPUTED_VALUE"""),45336.0)</f>
        <v>45336</v>
      </c>
      <c r="C19" s="12">
        <f>IFERROR(__xludf.DUMMYFUNCTION("""COMPUTED_VALUE"""),5.0)</f>
        <v>5</v>
      </c>
      <c r="D19" s="12">
        <f>IFERROR(__xludf.DUMMYFUNCTION("""COMPUTED_VALUE"""),1.0)</f>
        <v>1</v>
      </c>
      <c r="E19" s="12">
        <f>IFERROR(__xludf.DUMMYFUNCTION("""COMPUTED_VALUE"""),1.0)</f>
        <v>1</v>
      </c>
      <c r="F19" s="12">
        <f>IFERROR(__xludf.DUMMYFUNCTION("""COMPUTED_VALUE"""),4.0)</f>
        <v>4</v>
      </c>
      <c r="G19" s="15" t="str">
        <f>IFERROR(__xludf.DUMMYFUNCTION("""COMPUTED_VALUE"""),"Completa")</f>
        <v>Completa</v>
      </c>
      <c r="H19" s="16" t="str">
        <f t="array" ref="H19">_xlfn.XLOOKUP(D19,Productos[ID_Producto],Productos[Nombre_Producto])</f>
        <v>Leche</v>
      </c>
      <c r="I19" s="17">
        <f t="array" ref="I19">_xlfn.XLOOKUP(D19,Productos[ID_Producto],Productos[Precio_Unitario])</f>
        <v>12.24</v>
      </c>
      <c r="J19" s="17">
        <f t="shared" si="1"/>
        <v>12.24</v>
      </c>
      <c r="K19" s="16" t="str">
        <f t="array" ref="K19">_xlfn.XLOOKUP(C19,Clientes[ID_Cliente],Clientes[Provincia])</f>
        <v>Córdoba</v>
      </c>
      <c r="L19" s="16" t="str">
        <f t="array" ref="L19">CONCATENATE(_xlfn.XLOOKUP(C19,Clientes[ID_Cliente],Clientes[Provincia]),", Argentina")</f>
        <v>Córdoba, Argentina</v>
      </c>
      <c r="M19" s="20" t="str">
        <f t="array" ref="M19">_xlfn.XLOOKUP(F19,Metodos_De_Pago[ID_Metodo],Metodos_De_Pago[Metodo])</f>
        <v>Mercado Pago</v>
      </c>
      <c r="N19" s="20" t="str">
        <f t="shared" si="2"/>
        <v>2024 02</v>
      </c>
    </row>
    <row r="20" ht="22.5" customHeight="1">
      <c r="A20" s="12">
        <f>IFERROR(__xludf.DUMMYFUNCTION("""COMPUTED_VALUE"""),938.0)</f>
        <v>938</v>
      </c>
      <c r="B20" s="13">
        <f>IFERROR(__xludf.DUMMYFUNCTION("""COMPUTED_VALUE"""),45337.0)</f>
        <v>45337</v>
      </c>
      <c r="C20" s="12">
        <f>IFERROR(__xludf.DUMMYFUNCTION("""COMPUTED_VALUE"""),204.0)</f>
        <v>204</v>
      </c>
      <c r="D20" s="12">
        <f>IFERROR(__xludf.DUMMYFUNCTION("""COMPUTED_VALUE"""),1.0)</f>
        <v>1</v>
      </c>
      <c r="E20" s="12">
        <f>IFERROR(__xludf.DUMMYFUNCTION("""COMPUTED_VALUE"""),1.0)</f>
        <v>1</v>
      </c>
      <c r="F20" s="12">
        <f>IFERROR(__xludf.DUMMYFUNCTION("""COMPUTED_VALUE"""),4.0)</f>
        <v>4</v>
      </c>
      <c r="G20" s="15" t="str">
        <f>IFERROR(__xludf.DUMMYFUNCTION("""COMPUTED_VALUE"""),"Completa")</f>
        <v>Completa</v>
      </c>
      <c r="H20" s="16" t="str">
        <f t="array" ref="H20">_xlfn.XLOOKUP(D20,Productos[ID_Producto],Productos[Nombre_Producto])</f>
        <v>Leche</v>
      </c>
      <c r="I20" s="17">
        <f t="array" ref="I20">_xlfn.XLOOKUP(D20,Productos[ID_Producto],Productos[Precio_Unitario])</f>
        <v>12.24</v>
      </c>
      <c r="J20" s="17">
        <f t="shared" si="1"/>
        <v>12.24</v>
      </c>
      <c r="K20" s="16" t="str">
        <f t="array" ref="K20">_xlfn.XLOOKUP(C20,Clientes[ID_Cliente],Clientes[Provincia])</f>
        <v>Neuquén</v>
      </c>
      <c r="L20" s="16" t="str">
        <f t="array" ref="L20">CONCATENATE(_xlfn.XLOOKUP(C20,Clientes[ID_Cliente],Clientes[Provincia]),", Argentina")</f>
        <v>Neuquén, Argentina</v>
      </c>
      <c r="M20" s="20" t="str">
        <f t="array" ref="M20">_xlfn.XLOOKUP(F20,Metodos_De_Pago[ID_Metodo],Metodos_De_Pago[Metodo])</f>
        <v>Mercado Pago</v>
      </c>
      <c r="N20" s="20" t="str">
        <f t="shared" si="2"/>
        <v>2024 02</v>
      </c>
    </row>
    <row r="21" ht="22.5" customHeight="1">
      <c r="A21" s="12">
        <f>IFERROR(__xludf.DUMMYFUNCTION("""COMPUTED_VALUE"""),1928.0)</f>
        <v>1928</v>
      </c>
      <c r="B21" s="13">
        <f>IFERROR(__xludf.DUMMYFUNCTION("""COMPUTED_VALUE"""),45337.0)</f>
        <v>45337</v>
      </c>
      <c r="C21" s="12">
        <f>IFERROR(__xludf.DUMMYFUNCTION("""COMPUTED_VALUE"""),310.0)</f>
        <v>310</v>
      </c>
      <c r="D21" s="12">
        <f>IFERROR(__xludf.DUMMYFUNCTION("""COMPUTED_VALUE"""),35.0)</f>
        <v>35</v>
      </c>
      <c r="E21" s="12">
        <f>IFERROR(__xludf.DUMMYFUNCTION("""COMPUTED_VALUE"""),1.0)</f>
        <v>1</v>
      </c>
      <c r="F21" s="12">
        <f>IFERROR(__xludf.DUMMYFUNCTION("""COMPUTED_VALUE"""),1.0)</f>
        <v>1</v>
      </c>
      <c r="G21" s="15" t="str">
        <f>IFERROR(__xludf.DUMMYFUNCTION("""COMPUTED_VALUE"""),"Completa")</f>
        <v>Completa</v>
      </c>
      <c r="H21" s="16" t="str">
        <f t="array" ref="H21">_xlfn.XLOOKUP(D21,Productos[ID_Producto],Productos[Nombre_Producto])</f>
        <v>Arroz</v>
      </c>
      <c r="I21" s="17">
        <f t="array" ref="I21">_xlfn.XLOOKUP(D21,Productos[ID_Producto],Productos[Precio_Unitario])</f>
        <v>4.25</v>
      </c>
      <c r="J21" s="17">
        <f t="shared" si="1"/>
        <v>4.25</v>
      </c>
      <c r="K21" s="16" t="str">
        <f t="array" ref="K21">_xlfn.XLOOKUP(C21,Clientes[ID_Cliente],Clientes[Provincia])</f>
        <v>Neuquén</v>
      </c>
      <c r="L21" s="16" t="str">
        <f t="array" ref="L21">CONCATENATE(_xlfn.XLOOKUP(C21,Clientes[ID_Cliente],Clientes[Provincia]),", Argentina")</f>
        <v>Neuquén, Argentina</v>
      </c>
      <c r="M21" s="20" t="str">
        <f t="array" ref="M21">_xlfn.XLOOKUP(F21,Metodos_De_Pago[ID_Metodo],Metodos_De_Pago[Metodo])</f>
        <v>Efectivo</v>
      </c>
      <c r="N21" s="20" t="str">
        <f t="shared" si="2"/>
        <v>2024 02</v>
      </c>
    </row>
    <row r="22" ht="22.5" customHeight="1">
      <c r="A22" s="12">
        <f>IFERROR(__xludf.DUMMYFUNCTION("""COMPUTED_VALUE"""),2604.0)</f>
        <v>2604</v>
      </c>
      <c r="B22" s="13">
        <f>IFERROR(__xludf.DUMMYFUNCTION("""COMPUTED_VALUE"""),45337.0)</f>
        <v>45337</v>
      </c>
      <c r="C22" s="12">
        <f>IFERROR(__xludf.DUMMYFUNCTION("""COMPUTED_VALUE"""),319.0)</f>
        <v>319</v>
      </c>
      <c r="D22" s="12">
        <f>IFERROR(__xludf.DUMMYFUNCTION("""COMPUTED_VALUE"""),23.0)</f>
        <v>23</v>
      </c>
      <c r="E22" s="12">
        <f>IFERROR(__xludf.DUMMYFUNCTION("""COMPUTED_VALUE"""),1.0)</f>
        <v>1</v>
      </c>
      <c r="F22" s="12">
        <f>IFERROR(__xludf.DUMMYFUNCTION("""COMPUTED_VALUE"""),5.0)</f>
        <v>5</v>
      </c>
      <c r="G22" s="15" t="str">
        <f>IFERROR(__xludf.DUMMYFUNCTION("""COMPUTED_VALUE"""),"Completa")</f>
        <v>Completa</v>
      </c>
      <c r="H22" s="16" t="str">
        <f t="array" ref="H22">_xlfn.XLOOKUP(D22,Productos[ID_Producto],Productos[Nombre_Producto])</f>
        <v>Papas fritas</v>
      </c>
      <c r="I22" s="17">
        <f t="array" ref="I22">_xlfn.XLOOKUP(D22,Productos[ID_Producto],Productos[Precio_Unitario])</f>
        <v>8.23</v>
      </c>
      <c r="J22" s="17">
        <f t="shared" si="1"/>
        <v>8.23</v>
      </c>
      <c r="K22" s="16" t="str">
        <f t="array" ref="K22">_xlfn.XLOOKUP(C22,Clientes[ID_Cliente],Clientes[Provincia])</f>
        <v>Neuquén</v>
      </c>
      <c r="L22" s="16" t="str">
        <f t="array" ref="L22">CONCATENATE(_xlfn.XLOOKUP(C22,Clientes[ID_Cliente],Clientes[Provincia]),", Argentina")</f>
        <v>Neuquén, Argentina</v>
      </c>
      <c r="M22" s="20" t="str">
        <f t="array" ref="M22">_xlfn.XLOOKUP(F22,Metodos_De_Pago[ID_Metodo],Metodos_De_Pago[Metodo])</f>
        <v>Transferencia</v>
      </c>
      <c r="N22" s="20" t="str">
        <f t="shared" si="2"/>
        <v>2024 02</v>
      </c>
    </row>
    <row r="23" ht="22.5" customHeight="1">
      <c r="A23" s="12">
        <f>IFERROR(__xludf.DUMMYFUNCTION("""COMPUTED_VALUE"""),1174.0)</f>
        <v>1174</v>
      </c>
      <c r="B23" s="13">
        <f>IFERROR(__xludf.DUMMYFUNCTION("""COMPUTED_VALUE"""),45338.0)</f>
        <v>45338</v>
      </c>
      <c r="C23" s="12">
        <f>IFERROR(__xludf.DUMMYFUNCTION("""COMPUTED_VALUE"""),286.0)</f>
        <v>286</v>
      </c>
      <c r="D23" s="12">
        <f>IFERROR(__xludf.DUMMYFUNCTION("""COMPUTED_VALUE"""),14.0)</f>
        <v>14</v>
      </c>
      <c r="E23" s="12">
        <f>IFERROR(__xludf.DUMMYFUNCTION("""COMPUTED_VALUE"""),1.0)</f>
        <v>1</v>
      </c>
      <c r="F23" s="12">
        <f>IFERROR(__xludf.DUMMYFUNCTION("""COMPUTED_VALUE"""),1.0)</f>
        <v>1</v>
      </c>
      <c r="G23" s="15" t="str">
        <f>IFERROR(__xludf.DUMMYFUNCTION("""COMPUTED_VALUE"""),"Completa")</f>
        <v>Completa</v>
      </c>
      <c r="H23" s="16" t="str">
        <f t="array" ref="H23">_xlfn.XLOOKUP(D23,Productos[ID_Producto],Productos[Nombre_Producto])</f>
        <v>Facturas</v>
      </c>
      <c r="I23" s="17">
        <f t="array" ref="I23">_xlfn.XLOOKUP(D23,Productos[ID_Producto],Productos[Precio_Unitario])</f>
        <v>12.36</v>
      </c>
      <c r="J23" s="17">
        <f t="shared" si="1"/>
        <v>12.36</v>
      </c>
      <c r="K23" s="16" t="str">
        <f t="array" ref="K23">_xlfn.XLOOKUP(C23,Clientes[ID_Cliente],Clientes[Provincia])</f>
        <v>Córdoba</v>
      </c>
      <c r="L23" s="16" t="str">
        <f t="array" ref="L23">CONCATENATE(_xlfn.XLOOKUP(C23,Clientes[ID_Cliente],Clientes[Provincia]),", Argentina")</f>
        <v>Córdoba, Argentina</v>
      </c>
      <c r="M23" s="20" t="str">
        <f t="array" ref="M23">_xlfn.XLOOKUP(F23,Metodos_De_Pago[ID_Metodo],Metodos_De_Pago[Metodo])</f>
        <v>Efectivo</v>
      </c>
      <c r="N23" s="20" t="str">
        <f t="shared" si="2"/>
        <v>2024 02</v>
      </c>
    </row>
    <row r="24" ht="22.5" customHeight="1">
      <c r="A24" s="12">
        <f>IFERROR(__xludf.DUMMYFUNCTION("""COMPUTED_VALUE"""),1253.0)</f>
        <v>1253</v>
      </c>
      <c r="B24" s="13">
        <f>IFERROR(__xludf.DUMMYFUNCTION("""COMPUTED_VALUE"""),45338.0)</f>
        <v>45338</v>
      </c>
      <c r="C24" s="12">
        <f>IFERROR(__xludf.DUMMYFUNCTION("""COMPUTED_VALUE"""),50.0)</f>
        <v>50</v>
      </c>
      <c r="D24" s="12">
        <f>IFERROR(__xludf.DUMMYFUNCTION("""COMPUTED_VALUE"""),13.0)</f>
        <v>13</v>
      </c>
      <c r="E24" s="12">
        <f>IFERROR(__xludf.DUMMYFUNCTION("""COMPUTED_VALUE"""),1.0)</f>
        <v>1</v>
      </c>
      <c r="F24" s="12">
        <f>IFERROR(__xludf.DUMMYFUNCTION("""COMPUTED_VALUE"""),2.0)</f>
        <v>2</v>
      </c>
      <c r="G24" s="15" t="str">
        <f>IFERROR(__xludf.DUMMYFUNCTION("""COMPUTED_VALUE"""),"Completa")</f>
        <v>Completa</v>
      </c>
      <c r="H24" s="16" t="str">
        <f t="array" ref="H24">_xlfn.XLOOKUP(D24,Productos[ID_Producto],Productos[Nombre_Producto])</f>
        <v>Pan integral</v>
      </c>
      <c r="I24" s="17">
        <f t="array" ref="I24">_xlfn.XLOOKUP(D24,Productos[ID_Producto],Productos[Precio_Unitario])</f>
        <v>12.56</v>
      </c>
      <c r="J24" s="17">
        <f t="shared" si="1"/>
        <v>12.56</v>
      </c>
      <c r="K24" s="16" t="str">
        <f t="array" ref="K24">_xlfn.XLOOKUP(C24,Clientes[ID_Cliente],Clientes[Provincia])</f>
        <v>Buenos Aires</v>
      </c>
      <c r="L24" s="16" t="str">
        <f t="array" ref="L24">CONCATENATE(_xlfn.XLOOKUP(C24,Clientes[ID_Cliente],Clientes[Provincia]),", Argentina")</f>
        <v>Buenos Aires, Argentina</v>
      </c>
      <c r="M24" s="20" t="str">
        <f t="array" ref="M24">_xlfn.XLOOKUP(F24,Metodos_De_Pago[ID_Metodo],Metodos_De_Pago[Metodo])</f>
        <v>Tarjeta de Crédito</v>
      </c>
      <c r="N24" s="20" t="str">
        <f t="shared" si="2"/>
        <v>2024 02</v>
      </c>
    </row>
    <row r="25" ht="22.5" customHeight="1">
      <c r="A25" s="12">
        <f>IFERROR(__xludf.DUMMYFUNCTION("""COMPUTED_VALUE"""),1479.0)</f>
        <v>1479</v>
      </c>
      <c r="B25" s="13">
        <f>IFERROR(__xludf.DUMMYFUNCTION("""COMPUTED_VALUE"""),45338.0)</f>
        <v>45338</v>
      </c>
      <c r="C25" s="12">
        <f>IFERROR(__xludf.DUMMYFUNCTION("""COMPUTED_VALUE"""),211.0)</f>
        <v>211</v>
      </c>
      <c r="D25" s="12">
        <f>IFERROR(__xludf.DUMMYFUNCTION("""COMPUTED_VALUE"""),33.0)</f>
        <v>33</v>
      </c>
      <c r="E25" s="12">
        <f>IFERROR(__xludf.DUMMYFUNCTION("""COMPUTED_VALUE"""),1.0)</f>
        <v>1</v>
      </c>
      <c r="F25" s="12">
        <f>IFERROR(__xludf.DUMMYFUNCTION("""COMPUTED_VALUE"""),1.0)</f>
        <v>1</v>
      </c>
      <c r="G25" s="15" t="str">
        <f>IFERROR(__xludf.DUMMYFUNCTION("""COMPUTED_VALUE"""),"Completa")</f>
        <v>Completa</v>
      </c>
      <c r="H25" s="16" t="str">
        <f t="array" ref="H25">_xlfn.XLOOKUP(D25,Productos[ID_Producto],Productos[Nombre_Producto])</f>
        <v>Papas chips</v>
      </c>
      <c r="I25" s="17">
        <f t="array" ref="I25">_xlfn.XLOOKUP(D25,Productos[ID_Producto],Productos[Precio_Unitario])</f>
        <v>8.54</v>
      </c>
      <c r="J25" s="17">
        <f t="shared" si="1"/>
        <v>8.54</v>
      </c>
      <c r="K25" s="16" t="str">
        <f t="array" ref="K25">_xlfn.XLOOKUP(C25,Clientes[ID_Cliente],Clientes[Provincia])</f>
        <v>Córdoba</v>
      </c>
      <c r="L25" s="16" t="str">
        <f t="array" ref="L25">CONCATENATE(_xlfn.XLOOKUP(C25,Clientes[ID_Cliente],Clientes[Provincia]),", Argentina")</f>
        <v>Córdoba, Argentina</v>
      </c>
      <c r="M25" s="20" t="str">
        <f t="array" ref="M25">_xlfn.XLOOKUP(F25,Metodos_De_Pago[ID_Metodo],Metodos_De_Pago[Metodo])</f>
        <v>Efectivo</v>
      </c>
      <c r="N25" s="20" t="str">
        <f t="shared" si="2"/>
        <v>2024 02</v>
      </c>
    </row>
    <row r="26" ht="22.5" customHeight="1">
      <c r="A26" s="12">
        <f>IFERROR(__xludf.DUMMYFUNCTION("""COMPUTED_VALUE"""),2375.0)</f>
        <v>2375</v>
      </c>
      <c r="B26" s="13">
        <f>IFERROR(__xludf.DUMMYFUNCTION("""COMPUTED_VALUE"""),45339.0)</f>
        <v>45339</v>
      </c>
      <c r="C26" s="12">
        <f>IFERROR(__xludf.DUMMYFUNCTION("""COMPUTED_VALUE"""),82.0)</f>
        <v>82</v>
      </c>
      <c r="D26" s="12">
        <f>IFERROR(__xludf.DUMMYFUNCTION("""COMPUTED_VALUE"""),38.0)</f>
        <v>38</v>
      </c>
      <c r="E26" s="12">
        <f>IFERROR(__xludf.DUMMYFUNCTION("""COMPUTED_VALUE"""),1.0)</f>
        <v>1</v>
      </c>
      <c r="F26" s="12">
        <f>IFERROR(__xludf.DUMMYFUNCTION("""COMPUTED_VALUE"""),3.0)</f>
        <v>3</v>
      </c>
      <c r="G26" s="15" t="str">
        <f>IFERROR(__xludf.DUMMYFUNCTION("""COMPUTED_VALUE"""),"Completa")</f>
        <v>Completa</v>
      </c>
      <c r="H26" s="16" t="str">
        <f t="array" ref="H26">_xlfn.XLOOKUP(D26,Productos[ID_Producto],Productos[Nombre_Producto])</f>
        <v>Atún enlatado</v>
      </c>
      <c r="I26" s="17">
        <f t="array" ref="I26">_xlfn.XLOOKUP(D26,Productos[ID_Producto],Productos[Precio_Unitario])</f>
        <v>6.21</v>
      </c>
      <c r="J26" s="17">
        <f t="shared" si="1"/>
        <v>6.21</v>
      </c>
      <c r="K26" s="16" t="str">
        <f t="array" ref="K26">_xlfn.XLOOKUP(C26,Clientes[ID_Cliente],Clientes[Provincia])</f>
        <v>Buenos Aires</v>
      </c>
      <c r="L26" s="16" t="str">
        <f t="array" ref="L26">CONCATENATE(_xlfn.XLOOKUP(C26,Clientes[ID_Cliente],Clientes[Provincia]),", Argentina")</f>
        <v>Buenos Aires, Argentina</v>
      </c>
      <c r="M26" s="20" t="str">
        <f t="array" ref="M26">_xlfn.XLOOKUP(F26,Metodos_De_Pago[ID_Metodo],Metodos_De_Pago[Metodo])</f>
        <v>Tarjeta de Débito</v>
      </c>
      <c r="N26" s="20" t="str">
        <f t="shared" si="2"/>
        <v>2024 02</v>
      </c>
    </row>
    <row r="27" ht="22.5" customHeight="1">
      <c r="A27" s="12">
        <f>IFERROR(__xludf.DUMMYFUNCTION("""COMPUTED_VALUE"""),223.0)</f>
        <v>223</v>
      </c>
      <c r="B27" s="13">
        <f>IFERROR(__xludf.DUMMYFUNCTION("""COMPUTED_VALUE"""),45340.0)</f>
        <v>45340</v>
      </c>
      <c r="C27" s="12">
        <f>IFERROR(__xludf.DUMMYFUNCTION("""COMPUTED_VALUE"""),221.0)</f>
        <v>221</v>
      </c>
      <c r="D27" s="12">
        <f>IFERROR(__xludf.DUMMYFUNCTION("""COMPUTED_VALUE"""),29.0)</f>
        <v>29</v>
      </c>
      <c r="E27" s="12">
        <f>IFERROR(__xludf.DUMMYFUNCTION("""COMPUTED_VALUE"""),1.0)</f>
        <v>1</v>
      </c>
      <c r="F27" s="12">
        <f>IFERROR(__xludf.DUMMYFUNCTION("""COMPUTED_VALUE"""),5.0)</f>
        <v>5</v>
      </c>
      <c r="G27" s="15" t="str">
        <f>IFERROR(__xludf.DUMMYFUNCTION("""COMPUTED_VALUE"""),"Completa")</f>
        <v>Completa</v>
      </c>
      <c r="H27" s="16" t="str">
        <f t="array" ref="H27">_xlfn.XLOOKUP(D27,Productos[ID_Producto],Productos[Nombre_Producto])</f>
        <v>Cerveza</v>
      </c>
      <c r="I27" s="17">
        <f t="array" ref="I27">_xlfn.XLOOKUP(D27,Productos[ID_Producto],Productos[Precio_Unitario])</f>
        <v>11.54</v>
      </c>
      <c r="J27" s="17">
        <f t="shared" si="1"/>
        <v>11.54</v>
      </c>
      <c r="K27" s="16" t="str">
        <f t="array" ref="K27">_xlfn.XLOOKUP(C27,Clientes[ID_Cliente],Clientes[Provincia])</f>
        <v>Buenos Aires</v>
      </c>
      <c r="L27" s="16" t="str">
        <f t="array" ref="L27">CONCATENATE(_xlfn.XLOOKUP(C27,Clientes[ID_Cliente],Clientes[Provincia]),", Argentina")</f>
        <v>Buenos Aires, Argentina</v>
      </c>
      <c r="M27" s="20" t="str">
        <f t="array" ref="M27">_xlfn.XLOOKUP(F27,Metodos_De_Pago[ID_Metodo],Metodos_De_Pago[Metodo])</f>
        <v>Transferencia</v>
      </c>
      <c r="N27" s="20" t="str">
        <f t="shared" si="2"/>
        <v>2024 02</v>
      </c>
    </row>
    <row r="28" ht="22.5" customHeight="1">
      <c r="A28" s="12">
        <f>IFERROR(__xludf.DUMMYFUNCTION("""COMPUTED_VALUE"""),434.0)</f>
        <v>434</v>
      </c>
      <c r="B28" s="13">
        <f>IFERROR(__xludf.DUMMYFUNCTION("""COMPUTED_VALUE"""),45340.0)</f>
        <v>45340</v>
      </c>
      <c r="C28" s="12">
        <f>IFERROR(__xludf.DUMMYFUNCTION("""COMPUTED_VALUE"""),90.0)</f>
        <v>90</v>
      </c>
      <c r="D28" s="12">
        <f>IFERROR(__xludf.DUMMYFUNCTION("""COMPUTED_VALUE"""),23.0)</f>
        <v>23</v>
      </c>
      <c r="E28" s="12">
        <f>IFERROR(__xludf.DUMMYFUNCTION("""COMPUTED_VALUE"""),1.0)</f>
        <v>1</v>
      </c>
      <c r="F28" s="12">
        <f>IFERROR(__xludf.DUMMYFUNCTION("""COMPUTED_VALUE"""),5.0)</f>
        <v>5</v>
      </c>
      <c r="G28" s="15" t="str">
        <f>IFERROR(__xludf.DUMMYFUNCTION("""COMPUTED_VALUE"""),"Completa")</f>
        <v>Completa</v>
      </c>
      <c r="H28" s="16" t="str">
        <f t="array" ref="H28">_xlfn.XLOOKUP(D28,Productos[ID_Producto],Productos[Nombre_Producto])</f>
        <v>Papas fritas</v>
      </c>
      <c r="I28" s="17">
        <f t="array" ref="I28">_xlfn.XLOOKUP(D28,Productos[ID_Producto],Productos[Precio_Unitario])</f>
        <v>8.23</v>
      </c>
      <c r="J28" s="17">
        <f t="shared" si="1"/>
        <v>8.23</v>
      </c>
      <c r="K28" s="16" t="str">
        <f t="array" ref="K28">_xlfn.XLOOKUP(C28,Clientes[ID_Cliente],Clientes[Provincia])</f>
        <v>Buenos Aires</v>
      </c>
      <c r="L28" s="16" t="str">
        <f t="array" ref="L28">CONCATENATE(_xlfn.XLOOKUP(C28,Clientes[ID_Cliente],Clientes[Provincia]),", Argentina")</f>
        <v>Buenos Aires, Argentina</v>
      </c>
      <c r="M28" s="20" t="str">
        <f t="array" ref="M28">_xlfn.XLOOKUP(F28,Metodos_De_Pago[ID_Metodo],Metodos_De_Pago[Metodo])</f>
        <v>Transferencia</v>
      </c>
      <c r="N28" s="20" t="str">
        <f t="shared" si="2"/>
        <v>2024 02</v>
      </c>
    </row>
    <row r="29" ht="22.5" customHeight="1">
      <c r="A29" s="12">
        <f>IFERROR(__xludf.DUMMYFUNCTION("""COMPUTED_VALUE"""),2969.0)</f>
        <v>2969</v>
      </c>
      <c r="B29" s="13">
        <f>IFERROR(__xludf.DUMMYFUNCTION("""COMPUTED_VALUE"""),45341.0)</f>
        <v>45341</v>
      </c>
      <c r="C29" s="12">
        <f>IFERROR(__xludf.DUMMYFUNCTION("""COMPUTED_VALUE"""),128.0)</f>
        <v>128</v>
      </c>
      <c r="D29" s="12">
        <f>IFERROR(__xludf.DUMMYFUNCTION("""COMPUTED_VALUE"""),9.0)</f>
        <v>9</v>
      </c>
      <c r="E29" s="12">
        <f>IFERROR(__xludf.DUMMYFUNCTION("""COMPUTED_VALUE"""),1.0)</f>
        <v>1</v>
      </c>
      <c r="F29" s="12">
        <f>IFERROR(__xludf.DUMMYFUNCTION("""COMPUTED_VALUE"""),5.0)</f>
        <v>5</v>
      </c>
      <c r="G29" s="15" t="str">
        <f>IFERROR(__xludf.DUMMYFUNCTION("""COMPUTED_VALUE"""),"Completa")</f>
        <v>Completa</v>
      </c>
      <c r="H29" s="16" t="str">
        <f t="array" ref="H29">_xlfn.XLOOKUP(D29,Productos[ID_Producto],Productos[Nombre_Producto])</f>
        <v>Pollo</v>
      </c>
      <c r="I29" s="17">
        <f t="array" ref="I29">_xlfn.XLOOKUP(D29,Productos[ID_Producto],Productos[Precio_Unitario])</f>
        <v>18.56</v>
      </c>
      <c r="J29" s="17">
        <f t="shared" si="1"/>
        <v>18.56</v>
      </c>
      <c r="K29" s="16" t="str">
        <f t="array" ref="K29">_xlfn.XLOOKUP(C29,Clientes[ID_Cliente],Clientes[Provincia])</f>
        <v>Buenos Aires</v>
      </c>
      <c r="L29" s="16" t="str">
        <f t="array" ref="L29">CONCATENATE(_xlfn.XLOOKUP(C29,Clientes[ID_Cliente],Clientes[Provincia]),", Argentina")</f>
        <v>Buenos Aires, Argentina</v>
      </c>
      <c r="M29" s="20" t="str">
        <f t="array" ref="M29">_xlfn.XLOOKUP(F29,Metodos_De_Pago[ID_Metodo],Metodos_De_Pago[Metodo])</f>
        <v>Transferencia</v>
      </c>
      <c r="N29" s="20" t="str">
        <f t="shared" si="2"/>
        <v>2024 02</v>
      </c>
    </row>
    <row r="30" ht="22.5" customHeight="1">
      <c r="A30" s="12">
        <f>IFERROR(__xludf.DUMMYFUNCTION("""COMPUTED_VALUE"""),2929.0)</f>
        <v>2929</v>
      </c>
      <c r="B30" s="13">
        <f>IFERROR(__xludf.DUMMYFUNCTION("""COMPUTED_VALUE"""),45342.0)</f>
        <v>45342</v>
      </c>
      <c r="C30" s="12">
        <f>IFERROR(__xludf.DUMMYFUNCTION("""COMPUTED_VALUE"""),28.0)</f>
        <v>28</v>
      </c>
      <c r="D30" s="12">
        <f>IFERROR(__xludf.DUMMYFUNCTION("""COMPUTED_VALUE"""),11.0)</f>
        <v>11</v>
      </c>
      <c r="E30" s="12">
        <f>IFERROR(__xludf.DUMMYFUNCTION("""COMPUTED_VALUE"""),1.0)</f>
        <v>1</v>
      </c>
      <c r="F30" s="12">
        <f>IFERROR(__xludf.DUMMYFUNCTION("""COMPUTED_VALUE"""),3.0)</f>
        <v>3</v>
      </c>
      <c r="G30" s="15" t="str">
        <f>IFERROR(__xludf.DUMMYFUNCTION("""COMPUTED_VALUE"""),"Completa")</f>
        <v>Completa</v>
      </c>
      <c r="H30" s="16" t="str">
        <f t="array" ref="H30">_xlfn.XLOOKUP(D30,Productos[ID_Producto],Productos[Nombre_Producto])</f>
        <v>Salchicha</v>
      </c>
      <c r="I30" s="17">
        <f t="array" ref="I30">_xlfn.XLOOKUP(D30,Productos[ID_Producto],Productos[Precio_Unitario])</f>
        <v>11.23</v>
      </c>
      <c r="J30" s="17">
        <f t="shared" si="1"/>
        <v>11.23</v>
      </c>
      <c r="K30" s="16" t="str">
        <f t="array" ref="K30">_xlfn.XLOOKUP(C30,Clientes[ID_Cliente],Clientes[Provincia])</f>
        <v>Chaco</v>
      </c>
      <c r="L30" s="16" t="str">
        <f t="array" ref="L30">CONCATENATE(_xlfn.XLOOKUP(C30,Clientes[ID_Cliente],Clientes[Provincia]),", Argentina")</f>
        <v>Chaco, Argentina</v>
      </c>
      <c r="M30" s="20" t="str">
        <f t="array" ref="M30">_xlfn.XLOOKUP(F30,Metodos_De_Pago[ID_Metodo],Metodos_De_Pago[Metodo])</f>
        <v>Tarjeta de Débito</v>
      </c>
      <c r="N30" s="20" t="str">
        <f t="shared" si="2"/>
        <v>2024 02</v>
      </c>
    </row>
    <row r="31" ht="22.5" customHeight="1">
      <c r="A31" s="12">
        <f>IFERROR(__xludf.DUMMYFUNCTION("""COMPUTED_VALUE"""),168.0)</f>
        <v>168</v>
      </c>
      <c r="B31" s="13">
        <f>IFERROR(__xludf.DUMMYFUNCTION("""COMPUTED_VALUE"""),45343.0)</f>
        <v>45343</v>
      </c>
      <c r="C31" s="12">
        <f>IFERROR(__xludf.DUMMYFUNCTION("""COMPUTED_VALUE"""),186.0)</f>
        <v>186</v>
      </c>
      <c r="D31" s="12">
        <f>IFERROR(__xludf.DUMMYFUNCTION("""COMPUTED_VALUE"""),2.0)</f>
        <v>2</v>
      </c>
      <c r="E31" s="12">
        <f>IFERROR(__xludf.DUMMYFUNCTION("""COMPUTED_VALUE"""),1.0)</f>
        <v>1</v>
      </c>
      <c r="F31" s="12">
        <f>IFERROR(__xludf.DUMMYFUNCTION("""COMPUTED_VALUE"""),4.0)</f>
        <v>4</v>
      </c>
      <c r="G31" s="15" t="str">
        <f>IFERROR(__xludf.DUMMYFUNCTION("""COMPUTED_VALUE"""),"Completa")</f>
        <v>Completa</v>
      </c>
      <c r="H31" s="16" t="str">
        <f t="array" ref="H31">_xlfn.XLOOKUP(D31,Productos[ID_Producto],Productos[Nombre_Producto])</f>
        <v>Yogur</v>
      </c>
      <c r="I31" s="17">
        <f t="array" ref="I31">_xlfn.XLOOKUP(D31,Productos[ID_Producto],Productos[Precio_Unitario])</f>
        <v>5.21</v>
      </c>
      <c r="J31" s="17">
        <f t="shared" si="1"/>
        <v>5.21</v>
      </c>
      <c r="K31" s="16" t="str">
        <f t="array" ref="K31">_xlfn.XLOOKUP(C31,Clientes[ID_Cliente],Clientes[Provincia])</f>
        <v>Neuquén</v>
      </c>
      <c r="L31" s="16" t="str">
        <f t="array" ref="L31">CONCATENATE(_xlfn.XLOOKUP(C31,Clientes[ID_Cliente],Clientes[Provincia]),", Argentina")</f>
        <v>Neuquén, Argentina</v>
      </c>
      <c r="M31" s="20" t="str">
        <f t="array" ref="M31">_xlfn.XLOOKUP(F31,Metodos_De_Pago[ID_Metodo],Metodos_De_Pago[Metodo])</f>
        <v>Mercado Pago</v>
      </c>
      <c r="N31" s="20" t="str">
        <f t="shared" si="2"/>
        <v>2024 02</v>
      </c>
    </row>
    <row r="32" ht="22.5" customHeight="1">
      <c r="A32" s="12">
        <f>IFERROR(__xludf.DUMMYFUNCTION("""COMPUTED_VALUE"""),691.0)</f>
        <v>691</v>
      </c>
      <c r="B32" s="13">
        <f>IFERROR(__xludf.DUMMYFUNCTION("""COMPUTED_VALUE"""),45343.0)</f>
        <v>45343</v>
      </c>
      <c r="C32" s="12">
        <f>IFERROR(__xludf.DUMMYFUNCTION("""COMPUTED_VALUE"""),175.0)</f>
        <v>175</v>
      </c>
      <c r="D32" s="12">
        <f>IFERROR(__xludf.DUMMYFUNCTION("""COMPUTED_VALUE"""),14.0)</f>
        <v>14</v>
      </c>
      <c r="E32" s="12">
        <f>IFERROR(__xludf.DUMMYFUNCTION("""COMPUTED_VALUE"""),1.0)</f>
        <v>1</v>
      </c>
      <c r="F32" s="12">
        <f>IFERROR(__xludf.DUMMYFUNCTION("""COMPUTED_VALUE"""),1.0)</f>
        <v>1</v>
      </c>
      <c r="G32" s="15" t="str">
        <f>IFERROR(__xludf.DUMMYFUNCTION("""COMPUTED_VALUE"""),"Completa")</f>
        <v>Completa</v>
      </c>
      <c r="H32" s="16" t="str">
        <f t="array" ref="H32">_xlfn.XLOOKUP(D32,Productos[ID_Producto],Productos[Nombre_Producto])</f>
        <v>Facturas</v>
      </c>
      <c r="I32" s="17">
        <f t="array" ref="I32">_xlfn.XLOOKUP(D32,Productos[ID_Producto],Productos[Precio_Unitario])</f>
        <v>12.36</v>
      </c>
      <c r="J32" s="17">
        <f t="shared" si="1"/>
        <v>12.36</v>
      </c>
      <c r="K32" s="16" t="str">
        <f t="array" ref="K32">_xlfn.XLOOKUP(C32,Clientes[ID_Cliente],Clientes[Provincia])</f>
        <v>Buenos Aires</v>
      </c>
      <c r="L32" s="16" t="str">
        <f t="array" ref="L32">CONCATENATE(_xlfn.XLOOKUP(C32,Clientes[ID_Cliente],Clientes[Provincia]),", Argentina")</f>
        <v>Buenos Aires, Argentina</v>
      </c>
      <c r="M32" s="20" t="str">
        <f t="array" ref="M32">_xlfn.XLOOKUP(F32,Metodos_De_Pago[ID_Metodo],Metodos_De_Pago[Metodo])</f>
        <v>Efectivo</v>
      </c>
      <c r="N32" s="20" t="str">
        <f t="shared" si="2"/>
        <v>2024 02</v>
      </c>
    </row>
    <row r="33" ht="22.5" customHeight="1">
      <c r="A33" s="12">
        <f>IFERROR(__xludf.DUMMYFUNCTION("""COMPUTED_VALUE"""),1200.0)</f>
        <v>1200</v>
      </c>
      <c r="B33" s="13">
        <f>IFERROR(__xludf.DUMMYFUNCTION("""COMPUTED_VALUE"""),45344.0)</f>
        <v>45344</v>
      </c>
      <c r="C33" s="12">
        <f>IFERROR(__xludf.DUMMYFUNCTION("""COMPUTED_VALUE"""),143.0)</f>
        <v>143</v>
      </c>
      <c r="D33" s="12">
        <f>IFERROR(__xludf.DUMMYFUNCTION("""COMPUTED_VALUE"""),32.0)</f>
        <v>32</v>
      </c>
      <c r="E33" s="12">
        <f>IFERROR(__xludf.DUMMYFUNCTION("""COMPUTED_VALUE"""),1.0)</f>
        <v>1</v>
      </c>
      <c r="F33" s="12">
        <f>IFERROR(__xludf.DUMMYFUNCTION("""COMPUTED_VALUE"""),5.0)</f>
        <v>5</v>
      </c>
      <c r="G33" s="15" t="str">
        <f>IFERROR(__xludf.DUMMYFUNCTION("""COMPUTED_VALUE"""),"Pendiente")</f>
        <v>Pendiente</v>
      </c>
      <c r="H33" s="16" t="str">
        <f t="array" ref="H33">_xlfn.XLOOKUP(D33,Productos[ID_Producto],Productos[Nombre_Producto])</f>
        <v>Galletitas de chocolate</v>
      </c>
      <c r="I33" s="17">
        <f t="array" ref="I33">_xlfn.XLOOKUP(D33,Productos[ID_Producto],Productos[Precio_Unitario])</f>
        <v>6.25</v>
      </c>
      <c r="J33" s="17">
        <f t="shared" si="1"/>
        <v>6.25</v>
      </c>
      <c r="K33" s="16" t="str">
        <f t="array" ref="K33">_xlfn.XLOOKUP(C33,Clientes[ID_Cliente],Clientes[Provincia])</f>
        <v>Buenos Aires</v>
      </c>
      <c r="L33" s="16" t="str">
        <f t="array" ref="L33">CONCATENATE(_xlfn.XLOOKUP(C33,Clientes[ID_Cliente],Clientes[Provincia]),", Argentina")</f>
        <v>Buenos Aires, Argentina</v>
      </c>
      <c r="M33" s="20" t="str">
        <f t="array" ref="M33">_xlfn.XLOOKUP(F33,Metodos_De_Pago[ID_Metodo],Metodos_De_Pago[Metodo])</f>
        <v>Transferencia</v>
      </c>
      <c r="N33" s="20" t="str">
        <f t="shared" si="2"/>
        <v>2024 02</v>
      </c>
    </row>
    <row r="34" ht="22.5" customHeight="1">
      <c r="A34" s="12">
        <f>IFERROR(__xludf.DUMMYFUNCTION("""COMPUTED_VALUE"""),2206.0)</f>
        <v>2206</v>
      </c>
      <c r="B34" s="13">
        <f>IFERROR(__xludf.DUMMYFUNCTION("""COMPUTED_VALUE"""),45344.0)</f>
        <v>45344</v>
      </c>
      <c r="C34" s="12">
        <f>IFERROR(__xludf.DUMMYFUNCTION("""COMPUTED_VALUE"""),236.0)</f>
        <v>236</v>
      </c>
      <c r="D34" s="12">
        <f>IFERROR(__xludf.DUMMYFUNCTION("""COMPUTED_VALUE"""),23.0)</f>
        <v>23</v>
      </c>
      <c r="E34" s="12">
        <f>IFERROR(__xludf.DUMMYFUNCTION("""COMPUTED_VALUE"""),1.0)</f>
        <v>1</v>
      </c>
      <c r="F34" s="12">
        <f>IFERROR(__xludf.DUMMYFUNCTION("""COMPUTED_VALUE"""),1.0)</f>
        <v>1</v>
      </c>
      <c r="G34" s="15" t="str">
        <f>IFERROR(__xludf.DUMMYFUNCTION("""COMPUTED_VALUE"""),"Completa")</f>
        <v>Completa</v>
      </c>
      <c r="H34" s="16" t="str">
        <f t="array" ref="H34">_xlfn.XLOOKUP(D34,Productos[ID_Producto],Productos[Nombre_Producto])</f>
        <v>Papas fritas</v>
      </c>
      <c r="I34" s="17">
        <f t="array" ref="I34">_xlfn.XLOOKUP(D34,Productos[ID_Producto],Productos[Precio_Unitario])</f>
        <v>8.23</v>
      </c>
      <c r="J34" s="17">
        <f t="shared" si="1"/>
        <v>8.23</v>
      </c>
      <c r="K34" s="16" t="str">
        <f t="array" ref="K34">_xlfn.XLOOKUP(C34,Clientes[ID_Cliente],Clientes[Provincia])</f>
        <v>Buenos Aires</v>
      </c>
      <c r="L34" s="16" t="str">
        <f t="array" ref="L34">CONCATENATE(_xlfn.XLOOKUP(C34,Clientes[ID_Cliente],Clientes[Provincia]),", Argentina")</f>
        <v>Buenos Aires, Argentina</v>
      </c>
      <c r="M34" s="20" t="str">
        <f t="array" ref="M34">_xlfn.XLOOKUP(F34,Metodos_De_Pago[ID_Metodo],Metodos_De_Pago[Metodo])</f>
        <v>Efectivo</v>
      </c>
      <c r="N34" s="20" t="str">
        <f t="shared" si="2"/>
        <v>2024 02</v>
      </c>
    </row>
    <row r="35" ht="22.5" customHeight="1">
      <c r="A35" s="12">
        <f>IFERROR(__xludf.DUMMYFUNCTION("""COMPUTED_VALUE"""),88.0)</f>
        <v>88</v>
      </c>
      <c r="B35" s="13">
        <f>IFERROR(__xludf.DUMMYFUNCTION("""COMPUTED_VALUE"""),45346.0)</f>
        <v>45346</v>
      </c>
      <c r="C35" s="12">
        <f>IFERROR(__xludf.DUMMYFUNCTION("""COMPUTED_VALUE"""),176.0)</f>
        <v>176</v>
      </c>
      <c r="D35" s="12">
        <f>IFERROR(__xludf.DUMMYFUNCTION("""COMPUTED_VALUE"""),37.0)</f>
        <v>37</v>
      </c>
      <c r="E35" s="12">
        <f>IFERROR(__xludf.DUMMYFUNCTION("""COMPUTED_VALUE"""),1.0)</f>
        <v>1</v>
      </c>
      <c r="F35" s="12">
        <f>IFERROR(__xludf.DUMMYFUNCTION("""COMPUTED_VALUE"""),5.0)</f>
        <v>5</v>
      </c>
      <c r="G35" s="15" t="str">
        <f>IFERROR(__xludf.DUMMYFUNCTION("""COMPUTED_VALUE"""),"Completa")</f>
        <v>Completa</v>
      </c>
      <c r="H35" s="16" t="str">
        <f t="array" ref="H35">_xlfn.XLOOKUP(D35,Productos[ID_Producto],Productos[Nombre_Producto])</f>
        <v>Garbanzos</v>
      </c>
      <c r="I35" s="17">
        <f t="array" ref="I35">_xlfn.XLOOKUP(D35,Productos[ID_Producto],Productos[Precio_Unitario])</f>
        <v>3.65</v>
      </c>
      <c r="J35" s="17">
        <f t="shared" si="1"/>
        <v>3.65</v>
      </c>
      <c r="K35" s="16" t="str">
        <f t="array" ref="K35">_xlfn.XLOOKUP(C35,Clientes[ID_Cliente],Clientes[Provincia])</f>
        <v>Chaco</v>
      </c>
      <c r="L35" s="16" t="str">
        <f t="array" ref="L35">CONCATENATE(_xlfn.XLOOKUP(C35,Clientes[ID_Cliente],Clientes[Provincia]),", Argentina")</f>
        <v>Chaco, Argentina</v>
      </c>
      <c r="M35" s="20" t="str">
        <f t="array" ref="M35">_xlfn.XLOOKUP(F35,Metodos_De_Pago[ID_Metodo],Metodos_De_Pago[Metodo])</f>
        <v>Transferencia</v>
      </c>
      <c r="N35" s="20" t="str">
        <f t="shared" si="2"/>
        <v>2024 02</v>
      </c>
    </row>
    <row r="36" ht="22.5" customHeight="1">
      <c r="A36" s="12">
        <f>IFERROR(__xludf.DUMMYFUNCTION("""COMPUTED_VALUE"""),267.0)</f>
        <v>267</v>
      </c>
      <c r="B36" s="13">
        <f>IFERROR(__xludf.DUMMYFUNCTION("""COMPUTED_VALUE"""),45346.0)</f>
        <v>45346</v>
      </c>
      <c r="C36" s="12">
        <f>IFERROR(__xludf.DUMMYFUNCTION("""COMPUTED_VALUE"""),273.0)</f>
        <v>273</v>
      </c>
      <c r="D36" s="12">
        <f>IFERROR(__xludf.DUMMYFUNCTION("""COMPUTED_VALUE"""),13.0)</f>
        <v>13</v>
      </c>
      <c r="E36" s="12">
        <f>IFERROR(__xludf.DUMMYFUNCTION("""COMPUTED_VALUE"""),1.0)</f>
        <v>1</v>
      </c>
      <c r="F36" s="12">
        <f>IFERROR(__xludf.DUMMYFUNCTION("""COMPUTED_VALUE"""),4.0)</f>
        <v>4</v>
      </c>
      <c r="G36" s="15" t="str">
        <f>IFERROR(__xludf.DUMMYFUNCTION("""COMPUTED_VALUE"""),"Pendiente")</f>
        <v>Pendiente</v>
      </c>
      <c r="H36" s="16" t="str">
        <f t="array" ref="H36">_xlfn.XLOOKUP(D36,Productos[ID_Producto],Productos[Nombre_Producto])</f>
        <v>Pan integral</v>
      </c>
      <c r="I36" s="17">
        <f t="array" ref="I36">_xlfn.XLOOKUP(D36,Productos[ID_Producto],Productos[Precio_Unitario])</f>
        <v>12.56</v>
      </c>
      <c r="J36" s="17">
        <f t="shared" si="1"/>
        <v>12.56</v>
      </c>
      <c r="K36" s="16" t="str">
        <f t="array" ref="K36">_xlfn.XLOOKUP(C36,Clientes[ID_Cliente],Clientes[Provincia])</f>
        <v>San Luis</v>
      </c>
      <c r="L36" s="16" t="str">
        <f t="array" ref="L36">CONCATENATE(_xlfn.XLOOKUP(C36,Clientes[ID_Cliente],Clientes[Provincia]),", Argentina")</f>
        <v>San Luis, Argentina</v>
      </c>
      <c r="M36" s="20" t="str">
        <f t="array" ref="M36">_xlfn.XLOOKUP(F36,Metodos_De_Pago[ID_Metodo],Metodos_De_Pago[Metodo])</f>
        <v>Mercado Pago</v>
      </c>
      <c r="N36" s="20" t="str">
        <f t="shared" si="2"/>
        <v>2024 02</v>
      </c>
    </row>
    <row r="37" ht="22.5" customHeight="1">
      <c r="A37" s="12">
        <f>IFERROR(__xludf.DUMMYFUNCTION("""COMPUTED_VALUE"""),783.0)</f>
        <v>783</v>
      </c>
      <c r="B37" s="13">
        <f>IFERROR(__xludf.DUMMYFUNCTION("""COMPUTED_VALUE"""),45346.0)</f>
        <v>45346</v>
      </c>
      <c r="C37" s="12">
        <f>IFERROR(__xludf.DUMMYFUNCTION("""COMPUTED_VALUE"""),124.0)</f>
        <v>124</v>
      </c>
      <c r="D37" s="12">
        <f>IFERROR(__xludf.DUMMYFUNCTION("""COMPUTED_VALUE"""),30.0)</f>
        <v>30</v>
      </c>
      <c r="E37" s="12">
        <f>IFERROR(__xludf.DUMMYFUNCTION("""COMPUTED_VALUE"""),1.0)</f>
        <v>1</v>
      </c>
      <c r="F37" s="12">
        <f>IFERROR(__xludf.DUMMYFUNCTION("""COMPUTED_VALUE"""),2.0)</f>
        <v>2</v>
      </c>
      <c r="G37" s="15" t="str">
        <f>IFERROR(__xludf.DUMMYFUNCTION("""COMPUTED_VALUE"""),"Completa")</f>
        <v>Completa</v>
      </c>
      <c r="H37" s="16" t="str">
        <f t="array" ref="H37">_xlfn.XLOOKUP(D37,Productos[ID_Producto],Productos[Nombre_Producto])</f>
        <v>Vino tinto</v>
      </c>
      <c r="I37" s="17">
        <f t="array" ref="I37">_xlfn.XLOOKUP(D37,Productos[ID_Producto],Productos[Precio_Unitario])</f>
        <v>13.54</v>
      </c>
      <c r="J37" s="17">
        <f t="shared" si="1"/>
        <v>13.54</v>
      </c>
      <c r="K37" s="16" t="str">
        <f t="array" ref="K37">_xlfn.XLOOKUP(C37,Clientes[ID_Cliente],Clientes[Provincia])</f>
        <v>Chaco</v>
      </c>
      <c r="L37" s="16" t="str">
        <f t="array" ref="L37">CONCATENATE(_xlfn.XLOOKUP(C37,Clientes[ID_Cliente],Clientes[Provincia]),", Argentina")</f>
        <v>Chaco, Argentina</v>
      </c>
      <c r="M37" s="20" t="str">
        <f t="array" ref="M37">_xlfn.XLOOKUP(F37,Metodos_De_Pago[ID_Metodo],Metodos_De_Pago[Metodo])</f>
        <v>Tarjeta de Crédito</v>
      </c>
      <c r="N37" s="20" t="str">
        <f t="shared" si="2"/>
        <v>2024 02</v>
      </c>
    </row>
    <row r="38" ht="22.5" customHeight="1">
      <c r="A38" s="12">
        <f>IFERROR(__xludf.DUMMYFUNCTION("""COMPUTED_VALUE"""),948.0)</f>
        <v>948</v>
      </c>
      <c r="B38" s="13">
        <f>IFERROR(__xludf.DUMMYFUNCTION("""COMPUTED_VALUE"""),45346.0)</f>
        <v>45346</v>
      </c>
      <c r="C38" s="12">
        <f>IFERROR(__xludf.DUMMYFUNCTION("""COMPUTED_VALUE"""),218.0)</f>
        <v>218</v>
      </c>
      <c r="D38" s="12">
        <f>IFERROR(__xludf.DUMMYFUNCTION("""COMPUTED_VALUE"""),11.0)</f>
        <v>11</v>
      </c>
      <c r="E38" s="12">
        <f>IFERROR(__xludf.DUMMYFUNCTION("""COMPUTED_VALUE"""),1.0)</f>
        <v>1</v>
      </c>
      <c r="F38" s="12">
        <f>IFERROR(__xludf.DUMMYFUNCTION("""COMPUTED_VALUE"""),4.0)</f>
        <v>4</v>
      </c>
      <c r="G38" s="15" t="str">
        <f>IFERROR(__xludf.DUMMYFUNCTION("""COMPUTED_VALUE"""),"Completa")</f>
        <v>Completa</v>
      </c>
      <c r="H38" s="16" t="str">
        <f t="array" ref="H38">_xlfn.XLOOKUP(D38,Productos[ID_Producto],Productos[Nombre_Producto])</f>
        <v>Salchicha</v>
      </c>
      <c r="I38" s="17">
        <f t="array" ref="I38">_xlfn.XLOOKUP(D38,Productos[ID_Producto],Productos[Precio_Unitario])</f>
        <v>11.23</v>
      </c>
      <c r="J38" s="17">
        <f t="shared" si="1"/>
        <v>11.23</v>
      </c>
      <c r="K38" s="16" t="str">
        <f t="array" ref="K38">_xlfn.XLOOKUP(C38,Clientes[ID_Cliente],Clientes[Provincia])</f>
        <v>Córdoba</v>
      </c>
      <c r="L38" s="16" t="str">
        <f t="array" ref="L38">CONCATENATE(_xlfn.XLOOKUP(C38,Clientes[ID_Cliente],Clientes[Provincia]),", Argentina")</f>
        <v>Córdoba, Argentina</v>
      </c>
      <c r="M38" s="20" t="str">
        <f t="array" ref="M38">_xlfn.XLOOKUP(F38,Metodos_De_Pago[ID_Metodo],Metodos_De_Pago[Metodo])</f>
        <v>Mercado Pago</v>
      </c>
      <c r="N38" s="20" t="str">
        <f t="shared" si="2"/>
        <v>2024 02</v>
      </c>
    </row>
    <row r="39" ht="22.5" customHeight="1">
      <c r="A39" s="12">
        <f>IFERROR(__xludf.DUMMYFUNCTION("""COMPUTED_VALUE"""),134.0)</f>
        <v>134</v>
      </c>
      <c r="B39" s="13">
        <f>IFERROR(__xludf.DUMMYFUNCTION("""COMPUTED_VALUE"""),45347.0)</f>
        <v>45347</v>
      </c>
      <c r="C39" s="12">
        <f>IFERROR(__xludf.DUMMYFUNCTION("""COMPUTED_VALUE"""),308.0)</f>
        <v>308</v>
      </c>
      <c r="D39" s="12">
        <f>IFERROR(__xludf.DUMMYFUNCTION("""COMPUTED_VALUE"""),10.0)</f>
        <v>10</v>
      </c>
      <c r="E39" s="12">
        <f>IFERROR(__xludf.DUMMYFUNCTION("""COMPUTED_VALUE"""),1.0)</f>
        <v>1</v>
      </c>
      <c r="F39" s="12">
        <f>IFERROR(__xludf.DUMMYFUNCTION("""COMPUTED_VALUE"""),4.0)</f>
        <v>4</v>
      </c>
      <c r="G39" s="15" t="str">
        <f>IFERROR(__xludf.DUMMYFUNCTION("""COMPUTED_VALUE"""),"Completa")</f>
        <v>Completa</v>
      </c>
      <c r="H39" s="16" t="str">
        <f t="array" ref="H39">_xlfn.XLOOKUP(D39,Productos[ID_Producto],Productos[Nombre_Producto])</f>
        <v>Costilla de cerdo</v>
      </c>
      <c r="I39" s="17">
        <f t="array" ref="I39">_xlfn.XLOOKUP(D39,Productos[ID_Producto],Productos[Precio_Unitario])</f>
        <v>14.25</v>
      </c>
      <c r="J39" s="17">
        <f t="shared" si="1"/>
        <v>14.25</v>
      </c>
      <c r="K39" s="16" t="str">
        <f t="array" ref="K39">_xlfn.XLOOKUP(C39,Clientes[ID_Cliente],Clientes[Provincia])</f>
        <v>Córdoba</v>
      </c>
      <c r="L39" s="16" t="str">
        <f t="array" ref="L39">CONCATENATE(_xlfn.XLOOKUP(C39,Clientes[ID_Cliente],Clientes[Provincia]),", Argentina")</f>
        <v>Córdoba, Argentina</v>
      </c>
      <c r="M39" s="20" t="str">
        <f t="array" ref="M39">_xlfn.XLOOKUP(F39,Metodos_De_Pago[ID_Metodo],Metodos_De_Pago[Metodo])</f>
        <v>Mercado Pago</v>
      </c>
      <c r="N39" s="20" t="str">
        <f t="shared" si="2"/>
        <v>2024 02</v>
      </c>
    </row>
    <row r="40" ht="22.5" customHeight="1">
      <c r="A40" s="12">
        <f>IFERROR(__xludf.DUMMYFUNCTION("""COMPUTED_VALUE"""),2155.0)</f>
        <v>2155</v>
      </c>
      <c r="B40" s="13">
        <f>IFERROR(__xludf.DUMMYFUNCTION("""COMPUTED_VALUE"""),45347.0)</f>
        <v>45347</v>
      </c>
      <c r="C40" s="12">
        <f>IFERROR(__xludf.DUMMYFUNCTION("""COMPUTED_VALUE"""),162.0)</f>
        <v>162</v>
      </c>
      <c r="D40" s="12">
        <f>IFERROR(__xludf.DUMMYFUNCTION("""COMPUTED_VALUE"""),17.0)</f>
        <v>17</v>
      </c>
      <c r="E40" s="12">
        <f>IFERROR(__xludf.DUMMYFUNCTION("""COMPUTED_VALUE"""),1.0)</f>
        <v>1</v>
      </c>
      <c r="F40" s="12">
        <f>IFERROR(__xludf.DUMMYFUNCTION("""COMPUTED_VALUE"""),3.0)</f>
        <v>3</v>
      </c>
      <c r="G40" s="15" t="str">
        <f>IFERROR(__xludf.DUMMYFUNCTION("""COMPUTED_VALUE"""),"Pendiente")</f>
        <v>Pendiente</v>
      </c>
      <c r="H40" s="16" t="str">
        <f t="array" ref="H40">_xlfn.XLOOKUP(D40,Productos[ID_Producto],Productos[Nombre_Producto])</f>
        <v>Manzanas</v>
      </c>
      <c r="I40" s="17">
        <f t="array" ref="I40">_xlfn.XLOOKUP(D40,Productos[ID_Producto],Productos[Precio_Unitario])</f>
        <v>6.54</v>
      </c>
      <c r="J40" s="17">
        <f t="shared" si="1"/>
        <v>6.54</v>
      </c>
      <c r="K40" s="16" t="str">
        <f t="array" ref="K40">_xlfn.XLOOKUP(C40,Clientes[ID_Cliente],Clientes[Provincia])</f>
        <v>Neuquén</v>
      </c>
      <c r="L40" s="16" t="str">
        <f t="array" ref="L40">CONCATENATE(_xlfn.XLOOKUP(C40,Clientes[ID_Cliente],Clientes[Provincia]),", Argentina")</f>
        <v>Neuquén, Argentina</v>
      </c>
      <c r="M40" s="20" t="str">
        <f t="array" ref="M40">_xlfn.XLOOKUP(F40,Metodos_De_Pago[ID_Metodo],Metodos_De_Pago[Metodo])</f>
        <v>Tarjeta de Débito</v>
      </c>
      <c r="N40" s="20" t="str">
        <f t="shared" si="2"/>
        <v>2024 02</v>
      </c>
    </row>
    <row r="41" ht="22.5" customHeight="1">
      <c r="A41" s="12">
        <f>IFERROR(__xludf.DUMMYFUNCTION("""COMPUTED_VALUE"""),577.0)</f>
        <v>577</v>
      </c>
      <c r="B41" s="13">
        <f>IFERROR(__xludf.DUMMYFUNCTION("""COMPUTED_VALUE"""),45348.0)</f>
        <v>45348</v>
      </c>
      <c r="C41" s="12">
        <f>IFERROR(__xludf.DUMMYFUNCTION("""COMPUTED_VALUE"""),169.0)</f>
        <v>169</v>
      </c>
      <c r="D41" s="12">
        <f>IFERROR(__xludf.DUMMYFUNCTION("""COMPUTED_VALUE"""),3.0)</f>
        <v>3</v>
      </c>
      <c r="E41" s="12">
        <f>IFERROR(__xludf.DUMMYFUNCTION("""COMPUTED_VALUE"""),1.0)</f>
        <v>1</v>
      </c>
      <c r="F41" s="12">
        <f>IFERROR(__xludf.DUMMYFUNCTION("""COMPUTED_VALUE"""),3.0)</f>
        <v>3</v>
      </c>
      <c r="G41" s="15" t="str">
        <f>IFERROR(__xludf.DUMMYFUNCTION("""COMPUTED_VALUE"""),"Completa")</f>
        <v>Completa</v>
      </c>
      <c r="H41" s="16" t="str">
        <f t="array" ref="H41">_xlfn.XLOOKUP(D41,Productos[ID_Producto],Productos[Nombre_Producto])</f>
        <v>Queso cremoso</v>
      </c>
      <c r="I41" s="17">
        <f t="array" ref="I41">_xlfn.XLOOKUP(D41,Productos[ID_Producto],Productos[Precio_Unitario])</f>
        <v>17.23</v>
      </c>
      <c r="J41" s="17">
        <f t="shared" si="1"/>
        <v>17.23</v>
      </c>
      <c r="K41" s="16" t="str">
        <f t="array" ref="K41">_xlfn.XLOOKUP(C41,Clientes[ID_Cliente],Clientes[Provincia])</f>
        <v>Córdoba</v>
      </c>
      <c r="L41" s="16" t="str">
        <f t="array" ref="L41">CONCATENATE(_xlfn.XLOOKUP(C41,Clientes[ID_Cliente],Clientes[Provincia]),", Argentina")</f>
        <v>Córdoba, Argentina</v>
      </c>
      <c r="M41" s="20" t="str">
        <f t="array" ref="M41">_xlfn.XLOOKUP(F41,Metodos_De_Pago[ID_Metodo],Metodos_De_Pago[Metodo])</f>
        <v>Tarjeta de Débito</v>
      </c>
      <c r="N41" s="20" t="str">
        <f t="shared" si="2"/>
        <v>2024 02</v>
      </c>
    </row>
    <row r="42" ht="22.5" customHeight="1">
      <c r="A42" s="12">
        <f>IFERROR(__xludf.DUMMYFUNCTION("""COMPUTED_VALUE"""),2067.0)</f>
        <v>2067</v>
      </c>
      <c r="B42" s="13">
        <f>IFERROR(__xludf.DUMMYFUNCTION("""COMPUTED_VALUE"""),45348.0)</f>
        <v>45348</v>
      </c>
      <c r="C42" s="12">
        <f>IFERROR(__xludf.DUMMYFUNCTION("""COMPUTED_VALUE"""),73.0)</f>
        <v>73</v>
      </c>
      <c r="D42" s="12">
        <f>IFERROR(__xludf.DUMMYFUNCTION("""COMPUTED_VALUE"""),23.0)</f>
        <v>23</v>
      </c>
      <c r="E42" s="12">
        <f>IFERROR(__xludf.DUMMYFUNCTION("""COMPUTED_VALUE"""),1.0)</f>
        <v>1</v>
      </c>
      <c r="F42" s="12">
        <f>IFERROR(__xludf.DUMMYFUNCTION("""COMPUTED_VALUE"""),4.0)</f>
        <v>4</v>
      </c>
      <c r="G42" s="15" t="str">
        <f>IFERROR(__xludf.DUMMYFUNCTION("""COMPUTED_VALUE"""),"Completa")</f>
        <v>Completa</v>
      </c>
      <c r="H42" s="16" t="str">
        <f t="array" ref="H42">_xlfn.XLOOKUP(D42,Productos[ID_Producto],Productos[Nombre_Producto])</f>
        <v>Papas fritas</v>
      </c>
      <c r="I42" s="17">
        <f t="array" ref="I42">_xlfn.XLOOKUP(D42,Productos[ID_Producto],Productos[Precio_Unitario])</f>
        <v>8.23</v>
      </c>
      <c r="J42" s="17">
        <f t="shared" si="1"/>
        <v>8.23</v>
      </c>
      <c r="K42" s="16" t="str">
        <f t="array" ref="K42">_xlfn.XLOOKUP(C42,Clientes[ID_Cliente],Clientes[Provincia])</f>
        <v>Córdoba</v>
      </c>
      <c r="L42" s="16" t="str">
        <f t="array" ref="L42">CONCATENATE(_xlfn.XLOOKUP(C42,Clientes[ID_Cliente],Clientes[Provincia]),", Argentina")</f>
        <v>Córdoba, Argentina</v>
      </c>
      <c r="M42" s="20" t="str">
        <f t="array" ref="M42">_xlfn.XLOOKUP(F42,Metodos_De_Pago[ID_Metodo],Metodos_De_Pago[Metodo])</f>
        <v>Mercado Pago</v>
      </c>
      <c r="N42" s="20" t="str">
        <f t="shared" si="2"/>
        <v>2024 02</v>
      </c>
    </row>
    <row r="43" ht="22.5" customHeight="1">
      <c r="A43" s="12">
        <f>IFERROR(__xludf.DUMMYFUNCTION("""COMPUTED_VALUE"""),2248.0)</f>
        <v>2248</v>
      </c>
      <c r="B43" s="13">
        <f>IFERROR(__xludf.DUMMYFUNCTION("""COMPUTED_VALUE"""),45349.0)</f>
        <v>45349</v>
      </c>
      <c r="C43" s="12">
        <f>IFERROR(__xludf.DUMMYFUNCTION("""COMPUTED_VALUE"""),16.0)</f>
        <v>16</v>
      </c>
      <c r="D43" s="12">
        <f>IFERROR(__xludf.DUMMYFUNCTION("""COMPUTED_VALUE"""),22.0)</f>
        <v>22</v>
      </c>
      <c r="E43" s="12">
        <f>IFERROR(__xludf.DUMMYFUNCTION("""COMPUTED_VALUE"""),1.0)</f>
        <v>1</v>
      </c>
      <c r="F43" s="12">
        <f>IFERROR(__xludf.DUMMYFUNCTION("""COMPUTED_VALUE"""),4.0)</f>
        <v>4</v>
      </c>
      <c r="G43" s="15" t="str">
        <f>IFERROR(__xludf.DUMMYFUNCTION("""COMPUTED_VALUE"""),"Pendiente")</f>
        <v>Pendiente</v>
      </c>
      <c r="H43" s="16" t="str">
        <f t="array" ref="H43">_xlfn.XLOOKUP(D43,Productos[ID_Producto],Productos[Nombre_Producto])</f>
        <v>Cebolla</v>
      </c>
      <c r="I43" s="17">
        <f t="array" ref="I43">_xlfn.XLOOKUP(D43,Productos[ID_Producto],Productos[Precio_Unitario])</f>
        <v>4.21</v>
      </c>
      <c r="J43" s="17">
        <f t="shared" si="1"/>
        <v>4.21</v>
      </c>
      <c r="K43" s="16" t="str">
        <f t="array" ref="K43">_xlfn.XLOOKUP(C43,Clientes[ID_Cliente],Clientes[Provincia])</f>
        <v>Buenos Aires</v>
      </c>
      <c r="L43" s="16" t="str">
        <f t="array" ref="L43">CONCATENATE(_xlfn.XLOOKUP(C43,Clientes[ID_Cliente],Clientes[Provincia]),", Argentina")</f>
        <v>Buenos Aires, Argentina</v>
      </c>
      <c r="M43" s="20" t="str">
        <f t="array" ref="M43">_xlfn.XLOOKUP(F43,Metodos_De_Pago[ID_Metodo],Metodos_De_Pago[Metodo])</f>
        <v>Mercado Pago</v>
      </c>
      <c r="N43" s="20" t="str">
        <f t="shared" si="2"/>
        <v>2024 02</v>
      </c>
    </row>
    <row r="44" ht="22.5" customHeight="1">
      <c r="A44" s="12">
        <f>IFERROR(__xludf.DUMMYFUNCTION("""COMPUTED_VALUE"""),2901.0)</f>
        <v>2901</v>
      </c>
      <c r="B44" s="13">
        <f>IFERROR(__xludf.DUMMYFUNCTION("""COMPUTED_VALUE"""),45349.0)</f>
        <v>45349</v>
      </c>
      <c r="C44" s="12">
        <f>IFERROR(__xludf.DUMMYFUNCTION("""COMPUTED_VALUE"""),34.0)</f>
        <v>34</v>
      </c>
      <c r="D44" s="12">
        <f>IFERROR(__xludf.DUMMYFUNCTION("""COMPUTED_VALUE"""),19.0)</f>
        <v>19</v>
      </c>
      <c r="E44" s="12">
        <f>IFERROR(__xludf.DUMMYFUNCTION("""COMPUTED_VALUE"""),1.0)</f>
        <v>1</v>
      </c>
      <c r="F44" s="12">
        <f>IFERROR(__xludf.DUMMYFUNCTION("""COMPUTED_VALUE"""),4.0)</f>
        <v>4</v>
      </c>
      <c r="G44" s="15" t="str">
        <f>IFERROR(__xludf.DUMMYFUNCTION("""COMPUTED_VALUE"""),"Completa")</f>
        <v>Completa</v>
      </c>
      <c r="H44" s="16" t="str">
        <f t="array" ref="H44">_xlfn.XLOOKUP(D44,Productos[ID_Producto],Productos[Nombre_Producto])</f>
        <v>Tomates</v>
      </c>
      <c r="I44" s="17">
        <f t="array" ref="I44">_xlfn.XLOOKUP(D44,Productos[ID_Producto],Productos[Precio_Unitario])</f>
        <v>6.54</v>
      </c>
      <c r="J44" s="17">
        <f t="shared" si="1"/>
        <v>6.54</v>
      </c>
      <c r="K44" s="16" t="str">
        <f t="array" ref="K44">_xlfn.XLOOKUP(C44,Clientes[ID_Cliente],Clientes[Provincia])</f>
        <v>San Luis</v>
      </c>
      <c r="L44" s="16" t="str">
        <f t="array" ref="L44">CONCATENATE(_xlfn.XLOOKUP(C44,Clientes[ID_Cliente],Clientes[Provincia]),", Argentina")</f>
        <v>San Luis, Argentina</v>
      </c>
      <c r="M44" s="20" t="str">
        <f t="array" ref="M44">_xlfn.XLOOKUP(F44,Metodos_De_Pago[ID_Metodo],Metodos_De_Pago[Metodo])</f>
        <v>Mercado Pago</v>
      </c>
      <c r="N44" s="20" t="str">
        <f t="shared" si="2"/>
        <v>2024 02</v>
      </c>
    </row>
    <row r="45" ht="22.5" customHeight="1">
      <c r="A45" s="12">
        <f>IFERROR(__xludf.DUMMYFUNCTION("""COMPUTED_VALUE"""),1749.0)</f>
        <v>1749</v>
      </c>
      <c r="B45" s="13">
        <f>IFERROR(__xludf.DUMMYFUNCTION("""COMPUTED_VALUE"""),45350.0)</f>
        <v>45350</v>
      </c>
      <c r="C45" s="12">
        <f>IFERROR(__xludf.DUMMYFUNCTION("""COMPUTED_VALUE"""),95.0)</f>
        <v>95</v>
      </c>
      <c r="D45" s="12">
        <f>IFERROR(__xludf.DUMMYFUNCTION("""COMPUTED_VALUE"""),33.0)</f>
        <v>33</v>
      </c>
      <c r="E45" s="12">
        <f>IFERROR(__xludf.DUMMYFUNCTION("""COMPUTED_VALUE"""),1.0)</f>
        <v>1</v>
      </c>
      <c r="F45" s="12">
        <f>IFERROR(__xludf.DUMMYFUNCTION("""COMPUTED_VALUE"""),5.0)</f>
        <v>5</v>
      </c>
      <c r="G45" s="15" t="str">
        <f>IFERROR(__xludf.DUMMYFUNCTION("""COMPUTED_VALUE"""),"Completa")</f>
        <v>Completa</v>
      </c>
      <c r="H45" s="16" t="str">
        <f t="array" ref="H45">_xlfn.XLOOKUP(D45,Productos[ID_Producto],Productos[Nombre_Producto])</f>
        <v>Papas chips</v>
      </c>
      <c r="I45" s="17">
        <f t="array" ref="I45">_xlfn.XLOOKUP(D45,Productos[ID_Producto],Productos[Precio_Unitario])</f>
        <v>8.54</v>
      </c>
      <c r="J45" s="17">
        <f t="shared" si="1"/>
        <v>8.54</v>
      </c>
      <c r="K45" s="16" t="str">
        <f t="array" ref="K45">_xlfn.XLOOKUP(C45,Clientes[ID_Cliente],Clientes[Provincia])</f>
        <v>Buenos Aires</v>
      </c>
      <c r="L45" s="16" t="str">
        <f t="array" ref="L45">CONCATENATE(_xlfn.XLOOKUP(C45,Clientes[ID_Cliente],Clientes[Provincia]),", Argentina")</f>
        <v>Buenos Aires, Argentina</v>
      </c>
      <c r="M45" s="20" t="str">
        <f t="array" ref="M45">_xlfn.XLOOKUP(F45,Metodos_De_Pago[ID_Metodo],Metodos_De_Pago[Metodo])</f>
        <v>Transferencia</v>
      </c>
      <c r="N45" s="20" t="str">
        <f t="shared" si="2"/>
        <v>2024 02</v>
      </c>
    </row>
    <row r="46" ht="22.5" customHeight="1">
      <c r="A46" s="12">
        <f>IFERROR(__xludf.DUMMYFUNCTION("""COMPUTED_VALUE"""),2047.0)</f>
        <v>2047</v>
      </c>
      <c r="B46" s="13">
        <f>IFERROR(__xludf.DUMMYFUNCTION("""COMPUTED_VALUE"""),45350.0)</f>
        <v>45350</v>
      </c>
      <c r="C46" s="12">
        <f>IFERROR(__xludf.DUMMYFUNCTION("""COMPUTED_VALUE"""),117.0)</f>
        <v>117</v>
      </c>
      <c r="D46" s="12">
        <f>IFERROR(__xludf.DUMMYFUNCTION("""COMPUTED_VALUE"""),17.0)</f>
        <v>17</v>
      </c>
      <c r="E46" s="12">
        <f>IFERROR(__xludf.DUMMYFUNCTION("""COMPUTED_VALUE"""),1.0)</f>
        <v>1</v>
      </c>
      <c r="F46" s="12">
        <f>IFERROR(__xludf.DUMMYFUNCTION("""COMPUTED_VALUE"""),5.0)</f>
        <v>5</v>
      </c>
      <c r="G46" s="15" t="str">
        <f>IFERROR(__xludf.DUMMYFUNCTION("""COMPUTED_VALUE"""),"Completa")</f>
        <v>Completa</v>
      </c>
      <c r="H46" s="16" t="str">
        <f t="array" ref="H46">_xlfn.XLOOKUP(D46,Productos[ID_Producto],Productos[Nombre_Producto])</f>
        <v>Manzanas</v>
      </c>
      <c r="I46" s="17">
        <f t="array" ref="I46">_xlfn.XLOOKUP(D46,Productos[ID_Producto],Productos[Precio_Unitario])</f>
        <v>6.54</v>
      </c>
      <c r="J46" s="17">
        <f t="shared" si="1"/>
        <v>6.54</v>
      </c>
      <c r="K46" s="16" t="str">
        <f t="array" ref="K46">_xlfn.XLOOKUP(C46,Clientes[ID_Cliente],Clientes[Provincia])</f>
        <v>Salta</v>
      </c>
      <c r="L46" s="16" t="str">
        <f t="array" ref="L46">CONCATENATE(_xlfn.XLOOKUP(C46,Clientes[ID_Cliente],Clientes[Provincia]),", Argentina")</f>
        <v>Salta, Argentina</v>
      </c>
      <c r="M46" s="20" t="str">
        <f t="array" ref="M46">_xlfn.XLOOKUP(F46,Metodos_De_Pago[ID_Metodo],Metodos_De_Pago[Metodo])</f>
        <v>Transferencia</v>
      </c>
      <c r="N46" s="20" t="str">
        <f t="shared" si="2"/>
        <v>2024 02</v>
      </c>
    </row>
    <row r="47" ht="22.5" customHeight="1">
      <c r="A47" s="12">
        <f>IFERROR(__xludf.DUMMYFUNCTION("""COMPUTED_VALUE"""),1190.0)</f>
        <v>1190</v>
      </c>
      <c r="B47" s="13">
        <f>IFERROR(__xludf.DUMMYFUNCTION("""COMPUTED_VALUE"""),45351.0)</f>
        <v>45351</v>
      </c>
      <c r="C47" s="12">
        <f>IFERROR(__xludf.DUMMYFUNCTION("""COMPUTED_VALUE"""),119.0)</f>
        <v>119</v>
      </c>
      <c r="D47" s="12">
        <f>IFERROR(__xludf.DUMMYFUNCTION("""COMPUTED_VALUE"""),21.0)</f>
        <v>21</v>
      </c>
      <c r="E47" s="12">
        <f>IFERROR(__xludf.DUMMYFUNCTION("""COMPUTED_VALUE"""),1.0)</f>
        <v>1</v>
      </c>
      <c r="F47" s="12">
        <f>IFERROR(__xludf.DUMMYFUNCTION("""COMPUTED_VALUE"""),3.0)</f>
        <v>3</v>
      </c>
      <c r="G47" s="15" t="str">
        <f>IFERROR(__xludf.DUMMYFUNCTION("""COMPUTED_VALUE"""),"Completa")</f>
        <v>Completa</v>
      </c>
      <c r="H47" s="16" t="str">
        <f t="array" ref="H47">_xlfn.XLOOKUP(D47,Productos[ID_Producto],Productos[Nombre_Producto])</f>
        <v>Zanahorias</v>
      </c>
      <c r="I47" s="17">
        <f t="array" ref="I47">_xlfn.XLOOKUP(D47,Productos[ID_Producto],Productos[Precio_Unitario])</f>
        <v>3.25</v>
      </c>
      <c r="J47" s="17">
        <f t="shared" si="1"/>
        <v>3.25</v>
      </c>
      <c r="K47" s="16" t="str">
        <f t="array" ref="K47">_xlfn.XLOOKUP(C47,Clientes[ID_Cliente],Clientes[Provincia])</f>
        <v>Neuquén</v>
      </c>
      <c r="L47" s="16" t="str">
        <f t="array" ref="L47">CONCATENATE(_xlfn.XLOOKUP(C47,Clientes[ID_Cliente],Clientes[Provincia]),", Argentina")</f>
        <v>Neuquén, Argentina</v>
      </c>
      <c r="M47" s="20" t="str">
        <f t="array" ref="M47">_xlfn.XLOOKUP(F47,Metodos_De_Pago[ID_Metodo],Metodos_De_Pago[Metodo])</f>
        <v>Tarjeta de Débito</v>
      </c>
      <c r="N47" s="20" t="str">
        <f t="shared" si="2"/>
        <v>2024 02</v>
      </c>
    </row>
    <row r="48" ht="22.5" customHeight="1">
      <c r="A48" s="12">
        <f>IFERROR(__xludf.DUMMYFUNCTION("""COMPUTED_VALUE"""),1422.0)</f>
        <v>1422</v>
      </c>
      <c r="B48" s="13">
        <f>IFERROR(__xludf.DUMMYFUNCTION("""COMPUTED_VALUE"""),45352.0)</f>
        <v>45352</v>
      </c>
      <c r="C48" s="12">
        <f>IFERROR(__xludf.DUMMYFUNCTION("""COMPUTED_VALUE"""),58.0)</f>
        <v>58</v>
      </c>
      <c r="D48" s="12">
        <f>IFERROR(__xludf.DUMMYFUNCTION("""COMPUTED_VALUE"""),2.0)</f>
        <v>2</v>
      </c>
      <c r="E48" s="12">
        <f>IFERROR(__xludf.DUMMYFUNCTION("""COMPUTED_VALUE"""),1.0)</f>
        <v>1</v>
      </c>
      <c r="F48" s="12">
        <f>IFERROR(__xludf.DUMMYFUNCTION("""COMPUTED_VALUE"""),4.0)</f>
        <v>4</v>
      </c>
      <c r="G48" s="15" t="str">
        <f>IFERROR(__xludf.DUMMYFUNCTION("""COMPUTED_VALUE"""),"Completa")</f>
        <v>Completa</v>
      </c>
      <c r="H48" s="16" t="str">
        <f t="array" ref="H48">_xlfn.XLOOKUP(D48,Productos[ID_Producto],Productos[Nombre_Producto])</f>
        <v>Yogur</v>
      </c>
      <c r="I48" s="17">
        <f t="array" ref="I48">_xlfn.XLOOKUP(D48,Productos[ID_Producto],Productos[Precio_Unitario])</f>
        <v>5.21</v>
      </c>
      <c r="J48" s="17">
        <f t="shared" si="1"/>
        <v>5.21</v>
      </c>
      <c r="K48" s="16" t="str">
        <f t="array" ref="K48">_xlfn.XLOOKUP(C48,Clientes[ID_Cliente],Clientes[Provincia])</f>
        <v>Buenos Aires</v>
      </c>
      <c r="L48" s="16" t="str">
        <f t="array" ref="L48">CONCATENATE(_xlfn.XLOOKUP(C48,Clientes[ID_Cliente],Clientes[Provincia]),", Argentina")</f>
        <v>Buenos Aires, Argentina</v>
      </c>
      <c r="M48" s="20" t="str">
        <f t="array" ref="M48">_xlfn.XLOOKUP(F48,Metodos_De_Pago[ID_Metodo],Metodos_De_Pago[Metodo])</f>
        <v>Mercado Pago</v>
      </c>
      <c r="N48" s="20" t="str">
        <f t="shared" si="2"/>
        <v>2024 03</v>
      </c>
    </row>
    <row r="49" ht="22.5" customHeight="1">
      <c r="A49" s="12">
        <f>IFERROR(__xludf.DUMMYFUNCTION("""COMPUTED_VALUE"""),1535.0)</f>
        <v>1535</v>
      </c>
      <c r="B49" s="13">
        <f>IFERROR(__xludf.DUMMYFUNCTION("""COMPUTED_VALUE"""),45352.0)</f>
        <v>45352</v>
      </c>
      <c r="C49" s="12">
        <f>IFERROR(__xludf.DUMMYFUNCTION("""COMPUTED_VALUE"""),255.0)</f>
        <v>255</v>
      </c>
      <c r="D49" s="12">
        <f>IFERROR(__xludf.DUMMYFUNCTION("""COMPUTED_VALUE"""),8.0)</f>
        <v>8</v>
      </c>
      <c r="E49" s="12">
        <f>IFERROR(__xludf.DUMMYFUNCTION("""COMPUTED_VALUE"""),1.0)</f>
        <v>1</v>
      </c>
      <c r="F49" s="12">
        <f>IFERROR(__xludf.DUMMYFUNCTION("""COMPUTED_VALUE"""),3.0)</f>
        <v>3</v>
      </c>
      <c r="G49" s="15" t="str">
        <f>IFERROR(__xludf.DUMMYFUNCTION("""COMPUTED_VALUE"""),"Completa")</f>
        <v>Completa</v>
      </c>
      <c r="H49" s="16" t="str">
        <f t="array" ref="H49">_xlfn.XLOOKUP(D49,Productos[ID_Producto],Productos[Nombre_Producto])</f>
        <v>Milanesa</v>
      </c>
      <c r="I49" s="17">
        <f t="array" ref="I49">_xlfn.XLOOKUP(D49,Productos[ID_Producto],Productos[Precio_Unitario])</f>
        <v>16.21</v>
      </c>
      <c r="J49" s="17">
        <f t="shared" si="1"/>
        <v>16.21</v>
      </c>
      <c r="K49" s="16" t="str">
        <f t="array" ref="K49">_xlfn.XLOOKUP(C49,Clientes[ID_Cliente],Clientes[Provincia])</f>
        <v>Buenos Aires</v>
      </c>
      <c r="L49" s="16" t="str">
        <f t="array" ref="L49">CONCATENATE(_xlfn.XLOOKUP(C49,Clientes[ID_Cliente],Clientes[Provincia]),", Argentina")</f>
        <v>Buenos Aires, Argentina</v>
      </c>
      <c r="M49" s="20" t="str">
        <f t="array" ref="M49">_xlfn.XLOOKUP(F49,Metodos_De_Pago[ID_Metodo],Metodos_De_Pago[Metodo])</f>
        <v>Tarjeta de Débito</v>
      </c>
      <c r="N49" s="20" t="str">
        <f t="shared" si="2"/>
        <v>2024 03</v>
      </c>
    </row>
    <row r="50" ht="22.5" customHeight="1">
      <c r="A50" s="12">
        <f>IFERROR(__xludf.DUMMYFUNCTION("""COMPUTED_VALUE"""),2280.0)</f>
        <v>2280</v>
      </c>
      <c r="B50" s="13">
        <f>IFERROR(__xludf.DUMMYFUNCTION("""COMPUTED_VALUE"""),45352.0)</f>
        <v>45352</v>
      </c>
      <c r="C50" s="12">
        <f>IFERROR(__xludf.DUMMYFUNCTION("""COMPUTED_VALUE"""),134.0)</f>
        <v>134</v>
      </c>
      <c r="D50" s="12">
        <f>IFERROR(__xludf.DUMMYFUNCTION("""COMPUTED_VALUE"""),18.0)</f>
        <v>18</v>
      </c>
      <c r="E50" s="12">
        <f>IFERROR(__xludf.DUMMYFUNCTION("""COMPUTED_VALUE"""),1.0)</f>
        <v>1</v>
      </c>
      <c r="F50" s="12">
        <f>IFERROR(__xludf.DUMMYFUNCTION("""COMPUTED_VALUE"""),4.0)</f>
        <v>4</v>
      </c>
      <c r="G50" s="15" t="str">
        <f>IFERROR(__xludf.DUMMYFUNCTION("""COMPUTED_VALUE"""),"Completa")</f>
        <v>Completa</v>
      </c>
      <c r="H50" s="16" t="str">
        <f t="array" ref="H50">_xlfn.XLOOKUP(D50,Productos[ID_Producto],Productos[Nombre_Producto])</f>
        <v>Bananas</v>
      </c>
      <c r="I50" s="17">
        <f t="array" ref="I50">_xlfn.XLOOKUP(D50,Productos[ID_Producto],Productos[Precio_Unitario])</f>
        <v>7.25</v>
      </c>
      <c r="J50" s="17">
        <f t="shared" si="1"/>
        <v>7.25</v>
      </c>
      <c r="K50" s="16" t="str">
        <f t="array" ref="K50">_xlfn.XLOOKUP(C50,Clientes[ID_Cliente],Clientes[Provincia])</f>
        <v>San Luis</v>
      </c>
      <c r="L50" s="16" t="str">
        <f t="array" ref="L50">CONCATENATE(_xlfn.XLOOKUP(C50,Clientes[ID_Cliente],Clientes[Provincia]),", Argentina")</f>
        <v>San Luis, Argentina</v>
      </c>
      <c r="M50" s="20" t="str">
        <f t="array" ref="M50">_xlfn.XLOOKUP(F50,Metodos_De_Pago[ID_Metodo],Metodos_De_Pago[Metodo])</f>
        <v>Mercado Pago</v>
      </c>
      <c r="N50" s="20" t="str">
        <f t="shared" si="2"/>
        <v>2024 03</v>
      </c>
    </row>
    <row r="51" ht="22.5" customHeight="1">
      <c r="A51" s="12">
        <f>IFERROR(__xludf.DUMMYFUNCTION("""COMPUTED_VALUE"""),382.0)</f>
        <v>382</v>
      </c>
      <c r="B51" s="13">
        <f>IFERROR(__xludf.DUMMYFUNCTION("""COMPUTED_VALUE"""),45354.0)</f>
        <v>45354</v>
      </c>
      <c r="C51" s="12">
        <f>IFERROR(__xludf.DUMMYFUNCTION("""COMPUTED_VALUE"""),208.0)</f>
        <v>208</v>
      </c>
      <c r="D51" s="12">
        <f>IFERROR(__xludf.DUMMYFUNCTION("""COMPUTED_VALUE"""),12.0)</f>
        <v>12</v>
      </c>
      <c r="E51" s="12">
        <f>IFERROR(__xludf.DUMMYFUNCTION("""COMPUTED_VALUE"""),1.0)</f>
        <v>1</v>
      </c>
      <c r="F51" s="12">
        <f>IFERROR(__xludf.DUMMYFUNCTION("""COMPUTED_VALUE"""),3.0)</f>
        <v>3</v>
      </c>
      <c r="G51" s="15" t="str">
        <f>IFERROR(__xludf.DUMMYFUNCTION("""COMPUTED_VALUE"""),"Completa")</f>
        <v>Completa</v>
      </c>
      <c r="H51" s="16" t="str">
        <f t="array" ref="H51">_xlfn.XLOOKUP(D51,Productos[ID_Producto],Productos[Nombre_Producto])</f>
        <v>Pan francés</v>
      </c>
      <c r="I51" s="17">
        <f t="array" ref="I51">_xlfn.XLOOKUP(D51,Productos[ID_Producto],Productos[Precio_Unitario])</f>
        <v>8.12</v>
      </c>
      <c r="J51" s="17">
        <f t="shared" si="1"/>
        <v>8.12</v>
      </c>
      <c r="K51" s="16" t="str">
        <f t="array" ref="K51">_xlfn.XLOOKUP(C51,Clientes[ID_Cliente],Clientes[Provincia])</f>
        <v>Buenos Aires</v>
      </c>
      <c r="L51" s="16" t="str">
        <f t="array" ref="L51">CONCATENATE(_xlfn.XLOOKUP(C51,Clientes[ID_Cliente],Clientes[Provincia]),", Argentina")</f>
        <v>Buenos Aires, Argentina</v>
      </c>
      <c r="M51" s="20" t="str">
        <f t="array" ref="M51">_xlfn.XLOOKUP(F51,Metodos_De_Pago[ID_Metodo],Metodos_De_Pago[Metodo])</f>
        <v>Tarjeta de Débito</v>
      </c>
      <c r="N51" s="20" t="str">
        <f t="shared" si="2"/>
        <v>2024 03</v>
      </c>
    </row>
    <row r="52" ht="22.5" customHeight="1">
      <c r="A52" s="12">
        <f>IFERROR(__xludf.DUMMYFUNCTION("""COMPUTED_VALUE"""),1069.0)</f>
        <v>1069</v>
      </c>
      <c r="B52" s="13">
        <f>IFERROR(__xludf.DUMMYFUNCTION("""COMPUTED_VALUE"""),45354.0)</f>
        <v>45354</v>
      </c>
      <c r="C52" s="12">
        <f>IFERROR(__xludf.DUMMYFUNCTION("""COMPUTED_VALUE"""),37.0)</f>
        <v>37</v>
      </c>
      <c r="D52" s="12">
        <f>IFERROR(__xludf.DUMMYFUNCTION("""COMPUTED_VALUE"""),26.0)</f>
        <v>26</v>
      </c>
      <c r="E52" s="12">
        <f>IFERROR(__xludf.DUMMYFUNCTION("""COMPUTED_VALUE"""),1.0)</f>
        <v>1</v>
      </c>
      <c r="F52" s="12">
        <f>IFERROR(__xludf.DUMMYFUNCTION("""COMPUTED_VALUE"""),5.0)</f>
        <v>5</v>
      </c>
      <c r="G52" s="15" t="str">
        <f>IFERROR(__xludf.DUMMYFUNCTION("""COMPUTED_VALUE"""),"Completa")</f>
        <v>Completa</v>
      </c>
      <c r="H52" s="16" t="str">
        <f t="array" ref="H52">_xlfn.XLOOKUP(D52,Productos[ID_Producto],Productos[Nombre_Producto])</f>
        <v>Hamburgesas congeladas</v>
      </c>
      <c r="I52" s="17">
        <f t="array" ref="I52">_xlfn.XLOOKUP(D52,Productos[ID_Producto],Productos[Precio_Unitario])</f>
        <v>9.54</v>
      </c>
      <c r="J52" s="17">
        <f t="shared" si="1"/>
        <v>9.54</v>
      </c>
      <c r="K52" s="16" t="str">
        <f t="array" ref="K52">_xlfn.XLOOKUP(C52,Clientes[ID_Cliente],Clientes[Provincia])</f>
        <v>San Luis</v>
      </c>
      <c r="L52" s="16" t="str">
        <f t="array" ref="L52">CONCATENATE(_xlfn.XLOOKUP(C52,Clientes[ID_Cliente],Clientes[Provincia]),", Argentina")</f>
        <v>San Luis, Argentina</v>
      </c>
      <c r="M52" s="20" t="str">
        <f t="array" ref="M52">_xlfn.XLOOKUP(F52,Metodos_De_Pago[ID_Metodo],Metodos_De_Pago[Metodo])</f>
        <v>Transferencia</v>
      </c>
      <c r="N52" s="20" t="str">
        <f t="shared" si="2"/>
        <v>2024 03</v>
      </c>
    </row>
    <row r="53" ht="22.5" customHeight="1">
      <c r="A53" s="12">
        <f>IFERROR(__xludf.DUMMYFUNCTION("""COMPUTED_VALUE"""),1214.0)</f>
        <v>1214</v>
      </c>
      <c r="B53" s="13">
        <f>IFERROR(__xludf.DUMMYFUNCTION("""COMPUTED_VALUE"""),45354.0)</f>
        <v>45354</v>
      </c>
      <c r="C53" s="12">
        <f>IFERROR(__xludf.DUMMYFUNCTION("""COMPUTED_VALUE"""),67.0)</f>
        <v>67</v>
      </c>
      <c r="D53" s="12">
        <f>IFERROR(__xludf.DUMMYFUNCTION("""COMPUTED_VALUE"""),5.0)</f>
        <v>5</v>
      </c>
      <c r="E53" s="12">
        <f>IFERROR(__xludf.DUMMYFUNCTION("""COMPUTED_VALUE"""),1.0)</f>
        <v>1</v>
      </c>
      <c r="F53" s="12">
        <f>IFERROR(__xludf.DUMMYFUNCTION("""COMPUTED_VALUE"""),4.0)</f>
        <v>4</v>
      </c>
      <c r="G53" s="15" t="str">
        <f>IFERROR(__xludf.DUMMYFUNCTION("""COMPUTED_VALUE"""),"Completa")</f>
        <v>Completa</v>
      </c>
      <c r="H53" s="16" t="str">
        <f t="array" ref="H53">_xlfn.XLOOKUP(D53,Productos[ID_Producto],Productos[Nombre_Producto])</f>
        <v>Manteca</v>
      </c>
      <c r="I53" s="17">
        <f t="array" ref="I53">_xlfn.XLOOKUP(D53,Productos[ID_Producto],Productos[Precio_Unitario])</f>
        <v>5.65</v>
      </c>
      <c r="J53" s="17">
        <f t="shared" si="1"/>
        <v>5.65</v>
      </c>
      <c r="K53" s="16" t="str">
        <f t="array" ref="K53">_xlfn.XLOOKUP(C53,Clientes[ID_Cliente],Clientes[Provincia])</f>
        <v>Chaco</v>
      </c>
      <c r="L53" s="16" t="str">
        <f t="array" ref="L53">CONCATENATE(_xlfn.XLOOKUP(C53,Clientes[ID_Cliente],Clientes[Provincia]),", Argentina")</f>
        <v>Chaco, Argentina</v>
      </c>
      <c r="M53" s="20" t="str">
        <f t="array" ref="M53">_xlfn.XLOOKUP(F53,Metodos_De_Pago[ID_Metodo],Metodos_De_Pago[Metodo])</f>
        <v>Mercado Pago</v>
      </c>
      <c r="N53" s="20" t="str">
        <f t="shared" si="2"/>
        <v>2024 03</v>
      </c>
    </row>
    <row r="54" ht="22.5" customHeight="1">
      <c r="A54" s="12">
        <f>IFERROR(__xludf.DUMMYFUNCTION("""COMPUTED_VALUE"""),2391.0)</f>
        <v>2391</v>
      </c>
      <c r="B54" s="13">
        <f>IFERROR(__xludf.DUMMYFUNCTION("""COMPUTED_VALUE"""),45354.0)</f>
        <v>45354</v>
      </c>
      <c r="C54" s="12">
        <f>IFERROR(__xludf.DUMMYFUNCTION("""COMPUTED_VALUE"""),271.0)</f>
        <v>271</v>
      </c>
      <c r="D54" s="12">
        <f>IFERROR(__xludf.DUMMYFUNCTION("""COMPUTED_VALUE"""),32.0)</f>
        <v>32</v>
      </c>
      <c r="E54" s="12">
        <f>IFERROR(__xludf.DUMMYFUNCTION("""COMPUTED_VALUE"""),1.0)</f>
        <v>1</v>
      </c>
      <c r="F54" s="12">
        <f>IFERROR(__xludf.DUMMYFUNCTION("""COMPUTED_VALUE"""),4.0)</f>
        <v>4</v>
      </c>
      <c r="G54" s="15" t="str">
        <f>IFERROR(__xludf.DUMMYFUNCTION("""COMPUTED_VALUE"""),"Completa")</f>
        <v>Completa</v>
      </c>
      <c r="H54" s="16" t="str">
        <f t="array" ref="H54">_xlfn.XLOOKUP(D54,Productos[ID_Producto],Productos[Nombre_Producto])</f>
        <v>Galletitas de chocolate</v>
      </c>
      <c r="I54" s="17">
        <f t="array" ref="I54">_xlfn.XLOOKUP(D54,Productos[ID_Producto],Productos[Precio_Unitario])</f>
        <v>6.25</v>
      </c>
      <c r="J54" s="17">
        <f t="shared" si="1"/>
        <v>6.25</v>
      </c>
      <c r="K54" s="16" t="str">
        <f t="array" ref="K54">_xlfn.XLOOKUP(C54,Clientes[ID_Cliente],Clientes[Provincia])</f>
        <v>Neuquén</v>
      </c>
      <c r="L54" s="16" t="str">
        <f t="array" ref="L54">CONCATENATE(_xlfn.XLOOKUP(C54,Clientes[ID_Cliente],Clientes[Provincia]),", Argentina")</f>
        <v>Neuquén, Argentina</v>
      </c>
      <c r="M54" s="20" t="str">
        <f t="array" ref="M54">_xlfn.XLOOKUP(F54,Metodos_De_Pago[ID_Metodo],Metodos_De_Pago[Metodo])</f>
        <v>Mercado Pago</v>
      </c>
      <c r="N54" s="20" t="str">
        <f t="shared" si="2"/>
        <v>2024 03</v>
      </c>
    </row>
    <row r="55" ht="22.5" customHeight="1">
      <c r="A55" s="12">
        <f>IFERROR(__xludf.DUMMYFUNCTION("""COMPUTED_VALUE"""),2778.0)</f>
        <v>2778</v>
      </c>
      <c r="B55" s="13">
        <f>IFERROR(__xludf.DUMMYFUNCTION("""COMPUTED_VALUE"""),45354.0)</f>
        <v>45354</v>
      </c>
      <c r="C55" s="12">
        <f>IFERROR(__xludf.DUMMYFUNCTION("""COMPUTED_VALUE"""),64.0)</f>
        <v>64</v>
      </c>
      <c r="D55" s="12">
        <f>IFERROR(__xludf.DUMMYFUNCTION("""COMPUTED_VALUE"""),32.0)</f>
        <v>32</v>
      </c>
      <c r="E55" s="12">
        <f>IFERROR(__xludf.DUMMYFUNCTION("""COMPUTED_VALUE"""),1.0)</f>
        <v>1</v>
      </c>
      <c r="F55" s="12">
        <f>IFERROR(__xludf.DUMMYFUNCTION("""COMPUTED_VALUE"""),4.0)</f>
        <v>4</v>
      </c>
      <c r="G55" s="15" t="str">
        <f>IFERROR(__xludf.DUMMYFUNCTION("""COMPUTED_VALUE"""),"Completa")</f>
        <v>Completa</v>
      </c>
      <c r="H55" s="16" t="str">
        <f t="array" ref="H55">_xlfn.XLOOKUP(D55,Productos[ID_Producto],Productos[Nombre_Producto])</f>
        <v>Galletitas de chocolate</v>
      </c>
      <c r="I55" s="17">
        <f t="array" ref="I55">_xlfn.XLOOKUP(D55,Productos[ID_Producto],Productos[Precio_Unitario])</f>
        <v>6.25</v>
      </c>
      <c r="J55" s="17">
        <f t="shared" si="1"/>
        <v>6.25</v>
      </c>
      <c r="K55" s="16" t="str">
        <f t="array" ref="K55">_xlfn.XLOOKUP(C55,Clientes[ID_Cliente],Clientes[Provincia])</f>
        <v>Chaco</v>
      </c>
      <c r="L55" s="16" t="str">
        <f t="array" ref="L55">CONCATENATE(_xlfn.XLOOKUP(C55,Clientes[ID_Cliente],Clientes[Provincia]),", Argentina")</f>
        <v>Chaco, Argentina</v>
      </c>
      <c r="M55" s="20" t="str">
        <f t="array" ref="M55">_xlfn.XLOOKUP(F55,Metodos_De_Pago[ID_Metodo],Metodos_De_Pago[Metodo])</f>
        <v>Mercado Pago</v>
      </c>
      <c r="N55" s="20" t="str">
        <f t="shared" si="2"/>
        <v>2024 03</v>
      </c>
    </row>
    <row r="56" ht="22.5" customHeight="1">
      <c r="A56" s="12">
        <f>IFERROR(__xludf.DUMMYFUNCTION("""COMPUTED_VALUE"""),1531.0)</f>
        <v>1531</v>
      </c>
      <c r="B56" s="13">
        <f>IFERROR(__xludf.DUMMYFUNCTION("""COMPUTED_VALUE"""),45355.0)</f>
        <v>45355</v>
      </c>
      <c r="C56" s="12">
        <f>IFERROR(__xludf.DUMMYFUNCTION("""COMPUTED_VALUE"""),326.0)</f>
        <v>326</v>
      </c>
      <c r="D56" s="12">
        <f>IFERROR(__xludf.DUMMYFUNCTION("""COMPUTED_VALUE"""),14.0)</f>
        <v>14</v>
      </c>
      <c r="E56" s="12">
        <f>IFERROR(__xludf.DUMMYFUNCTION("""COMPUTED_VALUE"""),1.0)</f>
        <v>1</v>
      </c>
      <c r="F56" s="12">
        <f>IFERROR(__xludf.DUMMYFUNCTION("""COMPUTED_VALUE"""),3.0)</f>
        <v>3</v>
      </c>
      <c r="G56" s="15" t="str">
        <f>IFERROR(__xludf.DUMMYFUNCTION("""COMPUTED_VALUE"""),"Pendiente")</f>
        <v>Pendiente</v>
      </c>
      <c r="H56" s="16" t="str">
        <f t="array" ref="H56">_xlfn.XLOOKUP(D56,Productos[ID_Producto],Productos[Nombre_Producto])</f>
        <v>Facturas</v>
      </c>
      <c r="I56" s="17">
        <f t="array" ref="I56">_xlfn.XLOOKUP(D56,Productos[ID_Producto],Productos[Precio_Unitario])</f>
        <v>12.36</v>
      </c>
      <c r="J56" s="17">
        <f t="shared" si="1"/>
        <v>12.36</v>
      </c>
      <c r="K56" s="16" t="str">
        <f t="array" ref="K56">_xlfn.XLOOKUP(C56,Clientes[ID_Cliente],Clientes[Provincia])</f>
        <v>San Luis</v>
      </c>
      <c r="L56" s="16" t="str">
        <f t="array" ref="L56">CONCATENATE(_xlfn.XLOOKUP(C56,Clientes[ID_Cliente],Clientes[Provincia]),", Argentina")</f>
        <v>San Luis, Argentina</v>
      </c>
      <c r="M56" s="20" t="str">
        <f t="array" ref="M56">_xlfn.XLOOKUP(F56,Metodos_De_Pago[ID_Metodo],Metodos_De_Pago[Metodo])</f>
        <v>Tarjeta de Débito</v>
      </c>
      <c r="N56" s="20" t="str">
        <f t="shared" si="2"/>
        <v>2024 03</v>
      </c>
    </row>
    <row r="57" ht="22.5" customHeight="1">
      <c r="A57" s="12">
        <f>IFERROR(__xludf.DUMMYFUNCTION("""COMPUTED_VALUE"""),2157.0)</f>
        <v>2157</v>
      </c>
      <c r="B57" s="13">
        <f>IFERROR(__xludf.DUMMYFUNCTION("""COMPUTED_VALUE"""),45357.0)</f>
        <v>45357</v>
      </c>
      <c r="C57" s="12">
        <f>IFERROR(__xludf.DUMMYFUNCTION("""COMPUTED_VALUE"""),193.0)</f>
        <v>193</v>
      </c>
      <c r="D57" s="12">
        <f>IFERROR(__xludf.DUMMYFUNCTION("""COMPUTED_VALUE"""),2.0)</f>
        <v>2</v>
      </c>
      <c r="E57" s="12">
        <f>IFERROR(__xludf.DUMMYFUNCTION("""COMPUTED_VALUE"""),1.0)</f>
        <v>1</v>
      </c>
      <c r="F57" s="12">
        <f>IFERROR(__xludf.DUMMYFUNCTION("""COMPUTED_VALUE"""),3.0)</f>
        <v>3</v>
      </c>
      <c r="G57" s="15" t="str">
        <f>IFERROR(__xludf.DUMMYFUNCTION("""COMPUTED_VALUE"""),"Completa")</f>
        <v>Completa</v>
      </c>
      <c r="H57" s="16" t="str">
        <f t="array" ref="H57">_xlfn.XLOOKUP(D57,Productos[ID_Producto],Productos[Nombre_Producto])</f>
        <v>Yogur</v>
      </c>
      <c r="I57" s="17">
        <f t="array" ref="I57">_xlfn.XLOOKUP(D57,Productos[ID_Producto],Productos[Precio_Unitario])</f>
        <v>5.21</v>
      </c>
      <c r="J57" s="17">
        <f t="shared" si="1"/>
        <v>5.21</v>
      </c>
      <c r="K57" s="16" t="str">
        <f t="array" ref="K57">_xlfn.XLOOKUP(C57,Clientes[ID_Cliente],Clientes[Provincia])</f>
        <v>Buenos Aires</v>
      </c>
      <c r="L57" s="16" t="str">
        <f t="array" ref="L57">CONCATENATE(_xlfn.XLOOKUP(C57,Clientes[ID_Cliente],Clientes[Provincia]),", Argentina")</f>
        <v>Buenos Aires, Argentina</v>
      </c>
      <c r="M57" s="20" t="str">
        <f t="array" ref="M57">_xlfn.XLOOKUP(F57,Metodos_De_Pago[ID_Metodo],Metodos_De_Pago[Metodo])</f>
        <v>Tarjeta de Débito</v>
      </c>
      <c r="N57" s="20" t="str">
        <f t="shared" si="2"/>
        <v>2024 03</v>
      </c>
    </row>
    <row r="58" ht="22.5" customHeight="1">
      <c r="A58" s="12">
        <f>IFERROR(__xludf.DUMMYFUNCTION("""COMPUTED_VALUE"""),2301.0)</f>
        <v>2301</v>
      </c>
      <c r="B58" s="13">
        <f>IFERROR(__xludf.DUMMYFUNCTION("""COMPUTED_VALUE"""),45357.0)</f>
        <v>45357</v>
      </c>
      <c r="C58" s="12">
        <f>IFERROR(__xludf.DUMMYFUNCTION("""COMPUTED_VALUE"""),321.0)</f>
        <v>321</v>
      </c>
      <c r="D58" s="12">
        <f>IFERROR(__xludf.DUMMYFUNCTION("""COMPUTED_VALUE"""),7.0)</f>
        <v>7</v>
      </c>
      <c r="E58" s="12">
        <f>IFERROR(__xludf.DUMMYFUNCTION("""COMPUTED_VALUE"""),1.0)</f>
        <v>1</v>
      </c>
      <c r="F58" s="12">
        <f>IFERROR(__xludf.DUMMYFUNCTION("""COMPUTED_VALUE"""),1.0)</f>
        <v>1</v>
      </c>
      <c r="G58" s="15" t="str">
        <f>IFERROR(__xludf.DUMMYFUNCTION("""COMPUTED_VALUE"""),"Completa")</f>
        <v>Completa</v>
      </c>
      <c r="H58" s="16" t="str">
        <f t="array" ref="H58">_xlfn.XLOOKUP(D58,Productos[ID_Producto],Productos[Nombre_Producto])</f>
        <v>Chorizo</v>
      </c>
      <c r="I58" s="17">
        <f t="array" ref="I58">_xlfn.XLOOKUP(D58,Productos[ID_Producto],Productos[Precio_Unitario])</f>
        <v>11.25</v>
      </c>
      <c r="J58" s="17">
        <f t="shared" si="1"/>
        <v>11.25</v>
      </c>
      <c r="K58" s="16" t="str">
        <f t="array" ref="K58">_xlfn.XLOOKUP(C58,Clientes[ID_Cliente],Clientes[Provincia])</f>
        <v>San Luis</v>
      </c>
      <c r="L58" s="16" t="str">
        <f t="array" ref="L58">CONCATENATE(_xlfn.XLOOKUP(C58,Clientes[ID_Cliente],Clientes[Provincia]),", Argentina")</f>
        <v>San Luis, Argentina</v>
      </c>
      <c r="M58" s="20" t="str">
        <f t="array" ref="M58">_xlfn.XLOOKUP(F58,Metodos_De_Pago[ID_Metodo],Metodos_De_Pago[Metodo])</f>
        <v>Efectivo</v>
      </c>
      <c r="N58" s="20" t="str">
        <f t="shared" si="2"/>
        <v>2024 03</v>
      </c>
    </row>
    <row r="59" ht="22.5" customHeight="1">
      <c r="A59" s="12">
        <f>IFERROR(__xludf.DUMMYFUNCTION("""COMPUTED_VALUE"""),2175.0)</f>
        <v>2175</v>
      </c>
      <c r="B59" s="13">
        <f>IFERROR(__xludf.DUMMYFUNCTION("""COMPUTED_VALUE"""),45358.0)</f>
        <v>45358</v>
      </c>
      <c r="C59" s="12">
        <f>IFERROR(__xludf.DUMMYFUNCTION("""COMPUTED_VALUE"""),255.0)</f>
        <v>255</v>
      </c>
      <c r="D59" s="12">
        <f>IFERROR(__xludf.DUMMYFUNCTION("""COMPUTED_VALUE"""),3.0)</f>
        <v>3</v>
      </c>
      <c r="E59" s="12">
        <f>IFERROR(__xludf.DUMMYFUNCTION("""COMPUTED_VALUE"""),1.0)</f>
        <v>1</v>
      </c>
      <c r="F59" s="12">
        <f>IFERROR(__xludf.DUMMYFUNCTION("""COMPUTED_VALUE"""),4.0)</f>
        <v>4</v>
      </c>
      <c r="G59" s="15" t="str">
        <f>IFERROR(__xludf.DUMMYFUNCTION("""COMPUTED_VALUE"""),"Completa")</f>
        <v>Completa</v>
      </c>
      <c r="H59" s="16" t="str">
        <f t="array" ref="H59">_xlfn.XLOOKUP(D59,Productos[ID_Producto],Productos[Nombre_Producto])</f>
        <v>Queso cremoso</v>
      </c>
      <c r="I59" s="17">
        <f t="array" ref="I59">_xlfn.XLOOKUP(D59,Productos[ID_Producto],Productos[Precio_Unitario])</f>
        <v>17.23</v>
      </c>
      <c r="J59" s="17">
        <f t="shared" si="1"/>
        <v>17.23</v>
      </c>
      <c r="K59" s="16" t="str">
        <f t="array" ref="K59">_xlfn.XLOOKUP(C59,Clientes[ID_Cliente],Clientes[Provincia])</f>
        <v>Buenos Aires</v>
      </c>
      <c r="L59" s="16" t="str">
        <f t="array" ref="L59">CONCATENATE(_xlfn.XLOOKUP(C59,Clientes[ID_Cliente],Clientes[Provincia]),", Argentina")</f>
        <v>Buenos Aires, Argentina</v>
      </c>
      <c r="M59" s="20" t="str">
        <f t="array" ref="M59">_xlfn.XLOOKUP(F59,Metodos_De_Pago[ID_Metodo],Metodos_De_Pago[Metodo])</f>
        <v>Mercado Pago</v>
      </c>
      <c r="N59" s="20" t="str">
        <f t="shared" si="2"/>
        <v>2024 03</v>
      </c>
    </row>
    <row r="60" ht="22.5" customHeight="1">
      <c r="A60" s="12">
        <f>IFERROR(__xludf.DUMMYFUNCTION("""COMPUTED_VALUE"""),54.0)</f>
        <v>54</v>
      </c>
      <c r="B60" s="13">
        <f>IFERROR(__xludf.DUMMYFUNCTION("""COMPUTED_VALUE"""),45359.0)</f>
        <v>45359</v>
      </c>
      <c r="C60" s="12">
        <f>IFERROR(__xludf.DUMMYFUNCTION("""COMPUTED_VALUE"""),108.0)</f>
        <v>108</v>
      </c>
      <c r="D60" s="12">
        <f>IFERROR(__xludf.DUMMYFUNCTION("""COMPUTED_VALUE"""),13.0)</f>
        <v>13</v>
      </c>
      <c r="E60" s="12">
        <f>IFERROR(__xludf.DUMMYFUNCTION("""COMPUTED_VALUE"""),1.0)</f>
        <v>1</v>
      </c>
      <c r="F60" s="12">
        <f>IFERROR(__xludf.DUMMYFUNCTION("""COMPUTED_VALUE"""),2.0)</f>
        <v>2</v>
      </c>
      <c r="G60" s="15" t="str">
        <f>IFERROR(__xludf.DUMMYFUNCTION("""COMPUTED_VALUE"""),"Completa")</f>
        <v>Completa</v>
      </c>
      <c r="H60" s="16" t="str">
        <f t="array" ref="H60">_xlfn.XLOOKUP(D60,Productos[ID_Producto],Productos[Nombre_Producto])</f>
        <v>Pan integral</v>
      </c>
      <c r="I60" s="17">
        <f t="array" ref="I60">_xlfn.XLOOKUP(D60,Productos[ID_Producto],Productos[Precio_Unitario])</f>
        <v>12.56</v>
      </c>
      <c r="J60" s="17">
        <f t="shared" si="1"/>
        <v>12.56</v>
      </c>
      <c r="K60" s="16" t="str">
        <f t="array" ref="K60">_xlfn.XLOOKUP(C60,Clientes[ID_Cliente],Clientes[Provincia])</f>
        <v>Neuquén</v>
      </c>
      <c r="L60" s="16" t="str">
        <f t="array" ref="L60">CONCATENATE(_xlfn.XLOOKUP(C60,Clientes[ID_Cliente],Clientes[Provincia]),", Argentina")</f>
        <v>Neuquén, Argentina</v>
      </c>
      <c r="M60" s="20" t="str">
        <f t="array" ref="M60">_xlfn.XLOOKUP(F60,Metodos_De_Pago[ID_Metodo],Metodos_De_Pago[Metodo])</f>
        <v>Tarjeta de Crédito</v>
      </c>
      <c r="N60" s="20" t="str">
        <f t="shared" si="2"/>
        <v>2024 03</v>
      </c>
    </row>
    <row r="61" ht="22.5" customHeight="1">
      <c r="A61" s="12">
        <f>IFERROR(__xludf.DUMMYFUNCTION("""COMPUTED_VALUE"""),2398.0)</f>
        <v>2398</v>
      </c>
      <c r="B61" s="13">
        <f>IFERROR(__xludf.DUMMYFUNCTION("""COMPUTED_VALUE"""),45359.0)</f>
        <v>45359</v>
      </c>
      <c r="C61" s="12">
        <f>IFERROR(__xludf.DUMMYFUNCTION("""COMPUTED_VALUE"""),203.0)</f>
        <v>203</v>
      </c>
      <c r="D61" s="12">
        <f>IFERROR(__xludf.DUMMYFUNCTION("""COMPUTED_VALUE"""),30.0)</f>
        <v>30</v>
      </c>
      <c r="E61" s="12">
        <f>IFERROR(__xludf.DUMMYFUNCTION("""COMPUTED_VALUE"""),1.0)</f>
        <v>1</v>
      </c>
      <c r="F61" s="12">
        <f>IFERROR(__xludf.DUMMYFUNCTION("""COMPUTED_VALUE"""),4.0)</f>
        <v>4</v>
      </c>
      <c r="G61" s="15" t="str">
        <f>IFERROR(__xludf.DUMMYFUNCTION("""COMPUTED_VALUE"""),"Completa")</f>
        <v>Completa</v>
      </c>
      <c r="H61" s="16" t="str">
        <f t="array" ref="H61">_xlfn.XLOOKUP(D61,Productos[ID_Producto],Productos[Nombre_Producto])</f>
        <v>Vino tinto</v>
      </c>
      <c r="I61" s="17">
        <f t="array" ref="I61">_xlfn.XLOOKUP(D61,Productos[ID_Producto],Productos[Precio_Unitario])</f>
        <v>13.54</v>
      </c>
      <c r="J61" s="17">
        <f t="shared" si="1"/>
        <v>13.54</v>
      </c>
      <c r="K61" s="16" t="str">
        <f t="array" ref="K61">_xlfn.XLOOKUP(C61,Clientes[ID_Cliente],Clientes[Provincia])</f>
        <v>Buenos Aires</v>
      </c>
      <c r="L61" s="16" t="str">
        <f t="array" ref="L61">CONCATENATE(_xlfn.XLOOKUP(C61,Clientes[ID_Cliente],Clientes[Provincia]),", Argentina")</f>
        <v>Buenos Aires, Argentina</v>
      </c>
      <c r="M61" s="20" t="str">
        <f t="array" ref="M61">_xlfn.XLOOKUP(F61,Metodos_De_Pago[ID_Metodo],Metodos_De_Pago[Metodo])</f>
        <v>Mercado Pago</v>
      </c>
      <c r="N61" s="20" t="str">
        <f t="shared" si="2"/>
        <v>2024 03</v>
      </c>
    </row>
    <row r="62" ht="22.5" customHeight="1">
      <c r="A62" s="12">
        <f>IFERROR(__xludf.DUMMYFUNCTION("""COMPUTED_VALUE"""),2512.0)</f>
        <v>2512</v>
      </c>
      <c r="B62" s="13">
        <f>IFERROR(__xludf.DUMMYFUNCTION("""COMPUTED_VALUE"""),45360.0)</f>
        <v>45360</v>
      </c>
      <c r="C62" s="12">
        <f>IFERROR(__xludf.DUMMYFUNCTION("""COMPUTED_VALUE"""),87.0)</f>
        <v>87</v>
      </c>
      <c r="D62" s="12">
        <f>IFERROR(__xludf.DUMMYFUNCTION("""COMPUTED_VALUE"""),36.0)</f>
        <v>36</v>
      </c>
      <c r="E62" s="12">
        <f>IFERROR(__xludf.DUMMYFUNCTION("""COMPUTED_VALUE"""),1.0)</f>
        <v>1</v>
      </c>
      <c r="F62" s="12">
        <f>IFERROR(__xludf.DUMMYFUNCTION("""COMPUTED_VALUE"""),4.0)</f>
        <v>4</v>
      </c>
      <c r="G62" s="15" t="str">
        <f>IFERROR(__xludf.DUMMYFUNCTION("""COMPUTED_VALUE"""),"Completa")</f>
        <v>Completa</v>
      </c>
      <c r="H62" s="16" t="str">
        <f t="array" ref="H62">_xlfn.XLOOKUP(D62,Productos[ID_Producto],Productos[Nombre_Producto])</f>
        <v>Lentejas</v>
      </c>
      <c r="I62" s="17">
        <f t="array" ref="I62">_xlfn.XLOOKUP(D62,Productos[ID_Producto],Productos[Precio_Unitario])</f>
        <v>3.25</v>
      </c>
      <c r="J62" s="17">
        <f t="shared" si="1"/>
        <v>3.25</v>
      </c>
      <c r="K62" s="16" t="str">
        <f t="array" ref="K62">_xlfn.XLOOKUP(C62,Clientes[ID_Cliente],Clientes[Provincia])</f>
        <v>Neuquén</v>
      </c>
      <c r="L62" s="16" t="str">
        <f t="array" ref="L62">CONCATENATE(_xlfn.XLOOKUP(C62,Clientes[ID_Cliente],Clientes[Provincia]),", Argentina")</f>
        <v>Neuquén, Argentina</v>
      </c>
      <c r="M62" s="20" t="str">
        <f t="array" ref="M62">_xlfn.XLOOKUP(F62,Metodos_De_Pago[ID_Metodo],Metodos_De_Pago[Metodo])</f>
        <v>Mercado Pago</v>
      </c>
      <c r="N62" s="20" t="str">
        <f t="shared" si="2"/>
        <v>2024 03</v>
      </c>
    </row>
    <row r="63" ht="22.5" customHeight="1">
      <c r="A63" s="12">
        <f>IFERROR(__xludf.DUMMYFUNCTION("""COMPUTED_VALUE"""),923.0)</f>
        <v>923</v>
      </c>
      <c r="B63" s="13">
        <f>IFERROR(__xludf.DUMMYFUNCTION("""COMPUTED_VALUE"""),45362.0)</f>
        <v>45362</v>
      </c>
      <c r="C63" s="12">
        <f>IFERROR(__xludf.DUMMYFUNCTION("""COMPUTED_VALUE"""),172.0)</f>
        <v>172</v>
      </c>
      <c r="D63" s="12">
        <f>IFERROR(__xludf.DUMMYFUNCTION("""COMPUTED_VALUE"""),2.0)</f>
        <v>2</v>
      </c>
      <c r="E63" s="12">
        <f>IFERROR(__xludf.DUMMYFUNCTION("""COMPUTED_VALUE"""),1.0)</f>
        <v>1</v>
      </c>
      <c r="F63" s="12">
        <f>IFERROR(__xludf.DUMMYFUNCTION("""COMPUTED_VALUE"""),1.0)</f>
        <v>1</v>
      </c>
      <c r="G63" s="15" t="str">
        <f>IFERROR(__xludf.DUMMYFUNCTION("""COMPUTED_VALUE"""),"Completa")</f>
        <v>Completa</v>
      </c>
      <c r="H63" s="16" t="str">
        <f t="array" ref="H63">_xlfn.XLOOKUP(D63,Productos[ID_Producto],Productos[Nombre_Producto])</f>
        <v>Yogur</v>
      </c>
      <c r="I63" s="17">
        <f t="array" ref="I63">_xlfn.XLOOKUP(D63,Productos[ID_Producto],Productos[Precio_Unitario])</f>
        <v>5.21</v>
      </c>
      <c r="J63" s="17">
        <f t="shared" si="1"/>
        <v>5.21</v>
      </c>
      <c r="K63" s="16" t="str">
        <f t="array" ref="K63">_xlfn.XLOOKUP(C63,Clientes[ID_Cliente],Clientes[Provincia])</f>
        <v>Buenos Aires</v>
      </c>
      <c r="L63" s="16" t="str">
        <f t="array" ref="L63">CONCATENATE(_xlfn.XLOOKUP(C63,Clientes[ID_Cliente],Clientes[Provincia]),", Argentina")</f>
        <v>Buenos Aires, Argentina</v>
      </c>
      <c r="M63" s="20" t="str">
        <f t="array" ref="M63">_xlfn.XLOOKUP(F63,Metodos_De_Pago[ID_Metodo],Metodos_De_Pago[Metodo])</f>
        <v>Efectivo</v>
      </c>
      <c r="N63" s="20" t="str">
        <f t="shared" si="2"/>
        <v>2024 03</v>
      </c>
    </row>
    <row r="64" ht="22.5" customHeight="1">
      <c r="A64" s="12">
        <f>IFERROR(__xludf.DUMMYFUNCTION("""COMPUTED_VALUE"""),1970.0)</f>
        <v>1970</v>
      </c>
      <c r="B64" s="13">
        <f>IFERROR(__xludf.DUMMYFUNCTION("""COMPUTED_VALUE"""),45364.0)</f>
        <v>45364</v>
      </c>
      <c r="C64" s="12">
        <f>IFERROR(__xludf.DUMMYFUNCTION("""COMPUTED_VALUE"""),167.0)</f>
        <v>167</v>
      </c>
      <c r="D64" s="12">
        <f>IFERROR(__xludf.DUMMYFUNCTION("""COMPUTED_VALUE"""),10.0)</f>
        <v>10</v>
      </c>
      <c r="E64" s="12">
        <f>IFERROR(__xludf.DUMMYFUNCTION("""COMPUTED_VALUE"""),1.0)</f>
        <v>1</v>
      </c>
      <c r="F64" s="12">
        <f>IFERROR(__xludf.DUMMYFUNCTION("""COMPUTED_VALUE"""),2.0)</f>
        <v>2</v>
      </c>
      <c r="G64" s="15" t="str">
        <f>IFERROR(__xludf.DUMMYFUNCTION("""COMPUTED_VALUE"""),"Completa")</f>
        <v>Completa</v>
      </c>
      <c r="H64" s="16" t="str">
        <f t="array" ref="H64">_xlfn.XLOOKUP(D64,Productos[ID_Producto],Productos[Nombre_Producto])</f>
        <v>Costilla de cerdo</v>
      </c>
      <c r="I64" s="17">
        <f t="array" ref="I64">_xlfn.XLOOKUP(D64,Productos[ID_Producto],Productos[Precio_Unitario])</f>
        <v>14.25</v>
      </c>
      <c r="J64" s="17">
        <f t="shared" si="1"/>
        <v>14.25</v>
      </c>
      <c r="K64" s="16" t="str">
        <f t="array" ref="K64">_xlfn.XLOOKUP(C64,Clientes[ID_Cliente],Clientes[Provincia])</f>
        <v>Buenos Aires</v>
      </c>
      <c r="L64" s="16" t="str">
        <f t="array" ref="L64">CONCATENATE(_xlfn.XLOOKUP(C64,Clientes[ID_Cliente],Clientes[Provincia]),", Argentina")</f>
        <v>Buenos Aires, Argentina</v>
      </c>
      <c r="M64" s="20" t="str">
        <f t="array" ref="M64">_xlfn.XLOOKUP(F64,Metodos_De_Pago[ID_Metodo],Metodos_De_Pago[Metodo])</f>
        <v>Tarjeta de Crédito</v>
      </c>
      <c r="N64" s="20" t="str">
        <f t="shared" si="2"/>
        <v>2024 03</v>
      </c>
    </row>
    <row r="65" ht="22.5" customHeight="1">
      <c r="A65" s="12">
        <f>IFERROR(__xludf.DUMMYFUNCTION("""COMPUTED_VALUE"""),2274.0)</f>
        <v>2274</v>
      </c>
      <c r="B65" s="13">
        <f>IFERROR(__xludf.DUMMYFUNCTION("""COMPUTED_VALUE"""),45364.0)</f>
        <v>45364</v>
      </c>
      <c r="C65" s="12">
        <f>IFERROR(__xludf.DUMMYFUNCTION("""COMPUTED_VALUE"""),213.0)</f>
        <v>213</v>
      </c>
      <c r="D65" s="12">
        <f>IFERROR(__xludf.DUMMYFUNCTION("""COMPUTED_VALUE"""),35.0)</f>
        <v>35</v>
      </c>
      <c r="E65" s="12">
        <f>IFERROR(__xludf.DUMMYFUNCTION("""COMPUTED_VALUE"""),1.0)</f>
        <v>1</v>
      </c>
      <c r="F65" s="12">
        <f>IFERROR(__xludf.DUMMYFUNCTION("""COMPUTED_VALUE"""),1.0)</f>
        <v>1</v>
      </c>
      <c r="G65" s="15" t="str">
        <f>IFERROR(__xludf.DUMMYFUNCTION("""COMPUTED_VALUE"""),"Completa")</f>
        <v>Completa</v>
      </c>
      <c r="H65" s="16" t="str">
        <f t="array" ref="H65">_xlfn.XLOOKUP(D65,Productos[ID_Producto],Productos[Nombre_Producto])</f>
        <v>Arroz</v>
      </c>
      <c r="I65" s="17">
        <f t="array" ref="I65">_xlfn.XLOOKUP(D65,Productos[ID_Producto],Productos[Precio_Unitario])</f>
        <v>4.25</v>
      </c>
      <c r="J65" s="17">
        <f t="shared" si="1"/>
        <v>4.25</v>
      </c>
      <c r="K65" s="16" t="str">
        <f t="array" ref="K65">_xlfn.XLOOKUP(C65,Clientes[ID_Cliente],Clientes[Provincia])</f>
        <v>Córdoba</v>
      </c>
      <c r="L65" s="16" t="str">
        <f t="array" ref="L65">CONCATENATE(_xlfn.XLOOKUP(C65,Clientes[ID_Cliente],Clientes[Provincia]),", Argentina")</f>
        <v>Córdoba, Argentina</v>
      </c>
      <c r="M65" s="20" t="str">
        <f t="array" ref="M65">_xlfn.XLOOKUP(F65,Metodos_De_Pago[ID_Metodo],Metodos_De_Pago[Metodo])</f>
        <v>Efectivo</v>
      </c>
      <c r="N65" s="20" t="str">
        <f t="shared" si="2"/>
        <v>2024 03</v>
      </c>
    </row>
    <row r="66" ht="22.5" customHeight="1">
      <c r="A66" s="12">
        <f>IFERROR(__xludf.DUMMYFUNCTION("""COMPUTED_VALUE"""),31.0)</f>
        <v>31</v>
      </c>
      <c r="B66" s="13">
        <f>IFERROR(__xludf.DUMMYFUNCTION("""COMPUTED_VALUE"""),45365.0)</f>
        <v>45365</v>
      </c>
      <c r="C66" s="12">
        <f>IFERROR(__xludf.DUMMYFUNCTION("""COMPUTED_VALUE"""),267.0)</f>
        <v>267</v>
      </c>
      <c r="D66" s="12">
        <f>IFERROR(__xludf.DUMMYFUNCTION("""COMPUTED_VALUE"""),2.0)</f>
        <v>2</v>
      </c>
      <c r="E66" s="12">
        <f>IFERROR(__xludf.DUMMYFUNCTION("""COMPUTED_VALUE"""),1.0)</f>
        <v>1</v>
      </c>
      <c r="F66" s="12">
        <f>IFERROR(__xludf.DUMMYFUNCTION("""COMPUTED_VALUE"""),3.0)</f>
        <v>3</v>
      </c>
      <c r="G66" s="15" t="str">
        <f>IFERROR(__xludf.DUMMYFUNCTION("""COMPUTED_VALUE"""),"Completa")</f>
        <v>Completa</v>
      </c>
      <c r="H66" s="16" t="str">
        <f t="array" ref="H66">_xlfn.XLOOKUP(D66,Productos[ID_Producto],Productos[Nombre_Producto])</f>
        <v>Yogur</v>
      </c>
      <c r="I66" s="17">
        <f t="array" ref="I66">_xlfn.XLOOKUP(D66,Productos[ID_Producto],Productos[Precio_Unitario])</f>
        <v>5.21</v>
      </c>
      <c r="J66" s="17">
        <f t="shared" si="1"/>
        <v>5.21</v>
      </c>
      <c r="K66" s="16" t="str">
        <f t="array" ref="K66">_xlfn.XLOOKUP(C66,Clientes[ID_Cliente],Clientes[Provincia])</f>
        <v>Córdoba</v>
      </c>
      <c r="L66" s="16" t="str">
        <f t="array" ref="L66">CONCATENATE(_xlfn.XLOOKUP(C66,Clientes[ID_Cliente],Clientes[Provincia]),", Argentina")</f>
        <v>Córdoba, Argentina</v>
      </c>
      <c r="M66" s="20" t="str">
        <f t="array" ref="M66">_xlfn.XLOOKUP(F66,Metodos_De_Pago[ID_Metodo],Metodos_De_Pago[Metodo])</f>
        <v>Tarjeta de Débito</v>
      </c>
      <c r="N66" s="20" t="str">
        <f t="shared" si="2"/>
        <v>2024 03</v>
      </c>
    </row>
    <row r="67" ht="22.5" customHeight="1">
      <c r="A67" s="12">
        <f>IFERROR(__xludf.DUMMYFUNCTION("""COMPUTED_VALUE"""),1537.0)</f>
        <v>1537</v>
      </c>
      <c r="B67" s="13">
        <f>IFERROR(__xludf.DUMMYFUNCTION("""COMPUTED_VALUE"""),45365.0)</f>
        <v>45365</v>
      </c>
      <c r="C67" s="12">
        <f>IFERROR(__xludf.DUMMYFUNCTION("""COMPUTED_VALUE"""),138.0)</f>
        <v>138</v>
      </c>
      <c r="D67" s="12">
        <f>IFERROR(__xludf.DUMMYFUNCTION("""COMPUTED_VALUE"""),37.0)</f>
        <v>37</v>
      </c>
      <c r="E67" s="12">
        <f>IFERROR(__xludf.DUMMYFUNCTION("""COMPUTED_VALUE"""),1.0)</f>
        <v>1</v>
      </c>
      <c r="F67" s="12">
        <f>IFERROR(__xludf.DUMMYFUNCTION("""COMPUTED_VALUE"""),1.0)</f>
        <v>1</v>
      </c>
      <c r="G67" s="15" t="str">
        <f>IFERROR(__xludf.DUMMYFUNCTION("""COMPUTED_VALUE"""),"Completa")</f>
        <v>Completa</v>
      </c>
      <c r="H67" s="16" t="str">
        <f t="array" ref="H67">_xlfn.XLOOKUP(D67,Productos[ID_Producto],Productos[Nombre_Producto])</f>
        <v>Garbanzos</v>
      </c>
      <c r="I67" s="17">
        <f t="array" ref="I67">_xlfn.XLOOKUP(D67,Productos[ID_Producto],Productos[Precio_Unitario])</f>
        <v>3.65</v>
      </c>
      <c r="J67" s="17">
        <f t="shared" si="1"/>
        <v>3.65</v>
      </c>
      <c r="K67" s="16" t="str">
        <f t="array" ref="K67">_xlfn.XLOOKUP(C67,Clientes[ID_Cliente],Clientes[Provincia])</f>
        <v>Buenos Aires</v>
      </c>
      <c r="L67" s="16" t="str">
        <f t="array" ref="L67">CONCATENATE(_xlfn.XLOOKUP(C67,Clientes[ID_Cliente],Clientes[Provincia]),", Argentina")</f>
        <v>Buenos Aires, Argentina</v>
      </c>
      <c r="M67" s="20" t="str">
        <f t="array" ref="M67">_xlfn.XLOOKUP(F67,Metodos_De_Pago[ID_Metodo],Metodos_De_Pago[Metodo])</f>
        <v>Efectivo</v>
      </c>
      <c r="N67" s="20" t="str">
        <f t="shared" si="2"/>
        <v>2024 03</v>
      </c>
    </row>
    <row r="68" ht="22.5" customHeight="1">
      <c r="A68" s="12">
        <f>IFERROR(__xludf.DUMMYFUNCTION("""COMPUTED_VALUE"""),2545.0)</f>
        <v>2545</v>
      </c>
      <c r="B68" s="13">
        <f>IFERROR(__xludf.DUMMYFUNCTION("""COMPUTED_VALUE"""),45365.0)</f>
        <v>45365</v>
      </c>
      <c r="C68" s="12">
        <f>IFERROR(__xludf.DUMMYFUNCTION("""COMPUTED_VALUE"""),233.0)</f>
        <v>233</v>
      </c>
      <c r="D68" s="12">
        <f>IFERROR(__xludf.DUMMYFUNCTION("""COMPUTED_VALUE"""),12.0)</f>
        <v>12</v>
      </c>
      <c r="E68" s="12">
        <f>IFERROR(__xludf.DUMMYFUNCTION("""COMPUTED_VALUE"""),1.0)</f>
        <v>1</v>
      </c>
      <c r="F68" s="12">
        <f>IFERROR(__xludf.DUMMYFUNCTION("""COMPUTED_VALUE"""),4.0)</f>
        <v>4</v>
      </c>
      <c r="G68" s="15" t="str">
        <f>IFERROR(__xludf.DUMMYFUNCTION("""COMPUTED_VALUE"""),"Completa")</f>
        <v>Completa</v>
      </c>
      <c r="H68" s="16" t="str">
        <f t="array" ref="H68">_xlfn.XLOOKUP(D68,Productos[ID_Producto],Productos[Nombre_Producto])</f>
        <v>Pan francés</v>
      </c>
      <c r="I68" s="17">
        <f t="array" ref="I68">_xlfn.XLOOKUP(D68,Productos[ID_Producto],Productos[Precio_Unitario])</f>
        <v>8.12</v>
      </c>
      <c r="J68" s="17">
        <f t="shared" si="1"/>
        <v>8.12</v>
      </c>
      <c r="K68" s="16" t="str">
        <f t="array" ref="K68">_xlfn.XLOOKUP(C68,Clientes[ID_Cliente],Clientes[Provincia])</f>
        <v>Córdoba</v>
      </c>
      <c r="L68" s="16" t="str">
        <f t="array" ref="L68">CONCATENATE(_xlfn.XLOOKUP(C68,Clientes[ID_Cliente],Clientes[Provincia]),", Argentina")</f>
        <v>Córdoba, Argentina</v>
      </c>
      <c r="M68" s="20" t="str">
        <f t="array" ref="M68">_xlfn.XLOOKUP(F68,Metodos_De_Pago[ID_Metodo],Metodos_De_Pago[Metodo])</f>
        <v>Mercado Pago</v>
      </c>
      <c r="N68" s="20" t="str">
        <f t="shared" si="2"/>
        <v>2024 03</v>
      </c>
    </row>
    <row r="69" ht="22.5" customHeight="1">
      <c r="A69" s="12">
        <f>IFERROR(__xludf.DUMMYFUNCTION("""COMPUTED_VALUE"""),2204.0)</f>
        <v>2204</v>
      </c>
      <c r="B69" s="13">
        <f>IFERROR(__xludf.DUMMYFUNCTION("""COMPUTED_VALUE"""),45366.0)</f>
        <v>45366</v>
      </c>
      <c r="C69" s="12">
        <f>IFERROR(__xludf.DUMMYFUNCTION("""COMPUTED_VALUE"""),55.0)</f>
        <v>55</v>
      </c>
      <c r="D69" s="12">
        <f>IFERROR(__xludf.DUMMYFUNCTION("""COMPUTED_VALUE"""),28.0)</f>
        <v>28</v>
      </c>
      <c r="E69" s="12">
        <f>IFERROR(__xludf.DUMMYFUNCTION("""COMPUTED_VALUE"""),1.0)</f>
        <v>1</v>
      </c>
      <c r="F69" s="12">
        <f>IFERROR(__xludf.DUMMYFUNCTION("""COMPUTED_VALUE"""),5.0)</f>
        <v>5</v>
      </c>
      <c r="G69" s="15" t="str">
        <f>IFERROR(__xludf.DUMMYFUNCTION("""COMPUTED_VALUE"""),"Completa")</f>
        <v>Completa</v>
      </c>
      <c r="H69" s="16" t="str">
        <f t="array" ref="H69">_xlfn.XLOOKUP(D69,Productos[ID_Producto],Productos[Nombre_Producto])</f>
        <v>Jugos de frutas</v>
      </c>
      <c r="I69" s="17">
        <f t="array" ref="I69">_xlfn.XLOOKUP(D69,Productos[ID_Producto],Productos[Precio_Unitario])</f>
        <v>9.45</v>
      </c>
      <c r="J69" s="17">
        <f t="shared" si="1"/>
        <v>9.45</v>
      </c>
      <c r="K69" s="16" t="str">
        <f t="array" ref="K69">_xlfn.XLOOKUP(C69,Clientes[ID_Cliente],Clientes[Provincia])</f>
        <v>Neuquén</v>
      </c>
      <c r="L69" s="16" t="str">
        <f t="array" ref="L69">CONCATENATE(_xlfn.XLOOKUP(C69,Clientes[ID_Cliente],Clientes[Provincia]),", Argentina")</f>
        <v>Neuquén, Argentina</v>
      </c>
      <c r="M69" s="20" t="str">
        <f t="array" ref="M69">_xlfn.XLOOKUP(F69,Metodos_De_Pago[ID_Metodo],Metodos_De_Pago[Metodo])</f>
        <v>Transferencia</v>
      </c>
      <c r="N69" s="20" t="str">
        <f t="shared" si="2"/>
        <v>2024 03</v>
      </c>
    </row>
    <row r="70" ht="22.5" customHeight="1">
      <c r="A70" s="12">
        <f>IFERROR(__xludf.DUMMYFUNCTION("""COMPUTED_VALUE"""),1249.0)</f>
        <v>1249</v>
      </c>
      <c r="B70" s="13">
        <f>IFERROR(__xludf.DUMMYFUNCTION("""COMPUTED_VALUE"""),45367.0)</f>
        <v>45367</v>
      </c>
      <c r="C70" s="12">
        <f>IFERROR(__xludf.DUMMYFUNCTION("""COMPUTED_VALUE"""),77.0)</f>
        <v>77</v>
      </c>
      <c r="D70" s="12">
        <f>IFERROR(__xludf.DUMMYFUNCTION("""COMPUTED_VALUE"""),21.0)</f>
        <v>21</v>
      </c>
      <c r="E70" s="12">
        <f>IFERROR(__xludf.DUMMYFUNCTION("""COMPUTED_VALUE"""),1.0)</f>
        <v>1</v>
      </c>
      <c r="F70" s="12">
        <f>IFERROR(__xludf.DUMMYFUNCTION("""COMPUTED_VALUE"""),3.0)</f>
        <v>3</v>
      </c>
      <c r="G70" s="15" t="str">
        <f>IFERROR(__xludf.DUMMYFUNCTION("""COMPUTED_VALUE"""),"Completa")</f>
        <v>Completa</v>
      </c>
      <c r="H70" s="16" t="str">
        <f t="array" ref="H70">_xlfn.XLOOKUP(D70,Productos[ID_Producto],Productos[Nombre_Producto])</f>
        <v>Zanahorias</v>
      </c>
      <c r="I70" s="17">
        <f t="array" ref="I70">_xlfn.XLOOKUP(D70,Productos[ID_Producto],Productos[Precio_Unitario])</f>
        <v>3.25</v>
      </c>
      <c r="J70" s="17">
        <f t="shared" si="1"/>
        <v>3.25</v>
      </c>
      <c r="K70" s="16" t="str">
        <f t="array" ref="K70">_xlfn.XLOOKUP(C70,Clientes[ID_Cliente],Clientes[Provincia])</f>
        <v>Buenos Aires</v>
      </c>
      <c r="L70" s="16" t="str">
        <f t="array" ref="L70">CONCATENATE(_xlfn.XLOOKUP(C70,Clientes[ID_Cliente],Clientes[Provincia]),", Argentina")</f>
        <v>Buenos Aires, Argentina</v>
      </c>
      <c r="M70" s="20" t="str">
        <f t="array" ref="M70">_xlfn.XLOOKUP(F70,Metodos_De_Pago[ID_Metodo],Metodos_De_Pago[Metodo])</f>
        <v>Tarjeta de Débito</v>
      </c>
      <c r="N70" s="20" t="str">
        <f t="shared" si="2"/>
        <v>2024 03</v>
      </c>
    </row>
    <row r="71" ht="22.5" customHeight="1">
      <c r="A71" s="12">
        <f>IFERROR(__xludf.DUMMYFUNCTION("""COMPUTED_VALUE"""),1708.0)</f>
        <v>1708</v>
      </c>
      <c r="B71" s="13">
        <f>IFERROR(__xludf.DUMMYFUNCTION("""COMPUTED_VALUE"""),45367.0)</f>
        <v>45367</v>
      </c>
      <c r="C71" s="12">
        <f>IFERROR(__xludf.DUMMYFUNCTION("""COMPUTED_VALUE"""),68.0)</f>
        <v>68</v>
      </c>
      <c r="D71" s="12">
        <f>IFERROR(__xludf.DUMMYFUNCTION("""COMPUTED_VALUE"""),16.0)</f>
        <v>16</v>
      </c>
      <c r="E71" s="12">
        <f>IFERROR(__xludf.DUMMYFUNCTION("""COMPUTED_VALUE"""),1.0)</f>
        <v>1</v>
      </c>
      <c r="F71" s="12">
        <f>IFERROR(__xludf.DUMMYFUNCTION("""COMPUTED_VALUE"""),4.0)</f>
        <v>4</v>
      </c>
      <c r="G71" s="15" t="str">
        <f>IFERROR(__xludf.DUMMYFUNCTION("""COMPUTED_VALUE"""),"Completa")</f>
        <v>Completa</v>
      </c>
      <c r="H71" s="16" t="str">
        <f t="array" ref="H71">_xlfn.XLOOKUP(D71,Productos[ID_Producto],Productos[Nombre_Producto])</f>
        <v>Tortas</v>
      </c>
      <c r="I71" s="17">
        <f t="array" ref="I71">_xlfn.XLOOKUP(D71,Productos[ID_Producto],Productos[Precio_Unitario])</f>
        <v>15.23</v>
      </c>
      <c r="J71" s="17">
        <f t="shared" si="1"/>
        <v>15.23</v>
      </c>
      <c r="K71" s="16" t="str">
        <f t="array" ref="K71">_xlfn.XLOOKUP(C71,Clientes[ID_Cliente],Clientes[Provincia])</f>
        <v>Neuquén</v>
      </c>
      <c r="L71" s="16" t="str">
        <f t="array" ref="L71">CONCATENATE(_xlfn.XLOOKUP(C71,Clientes[ID_Cliente],Clientes[Provincia]),", Argentina")</f>
        <v>Neuquén, Argentina</v>
      </c>
      <c r="M71" s="20" t="str">
        <f t="array" ref="M71">_xlfn.XLOOKUP(F71,Metodos_De_Pago[ID_Metodo],Metodos_De_Pago[Metodo])</f>
        <v>Mercado Pago</v>
      </c>
      <c r="N71" s="20" t="str">
        <f t="shared" si="2"/>
        <v>2024 03</v>
      </c>
    </row>
    <row r="72" ht="22.5" customHeight="1">
      <c r="A72" s="12">
        <f>IFERROR(__xludf.DUMMYFUNCTION("""COMPUTED_VALUE"""),2951.0)</f>
        <v>2951</v>
      </c>
      <c r="B72" s="13">
        <f>IFERROR(__xludf.DUMMYFUNCTION("""COMPUTED_VALUE"""),45367.0)</f>
        <v>45367</v>
      </c>
      <c r="C72" s="12">
        <f>IFERROR(__xludf.DUMMYFUNCTION("""COMPUTED_VALUE"""),229.0)</f>
        <v>229</v>
      </c>
      <c r="D72" s="12">
        <f>IFERROR(__xludf.DUMMYFUNCTION("""COMPUTED_VALUE"""),32.0)</f>
        <v>32</v>
      </c>
      <c r="E72" s="12">
        <f>IFERROR(__xludf.DUMMYFUNCTION("""COMPUTED_VALUE"""),1.0)</f>
        <v>1</v>
      </c>
      <c r="F72" s="12">
        <f>IFERROR(__xludf.DUMMYFUNCTION("""COMPUTED_VALUE"""),4.0)</f>
        <v>4</v>
      </c>
      <c r="G72" s="15" t="str">
        <f>IFERROR(__xludf.DUMMYFUNCTION("""COMPUTED_VALUE"""),"Completa")</f>
        <v>Completa</v>
      </c>
      <c r="H72" s="16" t="str">
        <f t="array" ref="H72">_xlfn.XLOOKUP(D72,Productos[ID_Producto],Productos[Nombre_Producto])</f>
        <v>Galletitas de chocolate</v>
      </c>
      <c r="I72" s="17">
        <f t="array" ref="I72">_xlfn.XLOOKUP(D72,Productos[ID_Producto],Productos[Precio_Unitario])</f>
        <v>6.25</v>
      </c>
      <c r="J72" s="17">
        <f t="shared" si="1"/>
        <v>6.25</v>
      </c>
      <c r="K72" s="16" t="str">
        <f t="array" ref="K72">_xlfn.XLOOKUP(C72,Clientes[ID_Cliente],Clientes[Provincia])</f>
        <v>San Luis</v>
      </c>
      <c r="L72" s="16" t="str">
        <f t="array" ref="L72">CONCATENATE(_xlfn.XLOOKUP(C72,Clientes[ID_Cliente],Clientes[Provincia]),", Argentina")</f>
        <v>San Luis, Argentina</v>
      </c>
      <c r="M72" s="20" t="str">
        <f t="array" ref="M72">_xlfn.XLOOKUP(F72,Metodos_De_Pago[ID_Metodo],Metodos_De_Pago[Metodo])</f>
        <v>Mercado Pago</v>
      </c>
      <c r="N72" s="20" t="str">
        <f t="shared" si="2"/>
        <v>2024 03</v>
      </c>
    </row>
    <row r="73" ht="22.5" customHeight="1">
      <c r="A73" s="12">
        <f>IFERROR(__xludf.DUMMYFUNCTION("""COMPUTED_VALUE"""),2585.0)</f>
        <v>2585</v>
      </c>
      <c r="B73" s="13">
        <f>IFERROR(__xludf.DUMMYFUNCTION("""COMPUTED_VALUE"""),45370.0)</f>
        <v>45370</v>
      </c>
      <c r="C73" s="12">
        <f>IFERROR(__xludf.DUMMYFUNCTION("""COMPUTED_VALUE"""),323.0)</f>
        <v>323</v>
      </c>
      <c r="D73" s="12">
        <f>IFERROR(__xludf.DUMMYFUNCTION("""COMPUTED_VALUE"""),19.0)</f>
        <v>19</v>
      </c>
      <c r="E73" s="12">
        <f>IFERROR(__xludf.DUMMYFUNCTION("""COMPUTED_VALUE"""),1.0)</f>
        <v>1</v>
      </c>
      <c r="F73" s="12">
        <f>IFERROR(__xludf.DUMMYFUNCTION("""COMPUTED_VALUE"""),1.0)</f>
        <v>1</v>
      </c>
      <c r="G73" s="15" t="str">
        <f>IFERROR(__xludf.DUMMYFUNCTION("""COMPUTED_VALUE"""),"Completa")</f>
        <v>Completa</v>
      </c>
      <c r="H73" s="16" t="str">
        <f t="array" ref="H73">_xlfn.XLOOKUP(D73,Productos[ID_Producto],Productos[Nombre_Producto])</f>
        <v>Tomates</v>
      </c>
      <c r="I73" s="17">
        <f t="array" ref="I73">_xlfn.XLOOKUP(D73,Productos[ID_Producto],Productos[Precio_Unitario])</f>
        <v>6.54</v>
      </c>
      <c r="J73" s="17">
        <f t="shared" si="1"/>
        <v>6.54</v>
      </c>
      <c r="K73" s="16" t="str">
        <f t="array" ref="K73">_xlfn.XLOOKUP(C73,Clientes[ID_Cliente],Clientes[Provincia])</f>
        <v>Córdoba</v>
      </c>
      <c r="L73" s="16" t="str">
        <f t="array" ref="L73">CONCATENATE(_xlfn.XLOOKUP(C73,Clientes[ID_Cliente],Clientes[Provincia]),", Argentina")</f>
        <v>Córdoba, Argentina</v>
      </c>
      <c r="M73" s="20" t="str">
        <f t="array" ref="M73">_xlfn.XLOOKUP(F73,Metodos_De_Pago[ID_Metodo],Metodos_De_Pago[Metodo])</f>
        <v>Efectivo</v>
      </c>
      <c r="N73" s="20" t="str">
        <f t="shared" si="2"/>
        <v>2024 03</v>
      </c>
    </row>
    <row r="74" ht="22.5" customHeight="1">
      <c r="A74" s="12">
        <f>IFERROR(__xludf.DUMMYFUNCTION("""COMPUTED_VALUE"""),911.0)</f>
        <v>911</v>
      </c>
      <c r="B74" s="13">
        <f>IFERROR(__xludf.DUMMYFUNCTION("""COMPUTED_VALUE"""),45372.0)</f>
        <v>45372</v>
      </c>
      <c r="C74" s="12">
        <f>IFERROR(__xludf.DUMMYFUNCTION("""COMPUTED_VALUE"""),288.0)</f>
        <v>288</v>
      </c>
      <c r="D74" s="12">
        <f>IFERROR(__xludf.DUMMYFUNCTION("""COMPUTED_VALUE"""),19.0)</f>
        <v>19</v>
      </c>
      <c r="E74" s="12">
        <f>IFERROR(__xludf.DUMMYFUNCTION("""COMPUTED_VALUE"""),1.0)</f>
        <v>1</v>
      </c>
      <c r="F74" s="12">
        <f>IFERROR(__xludf.DUMMYFUNCTION("""COMPUTED_VALUE"""),4.0)</f>
        <v>4</v>
      </c>
      <c r="G74" s="15" t="str">
        <f>IFERROR(__xludf.DUMMYFUNCTION("""COMPUTED_VALUE"""),"Completa")</f>
        <v>Completa</v>
      </c>
      <c r="H74" s="16" t="str">
        <f t="array" ref="H74">_xlfn.XLOOKUP(D74,Productos[ID_Producto],Productos[Nombre_Producto])</f>
        <v>Tomates</v>
      </c>
      <c r="I74" s="17">
        <f t="array" ref="I74">_xlfn.XLOOKUP(D74,Productos[ID_Producto],Productos[Precio_Unitario])</f>
        <v>6.54</v>
      </c>
      <c r="J74" s="17">
        <f t="shared" si="1"/>
        <v>6.54</v>
      </c>
      <c r="K74" s="16" t="str">
        <f t="array" ref="K74">_xlfn.XLOOKUP(C74,Clientes[ID_Cliente],Clientes[Provincia])</f>
        <v>Buenos Aires</v>
      </c>
      <c r="L74" s="16" t="str">
        <f t="array" ref="L74">CONCATENATE(_xlfn.XLOOKUP(C74,Clientes[ID_Cliente],Clientes[Provincia]),", Argentina")</f>
        <v>Buenos Aires, Argentina</v>
      </c>
      <c r="M74" s="20" t="str">
        <f t="array" ref="M74">_xlfn.XLOOKUP(F74,Metodos_De_Pago[ID_Metodo],Metodos_De_Pago[Metodo])</f>
        <v>Mercado Pago</v>
      </c>
      <c r="N74" s="20" t="str">
        <f t="shared" si="2"/>
        <v>2024 03</v>
      </c>
    </row>
    <row r="75" ht="22.5" customHeight="1">
      <c r="A75" s="12">
        <f>IFERROR(__xludf.DUMMYFUNCTION("""COMPUTED_VALUE"""),1473.0)</f>
        <v>1473</v>
      </c>
      <c r="B75" s="13">
        <f>IFERROR(__xludf.DUMMYFUNCTION("""COMPUTED_VALUE"""),45372.0)</f>
        <v>45372</v>
      </c>
      <c r="C75" s="12">
        <f>IFERROR(__xludf.DUMMYFUNCTION("""COMPUTED_VALUE"""),255.0)</f>
        <v>255</v>
      </c>
      <c r="D75" s="12">
        <f>IFERROR(__xludf.DUMMYFUNCTION("""COMPUTED_VALUE"""),18.0)</f>
        <v>18</v>
      </c>
      <c r="E75" s="12">
        <f>IFERROR(__xludf.DUMMYFUNCTION("""COMPUTED_VALUE"""),1.0)</f>
        <v>1</v>
      </c>
      <c r="F75" s="12">
        <f>IFERROR(__xludf.DUMMYFUNCTION("""COMPUTED_VALUE"""),5.0)</f>
        <v>5</v>
      </c>
      <c r="G75" s="15" t="str">
        <f>IFERROR(__xludf.DUMMYFUNCTION("""COMPUTED_VALUE"""),"Pendiente")</f>
        <v>Pendiente</v>
      </c>
      <c r="H75" s="16" t="str">
        <f t="array" ref="H75">_xlfn.XLOOKUP(D75,Productos[ID_Producto],Productos[Nombre_Producto])</f>
        <v>Bananas</v>
      </c>
      <c r="I75" s="17">
        <f t="array" ref="I75">_xlfn.XLOOKUP(D75,Productos[ID_Producto],Productos[Precio_Unitario])</f>
        <v>7.25</v>
      </c>
      <c r="J75" s="17">
        <f t="shared" si="1"/>
        <v>7.25</v>
      </c>
      <c r="K75" s="16" t="str">
        <f t="array" ref="K75">_xlfn.XLOOKUP(C75,Clientes[ID_Cliente],Clientes[Provincia])</f>
        <v>Buenos Aires</v>
      </c>
      <c r="L75" s="16" t="str">
        <f t="array" ref="L75">CONCATENATE(_xlfn.XLOOKUP(C75,Clientes[ID_Cliente],Clientes[Provincia]),", Argentina")</f>
        <v>Buenos Aires, Argentina</v>
      </c>
      <c r="M75" s="20" t="str">
        <f t="array" ref="M75">_xlfn.XLOOKUP(F75,Metodos_De_Pago[ID_Metodo],Metodos_De_Pago[Metodo])</f>
        <v>Transferencia</v>
      </c>
      <c r="N75" s="20" t="str">
        <f t="shared" si="2"/>
        <v>2024 03</v>
      </c>
    </row>
    <row r="76" ht="22.5" customHeight="1">
      <c r="A76" s="12">
        <f>IFERROR(__xludf.DUMMYFUNCTION("""COMPUTED_VALUE"""),1998.0)</f>
        <v>1998</v>
      </c>
      <c r="B76" s="13">
        <f>IFERROR(__xludf.DUMMYFUNCTION("""COMPUTED_VALUE"""),45372.0)</f>
        <v>45372</v>
      </c>
      <c r="C76" s="12">
        <f>IFERROR(__xludf.DUMMYFUNCTION("""COMPUTED_VALUE"""),279.0)</f>
        <v>279</v>
      </c>
      <c r="D76" s="12">
        <f>IFERROR(__xludf.DUMMYFUNCTION("""COMPUTED_VALUE"""),31.0)</f>
        <v>31</v>
      </c>
      <c r="E76" s="12">
        <f>IFERROR(__xludf.DUMMYFUNCTION("""COMPUTED_VALUE"""),1.0)</f>
        <v>1</v>
      </c>
      <c r="F76" s="12">
        <f>IFERROR(__xludf.DUMMYFUNCTION("""COMPUTED_VALUE"""),1.0)</f>
        <v>1</v>
      </c>
      <c r="G76" s="15" t="str">
        <f>IFERROR(__xludf.DUMMYFUNCTION("""COMPUTED_VALUE"""),"Pendiente")</f>
        <v>Pendiente</v>
      </c>
      <c r="H76" s="16" t="str">
        <f t="array" ref="H76">_xlfn.XLOOKUP(D76,Productos[ID_Producto],Productos[Nombre_Producto])</f>
        <v>Galletitas de agua</v>
      </c>
      <c r="I76" s="17">
        <f t="array" ref="I76">_xlfn.XLOOKUP(D76,Productos[ID_Producto],Productos[Precio_Unitario])</f>
        <v>5.24</v>
      </c>
      <c r="J76" s="17">
        <f t="shared" si="1"/>
        <v>5.24</v>
      </c>
      <c r="K76" s="16" t="str">
        <f t="array" ref="K76">_xlfn.XLOOKUP(C76,Clientes[ID_Cliente],Clientes[Provincia])</f>
        <v>Córdoba</v>
      </c>
      <c r="L76" s="16" t="str">
        <f t="array" ref="L76">CONCATENATE(_xlfn.XLOOKUP(C76,Clientes[ID_Cliente],Clientes[Provincia]),", Argentina")</f>
        <v>Córdoba, Argentina</v>
      </c>
      <c r="M76" s="20" t="str">
        <f t="array" ref="M76">_xlfn.XLOOKUP(F76,Metodos_De_Pago[ID_Metodo],Metodos_De_Pago[Metodo])</f>
        <v>Efectivo</v>
      </c>
      <c r="N76" s="20" t="str">
        <f t="shared" si="2"/>
        <v>2024 03</v>
      </c>
    </row>
    <row r="77" ht="22.5" customHeight="1">
      <c r="A77" s="12">
        <f>IFERROR(__xludf.DUMMYFUNCTION("""COMPUTED_VALUE"""),2372.0)</f>
        <v>2372</v>
      </c>
      <c r="B77" s="13">
        <f>IFERROR(__xludf.DUMMYFUNCTION("""COMPUTED_VALUE"""),45373.0)</f>
        <v>45373</v>
      </c>
      <c r="C77" s="12">
        <f>IFERROR(__xludf.DUMMYFUNCTION("""COMPUTED_VALUE"""),177.0)</f>
        <v>177</v>
      </c>
      <c r="D77" s="12">
        <f>IFERROR(__xludf.DUMMYFUNCTION("""COMPUTED_VALUE"""),8.0)</f>
        <v>8</v>
      </c>
      <c r="E77" s="12">
        <f>IFERROR(__xludf.DUMMYFUNCTION("""COMPUTED_VALUE"""),1.0)</f>
        <v>1</v>
      </c>
      <c r="F77" s="12">
        <f>IFERROR(__xludf.DUMMYFUNCTION("""COMPUTED_VALUE"""),1.0)</f>
        <v>1</v>
      </c>
      <c r="G77" s="15" t="str">
        <f>IFERROR(__xludf.DUMMYFUNCTION("""COMPUTED_VALUE"""),"Completa")</f>
        <v>Completa</v>
      </c>
      <c r="H77" s="16" t="str">
        <f t="array" ref="H77">_xlfn.XLOOKUP(D77,Productos[ID_Producto],Productos[Nombre_Producto])</f>
        <v>Milanesa</v>
      </c>
      <c r="I77" s="17">
        <f t="array" ref="I77">_xlfn.XLOOKUP(D77,Productos[ID_Producto],Productos[Precio_Unitario])</f>
        <v>16.21</v>
      </c>
      <c r="J77" s="17">
        <f t="shared" si="1"/>
        <v>16.21</v>
      </c>
      <c r="K77" s="16" t="str">
        <f t="array" ref="K77">_xlfn.XLOOKUP(C77,Clientes[ID_Cliente],Clientes[Provincia])</f>
        <v>Chaco</v>
      </c>
      <c r="L77" s="16" t="str">
        <f t="array" ref="L77">CONCATENATE(_xlfn.XLOOKUP(C77,Clientes[ID_Cliente],Clientes[Provincia]),", Argentina")</f>
        <v>Chaco, Argentina</v>
      </c>
      <c r="M77" s="20" t="str">
        <f t="array" ref="M77">_xlfn.XLOOKUP(F77,Metodos_De_Pago[ID_Metodo],Metodos_De_Pago[Metodo])</f>
        <v>Efectivo</v>
      </c>
      <c r="N77" s="20" t="str">
        <f t="shared" si="2"/>
        <v>2024 03</v>
      </c>
    </row>
    <row r="78" ht="22.5" customHeight="1">
      <c r="A78" s="12">
        <f>IFERROR(__xludf.DUMMYFUNCTION("""COMPUTED_VALUE"""),1549.0)</f>
        <v>1549</v>
      </c>
      <c r="B78" s="13">
        <f>IFERROR(__xludf.DUMMYFUNCTION("""COMPUTED_VALUE"""),45375.0)</f>
        <v>45375</v>
      </c>
      <c r="C78" s="12">
        <f>IFERROR(__xludf.DUMMYFUNCTION("""COMPUTED_VALUE"""),260.0)</f>
        <v>260</v>
      </c>
      <c r="D78" s="12">
        <f>IFERROR(__xludf.DUMMYFUNCTION("""COMPUTED_VALUE"""),17.0)</f>
        <v>17</v>
      </c>
      <c r="E78" s="12">
        <f>IFERROR(__xludf.DUMMYFUNCTION("""COMPUTED_VALUE"""),1.0)</f>
        <v>1</v>
      </c>
      <c r="F78" s="12">
        <f>IFERROR(__xludf.DUMMYFUNCTION("""COMPUTED_VALUE"""),2.0)</f>
        <v>2</v>
      </c>
      <c r="G78" s="15" t="str">
        <f>IFERROR(__xludf.DUMMYFUNCTION("""COMPUTED_VALUE"""),"Completa")</f>
        <v>Completa</v>
      </c>
      <c r="H78" s="16" t="str">
        <f t="array" ref="H78">_xlfn.XLOOKUP(D78,Productos[ID_Producto],Productos[Nombre_Producto])</f>
        <v>Manzanas</v>
      </c>
      <c r="I78" s="17">
        <f t="array" ref="I78">_xlfn.XLOOKUP(D78,Productos[ID_Producto],Productos[Precio_Unitario])</f>
        <v>6.54</v>
      </c>
      <c r="J78" s="17">
        <f t="shared" si="1"/>
        <v>6.54</v>
      </c>
      <c r="K78" s="16" t="str">
        <f t="array" ref="K78">_xlfn.XLOOKUP(C78,Clientes[ID_Cliente],Clientes[Provincia])</f>
        <v>Buenos Aires</v>
      </c>
      <c r="L78" s="16" t="str">
        <f t="array" ref="L78">CONCATENATE(_xlfn.XLOOKUP(C78,Clientes[ID_Cliente],Clientes[Provincia]),", Argentina")</f>
        <v>Buenos Aires, Argentina</v>
      </c>
      <c r="M78" s="20" t="str">
        <f t="array" ref="M78">_xlfn.XLOOKUP(F78,Metodos_De_Pago[ID_Metodo],Metodos_De_Pago[Metodo])</f>
        <v>Tarjeta de Crédito</v>
      </c>
      <c r="N78" s="20" t="str">
        <f t="shared" si="2"/>
        <v>2024 03</v>
      </c>
    </row>
    <row r="79" ht="22.5" customHeight="1">
      <c r="A79" s="12">
        <f>IFERROR(__xludf.DUMMYFUNCTION("""COMPUTED_VALUE"""),1942.0)</f>
        <v>1942</v>
      </c>
      <c r="B79" s="13">
        <f>IFERROR(__xludf.DUMMYFUNCTION("""COMPUTED_VALUE"""),45375.0)</f>
        <v>45375</v>
      </c>
      <c r="C79" s="12">
        <f>IFERROR(__xludf.DUMMYFUNCTION("""COMPUTED_VALUE"""),41.0)</f>
        <v>41</v>
      </c>
      <c r="D79" s="12">
        <f>IFERROR(__xludf.DUMMYFUNCTION("""COMPUTED_VALUE"""),31.0)</f>
        <v>31</v>
      </c>
      <c r="E79" s="12">
        <f>IFERROR(__xludf.DUMMYFUNCTION("""COMPUTED_VALUE"""),1.0)</f>
        <v>1</v>
      </c>
      <c r="F79" s="12">
        <f>IFERROR(__xludf.DUMMYFUNCTION("""COMPUTED_VALUE"""),4.0)</f>
        <v>4</v>
      </c>
      <c r="G79" s="15" t="str">
        <f>IFERROR(__xludf.DUMMYFUNCTION("""COMPUTED_VALUE"""),"Pendiente")</f>
        <v>Pendiente</v>
      </c>
      <c r="H79" s="16" t="str">
        <f t="array" ref="H79">_xlfn.XLOOKUP(D79,Productos[ID_Producto],Productos[Nombre_Producto])</f>
        <v>Galletitas de agua</v>
      </c>
      <c r="I79" s="17">
        <f t="array" ref="I79">_xlfn.XLOOKUP(D79,Productos[ID_Producto],Productos[Precio_Unitario])</f>
        <v>5.24</v>
      </c>
      <c r="J79" s="17">
        <f t="shared" si="1"/>
        <v>5.24</v>
      </c>
      <c r="K79" s="16" t="str">
        <f t="array" ref="K79">_xlfn.XLOOKUP(C79,Clientes[ID_Cliente],Clientes[Provincia])</f>
        <v>Neuquén</v>
      </c>
      <c r="L79" s="16" t="str">
        <f t="array" ref="L79">CONCATENATE(_xlfn.XLOOKUP(C79,Clientes[ID_Cliente],Clientes[Provincia]),", Argentina")</f>
        <v>Neuquén, Argentina</v>
      </c>
      <c r="M79" s="20" t="str">
        <f t="array" ref="M79">_xlfn.XLOOKUP(F79,Metodos_De_Pago[ID_Metodo],Metodos_De_Pago[Metodo])</f>
        <v>Mercado Pago</v>
      </c>
      <c r="N79" s="20" t="str">
        <f t="shared" si="2"/>
        <v>2024 03</v>
      </c>
    </row>
    <row r="80" ht="22.5" customHeight="1">
      <c r="A80" s="12">
        <f>IFERROR(__xludf.DUMMYFUNCTION("""COMPUTED_VALUE"""),113.0)</f>
        <v>113</v>
      </c>
      <c r="B80" s="13">
        <f>IFERROR(__xludf.DUMMYFUNCTION("""COMPUTED_VALUE"""),45376.0)</f>
        <v>45376</v>
      </c>
      <c r="C80" s="12">
        <f>IFERROR(__xludf.DUMMYFUNCTION("""COMPUTED_VALUE"""),72.0)</f>
        <v>72</v>
      </c>
      <c r="D80" s="12">
        <f>IFERROR(__xludf.DUMMYFUNCTION("""COMPUTED_VALUE"""),19.0)</f>
        <v>19</v>
      </c>
      <c r="E80" s="12">
        <f>IFERROR(__xludf.DUMMYFUNCTION("""COMPUTED_VALUE"""),1.0)</f>
        <v>1</v>
      </c>
      <c r="F80" s="12">
        <f>IFERROR(__xludf.DUMMYFUNCTION("""COMPUTED_VALUE"""),3.0)</f>
        <v>3</v>
      </c>
      <c r="G80" s="15" t="str">
        <f>IFERROR(__xludf.DUMMYFUNCTION("""COMPUTED_VALUE"""),"Pendiente")</f>
        <v>Pendiente</v>
      </c>
      <c r="H80" s="16" t="str">
        <f t="array" ref="H80">_xlfn.XLOOKUP(D80,Productos[ID_Producto],Productos[Nombre_Producto])</f>
        <v>Tomates</v>
      </c>
      <c r="I80" s="17">
        <f t="array" ref="I80">_xlfn.XLOOKUP(D80,Productos[ID_Producto],Productos[Precio_Unitario])</f>
        <v>6.54</v>
      </c>
      <c r="J80" s="17">
        <f t="shared" si="1"/>
        <v>6.54</v>
      </c>
      <c r="K80" s="16" t="str">
        <f t="array" ref="K80">_xlfn.XLOOKUP(C80,Clientes[ID_Cliente],Clientes[Provincia])</f>
        <v>Córdoba</v>
      </c>
      <c r="L80" s="16" t="str">
        <f t="array" ref="L80">CONCATENATE(_xlfn.XLOOKUP(C80,Clientes[ID_Cliente],Clientes[Provincia]),", Argentina")</f>
        <v>Córdoba, Argentina</v>
      </c>
      <c r="M80" s="20" t="str">
        <f t="array" ref="M80">_xlfn.XLOOKUP(F80,Metodos_De_Pago[ID_Metodo],Metodos_De_Pago[Metodo])</f>
        <v>Tarjeta de Débito</v>
      </c>
      <c r="N80" s="20" t="str">
        <f t="shared" si="2"/>
        <v>2024 03</v>
      </c>
    </row>
    <row r="81" ht="22.5" customHeight="1">
      <c r="A81" s="12">
        <f>IFERROR(__xludf.DUMMYFUNCTION("""COMPUTED_VALUE"""),378.0)</f>
        <v>378</v>
      </c>
      <c r="B81" s="13">
        <f>IFERROR(__xludf.DUMMYFUNCTION("""COMPUTED_VALUE"""),45376.0)</f>
        <v>45376</v>
      </c>
      <c r="C81" s="12">
        <f>IFERROR(__xludf.DUMMYFUNCTION("""COMPUTED_VALUE"""),199.0)</f>
        <v>199</v>
      </c>
      <c r="D81" s="12">
        <f>IFERROR(__xludf.DUMMYFUNCTION("""COMPUTED_VALUE"""),25.0)</f>
        <v>25</v>
      </c>
      <c r="E81" s="12">
        <f>IFERROR(__xludf.DUMMYFUNCTION("""COMPUTED_VALUE"""),1.0)</f>
        <v>1</v>
      </c>
      <c r="F81" s="12">
        <f>IFERROR(__xludf.DUMMYFUNCTION("""COMPUTED_VALUE"""),4.0)</f>
        <v>4</v>
      </c>
      <c r="G81" s="15" t="str">
        <f>IFERROR(__xludf.DUMMYFUNCTION("""COMPUTED_VALUE"""),"Completa")</f>
        <v>Completa</v>
      </c>
      <c r="H81" s="16" t="str">
        <f t="array" ref="H81">_xlfn.XLOOKUP(D81,Productos[ID_Producto],Productos[Nombre_Producto])</f>
        <v>Pizza congelada</v>
      </c>
      <c r="I81" s="17">
        <f t="array" ref="I81">_xlfn.XLOOKUP(D81,Productos[ID_Producto],Productos[Precio_Unitario])</f>
        <v>15.45</v>
      </c>
      <c r="J81" s="17">
        <f t="shared" si="1"/>
        <v>15.45</v>
      </c>
      <c r="K81" s="16" t="str">
        <f t="array" ref="K81">_xlfn.XLOOKUP(C81,Clientes[ID_Cliente],Clientes[Provincia])</f>
        <v>Buenos Aires</v>
      </c>
      <c r="L81" s="16" t="str">
        <f t="array" ref="L81">CONCATENATE(_xlfn.XLOOKUP(C81,Clientes[ID_Cliente],Clientes[Provincia]),", Argentina")</f>
        <v>Buenos Aires, Argentina</v>
      </c>
      <c r="M81" s="20" t="str">
        <f t="array" ref="M81">_xlfn.XLOOKUP(F81,Metodos_De_Pago[ID_Metodo],Metodos_De_Pago[Metodo])</f>
        <v>Mercado Pago</v>
      </c>
      <c r="N81" s="20" t="str">
        <f t="shared" si="2"/>
        <v>2024 03</v>
      </c>
    </row>
    <row r="82" ht="22.5" customHeight="1">
      <c r="A82" s="12">
        <f>IFERROR(__xludf.DUMMYFUNCTION("""COMPUTED_VALUE"""),1710.0)</f>
        <v>1710</v>
      </c>
      <c r="B82" s="13">
        <f>IFERROR(__xludf.DUMMYFUNCTION("""COMPUTED_VALUE"""),45376.0)</f>
        <v>45376</v>
      </c>
      <c r="C82" s="12">
        <f>IFERROR(__xludf.DUMMYFUNCTION("""COMPUTED_VALUE"""),131.0)</f>
        <v>131</v>
      </c>
      <c r="D82" s="12">
        <f>IFERROR(__xludf.DUMMYFUNCTION("""COMPUTED_VALUE"""),27.0)</f>
        <v>27</v>
      </c>
      <c r="E82" s="12">
        <f>IFERROR(__xludf.DUMMYFUNCTION("""COMPUTED_VALUE"""),1.0)</f>
        <v>1</v>
      </c>
      <c r="F82" s="12">
        <f>IFERROR(__xludf.DUMMYFUNCTION("""COMPUTED_VALUE"""),3.0)</f>
        <v>3</v>
      </c>
      <c r="G82" s="15" t="str">
        <f>IFERROR(__xludf.DUMMYFUNCTION("""COMPUTED_VALUE"""),"Completa")</f>
        <v>Completa</v>
      </c>
      <c r="H82" s="16" t="str">
        <f t="array" ref="H82">_xlfn.XLOOKUP(D82,Productos[ID_Producto],Productos[Nombre_Producto])</f>
        <v>Agua mineral</v>
      </c>
      <c r="I82" s="17">
        <f t="array" ref="I82">_xlfn.XLOOKUP(D82,Productos[ID_Producto],Productos[Precio_Unitario])</f>
        <v>6.21</v>
      </c>
      <c r="J82" s="17">
        <f t="shared" si="1"/>
        <v>6.21</v>
      </c>
      <c r="K82" s="16" t="str">
        <f t="array" ref="K82">_xlfn.XLOOKUP(C82,Clientes[ID_Cliente],Clientes[Provincia])</f>
        <v>Buenos Aires</v>
      </c>
      <c r="L82" s="16" t="str">
        <f t="array" ref="L82">CONCATENATE(_xlfn.XLOOKUP(C82,Clientes[ID_Cliente],Clientes[Provincia]),", Argentina")</f>
        <v>Buenos Aires, Argentina</v>
      </c>
      <c r="M82" s="20" t="str">
        <f t="array" ref="M82">_xlfn.XLOOKUP(F82,Metodos_De_Pago[ID_Metodo],Metodos_De_Pago[Metodo])</f>
        <v>Tarjeta de Débito</v>
      </c>
      <c r="N82" s="20" t="str">
        <f t="shared" si="2"/>
        <v>2024 03</v>
      </c>
    </row>
    <row r="83" ht="22.5" customHeight="1">
      <c r="A83" s="12">
        <f>IFERROR(__xludf.DUMMYFUNCTION("""COMPUTED_VALUE"""),2683.0)</f>
        <v>2683</v>
      </c>
      <c r="B83" s="13">
        <f>IFERROR(__xludf.DUMMYFUNCTION("""COMPUTED_VALUE"""),45377.0)</f>
        <v>45377</v>
      </c>
      <c r="C83" s="12">
        <f>IFERROR(__xludf.DUMMYFUNCTION("""COMPUTED_VALUE"""),14.0)</f>
        <v>14</v>
      </c>
      <c r="D83" s="12">
        <f>IFERROR(__xludf.DUMMYFUNCTION("""COMPUTED_VALUE"""),28.0)</f>
        <v>28</v>
      </c>
      <c r="E83" s="12">
        <f>IFERROR(__xludf.DUMMYFUNCTION("""COMPUTED_VALUE"""),1.0)</f>
        <v>1</v>
      </c>
      <c r="F83" s="12">
        <f>IFERROR(__xludf.DUMMYFUNCTION("""COMPUTED_VALUE"""),2.0)</f>
        <v>2</v>
      </c>
      <c r="G83" s="15" t="str">
        <f>IFERROR(__xludf.DUMMYFUNCTION("""COMPUTED_VALUE"""),"Completa")</f>
        <v>Completa</v>
      </c>
      <c r="H83" s="16" t="str">
        <f t="array" ref="H83">_xlfn.XLOOKUP(D83,Productos[ID_Producto],Productos[Nombre_Producto])</f>
        <v>Jugos de frutas</v>
      </c>
      <c r="I83" s="17">
        <f t="array" ref="I83">_xlfn.XLOOKUP(D83,Productos[ID_Producto],Productos[Precio_Unitario])</f>
        <v>9.45</v>
      </c>
      <c r="J83" s="17">
        <f t="shared" si="1"/>
        <v>9.45</v>
      </c>
      <c r="K83" s="16" t="str">
        <f t="array" ref="K83">_xlfn.XLOOKUP(C83,Clientes[ID_Cliente],Clientes[Provincia])</f>
        <v>Buenos Aires</v>
      </c>
      <c r="L83" s="16" t="str">
        <f t="array" ref="L83">CONCATENATE(_xlfn.XLOOKUP(C83,Clientes[ID_Cliente],Clientes[Provincia]),", Argentina")</f>
        <v>Buenos Aires, Argentina</v>
      </c>
      <c r="M83" s="20" t="str">
        <f t="array" ref="M83">_xlfn.XLOOKUP(F83,Metodos_De_Pago[ID_Metodo],Metodos_De_Pago[Metodo])</f>
        <v>Tarjeta de Crédito</v>
      </c>
      <c r="N83" s="20" t="str">
        <f t="shared" si="2"/>
        <v>2024 03</v>
      </c>
    </row>
    <row r="84" ht="22.5" customHeight="1">
      <c r="A84" s="12">
        <f>IFERROR(__xludf.DUMMYFUNCTION("""COMPUTED_VALUE"""),737.0)</f>
        <v>737</v>
      </c>
      <c r="B84" s="13">
        <f>IFERROR(__xludf.DUMMYFUNCTION("""COMPUTED_VALUE"""),45378.0)</f>
        <v>45378</v>
      </c>
      <c r="C84" s="12">
        <f>IFERROR(__xludf.DUMMYFUNCTION("""COMPUTED_VALUE"""),48.0)</f>
        <v>48</v>
      </c>
      <c r="D84" s="12">
        <f>IFERROR(__xludf.DUMMYFUNCTION("""COMPUTED_VALUE"""),30.0)</f>
        <v>30</v>
      </c>
      <c r="E84" s="12">
        <f>IFERROR(__xludf.DUMMYFUNCTION("""COMPUTED_VALUE"""),1.0)</f>
        <v>1</v>
      </c>
      <c r="F84" s="12">
        <f>IFERROR(__xludf.DUMMYFUNCTION("""COMPUTED_VALUE"""),5.0)</f>
        <v>5</v>
      </c>
      <c r="G84" s="15" t="str">
        <f>IFERROR(__xludf.DUMMYFUNCTION("""COMPUTED_VALUE"""),"Completa")</f>
        <v>Completa</v>
      </c>
      <c r="H84" s="16" t="str">
        <f t="array" ref="H84">_xlfn.XLOOKUP(D84,Productos[ID_Producto],Productos[Nombre_Producto])</f>
        <v>Vino tinto</v>
      </c>
      <c r="I84" s="17">
        <f t="array" ref="I84">_xlfn.XLOOKUP(D84,Productos[ID_Producto],Productos[Precio_Unitario])</f>
        <v>13.54</v>
      </c>
      <c r="J84" s="17">
        <f t="shared" si="1"/>
        <v>13.54</v>
      </c>
      <c r="K84" s="16" t="str">
        <f t="array" ref="K84">_xlfn.XLOOKUP(C84,Clientes[ID_Cliente],Clientes[Provincia])</f>
        <v>Neuquén</v>
      </c>
      <c r="L84" s="16" t="str">
        <f t="array" ref="L84">CONCATENATE(_xlfn.XLOOKUP(C84,Clientes[ID_Cliente],Clientes[Provincia]),", Argentina")</f>
        <v>Neuquén, Argentina</v>
      </c>
      <c r="M84" s="20" t="str">
        <f t="array" ref="M84">_xlfn.XLOOKUP(F84,Metodos_De_Pago[ID_Metodo],Metodos_De_Pago[Metodo])</f>
        <v>Transferencia</v>
      </c>
      <c r="N84" s="20" t="str">
        <f t="shared" si="2"/>
        <v>2024 03</v>
      </c>
    </row>
    <row r="85" ht="22.5" customHeight="1">
      <c r="A85" s="12">
        <f>IFERROR(__xludf.DUMMYFUNCTION("""COMPUTED_VALUE"""),1627.0)</f>
        <v>1627</v>
      </c>
      <c r="B85" s="13">
        <f>IFERROR(__xludf.DUMMYFUNCTION("""COMPUTED_VALUE"""),45378.0)</f>
        <v>45378</v>
      </c>
      <c r="C85" s="12">
        <f>IFERROR(__xludf.DUMMYFUNCTION("""COMPUTED_VALUE"""),323.0)</f>
        <v>323</v>
      </c>
      <c r="D85" s="12">
        <f>IFERROR(__xludf.DUMMYFUNCTION("""COMPUTED_VALUE"""),13.0)</f>
        <v>13</v>
      </c>
      <c r="E85" s="12">
        <f>IFERROR(__xludf.DUMMYFUNCTION("""COMPUTED_VALUE"""),1.0)</f>
        <v>1</v>
      </c>
      <c r="F85" s="12">
        <f>IFERROR(__xludf.DUMMYFUNCTION("""COMPUTED_VALUE"""),5.0)</f>
        <v>5</v>
      </c>
      <c r="G85" s="15" t="str">
        <f>IFERROR(__xludf.DUMMYFUNCTION("""COMPUTED_VALUE"""),"Completa")</f>
        <v>Completa</v>
      </c>
      <c r="H85" s="16" t="str">
        <f t="array" ref="H85">_xlfn.XLOOKUP(D85,Productos[ID_Producto],Productos[Nombre_Producto])</f>
        <v>Pan integral</v>
      </c>
      <c r="I85" s="17">
        <f t="array" ref="I85">_xlfn.XLOOKUP(D85,Productos[ID_Producto],Productos[Precio_Unitario])</f>
        <v>12.56</v>
      </c>
      <c r="J85" s="17">
        <f t="shared" si="1"/>
        <v>12.56</v>
      </c>
      <c r="K85" s="16" t="str">
        <f t="array" ref="K85">_xlfn.XLOOKUP(C85,Clientes[ID_Cliente],Clientes[Provincia])</f>
        <v>Córdoba</v>
      </c>
      <c r="L85" s="16" t="str">
        <f t="array" ref="L85">CONCATENATE(_xlfn.XLOOKUP(C85,Clientes[ID_Cliente],Clientes[Provincia]),", Argentina")</f>
        <v>Córdoba, Argentina</v>
      </c>
      <c r="M85" s="20" t="str">
        <f t="array" ref="M85">_xlfn.XLOOKUP(F85,Metodos_De_Pago[ID_Metodo],Metodos_De_Pago[Metodo])</f>
        <v>Transferencia</v>
      </c>
      <c r="N85" s="20" t="str">
        <f t="shared" si="2"/>
        <v>2024 03</v>
      </c>
    </row>
    <row r="86" ht="22.5" customHeight="1">
      <c r="A86" s="12">
        <f>IFERROR(__xludf.DUMMYFUNCTION("""COMPUTED_VALUE"""),1666.0)</f>
        <v>1666</v>
      </c>
      <c r="B86" s="13">
        <f>IFERROR(__xludf.DUMMYFUNCTION("""COMPUTED_VALUE"""),45378.0)</f>
        <v>45378</v>
      </c>
      <c r="C86" s="12">
        <f>IFERROR(__xludf.DUMMYFUNCTION("""COMPUTED_VALUE"""),56.0)</f>
        <v>56</v>
      </c>
      <c r="D86" s="12">
        <f>IFERROR(__xludf.DUMMYFUNCTION("""COMPUTED_VALUE"""),25.0)</f>
        <v>25</v>
      </c>
      <c r="E86" s="12">
        <f>IFERROR(__xludf.DUMMYFUNCTION("""COMPUTED_VALUE"""),1.0)</f>
        <v>1</v>
      </c>
      <c r="F86" s="12">
        <f>IFERROR(__xludf.DUMMYFUNCTION("""COMPUTED_VALUE"""),3.0)</f>
        <v>3</v>
      </c>
      <c r="G86" s="15" t="str">
        <f>IFERROR(__xludf.DUMMYFUNCTION("""COMPUTED_VALUE"""),"Completa")</f>
        <v>Completa</v>
      </c>
      <c r="H86" s="16" t="str">
        <f t="array" ref="H86">_xlfn.XLOOKUP(D86,Productos[ID_Producto],Productos[Nombre_Producto])</f>
        <v>Pizza congelada</v>
      </c>
      <c r="I86" s="17">
        <f t="array" ref="I86">_xlfn.XLOOKUP(D86,Productos[ID_Producto],Productos[Precio_Unitario])</f>
        <v>15.45</v>
      </c>
      <c r="J86" s="17">
        <f t="shared" si="1"/>
        <v>15.45</v>
      </c>
      <c r="K86" s="16" t="str">
        <f t="array" ref="K86">_xlfn.XLOOKUP(C86,Clientes[ID_Cliente],Clientes[Provincia])</f>
        <v>Córdoba</v>
      </c>
      <c r="L86" s="16" t="str">
        <f t="array" ref="L86">CONCATENATE(_xlfn.XLOOKUP(C86,Clientes[ID_Cliente],Clientes[Provincia]),", Argentina")</f>
        <v>Córdoba, Argentina</v>
      </c>
      <c r="M86" s="20" t="str">
        <f t="array" ref="M86">_xlfn.XLOOKUP(F86,Metodos_De_Pago[ID_Metodo],Metodos_De_Pago[Metodo])</f>
        <v>Tarjeta de Débito</v>
      </c>
      <c r="N86" s="20" t="str">
        <f t="shared" si="2"/>
        <v>2024 03</v>
      </c>
    </row>
    <row r="87" ht="22.5" customHeight="1">
      <c r="A87" s="12">
        <f>IFERROR(__xludf.DUMMYFUNCTION("""COMPUTED_VALUE"""),2225.0)</f>
        <v>2225</v>
      </c>
      <c r="B87" s="13">
        <f>IFERROR(__xludf.DUMMYFUNCTION("""COMPUTED_VALUE"""),45378.0)</f>
        <v>45378</v>
      </c>
      <c r="C87" s="12">
        <f>IFERROR(__xludf.DUMMYFUNCTION("""COMPUTED_VALUE"""),269.0)</f>
        <v>269</v>
      </c>
      <c r="D87" s="12">
        <f>IFERROR(__xludf.DUMMYFUNCTION("""COMPUTED_VALUE"""),34.0)</f>
        <v>34</v>
      </c>
      <c r="E87" s="12">
        <f>IFERROR(__xludf.DUMMYFUNCTION("""COMPUTED_VALUE"""),1.0)</f>
        <v>1</v>
      </c>
      <c r="F87" s="12">
        <f>IFERROR(__xludf.DUMMYFUNCTION("""COMPUTED_VALUE"""),4.0)</f>
        <v>4</v>
      </c>
      <c r="G87" s="15" t="str">
        <f>IFERROR(__xludf.DUMMYFUNCTION("""COMPUTED_VALUE"""),"Completa")</f>
        <v>Completa</v>
      </c>
      <c r="H87" s="16" t="str">
        <f t="array" ref="H87">_xlfn.XLOOKUP(D87,Productos[ID_Producto],Productos[Nombre_Producto])</f>
        <v>Maníes</v>
      </c>
      <c r="I87" s="17">
        <f t="array" ref="I87">_xlfn.XLOOKUP(D87,Productos[ID_Producto],Productos[Precio_Unitario])</f>
        <v>5.45</v>
      </c>
      <c r="J87" s="17">
        <f t="shared" si="1"/>
        <v>5.45</v>
      </c>
      <c r="K87" s="16" t="str">
        <f t="array" ref="K87">_xlfn.XLOOKUP(C87,Clientes[ID_Cliente],Clientes[Provincia])</f>
        <v>Córdoba</v>
      </c>
      <c r="L87" s="16" t="str">
        <f t="array" ref="L87">CONCATENATE(_xlfn.XLOOKUP(C87,Clientes[ID_Cliente],Clientes[Provincia]),", Argentina")</f>
        <v>Córdoba, Argentina</v>
      </c>
      <c r="M87" s="20" t="str">
        <f t="array" ref="M87">_xlfn.XLOOKUP(F87,Metodos_De_Pago[ID_Metodo],Metodos_De_Pago[Metodo])</f>
        <v>Mercado Pago</v>
      </c>
      <c r="N87" s="20" t="str">
        <f t="shared" si="2"/>
        <v>2024 03</v>
      </c>
    </row>
    <row r="88" ht="22.5" customHeight="1">
      <c r="A88" s="12">
        <f>IFERROR(__xludf.DUMMYFUNCTION("""COMPUTED_VALUE"""),189.0)</f>
        <v>189</v>
      </c>
      <c r="B88" s="13">
        <f>IFERROR(__xludf.DUMMYFUNCTION("""COMPUTED_VALUE"""),45380.0)</f>
        <v>45380</v>
      </c>
      <c r="C88" s="12">
        <f>IFERROR(__xludf.DUMMYFUNCTION("""COMPUTED_VALUE"""),170.0)</f>
        <v>170</v>
      </c>
      <c r="D88" s="12">
        <f>IFERROR(__xludf.DUMMYFUNCTION("""COMPUTED_VALUE"""),30.0)</f>
        <v>30</v>
      </c>
      <c r="E88" s="12">
        <f>IFERROR(__xludf.DUMMYFUNCTION("""COMPUTED_VALUE"""),1.0)</f>
        <v>1</v>
      </c>
      <c r="F88" s="12">
        <f>IFERROR(__xludf.DUMMYFUNCTION("""COMPUTED_VALUE"""),1.0)</f>
        <v>1</v>
      </c>
      <c r="G88" s="15" t="str">
        <f>IFERROR(__xludf.DUMMYFUNCTION("""COMPUTED_VALUE"""),"Completa")</f>
        <v>Completa</v>
      </c>
      <c r="H88" s="16" t="str">
        <f t="array" ref="H88">_xlfn.XLOOKUP(D88,Productos[ID_Producto],Productos[Nombre_Producto])</f>
        <v>Vino tinto</v>
      </c>
      <c r="I88" s="17">
        <f t="array" ref="I88">_xlfn.XLOOKUP(D88,Productos[ID_Producto],Productos[Precio_Unitario])</f>
        <v>13.54</v>
      </c>
      <c r="J88" s="17">
        <f t="shared" si="1"/>
        <v>13.54</v>
      </c>
      <c r="K88" s="16" t="str">
        <f t="array" ref="K88">_xlfn.XLOOKUP(C88,Clientes[ID_Cliente],Clientes[Provincia])</f>
        <v>Córdoba</v>
      </c>
      <c r="L88" s="16" t="str">
        <f t="array" ref="L88">CONCATENATE(_xlfn.XLOOKUP(C88,Clientes[ID_Cliente],Clientes[Provincia]),", Argentina")</f>
        <v>Córdoba, Argentina</v>
      </c>
      <c r="M88" s="20" t="str">
        <f t="array" ref="M88">_xlfn.XLOOKUP(F88,Metodos_De_Pago[ID_Metodo],Metodos_De_Pago[Metodo])</f>
        <v>Efectivo</v>
      </c>
      <c r="N88" s="20" t="str">
        <f t="shared" si="2"/>
        <v>2024 03</v>
      </c>
    </row>
    <row r="89" ht="22.5" customHeight="1">
      <c r="A89" s="12">
        <f>IFERROR(__xludf.DUMMYFUNCTION("""COMPUTED_VALUE"""),265.0)</f>
        <v>265</v>
      </c>
      <c r="B89" s="13">
        <f>IFERROR(__xludf.DUMMYFUNCTION("""COMPUTED_VALUE"""),45381.0)</f>
        <v>45381</v>
      </c>
      <c r="C89" s="12">
        <f>IFERROR(__xludf.DUMMYFUNCTION("""COMPUTED_VALUE"""),257.0)</f>
        <v>257</v>
      </c>
      <c r="D89" s="12">
        <f>IFERROR(__xludf.DUMMYFUNCTION("""COMPUTED_VALUE"""),28.0)</f>
        <v>28</v>
      </c>
      <c r="E89" s="12">
        <f>IFERROR(__xludf.DUMMYFUNCTION("""COMPUTED_VALUE"""),1.0)</f>
        <v>1</v>
      </c>
      <c r="F89" s="12">
        <f>IFERROR(__xludf.DUMMYFUNCTION("""COMPUTED_VALUE"""),1.0)</f>
        <v>1</v>
      </c>
      <c r="G89" s="15" t="str">
        <f>IFERROR(__xludf.DUMMYFUNCTION("""COMPUTED_VALUE"""),"Completa")</f>
        <v>Completa</v>
      </c>
      <c r="H89" s="16" t="str">
        <f t="array" ref="H89">_xlfn.XLOOKUP(D89,Productos[ID_Producto],Productos[Nombre_Producto])</f>
        <v>Jugos de frutas</v>
      </c>
      <c r="I89" s="17">
        <f t="array" ref="I89">_xlfn.XLOOKUP(D89,Productos[ID_Producto],Productos[Precio_Unitario])</f>
        <v>9.45</v>
      </c>
      <c r="J89" s="17">
        <f t="shared" si="1"/>
        <v>9.45</v>
      </c>
      <c r="K89" s="16" t="str">
        <f t="array" ref="K89">_xlfn.XLOOKUP(C89,Clientes[ID_Cliente],Clientes[Provincia])</f>
        <v>Chaco</v>
      </c>
      <c r="L89" s="16" t="str">
        <f t="array" ref="L89">CONCATENATE(_xlfn.XLOOKUP(C89,Clientes[ID_Cliente],Clientes[Provincia]),", Argentina")</f>
        <v>Chaco, Argentina</v>
      </c>
      <c r="M89" s="20" t="str">
        <f t="array" ref="M89">_xlfn.XLOOKUP(F89,Metodos_De_Pago[ID_Metodo],Metodos_De_Pago[Metodo])</f>
        <v>Efectivo</v>
      </c>
      <c r="N89" s="20" t="str">
        <f t="shared" si="2"/>
        <v>2024 03</v>
      </c>
    </row>
    <row r="90" ht="22.5" customHeight="1">
      <c r="A90" s="12">
        <f>IFERROR(__xludf.DUMMYFUNCTION("""COMPUTED_VALUE"""),2891.0)</f>
        <v>2891</v>
      </c>
      <c r="B90" s="13">
        <f>IFERROR(__xludf.DUMMYFUNCTION("""COMPUTED_VALUE"""),45381.0)</f>
        <v>45381</v>
      </c>
      <c r="C90" s="12">
        <f>IFERROR(__xludf.DUMMYFUNCTION("""COMPUTED_VALUE"""),76.0)</f>
        <v>76</v>
      </c>
      <c r="D90" s="12">
        <f>IFERROR(__xludf.DUMMYFUNCTION("""COMPUTED_VALUE"""),7.0)</f>
        <v>7</v>
      </c>
      <c r="E90" s="12">
        <f>IFERROR(__xludf.DUMMYFUNCTION("""COMPUTED_VALUE"""),1.0)</f>
        <v>1</v>
      </c>
      <c r="F90" s="12">
        <f>IFERROR(__xludf.DUMMYFUNCTION("""COMPUTED_VALUE"""),4.0)</f>
        <v>4</v>
      </c>
      <c r="G90" s="15" t="str">
        <f>IFERROR(__xludf.DUMMYFUNCTION("""COMPUTED_VALUE"""),"Completa")</f>
        <v>Completa</v>
      </c>
      <c r="H90" s="16" t="str">
        <f t="array" ref="H90">_xlfn.XLOOKUP(D90,Productos[ID_Producto],Productos[Nombre_Producto])</f>
        <v>Chorizo</v>
      </c>
      <c r="I90" s="17">
        <f t="array" ref="I90">_xlfn.XLOOKUP(D90,Productos[ID_Producto],Productos[Precio_Unitario])</f>
        <v>11.25</v>
      </c>
      <c r="J90" s="17">
        <f t="shared" si="1"/>
        <v>11.25</v>
      </c>
      <c r="K90" s="16" t="str">
        <f t="array" ref="K90">_xlfn.XLOOKUP(C90,Clientes[ID_Cliente],Clientes[Provincia])</f>
        <v>Córdoba</v>
      </c>
      <c r="L90" s="16" t="str">
        <f t="array" ref="L90">CONCATENATE(_xlfn.XLOOKUP(C90,Clientes[ID_Cliente],Clientes[Provincia]),", Argentina")</f>
        <v>Córdoba, Argentina</v>
      </c>
      <c r="M90" s="20" t="str">
        <f t="array" ref="M90">_xlfn.XLOOKUP(F90,Metodos_De_Pago[ID_Metodo],Metodos_De_Pago[Metodo])</f>
        <v>Mercado Pago</v>
      </c>
      <c r="N90" s="20" t="str">
        <f t="shared" si="2"/>
        <v>2024 03</v>
      </c>
    </row>
    <row r="91" ht="22.5" customHeight="1">
      <c r="A91" s="12">
        <f>IFERROR(__xludf.DUMMYFUNCTION("""COMPUTED_VALUE"""),2303.0)</f>
        <v>2303</v>
      </c>
      <c r="B91" s="13">
        <f>IFERROR(__xludf.DUMMYFUNCTION("""COMPUTED_VALUE"""),45383.0)</f>
        <v>45383</v>
      </c>
      <c r="C91" s="12">
        <f>IFERROR(__xludf.DUMMYFUNCTION("""COMPUTED_VALUE"""),314.0)</f>
        <v>314</v>
      </c>
      <c r="D91" s="12">
        <f>IFERROR(__xludf.DUMMYFUNCTION("""COMPUTED_VALUE"""),2.0)</f>
        <v>2</v>
      </c>
      <c r="E91" s="12">
        <f>IFERROR(__xludf.DUMMYFUNCTION("""COMPUTED_VALUE"""),1.0)</f>
        <v>1</v>
      </c>
      <c r="F91" s="12">
        <f>IFERROR(__xludf.DUMMYFUNCTION("""COMPUTED_VALUE"""),5.0)</f>
        <v>5</v>
      </c>
      <c r="G91" s="15" t="str">
        <f>IFERROR(__xludf.DUMMYFUNCTION("""COMPUTED_VALUE"""),"Pendiente")</f>
        <v>Pendiente</v>
      </c>
      <c r="H91" s="16" t="str">
        <f t="array" ref="H91">_xlfn.XLOOKUP(D91,Productos[ID_Producto],Productos[Nombre_Producto])</f>
        <v>Yogur</v>
      </c>
      <c r="I91" s="17">
        <f t="array" ref="I91">_xlfn.XLOOKUP(D91,Productos[ID_Producto],Productos[Precio_Unitario])</f>
        <v>5.21</v>
      </c>
      <c r="J91" s="17">
        <f t="shared" si="1"/>
        <v>5.21</v>
      </c>
      <c r="K91" s="16" t="str">
        <f t="array" ref="K91">_xlfn.XLOOKUP(C91,Clientes[ID_Cliente],Clientes[Provincia])</f>
        <v>Neuquén</v>
      </c>
      <c r="L91" s="16" t="str">
        <f t="array" ref="L91">CONCATENATE(_xlfn.XLOOKUP(C91,Clientes[ID_Cliente],Clientes[Provincia]),", Argentina")</f>
        <v>Neuquén, Argentina</v>
      </c>
      <c r="M91" s="20" t="str">
        <f t="array" ref="M91">_xlfn.XLOOKUP(F91,Metodos_De_Pago[ID_Metodo],Metodos_De_Pago[Metodo])</f>
        <v>Transferencia</v>
      </c>
      <c r="N91" s="20" t="str">
        <f t="shared" si="2"/>
        <v>2024 04</v>
      </c>
    </row>
    <row r="92" ht="22.5" customHeight="1">
      <c r="A92" s="12">
        <f>IFERROR(__xludf.DUMMYFUNCTION("""COMPUTED_VALUE"""),339.0)</f>
        <v>339</v>
      </c>
      <c r="B92" s="13">
        <f>IFERROR(__xludf.DUMMYFUNCTION("""COMPUTED_VALUE"""),45385.0)</f>
        <v>45385</v>
      </c>
      <c r="C92" s="12">
        <f>IFERROR(__xludf.DUMMYFUNCTION("""COMPUTED_VALUE"""),81.0)</f>
        <v>81</v>
      </c>
      <c r="D92" s="12">
        <f>IFERROR(__xludf.DUMMYFUNCTION("""COMPUTED_VALUE"""),21.0)</f>
        <v>21</v>
      </c>
      <c r="E92" s="12">
        <f>IFERROR(__xludf.DUMMYFUNCTION("""COMPUTED_VALUE"""),1.0)</f>
        <v>1</v>
      </c>
      <c r="F92" s="12">
        <f>IFERROR(__xludf.DUMMYFUNCTION("""COMPUTED_VALUE"""),3.0)</f>
        <v>3</v>
      </c>
      <c r="G92" s="15" t="str">
        <f>IFERROR(__xludf.DUMMYFUNCTION("""COMPUTED_VALUE"""),"Completa")</f>
        <v>Completa</v>
      </c>
      <c r="H92" s="16" t="str">
        <f t="array" ref="H92">_xlfn.XLOOKUP(D92,Productos[ID_Producto],Productos[Nombre_Producto])</f>
        <v>Zanahorias</v>
      </c>
      <c r="I92" s="17">
        <f t="array" ref="I92">_xlfn.XLOOKUP(D92,Productos[ID_Producto],Productos[Precio_Unitario])</f>
        <v>3.25</v>
      </c>
      <c r="J92" s="17">
        <f t="shared" si="1"/>
        <v>3.25</v>
      </c>
      <c r="K92" s="16" t="str">
        <f t="array" ref="K92">_xlfn.XLOOKUP(C92,Clientes[ID_Cliente],Clientes[Provincia])</f>
        <v>Buenos Aires</v>
      </c>
      <c r="L92" s="16" t="str">
        <f t="array" ref="L92">CONCATENATE(_xlfn.XLOOKUP(C92,Clientes[ID_Cliente],Clientes[Provincia]),", Argentina")</f>
        <v>Buenos Aires, Argentina</v>
      </c>
      <c r="M92" s="20" t="str">
        <f t="array" ref="M92">_xlfn.XLOOKUP(F92,Metodos_De_Pago[ID_Metodo],Metodos_De_Pago[Metodo])</f>
        <v>Tarjeta de Débito</v>
      </c>
      <c r="N92" s="20" t="str">
        <f t="shared" si="2"/>
        <v>2024 04</v>
      </c>
    </row>
    <row r="93" ht="22.5" customHeight="1">
      <c r="A93" s="12">
        <f>IFERROR(__xludf.DUMMYFUNCTION("""COMPUTED_VALUE"""),799.0)</f>
        <v>799</v>
      </c>
      <c r="B93" s="13">
        <f>IFERROR(__xludf.DUMMYFUNCTION("""COMPUTED_VALUE"""),45387.0)</f>
        <v>45387</v>
      </c>
      <c r="C93" s="12">
        <f>IFERROR(__xludf.DUMMYFUNCTION("""COMPUTED_VALUE"""),55.0)</f>
        <v>55</v>
      </c>
      <c r="D93" s="12">
        <f>IFERROR(__xludf.DUMMYFUNCTION("""COMPUTED_VALUE"""),19.0)</f>
        <v>19</v>
      </c>
      <c r="E93" s="12">
        <f>IFERROR(__xludf.DUMMYFUNCTION("""COMPUTED_VALUE"""),1.0)</f>
        <v>1</v>
      </c>
      <c r="F93" s="12">
        <f>IFERROR(__xludf.DUMMYFUNCTION("""COMPUTED_VALUE"""),5.0)</f>
        <v>5</v>
      </c>
      <c r="G93" s="15" t="str">
        <f>IFERROR(__xludf.DUMMYFUNCTION("""COMPUTED_VALUE"""),"Pendiente")</f>
        <v>Pendiente</v>
      </c>
      <c r="H93" s="16" t="str">
        <f t="array" ref="H93">_xlfn.XLOOKUP(D93,Productos[ID_Producto],Productos[Nombre_Producto])</f>
        <v>Tomates</v>
      </c>
      <c r="I93" s="17">
        <f t="array" ref="I93">_xlfn.XLOOKUP(D93,Productos[ID_Producto],Productos[Precio_Unitario])</f>
        <v>6.54</v>
      </c>
      <c r="J93" s="17">
        <f t="shared" si="1"/>
        <v>6.54</v>
      </c>
      <c r="K93" s="16" t="str">
        <f t="array" ref="K93">_xlfn.XLOOKUP(C93,Clientes[ID_Cliente],Clientes[Provincia])</f>
        <v>Neuquén</v>
      </c>
      <c r="L93" s="16" t="str">
        <f t="array" ref="L93">CONCATENATE(_xlfn.XLOOKUP(C93,Clientes[ID_Cliente],Clientes[Provincia]),", Argentina")</f>
        <v>Neuquén, Argentina</v>
      </c>
      <c r="M93" s="20" t="str">
        <f t="array" ref="M93">_xlfn.XLOOKUP(F93,Metodos_De_Pago[ID_Metodo],Metodos_De_Pago[Metodo])</f>
        <v>Transferencia</v>
      </c>
      <c r="N93" s="20" t="str">
        <f t="shared" si="2"/>
        <v>2024 04</v>
      </c>
    </row>
    <row r="94" ht="22.5" customHeight="1">
      <c r="A94" s="12">
        <f>IFERROR(__xludf.DUMMYFUNCTION("""COMPUTED_VALUE"""),2945.0)</f>
        <v>2945</v>
      </c>
      <c r="B94" s="13">
        <f>IFERROR(__xludf.DUMMYFUNCTION("""COMPUTED_VALUE"""),45387.0)</f>
        <v>45387</v>
      </c>
      <c r="C94" s="12">
        <f>IFERROR(__xludf.DUMMYFUNCTION("""COMPUTED_VALUE"""),245.0)</f>
        <v>245</v>
      </c>
      <c r="D94" s="12">
        <f>IFERROR(__xludf.DUMMYFUNCTION("""COMPUTED_VALUE"""),20.0)</f>
        <v>20</v>
      </c>
      <c r="E94" s="12">
        <f>IFERROR(__xludf.DUMMYFUNCTION("""COMPUTED_VALUE"""),1.0)</f>
        <v>1</v>
      </c>
      <c r="F94" s="12">
        <f>IFERROR(__xludf.DUMMYFUNCTION("""COMPUTED_VALUE"""),5.0)</f>
        <v>5</v>
      </c>
      <c r="G94" s="15" t="str">
        <f>IFERROR(__xludf.DUMMYFUNCTION("""COMPUTED_VALUE"""),"Completa")</f>
        <v>Completa</v>
      </c>
      <c r="H94" s="16" t="str">
        <f t="array" ref="H94">_xlfn.XLOOKUP(D94,Productos[ID_Producto],Productos[Nombre_Producto])</f>
        <v>Lechugas</v>
      </c>
      <c r="I94" s="17">
        <f t="array" ref="I94">_xlfn.XLOOKUP(D94,Productos[ID_Producto],Productos[Precio_Unitario])</f>
        <v>4.25</v>
      </c>
      <c r="J94" s="17">
        <f t="shared" si="1"/>
        <v>4.25</v>
      </c>
      <c r="K94" s="16" t="str">
        <f t="array" ref="K94">_xlfn.XLOOKUP(C94,Clientes[ID_Cliente],Clientes[Provincia])</f>
        <v>Chaco</v>
      </c>
      <c r="L94" s="16" t="str">
        <f t="array" ref="L94">CONCATENATE(_xlfn.XLOOKUP(C94,Clientes[ID_Cliente],Clientes[Provincia]),", Argentina")</f>
        <v>Chaco, Argentina</v>
      </c>
      <c r="M94" s="20" t="str">
        <f t="array" ref="M94">_xlfn.XLOOKUP(F94,Metodos_De_Pago[ID_Metodo],Metodos_De_Pago[Metodo])</f>
        <v>Transferencia</v>
      </c>
      <c r="N94" s="20" t="str">
        <f t="shared" si="2"/>
        <v>2024 04</v>
      </c>
    </row>
    <row r="95" ht="22.5" customHeight="1">
      <c r="A95" s="12">
        <f>IFERROR(__xludf.DUMMYFUNCTION("""COMPUTED_VALUE"""),2718.0)</f>
        <v>2718</v>
      </c>
      <c r="B95" s="13">
        <f>IFERROR(__xludf.DUMMYFUNCTION("""COMPUTED_VALUE"""),45388.0)</f>
        <v>45388</v>
      </c>
      <c r="C95" s="12">
        <f>IFERROR(__xludf.DUMMYFUNCTION("""COMPUTED_VALUE"""),157.0)</f>
        <v>157</v>
      </c>
      <c r="D95" s="12">
        <f>IFERROR(__xludf.DUMMYFUNCTION("""COMPUTED_VALUE"""),32.0)</f>
        <v>32</v>
      </c>
      <c r="E95" s="12">
        <f>IFERROR(__xludf.DUMMYFUNCTION("""COMPUTED_VALUE"""),1.0)</f>
        <v>1</v>
      </c>
      <c r="F95" s="12">
        <f>IFERROR(__xludf.DUMMYFUNCTION("""COMPUTED_VALUE"""),5.0)</f>
        <v>5</v>
      </c>
      <c r="G95" s="15" t="str">
        <f>IFERROR(__xludf.DUMMYFUNCTION("""COMPUTED_VALUE"""),"Completa")</f>
        <v>Completa</v>
      </c>
      <c r="H95" s="16" t="str">
        <f t="array" ref="H95">_xlfn.XLOOKUP(D95,Productos[ID_Producto],Productos[Nombre_Producto])</f>
        <v>Galletitas de chocolate</v>
      </c>
      <c r="I95" s="17">
        <f t="array" ref="I95">_xlfn.XLOOKUP(D95,Productos[ID_Producto],Productos[Precio_Unitario])</f>
        <v>6.25</v>
      </c>
      <c r="J95" s="17">
        <f t="shared" si="1"/>
        <v>6.25</v>
      </c>
      <c r="K95" s="16" t="str">
        <f t="array" ref="K95">_xlfn.XLOOKUP(C95,Clientes[ID_Cliente],Clientes[Provincia])</f>
        <v>Neuquén</v>
      </c>
      <c r="L95" s="16" t="str">
        <f t="array" ref="L95">CONCATENATE(_xlfn.XLOOKUP(C95,Clientes[ID_Cliente],Clientes[Provincia]),", Argentina")</f>
        <v>Neuquén, Argentina</v>
      </c>
      <c r="M95" s="20" t="str">
        <f t="array" ref="M95">_xlfn.XLOOKUP(F95,Metodos_De_Pago[ID_Metodo],Metodos_De_Pago[Metodo])</f>
        <v>Transferencia</v>
      </c>
      <c r="N95" s="20" t="str">
        <f t="shared" si="2"/>
        <v>2024 04</v>
      </c>
    </row>
    <row r="96" ht="22.5" customHeight="1">
      <c r="A96" s="12">
        <f>IFERROR(__xludf.DUMMYFUNCTION("""COMPUTED_VALUE"""),657.0)</f>
        <v>657</v>
      </c>
      <c r="B96" s="13">
        <f>IFERROR(__xludf.DUMMYFUNCTION("""COMPUTED_VALUE"""),45389.0)</f>
        <v>45389</v>
      </c>
      <c r="C96" s="12">
        <f>IFERROR(__xludf.DUMMYFUNCTION("""COMPUTED_VALUE"""),57.0)</f>
        <v>57</v>
      </c>
      <c r="D96" s="12">
        <f>IFERROR(__xludf.DUMMYFUNCTION("""COMPUTED_VALUE"""),36.0)</f>
        <v>36</v>
      </c>
      <c r="E96" s="12">
        <f>IFERROR(__xludf.DUMMYFUNCTION("""COMPUTED_VALUE"""),1.0)</f>
        <v>1</v>
      </c>
      <c r="F96" s="12">
        <f>IFERROR(__xludf.DUMMYFUNCTION("""COMPUTED_VALUE"""),4.0)</f>
        <v>4</v>
      </c>
      <c r="G96" s="15" t="str">
        <f>IFERROR(__xludf.DUMMYFUNCTION("""COMPUTED_VALUE"""),"Completa")</f>
        <v>Completa</v>
      </c>
      <c r="H96" s="16" t="str">
        <f t="array" ref="H96">_xlfn.XLOOKUP(D96,Productos[ID_Producto],Productos[Nombre_Producto])</f>
        <v>Lentejas</v>
      </c>
      <c r="I96" s="17">
        <f t="array" ref="I96">_xlfn.XLOOKUP(D96,Productos[ID_Producto],Productos[Precio_Unitario])</f>
        <v>3.25</v>
      </c>
      <c r="J96" s="17">
        <f t="shared" si="1"/>
        <v>3.25</v>
      </c>
      <c r="K96" s="16" t="str">
        <f t="array" ref="K96">_xlfn.XLOOKUP(C96,Clientes[ID_Cliente],Clientes[Provincia])</f>
        <v>Córdoba</v>
      </c>
      <c r="L96" s="16" t="str">
        <f t="array" ref="L96">CONCATENATE(_xlfn.XLOOKUP(C96,Clientes[ID_Cliente],Clientes[Provincia]),", Argentina")</f>
        <v>Córdoba, Argentina</v>
      </c>
      <c r="M96" s="20" t="str">
        <f t="array" ref="M96">_xlfn.XLOOKUP(F96,Metodos_De_Pago[ID_Metodo],Metodos_De_Pago[Metodo])</f>
        <v>Mercado Pago</v>
      </c>
      <c r="N96" s="20" t="str">
        <f t="shared" si="2"/>
        <v>2024 04</v>
      </c>
    </row>
    <row r="97" ht="22.5" customHeight="1">
      <c r="A97" s="12">
        <f>IFERROR(__xludf.DUMMYFUNCTION("""COMPUTED_VALUE"""),581.0)</f>
        <v>581</v>
      </c>
      <c r="B97" s="13">
        <f>IFERROR(__xludf.DUMMYFUNCTION("""COMPUTED_VALUE"""),45390.0)</f>
        <v>45390</v>
      </c>
      <c r="C97" s="12">
        <f>IFERROR(__xludf.DUMMYFUNCTION("""COMPUTED_VALUE"""),297.0)</f>
        <v>297</v>
      </c>
      <c r="D97" s="12">
        <f>IFERROR(__xludf.DUMMYFUNCTION("""COMPUTED_VALUE"""),6.0)</f>
        <v>6</v>
      </c>
      <c r="E97" s="12">
        <f>IFERROR(__xludf.DUMMYFUNCTION("""COMPUTED_VALUE"""),1.0)</f>
        <v>1</v>
      </c>
      <c r="F97" s="12">
        <f>IFERROR(__xludf.DUMMYFUNCTION("""COMPUTED_VALUE"""),3.0)</f>
        <v>3</v>
      </c>
      <c r="G97" s="15" t="str">
        <f>IFERROR(__xludf.DUMMYFUNCTION("""COMPUTED_VALUE"""),"Pendiente")</f>
        <v>Pendiente</v>
      </c>
      <c r="H97" s="16" t="str">
        <f t="array" ref="H97">_xlfn.XLOOKUP(D97,Productos[ID_Producto],Productos[Nombre_Producto])</f>
        <v>Asado</v>
      </c>
      <c r="I97" s="17">
        <f t="array" ref="I97">_xlfn.XLOOKUP(D97,Productos[ID_Producto],Productos[Precio_Unitario])</f>
        <v>28.56</v>
      </c>
      <c r="J97" s="17">
        <f t="shared" si="1"/>
        <v>28.56</v>
      </c>
      <c r="K97" s="16" t="str">
        <f t="array" ref="K97">_xlfn.XLOOKUP(C97,Clientes[ID_Cliente],Clientes[Provincia])</f>
        <v>Buenos Aires</v>
      </c>
      <c r="L97" s="16" t="str">
        <f t="array" ref="L97">CONCATENATE(_xlfn.XLOOKUP(C97,Clientes[ID_Cliente],Clientes[Provincia]),", Argentina")</f>
        <v>Buenos Aires, Argentina</v>
      </c>
      <c r="M97" s="20" t="str">
        <f t="array" ref="M97">_xlfn.XLOOKUP(F97,Metodos_De_Pago[ID_Metodo],Metodos_De_Pago[Metodo])</f>
        <v>Tarjeta de Débito</v>
      </c>
      <c r="N97" s="20" t="str">
        <f t="shared" si="2"/>
        <v>2024 04</v>
      </c>
    </row>
    <row r="98" ht="22.5" customHeight="1">
      <c r="A98" s="12">
        <f>IFERROR(__xludf.DUMMYFUNCTION("""COMPUTED_VALUE"""),1834.0)</f>
        <v>1834</v>
      </c>
      <c r="B98" s="13">
        <f>IFERROR(__xludf.DUMMYFUNCTION("""COMPUTED_VALUE"""),45390.0)</f>
        <v>45390</v>
      </c>
      <c r="C98" s="12">
        <f>IFERROR(__xludf.DUMMYFUNCTION("""COMPUTED_VALUE"""),141.0)</f>
        <v>141</v>
      </c>
      <c r="D98" s="12">
        <f>IFERROR(__xludf.DUMMYFUNCTION("""COMPUTED_VALUE"""),7.0)</f>
        <v>7</v>
      </c>
      <c r="E98" s="12">
        <f>IFERROR(__xludf.DUMMYFUNCTION("""COMPUTED_VALUE"""),1.0)</f>
        <v>1</v>
      </c>
      <c r="F98" s="12">
        <f>IFERROR(__xludf.DUMMYFUNCTION("""COMPUTED_VALUE"""),5.0)</f>
        <v>5</v>
      </c>
      <c r="G98" s="15" t="str">
        <f>IFERROR(__xludf.DUMMYFUNCTION("""COMPUTED_VALUE"""),"Completa")</f>
        <v>Completa</v>
      </c>
      <c r="H98" s="16" t="str">
        <f t="array" ref="H98">_xlfn.XLOOKUP(D98,Productos[ID_Producto],Productos[Nombre_Producto])</f>
        <v>Chorizo</v>
      </c>
      <c r="I98" s="17">
        <f t="array" ref="I98">_xlfn.XLOOKUP(D98,Productos[ID_Producto],Productos[Precio_Unitario])</f>
        <v>11.25</v>
      </c>
      <c r="J98" s="17">
        <f t="shared" si="1"/>
        <v>11.25</v>
      </c>
      <c r="K98" s="16" t="str">
        <f t="array" ref="K98">_xlfn.XLOOKUP(C98,Clientes[ID_Cliente],Clientes[Provincia])</f>
        <v>Chaco</v>
      </c>
      <c r="L98" s="16" t="str">
        <f t="array" ref="L98">CONCATENATE(_xlfn.XLOOKUP(C98,Clientes[ID_Cliente],Clientes[Provincia]),", Argentina")</f>
        <v>Chaco, Argentina</v>
      </c>
      <c r="M98" s="20" t="str">
        <f t="array" ref="M98">_xlfn.XLOOKUP(F98,Metodos_De_Pago[ID_Metodo],Metodos_De_Pago[Metodo])</f>
        <v>Transferencia</v>
      </c>
      <c r="N98" s="20" t="str">
        <f t="shared" si="2"/>
        <v>2024 04</v>
      </c>
    </row>
    <row r="99" ht="22.5" customHeight="1">
      <c r="A99" s="12">
        <f>IFERROR(__xludf.DUMMYFUNCTION("""COMPUTED_VALUE"""),2140.0)</f>
        <v>2140</v>
      </c>
      <c r="B99" s="13">
        <f>IFERROR(__xludf.DUMMYFUNCTION("""COMPUTED_VALUE"""),45390.0)</f>
        <v>45390</v>
      </c>
      <c r="C99" s="12">
        <f>IFERROR(__xludf.DUMMYFUNCTION("""COMPUTED_VALUE"""),174.0)</f>
        <v>174</v>
      </c>
      <c r="D99" s="12">
        <f>IFERROR(__xludf.DUMMYFUNCTION("""COMPUTED_VALUE"""),9.0)</f>
        <v>9</v>
      </c>
      <c r="E99" s="12">
        <f>IFERROR(__xludf.DUMMYFUNCTION("""COMPUTED_VALUE"""),1.0)</f>
        <v>1</v>
      </c>
      <c r="F99" s="12">
        <f>IFERROR(__xludf.DUMMYFUNCTION("""COMPUTED_VALUE"""),4.0)</f>
        <v>4</v>
      </c>
      <c r="G99" s="15" t="str">
        <f>IFERROR(__xludf.DUMMYFUNCTION("""COMPUTED_VALUE"""),"Completa")</f>
        <v>Completa</v>
      </c>
      <c r="H99" s="16" t="str">
        <f t="array" ref="H99">_xlfn.XLOOKUP(D99,Productos[ID_Producto],Productos[Nombre_Producto])</f>
        <v>Pollo</v>
      </c>
      <c r="I99" s="17">
        <f t="array" ref="I99">_xlfn.XLOOKUP(D99,Productos[ID_Producto],Productos[Precio_Unitario])</f>
        <v>18.56</v>
      </c>
      <c r="J99" s="17">
        <f t="shared" si="1"/>
        <v>18.56</v>
      </c>
      <c r="K99" s="16" t="str">
        <f t="array" ref="K99">_xlfn.XLOOKUP(C99,Clientes[ID_Cliente],Clientes[Provincia])</f>
        <v>Neuquén</v>
      </c>
      <c r="L99" s="16" t="str">
        <f t="array" ref="L99">CONCATENATE(_xlfn.XLOOKUP(C99,Clientes[ID_Cliente],Clientes[Provincia]),", Argentina")</f>
        <v>Neuquén, Argentina</v>
      </c>
      <c r="M99" s="20" t="str">
        <f t="array" ref="M99">_xlfn.XLOOKUP(F99,Metodos_De_Pago[ID_Metodo],Metodos_De_Pago[Metodo])</f>
        <v>Mercado Pago</v>
      </c>
      <c r="N99" s="20" t="str">
        <f t="shared" si="2"/>
        <v>2024 04</v>
      </c>
    </row>
    <row r="100" ht="22.5" customHeight="1">
      <c r="A100" s="12">
        <f>IFERROR(__xludf.DUMMYFUNCTION("""COMPUTED_VALUE"""),2885.0)</f>
        <v>2885</v>
      </c>
      <c r="B100" s="13">
        <f>IFERROR(__xludf.DUMMYFUNCTION("""COMPUTED_VALUE"""),45390.0)</f>
        <v>45390</v>
      </c>
      <c r="C100" s="12">
        <f>IFERROR(__xludf.DUMMYFUNCTION("""COMPUTED_VALUE"""),245.0)</f>
        <v>245</v>
      </c>
      <c r="D100" s="12">
        <f>IFERROR(__xludf.DUMMYFUNCTION("""COMPUTED_VALUE"""),24.0)</f>
        <v>24</v>
      </c>
      <c r="E100" s="12">
        <f>IFERROR(__xludf.DUMMYFUNCTION("""COMPUTED_VALUE"""),1.0)</f>
        <v>1</v>
      </c>
      <c r="F100" s="12">
        <f>IFERROR(__xludf.DUMMYFUNCTION("""COMPUTED_VALUE"""),2.0)</f>
        <v>2</v>
      </c>
      <c r="G100" s="15" t="str">
        <f>IFERROR(__xludf.DUMMYFUNCTION("""COMPUTED_VALUE"""),"Completa")</f>
        <v>Completa</v>
      </c>
      <c r="H100" s="16" t="str">
        <f t="array" ref="H100">_xlfn.XLOOKUP(D100,Productos[ID_Producto],Productos[Nombre_Producto])</f>
        <v>Empanadas</v>
      </c>
      <c r="I100" s="17">
        <f t="array" ref="I100">_xlfn.XLOOKUP(D100,Productos[ID_Producto],Productos[Precio_Unitario])</f>
        <v>13.54</v>
      </c>
      <c r="J100" s="17">
        <f t="shared" si="1"/>
        <v>13.54</v>
      </c>
      <c r="K100" s="16" t="str">
        <f t="array" ref="K100">_xlfn.XLOOKUP(C100,Clientes[ID_Cliente],Clientes[Provincia])</f>
        <v>Chaco</v>
      </c>
      <c r="L100" s="16" t="str">
        <f t="array" ref="L100">CONCATENATE(_xlfn.XLOOKUP(C100,Clientes[ID_Cliente],Clientes[Provincia]),", Argentina")</f>
        <v>Chaco, Argentina</v>
      </c>
      <c r="M100" s="20" t="str">
        <f t="array" ref="M100">_xlfn.XLOOKUP(F100,Metodos_De_Pago[ID_Metodo],Metodos_De_Pago[Metodo])</f>
        <v>Tarjeta de Crédito</v>
      </c>
      <c r="N100" s="20" t="str">
        <f t="shared" si="2"/>
        <v>2024 04</v>
      </c>
    </row>
    <row r="101" ht="22.5" customHeight="1">
      <c r="A101" s="12">
        <f>IFERROR(__xludf.DUMMYFUNCTION("""COMPUTED_VALUE"""),1474.0)</f>
        <v>1474</v>
      </c>
      <c r="B101" s="13">
        <f>IFERROR(__xludf.DUMMYFUNCTION("""COMPUTED_VALUE"""),45391.0)</f>
        <v>45391</v>
      </c>
      <c r="C101" s="12">
        <f>IFERROR(__xludf.DUMMYFUNCTION("""COMPUTED_VALUE"""),321.0)</f>
        <v>321</v>
      </c>
      <c r="D101" s="12">
        <f>IFERROR(__xludf.DUMMYFUNCTION("""COMPUTED_VALUE"""),9.0)</f>
        <v>9</v>
      </c>
      <c r="E101" s="12">
        <f>IFERROR(__xludf.DUMMYFUNCTION("""COMPUTED_VALUE"""),1.0)</f>
        <v>1</v>
      </c>
      <c r="F101" s="12">
        <f>IFERROR(__xludf.DUMMYFUNCTION("""COMPUTED_VALUE"""),4.0)</f>
        <v>4</v>
      </c>
      <c r="G101" s="15" t="str">
        <f>IFERROR(__xludf.DUMMYFUNCTION("""COMPUTED_VALUE"""),"Completa")</f>
        <v>Completa</v>
      </c>
      <c r="H101" s="16" t="str">
        <f t="array" ref="H101">_xlfn.XLOOKUP(D101,Productos[ID_Producto],Productos[Nombre_Producto])</f>
        <v>Pollo</v>
      </c>
      <c r="I101" s="17">
        <f t="array" ref="I101">_xlfn.XLOOKUP(D101,Productos[ID_Producto],Productos[Precio_Unitario])</f>
        <v>18.56</v>
      </c>
      <c r="J101" s="17">
        <f t="shared" si="1"/>
        <v>18.56</v>
      </c>
      <c r="K101" s="16" t="str">
        <f t="array" ref="K101">_xlfn.XLOOKUP(C101,Clientes[ID_Cliente],Clientes[Provincia])</f>
        <v>San Luis</v>
      </c>
      <c r="L101" s="16" t="str">
        <f t="array" ref="L101">CONCATENATE(_xlfn.XLOOKUP(C101,Clientes[ID_Cliente],Clientes[Provincia]),", Argentina")</f>
        <v>San Luis, Argentina</v>
      </c>
      <c r="M101" s="20" t="str">
        <f t="array" ref="M101">_xlfn.XLOOKUP(F101,Metodos_De_Pago[ID_Metodo],Metodos_De_Pago[Metodo])</f>
        <v>Mercado Pago</v>
      </c>
      <c r="N101" s="20" t="str">
        <f t="shared" si="2"/>
        <v>2024 04</v>
      </c>
    </row>
    <row r="102" ht="22.5" customHeight="1">
      <c r="A102" s="12">
        <f>IFERROR(__xludf.DUMMYFUNCTION("""COMPUTED_VALUE"""),102.0)</f>
        <v>102</v>
      </c>
      <c r="B102" s="13">
        <f>IFERROR(__xludf.DUMMYFUNCTION("""COMPUTED_VALUE"""),45392.0)</f>
        <v>45392</v>
      </c>
      <c r="C102" s="12">
        <f>IFERROR(__xludf.DUMMYFUNCTION("""COMPUTED_VALUE"""),282.0)</f>
        <v>282</v>
      </c>
      <c r="D102" s="12">
        <f>IFERROR(__xludf.DUMMYFUNCTION("""COMPUTED_VALUE"""),26.0)</f>
        <v>26</v>
      </c>
      <c r="E102" s="12">
        <f>IFERROR(__xludf.DUMMYFUNCTION("""COMPUTED_VALUE"""),1.0)</f>
        <v>1</v>
      </c>
      <c r="F102" s="12">
        <f>IFERROR(__xludf.DUMMYFUNCTION("""COMPUTED_VALUE"""),3.0)</f>
        <v>3</v>
      </c>
      <c r="G102" s="15" t="str">
        <f>IFERROR(__xludf.DUMMYFUNCTION("""COMPUTED_VALUE"""),"Completa")</f>
        <v>Completa</v>
      </c>
      <c r="H102" s="16" t="str">
        <f t="array" ref="H102">_xlfn.XLOOKUP(D102,Productos[ID_Producto],Productos[Nombre_Producto])</f>
        <v>Hamburgesas congeladas</v>
      </c>
      <c r="I102" s="17">
        <f t="array" ref="I102">_xlfn.XLOOKUP(D102,Productos[ID_Producto],Productos[Precio_Unitario])</f>
        <v>9.54</v>
      </c>
      <c r="J102" s="17">
        <f t="shared" si="1"/>
        <v>9.54</v>
      </c>
      <c r="K102" s="16" t="str">
        <f t="array" ref="K102">_xlfn.XLOOKUP(C102,Clientes[ID_Cliente],Clientes[Provincia])</f>
        <v>Córdoba</v>
      </c>
      <c r="L102" s="16" t="str">
        <f t="array" ref="L102">CONCATENATE(_xlfn.XLOOKUP(C102,Clientes[ID_Cliente],Clientes[Provincia]),", Argentina")</f>
        <v>Córdoba, Argentina</v>
      </c>
      <c r="M102" s="20" t="str">
        <f t="array" ref="M102">_xlfn.XLOOKUP(F102,Metodos_De_Pago[ID_Metodo],Metodos_De_Pago[Metodo])</f>
        <v>Tarjeta de Débito</v>
      </c>
      <c r="N102" s="20" t="str">
        <f t="shared" si="2"/>
        <v>2024 04</v>
      </c>
    </row>
    <row r="103" ht="22.5" customHeight="1">
      <c r="A103" s="12">
        <f>IFERROR(__xludf.DUMMYFUNCTION("""COMPUTED_VALUE"""),873.0)</f>
        <v>873</v>
      </c>
      <c r="B103" s="13">
        <f>IFERROR(__xludf.DUMMYFUNCTION("""COMPUTED_VALUE"""),45393.0)</f>
        <v>45393</v>
      </c>
      <c r="C103" s="12">
        <f>IFERROR(__xludf.DUMMYFUNCTION("""COMPUTED_VALUE"""),72.0)</f>
        <v>72</v>
      </c>
      <c r="D103" s="12">
        <f>IFERROR(__xludf.DUMMYFUNCTION("""COMPUTED_VALUE"""),26.0)</f>
        <v>26</v>
      </c>
      <c r="E103" s="12">
        <f>IFERROR(__xludf.DUMMYFUNCTION("""COMPUTED_VALUE"""),1.0)</f>
        <v>1</v>
      </c>
      <c r="F103" s="12">
        <f>IFERROR(__xludf.DUMMYFUNCTION("""COMPUTED_VALUE"""),4.0)</f>
        <v>4</v>
      </c>
      <c r="G103" s="15" t="str">
        <f>IFERROR(__xludf.DUMMYFUNCTION("""COMPUTED_VALUE"""),"Completa")</f>
        <v>Completa</v>
      </c>
      <c r="H103" s="16" t="str">
        <f t="array" ref="H103">_xlfn.XLOOKUP(D103,Productos[ID_Producto],Productos[Nombre_Producto])</f>
        <v>Hamburgesas congeladas</v>
      </c>
      <c r="I103" s="17">
        <f t="array" ref="I103">_xlfn.XLOOKUP(D103,Productos[ID_Producto],Productos[Precio_Unitario])</f>
        <v>9.54</v>
      </c>
      <c r="J103" s="17">
        <f t="shared" si="1"/>
        <v>9.54</v>
      </c>
      <c r="K103" s="16" t="str">
        <f t="array" ref="K103">_xlfn.XLOOKUP(C103,Clientes[ID_Cliente],Clientes[Provincia])</f>
        <v>Córdoba</v>
      </c>
      <c r="L103" s="16" t="str">
        <f t="array" ref="L103">CONCATENATE(_xlfn.XLOOKUP(C103,Clientes[ID_Cliente],Clientes[Provincia]),", Argentina")</f>
        <v>Córdoba, Argentina</v>
      </c>
      <c r="M103" s="20" t="str">
        <f t="array" ref="M103">_xlfn.XLOOKUP(F103,Metodos_De_Pago[ID_Metodo],Metodos_De_Pago[Metodo])</f>
        <v>Mercado Pago</v>
      </c>
      <c r="N103" s="20" t="str">
        <f t="shared" si="2"/>
        <v>2024 04</v>
      </c>
    </row>
    <row r="104" ht="22.5" customHeight="1">
      <c r="A104" s="12">
        <f>IFERROR(__xludf.DUMMYFUNCTION("""COMPUTED_VALUE"""),2137.0)</f>
        <v>2137</v>
      </c>
      <c r="B104" s="13">
        <f>IFERROR(__xludf.DUMMYFUNCTION("""COMPUTED_VALUE"""),45394.0)</f>
        <v>45394</v>
      </c>
      <c r="C104" s="12">
        <f>IFERROR(__xludf.DUMMYFUNCTION("""COMPUTED_VALUE"""),202.0)</f>
        <v>202</v>
      </c>
      <c r="D104" s="12">
        <f>IFERROR(__xludf.DUMMYFUNCTION("""COMPUTED_VALUE"""),5.0)</f>
        <v>5</v>
      </c>
      <c r="E104" s="12">
        <f>IFERROR(__xludf.DUMMYFUNCTION("""COMPUTED_VALUE"""),1.0)</f>
        <v>1</v>
      </c>
      <c r="F104" s="12">
        <f>IFERROR(__xludf.DUMMYFUNCTION("""COMPUTED_VALUE"""),4.0)</f>
        <v>4</v>
      </c>
      <c r="G104" s="15" t="str">
        <f>IFERROR(__xludf.DUMMYFUNCTION("""COMPUTED_VALUE"""),"Completa")</f>
        <v>Completa</v>
      </c>
      <c r="H104" s="16" t="str">
        <f t="array" ref="H104">_xlfn.XLOOKUP(D104,Productos[ID_Producto],Productos[Nombre_Producto])</f>
        <v>Manteca</v>
      </c>
      <c r="I104" s="17">
        <f t="array" ref="I104">_xlfn.XLOOKUP(D104,Productos[ID_Producto],Productos[Precio_Unitario])</f>
        <v>5.65</v>
      </c>
      <c r="J104" s="17">
        <f t="shared" si="1"/>
        <v>5.65</v>
      </c>
      <c r="K104" s="16" t="str">
        <f t="array" ref="K104">_xlfn.XLOOKUP(C104,Clientes[ID_Cliente],Clientes[Provincia])</f>
        <v>Chaco</v>
      </c>
      <c r="L104" s="16" t="str">
        <f t="array" ref="L104">CONCATENATE(_xlfn.XLOOKUP(C104,Clientes[ID_Cliente],Clientes[Provincia]),", Argentina")</f>
        <v>Chaco, Argentina</v>
      </c>
      <c r="M104" s="20" t="str">
        <f t="array" ref="M104">_xlfn.XLOOKUP(F104,Metodos_De_Pago[ID_Metodo],Metodos_De_Pago[Metodo])</f>
        <v>Mercado Pago</v>
      </c>
      <c r="N104" s="20" t="str">
        <f t="shared" si="2"/>
        <v>2024 04</v>
      </c>
    </row>
    <row r="105" ht="22.5" customHeight="1">
      <c r="A105" s="12">
        <f>IFERROR(__xludf.DUMMYFUNCTION("""COMPUTED_VALUE"""),788.0)</f>
        <v>788</v>
      </c>
      <c r="B105" s="13">
        <f>IFERROR(__xludf.DUMMYFUNCTION("""COMPUTED_VALUE"""),45395.0)</f>
        <v>45395</v>
      </c>
      <c r="C105" s="12">
        <f>IFERROR(__xludf.DUMMYFUNCTION("""COMPUTED_VALUE"""),52.0)</f>
        <v>52</v>
      </c>
      <c r="D105" s="12">
        <f>IFERROR(__xludf.DUMMYFUNCTION("""COMPUTED_VALUE"""),33.0)</f>
        <v>33</v>
      </c>
      <c r="E105" s="12">
        <f>IFERROR(__xludf.DUMMYFUNCTION("""COMPUTED_VALUE"""),1.0)</f>
        <v>1</v>
      </c>
      <c r="F105" s="12">
        <f>IFERROR(__xludf.DUMMYFUNCTION("""COMPUTED_VALUE"""),2.0)</f>
        <v>2</v>
      </c>
      <c r="G105" s="15" t="str">
        <f>IFERROR(__xludf.DUMMYFUNCTION("""COMPUTED_VALUE"""),"Completa")</f>
        <v>Completa</v>
      </c>
      <c r="H105" s="16" t="str">
        <f t="array" ref="H105">_xlfn.XLOOKUP(D105,Productos[ID_Producto],Productos[Nombre_Producto])</f>
        <v>Papas chips</v>
      </c>
      <c r="I105" s="17">
        <f t="array" ref="I105">_xlfn.XLOOKUP(D105,Productos[ID_Producto],Productos[Precio_Unitario])</f>
        <v>8.54</v>
      </c>
      <c r="J105" s="17">
        <f t="shared" si="1"/>
        <v>8.54</v>
      </c>
      <c r="K105" s="16" t="str">
        <f t="array" ref="K105">_xlfn.XLOOKUP(C105,Clientes[ID_Cliente],Clientes[Provincia])</f>
        <v>Neuquén</v>
      </c>
      <c r="L105" s="16" t="str">
        <f t="array" ref="L105">CONCATENATE(_xlfn.XLOOKUP(C105,Clientes[ID_Cliente],Clientes[Provincia]),", Argentina")</f>
        <v>Neuquén, Argentina</v>
      </c>
      <c r="M105" s="20" t="str">
        <f t="array" ref="M105">_xlfn.XLOOKUP(F105,Metodos_De_Pago[ID_Metodo],Metodos_De_Pago[Metodo])</f>
        <v>Tarjeta de Crédito</v>
      </c>
      <c r="N105" s="20" t="str">
        <f t="shared" si="2"/>
        <v>2024 04</v>
      </c>
    </row>
    <row r="106" ht="22.5" customHeight="1">
      <c r="A106" s="12">
        <f>IFERROR(__xludf.DUMMYFUNCTION("""COMPUTED_VALUE"""),2458.0)</f>
        <v>2458</v>
      </c>
      <c r="B106" s="13">
        <f>IFERROR(__xludf.DUMMYFUNCTION("""COMPUTED_VALUE"""),45395.0)</f>
        <v>45395</v>
      </c>
      <c r="C106" s="12">
        <f>IFERROR(__xludf.DUMMYFUNCTION("""COMPUTED_VALUE"""),105.0)</f>
        <v>105</v>
      </c>
      <c r="D106" s="12">
        <f>IFERROR(__xludf.DUMMYFUNCTION("""COMPUTED_VALUE"""),24.0)</f>
        <v>24</v>
      </c>
      <c r="E106" s="12">
        <f>IFERROR(__xludf.DUMMYFUNCTION("""COMPUTED_VALUE"""),1.0)</f>
        <v>1</v>
      </c>
      <c r="F106" s="12">
        <f>IFERROR(__xludf.DUMMYFUNCTION("""COMPUTED_VALUE"""),4.0)</f>
        <v>4</v>
      </c>
      <c r="G106" s="15" t="str">
        <f>IFERROR(__xludf.DUMMYFUNCTION("""COMPUTED_VALUE"""),"Pendiente")</f>
        <v>Pendiente</v>
      </c>
      <c r="H106" s="16" t="str">
        <f t="array" ref="H106">_xlfn.XLOOKUP(D106,Productos[ID_Producto],Productos[Nombre_Producto])</f>
        <v>Empanadas</v>
      </c>
      <c r="I106" s="17">
        <f t="array" ref="I106">_xlfn.XLOOKUP(D106,Productos[ID_Producto],Productos[Precio_Unitario])</f>
        <v>13.54</v>
      </c>
      <c r="J106" s="17">
        <f t="shared" si="1"/>
        <v>13.54</v>
      </c>
      <c r="K106" s="16" t="str">
        <f t="array" ref="K106">_xlfn.XLOOKUP(C106,Clientes[ID_Cliente],Clientes[Provincia])</f>
        <v>Buenos Aires</v>
      </c>
      <c r="L106" s="16" t="str">
        <f t="array" ref="L106">CONCATENATE(_xlfn.XLOOKUP(C106,Clientes[ID_Cliente],Clientes[Provincia]),", Argentina")</f>
        <v>Buenos Aires, Argentina</v>
      </c>
      <c r="M106" s="20" t="str">
        <f t="array" ref="M106">_xlfn.XLOOKUP(F106,Metodos_De_Pago[ID_Metodo],Metodos_De_Pago[Metodo])</f>
        <v>Mercado Pago</v>
      </c>
      <c r="N106" s="20" t="str">
        <f t="shared" si="2"/>
        <v>2024 04</v>
      </c>
    </row>
    <row r="107" ht="22.5" customHeight="1">
      <c r="A107" s="12">
        <f>IFERROR(__xludf.DUMMYFUNCTION("""COMPUTED_VALUE"""),1922.0)</f>
        <v>1922</v>
      </c>
      <c r="B107" s="13">
        <f>IFERROR(__xludf.DUMMYFUNCTION("""COMPUTED_VALUE"""),45396.0)</f>
        <v>45396</v>
      </c>
      <c r="C107" s="12">
        <f>IFERROR(__xludf.DUMMYFUNCTION("""COMPUTED_VALUE"""),269.0)</f>
        <v>269</v>
      </c>
      <c r="D107" s="12">
        <f>IFERROR(__xludf.DUMMYFUNCTION("""COMPUTED_VALUE"""),31.0)</f>
        <v>31</v>
      </c>
      <c r="E107" s="12">
        <f>IFERROR(__xludf.DUMMYFUNCTION("""COMPUTED_VALUE"""),1.0)</f>
        <v>1</v>
      </c>
      <c r="F107" s="12">
        <f>IFERROR(__xludf.DUMMYFUNCTION("""COMPUTED_VALUE"""),5.0)</f>
        <v>5</v>
      </c>
      <c r="G107" s="15" t="str">
        <f>IFERROR(__xludf.DUMMYFUNCTION("""COMPUTED_VALUE"""),"Pendiente")</f>
        <v>Pendiente</v>
      </c>
      <c r="H107" s="16" t="str">
        <f t="array" ref="H107">_xlfn.XLOOKUP(D107,Productos[ID_Producto],Productos[Nombre_Producto])</f>
        <v>Galletitas de agua</v>
      </c>
      <c r="I107" s="17">
        <f t="array" ref="I107">_xlfn.XLOOKUP(D107,Productos[ID_Producto],Productos[Precio_Unitario])</f>
        <v>5.24</v>
      </c>
      <c r="J107" s="17">
        <f t="shared" si="1"/>
        <v>5.24</v>
      </c>
      <c r="K107" s="16" t="str">
        <f t="array" ref="K107">_xlfn.XLOOKUP(C107,Clientes[ID_Cliente],Clientes[Provincia])</f>
        <v>Córdoba</v>
      </c>
      <c r="L107" s="16" t="str">
        <f t="array" ref="L107">CONCATENATE(_xlfn.XLOOKUP(C107,Clientes[ID_Cliente],Clientes[Provincia]),", Argentina")</f>
        <v>Córdoba, Argentina</v>
      </c>
      <c r="M107" s="20" t="str">
        <f t="array" ref="M107">_xlfn.XLOOKUP(F107,Metodos_De_Pago[ID_Metodo],Metodos_De_Pago[Metodo])</f>
        <v>Transferencia</v>
      </c>
      <c r="N107" s="20" t="str">
        <f t="shared" si="2"/>
        <v>2024 04</v>
      </c>
    </row>
    <row r="108" ht="22.5" customHeight="1">
      <c r="A108" s="12">
        <f>IFERROR(__xludf.DUMMYFUNCTION("""COMPUTED_VALUE"""),431.0)</f>
        <v>431</v>
      </c>
      <c r="B108" s="13">
        <f>IFERROR(__xludf.DUMMYFUNCTION("""COMPUTED_VALUE"""),45397.0)</f>
        <v>45397</v>
      </c>
      <c r="C108" s="12">
        <f>IFERROR(__xludf.DUMMYFUNCTION("""COMPUTED_VALUE"""),231.0)</f>
        <v>231</v>
      </c>
      <c r="D108" s="12">
        <f>IFERROR(__xludf.DUMMYFUNCTION("""COMPUTED_VALUE"""),33.0)</f>
        <v>33</v>
      </c>
      <c r="E108" s="12">
        <f>IFERROR(__xludf.DUMMYFUNCTION("""COMPUTED_VALUE"""),1.0)</f>
        <v>1</v>
      </c>
      <c r="F108" s="12">
        <f>IFERROR(__xludf.DUMMYFUNCTION("""COMPUTED_VALUE"""),2.0)</f>
        <v>2</v>
      </c>
      <c r="G108" s="15" t="str">
        <f>IFERROR(__xludf.DUMMYFUNCTION("""COMPUTED_VALUE"""),"Completa")</f>
        <v>Completa</v>
      </c>
      <c r="H108" s="16" t="str">
        <f t="array" ref="H108">_xlfn.XLOOKUP(D108,Productos[ID_Producto],Productos[Nombre_Producto])</f>
        <v>Papas chips</v>
      </c>
      <c r="I108" s="17">
        <f t="array" ref="I108">_xlfn.XLOOKUP(D108,Productos[ID_Producto],Productos[Precio_Unitario])</f>
        <v>8.54</v>
      </c>
      <c r="J108" s="17">
        <f t="shared" si="1"/>
        <v>8.54</v>
      </c>
      <c r="K108" s="16" t="str">
        <f t="array" ref="K108">_xlfn.XLOOKUP(C108,Clientes[ID_Cliente],Clientes[Provincia])</f>
        <v>Neuquén</v>
      </c>
      <c r="L108" s="16" t="str">
        <f t="array" ref="L108">CONCATENATE(_xlfn.XLOOKUP(C108,Clientes[ID_Cliente],Clientes[Provincia]),", Argentina")</f>
        <v>Neuquén, Argentina</v>
      </c>
      <c r="M108" s="20" t="str">
        <f t="array" ref="M108">_xlfn.XLOOKUP(F108,Metodos_De_Pago[ID_Metodo],Metodos_De_Pago[Metodo])</f>
        <v>Tarjeta de Crédito</v>
      </c>
      <c r="N108" s="20" t="str">
        <f t="shared" si="2"/>
        <v>2024 04</v>
      </c>
    </row>
    <row r="109" ht="22.5" customHeight="1">
      <c r="A109" s="12">
        <f>IFERROR(__xludf.DUMMYFUNCTION("""COMPUTED_VALUE"""),1319.0)</f>
        <v>1319</v>
      </c>
      <c r="B109" s="13">
        <f>IFERROR(__xludf.DUMMYFUNCTION("""COMPUTED_VALUE"""),45398.0)</f>
        <v>45398</v>
      </c>
      <c r="C109" s="12">
        <f>IFERROR(__xludf.DUMMYFUNCTION("""COMPUTED_VALUE"""),28.0)</f>
        <v>28</v>
      </c>
      <c r="D109" s="12">
        <f>IFERROR(__xludf.DUMMYFUNCTION("""COMPUTED_VALUE"""),3.0)</f>
        <v>3</v>
      </c>
      <c r="E109" s="12">
        <f>IFERROR(__xludf.DUMMYFUNCTION("""COMPUTED_VALUE"""),1.0)</f>
        <v>1</v>
      </c>
      <c r="F109" s="12">
        <f>IFERROR(__xludf.DUMMYFUNCTION("""COMPUTED_VALUE"""),4.0)</f>
        <v>4</v>
      </c>
      <c r="G109" s="15" t="str">
        <f>IFERROR(__xludf.DUMMYFUNCTION("""COMPUTED_VALUE"""),"Completa")</f>
        <v>Completa</v>
      </c>
      <c r="H109" s="16" t="str">
        <f t="array" ref="H109">_xlfn.XLOOKUP(D109,Productos[ID_Producto],Productos[Nombre_Producto])</f>
        <v>Queso cremoso</v>
      </c>
      <c r="I109" s="17">
        <f t="array" ref="I109">_xlfn.XLOOKUP(D109,Productos[ID_Producto],Productos[Precio_Unitario])</f>
        <v>17.23</v>
      </c>
      <c r="J109" s="17">
        <f t="shared" si="1"/>
        <v>17.23</v>
      </c>
      <c r="K109" s="16" t="str">
        <f t="array" ref="K109">_xlfn.XLOOKUP(C109,Clientes[ID_Cliente],Clientes[Provincia])</f>
        <v>Chaco</v>
      </c>
      <c r="L109" s="16" t="str">
        <f t="array" ref="L109">CONCATENATE(_xlfn.XLOOKUP(C109,Clientes[ID_Cliente],Clientes[Provincia]),", Argentina")</f>
        <v>Chaco, Argentina</v>
      </c>
      <c r="M109" s="20" t="str">
        <f t="array" ref="M109">_xlfn.XLOOKUP(F109,Metodos_De_Pago[ID_Metodo],Metodos_De_Pago[Metodo])</f>
        <v>Mercado Pago</v>
      </c>
      <c r="N109" s="20" t="str">
        <f t="shared" si="2"/>
        <v>2024 04</v>
      </c>
    </row>
    <row r="110" ht="22.5" customHeight="1">
      <c r="A110" s="12">
        <f>IFERROR(__xludf.DUMMYFUNCTION("""COMPUTED_VALUE"""),1177.0)</f>
        <v>1177</v>
      </c>
      <c r="B110" s="13">
        <f>IFERROR(__xludf.DUMMYFUNCTION("""COMPUTED_VALUE"""),45399.0)</f>
        <v>45399</v>
      </c>
      <c r="C110" s="12">
        <f>IFERROR(__xludf.DUMMYFUNCTION("""COMPUTED_VALUE"""),192.0)</f>
        <v>192</v>
      </c>
      <c r="D110" s="12">
        <f>IFERROR(__xludf.DUMMYFUNCTION("""COMPUTED_VALUE"""),22.0)</f>
        <v>22</v>
      </c>
      <c r="E110" s="12">
        <f>IFERROR(__xludf.DUMMYFUNCTION("""COMPUTED_VALUE"""),1.0)</f>
        <v>1</v>
      </c>
      <c r="F110" s="12">
        <f>IFERROR(__xludf.DUMMYFUNCTION("""COMPUTED_VALUE"""),4.0)</f>
        <v>4</v>
      </c>
      <c r="G110" s="15" t="str">
        <f>IFERROR(__xludf.DUMMYFUNCTION("""COMPUTED_VALUE"""),"Completa")</f>
        <v>Completa</v>
      </c>
      <c r="H110" s="16" t="str">
        <f t="array" ref="H110">_xlfn.XLOOKUP(D110,Productos[ID_Producto],Productos[Nombre_Producto])</f>
        <v>Cebolla</v>
      </c>
      <c r="I110" s="17">
        <f t="array" ref="I110">_xlfn.XLOOKUP(D110,Productos[ID_Producto],Productos[Precio_Unitario])</f>
        <v>4.21</v>
      </c>
      <c r="J110" s="17">
        <f t="shared" si="1"/>
        <v>4.21</v>
      </c>
      <c r="K110" s="16" t="str">
        <f t="array" ref="K110">_xlfn.XLOOKUP(C110,Clientes[ID_Cliente],Clientes[Provincia])</f>
        <v>San Luis</v>
      </c>
      <c r="L110" s="16" t="str">
        <f t="array" ref="L110">CONCATENATE(_xlfn.XLOOKUP(C110,Clientes[ID_Cliente],Clientes[Provincia]),", Argentina")</f>
        <v>San Luis, Argentina</v>
      </c>
      <c r="M110" s="20" t="str">
        <f t="array" ref="M110">_xlfn.XLOOKUP(F110,Metodos_De_Pago[ID_Metodo],Metodos_De_Pago[Metodo])</f>
        <v>Mercado Pago</v>
      </c>
      <c r="N110" s="20" t="str">
        <f t="shared" si="2"/>
        <v>2024 04</v>
      </c>
    </row>
    <row r="111" ht="22.5" customHeight="1">
      <c r="A111" s="12">
        <f>IFERROR(__xludf.DUMMYFUNCTION("""COMPUTED_VALUE"""),2368.0)</f>
        <v>2368</v>
      </c>
      <c r="B111" s="13">
        <f>IFERROR(__xludf.DUMMYFUNCTION("""COMPUTED_VALUE"""),45399.0)</f>
        <v>45399</v>
      </c>
      <c r="C111" s="12">
        <f>IFERROR(__xludf.DUMMYFUNCTION("""COMPUTED_VALUE"""),245.0)</f>
        <v>245</v>
      </c>
      <c r="D111" s="12">
        <f>IFERROR(__xludf.DUMMYFUNCTION("""COMPUTED_VALUE"""),33.0)</f>
        <v>33</v>
      </c>
      <c r="E111" s="12">
        <f>IFERROR(__xludf.DUMMYFUNCTION("""COMPUTED_VALUE"""),1.0)</f>
        <v>1</v>
      </c>
      <c r="F111" s="12">
        <f>IFERROR(__xludf.DUMMYFUNCTION("""COMPUTED_VALUE"""),4.0)</f>
        <v>4</v>
      </c>
      <c r="G111" s="15" t="str">
        <f>IFERROR(__xludf.DUMMYFUNCTION("""COMPUTED_VALUE"""),"Completa")</f>
        <v>Completa</v>
      </c>
      <c r="H111" s="16" t="str">
        <f t="array" ref="H111">_xlfn.XLOOKUP(D111,Productos[ID_Producto],Productos[Nombre_Producto])</f>
        <v>Papas chips</v>
      </c>
      <c r="I111" s="17">
        <f t="array" ref="I111">_xlfn.XLOOKUP(D111,Productos[ID_Producto],Productos[Precio_Unitario])</f>
        <v>8.54</v>
      </c>
      <c r="J111" s="17">
        <f t="shared" si="1"/>
        <v>8.54</v>
      </c>
      <c r="K111" s="16" t="str">
        <f t="array" ref="K111">_xlfn.XLOOKUP(C111,Clientes[ID_Cliente],Clientes[Provincia])</f>
        <v>Chaco</v>
      </c>
      <c r="L111" s="16" t="str">
        <f t="array" ref="L111">CONCATENATE(_xlfn.XLOOKUP(C111,Clientes[ID_Cliente],Clientes[Provincia]),", Argentina")</f>
        <v>Chaco, Argentina</v>
      </c>
      <c r="M111" s="20" t="str">
        <f t="array" ref="M111">_xlfn.XLOOKUP(F111,Metodos_De_Pago[ID_Metodo],Metodos_De_Pago[Metodo])</f>
        <v>Mercado Pago</v>
      </c>
      <c r="N111" s="20" t="str">
        <f t="shared" si="2"/>
        <v>2024 04</v>
      </c>
    </row>
    <row r="112" ht="22.5" customHeight="1">
      <c r="A112" s="12">
        <f>IFERROR(__xludf.DUMMYFUNCTION("""COMPUTED_VALUE"""),1282.0)</f>
        <v>1282</v>
      </c>
      <c r="B112" s="13">
        <f>IFERROR(__xludf.DUMMYFUNCTION("""COMPUTED_VALUE"""),45400.0)</f>
        <v>45400</v>
      </c>
      <c r="C112" s="12">
        <f>IFERROR(__xludf.DUMMYFUNCTION("""COMPUTED_VALUE"""),280.0)</f>
        <v>280</v>
      </c>
      <c r="D112" s="12">
        <f>IFERROR(__xludf.DUMMYFUNCTION("""COMPUTED_VALUE"""),31.0)</f>
        <v>31</v>
      </c>
      <c r="E112" s="12">
        <f>IFERROR(__xludf.DUMMYFUNCTION("""COMPUTED_VALUE"""),1.0)</f>
        <v>1</v>
      </c>
      <c r="F112" s="12">
        <f>IFERROR(__xludf.DUMMYFUNCTION("""COMPUTED_VALUE"""),2.0)</f>
        <v>2</v>
      </c>
      <c r="G112" s="15" t="str">
        <f>IFERROR(__xludf.DUMMYFUNCTION("""COMPUTED_VALUE"""),"Completa")</f>
        <v>Completa</v>
      </c>
      <c r="H112" s="16" t="str">
        <f t="array" ref="H112">_xlfn.XLOOKUP(D112,Productos[ID_Producto],Productos[Nombre_Producto])</f>
        <v>Galletitas de agua</v>
      </c>
      <c r="I112" s="17">
        <f t="array" ref="I112">_xlfn.XLOOKUP(D112,Productos[ID_Producto],Productos[Precio_Unitario])</f>
        <v>5.24</v>
      </c>
      <c r="J112" s="17">
        <f t="shared" si="1"/>
        <v>5.24</v>
      </c>
      <c r="K112" s="16" t="str">
        <f t="array" ref="K112">_xlfn.XLOOKUP(C112,Clientes[ID_Cliente],Clientes[Provincia])</f>
        <v>Córdoba</v>
      </c>
      <c r="L112" s="16" t="str">
        <f t="array" ref="L112">CONCATENATE(_xlfn.XLOOKUP(C112,Clientes[ID_Cliente],Clientes[Provincia]),", Argentina")</f>
        <v>Córdoba, Argentina</v>
      </c>
      <c r="M112" s="20" t="str">
        <f t="array" ref="M112">_xlfn.XLOOKUP(F112,Metodos_De_Pago[ID_Metodo],Metodos_De_Pago[Metodo])</f>
        <v>Tarjeta de Crédito</v>
      </c>
      <c r="N112" s="20" t="str">
        <f t="shared" si="2"/>
        <v>2024 04</v>
      </c>
    </row>
    <row r="113" ht="22.5" customHeight="1">
      <c r="A113" s="12">
        <f>IFERROR(__xludf.DUMMYFUNCTION("""COMPUTED_VALUE"""),1379.0)</f>
        <v>1379</v>
      </c>
      <c r="B113" s="13">
        <f>IFERROR(__xludf.DUMMYFUNCTION("""COMPUTED_VALUE"""),45400.0)</f>
        <v>45400</v>
      </c>
      <c r="C113" s="12">
        <f>IFERROR(__xludf.DUMMYFUNCTION("""COMPUTED_VALUE"""),301.0)</f>
        <v>301</v>
      </c>
      <c r="D113" s="12">
        <f>IFERROR(__xludf.DUMMYFUNCTION("""COMPUTED_VALUE"""),18.0)</f>
        <v>18</v>
      </c>
      <c r="E113" s="12">
        <f>IFERROR(__xludf.DUMMYFUNCTION("""COMPUTED_VALUE"""),1.0)</f>
        <v>1</v>
      </c>
      <c r="F113" s="12">
        <f>IFERROR(__xludf.DUMMYFUNCTION("""COMPUTED_VALUE"""),3.0)</f>
        <v>3</v>
      </c>
      <c r="G113" s="15" t="str">
        <f>IFERROR(__xludf.DUMMYFUNCTION("""COMPUTED_VALUE"""),"Completa")</f>
        <v>Completa</v>
      </c>
      <c r="H113" s="16" t="str">
        <f t="array" ref="H113">_xlfn.XLOOKUP(D113,Productos[ID_Producto],Productos[Nombre_Producto])</f>
        <v>Bananas</v>
      </c>
      <c r="I113" s="17">
        <f t="array" ref="I113">_xlfn.XLOOKUP(D113,Productos[ID_Producto],Productos[Precio_Unitario])</f>
        <v>7.25</v>
      </c>
      <c r="J113" s="17">
        <f t="shared" si="1"/>
        <v>7.25</v>
      </c>
      <c r="K113" s="16" t="str">
        <f t="array" ref="K113">_xlfn.XLOOKUP(C113,Clientes[ID_Cliente],Clientes[Provincia])</f>
        <v>San Luis</v>
      </c>
      <c r="L113" s="16" t="str">
        <f t="array" ref="L113">CONCATENATE(_xlfn.XLOOKUP(C113,Clientes[ID_Cliente],Clientes[Provincia]),", Argentina")</f>
        <v>San Luis, Argentina</v>
      </c>
      <c r="M113" s="20" t="str">
        <f t="array" ref="M113">_xlfn.XLOOKUP(F113,Metodos_De_Pago[ID_Metodo],Metodos_De_Pago[Metodo])</f>
        <v>Tarjeta de Débito</v>
      </c>
      <c r="N113" s="20" t="str">
        <f t="shared" si="2"/>
        <v>2024 04</v>
      </c>
    </row>
    <row r="114" ht="22.5" customHeight="1">
      <c r="A114" s="12">
        <f>IFERROR(__xludf.DUMMYFUNCTION("""COMPUTED_VALUE"""),2081.0)</f>
        <v>2081</v>
      </c>
      <c r="B114" s="13">
        <f>IFERROR(__xludf.DUMMYFUNCTION("""COMPUTED_VALUE"""),45401.0)</f>
        <v>45401</v>
      </c>
      <c r="C114" s="12">
        <f>IFERROR(__xludf.DUMMYFUNCTION("""COMPUTED_VALUE"""),206.0)</f>
        <v>206</v>
      </c>
      <c r="D114" s="12">
        <f>IFERROR(__xludf.DUMMYFUNCTION("""COMPUTED_VALUE"""),3.0)</f>
        <v>3</v>
      </c>
      <c r="E114" s="12">
        <f>IFERROR(__xludf.DUMMYFUNCTION("""COMPUTED_VALUE"""),1.0)</f>
        <v>1</v>
      </c>
      <c r="F114" s="12">
        <f>IFERROR(__xludf.DUMMYFUNCTION("""COMPUTED_VALUE"""),1.0)</f>
        <v>1</v>
      </c>
      <c r="G114" s="15" t="str">
        <f>IFERROR(__xludf.DUMMYFUNCTION("""COMPUTED_VALUE"""),"Completa")</f>
        <v>Completa</v>
      </c>
      <c r="H114" s="16" t="str">
        <f t="array" ref="H114">_xlfn.XLOOKUP(D114,Productos[ID_Producto],Productos[Nombre_Producto])</f>
        <v>Queso cremoso</v>
      </c>
      <c r="I114" s="17">
        <f t="array" ref="I114">_xlfn.XLOOKUP(D114,Productos[ID_Producto],Productos[Precio_Unitario])</f>
        <v>17.23</v>
      </c>
      <c r="J114" s="17">
        <f t="shared" si="1"/>
        <v>17.23</v>
      </c>
      <c r="K114" s="16" t="str">
        <f t="array" ref="K114">_xlfn.XLOOKUP(C114,Clientes[ID_Cliente],Clientes[Provincia])</f>
        <v>Chaco</v>
      </c>
      <c r="L114" s="16" t="str">
        <f t="array" ref="L114">CONCATENATE(_xlfn.XLOOKUP(C114,Clientes[ID_Cliente],Clientes[Provincia]),", Argentina")</f>
        <v>Chaco, Argentina</v>
      </c>
      <c r="M114" s="20" t="str">
        <f t="array" ref="M114">_xlfn.XLOOKUP(F114,Metodos_De_Pago[ID_Metodo],Metodos_De_Pago[Metodo])</f>
        <v>Efectivo</v>
      </c>
      <c r="N114" s="20" t="str">
        <f t="shared" si="2"/>
        <v>2024 04</v>
      </c>
    </row>
    <row r="115" ht="22.5" customHeight="1">
      <c r="A115" s="12">
        <f>IFERROR(__xludf.DUMMYFUNCTION("""COMPUTED_VALUE"""),2092.0)</f>
        <v>2092</v>
      </c>
      <c r="B115" s="13">
        <f>IFERROR(__xludf.DUMMYFUNCTION("""COMPUTED_VALUE"""),45402.0)</f>
        <v>45402</v>
      </c>
      <c r="C115" s="12">
        <f>IFERROR(__xludf.DUMMYFUNCTION("""COMPUTED_VALUE"""),272.0)</f>
        <v>272</v>
      </c>
      <c r="D115" s="12">
        <f>IFERROR(__xludf.DUMMYFUNCTION("""COMPUTED_VALUE"""),23.0)</f>
        <v>23</v>
      </c>
      <c r="E115" s="12">
        <f>IFERROR(__xludf.DUMMYFUNCTION("""COMPUTED_VALUE"""),1.0)</f>
        <v>1</v>
      </c>
      <c r="F115" s="12">
        <f>IFERROR(__xludf.DUMMYFUNCTION("""COMPUTED_VALUE"""),3.0)</f>
        <v>3</v>
      </c>
      <c r="G115" s="15" t="str">
        <f>IFERROR(__xludf.DUMMYFUNCTION("""COMPUTED_VALUE"""),"Completa")</f>
        <v>Completa</v>
      </c>
      <c r="H115" s="16" t="str">
        <f t="array" ref="H115">_xlfn.XLOOKUP(D115,Productos[ID_Producto],Productos[Nombre_Producto])</f>
        <v>Papas fritas</v>
      </c>
      <c r="I115" s="17">
        <f t="array" ref="I115">_xlfn.XLOOKUP(D115,Productos[ID_Producto],Productos[Precio_Unitario])</f>
        <v>8.23</v>
      </c>
      <c r="J115" s="17">
        <f t="shared" si="1"/>
        <v>8.23</v>
      </c>
      <c r="K115" s="16" t="str">
        <f t="array" ref="K115">_xlfn.XLOOKUP(C115,Clientes[ID_Cliente],Clientes[Provincia])</f>
        <v>Buenos Aires</v>
      </c>
      <c r="L115" s="16" t="str">
        <f t="array" ref="L115">CONCATENATE(_xlfn.XLOOKUP(C115,Clientes[ID_Cliente],Clientes[Provincia]),", Argentina")</f>
        <v>Buenos Aires, Argentina</v>
      </c>
      <c r="M115" s="20" t="str">
        <f t="array" ref="M115">_xlfn.XLOOKUP(F115,Metodos_De_Pago[ID_Metodo],Metodos_De_Pago[Metodo])</f>
        <v>Tarjeta de Débito</v>
      </c>
      <c r="N115" s="20" t="str">
        <f t="shared" si="2"/>
        <v>2024 04</v>
      </c>
    </row>
    <row r="116" ht="22.5" customHeight="1">
      <c r="A116" s="12">
        <f>IFERROR(__xludf.DUMMYFUNCTION("""COMPUTED_VALUE"""),598.0)</f>
        <v>598</v>
      </c>
      <c r="B116" s="13">
        <f>IFERROR(__xludf.DUMMYFUNCTION("""COMPUTED_VALUE"""),45403.0)</f>
        <v>45403</v>
      </c>
      <c r="C116" s="12">
        <f>IFERROR(__xludf.DUMMYFUNCTION("""COMPUTED_VALUE"""),186.0)</f>
        <v>186</v>
      </c>
      <c r="D116" s="12">
        <f>IFERROR(__xludf.DUMMYFUNCTION("""COMPUTED_VALUE"""),4.0)</f>
        <v>4</v>
      </c>
      <c r="E116" s="12">
        <f>IFERROR(__xludf.DUMMYFUNCTION("""COMPUTED_VALUE"""),1.0)</f>
        <v>1</v>
      </c>
      <c r="F116" s="12">
        <f>IFERROR(__xludf.DUMMYFUNCTION("""COMPUTED_VALUE"""),1.0)</f>
        <v>1</v>
      </c>
      <c r="G116" s="15" t="str">
        <f>IFERROR(__xludf.DUMMYFUNCTION("""COMPUTED_VALUE"""),"Completa")</f>
        <v>Completa</v>
      </c>
      <c r="H116" s="16" t="str">
        <f t="array" ref="H116">_xlfn.XLOOKUP(D116,Productos[ID_Producto],Productos[Nombre_Producto])</f>
        <v>Queso rallado</v>
      </c>
      <c r="I116" s="17">
        <f t="array" ref="I116">_xlfn.XLOOKUP(D116,Productos[ID_Producto],Productos[Precio_Unitario])</f>
        <v>19.23</v>
      </c>
      <c r="J116" s="17">
        <f t="shared" si="1"/>
        <v>19.23</v>
      </c>
      <c r="K116" s="16" t="str">
        <f t="array" ref="K116">_xlfn.XLOOKUP(C116,Clientes[ID_Cliente],Clientes[Provincia])</f>
        <v>Neuquén</v>
      </c>
      <c r="L116" s="16" t="str">
        <f t="array" ref="L116">CONCATENATE(_xlfn.XLOOKUP(C116,Clientes[ID_Cliente],Clientes[Provincia]),", Argentina")</f>
        <v>Neuquén, Argentina</v>
      </c>
      <c r="M116" s="20" t="str">
        <f t="array" ref="M116">_xlfn.XLOOKUP(F116,Metodos_De_Pago[ID_Metodo],Metodos_De_Pago[Metodo])</f>
        <v>Efectivo</v>
      </c>
      <c r="N116" s="20" t="str">
        <f t="shared" si="2"/>
        <v>2024 04</v>
      </c>
    </row>
    <row r="117" ht="22.5" customHeight="1">
      <c r="A117" s="12">
        <f>IFERROR(__xludf.DUMMYFUNCTION("""COMPUTED_VALUE"""),1638.0)</f>
        <v>1638</v>
      </c>
      <c r="B117" s="13">
        <f>IFERROR(__xludf.DUMMYFUNCTION("""COMPUTED_VALUE"""),45403.0)</f>
        <v>45403</v>
      </c>
      <c r="C117" s="12">
        <f>IFERROR(__xludf.DUMMYFUNCTION("""COMPUTED_VALUE"""),151.0)</f>
        <v>151</v>
      </c>
      <c r="D117" s="12">
        <f>IFERROR(__xludf.DUMMYFUNCTION("""COMPUTED_VALUE"""),18.0)</f>
        <v>18</v>
      </c>
      <c r="E117" s="12">
        <f>IFERROR(__xludf.DUMMYFUNCTION("""COMPUTED_VALUE"""),1.0)</f>
        <v>1</v>
      </c>
      <c r="F117" s="12">
        <f>IFERROR(__xludf.DUMMYFUNCTION("""COMPUTED_VALUE"""),4.0)</f>
        <v>4</v>
      </c>
      <c r="G117" s="15" t="str">
        <f>IFERROR(__xludf.DUMMYFUNCTION("""COMPUTED_VALUE"""),"Completa")</f>
        <v>Completa</v>
      </c>
      <c r="H117" s="16" t="str">
        <f t="array" ref="H117">_xlfn.XLOOKUP(D117,Productos[ID_Producto],Productos[Nombre_Producto])</f>
        <v>Bananas</v>
      </c>
      <c r="I117" s="17">
        <f t="array" ref="I117">_xlfn.XLOOKUP(D117,Productos[ID_Producto],Productos[Precio_Unitario])</f>
        <v>7.25</v>
      </c>
      <c r="J117" s="17">
        <f t="shared" si="1"/>
        <v>7.25</v>
      </c>
      <c r="K117" s="16" t="str">
        <f t="array" ref="K117">_xlfn.XLOOKUP(C117,Clientes[ID_Cliente],Clientes[Provincia])</f>
        <v>Buenos Aires</v>
      </c>
      <c r="L117" s="16" t="str">
        <f t="array" ref="L117">CONCATENATE(_xlfn.XLOOKUP(C117,Clientes[ID_Cliente],Clientes[Provincia]),", Argentina")</f>
        <v>Buenos Aires, Argentina</v>
      </c>
      <c r="M117" s="20" t="str">
        <f t="array" ref="M117">_xlfn.XLOOKUP(F117,Metodos_De_Pago[ID_Metodo],Metodos_De_Pago[Metodo])</f>
        <v>Mercado Pago</v>
      </c>
      <c r="N117" s="20" t="str">
        <f t="shared" si="2"/>
        <v>2024 04</v>
      </c>
    </row>
    <row r="118" ht="22.5" customHeight="1">
      <c r="A118" s="12">
        <f>IFERROR(__xludf.DUMMYFUNCTION("""COMPUTED_VALUE"""),2066.0)</f>
        <v>2066</v>
      </c>
      <c r="B118" s="13">
        <f>IFERROR(__xludf.DUMMYFUNCTION("""COMPUTED_VALUE"""),45403.0)</f>
        <v>45403</v>
      </c>
      <c r="C118" s="12">
        <f>IFERROR(__xludf.DUMMYFUNCTION("""COMPUTED_VALUE"""),288.0)</f>
        <v>288</v>
      </c>
      <c r="D118" s="12">
        <f>IFERROR(__xludf.DUMMYFUNCTION("""COMPUTED_VALUE"""),11.0)</f>
        <v>11</v>
      </c>
      <c r="E118" s="12">
        <f>IFERROR(__xludf.DUMMYFUNCTION("""COMPUTED_VALUE"""),1.0)</f>
        <v>1</v>
      </c>
      <c r="F118" s="12">
        <f>IFERROR(__xludf.DUMMYFUNCTION("""COMPUTED_VALUE"""),4.0)</f>
        <v>4</v>
      </c>
      <c r="G118" s="15" t="str">
        <f>IFERROR(__xludf.DUMMYFUNCTION("""COMPUTED_VALUE"""),"Completa")</f>
        <v>Completa</v>
      </c>
      <c r="H118" s="16" t="str">
        <f t="array" ref="H118">_xlfn.XLOOKUP(D118,Productos[ID_Producto],Productos[Nombre_Producto])</f>
        <v>Salchicha</v>
      </c>
      <c r="I118" s="17">
        <f t="array" ref="I118">_xlfn.XLOOKUP(D118,Productos[ID_Producto],Productos[Precio_Unitario])</f>
        <v>11.23</v>
      </c>
      <c r="J118" s="17">
        <f t="shared" si="1"/>
        <v>11.23</v>
      </c>
      <c r="K118" s="16" t="str">
        <f t="array" ref="K118">_xlfn.XLOOKUP(C118,Clientes[ID_Cliente],Clientes[Provincia])</f>
        <v>Buenos Aires</v>
      </c>
      <c r="L118" s="16" t="str">
        <f t="array" ref="L118">CONCATENATE(_xlfn.XLOOKUP(C118,Clientes[ID_Cliente],Clientes[Provincia]),", Argentina")</f>
        <v>Buenos Aires, Argentina</v>
      </c>
      <c r="M118" s="20" t="str">
        <f t="array" ref="M118">_xlfn.XLOOKUP(F118,Metodos_De_Pago[ID_Metodo],Metodos_De_Pago[Metodo])</f>
        <v>Mercado Pago</v>
      </c>
      <c r="N118" s="20" t="str">
        <f t="shared" si="2"/>
        <v>2024 04</v>
      </c>
    </row>
    <row r="119" ht="22.5" customHeight="1">
      <c r="A119" s="12">
        <f>IFERROR(__xludf.DUMMYFUNCTION("""COMPUTED_VALUE"""),2356.0)</f>
        <v>2356</v>
      </c>
      <c r="B119" s="13">
        <f>IFERROR(__xludf.DUMMYFUNCTION("""COMPUTED_VALUE"""),45403.0)</f>
        <v>45403</v>
      </c>
      <c r="C119" s="12">
        <f>IFERROR(__xludf.DUMMYFUNCTION("""COMPUTED_VALUE"""),139.0)</f>
        <v>139</v>
      </c>
      <c r="D119" s="12">
        <f>IFERROR(__xludf.DUMMYFUNCTION("""COMPUTED_VALUE"""),19.0)</f>
        <v>19</v>
      </c>
      <c r="E119" s="12">
        <f>IFERROR(__xludf.DUMMYFUNCTION("""COMPUTED_VALUE"""),1.0)</f>
        <v>1</v>
      </c>
      <c r="F119" s="12">
        <f>IFERROR(__xludf.DUMMYFUNCTION("""COMPUTED_VALUE"""),4.0)</f>
        <v>4</v>
      </c>
      <c r="G119" s="15" t="str">
        <f>IFERROR(__xludf.DUMMYFUNCTION("""COMPUTED_VALUE"""),"Completa")</f>
        <v>Completa</v>
      </c>
      <c r="H119" s="16" t="str">
        <f t="array" ref="H119">_xlfn.XLOOKUP(D119,Productos[ID_Producto],Productos[Nombre_Producto])</f>
        <v>Tomates</v>
      </c>
      <c r="I119" s="17">
        <f t="array" ref="I119">_xlfn.XLOOKUP(D119,Productos[ID_Producto],Productos[Precio_Unitario])</f>
        <v>6.54</v>
      </c>
      <c r="J119" s="17">
        <f t="shared" si="1"/>
        <v>6.54</v>
      </c>
      <c r="K119" s="16" t="str">
        <f t="array" ref="K119">_xlfn.XLOOKUP(C119,Clientes[ID_Cliente],Clientes[Provincia])</f>
        <v>Buenos Aires</v>
      </c>
      <c r="L119" s="16" t="str">
        <f t="array" ref="L119">CONCATENATE(_xlfn.XLOOKUP(C119,Clientes[ID_Cliente],Clientes[Provincia]),", Argentina")</f>
        <v>Buenos Aires, Argentina</v>
      </c>
      <c r="M119" s="20" t="str">
        <f t="array" ref="M119">_xlfn.XLOOKUP(F119,Metodos_De_Pago[ID_Metodo],Metodos_De_Pago[Metodo])</f>
        <v>Mercado Pago</v>
      </c>
      <c r="N119" s="20" t="str">
        <f t="shared" si="2"/>
        <v>2024 04</v>
      </c>
    </row>
    <row r="120" ht="22.5" customHeight="1">
      <c r="A120" s="12">
        <f>IFERROR(__xludf.DUMMYFUNCTION("""COMPUTED_VALUE"""),2499.0)</f>
        <v>2499</v>
      </c>
      <c r="B120" s="13">
        <f>IFERROR(__xludf.DUMMYFUNCTION("""COMPUTED_VALUE"""),45403.0)</f>
        <v>45403</v>
      </c>
      <c r="C120" s="12">
        <f>IFERROR(__xludf.DUMMYFUNCTION("""COMPUTED_VALUE"""),310.0)</f>
        <v>310</v>
      </c>
      <c r="D120" s="12">
        <f>IFERROR(__xludf.DUMMYFUNCTION("""COMPUTED_VALUE"""),24.0)</f>
        <v>24</v>
      </c>
      <c r="E120" s="12">
        <f>IFERROR(__xludf.DUMMYFUNCTION("""COMPUTED_VALUE"""),1.0)</f>
        <v>1</v>
      </c>
      <c r="F120" s="12">
        <f>IFERROR(__xludf.DUMMYFUNCTION("""COMPUTED_VALUE"""),3.0)</f>
        <v>3</v>
      </c>
      <c r="G120" s="15" t="str">
        <f>IFERROR(__xludf.DUMMYFUNCTION("""COMPUTED_VALUE"""),"Pendiente")</f>
        <v>Pendiente</v>
      </c>
      <c r="H120" s="16" t="str">
        <f t="array" ref="H120">_xlfn.XLOOKUP(D120,Productos[ID_Producto],Productos[Nombre_Producto])</f>
        <v>Empanadas</v>
      </c>
      <c r="I120" s="17">
        <f t="array" ref="I120">_xlfn.XLOOKUP(D120,Productos[ID_Producto],Productos[Precio_Unitario])</f>
        <v>13.54</v>
      </c>
      <c r="J120" s="17">
        <f t="shared" si="1"/>
        <v>13.54</v>
      </c>
      <c r="K120" s="16" t="str">
        <f t="array" ref="K120">_xlfn.XLOOKUP(C120,Clientes[ID_Cliente],Clientes[Provincia])</f>
        <v>Neuquén</v>
      </c>
      <c r="L120" s="16" t="str">
        <f t="array" ref="L120">CONCATENATE(_xlfn.XLOOKUP(C120,Clientes[ID_Cliente],Clientes[Provincia]),", Argentina")</f>
        <v>Neuquén, Argentina</v>
      </c>
      <c r="M120" s="20" t="str">
        <f t="array" ref="M120">_xlfn.XLOOKUP(F120,Metodos_De_Pago[ID_Metodo],Metodos_De_Pago[Metodo])</f>
        <v>Tarjeta de Débito</v>
      </c>
      <c r="N120" s="20" t="str">
        <f t="shared" si="2"/>
        <v>2024 04</v>
      </c>
    </row>
    <row r="121" ht="22.5" customHeight="1">
      <c r="A121" s="12">
        <f>IFERROR(__xludf.DUMMYFUNCTION("""COMPUTED_VALUE"""),1406.0)</f>
        <v>1406</v>
      </c>
      <c r="B121" s="13">
        <f>IFERROR(__xludf.DUMMYFUNCTION("""COMPUTED_VALUE"""),45404.0)</f>
        <v>45404</v>
      </c>
      <c r="C121" s="12">
        <f>IFERROR(__xludf.DUMMYFUNCTION("""COMPUTED_VALUE"""),100.0)</f>
        <v>100</v>
      </c>
      <c r="D121" s="12">
        <f>IFERROR(__xludf.DUMMYFUNCTION("""COMPUTED_VALUE"""),23.0)</f>
        <v>23</v>
      </c>
      <c r="E121" s="12">
        <f>IFERROR(__xludf.DUMMYFUNCTION("""COMPUTED_VALUE"""),1.0)</f>
        <v>1</v>
      </c>
      <c r="F121" s="12">
        <f>IFERROR(__xludf.DUMMYFUNCTION("""COMPUTED_VALUE"""),3.0)</f>
        <v>3</v>
      </c>
      <c r="G121" s="15" t="str">
        <f>IFERROR(__xludf.DUMMYFUNCTION("""COMPUTED_VALUE"""),"Completa")</f>
        <v>Completa</v>
      </c>
      <c r="H121" s="16" t="str">
        <f t="array" ref="H121">_xlfn.XLOOKUP(D121,Productos[ID_Producto],Productos[Nombre_Producto])</f>
        <v>Papas fritas</v>
      </c>
      <c r="I121" s="17">
        <f t="array" ref="I121">_xlfn.XLOOKUP(D121,Productos[ID_Producto],Productos[Precio_Unitario])</f>
        <v>8.23</v>
      </c>
      <c r="J121" s="17">
        <f t="shared" si="1"/>
        <v>8.23</v>
      </c>
      <c r="K121" s="16" t="str">
        <f t="array" ref="K121">_xlfn.XLOOKUP(C121,Clientes[ID_Cliente],Clientes[Provincia])</f>
        <v>Chaco</v>
      </c>
      <c r="L121" s="16" t="str">
        <f t="array" ref="L121">CONCATENATE(_xlfn.XLOOKUP(C121,Clientes[ID_Cliente],Clientes[Provincia]),", Argentina")</f>
        <v>Chaco, Argentina</v>
      </c>
      <c r="M121" s="20" t="str">
        <f t="array" ref="M121">_xlfn.XLOOKUP(F121,Metodos_De_Pago[ID_Metodo],Metodos_De_Pago[Metodo])</f>
        <v>Tarjeta de Débito</v>
      </c>
      <c r="N121" s="20" t="str">
        <f t="shared" si="2"/>
        <v>2024 04</v>
      </c>
    </row>
    <row r="122" ht="22.5" customHeight="1">
      <c r="A122" s="12">
        <f>IFERROR(__xludf.DUMMYFUNCTION("""COMPUTED_VALUE"""),1677.0)</f>
        <v>1677</v>
      </c>
      <c r="B122" s="13">
        <f>IFERROR(__xludf.DUMMYFUNCTION("""COMPUTED_VALUE"""),45405.0)</f>
        <v>45405</v>
      </c>
      <c r="C122" s="12">
        <f>IFERROR(__xludf.DUMMYFUNCTION("""COMPUTED_VALUE"""),122.0)</f>
        <v>122</v>
      </c>
      <c r="D122" s="12">
        <f>IFERROR(__xludf.DUMMYFUNCTION("""COMPUTED_VALUE"""),5.0)</f>
        <v>5</v>
      </c>
      <c r="E122" s="12">
        <f>IFERROR(__xludf.DUMMYFUNCTION("""COMPUTED_VALUE"""),1.0)</f>
        <v>1</v>
      </c>
      <c r="F122" s="12">
        <f>IFERROR(__xludf.DUMMYFUNCTION("""COMPUTED_VALUE"""),2.0)</f>
        <v>2</v>
      </c>
      <c r="G122" s="15" t="str">
        <f>IFERROR(__xludf.DUMMYFUNCTION("""COMPUTED_VALUE"""),"Pendiente")</f>
        <v>Pendiente</v>
      </c>
      <c r="H122" s="16" t="str">
        <f t="array" ref="H122">_xlfn.XLOOKUP(D122,Productos[ID_Producto],Productos[Nombre_Producto])</f>
        <v>Manteca</v>
      </c>
      <c r="I122" s="17">
        <f t="array" ref="I122">_xlfn.XLOOKUP(D122,Productos[ID_Producto],Productos[Precio_Unitario])</f>
        <v>5.65</v>
      </c>
      <c r="J122" s="17">
        <f t="shared" si="1"/>
        <v>5.65</v>
      </c>
      <c r="K122" s="16" t="str">
        <f t="array" ref="K122">_xlfn.XLOOKUP(C122,Clientes[ID_Cliente],Clientes[Provincia])</f>
        <v>Córdoba</v>
      </c>
      <c r="L122" s="16" t="str">
        <f t="array" ref="L122">CONCATENATE(_xlfn.XLOOKUP(C122,Clientes[ID_Cliente],Clientes[Provincia]),", Argentina")</f>
        <v>Córdoba, Argentina</v>
      </c>
      <c r="M122" s="20" t="str">
        <f t="array" ref="M122">_xlfn.XLOOKUP(F122,Metodos_De_Pago[ID_Metodo],Metodos_De_Pago[Metodo])</f>
        <v>Tarjeta de Crédito</v>
      </c>
      <c r="N122" s="20" t="str">
        <f t="shared" si="2"/>
        <v>2024 04</v>
      </c>
    </row>
    <row r="123" ht="22.5" customHeight="1">
      <c r="A123" s="12">
        <f>IFERROR(__xludf.DUMMYFUNCTION("""COMPUTED_VALUE"""),1686.0)</f>
        <v>1686</v>
      </c>
      <c r="B123" s="13">
        <f>IFERROR(__xludf.DUMMYFUNCTION("""COMPUTED_VALUE"""),45405.0)</f>
        <v>45405</v>
      </c>
      <c r="C123" s="12">
        <f>IFERROR(__xludf.DUMMYFUNCTION("""COMPUTED_VALUE"""),73.0)</f>
        <v>73</v>
      </c>
      <c r="D123" s="12">
        <f>IFERROR(__xludf.DUMMYFUNCTION("""COMPUTED_VALUE"""),37.0)</f>
        <v>37</v>
      </c>
      <c r="E123" s="12">
        <f>IFERROR(__xludf.DUMMYFUNCTION("""COMPUTED_VALUE"""),1.0)</f>
        <v>1</v>
      </c>
      <c r="F123" s="12">
        <f>IFERROR(__xludf.DUMMYFUNCTION("""COMPUTED_VALUE"""),4.0)</f>
        <v>4</v>
      </c>
      <c r="G123" s="15" t="str">
        <f>IFERROR(__xludf.DUMMYFUNCTION("""COMPUTED_VALUE"""),"Completa")</f>
        <v>Completa</v>
      </c>
      <c r="H123" s="16" t="str">
        <f t="array" ref="H123">_xlfn.XLOOKUP(D123,Productos[ID_Producto],Productos[Nombre_Producto])</f>
        <v>Garbanzos</v>
      </c>
      <c r="I123" s="17">
        <f t="array" ref="I123">_xlfn.XLOOKUP(D123,Productos[ID_Producto],Productos[Precio_Unitario])</f>
        <v>3.65</v>
      </c>
      <c r="J123" s="17">
        <f t="shared" si="1"/>
        <v>3.65</v>
      </c>
      <c r="K123" s="16" t="str">
        <f t="array" ref="K123">_xlfn.XLOOKUP(C123,Clientes[ID_Cliente],Clientes[Provincia])</f>
        <v>Córdoba</v>
      </c>
      <c r="L123" s="16" t="str">
        <f t="array" ref="L123">CONCATENATE(_xlfn.XLOOKUP(C123,Clientes[ID_Cliente],Clientes[Provincia]),", Argentina")</f>
        <v>Córdoba, Argentina</v>
      </c>
      <c r="M123" s="20" t="str">
        <f t="array" ref="M123">_xlfn.XLOOKUP(F123,Metodos_De_Pago[ID_Metodo],Metodos_De_Pago[Metodo])</f>
        <v>Mercado Pago</v>
      </c>
      <c r="N123" s="20" t="str">
        <f t="shared" si="2"/>
        <v>2024 04</v>
      </c>
    </row>
    <row r="124" ht="22.5" customHeight="1">
      <c r="A124" s="12">
        <f>IFERROR(__xludf.DUMMYFUNCTION("""COMPUTED_VALUE"""),909.0)</f>
        <v>909</v>
      </c>
      <c r="B124" s="13">
        <f>IFERROR(__xludf.DUMMYFUNCTION("""COMPUTED_VALUE"""),45406.0)</f>
        <v>45406</v>
      </c>
      <c r="C124" s="12">
        <f>IFERROR(__xludf.DUMMYFUNCTION("""COMPUTED_VALUE"""),287.0)</f>
        <v>287</v>
      </c>
      <c r="D124" s="12">
        <f>IFERROR(__xludf.DUMMYFUNCTION("""COMPUTED_VALUE"""),31.0)</f>
        <v>31</v>
      </c>
      <c r="E124" s="12">
        <f>IFERROR(__xludf.DUMMYFUNCTION("""COMPUTED_VALUE"""),1.0)</f>
        <v>1</v>
      </c>
      <c r="F124" s="12">
        <f>IFERROR(__xludf.DUMMYFUNCTION("""COMPUTED_VALUE"""),1.0)</f>
        <v>1</v>
      </c>
      <c r="G124" s="15" t="str">
        <f>IFERROR(__xludf.DUMMYFUNCTION("""COMPUTED_VALUE"""),"Completa")</f>
        <v>Completa</v>
      </c>
      <c r="H124" s="16" t="str">
        <f t="array" ref="H124">_xlfn.XLOOKUP(D124,Productos[ID_Producto],Productos[Nombre_Producto])</f>
        <v>Galletitas de agua</v>
      </c>
      <c r="I124" s="17">
        <f t="array" ref="I124">_xlfn.XLOOKUP(D124,Productos[ID_Producto],Productos[Precio_Unitario])</f>
        <v>5.24</v>
      </c>
      <c r="J124" s="17">
        <f t="shared" si="1"/>
        <v>5.24</v>
      </c>
      <c r="K124" s="16" t="str">
        <f t="array" ref="K124">_xlfn.XLOOKUP(C124,Clientes[ID_Cliente],Clientes[Provincia])</f>
        <v>Chaco</v>
      </c>
      <c r="L124" s="16" t="str">
        <f t="array" ref="L124">CONCATENATE(_xlfn.XLOOKUP(C124,Clientes[ID_Cliente],Clientes[Provincia]),", Argentina")</f>
        <v>Chaco, Argentina</v>
      </c>
      <c r="M124" s="20" t="str">
        <f t="array" ref="M124">_xlfn.XLOOKUP(F124,Metodos_De_Pago[ID_Metodo],Metodos_De_Pago[Metodo])</f>
        <v>Efectivo</v>
      </c>
      <c r="N124" s="20" t="str">
        <f t="shared" si="2"/>
        <v>2024 04</v>
      </c>
    </row>
    <row r="125" ht="22.5" customHeight="1">
      <c r="A125" s="12">
        <f>IFERROR(__xludf.DUMMYFUNCTION("""COMPUTED_VALUE"""),251.0)</f>
        <v>251</v>
      </c>
      <c r="B125" s="13">
        <f>IFERROR(__xludf.DUMMYFUNCTION("""COMPUTED_VALUE"""),45407.0)</f>
        <v>45407</v>
      </c>
      <c r="C125" s="12">
        <f>IFERROR(__xludf.DUMMYFUNCTION("""COMPUTED_VALUE"""),158.0)</f>
        <v>158</v>
      </c>
      <c r="D125" s="12">
        <f>IFERROR(__xludf.DUMMYFUNCTION("""COMPUTED_VALUE"""),4.0)</f>
        <v>4</v>
      </c>
      <c r="E125" s="12">
        <f>IFERROR(__xludf.DUMMYFUNCTION("""COMPUTED_VALUE"""),1.0)</f>
        <v>1</v>
      </c>
      <c r="F125" s="12">
        <f>IFERROR(__xludf.DUMMYFUNCTION("""COMPUTED_VALUE"""),4.0)</f>
        <v>4</v>
      </c>
      <c r="G125" s="15" t="str">
        <f>IFERROR(__xludf.DUMMYFUNCTION("""COMPUTED_VALUE"""),"Completa")</f>
        <v>Completa</v>
      </c>
      <c r="H125" s="16" t="str">
        <f t="array" ref="H125">_xlfn.XLOOKUP(D125,Productos[ID_Producto],Productos[Nombre_Producto])</f>
        <v>Queso rallado</v>
      </c>
      <c r="I125" s="17">
        <f t="array" ref="I125">_xlfn.XLOOKUP(D125,Productos[ID_Producto],Productos[Precio_Unitario])</f>
        <v>19.23</v>
      </c>
      <c r="J125" s="17">
        <f t="shared" si="1"/>
        <v>19.23</v>
      </c>
      <c r="K125" s="16" t="str">
        <f t="array" ref="K125">_xlfn.XLOOKUP(C125,Clientes[ID_Cliente],Clientes[Provincia])</f>
        <v>Buenos Aires</v>
      </c>
      <c r="L125" s="16" t="str">
        <f t="array" ref="L125">CONCATENATE(_xlfn.XLOOKUP(C125,Clientes[ID_Cliente],Clientes[Provincia]),", Argentina")</f>
        <v>Buenos Aires, Argentina</v>
      </c>
      <c r="M125" s="20" t="str">
        <f t="array" ref="M125">_xlfn.XLOOKUP(F125,Metodos_De_Pago[ID_Metodo],Metodos_De_Pago[Metodo])</f>
        <v>Mercado Pago</v>
      </c>
      <c r="N125" s="20" t="str">
        <f t="shared" si="2"/>
        <v>2024 04</v>
      </c>
    </row>
    <row r="126" ht="22.5" customHeight="1">
      <c r="A126" s="12">
        <f>IFERROR(__xludf.DUMMYFUNCTION("""COMPUTED_VALUE"""),792.0)</f>
        <v>792</v>
      </c>
      <c r="B126" s="13">
        <f>IFERROR(__xludf.DUMMYFUNCTION("""COMPUTED_VALUE"""),45407.0)</f>
        <v>45407</v>
      </c>
      <c r="C126" s="12">
        <f>IFERROR(__xludf.DUMMYFUNCTION("""COMPUTED_VALUE"""),130.0)</f>
        <v>130</v>
      </c>
      <c r="D126" s="12">
        <f>IFERROR(__xludf.DUMMYFUNCTION("""COMPUTED_VALUE"""),1.0)</f>
        <v>1</v>
      </c>
      <c r="E126" s="12">
        <f>IFERROR(__xludf.DUMMYFUNCTION("""COMPUTED_VALUE"""),1.0)</f>
        <v>1</v>
      </c>
      <c r="F126" s="12">
        <f>IFERROR(__xludf.DUMMYFUNCTION("""COMPUTED_VALUE"""),1.0)</f>
        <v>1</v>
      </c>
      <c r="G126" s="15" t="str">
        <f>IFERROR(__xludf.DUMMYFUNCTION("""COMPUTED_VALUE"""),"Completa")</f>
        <v>Completa</v>
      </c>
      <c r="H126" s="16" t="str">
        <f t="array" ref="H126">_xlfn.XLOOKUP(D126,Productos[ID_Producto],Productos[Nombre_Producto])</f>
        <v>Leche</v>
      </c>
      <c r="I126" s="17">
        <f t="array" ref="I126">_xlfn.XLOOKUP(D126,Productos[ID_Producto],Productos[Precio_Unitario])</f>
        <v>12.24</v>
      </c>
      <c r="J126" s="17">
        <f t="shared" si="1"/>
        <v>12.24</v>
      </c>
      <c r="K126" s="16" t="str">
        <f t="array" ref="K126">_xlfn.XLOOKUP(C126,Clientes[ID_Cliente],Clientes[Provincia])</f>
        <v>Buenos Aires</v>
      </c>
      <c r="L126" s="16" t="str">
        <f t="array" ref="L126">CONCATENATE(_xlfn.XLOOKUP(C126,Clientes[ID_Cliente],Clientes[Provincia]),", Argentina")</f>
        <v>Buenos Aires, Argentina</v>
      </c>
      <c r="M126" s="20" t="str">
        <f t="array" ref="M126">_xlfn.XLOOKUP(F126,Metodos_De_Pago[ID_Metodo],Metodos_De_Pago[Metodo])</f>
        <v>Efectivo</v>
      </c>
      <c r="N126" s="20" t="str">
        <f t="shared" si="2"/>
        <v>2024 04</v>
      </c>
    </row>
    <row r="127" ht="22.5" customHeight="1">
      <c r="A127" s="12">
        <f>IFERROR(__xludf.DUMMYFUNCTION("""COMPUTED_VALUE"""),1616.0)</f>
        <v>1616</v>
      </c>
      <c r="B127" s="13">
        <f>IFERROR(__xludf.DUMMYFUNCTION("""COMPUTED_VALUE"""),45408.0)</f>
        <v>45408</v>
      </c>
      <c r="C127" s="12">
        <f>IFERROR(__xludf.DUMMYFUNCTION("""COMPUTED_VALUE"""),144.0)</f>
        <v>144</v>
      </c>
      <c r="D127" s="12">
        <f>IFERROR(__xludf.DUMMYFUNCTION("""COMPUTED_VALUE"""),34.0)</f>
        <v>34</v>
      </c>
      <c r="E127" s="12">
        <f>IFERROR(__xludf.DUMMYFUNCTION("""COMPUTED_VALUE"""),1.0)</f>
        <v>1</v>
      </c>
      <c r="F127" s="12">
        <f>IFERROR(__xludf.DUMMYFUNCTION("""COMPUTED_VALUE"""),1.0)</f>
        <v>1</v>
      </c>
      <c r="G127" s="15" t="str">
        <f>IFERROR(__xludf.DUMMYFUNCTION("""COMPUTED_VALUE"""),"Completa")</f>
        <v>Completa</v>
      </c>
      <c r="H127" s="16" t="str">
        <f t="array" ref="H127">_xlfn.XLOOKUP(D127,Productos[ID_Producto],Productos[Nombre_Producto])</f>
        <v>Maníes</v>
      </c>
      <c r="I127" s="17">
        <f t="array" ref="I127">_xlfn.XLOOKUP(D127,Productos[ID_Producto],Productos[Precio_Unitario])</f>
        <v>5.45</v>
      </c>
      <c r="J127" s="17">
        <f t="shared" si="1"/>
        <v>5.45</v>
      </c>
      <c r="K127" s="16" t="str">
        <f t="array" ref="K127">_xlfn.XLOOKUP(C127,Clientes[ID_Cliente],Clientes[Provincia])</f>
        <v>Chaco</v>
      </c>
      <c r="L127" s="16" t="str">
        <f t="array" ref="L127">CONCATENATE(_xlfn.XLOOKUP(C127,Clientes[ID_Cliente],Clientes[Provincia]),", Argentina")</f>
        <v>Chaco, Argentina</v>
      </c>
      <c r="M127" s="20" t="str">
        <f t="array" ref="M127">_xlfn.XLOOKUP(F127,Metodos_De_Pago[ID_Metodo],Metodos_De_Pago[Metodo])</f>
        <v>Efectivo</v>
      </c>
      <c r="N127" s="20" t="str">
        <f t="shared" si="2"/>
        <v>2024 04</v>
      </c>
    </row>
    <row r="128" ht="22.5" customHeight="1">
      <c r="A128" s="12">
        <f>IFERROR(__xludf.DUMMYFUNCTION("""COMPUTED_VALUE"""),2554.0)</f>
        <v>2554</v>
      </c>
      <c r="B128" s="13">
        <f>IFERROR(__xludf.DUMMYFUNCTION("""COMPUTED_VALUE"""),45408.0)</f>
        <v>45408</v>
      </c>
      <c r="C128" s="12">
        <f>IFERROR(__xludf.DUMMYFUNCTION("""COMPUTED_VALUE"""),306.0)</f>
        <v>306</v>
      </c>
      <c r="D128" s="12">
        <f>IFERROR(__xludf.DUMMYFUNCTION("""COMPUTED_VALUE"""),36.0)</f>
        <v>36</v>
      </c>
      <c r="E128" s="12">
        <f>IFERROR(__xludf.DUMMYFUNCTION("""COMPUTED_VALUE"""),1.0)</f>
        <v>1</v>
      </c>
      <c r="F128" s="12">
        <f>IFERROR(__xludf.DUMMYFUNCTION("""COMPUTED_VALUE"""),4.0)</f>
        <v>4</v>
      </c>
      <c r="G128" s="15" t="str">
        <f>IFERROR(__xludf.DUMMYFUNCTION("""COMPUTED_VALUE"""),"Completa")</f>
        <v>Completa</v>
      </c>
      <c r="H128" s="16" t="str">
        <f t="array" ref="H128">_xlfn.XLOOKUP(D128,Productos[ID_Producto],Productos[Nombre_Producto])</f>
        <v>Lentejas</v>
      </c>
      <c r="I128" s="17">
        <f t="array" ref="I128">_xlfn.XLOOKUP(D128,Productos[ID_Producto],Productos[Precio_Unitario])</f>
        <v>3.25</v>
      </c>
      <c r="J128" s="17">
        <f t="shared" si="1"/>
        <v>3.25</v>
      </c>
      <c r="K128" s="16" t="str">
        <f t="array" ref="K128">_xlfn.XLOOKUP(C128,Clientes[ID_Cliente],Clientes[Provincia])</f>
        <v>San Luis</v>
      </c>
      <c r="L128" s="16" t="str">
        <f t="array" ref="L128">CONCATENATE(_xlfn.XLOOKUP(C128,Clientes[ID_Cliente],Clientes[Provincia]),", Argentina")</f>
        <v>San Luis, Argentina</v>
      </c>
      <c r="M128" s="20" t="str">
        <f t="array" ref="M128">_xlfn.XLOOKUP(F128,Metodos_De_Pago[ID_Metodo],Metodos_De_Pago[Metodo])</f>
        <v>Mercado Pago</v>
      </c>
      <c r="N128" s="20" t="str">
        <f t="shared" si="2"/>
        <v>2024 04</v>
      </c>
    </row>
    <row r="129" ht="22.5" customHeight="1">
      <c r="A129" s="12">
        <f>IFERROR(__xludf.DUMMYFUNCTION("""COMPUTED_VALUE"""),1572.0)</f>
        <v>1572</v>
      </c>
      <c r="B129" s="13">
        <f>IFERROR(__xludf.DUMMYFUNCTION("""COMPUTED_VALUE"""),45409.0)</f>
        <v>45409</v>
      </c>
      <c r="C129" s="12">
        <f>IFERROR(__xludf.DUMMYFUNCTION("""COMPUTED_VALUE"""),314.0)</f>
        <v>314</v>
      </c>
      <c r="D129" s="12">
        <f>IFERROR(__xludf.DUMMYFUNCTION("""COMPUTED_VALUE"""),24.0)</f>
        <v>24</v>
      </c>
      <c r="E129" s="12">
        <f>IFERROR(__xludf.DUMMYFUNCTION("""COMPUTED_VALUE"""),1.0)</f>
        <v>1</v>
      </c>
      <c r="F129" s="12">
        <f>IFERROR(__xludf.DUMMYFUNCTION("""COMPUTED_VALUE"""),4.0)</f>
        <v>4</v>
      </c>
      <c r="G129" s="15" t="str">
        <f>IFERROR(__xludf.DUMMYFUNCTION("""COMPUTED_VALUE"""),"Completa")</f>
        <v>Completa</v>
      </c>
      <c r="H129" s="16" t="str">
        <f t="array" ref="H129">_xlfn.XLOOKUP(D129,Productos[ID_Producto],Productos[Nombre_Producto])</f>
        <v>Empanadas</v>
      </c>
      <c r="I129" s="17">
        <f t="array" ref="I129">_xlfn.XLOOKUP(D129,Productos[ID_Producto],Productos[Precio_Unitario])</f>
        <v>13.54</v>
      </c>
      <c r="J129" s="17">
        <f t="shared" si="1"/>
        <v>13.54</v>
      </c>
      <c r="K129" s="16" t="str">
        <f t="array" ref="K129">_xlfn.XLOOKUP(C129,Clientes[ID_Cliente],Clientes[Provincia])</f>
        <v>Neuquén</v>
      </c>
      <c r="L129" s="16" t="str">
        <f t="array" ref="L129">CONCATENATE(_xlfn.XLOOKUP(C129,Clientes[ID_Cliente],Clientes[Provincia]),", Argentina")</f>
        <v>Neuquén, Argentina</v>
      </c>
      <c r="M129" s="20" t="str">
        <f t="array" ref="M129">_xlfn.XLOOKUP(F129,Metodos_De_Pago[ID_Metodo],Metodos_De_Pago[Metodo])</f>
        <v>Mercado Pago</v>
      </c>
      <c r="N129" s="20" t="str">
        <f t="shared" si="2"/>
        <v>2024 04</v>
      </c>
    </row>
    <row r="130" ht="22.5" customHeight="1">
      <c r="A130" s="12">
        <f>IFERROR(__xludf.DUMMYFUNCTION("""COMPUTED_VALUE"""),2128.0)</f>
        <v>2128</v>
      </c>
      <c r="B130" s="13">
        <f>IFERROR(__xludf.DUMMYFUNCTION("""COMPUTED_VALUE"""),45410.0)</f>
        <v>45410</v>
      </c>
      <c r="C130" s="12">
        <f>IFERROR(__xludf.DUMMYFUNCTION("""COMPUTED_VALUE"""),314.0)</f>
        <v>314</v>
      </c>
      <c r="D130" s="12">
        <f>IFERROR(__xludf.DUMMYFUNCTION("""COMPUTED_VALUE"""),35.0)</f>
        <v>35</v>
      </c>
      <c r="E130" s="12">
        <f>IFERROR(__xludf.DUMMYFUNCTION("""COMPUTED_VALUE"""),1.0)</f>
        <v>1</v>
      </c>
      <c r="F130" s="12">
        <f>IFERROR(__xludf.DUMMYFUNCTION("""COMPUTED_VALUE"""),1.0)</f>
        <v>1</v>
      </c>
      <c r="G130" s="15" t="str">
        <f>IFERROR(__xludf.DUMMYFUNCTION("""COMPUTED_VALUE"""),"Pendiente")</f>
        <v>Pendiente</v>
      </c>
      <c r="H130" s="16" t="str">
        <f t="array" ref="H130">_xlfn.XLOOKUP(D130,Productos[ID_Producto],Productos[Nombre_Producto])</f>
        <v>Arroz</v>
      </c>
      <c r="I130" s="17">
        <f t="array" ref="I130">_xlfn.XLOOKUP(D130,Productos[ID_Producto],Productos[Precio_Unitario])</f>
        <v>4.25</v>
      </c>
      <c r="J130" s="17">
        <f t="shared" si="1"/>
        <v>4.25</v>
      </c>
      <c r="K130" s="16" t="str">
        <f t="array" ref="K130">_xlfn.XLOOKUP(C130,Clientes[ID_Cliente],Clientes[Provincia])</f>
        <v>Neuquén</v>
      </c>
      <c r="L130" s="16" t="str">
        <f t="array" ref="L130">CONCATENATE(_xlfn.XLOOKUP(C130,Clientes[ID_Cliente],Clientes[Provincia]),", Argentina")</f>
        <v>Neuquén, Argentina</v>
      </c>
      <c r="M130" s="20" t="str">
        <f t="array" ref="M130">_xlfn.XLOOKUP(F130,Metodos_De_Pago[ID_Metodo],Metodos_De_Pago[Metodo])</f>
        <v>Efectivo</v>
      </c>
      <c r="N130" s="20" t="str">
        <f t="shared" si="2"/>
        <v>2024 04</v>
      </c>
    </row>
    <row r="131" ht="22.5" customHeight="1">
      <c r="A131" s="12">
        <f>IFERROR(__xludf.DUMMYFUNCTION("""COMPUTED_VALUE"""),2799.0)</f>
        <v>2799</v>
      </c>
      <c r="B131" s="13">
        <f>IFERROR(__xludf.DUMMYFUNCTION("""COMPUTED_VALUE"""),45410.0)</f>
        <v>45410</v>
      </c>
      <c r="C131" s="12">
        <f>IFERROR(__xludf.DUMMYFUNCTION("""COMPUTED_VALUE"""),217.0)</f>
        <v>217</v>
      </c>
      <c r="D131" s="12">
        <f>IFERROR(__xludf.DUMMYFUNCTION("""COMPUTED_VALUE"""),2.0)</f>
        <v>2</v>
      </c>
      <c r="E131" s="12">
        <f>IFERROR(__xludf.DUMMYFUNCTION("""COMPUTED_VALUE"""),1.0)</f>
        <v>1</v>
      </c>
      <c r="F131" s="12">
        <f>IFERROR(__xludf.DUMMYFUNCTION("""COMPUTED_VALUE"""),5.0)</f>
        <v>5</v>
      </c>
      <c r="G131" s="15" t="str">
        <f>IFERROR(__xludf.DUMMYFUNCTION("""COMPUTED_VALUE"""),"Pendiente")</f>
        <v>Pendiente</v>
      </c>
      <c r="H131" s="16" t="str">
        <f t="array" ref="H131">_xlfn.XLOOKUP(D131,Productos[ID_Producto],Productos[Nombre_Producto])</f>
        <v>Yogur</v>
      </c>
      <c r="I131" s="17">
        <f t="array" ref="I131">_xlfn.XLOOKUP(D131,Productos[ID_Producto],Productos[Precio_Unitario])</f>
        <v>5.21</v>
      </c>
      <c r="J131" s="17">
        <f t="shared" si="1"/>
        <v>5.21</v>
      </c>
      <c r="K131" s="16" t="str">
        <f t="array" ref="K131">_xlfn.XLOOKUP(C131,Clientes[ID_Cliente],Clientes[Provincia])</f>
        <v>Córdoba</v>
      </c>
      <c r="L131" s="16" t="str">
        <f t="array" ref="L131">CONCATENATE(_xlfn.XLOOKUP(C131,Clientes[ID_Cliente],Clientes[Provincia]),", Argentina")</f>
        <v>Córdoba, Argentina</v>
      </c>
      <c r="M131" s="20" t="str">
        <f t="array" ref="M131">_xlfn.XLOOKUP(F131,Metodos_De_Pago[ID_Metodo],Metodos_De_Pago[Metodo])</f>
        <v>Transferencia</v>
      </c>
      <c r="N131" s="20" t="str">
        <f t="shared" si="2"/>
        <v>2024 04</v>
      </c>
    </row>
    <row r="132" ht="22.5" customHeight="1">
      <c r="A132" s="12">
        <f>IFERROR(__xludf.DUMMYFUNCTION("""COMPUTED_VALUE"""),2105.0)</f>
        <v>2105</v>
      </c>
      <c r="B132" s="13">
        <f>IFERROR(__xludf.DUMMYFUNCTION("""COMPUTED_VALUE"""),45411.0)</f>
        <v>45411</v>
      </c>
      <c r="C132" s="12">
        <f>IFERROR(__xludf.DUMMYFUNCTION("""COMPUTED_VALUE"""),85.0)</f>
        <v>85</v>
      </c>
      <c r="D132" s="12">
        <f>IFERROR(__xludf.DUMMYFUNCTION("""COMPUTED_VALUE"""),12.0)</f>
        <v>12</v>
      </c>
      <c r="E132" s="12">
        <f>IFERROR(__xludf.DUMMYFUNCTION("""COMPUTED_VALUE"""),1.0)</f>
        <v>1</v>
      </c>
      <c r="F132" s="12">
        <f>IFERROR(__xludf.DUMMYFUNCTION("""COMPUTED_VALUE"""),3.0)</f>
        <v>3</v>
      </c>
      <c r="G132" s="15" t="str">
        <f>IFERROR(__xludf.DUMMYFUNCTION("""COMPUTED_VALUE"""),"Pendiente")</f>
        <v>Pendiente</v>
      </c>
      <c r="H132" s="16" t="str">
        <f t="array" ref="H132">_xlfn.XLOOKUP(D132,Productos[ID_Producto],Productos[Nombre_Producto])</f>
        <v>Pan francés</v>
      </c>
      <c r="I132" s="17">
        <f t="array" ref="I132">_xlfn.XLOOKUP(D132,Productos[ID_Producto],Productos[Precio_Unitario])</f>
        <v>8.12</v>
      </c>
      <c r="J132" s="17">
        <f t="shared" si="1"/>
        <v>8.12</v>
      </c>
      <c r="K132" s="16" t="str">
        <f t="array" ref="K132">_xlfn.XLOOKUP(C132,Clientes[ID_Cliente],Clientes[Provincia])</f>
        <v>San Luis</v>
      </c>
      <c r="L132" s="16" t="str">
        <f t="array" ref="L132">CONCATENATE(_xlfn.XLOOKUP(C132,Clientes[ID_Cliente],Clientes[Provincia]),", Argentina")</f>
        <v>San Luis, Argentina</v>
      </c>
      <c r="M132" s="20" t="str">
        <f t="array" ref="M132">_xlfn.XLOOKUP(F132,Metodos_De_Pago[ID_Metodo],Metodos_De_Pago[Metodo])</f>
        <v>Tarjeta de Débito</v>
      </c>
      <c r="N132" s="20" t="str">
        <f t="shared" si="2"/>
        <v>2024 04</v>
      </c>
    </row>
    <row r="133" ht="22.5" customHeight="1">
      <c r="A133" s="12">
        <f>IFERROR(__xludf.DUMMYFUNCTION("""COMPUTED_VALUE"""),625.0)</f>
        <v>625</v>
      </c>
      <c r="B133" s="13">
        <f>IFERROR(__xludf.DUMMYFUNCTION("""COMPUTED_VALUE"""),45412.0)</f>
        <v>45412</v>
      </c>
      <c r="C133" s="12">
        <f>IFERROR(__xludf.DUMMYFUNCTION("""COMPUTED_VALUE"""),11.0)</f>
        <v>11</v>
      </c>
      <c r="D133" s="12">
        <f>IFERROR(__xludf.DUMMYFUNCTION("""COMPUTED_VALUE"""),18.0)</f>
        <v>18</v>
      </c>
      <c r="E133" s="12">
        <f>IFERROR(__xludf.DUMMYFUNCTION("""COMPUTED_VALUE"""),1.0)</f>
        <v>1</v>
      </c>
      <c r="F133" s="12">
        <f>IFERROR(__xludf.DUMMYFUNCTION("""COMPUTED_VALUE"""),2.0)</f>
        <v>2</v>
      </c>
      <c r="G133" s="15" t="str">
        <f>IFERROR(__xludf.DUMMYFUNCTION("""COMPUTED_VALUE"""),"Completa")</f>
        <v>Completa</v>
      </c>
      <c r="H133" s="16" t="str">
        <f t="array" ref="H133">_xlfn.XLOOKUP(D133,Productos[ID_Producto],Productos[Nombre_Producto])</f>
        <v>Bananas</v>
      </c>
      <c r="I133" s="17">
        <f t="array" ref="I133">_xlfn.XLOOKUP(D133,Productos[ID_Producto],Productos[Precio_Unitario])</f>
        <v>7.25</v>
      </c>
      <c r="J133" s="17">
        <f t="shared" si="1"/>
        <v>7.25</v>
      </c>
      <c r="K133" s="16" t="str">
        <f t="array" ref="K133">_xlfn.XLOOKUP(C133,Clientes[ID_Cliente],Clientes[Provincia])</f>
        <v>Buenos Aires</v>
      </c>
      <c r="L133" s="16" t="str">
        <f t="array" ref="L133">CONCATENATE(_xlfn.XLOOKUP(C133,Clientes[ID_Cliente],Clientes[Provincia]),", Argentina")</f>
        <v>Buenos Aires, Argentina</v>
      </c>
      <c r="M133" s="20" t="str">
        <f t="array" ref="M133">_xlfn.XLOOKUP(F133,Metodos_De_Pago[ID_Metodo],Metodos_De_Pago[Metodo])</f>
        <v>Tarjeta de Crédito</v>
      </c>
      <c r="N133" s="20" t="str">
        <f t="shared" si="2"/>
        <v>2024 04</v>
      </c>
    </row>
    <row r="134" ht="22.5" customHeight="1">
      <c r="A134" s="12">
        <f>IFERROR(__xludf.DUMMYFUNCTION("""COMPUTED_VALUE"""),2222.0)</f>
        <v>2222</v>
      </c>
      <c r="B134" s="13">
        <f>IFERROR(__xludf.DUMMYFUNCTION("""COMPUTED_VALUE"""),45412.0)</f>
        <v>45412</v>
      </c>
      <c r="C134" s="12">
        <f>IFERROR(__xludf.DUMMYFUNCTION("""COMPUTED_VALUE"""),163.0)</f>
        <v>163</v>
      </c>
      <c r="D134" s="12">
        <f>IFERROR(__xludf.DUMMYFUNCTION("""COMPUTED_VALUE"""),21.0)</f>
        <v>21</v>
      </c>
      <c r="E134" s="12">
        <f>IFERROR(__xludf.DUMMYFUNCTION("""COMPUTED_VALUE"""),1.0)</f>
        <v>1</v>
      </c>
      <c r="F134" s="12">
        <f>IFERROR(__xludf.DUMMYFUNCTION("""COMPUTED_VALUE"""),3.0)</f>
        <v>3</v>
      </c>
      <c r="G134" s="15" t="str">
        <f>IFERROR(__xludf.DUMMYFUNCTION("""COMPUTED_VALUE"""),"Completa")</f>
        <v>Completa</v>
      </c>
      <c r="H134" s="16" t="str">
        <f t="array" ref="H134">_xlfn.XLOOKUP(D134,Productos[ID_Producto],Productos[Nombre_Producto])</f>
        <v>Zanahorias</v>
      </c>
      <c r="I134" s="17">
        <f t="array" ref="I134">_xlfn.XLOOKUP(D134,Productos[ID_Producto],Productos[Precio_Unitario])</f>
        <v>3.25</v>
      </c>
      <c r="J134" s="17">
        <f t="shared" si="1"/>
        <v>3.25</v>
      </c>
      <c r="K134" s="16" t="str">
        <f t="array" ref="K134">_xlfn.XLOOKUP(C134,Clientes[ID_Cliente],Clientes[Provincia])</f>
        <v>Buenos Aires</v>
      </c>
      <c r="L134" s="16" t="str">
        <f t="array" ref="L134">CONCATENATE(_xlfn.XLOOKUP(C134,Clientes[ID_Cliente],Clientes[Provincia]),", Argentina")</f>
        <v>Buenos Aires, Argentina</v>
      </c>
      <c r="M134" s="20" t="str">
        <f t="array" ref="M134">_xlfn.XLOOKUP(F134,Metodos_De_Pago[ID_Metodo],Metodos_De_Pago[Metodo])</f>
        <v>Tarjeta de Débito</v>
      </c>
      <c r="N134" s="20" t="str">
        <f t="shared" si="2"/>
        <v>2024 04</v>
      </c>
    </row>
    <row r="135" ht="22.5" customHeight="1">
      <c r="A135" s="12">
        <f>IFERROR(__xludf.DUMMYFUNCTION("""COMPUTED_VALUE"""),1926.0)</f>
        <v>1926</v>
      </c>
      <c r="B135" s="13">
        <f>IFERROR(__xludf.DUMMYFUNCTION("""COMPUTED_VALUE"""),45414.0)</f>
        <v>45414</v>
      </c>
      <c r="C135" s="12">
        <f>IFERROR(__xludf.DUMMYFUNCTION("""COMPUTED_VALUE"""),55.0)</f>
        <v>55</v>
      </c>
      <c r="D135" s="12">
        <f>IFERROR(__xludf.DUMMYFUNCTION("""COMPUTED_VALUE"""),33.0)</f>
        <v>33</v>
      </c>
      <c r="E135" s="12">
        <f>IFERROR(__xludf.DUMMYFUNCTION("""COMPUTED_VALUE"""),1.0)</f>
        <v>1</v>
      </c>
      <c r="F135" s="12">
        <f>IFERROR(__xludf.DUMMYFUNCTION("""COMPUTED_VALUE"""),4.0)</f>
        <v>4</v>
      </c>
      <c r="G135" s="15" t="str">
        <f>IFERROR(__xludf.DUMMYFUNCTION("""COMPUTED_VALUE"""),"Completa")</f>
        <v>Completa</v>
      </c>
      <c r="H135" s="16" t="str">
        <f t="array" ref="H135">_xlfn.XLOOKUP(D135,Productos[ID_Producto],Productos[Nombre_Producto])</f>
        <v>Papas chips</v>
      </c>
      <c r="I135" s="17">
        <f t="array" ref="I135">_xlfn.XLOOKUP(D135,Productos[ID_Producto],Productos[Precio_Unitario])</f>
        <v>8.54</v>
      </c>
      <c r="J135" s="17">
        <f t="shared" si="1"/>
        <v>8.54</v>
      </c>
      <c r="K135" s="16" t="str">
        <f t="array" ref="K135">_xlfn.XLOOKUP(C135,Clientes[ID_Cliente],Clientes[Provincia])</f>
        <v>Neuquén</v>
      </c>
      <c r="L135" s="16" t="str">
        <f t="array" ref="L135">CONCATENATE(_xlfn.XLOOKUP(C135,Clientes[ID_Cliente],Clientes[Provincia]),", Argentina")</f>
        <v>Neuquén, Argentina</v>
      </c>
      <c r="M135" s="20" t="str">
        <f t="array" ref="M135">_xlfn.XLOOKUP(F135,Metodos_De_Pago[ID_Metodo],Metodos_De_Pago[Metodo])</f>
        <v>Mercado Pago</v>
      </c>
      <c r="N135" s="20" t="str">
        <f t="shared" si="2"/>
        <v>2024 05</v>
      </c>
    </row>
    <row r="136" ht="22.5" customHeight="1">
      <c r="A136" s="12">
        <f>IFERROR(__xludf.DUMMYFUNCTION("""COMPUTED_VALUE"""),2826.0)</f>
        <v>2826</v>
      </c>
      <c r="B136" s="13">
        <f>IFERROR(__xludf.DUMMYFUNCTION("""COMPUTED_VALUE"""),45414.0)</f>
        <v>45414</v>
      </c>
      <c r="C136" s="12">
        <f>IFERROR(__xludf.DUMMYFUNCTION("""COMPUTED_VALUE"""),323.0)</f>
        <v>323</v>
      </c>
      <c r="D136" s="12">
        <f>IFERROR(__xludf.DUMMYFUNCTION("""COMPUTED_VALUE"""),34.0)</f>
        <v>34</v>
      </c>
      <c r="E136" s="12">
        <f>IFERROR(__xludf.DUMMYFUNCTION("""COMPUTED_VALUE"""),1.0)</f>
        <v>1</v>
      </c>
      <c r="F136" s="12">
        <f>IFERROR(__xludf.DUMMYFUNCTION("""COMPUTED_VALUE"""),5.0)</f>
        <v>5</v>
      </c>
      <c r="G136" s="15" t="str">
        <f>IFERROR(__xludf.DUMMYFUNCTION("""COMPUTED_VALUE"""),"Completa")</f>
        <v>Completa</v>
      </c>
      <c r="H136" s="16" t="str">
        <f t="array" ref="H136">_xlfn.XLOOKUP(D136,Productos[ID_Producto],Productos[Nombre_Producto])</f>
        <v>Maníes</v>
      </c>
      <c r="I136" s="17">
        <f t="array" ref="I136">_xlfn.XLOOKUP(D136,Productos[ID_Producto],Productos[Precio_Unitario])</f>
        <v>5.45</v>
      </c>
      <c r="J136" s="17">
        <f t="shared" si="1"/>
        <v>5.45</v>
      </c>
      <c r="K136" s="16" t="str">
        <f t="array" ref="K136">_xlfn.XLOOKUP(C136,Clientes[ID_Cliente],Clientes[Provincia])</f>
        <v>Córdoba</v>
      </c>
      <c r="L136" s="16" t="str">
        <f t="array" ref="L136">CONCATENATE(_xlfn.XLOOKUP(C136,Clientes[ID_Cliente],Clientes[Provincia]),", Argentina")</f>
        <v>Córdoba, Argentina</v>
      </c>
      <c r="M136" s="20" t="str">
        <f t="array" ref="M136">_xlfn.XLOOKUP(F136,Metodos_De_Pago[ID_Metodo],Metodos_De_Pago[Metodo])</f>
        <v>Transferencia</v>
      </c>
      <c r="N136" s="20" t="str">
        <f t="shared" si="2"/>
        <v>2024 05</v>
      </c>
    </row>
    <row r="137" ht="22.5" customHeight="1">
      <c r="A137" s="12">
        <f>IFERROR(__xludf.DUMMYFUNCTION("""COMPUTED_VALUE"""),2883.0)</f>
        <v>2883</v>
      </c>
      <c r="B137" s="13">
        <f>IFERROR(__xludf.DUMMYFUNCTION("""COMPUTED_VALUE"""),45414.0)</f>
        <v>45414</v>
      </c>
      <c r="C137" s="12">
        <f>IFERROR(__xludf.DUMMYFUNCTION("""COMPUTED_VALUE"""),251.0)</f>
        <v>251</v>
      </c>
      <c r="D137" s="12">
        <f>IFERROR(__xludf.DUMMYFUNCTION("""COMPUTED_VALUE"""),5.0)</f>
        <v>5</v>
      </c>
      <c r="E137" s="12">
        <f>IFERROR(__xludf.DUMMYFUNCTION("""COMPUTED_VALUE"""),1.0)</f>
        <v>1</v>
      </c>
      <c r="F137" s="12">
        <f>IFERROR(__xludf.DUMMYFUNCTION("""COMPUTED_VALUE"""),5.0)</f>
        <v>5</v>
      </c>
      <c r="G137" s="15" t="str">
        <f>IFERROR(__xludf.DUMMYFUNCTION("""COMPUTED_VALUE"""),"Completa")</f>
        <v>Completa</v>
      </c>
      <c r="H137" s="16" t="str">
        <f t="array" ref="H137">_xlfn.XLOOKUP(D137,Productos[ID_Producto],Productos[Nombre_Producto])</f>
        <v>Manteca</v>
      </c>
      <c r="I137" s="17">
        <f t="array" ref="I137">_xlfn.XLOOKUP(D137,Productos[ID_Producto],Productos[Precio_Unitario])</f>
        <v>5.65</v>
      </c>
      <c r="J137" s="17">
        <f t="shared" si="1"/>
        <v>5.65</v>
      </c>
      <c r="K137" s="16" t="str">
        <f t="array" ref="K137">_xlfn.XLOOKUP(C137,Clientes[ID_Cliente],Clientes[Provincia])</f>
        <v>Córdoba</v>
      </c>
      <c r="L137" s="16" t="str">
        <f t="array" ref="L137">CONCATENATE(_xlfn.XLOOKUP(C137,Clientes[ID_Cliente],Clientes[Provincia]),", Argentina")</f>
        <v>Córdoba, Argentina</v>
      </c>
      <c r="M137" s="20" t="str">
        <f t="array" ref="M137">_xlfn.XLOOKUP(F137,Metodos_De_Pago[ID_Metodo],Metodos_De_Pago[Metodo])</f>
        <v>Transferencia</v>
      </c>
      <c r="N137" s="20" t="str">
        <f t="shared" si="2"/>
        <v>2024 05</v>
      </c>
    </row>
    <row r="138" ht="22.5" customHeight="1">
      <c r="A138" s="12">
        <f>IFERROR(__xludf.DUMMYFUNCTION("""COMPUTED_VALUE"""),174.0)</f>
        <v>174</v>
      </c>
      <c r="B138" s="13">
        <f>IFERROR(__xludf.DUMMYFUNCTION("""COMPUTED_VALUE"""),45417.0)</f>
        <v>45417</v>
      </c>
      <c r="C138" s="12">
        <f>IFERROR(__xludf.DUMMYFUNCTION("""COMPUTED_VALUE"""),264.0)</f>
        <v>264</v>
      </c>
      <c r="D138" s="12">
        <f>IFERROR(__xludf.DUMMYFUNCTION("""COMPUTED_VALUE"""),2.0)</f>
        <v>2</v>
      </c>
      <c r="E138" s="12">
        <f>IFERROR(__xludf.DUMMYFUNCTION("""COMPUTED_VALUE"""),1.0)</f>
        <v>1</v>
      </c>
      <c r="F138" s="12">
        <f>IFERROR(__xludf.DUMMYFUNCTION("""COMPUTED_VALUE"""),3.0)</f>
        <v>3</v>
      </c>
      <c r="G138" s="15" t="str">
        <f>IFERROR(__xludf.DUMMYFUNCTION("""COMPUTED_VALUE"""),"Completa")</f>
        <v>Completa</v>
      </c>
      <c r="H138" s="16" t="str">
        <f t="array" ref="H138">_xlfn.XLOOKUP(D138,Productos[ID_Producto],Productos[Nombre_Producto])</f>
        <v>Yogur</v>
      </c>
      <c r="I138" s="17">
        <f t="array" ref="I138">_xlfn.XLOOKUP(D138,Productos[ID_Producto],Productos[Precio_Unitario])</f>
        <v>5.21</v>
      </c>
      <c r="J138" s="17">
        <f t="shared" si="1"/>
        <v>5.21</v>
      </c>
      <c r="K138" s="16" t="str">
        <f t="array" ref="K138">_xlfn.XLOOKUP(C138,Clientes[ID_Cliente],Clientes[Provincia])</f>
        <v>Buenos Aires</v>
      </c>
      <c r="L138" s="16" t="str">
        <f t="array" ref="L138">CONCATENATE(_xlfn.XLOOKUP(C138,Clientes[ID_Cliente],Clientes[Provincia]),", Argentina")</f>
        <v>Buenos Aires, Argentina</v>
      </c>
      <c r="M138" s="20" t="str">
        <f t="array" ref="M138">_xlfn.XLOOKUP(F138,Metodos_De_Pago[ID_Metodo],Metodos_De_Pago[Metodo])</f>
        <v>Tarjeta de Débito</v>
      </c>
      <c r="N138" s="20" t="str">
        <f t="shared" si="2"/>
        <v>2024 05</v>
      </c>
    </row>
    <row r="139" ht="22.5" customHeight="1">
      <c r="A139" s="12">
        <f>IFERROR(__xludf.DUMMYFUNCTION("""COMPUTED_VALUE"""),2544.0)</f>
        <v>2544</v>
      </c>
      <c r="B139" s="13">
        <f>IFERROR(__xludf.DUMMYFUNCTION("""COMPUTED_VALUE"""),45417.0)</f>
        <v>45417</v>
      </c>
      <c r="C139" s="12">
        <f>IFERROR(__xludf.DUMMYFUNCTION("""COMPUTED_VALUE"""),34.0)</f>
        <v>34</v>
      </c>
      <c r="D139" s="12">
        <f>IFERROR(__xludf.DUMMYFUNCTION("""COMPUTED_VALUE"""),30.0)</f>
        <v>30</v>
      </c>
      <c r="E139" s="12">
        <f>IFERROR(__xludf.DUMMYFUNCTION("""COMPUTED_VALUE"""),1.0)</f>
        <v>1</v>
      </c>
      <c r="F139" s="12">
        <f>IFERROR(__xludf.DUMMYFUNCTION("""COMPUTED_VALUE"""),1.0)</f>
        <v>1</v>
      </c>
      <c r="G139" s="15" t="str">
        <f>IFERROR(__xludf.DUMMYFUNCTION("""COMPUTED_VALUE"""),"Completa")</f>
        <v>Completa</v>
      </c>
      <c r="H139" s="16" t="str">
        <f t="array" ref="H139">_xlfn.XLOOKUP(D139,Productos[ID_Producto],Productos[Nombre_Producto])</f>
        <v>Vino tinto</v>
      </c>
      <c r="I139" s="17">
        <f t="array" ref="I139">_xlfn.XLOOKUP(D139,Productos[ID_Producto],Productos[Precio_Unitario])</f>
        <v>13.54</v>
      </c>
      <c r="J139" s="17">
        <f t="shared" si="1"/>
        <v>13.54</v>
      </c>
      <c r="K139" s="16" t="str">
        <f t="array" ref="K139">_xlfn.XLOOKUP(C139,Clientes[ID_Cliente],Clientes[Provincia])</f>
        <v>San Luis</v>
      </c>
      <c r="L139" s="16" t="str">
        <f t="array" ref="L139">CONCATENATE(_xlfn.XLOOKUP(C139,Clientes[ID_Cliente],Clientes[Provincia]),", Argentina")</f>
        <v>San Luis, Argentina</v>
      </c>
      <c r="M139" s="20" t="str">
        <f t="array" ref="M139">_xlfn.XLOOKUP(F139,Metodos_De_Pago[ID_Metodo],Metodos_De_Pago[Metodo])</f>
        <v>Efectivo</v>
      </c>
      <c r="N139" s="20" t="str">
        <f t="shared" si="2"/>
        <v>2024 05</v>
      </c>
    </row>
    <row r="140" ht="22.5" customHeight="1">
      <c r="A140" s="12">
        <f>IFERROR(__xludf.DUMMYFUNCTION("""COMPUTED_VALUE"""),1424.0)</f>
        <v>1424</v>
      </c>
      <c r="B140" s="13">
        <f>IFERROR(__xludf.DUMMYFUNCTION("""COMPUTED_VALUE"""),45418.0)</f>
        <v>45418</v>
      </c>
      <c r="C140" s="12">
        <f>IFERROR(__xludf.DUMMYFUNCTION("""COMPUTED_VALUE"""),174.0)</f>
        <v>174</v>
      </c>
      <c r="D140" s="12">
        <f>IFERROR(__xludf.DUMMYFUNCTION("""COMPUTED_VALUE"""),35.0)</f>
        <v>35</v>
      </c>
      <c r="E140" s="12">
        <f>IFERROR(__xludf.DUMMYFUNCTION("""COMPUTED_VALUE"""),1.0)</f>
        <v>1</v>
      </c>
      <c r="F140" s="12">
        <f>IFERROR(__xludf.DUMMYFUNCTION("""COMPUTED_VALUE"""),5.0)</f>
        <v>5</v>
      </c>
      <c r="G140" s="15" t="str">
        <f>IFERROR(__xludf.DUMMYFUNCTION("""COMPUTED_VALUE"""),"Completa")</f>
        <v>Completa</v>
      </c>
      <c r="H140" s="16" t="str">
        <f t="array" ref="H140">_xlfn.XLOOKUP(D140,Productos[ID_Producto],Productos[Nombre_Producto])</f>
        <v>Arroz</v>
      </c>
      <c r="I140" s="17">
        <f t="array" ref="I140">_xlfn.XLOOKUP(D140,Productos[ID_Producto],Productos[Precio_Unitario])</f>
        <v>4.25</v>
      </c>
      <c r="J140" s="17">
        <f t="shared" si="1"/>
        <v>4.25</v>
      </c>
      <c r="K140" s="16" t="str">
        <f t="array" ref="K140">_xlfn.XLOOKUP(C140,Clientes[ID_Cliente],Clientes[Provincia])</f>
        <v>Neuquén</v>
      </c>
      <c r="L140" s="16" t="str">
        <f t="array" ref="L140">CONCATENATE(_xlfn.XLOOKUP(C140,Clientes[ID_Cliente],Clientes[Provincia]),", Argentina")</f>
        <v>Neuquén, Argentina</v>
      </c>
      <c r="M140" s="20" t="str">
        <f t="array" ref="M140">_xlfn.XLOOKUP(F140,Metodos_De_Pago[ID_Metodo],Metodos_De_Pago[Metodo])</f>
        <v>Transferencia</v>
      </c>
      <c r="N140" s="20" t="str">
        <f t="shared" si="2"/>
        <v>2024 05</v>
      </c>
    </row>
    <row r="141" ht="22.5" customHeight="1">
      <c r="A141" s="12">
        <f>IFERROR(__xludf.DUMMYFUNCTION("""COMPUTED_VALUE"""),1433.0)</f>
        <v>1433</v>
      </c>
      <c r="B141" s="13">
        <f>IFERROR(__xludf.DUMMYFUNCTION("""COMPUTED_VALUE"""),45418.0)</f>
        <v>45418</v>
      </c>
      <c r="C141" s="12">
        <f>IFERROR(__xludf.DUMMYFUNCTION("""COMPUTED_VALUE"""),222.0)</f>
        <v>222</v>
      </c>
      <c r="D141" s="12">
        <f>IFERROR(__xludf.DUMMYFUNCTION("""COMPUTED_VALUE"""),16.0)</f>
        <v>16</v>
      </c>
      <c r="E141" s="12">
        <f>IFERROR(__xludf.DUMMYFUNCTION("""COMPUTED_VALUE"""),1.0)</f>
        <v>1</v>
      </c>
      <c r="F141" s="12">
        <f>IFERROR(__xludf.DUMMYFUNCTION("""COMPUTED_VALUE"""),1.0)</f>
        <v>1</v>
      </c>
      <c r="G141" s="15" t="str">
        <f>IFERROR(__xludf.DUMMYFUNCTION("""COMPUTED_VALUE"""),"Pendiente")</f>
        <v>Pendiente</v>
      </c>
      <c r="H141" s="16" t="str">
        <f t="array" ref="H141">_xlfn.XLOOKUP(D141,Productos[ID_Producto],Productos[Nombre_Producto])</f>
        <v>Tortas</v>
      </c>
      <c r="I141" s="17">
        <f t="array" ref="I141">_xlfn.XLOOKUP(D141,Productos[ID_Producto],Productos[Precio_Unitario])</f>
        <v>15.23</v>
      </c>
      <c r="J141" s="17">
        <f t="shared" si="1"/>
        <v>15.23</v>
      </c>
      <c r="K141" s="16" t="str">
        <f t="array" ref="K141">_xlfn.XLOOKUP(C141,Clientes[ID_Cliente],Clientes[Provincia])</f>
        <v>Córdoba</v>
      </c>
      <c r="L141" s="16" t="str">
        <f t="array" ref="L141">CONCATENATE(_xlfn.XLOOKUP(C141,Clientes[ID_Cliente],Clientes[Provincia]),", Argentina")</f>
        <v>Córdoba, Argentina</v>
      </c>
      <c r="M141" s="20" t="str">
        <f t="array" ref="M141">_xlfn.XLOOKUP(F141,Metodos_De_Pago[ID_Metodo],Metodos_De_Pago[Metodo])</f>
        <v>Efectivo</v>
      </c>
      <c r="N141" s="20" t="str">
        <f t="shared" si="2"/>
        <v>2024 05</v>
      </c>
    </row>
    <row r="142" ht="22.5" customHeight="1">
      <c r="A142" s="12">
        <f>IFERROR(__xludf.DUMMYFUNCTION("""COMPUTED_VALUE"""),2602.0)</f>
        <v>2602</v>
      </c>
      <c r="B142" s="13">
        <f>IFERROR(__xludf.DUMMYFUNCTION("""COMPUTED_VALUE"""),45418.0)</f>
        <v>45418</v>
      </c>
      <c r="C142" s="12">
        <f>IFERROR(__xludf.DUMMYFUNCTION("""COMPUTED_VALUE"""),157.0)</f>
        <v>157</v>
      </c>
      <c r="D142" s="12">
        <f>IFERROR(__xludf.DUMMYFUNCTION("""COMPUTED_VALUE"""),37.0)</f>
        <v>37</v>
      </c>
      <c r="E142" s="12">
        <f>IFERROR(__xludf.DUMMYFUNCTION("""COMPUTED_VALUE"""),1.0)</f>
        <v>1</v>
      </c>
      <c r="F142" s="12">
        <f>IFERROR(__xludf.DUMMYFUNCTION("""COMPUTED_VALUE"""),5.0)</f>
        <v>5</v>
      </c>
      <c r="G142" s="15" t="str">
        <f>IFERROR(__xludf.DUMMYFUNCTION("""COMPUTED_VALUE"""),"Completa")</f>
        <v>Completa</v>
      </c>
      <c r="H142" s="16" t="str">
        <f t="array" ref="H142">_xlfn.XLOOKUP(D142,Productos[ID_Producto],Productos[Nombre_Producto])</f>
        <v>Garbanzos</v>
      </c>
      <c r="I142" s="17">
        <f t="array" ref="I142">_xlfn.XLOOKUP(D142,Productos[ID_Producto],Productos[Precio_Unitario])</f>
        <v>3.65</v>
      </c>
      <c r="J142" s="17">
        <f t="shared" si="1"/>
        <v>3.65</v>
      </c>
      <c r="K142" s="16" t="str">
        <f t="array" ref="K142">_xlfn.XLOOKUP(C142,Clientes[ID_Cliente],Clientes[Provincia])</f>
        <v>Neuquén</v>
      </c>
      <c r="L142" s="16" t="str">
        <f t="array" ref="L142">CONCATENATE(_xlfn.XLOOKUP(C142,Clientes[ID_Cliente],Clientes[Provincia]),", Argentina")</f>
        <v>Neuquén, Argentina</v>
      </c>
      <c r="M142" s="20" t="str">
        <f t="array" ref="M142">_xlfn.XLOOKUP(F142,Metodos_De_Pago[ID_Metodo],Metodos_De_Pago[Metodo])</f>
        <v>Transferencia</v>
      </c>
      <c r="N142" s="20" t="str">
        <f t="shared" si="2"/>
        <v>2024 05</v>
      </c>
    </row>
    <row r="143" ht="22.5" customHeight="1">
      <c r="A143" s="12">
        <f>IFERROR(__xludf.DUMMYFUNCTION("""COMPUTED_VALUE"""),686.0)</f>
        <v>686</v>
      </c>
      <c r="B143" s="13">
        <f>IFERROR(__xludf.DUMMYFUNCTION("""COMPUTED_VALUE"""),45419.0)</f>
        <v>45419</v>
      </c>
      <c r="C143" s="12">
        <f>IFERROR(__xludf.DUMMYFUNCTION("""COMPUTED_VALUE"""),171.0)</f>
        <v>171</v>
      </c>
      <c r="D143" s="12">
        <f>IFERROR(__xludf.DUMMYFUNCTION("""COMPUTED_VALUE"""),16.0)</f>
        <v>16</v>
      </c>
      <c r="E143" s="12">
        <f>IFERROR(__xludf.DUMMYFUNCTION("""COMPUTED_VALUE"""),1.0)</f>
        <v>1</v>
      </c>
      <c r="F143" s="12">
        <f>IFERROR(__xludf.DUMMYFUNCTION("""COMPUTED_VALUE"""),3.0)</f>
        <v>3</v>
      </c>
      <c r="G143" s="15" t="str">
        <f>IFERROR(__xludf.DUMMYFUNCTION("""COMPUTED_VALUE"""),"Completa")</f>
        <v>Completa</v>
      </c>
      <c r="H143" s="16" t="str">
        <f t="array" ref="H143">_xlfn.XLOOKUP(D143,Productos[ID_Producto],Productos[Nombre_Producto])</f>
        <v>Tortas</v>
      </c>
      <c r="I143" s="17">
        <f t="array" ref="I143">_xlfn.XLOOKUP(D143,Productos[ID_Producto],Productos[Precio_Unitario])</f>
        <v>15.23</v>
      </c>
      <c r="J143" s="17">
        <f t="shared" si="1"/>
        <v>15.23</v>
      </c>
      <c r="K143" s="16" t="str">
        <f t="array" ref="K143">_xlfn.XLOOKUP(C143,Clientes[ID_Cliente],Clientes[Provincia])</f>
        <v>San Luis</v>
      </c>
      <c r="L143" s="16" t="str">
        <f t="array" ref="L143">CONCATENATE(_xlfn.XLOOKUP(C143,Clientes[ID_Cliente],Clientes[Provincia]),", Argentina")</f>
        <v>San Luis, Argentina</v>
      </c>
      <c r="M143" s="20" t="str">
        <f t="array" ref="M143">_xlfn.XLOOKUP(F143,Metodos_De_Pago[ID_Metodo],Metodos_De_Pago[Metodo])</f>
        <v>Tarjeta de Débito</v>
      </c>
      <c r="N143" s="20" t="str">
        <f t="shared" si="2"/>
        <v>2024 05</v>
      </c>
    </row>
    <row r="144" ht="22.5" customHeight="1">
      <c r="A144" s="12">
        <f>IFERROR(__xludf.DUMMYFUNCTION("""COMPUTED_VALUE"""),1250.0)</f>
        <v>1250</v>
      </c>
      <c r="B144" s="13">
        <f>IFERROR(__xludf.DUMMYFUNCTION("""COMPUTED_VALUE"""),45419.0)</f>
        <v>45419</v>
      </c>
      <c r="C144" s="12">
        <f>IFERROR(__xludf.DUMMYFUNCTION("""COMPUTED_VALUE"""),234.0)</f>
        <v>234</v>
      </c>
      <c r="D144" s="12">
        <f>IFERROR(__xludf.DUMMYFUNCTION("""COMPUTED_VALUE"""),8.0)</f>
        <v>8</v>
      </c>
      <c r="E144" s="12">
        <f>IFERROR(__xludf.DUMMYFUNCTION("""COMPUTED_VALUE"""),1.0)</f>
        <v>1</v>
      </c>
      <c r="F144" s="12">
        <f>IFERROR(__xludf.DUMMYFUNCTION("""COMPUTED_VALUE"""),2.0)</f>
        <v>2</v>
      </c>
      <c r="G144" s="15" t="str">
        <f>IFERROR(__xludf.DUMMYFUNCTION("""COMPUTED_VALUE"""),"Completa")</f>
        <v>Completa</v>
      </c>
      <c r="H144" s="16" t="str">
        <f t="array" ref="H144">_xlfn.XLOOKUP(D144,Productos[ID_Producto],Productos[Nombre_Producto])</f>
        <v>Milanesa</v>
      </c>
      <c r="I144" s="17">
        <f t="array" ref="I144">_xlfn.XLOOKUP(D144,Productos[ID_Producto],Productos[Precio_Unitario])</f>
        <v>16.21</v>
      </c>
      <c r="J144" s="17">
        <f t="shared" si="1"/>
        <v>16.21</v>
      </c>
      <c r="K144" s="16" t="str">
        <f t="array" ref="K144">_xlfn.XLOOKUP(C144,Clientes[ID_Cliente],Clientes[Provincia])</f>
        <v>Buenos Aires</v>
      </c>
      <c r="L144" s="16" t="str">
        <f t="array" ref="L144">CONCATENATE(_xlfn.XLOOKUP(C144,Clientes[ID_Cliente],Clientes[Provincia]),", Argentina")</f>
        <v>Buenos Aires, Argentina</v>
      </c>
      <c r="M144" s="20" t="str">
        <f t="array" ref="M144">_xlfn.XLOOKUP(F144,Metodos_De_Pago[ID_Metodo],Metodos_De_Pago[Metodo])</f>
        <v>Tarjeta de Crédito</v>
      </c>
      <c r="N144" s="20" t="str">
        <f t="shared" si="2"/>
        <v>2024 05</v>
      </c>
    </row>
    <row r="145" ht="22.5" customHeight="1">
      <c r="A145" s="12">
        <f>IFERROR(__xludf.DUMMYFUNCTION("""COMPUTED_VALUE"""),1648.0)</f>
        <v>1648</v>
      </c>
      <c r="B145" s="13">
        <f>IFERROR(__xludf.DUMMYFUNCTION("""COMPUTED_VALUE"""),45420.0)</f>
        <v>45420</v>
      </c>
      <c r="C145" s="12">
        <f>IFERROR(__xludf.DUMMYFUNCTION("""COMPUTED_VALUE"""),50.0)</f>
        <v>50</v>
      </c>
      <c r="D145" s="12">
        <f>IFERROR(__xludf.DUMMYFUNCTION("""COMPUTED_VALUE"""),31.0)</f>
        <v>31</v>
      </c>
      <c r="E145" s="12">
        <f>IFERROR(__xludf.DUMMYFUNCTION("""COMPUTED_VALUE"""),1.0)</f>
        <v>1</v>
      </c>
      <c r="F145" s="12">
        <f>IFERROR(__xludf.DUMMYFUNCTION("""COMPUTED_VALUE"""),5.0)</f>
        <v>5</v>
      </c>
      <c r="G145" s="15" t="str">
        <f>IFERROR(__xludf.DUMMYFUNCTION("""COMPUTED_VALUE"""),"Completa")</f>
        <v>Completa</v>
      </c>
      <c r="H145" s="16" t="str">
        <f t="array" ref="H145">_xlfn.XLOOKUP(D145,Productos[ID_Producto],Productos[Nombre_Producto])</f>
        <v>Galletitas de agua</v>
      </c>
      <c r="I145" s="17">
        <f t="array" ref="I145">_xlfn.XLOOKUP(D145,Productos[ID_Producto],Productos[Precio_Unitario])</f>
        <v>5.24</v>
      </c>
      <c r="J145" s="17">
        <f t="shared" si="1"/>
        <v>5.24</v>
      </c>
      <c r="K145" s="16" t="str">
        <f t="array" ref="K145">_xlfn.XLOOKUP(C145,Clientes[ID_Cliente],Clientes[Provincia])</f>
        <v>Buenos Aires</v>
      </c>
      <c r="L145" s="16" t="str">
        <f t="array" ref="L145">CONCATENATE(_xlfn.XLOOKUP(C145,Clientes[ID_Cliente],Clientes[Provincia]),", Argentina")</f>
        <v>Buenos Aires, Argentina</v>
      </c>
      <c r="M145" s="20" t="str">
        <f t="array" ref="M145">_xlfn.XLOOKUP(F145,Metodos_De_Pago[ID_Metodo],Metodos_De_Pago[Metodo])</f>
        <v>Transferencia</v>
      </c>
      <c r="N145" s="20" t="str">
        <f t="shared" si="2"/>
        <v>2024 05</v>
      </c>
    </row>
    <row r="146" ht="22.5" customHeight="1">
      <c r="A146" s="12">
        <f>IFERROR(__xludf.DUMMYFUNCTION("""COMPUTED_VALUE"""),303.0)</f>
        <v>303</v>
      </c>
      <c r="B146" s="13">
        <f>IFERROR(__xludf.DUMMYFUNCTION("""COMPUTED_VALUE"""),45422.0)</f>
        <v>45422</v>
      </c>
      <c r="C146" s="12">
        <f>IFERROR(__xludf.DUMMYFUNCTION("""COMPUTED_VALUE"""),216.0)</f>
        <v>216</v>
      </c>
      <c r="D146" s="12">
        <f>IFERROR(__xludf.DUMMYFUNCTION("""COMPUTED_VALUE"""),3.0)</f>
        <v>3</v>
      </c>
      <c r="E146" s="12">
        <f>IFERROR(__xludf.DUMMYFUNCTION("""COMPUTED_VALUE"""),1.0)</f>
        <v>1</v>
      </c>
      <c r="F146" s="12">
        <f>IFERROR(__xludf.DUMMYFUNCTION("""COMPUTED_VALUE"""),4.0)</f>
        <v>4</v>
      </c>
      <c r="G146" s="15" t="str">
        <f>IFERROR(__xludf.DUMMYFUNCTION("""COMPUTED_VALUE"""),"Pendiente")</f>
        <v>Pendiente</v>
      </c>
      <c r="H146" s="16" t="str">
        <f t="array" ref="H146">_xlfn.XLOOKUP(D146,Productos[ID_Producto],Productos[Nombre_Producto])</f>
        <v>Queso cremoso</v>
      </c>
      <c r="I146" s="17">
        <f t="array" ref="I146">_xlfn.XLOOKUP(D146,Productos[ID_Producto],Productos[Precio_Unitario])</f>
        <v>17.23</v>
      </c>
      <c r="J146" s="17">
        <f t="shared" si="1"/>
        <v>17.23</v>
      </c>
      <c r="K146" s="16" t="str">
        <f t="array" ref="K146">_xlfn.XLOOKUP(C146,Clientes[ID_Cliente],Clientes[Provincia])</f>
        <v>Córdoba</v>
      </c>
      <c r="L146" s="16" t="str">
        <f t="array" ref="L146">CONCATENATE(_xlfn.XLOOKUP(C146,Clientes[ID_Cliente],Clientes[Provincia]),", Argentina")</f>
        <v>Córdoba, Argentina</v>
      </c>
      <c r="M146" s="20" t="str">
        <f t="array" ref="M146">_xlfn.XLOOKUP(F146,Metodos_De_Pago[ID_Metodo],Metodos_De_Pago[Metodo])</f>
        <v>Mercado Pago</v>
      </c>
      <c r="N146" s="20" t="str">
        <f t="shared" si="2"/>
        <v>2024 05</v>
      </c>
    </row>
    <row r="147" ht="22.5" customHeight="1">
      <c r="A147" s="12">
        <f>IFERROR(__xludf.DUMMYFUNCTION("""COMPUTED_VALUE"""),778.0)</f>
        <v>778</v>
      </c>
      <c r="B147" s="13">
        <f>IFERROR(__xludf.DUMMYFUNCTION("""COMPUTED_VALUE"""),45422.0)</f>
        <v>45422</v>
      </c>
      <c r="C147" s="12">
        <f>IFERROR(__xludf.DUMMYFUNCTION("""COMPUTED_VALUE"""),46.0)</f>
        <v>46</v>
      </c>
      <c r="D147" s="12">
        <f>IFERROR(__xludf.DUMMYFUNCTION("""COMPUTED_VALUE"""),6.0)</f>
        <v>6</v>
      </c>
      <c r="E147" s="12">
        <f>IFERROR(__xludf.DUMMYFUNCTION("""COMPUTED_VALUE"""),1.0)</f>
        <v>1</v>
      </c>
      <c r="F147" s="12">
        <f>IFERROR(__xludf.DUMMYFUNCTION("""COMPUTED_VALUE"""),4.0)</f>
        <v>4</v>
      </c>
      <c r="G147" s="15" t="str">
        <f>IFERROR(__xludf.DUMMYFUNCTION("""COMPUTED_VALUE"""),"Completa")</f>
        <v>Completa</v>
      </c>
      <c r="H147" s="16" t="str">
        <f t="array" ref="H147">_xlfn.XLOOKUP(D147,Productos[ID_Producto],Productos[Nombre_Producto])</f>
        <v>Asado</v>
      </c>
      <c r="I147" s="17">
        <f t="array" ref="I147">_xlfn.XLOOKUP(D147,Productos[ID_Producto],Productos[Precio_Unitario])</f>
        <v>28.56</v>
      </c>
      <c r="J147" s="17">
        <f t="shared" si="1"/>
        <v>28.56</v>
      </c>
      <c r="K147" s="16" t="str">
        <f t="array" ref="K147">_xlfn.XLOOKUP(C147,Clientes[ID_Cliente],Clientes[Provincia])</f>
        <v>Córdoba</v>
      </c>
      <c r="L147" s="16" t="str">
        <f t="array" ref="L147">CONCATENATE(_xlfn.XLOOKUP(C147,Clientes[ID_Cliente],Clientes[Provincia]),", Argentina")</f>
        <v>Córdoba, Argentina</v>
      </c>
      <c r="M147" s="20" t="str">
        <f t="array" ref="M147">_xlfn.XLOOKUP(F147,Metodos_De_Pago[ID_Metodo],Metodos_De_Pago[Metodo])</f>
        <v>Mercado Pago</v>
      </c>
      <c r="N147" s="20" t="str">
        <f t="shared" si="2"/>
        <v>2024 05</v>
      </c>
    </row>
    <row r="148" ht="22.5" customHeight="1">
      <c r="A148" s="12">
        <f>IFERROR(__xludf.DUMMYFUNCTION("""COMPUTED_VALUE"""),1467.0)</f>
        <v>1467</v>
      </c>
      <c r="B148" s="13">
        <f>IFERROR(__xludf.DUMMYFUNCTION("""COMPUTED_VALUE"""),45422.0)</f>
        <v>45422</v>
      </c>
      <c r="C148" s="12">
        <f>IFERROR(__xludf.DUMMYFUNCTION("""COMPUTED_VALUE"""),59.0)</f>
        <v>59</v>
      </c>
      <c r="D148" s="12">
        <f>IFERROR(__xludf.DUMMYFUNCTION("""COMPUTED_VALUE"""),4.0)</f>
        <v>4</v>
      </c>
      <c r="E148" s="12">
        <f>IFERROR(__xludf.DUMMYFUNCTION("""COMPUTED_VALUE"""),1.0)</f>
        <v>1</v>
      </c>
      <c r="F148" s="12">
        <f>IFERROR(__xludf.DUMMYFUNCTION("""COMPUTED_VALUE"""),1.0)</f>
        <v>1</v>
      </c>
      <c r="G148" s="15" t="str">
        <f>IFERROR(__xludf.DUMMYFUNCTION("""COMPUTED_VALUE"""),"Completa")</f>
        <v>Completa</v>
      </c>
      <c r="H148" s="16" t="str">
        <f t="array" ref="H148">_xlfn.XLOOKUP(D148,Productos[ID_Producto],Productos[Nombre_Producto])</f>
        <v>Queso rallado</v>
      </c>
      <c r="I148" s="17">
        <f t="array" ref="I148">_xlfn.XLOOKUP(D148,Productos[ID_Producto],Productos[Precio_Unitario])</f>
        <v>19.23</v>
      </c>
      <c r="J148" s="17">
        <f t="shared" si="1"/>
        <v>19.23</v>
      </c>
      <c r="K148" s="16" t="str">
        <f t="array" ref="K148">_xlfn.XLOOKUP(C148,Clientes[ID_Cliente],Clientes[Provincia])</f>
        <v>Córdoba</v>
      </c>
      <c r="L148" s="16" t="str">
        <f t="array" ref="L148">CONCATENATE(_xlfn.XLOOKUP(C148,Clientes[ID_Cliente],Clientes[Provincia]),", Argentina")</f>
        <v>Córdoba, Argentina</v>
      </c>
      <c r="M148" s="20" t="str">
        <f t="array" ref="M148">_xlfn.XLOOKUP(F148,Metodos_De_Pago[ID_Metodo],Metodos_De_Pago[Metodo])</f>
        <v>Efectivo</v>
      </c>
      <c r="N148" s="20" t="str">
        <f t="shared" si="2"/>
        <v>2024 05</v>
      </c>
    </row>
    <row r="149" ht="22.5" customHeight="1">
      <c r="A149" s="12">
        <f>IFERROR(__xludf.DUMMYFUNCTION("""COMPUTED_VALUE"""),63.0)</f>
        <v>63</v>
      </c>
      <c r="B149" s="13">
        <f>IFERROR(__xludf.DUMMYFUNCTION("""COMPUTED_VALUE"""),45423.0)</f>
        <v>45423</v>
      </c>
      <c r="C149" s="12">
        <f>IFERROR(__xludf.DUMMYFUNCTION("""COMPUTED_VALUE"""),180.0)</f>
        <v>180</v>
      </c>
      <c r="D149" s="12">
        <f>IFERROR(__xludf.DUMMYFUNCTION("""COMPUTED_VALUE"""),33.0)</f>
        <v>33</v>
      </c>
      <c r="E149" s="12">
        <f>IFERROR(__xludf.DUMMYFUNCTION("""COMPUTED_VALUE"""),1.0)</f>
        <v>1</v>
      </c>
      <c r="F149" s="12">
        <f>IFERROR(__xludf.DUMMYFUNCTION("""COMPUTED_VALUE"""),3.0)</f>
        <v>3</v>
      </c>
      <c r="G149" s="15" t="str">
        <f>IFERROR(__xludf.DUMMYFUNCTION("""COMPUTED_VALUE"""),"Completa")</f>
        <v>Completa</v>
      </c>
      <c r="H149" s="16" t="str">
        <f t="array" ref="H149">_xlfn.XLOOKUP(D149,Productos[ID_Producto],Productos[Nombre_Producto])</f>
        <v>Papas chips</v>
      </c>
      <c r="I149" s="17">
        <f t="array" ref="I149">_xlfn.XLOOKUP(D149,Productos[ID_Producto],Productos[Precio_Unitario])</f>
        <v>8.54</v>
      </c>
      <c r="J149" s="17">
        <f t="shared" si="1"/>
        <v>8.54</v>
      </c>
      <c r="K149" s="16" t="str">
        <f t="array" ref="K149">_xlfn.XLOOKUP(C149,Clientes[ID_Cliente],Clientes[Provincia])</f>
        <v>Buenos Aires</v>
      </c>
      <c r="L149" s="16" t="str">
        <f t="array" ref="L149">CONCATENATE(_xlfn.XLOOKUP(C149,Clientes[ID_Cliente],Clientes[Provincia]),", Argentina")</f>
        <v>Buenos Aires, Argentina</v>
      </c>
      <c r="M149" s="20" t="str">
        <f t="array" ref="M149">_xlfn.XLOOKUP(F149,Metodos_De_Pago[ID_Metodo],Metodos_De_Pago[Metodo])</f>
        <v>Tarjeta de Débito</v>
      </c>
      <c r="N149" s="20" t="str">
        <f t="shared" si="2"/>
        <v>2024 05</v>
      </c>
    </row>
    <row r="150" ht="22.5" customHeight="1">
      <c r="A150" s="12">
        <f>IFERROR(__xludf.DUMMYFUNCTION("""COMPUTED_VALUE"""),857.0)</f>
        <v>857</v>
      </c>
      <c r="B150" s="13">
        <f>IFERROR(__xludf.DUMMYFUNCTION("""COMPUTED_VALUE"""),45423.0)</f>
        <v>45423</v>
      </c>
      <c r="C150" s="12">
        <f>IFERROR(__xludf.DUMMYFUNCTION("""COMPUTED_VALUE"""),325.0)</f>
        <v>325</v>
      </c>
      <c r="D150" s="12">
        <f>IFERROR(__xludf.DUMMYFUNCTION("""COMPUTED_VALUE"""),24.0)</f>
        <v>24</v>
      </c>
      <c r="E150" s="12">
        <f>IFERROR(__xludf.DUMMYFUNCTION("""COMPUTED_VALUE"""),1.0)</f>
        <v>1</v>
      </c>
      <c r="F150" s="12">
        <f>IFERROR(__xludf.DUMMYFUNCTION("""COMPUTED_VALUE"""),1.0)</f>
        <v>1</v>
      </c>
      <c r="G150" s="15" t="str">
        <f>IFERROR(__xludf.DUMMYFUNCTION("""COMPUTED_VALUE"""),"Completa")</f>
        <v>Completa</v>
      </c>
      <c r="H150" s="16" t="str">
        <f t="array" ref="H150">_xlfn.XLOOKUP(D150,Productos[ID_Producto],Productos[Nombre_Producto])</f>
        <v>Empanadas</v>
      </c>
      <c r="I150" s="17">
        <f t="array" ref="I150">_xlfn.XLOOKUP(D150,Productos[ID_Producto],Productos[Precio_Unitario])</f>
        <v>13.54</v>
      </c>
      <c r="J150" s="17">
        <f t="shared" si="1"/>
        <v>13.54</v>
      </c>
      <c r="K150" s="16" t="str">
        <f t="array" ref="K150">_xlfn.XLOOKUP(C150,Clientes[ID_Cliente],Clientes[Provincia])</f>
        <v>Chaco</v>
      </c>
      <c r="L150" s="16" t="str">
        <f t="array" ref="L150">CONCATENATE(_xlfn.XLOOKUP(C150,Clientes[ID_Cliente],Clientes[Provincia]),", Argentina")</f>
        <v>Chaco, Argentina</v>
      </c>
      <c r="M150" s="20" t="str">
        <f t="array" ref="M150">_xlfn.XLOOKUP(F150,Metodos_De_Pago[ID_Metodo],Metodos_De_Pago[Metodo])</f>
        <v>Efectivo</v>
      </c>
      <c r="N150" s="20" t="str">
        <f t="shared" si="2"/>
        <v>2024 05</v>
      </c>
    </row>
    <row r="151" ht="22.5" customHeight="1">
      <c r="A151" s="12">
        <f>IFERROR(__xludf.DUMMYFUNCTION("""COMPUTED_VALUE"""),1140.0)</f>
        <v>1140</v>
      </c>
      <c r="B151" s="13">
        <f>IFERROR(__xludf.DUMMYFUNCTION("""COMPUTED_VALUE"""),45423.0)</f>
        <v>45423</v>
      </c>
      <c r="C151" s="12">
        <f>IFERROR(__xludf.DUMMYFUNCTION("""COMPUTED_VALUE"""),184.0)</f>
        <v>184</v>
      </c>
      <c r="D151" s="12">
        <f>IFERROR(__xludf.DUMMYFUNCTION("""COMPUTED_VALUE"""),23.0)</f>
        <v>23</v>
      </c>
      <c r="E151" s="12">
        <f>IFERROR(__xludf.DUMMYFUNCTION("""COMPUTED_VALUE"""),1.0)</f>
        <v>1</v>
      </c>
      <c r="F151" s="12">
        <f>IFERROR(__xludf.DUMMYFUNCTION("""COMPUTED_VALUE"""),5.0)</f>
        <v>5</v>
      </c>
      <c r="G151" s="15" t="str">
        <f>IFERROR(__xludf.DUMMYFUNCTION("""COMPUTED_VALUE"""),"Pendiente")</f>
        <v>Pendiente</v>
      </c>
      <c r="H151" s="16" t="str">
        <f t="array" ref="H151">_xlfn.XLOOKUP(D151,Productos[ID_Producto],Productos[Nombre_Producto])</f>
        <v>Papas fritas</v>
      </c>
      <c r="I151" s="17">
        <f t="array" ref="I151">_xlfn.XLOOKUP(D151,Productos[ID_Producto],Productos[Precio_Unitario])</f>
        <v>8.23</v>
      </c>
      <c r="J151" s="17">
        <f t="shared" si="1"/>
        <v>8.23</v>
      </c>
      <c r="K151" s="16" t="str">
        <f t="array" ref="K151">_xlfn.XLOOKUP(C151,Clientes[ID_Cliente],Clientes[Provincia])</f>
        <v>Buenos Aires</v>
      </c>
      <c r="L151" s="16" t="str">
        <f t="array" ref="L151">CONCATENATE(_xlfn.XLOOKUP(C151,Clientes[ID_Cliente],Clientes[Provincia]),", Argentina")</f>
        <v>Buenos Aires, Argentina</v>
      </c>
      <c r="M151" s="20" t="str">
        <f t="array" ref="M151">_xlfn.XLOOKUP(F151,Metodos_De_Pago[ID_Metodo],Metodos_De_Pago[Metodo])</f>
        <v>Transferencia</v>
      </c>
      <c r="N151" s="20" t="str">
        <f t="shared" si="2"/>
        <v>2024 05</v>
      </c>
    </row>
    <row r="152" ht="22.5" customHeight="1">
      <c r="A152" s="12">
        <f>IFERROR(__xludf.DUMMYFUNCTION("""COMPUTED_VALUE"""),715.0)</f>
        <v>715</v>
      </c>
      <c r="B152" s="13">
        <f>IFERROR(__xludf.DUMMYFUNCTION("""COMPUTED_VALUE"""),45424.0)</f>
        <v>45424</v>
      </c>
      <c r="C152" s="12">
        <f>IFERROR(__xludf.DUMMYFUNCTION("""COMPUTED_VALUE"""),281.0)</f>
        <v>281</v>
      </c>
      <c r="D152" s="12">
        <f>IFERROR(__xludf.DUMMYFUNCTION("""COMPUTED_VALUE"""),11.0)</f>
        <v>11</v>
      </c>
      <c r="E152" s="12">
        <f>IFERROR(__xludf.DUMMYFUNCTION("""COMPUTED_VALUE"""),1.0)</f>
        <v>1</v>
      </c>
      <c r="F152" s="12">
        <f>IFERROR(__xludf.DUMMYFUNCTION("""COMPUTED_VALUE"""),4.0)</f>
        <v>4</v>
      </c>
      <c r="G152" s="15" t="str">
        <f>IFERROR(__xludf.DUMMYFUNCTION("""COMPUTED_VALUE"""),"Completa")</f>
        <v>Completa</v>
      </c>
      <c r="H152" s="16" t="str">
        <f t="array" ref="H152">_xlfn.XLOOKUP(D152,Productos[ID_Producto],Productos[Nombre_Producto])</f>
        <v>Salchicha</v>
      </c>
      <c r="I152" s="17">
        <f t="array" ref="I152">_xlfn.XLOOKUP(D152,Productos[ID_Producto],Productos[Precio_Unitario])</f>
        <v>11.23</v>
      </c>
      <c r="J152" s="17">
        <f t="shared" si="1"/>
        <v>11.23</v>
      </c>
      <c r="K152" s="16" t="str">
        <f t="array" ref="K152">_xlfn.XLOOKUP(C152,Clientes[ID_Cliente],Clientes[Provincia])</f>
        <v>Buenos Aires</v>
      </c>
      <c r="L152" s="16" t="str">
        <f t="array" ref="L152">CONCATENATE(_xlfn.XLOOKUP(C152,Clientes[ID_Cliente],Clientes[Provincia]),", Argentina")</f>
        <v>Buenos Aires, Argentina</v>
      </c>
      <c r="M152" s="20" t="str">
        <f t="array" ref="M152">_xlfn.XLOOKUP(F152,Metodos_De_Pago[ID_Metodo],Metodos_De_Pago[Metodo])</f>
        <v>Mercado Pago</v>
      </c>
      <c r="N152" s="20" t="str">
        <f t="shared" si="2"/>
        <v>2024 05</v>
      </c>
    </row>
    <row r="153" ht="22.5" customHeight="1">
      <c r="A153" s="12">
        <f>IFERROR(__xludf.DUMMYFUNCTION("""COMPUTED_VALUE"""),2020.0)</f>
        <v>2020</v>
      </c>
      <c r="B153" s="13">
        <f>IFERROR(__xludf.DUMMYFUNCTION("""COMPUTED_VALUE"""),45425.0)</f>
        <v>45425</v>
      </c>
      <c r="C153" s="12">
        <f>IFERROR(__xludf.DUMMYFUNCTION("""COMPUTED_VALUE"""),265.0)</f>
        <v>265</v>
      </c>
      <c r="D153" s="12">
        <f>IFERROR(__xludf.DUMMYFUNCTION("""COMPUTED_VALUE"""),6.0)</f>
        <v>6</v>
      </c>
      <c r="E153" s="12">
        <f>IFERROR(__xludf.DUMMYFUNCTION("""COMPUTED_VALUE"""),1.0)</f>
        <v>1</v>
      </c>
      <c r="F153" s="12">
        <f>IFERROR(__xludf.DUMMYFUNCTION("""COMPUTED_VALUE"""),1.0)</f>
        <v>1</v>
      </c>
      <c r="G153" s="15" t="str">
        <f>IFERROR(__xludf.DUMMYFUNCTION("""COMPUTED_VALUE"""),"Completa")</f>
        <v>Completa</v>
      </c>
      <c r="H153" s="16" t="str">
        <f t="array" ref="H153">_xlfn.XLOOKUP(D153,Productos[ID_Producto],Productos[Nombre_Producto])</f>
        <v>Asado</v>
      </c>
      <c r="I153" s="17">
        <f t="array" ref="I153">_xlfn.XLOOKUP(D153,Productos[ID_Producto],Productos[Precio_Unitario])</f>
        <v>28.56</v>
      </c>
      <c r="J153" s="17">
        <f t="shared" si="1"/>
        <v>28.56</v>
      </c>
      <c r="K153" s="16" t="str">
        <f t="array" ref="K153">_xlfn.XLOOKUP(C153,Clientes[ID_Cliente],Clientes[Provincia])</f>
        <v>Córdoba</v>
      </c>
      <c r="L153" s="16" t="str">
        <f t="array" ref="L153">CONCATENATE(_xlfn.XLOOKUP(C153,Clientes[ID_Cliente],Clientes[Provincia]),", Argentina")</f>
        <v>Córdoba, Argentina</v>
      </c>
      <c r="M153" s="20" t="str">
        <f t="array" ref="M153">_xlfn.XLOOKUP(F153,Metodos_De_Pago[ID_Metodo],Metodos_De_Pago[Metodo])</f>
        <v>Efectivo</v>
      </c>
      <c r="N153" s="20" t="str">
        <f t="shared" si="2"/>
        <v>2024 05</v>
      </c>
    </row>
    <row r="154" ht="22.5" customHeight="1">
      <c r="A154" s="12">
        <f>IFERROR(__xludf.DUMMYFUNCTION("""COMPUTED_VALUE"""),337.0)</f>
        <v>337</v>
      </c>
      <c r="B154" s="13">
        <f>IFERROR(__xludf.DUMMYFUNCTION("""COMPUTED_VALUE"""),45426.0)</f>
        <v>45426</v>
      </c>
      <c r="C154" s="12">
        <f>IFERROR(__xludf.DUMMYFUNCTION("""COMPUTED_VALUE"""),247.0)</f>
        <v>247</v>
      </c>
      <c r="D154" s="12">
        <f>IFERROR(__xludf.DUMMYFUNCTION("""COMPUTED_VALUE"""),28.0)</f>
        <v>28</v>
      </c>
      <c r="E154" s="12">
        <f>IFERROR(__xludf.DUMMYFUNCTION("""COMPUTED_VALUE"""),1.0)</f>
        <v>1</v>
      </c>
      <c r="F154" s="12">
        <f>IFERROR(__xludf.DUMMYFUNCTION("""COMPUTED_VALUE"""),1.0)</f>
        <v>1</v>
      </c>
      <c r="G154" s="15" t="str">
        <f>IFERROR(__xludf.DUMMYFUNCTION("""COMPUTED_VALUE"""),"Completa")</f>
        <v>Completa</v>
      </c>
      <c r="H154" s="16" t="str">
        <f t="array" ref="H154">_xlfn.XLOOKUP(D154,Productos[ID_Producto],Productos[Nombre_Producto])</f>
        <v>Jugos de frutas</v>
      </c>
      <c r="I154" s="17">
        <f t="array" ref="I154">_xlfn.XLOOKUP(D154,Productos[ID_Producto],Productos[Precio_Unitario])</f>
        <v>9.45</v>
      </c>
      <c r="J154" s="17">
        <f t="shared" si="1"/>
        <v>9.45</v>
      </c>
      <c r="K154" s="16" t="str">
        <f t="array" ref="K154">_xlfn.XLOOKUP(C154,Clientes[ID_Cliente],Clientes[Provincia])</f>
        <v>Buenos Aires</v>
      </c>
      <c r="L154" s="16" t="str">
        <f t="array" ref="L154">CONCATENATE(_xlfn.XLOOKUP(C154,Clientes[ID_Cliente],Clientes[Provincia]),", Argentina")</f>
        <v>Buenos Aires, Argentina</v>
      </c>
      <c r="M154" s="20" t="str">
        <f t="array" ref="M154">_xlfn.XLOOKUP(F154,Metodos_De_Pago[ID_Metodo],Metodos_De_Pago[Metodo])</f>
        <v>Efectivo</v>
      </c>
      <c r="N154" s="20" t="str">
        <f t="shared" si="2"/>
        <v>2024 05</v>
      </c>
    </row>
    <row r="155" ht="22.5" customHeight="1">
      <c r="A155" s="12">
        <f>IFERROR(__xludf.DUMMYFUNCTION("""COMPUTED_VALUE"""),744.0)</f>
        <v>744</v>
      </c>
      <c r="B155" s="13">
        <f>IFERROR(__xludf.DUMMYFUNCTION("""COMPUTED_VALUE"""),45426.0)</f>
        <v>45426</v>
      </c>
      <c r="C155" s="12">
        <f>IFERROR(__xludf.DUMMYFUNCTION("""COMPUTED_VALUE"""),326.0)</f>
        <v>326</v>
      </c>
      <c r="D155" s="12">
        <f>IFERROR(__xludf.DUMMYFUNCTION("""COMPUTED_VALUE"""),9.0)</f>
        <v>9</v>
      </c>
      <c r="E155" s="12">
        <f>IFERROR(__xludf.DUMMYFUNCTION("""COMPUTED_VALUE"""),1.0)</f>
        <v>1</v>
      </c>
      <c r="F155" s="12">
        <f>IFERROR(__xludf.DUMMYFUNCTION("""COMPUTED_VALUE"""),5.0)</f>
        <v>5</v>
      </c>
      <c r="G155" s="15" t="str">
        <f>IFERROR(__xludf.DUMMYFUNCTION("""COMPUTED_VALUE"""),"Pendiente")</f>
        <v>Pendiente</v>
      </c>
      <c r="H155" s="16" t="str">
        <f t="array" ref="H155">_xlfn.XLOOKUP(D155,Productos[ID_Producto],Productos[Nombre_Producto])</f>
        <v>Pollo</v>
      </c>
      <c r="I155" s="17">
        <f t="array" ref="I155">_xlfn.XLOOKUP(D155,Productos[ID_Producto],Productos[Precio_Unitario])</f>
        <v>18.56</v>
      </c>
      <c r="J155" s="17">
        <f t="shared" si="1"/>
        <v>18.56</v>
      </c>
      <c r="K155" s="16" t="str">
        <f t="array" ref="K155">_xlfn.XLOOKUP(C155,Clientes[ID_Cliente],Clientes[Provincia])</f>
        <v>San Luis</v>
      </c>
      <c r="L155" s="16" t="str">
        <f t="array" ref="L155">CONCATENATE(_xlfn.XLOOKUP(C155,Clientes[ID_Cliente],Clientes[Provincia]),", Argentina")</f>
        <v>San Luis, Argentina</v>
      </c>
      <c r="M155" s="20" t="str">
        <f t="array" ref="M155">_xlfn.XLOOKUP(F155,Metodos_De_Pago[ID_Metodo],Metodos_De_Pago[Metodo])</f>
        <v>Transferencia</v>
      </c>
      <c r="N155" s="20" t="str">
        <f t="shared" si="2"/>
        <v>2024 05</v>
      </c>
    </row>
    <row r="156" ht="22.5" customHeight="1">
      <c r="A156" s="12">
        <f>IFERROR(__xludf.DUMMYFUNCTION("""COMPUTED_VALUE"""),1691.0)</f>
        <v>1691</v>
      </c>
      <c r="B156" s="13">
        <f>IFERROR(__xludf.DUMMYFUNCTION("""COMPUTED_VALUE"""),45427.0)</f>
        <v>45427</v>
      </c>
      <c r="C156" s="12">
        <f>IFERROR(__xludf.DUMMYFUNCTION("""COMPUTED_VALUE"""),283.0)</f>
        <v>283</v>
      </c>
      <c r="D156" s="12">
        <f>IFERROR(__xludf.DUMMYFUNCTION("""COMPUTED_VALUE"""),9.0)</f>
        <v>9</v>
      </c>
      <c r="E156" s="12">
        <f>IFERROR(__xludf.DUMMYFUNCTION("""COMPUTED_VALUE"""),1.0)</f>
        <v>1</v>
      </c>
      <c r="F156" s="12">
        <f>IFERROR(__xludf.DUMMYFUNCTION("""COMPUTED_VALUE"""),4.0)</f>
        <v>4</v>
      </c>
      <c r="G156" s="15" t="str">
        <f>IFERROR(__xludf.DUMMYFUNCTION("""COMPUTED_VALUE"""),"Completa")</f>
        <v>Completa</v>
      </c>
      <c r="H156" s="16" t="str">
        <f t="array" ref="H156">_xlfn.XLOOKUP(D156,Productos[ID_Producto],Productos[Nombre_Producto])</f>
        <v>Pollo</v>
      </c>
      <c r="I156" s="17">
        <f t="array" ref="I156">_xlfn.XLOOKUP(D156,Productos[ID_Producto],Productos[Precio_Unitario])</f>
        <v>18.56</v>
      </c>
      <c r="J156" s="17">
        <f t="shared" si="1"/>
        <v>18.56</v>
      </c>
      <c r="K156" s="16" t="str">
        <f t="array" ref="K156">_xlfn.XLOOKUP(C156,Clientes[ID_Cliente],Clientes[Provincia])</f>
        <v>Buenos Aires</v>
      </c>
      <c r="L156" s="16" t="str">
        <f t="array" ref="L156">CONCATENATE(_xlfn.XLOOKUP(C156,Clientes[ID_Cliente],Clientes[Provincia]),", Argentina")</f>
        <v>Buenos Aires, Argentina</v>
      </c>
      <c r="M156" s="20" t="str">
        <f t="array" ref="M156">_xlfn.XLOOKUP(F156,Metodos_De_Pago[ID_Metodo],Metodos_De_Pago[Metodo])</f>
        <v>Mercado Pago</v>
      </c>
      <c r="N156" s="20" t="str">
        <f t="shared" si="2"/>
        <v>2024 05</v>
      </c>
    </row>
    <row r="157" ht="22.5" customHeight="1">
      <c r="A157" s="12">
        <f>IFERROR(__xludf.DUMMYFUNCTION("""COMPUTED_VALUE"""),1932.0)</f>
        <v>1932</v>
      </c>
      <c r="B157" s="13">
        <f>IFERROR(__xludf.DUMMYFUNCTION("""COMPUTED_VALUE"""),45427.0)</f>
        <v>45427</v>
      </c>
      <c r="C157" s="12">
        <f>IFERROR(__xludf.DUMMYFUNCTION("""COMPUTED_VALUE"""),146.0)</f>
        <v>146</v>
      </c>
      <c r="D157" s="12">
        <f>IFERROR(__xludf.DUMMYFUNCTION("""COMPUTED_VALUE"""),37.0)</f>
        <v>37</v>
      </c>
      <c r="E157" s="12">
        <f>IFERROR(__xludf.DUMMYFUNCTION("""COMPUTED_VALUE"""),1.0)</f>
        <v>1</v>
      </c>
      <c r="F157" s="12">
        <f>IFERROR(__xludf.DUMMYFUNCTION("""COMPUTED_VALUE"""),5.0)</f>
        <v>5</v>
      </c>
      <c r="G157" s="15" t="str">
        <f>IFERROR(__xludf.DUMMYFUNCTION("""COMPUTED_VALUE"""),"Completa")</f>
        <v>Completa</v>
      </c>
      <c r="H157" s="16" t="str">
        <f t="array" ref="H157">_xlfn.XLOOKUP(D157,Productos[ID_Producto],Productos[Nombre_Producto])</f>
        <v>Garbanzos</v>
      </c>
      <c r="I157" s="17">
        <f t="array" ref="I157">_xlfn.XLOOKUP(D157,Productos[ID_Producto],Productos[Precio_Unitario])</f>
        <v>3.65</v>
      </c>
      <c r="J157" s="17">
        <f t="shared" si="1"/>
        <v>3.65</v>
      </c>
      <c r="K157" s="16" t="str">
        <f t="array" ref="K157">_xlfn.XLOOKUP(C157,Clientes[ID_Cliente],Clientes[Provincia])</f>
        <v>San Luis</v>
      </c>
      <c r="L157" s="16" t="str">
        <f t="array" ref="L157">CONCATENATE(_xlfn.XLOOKUP(C157,Clientes[ID_Cliente],Clientes[Provincia]),", Argentina")</f>
        <v>San Luis, Argentina</v>
      </c>
      <c r="M157" s="20" t="str">
        <f t="array" ref="M157">_xlfn.XLOOKUP(F157,Metodos_De_Pago[ID_Metodo],Metodos_De_Pago[Metodo])</f>
        <v>Transferencia</v>
      </c>
      <c r="N157" s="20" t="str">
        <f t="shared" si="2"/>
        <v>2024 05</v>
      </c>
    </row>
    <row r="158" ht="22.5" customHeight="1">
      <c r="A158" s="12">
        <f>IFERROR(__xludf.DUMMYFUNCTION("""COMPUTED_VALUE"""),728.0)</f>
        <v>728</v>
      </c>
      <c r="B158" s="13">
        <f>IFERROR(__xludf.DUMMYFUNCTION("""COMPUTED_VALUE"""),45428.0)</f>
        <v>45428</v>
      </c>
      <c r="C158" s="12">
        <f>IFERROR(__xludf.DUMMYFUNCTION("""COMPUTED_VALUE"""),193.0)</f>
        <v>193</v>
      </c>
      <c r="D158" s="12">
        <f>IFERROR(__xludf.DUMMYFUNCTION("""COMPUTED_VALUE"""),23.0)</f>
        <v>23</v>
      </c>
      <c r="E158" s="12">
        <f>IFERROR(__xludf.DUMMYFUNCTION("""COMPUTED_VALUE"""),1.0)</f>
        <v>1</v>
      </c>
      <c r="F158" s="12">
        <f>IFERROR(__xludf.DUMMYFUNCTION("""COMPUTED_VALUE"""),3.0)</f>
        <v>3</v>
      </c>
      <c r="G158" s="15" t="str">
        <f>IFERROR(__xludf.DUMMYFUNCTION("""COMPUTED_VALUE"""),"Completa")</f>
        <v>Completa</v>
      </c>
      <c r="H158" s="16" t="str">
        <f t="array" ref="H158">_xlfn.XLOOKUP(D158,Productos[ID_Producto],Productos[Nombre_Producto])</f>
        <v>Papas fritas</v>
      </c>
      <c r="I158" s="17">
        <f t="array" ref="I158">_xlfn.XLOOKUP(D158,Productos[ID_Producto],Productos[Precio_Unitario])</f>
        <v>8.23</v>
      </c>
      <c r="J158" s="17">
        <f t="shared" si="1"/>
        <v>8.23</v>
      </c>
      <c r="K158" s="16" t="str">
        <f t="array" ref="K158">_xlfn.XLOOKUP(C158,Clientes[ID_Cliente],Clientes[Provincia])</f>
        <v>Buenos Aires</v>
      </c>
      <c r="L158" s="16" t="str">
        <f t="array" ref="L158">CONCATENATE(_xlfn.XLOOKUP(C158,Clientes[ID_Cliente],Clientes[Provincia]),", Argentina")</f>
        <v>Buenos Aires, Argentina</v>
      </c>
      <c r="M158" s="20" t="str">
        <f t="array" ref="M158">_xlfn.XLOOKUP(F158,Metodos_De_Pago[ID_Metodo],Metodos_De_Pago[Metodo])</f>
        <v>Tarjeta de Débito</v>
      </c>
      <c r="N158" s="20" t="str">
        <f t="shared" si="2"/>
        <v>2024 05</v>
      </c>
    </row>
    <row r="159" ht="22.5" customHeight="1">
      <c r="A159" s="12">
        <f>IFERROR(__xludf.DUMMYFUNCTION("""COMPUTED_VALUE"""),2921.0)</f>
        <v>2921</v>
      </c>
      <c r="B159" s="13">
        <f>IFERROR(__xludf.DUMMYFUNCTION("""COMPUTED_VALUE"""),45428.0)</f>
        <v>45428</v>
      </c>
      <c r="C159" s="12">
        <f>IFERROR(__xludf.DUMMYFUNCTION("""COMPUTED_VALUE"""),262.0)</f>
        <v>262</v>
      </c>
      <c r="D159" s="12">
        <f>IFERROR(__xludf.DUMMYFUNCTION("""COMPUTED_VALUE"""),2.0)</f>
        <v>2</v>
      </c>
      <c r="E159" s="12">
        <f>IFERROR(__xludf.DUMMYFUNCTION("""COMPUTED_VALUE"""),1.0)</f>
        <v>1</v>
      </c>
      <c r="F159" s="12">
        <f>IFERROR(__xludf.DUMMYFUNCTION("""COMPUTED_VALUE"""),1.0)</f>
        <v>1</v>
      </c>
      <c r="G159" s="15" t="str">
        <f>IFERROR(__xludf.DUMMYFUNCTION("""COMPUTED_VALUE"""),"Pendiente")</f>
        <v>Pendiente</v>
      </c>
      <c r="H159" s="16" t="str">
        <f t="array" ref="H159">_xlfn.XLOOKUP(D159,Productos[ID_Producto],Productos[Nombre_Producto])</f>
        <v>Yogur</v>
      </c>
      <c r="I159" s="17">
        <f t="array" ref="I159">_xlfn.XLOOKUP(D159,Productos[ID_Producto],Productos[Precio_Unitario])</f>
        <v>5.21</v>
      </c>
      <c r="J159" s="17">
        <f t="shared" si="1"/>
        <v>5.21</v>
      </c>
      <c r="K159" s="16" t="str">
        <f t="array" ref="K159">_xlfn.XLOOKUP(C159,Clientes[ID_Cliente],Clientes[Provincia])</f>
        <v>Buenos Aires</v>
      </c>
      <c r="L159" s="16" t="str">
        <f t="array" ref="L159">CONCATENATE(_xlfn.XLOOKUP(C159,Clientes[ID_Cliente],Clientes[Provincia]),", Argentina")</f>
        <v>Buenos Aires, Argentina</v>
      </c>
      <c r="M159" s="20" t="str">
        <f t="array" ref="M159">_xlfn.XLOOKUP(F159,Metodos_De_Pago[ID_Metodo],Metodos_De_Pago[Metodo])</f>
        <v>Efectivo</v>
      </c>
      <c r="N159" s="20" t="str">
        <f t="shared" si="2"/>
        <v>2024 05</v>
      </c>
    </row>
    <row r="160" ht="22.5" customHeight="1">
      <c r="A160" s="12">
        <f>IFERROR(__xludf.DUMMYFUNCTION("""COMPUTED_VALUE"""),1294.0)</f>
        <v>1294</v>
      </c>
      <c r="B160" s="13">
        <f>IFERROR(__xludf.DUMMYFUNCTION("""COMPUTED_VALUE"""),45429.0)</f>
        <v>45429</v>
      </c>
      <c r="C160" s="12">
        <f>IFERROR(__xludf.DUMMYFUNCTION("""COMPUTED_VALUE"""),325.0)</f>
        <v>325</v>
      </c>
      <c r="D160" s="12">
        <f>IFERROR(__xludf.DUMMYFUNCTION("""COMPUTED_VALUE"""),28.0)</f>
        <v>28</v>
      </c>
      <c r="E160" s="12">
        <f>IFERROR(__xludf.DUMMYFUNCTION("""COMPUTED_VALUE"""),1.0)</f>
        <v>1</v>
      </c>
      <c r="F160" s="12">
        <f>IFERROR(__xludf.DUMMYFUNCTION("""COMPUTED_VALUE"""),4.0)</f>
        <v>4</v>
      </c>
      <c r="G160" s="15" t="str">
        <f>IFERROR(__xludf.DUMMYFUNCTION("""COMPUTED_VALUE"""),"Completa")</f>
        <v>Completa</v>
      </c>
      <c r="H160" s="16" t="str">
        <f t="array" ref="H160">_xlfn.XLOOKUP(D160,Productos[ID_Producto],Productos[Nombre_Producto])</f>
        <v>Jugos de frutas</v>
      </c>
      <c r="I160" s="17">
        <f t="array" ref="I160">_xlfn.XLOOKUP(D160,Productos[ID_Producto],Productos[Precio_Unitario])</f>
        <v>9.45</v>
      </c>
      <c r="J160" s="17">
        <f t="shared" si="1"/>
        <v>9.45</v>
      </c>
      <c r="K160" s="16" t="str">
        <f t="array" ref="K160">_xlfn.XLOOKUP(C160,Clientes[ID_Cliente],Clientes[Provincia])</f>
        <v>Chaco</v>
      </c>
      <c r="L160" s="16" t="str">
        <f t="array" ref="L160">CONCATENATE(_xlfn.XLOOKUP(C160,Clientes[ID_Cliente],Clientes[Provincia]),", Argentina")</f>
        <v>Chaco, Argentina</v>
      </c>
      <c r="M160" s="20" t="str">
        <f t="array" ref="M160">_xlfn.XLOOKUP(F160,Metodos_De_Pago[ID_Metodo],Metodos_De_Pago[Metodo])</f>
        <v>Mercado Pago</v>
      </c>
      <c r="N160" s="20" t="str">
        <f t="shared" si="2"/>
        <v>2024 05</v>
      </c>
    </row>
    <row r="161" ht="22.5" customHeight="1">
      <c r="A161" s="12">
        <f>IFERROR(__xludf.DUMMYFUNCTION("""COMPUTED_VALUE"""),2451.0)</f>
        <v>2451</v>
      </c>
      <c r="B161" s="13">
        <f>IFERROR(__xludf.DUMMYFUNCTION("""COMPUTED_VALUE"""),45429.0)</f>
        <v>45429</v>
      </c>
      <c r="C161" s="12">
        <f>IFERROR(__xludf.DUMMYFUNCTION("""COMPUTED_VALUE"""),311.0)</f>
        <v>311</v>
      </c>
      <c r="D161" s="12">
        <f>IFERROR(__xludf.DUMMYFUNCTION("""COMPUTED_VALUE"""),12.0)</f>
        <v>12</v>
      </c>
      <c r="E161" s="12">
        <f>IFERROR(__xludf.DUMMYFUNCTION("""COMPUTED_VALUE"""),1.0)</f>
        <v>1</v>
      </c>
      <c r="F161" s="12">
        <f>IFERROR(__xludf.DUMMYFUNCTION("""COMPUTED_VALUE"""),3.0)</f>
        <v>3</v>
      </c>
      <c r="G161" s="15" t="str">
        <f>IFERROR(__xludf.DUMMYFUNCTION("""COMPUTED_VALUE"""),"Completa")</f>
        <v>Completa</v>
      </c>
      <c r="H161" s="16" t="str">
        <f t="array" ref="H161">_xlfn.XLOOKUP(D161,Productos[ID_Producto],Productos[Nombre_Producto])</f>
        <v>Pan francés</v>
      </c>
      <c r="I161" s="17">
        <f t="array" ref="I161">_xlfn.XLOOKUP(D161,Productos[ID_Producto],Productos[Precio_Unitario])</f>
        <v>8.12</v>
      </c>
      <c r="J161" s="17">
        <f t="shared" si="1"/>
        <v>8.12</v>
      </c>
      <c r="K161" s="16" t="str">
        <f t="array" ref="K161">_xlfn.XLOOKUP(C161,Clientes[ID_Cliente],Clientes[Provincia])</f>
        <v>Buenos Aires</v>
      </c>
      <c r="L161" s="16" t="str">
        <f t="array" ref="L161">CONCATENATE(_xlfn.XLOOKUP(C161,Clientes[ID_Cliente],Clientes[Provincia]),", Argentina")</f>
        <v>Buenos Aires, Argentina</v>
      </c>
      <c r="M161" s="20" t="str">
        <f t="array" ref="M161">_xlfn.XLOOKUP(F161,Metodos_De_Pago[ID_Metodo],Metodos_De_Pago[Metodo])</f>
        <v>Tarjeta de Débito</v>
      </c>
      <c r="N161" s="20" t="str">
        <f t="shared" si="2"/>
        <v>2024 05</v>
      </c>
    </row>
    <row r="162" ht="22.5" customHeight="1">
      <c r="A162" s="12">
        <f>IFERROR(__xludf.DUMMYFUNCTION("""COMPUTED_VALUE"""),1905.0)</f>
        <v>1905</v>
      </c>
      <c r="B162" s="13">
        <f>IFERROR(__xludf.DUMMYFUNCTION("""COMPUTED_VALUE"""),45430.0)</f>
        <v>45430</v>
      </c>
      <c r="C162" s="12">
        <f>IFERROR(__xludf.DUMMYFUNCTION("""COMPUTED_VALUE"""),275.0)</f>
        <v>275</v>
      </c>
      <c r="D162" s="12">
        <f>IFERROR(__xludf.DUMMYFUNCTION("""COMPUTED_VALUE"""),16.0)</f>
        <v>16</v>
      </c>
      <c r="E162" s="12">
        <f>IFERROR(__xludf.DUMMYFUNCTION("""COMPUTED_VALUE"""),1.0)</f>
        <v>1</v>
      </c>
      <c r="F162" s="12">
        <f>IFERROR(__xludf.DUMMYFUNCTION("""COMPUTED_VALUE"""),1.0)</f>
        <v>1</v>
      </c>
      <c r="G162" s="15" t="str">
        <f>IFERROR(__xludf.DUMMYFUNCTION("""COMPUTED_VALUE"""),"Completa")</f>
        <v>Completa</v>
      </c>
      <c r="H162" s="16" t="str">
        <f t="array" ref="H162">_xlfn.XLOOKUP(D162,Productos[ID_Producto],Productos[Nombre_Producto])</f>
        <v>Tortas</v>
      </c>
      <c r="I162" s="17">
        <f t="array" ref="I162">_xlfn.XLOOKUP(D162,Productos[ID_Producto],Productos[Precio_Unitario])</f>
        <v>15.23</v>
      </c>
      <c r="J162" s="17">
        <f t="shared" si="1"/>
        <v>15.23</v>
      </c>
      <c r="K162" s="16" t="str">
        <f t="array" ref="K162">_xlfn.XLOOKUP(C162,Clientes[ID_Cliente],Clientes[Provincia])</f>
        <v>Buenos Aires</v>
      </c>
      <c r="L162" s="16" t="str">
        <f t="array" ref="L162">CONCATENATE(_xlfn.XLOOKUP(C162,Clientes[ID_Cliente],Clientes[Provincia]),", Argentina")</f>
        <v>Buenos Aires, Argentina</v>
      </c>
      <c r="M162" s="20" t="str">
        <f t="array" ref="M162">_xlfn.XLOOKUP(F162,Metodos_De_Pago[ID_Metodo],Metodos_De_Pago[Metodo])</f>
        <v>Efectivo</v>
      </c>
      <c r="N162" s="20" t="str">
        <f t="shared" si="2"/>
        <v>2024 05</v>
      </c>
    </row>
    <row r="163" ht="22.5" customHeight="1">
      <c r="A163" s="12">
        <f>IFERROR(__xludf.DUMMYFUNCTION("""COMPUTED_VALUE"""),263.0)</f>
        <v>263</v>
      </c>
      <c r="B163" s="13">
        <f>IFERROR(__xludf.DUMMYFUNCTION("""COMPUTED_VALUE"""),45431.0)</f>
        <v>45431</v>
      </c>
      <c r="C163" s="12">
        <f>IFERROR(__xludf.DUMMYFUNCTION("""COMPUTED_VALUE"""),130.0)</f>
        <v>130</v>
      </c>
      <c r="D163" s="12">
        <f>IFERROR(__xludf.DUMMYFUNCTION("""COMPUTED_VALUE"""),2.0)</f>
        <v>2</v>
      </c>
      <c r="E163" s="12">
        <f>IFERROR(__xludf.DUMMYFUNCTION("""COMPUTED_VALUE"""),1.0)</f>
        <v>1</v>
      </c>
      <c r="F163" s="12">
        <f>IFERROR(__xludf.DUMMYFUNCTION("""COMPUTED_VALUE"""),3.0)</f>
        <v>3</v>
      </c>
      <c r="G163" s="15" t="str">
        <f>IFERROR(__xludf.DUMMYFUNCTION("""COMPUTED_VALUE"""),"Completa")</f>
        <v>Completa</v>
      </c>
      <c r="H163" s="16" t="str">
        <f t="array" ref="H163">_xlfn.XLOOKUP(D163,Productos[ID_Producto],Productos[Nombre_Producto])</f>
        <v>Yogur</v>
      </c>
      <c r="I163" s="17">
        <f t="array" ref="I163">_xlfn.XLOOKUP(D163,Productos[ID_Producto],Productos[Precio_Unitario])</f>
        <v>5.21</v>
      </c>
      <c r="J163" s="17">
        <f t="shared" si="1"/>
        <v>5.21</v>
      </c>
      <c r="K163" s="16" t="str">
        <f t="array" ref="K163">_xlfn.XLOOKUP(C163,Clientes[ID_Cliente],Clientes[Provincia])</f>
        <v>Buenos Aires</v>
      </c>
      <c r="L163" s="16" t="str">
        <f t="array" ref="L163">CONCATENATE(_xlfn.XLOOKUP(C163,Clientes[ID_Cliente],Clientes[Provincia]),", Argentina")</f>
        <v>Buenos Aires, Argentina</v>
      </c>
      <c r="M163" s="20" t="str">
        <f t="array" ref="M163">_xlfn.XLOOKUP(F163,Metodos_De_Pago[ID_Metodo],Metodos_De_Pago[Metodo])</f>
        <v>Tarjeta de Débito</v>
      </c>
      <c r="N163" s="20" t="str">
        <f t="shared" si="2"/>
        <v>2024 05</v>
      </c>
    </row>
    <row r="164" ht="22.5" customHeight="1">
      <c r="A164" s="12">
        <f>IFERROR(__xludf.DUMMYFUNCTION("""COMPUTED_VALUE"""),542.0)</f>
        <v>542</v>
      </c>
      <c r="B164" s="13">
        <f>IFERROR(__xludf.DUMMYFUNCTION("""COMPUTED_VALUE"""),45431.0)</f>
        <v>45431</v>
      </c>
      <c r="C164" s="12">
        <f>IFERROR(__xludf.DUMMYFUNCTION("""COMPUTED_VALUE"""),64.0)</f>
        <v>64</v>
      </c>
      <c r="D164" s="12">
        <f>IFERROR(__xludf.DUMMYFUNCTION("""COMPUTED_VALUE"""),15.0)</f>
        <v>15</v>
      </c>
      <c r="E164" s="12">
        <f>IFERROR(__xludf.DUMMYFUNCTION("""COMPUTED_VALUE"""),1.0)</f>
        <v>1</v>
      </c>
      <c r="F164" s="12">
        <f>IFERROR(__xludf.DUMMYFUNCTION("""COMPUTED_VALUE"""),3.0)</f>
        <v>3</v>
      </c>
      <c r="G164" s="15" t="str">
        <f>IFERROR(__xludf.DUMMYFUNCTION("""COMPUTED_VALUE"""),"Completa")</f>
        <v>Completa</v>
      </c>
      <c r="H164" s="16" t="str">
        <f t="array" ref="H164">_xlfn.XLOOKUP(D164,Productos[ID_Producto],Productos[Nombre_Producto])</f>
        <v>Medialunas</v>
      </c>
      <c r="I164" s="17">
        <f t="array" ref="I164">_xlfn.XLOOKUP(D164,Productos[ID_Producto],Productos[Precio_Unitario])</f>
        <v>3.51</v>
      </c>
      <c r="J164" s="17">
        <f t="shared" si="1"/>
        <v>3.51</v>
      </c>
      <c r="K164" s="16" t="str">
        <f t="array" ref="K164">_xlfn.XLOOKUP(C164,Clientes[ID_Cliente],Clientes[Provincia])</f>
        <v>Chaco</v>
      </c>
      <c r="L164" s="16" t="str">
        <f t="array" ref="L164">CONCATENATE(_xlfn.XLOOKUP(C164,Clientes[ID_Cliente],Clientes[Provincia]),", Argentina")</f>
        <v>Chaco, Argentina</v>
      </c>
      <c r="M164" s="20" t="str">
        <f t="array" ref="M164">_xlfn.XLOOKUP(F164,Metodos_De_Pago[ID_Metodo],Metodos_De_Pago[Metodo])</f>
        <v>Tarjeta de Débito</v>
      </c>
      <c r="N164" s="20" t="str">
        <f t="shared" si="2"/>
        <v>2024 05</v>
      </c>
    </row>
    <row r="165" ht="22.5" customHeight="1">
      <c r="A165" s="12">
        <f>IFERROR(__xludf.DUMMYFUNCTION("""COMPUTED_VALUE"""),1239.0)</f>
        <v>1239</v>
      </c>
      <c r="B165" s="13">
        <f>IFERROR(__xludf.DUMMYFUNCTION("""COMPUTED_VALUE"""),45431.0)</f>
        <v>45431</v>
      </c>
      <c r="C165" s="12">
        <f>IFERROR(__xludf.DUMMYFUNCTION("""COMPUTED_VALUE"""),254.0)</f>
        <v>254</v>
      </c>
      <c r="D165" s="12">
        <f>IFERROR(__xludf.DUMMYFUNCTION("""COMPUTED_VALUE"""),34.0)</f>
        <v>34</v>
      </c>
      <c r="E165" s="12">
        <f>IFERROR(__xludf.DUMMYFUNCTION("""COMPUTED_VALUE"""),1.0)</f>
        <v>1</v>
      </c>
      <c r="F165" s="12">
        <f>IFERROR(__xludf.DUMMYFUNCTION("""COMPUTED_VALUE"""),1.0)</f>
        <v>1</v>
      </c>
      <c r="G165" s="15" t="str">
        <f>IFERROR(__xludf.DUMMYFUNCTION("""COMPUTED_VALUE"""),"Completa")</f>
        <v>Completa</v>
      </c>
      <c r="H165" s="16" t="str">
        <f t="array" ref="H165">_xlfn.XLOOKUP(D165,Productos[ID_Producto],Productos[Nombre_Producto])</f>
        <v>Maníes</v>
      </c>
      <c r="I165" s="17">
        <f t="array" ref="I165">_xlfn.XLOOKUP(D165,Productos[ID_Producto],Productos[Precio_Unitario])</f>
        <v>5.45</v>
      </c>
      <c r="J165" s="17">
        <f t="shared" si="1"/>
        <v>5.45</v>
      </c>
      <c r="K165" s="16" t="str">
        <f t="array" ref="K165">_xlfn.XLOOKUP(C165,Clientes[ID_Cliente],Clientes[Provincia])</f>
        <v>Neuquén</v>
      </c>
      <c r="L165" s="16" t="str">
        <f t="array" ref="L165">CONCATENATE(_xlfn.XLOOKUP(C165,Clientes[ID_Cliente],Clientes[Provincia]),", Argentina")</f>
        <v>Neuquén, Argentina</v>
      </c>
      <c r="M165" s="20" t="str">
        <f t="array" ref="M165">_xlfn.XLOOKUP(F165,Metodos_De_Pago[ID_Metodo],Metodos_De_Pago[Metodo])</f>
        <v>Efectivo</v>
      </c>
      <c r="N165" s="20" t="str">
        <f t="shared" si="2"/>
        <v>2024 05</v>
      </c>
    </row>
    <row r="166" ht="22.5" customHeight="1">
      <c r="A166" s="12">
        <f>IFERROR(__xludf.DUMMYFUNCTION("""COMPUTED_VALUE"""),1974.0)</f>
        <v>1974</v>
      </c>
      <c r="B166" s="13">
        <f>IFERROR(__xludf.DUMMYFUNCTION("""COMPUTED_VALUE"""),45431.0)</f>
        <v>45431</v>
      </c>
      <c r="C166" s="12">
        <f>IFERROR(__xludf.DUMMYFUNCTION("""COMPUTED_VALUE"""),99.0)</f>
        <v>99</v>
      </c>
      <c r="D166" s="12">
        <f>IFERROR(__xludf.DUMMYFUNCTION("""COMPUTED_VALUE"""),17.0)</f>
        <v>17</v>
      </c>
      <c r="E166" s="12">
        <f>IFERROR(__xludf.DUMMYFUNCTION("""COMPUTED_VALUE"""),1.0)</f>
        <v>1</v>
      </c>
      <c r="F166" s="12">
        <f>IFERROR(__xludf.DUMMYFUNCTION("""COMPUTED_VALUE"""),4.0)</f>
        <v>4</v>
      </c>
      <c r="G166" s="15" t="str">
        <f>IFERROR(__xludf.DUMMYFUNCTION("""COMPUTED_VALUE"""),"Completa")</f>
        <v>Completa</v>
      </c>
      <c r="H166" s="16" t="str">
        <f t="array" ref="H166">_xlfn.XLOOKUP(D166,Productos[ID_Producto],Productos[Nombre_Producto])</f>
        <v>Manzanas</v>
      </c>
      <c r="I166" s="17">
        <f t="array" ref="I166">_xlfn.XLOOKUP(D166,Productos[ID_Producto],Productos[Precio_Unitario])</f>
        <v>6.54</v>
      </c>
      <c r="J166" s="17">
        <f t="shared" si="1"/>
        <v>6.54</v>
      </c>
      <c r="K166" s="16" t="str">
        <f t="array" ref="K166">_xlfn.XLOOKUP(C166,Clientes[ID_Cliente],Clientes[Provincia])</f>
        <v>Buenos Aires</v>
      </c>
      <c r="L166" s="16" t="str">
        <f t="array" ref="L166">CONCATENATE(_xlfn.XLOOKUP(C166,Clientes[ID_Cliente],Clientes[Provincia]),", Argentina")</f>
        <v>Buenos Aires, Argentina</v>
      </c>
      <c r="M166" s="20" t="str">
        <f t="array" ref="M166">_xlfn.XLOOKUP(F166,Metodos_De_Pago[ID_Metodo],Metodos_De_Pago[Metodo])</f>
        <v>Mercado Pago</v>
      </c>
      <c r="N166" s="20" t="str">
        <f t="shared" si="2"/>
        <v>2024 05</v>
      </c>
    </row>
    <row r="167" ht="22.5" customHeight="1">
      <c r="A167" s="12">
        <f>IFERROR(__xludf.DUMMYFUNCTION("""COMPUTED_VALUE"""),2232.0)</f>
        <v>2232</v>
      </c>
      <c r="B167" s="13">
        <f>IFERROR(__xludf.DUMMYFUNCTION("""COMPUTED_VALUE"""),45431.0)</f>
        <v>45431</v>
      </c>
      <c r="C167" s="12">
        <f>IFERROR(__xludf.DUMMYFUNCTION("""COMPUTED_VALUE"""),64.0)</f>
        <v>64</v>
      </c>
      <c r="D167" s="12">
        <f>IFERROR(__xludf.DUMMYFUNCTION("""COMPUTED_VALUE"""),20.0)</f>
        <v>20</v>
      </c>
      <c r="E167" s="12">
        <f>IFERROR(__xludf.DUMMYFUNCTION("""COMPUTED_VALUE"""),1.0)</f>
        <v>1</v>
      </c>
      <c r="F167" s="12">
        <f>IFERROR(__xludf.DUMMYFUNCTION("""COMPUTED_VALUE"""),1.0)</f>
        <v>1</v>
      </c>
      <c r="G167" s="15" t="str">
        <f>IFERROR(__xludf.DUMMYFUNCTION("""COMPUTED_VALUE"""),"Completa")</f>
        <v>Completa</v>
      </c>
      <c r="H167" s="16" t="str">
        <f t="array" ref="H167">_xlfn.XLOOKUP(D167,Productos[ID_Producto],Productos[Nombre_Producto])</f>
        <v>Lechugas</v>
      </c>
      <c r="I167" s="17">
        <f t="array" ref="I167">_xlfn.XLOOKUP(D167,Productos[ID_Producto],Productos[Precio_Unitario])</f>
        <v>4.25</v>
      </c>
      <c r="J167" s="17">
        <f t="shared" si="1"/>
        <v>4.25</v>
      </c>
      <c r="K167" s="16" t="str">
        <f t="array" ref="K167">_xlfn.XLOOKUP(C167,Clientes[ID_Cliente],Clientes[Provincia])</f>
        <v>Chaco</v>
      </c>
      <c r="L167" s="16" t="str">
        <f t="array" ref="L167">CONCATENATE(_xlfn.XLOOKUP(C167,Clientes[ID_Cliente],Clientes[Provincia]),", Argentina")</f>
        <v>Chaco, Argentina</v>
      </c>
      <c r="M167" s="20" t="str">
        <f t="array" ref="M167">_xlfn.XLOOKUP(F167,Metodos_De_Pago[ID_Metodo],Metodos_De_Pago[Metodo])</f>
        <v>Efectivo</v>
      </c>
      <c r="N167" s="20" t="str">
        <f t="shared" si="2"/>
        <v>2024 05</v>
      </c>
    </row>
    <row r="168" ht="22.5" customHeight="1">
      <c r="A168" s="12">
        <f>IFERROR(__xludf.DUMMYFUNCTION("""COMPUTED_VALUE"""),461.0)</f>
        <v>461</v>
      </c>
      <c r="B168" s="13">
        <f>IFERROR(__xludf.DUMMYFUNCTION("""COMPUTED_VALUE"""),45432.0)</f>
        <v>45432</v>
      </c>
      <c r="C168" s="12">
        <f>IFERROR(__xludf.DUMMYFUNCTION("""COMPUTED_VALUE"""),185.0)</f>
        <v>185</v>
      </c>
      <c r="D168" s="12">
        <f>IFERROR(__xludf.DUMMYFUNCTION("""COMPUTED_VALUE"""),16.0)</f>
        <v>16</v>
      </c>
      <c r="E168" s="12">
        <f>IFERROR(__xludf.DUMMYFUNCTION("""COMPUTED_VALUE"""),1.0)</f>
        <v>1</v>
      </c>
      <c r="F168" s="12">
        <f>IFERROR(__xludf.DUMMYFUNCTION("""COMPUTED_VALUE"""),5.0)</f>
        <v>5</v>
      </c>
      <c r="G168" s="15" t="str">
        <f>IFERROR(__xludf.DUMMYFUNCTION("""COMPUTED_VALUE"""),"Completa")</f>
        <v>Completa</v>
      </c>
      <c r="H168" s="16" t="str">
        <f t="array" ref="H168">_xlfn.XLOOKUP(D168,Productos[ID_Producto],Productos[Nombre_Producto])</f>
        <v>Tortas</v>
      </c>
      <c r="I168" s="17">
        <f t="array" ref="I168">_xlfn.XLOOKUP(D168,Productos[ID_Producto],Productos[Precio_Unitario])</f>
        <v>15.23</v>
      </c>
      <c r="J168" s="17">
        <f t="shared" si="1"/>
        <v>15.23</v>
      </c>
      <c r="K168" s="16" t="str">
        <f t="array" ref="K168">_xlfn.XLOOKUP(C168,Clientes[ID_Cliente],Clientes[Provincia])</f>
        <v>Córdoba</v>
      </c>
      <c r="L168" s="16" t="str">
        <f t="array" ref="L168">CONCATENATE(_xlfn.XLOOKUP(C168,Clientes[ID_Cliente],Clientes[Provincia]),", Argentina")</f>
        <v>Córdoba, Argentina</v>
      </c>
      <c r="M168" s="20" t="str">
        <f t="array" ref="M168">_xlfn.XLOOKUP(F168,Metodos_De_Pago[ID_Metodo],Metodos_De_Pago[Metodo])</f>
        <v>Transferencia</v>
      </c>
      <c r="N168" s="20" t="str">
        <f t="shared" si="2"/>
        <v>2024 05</v>
      </c>
    </row>
    <row r="169" ht="22.5" customHeight="1">
      <c r="A169" s="12">
        <f>IFERROR(__xludf.DUMMYFUNCTION("""COMPUTED_VALUE"""),824.0)</f>
        <v>824</v>
      </c>
      <c r="B169" s="13">
        <f>IFERROR(__xludf.DUMMYFUNCTION("""COMPUTED_VALUE"""),45432.0)</f>
        <v>45432</v>
      </c>
      <c r="C169" s="12">
        <f>IFERROR(__xludf.DUMMYFUNCTION("""COMPUTED_VALUE"""),292.0)</f>
        <v>292</v>
      </c>
      <c r="D169" s="12">
        <f>IFERROR(__xludf.DUMMYFUNCTION("""COMPUTED_VALUE"""),38.0)</f>
        <v>38</v>
      </c>
      <c r="E169" s="12">
        <f>IFERROR(__xludf.DUMMYFUNCTION("""COMPUTED_VALUE"""),1.0)</f>
        <v>1</v>
      </c>
      <c r="F169" s="12">
        <f>IFERROR(__xludf.DUMMYFUNCTION("""COMPUTED_VALUE"""),1.0)</f>
        <v>1</v>
      </c>
      <c r="G169" s="15" t="str">
        <f>IFERROR(__xludf.DUMMYFUNCTION("""COMPUTED_VALUE"""),"Pendiente")</f>
        <v>Pendiente</v>
      </c>
      <c r="H169" s="16" t="str">
        <f t="array" ref="H169">_xlfn.XLOOKUP(D169,Productos[ID_Producto],Productos[Nombre_Producto])</f>
        <v>Atún enlatado</v>
      </c>
      <c r="I169" s="17">
        <f t="array" ref="I169">_xlfn.XLOOKUP(D169,Productos[ID_Producto],Productos[Precio_Unitario])</f>
        <v>6.21</v>
      </c>
      <c r="J169" s="17">
        <f t="shared" si="1"/>
        <v>6.21</v>
      </c>
      <c r="K169" s="16" t="str">
        <f t="array" ref="K169">_xlfn.XLOOKUP(C169,Clientes[ID_Cliente],Clientes[Provincia])</f>
        <v>Neuquén</v>
      </c>
      <c r="L169" s="16" t="str">
        <f t="array" ref="L169">CONCATENATE(_xlfn.XLOOKUP(C169,Clientes[ID_Cliente],Clientes[Provincia]),", Argentina")</f>
        <v>Neuquén, Argentina</v>
      </c>
      <c r="M169" s="20" t="str">
        <f t="array" ref="M169">_xlfn.XLOOKUP(F169,Metodos_De_Pago[ID_Metodo],Metodos_De_Pago[Metodo])</f>
        <v>Efectivo</v>
      </c>
      <c r="N169" s="20" t="str">
        <f t="shared" si="2"/>
        <v>2024 05</v>
      </c>
    </row>
    <row r="170" ht="22.5" customHeight="1">
      <c r="A170" s="12">
        <f>IFERROR(__xludf.DUMMYFUNCTION("""COMPUTED_VALUE"""),1587.0)</f>
        <v>1587</v>
      </c>
      <c r="B170" s="13">
        <f>IFERROR(__xludf.DUMMYFUNCTION("""COMPUTED_VALUE"""),45432.0)</f>
        <v>45432</v>
      </c>
      <c r="C170" s="12">
        <f>IFERROR(__xludf.DUMMYFUNCTION("""COMPUTED_VALUE"""),153.0)</f>
        <v>153</v>
      </c>
      <c r="D170" s="12">
        <f>IFERROR(__xludf.DUMMYFUNCTION("""COMPUTED_VALUE"""),31.0)</f>
        <v>31</v>
      </c>
      <c r="E170" s="12">
        <f>IFERROR(__xludf.DUMMYFUNCTION("""COMPUTED_VALUE"""),1.0)</f>
        <v>1</v>
      </c>
      <c r="F170" s="12">
        <f>IFERROR(__xludf.DUMMYFUNCTION("""COMPUTED_VALUE"""),4.0)</f>
        <v>4</v>
      </c>
      <c r="G170" s="15" t="str">
        <f>IFERROR(__xludf.DUMMYFUNCTION("""COMPUTED_VALUE"""),"Completa")</f>
        <v>Completa</v>
      </c>
      <c r="H170" s="16" t="str">
        <f t="array" ref="H170">_xlfn.XLOOKUP(D170,Productos[ID_Producto],Productos[Nombre_Producto])</f>
        <v>Galletitas de agua</v>
      </c>
      <c r="I170" s="17">
        <f t="array" ref="I170">_xlfn.XLOOKUP(D170,Productos[ID_Producto],Productos[Precio_Unitario])</f>
        <v>5.24</v>
      </c>
      <c r="J170" s="17">
        <f t="shared" si="1"/>
        <v>5.24</v>
      </c>
      <c r="K170" s="16" t="str">
        <f t="array" ref="K170">_xlfn.XLOOKUP(C170,Clientes[ID_Cliente],Clientes[Provincia])</f>
        <v>San Luis</v>
      </c>
      <c r="L170" s="16" t="str">
        <f t="array" ref="L170">CONCATENATE(_xlfn.XLOOKUP(C170,Clientes[ID_Cliente],Clientes[Provincia]),", Argentina")</f>
        <v>San Luis, Argentina</v>
      </c>
      <c r="M170" s="20" t="str">
        <f t="array" ref="M170">_xlfn.XLOOKUP(F170,Metodos_De_Pago[ID_Metodo],Metodos_De_Pago[Metodo])</f>
        <v>Mercado Pago</v>
      </c>
      <c r="N170" s="20" t="str">
        <f t="shared" si="2"/>
        <v>2024 05</v>
      </c>
    </row>
    <row r="171" ht="22.5" customHeight="1">
      <c r="A171" s="12">
        <f>IFERROR(__xludf.DUMMYFUNCTION("""COMPUTED_VALUE"""),1823.0)</f>
        <v>1823</v>
      </c>
      <c r="B171" s="13">
        <f>IFERROR(__xludf.DUMMYFUNCTION("""COMPUTED_VALUE"""),45432.0)</f>
        <v>45432</v>
      </c>
      <c r="C171" s="12">
        <f>IFERROR(__xludf.DUMMYFUNCTION("""COMPUTED_VALUE"""),189.0)</f>
        <v>189</v>
      </c>
      <c r="D171" s="12">
        <f>IFERROR(__xludf.DUMMYFUNCTION("""COMPUTED_VALUE"""),4.0)</f>
        <v>4</v>
      </c>
      <c r="E171" s="12">
        <f>IFERROR(__xludf.DUMMYFUNCTION("""COMPUTED_VALUE"""),1.0)</f>
        <v>1</v>
      </c>
      <c r="F171" s="12">
        <f>IFERROR(__xludf.DUMMYFUNCTION("""COMPUTED_VALUE"""),4.0)</f>
        <v>4</v>
      </c>
      <c r="G171" s="15" t="str">
        <f>IFERROR(__xludf.DUMMYFUNCTION("""COMPUTED_VALUE"""),"Completa")</f>
        <v>Completa</v>
      </c>
      <c r="H171" s="16" t="str">
        <f t="array" ref="H171">_xlfn.XLOOKUP(D171,Productos[ID_Producto],Productos[Nombre_Producto])</f>
        <v>Queso rallado</v>
      </c>
      <c r="I171" s="17">
        <f t="array" ref="I171">_xlfn.XLOOKUP(D171,Productos[ID_Producto],Productos[Precio_Unitario])</f>
        <v>19.23</v>
      </c>
      <c r="J171" s="17">
        <f t="shared" si="1"/>
        <v>19.23</v>
      </c>
      <c r="K171" s="16" t="str">
        <f t="array" ref="K171">_xlfn.XLOOKUP(C171,Clientes[ID_Cliente],Clientes[Provincia])</f>
        <v>Neuquén</v>
      </c>
      <c r="L171" s="16" t="str">
        <f t="array" ref="L171">CONCATENATE(_xlfn.XLOOKUP(C171,Clientes[ID_Cliente],Clientes[Provincia]),", Argentina")</f>
        <v>Neuquén, Argentina</v>
      </c>
      <c r="M171" s="20" t="str">
        <f t="array" ref="M171">_xlfn.XLOOKUP(F171,Metodos_De_Pago[ID_Metodo],Metodos_De_Pago[Metodo])</f>
        <v>Mercado Pago</v>
      </c>
      <c r="N171" s="20" t="str">
        <f t="shared" si="2"/>
        <v>2024 05</v>
      </c>
    </row>
    <row r="172" ht="22.5" customHeight="1">
      <c r="A172" s="12">
        <f>IFERROR(__xludf.DUMMYFUNCTION("""COMPUTED_VALUE"""),2928.0)</f>
        <v>2928</v>
      </c>
      <c r="B172" s="13">
        <f>IFERROR(__xludf.DUMMYFUNCTION("""COMPUTED_VALUE"""),45432.0)</f>
        <v>45432</v>
      </c>
      <c r="C172" s="12">
        <f>IFERROR(__xludf.DUMMYFUNCTION("""COMPUTED_VALUE"""),159.0)</f>
        <v>159</v>
      </c>
      <c r="D172" s="12">
        <f>IFERROR(__xludf.DUMMYFUNCTION("""COMPUTED_VALUE"""),15.0)</f>
        <v>15</v>
      </c>
      <c r="E172" s="12">
        <f>IFERROR(__xludf.DUMMYFUNCTION("""COMPUTED_VALUE"""),1.0)</f>
        <v>1</v>
      </c>
      <c r="F172" s="12">
        <f>IFERROR(__xludf.DUMMYFUNCTION("""COMPUTED_VALUE"""),1.0)</f>
        <v>1</v>
      </c>
      <c r="G172" s="15" t="str">
        <f>IFERROR(__xludf.DUMMYFUNCTION("""COMPUTED_VALUE"""),"Completa")</f>
        <v>Completa</v>
      </c>
      <c r="H172" s="16" t="str">
        <f t="array" ref="H172">_xlfn.XLOOKUP(D172,Productos[ID_Producto],Productos[Nombre_Producto])</f>
        <v>Medialunas</v>
      </c>
      <c r="I172" s="17">
        <f t="array" ref="I172">_xlfn.XLOOKUP(D172,Productos[ID_Producto],Productos[Precio_Unitario])</f>
        <v>3.51</v>
      </c>
      <c r="J172" s="17">
        <f t="shared" si="1"/>
        <v>3.51</v>
      </c>
      <c r="K172" s="16" t="str">
        <f t="array" ref="K172">_xlfn.XLOOKUP(C172,Clientes[ID_Cliente],Clientes[Provincia])</f>
        <v>Chaco</v>
      </c>
      <c r="L172" s="16" t="str">
        <f t="array" ref="L172">CONCATENATE(_xlfn.XLOOKUP(C172,Clientes[ID_Cliente],Clientes[Provincia]),", Argentina")</f>
        <v>Chaco, Argentina</v>
      </c>
      <c r="M172" s="20" t="str">
        <f t="array" ref="M172">_xlfn.XLOOKUP(F172,Metodos_De_Pago[ID_Metodo],Metodos_De_Pago[Metodo])</f>
        <v>Efectivo</v>
      </c>
      <c r="N172" s="20" t="str">
        <f t="shared" si="2"/>
        <v>2024 05</v>
      </c>
    </row>
    <row r="173" ht="22.5" customHeight="1">
      <c r="A173" s="12">
        <f>IFERROR(__xludf.DUMMYFUNCTION("""COMPUTED_VALUE"""),652.0)</f>
        <v>652</v>
      </c>
      <c r="B173" s="13">
        <f>IFERROR(__xludf.DUMMYFUNCTION("""COMPUTED_VALUE"""),45433.0)</f>
        <v>45433</v>
      </c>
      <c r="C173" s="12">
        <f>IFERROR(__xludf.DUMMYFUNCTION("""COMPUTED_VALUE"""),316.0)</f>
        <v>316</v>
      </c>
      <c r="D173" s="12">
        <f>IFERROR(__xludf.DUMMYFUNCTION("""COMPUTED_VALUE"""),23.0)</f>
        <v>23</v>
      </c>
      <c r="E173" s="12">
        <f>IFERROR(__xludf.DUMMYFUNCTION("""COMPUTED_VALUE"""),1.0)</f>
        <v>1</v>
      </c>
      <c r="F173" s="12">
        <f>IFERROR(__xludf.DUMMYFUNCTION("""COMPUTED_VALUE"""),4.0)</f>
        <v>4</v>
      </c>
      <c r="G173" s="15" t="str">
        <f>IFERROR(__xludf.DUMMYFUNCTION("""COMPUTED_VALUE"""),"Completa")</f>
        <v>Completa</v>
      </c>
      <c r="H173" s="16" t="str">
        <f t="array" ref="H173">_xlfn.XLOOKUP(D173,Productos[ID_Producto],Productos[Nombre_Producto])</f>
        <v>Papas fritas</v>
      </c>
      <c r="I173" s="17">
        <f t="array" ref="I173">_xlfn.XLOOKUP(D173,Productos[ID_Producto],Productos[Precio_Unitario])</f>
        <v>8.23</v>
      </c>
      <c r="J173" s="17">
        <f t="shared" si="1"/>
        <v>8.23</v>
      </c>
      <c r="K173" s="16" t="str">
        <f t="array" ref="K173">_xlfn.XLOOKUP(C173,Clientes[ID_Cliente],Clientes[Provincia])</f>
        <v>Córdoba</v>
      </c>
      <c r="L173" s="16" t="str">
        <f t="array" ref="L173">CONCATENATE(_xlfn.XLOOKUP(C173,Clientes[ID_Cliente],Clientes[Provincia]),", Argentina")</f>
        <v>Córdoba, Argentina</v>
      </c>
      <c r="M173" s="20" t="str">
        <f t="array" ref="M173">_xlfn.XLOOKUP(F173,Metodos_De_Pago[ID_Metodo],Metodos_De_Pago[Metodo])</f>
        <v>Mercado Pago</v>
      </c>
      <c r="N173" s="20" t="str">
        <f t="shared" si="2"/>
        <v>2024 05</v>
      </c>
    </row>
    <row r="174" ht="22.5" customHeight="1">
      <c r="A174" s="12">
        <f>IFERROR(__xludf.DUMMYFUNCTION("""COMPUTED_VALUE"""),706.0)</f>
        <v>706</v>
      </c>
      <c r="B174" s="13">
        <f>IFERROR(__xludf.DUMMYFUNCTION("""COMPUTED_VALUE"""),45434.0)</f>
        <v>45434</v>
      </c>
      <c r="C174" s="12">
        <f>IFERROR(__xludf.DUMMYFUNCTION("""COMPUTED_VALUE"""),287.0)</f>
        <v>287</v>
      </c>
      <c r="D174" s="12">
        <f>IFERROR(__xludf.DUMMYFUNCTION("""COMPUTED_VALUE"""),1.0)</f>
        <v>1</v>
      </c>
      <c r="E174" s="12">
        <f>IFERROR(__xludf.DUMMYFUNCTION("""COMPUTED_VALUE"""),1.0)</f>
        <v>1</v>
      </c>
      <c r="F174" s="12">
        <f>IFERROR(__xludf.DUMMYFUNCTION("""COMPUTED_VALUE"""),4.0)</f>
        <v>4</v>
      </c>
      <c r="G174" s="15" t="str">
        <f>IFERROR(__xludf.DUMMYFUNCTION("""COMPUTED_VALUE"""),"Completa")</f>
        <v>Completa</v>
      </c>
      <c r="H174" s="16" t="str">
        <f t="array" ref="H174">_xlfn.XLOOKUP(D174,Productos[ID_Producto],Productos[Nombre_Producto])</f>
        <v>Leche</v>
      </c>
      <c r="I174" s="17">
        <f t="array" ref="I174">_xlfn.XLOOKUP(D174,Productos[ID_Producto],Productos[Precio_Unitario])</f>
        <v>12.24</v>
      </c>
      <c r="J174" s="17">
        <f t="shared" si="1"/>
        <v>12.24</v>
      </c>
      <c r="K174" s="16" t="str">
        <f t="array" ref="K174">_xlfn.XLOOKUP(C174,Clientes[ID_Cliente],Clientes[Provincia])</f>
        <v>Chaco</v>
      </c>
      <c r="L174" s="16" t="str">
        <f t="array" ref="L174">CONCATENATE(_xlfn.XLOOKUP(C174,Clientes[ID_Cliente],Clientes[Provincia]),", Argentina")</f>
        <v>Chaco, Argentina</v>
      </c>
      <c r="M174" s="20" t="str">
        <f t="array" ref="M174">_xlfn.XLOOKUP(F174,Metodos_De_Pago[ID_Metodo],Metodos_De_Pago[Metodo])</f>
        <v>Mercado Pago</v>
      </c>
      <c r="N174" s="20" t="str">
        <f t="shared" si="2"/>
        <v>2024 05</v>
      </c>
    </row>
    <row r="175" ht="22.5" customHeight="1">
      <c r="A175" s="12">
        <f>IFERROR(__xludf.DUMMYFUNCTION("""COMPUTED_VALUE"""),951.0)</f>
        <v>951</v>
      </c>
      <c r="B175" s="13">
        <f>IFERROR(__xludf.DUMMYFUNCTION("""COMPUTED_VALUE"""),45435.0)</f>
        <v>45435</v>
      </c>
      <c r="C175" s="12">
        <f>IFERROR(__xludf.DUMMYFUNCTION("""COMPUTED_VALUE"""),152.0)</f>
        <v>152</v>
      </c>
      <c r="D175" s="12">
        <f>IFERROR(__xludf.DUMMYFUNCTION("""COMPUTED_VALUE"""),14.0)</f>
        <v>14</v>
      </c>
      <c r="E175" s="12">
        <f>IFERROR(__xludf.DUMMYFUNCTION("""COMPUTED_VALUE"""),1.0)</f>
        <v>1</v>
      </c>
      <c r="F175" s="12">
        <f>IFERROR(__xludf.DUMMYFUNCTION("""COMPUTED_VALUE"""),5.0)</f>
        <v>5</v>
      </c>
      <c r="G175" s="15" t="str">
        <f>IFERROR(__xludf.DUMMYFUNCTION("""COMPUTED_VALUE"""),"Completa")</f>
        <v>Completa</v>
      </c>
      <c r="H175" s="16" t="str">
        <f t="array" ref="H175">_xlfn.XLOOKUP(D175,Productos[ID_Producto],Productos[Nombre_Producto])</f>
        <v>Facturas</v>
      </c>
      <c r="I175" s="17">
        <f t="array" ref="I175">_xlfn.XLOOKUP(D175,Productos[ID_Producto],Productos[Precio_Unitario])</f>
        <v>12.36</v>
      </c>
      <c r="J175" s="17">
        <f t="shared" si="1"/>
        <v>12.36</v>
      </c>
      <c r="K175" s="16" t="str">
        <f t="array" ref="K175">_xlfn.XLOOKUP(C175,Clientes[ID_Cliente],Clientes[Provincia])</f>
        <v>Salta</v>
      </c>
      <c r="L175" s="16" t="str">
        <f t="array" ref="L175">CONCATENATE(_xlfn.XLOOKUP(C175,Clientes[ID_Cliente],Clientes[Provincia]),", Argentina")</f>
        <v>Salta, Argentina</v>
      </c>
      <c r="M175" s="20" t="str">
        <f t="array" ref="M175">_xlfn.XLOOKUP(F175,Metodos_De_Pago[ID_Metodo],Metodos_De_Pago[Metodo])</f>
        <v>Transferencia</v>
      </c>
      <c r="N175" s="20" t="str">
        <f t="shared" si="2"/>
        <v>2024 05</v>
      </c>
    </row>
    <row r="176" ht="22.5" customHeight="1">
      <c r="A176" s="12">
        <f>IFERROR(__xludf.DUMMYFUNCTION("""COMPUTED_VALUE"""),1291.0)</f>
        <v>1291</v>
      </c>
      <c r="B176" s="13">
        <f>IFERROR(__xludf.DUMMYFUNCTION("""COMPUTED_VALUE"""),45435.0)</f>
        <v>45435</v>
      </c>
      <c r="C176" s="12">
        <f>IFERROR(__xludf.DUMMYFUNCTION("""COMPUTED_VALUE"""),32.0)</f>
        <v>32</v>
      </c>
      <c r="D176" s="12">
        <f>IFERROR(__xludf.DUMMYFUNCTION("""COMPUTED_VALUE"""),29.0)</f>
        <v>29</v>
      </c>
      <c r="E176" s="12">
        <f>IFERROR(__xludf.DUMMYFUNCTION("""COMPUTED_VALUE"""),1.0)</f>
        <v>1</v>
      </c>
      <c r="F176" s="12">
        <f>IFERROR(__xludf.DUMMYFUNCTION("""COMPUTED_VALUE"""),3.0)</f>
        <v>3</v>
      </c>
      <c r="G176" s="15" t="str">
        <f>IFERROR(__xludf.DUMMYFUNCTION("""COMPUTED_VALUE"""),"Completa")</f>
        <v>Completa</v>
      </c>
      <c r="H176" s="16" t="str">
        <f t="array" ref="H176">_xlfn.XLOOKUP(D176,Productos[ID_Producto],Productos[Nombre_Producto])</f>
        <v>Cerveza</v>
      </c>
      <c r="I176" s="17">
        <f t="array" ref="I176">_xlfn.XLOOKUP(D176,Productos[ID_Producto],Productos[Precio_Unitario])</f>
        <v>11.54</v>
      </c>
      <c r="J176" s="17">
        <f t="shared" si="1"/>
        <v>11.54</v>
      </c>
      <c r="K176" s="16" t="str">
        <f t="array" ref="K176">_xlfn.XLOOKUP(C176,Clientes[ID_Cliente],Clientes[Provincia])</f>
        <v>San Luis</v>
      </c>
      <c r="L176" s="16" t="str">
        <f t="array" ref="L176">CONCATENATE(_xlfn.XLOOKUP(C176,Clientes[ID_Cliente],Clientes[Provincia]),", Argentina")</f>
        <v>San Luis, Argentina</v>
      </c>
      <c r="M176" s="20" t="str">
        <f t="array" ref="M176">_xlfn.XLOOKUP(F176,Metodos_De_Pago[ID_Metodo],Metodos_De_Pago[Metodo])</f>
        <v>Tarjeta de Débito</v>
      </c>
      <c r="N176" s="20" t="str">
        <f t="shared" si="2"/>
        <v>2024 05</v>
      </c>
    </row>
    <row r="177" ht="22.5" customHeight="1">
      <c r="A177" s="12">
        <f>IFERROR(__xludf.DUMMYFUNCTION("""COMPUTED_VALUE"""),30.0)</f>
        <v>30</v>
      </c>
      <c r="B177" s="13">
        <f>IFERROR(__xludf.DUMMYFUNCTION("""COMPUTED_VALUE"""),45437.0)</f>
        <v>45437</v>
      </c>
      <c r="C177" s="12">
        <f>IFERROR(__xludf.DUMMYFUNCTION("""COMPUTED_VALUE"""),46.0)</f>
        <v>46</v>
      </c>
      <c r="D177" s="12">
        <f>IFERROR(__xludf.DUMMYFUNCTION("""COMPUTED_VALUE"""),30.0)</f>
        <v>30</v>
      </c>
      <c r="E177" s="12">
        <f>IFERROR(__xludf.DUMMYFUNCTION("""COMPUTED_VALUE"""),1.0)</f>
        <v>1</v>
      </c>
      <c r="F177" s="12">
        <f>IFERROR(__xludf.DUMMYFUNCTION("""COMPUTED_VALUE"""),5.0)</f>
        <v>5</v>
      </c>
      <c r="G177" s="15" t="str">
        <f>IFERROR(__xludf.DUMMYFUNCTION("""COMPUTED_VALUE"""),"Completa")</f>
        <v>Completa</v>
      </c>
      <c r="H177" s="16" t="str">
        <f t="array" ref="H177">_xlfn.XLOOKUP(D177,Productos[ID_Producto],Productos[Nombre_Producto])</f>
        <v>Vino tinto</v>
      </c>
      <c r="I177" s="17">
        <f t="array" ref="I177">_xlfn.XLOOKUP(D177,Productos[ID_Producto],Productos[Precio_Unitario])</f>
        <v>13.54</v>
      </c>
      <c r="J177" s="17">
        <f t="shared" si="1"/>
        <v>13.54</v>
      </c>
      <c r="K177" s="16" t="str">
        <f t="array" ref="K177">_xlfn.XLOOKUP(C177,Clientes[ID_Cliente],Clientes[Provincia])</f>
        <v>Córdoba</v>
      </c>
      <c r="L177" s="16" t="str">
        <f t="array" ref="L177">CONCATENATE(_xlfn.XLOOKUP(C177,Clientes[ID_Cliente],Clientes[Provincia]),", Argentina")</f>
        <v>Córdoba, Argentina</v>
      </c>
      <c r="M177" s="20" t="str">
        <f t="array" ref="M177">_xlfn.XLOOKUP(F177,Metodos_De_Pago[ID_Metodo],Metodos_De_Pago[Metodo])</f>
        <v>Transferencia</v>
      </c>
      <c r="N177" s="20" t="str">
        <f t="shared" si="2"/>
        <v>2024 05</v>
      </c>
    </row>
    <row r="178" ht="22.5" customHeight="1">
      <c r="A178" s="12">
        <f>IFERROR(__xludf.DUMMYFUNCTION("""COMPUTED_VALUE"""),190.0)</f>
        <v>190</v>
      </c>
      <c r="B178" s="13">
        <f>IFERROR(__xludf.DUMMYFUNCTION("""COMPUTED_VALUE"""),45438.0)</f>
        <v>45438</v>
      </c>
      <c r="C178" s="12">
        <f>IFERROR(__xludf.DUMMYFUNCTION("""COMPUTED_VALUE"""),21.0)</f>
        <v>21</v>
      </c>
      <c r="D178" s="12">
        <f>IFERROR(__xludf.DUMMYFUNCTION("""COMPUTED_VALUE"""),23.0)</f>
        <v>23</v>
      </c>
      <c r="E178" s="12">
        <f>IFERROR(__xludf.DUMMYFUNCTION("""COMPUTED_VALUE"""),1.0)</f>
        <v>1</v>
      </c>
      <c r="F178" s="12">
        <f>IFERROR(__xludf.DUMMYFUNCTION("""COMPUTED_VALUE"""),5.0)</f>
        <v>5</v>
      </c>
      <c r="G178" s="15" t="str">
        <f>IFERROR(__xludf.DUMMYFUNCTION("""COMPUTED_VALUE"""),"Completa")</f>
        <v>Completa</v>
      </c>
      <c r="H178" s="16" t="str">
        <f t="array" ref="H178">_xlfn.XLOOKUP(D178,Productos[ID_Producto],Productos[Nombre_Producto])</f>
        <v>Papas fritas</v>
      </c>
      <c r="I178" s="17">
        <f t="array" ref="I178">_xlfn.XLOOKUP(D178,Productos[ID_Producto],Productos[Precio_Unitario])</f>
        <v>8.23</v>
      </c>
      <c r="J178" s="17">
        <f t="shared" si="1"/>
        <v>8.23</v>
      </c>
      <c r="K178" s="16" t="str">
        <f t="array" ref="K178">_xlfn.XLOOKUP(C178,Clientes[ID_Cliente],Clientes[Provincia])</f>
        <v>Buenos Aires</v>
      </c>
      <c r="L178" s="16" t="str">
        <f t="array" ref="L178">CONCATENATE(_xlfn.XLOOKUP(C178,Clientes[ID_Cliente],Clientes[Provincia]),", Argentina")</f>
        <v>Buenos Aires, Argentina</v>
      </c>
      <c r="M178" s="20" t="str">
        <f t="array" ref="M178">_xlfn.XLOOKUP(F178,Metodos_De_Pago[ID_Metodo],Metodos_De_Pago[Metodo])</f>
        <v>Transferencia</v>
      </c>
      <c r="N178" s="20" t="str">
        <f t="shared" si="2"/>
        <v>2024 05</v>
      </c>
    </row>
    <row r="179" ht="22.5" customHeight="1">
      <c r="A179" s="12">
        <f>IFERROR(__xludf.DUMMYFUNCTION("""COMPUTED_VALUE"""),1349.0)</f>
        <v>1349</v>
      </c>
      <c r="B179" s="13">
        <f>IFERROR(__xludf.DUMMYFUNCTION("""COMPUTED_VALUE"""),45438.0)</f>
        <v>45438</v>
      </c>
      <c r="C179" s="12">
        <f>IFERROR(__xludf.DUMMYFUNCTION("""COMPUTED_VALUE"""),264.0)</f>
        <v>264</v>
      </c>
      <c r="D179" s="12">
        <f>IFERROR(__xludf.DUMMYFUNCTION("""COMPUTED_VALUE"""),22.0)</f>
        <v>22</v>
      </c>
      <c r="E179" s="12">
        <f>IFERROR(__xludf.DUMMYFUNCTION("""COMPUTED_VALUE"""),1.0)</f>
        <v>1</v>
      </c>
      <c r="F179" s="12">
        <f>IFERROR(__xludf.DUMMYFUNCTION("""COMPUTED_VALUE"""),5.0)</f>
        <v>5</v>
      </c>
      <c r="G179" s="15" t="str">
        <f>IFERROR(__xludf.DUMMYFUNCTION("""COMPUTED_VALUE"""),"Completa")</f>
        <v>Completa</v>
      </c>
      <c r="H179" s="16" t="str">
        <f t="array" ref="H179">_xlfn.XLOOKUP(D179,Productos[ID_Producto],Productos[Nombre_Producto])</f>
        <v>Cebolla</v>
      </c>
      <c r="I179" s="17">
        <f t="array" ref="I179">_xlfn.XLOOKUP(D179,Productos[ID_Producto],Productos[Precio_Unitario])</f>
        <v>4.21</v>
      </c>
      <c r="J179" s="17">
        <f t="shared" si="1"/>
        <v>4.21</v>
      </c>
      <c r="K179" s="16" t="str">
        <f t="array" ref="K179">_xlfn.XLOOKUP(C179,Clientes[ID_Cliente],Clientes[Provincia])</f>
        <v>Buenos Aires</v>
      </c>
      <c r="L179" s="16" t="str">
        <f t="array" ref="L179">CONCATENATE(_xlfn.XLOOKUP(C179,Clientes[ID_Cliente],Clientes[Provincia]),", Argentina")</f>
        <v>Buenos Aires, Argentina</v>
      </c>
      <c r="M179" s="20" t="str">
        <f t="array" ref="M179">_xlfn.XLOOKUP(F179,Metodos_De_Pago[ID_Metodo],Metodos_De_Pago[Metodo])</f>
        <v>Transferencia</v>
      </c>
      <c r="N179" s="20" t="str">
        <f t="shared" si="2"/>
        <v>2024 05</v>
      </c>
    </row>
    <row r="180" ht="22.5" customHeight="1">
      <c r="A180" s="12">
        <f>IFERROR(__xludf.DUMMYFUNCTION("""COMPUTED_VALUE"""),485.0)</f>
        <v>485</v>
      </c>
      <c r="B180" s="13">
        <f>IFERROR(__xludf.DUMMYFUNCTION("""COMPUTED_VALUE"""),45439.0)</f>
        <v>45439</v>
      </c>
      <c r="C180" s="12">
        <f>IFERROR(__xludf.DUMMYFUNCTION("""COMPUTED_VALUE"""),136.0)</f>
        <v>136</v>
      </c>
      <c r="D180" s="12">
        <f>IFERROR(__xludf.DUMMYFUNCTION("""COMPUTED_VALUE"""),20.0)</f>
        <v>20</v>
      </c>
      <c r="E180" s="12">
        <f>IFERROR(__xludf.DUMMYFUNCTION("""COMPUTED_VALUE"""),1.0)</f>
        <v>1</v>
      </c>
      <c r="F180" s="12">
        <f>IFERROR(__xludf.DUMMYFUNCTION("""COMPUTED_VALUE"""),4.0)</f>
        <v>4</v>
      </c>
      <c r="G180" s="15" t="str">
        <f>IFERROR(__xludf.DUMMYFUNCTION("""COMPUTED_VALUE"""),"Completa")</f>
        <v>Completa</v>
      </c>
      <c r="H180" s="16" t="str">
        <f t="array" ref="H180">_xlfn.XLOOKUP(D180,Productos[ID_Producto],Productos[Nombre_Producto])</f>
        <v>Lechugas</v>
      </c>
      <c r="I180" s="17">
        <f t="array" ref="I180">_xlfn.XLOOKUP(D180,Productos[ID_Producto],Productos[Precio_Unitario])</f>
        <v>4.25</v>
      </c>
      <c r="J180" s="17">
        <f t="shared" si="1"/>
        <v>4.25</v>
      </c>
      <c r="K180" s="16" t="str">
        <f t="array" ref="K180">_xlfn.XLOOKUP(C180,Clientes[ID_Cliente],Clientes[Provincia])</f>
        <v>Neuquén</v>
      </c>
      <c r="L180" s="16" t="str">
        <f t="array" ref="L180">CONCATENATE(_xlfn.XLOOKUP(C180,Clientes[ID_Cliente],Clientes[Provincia]),", Argentina")</f>
        <v>Neuquén, Argentina</v>
      </c>
      <c r="M180" s="20" t="str">
        <f t="array" ref="M180">_xlfn.XLOOKUP(F180,Metodos_De_Pago[ID_Metodo],Metodos_De_Pago[Metodo])</f>
        <v>Mercado Pago</v>
      </c>
      <c r="N180" s="20" t="str">
        <f t="shared" si="2"/>
        <v>2024 05</v>
      </c>
    </row>
    <row r="181" ht="22.5" customHeight="1">
      <c r="A181" s="12">
        <f>IFERROR(__xludf.DUMMYFUNCTION("""COMPUTED_VALUE"""),881.0)</f>
        <v>881</v>
      </c>
      <c r="B181" s="13">
        <f>IFERROR(__xludf.DUMMYFUNCTION("""COMPUTED_VALUE"""),45439.0)</f>
        <v>45439</v>
      </c>
      <c r="C181" s="12">
        <f>IFERROR(__xludf.DUMMYFUNCTION("""COMPUTED_VALUE"""),39.0)</f>
        <v>39</v>
      </c>
      <c r="D181" s="12">
        <f>IFERROR(__xludf.DUMMYFUNCTION("""COMPUTED_VALUE"""),16.0)</f>
        <v>16</v>
      </c>
      <c r="E181" s="12">
        <f>IFERROR(__xludf.DUMMYFUNCTION("""COMPUTED_VALUE"""),1.0)</f>
        <v>1</v>
      </c>
      <c r="F181" s="12">
        <f>IFERROR(__xludf.DUMMYFUNCTION("""COMPUTED_VALUE"""),4.0)</f>
        <v>4</v>
      </c>
      <c r="G181" s="15" t="str">
        <f>IFERROR(__xludf.DUMMYFUNCTION("""COMPUTED_VALUE"""),"Completa")</f>
        <v>Completa</v>
      </c>
      <c r="H181" s="16" t="str">
        <f t="array" ref="H181">_xlfn.XLOOKUP(D181,Productos[ID_Producto],Productos[Nombre_Producto])</f>
        <v>Tortas</v>
      </c>
      <c r="I181" s="17">
        <f t="array" ref="I181">_xlfn.XLOOKUP(D181,Productos[ID_Producto],Productos[Precio_Unitario])</f>
        <v>15.23</v>
      </c>
      <c r="J181" s="17">
        <f t="shared" si="1"/>
        <v>15.23</v>
      </c>
      <c r="K181" s="16" t="str">
        <f t="array" ref="K181">_xlfn.XLOOKUP(C181,Clientes[ID_Cliente],Clientes[Provincia])</f>
        <v>Neuquén</v>
      </c>
      <c r="L181" s="16" t="str">
        <f t="array" ref="L181">CONCATENATE(_xlfn.XLOOKUP(C181,Clientes[ID_Cliente],Clientes[Provincia]),", Argentina")</f>
        <v>Neuquén, Argentina</v>
      </c>
      <c r="M181" s="20" t="str">
        <f t="array" ref="M181">_xlfn.XLOOKUP(F181,Metodos_De_Pago[ID_Metodo],Metodos_De_Pago[Metodo])</f>
        <v>Mercado Pago</v>
      </c>
      <c r="N181" s="20" t="str">
        <f t="shared" si="2"/>
        <v>2024 05</v>
      </c>
    </row>
    <row r="182" ht="22.5" customHeight="1">
      <c r="A182" s="12">
        <f>IFERROR(__xludf.DUMMYFUNCTION("""COMPUTED_VALUE"""),2093.0)</f>
        <v>2093</v>
      </c>
      <c r="B182" s="13">
        <f>IFERROR(__xludf.DUMMYFUNCTION("""COMPUTED_VALUE"""),45439.0)</f>
        <v>45439</v>
      </c>
      <c r="C182" s="12">
        <f>IFERROR(__xludf.DUMMYFUNCTION("""COMPUTED_VALUE"""),90.0)</f>
        <v>90</v>
      </c>
      <c r="D182" s="12">
        <f>IFERROR(__xludf.DUMMYFUNCTION("""COMPUTED_VALUE"""),2.0)</f>
        <v>2</v>
      </c>
      <c r="E182" s="12">
        <f>IFERROR(__xludf.DUMMYFUNCTION("""COMPUTED_VALUE"""),1.0)</f>
        <v>1</v>
      </c>
      <c r="F182" s="12">
        <f>IFERROR(__xludf.DUMMYFUNCTION("""COMPUTED_VALUE"""),4.0)</f>
        <v>4</v>
      </c>
      <c r="G182" s="15" t="str">
        <f>IFERROR(__xludf.DUMMYFUNCTION("""COMPUTED_VALUE"""),"Completa")</f>
        <v>Completa</v>
      </c>
      <c r="H182" s="16" t="str">
        <f t="array" ref="H182">_xlfn.XLOOKUP(D182,Productos[ID_Producto],Productos[Nombre_Producto])</f>
        <v>Yogur</v>
      </c>
      <c r="I182" s="17">
        <f t="array" ref="I182">_xlfn.XLOOKUP(D182,Productos[ID_Producto],Productos[Precio_Unitario])</f>
        <v>5.21</v>
      </c>
      <c r="J182" s="17">
        <f t="shared" si="1"/>
        <v>5.21</v>
      </c>
      <c r="K182" s="16" t="str">
        <f t="array" ref="K182">_xlfn.XLOOKUP(C182,Clientes[ID_Cliente],Clientes[Provincia])</f>
        <v>Buenos Aires</v>
      </c>
      <c r="L182" s="16" t="str">
        <f t="array" ref="L182">CONCATENATE(_xlfn.XLOOKUP(C182,Clientes[ID_Cliente],Clientes[Provincia]),", Argentina")</f>
        <v>Buenos Aires, Argentina</v>
      </c>
      <c r="M182" s="20" t="str">
        <f t="array" ref="M182">_xlfn.XLOOKUP(F182,Metodos_De_Pago[ID_Metodo],Metodos_De_Pago[Metodo])</f>
        <v>Mercado Pago</v>
      </c>
      <c r="N182" s="20" t="str">
        <f t="shared" si="2"/>
        <v>2024 05</v>
      </c>
    </row>
    <row r="183" ht="22.5" customHeight="1">
      <c r="A183" s="12">
        <f>IFERROR(__xludf.DUMMYFUNCTION("""COMPUTED_VALUE"""),2880.0)</f>
        <v>2880</v>
      </c>
      <c r="B183" s="13">
        <f>IFERROR(__xludf.DUMMYFUNCTION("""COMPUTED_VALUE"""),45440.0)</f>
        <v>45440</v>
      </c>
      <c r="C183" s="12">
        <f>IFERROR(__xludf.DUMMYFUNCTION("""COMPUTED_VALUE"""),248.0)</f>
        <v>248</v>
      </c>
      <c r="D183" s="12">
        <f>IFERROR(__xludf.DUMMYFUNCTION("""COMPUTED_VALUE"""),38.0)</f>
        <v>38</v>
      </c>
      <c r="E183" s="12">
        <f>IFERROR(__xludf.DUMMYFUNCTION("""COMPUTED_VALUE"""),1.0)</f>
        <v>1</v>
      </c>
      <c r="F183" s="12">
        <f>IFERROR(__xludf.DUMMYFUNCTION("""COMPUTED_VALUE"""),3.0)</f>
        <v>3</v>
      </c>
      <c r="G183" s="15" t="str">
        <f>IFERROR(__xludf.DUMMYFUNCTION("""COMPUTED_VALUE"""),"Completa")</f>
        <v>Completa</v>
      </c>
      <c r="H183" s="16" t="str">
        <f t="array" ref="H183">_xlfn.XLOOKUP(D183,Productos[ID_Producto],Productos[Nombre_Producto])</f>
        <v>Atún enlatado</v>
      </c>
      <c r="I183" s="17">
        <f t="array" ref="I183">_xlfn.XLOOKUP(D183,Productos[ID_Producto],Productos[Precio_Unitario])</f>
        <v>6.21</v>
      </c>
      <c r="J183" s="17">
        <f t="shared" si="1"/>
        <v>6.21</v>
      </c>
      <c r="K183" s="16" t="str">
        <f t="array" ref="K183">_xlfn.XLOOKUP(C183,Clientes[ID_Cliente],Clientes[Provincia])</f>
        <v>Córdoba</v>
      </c>
      <c r="L183" s="16" t="str">
        <f t="array" ref="L183">CONCATENATE(_xlfn.XLOOKUP(C183,Clientes[ID_Cliente],Clientes[Provincia]),", Argentina")</f>
        <v>Córdoba, Argentina</v>
      </c>
      <c r="M183" s="20" t="str">
        <f t="array" ref="M183">_xlfn.XLOOKUP(F183,Metodos_De_Pago[ID_Metodo],Metodos_De_Pago[Metodo])</f>
        <v>Tarjeta de Débito</v>
      </c>
      <c r="N183" s="20" t="str">
        <f t="shared" si="2"/>
        <v>2024 05</v>
      </c>
    </row>
    <row r="184" ht="22.5" customHeight="1">
      <c r="A184" s="12">
        <f>IFERROR(__xludf.DUMMYFUNCTION("""COMPUTED_VALUE"""),197.0)</f>
        <v>197</v>
      </c>
      <c r="B184" s="13">
        <f>IFERROR(__xludf.DUMMYFUNCTION("""COMPUTED_VALUE"""),45442.0)</f>
        <v>45442</v>
      </c>
      <c r="C184" s="12">
        <f>IFERROR(__xludf.DUMMYFUNCTION("""COMPUTED_VALUE"""),211.0)</f>
        <v>211</v>
      </c>
      <c r="D184" s="12">
        <f>IFERROR(__xludf.DUMMYFUNCTION("""COMPUTED_VALUE"""),26.0)</f>
        <v>26</v>
      </c>
      <c r="E184" s="12">
        <f>IFERROR(__xludf.DUMMYFUNCTION("""COMPUTED_VALUE"""),1.0)</f>
        <v>1</v>
      </c>
      <c r="F184" s="12">
        <f>IFERROR(__xludf.DUMMYFUNCTION("""COMPUTED_VALUE"""),4.0)</f>
        <v>4</v>
      </c>
      <c r="G184" s="15" t="str">
        <f>IFERROR(__xludf.DUMMYFUNCTION("""COMPUTED_VALUE"""),"Completa")</f>
        <v>Completa</v>
      </c>
      <c r="H184" s="16" t="str">
        <f t="array" ref="H184">_xlfn.XLOOKUP(D184,Productos[ID_Producto],Productos[Nombre_Producto])</f>
        <v>Hamburgesas congeladas</v>
      </c>
      <c r="I184" s="17">
        <f t="array" ref="I184">_xlfn.XLOOKUP(D184,Productos[ID_Producto],Productos[Precio_Unitario])</f>
        <v>9.54</v>
      </c>
      <c r="J184" s="17">
        <f t="shared" si="1"/>
        <v>9.54</v>
      </c>
      <c r="K184" s="16" t="str">
        <f t="array" ref="K184">_xlfn.XLOOKUP(C184,Clientes[ID_Cliente],Clientes[Provincia])</f>
        <v>Córdoba</v>
      </c>
      <c r="L184" s="16" t="str">
        <f t="array" ref="L184">CONCATENATE(_xlfn.XLOOKUP(C184,Clientes[ID_Cliente],Clientes[Provincia]),", Argentina")</f>
        <v>Córdoba, Argentina</v>
      </c>
      <c r="M184" s="20" t="str">
        <f t="array" ref="M184">_xlfn.XLOOKUP(F184,Metodos_De_Pago[ID_Metodo],Metodos_De_Pago[Metodo])</f>
        <v>Mercado Pago</v>
      </c>
      <c r="N184" s="20" t="str">
        <f t="shared" si="2"/>
        <v>2024 05</v>
      </c>
    </row>
    <row r="185" ht="22.5" customHeight="1">
      <c r="A185" s="12">
        <f>IFERROR(__xludf.DUMMYFUNCTION("""COMPUTED_VALUE"""),2821.0)</f>
        <v>2821</v>
      </c>
      <c r="B185" s="13">
        <f>IFERROR(__xludf.DUMMYFUNCTION("""COMPUTED_VALUE"""),45443.0)</f>
        <v>45443</v>
      </c>
      <c r="C185" s="12">
        <f>IFERROR(__xludf.DUMMYFUNCTION("""COMPUTED_VALUE"""),66.0)</f>
        <v>66</v>
      </c>
      <c r="D185" s="12">
        <f>IFERROR(__xludf.DUMMYFUNCTION("""COMPUTED_VALUE"""),22.0)</f>
        <v>22</v>
      </c>
      <c r="E185" s="12">
        <f>IFERROR(__xludf.DUMMYFUNCTION("""COMPUTED_VALUE"""),1.0)</f>
        <v>1</v>
      </c>
      <c r="F185" s="12">
        <f>IFERROR(__xludf.DUMMYFUNCTION("""COMPUTED_VALUE"""),3.0)</f>
        <v>3</v>
      </c>
      <c r="G185" s="15" t="str">
        <f>IFERROR(__xludf.DUMMYFUNCTION("""COMPUTED_VALUE"""),"Completa")</f>
        <v>Completa</v>
      </c>
      <c r="H185" s="16" t="str">
        <f t="array" ref="H185">_xlfn.XLOOKUP(D185,Productos[ID_Producto],Productos[Nombre_Producto])</f>
        <v>Cebolla</v>
      </c>
      <c r="I185" s="17">
        <f t="array" ref="I185">_xlfn.XLOOKUP(D185,Productos[ID_Producto],Productos[Precio_Unitario])</f>
        <v>4.21</v>
      </c>
      <c r="J185" s="17">
        <f t="shared" si="1"/>
        <v>4.21</v>
      </c>
      <c r="K185" s="16" t="str">
        <f t="array" ref="K185">_xlfn.XLOOKUP(C185,Clientes[ID_Cliente],Clientes[Provincia])</f>
        <v>Buenos Aires</v>
      </c>
      <c r="L185" s="16" t="str">
        <f t="array" ref="L185">CONCATENATE(_xlfn.XLOOKUP(C185,Clientes[ID_Cliente],Clientes[Provincia]),", Argentina")</f>
        <v>Buenos Aires, Argentina</v>
      </c>
      <c r="M185" s="20" t="str">
        <f t="array" ref="M185">_xlfn.XLOOKUP(F185,Metodos_De_Pago[ID_Metodo],Metodos_De_Pago[Metodo])</f>
        <v>Tarjeta de Débito</v>
      </c>
      <c r="N185" s="20" t="str">
        <f t="shared" si="2"/>
        <v>2024 05</v>
      </c>
    </row>
    <row r="186" ht="22.5" customHeight="1">
      <c r="A186" s="12">
        <f>IFERROR(__xludf.DUMMYFUNCTION("""COMPUTED_VALUE"""),944.0)</f>
        <v>944</v>
      </c>
      <c r="B186" s="13">
        <f>IFERROR(__xludf.DUMMYFUNCTION("""COMPUTED_VALUE"""),45444.0)</f>
        <v>45444</v>
      </c>
      <c r="C186" s="12">
        <f>IFERROR(__xludf.DUMMYFUNCTION("""COMPUTED_VALUE"""),51.0)</f>
        <v>51</v>
      </c>
      <c r="D186" s="12">
        <f>IFERROR(__xludf.DUMMYFUNCTION("""COMPUTED_VALUE"""),27.0)</f>
        <v>27</v>
      </c>
      <c r="E186" s="12">
        <f>IFERROR(__xludf.DUMMYFUNCTION("""COMPUTED_VALUE"""),1.0)</f>
        <v>1</v>
      </c>
      <c r="F186" s="12">
        <f>IFERROR(__xludf.DUMMYFUNCTION("""COMPUTED_VALUE"""),5.0)</f>
        <v>5</v>
      </c>
      <c r="G186" s="15" t="str">
        <f>IFERROR(__xludf.DUMMYFUNCTION("""COMPUTED_VALUE"""),"Completa")</f>
        <v>Completa</v>
      </c>
      <c r="H186" s="16" t="str">
        <f t="array" ref="H186">_xlfn.XLOOKUP(D186,Productos[ID_Producto],Productos[Nombre_Producto])</f>
        <v>Agua mineral</v>
      </c>
      <c r="I186" s="17">
        <f t="array" ref="I186">_xlfn.XLOOKUP(D186,Productos[ID_Producto],Productos[Precio_Unitario])</f>
        <v>6.21</v>
      </c>
      <c r="J186" s="17">
        <f t="shared" si="1"/>
        <v>6.21</v>
      </c>
      <c r="K186" s="16" t="str">
        <f t="array" ref="K186">_xlfn.XLOOKUP(C186,Clientes[ID_Cliente],Clientes[Provincia])</f>
        <v>San Luis</v>
      </c>
      <c r="L186" s="16" t="str">
        <f t="array" ref="L186">CONCATENATE(_xlfn.XLOOKUP(C186,Clientes[ID_Cliente],Clientes[Provincia]),", Argentina")</f>
        <v>San Luis, Argentina</v>
      </c>
      <c r="M186" s="20" t="str">
        <f t="array" ref="M186">_xlfn.XLOOKUP(F186,Metodos_De_Pago[ID_Metodo],Metodos_De_Pago[Metodo])</f>
        <v>Transferencia</v>
      </c>
      <c r="N186" s="20" t="str">
        <f t="shared" si="2"/>
        <v>2024 06</v>
      </c>
    </row>
    <row r="187" ht="22.5" customHeight="1">
      <c r="A187" s="12">
        <f>IFERROR(__xludf.DUMMYFUNCTION("""COMPUTED_VALUE"""),1502.0)</f>
        <v>1502</v>
      </c>
      <c r="B187" s="13">
        <f>IFERROR(__xludf.DUMMYFUNCTION("""COMPUTED_VALUE"""),45444.0)</f>
        <v>45444</v>
      </c>
      <c r="C187" s="12">
        <f>IFERROR(__xludf.DUMMYFUNCTION("""COMPUTED_VALUE"""),165.0)</f>
        <v>165</v>
      </c>
      <c r="D187" s="12">
        <f>IFERROR(__xludf.DUMMYFUNCTION("""COMPUTED_VALUE"""),29.0)</f>
        <v>29</v>
      </c>
      <c r="E187" s="12">
        <f>IFERROR(__xludf.DUMMYFUNCTION("""COMPUTED_VALUE"""),1.0)</f>
        <v>1</v>
      </c>
      <c r="F187" s="12">
        <f>IFERROR(__xludf.DUMMYFUNCTION("""COMPUTED_VALUE"""),5.0)</f>
        <v>5</v>
      </c>
      <c r="G187" s="15" t="str">
        <f>IFERROR(__xludf.DUMMYFUNCTION("""COMPUTED_VALUE"""),"Completa")</f>
        <v>Completa</v>
      </c>
      <c r="H187" s="16" t="str">
        <f t="array" ref="H187">_xlfn.XLOOKUP(D187,Productos[ID_Producto],Productos[Nombre_Producto])</f>
        <v>Cerveza</v>
      </c>
      <c r="I187" s="17">
        <f t="array" ref="I187">_xlfn.XLOOKUP(D187,Productos[ID_Producto],Productos[Precio_Unitario])</f>
        <v>11.54</v>
      </c>
      <c r="J187" s="17">
        <f t="shared" si="1"/>
        <v>11.54</v>
      </c>
      <c r="K187" s="16" t="str">
        <f t="array" ref="K187">_xlfn.XLOOKUP(C187,Clientes[ID_Cliente],Clientes[Provincia])</f>
        <v>Buenos Aires</v>
      </c>
      <c r="L187" s="16" t="str">
        <f t="array" ref="L187">CONCATENATE(_xlfn.XLOOKUP(C187,Clientes[ID_Cliente],Clientes[Provincia]),", Argentina")</f>
        <v>Buenos Aires, Argentina</v>
      </c>
      <c r="M187" s="20" t="str">
        <f t="array" ref="M187">_xlfn.XLOOKUP(F187,Metodos_De_Pago[ID_Metodo],Metodos_De_Pago[Metodo])</f>
        <v>Transferencia</v>
      </c>
      <c r="N187" s="20" t="str">
        <f t="shared" si="2"/>
        <v>2024 06</v>
      </c>
    </row>
    <row r="188" ht="22.5" customHeight="1">
      <c r="A188" s="12">
        <f>IFERROR(__xludf.DUMMYFUNCTION("""COMPUTED_VALUE"""),2790.0)</f>
        <v>2790</v>
      </c>
      <c r="B188" s="13">
        <f>IFERROR(__xludf.DUMMYFUNCTION("""COMPUTED_VALUE"""),45446.0)</f>
        <v>45446</v>
      </c>
      <c r="C188" s="12">
        <f>IFERROR(__xludf.DUMMYFUNCTION("""COMPUTED_VALUE"""),97.0)</f>
        <v>97</v>
      </c>
      <c r="D188" s="12">
        <f>IFERROR(__xludf.DUMMYFUNCTION("""COMPUTED_VALUE"""),34.0)</f>
        <v>34</v>
      </c>
      <c r="E188" s="12">
        <f>IFERROR(__xludf.DUMMYFUNCTION("""COMPUTED_VALUE"""),1.0)</f>
        <v>1</v>
      </c>
      <c r="F188" s="12">
        <f>IFERROR(__xludf.DUMMYFUNCTION("""COMPUTED_VALUE"""),5.0)</f>
        <v>5</v>
      </c>
      <c r="G188" s="15" t="str">
        <f>IFERROR(__xludf.DUMMYFUNCTION("""COMPUTED_VALUE"""),"Completa")</f>
        <v>Completa</v>
      </c>
      <c r="H188" s="16" t="str">
        <f t="array" ref="H188">_xlfn.XLOOKUP(D188,Productos[ID_Producto],Productos[Nombre_Producto])</f>
        <v>Maníes</v>
      </c>
      <c r="I188" s="17">
        <f t="array" ref="I188">_xlfn.XLOOKUP(D188,Productos[ID_Producto],Productos[Precio_Unitario])</f>
        <v>5.45</v>
      </c>
      <c r="J188" s="17">
        <f t="shared" si="1"/>
        <v>5.45</v>
      </c>
      <c r="K188" s="16" t="str">
        <f t="array" ref="K188">_xlfn.XLOOKUP(C188,Clientes[ID_Cliente],Clientes[Provincia])</f>
        <v>Buenos Aires</v>
      </c>
      <c r="L188" s="16" t="str">
        <f t="array" ref="L188">CONCATENATE(_xlfn.XLOOKUP(C188,Clientes[ID_Cliente],Clientes[Provincia]),", Argentina")</f>
        <v>Buenos Aires, Argentina</v>
      </c>
      <c r="M188" s="20" t="str">
        <f t="array" ref="M188">_xlfn.XLOOKUP(F188,Metodos_De_Pago[ID_Metodo],Metodos_De_Pago[Metodo])</f>
        <v>Transferencia</v>
      </c>
      <c r="N188" s="20" t="str">
        <f t="shared" si="2"/>
        <v>2024 06</v>
      </c>
    </row>
    <row r="189" ht="22.5" customHeight="1">
      <c r="A189" s="12">
        <f>IFERROR(__xludf.DUMMYFUNCTION("""COMPUTED_VALUE"""),580.0)</f>
        <v>580</v>
      </c>
      <c r="B189" s="13">
        <f>IFERROR(__xludf.DUMMYFUNCTION("""COMPUTED_VALUE"""),45447.0)</f>
        <v>45447</v>
      </c>
      <c r="C189" s="12">
        <f>IFERROR(__xludf.DUMMYFUNCTION("""COMPUTED_VALUE"""),195.0)</f>
        <v>195</v>
      </c>
      <c r="D189" s="12">
        <f>IFERROR(__xludf.DUMMYFUNCTION("""COMPUTED_VALUE"""),32.0)</f>
        <v>32</v>
      </c>
      <c r="E189" s="12">
        <f>IFERROR(__xludf.DUMMYFUNCTION("""COMPUTED_VALUE"""),1.0)</f>
        <v>1</v>
      </c>
      <c r="F189" s="12">
        <f>IFERROR(__xludf.DUMMYFUNCTION("""COMPUTED_VALUE"""),5.0)</f>
        <v>5</v>
      </c>
      <c r="G189" s="15" t="str">
        <f>IFERROR(__xludf.DUMMYFUNCTION("""COMPUTED_VALUE"""),"Completa")</f>
        <v>Completa</v>
      </c>
      <c r="H189" s="16" t="str">
        <f t="array" ref="H189">_xlfn.XLOOKUP(D189,Productos[ID_Producto],Productos[Nombre_Producto])</f>
        <v>Galletitas de chocolate</v>
      </c>
      <c r="I189" s="17">
        <f t="array" ref="I189">_xlfn.XLOOKUP(D189,Productos[ID_Producto],Productos[Precio_Unitario])</f>
        <v>6.25</v>
      </c>
      <c r="J189" s="17">
        <f t="shared" si="1"/>
        <v>6.25</v>
      </c>
      <c r="K189" s="16" t="str">
        <f t="array" ref="K189">_xlfn.XLOOKUP(C189,Clientes[ID_Cliente],Clientes[Provincia])</f>
        <v>Córdoba</v>
      </c>
      <c r="L189" s="16" t="str">
        <f t="array" ref="L189">CONCATENATE(_xlfn.XLOOKUP(C189,Clientes[ID_Cliente],Clientes[Provincia]),", Argentina")</f>
        <v>Córdoba, Argentina</v>
      </c>
      <c r="M189" s="20" t="str">
        <f t="array" ref="M189">_xlfn.XLOOKUP(F189,Metodos_De_Pago[ID_Metodo],Metodos_De_Pago[Metodo])</f>
        <v>Transferencia</v>
      </c>
      <c r="N189" s="20" t="str">
        <f t="shared" si="2"/>
        <v>2024 06</v>
      </c>
    </row>
    <row r="190" ht="22.5" customHeight="1">
      <c r="A190" s="12">
        <f>IFERROR(__xludf.DUMMYFUNCTION("""COMPUTED_VALUE"""),833.0)</f>
        <v>833</v>
      </c>
      <c r="B190" s="13">
        <f>IFERROR(__xludf.DUMMYFUNCTION("""COMPUTED_VALUE"""),45447.0)</f>
        <v>45447</v>
      </c>
      <c r="C190" s="12">
        <f>IFERROR(__xludf.DUMMYFUNCTION("""COMPUTED_VALUE"""),303.0)</f>
        <v>303</v>
      </c>
      <c r="D190" s="12">
        <f>IFERROR(__xludf.DUMMYFUNCTION("""COMPUTED_VALUE"""),28.0)</f>
        <v>28</v>
      </c>
      <c r="E190" s="12">
        <f>IFERROR(__xludf.DUMMYFUNCTION("""COMPUTED_VALUE"""),1.0)</f>
        <v>1</v>
      </c>
      <c r="F190" s="12">
        <f>IFERROR(__xludf.DUMMYFUNCTION("""COMPUTED_VALUE"""),3.0)</f>
        <v>3</v>
      </c>
      <c r="G190" s="15" t="str">
        <f>IFERROR(__xludf.DUMMYFUNCTION("""COMPUTED_VALUE"""),"Completa")</f>
        <v>Completa</v>
      </c>
      <c r="H190" s="16" t="str">
        <f t="array" ref="H190">_xlfn.XLOOKUP(D190,Productos[ID_Producto],Productos[Nombre_Producto])</f>
        <v>Jugos de frutas</v>
      </c>
      <c r="I190" s="17">
        <f t="array" ref="I190">_xlfn.XLOOKUP(D190,Productos[ID_Producto],Productos[Precio_Unitario])</f>
        <v>9.45</v>
      </c>
      <c r="J190" s="17">
        <f t="shared" si="1"/>
        <v>9.45</v>
      </c>
      <c r="K190" s="16" t="str">
        <f t="array" ref="K190">_xlfn.XLOOKUP(C190,Clientes[ID_Cliente],Clientes[Provincia])</f>
        <v>Córdoba</v>
      </c>
      <c r="L190" s="16" t="str">
        <f t="array" ref="L190">CONCATENATE(_xlfn.XLOOKUP(C190,Clientes[ID_Cliente],Clientes[Provincia]),", Argentina")</f>
        <v>Córdoba, Argentina</v>
      </c>
      <c r="M190" s="20" t="str">
        <f t="array" ref="M190">_xlfn.XLOOKUP(F190,Metodos_De_Pago[ID_Metodo],Metodos_De_Pago[Metodo])</f>
        <v>Tarjeta de Débito</v>
      </c>
      <c r="N190" s="20" t="str">
        <f t="shared" si="2"/>
        <v>2024 06</v>
      </c>
    </row>
    <row r="191" ht="22.5" customHeight="1">
      <c r="A191" s="12">
        <f>IFERROR(__xludf.DUMMYFUNCTION("""COMPUTED_VALUE"""),2509.0)</f>
        <v>2509</v>
      </c>
      <c r="B191" s="13">
        <f>IFERROR(__xludf.DUMMYFUNCTION("""COMPUTED_VALUE"""),45447.0)</f>
        <v>45447</v>
      </c>
      <c r="C191" s="12">
        <f>IFERROR(__xludf.DUMMYFUNCTION("""COMPUTED_VALUE"""),114.0)</f>
        <v>114</v>
      </c>
      <c r="D191" s="12">
        <f>IFERROR(__xludf.DUMMYFUNCTION("""COMPUTED_VALUE"""),9.0)</f>
        <v>9</v>
      </c>
      <c r="E191" s="12">
        <f>IFERROR(__xludf.DUMMYFUNCTION("""COMPUTED_VALUE"""),1.0)</f>
        <v>1</v>
      </c>
      <c r="F191" s="12">
        <f>IFERROR(__xludf.DUMMYFUNCTION("""COMPUTED_VALUE"""),4.0)</f>
        <v>4</v>
      </c>
      <c r="G191" s="15" t="str">
        <f>IFERROR(__xludf.DUMMYFUNCTION("""COMPUTED_VALUE"""),"Completa")</f>
        <v>Completa</v>
      </c>
      <c r="H191" s="16" t="str">
        <f t="array" ref="H191">_xlfn.XLOOKUP(D191,Productos[ID_Producto],Productos[Nombre_Producto])</f>
        <v>Pollo</v>
      </c>
      <c r="I191" s="17">
        <f t="array" ref="I191">_xlfn.XLOOKUP(D191,Productos[ID_Producto],Productos[Precio_Unitario])</f>
        <v>18.56</v>
      </c>
      <c r="J191" s="17">
        <f t="shared" si="1"/>
        <v>18.56</v>
      </c>
      <c r="K191" s="16" t="str">
        <f t="array" ref="K191">_xlfn.XLOOKUP(C191,Clientes[ID_Cliente],Clientes[Provincia])</f>
        <v>Córdoba</v>
      </c>
      <c r="L191" s="16" t="str">
        <f t="array" ref="L191">CONCATENATE(_xlfn.XLOOKUP(C191,Clientes[ID_Cliente],Clientes[Provincia]),", Argentina")</f>
        <v>Córdoba, Argentina</v>
      </c>
      <c r="M191" s="20" t="str">
        <f t="array" ref="M191">_xlfn.XLOOKUP(F191,Metodos_De_Pago[ID_Metodo],Metodos_De_Pago[Metodo])</f>
        <v>Mercado Pago</v>
      </c>
      <c r="N191" s="20" t="str">
        <f t="shared" si="2"/>
        <v>2024 06</v>
      </c>
    </row>
    <row r="192" ht="22.5" customHeight="1">
      <c r="A192" s="12">
        <f>IFERROR(__xludf.DUMMYFUNCTION("""COMPUTED_VALUE"""),626.0)</f>
        <v>626</v>
      </c>
      <c r="B192" s="13">
        <f>IFERROR(__xludf.DUMMYFUNCTION("""COMPUTED_VALUE"""),45448.0)</f>
        <v>45448</v>
      </c>
      <c r="C192" s="12">
        <f>IFERROR(__xludf.DUMMYFUNCTION("""COMPUTED_VALUE"""),324.0)</f>
        <v>324</v>
      </c>
      <c r="D192" s="12">
        <f>IFERROR(__xludf.DUMMYFUNCTION("""COMPUTED_VALUE"""),21.0)</f>
        <v>21</v>
      </c>
      <c r="E192" s="12">
        <f>IFERROR(__xludf.DUMMYFUNCTION("""COMPUTED_VALUE"""),1.0)</f>
        <v>1</v>
      </c>
      <c r="F192" s="12">
        <f>IFERROR(__xludf.DUMMYFUNCTION("""COMPUTED_VALUE"""),1.0)</f>
        <v>1</v>
      </c>
      <c r="G192" s="15" t="str">
        <f>IFERROR(__xludf.DUMMYFUNCTION("""COMPUTED_VALUE"""),"Completa")</f>
        <v>Completa</v>
      </c>
      <c r="H192" s="16" t="str">
        <f t="array" ref="H192">_xlfn.XLOOKUP(D192,Productos[ID_Producto],Productos[Nombre_Producto])</f>
        <v>Zanahorias</v>
      </c>
      <c r="I192" s="17">
        <f t="array" ref="I192">_xlfn.XLOOKUP(D192,Productos[ID_Producto],Productos[Precio_Unitario])</f>
        <v>3.25</v>
      </c>
      <c r="J192" s="17">
        <f t="shared" si="1"/>
        <v>3.25</v>
      </c>
      <c r="K192" s="16" t="str">
        <f t="array" ref="K192">_xlfn.XLOOKUP(C192,Clientes[ID_Cliente],Clientes[Provincia])</f>
        <v>Chaco</v>
      </c>
      <c r="L192" s="16" t="str">
        <f t="array" ref="L192">CONCATENATE(_xlfn.XLOOKUP(C192,Clientes[ID_Cliente],Clientes[Provincia]),", Argentina")</f>
        <v>Chaco, Argentina</v>
      </c>
      <c r="M192" s="20" t="str">
        <f t="array" ref="M192">_xlfn.XLOOKUP(F192,Metodos_De_Pago[ID_Metodo],Metodos_De_Pago[Metodo])</f>
        <v>Efectivo</v>
      </c>
      <c r="N192" s="20" t="str">
        <f t="shared" si="2"/>
        <v>2024 06</v>
      </c>
    </row>
    <row r="193" ht="22.5" customHeight="1">
      <c r="A193" s="12">
        <f>IFERROR(__xludf.DUMMYFUNCTION("""COMPUTED_VALUE"""),1563.0)</f>
        <v>1563</v>
      </c>
      <c r="B193" s="13">
        <f>IFERROR(__xludf.DUMMYFUNCTION("""COMPUTED_VALUE"""),45448.0)</f>
        <v>45448</v>
      </c>
      <c r="C193" s="12">
        <f>IFERROR(__xludf.DUMMYFUNCTION("""COMPUTED_VALUE"""),313.0)</f>
        <v>313</v>
      </c>
      <c r="D193" s="12">
        <f>IFERROR(__xludf.DUMMYFUNCTION("""COMPUTED_VALUE"""),34.0)</f>
        <v>34</v>
      </c>
      <c r="E193" s="12">
        <f>IFERROR(__xludf.DUMMYFUNCTION("""COMPUTED_VALUE"""),1.0)</f>
        <v>1</v>
      </c>
      <c r="F193" s="12">
        <f>IFERROR(__xludf.DUMMYFUNCTION("""COMPUTED_VALUE"""),5.0)</f>
        <v>5</v>
      </c>
      <c r="G193" s="15" t="str">
        <f>IFERROR(__xludf.DUMMYFUNCTION("""COMPUTED_VALUE"""),"Completa")</f>
        <v>Completa</v>
      </c>
      <c r="H193" s="16" t="str">
        <f t="array" ref="H193">_xlfn.XLOOKUP(D193,Productos[ID_Producto],Productos[Nombre_Producto])</f>
        <v>Maníes</v>
      </c>
      <c r="I193" s="17">
        <f t="array" ref="I193">_xlfn.XLOOKUP(D193,Productos[ID_Producto],Productos[Precio_Unitario])</f>
        <v>5.45</v>
      </c>
      <c r="J193" s="17">
        <f t="shared" si="1"/>
        <v>5.45</v>
      </c>
      <c r="K193" s="16" t="str">
        <f t="array" ref="K193">_xlfn.XLOOKUP(C193,Clientes[ID_Cliente],Clientes[Provincia])</f>
        <v>San Luis</v>
      </c>
      <c r="L193" s="16" t="str">
        <f t="array" ref="L193">CONCATENATE(_xlfn.XLOOKUP(C193,Clientes[ID_Cliente],Clientes[Provincia]),", Argentina")</f>
        <v>San Luis, Argentina</v>
      </c>
      <c r="M193" s="20" t="str">
        <f t="array" ref="M193">_xlfn.XLOOKUP(F193,Metodos_De_Pago[ID_Metodo],Metodos_De_Pago[Metodo])</f>
        <v>Transferencia</v>
      </c>
      <c r="N193" s="20" t="str">
        <f t="shared" si="2"/>
        <v>2024 06</v>
      </c>
    </row>
    <row r="194" ht="22.5" customHeight="1">
      <c r="A194" s="12">
        <f>IFERROR(__xludf.DUMMYFUNCTION("""COMPUTED_VALUE"""),260.0)</f>
        <v>260</v>
      </c>
      <c r="B194" s="13">
        <f>IFERROR(__xludf.DUMMYFUNCTION("""COMPUTED_VALUE"""),45449.0)</f>
        <v>45449</v>
      </c>
      <c r="C194" s="12">
        <f>IFERROR(__xludf.DUMMYFUNCTION("""COMPUTED_VALUE"""),17.0)</f>
        <v>17</v>
      </c>
      <c r="D194" s="12">
        <f>IFERROR(__xludf.DUMMYFUNCTION("""COMPUTED_VALUE"""),14.0)</f>
        <v>14</v>
      </c>
      <c r="E194" s="12">
        <f>IFERROR(__xludf.DUMMYFUNCTION("""COMPUTED_VALUE"""),1.0)</f>
        <v>1</v>
      </c>
      <c r="F194" s="12">
        <f>IFERROR(__xludf.DUMMYFUNCTION("""COMPUTED_VALUE"""),3.0)</f>
        <v>3</v>
      </c>
      <c r="G194" s="15" t="str">
        <f>IFERROR(__xludf.DUMMYFUNCTION("""COMPUTED_VALUE"""),"Completa")</f>
        <v>Completa</v>
      </c>
      <c r="H194" s="16" t="str">
        <f t="array" ref="H194">_xlfn.XLOOKUP(D194,Productos[ID_Producto],Productos[Nombre_Producto])</f>
        <v>Facturas</v>
      </c>
      <c r="I194" s="17">
        <f t="array" ref="I194">_xlfn.XLOOKUP(D194,Productos[ID_Producto],Productos[Precio_Unitario])</f>
        <v>12.36</v>
      </c>
      <c r="J194" s="17">
        <f t="shared" si="1"/>
        <v>12.36</v>
      </c>
      <c r="K194" s="16" t="str">
        <f t="array" ref="K194">_xlfn.XLOOKUP(C194,Clientes[ID_Cliente],Clientes[Provincia])</f>
        <v>Buenos Aires</v>
      </c>
      <c r="L194" s="16" t="str">
        <f t="array" ref="L194">CONCATENATE(_xlfn.XLOOKUP(C194,Clientes[ID_Cliente],Clientes[Provincia]),", Argentina")</f>
        <v>Buenos Aires, Argentina</v>
      </c>
      <c r="M194" s="20" t="str">
        <f t="array" ref="M194">_xlfn.XLOOKUP(F194,Metodos_De_Pago[ID_Metodo],Metodos_De_Pago[Metodo])</f>
        <v>Tarjeta de Débito</v>
      </c>
      <c r="N194" s="20" t="str">
        <f t="shared" si="2"/>
        <v>2024 06</v>
      </c>
    </row>
    <row r="195" ht="22.5" customHeight="1">
      <c r="A195" s="12">
        <f>IFERROR(__xludf.DUMMYFUNCTION("""COMPUTED_VALUE"""),623.0)</f>
        <v>623</v>
      </c>
      <c r="B195" s="13">
        <f>IFERROR(__xludf.DUMMYFUNCTION("""COMPUTED_VALUE"""),45449.0)</f>
        <v>45449</v>
      </c>
      <c r="C195" s="12">
        <f>IFERROR(__xludf.DUMMYFUNCTION("""COMPUTED_VALUE"""),86.0)</f>
        <v>86</v>
      </c>
      <c r="D195" s="12">
        <f>IFERROR(__xludf.DUMMYFUNCTION("""COMPUTED_VALUE"""),14.0)</f>
        <v>14</v>
      </c>
      <c r="E195" s="12">
        <f>IFERROR(__xludf.DUMMYFUNCTION("""COMPUTED_VALUE"""),1.0)</f>
        <v>1</v>
      </c>
      <c r="F195" s="12">
        <f>IFERROR(__xludf.DUMMYFUNCTION("""COMPUTED_VALUE"""),3.0)</f>
        <v>3</v>
      </c>
      <c r="G195" s="15" t="str">
        <f>IFERROR(__xludf.DUMMYFUNCTION("""COMPUTED_VALUE"""),"Completa")</f>
        <v>Completa</v>
      </c>
      <c r="H195" s="16" t="str">
        <f t="array" ref="H195">_xlfn.XLOOKUP(D195,Productos[ID_Producto],Productos[Nombre_Producto])</f>
        <v>Facturas</v>
      </c>
      <c r="I195" s="17">
        <f t="array" ref="I195">_xlfn.XLOOKUP(D195,Productos[ID_Producto],Productos[Precio_Unitario])</f>
        <v>12.36</v>
      </c>
      <c r="J195" s="17">
        <f t="shared" si="1"/>
        <v>12.36</v>
      </c>
      <c r="K195" s="16" t="str">
        <f t="array" ref="K195">_xlfn.XLOOKUP(C195,Clientes[ID_Cliente],Clientes[Provincia])</f>
        <v>Neuquén</v>
      </c>
      <c r="L195" s="16" t="str">
        <f t="array" ref="L195">CONCATENATE(_xlfn.XLOOKUP(C195,Clientes[ID_Cliente],Clientes[Provincia]),", Argentina")</f>
        <v>Neuquén, Argentina</v>
      </c>
      <c r="M195" s="20" t="str">
        <f t="array" ref="M195">_xlfn.XLOOKUP(F195,Metodos_De_Pago[ID_Metodo],Metodos_De_Pago[Metodo])</f>
        <v>Tarjeta de Débito</v>
      </c>
      <c r="N195" s="20" t="str">
        <f t="shared" si="2"/>
        <v>2024 06</v>
      </c>
    </row>
    <row r="196" ht="22.5" customHeight="1">
      <c r="A196" s="12">
        <f>IFERROR(__xludf.DUMMYFUNCTION("""COMPUTED_VALUE"""),1966.0)</f>
        <v>1966</v>
      </c>
      <c r="B196" s="13">
        <f>IFERROR(__xludf.DUMMYFUNCTION("""COMPUTED_VALUE"""),45449.0)</f>
        <v>45449</v>
      </c>
      <c r="C196" s="12">
        <f>IFERROR(__xludf.DUMMYFUNCTION("""COMPUTED_VALUE"""),11.0)</f>
        <v>11</v>
      </c>
      <c r="D196" s="12">
        <f>IFERROR(__xludf.DUMMYFUNCTION("""COMPUTED_VALUE"""),24.0)</f>
        <v>24</v>
      </c>
      <c r="E196" s="12">
        <f>IFERROR(__xludf.DUMMYFUNCTION("""COMPUTED_VALUE"""),1.0)</f>
        <v>1</v>
      </c>
      <c r="F196" s="12">
        <f>IFERROR(__xludf.DUMMYFUNCTION("""COMPUTED_VALUE"""),4.0)</f>
        <v>4</v>
      </c>
      <c r="G196" s="15" t="str">
        <f>IFERROR(__xludf.DUMMYFUNCTION("""COMPUTED_VALUE"""),"Completa")</f>
        <v>Completa</v>
      </c>
      <c r="H196" s="16" t="str">
        <f t="array" ref="H196">_xlfn.XLOOKUP(D196,Productos[ID_Producto],Productos[Nombre_Producto])</f>
        <v>Empanadas</v>
      </c>
      <c r="I196" s="17">
        <f t="array" ref="I196">_xlfn.XLOOKUP(D196,Productos[ID_Producto],Productos[Precio_Unitario])</f>
        <v>13.54</v>
      </c>
      <c r="J196" s="17">
        <f t="shared" si="1"/>
        <v>13.54</v>
      </c>
      <c r="K196" s="16" t="str">
        <f t="array" ref="K196">_xlfn.XLOOKUP(C196,Clientes[ID_Cliente],Clientes[Provincia])</f>
        <v>Buenos Aires</v>
      </c>
      <c r="L196" s="16" t="str">
        <f t="array" ref="L196">CONCATENATE(_xlfn.XLOOKUP(C196,Clientes[ID_Cliente],Clientes[Provincia]),", Argentina")</f>
        <v>Buenos Aires, Argentina</v>
      </c>
      <c r="M196" s="20" t="str">
        <f t="array" ref="M196">_xlfn.XLOOKUP(F196,Metodos_De_Pago[ID_Metodo],Metodos_De_Pago[Metodo])</f>
        <v>Mercado Pago</v>
      </c>
      <c r="N196" s="20" t="str">
        <f t="shared" si="2"/>
        <v>2024 06</v>
      </c>
    </row>
    <row r="197" ht="22.5" customHeight="1">
      <c r="A197" s="12">
        <f>IFERROR(__xludf.DUMMYFUNCTION("""COMPUTED_VALUE"""),2244.0)</f>
        <v>2244</v>
      </c>
      <c r="B197" s="13">
        <f>IFERROR(__xludf.DUMMYFUNCTION("""COMPUTED_VALUE"""),45449.0)</f>
        <v>45449</v>
      </c>
      <c r="C197" s="12">
        <f>IFERROR(__xludf.DUMMYFUNCTION("""COMPUTED_VALUE"""),108.0)</f>
        <v>108</v>
      </c>
      <c r="D197" s="12">
        <f>IFERROR(__xludf.DUMMYFUNCTION("""COMPUTED_VALUE"""),30.0)</f>
        <v>30</v>
      </c>
      <c r="E197" s="12">
        <f>IFERROR(__xludf.DUMMYFUNCTION("""COMPUTED_VALUE"""),1.0)</f>
        <v>1</v>
      </c>
      <c r="F197" s="12">
        <f>IFERROR(__xludf.DUMMYFUNCTION("""COMPUTED_VALUE"""),4.0)</f>
        <v>4</v>
      </c>
      <c r="G197" s="15" t="str">
        <f>IFERROR(__xludf.DUMMYFUNCTION("""COMPUTED_VALUE"""),"Pendiente")</f>
        <v>Pendiente</v>
      </c>
      <c r="H197" s="16" t="str">
        <f t="array" ref="H197">_xlfn.XLOOKUP(D197,Productos[ID_Producto],Productos[Nombre_Producto])</f>
        <v>Vino tinto</v>
      </c>
      <c r="I197" s="17">
        <f t="array" ref="I197">_xlfn.XLOOKUP(D197,Productos[ID_Producto],Productos[Precio_Unitario])</f>
        <v>13.54</v>
      </c>
      <c r="J197" s="17">
        <f t="shared" si="1"/>
        <v>13.54</v>
      </c>
      <c r="K197" s="16" t="str">
        <f t="array" ref="K197">_xlfn.XLOOKUP(C197,Clientes[ID_Cliente],Clientes[Provincia])</f>
        <v>Neuquén</v>
      </c>
      <c r="L197" s="16" t="str">
        <f t="array" ref="L197">CONCATENATE(_xlfn.XLOOKUP(C197,Clientes[ID_Cliente],Clientes[Provincia]),", Argentina")</f>
        <v>Neuquén, Argentina</v>
      </c>
      <c r="M197" s="20" t="str">
        <f t="array" ref="M197">_xlfn.XLOOKUP(F197,Metodos_De_Pago[ID_Metodo],Metodos_De_Pago[Metodo])</f>
        <v>Mercado Pago</v>
      </c>
      <c r="N197" s="20" t="str">
        <f t="shared" si="2"/>
        <v>2024 06</v>
      </c>
    </row>
    <row r="198" ht="22.5" customHeight="1">
      <c r="A198" s="12">
        <f>IFERROR(__xludf.DUMMYFUNCTION("""COMPUTED_VALUE"""),1035.0)</f>
        <v>1035</v>
      </c>
      <c r="B198" s="13">
        <f>IFERROR(__xludf.DUMMYFUNCTION("""COMPUTED_VALUE"""),45450.0)</f>
        <v>45450</v>
      </c>
      <c r="C198" s="12">
        <f>IFERROR(__xludf.DUMMYFUNCTION("""COMPUTED_VALUE"""),249.0)</f>
        <v>249</v>
      </c>
      <c r="D198" s="12">
        <f>IFERROR(__xludf.DUMMYFUNCTION("""COMPUTED_VALUE"""),20.0)</f>
        <v>20</v>
      </c>
      <c r="E198" s="12">
        <f>IFERROR(__xludf.DUMMYFUNCTION("""COMPUTED_VALUE"""),1.0)</f>
        <v>1</v>
      </c>
      <c r="F198" s="12">
        <f>IFERROR(__xludf.DUMMYFUNCTION("""COMPUTED_VALUE"""),3.0)</f>
        <v>3</v>
      </c>
      <c r="G198" s="15" t="str">
        <f>IFERROR(__xludf.DUMMYFUNCTION("""COMPUTED_VALUE"""),"Completa")</f>
        <v>Completa</v>
      </c>
      <c r="H198" s="16" t="str">
        <f t="array" ref="H198">_xlfn.XLOOKUP(D198,Productos[ID_Producto],Productos[Nombre_Producto])</f>
        <v>Lechugas</v>
      </c>
      <c r="I198" s="17">
        <f t="array" ref="I198">_xlfn.XLOOKUP(D198,Productos[ID_Producto],Productos[Precio_Unitario])</f>
        <v>4.25</v>
      </c>
      <c r="J198" s="17">
        <f t="shared" si="1"/>
        <v>4.25</v>
      </c>
      <c r="K198" s="16" t="str">
        <f t="array" ref="K198">_xlfn.XLOOKUP(C198,Clientes[ID_Cliente],Clientes[Provincia])</f>
        <v>Buenos Aires</v>
      </c>
      <c r="L198" s="16" t="str">
        <f t="array" ref="L198">CONCATENATE(_xlfn.XLOOKUP(C198,Clientes[ID_Cliente],Clientes[Provincia]),", Argentina")</f>
        <v>Buenos Aires, Argentina</v>
      </c>
      <c r="M198" s="20" t="str">
        <f t="array" ref="M198">_xlfn.XLOOKUP(F198,Metodos_De_Pago[ID_Metodo],Metodos_De_Pago[Metodo])</f>
        <v>Tarjeta de Débito</v>
      </c>
      <c r="N198" s="20" t="str">
        <f t="shared" si="2"/>
        <v>2024 06</v>
      </c>
    </row>
    <row r="199" ht="22.5" customHeight="1">
      <c r="A199" s="12">
        <f>IFERROR(__xludf.DUMMYFUNCTION("""COMPUTED_VALUE"""),2655.0)</f>
        <v>2655</v>
      </c>
      <c r="B199" s="13">
        <f>IFERROR(__xludf.DUMMYFUNCTION("""COMPUTED_VALUE"""),45450.0)</f>
        <v>45450</v>
      </c>
      <c r="C199" s="12">
        <f>IFERROR(__xludf.DUMMYFUNCTION("""COMPUTED_VALUE"""),176.0)</f>
        <v>176</v>
      </c>
      <c r="D199" s="12">
        <f>IFERROR(__xludf.DUMMYFUNCTION("""COMPUTED_VALUE"""),18.0)</f>
        <v>18</v>
      </c>
      <c r="E199" s="12">
        <f>IFERROR(__xludf.DUMMYFUNCTION("""COMPUTED_VALUE"""),1.0)</f>
        <v>1</v>
      </c>
      <c r="F199" s="12">
        <f>IFERROR(__xludf.DUMMYFUNCTION("""COMPUTED_VALUE"""),2.0)</f>
        <v>2</v>
      </c>
      <c r="G199" s="15" t="str">
        <f>IFERROR(__xludf.DUMMYFUNCTION("""COMPUTED_VALUE"""),"Completa")</f>
        <v>Completa</v>
      </c>
      <c r="H199" s="16" t="str">
        <f t="array" ref="H199">_xlfn.XLOOKUP(D199,Productos[ID_Producto],Productos[Nombre_Producto])</f>
        <v>Bananas</v>
      </c>
      <c r="I199" s="17">
        <f t="array" ref="I199">_xlfn.XLOOKUP(D199,Productos[ID_Producto],Productos[Precio_Unitario])</f>
        <v>7.25</v>
      </c>
      <c r="J199" s="17">
        <f t="shared" si="1"/>
        <v>7.25</v>
      </c>
      <c r="K199" s="16" t="str">
        <f t="array" ref="K199">_xlfn.XLOOKUP(C199,Clientes[ID_Cliente],Clientes[Provincia])</f>
        <v>Chaco</v>
      </c>
      <c r="L199" s="16" t="str">
        <f t="array" ref="L199">CONCATENATE(_xlfn.XLOOKUP(C199,Clientes[ID_Cliente],Clientes[Provincia]),", Argentina")</f>
        <v>Chaco, Argentina</v>
      </c>
      <c r="M199" s="20" t="str">
        <f t="array" ref="M199">_xlfn.XLOOKUP(F199,Metodos_De_Pago[ID_Metodo],Metodos_De_Pago[Metodo])</f>
        <v>Tarjeta de Crédito</v>
      </c>
      <c r="N199" s="20" t="str">
        <f t="shared" si="2"/>
        <v>2024 06</v>
      </c>
    </row>
    <row r="200" ht="22.5" customHeight="1">
      <c r="A200" s="12">
        <f>IFERROR(__xludf.DUMMYFUNCTION("""COMPUTED_VALUE"""),1343.0)</f>
        <v>1343</v>
      </c>
      <c r="B200" s="13">
        <f>IFERROR(__xludf.DUMMYFUNCTION("""COMPUTED_VALUE"""),45451.0)</f>
        <v>45451</v>
      </c>
      <c r="C200" s="12">
        <f>IFERROR(__xludf.DUMMYFUNCTION("""COMPUTED_VALUE"""),288.0)</f>
        <v>288</v>
      </c>
      <c r="D200" s="12">
        <f>IFERROR(__xludf.DUMMYFUNCTION("""COMPUTED_VALUE"""),28.0)</f>
        <v>28</v>
      </c>
      <c r="E200" s="12">
        <f>IFERROR(__xludf.DUMMYFUNCTION("""COMPUTED_VALUE"""),1.0)</f>
        <v>1</v>
      </c>
      <c r="F200" s="12">
        <f>IFERROR(__xludf.DUMMYFUNCTION("""COMPUTED_VALUE"""),3.0)</f>
        <v>3</v>
      </c>
      <c r="G200" s="15" t="str">
        <f>IFERROR(__xludf.DUMMYFUNCTION("""COMPUTED_VALUE"""),"Completa")</f>
        <v>Completa</v>
      </c>
      <c r="H200" s="16" t="str">
        <f t="array" ref="H200">_xlfn.XLOOKUP(D200,Productos[ID_Producto],Productos[Nombre_Producto])</f>
        <v>Jugos de frutas</v>
      </c>
      <c r="I200" s="17">
        <f t="array" ref="I200">_xlfn.XLOOKUP(D200,Productos[ID_Producto],Productos[Precio_Unitario])</f>
        <v>9.45</v>
      </c>
      <c r="J200" s="17">
        <f t="shared" si="1"/>
        <v>9.45</v>
      </c>
      <c r="K200" s="16" t="str">
        <f t="array" ref="K200">_xlfn.XLOOKUP(C200,Clientes[ID_Cliente],Clientes[Provincia])</f>
        <v>Buenos Aires</v>
      </c>
      <c r="L200" s="16" t="str">
        <f t="array" ref="L200">CONCATENATE(_xlfn.XLOOKUP(C200,Clientes[ID_Cliente],Clientes[Provincia]),", Argentina")</f>
        <v>Buenos Aires, Argentina</v>
      </c>
      <c r="M200" s="20" t="str">
        <f t="array" ref="M200">_xlfn.XLOOKUP(F200,Metodos_De_Pago[ID_Metodo],Metodos_De_Pago[Metodo])</f>
        <v>Tarjeta de Débito</v>
      </c>
      <c r="N200" s="20" t="str">
        <f t="shared" si="2"/>
        <v>2024 06</v>
      </c>
    </row>
    <row r="201" ht="22.5" customHeight="1">
      <c r="A201" s="12">
        <f>IFERROR(__xludf.DUMMYFUNCTION("""COMPUTED_VALUE"""),1775.0)</f>
        <v>1775</v>
      </c>
      <c r="B201" s="13">
        <f>IFERROR(__xludf.DUMMYFUNCTION("""COMPUTED_VALUE"""),45451.0)</f>
        <v>45451</v>
      </c>
      <c r="C201" s="12">
        <f>IFERROR(__xludf.DUMMYFUNCTION("""COMPUTED_VALUE"""),126.0)</f>
        <v>126</v>
      </c>
      <c r="D201" s="12">
        <f>IFERROR(__xludf.DUMMYFUNCTION("""COMPUTED_VALUE"""),21.0)</f>
        <v>21</v>
      </c>
      <c r="E201" s="12">
        <f>IFERROR(__xludf.DUMMYFUNCTION("""COMPUTED_VALUE"""),1.0)</f>
        <v>1</v>
      </c>
      <c r="F201" s="12">
        <f>IFERROR(__xludf.DUMMYFUNCTION("""COMPUTED_VALUE"""),3.0)</f>
        <v>3</v>
      </c>
      <c r="G201" s="15" t="str">
        <f>IFERROR(__xludf.DUMMYFUNCTION("""COMPUTED_VALUE"""),"Completa")</f>
        <v>Completa</v>
      </c>
      <c r="H201" s="16" t="str">
        <f t="array" ref="H201">_xlfn.XLOOKUP(D201,Productos[ID_Producto],Productos[Nombre_Producto])</f>
        <v>Zanahorias</v>
      </c>
      <c r="I201" s="17">
        <f t="array" ref="I201">_xlfn.XLOOKUP(D201,Productos[ID_Producto],Productos[Precio_Unitario])</f>
        <v>3.25</v>
      </c>
      <c r="J201" s="17">
        <f t="shared" si="1"/>
        <v>3.25</v>
      </c>
      <c r="K201" s="16" t="str">
        <f t="array" ref="K201">_xlfn.XLOOKUP(C201,Clientes[ID_Cliente],Clientes[Provincia])</f>
        <v>San Luis</v>
      </c>
      <c r="L201" s="16" t="str">
        <f t="array" ref="L201">CONCATENATE(_xlfn.XLOOKUP(C201,Clientes[ID_Cliente],Clientes[Provincia]),", Argentina")</f>
        <v>San Luis, Argentina</v>
      </c>
      <c r="M201" s="20" t="str">
        <f t="array" ref="M201">_xlfn.XLOOKUP(F201,Metodos_De_Pago[ID_Metodo],Metodos_De_Pago[Metodo])</f>
        <v>Tarjeta de Débito</v>
      </c>
      <c r="N201" s="20" t="str">
        <f t="shared" si="2"/>
        <v>2024 06</v>
      </c>
    </row>
    <row r="202" ht="22.5" customHeight="1">
      <c r="A202" s="12">
        <f>IFERROR(__xludf.DUMMYFUNCTION("""COMPUTED_VALUE"""),2648.0)</f>
        <v>2648</v>
      </c>
      <c r="B202" s="13">
        <f>IFERROR(__xludf.DUMMYFUNCTION("""COMPUTED_VALUE"""),45453.0)</f>
        <v>45453</v>
      </c>
      <c r="C202" s="12">
        <f>IFERROR(__xludf.DUMMYFUNCTION("""COMPUTED_VALUE"""),299.0)</f>
        <v>299</v>
      </c>
      <c r="D202" s="12">
        <f>IFERROR(__xludf.DUMMYFUNCTION("""COMPUTED_VALUE"""),31.0)</f>
        <v>31</v>
      </c>
      <c r="E202" s="12">
        <f>IFERROR(__xludf.DUMMYFUNCTION("""COMPUTED_VALUE"""),1.0)</f>
        <v>1</v>
      </c>
      <c r="F202" s="12">
        <f>IFERROR(__xludf.DUMMYFUNCTION("""COMPUTED_VALUE"""),1.0)</f>
        <v>1</v>
      </c>
      <c r="G202" s="15" t="str">
        <f>IFERROR(__xludf.DUMMYFUNCTION("""COMPUTED_VALUE"""),"Completa")</f>
        <v>Completa</v>
      </c>
      <c r="H202" s="16" t="str">
        <f t="array" ref="H202">_xlfn.XLOOKUP(D202,Productos[ID_Producto],Productos[Nombre_Producto])</f>
        <v>Galletitas de agua</v>
      </c>
      <c r="I202" s="17">
        <f t="array" ref="I202">_xlfn.XLOOKUP(D202,Productos[ID_Producto],Productos[Precio_Unitario])</f>
        <v>5.24</v>
      </c>
      <c r="J202" s="17">
        <f t="shared" si="1"/>
        <v>5.24</v>
      </c>
      <c r="K202" s="16" t="str">
        <f t="array" ref="K202">_xlfn.XLOOKUP(C202,Clientes[ID_Cliente],Clientes[Provincia])</f>
        <v>San Luis</v>
      </c>
      <c r="L202" s="16" t="str">
        <f t="array" ref="L202">CONCATENATE(_xlfn.XLOOKUP(C202,Clientes[ID_Cliente],Clientes[Provincia]),", Argentina")</f>
        <v>San Luis, Argentina</v>
      </c>
      <c r="M202" s="20" t="str">
        <f t="array" ref="M202">_xlfn.XLOOKUP(F202,Metodos_De_Pago[ID_Metodo],Metodos_De_Pago[Metodo])</f>
        <v>Efectivo</v>
      </c>
      <c r="N202" s="20" t="str">
        <f t="shared" si="2"/>
        <v>2024 06</v>
      </c>
    </row>
    <row r="203" ht="22.5" customHeight="1">
      <c r="A203" s="12">
        <f>IFERROR(__xludf.DUMMYFUNCTION("""COMPUTED_VALUE"""),2653.0)</f>
        <v>2653</v>
      </c>
      <c r="B203" s="13">
        <f>IFERROR(__xludf.DUMMYFUNCTION("""COMPUTED_VALUE"""),45453.0)</f>
        <v>45453</v>
      </c>
      <c r="C203" s="12">
        <f>IFERROR(__xludf.DUMMYFUNCTION("""COMPUTED_VALUE"""),255.0)</f>
        <v>255</v>
      </c>
      <c r="D203" s="12">
        <f>IFERROR(__xludf.DUMMYFUNCTION("""COMPUTED_VALUE"""),8.0)</f>
        <v>8</v>
      </c>
      <c r="E203" s="12">
        <f>IFERROR(__xludf.DUMMYFUNCTION("""COMPUTED_VALUE"""),1.0)</f>
        <v>1</v>
      </c>
      <c r="F203" s="12">
        <f>IFERROR(__xludf.DUMMYFUNCTION("""COMPUTED_VALUE"""),2.0)</f>
        <v>2</v>
      </c>
      <c r="G203" s="15" t="str">
        <f>IFERROR(__xludf.DUMMYFUNCTION("""COMPUTED_VALUE"""),"Pendiente")</f>
        <v>Pendiente</v>
      </c>
      <c r="H203" s="16" t="str">
        <f t="array" ref="H203">_xlfn.XLOOKUP(D203,Productos[ID_Producto],Productos[Nombre_Producto])</f>
        <v>Milanesa</v>
      </c>
      <c r="I203" s="17">
        <f t="array" ref="I203">_xlfn.XLOOKUP(D203,Productos[ID_Producto],Productos[Precio_Unitario])</f>
        <v>16.21</v>
      </c>
      <c r="J203" s="17">
        <f t="shared" si="1"/>
        <v>16.21</v>
      </c>
      <c r="K203" s="16" t="str">
        <f t="array" ref="K203">_xlfn.XLOOKUP(C203,Clientes[ID_Cliente],Clientes[Provincia])</f>
        <v>Buenos Aires</v>
      </c>
      <c r="L203" s="16" t="str">
        <f t="array" ref="L203">CONCATENATE(_xlfn.XLOOKUP(C203,Clientes[ID_Cliente],Clientes[Provincia]),", Argentina")</f>
        <v>Buenos Aires, Argentina</v>
      </c>
      <c r="M203" s="20" t="str">
        <f t="array" ref="M203">_xlfn.XLOOKUP(F203,Metodos_De_Pago[ID_Metodo],Metodos_De_Pago[Metodo])</f>
        <v>Tarjeta de Crédito</v>
      </c>
      <c r="N203" s="20" t="str">
        <f t="shared" si="2"/>
        <v>2024 06</v>
      </c>
    </row>
    <row r="204" ht="22.5" customHeight="1">
      <c r="A204" s="12">
        <f>IFERROR(__xludf.DUMMYFUNCTION("""COMPUTED_VALUE"""),2657.0)</f>
        <v>2657</v>
      </c>
      <c r="B204" s="13">
        <f>IFERROR(__xludf.DUMMYFUNCTION("""COMPUTED_VALUE"""),45453.0)</f>
        <v>45453</v>
      </c>
      <c r="C204" s="12">
        <f>IFERROR(__xludf.DUMMYFUNCTION("""COMPUTED_VALUE"""),171.0)</f>
        <v>171</v>
      </c>
      <c r="D204" s="12">
        <f>IFERROR(__xludf.DUMMYFUNCTION("""COMPUTED_VALUE"""),12.0)</f>
        <v>12</v>
      </c>
      <c r="E204" s="12">
        <f>IFERROR(__xludf.DUMMYFUNCTION("""COMPUTED_VALUE"""),1.0)</f>
        <v>1</v>
      </c>
      <c r="F204" s="12">
        <f>IFERROR(__xludf.DUMMYFUNCTION("""COMPUTED_VALUE"""),4.0)</f>
        <v>4</v>
      </c>
      <c r="G204" s="15" t="str">
        <f>IFERROR(__xludf.DUMMYFUNCTION("""COMPUTED_VALUE"""),"Completa")</f>
        <v>Completa</v>
      </c>
      <c r="H204" s="16" t="str">
        <f t="array" ref="H204">_xlfn.XLOOKUP(D204,Productos[ID_Producto],Productos[Nombre_Producto])</f>
        <v>Pan francés</v>
      </c>
      <c r="I204" s="17">
        <f t="array" ref="I204">_xlfn.XLOOKUP(D204,Productos[ID_Producto],Productos[Precio_Unitario])</f>
        <v>8.12</v>
      </c>
      <c r="J204" s="17">
        <f t="shared" si="1"/>
        <v>8.12</v>
      </c>
      <c r="K204" s="16" t="str">
        <f t="array" ref="K204">_xlfn.XLOOKUP(C204,Clientes[ID_Cliente],Clientes[Provincia])</f>
        <v>San Luis</v>
      </c>
      <c r="L204" s="16" t="str">
        <f t="array" ref="L204">CONCATENATE(_xlfn.XLOOKUP(C204,Clientes[ID_Cliente],Clientes[Provincia]),", Argentina")</f>
        <v>San Luis, Argentina</v>
      </c>
      <c r="M204" s="20" t="str">
        <f t="array" ref="M204">_xlfn.XLOOKUP(F204,Metodos_De_Pago[ID_Metodo],Metodos_De_Pago[Metodo])</f>
        <v>Mercado Pago</v>
      </c>
      <c r="N204" s="20" t="str">
        <f t="shared" si="2"/>
        <v>2024 06</v>
      </c>
    </row>
    <row r="205" ht="22.5" customHeight="1">
      <c r="A205" s="12">
        <f>IFERROR(__xludf.DUMMYFUNCTION("""COMPUTED_VALUE"""),959.0)</f>
        <v>959</v>
      </c>
      <c r="B205" s="13">
        <f>IFERROR(__xludf.DUMMYFUNCTION("""COMPUTED_VALUE"""),45454.0)</f>
        <v>45454</v>
      </c>
      <c r="C205" s="12">
        <f>IFERROR(__xludf.DUMMYFUNCTION("""COMPUTED_VALUE"""),66.0)</f>
        <v>66</v>
      </c>
      <c r="D205" s="12">
        <f>IFERROR(__xludf.DUMMYFUNCTION("""COMPUTED_VALUE"""),26.0)</f>
        <v>26</v>
      </c>
      <c r="E205" s="12">
        <f>IFERROR(__xludf.DUMMYFUNCTION("""COMPUTED_VALUE"""),1.0)</f>
        <v>1</v>
      </c>
      <c r="F205" s="12">
        <f>IFERROR(__xludf.DUMMYFUNCTION("""COMPUTED_VALUE"""),1.0)</f>
        <v>1</v>
      </c>
      <c r="G205" s="15" t="str">
        <f>IFERROR(__xludf.DUMMYFUNCTION("""COMPUTED_VALUE"""),"Completa")</f>
        <v>Completa</v>
      </c>
      <c r="H205" s="16" t="str">
        <f t="array" ref="H205">_xlfn.XLOOKUP(D205,Productos[ID_Producto],Productos[Nombre_Producto])</f>
        <v>Hamburgesas congeladas</v>
      </c>
      <c r="I205" s="17">
        <f t="array" ref="I205">_xlfn.XLOOKUP(D205,Productos[ID_Producto],Productos[Precio_Unitario])</f>
        <v>9.54</v>
      </c>
      <c r="J205" s="17">
        <f t="shared" si="1"/>
        <v>9.54</v>
      </c>
      <c r="K205" s="16" t="str">
        <f t="array" ref="K205">_xlfn.XLOOKUP(C205,Clientes[ID_Cliente],Clientes[Provincia])</f>
        <v>Buenos Aires</v>
      </c>
      <c r="L205" s="16" t="str">
        <f t="array" ref="L205">CONCATENATE(_xlfn.XLOOKUP(C205,Clientes[ID_Cliente],Clientes[Provincia]),", Argentina")</f>
        <v>Buenos Aires, Argentina</v>
      </c>
      <c r="M205" s="20" t="str">
        <f t="array" ref="M205">_xlfn.XLOOKUP(F205,Metodos_De_Pago[ID_Metodo],Metodos_De_Pago[Metodo])</f>
        <v>Efectivo</v>
      </c>
      <c r="N205" s="20" t="str">
        <f t="shared" si="2"/>
        <v>2024 06</v>
      </c>
    </row>
    <row r="206" ht="22.5" customHeight="1">
      <c r="A206" s="12">
        <f>IFERROR(__xludf.DUMMYFUNCTION("""COMPUTED_VALUE"""),1757.0)</f>
        <v>1757</v>
      </c>
      <c r="B206" s="13">
        <f>IFERROR(__xludf.DUMMYFUNCTION("""COMPUTED_VALUE"""),45454.0)</f>
        <v>45454</v>
      </c>
      <c r="C206" s="12">
        <f>IFERROR(__xludf.DUMMYFUNCTION("""COMPUTED_VALUE"""),272.0)</f>
        <v>272</v>
      </c>
      <c r="D206" s="12">
        <f>IFERROR(__xludf.DUMMYFUNCTION("""COMPUTED_VALUE"""),18.0)</f>
        <v>18</v>
      </c>
      <c r="E206" s="12">
        <f>IFERROR(__xludf.DUMMYFUNCTION("""COMPUTED_VALUE"""),1.0)</f>
        <v>1</v>
      </c>
      <c r="F206" s="12">
        <f>IFERROR(__xludf.DUMMYFUNCTION("""COMPUTED_VALUE"""),3.0)</f>
        <v>3</v>
      </c>
      <c r="G206" s="15" t="str">
        <f>IFERROR(__xludf.DUMMYFUNCTION("""COMPUTED_VALUE"""),"Completa")</f>
        <v>Completa</v>
      </c>
      <c r="H206" s="16" t="str">
        <f t="array" ref="H206">_xlfn.XLOOKUP(D206,Productos[ID_Producto],Productos[Nombre_Producto])</f>
        <v>Bananas</v>
      </c>
      <c r="I206" s="17">
        <f t="array" ref="I206">_xlfn.XLOOKUP(D206,Productos[ID_Producto],Productos[Precio_Unitario])</f>
        <v>7.25</v>
      </c>
      <c r="J206" s="17">
        <f t="shared" si="1"/>
        <v>7.25</v>
      </c>
      <c r="K206" s="16" t="str">
        <f t="array" ref="K206">_xlfn.XLOOKUP(C206,Clientes[ID_Cliente],Clientes[Provincia])</f>
        <v>Buenos Aires</v>
      </c>
      <c r="L206" s="16" t="str">
        <f t="array" ref="L206">CONCATENATE(_xlfn.XLOOKUP(C206,Clientes[ID_Cliente],Clientes[Provincia]),", Argentina")</f>
        <v>Buenos Aires, Argentina</v>
      </c>
      <c r="M206" s="20" t="str">
        <f t="array" ref="M206">_xlfn.XLOOKUP(F206,Metodos_De_Pago[ID_Metodo],Metodos_De_Pago[Metodo])</f>
        <v>Tarjeta de Débito</v>
      </c>
      <c r="N206" s="20" t="str">
        <f t="shared" si="2"/>
        <v>2024 06</v>
      </c>
    </row>
    <row r="207" ht="22.5" customHeight="1">
      <c r="A207" s="12">
        <f>IFERROR(__xludf.DUMMYFUNCTION("""COMPUTED_VALUE"""),2447.0)</f>
        <v>2447</v>
      </c>
      <c r="B207" s="13">
        <f>IFERROR(__xludf.DUMMYFUNCTION("""COMPUTED_VALUE"""),45454.0)</f>
        <v>45454</v>
      </c>
      <c r="C207" s="12">
        <f>IFERROR(__xludf.DUMMYFUNCTION("""COMPUTED_VALUE"""),53.0)</f>
        <v>53</v>
      </c>
      <c r="D207" s="12">
        <f>IFERROR(__xludf.DUMMYFUNCTION("""COMPUTED_VALUE"""),18.0)</f>
        <v>18</v>
      </c>
      <c r="E207" s="12">
        <f>IFERROR(__xludf.DUMMYFUNCTION("""COMPUTED_VALUE"""),1.0)</f>
        <v>1</v>
      </c>
      <c r="F207" s="12">
        <f>IFERROR(__xludf.DUMMYFUNCTION("""COMPUTED_VALUE"""),5.0)</f>
        <v>5</v>
      </c>
      <c r="G207" s="15" t="str">
        <f>IFERROR(__xludf.DUMMYFUNCTION("""COMPUTED_VALUE"""),"Completa")</f>
        <v>Completa</v>
      </c>
      <c r="H207" s="16" t="str">
        <f t="array" ref="H207">_xlfn.XLOOKUP(D207,Productos[ID_Producto],Productos[Nombre_Producto])</f>
        <v>Bananas</v>
      </c>
      <c r="I207" s="17">
        <f t="array" ref="I207">_xlfn.XLOOKUP(D207,Productos[ID_Producto],Productos[Precio_Unitario])</f>
        <v>7.25</v>
      </c>
      <c r="J207" s="17">
        <f t="shared" si="1"/>
        <v>7.25</v>
      </c>
      <c r="K207" s="16" t="str">
        <f t="array" ref="K207">_xlfn.XLOOKUP(C207,Clientes[ID_Cliente],Clientes[Provincia])</f>
        <v>Córdoba</v>
      </c>
      <c r="L207" s="16" t="str">
        <f t="array" ref="L207">CONCATENATE(_xlfn.XLOOKUP(C207,Clientes[ID_Cliente],Clientes[Provincia]),", Argentina")</f>
        <v>Córdoba, Argentina</v>
      </c>
      <c r="M207" s="20" t="str">
        <f t="array" ref="M207">_xlfn.XLOOKUP(F207,Metodos_De_Pago[ID_Metodo],Metodos_De_Pago[Metodo])</f>
        <v>Transferencia</v>
      </c>
      <c r="N207" s="20" t="str">
        <f t="shared" si="2"/>
        <v>2024 06</v>
      </c>
    </row>
    <row r="208" ht="22.5" customHeight="1">
      <c r="A208" s="12">
        <f>IFERROR(__xludf.DUMMYFUNCTION("""COMPUTED_VALUE"""),2484.0)</f>
        <v>2484</v>
      </c>
      <c r="B208" s="13">
        <f>IFERROR(__xludf.DUMMYFUNCTION("""COMPUTED_VALUE"""),45454.0)</f>
        <v>45454</v>
      </c>
      <c r="C208" s="12">
        <f>IFERROR(__xludf.DUMMYFUNCTION("""COMPUTED_VALUE"""),151.0)</f>
        <v>151</v>
      </c>
      <c r="D208" s="12">
        <f>IFERROR(__xludf.DUMMYFUNCTION("""COMPUTED_VALUE"""),28.0)</f>
        <v>28</v>
      </c>
      <c r="E208" s="12">
        <f>IFERROR(__xludf.DUMMYFUNCTION("""COMPUTED_VALUE"""),1.0)</f>
        <v>1</v>
      </c>
      <c r="F208" s="12">
        <f>IFERROR(__xludf.DUMMYFUNCTION("""COMPUTED_VALUE"""),2.0)</f>
        <v>2</v>
      </c>
      <c r="G208" s="15" t="str">
        <f>IFERROR(__xludf.DUMMYFUNCTION("""COMPUTED_VALUE"""),"Completa")</f>
        <v>Completa</v>
      </c>
      <c r="H208" s="16" t="str">
        <f t="array" ref="H208">_xlfn.XLOOKUP(D208,Productos[ID_Producto],Productos[Nombre_Producto])</f>
        <v>Jugos de frutas</v>
      </c>
      <c r="I208" s="17">
        <f t="array" ref="I208">_xlfn.XLOOKUP(D208,Productos[ID_Producto],Productos[Precio_Unitario])</f>
        <v>9.45</v>
      </c>
      <c r="J208" s="17">
        <f t="shared" si="1"/>
        <v>9.45</v>
      </c>
      <c r="K208" s="16" t="str">
        <f t="array" ref="K208">_xlfn.XLOOKUP(C208,Clientes[ID_Cliente],Clientes[Provincia])</f>
        <v>Buenos Aires</v>
      </c>
      <c r="L208" s="16" t="str">
        <f t="array" ref="L208">CONCATENATE(_xlfn.XLOOKUP(C208,Clientes[ID_Cliente],Clientes[Provincia]),", Argentina")</f>
        <v>Buenos Aires, Argentina</v>
      </c>
      <c r="M208" s="20" t="str">
        <f t="array" ref="M208">_xlfn.XLOOKUP(F208,Metodos_De_Pago[ID_Metodo],Metodos_De_Pago[Metodo])</f>
        <v>Tarjeta de Crédito</v>
      </c>
      <c r="N208" s="20" t="str">
        <f t="shared" si="2"/>
        <v>2024 06</v>
      </c>
    </row>
    <row r="209" ht="22.5" customHeight="1">
      <c r="A209" s="12">
        <f>IFERROR(__xludf.DUMMYFUNCTION("""COMPUTED_VALUE"""),1425.0)</f>
        <v>1425</v>
      </c>
      <c r="B209" s="13">
        <f>IFERROR(__xludf.DUMMYFUNCTION("""COMPUTED_VALUE"""),45455.0)</f>
        <v>45455</v>
      </c>
      <c r="C209" s="12">
        <f>IFERROR(__xludf.DUMMYFUNCTION("""COMPUTED_VALUE"""),306.0)</f>
        <v>306</v>
      </c>
      <c r="D209" s="12">
        <f>IFERROR(__xludf.DUMMYFUNCTION("""COMPUTED_VALUE"""),11.0)</f>
        <v>11</v>
      </c>
      <c r="E209" s="12">
        <f>IFERROR(__xludf.DUMMYFUNCTION("""COMPUTED_VALUE"""),1.0)</f>
        <v>1</v>
      </c>
      <c r="F209" s="12">
        <f>IFERROR(__xludf.DUMMYFUNCTION("""COMPUTED_VALUE"""),4.0)</f>
        <v>4</v>
      </c>
      <c r="G209" s="15" t="str">
        <f>IFERROR(__xludf.DUMMYFUNCTION("""COMPUTED_VALUE"""),"Completa")</f>
        <v>Completa</v>
      </c>
      <c r="H209" s="16" t="str">
        <f t="array" ref="H209">_xlfn.XLOOKUP(D209,Productos[ID_Producto],Productos[Nombre_Producto])</f>
        <v>Salchicha</v>
      </c>
      <c r="I209" s="17">
        <f t="array" ref="I209">_xlfn.XLOOKUP(D209,Productos[ID_Producto],Productos[Precio_Unitario])</f>
        <v>11.23</v>
      </c>
      <c r="J209" s="17">
        <f t="shared" si="1"/>
        <v>11.23</v>
      </c>
      <c r="K209" s="16" t="str">
        <f t="array" ref="K209">_xlfn.XLOOKUP(C209,Clientes[ID_Cliente],Clientes[Provincia])</f>
        <v>San Luis</v>
      </c>
      <c r="L209" s="16" t="str">
        <f t="array" ref="L209">CONCATENATE(_xlfn.XLOOKUP(C209,Clientes[ID_Cliente],Clientes[Provincia]),", Argentina")</f>
        <v>San Luis, Argentina</v>
      </c>
      <c r="M209" s="20" t="str">
        <f t="array" ref="M209">_xlfn.XLOOKUP(F209,Metodos_De_Pago[ID_Metodo],Metodos_De_Pago[Metodo])</f>
        <v>Mercado Pago</v>
      </c>
      <c r="N209" s="20" t="str">
        <f t="shared" si="2"/>
        <v>2024 06</v>
      </c>
    </row>
    <row r="210" ht="22.5" customHeight="1">
      <c r="A210" s="12">
        <f>IFERROR(__xludf.DUMMYFUNCTION("""COMPUTED_VALUE"""),616.0)</f>
        <v>616</v>
      </c>
      <c r="B210" s="13">
        <f>IFERROR(__xludf.DUMMYFUNCTION("""COMPUTED_VALUE"""),45456.0)</f>
        <v>45456</v>
      </c>
      <c r="C210" s="12">
        <f>IFERROR(__xludf.DUMMYFUNCTION("""COMPUTED_VALUE"""),125.0)</f>
        <v>125</v>
      </c>
      <c r="D210" s="12">
        <f>IFERROR(__xludf.DUMMYFUNCTION("""COMPUTED_VALUE"""),20.0)</f>
        <v>20</v>
      </c>
      <c r="E210" s="12">
        <f>IFERROR(__xludf.DUMMYFUNCTION("""COMPUTED_VALUE"""),1.0)</f>
        <v>1</v>
      </c>
      <c r="F210" s="12">
        <f>IFERROR(__xludf.DUMMYFUNCTION("""COMPUTED_VALUE"""),4.0)</f>
        <v>4</v>
      </c>
      <c r="G210" s="15" t="str">
        <f>IFERROR(__xludf.DUMMYFUNCTION("""COMPUTED_VALUE"""),"Completa")</f>
        <v>Completa</v>
      </c>
      <c r="H210" s="16" t="str">
        <f t="array" ref="H210">_xlfn.XLOOKUP(D210,Productos[ID_Producto],Productos[Nombre_Producto])</f>
        <v>Lechugas</v>
      </c>
      <c r="I210" s="17">
        <f t="array" ref="I210">_xlfn.XLOOKUP(D210,Productos[ID_Producto],Productos[Precio_Unitario])</f>
        <v>4.25</v>
      </c>
      <c r="J210" s="17">
        <f t="shared" si="1"/>
        <v>4.25</v>
      </c>
      <c r="K210" s="16" t="str">
        <f t="array" ref="K210">_xlfn.XLOOKUP(C210,Clientes[ID_Cliente],Clientes[Provincia])</f>
        <v>Neuquén</v>
      </c>
      <c r="L210" s="16" t="str">
        <f t="array" ref="L210">CONCATENATE(_xlfn.XLOOKUP(C210,Clientes[ID_Cliente],Clientes[Provincia]),", Argentina")</f>
        <v>Neuquén, Argentina</v>
      </c>
      <c r="M210" s="20" t="str">
        <f t="array" ref="M210">_xlfn.XLOOKUP(F210,Metodos_De_Pago[ID_Metodo],Metodos_De_Pago[Metodo])</f>
        <v>Mercado Pago</v>
      </c>
      <c r="N210" s="20" t="str">
        <f t="shared" si="2"/>
        <v>2024 06</v>
      </c>
    </row>
    <row r="211" ht="22.5" customHeight="1">
      <c r="A211" s="12">
        <f>IFERROR(__xludf.DUMMYFUNCTION("""COMPUTED_VALUE"""),789.0)</f>
        <v>789</v>
      </c>
      <c r="B211" s="13">
        <f>IFERROR(__xludf.DUMMYFUNCTION("""COMPUTED_VALUE"""),45456.0)</f>
        <v>45456</v>
      </c>
      <c r="C211" s="12">
        <f>IFERROR(__xludf.DUMMYFUNCTION("""COMPUTED_VALUE"""),129.0)</f>
        <v>129</v>
      </c>
      <c r="D211" s="12">
        <f>IFERROR(__xludf.DUMMYFUNCTION("""COMPUTED_VALUE"""),26.0)</f>
        <v>26</v>
      </c>
      <c r="E211" s="12">
        <f>IFERROR(__xludf.DUMMYFUNCTION("""COMPUTED_VALUE"""),1.0)</f>
        <v>1</v>
      </c>
      <c r="F211" s="12">
        <f>IFERROR(__xludf.DUMMYFUNCTION("""COMPUTED_VALUE"""),3.0)</f>
        <v>3</v>
      </c>
      <c r="G211" s="15" t="str">
        <f>IFERROR(__xludf.DUMMYFUNCTION("""COMPUTED_VALUE"""),"Completa")</f>
        <v>Completa</v>
      </c>
      <c r="H211" s="16" t="str">
        <f t="array" ref="H211">_xlfn.XLOOKUP(D211,Productos[ID_Producto],Productos[Nombre_Producto])</f>
        <v>Hamburgesas congeladas</v>
      </c>
      <c r="I211" s="17">
        <f t="array" ref="I211">_xlfn.XLOOKUP(D211,Productos[ID_Producto],Productos[Precio_Unitario])</f>
        <v>9.54</v>
      </c>
      <c r="J211" s="17">
        <f t="shared" si="1"/>
        <v>9.54</v>
      </c>
      <c r="K211" s="16" t="str">
        <f t="array" ref="K211">_xlfn.XLOOKUP(C211,Clientes[ID_Cliente],Clientes[Provincia])</f>
        <v>Neuquén</v>
      </c>
      <c r="L211" s="16" t="str">
        <f t="array" ref="L211">CONCATENATE(_xlfn.XLOOKUP(C211,Clientes[ID_Cliente],Clientes[Provincia]),", Argentina")</f>
        <v>Neuquén, Argentina</v>
      </c>
      <c r="M211" s="20" t="str">
        <f t="array" ref="M211">_xlfn.XLOOKUP(F211,Metodos_De_Pago[ID_Metodo],Metodos_De_Pago[Metodo])</f>
        <v>Tarjeta de Débito</v>
      </c>
      <c r="N211" s="20" t="str">
        <f t="shared" si="2"/>
        <v>2024 06</v>
      </c>
    </row>
    <row r="212" ht="22.5" customHeight="1">
      <c r="A212" s="12">
        <f>IFERROR(__xludf.DUMMYFUNCTION("""COMPUTED_VALUE"""),1003.0)</f>
        <v>1003</v>
      </c>
      <c r="B212" s="13">
        <f>IFERROR(__xludf.DUMMYFUNCTION("""COMPUTED_VALUE"""),45456.0)</f>
        <v>45456</v>
      </c>
      <c r="C212" s="12">
        <f>IFERROR(__xludf.DUMMYFUNCTION("""COMPUTED_VALUE"""),19.0)</f>
        <v>19</v>
      </c>
      <c r="D212" s="12">
        <f>IFERROR(__xludf.DUMMYFUNCTION("""COMPUTED_VALUE"""),11.0)</f>
        <v>11</v>
      </c>
      <c r="E212" s="12">
        <f>IFERROR(__xludf.DUMMYFUNCTION("""COMPUTED_VALUE"""),1.0)</f>
        <v>1</v>
      </c>
      <c r="F212" s="12">
        <f>IFERROR(__xludf.DUMMYFUNCTION("""COMPUTED_VALUE"""),5.0)</f>
        <v>5</v>
      </c>
      <c r="G212" s="15" t="str">
        <f>IFERROR(__xludf.DUMMYFUNCTION("""COMPUTED_VALUE"""),"Completa")</f>
        <v>Completa</v>
      </c>
      <c r="H212" s="16" t="str">
        <f t="array" ref="H212">_xlfn.XLOOKUP(D212,Productos[ID_Producto],Productos[Nombre_Producto])</f>
        <v>Salchicha</v>
      </c>
      <c r="I212" s="17">
        <f t="array" ref="I212">_xlfn.XLOOKUP(D212,Productos[ID_Producto],Productos[Precio_Unitario])</f>
        <v>11.23</v>
      </c>
      <c r="J212" s="17">
        <f t="shared" si="1"/>
        <v>11.23</v>
      </c>
      <c r="K212" s="16" t="str">
        <f t="array" ref="K212">_xlfn.XLOOKUP(C212,Clientes[ID_Cliente],Clientes[Provincia])</f>
        <v>Córdoba</v>
      </c>
      <c r="L212" s="16" t="str">
        <f t="array" ref="L212">CONCATENATE(_xlfn.XLOOKUP(C212,Clientes[ID_Cliente],Clientes[Provincia]),", Argentina")</f>
        <v>Córdoba, Argentina</v>
      </c>
      <c r="M212" s="20" t="str">
        <f t="array" ref="M212">_xlfn.XLOOKUP(F212,Metodos_De_Pago[ID_Metodo],Metodos_De_Pago[Metodo])</f>
        <v>Transferencia</v>
      </c>
      <c r="N212" s="20" t="str">
        <f t="shared" si="2"/>
        <v>2024 06</v>
      </c>
    </row>
    <row r="213" ht="22.5" customHeight="1">
      <c r="A213" s="12">
        <f>IFERROR(__xludf.DUMMYFUNCTION("""COMPUTED_VALUE"""),2074.0)</f>
        <v>2074</v>
      </c>
      <c r="B213" s="13">
        <f>IFERROR(__xludf.DUMMYFUNCTION("""COMPUTED_VALUE"""),45456.0)</f>
        <v>45456</v>
      </c>
      <c r="C213" s="12">
        <f>IFERROR(__xludf.DUMMYFUNCTION("""COMPUTED_VALUE"""),172.0)</f>
        <v>172</v>
      </c>
      <c r="D213" s="12">
        <f>IFERROR(__xludf.DUMMYFUNCTION("""COMPUTED_VALUE"""),20.0)</f>
        <v>20</v>
      </c>
      <c r="E213" s="12">
        <f>IFERROR(__xludf.DUMMYFUNCTION("""COMPUTED_VALUE"""),1.0)</f>
        <v>1</v>
      </c>
      <c r="F213" s="12">
        <f>IFERROR(__xludf.DUMMYFUNCTION("""COMPUTED_VALUE"""),5.0)</f>
        <v>5</v>
      </c>
      <c r="G213" s="15" t="str">
        <f>IFERROR(__xludf.DUMMYFUNCTION("""COMPUTED_VALUE"""),"Completa")</f>
        <v>Completa</v>
      </c>
      <c r="H213" s="16" t="str">
        <f t="array" ref="H213">_xlfn.XLOOKUP(D213,Productos[ID_Producto],Productos[Nombre_Producto])</f>
        <v>Lechugas</v>
      </c>
      <c r="I213" s="17">
        <f t="array" ref="I213">_xlfn.XLOOKUP(D213,Productos[ID_Producto],Productos[Precio_Unitario])</f>
        <v>4.25</v>
      </c>
      <c r="J213" s="17">
        <f t="shared" si="1"/>
        <v>4.25</v>
      </c>
      <c r="K213" s="16" t="str">
        <f t="array" ref="K213">_xlfn.XLOOKUP(C213,Clientes[ID_Cliente],Clientes[Provincia])</f>
        <v>Buenos Aires</v>
      </c>
      <c r="L213" s="16" t="str">
        <f t="array" ref="L213">CONCATENATE(_xlfn.XLOOKUP(C213,Clientes[ID_Cliente],Clientes[Provincia]),", Argentina")</f>
        <v>Buenos Aires, Argentina</v>
      </c>
      <c r="M213" s="20" t="str">
        <f t="array" ref="M213">_xlfn.XLOOKUP(F213,Metodos_De_Pago[ID_Metodo],Metodos_De_Pago[Metodo])</f>
        <v>Transferencia</v>
      </c>
      <c r="N213" s="20" t="str">
        <f t="shared" si="2"/>
        <v>2024 06</v>
      </c>
    </row>
    <row r="214" ht="22.5" customHeight="1">
      <c r="A214" s="12">
        <f>IFERROR(__xludf.DUMMYFUNCTION("""COMPUTED_VALUE"""),1369.0)</f>
        <v>1369</v>
      </c>
      <c r="B214" s="13">
        <f>IFERROR(__xludf.DUMMYFUNCTION("""COMPUTED_VALUE"""),45458.0)</f>
        <v>45458</v>
      </c>
      <c r="C214" s="12">
        <f>IFERROR(__xludf.DUMMYFUNCTION("""COMPUTED_VALUE"""),232.0)</f>
        <v>232</v>
      </c>
      <c r="D214" s="12">
        <f>IFERROR(__xludf.DUMMYFUNCTION("""COMPUTED_VALUE"""),9.0)</f>
        <v>9</v>
      </c>
      <c r="E214" s="12">
        <f>IFERROR(__xludf.DUMMYFUNCTION("""COMPUTED_VALUE"""),1.0)</f>
        <v>1</v>
      </c>
      <c r="F214" s="12">
        <f>IFERROR(__xludf.DUMMYFUNCTION("""COMPUTED_VALUE"""),1.0)</f>
        <v>1</v>
      </c>
      <c r="G214" s="15" t="str">
        <f>IFERROR(__xludf.DUMMYFUNCTION("""COMPUTED_VALUE"""),"Completa")</f>
        <v>Completa</v>
      </c>
      <c r="H214" s="16" t="str">
        <f t="array" ref="H214">_xlfn.XLOOKUP(D214,Productos[ID_Producto],Productos[Nombre_Producto])</f>
        <v>Pollo</v>
      </c>
      <c r="I214" s="17">
        <f t="array" ref="I214">_xlfn.XLOOKUP(D214,Productos[ID_Producto],Productos[Precio_Unitario])</f>
        <v>18.56</v>
      </c>
      <c r="J214" s="17">
        <f t="shared" si="1"/>
        <v>18.56</v>
      </c>
      <c r="K214" s="16" t="str">
        <f t="array" ref="K214">_xlfn.XLOOKUP(C214,Clientes[ID_Cliente],Clientes[Provincia])</f>
        <v>Buenos Aires</v>
      </c>
      <c r="L214" s="16" t="str">
        <f t="array" ref="L214">CONCATENATE(_xlfn.XLOOKUP(C214,Clientes[ID_Cliente],Clientes[Provincia]),", Argentina")</f>
        <v>Buenos Aires, Argentina</v>
      </c>
      <c r="M214" s="20" t="str">
        <f t="array" ref="M214">_xlfn.XLOOKUP(F214,Metodos_De_Pago[ID_Metodo],Metodos_De_Pago[Metodo])</f>
        <v>Efectivo</v>
      </c>
      <c r="N214" s="20" t="str">
        <f t="shared" si="2"/>
        <v>2024 06</v>
      </c>
    </row>
    <row r="215" ht="22.5" customHeight="1">
      <c r="A215" s="12">
        <f>IFERROR(__xludf.DUMMYFUNCTION("""COMPUTED_VALUE"""),1702.0)</f>
        <v>1702</v>
      </c>
      <c r="B215" s="13">
        <f>IFERROR(__xludf.DUMMYFUNCTION("""COMPUTED_VALUE"""),45458.0)</f>
        <v>45458</v>
      </c>
      <c r="C215" s="12">
        <f>IFERROR(__xludf.DUMMYFUNCTION("""COMPUTED_VALUE"""),289.0)</f>
        <v>289</v>
      </c>
      <c r="D215" s="12">
        <f>IFERROR(__xludf.DUMMYFUNCTION("""COMPUTED_VALUE"""),6.0)</f>
        <v>6</v>
      </c>
      <c r="E215" s="12">
        <f>IFERROR(__xludf.DUMMYFUNCTION("""COMPUTED_VALUE"""),1.0)</f>
        <v>1</v>
      </c>
      <c r="F215" s="12">
        <f>IFERROR(__xludf.DUMMYFUNCTION("""COMPUTED_VALUE"""),5.0)</f>
        <v>5</v>
      </c>
      <c r="G215" s="15" t="str">
        <f>IFERROR(__xludf.DUMMYFUNCTION("""COMPUTED_VALUE"""),"Completa")</f>
        <v>Completa</v>
      </c>
      <c r="H215" s="16" t="str">
        <f t="array" ref="H215">_xlfn.XLOOKUP(D215,Productos[ID_Producto],Productos[Nombre_Producto])</f>
        <v>Asado</v>
      </c>
      <c r="I215" s="17">
        <f t="array" ref="I215">_xlfn.XLOOKUP(D215,Productos[ID_Producto],Productos[Precio_Unitario])</f>
        <v>28.56</v>
      </c>
      <c r="J215" s="17">
        <f t="shared" si="1"/>
        <v>28.56</v>
      </c>
      <c r="K215" s="16" t="str">
        <f t="array" ref="K215">_xlfn.XLOOKUP(C215,Clientes[ID_Cliente],Clientes[Provincia])</f>
        <v>San Luis</v>
      </c>
      <c r="L215" s="16" t="str">
        <f t="array" ref="L215">CONCATENATE(_xlfn.XLOOKUP(C215,Clientes[ID_Cliente],Clientes[Provincia]),", Argentina")</f>
        <v>San Luis, Argentina</v>
      </c>
      <c r="M215" s="20" t="str">
        <f t="array" ref="M215">_xlfn.XLOOKUP(F215,Metodos_De_Pago[ID_Metodo],Metodos_De_Pago[Metodo])</f>
        <v>Transferencia</v>
      </c>
      <c r="N215" s="20" t="str">
        <f t="shared" si="2"/>
        <v>2024 06</v>
      </c>
    </row>
    <row r="216" ht="22.5" customHeight="1">
      <c r="A216" s="12">
        <f>IFERROR(__xludf.DUMMYFUNCTION("""COMPUTED_VALUE"""),579.0)</f>
        <v>579</v>
      </c>
      <c r="B216" s="13">
        <f>IFERROR(__xludf.DUMMYFUNCTION("""COMPUTED_VALUE"""),45459.0)</f>
        <v>45459</v>
      </c>
      <c r="C216" s="12">
        <f>IFERROR(__xludf.DUMMYFUNCTION("""COMPUTED_VALUE"""),144.0)</f>
        <v>144</v>
      </c>
      <c r="D216" s="12">
        <f>IFERROR(__xludf.DUMMYFUNCTION("""COMPUTED_VALUE"""),23.0)</f>
        <v>23</v>
      </c>
      <c r="E216" s="12">
        <f>IFERROR(__xludf.DUMMYFUNCTION("""COMPUTED_VALUE"""),1.0)</f>
        <v>1</v>
      </c>
      <c r="F216" s="12">
        <f>IFERROR(__xludf.DUMMYFUNCTION("""COMPUTED_VALUE"""),3.0)</f>
        <v>3</v>
      </c>
      <c r="G216" s="15" t="str">
        <f>IFERROR(__xludf.DUMMYFUNCTION("""COMPUTED_VALUE"""),"Completa")</f>
        <v>Completa</v>
      </c>
      <c r="H216" s="16" t="str">
        <f t="array" ref="H216">_xlfn.XLOOKUP(D216,Productos[ID_Producto],Productos[Nombre_Producto])</f>
        <v>Papas fritas</v>
      </c>
      <c r="I216" s="17">
        <f t="array" ref="I216">_xlfn.XLOOKUP(D216,Productos[ID_Producto],Productos[Precio_Unitario])</f>
        <v>8.23</v>
      </c>
      <c r="J216" s="17">
        <f t="shared" si="1"/>
        <v>8.23</v>
      </c>
      <c r="K216" s="16" t="str">
        <f t="array" ref="K216">_xlfn.XLOOKUP(C216,Clientes[ID_Cliente],Clientes[Provincia])</f>
        <v>Chaco</v>
      </c>
      <c r="L216" s="16" t="str">
        <f t="array" ref="L216">CONCATENATE(_xlfn.XLOOKUP(C216,Clientes[ID_Cliente],Clientes[Provincia]),", Argentina")</f>
        <v>Chaco, Argentina</v>
      </c>
      <c r="M216" s="20" t="str">
        <f t="array" ref="M216">_xlfn.XLOOKUP(F216,Metodos_De_Pago[ID_Metodo],Metodos_De_Pago[Metodo])</f>
        <v>Tarjeta de Débito</v>
      </c>
      <c r="N216" s="20" t="str">
        <f t="shared" si="2"/>
        <v>2024 06</v>
      </c>
    </row>
    <row r="217" ht="22.5" customHeight="1">
      <c r="A217" s="12">
        <f>IFERROR(__xludf.DUMMYFUNCTION("""COMPUTED_VALUE"""),622.0)</f>
        <v>622</v>
      </c>
      <c r="B217" s="13">
        <f>IFERROR(__xludf.DUMMYFUNCTION("""COMPUTED_VALUE"""),45459.0)</f>
        <v>45459</v>
      </c>
      <c r="C217" s="12">
        <f>IFERROR(__xludf.DUMMYFUNCTION("""COMPUTED_VALUE"""),244.0)</f>
        <v>244</v>
      </c>
      <c r="D217" s="12">
        <f>IFERROR(__xludf.DUMMYFUNCTION("""COMPUTED_VALUE"""),30.0)</f>
        <v>30</v>
      </c>
      <c r="E217" s="12">
        <f>IFERROR(__xludf.DUMMYFUNCTION("""COMPUTED_VALUE"""),1.0)</f>
        <v>1</v>
      </c>
      <c r="F217" s="12">
        <f>IFERROR(__xludf.DUMMYFUNCTION("""COMPUTED_VALUE"""),4.0)</f>
        <v>4</v>
      </c>
      <c r="G217" s="15" t="str">
        <f>IFERROR(__xludf.DUMMYFUNCTION("""COMPUTED_VALUE"""),"Completa")</f>
        <v>Completa</v>
      </c>
      <c r="H217" s="16" t="str">
        <f t="array" ref="H217">_xlfn.XLOOKUP(D217,Productos[ID_Producto],Productos[Nombre_Producto])</f>
        <v>Vino tinto</v>
      </c>
      <c r="I217" s="17">
        <f t="array" ref="I217">_xlfn.XLOOKUP(D217,Productos[ID_Producto],Productos[Precio_Unitario])</f>
        <v>13.54</v>
      </c>
      <c r="J217" s="17">
        <f t="shared" si="1"/>
        <v>13.54</v>
      </c>
      <c r="K217" s="16" t="str">
        <f t="array" ref="K217">_xlfn.XLOOKUP(C217,Clientes[ID_Cliente],Clientes[Provincia])</f>
        <v>Buenos Aires</v>
      </c>
      <c r="L217" s="16" t="str">
        <f t="array" ref="L217">CONCATENATE(_xlfn.XLOOKUP(C217,Clientes[ID_Cliente],Clientes[Provincia]),", Argentina")</f>
        <v>Buenos Aires, Argentina</v>
      </c>
      <c r="M217" s="20" t="str">
        <f t="array" ref="M217">_xlfn.XLOOKUP(F217,Metodos_De_Pago[ID_Metodo],Metodos_De_Pago[Metodo])</f>
        <v>Mercado Pago</v>
      </c>
      <c r="N217" s="20" t="str">
        <f t="shared" si="2"/>
        <v>2024 06</v>
      </c>
    </row>
    <row r="218" ht="22.5" customHeight="1">
      <c r="A218" s="12">
        <f>IFERROR(__xludf.DUMMYFUNCTION("""COMPUTED_VALUE"""),1131.0)</f>
        <v>1131</v>
      </c>
      <c r="B218" s="13">
        <f>IFERROR(__xludf.DUMMYFUNCTION("""COMPUTED_VALUE"""),45459.0)</f>
        <v>45459</v>
      </c>
      <c r="C218" s="12">
        <f>IFERROR(__xludf.DUMMYFUNCTION("""COMPUTED_VALUE"""),134.0)</f>
        <v>134</v>
      </c>
      <c r="D218" s="12">
        <f>IFERROR(__xludf.DUMMYFUNCTION("""COMPUTED_VALUE"""),6.0)</f>
        <v>6</v>
      </c>
      <c r="E218" s="12">
        <f>IFERROR(__xludf.DUMMYFUNCTION("""COMPUTED_VALUE"""),1.0)</f>
        <v>1</v>
      </c>
      <c r="F218" s="12">
        <f>IFERROR(__xludf.DUMMYFUNCTION("""COMPUTED_VALUE"""),3.0)</f>
        <v>3</v>
      </c>
      <c r="G218" s="15" t="str">
        <f>IFERROR(__xludf.DUMMYFUNCTION("""COMPUTED_VALUE"""),"Pendiente")</f>
        <v>Pendiente</v>
      </c>
      <c r="H218" s="16" t="str">
        <f t="array" ref="H218">_xlfn.XLOOKUP(D218,Productos[ID_Producto],Productos[Nombre_Producto])</f>
        <v>Asado</v>
      </c>
      <c r="I218" s="17">
        <f t="array" ref="I218">_xlfn.XLOOKUP(D218,Productos[ID_Producto],Productos[Precio_Unitario])</f>
        <v>28.56</v>
      </c>
      <c r="J218" s="17">
        <f t="shared" si="1"/>
        <v>28.56</v>
      </c>
      <c r="K218" s="16" t="str">
        <f t="array" ref="K218">_xlfn.XLOOKUP(C218,Clientes[ID_Cliente],Clientes[Provincia])</f>
        <v>San Luis</v>
      </c>
      <c r="L218" s="16" t="str">
        <f t="array" ref="L218">CONCATENATE(_xlfn.XLOOKUP(C218,Clientes[ID_Cliente],Clientes[Provincia]),", Argentina")</f>
        <v>San Luis, Argentina</v>
      </c>
      <c r="M218" s="20" t="str">
        <f t="array" ref="M218">_xlfn.XLOOKUP(F218,Metodos_De_Pago[ID_Metodo],Metodos_De_Pago[Metodo])</f>
        <v>Tarjeta de Débito</v>
      </c>
      <c r="N218" s="20" t="str">
        <f t="shared" si="2"/>
        <v>2024 06</v>
      </c>
    </row>
    <row r="219" ht="22.5" customHeight="1">
      <c r="A219" s="12">
        <f>IFERROR(__xludf.DUMMYFUNCTION("""COMPUTED_VALUE"""),1423.0)</f>
        <v>1423</v>
      </c>
      <c r="B219" s="13">
        <f>IFERROR(__xludf.DUMMYFUNCTION("""COMPUTED_VALUE"""),45459.0)</f>
        <v>45459</v>
      </c>
      <c r="C219" s="12">
        <f>IFERROR(__xludf.DUMMYFUNCTION("""COMPUTED_VALUE"""),264.0)</f>
        <v>264</v>
      </c>
      <c r="D219" s="12">
        <f>IFERROR(__xludf.DUMMYFUNCTION("""COMPUTED_VALUE"""),1.0)</f>
        <v>1</v>
      </c>
      <c r="E219" s="12">
        <f>IFERROR(__xludf.DUMMYFUNCTION("""COMPUTED_VALUE"""),1.0)</f>
        <v>1</v>
      </c>
      <c r="F219" s="12">
        <f>IFERROR(__xludf.DUMMYFUNCTION("""COMPUTED_VALUE"""),3.0)</f>
        <v>3</v>
      </c>
      <c r="G219" s="15" t="str">
        <f>IFERROR(__xludf.DUMMYFUNCTION("""COMPUTED_VALUE"""),"Completa")</f>
        <v>Completa</v>
      </c>
      <c r="H219" s="16" t="str">
        <f t="array" ref="H219">_xlfn.XLOOKUP(D219,Productos[ID_Producto],Productos[Nombre_Producto])</f>
        <v>Leche</v>
      </c>
      <c r="I219" s="17">
        <f t="array" ref="I219">_xlfn.XLOOKUP(D219,Productos[ID_Producto],Productos[Precio_Unitario])</f>
        <v>12.24</v>
      </c>
      <c r="J219" s="17">
        <f t="shared" si="1"/>
        <v>12.24</v>
      </c>
      <c r="K219" s="16" t="str">
        <f t="array" ref="K219">_xlfn.XLOOKUP(C219,Clientes[ID_Cliente],Clientes[Provincia])</f>
        <v>Buenos Aires</v>
      </c>
      <c r="L219" s="16" t="str">
        <f t="array" ref="L219">CONCATENATE(_xlfn.XLOOKUP(C219,Clientes[ID_Cliente],Clientes[Provincia]),", Argentina")</f>
        <v>Buenos Aires, Argentina</v>
      </c>
      <c r="M219" s="20" t="str">
        <f t="array" ref="M219">_xlfn.XLOOKUP(F219,Metodos_De_Pago[ID_Metodo],Metodos_De_Pago[Metodo])</f>
        <v>Tarjeta de Débito</v>
      </c>
      <c r="N219" s="20" t="str">
        <f t="shared" si="2"/>
        <v>2024 06</v>
      </c>
    </row>
    <row r="220" ht="22.5" customHeight="1">
      <c r="A220" s="12">
        <f>IFERROR(__xludf.DUMMYFUNCTION("""COMPUTED_VALUE"""),1551.0)</f>
        <v>1551</v>
      </c>
      <c r="B220" s="13">
        <f>IFERROR(__xludf.DUMMYFUNCTION("""COMPUTED_VALUE"""),45459.0)</f>
        <v>45459</v>
      </c>
      <c r="C220" s="12">
        <f>IFERROR(__xludf.DUMMYFUNCTION("""COMPUTED_VALUE"""),162.0)</f>
        <v>162</v>
      </c>
      <c r="D220" s="12">
        <f>IFERROR(__xludf.DUMMYFUNCTION("""COMPUTED_VALUE"""),1.0)</f>
        <v>1</v>
      </c>
      <c r="E220" s="12">
        <f>IFERROR(__xludf.DUMMYFUNCTION("""COMPUTED_VALUE"""),1.0)</f>
        <v>1</v>
      </c>
      <c r="F220" s="12">
        <f>IFERROR(__xludf.DUMMYFUNCTION("""COMPUTED_VALUE"""),1.0)</f>
        <v>1</v>
      </c>
      <c r="G220" s="15" t="str">
        <f>IFERROR(__xludf.DUMMYFUNCTION("""COMPUTED_VALUE"""),"Completa")</f>
        <v>Completa</v>
      </c>
      <c r="H220" s="16" t="str">
        <f t="array" ref="H220">_xlfn.XLOOKUP(D220,Productos[ID_Producto],Productos[Nombre_Producto])</f>
        <v>Leche</v>
      </c>
      <c r="I220" s="17">
        <f t="array" ref="I220">_xlfn.XLOOKUP(D220,Productos[ID_Producto],Productos[Precio_Unitario])</f>
        <v>12.24</v>
      </c>
      <c r="J220" s="17">
        <f t="shared" si="1"/>
        <v>12.24</v>
      </c>
      <c r="K220" s="16" t="str">
        <f t="array" ref="K220">_xlfn.XLOOKUP(C220,Clientes[ID_Cliente],Clientes[Provincia])</f>
        <v>Neuquén</v>
      </c>
      <c r="L220" s="16" t="str">
        <f t="array" ref="L220">CONCATENATE(_xlfn.XLOOKUP(C220,Clientes[ID_Cliente],Clientes[Provincia]),", Argentina")</f>
        <v>Neuquén, Argentina</v>
      </c>
      <c r="M220" s="20" t="str">
        <f t="array" ref="M220">_xlfn.XLOOKUP(F220,Metodos_De_Pago[ID_Metodo],Metodos_De_Pago[Metodo])</f>
        <v>Efectivo</v>
      </c>
      <c r="N220" s="20" t="str">
        <f t="shared" si="2"/>
        <v>2024 06</v>
      </c>
    </row>
    <row r="221" ht="22.5" customHeight="1">
      <c r="A221" s="12">
        <f>IFERROR(__xludf.DUMMYFUNCTION("""COMPUTED_VALUE"""),1464.0)</f>
        <v>1464</v>
      </c>
      <c r="B221" s="13">
        <f>IFERROR(__xludf.DUMMYFUNCTION("""COMPUTED_VALUE"""),45460.0)</f>
        <v>45460</v>
      </c>
      <c r="C221" s="12">
        <f>IFERROR(__xludf.DUMMYFUNCTION("""COMPUTED_VALUE"""),268.0)</f>
        <v>268</v>
      </c>
      <c r="D221" s="12">
        <f>IFERROR(__xludf.DUMMYFUNCTION("""COMPUTED_VALUE"""),18.0)</f>
        <v>18</v>
      </c>
      <c r="E221" s="12">
        <f>IFERROR(__xludf.DUMMYFUNCTION("""COMPUTED_VALUE"""),1.0)</f>
        <v>1</v>
      </c>
      <c r="F221" s="12">
        <f>IFERROR(__xludf.DUMMYFUNCTION("""COMPUTED_VALUE"""),1.0)</f>
        <v>1</v>
      </c>
      <c r="G221" s="15" t="str">
        <f>IFERROR(__xludf.DUMMYFUNCTION("""COMPUTED_VALUE"""),"Completa")</f>
        <v>Completa</v>
      </c>
      <c r="H221" s="16" t="str">
        <f t="array" ref="H221">_xlfn.XLOOKUP(D221,Productos[ID_Producto],Productos[Nombre_Producto])</f>
        <v>Bananas</v>
      </c>
      <c r="I221" s="17">
        <f t="array" ref="I221">_xlfn.XLOOKUP(D221,Productos[ID_Producto],Productos[Precio_Unitario])</f>
        <v>7.25</v>
      </c>
      <c r="J221" s="17">
        <f t="shared" si="1"/>
        <v>7.25</v>
      </c>
      <c r="K221" s="16" t="str">
        <f t="array" ref="K221">_xlfn.XLOOKUP(C221,Clientes[ID_Cliente],Clientes[Provincia])</f>
        <v>Salta</v>
      </c>
      <c r="L221" s="16" t="str">
        <f t="array" ref="L221">CONCATENATE(_xlfn.XLOOKUP(C221,Clientes[ID_Cliente],Clientes[Provincia]),", Argentina")</f>
        <v>Salta, Argentina</v>
      </c>
      <c r="M221" s="20" t="str">
        <f t="array" ref="M221">_xlfn.XLOOKUP(F221,Metodos_De_Pago[ID_Metodo],Metodos_De_Pago[Metodo])</f>
        <v>Efectivo</v>
      </c>
      <c r="N221" s="20" t="str">
        <f t="shared" si="2"/>
        <v>2024 06</v>
      </c>
    </row>
    <row r="222" ht="22.5" customHeight="1">
      <c r="A222" s="12">
        <f>IFERROR(__xludf.DUMMYFUNCTION("""COMPUTED_VALUE"""),628.0)</f>
        <v>628</v>
      </c>
      <c r="B222" s="13">
        <f>IFERROR(__xludf.DUMMYFUNCTION("""COMPUTED_VALUE"""),45461.0)</f>
        <v>45461</v>
      </c>
      <c r="C222" s="12">
        <f>IFERROR(__xludf.DUMMYFUNCTION("""COMPUTED_VALUE"""),245.0)</f>
        <v>245</v>
      </c>
      <c r="D222" s="12">
        <f>IFERROR(__xludf.DUMMYFUNCTION("""COMPUTED_VALUE"""),38.0)</f>
        <v>38</v>
      </c>
      <c r="E222" s="12">
        <f>IFERROR(__xludf.DUMMYFUNCTION("""COMPUTED_VALUE"""),1.0)</f>
        <v>1</v>
      </c>
      <c r="F222" s="12">
        <f>IFERROR(__xludf.DUMMYFUNCTION("""COMPUTED_VALUE"""),4.0)</f>
        <v>4</v>
      </c>
      <c r="G222" s="15" t="str">
        <f>IFERROR(__xludf.DUMMYFUNCTION("""COMPUTED_VALUE"""),"Completa")</f>
        <v>Completa</v>
      </c>
      <c r="H222" s="16" t="str">
        <f t="array" ref="H222">_xlfn.XLOOKUP(D222,Productos[ID_Producto],Productos[Nombre_Producto])</f>
        <v>Atún enlatado</v>
      </c>
      <c r="I222" s="17">
        <f t="array" ref="I222">_xlfn.XLOOKUP(D222,Productos[ID_Producto],Productos[Precio_Unitario])</f>
        <v>6.21</v>
      </c>
      <c r="J222" s="17">
        <f t="shared" si="1"/>
        <v>6.21</v>
      </c>
      <c r="K222" s="16" t="str">
        <f t="array" ref="K222">_xlfn.XLOOKUP(C222,Clientes[ID_Cliente],Clientes[Provincia])</f>
        <v>Chaco</v>
      </c>
      <c r="L222" s="16" t="str">
        <f t="array" ref="L222">CONCATENATE(_xlfn.XLOOKUP(C222,Clientes[ID_Cliente],Clientes[Provincia]),", Argentina")</f>
        <v>Chaco, Argentina</v>
      </c>
      <c r="M222" s="20" t="str">
        <f t="array" ref="M222">_xlfn.XLOOKUP(F222,Metodos_De_Pago[ID_Metodo],Metodos_De_Pago[Metodo])</f>
        <v>Mercado Pago</v>
      </c>
      <c r="N222" s="20" t="str">
        <f t="shared" si="2"/>
        <v>2024 06</v>
      </c>
    </row>
    <row r="223" ht="22.5" customHeight="1">
      <c r="A223" s="12">
        <f>IFERROR(__xludf.DUMMYFUNCTION("""COMPUTED_VALUE"""),343.0)</f>
        <v>343</v>
      </c>
      <c r="B223" s="13">
        <f>IFERROR(__xludf.DUMMYFUNCTION("""COMPUTED_VALUE"""),45462.0)</f>
        <v>45462</v>
      </c>
      <c r="C223" s="12">
        <f>IFERROR(__xludf.DUMMYFUNCTION("""COMPUTED_VALUE"""),14.0)</f>
        <v>14</v>
      </c>
      <c r="D223" s="12">
        <f>IFERROR(__xludf.DUMMYFUNCTION("""COMPUTED_VALUE"""),29.0)</f>
        <v>29</v>
      </c>
      <c r="E223" s="12">
        <f>IFERROR(__xludf.DUMMYFUNCTION("""COMPUTED_VALUE"""),1.0)</f>
        <v>1</v>
      </c>
      <c r="F223" s="12">
        <f>IFERROR(__xludf.DUMMYFUNCTION("""COMPUTED_VALUE"""),4.0)</f>
        <v>4</v>
      </c>
      <c r="G223" s="15" t="str">
        <f>IFERROR(__xludf.DUMMYFUNCTION("""COMPUTED_VALUE"""),"Completa")</f>
        <v>Completa</v>
      </c>
      <c r="H223" s="16" t="str">
        <f t="array" ref="H223">_xlfn.XLOOKUP(D223,Productos[ID_Producto],Productos[Nombre_Producto])</f>
        <v>Cerveza</v>
      </c>
      <c r="I223" s="17">
        <f t="array" ref="I223">_xlfn.XLOOKUP(D223,Productos[ID_Producto],Productos[Precio_Unitario])</f>
        <v>11.54</v>
      </c>
      <c r="J223" s="17">
        <f t="shared" si="1"/>
        <v>11.54</v>
      </c>
      <c r="K223" s="16" t="str">
        <f t="array" ref="K223">_xlfn.XLOOKUP(C223,Clientes[ID_Cliente],Clientes[Provincia])</f>
        <v>Buenos Aires</v>
      </c>
      <c r="L223" s="16" t="str">
        <f t="array" ref="L223">CONCATENATE(_xlfn.XLOOKUP(C223,Clientes[ID_Cliente],Clientes[Provincia]),", Argentina")</f>
        <v>Buenos Aires, Argentina</v>
      </c>
      <c r="M223" s="20" t="str">
        <f t="array" ref="M223">_xlfn.XLOOKUP(F223,Metodos_De_Pago[ID_Metodo],Metodos_De_Pago[Metodo])</f>
        <v>Mercado Pago</v>
      </c>
      <c r="N223" s="20" t="str">
        <f t="shared" si="2"/>
        <v>2024 06</v>
      </c>
    </row>
    <row r="224" ht="22.5" customHeight="1">
      <c r="A224" s="12">
        <f>IFERROR(__xludf.DUMMYFUNCTION("""COMPUTED_VALUE"""),1890.0)</f>
        <v>1890</v>
      </c>
      <c r="B224" s="13">
        <f>IFERROR(__xludf.DUMMYFUNCTION("""COMPUTED_VALUE"""),45464.0)</f>
        <v>45464</v>
      </c>
      <c r="C224" s="12">
        <f>IFERROR(__xludf.DUMMYFUNCTION("""COMPUTED_VALUE"""),6.0)</f>
        <v>6</v>
      </c>
      <c r="D224" s="12">
        <f>IFERROR(__xludf.DUMMYFUNCTION("""COMPUTED_VALUE"""),3.0)</f>
        <v>3</v>
      </c>
      <c r="E224" s="12">
        <f>IFERROR(__xludf.DUMMYFUNCTION("""COMPUTED_VALUE"""),1.0)</f>
        <v>1</v>
      </c>
      <c r="F224" s="12">
        <f>IFERROR(__xludf.DUMMYFUNCTION("""COMPUTED_VALUE"""),5.0)</f>
        <v>5</v>
      </c>
      <c r="G224" s="15" t="str">
        <f>IFERROR(__xludf.DUMMYFUNCTION("""COMPUTED_VALUE"""),"Completa")</f>
        <v>Completa</v>
      </c>
      <c r="H224" s="16" t="str">
        <f t="array" ref="H224">_xlfn.XLOOKUP(D224,Productos[ID_Producto],Productos[Nombre_Producto])</f>
        <v>Queso cremoso</v>
      </c>
      <c r="I224" s="17">
        <f t="array" ref="I224">_xlfn.XLOOKUP(D224,Productos[ID_Producto],Productos[Precio_Unitario])</f>
        <v>17.23</v>
      </c>
      <c r="J224" s="17">
        <f t="shared" si="1"/>
        <v>17.23</v>
      </c>
      <c r="K224" s="16" t="str">
        <f t="array" ref="K224">_xlfn.XLOOKUP(C224,Clientes[ID_Cliente],Clientes[Provincia])</f>
        <v>Buenos Aires</v>
      </c>
      <c r="L224" s="16" t="str">
        <f t="array" ref="L224">CONCATENATE(_xlfn.XLOOKUP(C224,Clientes[ID_Cliente],Clientes[Provincia]),", Argentina")</f>
        <v>Buenos Aires, Argentina</v>
      </c>
      <c r="M224" s="20" t="str">
        <f t="array" ref="M224">_xlfn.XLOOKUP(F224,Metodos_De_Pago[ID_Metodo],Metodos_De_Pago[Metodo])</f>
        <v>Transferencia</v>
      </c>
      <c r="N224" s="20" t="str">
        <f t="shared" si="2"/>
        <v>2024 06</v>
      </c>
    </row>
    <row r="225" ht="22.5" customHeight="1">
      <c r="A225" s="12">
        <f>IFERROR(__xludf.DUMMYFUNCTION("""COMPUTED_VALUE"""),2956.0)</f>
        <v>2956</v>
      </c>
      <c r="B225" s="13">
        <f>IFERROR(__xludf.DUMMYFUNCTION("""COMPUTED_VALUE"""),45464.0)</f>
        <v>45464</v>
      </c>
      <c r="C225" s="12">
        <f>IFERROR(__xludf.DUMMYFUNCTION("""COMPUTED_VALUE"""),307.0)</f>
        <v>307</v>
      </c>
      <c r="D225" s="12">
        <f>IFERROR(__xludf.DUMMYFUNCTION("""COMPUTED_VALUE"""),26.0)</f>
        <v>26</v>
      </c>
      <c r="E225" s="12">
        <f>IFERROR(__xludf.DUMMYFUNCTION("""COMPUTED_VALUE"""),1.0)</f>
        <v>1</v>
      </c>
      <c r="F225" s="12">
        <f>IFERROR(__xludf.DUMMYFUNCTION("""COMPUTED_VALUE"""),3.0)</f>
        <v>3</v>
      </c>
      <c r="G225" s="15" t="str">
        <f>IFERROR(__xludf.DUMMYFUNCTION("""COMPUTED_VALUE"""),"Completa")</f>
        <v>Completa</v>
      </c>
      <c r="H225" s="16" t="str">
        <f t="array" ref="H225">_xlfn.XLOOKUP(D225,Productos[ID_Producto],Productos[Nombre_Producto])</f>
        <v>Hamburgesas congeladas</v>
      </c>
      <c r="I225" s="17">
        <f t="array" ref="I225">_xlfn.XLOOKUP(D225,Productos[ID_Producto],Productos[Precio_Unitario])</f>
        <v>9.54</v>
      </c>
      <c r="J225" s="17">
        <f t="shared" si="1"/>
        <v>9.54</v>
      </c>
      <c r="K225" s="16" t="str">
        <f t="array" ref="K225">_xlfn.XLOOKUP(C225,Clientes[ID_Cliente],Clientes[Provincia])</f>
        <v>San Luis</v>
      </c>
      <c r="L225" s="16" t="str">
        <f t="array" ref="L225">CONCATENATE(_xlfn.XLOOKUP(C225,Clientes[ID_Cliente],Clientes[Provincia]),", Argentina")</f>
        <v>San Luis, Argentina</v>
      </c>
      <c r="M225" s="20" t="str">
        <f t="array" ref="M225">_xlfn.XLOOKUP(F225,Metodos_De_Pago[ID_Metodo],Metodos_De_Pago[Metodo])</f>
        <v>Tarjeta de Débito</v>
      </c>
      <c r="N225" s="20" t="str">
        <f t="shared" si="2"/>
        <v>2024 06</v>
      </c>
    </row>
    <row r="226" ht="22.5" customHeight="1">
      <c r="A226" s="12">
        <f>IFERROR(__xludf.DUMMYFUNCTION("""COMPUTED_VALUE"""),98.0)</f>
        <v>98</v>
      </c>
      <c r="B226" s="13">
        <f>IFERROR(__xludf.DUMMYFUNCTION("""COMPUTED_VALUE"""),45465.0)</f>
        <v>45465</v>
      </c>
      <c r="C226" s="12">
        <f>IFERROR(__xludf.DUMMYFUNCTION("""COMPUTED_VALUE"""),177.0)</f>
        <v>177</v>
      </c>
      <c r="D226" s="12">
        <f>IFERROR(__xludf.DUMMYFUNCTION("""COMPUTED_VALUE"""),20.0)</f>
        <v>20</v>
      </c>
      <c r="E226" s="12">
        <f>IFERROR(__xludf.DUMMYFUNCTION("""COMPUTED_VALUE"""),1.0)</f>
        <v>1</v>
      </c>
      <c r="F226" s="12">
        <f>IFERROR(__xludf.DUMMYFUNCTION("""COMPUTED_VALUE"""),1.0)</f>
        <v>1</v>
      </c>
      <c r="G226" s="15" t="str">
        <f>IFERROR(__xludf.DUMMYFUNCTION("""COMPUTED_VALUE"""),"Completa")</f>
        <v>Completa</v>
      </c>
      <c r="H226" s="16" t="str">
        <f t="array" ref="H226">_xlfn.XLOOKUP(D226,Productos[ID_Producto],Productos[Nombre_Producto])</f>
        <v>Lechugas</v>
      </c>
      <c r="I226" s="17">
        <f t="array" ref="I226">_xlfn.XLOOKUP(D226,Productos[ID_Producto],Productos[Precio_Unitario])</f>
        <v>4.25</v>
      </c>
      <c r="J226" s="17">
        <f t="shared" si="1"/>
        <v>4.25</v>
      </c>
      <c r="K226" s="16" t="str">
        <f t="array" ref="K226">_xlfn.XLOOKUP(C226,Clientes[ID_Cliente],Clientes[Provincia])</f>
        <v>Chaco</v>
      </c>
      <c r="L226" s="16" t="str">
        <f t="array" ref="L226">CONCATENATE(_xlfn.XLOOKUP(C226,Clientes[ID_Cliente],Clientes[Provincia]),", Argentina")</f>
        <v>Chaco, Argentina</v>
      </c>
      <c r="M226" s="20" t="str">
        <f t="array" ref="M226">_xlfn.XLOOKUP(F226,Metodos_De_Pago[ID_Metodo],Metodos_De_Pago[Metodo])</f>
        <v>Efectivo</v>
      </c>
      <c r="N226" s="20" t="str">
        <f t="shared" si="2"/>
        <v>2024 06</v>
      </c>
    </row>
    <row r="227" ht="22.5" customHeight="1">
      <c r="A227" s="12">
        <f>IFERROR(__xludf.DUMMYFUNCTION("""COMPUTED_VALUE"""),1843.0)</f>
        <v>1843</v>
      </c>
      <c r="B227" s="13">
        <f>IFERROR(__xludf.DUMMYFUNCTION("""COMPUTED_VALUE"""),45465.0)</f>
        <v>45465</v>
      </c>
      <c r="C227" s="12">
        <f>IFERROR(__xludf.DUMMYFUNCTION("""COMPUTED_VALUE"""),139.0)</f>
        <v>139</v>
      </c>
      <c r="D227" s="12">
        <f>IFERROR(__xludf.DUMMYFUNCTION("""COMPUTED_VALUE"""),4.0)</f>
        <v>4</v>
      </c>
      <c r="E227" s="12">
        <f>IFERROR(__xludf.DUMMYFUNCTION("""COMPUTED_VALUE"""),1.0)</f>
        <v>1</v>
      </c>
      <c r="F227" s="12">
        <f>IFERROR(__xludf.DUMMYFUNCTION("""COMPUTED_VALUE"""),1.0)</f>
        <v>1</v>
      </c>
      <c r="G227" s="15" t="str">
        <f>IFERROR(__xludf.DUMMYFUNCTION("""COMPUTED_VALUE"""),"Completa")</f>
        <v>Completa</v>
      </c>
      <c r="H227" s="16" t="str">
        <f t="array" ref="H227">_xlfn.XLOOKUP(D227,Productos[ID_Producto],Productos[Nombre_Producto])</f>
        <v>Queso rallado</v>
      </c>
      <c r="I227" s="17">
        <f t="array" ref="I227">_xlfn.XLOOKUP(D227,Productos[ID_Producto],Productos[Precio_Unitario])</f>
        <v>19.23</v>
      </c>
      <c r="J227" s="17">
        <f t="shared" si="1"/>
        <v>19.23</v>
      </c>
      <c r="K227" s="16" t="str">
        <f t="array" ref="K227">_xlfn.XLOOKUP(C227,Clientes[ID_Cliente],Clientes[Provincia])</f>
        <v>Buenos Aires</v>
      </c>
      <c r="L227" s="16" t="str">
        <f t="array" ref="L227">CONCATENATE(_xlfn.XLOOKUP(C227,Clientes[ID_Cliente],Clientes[Provincia]),", Argentina")</f>
        <v>Buenos Aires, Argentina</v>
      </c>
      <c r="M227" s="20" t="str">
        <f t="array" ref="M227">_xlfn.XLOOKUP(F227,Metodos_De_Pago[ID_Metodo],Metodos_De_Pago[Metodo])</f>
        <v>Efectivo</v>
      </c>
      <c r="N227" s="20" t="str">
        <f t="shared" si="2"/>
        <v>2024 06</v>
      </c>
    </row>
    <row r="228" ht="22.5" customHeight="1">
      <c r="A228" s="12">
        <f>IFERROR(__xludf.DUMMYFUNCTION("""COMPUTED_VALUE"""),2373.0)</f>
        <v>2373</v>
      </c>
      <c r="B228" s="13">
        <f>IFERROR(__xludf.DUMMYFUNCTION("""COMPUTED_VALUE"""),45467.0)</f>
        <v>45467</v>
      </c>
      <c r="C228" s="12">
        <f>IFERROR(__xludf.DUMMYFUNCTION("""COMPUTED_VALUE"""),125.0)</f>
        <v>125</v>
      </c>
      <c r="D228" s="12">
        <f>IFERROR(__xludf.DUMMYFUNCTION("""COMPUTED_VALUE"""),26.0)</f>
        <v>26</v>
      </c>
      <c r="E228" s="12">
        <f>IFERROR(__xludf.DUMMYFUNCTION("""COMPUTED_VALUE"""),1.0)</f>
        <v>1</v>
      </c>
      <c r="F228" s="12">
        <f>IFERROR(__xludf.DUMMYFUNCTION("""COMPUTED_VALUE"""),1.0)</f>
        <v>1</v>
      </c>
      <c r="G228" s="15" t="str">
        <f>IFERROR(__xludf.DUMMYFUNCTION("""COMPUTED_VALUE"""),"Pendiente")</f>
        <v>Pendiente</v>
      </c>
      <c r="H228" s="16" t="str">
        <f t="array" ref="H228">_xlfn.XLOOKUP(D228,Productos[ID_Producto],Productos[Nombre_Producto])</f>
        <v>Hamburgesas congeladas</v>
      </c>
      <c r="I228" s="17">
        <f t="array" ref="I228">_xlfn.XLOOKUP(D228,Productos[ID_Producto],Productos[Precio_Unitario])</f>
        <v>9.54</v>
      </c>
      <c r="J228" s="17">
        <f t="shared" si="1"/>
        <v>9.54</v>
      </c>
      <c r="K228" s="16" t="str">
        <f t="array" ref="K228">_xlfn.XLOOKUP(C228,Clientes[ID_Cliente],Clientes[Provincia])</f>
        <v>Neuquén</v>
      </c>
      <c r="L228" s="16" t="str">
        <f t="array" ref="L228">CONCATENATE(_xlfn.XLOOKUP(C228,Clientes[ID_Cliente],Clientes[Provincia]),", Argentina")</f>
        <v>Neuquén, Argentina</v>
      </c>
      <c r="M228" s="20" t="str">
        <f t="array" ref="M228">_xlfn.XLOOKUP(F228,Metodos_De_Pago[ID_Metodo],Metodos_De_Pago[Metodo])</f>
        <v>Efectivo</v>
      </c>
      <c r="N228" s="20" t="str">
        <f t="shared" si="2"/>
        <v>2024 06</v>
      </c>
    </row>
    <row r="229" ht="22.5" customHeight="1">
      <c r="A229" s="12">
        <f>IFERROR(__xludf.DUMMYFUNCTION("""COMPUTED_VALUE"""),27.0)</f>
        <v>27</v>
      </c>
      <c r="B229" s="13">
        <f>IFERROR(__xludf.DUMMYFUNCTION("""COMPUTED_VALUE"""),45468.0)</f>
        <v>45468</v>
      </c>
      <c r="C229" s="12">
        <f>IFERROR(__xludf.DUMMYFUNCTION("""COMPUTED_VALUE"""),85.0)</f>
        <v>85</v>
      </c>
      <c r="D229" s="12">
        <f>IFERROR(__xludf.DUMMYFUNCTION("""COMPUTED_VALUE"""),25.0)</f>
        <v>25</v>
      </c>
      <c r="E229" s="12">
        <f>IFERROR(__xludf.DUMMYFUNCTION("""COMPUTED_VALUE"""),1.0)</f>
        <v>1</v>
      </c>
      <c r="F229" s="12">
        <f>IFERROR(__xludf.DUMMYFUNCTION("""COMPUTED_VALUE"""),3.0)</f>
        <v>3</v>
      </c>
      <c r="G229" s="15" t="str">
        <f>IFERROR(__xludf.DUMMYFUNCTION("""COMPUTED_VALUE"""),"Completa")</f>
        <v>Completa</v>
      </c>
      <c r="H229" s="16" t="str">
        <f t="array" ref="H229">_xlfn.XLOOKUP(D229,Productos[ID_Producto],Productos[Nombre_Producto])</f>
        <v>Pizza congelada</v>
      </c>
      <c r="I229" s="17">
        <f t="array" ref="I229">_xlfn.XLOOKUP(D229,Productos[ID_Producto],Productos[Precio_Unitario])</f>
        <v>15.45</v>
      </c>
      <c r="J229" s="17">
        <f t="shared" si="1"/>
        <v>15.45</v>
      </c>
      <c r="K229" s="16" t="str">
        <f t="array" ref="K229">_xlfn.XLOOKUP(C229,Clientes[ID_Cliente],Clientes[Provincia])</f>
        <v>San Luis</v>
      </c>
      <c r="L229" s="16" t="str">
        <f t="array" ref="L229">CONCATENATE(_xlfn.XLOOKUP(C229,Clientes[ID_Cliente],Clientes[Provincia]),", Argentina")</f>
        <v>San Luis, Argentina</v>
      </c>
      <c r="M229" s="20" t="str">
        <f t="array" ref="M229">_xlfn.XLOOKUP(F229,Metodos_De_Pago[ID_Metodo],Metodos_De_Pago[Metodo])</f>
        <v>Tarjeta de Débito</v>
      </c>
      <c r="N229" s="20" t="str">
        <f t="shared" si="2"/>
        <v>2024 06</v>
      </c>
    </row>
    <row r="230" ht="22.5" customHeight="1">
      <c r="A230" s="12">
        <f>IFERROR(__xludf.DUMMYFUNCTION("""COMPUTED_VALUE"""),2438.0)</f>
        <v>2438</v>
      </c>
      <c r="B230" s="13">
        <f>IFERROR(__xludf.DUMMYFUNCTION("""COMPUTED_VALUE"""),45468.0)</f>
        <v>45468</v>
      </c>
      <c r="C230" s="12">
        <f>IFERROR(__xludf.DUMMYFUNCTION("""COMPUTED_VALUE"""),287.0)</f>
        <v>287</v>
      </c>
      <c r="D230" s="12">
        <f>IFERROR(__xludf.DUMMYFUNCTION("""COMPUTED_VALUE"""),14.0)</f>
        <v>14</v>
      </c>
      <c r="E230" s="12">
        <f>IFERROR(__xludf.DUMMYFUNCTION("""COMPUTED_VALUE"""),1.0)</f>
        <v>1</v>
      </c>
      <c r="F230" s="12">
        <f>IFERROR(__xludf.DUMMYFUNCTION("""COMPUTED_VALUE"""),5.0)</f>
        <v>5</v>
      </c>
      <c r="G230" s="15" t="str">
        <f>IFERROR(__xludf.DUMMYFUNCTION("""COMPUTED_VALUE"""),"Pendiente")</f>
        <v>Pendiente</v>
      </c>
      <c r="H230" s="16" t="str">
        <f t="array" ref="H230">_xlfn.XLOOKUP(D230,Productos[ID_Producto],Productos[Nombre_Producto])</f>
        <v>Facturas</v>
      </c>
      <c r="I230" s="17">
        <f t="array" ref="I230">_xlfn.XLOOKUP(D230,Productos[ID_Producto],Productos[Precio_Unitario])</f>
        <v>12.36</v>
      </c>
      <c r="J230" s="17">
        <f t="shared" si="1"/>
        <v>12.36</v>
      </c>
      <c r="K230" s="16" t="str">
        <f t="array" ref="K230">_xlfn.XLOOKUP(C230,Clientes[ID_Cliente],Clientes[Provincia])</f>
        <v>Chaco</v>
      </c>
      <c r="L230" s="16" t="str">
        <f t="array" ref="L230">CONCATENATE(_xlfn.XLOOKUP(C230,Clientes[ID_Cliente],Clientes[Provincia]),", Argentina")</f>
        <v>Chaco, Argentina</v>
      </c>
      <c r="M230" s="20" t="str">
        <f t="array" ref="M230">_xlfn.XLOOKUP(F230,Metodos_De_Pago[ID_Metodo],Metodos_De_Pago[Metodo])</f>
        <v>Transferencia</v>
      </c>
      <c r="N230" s="20" t="str">
        <f t="shared" si="2"/>
        <v>2024 06</v>
      </c>
    </row>
    <row r="231" ht="22.5" customHeight="1">
      <c r="A231" s="12">
        <f>IFERROR(__xludf.DUMMYFUNCTION("""COMPUTED_VALUE"""),191.0)</f>
        <v>191</v>
      </c>
      <c r="B231" s="13">
        <f>IFERROR(__xludf.DUMMYFUNCTION("""COMPUTED_VALUE"""),45470.0)</f>
        <v>45470</v>
      </c>
      <c r="C231" s="12">
        <f>IFERROR(__xludf.DUMMYFUNCTION("""COMPUTED_VALUE"""),186.0)</f>
        <v>186</v>
      </c>
      <c r="D231" s="12">
        <f>IFERROR(__xludf.DUMMYFUNCTION("""COMPUTED_VALUE"""),11.0)</f>
        <v>11</v>
      </c>
      <c r="E231" s="12">
        <f>IFERROR(__xludf.DUMMYFUNCTION("""COMPUTED_VALUE"""),1.0)</f>
        <v>1</v>
      </c>
      <c r="F231" s="12">
        <f>IFERROR(__xludf.DUMMYFUNCTION("""COMPUTED_VALUE"""),3.0)</f>
        <v>3</v>
      </c>
      <c r="G231" s="15" t="str">
        <f>IFERROR(__xludf.DUMMYFUNCTION("""COMPUTED_VALUE"""),"Completa")</f>
        <v>Completa</v>
      </c>
      <c r="H231" s="16" t="str">
        <f t="array" ref="H231">_xlfn.XLOOKUP(D231,Productos[ID_Producto],Productos[Nombre_Producto])</f>
        <v>Salchicha</v>
      </c>
      <c r="I231" s="17">
        <f t="array" ref="I231">_xlfn.XLOOKUP(D231,Productos[ID_Producto],Productos[Precio_Unitario])</f>
        <v>11.23</v>
      </c>
      <c r="J231" s="17">
        <f t="shared" si="1"/>
        <v>11.23</v>
      </c>
      <c r="K231" s="16" t="str">
        <f t="array" ref="K231">_xlfn.XLOOKUP(C231,Clientes[ID_Cliente],Clientes[Provincia])</f>
        <v>Neuquén</v>
      </c>
      <c r="L231" s="16" t="str">
        <f t="array" ref="L231">CONCATENATE(_xlfn.XLOOKUP(C231,Clientes[ID_Cliente],Clientes[Provincia]),", Argentina")</f>
        <v>Neuquén, Argentina</v>
      </c>
      <c r="M231" s="20" t="str">
        <f t="array" ref="M231">_xlfn.XLOOKUP(F231,Metodos_De_Pago[ID_Metodo],Metodos_De_Pago[Metodo])</f>
        <v>Tarjeta de Débito</v>
      </c>
      <c r="N231" s="20" t="str">
        <f t="shared" si="2"/>
        <v>2024 06</v>
      </c>
    </row>
    <row r="232" ht="22.5" customHeight="1">
      <c r="A232" s="12">
        <f>IFERROR(__xludf.DUMMYFUNCTION("""COMPUTED_VALUE"""),2671.0)</f>
        <v>2671</v>
      </c>
      <c r="B232" s="13">
        <f>IFERROR(__xludf.DUMMYFUNCTION("""COMPUTED_VALUE"""),45470.0)</f>
        <v>45470</v>
      </c>
      <c r="C232" s="12">
        <f>IFERROR(__xludf.DUMMYFUNCTION("""COMPUTED_VALUE"""),36.0)</f>
        <v>36</v>
      </c>
      <c r="D232" s="12">
        <f>IFERROR(__xludf.DUMMYFUNCTION("""COMPUTED_VALUE"""),24.0)</f>
        <v>24</v>
      </c>
      <c r="E232" s="12">
        <f>IFERROR(__xludf.DUMMYFUNCTION("""COMPUTED_VALUE"""),1.0)</f>
        <v>1</v>
      </c>
      <c r="F232" s="12">
        <f>IFERROR(__xludf.DUMMYFUNCTION("""COMPUTED_VALUE"""),5.0)</f>
        <v>5</v>
      </c>
      <c r="G232" s="15" t="str">
        <f>IFERROR(__xludf.DUMMYFUNCTION("""COMPUTED_VALUE"""),"Completa")</f>
        <v>Completa</v>
      </c>
      <c r="H232" s="16" t="str">
        <f t="array" ref="H232">_xlfn.XLOOKUP(D232,Productos[ID_Producto],Productos[Nombre_Producto])</f>
        <v>Empanadas</v>
      </c>
      <c r="I232" s="17">
        <f t="array" ref="I232">_xlfn.XLOOKUP(D232,Productos[ID_Producto],Productos[Precio_Unitario])</f>
        <v>13.54</v>
      </c>
      <c r="J232" s="17">
        <f t="shared" si="1"/>
        <v>13.54</v>
      </c>
      <c r="K232" s="16" t="str">
        <f t="array" ref="K232">_xlfn.XLOOKUP(C232,Clientes[ID_Cliente],Clientes[Provincia])</f>
        <v>Buenos Aires</v>
      </c>
      <c r="L232" s="16" t="str">
        <f t="array" ref="L232">CONCATENATE(_xlfn.XLOOKUP(C232,Clientes[ID_Cliente],Clientes[Provincia]),", Argentina")</f>
        <v>Buenos Aires, Argentina</v>
      </c>
      <c r="M232" s="20" t="str">
        <f t="array" ref="M232">_xlfn.XLOOKUP(F232,Metodos_De_Pago[ID_Metodo],Metodos_De_Pago[Metodo])</f>
        <v>Transferencia</v>
      </c>
      <c r="N232" s="20" t="str">
        <f t="shared" si="2"/>
        <v>2024 06</v>
      </c>
    </row>
    <row r="233" ht="22.5" customHeight="1">
      <c r="A233" s="12">
        <f>IFERROR(__xludf.DUMMYFUNCTION("""COMPUTED_VALUE"""),1452.0)</f>
        <v>1452</v>
      </c>
      <c r="B233" s="13">
        <f>IFERROR(__xludf.DUMMYFUNCTION("""COMPUTED_VALUE"""),45472.0)</f>
        <v>45472</v>
      </c>
      <c r="C233" s="12">
        <f>IFERROR(__xludf.DUMMYFUNCTION("""COMPUTED_VALUE"""),56.0)</f>
        <v>56</v>
      </c>
      <c r="D233" s="12">
        <f>IFERROR(__xludf.DUMMYFUNCTION("""COMPUTED_VALUE"""),20.0)</f>
        <v>20</v>
      </c>
      <c r="E233" s="12">
        <f>IFERROR(__xludf.DUMMYFUNCTION("""COMPUTED_VALUE"""),1.0)</f>
        <v>1</v>
      </c>
      <c r="F233" s="12">
        <f>IFERROR(__xludf.DUMMYFUNCTION("""COMPUTED_VALUE"""),4.0)</f>
        <v>4</v>
      </c>
      <c r="G233" s="15" t="str">
        <f>IFERROR(__xludf.DUMMYFUNCTION("""COMPUTED_VALUE"""),"Completa")</f>
        <v>Completa</v>
      </c>
      <c r="H233" s="16" t="str">
        <f t="array" ref="H233">_xlfn.XLOOKUP(D233,Productos[ID_Producto],Productos[Nombre_Producto])</f>
        <v>Lechugas</v>
      </c>
      <c r="I233" s="17">
        <f t="array" ref="I233">_xlfn.XLOOKUP(D233,Productos[ID_Producto],Productos[Precio_Unitario])</f>
        <v>4.25</v>
      </c>
      <c r="J233" s="17">
        <f t="shared" si="1"/>
        <v>4.25</v>
      </c>
      <c r="K233" s="16" t="str">
        <f t="array" ref="K233">_xlfn.XLOOKUP(C233,Clientes[ID_Cliente],Clientes[Provincia])</f>
        <v>Córdoba</v>
      </c>
      <c r="L233" s="16" t="str">
        <f t="array" ref="L233">CONCATENATE(_xlfn.XLOOKUP(C233,Clientes[ID_Cliente],Clientes[Provincia]),", Argentina")</f>
        <v>Córdoba, Argentina</v>
      </c>
      <c r="M233" s="20" t="str">
        <f t="array" ref="M233">_xlfn.XLOOKUP(F233,Metodos_De_Pago[ID_Metodo],Metodos_De_Pago[Metodo])</f>
        <v>Mercado Pago</v>
      </c>
      <c r="N233" s="20" t="str">
        <f t="shared" si="2"/>
        <v>2024 06</v>
      </c>
    </row>
    <row r="234" ht="22.5" customHeight="1">
      <c r="A234" s="12">
        <f>IFERROR(__xludf.DUMMYFUNCTION("""COMPUTED_VALUE"""),920.0)</f>
        <v>920</v>
      </c>
      <c r="B234" s="13">
        <f>IFERROR(__xludf.DUMMYFUNCTION("""COMPUTED_VALUE"""),45473.0)</f>
        <v>45473</v>
      </c>
      <c r="C234" s="12">
        <f>IFERROR(__xludf.DUMMYFUNCTION("""COMPUTED_VALUE"""),50.0)</f>
        <v>50</v>
      </c>
      <c r="D234" s="12">
        <f>IFERROR(__xludf.DUMMYFUNCTION("""COMPUTED_VALUE"""),33.0)</f>
        <v>33</v>
      </c>
      <c r="E234" s="12">
        <f>IFERROR(__xludf.DUMMYFUNCTION("""COMPUTED_VALUE"""),1.0)</f>
        <v>1</v>
      </c>
      <c r="F234" s="12">
        <f>IFERROR(__xludf.DUMMYFUNCTION("""COMPUTED_VALUE"""),1.0)</f>
        <v>1</v>
      </c>
      <c r="G234" s="15" t="str">
        <f>IFERROR(__xludf.DUMMYFUNCTION("""COMPUTED_VALUE"""),"Completa")</f>
        <v>Completa</v>
      </c>
      <c r="H234" s="16" t="str">
        <f t="array" ref="H234">_xlfn.XLOOKUP(D234,Productos[ID_Producto],Productos[Nombre_Producto])</f>
        <v>Papas chips</v>
      </c>
      <c r="I234" s="17">
        <f t="array" ref="I234">_xlfn.XLOOKUP(D234,Productos[ID_Producto],Productos[Precio_Unitario])</f>
        <v>8.54</v>
      </c>
      <c r="J234" s="17">
        <f t="shared" si="1"/>
        <v>8.54</v>
      </c>
      <c r="K234" s="16" t="str">
        <f t="array" ref="K234">_xlfn.XLOOKUP(C234,Clientes[ID_Cliente],Clientes[Provincia])</f>
        <v>Buenos Aires</v>
      </c>
      <c r="L234" s="16" t="str">
        <f t="array" ref="L234">CONCATENATE(_xlfn.XLOOKUP(C234,Clientes[ID_Cliente],Clientes[Provincia]),", Argentina")</f>
        <v>Buenos Aires, Argentina</v>
      </c>
      <c r="M234" s="20" t="str">
        <f t="array" ref="M234">_xlfn.XLOOKUP(F234,Metodos_De_Pago[ID_Metodo],Metodos_De_Pago[Metodo])</f>
        <v>Efectivo</v>
      </c>
      <c r="N234" s="20" t="str">
        <f t="shared" si="2"/>
        <v>2024 06</v>
      </c>
    </row>
    <row r="235" ht="22.5" customHeight="1">
      <c r="A235" s="12">
        <f>IFERROR(__xludf.DUMMYFUNCTION("""COMPUTED_VALUE"""),2070.0)</f>
        <v>2070</v>
      </c>
      <c r="B235" s="13">
        <f>IFERROR(__xludf.DUMMYFUNCTION("""COMPUTED_VALUE"""),45473.0)</f>
        <v>45473</v>
      </c>
      <c r="C235" s="12">
        <f>IFERROR(__xludf.DUMMYFUNCTION("""COMPUTED_VALUE"""),89.0)</f>
        <v>89</v>
      </c>
      <c r="D235" s="12">
        <f>IFERROR(__xludf.DUMMYFUNCTION("""COMPUTED_VALUE"""),17.0)</f>
        <v>17</v>
      </c>
      <c r="E235" s="12">
        <f>IFERROR(__xludf.DUMMYFUNCTION("""COMPUTED_VALUE"""),1.0)</f>
        <v>1</v>
      </c>
      <c r="F235" s="12">
        <f>IFERROR(__xludf.DUMMYFUNCTION("""COMPUTED_VALUE"""),1.0)</f>
        <v>1</v>
      </c>
      <c r="G235" s="15" t="str">
        <f>IFERROR(__xludf.DUMMYFUNCTION("""COMPUTED_VALUE"""),"Completa")</f>
        <v>Completa</v>
      </c>
      <c r="H235" s="16" t="str">
        <f t="array" ref="H235">_xlfn.XLOOKUP(D235,Productos[ID_Producto],Productos[Nombre_Producto])</f>
        <v>Manzanas</v>
      </c>
      <c r="I235" s="17">
        <f t="array" ref="I235">_xlfn.XLOOKUP(D235,Productos[ID_Producto],Productos[Precio_Unitario])</f>
        <v>6.54</v>
      </c>
      <c r="J235" s="17">
        <f t="shared" si="1"/>
        <v>6.54</v>
      </c>
      <c r="K235" s="16" t="str">
        <f t="array" ref="K235">_xlfn.XLOOKUP(C235,Clientes[ID_Cliente],Clientes[Provincia])</f>
        <v>Neuquén</v>
      </c>
      <c r="L235" s="16" t="str">
        <f t="array" ref="L235">CONCATENATE(_xlfn.XLOOKUP(C235,Clientes[ID_Cliente],Clientes[Provincia]),", Argentina")</f>
        <v>Neuquén, Argentina</v>
      </c>
      <c r="M235" s="20" t="str">
        <f t="array" ref="M235">_xlfn.XLOOKUP(F235,Metodos_De_Pago[ID_Metodo],Metodos_De_Pago[Metodo])</f>
        <v>Efectivo</v>
      </c>
      <c r="N235" s="20" t="str">
        <f t="shared" si="2"/>
        <v>2024 06</v>
      </c>
    </row>
    <row r="236" ht="22.5" customHeight="1">
      <c r="A236" s="12">
        <f>IFERROR(__xludf.DUMMYFUNCTION("""COMPUTED_VALUE"""),2766.0)</f>
        <v>2766</v>
      </c>
      <c r="B236" s="13">
        <f>IFERROR(__xludf.DUMMYFUNCTION("""COMPUTED_VALUE"""),45473.0)</f>
        <v>45473</v>
      </c>
      <c r="C236" s="12">
        <f>IFERROR(__xludf.DUMMYFUNCTION("""COMPUTED_VALUE"""),185.0)</f>
        <v>185</v>
      </c>
      <c r="D236" s="12">
        <f>IFERROR(__xludf.DUMMYFUNCTION("""COMPUTED_VALUE"""),37.0)</f>
        <v>37</v>
      </c>
      <c r="E236" s="12">
        <f>IFERROR(__xludf.DUMMYFUNCTION("""COMPUTED_VALUE"""),1.0)</f>
        <v>1</v>
      </c>
      <c r="F236" s="12">
        <f>IFERROR(__xludf.DUMMYFUNCTION("""COMPUTED_VALUE"""),1.0)</f>
        <v>1</v>
      </c>
      <c r="G236" s="15" t="str">
        <f>IFERROR(__xludf.DUMMYFUNCTION("""COMPUTED_VALUE"""),"Completa")</f>
        <v>Completa</v>
      </c>
      <c r="H236" s="16" t="str">
        <f t="array" ref="H236">_xlfn.XLOOKUP(D236,Productos[ID_Producto],Productos[Nombre_Producto])</f>
        <v>Garbanzos</v>
      </c>
      <c r="I236" s="17">
        <f t="array" ref="I236">_xlfn.XLOOKUP(D236,Productos[ID_Producto],Productos[Precio_Unitario])</f>
        <v>3.65</v>
      </c>
      <c r="J236" s="17">
        <f t="shared" si="1"/>
        <v>3.65</v>
      </c>
      <c r="K236" s="16" t="str">
        <f t="array" ref="K236">_xlfn.XLOOKUP(C236,Clientes[ID_Cliente],Clientes[Provincia])</f>
        <v>Córdoba</v>
      </c>
      <c r="L236" s="16" t="str">
        <f t="array" ref="L236">CONCATENATE(_xlfn.XLOOKUP(C236,Clientes[ID_Cliente],Clientes[Provincia]),", Argentina")</f>
        <v>Córdoba, Argentina</v>
      </c>
      <c r="M236" s="20" t="str">
        <f t="array" ref="M236">_xlfn.XLOOKUP(F236,Metodos_De_Pago[ID_Metodo],Metodos_De_Pago[Metodo])</f>
        <v>Efectivo</v>
      </c>
      <c r="N236" s="20" t="str">
        <f t="shared" si="2"/>
        <v>2024 06</v>
      </c>
    </row>
    <row r="237" ht="22.5" customHeight="1">
      <c r="A237" s="12">
        <f>IFERROR(__xludf.DUMMYFUNCTION("""COMPUTED_VALUE"""),1052.0)</f>
        <v>1052</v>
      </c>
      <c r="B237" s="13">
        <f>IFERROR(__xludf.DUMMYFUNCTION("""COMPUTED_VALUE"""),45474.0)</f>
        <v>45474</v>
      </c>
      <c r="C237" s="12">
        <f>IFERROR(__xludf.DUMMYFUNCTION("""COMPUTED_VALUE"""),219.0)</f>
        <v>219</v>
      </c>
      <c r="D237" s="12">
        <f>IFERROR(__xludf.DUMMYFUNCTION("""COMPUTED_VALUE"""),18.0)</f>
        <v>18</v>
      </c>
      <c r="E237" s="12">
        <f>IFERROR(__xludf.DUMMYFUNCTION("""COMPUTED_VALUE"""),1.0)</f>
        <v>1</v>
      </c>
      <c r="F237" s="12">
        <f>IFERROR(__xludf.DUMMYFUNCTION("""COMPUTED_VALUE"""),3.0)</f>
        <v>3</v>
      </c>
      <c r="G237" s="15" t="str">
        <f>IFERROR(__xludf.DUMMYFUNCTION("""COMPUTED_VALUE"""),"Pendiente")</f>
        <v>Pendiente</v>
      </c>
      <c r="H237" s="16" t="str">
        <f t="array" ref="H237">_xlfn.XLOOKUP(D237,Productos[ID_Producto],Productos[Nombre_Producto])</f>
        <v>Bananas</v>
      </c>
      <c r="I237" s="17">
        <f t="array" ref="I237">_xlfn.XLOOKUP(D237,Productos[ID_Producto],Productos[Precio_Unitario])</f>
        <v>7.25</v>
      </c>
      <c r="J237" s="17">
        <f t="shared" si="1"/>
        <v>7.25</v>
      </c>
      <c r="K237" s="16" t="str">
        <f t="array" ref="K237">_xlfn.XLOOKUP(C237,Clientes[ID_Cliente],Clientes[Provincia])</f>
        <v>Neuquén</v>
      </c>
      <c r="L237" s="16" t="str">
        <f t="array" ref="L237">CONCATENATE(_xlfn.XLOOKUP(C237,Clientes[ID_Cliente],Clientes[Provincia]),", Argentina")</f>
        <v>Neuquén, Argentina</v>
      </c>
      <c r="M237" s="20" t="str">
        <f t="array" ref="M237">_xlfn.XLOOKUP(F237,Metodos_De_Pago[ID_Metodo],Metodos_De_Pago[Metodo])</f>
        <v>Tarjeta de Débito</v>
      </c>
      <c r="N237" s="20" t="str">
        <f t="shared" si="2"/>
        <v>2024 07</v>
      </c>
    </row>
    <row r="238" ht="22.5" customHeight="1">
      <c r="A238" s="12">
        <f>IFERROR(__xludf.DUMMYFUNCTION("""COMPUTED_VALUE"""),2034.0)</f>
        <v>2034</v>
      </c>
      <c r="B238" s="13">
        <f>IFERROR(__xludf.DUMMYFUNCTION("""COMPUTED_VALUE"""),45476.0)</f>
        <v>45476</v>
      </c>
      <c r="C238" s="12">
        <f>IFERROR(__xludf.DUMMYFUNCTION("""COMPUTED_VALUE"""),15.0)</f>
        <v>15</v>
      </c>
      <c r="D238" s="12">
        <f>IFERROR(__xludf.DUMMYFUNCTION("""COMPUTED_VALUE"""),24.0)</f>
        <v>24</v>
      </c>
      <c r="E238" s="12">
        <f>IFERROR(__xludf.DUMMYFUNCTION("""COMPUTED_VALUE"""),1.0)</f>
        <v>1</v>
      </c>
      <c r="F238" s="12">
        <f>IFERROR(__xludf.DUMMYFUNCTION("""COMPUTED_VALUE"""),5.0)</f>
        <v>5</v>
      </c>
      <c r="G238" s="15" t="str">
        <f>IFERROR(__xludf.DUMMYFUNCTION("""COMPUTED_VALUE"""),"Completa")</f>
        <v>Completa</v>
      </c>
      <c r="H238" s="16" t="str">
        <f t="array" ref="H238">_xlfn.XLOOKUP(D238,Productos[ID_Producto],Productos[Nombre_Producto])</f>
        <v>Empanadas</v>
      </c>
      <c r="I238" s="17">
        <f t="array" ref="I238">_xlfn.XLOOKUP(D238,Productos[ID_Producto],Productos[Precio_Unitario])</f>
        <v>13.54</v>
      </c>
      <c r="J238" s="17">
        <f t="shared" si="1"/>
        <v>13.54</v>
      </c>
      <c r="K238" s="16" t="str">
        <f t="array" ref="K238">_xlfn.XLOOKUP(C238,Clientes[ID_Cliente],Clientes[Provincia])</f>
        <v>Buenos Aires</v>
      </c>
      <c r="L238" s="16" t="str">
        <f t="array" ref="L238">CONCATENATE(_xlfn.XLOOKUP(C238,Clientes[ID_Cliente],Clientes[Provincia]),", Argentina")</f>
        <v>Buenos Aires, Argentina</v>
      </c>
      <c r="M238" s="20" t="str">
        <f t="array" ref="M238">_xlfn.XLOOKUP(F238,Metodos_De_Pago[ID_Metodo],Metodos_De_Pago[Metodo])</f>
        <v>Transferencia</v>
      </c>
      <c r="N238" s="20" t="str">
        <f t="shared" si="2"/>
        <v>2024 07</v>
      </c>
    </row>
    <row r="239" ht="22.5" customHeight="1">
      <c r="A239" s="12">
        <f>IFERROR(__xludf.DUMMYFUNCTION("""COMPUTED_VALUE"""),364.0)</f>
        <v>364</v>
      </c>
      <c r="B239" s="13">
        <f>IFERROR(__xludf.DUMMYFUNCTION("""COMPUTED_VALUE"""),45477.0)</f>
        <v>45477</v>
      </c>
      <c r="C239" s="12">
        <f>IFERROR(__xludf.DUMMYFUNCTION("""COMPUTED_VALUE"""),128.0)</f>
        <v>128</v>
      </c>
      <c r="D239" s="12">
        <f>IFERROR(__xludf.DUMMYFUNCTION("""COMPUTED_VALUE"""),34.0)</f>
        <v>34</v>
      </c>
      <c r="E239" s="12">
        <f>IFERROR(__xludf.DUMMYFUNCTION("""COMPUTED_VALUE"""),1.0)</f>
        <v>1</v>
      </c>
      <c r="F239" s="12">
        <f>IFERROR(__xludf.DUMMYFUNCTION("""COMPUTED_VALUE"""),5.0)</f>
        <v>5</v>
      </c>
      <c r="G239" s="15" t="str">
        <f>IFERROR(__xludf.DUMMYFUNCTION("""COMPUTED_VALUE"""),"Completa")</f>
        <v>Completa</v>
      </c>
      <c r="H239" s="16" t="str">
        <f t="array" ref="H239">_xlfn.XLOOKUP(D239,Productos[ID_Producto],Productos[Nombre_Producto])</f>
        <v>Maníes</v>
      </c>
      <c r="I239" s="17">
        <f t="array" ref="I239">_xlfn.XLOOKUP(D239,Productos[ID_Producto],Productos[Precio_Unitario])</f>
        <v>5.45</v>
      </c>
      <c r="J239" s="17">
        <f t="shared" si="1"/>
        <v>5.45</v>
      </c>
      <c r="K239" s="16" t="str">
        <f t="array" ref="K239">_xlfn.XLOOKUP(C239,Clientes[ID_Cliente],Clientes[Provincia])</f>
        <v>Buenos Aires</v>
      </c>
      <c r="L239" s="16" t="str">
        <f t="array" ref="L239">CONCATENATE(_xlfn.XLOOKUP(C239,Clientes[ID_Cliente],Clientes[Provincia]),", Argentina")</f>
        <v>Buenos Aires, Argentina</v>
      </c>
      <c r="M239" s="20" t="str">
        <f t="array" ref="M239">_xlfn.XLOOKUP(F239,Metodos_De_Pago[ID_Metodo],Metodos_De_Pago[Metodo])</f>
        <v>Transferencia</v>
      </c>
      <c r="N239" s="20" t="str">
        <f t="shared" si="2"/>
        <v>2024 07</v>
      </c>
    </row>
    <row r="240" ht="22.5" customHeight="1">
      <c r="A240" s="12">
        <f>IFERROR(__xludf.DUMMYFUNCTION("""COMPUTED_VALUE"""),1594.0)</f>
        <v>1594</v>
      </c>
      <c r="B240" s="13">
        <f>IFERROR(__xludf.DUMMYFUNCTION("""COMPUTED_VALUE"""),45477.0)</f>
        <v>45477</v>
      </c>
      <c r="C240" s="12">
        <f>IFERROR(__xludf.DUMMYFUNCTION("""COMPUTED_VALUE"""),253.0)</f>
        <v>253</v>
      </c>
      <c r="D240" s="12">
        <f>IFERROR(__xludf.DUMMYFUNCTION("""COMPUTED_VALUE"""),4.0)</f>
        <v>4</v>
      </c>
      <c r="E240" s="12">
        <f>IFERROR(__xludf.DUMMYFUNCTION("""COMPUTED_VALUE"""),1.0)</f>
        <v>1</v>
      </c>
      <c r="F240" s="12">
        <f>IFERROR(__xludf.DUMMYFUNCTION("""COMPUTED_VALUE"""),1.0)</f>
        <v>1</v>
      </c>
      <c r="G240" s="15" t="str">
        <f>IFERROR(__xludf.DUMMYFUNCTION("""COMPUTED_VALUE"""),"Cancelada")</f>
        <v>Cancelada</v>
      </c>
      <c r="H240" s="16" t="str">
        <f t="array" ref="H240">_xlfn.XLOOKUP(D240,Productos[ID_Producto],Productos[Nombre_Producto])</f>
        <v>Queso rallado</v>
      </c>
      <c r="I240" s="17">
        <f t="array" ref="I240">_xlfn.XLOOKUP(D240,Productos[ID_Producto],Productos[Precio_Unitario])</f>
        <v>19.23</v>
      </c>
      <c r="J240" s="17">
        <f t="shared" si="1"/>
        <v>19.23</v>
      </c>
      <c r="K240" s="16" t="str">
        <f t="array" ref="K240">_xlfn.XLOOKUP(C240,Clientes[ID_Cliente],Clientes[Provincia])</f>
        <v>Buenos Aires</v>
      </c>
      <c r="L240" s="16" t="str">
        <f t="array" ref="L240">CONCATENATE(_xlfn.XLOOKUP(C240,Clientes[ID_Cliente],Clientes[Provincia]),", Argentina")</f>
        <v>Buenos Aires, Argentina</v>
      </c>
      <c r="M240" s="20" t="str">
        <f t="array" ref="M240">_xlfn.XLOOKUP(F240,Metodos_De_Pago[ID_Metodo],Metodos_De_Pago[Metodo])</f>
        <v>Efectivo</v>
      </c>
      <c r="N240" s="20" t="str">
        <f t="shared" si="2"/>
        <v>2024 07</v>
      </c>
    </row>
    <row r="241" ht="22.5" customHeight="1">
      <c r="A241" s="12">
        <f>IFERROR(__xludf.DUMMYFUNCTION("""COMPUTED_VALUE"""),2715.0)</f>
        <v>2715</v>
      </c>
      <c r="B241" s="13">
        <f>IFERROR(__xludf.DUMMYFUNCTION("""COMPUTED_VALUE"""),45477.0)</f>
        <v>45477</v>
      </c>
      <c r="C241" s="12">
        <f>IFERROR(__xludf.DUMMYFUNCTION("""COMPUTED_VALUE"""),159.0)</f>
        <v>159</v>
      </c>
      <c r="D241" s="12">
        <f>IFERROR(__xludf.DUMMYFUNCTION("""COMPUTED_VALUE"""),4.0)</f>
        <v>4</v>
      </c>
      <c r="E241" s="12">
        <f>IFERROR(__xludf.DUMMYFUNCTION("""COMPUTED_VALUE"""),1.0)</f>
        <v>1</v>
      </c>
      <c r="F241" s="12">
        <f>IFERROR(__xludf.DUMMYFUNCTION("""COMPUTED_VALUE"""),3.0)</f>
        <v>3</v>
      </c>
      <c r="G241" s="15" t="str">
        <f>IFERROR(__xludf.DUMMYFUNCTION("""COMPUTED_VALUE"""),"Completa")</f>
        <v>Completa</v>
      </c>
      <c r="H241" s="16" t="str">
        <f t="array" ref="H241">_xlfn.XLOOKUP(D241,Productos[ID_Producto],Productos[Nombre_Producto])</f>
        <v>Queso rallado</v>
      </c>
      <c r="I241" s="17">
        <f t="array" ref="I241">_xlfn.XLOOKUP(D241,Productos[ID_Producto],Productos[Precio_Unitario])</f>
        <v>19.23</v>
      </c>
      <c r="J241" s="17">
        <f t="shared" si="1"/>
        <v>19.23</v>
      </c>
      <c r="K241" s="16" t="str">
        <f t="array" ref="K241">_xlfn.XLOOKUP(C241,Clientes[ID_Cliente],Clientes[Provincia])</f>
        <v>Chaco</v>
      </c>
      <c r="L241" s="16" t="str">
        <f t="array" ref="L241">CONCATENATE(_xlfn.XLOOKUP(C241,Clientes[ID_Cliente],Clientes[Provincia]),", Argentina")</f>
        <v>Chaco, Argentina</v>
      </c>
      <c r="M241" s="20" t="str">
        <f t="array" ref="M241">_xlfn.XLOOKUP(F241,Metodos_De_Pago[ID_Metodo],Metodos_De_Pago[Metodo])</f>
        <v>Tarjeta de Débito</v>
      </c>
      <c r="N241" s="20" t="str">
        <f t="shared" si="2"/>
        <v>2024 07</v>
      </c>
    </row>
    <row r="242" ht="22.5" customHeight="1">
      <c r="A242" s="12">
        <f>IFERROR(__xludf.DUMMYFUNCTION("""COMPUTED_VALUE"""),2529.0)</f>
        <v>2529</v>
      </c>
      <c r="B242" s="13">
        <f>IFERROR(__xludf.DUMMYFUNCTION("""COMPUTED_VALUE"""),45478.0)</f>
        <v>45478</v>
      </c>
      <c r="C242" s="12">
        <f>IFERROR(__xludf.DUMMYFUNCTION("""COMPUTED_VALUE"""),77.0)</f>
        <v>77</v>
      </c>
      <c r="D242" s="12">
        <f>IFERROR(__xludf.DUMMYFUNCTION("""COMPUTED_VALUE"""),31.0)</f>
        <v>31</v>
      </c>
      <c r="E242" s="12">
        <f>IFERROR(__xludf.DUMMYFUNCTION("""COMPUTED_VALUE"""),1.0)</f>
        <v>1</v>
      </c>
      <c r="F242" s="12">
        <f>IFERROR(__xludf.DUMMYFUNCTION("""COMPUTED_VALUE"""),5.0)</f>
        <v>5</v>
      </c>
      <c r="G242" s="15" t="str">
        <f>IFERROR(__xludf.DUMMYFUNCTION("""COMPUTED_VALUE"""),"Completa")</f>
        <v>Completa</v>
      </c>
      <c r="H242" s="16" t="str">
        <f t="array" ref="H242">_xlfn.XLOOKUP(D242,Productos[ID_Producto],Productos[Nombre_Producto])</f>
        <v>Galletitas de agua</v>
      </c>
      <c r="I242" s="17">
        <f t="array" ref="I242">_xlfn.XLOOKUP(D242,Productos[ID_Producto],Productos[Precio_Unitario])</f>
        <v>5.24</v>
      </c>
      <c r="J242" s="17">
        <f t="shared" si="1"/>
        <v>5.24</v>
      </c>
      <c r="K242" s="16" t="str">
        <f t="array" ref="K242">_xlfn.XLOOKUP(C242,Clientes[ID_Cliente],Clientes[Provincia])</f>
        <v>Buenos Aires</v>
      </c>
      <c r="L242" s="16" t="str">
        <f t="array" ref="L242">CONCATENATE(_xlfn.XLOOKUP(C242,Clientes[ID_Cliente],Clientes[Provincia]),", Argentina")</f>
        <v>Buenos Aires, Argentina</v>
      </c>
      <c r="M242" s="20" t="str">
        <f t="array" ref="M242">_xlfn.XLOOKUP(F242,Metodos_De_Pago[ID_Metodo],Metodos_De_Pago[Metodo])</f>
        <v>Transferencia</v>
      </c>
      <c r="N242" s="20" t="str">
        <f t="shared" si="2"/>
        <v>2024 07</v>
      </c>
    </row>
    <row r="243" ht="22.5" customHeight="1">
      <c r="A243" s="12">
        <f>IFERROR(__xludf.DUMMYFUNCTION("""COMPUTED_VALUE"""),536.0)</f>
        <v>536</v>
      </c>
      <c r="B243" s="13">
        <f>IFERROR(__xludf.DUMMYFUNCTION("""COMPUTED_VALUE"""),45480.0)</f>
        <v>45480</v>
      </c>
      <c r="C243" s="12">
        <f>IFERROR(__xludf.DUMMYFUNCTION("""COMPUTED_VALUE"""),117.0)</f>
        <v>117</v>
      </c>
      <c r="D243" s="12">
        <f>IFERROR(__xludf.DUMMYFUNCTION("""COMPUTED_VALUE"""),16.0)</f>
        <v>16</v>
      </c>
      <c r="E243" s="12">
        <f>IFERROR(__xludf.DUMMYFUNCTION("""COMPUTED_VALUE"""),1.0)</f>
        <v>1</v>
      </c>
      <c r="F243" s="12">
        <f>IFERROR(__xludf.DUMMYFUNCTION("""COMPUTED_VALUE"""),5.0)</f>
        <v>5</v>
      </c>
      <c r="G243" s="15" t="str">
        <f>IFERROR(__xludf.DUMMYFUNCTION("""COMPUTED_VALUE"""),"Completa")</f>
        <v>Completa</v>
      </c>
      <c r="H243" s="16" t="str">
        <f t="array" ref="H243">_xlfn.XLOOKUP(D243,Productos[ID_Producto],Productos[Nombre_Producto])</f>
        <v>Tortas</v>
      </c>
      <c r="I243" s="17">
        <f t="array" ref="I243">_xlfn.XLOOKUP(D243,Productos[ID_Producto],Productos[Precio_Unitario])</f>
        <v>15.23</v>
      </c>
      <c r="J243" s="17">
        <f t="shared" si="1"/>
        <v>15.23</v>
      </c>
      <c r="K243" s="16" t="str">
        <f t="array" ref="K243">_xlfn.XLOOKUP(C243,Clientes[ID_Cliente],Clientes[Provincia])</f>
        <v>Salta</v>
      </c>
      <c r="L243" s="16" t="str">
        <f t="array" ref="L243">CONCATENATE(_xlfn.XLOOKUP(C243,Clientes[ID_Cliente],Clientes[Provincia]),", Argentina")</f>
        <v>Salta, Argentina</v>
      </c>
      <c r="M243" s="20" t="str">
        <f t="array" ref="M243">_xlfn.XLOOKUP(F243,Metodos_De_Pago[ID_Metodo],Metodos_De_Pago[Metodo])</f>
        <v>Transferencia</v>
      </c>
      <c r="N243" s="20" t="str">
        <f t="shared" si="2"/>
        <v>2024 07</v>
      </c>
    </row>
    <row r="244" ht="22.5" customHeight="1">
      <c r="A244" s="12">
        <f>IFERROR(__xludf.DUMMYFUNCTION("""COMPUTED_VALUE"""),1632.0)</f>
        <v>1632</v>
      </c>
      <c r="B244" s="13">
        <f>IFERROR(__xludf.DUMMYFUNCTION("""COMPUTED_VALUE"""),45480.0)</f>
        <v>45480</v>
      </c>
      <c r="C244" s="12">
        <f>IFERROR(__xludf.DUMMYFUNCTION("""COMPUTED_VALUE"""),224.0)</f>
        <v>224</v>
      </c>
      <c r="D244" s="12">
        <f>IFERROR(__xludf.DUMMYFUNCTION("""COMPUTED_VALUE"""),38.0)</f>
        <v>38</v>
      </c>
      <c r="E244" s="12">
        <f>IFERROR(__xludf.DUMMYFUNCTION("""COMPUTED_VALUE"""),1.0)</f>
        <v>1</v>
      </c>
      <c r="F244" s="12">
        <f>IFERROR(__xludf.DUMMYFUNCTION("""COMPUTED_VALUE"""),1.0)</f>
        <v>1</v>
      </c>
      <c r="G244" s="15" t="str">
        <f>IFERROR(__xludf.DUMMYFUNCTION("""COMPUTED_VALUE"""),"Completa")</f>
        <v>Completa</v>
      </c>
      <c r="H244" s="16" t="str">
        <f t="array" ref="H244">_xlfn.XLOOKUP(D244,Productos[ID_Producto],Productos[Nombre_Producto])</f>
        <v>Atún enlatado</v>
      </c>
      <c r="I244" s="17">
        <f t="array" ref="I244">_xlfn.XLOOKUP(D244,Productos[ID_Producto],Productos[Precio_Unitario])</f>
        <v>6.21</v>
      </c>
      <c r="J244" s="17">
        <f t="shared" si="1"/>
        <v>6.21</v>
      </c>
      <c r="K244" s="16" t="str">
        <f t="array" ref="K244">_xlfn.XLOOKUP(C244,Clientes[ID_Cliente],Clientes[Provincia])</f>
        <v>San Luis</v>
      </c>
      <c r="L244" s="16" t="str">
        <f t="array" ref="L244">CONCATENATE(_xlfn.XLOOKUP(C244,Clientes[ID_Cliente],Clientes[Provincia]),", Argentina")</f>
        <v>San Luis, Argentina</v>
      </c>
      <c r="M244" s="20" t="str">
        <f t="array" ref="M244">_xlfn.XLOOKUP(F244,Metodos_De_Pago[ID_Metodo],Metodos_De_Pago[Metodo])</f>
        <v>Efectivo</v>
      </c>
      <c r="N244" s="20" t="str">
        <f t="shared" si="2"/>
        <v>2024 07</v>
      </c>
    </row>
    <row r="245" ht="22.5" customHeight="1">
      <c r="A245" s="12">
        <f>IFERROR(__xludf.DUMMYFUNCTION("""COMPUTED_VALUE"""),1813.0)</f>
        <v>1813</v>
      </c>
      <c r="B245" s="13">
        <f>IFERROR(__xludf.DUMMYFUNCTION("""COMPUTED_VALUE"""),45480.0)</f>
        <v>45480</v>
      </c>
      <c r="C245" s="12">
        <f>IFERROR(__xludf.DUMMYFUNCTION("""COMPUTED_VALUE"""),90.0)</f>
        <v>90</v>
      </c>
      <c r="D245" s="12">
        <f>IFERROR(__xludf.DUMMYFUNCTION("""COMPUTED_VALUE"""),35.0)</f>
        <v>35</v>
      </c>
      <c r="E245" s="12">
        <f>IFERROR(__xludf.DUMMYFUNCTION("""COMPUTED_VALUE"""),1.0)</f>
        <v>1</v>
      </c>
      <c r="F245" s="12">
        <f>IFERROR(__xludf.DUMMYFUNCTION("""COMPUTED_VALUE"""),3.0)</f>
        <v>3</v>
      </c>
      <c r="G245" s="15" t="str">
        <f>IFERROR(__xludf.DUMMYFUNCTION("""COMPUTED_VALUE"""),"Pendiente")</f>
        <v>Pendiente</v>
      </c>
      <c r="H245" s="16" t="str">
        <f t="array" ref="H245">_xlfn.XLOOKUP(D245,Productos[ID_Producto],Productos[Nombre_Producto])</f>
        <v>Arroz</v>
      </c>
      <c r="I245" s="17">
        <f t="array" ref="I245">_xlfn.XLOOKUP(D245,Productos[ID_Producto],Productos[Precio_Unitario])</f>
        <v>4.25</v>
      </c>
      <c r="J245" s="17">
        <f t="shared" si="1"/>
        <v>4.25</v>
      </c>
      <c r="K245" s="16" t="str">
        <f t="array" ref="K245">_xlfn.XLOOKUP(C245,Clientes[ID_Cliente],Clientes[Provincia])</f>
        <v>Buenos Aires</v>
      </c>
      <c r="L245" s="16" t="str">
        <f t="array" ref="L245">CONCATENATE(_xlfn.XLOOKUP(C245,Clientes[ID_Cliente],Clientes[Provincia]),", Argentina")</f>
        <v>Buenos Aires, Argentina</v>
      </c>
      <c r="M245" s="20" t="str">
        <f t="array" ref="M245">_xlfn.XLOOKUP(F245,Metodos_De_Pago[ID_Metodo],Metodos_De_Pago[Metodo])</f>
        <v>Tarjeta de Débito</v>
      </c>
      <c r="N245" s="20" t="str">
        <f t="shared" si="2"/>
        <v>2024 07</v>
      </c>
    </row>
    <row r="246" ht="22.5" customHeight="1">
      <c r="A246" s="12">
        <f>IFERROR(__xludf.DUMMYFUNCTION("""COMPUTED_VALUE"""),2198.0)</f>
        <v>2198</v>
      </c>
      <c r="B246" s="13">
        <f>IFERROR(__xludf.DUMMYFUNCTION("""COMPUTED_VALUE"""),45480.0)</f>
        <v>45480</v>
      </c>
      <c r="C246" s="12">
        <f>IFERROR(__xludf.DUMMYFUNCTION("""COMPUTED_VALUE"""),213.0)</f>
        <v>213</v>
      </c>
      <c r="D246" s="12">
        <f>IFERROR(__xludf.DUMMYFUNCTION("""COMPUTED_VALUE"""),13.0)</f>
        <v>13</v>
      </c>
      <c r="E246" s="12">
        <f>IFERROR(__xludf.DUMMYFUNCTION("""COMPUTED_VALUE"""),1.0)</f>
        <v>1</v>
      </c>
      <c r="F246" s="12">
        <f>IFERROR(__xludf.DUMMYFUNCTION("""COMPUTED_VALUE"""),2.0)</f>
        <v>2</v>
      </c>
      <c r="G246" s="15" t="str">
        <f>IFERROR(__xludf.DUMMYFUNCTION("""COMPUTED_VALUE"""),"Completa")</f>
        <v>Completa</v>
      </c>
      <c r="H246" s="16" t="str">
        <f t="array" ref="H246">_xlfn.XLOOKUP(D246,Productos[ID_Producto],Productos[Nombre_Producto])</f>
        <v>Pan integral</v>
      </c>
      <c r="I246" s="17">
        <f t="array" ref="I246">_xlfn.XLOOKUP(D246,Productos[ID_Producto],Productos[Precio_Unitario])</f>
        <v>12.56</v>
      </c>
      <c r="J246" s="17">
        <f t="shared" si="1"/>
        <v>12.56</v>
      </c>
      <c r="K246" s="16" t="str">
        <f t="array" ref="K246">_xlfn.XLOOKUP(C246,Clientes[ID_Cliente],Clientes[Provincia])</f>
        <v>Córdoba</v>
      </c>
      <c r="L246" s="16" t="str">
        <f t="array" ref="L246">CONCATENATE(_xlfn.XLOOKUP(C246,Clientes[ID_Cliente],Clientes[Provincia]),", Argentina")</f>
        <v>Córdoba, Argentina</v>
      </c>
      <c r="M246" s="20" t="str">
        <f t="array" ref="M246">_xlfn.XLOOKUP(F246,Metodos_De_Pago[ID_Metodo],Metodos_De_Pago[Metodo])</f>
        <v>Tarjeta de Crédito</v>
      </c>
      <c r="N246" s="20" t="str">
        <f t="shared" si="2"/>
        <v>2024 07</v>
      </c>
    </row>
    <row r="247" ht="22.5" customHeight="1">
      <c r="A247" s="12">
        <f>IFERROR(__xludf.DUMMYFUNCTION("""COMPUTED_VALUE"""),97.0)</f>
        <v>97</v>
      </c>
      <c r="B247" s="13">
        <f>IFERROR(__xludf.DUMMYFUNCTION("""COMPUTED_VALUE"""),45482.0)</f>
        <v>45482</v>
      </c>
      <c r="C247" s="12">
        <f>IFERROR(__xludf.DUMMYFUNCTION("""COMPUTED_VALUE"""),103.0)</f>
        <v>103</v>
      </c>
      <c r="D247" s="12">
        <f>IFERROR(__xludf.DUMMYFUNCTION("""COMPUTED_VALUE"""),19.0)</f>
        <v>19</v>
      </c>
      <c r="E247" s="12">
        <f>IFERROR(__xludf.DUMMYFUNCTION("""COMPUTED_VALUE"""),1.0)</f>
        <v>1</v>
      </c>
      <c r="F247" s="12">
        <f>IFERROR(__xludf.DUMMYFUNCTION("""COMPUTED_VALUE"""),4.0)</f>
        <v>4</v>
      </c>
      <c r="G247" s="15" t="str">
        <f>IFERROR(__xludf.DUMMYFUNCTION("""COMPUTED_VALUE"""),"Pendiente")</f>
        <v>Pendiente</v>
      </c>
      <c r="H247" s="16" t="str">
        <f t="array" ref="H247">_xlfn.XLOOKUP(D247,Productos[ID_Producto],Productos[Nombre_Producto])</f>
        <v>Tomates</v>
      </c>
      <c r="I247" s="17">
        <f t="array" ref="I247">_xlfn.XLOOKUP(D247,Productos[ID_Producto],Productos[Precio_Unitario])</f>
        <v>6.54</v>
      </c>
      <c r="J247" s="17">
        <f t="shared" si="1"/>
        <v>6.54</v>
      </c>
      <c r="K247" s="16" t="str">
        <f t="array" ref="K247">_xlfn.XLOOKUP(C247,Clientes[ID_Cliente],Clientes[Provincia])</f>
        <v>Neuquén</v>
      </c>
      <c r="L247" s="16" t="str">
        <f t="array" ref="L247">CONCATENATE(_xlfn.XLOOKUP(C247,Clientes[ID_Cliente],Clientes[Provincia]),", Argentina")</f>
        <v>Neuquén, Argentina</v>
      </c>
      <c r="M247" s="20" t="str">
        <f t="array" ref="M247">_xlfn.XLOOKUP(F247,Metodos_De_Pago[ID_Metodo],Metodos_De_Pago[Metodo])</f>
        <v>Mercado Pago</v>
      </c>
      <c r="N247" s="20" t="str">
        <f t="shared" si="2"/>
        <v>2024 07</v>
      </c>
    </row>
    <row r="248" ht="22.5" customHeight="1">
      <c r="A248" s="12">
        <f>IFERROR(__xludf.DUMMYFUNCTION("""COMPUTED_VALUE"""),2629.0)</f>
        <v>2629</v>
      </c>
      <c r="B248" s="13">
        <f>IFERROR(__xludf.DUMMYFUNCTION("""COMPUTED_VALUE"""),45482.0)</f>
        <v>45482</v>
      </c>
      <c r="C248" s="12">
        <f>IFERROR(__xludf.DUMMYFUNCTION("""COMPUTED_VALUE"""),233.0)</f>
        <v>233</v>
      </c>
      <c r="D248" s="12">
        <f>IFERROR(__xludf.DUMMYFUNCTION("""COMPUTED_VALUE"""),19.0)</f>
        <v>19</v>
      </c>
      <c r="E248" s="12">
        <f>IFERROR(__xludf.DUMMYFUNCTION("""COMPUTED_VALUE"""),1.0)</f>
        <v>1</v>
      </c>
      <c r="F248" s="12">
        <f>IFERROR(__xludf.DUMMYFUNCTION("""COMPUTED_VALUE"""),4.0)</f>
        <v>4</v>
      </c>
      <c r="G248" s="15" t="str">
        <f>IFERROR(__xludf.DUMMYFUNCTION("""COMPUTED_VALUE"""),"Pendiente")</f>
        <v>Pendiente</v>
      </c>
      <c r="H248" s="16" t="str">
        <f t="array" ref="H248">_xlfn.XLOOKUP(D248,Productos[ID_Producto],Productos[Nombre_Producto])</f>
        <v>Tomates</v>
      </c>
      <c r="I248" s="17">
        <f t="array" ref="I248">_xlfn.XLOOKUP(D248,Productos[ID_Producto],Productos[Precio_Unitario])</f>
        <v>6.54</v>
      </c>
      <c r="J248" s="17">
        <f t="shared" si="1"/>
        <v>6.54</v>
      </c>
      <c r="K248" s="16" t="str">
        <f t="array" ref="K248">_xlfn.XLOOKUP(C248,Clientes[ID_Cliente],Clientes[Provincia])</f>
        <v>Córdoba</v>
      </c>
      <c r="L248" s="16" t="str">
        <f t="array" ref="L248">CONCATENATE(_xlfn.XLOOKUP(C248,Clientes[ID_Cliente],Clientes[Provincia]),", Argentina")</f>
        <v>Córdoba, Argentina</v>
      </c>
      <c r="M248" s="20" t="str">
        <f t="array" ref="M248">_xlfn.XLOOKUP(F248,Metodos_De_Pago[ID_Metodo],Metodos_De_Pago[Metodo])</f>
        <v>Mercado Pago</v>
      </c>
      <c r="N248" s="20" t="str">
        <f t="shared" si="2"/>
        <v>2024 07</v>
      </c>
    </row>
    <row r="249" ht="22.5" customHeight="1">
      <c r="A249" s="12">
        <f>IFERROR(__xludf.DUMMYFUNCTION("""COMPUTED_VALUE"""),2727.0)</f>
        <v>2727</v>
      </c>
      <c r="B249" s="13">
        <f>IFERROR(__xludf.DUMMYFUNCTION("""COMPUTED_VALUE"""),45482.0)</f>
        <v>45482</v>
      </c>
      <c r="C249" s="12">
        <f>IFERROR(__xludf.DUMMYFUNCTION("""COMPUTED_VALUE"""),167.0)</f>
        <v>167</v>
      </c>
      <c r="D249" s="12">
        <f>IFERROR(__xludf.DUMMYFUNCTION("""COMPUTED_VALUE"""),17.0)</f>
        <v>17</v>
      </c>
      <c r="E249" s="12">
        <f>IFERROR(__xludf.DUMMYFUNCTION("""COMPUTED_VALUE"""),1.0)</f>
        <v>1</v>
      </c>
      <c r="F249" s="12">
        <f>IFERROR(__xludf.DUMMYFUNCTION("""COMPUTED_VALUE"""),3.0)</f>
        <v>3</v>
      </c>
      <c r="G249" s="15" t="str">
        <f>IFERROR(__xludf.DUMMYFUNCTION("""COMPUTED_VALUE"""),"Completa")</f>
        <v>Completa</v>
      </c>
      <c r="H249" s="16" t="str">
        <f t="array" ref="H249">_xlfn.XLOOKUP(D249,Productos[ID_Producto],Productos[Nombre_Producto])</f>
        <v>Manzanas</v>
      </c>
      <c r="I249" s="17">
        <f t="array" ref="I249">_xlfn.XLOOKUP(D249,Productos[ID_Producto],Productos[Precio_Unitario])</f>
        <v>6.54</v>
      </c>
      <c r="J249" s="17">
        <f t="shared" si="1"/>
        <v>6.54</v>
      </c>
      <c r="K249" s="16" t="str">
        <f t="array" ref="K249">_xlfn.XLOOKUP(C249,Clientes[ID_Cliente],Clientes[Provincia])</f>
        <v>Buenos Aires</v>
      </c>
      <c r="L249" s="16" t="str">
        <f t="array" ref="L249">CONCATENATE(_xlfn.XLOOKUP(C249,Clientes[ID_Cliente],Clientes[Provincia]),", Argentina")</f>
        <v>Buenos Aires, Argentina</v>
      </c>
      <c r="M249" s="20" t="str">
        <f t="array" ref="M249">_xlfn.XLOOKUP(F249,Metodos_De_Pago[ID_Metodo],Metodos_De_Pago[Metodo])</f>
        <v>Tarjeta de Débito</v>
      </c>
      <c r="N249" s="20" t="str">
        <f t="shared" si="2"/>
        <v>2024 07</v>
      </c>
    </row>
    <row r="250" ht="22.5" customHeight="1">
      <c r="A250" s="12">
        <f>IFERROR(__xludf.DUMMYFUNCTION("""COMPUTED_VALUE"""),2822.0)</f>
        <v>2822</v>
      </c>
      <c r="B250" s="13">
        <f>IFERROR(__xludf.DUMMYFUNCTION("""COMPUTED_VALUE"""),45482.0)</f>
        <v>45482</v>
      </c>
      <c r="C250" s="12">
        <f>IFERROR(__xludf.DUMMYFUNCTION("""COMPUTED_VALUE"""),27.0)</f>
        <v>27</v>
      </c>
      <c r="D250" s="12">
        <f>IFERROR(__xludf.DUMMYFUNCTION("""COMPUTED_VALUE"""),14.0)</f>
        <v>14</v>
      </c>
      <c r="E250" s="12">
        <f>IFERROR(__xludf.DUMMYFUNCTION("""COMPUTED_VALUE"""),1.0)</f>
        <v>1</v>
      </c>
      <c r="F250" s="12">
        <f>IFERROR(__xludf.DUMMYFUNCTION("""COMPUTED_VALUE"""),1.0)</f>
        <v>1</v>
      </c>
      <c r="G250" s="15" t="str">
        <f>IFERROR(__xludf.DUMMYFUNCTION("""COMPUTED_VALUE"""),"Completa")</f>
        <v>Completa</v>
      </c>
      <c r="H250" s="16" t="str">
        <f t="array" ref="H250">_xlfn.XLOOKUP(D250,Productos[ID_Producto],Productos[Nombre_Producto])</f>
        <v>Facturas</v>
      </c>
      <c r="I250" s="17">
        <f t="array" ref="I250">_xlfn.XLOOKUP(D250,Productos[ID_Producto],Productos[Precio_Unitario])</f>
        <v>12.36</v>
      </c>
      <c r="J250" s="17">
        <f t="shared" si="1"/>
        <v>12.36</v>
      </c>
      <c r="K250" s="16" t="str">
        <f t="array" ref="K250">_xlfn.XLOOKUP(C250,Clientes[ID_Cliente],Clientes[Provincia])</f>
        <v>Buenos Aires</v>
      </c>
      <c r="L250" s="16" t="str">
        <f t="array" ref="L250">CONCATENATE(_xlfn.XLOOKUP(C250,Clientes[ID_Cliente],Clientes[Provincia]),", Argentina")</f>
        <v>Buenos Aires, Argentina</v>
      </c>
      <c r="M250" s="20" t="str">
        <f t="array" ref="M250">_xlfn.XLOOKUP(F250,Metodos_De_Pago[ID_Metodo],Metodos_De_Pago[Metodo])</f>
        <v>Efectivo</v>
      </c>
      <c r="N250" s="20" t="str">
        <f t="shared" si="2"/>
        <v>2024 07</v>
      </c>
    </row>
    <row r="251" ht="22.5" customHeight="1">
      <c r="A251" s="12">
        <f>IFERROR(__xludf.DUMMYFUNCTION("""COMPUTED_VALUE"""),1514.0)</f>
        <v>1514</v>
      </c>
      <c r="B251" s="13">
        <f>IFERROR(__xludf.DUMMYFUNCTION("""COMPUTED_VALUE"""),45484.0)</f>
        <v>45484</v>
      </c>
      <c r="C251" s="12">
        <f>IFERROR(__xludf.DUMMYFUNCTION("""COMPUTED_VALUE"""),156.0)</f>
        <v>156</v>
      </c>
      <c r="D251" s="12">
        <f>IFERROR(__xludf.DUMMYFUNCTION("""COMPUTED_VALUE"""),14.0)</f>
        <v>14</v>
      </c>
      <c r="E251" s="12">
        <f>IFERROR(__xludf.DUMMYFUNCTION("""COMPUTED_VALUE"""),1.0)</f>
        <v>1</v>
      </c>
      <c r="F251" s="12">
        <f>IFERROR(__xludf.DUMMYFUNCTION("""COMPUTED_VALUE"""),4.0)</f>
        <v>4</v>
      </c>
      <c r="G251" s="15" t="str">
        <f>IFERROR(__xludf.DUMMYFUNCTION("""COMPUTED_VALUE"""),"Completa")</f>
        <v>Completa</v>
      </c>
      <c r="H251" s="16" t="str">
        <f t="array" ref="H251">_xlfn.XLOOKUP(D251,Productos[ID_Producto],Productos[Nombre_Producto])</f>
        <v>Facturas</v>
      </c>
      <c r="I251" s="17">
        <f t="array" ref="I251">_xlfn.XLOOKUP(D251,Productos[ID_Producto],Productos[Precio_Unitario])</f>
        <v>12.36</v>
      </c>
      <c r="J251" s="17">
        <f t="shared" si="1"/>
        <v>12.36</v>
      </c>
      <c r="K251" s="16" t="str">
        <f t="array" ref="K251">_xlfn.XLOOKUP(C251,Clientes[ID_Cliente],Clientes[Provincia])</f>
        <v>Neuquén</v>
      </c>
      <c r="L251" s="16" t="str">
        <f t="array" ref="L251">CONCATENATE(_xlfn.XLOOKUP(C251,Clientes[ID_Cliente],Clientes[Provincia]),", Argentina")</f>
        <v>Neuquén, Argentina</v>
      </c>
      <c r="M251" s="20" t="str">
        <f t="array" ref="M251">_xlfn.XLOOKUP(F251,Metodos_De_Pago[ID_Metodo],Metodos_De_Pago[Metodo])</f>
        <v>Mercado Pago</v>
      </c>
      <c r="N251" s="20" t="str">
        <f t="shared" si="2"/>
        <v>2024 07</v>
      </c>
    </row>
    <row r="252" ht="22.5" customHeight="1">
      <c r="A252" s="12">
        <f>IFERROR(__xludf.DUMMYFUNCTION("""COMPUTED_VALUE"""),2932.0)</f>
        <v>2932</v>
      </c>
      <c r="B252" s="13">
        <f>IFERROR(__xludf.DUMMYFUNCTION("""COMPUTED_VALUE"""),45484.0)</f>
        <v>45484</v>
      </c>
      <c r="C252" s="12">
        <f>IFERROR(__xludf.DUMMYFUNCTION("""COMPUTED_VALUE"""),313.0)</f>
        <v>313</v>
      </c>
      <c r="D252" s="12">
        <f>IFERROR(__xludf.DUMMYFUNCTION("""COMPUTED_VALUE"""),23.0)</f>
        <v>23</v>
      </c>
      <c r="E252" s="12">
        <f>IFERROR(__xludf.DUMMYFUNCTION("""COMPUTED_VALUE"""),1.0)</f>
        <v>1</v>
      </c>
      <c r="F252" s="12">
        <f>IFERROR(__xludf.DUMMYFUNCTION("""COMPUTED_VALUE"""),5.0)</f>
        <v>5</v>
      </c>
      <c r="G252" s="15" t="str">
        <f>IFERROR(__xludf.DUMMYFUNCTION("""COMPUTED_VALUE"""),"Completa")</f>
        <v>Completa</v>
      </c>
      <c r="H252" s="16" t="str">
        <f t="array" ref="H252">_xlfn.XLOOKUP(D252,Productos[ID_Producto],Productos[Nombre_Producto])</f>
        <v>Papas fritas</v>
      </c>
      <c r="I252" s="17">
        <f t="array" ref="I252">_xlfn.XLOOKUP(D252,Productos[ID_Producto],Productos[Precio_Unitario])</f>
        <v>8.23</v>
      </c>
      <c r="J252" s="17">
        <f t="shared" si="1"/>
        <v>8.23</v>
      </c>
      <c r="K252" s="16" t="str">
        <f t="array" ref="K252">_xlfn.XLOOKUP(C252,Clientes[ID_Cliente],Clientes[Provincia])</f>
        <v>San Luis</v>
      </c>
      <c r="L252" s="16" t="str">
        <f t="array" ref="L252">CONCATENATE(_xlfn.XLOOKUP(C252,Clientes[ID_Cliente],Clientes[Provincia]),", Argentina")</f>
        <v>San Luis, Argentina</v>
      </c>
      <c r="M252" s="20" t="str">
        <f t="array" ref="M252">_xlfn.XLOOKUP(F252,Metodos_De_Pago[ID_Metodo],Metodos_De_Pago[Metodo])</f>
        <v>Transferencia</v>
      </c>
      <c r="N252" s="20" t="str">
        <f t="shared" si="2"/>
        <v>2024 07</v>
      </c>
    </row>
    <row r="253" ht="22.5" customHeight="1">
      <c r="A253" s="12">
        <f>IFERROR(__xludf.DUMMYFUNCTION("""COMPUTED_VALUE"""),560.0)</f>
        <v>560</v>
      </c>
      <c r="B253" s="13">
        <f>IFERROR(__xludf.DUMMYFUNCTION("""COMPUTED_VALUE"""),45485.0)</f>
        <v>45485</v>
      </c>
      <c r="C253" s="12">
        <f>IFERROR(__xludf.DUMMYFUNCTION("""COMPUTED_VALUE"""),300.0)</f>
        <v>300</v>
      </c>
      <c r="D253" s="12">
        <f>IFERROR(__xludf.DUMMYFUNCTION("""COMPUTED_VALUE"""),23.0)</f>
        <v>23</v>
      </c>
      <c r="E253" s="12">
        <f>IFERROR(__xludf.DUMMYFUNCTION("""COMPUTED_VALUE"""),1.0)</f>
        <v>1</v>
      </c>
      <c r="F253" s="12">
        <f>IFERROR(__xludf.DUMMYFUNCTION("""COMPUTED_VALUE"""),5.0)</f>
        <v>5</v>
      </c>
      <c r="G253" s="15" t="str">
        <f>IFERROR(__xludf.DUMMYFUNCTION("""COMPUTED_VALUE"""),"Completa")</f>
        <v>Completa</v>
      </c>
      <c r="H253" s="16" t="str">
        <f t="array" ref="H253">_xlfn.XLOOKUP(D253,Productos[ID_Producto],Productos[Nombre_Producto])</f>
        <v>Papas fritas</v>
      </c>
      <c r="I253" s="17">
        <f t="array" ref="I253">_xlfn.XLOOKUP(D253,Productos[ID_Producto],Productos[Precio_Unitario])</f>
        <v>8.23</v>
      </c>
      <c r="J253" s="17">
        <f t="shared" si="1"/>
        <v>8.23</v>
      </c>
      <c r="K253" s="16" t="str">
        <f t="array" ref="K253">_xlfn.XLOOKUP(C253,Clientes[ID_Cliente],Clientes[Provincia])</f>
        <v>Chaco</v>
      </c>
      <c r="L253" s="16" t="str">
        <f t="array" ref="L253">CONCATENATE(_xlfn.XLOOKUP(C253,Clientes[ID_Cliente],Clientes[Provincia]),", Argentina")</f>
        <v>Chaco, Argentina</v>
      </c>
      <c r="M253" s="20" t="str">
        <f t="array" ref="M253">_xlfn.XLOOKUP(F253,Metodos_De_Pago[ID_Metodo],Metodos_De_Pago[Metodo])</f>
        <v>Transferencia</v>
      </c>
      <c r="N253" s="20" t="str">
        <f t="shared" si="2"/>
        <v>2024 07</v>
      </c>
    </row>
    <row r="254" ht="22.5" customHeight="1">
      <c r="A254" s="12">
        <f>IFERROR(__xludf.DUMMYFUNCTION("""COMPUTED_VALUE"""),2768.0)</f>
        <v>2768</v>
      </c>
      <c r="B254" s="13">
        <f>IFERROR(__xludf.DUMMYFUNCTION("""COMPUTED_VALUE"""),45485.0)</f>
        <v>45485</v>
      </c>
      <c r="C254" s="12">
        <f>IFERROR(__xludf.DUMMYFUNCTION("""COMPUTED_VALUE"""),307.0)</f>
        <v>307</v>
      </c>
      <c r="D254" s="12">
        <f>IFERROR(__xludf.DUMMYFUNCTION("""COMPUTED_VALUE"""),13.0)</f>
        <v>13</v>
      </c>
      <c r="E254" s="12">
        <f>IFERROR(__xludf.DUMMYFUNCTION("""COMPUTED_VALUE"""),1.0)</f>
        <v>1</v>
      </c>
      <c r="F254" s="12">
        <f>IFERROR(__xludf.DUMMYFUNCTION("""COMPUTED_VALUE"""),3.0)</f>
        <v>3</v>
      </c>
      <c r="G254" s="15" t="str">
        <f>IFERROR(__xludf.DUMMYFUNCTION("""COMPUTED_VALUE"""),"Completa")</f>
        <v>Completa</v>
      </c>
      <c r="H254" s="16" t="str">
        <f t="array" ref="H254">_xlfn.XLOOKUP(D254,Productos[ID_Producto],Productos[Nombre_Producto])</f>
        <v>Pan integral</v>
      </c>
      <c r="I254" s="17">
        <f t="array" ref="I254">_xlfn.XLOOKUP(D254,Productos[ID_Producto],Productos[Precio_Unitario])</f>
        <v>12.56</v>
      </c>
      <c r="J254" s="17">
        <f t="shared" si="1"/>
        <v>12.56</v>
      </c>
      <c r="K254" s="16" t="str">
        <f t="array" ref="K254">_xlfn.XLOOKUP(C254,Clientes[ID_Cliente],Clientes[Provincia])</f>
        <v>San Luis</v>
      </c>
      <c r="L254" s="16" t="str">
        <f t="array" ref="L254">CONCATENATE(_xlfn.XLOOKUP(C254,Clientes[ID_Cliente],Clientes[Provincia]),", Argentina")</f>
        <v>San Luis, Argentina</v>
      </c>
      <c r="M254" s="20" t="str">
        <f t="array" ref="M254">_xlfn.XLOOKUP(F254,Metodos_De_Pago[ID_Metodo],Metodos_De_Pago[Metodo])</f>
        <v>Tarjeta de Débito</v>
      </c>
      <c r="N254" s="20" t="str">
        <f t="shared" si="2"/>
        <v>2024 07</v>
      </c>
    </row>
    <row r="255" ht="22.5" customHeight="1">
      <c r="A255" s="12">
        <f>IFERROR(__xludf.DUMMYFUNCTION("""COMPUTED_VALUE"""),1440.0)</f>
        <v>1440</v>
      </c>
      <c r="B255" s="13">
        <f>IFERROR(__xludf.DUMMYFUNCTION("""COMPUTED_VALUE"""),45486.0)</f>
        <v>45486</v>
      </c>
      <c r="C255" s="12">
        <f>IFERROR(__xludf.DUMMYFUNCTION("""COMPUTED_VALUE"""),278.0)</f>
        <v>278</v>
      </c>
      <c r="D255" s="12">
        <f>IFERROR(__xludf.DUMMYFUNCTION("""COMPUTED_VALUE"""),16.0)</f>
        <v>16</v>
      </c>
      <c r="E255" s="12">
        <f>IFERROR(__xludf.DUMMYFUNCTION("""COMPUTED_VALUE"""),1.0)</f>
        <v>1</v>
      </c>
      <c r="F255" s="12">
        <f>IFERROR(__xludf.DUMMYFUNCTION("""COMPUTED_VALUE"""),1.0)</f>
        <v>1</v>
      </c>
      <c r="G255" s="15" t="str">
        <f>IFERROR(__xludf.DUMMYFUNCTION("""COMPUTED_VALUE"""),"Completa")</f>
        <v>Completa</v>
      </c>
      <c r="H255" s="16" t="str">
        <f t="array" ref="H255">_xlfn.XLOOKUP(D255,Productos[ID_Producto],Productos[Nombre_Producto])</f>
        <v>Tortas</v>
      </c>
      <c r="I255" s="17">
        <f t="array" ref="I255">_xlfn.XLOOKUP(D255,Productos[ID_Producto],Productos[Precio_Unitario])</f>
        <v>15.23</v>
      </c>
      <c r="J255" s="17">
        <f t="shared" si="1"/>
        <v>15.23</v>
      </c>
      <c r="K255" s="16" t="str">
        <f t="array" ref="K255">_xlfn.XLOOKUP(C255,Clientes[ID_Cliente],Clientes[Provincia])</f>
        <v>Córdoba</v>
      </c>
      <c r="L255" s="16" t="str">
        <f t="array" ref="L255">CONCATENATE(_xlfn.XLOOKUP(C255,Clientes[ID_Cliente],Clientes[Provincia]),", Argentina")</f>
        <v>Córdoba, Argentina</v>
      </c>
      <c r="M255" s="20" t="str">
        <f t="array" ref="M255">_xlfn.XLOOKUP(F255,Metodos_De_Pago[ID_Metodo],Metodos_De_Pago[Metodo])</f>
        <v>Efectivo</v>
      </c>
      <c r="N255" s="20" t="str">
        <f t="shared" si="2"/>
        <v>2024 07</v>
      </c>
    </row>
    <row r="256" ht="22.5" customHeight="1">
      <c r="A256" s="12">
        <f>IFERROR(__xludf.DUMMYFUNCTION("""COMPUTED_VALUE"""),2886.0)</f>
        <v>2886</v>
      </c>
      <c r="B256" s="13">
        <f>IFERROR(__xludf.DUMMYFUNCTION("""COMPUTED_VALUE"""),45487.0)</f>
        <v>45487</v>
      </c>
      <c r="C256" s="12">
        <f>IFERROR(__xludf.DUMMYFUNCTION("""COMPUTED_VALUE"""),67.0)</f>
        <v>67</v>
      </c>
      <c r="D256" s="12">
        <f>IFERROR(__xludf.DUMMYFUNCTION("""COMPUTED_VALUE"""),19.0)</f>
        <v>19</v>
      </c>
      <c r="E256" s="12">
        <f>IFERROR(__xludf.DUMMYFUNCTION("""COMPUTED_VALUE"""),1.0)</f>
        <v>1</v>
      </c>
      <c r="F256" s="12">
        <f>IFERROR(__xludf.DUMMYFUNCTION("""COMPUTED_VALUE"""),1.0)</f>
        <v>1</v>
      </c>
      <c r="G256" s="15" t="str">
        <f>IFERROR(__xludf.DUMMYFUNCTION("""COMPUTED_VALUE"""),"Completa")</f>
        <v>Completa</v>
      </c>
      <c r="H256" s="16" t="str">
        <f t="array" ref="H256">_xlfn.XLOOKUP(D256,Productos[ID_Producto],Productos[Nombre_Producto])</f>
        <v>Tomates</v>
      </c>
      <c r="I256" s="17">
        <f t="array" ref="I256">_xlfn.XLOOKUP(D256,Productos[ID_Producto],Productos[Precio_Unitario])</f>
        <v>6.54</v>
      </c>
      <c r="J256" s="17">
        <f t="shared" si="1"/>
        <v>6.54</v>
      </c>
      <c r="K256" s="16" t="str">
        <f t="array" ref="K256">_xlfn.XLOOKUP(C256,Clientes[ID_Cliente],Clientes[Provincia])</f>
        <v>Chaco</v>
      </c>
      <c r="L256" s="16" t="str">
        <f t="array" ref="L256">CONCATENATE(_xlfn.XLOOKUP(C256,Clientes[ID_Cliente],Clientes[Provincia]),", Argentina")</f>
        <v>Chaco, Argentina</v>
      </c>
      <c r="M256" s="20" t="str">
        <f t="array" ref="M256">_xlfn.XLOOKUP(F256,Metodos_De_Pago[ID_Metodo],Metodos_De_Pago[Metodo])</f>
        <v>Efectivo</v>
      </c>
      <c r="N256" s="20" t="str">
        <f t="shared" si="2"/>
        <v>2024 07</v>
      </c>
    </row>
    <row r="257" ht="22.5" customHeight="1">
      <c r="A257" s="12">
        <f>IFERROR(__xludf.DUMMYFUNCTION("""COMPUTED_VALUE"""),1345.0)</f>
        <v>1345</v>
      </c>
      <c r="B257" s="13">
        <f>IFERROR(__xludf.DUMMYFUNCTION("""COMPUTED_VALUE"""),45489.0)</f>
        <v>45489</v>
      </c>
      <c r="C257" s="12">
        <f>IFERROR(__xludf.DUMMYFUNCTION("""COMPUTED_VALUE"""),149.0)</f>
        <v>149</v>
      </c>
      <c r="D257" s="12">
        <f>IFERROR(__xludf.DUMMYFUNCTION("""COMPUTED_VALUE"""),27.0)</f>
        <v>27</v>
      </c>
      <c r="E257" s="12">
        <f>IFERROR(__xludf.DUMMYFUNCTION("""COMPUTED_VALUE"""),1.0)</f>
        <v>1</v>
      </c>
      <c r="F257" s="12">
        <f>IFERROR(__xludf.DUMMYFUNCTION("""COMPUTED_VALUE"""),4.0)</f>
        <v>4</v>
      </c>
      <c r="G257" s="15" t="str">
        <f>IFERROR(__xludf.DUMMYFUNCTION("""COMPUTED_VALUE"""),"Completa")</f>
        <v>Completa</v>
      </c>
      <c r="H257" s="16" t="str">
        <f t="array" ref="H257">_xlfn.XLOOKUP(D257,Productos[ID_Producto],Productos[Nombre_Producto])</f>
        <v>Agua mineral</v>
      </c>
      <c r="I257" s="17">
        <f t="array" ref="I257">_xlfn.XLOOKUP(D257,Productos[ID_Producto],Productos[Precio_Unitario])</f>
        <v>6.21</v>
      </c>
      <c r="J257" s="17">
        <f t="shared" si="1"/>
        <v>6.21</v>
      </c>
      <c r="K257" s="16" t="str">
        <f t="array" ref="K257">_xlfn.XLOOKUP(C257,Clientes[ID_Cliente],Clientes[Provincia])</f>
        <v>San Luis</v>
      </c>
      <c r="L257" s="16" t="str">
        <f t="array" ref="L257">CONCATENATE(_xlfn.XLOOKUP(C257,Clientes[ID_Cliente],Clientes[Provincia]),", Argentina")</f>
        <v>San Luis, Argentina</v>
      </c>
      <c r="M257" s="20" t="str">
        <f t="array" ref="M257">_xlfn.XLOOKUP(F257,Metodos_De_Pago[ID_Metodo],Metodos_De_Pago[Metodo])</f>
        <v>Mercado Pago</v>
      </c>
      <c r="N257" s="20" t="str">
        <f t="shared" si="2"/>
        <v>2024 07</v>
      </c>
    </row>
    <row r="258" ht="22.5" customHeight="1">
      <c r="A258" s="12">
        <f>IFERROR(__xludf.DUMMYFUNCTION("""COMPUTED_VALUE"""),1871.0)</f>
        <v>1871</v>
      </c>
      <c r="B258" s="13">
        <f>IFERROR(__xludf.DUMMYFUNCTION("""COMPUTED_VALUE"""),45489.0)</f>
        <v>45489</v>
      </c>
      <c r="C258" s="12">
        <f>IFERROR(__xludf.DUMMYFUNCTION("""COMPUTED_VALUE"""),184.0)</f>
        <v>184</v>
      </c>
      <c r="D258" s="12">
        <f>IFERROR(__xludf.DUMMYFUNCTION("""COMPUTED_VALUE"""),20.0)</f>
        <v>20</v>
      </c>
      <c r="E258" s="12">
        <f>IFERROR(__xludf.DUMMYFUNCTION("""COMPUTED_VALUE"""),1.0)</f>
        <v>1</v>
      </c>
      <c r="F258" s="12">
        <f>IFERROR(__xludf.DUMMYFUNCTION("""COMPUTED_VALUE"""),5.0)</f>
        <v>5</v>
      </c>
      <c r="G258" s="15" t="str">
        <f>IFERROR(__xludf.DUMMYFUNCTION("""COMPUTED_VALUE"""),"Completa")</f>
        <v>Completa</v>
      </c>
      <c r="H258" s="16" t="str">
        <f t="array" ref="H258">_xlfn.XLOOKUP(D258,Productos[ID_Producto],Productos[Nombre_Producto])</f>
        <v>Lechugas</v>
      </c>
      <c r="I258" s="17">
        <f t="array" ref="I258">_xlfn.XLOOKUP(D258,Productos[ID_Producto],Productos[Precio_Unitario])</f>
        <v>4.25</v>
      </c>
      <c r="J258" s="17">
        <f t="shared" si="1"/>
        <v>4.25</v>
      </c>
      <c r="K258" s="16" t="str">
        <f t="array" ref="K258">_xlfn.XLOOKUP(C258,Clientes[ID_Cliente],Clientes[Provincia])</f>
        <v>Buenos Aires</v>
      </c>
      <c r="L258" s="16" t="str">
        <f t="array" ref="L258">CONCATENATE(_xlfn.XLOOKUP(C258,Clientes[ID_Cliente],Clientes[Provincia]),", Argentina")</f>
        <v>Buenos Aires, Argentina</v>
      </c>
      <c r="M258" s="20" t="str">
        <f t="array" ref="M258">_xlfn.XLOOKUP(F258,Metodos_De_Pago[ID_Metodo],Metodos_De_Pago[Metodo])</f>
        <v>Transferencia</v>
      </c>
      <c r="N258" s="20" t="str">
        <f t="shared" si="2"/>
        <v>2024 07</v>
      </c>
    </row>
    <row r="259" ht="22.5" customHeight="1">
      <c r="A259" s="12">
        <f>IFERROR(__xludf.DUMMYFUNCTION("""COMPUTED_VALUE"""),412.0)</f>
        <v>412</v>
      </c>
      <c r="B259" s="13">
        <f>IFERROR(__xludf.DUMMYFUNCTION("""COMPUTED_VALUE"""),45490.0)</f>
        <v>45490</v>
      </c>
      <c r="C259" s="12">
        <f>IFERROR(__xludf.DUMMYFUNCTION("""COMPUTED_VALUE"""),170.0)</f>
        <v>170</v>
      </c>
      <c r="D259" s="12">
        <f>IFERROR(__xludf.DUMMYFUNCTION("""COMPUTED_VALUE"""),9.0)</f>
        <v>9</v>
      </c>
      <c r="E259" s="12">
        <f>IFERROR(__xludf.DUMMYFUNCTION("""COMPUTED_VALUE"""),1.0)</f>
        <v>1</v>
      </c>
      <c r="F259" s="12">
        <f>IFERROR(__xludf.DUMMYFUNCTION("""COMPUTED_VALUE"""),4.0)</f>
        <v>4</v>
      </c>
      <c r="G259" s="15" t="str">
        <f>IFERROR(__xludf.DUMMYFUNCTION("""COMPUTED_VALUE"""),"Completa")</f>
        <v>Completa</v>
      </c>
      <c r="H259" s="16" t="str">
        <f t="array" ref="H259">_xlfn.XLOOKUP(D259,Productos[ID_Producto],Productos[Nombre_Producto])</f>
        <v>Pollo</v>
      </c>
      <c r="I259" s="17">
        <f t="array" ref="I259">_xlfn.XLOOKUP(D259,Productos[ID_Producto],Productos[Precio_Unitario])</f>
        <v>18.56</v>
      </c>
      <c r="J259" s="17">
        <f t="shared" si="1"/>
        <v>18.56</v>
      </c>
      <c r="K259" s="16" t="str">
        <f t="array" ref="K259">_xlfn.XLOOKUP(C259,Clientes[ID_Cliente],Clientes[Provincia])</f>
        <v>Córdoba</v>
      </c>
      <c r="L259" s="16" t="str">
        <f t="array" ref="L259">CONCATENATE(_xlfn.XLOOKUP(C259,Clientes[ID_Cliente],Clientes[Provincia]),", Argentina")</f>
        <v>Córdoba, Argentina</v>
      </c>
      <c r="M259" s="20" t="str">
        <f t="array" ref="M259">_xlfn.XLOOKUP(F259,Metodos_De_Pago[ID_Metodo],Metodos_De_Pago[Metodo])</f>
        <v>Mercado Pago</v>
      </c>
      <c r="N259" s="20" t="str">
        <f t="shared" si="2"/>
        <v>2024 07</v>
      </c>
    </row>
    <row r="260" ht="22.5" customHeight="1">
      <c r="A260" s="12">
        <f>IFERROR(__xludf.DUMMYFUNCTION("""COMPUTED_VALUE"""),671.0)</f>
        <v>671</v>
      </c>
      <c r="B260" s="13">
        <f>IFERROR(__xludf.DUMMYFUNCTION("""COMPUTED_VALUE"""),45490.0)</f>
        <v>45490</v>
      </c>
      <c r="C260" s="12">
        <f>IFERROR(__xludf.DUMMYFUNCTION("""COMPUTED_VALUE"""),286.0)</f>
        <v>286</v>
      </c>
      <c r="D260" s="12">
        <f>IFERROR(__xludf.DUMMYFUNCTION("""COMPUTED_VALUE"""),22.0)</f>
        <v>22</v>
      </c>
      <c r="E260" s="12">
        <f>IFERROR(__xludf.DUMMYFUNCTION("""COMPUTED_VALUE"""),1.0)</f>
        <v>1</v>
      </c>
      <c r="F260" s="12">
        <f>IFERROR(__xludf.DUMMYFUNCTION("""COMPUTED_VALUE"""),1.0)</f>
        <v>1</v>
      </c>
      <c r="G260" s="15" t="str">
        <f>IFERROR(__xludf.DUMMYFUNCTION("""COMPUTED_VALUE"""),"Pendiente")</f>
        <v>Pendiente</v>
      </c>
      <c r="H260" s="16" t="str">
        <f t="array" ref="H260">_xlfn.XLOOKUP(D260,Productos[ID_Producto],Productos[Nombre_Producto])</f>
        <v>Cebolla</v>
      </c>
      <c r="I260" s="17">
        <f t="array" ref="I260">_xlfn.XLOOKUP(D260,Productos[ID_Producto],Productos[Precio_Unitario])</f>
        <v>4.21</v>
      </c>
      <c r="J260" s="17">
        <f t="shared" si="1"/>
        <v>4.21</v>
      </c>
      <c r="K260" s="16" t="str">
        <f t="array" ref="K260">_xlfn.XLOOKUP(C260,Clientes[ID_Cliente],Clientes[Provincia])</f>
        <v>Córdoba</v>
      </c>
      <c r="L260" s="16" t="str">
        <f t="array" ref="L260">CONCATENATE(_xlfn.XLOOKUP(C260,Clientes[ID_Cliente],Clientes[Provincia]),", Argentina")</f>
        <v>Córdoba, Argentina</v>
      </c>
      <c r="M260" s="20" t="str">
        <f t="array" ref="M260">_xlfn.XLOOKUP(F260,Metodos_De_Pago[ID_Metodo],Metodos_De_Pago[Metodo])</f>
        <v>Efectivo</v>
      </c>
      <c r="N260" s="20" t="str">
        <f t="shared" si="2"/>
        <v>2024 07</v>
      </c>
    </row>
    <row r="261" ht="22.5" customHeight="1">
      <c r="A261" s="12">
        <f>IFERROR(__xludf.DUMMYFUNCTION("""COMPUTED_VALUE"""),1305.0)</f>
        <v>1305</v>
      </c>
      <c r="B261" s="13">
        <f>IFERROR(__xludf.DUMMYFUNCTION("""COMPUTED_VALUE"""),45491.0)</f>
        <v>45491</v>
      </c>
      <c r="C261" s="12">
        <f>IFERROR(__xludf.DUMMYFUNCTION("""COMPUTED_VALUE"""),134.0)</f>
        <v>134</v>
      </c>
      <c r="D261" s="12">
        <f>IFERROR(__xludf.DUMMYFUNCTION("""COMPUTED_VALUE"""),38.0)</f>
        <v>38</v>
      </c>
      <c r="E261" s="12">
        <f>IFERROR(__xludf.DUMMYFUNCTION("""COMPUTED_VALUE"""),1.0)</f>
        <v>1</v>
      </c>
      <c r="F261" s="12">
        <f>IFERROR(__xludf.DUMMYFUNCTION("""COMPUTED_VALUE"""),3.0)</f>
        <v>3</v>
      </c>
      <c r="G261" s="15" t="str">
        <f>IFERROR(__xludf.DUMMYFUNCTION("""COMPUTED_VALUE"""),"Completa")</f>
        <v>Completa</v>
      </c>
      <c r="H261" s="16" t="str">
        <f t="array" ref="H261">_xlfn.XLOOKUP(D261,Productos[ID_Producto],Productos[Nombre_Producto])</f>
        <v>Atún enlatado</v>
      </c>
      <c r="I261" s="17">
        <f t="array" ref="I261">_xlfn.XLOOKUP(D261,Productos[ID_Producto],Productos[Precio_Unitario])</f>
        <v>6.21</v>
      </c>
      <c r="J261" s="17">
        <f t="shared" si="1"/>
        <v>6.21</v>
      </c>
      <c r="K261" s="16" t="str">
        <f t="array" ref="K261">_xlfn.XLOOKUP(C261,Clientes[ID_Cliente],Clientes[Provincia])</f>
        <v>San Luis</v>
      </c>
      <c r="L261" s="16" t="str">
        <f t="array" ref="L261">CONCATENATE(_xlfn.XLOOKUP(C261,Clientes[ID_Cliente],Clientes[Provincia]),", Argentina")</f>
        <v>San Luis, Argentina</v>
      </c>
      <c r="M261" s="20" t="str">
        <f t="array" ref="M261">_xlfn.XLOOKUP(F261,Metodos_De_Pago[ID_Metodo],Metodos_De_Pago[Metodo])</f>
        <v>Tarjeta de Débito</v>
      </c>
      <c r="N261" s="20" t="str">
        <f t="shared" si="2"/>
        <v>2024 07</v>
      </c>
    </row>
    <row r="262" ht="22.5" customHeight="1">
      <c r="A262" s="12">
        <f>IFERROR(__xludf.DUMMYFUNCTION("""COMPUTED_VALUE"""),977.0)</f>
        <v>977</v>
      </c>
      <c r="B262" s="13">
        <f>IFERROR(__xludf.DUMMYFUNCTION("""COMPUTED_VALUE"""),45492.0)</f>
        <v>45492</v>
      </c>
      <c r="C262" s="12">
        <f>IFERROR(__xludf.DUMMYFUNCTION("""COMPUTED_VALUE"""),25.0)</f>
        <v>25</v>
      </c>
      <c r="D262" s="12">
        <f>IFERROR(__xludf.DUMMYFUNCTION("""COMPUTED_VALUE"""),12.0)</f>
        <v>12</v>
      </c>
      <c r="E262" s="12">
        <f>IFERROR(__xludf.DUMMYFUNCTION("""COMPUTED_VALUE"""),1.0)</f>
        <v>1</v>
      </c>
      <c r="F262" s="12">
        <f>IFERROR(__xludf.DUMMYFUNCTION("""COMPUTED_VALUE"""),1.0)</f>
        <v>1</v>
      </c>
      <c r="G262" s="15" t="str">
        <f>IFERROR(__xludf.DUMMYFUNCTION("""COMPUTED_VALUE"""),"Completa")</f>
        <v>Completa</v>
      </c>
      <c r="H262" s="16" t="str">
        <f t="array" ref="H262">_xlfn.XLOOKUP(D262,Productos[ID_Producto],Productos[Nombre_Producto])</f>
        <v>Pan francés</v>
      </c>
      <c r="I262" s="17">
        <f t="array" ref="I262">_xlfn.XLOOKUP(D262,Productos[ID_Producto],Productos[Precio_Unitario])</f>
        <v>8.12</v>
      </c>
      <c r="J262" s="17">
        <f t="shared" si="1"/>
        <v>8.12</v>
      </c>
      <c r="K262" s="16" t="str">
        <f t="array" ref="K262">_xlfn.XLOOKUP(C262,Clientes[ID_Cliente],Clientes[Provincia])</f>
        <v>Neuquén</v>
      </c>
      <c r="L262" s="16" t="str">
        <f t="array" ref="L262">CONCATENATE(_xlfn.XLOOKUP(C262,Clientes[ID_Cliente],Clientes[Provincia]),", Argentina")</f>
        <v>Neuquén, Argentina</v>
      </c>
      <c r="M262" s="20" t="str">
        <f t="array" ref="M262">_xlfn.XLOOKUP(F262,Metodos_De_Pago[ID_Metodo],Metodos_De_Pago[Metodo])</f>
        <v>Efectivo</v>
      </c>
      <c r="N262" s="20" t="str">
        <f t="shared" si="2"/>
        <v>2024 07</v>
      </c>
    </row>
    <row r="263" ht="22.5" customHeight="1">
      <c r="A263" s="12">
        <f>IFERROR(__xludf.DUMMYFUNCTION("""COMPUTED_VALUE"""),1546.0)</f>
        <v>1546</v>
      </c>
      <c r="B263" s="13">
        <f>IFERROR(__xludf.DUMMYFUNCTION("""COMPUTED_VALUE"""),45492.0)</f>
        <v>45492</v>
      </c>
      <c r="C263" s="12">
        <f>IFERROR(__xludf.DUMMYFUNCTION("""COMPUTED_VALUE"""),283.0)</f>
        <v>283</v>
      </c>
      <c r="D263" s="12">
        <f>IFERROR(__xludf.DUMMYFUNCTION("""COMPUTED_VALUE"""),10.0)</f>
        <v>10</v>
      </c>
      <c r="E263" s="12">
        <f>IFERROR(__xludf.DUMMYFUNCTION("""COMPUTED_VALUE"""),1.0)</f>
        <v>1</v>
      </c>
      <c r="F263" s="12">
        <f>IFERROR(__xludf.DUMMYFUNCTION("""COMPUTED_VALUE"""),3.0)</f>
        <v>3</v>
      </c>
      <c r="G263" s="15" t="str">
        <f>IFERROR(__xludf.DUMMYFUNCTION("""COMPUTED_VALUE"""),"Completa")</f>
        <v>Completa</v>
      </c>
      <c r="H263" s="16" t="str">
        <f t="array" ref="H263">_xlfn.XLOOKUP(D263,Productos[ID_Producto],Productos[Nombre_Producto])</f>
        <v>Costilla de cerdo</v>
      </c>
      <c r="I263" s="17">
        <f t="array" ref="I263">_xlfn.XLOOKUP(D263,Productos[ID_Producto],Productos[Precio_Unitario])</f>
        <v>14.25</v>
      </c>
      <c r="J263" s="17">
        <f t="shared" si="1"/>
        <v>14.25</v>
      </c>
      <c r="K263" s="16" t="str">
        <f t="array" ref="K263">_xlfn.XLOOKUP(C263,Clientes[ID_Cliente],Clientes[Provincia])</f>
        <v>Buenos Aires</v>
      </c>
      <c r="L263" s="16" t="str">
        <f t="array" ref="L263">CONCATENATE(_xlfn.XLOOKUP(C263,Clientes[ID_Cliente],Clientes[Provincia]),", Argentina")</f>
        <v>Buenos Aires, Argentina</v>
      </c>
      <c r="M263" s="20" t="str">
        <f t="array" ref="M263">_xlfn.XLOOKUP(F263,Metodos_De_Pago[ID_Metodo],Metodos_De_Pago[Metodo])</f>
        <v>Tarjeta de Débito</v>
      </c>
      <c r="N263" s="20" t="str">
        <f t="shared" si="2"/>
        <v>2024 07</v>
      </c>
    </row>
    <row r="264" ht="22.5" customHeight="1">
      <c r="A264" s="12">
        <f>IFERROR(__xludf.DUMMYFUNCTION("""COMPUTED_VALUE"""),2557.0)</f>
        <v>2557</v>
      </c>
      <c r="B264" s="13">
        <f>IFERROR(__xludf.DUMMYFUNCTION("""COMPUTED_VALUE"""),45492.0)</f>
        <v>45492</v>
      </c>
      <c r="C264" s="12">
        <f>IFERROR(__xludf.DUMMYFUNCTION("""COMPUTED_VALUE"""),156.0)</f>
        <v>156</v>
      </c>
      <c r="D264" s="12">
        <f>IFERROR(__xludf.DUMMYFUNCTION("""COMPUTED_VALUE"""),7.0)</f>
        <v>7</v>
      </c>
      <c r="E264" s="12">
        <f>IFERROR(__xludf.DUMMYFUNCTION("""COMPUTED_VALUE"""),1.0)</f>
        <v>1</v>
      </c>
      <c r="F264" s="12">
        <f>IFERROR(__xludf.DUMMYFUNCTION("""COMPUTED_VALUE"""),1.0)</f>
        <v>1</v>
      </c>
      <c r="G264" s="15" t="str">
        <f>IFERROR(__xludf.DUMMYFUNCTION("""COMPUTED_VALUE"""),"Completa")</f>
        <v>Completa</v>
      </c>
      <c r="H264" s="16" t="str">
        <f t="array" ref="H264">_xlfn.XLOOKUP(D264,Productos[ID_Producto],Productos[Nombre_Producto])</f>
        <v>Chorizo</v>
      </c>
      <c r="I264" s="17">
        <f t="array" ref="I264">_xlfn.XLOOKUP(D264,Productos[ID_Producto],Productos[Precio_Unitario])</f>
        <v>11.25</v>
      </c>
      <c r="J264" s="17">
        <f t="shared" si="1"/>
        <v>11.25</v>
      </c>
      <c r="K264" s="16" t="str">
        <f t="array" ref="K264">_xlfn.XLOOKUP(C264,Clientes[ID_Cliente],Clientes[Provincia])</f>
        <v>Neuquén</v>
      </c>
      <c r="L264" s="16" t="str">
        <f t="array" ref="L264">CONCATENATE(_xlfn.XLOOKUP(C264,Clientes[ID_Cliente],Clientes[Provincia]),", Argentina")</f>
        <v>Neuquén, Argentina</v>
      </c>
      <c r="M264" s="20" t="str">
        <f t="array" ref="M264">_xlfn.XLOOKUP(F264,Metodos_De_Pago[ID_Metodo],Metodos_De_Pago[Metodo])</f>
        <v>Efectivo</v>
      </c>
      <c r="N264" s="20" t="str">
        <f t="shared" si="2"/>
        <v>2024 07</v>
      </c>
    </row>
    <row r="265" ht="22.5" customHeight="1">
      <c r="A265" s="12">
        <f>IFERROR(__xludf.DUMMYFUNCTION("""COMPUTED_VALUE"""),2652.0)</f>
        <v>2652</v>
      </c>
      <c r="B265" s="13">
        <f>IFERROR(__xludf.DUMMYFUNCTION("""COMPUTED_VALUE"""),45492.0)</f>
        <v>45492</v>
      </c>
      <c r="C265" s="12">
        <f>IFERROR(__xludf.DUMMYFUNCTION("""COMPUTED_VALUE"""),247.0)</f>
        <v>247</v>
      </c>
      <c r="D265" s="12">
        <f>IFERROR(__xludf.DUMMYFUNCTION("""COMPUTED_VALUE"""),23.0)</f>
        <v>23</v>
      </c>
      <c r="E265" s="12">
        <f>IFERROR(__xludf.DUMMYFUNCTION("""COMPUTED_VALUE"""),1.0)</f>
        <v>1</v>
      </c>
      <c r="F265" s="12">
        <f>IFERROR(__xludf.DUMMYFUNCTION("""COMPUTED_VALUE"""),1.0)</f>
        <v>1</v>
      </c>
      <c r="G265" s="15" t="str">
        <f>IFERROR(__xludf.DUMMYFUNCTION("""COMPUTED_VALUE"""),"Completa")</f>
        <v>Completa</v>
      </c>
      <c r="H265" s="16" t="str">
        <f t="array" ref="H265">_xlfn.XLOOKUP(D265,Productos[ID_Producto],Productos[Nombre_Producto])</f>
        <v>Papas fritas</v>
      </c>
      <c r="I265" s="17">
        <f t="array" ref="I265">_xlfn.XLOOKUP(D265,Productos[ID_Producto],Productos[Precio_Unitario])</f>
        <v>8.23</v>
      </c>
      <c r="J265" s="17">
        <f t="shared" si="1"/>
        <v>8.23</v>
      </c>
      <c r="K265" s="16" t="str">
        <f t="array" ref="K265">_xlfn.XLOOKUP(C265,Clientes[ID_Cliente],Clientes[Provincia])</f>
        <v>Buenos Aires</v>
      </c>
      <c r="L265" s="16" t="str">
        <f t="array" ref="L265">CONCATENATE(_xlfn.XLOOKUP(C265,Clientes[ID_Cliente],Clientes[Provincia]),", Argentina")</f>
        <v>Buenos Aires, Argentina</v>
      </c>
      <c r="M265" s="20" t="str">
        <f t="array" ref="M265">_xlfn.XLOOKUP(F265,Metodos_De_Pago[ID_Metodo],Metodos_De_Pago[Metodo])</f>
        <v>Efectivo</v>
      </c>
      <c r="N265" s="20" t="str">
        <f t="shared" si="2"/>
        <v>2024 07</v>
      </c>
    </row>
    <row r="266" ht="22.5" customHeight="1">
      <c r="A266" s="12">
        <f>IFERROR(__xludf.DUMMYFUNCTION("""COMPUTED_VALUE"""),2830.0)</f>
        <v>2830</v>
      </c>
      <c r="B266" s="13">
        <f>IFERROR(__xludf.DUMMYFUNCTION("""COMPUTED_VALUE"""),45492.0)</f>
        <v>45492</v>
      </c>
      <c r="C266" s="12">
        <f>IFERROR(__xludf.DUMMYFUNCTION("""COMPUTED_VALUE"""),11.0)</f>
        <v>11</v>
      </c>
      <c r="D266" s="12">
        <f>IFERROR(__xludf.DUMMYFUNCTION("""COMPUTED_VALUE"""),27.0)</f>
        <v>27</v>
      </c>
      <c r="E266" s="12">
        <f>IFERROR(__xludf.DUMMYFUNCTION("""COMPUTED_VALUE"""),1.0)</f>
        <v>1</v>
      </c>
      <c r="F266" s="12">
        <f>IFERROR(__xludf.DUMMYFUNCTION("""COMPUTED_VALUE"""),5.0)</f>
        <v>5</v>
      </c>
      <c r="G266" s="15" t="str">
        <f>IFERROR(__xludf.DUMMYFUNCTION("""COMPUTED_VALUE"""),"Completa")</f>
        <v>Completa</v>
      </c>
      <c r="H266" s="16" t="str">
        <f t="array" ref="H266">_xlfn.XLOOKUP(D266,Productos[ID_Producto],Productos[Nombre_Producto])</f>
        <v>Agua mineral</v>
      </c>
      <c r="I266" s="17">
        <f t="array" ref="I266">_xlfn.XLOOKUP(D266,Productos[ID_Producto],Productos[Precio_Unitario])</f>
        <v>6.21</v>
      </c>
      <c r="J266" s="17">
        <f t="shared" si="1"/>
        <v>6.21</v>
      </c>
      <c r="K266" s="16" t="str">
        <f t="array" ref="K266">_xlfn.XLOOKUP(C266,Clientes[ID_Cliente],Clientes[Provincia])</f>
        <v>Buenos Aires</v>
      </c>
      <c r="L266" s="16" t="str">
        <f t="array" ref="L266">CONCATENATE(_xlfn.XLOOKUP(C266,Clientes[ID_Cliente],Clientes[Provincia]),", Argentina")</f>
        <v>Buenos Aires, Argentina</v>
      </c>
      <c r="M266" s="20" t="str">
        <f t="array" ref="M266">_xlfn.XLOOKUP(F266,Metodos_De_Pago[ID_Metodo],Metodos_De_Pago[Metodo])</f>
        <v>Transferencia</v>
      </c>
      <c r="N266" s="20" t="str">
        <f t="shared" si="2"/>
        <v>2024 07</v>
      </c>
    </row>
    <row r="267" ht="22.5" customHeight="1">
      <c r="A267" s="12">
        <f>IFERROR(__xludf.DUMMYFUNCTION("""COMPUTED_VALUE"""),777.0)</f>
        <v>777</v>
      </c>
      <c r="B267" s="13">
        <f>IFERROR(__xludf.DUMMYFUNCTION("""COMPUTED_VALUE"""),45493.0)</f>
        <v>45493</v>
      </c>
      <c r="C267" s="12">
        <f>IFERROR(__xludf.DUMMYFUNCTION("""COMPUTED_VALUE"""),235.0)</f>
        <v>235</v>
      </c>
      <c r="D267" s="12">
        <f>IFERROR(__xludf.DUMMYFUNCTION("""COMPUTED_VALUE"""),9.0)</f>
        <v>9</v>
      </c>
      <c r="E267" s="12">
        <f>IFERROR(__xludf.DUMMYFUNCTION("""COMPUTED_VALUE"""),1.0)</f>
        <v>1</v>
      </c>
      <c r="F267" s="12">
        <f>IFERROR(__xludf.DUMMYFUNCTION("""COMPUTED_VALUE"""),5.0)</f>
        <v>5</v>
      </c>
      <c r="G267" s="15" t="str">
        <f>IFERROR(__xludf.DUMMYFUNCTION("""COMPUTED_VALUE"""),"Completa")</f>
        <v>Completa</v>
      </c>
      <c r="H267" s="16" t="str">
        <f t="array" ref="H267">_xlfn.XLOOKUP(D267,Productos[ID_Producto],Productos[Nombre_Producto])</f>
        <v>Pollo</v>
      </c>
      <c r="I267" s="17">
        <f t="array" ref="I267">_xlfn.XLOOKUP(D267,Productos[ID_Producto],Productos[Precio_Unitario])</f>
        <v>18.56</v>
      </c>
      <c r="J267" s="17">
        <f t="shared" si="1"/>
        <v>18.56</v>
      </c>
      <c r="K267" s="16" t="str">
        <f t="array" ref="K267">_xlfn.XLOOKUP(C267,Clientes[ID_Cliente],Clientes[Provincia])</f>
        <v>Chaco</v>
      </c>
      <c r="L267" s="16" t="str">
        <f t="array" ref="L267">CONCATENATE(_xlfn.XLOOKUP(C267,Clientes[ID_Cliente],Clientes[Provincia]),", Argentina")</f>
        <v>Chaco, Argentina</v>
      </c>
      <c r="M267" s="20" t="str">
        <f t="array" ref="M267">_xlfn.XLOOKUP(F267,Metodos_De_Pago[ID_Metodo],Metodos_De_Pago[Metodo])</f>
        <v>Transferencia</v>
      </c>
      <c r="N267" s="20" t="str">
        <f t="shared" si="2"/>
        <v>2024 07</v>
      </c>
    </row>
    <row r="268" ht="22.5" customHeight="1">
      <c r="A268" s="12">
        <f>IFERROR(__xludf.DUMMYFUNCTION("""COMPUTED_VALUE"""),2837.0)</f>
        <v>2837</v>
      </c>
      <c r="B268" s="13">
        <f>IFERROR(__xludf.DUMMYFUNCTION("""COMPUTED_VALUE"""),45495.0)</f>
        <v>45495</v>
      </c>
      <c r="C268" s="12">
        <f>IFERROR(__xludf.DUMMYFUNCTION("""COMPUTED_VALUE"""),324.0)</f>
        <v>324</v>
      </c>
      <c r="D268" s="12">
        <f>IFERROR(__xludf.DUMMYFUNCTION("""COMPUTED_VALUE"""),14.0)</f>
        <v>14</v>
      </c>
      <c r="E268" s="12">
        <f>IFERROR(__xludf.DUMMYFUNCTION("""COMPUTED_VALUE"""),1.0)</f>
        <v>1</v>
      </c>
      <c r="F268" s="12">
        <f>IFERROR(__xludf.DUMMYFUNCTION("""COMPUTED_VALUE"""),3.0)</f>
        <v>3</v>
      </c>
      <c r="G268" s="15" t="str">
        <f>IFERROR(__xludf.DUMMYFUNCTION("""COMPUTED_VALUE"""),"Completa")</f>
        <v>Completa</v>
      </c>
      <c r="H268" s="16" t="str">
        <f t="array" ref="H268">_xlfn.XLOOKUP(D268,Productos[ID_Producto],Productos[Nombre_Producto])</f>
        <v>Facturas</v>
      </c>
      <c r="I268" s="17">
        <f t="array" ref="I268">_xlfn.XLOOKUP(D268,Productos[ID_Producto],Productos[Precio_Unitario])</f>
        <v>12.36</v>
      </c>
      <c r="J268" s="17">
        <f t="shared" si="1"/>
        <v>12.36</v>
      </c>
      <c r="K268" s="16" t="str">
        <f t="array" ref="K268">_xlfn.XLOOKUP(C268,Clientes[ID_Cliente],Clientes[Provincia])</f>
        <v>Chaco</v>
      </c>
      <c r="L268" s="16" t="str">
        <f t="array" ref="L268">CONCATENATE(_xlfn.XLOOKUP(C268,Clientes[ID_Cliente],Clientes[Provincia]),", Argentina")</f>
        <v>Chaco, Argentina</v>
      </c>
      <c r="M268" s="20" t="str">
        <f t="array" ref="M268">_xlfn.XLOOKUP(F268,Metodos_De_Pago[ID_Metodo],Metodos_De_Pago[Metodo])</f>
        <v>Tarjeta de Débito</v>
      </c>
      <c r="N268" s="20" t="str">
        <f t="shared" si="2"/>
        <v>2024 07</v>
      </c>
    </row>
    <row r="269" ht="22.5" customHeight="1">
      <c r="A269" s="12">
        <f>IFERROR(__xludf.DUMMYFUNCTION("""COMPUTED_VALUE"""),280.0)</f>
        <v>280</v>
      </c>
      <c r="B269" s="13">
        <f>IFERROR(__xludf.DUMMYFUNCTION("""COMPUTED_VALUE"""),45496.0)</f>
        <v>45496</v>
      </c>
      <c r="C269" s="12">
        <f>IFERROR(__xludf.DUMMYFUNCTION("""COMPUTED_VALUE"""),279.0)</f>
        <v>279</v>
      </c>
      <c r="D269" s="12">
        <f>IFERROR(__xludf.DUMMYFUNCTION("""COMPUTED_VALUE"""),2.0)</f>
        <v>2</v>
      </c>
      <c r="E269" s="12">
        <f>IFERROR(__xludf.DUMMYFUNCTION("""COMPUTED_VALUE"""),1.0)</f>
        <v>1</v>
      </c>
      <c r="F269" s="12">
        <f>IFERROR(__xludf.DUMMYFUNCTION("""COMPUTED_VALUE"""),3.0)</f>
        <v>3</v>
      </c>
      <c r="G269" s="15" t="str">
        <f>IFERROR(__xludf.DUMMYFUNCTION("""COMPUTED_VALUE"""),"Completa")</f>
        <v>Completa</v>
      </c>
      <c r="H269" s="16" t="str">
        <f t="array" ref="H269">_xlfn.XLOOKUP(D269,Productos[ID_Producto],Productos[Nombre_Producto])</f>
        <v>Yogur</v>
      </c>
      <c r="I269" s="17">
        <f t="array" ref="I269">_xlfn.XLOOKUP(D269,Productos[ID_Producto],Productos[Precio_Unitario])</f>
        <v>5.21</v>
      </c>
      <c r="J269" s="17">
        <f t="shared" si="1"/>
        <v>5.21</v>
      </c>
      <c r="K269" s="16" t="str">
        <f t="array" ref="K269">_xlfn.XLOOKUP(C269,Clientes[ID_Cliente],Clientes[Provincia])</f>
        <v>Córdoba</v>
      </c>
      <c r="L269" s="16" t="str">
        <f t="array" ref="L269">CONCATENATE(_xlfn.XLOOKUP(C269,Clientes[ID_Cliente],Clientes[Provincia]),", Argentina")</f>
        <v>Córdoba, Argentina</v>
      </c>
      <c r="M269" s="20" t="str">
        <f t="array" ref="M269">_xlfn.XLOOKUP(F269,Metodos_De_Pago[ID_Metodo],Metodos_De_Pago[Metodo])</f>
        <v>Tarjeta de Débito</v>
      </c>
      <c r="N269" s="20" t="str">
        <f t="shared" si="2"/>
        <v>2024 07</v>
      </c>
    </row>
    <row r="270" ht="22.5" customHeight="1">
      <c r="A270" s="12">
        <f>IFERROR(__xludf.DUMMYFUNCTION("""COMPUTED_VALUE"""),538.0)</f>
        <v>538</v>
      </c>
      <c r="B270" s="13">
        <f>IFERROR(__xludf.DUMMYFUNCTION("""COMPUTED_VALUE"""),45496.0)</f>
        <v>45496</v>
      </c>
      <c r="C270" s="12">
        <f>IFERROR(__xludf.DUMMYFUNCTION("""COMPUTED_VALUE"""),243.0)</f>
        <v>243</v>
      </c>
      <c r="D270" s="12">
        <f>IFERROR(__xludf.DUMMYFUNCTION("""COMPUTED_VALUE"""),37.0)</f>
        <v>37</v>
      </c>
      <c r="E270" s="12">
        <f>IFERROR(__xludf.DUMMYFUNCTION("""COMPUTED_VALUE"""),1.0)</f>
        <v>1</v>
      </c>
      <c r="F270" s="12">
        <f>IFERROR(__xludf.DUMMYFUNCTION("""COMPUTED_VALUE"""),1.0)</f>
        <v>1</v>
      </c>
      <c r="G270" s="15" t="str">
        <f>IFERROR(__xludf.DUMMYFUNCTION("""COMPUTED_VALUE"""),"Pendiente")</f>
        <v>Pendiente</v>
      </c>
      <c r="H270" s="16" t="str">
        <f t="array" ref="H270">_xlfn.XLOOKUP(D270,Productos[ID_Producto],Productos[Nombre_Producto])</f>
        <v>Garbanzos</v>
      </c>
      <c r="I270" s="17">
        <f t="array" ref="I270">_xlfn.XLOOKUP(D270,Productos[ID_Producto],Productos[Precio_Unitario])</f>
        <v>3.65</v>
      </c>
      <c r="J270" s="17">
        <f t="shared" si="1"/>
        <v>3.65</v>
      </c>
      <c r="K270" s="16" t="str">
        <f t="array" ref="K270">_xlfn.XLOOKUP(C270,Clientes[ID_Cliente],Clientes[Provincia])</f>
        <v>Buenos Aires</v>
      </c>
      <c r="L270" s="16" t="str">
        <f t="array" ref="L270">CONCATENATE(_xlfn.XLOOKUP(C270,Clientes[ID_Cliente],Clientes[Provincia]),", Argentina")</f>
        <v>Buenos Aires, Argentina</v>
      </c>
      <c r="M270" s="20" t="str">
        <f t="array" ref="M270">_xlfn.XLOOKUP(F270,Metodos_De_Pago[ID_Metodo],Metodos_De_Pago[Metodo])</f>
        <v>Efectivo</v>
      </c>
      <c r="N270" s="20" t="str">
        <f t="shared" si="2"/>
        <v>2024 07</v>
      </c>
    </row>
    <row r="271" ht="22.5" customHeight="1">
      <c r="A271" s="12">
        <f>IFERROR(__xludf.DUMMYFUNCTION("""COMPUTED_VALUE"""),1912.0)</f>
        <v>1912</v>
      </c>
      <c r="B271" s="13">
        <f>IFERROR(__xludf.DUMMYFUNCTION("""COMPUTED_VALUE"""),45496.0)</f>
        <v>45496</v>
      </c>
      <c r="C271" s="12">
        <f>IFERROR(__xludf.DUMMYFUNCTION("""COMPUTED_VALUE"""),23.0)</f>
        <v>23</v>
      </c>
      <c r="D271" s="12">
        <f>IFERROR(__xludf.DUMMYFUNCTION("""COMPUTED_VALUE"""),21.0)</f>
        <v>21</v>
      </c>
      <c r="E271" s="12">
        <f>IFERROR(__xludf.DUMMYFUNCTION("""COMPUTED_VALUE"""),1.0)</f>
        <v>1</v>
      </c>
      <c r="F271" s="12">
        <f>IFERROR(__xludf.DUMMYFUNCTION("""COMPUTED_VALUE"""),4.0)</f>
        <v>4</v>
      </c>
      <c r="G271" s="15" t="str">
        <f>IFERROR(__xludf.DUMMYFUNCTION("""COMPUTED_VALUE"""),"Completa")</f>
        <v>Completa</v>
      </c>
      <c r="H271" s="16" t="str">
        <f t="array" ref="H271">_xlfn.XLOOKUP(D271,Productos[ID_Producto],Productos[Nombre_Producto])</f>
        <v>Zanahorias</v>
      </c>
      <c r="I271" s="17">
        <f t="array" ref="I271">_xlfn.XLOOKUP(D271,Productos[ID_Producto],Productos[Precio_Unitario])</f>
        <v>3.25</v>
      </c>
      <c r="J271" s="17">
        <f t="shared" si="1"/>
        <v>3.25</v>
      </c>
      <c r="K271" s="16" t="str">
        <f t="array" ref="K271">_xlfn.XLOOKUP(C271,Clientes[ID_Cliente],Clientes[Provincia])</f>
        <v>Neuquén</v>
      </c>
      <c r="L271" s="16" t="str">
        <f t="array" ref="L271">CONCATENATE(_xlfn.XLOOKUP(C271,Clientes[ID_Cliente],Clientes[Provincia]),", Argentina")</f>
        <v>Neuquén, Argentina</v>
      </c>
      <c r="M271" s="20" t="str">
        <f t="array" ref="M271">_xlfn.XLOOKUP(F271,Metodos_De_Pago[ID_Metodo],Metodos_De_Pago[Metodo])</f>
        <v>Mercado Pago</v>
      </c>
      <c r="N271" s="20" t="str">
        <f t="shared" si="2"/>
        <v>2024 07</v>
      </c>
    </row>
    <row r="272" ht="22.5" customHeight="1">
      <c r="A272" s="12">
        <f>IFERROR(__xludf.DUMMYFUNCTION("""COMPUTED_VALUE"""),2170.0)</f>
        <v>2170</v>
      </c>
      <c r="B272" s="13">
        <f>IFERROR(__xludf.DUMMYFUNCTION("""COMPUTED_VALUE"""),45496.0)</f>
        <v>45496</v>
      </c>
      <c r="C272" s="12">
        <f>IFERROR(__xludf.DUMMYFUNCTION("""COMPUTED_VALUE"""),130.0)</f>
        <v>130</v>
      </c>
      <c r="D272" s="12">
        <f>IFERROR(__xludf.DUMMYFUNCTION("""COMPUTED_VALUE"""),2.0)</f>
        <v>2</v>
      </c>
      <c r="E272" s="12">
        <f>IFERROR(__xludf.DUMMYFUNCTION("""COMPUTED_VALUE"""),1.0)</f>
        <v>1</v>
      </c>
      <c r="F272" s="12">
        <f>IFERROR(__xludf.DUMMYFUNCTION("""COMPUTED_VALUE"""),4.0)</f>
        <v>4</v>
      </c>
      <c r="G272" s="15" t="str">
        <f>IFERROR(__xludf.DUMMYFUNCTION("""COMPUTED_VALUE"""),"Pendiente")</f>
        <v>Pendiente</v>
      </c>
      <c r="H272" s="16" t="str">
        <f t="array" ref="H272">_xlfn.XLOOKUP(D272,Productos[ID_Producto],Productos[Nombre_Producto])</f>
        <v>Yogur</v>
      </c>
      <c r="I272" s="17">
        <f t="array" ref="I272">_xlfn.XLOOKUP(D272,Productos[ID_Producto],Productos[Precio_Unitario])</f>
        <v>5.21</v>
      </c>
      <c r="J272" s="17">
        <f t="shared" si="1"/>
        <v>5.21</v>
      </c>
      <c r="K272" s="16" t="str">
        <f t="array" ref="K272">_xlfn.XLOOKUP(C272,Clientes[ID_Cliente],Clientes[Provincia])</f>
        <v>Buenos Aires</v>
      </c>
      <c r="L272" s="16" t="str">
        <f t="array" ref="L272">CONCATENATE(_xlfn.XLOOKUP(C272,Clientes[ID_Cliente],Clientes[Provincia]),", Argentina")</f>
        <v>Buenos Aires, Argentina</v>
      </c>
      <c r="M272" s="20" t="str">
        <f t="array" ref="M272">_xlfn.XLOOKUP(F272,Metodos_De_Pago[ID_Metodo],Metodos_De_Pago[Metodo])</f>
        <v>Mercado Pago</v>
      </c>
      <c r="N272" s="20" t="str">
        <f t="shared" si="2"/>
        <v>2024 07</v>
      </c>
    </row>
    <row r="273" ht="22.5" customHeight="1">
      <c r="A273" s="12">
        <f>IFERROR(__xludf.DUMMYFUNCTION("""COMPUTED_VALUE"""),2215.0)</f>
        <v>2215</v>
      </c>
      <c r="B273" s="13">
        <f>IFERROR(__xludf.DUMMYFUNCTION("""COMPUTED_VALUE"""),45497.0)</f>
        <v>45497</v>
      </c>
      <c r="C273" s="12">
        <f>IFERROR(__xludf.DUMMYFUNCTION("""COMPUTED_VALUE"""),35.0)</f>
        <v>35</v>
      </c>
      <c r="D273" s="12">
        <f>IFERROR(__xludf.DUMMYFUNCTION("""COMPUTED_VALUE"""),28.0)</f>
        <v>28</v>
      </c>
      <c r="E273" s="12">
        <f>IFERROR(__xludf.DUMMYFUNCTION("""COMPUTED_VALUE"""),1.0)</f>
        <v>1</v>
      </c>
      <c r="F273" s="12">
        <f>IFERROR(__xludf.DUMMYFUNCTION("""COMPUTED_VALUE"""),1.0)</f>
        <v>1</v>
      </c>
      <c r="G273" s="15" t="str">
        <f>IFERROR(__xludf.DUMMYFUNCTION("""COMPUTED_VALUE"""),"Pendiente")</f>
        <v>Pendiente</v>
      </c>
      <c r="H273" s="16" t="str">
        <f t="array" ref="H273">_xlfn.XLOOKUP(D273,Productos[ID_Producto],Productos[Nombre_Producto])</f>
        <v>Jugos de frutas</v>
      </c>
      <c r="I273" s="17">
        <f t="array" ref="I273">_xlfn.XLOOKUP(D273,Productos[ID_Producto],Productos[Precio_Unitario])</f>
        <v>9.45</v>
      </c>
      <c r="J273" s="17">
        <f t="shared" si="1"/>
        <v>9.45</v>
      </c>
      <c r="K273" s="16" t="str">
        <f t="array" ref="K273">_xlfn.XLOOKUP(C273,Clientes[ID_Cliente],Clientes[Provincia])</f>
        <v>Salta</v>
      </c>
      <c r="L273" s="16" t="str">
        <f t="array" ref="L273">CONCATENATE(_xlfn.XLOOKUP(C273,Clientes[ID_Cliente],Clientes[Provincia]),", Argentina")</f>
        <v>Salta, Argentina</v>
      </c>
      <c r="M273" s="20" t="str">
        <f t="array" ref="M273">_xlfn.XLOOKUP(F273,Metodos_De_Pago[ID_Metodo],Metodos_De_Pago[Metodo])</f>
        <v>Efectivo</v>
      </c>
      <c r="N273" s="20" t="str">
        <f t="shared" si="2"/>
        <v>2024 07</v>
      </c>
    </row>
    <row r="274" ht="22.5" customHeight="1">
      <c r="A274" s="12">
        <f>IFERROR(__xludf.DUMMYFUNCTION("""COMPUTED_VALUE"""),2528.0)</f>
        <v>2528</v>
      </c>
      <c r="B274" s="13">
        <f>IFERROR(__xludf.DUMMYFUNCTION("""COMPUTED_VALUE"""),45497.0)</f>
        <v>45497</v>
      </c>
      <c r="C274" s="12">
        <f>IFERROR(__xludf.DUMMYFUNCTION("""COMPUTED_VALUE"""),164.0)</f>
        <v>164</v>
      </c>
      <c r="D274" s="12">
        <f>IFERROR(__xludf.DUMMYFUNCTION("""COMPUTED_VALUE"""),13.0)</f>
        <v>13</v>
      </c>
      <c r="E274" s="12">
        <f>IFERROR(__xludf.DUMMYFUNCTION("""COMPUTED_VALUE"""),1.0)</f>
        <v>1</v>
      </c>
      <c r="F274" s="12">
        <f>IFERROR(__xludf.DUMMYFUNCTION("""COMPUTED_VALUE"""),1.0)</f>
        <v>1</v>
      </c>
      <c r="G274" s="15" t="str">
        <f>IFERROR(__xludf.DUMMYFUNCTION("""COMPUTED_VALUE"""),"Completa")</f>
        <v>Completa</v>
      </c>
      <c r="H274" s="16" t="str">
        <f t="array" ref="H274">_xlfn.XLOOKUP(D274,Productos[ID_Producto],Productos[Nombre_Producto])</f>
        <v>Pan integral</v>
      </c>
      <c r="I274" s="17">
        <f t="array" ref="I274">_xlfn.XLOOKUP(D274,Productos[ID_Producto],Productos[Precio_Unitario])</f>
        <v>12.56</v>
      </c>
      <c r="J274" s="17">
        <f t="shared" si="1"/>
        <v>12.56</v>
      </c>
      <c r="K274" s="16" t="str">
        <f t="array" ref="K274">_xlfn.XLOOKUP(C274,Clientes[ID_Cliente],Clientes[Provincia])</f>
        <v>Córdoba</v>
      </c>
      <c r="L274" s="16" t="str">
        <f t="array" ref="L274">CONCATENATE(_xlfn.XLOOKUP(C274,Clientes[ID_Cliente],Clientes[Provincia]),", Argentina")</f>
        <v>Córdoba, Argentina</v>
      </c>
      <c r="M274" s="20" t="str">
        <f t="array" ref="M274">_xlfn.XLOOKUP(F274,Metodos_De_Pago[ID_Metodo],Metodos_De_Pago[Metodo])</f>
        <v>Efectivo</v>
      </c>
      <c r="N274" s="20" t="str">
        <f t="shared" si="2"/>
        <v>2024 07</v>
      </c>
    </row>
    <row r="275" ht="22.5" customHeight="1">
      <c r="A275" s="12">
        <f>IFERROR(__xludf.DUMMYFUNCTION("""COMPUTED_VALUE"""),2695.0)</f>
        <v>2695</v>
      </c>
      <c r="B275" s="13">
        <f>IFERROR(__xludf.DUMMYFUNCTION("""COMPUTED_VALUE"""),45497.0)</f>
        <v>45497</v>
      </c>
      <c r="C275" s="12">
        <f>IFERROR(__xludf.DUMMYFUNCTION("""COMPUTED_VALUE"""),58.0)</f>
        <v>58</v>
      </c>
      <c r="D275" s="12">
        <f>IFERROR(__xludf.DUMMYFUNCTION("""COMPUTED_VALUE"""),31.0)</f>
        <v>31</v>
      </c>
      <c r="E275" s="12">
        <f>IFERROR(__xludf.DUMMYFUNCTION("""COMPUTED_VALUE"""),1.0)</f>
        <v>1</v>
      </c>
      <c r="F275" s="12">
        <f>IFERROR(__xludf.DUMMYFUNCTION("""COMPUTED_VALUE"""),5.0)</f>
        <v>5</v>
      </c>
      <c r="G275" s="15" t="str">
        <f>IFERROR(__xludf.DUMMYFUNCTION("""COMPUTED_VALUE"""),"Completa")</f>
        <v>Completa</v>
      </c>
      <c r="H275" s="16" t="str">
        <f t="array" ref="H275">_xlfn.XLOOKUP(D275,Productos[ID_Producto],Productos[Nombre_Producto])</f>
        <v>Galletitas de agua</v>
      </c>
      <c r="I275" s="17">
        <f t="array" ref="I275">_xlfn.XLOOKUP(D275,Productos[ID_Producto],Productos[Precio_Unitario])</f>
        <v>5.24</v>
      </c>
      <c r="J275" s="17">
        <f t="shared" si="1"/>
        <v>5.24</v>
      </c>
      <c r="K275" s="16" t="str">
        <f t="array" ref="K275">_xlfn.XLOOKUP(C275,Clientes[ID_Cliente],Clientes[Provincia])</f>
        <v>Buenos Aires</v>
      </c>
      <c r="L275" s="16" t="str">
        <f t="array" ref="L275">CONCATENATE(_xlfn.XLOOKUP(C275,Clientes[ID_Cliente],Clientes[Provincia]),", Argentina")</f>
        <v>Buenos Aires, Argentina</v>
      </c>
      <c r="M275" s="20" t="str">
        <f t="array" ref="M275">_xlfn.XLOOKUP(F275,Metodos_De_Pago[ID_Metodo],Metodos_De_Pago[Metodo])</f>
        <v>Transferencia</v>
      </c>
      <c r="N275" s="20" t="str">
        <f t="shared" si="2"/>
        <v>2024 07</v>
      </c>
    </row>
    <row r="276" ht="22.5" customHeight="1">
      <c r="A276" s="12">
        <f>IFERROR(__xludf.DUMMYFUNCTION("""COMPUTED_VALUE"""),1408.0)</f>
        <v>1408</v>
      </c>
      <c r="B276" s="13">
        <f>IFERROR(__xludf.DUMMYFUNCTION("""COMPUTED_VALUE"""),45498.0)</f>
        <v>45498</v>
      </c>
      <c r="C276" s="12">
        <f>IFERROR(__xludf.DUMMYFUNCTION("""COMPUTED_VALUE"""),124.0)</f>
        <v>124</v>
      </c>
      <c r="D276" s="12">
        <f>IFERROR(__xludf.DUMMYFUNCTION("""COMPUTED_VALUE"""),12.0)</f>
        <v>12</v>
      </c>
      <c r="E276" s="12">
        <f>IFERROR(__xludf.DUMMYFUNCTION("""COMPUTED_VALUE"""),1.0)</f>
        <v>1</v>
      </c>
      <c r="F276" s="12">
        <f>IFERROR(__xludf.DUMMYFUNCTION("""COMPUTED_VALUE"""),5.0)</f>
        <v>5</v>
      </c>
      <c r="G276" s="15" t="str">
        <f>IFERROR(__xludf.DUMMYFUNCTION("""COMPUTED_VALUE"""),"Completa")</f>
        <v>Completa</v>
      </c>
      <c r="H276" s="16" t="str">
        <f t="array" ref="H276">_xlfn.XLOOKUP(D276,Productos[ID_Producto],Productos[Nombre_Producto])</f>
        <v>Pan francés</v>
      </c>
      <c r="I276" s="17">
        <f t="array" ref="I276">_xlfn.XLOOKUP(D276,Productos[ID_Producto],Productos[Precio_Unitario])</f>
        <v>8.12</v>
      </c>
      <c r="J276" s="17">
        <f t="shared" si="1"/>
        <v>8.12</v>
      </c>
      <c r="K276" s="16" t="str">
        <f t="array" ref="K276">_xlfn.XLOOKUP(C276,Clientes[ID_Cliente],Clientes[Provincia])</f>
        <v>Chaco</v>
      </c>
      <c r="L276" s="16" t="str">
        <f t="array" ref="L276">CONCATENATE(_xlfn.XLOOKUP(C276,Clientes[ID_Cliente],Clientes[Provincia]),", Argentina")</f>
        <v>Chaco, Argentina</v>
      </c>
      <c r="M276" s="20" t="str">
        <f t="array" ref="M276">_xlfn.XLOOKUP(F276,Metodos_De_Pago[ID_Metodo],Metodos_De_Pago[Metodo])</f>
        <v>Transferencia</v>
      </c>
      <c r="N276" s="20" t="str">
        <f t="shared" si="2"/>
        <v>2024 07</v>
      </c>
    </row>
    <row r="277" ht="22.5" customHeight="1">
      <c r="A277" s="12">
        <f>IFERROR(__xludf.DUMMYFUNCTION("""COMPUTED_VALUE"""),770.0)</f>
        <v>770</v>
      </c>
      <c r="B277" s="13">
        <f>IFERROR(__xludf.DUMMYFUNCTION("""COMPUTED_VALUE"""),45499.0)</f>
        <v>45499</v>
      </c>
      <c r="C277" s="12">
        <f>IFERROR(__xludf.DUMMYFUNCTION("""COMPUTED_VALUE"""),123.0)</f>
        <v>123</v>
      </c>
      <c r="D277" s="12">
        <f>IFERROR(__xludf.DUMMYFUNCTION("""COMPUTED_VALUE"""),9.0)</f>
        <v>9</v>
      </c>
      <c r="E277" s="12">
        <f>IFERROR(__xludf.DUMMYFUNCTION("""COMPUTED_VALUE"""),1.0)</f>
        <v>1</v>
      </c>
      <c r="F277" s="12">
        <f>IFERROR(__xludf.DUMMYFUNCTION("""COMPUTED_VALUE"""),1.0)</f>
        <v>1</v>
      </c>
      <c r="G277" s="15" t="str">
        <f>IFERROR(__xludf.DUMMYFUNCTION("""COMPUTED_VALUE"""),"Completa")</f>
        <v>Completa</v>
      </c>
      <c r="H277" s="16" t="str">
        <f t="array" ref="H277">_xlfn.XLOOKUP(D277,Productos[ID_Producto],Productos[Nombre_Producto])</f>
        <v>Pollo</v>
      </c>
      <c r="I277" s="17">
        <f t="array" ref="I277">_xlfn.XLOOKUP(D277,Productos[ID_Producto],Productos[Precio_Unitario])</f>
        <v>18.56</v>
      </c>
      <c r="J277" s="17">
        <f t="shared" si="1"/>
        <v>18.56</v>
      </c>
      <c r="K277" s="16" t="str">
        <f t="array" ref="K277">_xlfn.XLOOKUP(C277,Clientes[ID_Cliente],Clientes[Provincia])</f>
        <v>Neuquén</v>
      </c>
      <c r="L277" s="16" t="str">
        <f t="array" ref="L277">CONCATENATE(_xlfn.XLOOKUP(C277,Clientes[ID_Cliente],Clientes[Provincia]),", Argentina")</f>
        <v>Neuquén, Argentina</v>
      </c>
      <c r="M277" s="20" t="str">
        <f t="array" ref="M277">_xlfn.XLOOKUP(F277,Metodos_De_Pago[ID_Metodo],Metodos_De_Pago[Metodo])</f>
        <v>Efectivo</v>
      </c>
      <c r="N277" s="20" t="str">
        <f t="shared" si="2"/>
        <v>2024 07</v>
      </c>
    </row>
    <row r="278" ht="22.5" customHeight="1">
      <c r="A278" s="12">
        <f>IFERROR(__xludf.DUMMYFUNCTION("""COMPUTED_VALUE"""),2389.0)</f>
        <v>2389</v>
      </c>
      <c r="B278" s="13">
        <f>IFERROR(__xludf.DUMMYFUNCTION("""COMPUTED_VALUE"""),45501.0)</f>
        <v>45501</v>
      </c>
      <c r="C278" s="12">
        <f>IFERROR(__xludf.DUMMYFUNCTION("""COMPUTED_VALUE"""),64.0)</f>
        <v>64</v>
      </c>
      <c r="D278" s="12">
        <f>IFERROR(__xludf.DUMMYFUNCTION("""COMPUTED_VALUE"""),29.0)</f>
        <v>29</v>
      </c>
      <c r="E278" s="12">
        <f>IFERROR(__xludf.DUMMYFUNCTION("""COMPUTED_VALUE"""),1.0)</f>
        <v>1</v>
      </c>
      <c r="F278" s="12">
        <f>IFERROR(__xludf.DUMMYFUNCTION("""COMPUTED_VALUE"""),1.0)</f>
        <v>1</v>
      </c>
      <c r="G278" s="15" t="str">
        <f>IFERROR(__xludf.DUMMYFUNCTION("""COMPUTED_VALUE"""),"Completa")</f>
        <v>Completa</v>
      </c>
      <c r="H278" s="16" t="str">
        <f t="array" ref="H278">_xlfn.XLOOKUP(D278,Productos[ID_Producto],Productos[Nombre_Producto])</f>
        <v>Cerveza</v>
      </c>
      <c r="I278" s="17">
        <f t="array" ref="I278">_xlfn.XLOOKUP(D278,Productos[ID_Producto],Productos[Precio_Unitario])</f>
        <v>11.54</v>
      </c>
      <c r="J278" s="17">
        <f t="shared" si="1"/>
        <v>11.54</v>
      </c>
      <c r="K278" s="16" t="str">
        <f t="array" ref="K278">_xlfn.XLOOKUP(C278,Clientes[ID_Cliente],Clientes[Provincia])</f>
        <v>Chaco</v>
      </c>
      <c r="L278" s="16" t="str">
        <f t="array" ref="L278">CONCATENATE(_xlfn.XLOOKUP(C278,Clientes[ID_Cliente],Clientes[Provincia]),", Argentina")</f>
        <v>Chaco, Argentina</v>
      </c>
      <c r="M278" s="20" t="str">
        <f t="array" ref="M278">_xlfn.XLOOKUP(F278,Metodos_De_Pago[ID_Metodo],Metodos_De_Pago[Metodo])</f>
        <v>Efectivo</v>
      </c>
      <c r="N278" s="20" t="str">
        <f t="shared" si="2"/>
        <v>2024 07</v>
      </c>
    </row>
    <row r="279" ht="22.5" customHeight="1">
      <c r="A279" s="12">
        <f>IFERROR(__xludf.DUMMYFUNCTION("""COMPUTED_VALUE"""),178.0)</f>
        <v>178</v>
      </c>
      <c r="B279" s="13">
        <f>IFERROR(__xludf.DUMMYFUNCTION("""COMPUTED_VALUE"""),45502.0)</f>
        <v>45502</v>
      </c>
      <c r="C279" s="12">
        <f>IFERROR(__xludf.DUMMYFUNCTION("""COMPUTED_VALUE"""),159.0)</f>
        <v>159</v>
      </c>
      <c r="D279" s="12">
        <f>IFERROR(__xludf.DUMMYFUNCTION("""COMPUTED_VALUE"""),21.0)</f>
        <v>21</v>
      </c>
      <c r="E279" s="12">
        <f>IFERROR(__xludf.DUMMYFUNCTION("""COMPUTED_VALUE"""),1.0)</f>
        <v>1</v>
      </c>
      <c r="F279" s="12">
        <f>IFERROR(__xludf.DUMMYFUNCTION("""COMPUTED_VALUE"""),3.0)</f>
        <v>3</v>
      </c>
      <c r="G279" s="15" t="str">
        <f>IFERROR(__xludf.DUMMYFUNCTION("""COMPUTED_VALUE"""),"Pendiente")</f>
        <v>Pendiente</v>
      </c>
      <c r="H279" s="16" t="str">
        <f t="array" ref="H279">_xlfn.XLOOKUP(D279,Productos[ID_Producto],Productos[Nombre_Producto])</f>
        <v>Zanahorias</v>
      </c>
      <c r="I279" s="17">
        <f t="array" ref="I279">_xlfn.XLOOKUP(D279,Productos[ID_Producto],Productos[Precio_Unitario])</f>
        <v>3.25</v>
      </c>
      <c r="J279" s="17">
        <f t="shared" si="1"/>
        <v>3.25</v>
      </c>
      <c r="K279" s="16" t="str">
        <f t="array" ref="K279">_xlfn.XLOOKUP(C279,Clientes[ID_Cliente],Clientes[Provincia])</f>
        <v>Chaco</v>
      </c>
      <c r="L279" s="16" t="str">
        <f t="array" ref="L279">CONCATENATE(_xlfn.XLOOKUP(C279,Clientes[ID_Cliente],Clientes[Provincia]),", Argentina")</f>
        <v>Chaco, Argentina</v>
      </c>
      <c r="M279" s="20" t="str">
        <f t="array" ref="M279">_xlfn.XLOOKUP(F279,Metodos_De_Pago[ID_Metodo],Metodos_De_Pago[Metodo])</f>
        <v>Tarjeta de Débito</v>
      </c>
      <c r="N279" s="20" t="str">
        <f t="shared" si="2"/>
        <v>2024 07</v>
      </c>
    </row>
    <row r="280" ht="22.5" customHeight="1">
      <c r="A280" s="12">
        <f>IFERROR(__xludf.DUMMYFUNCTION("""COMPUTED_VALUE"""),906.0)</f>
        <v>906</v>
      </c>
      <c r="B280" s="13">
        <f>IFERROR(__xludf.DUMMYFUNCTION("""COMPUTED_VALUE"""),45503.0)</f>
        <v>45503</v>
      </c>
      <c r="C280" s="12">
        <f>IFERROR(__xludf.DUMMYFUNCTION("""COMPUTED_VALUE"""),179.0)</f>
        <v>179</v>
      </c>
      <c r="D280" s="12">
        <f>IFERROR(__xludf.DUMMYFUNCTION("""COMPUTED_VALUE"""),13.0)</f>
        <v>13</v>
      </c>
      <c r="E280" s="12">
        <f>IFERROR(__xludf.DUMMYFUNCTION("""COMPUTED_VALUE"""),1.0)</f>
        <v>1</v>
      </c>
      <c r="F280" s="12">
        <f>IFERROR(__xludf.DUMMYFUNCTION("""COMPUTED_VALUE"""),5.0)</f>
        <v>5</v>
      </c>
      <c r="G280" s="15" t="str">
        <f>IFERROR(__xludf.DUMMYFUNCTION("""COMPUTED_VALUE"""),"Completa")</f>
        <v>Completa</v>
      </c>
      <c r="H280" s="16" t="str">
        <f t="array" ref="H280">_xlfn.XLOOKUP(D280,Productos[ID_Producto],Productos[Nombre_Producto])</f>
        <v>Pan integral</v>
      </c>
      <c r="I280" s="17">
        <f t="array" ref="I280">_xlfn.XLOOKUP(D280,Productos[ID_Producto],Productos[Precio_Unitario])</f>
        <v>12.56</v>
      </c>
      <c r="J280" s="17">
        <f t="shared" si="1"/>
        <v>12.56</v>
      </c>
      <c r="K280" s="16" t="str">
        <f t="array" ref="K280">_xlfn.XLOOKUP(C280,Clientes[ID_Cliente],Clientes[Provincia])</f>
        <v>Buenos Aires</v>
      </c>
      <c r="L280" s="16" t="str">
        <f t="array" ref="L280">CONCATENATE(_xlfn.XLOOKUP(C280,Clientes[ID_Cliente],Clientes[Provincia]),", Argentina")</f>
        <v>Buenos Aires, Argentina</v>
      </c>
      <c r="M280" s="20" t="str">
        <f t="array" ref="M280">_xlfn.XLOOKUP(F280,Metodos_De_Pago[ID_Metodo],Metodos_De_Pago[Metodo])</f>
        <v>Transferencia</v>
      </c>
      <c r="N280" s="20" t="str">
        <f t="shared" si="2"/>
        <v>2024 07</v>
      </c>
    </row>
    <row r="281" ht="22.5" customHeight="1">
      <c r="A281" s="12">
        <f>IFERROR(__xludf.DUMMYFUNCTION("""COMPUTED_VALUE"""),1106.0)</f>
        <v>1106</v>
      </c>
      <c r="B281" s="13">
        <f>IFERROR(__xludf.DUMMYFUNCTION("""COMPUTED_VALUE"""),45503.0)</f>
        <v>45503</v>
      </c>
      <c r="C281" s="12">
        <f>IFERROR(__xludf.DUMMYFUNCTION("""COMPUTED_VALUE"""),153.0)</f>
        <v>153</v>
      </c>
      <c r="D281" s="12">
        <f>IFERROR(__xludf.DUMMYFUNCTION("""COMPUTED_VALUE"""),2.0)</f>
        <v>2</v>
      </c>
      <c r="E281" s="12">
        <f>IFERROR(__xludf.DUMMYFUNCTION("""COMPUTED_VALUE"""),1.0)</f>
        <v>1</v>
      </c>
      <c r="F281" s="12">
        <f>IFERROR(__xludf.DUMMYFUNCTION("""COMPUTED_VALUE"""),4.0)</f>
        <v>4</v>
      </c>
      <c r="G281" s="15" t="str">
        <f>IFERROR(__xludf.DUMMYFUNCTION("""COMPUTED_VALUE"""),"Pendiente")</f>
        <v>Pendiente</v>
      </c>
      <c r="H281" s="16" t="str">
        <f t="array" ref="H281">_xlfn.XLOOKUP(D281,Productos[ID_Producto],Productos[Nombre_Producto])</f>
        <v>Yogur</v>
      </c>
      <c r="I281" s="17">
        <f t="array" ref="I281">_xlfn.XLOOKUP(D281,Productos[ID_Producto],Productos[Precio_Unitario])</f>
        <v>5.21</v>
      </c>
      <c r="J281" s="17">
        <f t="shared" si="1"/>
        <v>5.21</v>
      </c>
      <c r="K281" s="16" t="str">
        <f t="array" ref="K281">_xlfn.XLOOKUP(C281,Clientes[ID_Cliente],Clientes[Provincia])</f>
        <v>San Luis</v>
      </c>
      <c r="L281" s="16" t="str">
        <f t="array" ref="L281">CONCATENATE(_xlfn.XLOOKUP(C281,Clientes[ID_Cliente],Clientes[Provincia]),", Argentina")</f>
        <v>San Luis, Argentina</v>
      </c>
      <c r="M281" s="20" t="str">
        <f t="array" ref="M281">_xlfn.XLOOKUP(F281,Metodos_De_Pago[ID_Metodo],Metodos_De_Pago[Metodo])</f>
        <v>Mercado Pago</v>
      </c>
      <c r="N281" s="20" t="str">
        <f t="shared" si="2"/>
        <v>2024 07</v>
      </c>
    </row>
    <row r="282" ht="22.5" customHeight="1">
      <c r="A282" s="12">
        <f>IFERROR(__xludf.DUMMYFUNCTION("""COMPUTED_VALUE"""),1617.0)</f>
        <v>1617</v>
      </c>
      <c r="B282" s="13">
        <f>IFERROR(__xludf.DUMMYFUNCTION("""COMPUTED_VALUE"""),45503.0)</f>
        <v>45503</v>
      </c>
      <c r="C282" s="12">
        <f>IFERROR(__xludf.DUMMYFUNCTION("""COMPUTED_VALUE"""),162.0)</f>
        <v>162</v>
      </c>
      <c r="D282" s="12">
        <f>IFERROR(__xludf.DUMMYFUNCTION("""COMPUTED_VALUE"""),32.0)</f>
        <v>32</v>
      </c>
      <c r="E282" s="12">
        <f>IFERROR(__xludf.DUMMYFUNCTION("""COMPUTED_VALUE"""),1.0)</f>
        <v>1</v>
      </c>
      <c r="F282" s="12">
        <f>IFERROR(__xludf.DUMMYFUNCTION("""COMPUTED_VALUE"""),4.0)</f>
        <v>4</v>
      </c>
      <c r="G282" s="15" t="str">
        <f>IFERROR(__xludf.DUMMYFUNCTION("""COMPUTED_VALUE"""),"Completa")</f>
        <v>Completa</v>
      </c>
      <c r="H282" s="16" t="str">
        <f t="array" ref="H282">_xlfn.XLOOKUP(D282,Productos[ID_Producto],Productos[Nombre_Producto])</f>
        <v>Galletitas de chocolate</v>
      </c>
      <c r="I282" s="17">
        <f t="array" ref="I282">_xlfn.XLOOKUP(D282,Productos[ID_Producto],Productos[Precio_Unitario])</f>
        <v>6.25</v>
      </c>
      <c r="J282" s="17">
        <f t="shared" si="1"/>
        <v>6.25</v>
      </c>
      <c r="K282" s="16" t="str">
        <f t="array" ref="K282">_xlfn.XLOOKUP(C282,Clientes[ID_Cliente],Clientes[Provincia])</f>
        <v>Neuquén</v>
      </c>
      <c r="L282" s="16" t="str">
        <f t="array" ref="L282">CONCATENATE(_xlfn.XLOOKUP(C282,Clientes[ID_Cliente],Clientes[Provincia]),", Argentina")</f>
        <v>Neuquén, Argentina</v>
      </c>
      <c r="M282" s="20" t="str">
        <f t="array" ref="M282">_xlfn.XLOOKUP(F282,Metodos_De_Pago[ID_Metodo],Metodos_De_Pago[Metodo])</f>
        <v>Mercado Pago</v>
      </c>
      <c r="N282" s="20" t="str">
        <f t="shared" si="2"/>
        <v>2024 07</v>
      </c>
    </row>
    <row r="283" ht="22.5" customHeight="1">
      <c r="A283" s="12">
        <f>IFERROR(__xludf.DUMMYFUNCTION("""COMPUTED_VALUE"""),631.0)</f>
        <v>631</v>
      </c>
      <c r="B283" s="13">
        <f>IFERROR(__xludf.DUMMYFUNCTION("""COMPUTED_VALUE"""),45505.0)</f>
        <v>45505</v>
      </c>
      <c r="C283" s="12">
        <f>IFERROR(__xludf.DUMMYFUNCTION("""COMPUTED_VALUE"""),120.0)</f>
        <v>120</v>
      </c>
      <c r="D283" s="12">
        <f>IFERROR(__xludf.DUMMYFUNCTION("""COMPUTED_VALUE"""),20.0)</f>
        <v>20</v>
      </c>
      <c r="E283" s="12">
        <f>IFERROR(__xludf.DUMMYFUNCTION("""COMPUTED_VALUE"""),1.0)</f>
        <v>1</v>
      </c>
      <c r="F283" s="12">
        <f>IFERROR(__xludf.DUMMYFUNCTION("""COMPUTED_VALUE"""),1.0)</f>
        <v>1</v>
      </c>
      <c r="G283" s="15" t="str">
        <f>IFERROR(__xludf.DUMMYFUNCTION("""COMPUTED_VALUE"""),"Completa")</f>
        <v>Completa</v>
      </c>
      <c r="H283" s="16" t="str">
        <f t="array" ref="H283">_xlfn.XLOOKUP(D283,Productos[ID_Producto],Productos[Nombre_Producto])</f>
        <v>Lechugas</v>
      </c>
      <c r="I283" s="17">
        <f t="array" ref="I283">_xlfn.XLOOKUP(D283,Productos[ID_Producto],Productos[Precio_Unitario])</f>
        <v>4.25</v>
      </c>
      <c r="J283" s="17">
        <f t="shared" si="1"/>
        <v>4.25</v>
      </c>
      <c r="K283" s="16" t="str">
        <f t="array" ref="K283">_xlfn.XLOOKUP(C283,Clientes[ID_Cliente],Clientes[Provincia])</f>
        <v>Buenos Aires</v>
      </c>
      <c r="L283" s="16" t="str">
        <f t="array" ref="L283">CONCATENATE(_xlfn.XLOOKUP(C283,Clientes[ID_Cliente],Clientes[Provincia]),", Argentina")</f>
        <v>Buenos Aires, Argentina</v>
      </c>
      <c r="M283" s="20" t="str">
        <f t="array" ref="M283">_xlfn.XLOOKUP(F283,Metodos_De_Pago[ID_Metodo],Metodos_De_Pago[Metodo])</f>
        <v>Efectivo</v>
      </c>
      <c r="N283" s="20" t="str">
        <f t="shared" si="2"/>
        <v>2024 08</v>
      </c>
    </row>
    <row r="284" ht="22.5" customHeight="1">
      <c r="A284" s="12">
        <f>IFERROR(__xludf.DUMMYFUNCTION("""COMPUTED_VALUE"""),2408.0)</f>
        <v>2408</v>
      </c>
      <c r="B284" s="13">
        <f>IFERROR(__xludf.DUMMYFUNCTION("""COMPUTED_VALUE"""),45505.0)</f>
        <v>45505</v>
      </c>
      <c r="C284" s="12">
        <f>IFERROR(__xludf.DUMMYFUNCTION("""COMPUTED_VALUE"""),89.0)</f>
        <v>89</v>
      </c>
      <c r="D284" s="12">
        <f>IFERROR(__xludf.DUMMYFUNCTION("""COMPUTED_VALUE"""),15.0)</f>
        <v>15</v>
      </c>
      <c r="E284" s="12">
        <f>IFERROR(__xludf.DUMMYFUNCTION("""COMPUTED_VALUE"""),1.0)</f>
        <v>1</v>
      </c>
      <c r="F284" s="12">
        <f>IFERROR(__xludf.DUMMYFUNCTION("""COMPUTED_VALUE"""),5.0)</f>
        <v>5</v>
      </c>
      <c r="G284" s="15" t="str">
        <f>IFERROR(__xludf.DUMMYFUNCTION("""COMPUTED_VALUE"""),"Completa")</f>
        <v>Completa</v>
      </c>
      <c r="H284" s="16" t="str">
        <f t="array" ref="H284">_xlfn.XLOOKUP(D284,Productos[ID_Producto],Productos[Nombre_Producto])</f>
        <v>Medialunas</v>
      </c>
      <c r="I284" s="17">
        <f t="array" ref="I284">_xlfn.XLOOKUP(D284,Productos[ID_Producto],Productos[Precio_Unitario])</f>
        <v>3.51</v>
      </c>
      <c r="J284" s="17">
        <f t="shared" si="1"/>
        <v>3.51</v>
      </c>
      <c r="K284" s="16" t="str">
        <f t="array" ref="K284">_xlfn.XLOOKUP(C284,Clientes[ID_Cliente],Clientes[Provincia])</f>
        <v>Neuquén</v>
      </c>
      <c r="L284" s="16" t="str">
        <f t="array" ref="L284">CONCATENATE(_xlfn.XLOOKUP(C284,Clientes[ID_Cliente],Clientes[Provincia]),", Argentina")</f>
        <v>Neuquén, Argentina</v>
      </c>
      <c r="M284" s="20" t="str">
        <f t="array" ref="M284">_xlfn.XLOOKUP(F284,Metodos_De_Pago[ID_Metodo],Metodos_De_Pago[Metodo])</f>
        <v>Transferencia</v>
      </c>
      <c r="N284" s="20" t="str">
        <f t="shared" si="2"/>
        <v>2024 08</v>
      </c>
    </row>
    <row r="285" ht="22.5" customHeight="1">
      <c r="A285" s="12">
        <f>IFERROR(__xludf.DUMMYFUNCTION("""COMPUTED_VALUE"""),57.0)</f>
        <v>57</v>
      </c>
      <c r="B285" s="13">
        <f>IFERROR(__xludf.DUMMYFUNCTION("""COMPUTED_VALUE"""),45506.0)</f>
        <v>45506</v>
      </c>
      <c r="C285" s="12">
        <f>IFERROR(__xludf.DUMMYFUNCTION("""COMPUTED_VALUE"""),305.0)</f>
        <v>305</v>
      </c>
      <c r="D285" s="12">
        <f>IFERROR(__xludf.DUMMYFUNCTION("""COMPUTED_VALUE"""),13.0)</f>
        <v>13</v>
      </c>
      <c r="E285" s="12">
        <f>IFERROR(__xludf.DUMMYFUNCTION("""COMPUTED_VALUE"""),1.0)</f>
        <v>1</v>
      </c>
      <c r="F285" s="12">
        <f>IFERROR(__xludf.DUMMYFUNCTION("""COMPUTED_VALUE"""),5.0)</f>
        <v>5</v>
      </c>
      <c r="G285" s="15" t="str">
        <f>IFERROR(__xludf.DUMMYFUNCTION("""COMPUTED_VALUE"""),"Completa")</f>
        <v>Completa</v>
      </c>
      <c r="H285" s="16" t="str">
        <f t="array" ref="H285">_xlfn.XLOOKUP(D285,Productos[ID_Producto],Productos[Nombre_Producto])</f>
        <v>Pan integral</v>
      </c>
      <c r="I285" s="17">
        <f t="array" ref="I285">_xlfn.XLOOKUP(D285,Productos[ID_Producto],Productos[Precio_Unitario])</f>
        <v>12.56</v>
      </c>
      <c r="J285" s="17">
        <f t="shared" si="1"/>
        <v>12.56</v>
      </c>
      <c r="K285" s="16" t="str">
        <f t="array" ref="K285">_xlfn.XLOOKUP(C285,Clientes[ID_Cliente],Clientes[Provincia])</f>
        <v>Neuquén</v>
      </c>
      <c r="L285" s="16" t="str">
        <f t="array" ref="L285">CONCATENATE(_xlfn.XLOOKUP(C285,Clientes[ID_Cliente],Clientes[Provincia]),", Argentina")</f>
        <v>Neuquén, Argentina</v>
      </c>
      <c r="M285" s="20" t="str">
        <f t="array" ref="M285">_xlfn.XLOOKUP(F285,Metodos_De_Pago[ID_Metodo],Metodos_De_Pago[Metodo])</f>
        <v>Transferencia</v>
      </c>
      <c r="N285" s="20" t="str">
        <f t="shared" si="2"/>
        <v>2024 08</v>
      </c>
    </row>
    <row r="286" ht="22.5" customHeight="1">
      <c r="A286" s="12">
        <f>IFERROR(__xludf.DUMMYFUNCTION("""COMPUTED_VALUE"""),313.0)</f>
        <v>313</v>
      </c>
      <c r="B286" s="13">
        <f>IFERROR(__xludf.DUMMYFUNCTION("""COMPUTED_VALUE"""),45506.0)</f>
        <v>45506</v>
      </c>
      <c r="C286" s="12">
        <f>IFERROR(__xludf.DUMMYFUNCTION("""COMPUTED_VALUE"""),250.0)</f>
        <v>250</v>
      </c>
      <c r="D286" s="12">
        <f>IFERROR(__xludf.DUMMYFUNCTION("""COMPUTED_VALUE"""),30.0)</f>
        <v>30</v>
      </c>
      <c r="E286" s="12">
        <f>IFERROR(__xludf.DUMMYFUNCTION("""COMPUTED_VALUE"""),1.0)</f>
        <v>1</v>
      </c>
      <c r="F286" s="12">
        <f>IFERROR(__xludf.DUMMYFUNCTION("""COMPUTED_VALUE"""),5.0)</f>
        <v>5</v>
      </c>
      <c r="G286" s="15" t="str">
        <f>IFERROR(__xludf.DUMMYFUNCTION("""COMPUTED_VALUE"""),"Completa")</f>
        <v>Completa</v>
      </c>
      <c r="H286" s="16" t="str">
        <f t="array" ref="H286">_xlfn.XLOOKUP(D286,Productos[ID_Producto],Productos[Nombre_Producto])</f>
        <v>Vino tinto</v>
      </c>
      <c r="I286" s="17">
        <f t="array" ref="I286">_xlfn.XLOOKUP(D286,Productos[ID_Producto],Productos[Precio_Unitario])</f>
        <v>13.54</v>
      </c>
      <c r="J286" s="17">
        <f t="shared" si="1"/>
        <v>13.54</v>
      </c>
      <c r="K286" s="16" t="str">
        <f t="array" ref="K286">_xlfn.XLOOKUP(C286,Clientes[ID_Cliente],Clientes[Provincia])</f>
        <v>Córdoba</v>
      </c>
      <c r="L286" s="16" t="str">
        <f t="array" ref="L286">CONCATENATE(_xlfn.XLOOKUP(C286,Clientes[ID_Cliente],Clientes[Provincia]),", Argentina")</f>
        <v>Córdoba, Argentina</v>
      </c>
      <c r="M286" s="20" t="str">
        <f t="array" ref="M286">_xlfn.XLOOKUP(F286,Metodos_De_Pago[ID_Metodo],Metodos_De_Pago[Metodo])</f>
        <v>Transferencia</v>
      </c>
      <c r="N286" s="20" t="str">
        <f t="shared" si="2"/>
        <v>2024 08</v>
      </c>
    </row>
    <row r="287" ht="22.5" customHeight="1">
      <c r="A287" s="12">
        <f>IFERROR(__xludf.DUMMYFUNCTION("""COMPUTED_VALUE"""),333.0)</f>
        <v>333</v>
      </c>
      <c r="B287" s="13">
        <f>IFERROR(__xludf.DUMMYFUNCTION("""COMPUTED_VALUE"""),45506.0)</f>
        <v>45506</v>
      </c>
      <c r="C287" s="12">
        <f>IFERROR(__xludf.DUMMYFUNCTION("""COMPUTED_VALUE"""),26.0)</f>
        <v>26</v>
      </c>
      <c r="D287" s="12">
        <f>IFERROR(__xludf.DUMMYFUNCTION("""COMPUTED_VALUE"""),35.0)</f>
        <v>35</v>
      </c>
      <c r="E287" s="12">
        <f>IFERROR(__xludf.DUMMYFUNCTION("""COMPUTED_VALUE"""),1.0)</f>
        <v>1</v>
      </c>
      <c r="F287" s="12">
        <f>IFERROR(__xludf.DUMMYFUNCTION("""COMPUTED_VALUE"""),1.0)</f>
        <v>1</v>
      </c>
      <c r="G287" s="15" t="str">
        <f>IFERROR(__xludf.DUMMYFUNCTION("""COMPUTED_VALUE"""),"Completa")</f>
        <v>Completa</v>
      </c>
      <c r="H287" s="16" t="str">
        <f t="array" ref="H287">_xlfn.XLOOKUP(D287,Productos[ID_Producto],Productos[Nombre_Producto])</f>
        <v>Arroz</v>
      </c>
      <c r="I287" s="17">
        <f t="array" ref="I287">_xlfn.XLOOKUP(D287,Productos[ID_Producto],Productos[Precio_Unitario])</f>
        <v>4.25</v>
      </c>
      <c r="J287" s="17">
        <f t="shared" si="1"/>
        <v>4.25</v>
      </c>
      <c r="K287" s="16" t="str">
        <f t="array" ref="K287">_xlfn.XLOOKUP(C287,Clientes[ID_Cliente],Clientes[Provincia])</f>
        <v>Córdoba</v>
      </c>
      <c r="L287" s="16" t="str">
        <f t="array" ref="L287">CONCATENATE(_xlfn.XLOOKUP(C287,Clientes[ID_Cliente],Clientes[Provincia]),", Argentina")</f>
        <v>Córdoba, Argentina</v>
      </c>
      <c r="M287" s="20" t="str">
        <f t="array" ref="M287">_xlfn.XLOOKUP(F287,Metodos_De_Pago[ID_Metodo],Metodos_De_Pago[Metodo])</f>
        <v>Efectivo</v>
      </c>
      <c r="N287" s="20" t="str">
        <f t="shared" si="2"/>
        <v>2024 08</v>
      </c>
    </row>
    <row r="288" ht="22.5" customHeight="1">
      <c r="A288" s="12">
        <f>IFERROR(__xludf.DUMMYFUNCTION("""COMPUTED_VALUE"""),1937.0)</f>
        <v>1937</v>
      </c>
      <c r="B288" s="13">
        <f>IFERROR(__xludf.DUMMYFUNCTION("""COMPUTED_VALUE"""),45507.0)</f>
        <v>45507</v>
      </c>
      <c r="C288" s="12">
        <f>IFERROR(__xludf.DUMMYFUNCTION("""COMPUTED_VALUE"""),326.0)</f>
        <v>326</v>
      </c>
      <c r="D288" s="12">
        <f>IFERROR(__xludf.DUMMYFUNCTION("""COMPUTED_VALUE"""),25.0)</f>
        <v>25</v>
      </c>
      <c r="E288" s="12">
        <f>IFERROR(__xludf.DUMMYFUNCTION("""COMPUTED_VALUE"""),1.0)</f>
        <v>1</v>
      </c>
      <c r="F288" s="12">
        <f>IFERROR(__xludf.DUMMYFUNCTION("""COMPUTED_VALUE"""),1.0)</f>
        <v>1</v>
      </c>
      <c r="G288" s="15" t="str">
        <f>IFERROR(__xludf.DUMMYFUNCTION("""COMPUTED_VALUE"""),"Completa")</f>
        <v>Completa</v>
      </c>
      <c r="H288" s="16" t="str">
        <f t="array" ref="H288">_xlfn.XLOOKUP(D288,Productos[ID_Producto],Productos[Nombre_Producto])</f>
        <v>Pizza congelada</v>
      </c>
      <c r="I288" s="17">
        <f t="array" ref="I288">_xlfn.XLOOKUP(D288,Productos[ID_Producto],Productos[Precio_Unitario])</f>
        <v>15.45</v>
      </c>
      <c r="J288" s="17">
        <f t="shared" si="1"/>
        <v>15.45</v>
      </c>
      <c r="K288" s="16" t="str">
        <f t="array" ref="K288">_xlfn.XLOOKUP(C288,Clientes[ID_Cliente],Clientes[Provincia])</f>
        <v>San Luis</v>
      </c>
      <c r="L288" s="16" t="str">
        <f t="array" ref="L288">CONCATENATE(_xlfn.XLOOKUP(C288,Clientes[ID_Cliente],Clientes[Provincia]),", Argentina")</f>
        <v>San Luis, Argentina</v>
      </c>
      <c r="M288" s="20" t="str">
        <f t="array" ref="M288">_xlfn.XLOOKUP(F288,Metodos_De_Pago[ID_Metodo],Metodos_De_Pago[Metodo])</f>
        <v>Efectivo</v>
      </c>
      <c r="N288" s="20" t="str">
        <f t="shared" si="2"/>
        <v>2024 08</v>
      </c>
    </row>
    <row r="289" ht="22.5" customHeight="1">
      <c r="A289" s="12">
        <f>IFERROR(__xludf.DUMMYFUNCTION("""COMPUTED_VALUE"""),2046.0)</f>
        <v>2046</v>
      </c>
      <c r="B289" s="13">
        <f>IFERROR(__xludf.DUMMYFUNCTION("""COMPUTED_VALUE"""),45507.0)</f>
        <v>45507</v>
      </c>
      <c r="C289" s="12">
        <f>IFERROR(__xludf.DUMMYFUNCTION("""COMPUTED_VALUE"""),13.0)</f>
        <v>13</v>
      </c>
      <c r="D289" s="12">
        <f>IFERROR(__xludf.DUMMYFUNCTION("""COMPUTED_VALUE"""),22.0)</f>
        <v>22</v>
      </c>
      <c r="E289" s="12">
        <f>IFERROR(__xludf.DUMMYFUNCTION("""COMPUTED_VALUE"""),1.0)</f>
        <v>1</v>
      </c>
      <c r="F289" s="12">
        <f>IFERROR(__xludf.DUMMYFUNCTION("""COMPUTED_VALUE"""),5.0)</f>
        <v>5</v>
      </c>
      <c r="G289" s="15" t="str">
        <f>IFERROR(__xludf.DUMMYFUNCTION("""COMPUTED_VALUE"""),"Completa")</f>
        <v>Completa</v>
      </c>
      <c r="H289" s="16" t="str">
        <f t="array" ref="H289">_xlfn.XLOOKUP(D289,Productos[ID_Producto],Productos[Nombre_Producto])</f>
        <v>Cebolla</v>
      </c>
      <c r="I289" s="17">
        <f t="array" ref="I289">_xlfn.XLOOKUP(D289,Productos[ID_Producto],Productos[Precio_Unitario])</f>
        <v>4.21</v>
      </c>
      <c r="J289" s="17">
        <f t="shared" si="1"/>
        <v>4.21</v>
      </c>
      <c r="K289" s="16" t="str">
        <f t="array" ref="K289">_xlfn.XLOOKUP(C289,Clientes[ID_Cliente],Clientes[Provincia])</f>
        <v>Córdoba</v>
      </c>
      <c r="L289" s="16" t="str">
        <f t="array" ref="L289">CONCATENATE(_xlfn.XLOOKUP(C289,Clientes[ID_Cliente],Clientes[Provincia]),", Argentina")</f>
        <v>Córdoba, Argentina</v>
      </c>
      <c r="M289" s="20" t="str">
        <f t="array" ref="M289">_xlfn.XLOOKUP(F289,Metodos_De_Pago[ID_Metodo],Metodos_De_Pago[Metodo])</f>
        <v>Transferencia</v>
      </c>
      <c r="N289" s="20" t="str">
        <f t="shared" si="2"/>
        <v>2024 08</v>
      </c>
    </row>
    <row r="290" ht="22.5" customHeight="1">
      <c r="A290" s="12">
        <f>IFERROR(__xludf.DUMMYFUNCTION("""COMPUTED_VALUE"""),1604.0)</f>
        <v>1604</v>
      </c>
      <c r="B290" s="13">
        <f>IFERROR(__xludf.DUMMYFUNCTION("""COMPUTED_VALUE"""),45509.0)</f>
        <v>45509</v>
      </c>
      <c r="C290" s="12">
        <f>IFERROR(__xludf.DUMMYFUNCTION("""COMPUTED_VALUE"""),1.0)</f>
        <v>1</v>
      </c>
      <c r="D290" s="12">
        <f>IFERROR(__xludf.DUMMYFUNCTION("""COMPUTED_VALUE"""),15.0)</f>
        <v>15</v>
      </c>
      <c r="E290" s="12">
        <f>IFERROR(__xludf.DUMMYFUNCTION("""COMPUTED_VALUE"""),1.0)</f>
        <v>1</v>
      </c>
      <c r="F290" s="12">
        <f>IFERROR(__xludf.DUMMYFUNCTION("""COMPUTED_VALUE"""),5.0)</f>
        <v>5</v>
      </c>
      <c r="G290" s="15" t="str">
        <f>IFERROR(__xludf.DUMMYFUNCTION("""COMPUTED_VALUE"""),"Completa")</f>
        <v>Completa</v>
      </c>
      <c r="H290" s="16" t="str">
        <f t="array" ref="H290">_xlfn.XLOOKUP(D290,Productos[ID_Producto],Productos[Nombre_Producto])</f>
        <v>Medialunas</v>
      </c>
      <c r="I290" s="17">
        <f t="array" ref="I290">_xlfn.XLOOKUP(D290,Productos[ID_Producto],Productos[Precio_Unitario])</f>
        <v>3.51</v>
      </c>
      <c r="J290" s="17">
        <f t="shared" si="1"/>
        <v>3.51</v>
      </c>
      <c r="K290" s="16" t="str">
        <f t="array" ref="K290">_xlfn.XLOOKUP(C290,Clientes[ID_Cliente],Clientes[Provincia])</f>
        <v>Neuquén</v>
      </c>
      <c r="L290" s="16" t="str">
        <f t="array" ref="L290">CONCATENATE(_xlfn.XLOOKUP(C290,Clientes[ID_Cliente],Clientes[Provincia]),", Argentina")</f>
        <v>Neuquén, Argentina</v>
      </c>
      <c r="M290" s="20" t="str">
        <f t="array" ref="M290">_xlfn.XLOOKUP(F290,Metodos_De_Pago[ID_Metodo],Metodos_De_Pago[Metodo])</f>
        <v>Transferencia</v>
      </c>
      <c r="N290" s="20" t="str">
        <f t="shared" si="2"/>
        <v>2024 08</v>
      </c>
    </row>
    <row r="291" ht="22.5" customHeight="1">
      <c r="A291" s="12">
        <f>IFERROR(__xludf.DUMMYFUNCTION("""COMPUTED_VALUE"""),2187.0)</f>
        <v>2187</v>
      </c>
      <c r="B291" s="13">
        <f>IFERROR(__xludf.DUMMYFUNCTION("""COMPUTED_VALUE"""),45509.0)</f>
        <v>45509</v>
      </c>
      <c r="C291" s="12">
        <f>IFERROR(__xludf.DUMMYFUNCTION("""COMPUTED_VALUE"""),69.0)</f>
        <v>69</v>
      </c>
      <c r="D291" s="12">
        <f>IFERROR(__xludf.DUMMYFUNCTION("""COMPUTED_VALUE"""),29.0)</f>
        <v>29</v>
      </c>
      <c r="E291" s="12">
        <f>IFERROR(__xludf.DUMMYFUNCTION("""COMPUTED_VALUE"""),1.0)</f>
        <v>1</v>
      </c>
      <c r="F291" s="12">
        <f>IFERROR(__xludf.DUMMYFUNCTION("""COMPUTED_VALUE"""),1.0)</f>
        <v>1</v>
      </c>
      <c r="G291" s="15" t="str">
        <f>IFERROR(__xludf.DUMMYFUNCTION("""COMPUTED_VALUE"""),"Completa")</f>
        <v>Completa</v>
      </c>
      <c r="H291" s="16" t="str">
        <f t="array" ref="H291">_xlfn.XLOOKUP(D291,Productos[ID_Producto],Productos[Nombre_Producto])</f>
        <v>Cerveza</v>
      </c>
      <c r="I291" s="17">
        <f t="array" ref="I291">_xlfn.XLOOKUP(D291,Productos[ID_Producto],Productos[Precio_Unitario])</f>
        <v>11.54</v>
      </c>
      <c r="J291" s="17">
        <f t="shared" si="1"/>
        <v>11.54</v>
      </c>
      <c r="K291" s="16" t="str">
        <f t="array" ref="K291">_xlfn.XLOOKUP(C291,Clientes[ID_Cliente],Clientes[Provincia])</f>
        <v>San Luis</v>
      </c>
      <c r="L291" s="16" t="str">
        <f t="array" ref="L291">CONCATENATE(_xlfn.XLOOKUP(C291,Clientes[ID_Cliente],Clientes[Provincia]),", Argentina")</f>
        <v>San Luis, Argentina</v>
      </c>
      <c r="M291" s="20" t="str">
        <f t="array" ref="M291">_xlfn.XLOOKUP(F291,Metodos_De_Pago[ID_Metodo],Metodos_De_Pago[Metodo])</f>
        <v>Efectivo</v>
      </c>
      <c r="N291" s="20" t="str">
        <f t="shared" si="2"/>
        <v>2024 08</v>
      </c>
    </row>
    <row r="292" ht="22.5" customHeight="1">
      <c r="A292" s="12">
        <f>IFERROR(__xludf.DUMMYFUNCTION("""COMPUTED_VALUE"""),94.0)</f>
        <v>94</v>
      </c>
      <c r="B292" s="13">
        <f>IFERROR(__xludf.DUMMYFUNCTION("""COMPUTED_VALUE"""),45510.0)</f>
        <v>45510</v>
      </c>
      <c r="C292" s="12">
        <f>IFERROR(__xludf.DUMMYFUNCTION("""COMPUTED_VALUE"""),174.0)</f>
        <v>174</v>
      </c>
      <c r="D292" s="12">
        <f>IFERROR(__xludf.DUMMYFUNCTION("""COMPUTED_VALUE"""),31.0)</f>
        <v>31</v>
      </c>
      <c r="E292" s="12">
        <f>IFERROR(__xludf.DUMMYFUNCTION("""COMPUTED_VALUE"""),1.0)</f>
        <v>1</v>
      </c>
      <c r="F292" s="12">
        <f>IFERROR(__xludf.DUMMYFUNCTION("""COMPUTED_VALUE"""),1.0)</f>
        <v>1</v>
      </c>
      <c r="G292" s="15" t="str">
        <f>IFERROR(__xludf.DUMMYFUNCTION("""COMPUTED_VALUE"""),"Completa")</f>
        <v>Completa</v>
      </c>
      <c r="H292" s="16" t="str">
        <f t="array" ref="H292">_xlfn.XLOOKUP(D292,Productos[ID_Producto],Productos[Nombre_Producto])</f>
        <v>Galletitas de agua</v>
      </c>
      <c r="I292" s="17">
        <f t="array" ref="I292">_xlfn.XLOOKUP(D292,Productos[ID_Producto],Productos[Precio_Unitario])</f>
        <v>5.24</v>
      </c>
      <c r="J292" s="17">
        <f t="shared" si="1"/>
        <v>5.24</v>
      </c>
      <c r="K292" s="16" t="str">
        <f t="array" ref="K292">_xlfn.XLOOKUP(C292,Clientes[ID_Cliente],Clientes[Provincia])</f>
        <v>Neuquén</v>
      </c>
      <c r="L292" s="16" t="str">
        <f t="array" ref="L292">CONCATENATE(_xlfn.XLOOKUP(C292,Clientes[ID_Cliente],Clientes[Provincia]),", Argentina")</f>
        <v>Neuquén, Argentina</v>
      </c>
      <c r="M292" s="20" t="str">
        <f t="array" ref="M292">_xlfn.XLOOKUP(F292,Metodos_De_Pago[ID_Metodo],Metodos_De_Pago[Metodo])</f>
        <v>Efectivo</v>
      </c>
      <c r="N292" s="20" t="str">
        <f t="shared" si="2"/>
        <v>2024 08</v>
      </c>
    </row>
    <row r="293" ht="22.5" customHeight="1">
      <c r="A293" s="12">
        <f>IFERROR(__xludf.DUMMYFUNCTION("""COMPUTED_VALUE"""),1229.0)</f>
        <v>1229</v>
      </c>
      <c r="B293" s="13">
        <f>IFERROR(__xludf.DUMMYFUNCTION("""COMPUTED_VALUE"""),45510.0)</f>
        <v>45510</v>
      </c>
      <c r="C293" s="12">
        <f>IFERROR(__xludf.DUMMYFUNCTION("""COMPUTED_VALUE"""),107.0)</f>
        <v>107</v>
      </c>
      <c r="D293" s="12">
        <f>IFERROR(__xludf.DUMMYFUNCTION("""COMPUTED_VALUE"""),22.0)</f>
        <v>22</v>
      </c>
      <c r="E293" s="12">
        <f>IFERROR(__xludf.DUMMYFUNCTION("""COMPUTED_VALUE"""),1.0)</f>
        <v>1</v>
      </c>
      <c r="F293" s="12">
        <f>IFERROR(__xludf.DUMMYFUNCTION("""COMPUTED_VALUE"""),4.0)</f>
        <v>4</v>
      </c>
      <c r="G293" s="15" t="str">
        <f>IFERROR(__xludf.DUMMYFUNCTION("""COMPUTED_VALUE"""),"Cancelada")</f>
        <v>Cancelada</v>
      </c>
      <c r="H293" s="16" t="str">
        <f t="array" ref="H293">_xlfn.XLOOKUP(D293,Productos[ID_Producto],Productos[Nombre_Producto])</f>
        <v>Cebolla</v>
      </c>
      <c r="I293" s="17">
        <f t="array" ref="I293">_xlfn.XLOOKUP(D293,Productos[ID_Producto],Productos[Precio_Unitario])</f>
        <v>4.21</v>
      </c>
      <c r="J293" s="17">
        <f t="shared" si="1"/>
        <v>4.21</v>
      </c>
      <c r="K293" s="16" t="str">
        <f t="array" ref="K293">_xlfn.XLOOKUP(C293,Clientes[ID_Cliente],Clientes[Provincia])</f>
        <v>Neuquén</v>
      </c>
      <c r="L293" s="16" t="str">
        <f t="array" ref="L293">CONCATENATE(_xlfn.XLOOKUP(C293,Clientes[ID_Cliente],Clientes[Provincia]),", Argentina")</f>
        <v>Neuquén, Argentina</v>
      </c>
      <c r="M293" s="20" t="str">
        <f t="array" ref="M293">_xlfn.XLOOKUP(F293,Metodos_De_Pago[ID_Metodo],Metodos_De_Pago[Metodo])</f>
        <v>Mercado Pago</v>
      </c>
      <c r="N293" s="20" t="str">
        <f t="shared" si="2"/>
        <v>2024 08</v>
      </c>
    </row>
    <row r="294" ht="22.5" customHeight="1">
      <c r="A294" s="12">
        <f>IFERROR(__xludf.DUMMYFUNCTION("""COMPUTED_VALUE"""),398.0)</f>
        <v>398</v>
      </c>
      <c r="B294" s="13">
        <f>IFERROR(__xludf.DUMMYFUNCTION("""COMPUTED_VALUE"""),45512.0)</f>
        <v>45512</v>
      </c>
      <c r="C294" s="12">
        <f>IFERROR(__xludf.DUMMYFUNCTION("""COMPUTED_VALUE"""),123.0)</f>
        <v>123</v>
      </c>
      <c r="D294" s="12">
        <f>IFERROR(__xludf.DUMMYFUNCTION("""COMPUTED_VALUE"""),23.0)</f>
        <v>23</v>
      </c>
      <c r="E294" s="12">
        <f>IFERROR(__xludf.DUMMYFUNCTION("""COMPUTED_VALUE"""),1.0)</f>
        <v>1</v>
      </c>
      <c r="F294" s="12">
        <f>IFERROR(__xludf.DUMMYFUNCTION("""COMPUTED_VALUE"""),1.0)</f>
        <v>1</v>
      </c>
      <c r="G294" s="15" t="str">
        <f>IFERROR(__xludf.DUMMYFUNCTION("""COMPUTED_VALUE"""),"Pendiente")</f>
        <v>Pendiente</v>
      </c>
      <c r="H294" s="16" t="str">
        <f t="array" ref="H294">_xlfn.XLOOKUP(D294,Productos[ID_Producto],Productos[Nombre_Producto])</f>
        <v>Papas fritas</v>
      </c>
      <c r="I294" s="17">
        <f t="array" ref="I294">_xlfn.XLOOKUP(D294,Productos[ID_Producto],Productos[Precio_Unitario])</f>
        <v>8.23</v>
      </c>
      <c r="J294" s="17">
        <f t="shared" si="1"/>
        <v>8.23</v>
      </c>
      <c r="K294" s="16" t="str">
        <f t="array" ref="K294">_xlfn.XLOOKUP(C294,Clientes[ID_Cliente],Clientes[Provincia])</f>
        <v>Neuquén</v>
      </c>
      <c r="L294" s="16" t="str">
        <f t="array" ref="L294">CONCATENATE(_xlfn.XLOOKUP(C294,Clientes[ID_Cliente],Clientes[Provincia]),", Argentina")</f>
        <v>Neuquén, Argentina</v>
      </c>
      <c r="M294" s="20" t="str">
        <f t="array" ref="M294">_xlfn.XLOOKUP(F294,Metodos_De_Pago[ID_Metodo],Metodos_De_Pago[Metodo])</f>
        <v>Efectivo</v>
      </c>
      <c r="N294" s="20" t="str">
        <f t="shared" si="2"/>
        <v>2024 08</v>
      </c>
    </row>
    <row r="295" ht="22.5" customHeight="1">
      <c r="A295" s="12">
        <f>IFERROR(__xludf.DUMMYFUNCTION("""COMPUTED_VALUE"""),2049.0)</f>
        <v>2049</v>
      </c>
      <c r="B295" s="13">
        <f>IFERROR(__xludf.DUMMYFUNCTION("""COMPUTED_VALUE"""),45512.0)</f>
        <v>45512</v>
      </c>
      <c r="C295" s="12">
        <f>IFERROR(__xludf.DUMMYFUNCTION("""COMPUTED_VALUE"""),76.0)</f>
        <v>76</v>
      </c>
      <c r="D295" s="12">
        <f>IFERROR(__xludf.DUMMYFUNCTION("""COMPUTED_VALUE"""),9.0)</f>
        <v>9</v>
      </c>
      <c r="E295" s="12">
        <f>IFERROR(__xludf.DUMMYFUNCTION("""COMPUTED_VALUE"""),1.0)</f>
        <v>1</v>
      </c>
      <c r="F295" s="12">
        <f>IFERROR(__xludf.DUMMYFUNCTION("""COMPUTED_VALUE"""),3.0)</f>
        <v>3</v>
      </c>
      <c r="G295" s="15" t="str">
        <f>IFERROR(__xludf.DUMMYFUNCTION("""COMPUTED_VALUE"""),"Completa")</f>
        <v>Completa</v>
      </c>
      <c r="H295" s="16" t="str">
        <f t="array" ref="H295">_xlfn.XLOOKUP(D295,Productos[ID_Producto],Productos[Nombre_Producto])</f>
        <v>Pollo</v>
      </c>
      <c r="I295" s="17">
        <f t="array" ref="I295">_xlfn.XLOOKUP(D295,Productos[ID_Producto],Productos[Precio_Unitario])</f>
        <v>18.56</v>
      </c>
      <c r="J295" s="17">
        <f t="shared" si="1"/>
        <v>18.56</v>
      </c>
      <c r="K295" s="16" t="str">
        <f t="array" ref="K295">_xlfn.XLOOKUP(C295,Clientes[ID_Cliente],Clientes[Provincia])</f>
        <v>Córdoba</v>
      </c>
      <c r="L295" s="16" t="str">
        <f t="array" ref="L295">CONCATENATE(_xlfn.XLOOKUP(C295,Clientes[ID_Cliente],Clientes[Provincia]),", Argentina")</f>
        <v>Córdoba, Argentina</v>
      </c>
      <c r="M295" s="20" t="str">
        <f t="array" ref="M295">_xlfn.XLOOKUP(F295,Metodos_De_Pago[ID_Metodo],Metodos_De_Pago[Metodo])</f>
        <v>Tarjeta de Débito</v>
      </c>
      <c r="N295" s="20" t="str">
        <f t="shared" si="2"/>
        <v>2024 08</v>
      </c>
    </row>
    <row r="296" ht="22.5" customHeight="1">
      <c r="A296" s="12">
        <f>IFERROR(__xludf.DUMMYFUNCTION("""COMPUTED_VALUE"""),502.0)</f>
        <v>502</v>
      </c>
      <c r="B296" s="13">
        <f>IFERROR(__xludf.DUMMYFUNCTION("""COMPUTED_VALUE"""),45514.0)</f>
        <v>45514</v>
      </c>
      <c r="C296" s="12">
        <f>IFERROR(__xludf.DUMMYFUNCTION("""COMPUTED_VALUE"""),231.0)</f>
        <v>231</v>
      </c>
      <c r="D296" s="12">
        <f>IFERROR(__xludf.DUMMYFUNCTION("""COMPUTED_VALUE"""),23.0)</f>
        <v>23</v>
      </c>
      <c r="E296" s="12">
        <f>IFERROR(__xludf.DUMMYFUNCTION("""COMPUTED_VALUE"""),1.0)</f>
        <v>1</v>
      </c>
      <c r="F296" s="12">
        <f>IFERROR(__xludf.DUMMYFUNCTION("""COMPUTED_VALUE"""),4.0)</f>
        <v>4</v>
      </c>
      <c r="G296" s="15" t="str">
        <f>IFERROR(__xludf.DUMMYFUNCTION("""COMPUTED_VALUE"""),"Completa")</f>
        <v>Completa</v>
      </c>
      <c r="H296" s="16" t="str">
        <f t="array" ref="H296">_xlfn.XLOOKUP(D296,Productos[ID_Producto],Productos[Nombre_Producto])</f>
        <v>Papas fritas</v>
      </c>
      <c r="I296" s="17">
        <f t="array" ref="I296">_xlfn.XLOOKUP(D296,Productos[ID_Producto],Productos[Precio_Unitario])</f>
        <v>8.23</v>
      </c>
      <c r="J296" s="17">
        <f t="shared" si="1"/>
        <v>8.23</v>
      </c>
      <c r="K296" s="16" t="str">
        <f t="array" ref="K296">_xlfn.XLOOKUP(C296,Clientes[ID_Cliente],Clientes[Provincia])</f>
        <v>Neuquén</v>
      </c>
      <c r="L296" s="16" t="str">
        <f t="array" ref="L296">CONCATENATE(_xlfn.XLOOKUP(C296,Clientes[ID_Cliente],Clientes[Provincia]),", Argentina")</f>
        <v>Neuquén, Argentina</v>
      </c>
      <c r="M296" s="20" t="str">
        <f t="array" ref="M296">_xlfn.XLOOKUP(F296,Metodos_De_Pago[ID_Metodo],Metodos_De_Pago[Metodo])</f>
        <v>Mercado Pago</v>
      </c>
      <c r="N296" s="20" t="str">
        <f t="shared" si="2"/>
        <v>2024 08</v>
      </c>
    </row>
    <row r="297" ht="22.5" customHeight="1">
      <c r="A297" s="12">
        <f>IFERROR(__xludf.DUMMYFUNCTION("""COMPUTED_VALUE"""),2324.0)</f>
        <v>2324</v>
      </c>
      <c r="B297" s="13">
        <f>IFERROR(__xludf.DUMMYFUNCTION("""COMPUTED_VALUE"""),45514.0)</f>
        <v>45514</v>
      </c>
      <c r="C297" s="12">
        <f>IFERROR(__xludf.DUMMYFUNCTION("""COMPUTED_VALUE"""),235.0)</f>
        <v>235</v>
      </c>
      <c r="D297" s="12">
        <f>IFERROR(__xludf.DUMMYFUNCTION("""COMPUTED_VALUE"""),30.0)</f>
        <v>30</v>
      </c>
      <c r="E297" s="12">
        <f>IFERROR(__xludf.DUMMYFUNCTION("""COMPUTED_VALUE"""),1.0)</f>
        <v>1</v>
      </c>
      <c r="F297" s="12">
        <f>IFERROR(__xludf.DUMMYFUNCTION("""COMPUTED_VALUE"""),4.0)</f>
        <v>4</v>
      </c>
      <c r="G297" s="15" t="str">
        <f>IFERROR(__xludf.DUMMYFUNCTION("""COMPUTED_VALUE"""),"Completa")</f>
        <v>Completa</v>
      </c>
      <c r="H297" s="16" t="str">
        <f t="array" ref="H297">_xlfn.XLOOKUP(D297,Productos[ID_Producto],Productos[Nombre_Producto])</f>
        <v>Vino tinto</v>
      </c>
      <c r="I297" s="17">
        <f t="array" ref="I297">_xlfn.XLOOKUP(D297,Productos[ID_Producto],Productos[Precio_Unitario])</f>
        <v>13.54</v>
      </c>
      <c r="J297" s="17">
        <f t="shared" si="1"/>
        <v>13.54</v>
      </c>
      <c r="K297" s="16" t="str">
        <f t="array" ref="K297">_xlfn.XLOOKUP(C297,Clientes[ID_Cliente],Clientes[Provincia])</f>
        <v>Chaco</v>
      </c>
      <c r="L297" s="16" t="str">
        <f t="array" ref="L297">CONCATENATE(_xlfn.XLOOKUP(C297,Clientes[ID_Cliente],Clientes[Provincia]),", Argentina")</f>
        <v>Chaco, Argentina</v>
      </c>
      <c r="M297" s="20" t="str">
        <f t="array" ref="M297">_xlfn.XLOOKUP(F297,Metodos_De_Pago[ID_Metodo],Metodos_De_Pago[Metodo])</f>
        <v>Mercado Pago</v>
      </c>
      <c r="N297" s="20" t="str">
        <f t="shared" si="2"/>
        <v>2024 08</v>
      </c>
    </row>
    <row r="298" ht="22.5" customHeight="1">
      <c r="A298" s="12">
        <f>IFERROR(__xludf.DUMMYFUNCTION("""COMPUTED_VALUE"""),2702.0)</f>
        <v>2702</v>
      </c>
      <c r="B298" s="13">
        <f>IFERROR(__xludf.DUMMYFUNCTION("""COMPUTED_VALUE"""),45515.0)</f>
        <v>45515</v>
      </c>
      <c r="C298" s="12">
        <f>IFERROR(__xludf.DUMMYFUNCTION("""COMPUTED_VALUE"""),212.0)</f>
        <v>212</v>
      </c>
      <c r="D298" s="12">
        <f>IFERROR(__xludf.DUMMYFUNCTION("""COMPUTED_VALUE"""),3.0)</f>
        <v>3</v>
      </c>
      <c r="E298" s="12">
        <f>IFERROR(__xludf.DUMMYFUNCTION("""COMPUTED_VALUE"""),1.0)</f>
        <v>1</v>
      </c>
      <c r="F298" s="12">
        <f>IFERROR(__xludf.DUMMYFUNCTION("""COMPUTED_VALUE"""),4.0)</f>
        <v>4</v>
      </c>
      <c r="G298" s="15" t="str">
        <f>IFERROR(__xludf.DUMMYFUNCTION("""COMPUTED_VALUE"""),"Completa")</f>
        <v>Completa</v>
      </c>
      <c r="H298" s="16" t="str">
        <f t="array" ref="H298">_xlfn.XLOOKUP(D298,Productos[ID_Producto],Productos[Nombre_Producto])</f>
        <v>Queso cremoso</v>
      </c>
      <c r="I298" s="17">
        <f t="array" ref="I298">_xlfn.XLOOKUP(D298,Productos[ID_Producto],Productos[Precio_Unitario])</f>
        <v>17.23</v>
      </c>
      <c r="J298" s="17">
        <f t="shared" si="1"/>
        <v>17.23</v>
      </c>
      <c r="K298" s="16" t="str">
        <f t="array" ref="K298">_xlfn.XLOOKUP(C298,Clientes[ID_Cliente],Clientes[Provincia])</f>
        <v>Buenos Aires</v>
      </c>
      <c r="L298" s="16" t="str">
        <f t="array" ref="L298">CONCATENATE(_xlfn.XLOOKUP(C298,Clientes[ID_Cliente],Clientes[Provincia]),", Argentina")</f>
        <v>Buenos Aires, Argentina</v>
      </c>
      <c r="M298" s="20" t="str">
        <f t="array" ref="M298">_xlfn.XLOOKUP(F298,Metodos_De_Pago[ID_Metodo],Metodos_De_Pago[Metodo])</f>
        <v>Mercado Pago</v>
      </c>
      <c r="N298" s="20" t="str">
        <f t="shared" si="2"/>
        <v>2024 08</v>
      </c>
    </row>
    <row r="299" ht="22.5" customHeight="1">
      <c r="A299" s="12">
        <f>IFERROR(__xludf.DUMMYFUNCTION("""COMPUTED_VALUE"""),258.0)</f>
        <v>258</v>
      </c>
      <c r="B299" s="13">
        <f>IFERROR(__xludf.DUMMYFUNCTION("""COMPUTED_VALUE"""),45516.0)</f>
        <v>45516</v>
      </c>
      <c r="C299" s="12">
        <f>IFERROR(__xludf.DUMMYFUNCTION("""COMPUTED_VALUE"""),42.0)</f>
        <v>42</v>
      </c>
      <c r="D299" s="12">
        <f>IFERROR(__xludf.DUMMYFUNCTION("""COMPUTED_VALUE"""),31.0)</f>
        <v>31</v>
      </c>
      <c r="E299" s="12">
        <f>IFERROR(__xludf.DUMMYFUNCTION("""COMPUTED_VALUE"""),1.0)</f>
        <v>1</v>
      </c>
      <c r="F299" s="12">
        <f>IFERROR(__xludf.DUMMYFUNCTION("""COMPUTED_VALUE"""),4.0)</f>
        <v>4</v>
      </c>
      <c r="G299" s="15" t="str">
        <f>IFERROR(__xludf.DUMMYFUNCTION("""COMPUTED_VALUE"""),"Completa")</f>
        <v>Completa</v>
      </c>
      <c r="H299" s="16" t="str">
        <f t="array" ref="H299">_xlfn.XLOOKUP(D299,Productos[ID_Producto],Productos[Nombre_Producto])</f>
        <v>Galletitas de agua</v>
      </c>
      <c r="I299" s="17">
        <f t="array" ref="I299">_xlfn.XLOOKUP(D299,Productos[ID_Producto],Productos[Precio_Unitario])</f>
        <v>5.24</v>
      </c>
      <c r="J299" s="17">
        <f t="shared" si="1"/>
        <v>5.24</v>
      </c>
      <c r="K299" s="16" t="str">
        <f t="array" ref="K299">_xlfn.XLOOKUP(C299,Clientes[ID_Cliente],Clientes[Provincia])</f>
        <v>Neuquén</v>
      </c>
      <c r="L299" s="16" t="str">
        <f t="array" ref="L299">CONCATENATE(_xlfn.XLOOKUP(C299,Clientes[ID_Cliente],Clientes[Provincia]),", Argentina")</f>
        <v>Neuquén, Argentina</v>
      </c>
      <c r="M299" s="20" t="str">
        <f t="array" ref="M299">_xlfn.XLOOKUP(F299,Metodos_De_Pago[ID_Metodo],Metodos_De_Pago[Metodo])</f>
        <v>Mercado Pago</v>
      </c>
      <c r="N299" s="20" t="str">
        <f t="shared" si="2"/>
        <v>2024 08</v>
      </c>
    </row>
    <row r="300" ht="22.5" customHeight="1">
      <c r="A300" s="12">
        <f>IFERROR(__xludf.DUMMYFUNCTION("""COMPUTED_VALUE"""),1499.0)</f>
        <v>1499</v>
      </c>
      <c r="B300" s="13">
        <f>IFERROR(__xludf.DUMMYFUNCTION("""COMPUTED_VALUE"""),45516.0)</f>
        <v>45516</v>
      </c>
      <c r="C300" s="12">
        <f>IFERROR(__xludf.DUMMYFUNCTION("""COMPUTED_VALUE"""),262.0)</f>
        <v>262</v>
      </c>
      <c r="D300" s="12">
        <f>IFERROR(__xludf.DUMMYFUNCTION("""COMPUTED_VALUE"""),32.0)</f>
        <v>32</v>
      </c>
      <c r="E300" s="12">
        <f>IFERROR(__xludf.DUMMYFUNCTION("""COMPUTED_VALUE"""),1.0)</f>
        <v>1</v>
      </c>
      <c r="F300" s="12">
        <f>IFERROR(__xludf.DUMMYFUNCTION("""COMPUTED_VALUE"""),4.0)</f>
        <v>4</v>
      </c>
      <c r="G300" s="15" t="str">
        <f>IFERROR(__xludf.DUMMYFUNCTION("""COMPUTED_VALUE"""),"Pendiente")</f>
        <v>Pendiente</v>
      </c>
      <c r="H300" s="16" t="str">
        <f t="array" ref="H300">_xlfn.XLOOKUP(D300,Productos[ID_Producto],Productos[Nombre_Producto])</f>
        <v>Galletitas de chocolate</v>
      </c>
      <c r="I300" s="17">
        <f t="array" ref="I300">_xlfn.XLOOKUP(D300,Productos[ID_Producto],Productos[Precio_Unitario])</f>
        <v>6.25</v>
      </c>
      <c r="J300" s="17">
        <f t="shared" si="1"/>
        <v>6.25</v>
      </c>
      <c r="K300" s="16" t="str">
        <f t="array" ref="K300">_xlfn.XLOOKUP(C300,Clientes[ID_Cliente],Clientes[Provincia])</f>
        <v>Buenos Aires</v>
      </c>
      <c r="L300" s="16" t="str">
        <f t="array" ref="L300">CONCATENATE(_xlfn.XLOOKUP(C300,Clientes[ID_Cliente],Clientes[Provincia]),", Argentina")</f>
        <v>Buenos Aires, Argentina</v>
      </c>
      <c r="M300" s="20" t="str">
        <f t="array" ref="M300">_xlfn.XLOOKUP(F300,Metodos_De_Pago[ID_Metodo],Metodos_De_Pago[Metodo])</f>
        <v>Mercado Pago</v>
      </c>
      <c r="N300" s="20" t="str">
        <f t="shared" si="2"/>
        <v>2024 08</v>
      </c>
    </row>
    <row r="301" ht="22.5" customHeight="1">
      <c r="A301" s="12">
        <f>IFERROR(__xludf.DUMMYFUNCTION("""COMPUTED_VALUE"""),2161.0)</f>
        <v>2161</v>
      </c>
      <c r="B301" s="13">
        <f>IFERROR(__xludf.DUMMYFUNCTION("""COMPUTED_VALUE"""),45516.0)</f>
        <v>45516</v>
      </c>
      <c r="C301" s="12">
        <f>IFERROR(__xludf.DUMMYFUNCTION("""COMPUTED_VALUE"""),280.0)</f>
        <v>280</v>
      </c>
      <c r="D301" s="12">
        <f>IFERROR(__xludf.DUMMYFUNCTION("""COMPUTED_VALUE"""),16.0)</f>
        <v>16</v>
      </c>
      <c r="E301" s="12">
        <f>IFERROR(__xludf.DUMMYFUNCTION("""COMPUTED_VALUE"""),1.0)</f>
        <v>1</v>
      </c>
      <c r="F301" s="12">
        <f>IFERROR(__xludf.DUMMYFUNCTION("""COMPUTED_VALUE"""),4.0)</f>
        <v>4</v>
      </c>
      <c r="G301" s="15" t="str">
        <f>IFERROR(__xludf.DUMMYFUNCTION("""COMPUTED_VALUE"""),"Completa")</f>
        <v>Completa</v>
      </c>
      <c r="H301" s="16" t="str">
        <f t="array" ref="H301">_xlfn.XLOOKUP(D301,Productos[ID_Producto],Productos[Nombre_Producto])</f>
        <v>Tortas</v>
      </c>
      <c r="I301" s="17">
        <f t="array" ref="I301">_xlfn.XLOOKUP(D301,Productos[ID_Producto],Productos[Precio_Unitario])</f>
        <v>15.23</v>
      </c>
      <c r="J301" s="17">
        <f t="shared" si="1"/>
        <v>15.23</v>
      </c>
      <c r="K301" s="16" t="str">
        <f t="array" ref="K301">_xlfn.XLOOKUP(C301,Clientes[ID_Cliente],Clientes[Provincia])</f>
        <v>Córdoba</v>
      </c>
      <c r="L301" s="16" t="str">
        <f t="array" ref="L301">CONCATENATE(_xlfn.XLOOKUP(C301,Clientes[ID_Cliente],Clientes[Provincia]),", Argentina")</f>
        <v>Córdoba, Argentina</v>
      </c>
      <c r="M301" s="20" t="str">
        <f t="array" ref="M301">_xlfn.XLOOKUP(F301,Metodos_De_Pago[ID_Metodo],Metodos_De_Pago[Metodo])</f>
        <v>Mercado Pago</v>
      </c>
      <c r="N301" s="20" t="str">
        <f t="shared" si="2"/>
        <v>2024 08</v>
      </c>
    </row>
    <row r="302" ht="22.5" customHeight="1">
      <c r="A302" s="12">
        <f>IFERROR(__xludf.DUMMYFUNCTION("""COMPUTED_VALUE"""),2394.0)</f>
        <v>2394</v>
      </c>
      <c r="B302" s="13">
        <f>IFERROR(__xludf.DUMMYFUNCTION("""COMPUTED_VALUE"""),45516.0)</f>
        <v>45516</v>
      </c>
      <c r="C302" s="12">
        <f>IFERROR(__xludf.DUMMYFUNCTION("""COMPUTED_VALUE"""),94.0)</f>
        <v>94</v>
      </c>
      <c r="D302" s="12">
        <f>IFERROR(__xludf.DUMMYFUNCTION("""COMPUTED_VALUE"""),34.0)</f>
        <v>34</v>
      </c>
      <c r="E302" s="12">
        <f>IFERROR(__xludf.DUMMYFUNCTION("""COMPUTED_VALUE"""),1.0)</f>
        <v>1</v>
      </c>
      <c r="F302" s="12">
        <f>IFERROR(__xludf.DUMMYFUNCTION("""COMPUTED_VALUE"""),2.0)</f>
        <v>2</v>
      </c>
      <c r="G302" s="15" t="str">
        <f>IFERROR(__xludf.DUMMYFUNCTION("""COMPUTED_VALUE"""),"Completa")</f>
        <v>Completa</v>
      </c>
      <c r="H302" s="16" t="str">
        <f t="array" ref="H302">_xlfn.XLOOKUP(D302,Productos[ID_Producto],Productos[Nombre_Producto])</f>
        <v>Maníes</v>
      </c>
      <c r="I302" s="17">
        <f t="array" ref="I302">_xlfn.XLOOKUP(D302,Productos[ID_Producto],Productos[Precio_Unitario])</f>
        <v>5.45</v>
      </c>
      <c r="J302" s="17">
        <f t="shared" si="1"/>
        <v>5.45</v>
      </c>
      <c r="K302" s="16" t="str">
        <f t="array" ref="K302">_xlfn.XLOOKUP(C302,Clientes[ID_Cliente],Clientes[Provincia])</f>
        <v>Córdoba</v>
      </c>
      <c r="L302" s="16" t="str">
        <f t="array" ref="L302">CONCATENATE(_xlfn.XLOOKUP(C302,Clientes[ID_Cliente],Clientes[Provincia]),", Argentina")</f>
        <v>Córdoba, Argentina</v>
      </c>
      <c r="M302" s="20" t="str">
        <f t="array" ref="M302">_xlfn.XLOOKUP(F302,Metodos_De_Pago[ID_Metodo],Metodos_De_Pago[Metodo])</f>
        <v>Tarjeta de Crédito</v>
      </c>
      <c r="N302" s="20" t="str">
        <f t="shared" si="2"/>
        <v>2024 08</v>
      </c>
    </row>
    <row r="303" ht="22.5" customHeight="1">
      <c r="A303" s="12">
        <f>IFERROR(__xludf.DUMMYFUNCTION("""COMPUTED_VALUE"""),2533.0)</f>
        <v>2533</v>
      </c>
      <c r="B303" s="13">
        <f>IFERROR(__xludf.DUMMYFUNCTION("""COMPUTED_VALUE"""),45516.0)</f>
        <v>45516</v>
      </c>
      <c r="C303" s="12">
        <f>IFERROR(__xludf.DUMMYFUNCTION("""COMPUTED_VALUE"""),12.0)</f>
        <v>12</v>
      </c>
      <c r="D303" s="12">
        <f>IFERROR(__xludf.DUMMYFUNCTION("""COMPUTED_VALUE"""),21.0)</f>
        <v>21</v>
      </c>
      <c r="E303" s="12">
        <f>IFERROR(__xludf.DUMMYFUNCTION("""COMPUTED_VALUE"""),1.0)</f>
        <v>1</v>
      </c>
      <c r="F303" s="12">
        <f>IFERROR(__xludf.DUMMYFUNCTION("""COMPUTED_VALUE"""),1.0)</f>
        <v>1</v>
      </c>
      <c r="G303" s="15" t="str">
        <f>IFERROR(__xludf.DUMMYFUNCTION("""COMPUTED_VALUE"""),"Completa")</f>
        <v>Completa</v>
      </c>
      <c r="H303" s="16" t="str">
        <f t="array" ref="H303">_xlfn.XLOOKUP(D303,Productos[ID_Producto],Productos[Nombre_Producto])</f>
        <v>Zanahorias</v>
      </c>
      <c r="I303" s="17">
        <f t="array" ref="I303">_xlfn.XLOOKUP(D303,Productos[ID_Producto],Productos[Precio_Unitario])</f>
        <v>3.25</v>
      </c>
      <c r="J303" s="17">
        <f t="shared" si="1"/>
        <v>3.25</v>
      </c>
      <c r="K303" s="16" t="str">
        <f t="array" ref="K303">_xlfn.XLOOKUP(C303,Clientes[ID_Cliente],Clientes[Provincia])</f>
        <v>Neuquén</v>
      </c>
      <c r="L303" s="16" t="str">
        <f t="array" ref="L303">CONCATENATE(_xlfn.XLOOKUP(C303,Clientes[ID_Cliente],Clientes[Provincia]),", Argentina")</f>
        <v>Neuquén, Argentina</v>
      </c>
      <c r="M303" s="20" t="str">
        <f t="array" ref="M303">_xlfn.XLOOKUP(F303,Metodos_De_Pago[ID_Metodo],Metodos_De_Pago[Metodo])</f>
        <v>Efectivo</v>
      </c>
      <c r="N303" s="20" t="str">
        <f t="shared" si="2"/>
        <v>2024 08</v>
      </c>
    </row>
    <row r="304" ht="22.5" customHeight="1">
      <c r="A304" s="12">
        <f>IFERROR(__xludf.DUMMYFUNCTION("""COMPUTED_VALUE"""),2804.0)</f>
        <v>2804</v>
      </c>
      <c r="B304" s="13">
        <f>IFERROR(__xludf.DUMMYFUNCTION("""COMPUTED_VALUE"""),45516.0)</f>
        <v>45516</v>
      </c>
      <c r="C304" s="12">
        <f>IFERROR(__xludf.DUMMYFUNCTION("""COMPUTED_VALUE"""),11.0)</f>
        <v>11</v>
      </c>
      <c r="D304" s="12">
        <f>IFERROR(__xludf.DUMMYFUNCTION("""COMPUTED_VALUE"""),1.0)</f>
        <v>1</v>
      </c>
      <c r="E304" s="12">
        <f>IFERROR(__xludf.DUMMYFUNCTION("""COMPUTED_VALUE"""),1.0)</f>
        <v>1</v>
      </c>
      <c r="F304" s="12">
        <f>IFERROR(__xludf.DUMMYFUNCTION("""COMPUTED_VALUE"""),5.0)</f>
        <v>5</v>
      </c>
      <c r="G304" s="15" t="str">
        <f>IFERROR(__xludf.DUMMYFUNCTION("""COMPUTED_VALUE"""),"Completa")</f>
        <v>Completa</v>
      </c>
      <c r="H304" s="16" t="str">
        <f t="array" ref="H304">_xlfn.XLOOKUP(D304,Productos[ID_Producto],Productos[Nombre_Producto])</f>
        <v>Leche</v>
      </c>
      <c r="I304" s="17">
        <f t="array" ref="I304">_xlfn.XLOOKUP(D304,Productos[ID_Producto],Productos[Precio_Unitario])</f>
        <v>12.24</v>
      </c>
      <c r="J304" s="17">
        <f t="shared" si="1"/>
        <v>12.24</v>
      </c>
      <c r="K304" s="16" t="str">
        <f t="array" ref="K304">_xlfn.XLOOKUP(C304,Clientes[ID_Cliente],Clientes[Provincia])</f>
        <v>Buenos Aires</v>
      </c>
      <c r="L304" s="16" t="str">
        <f t="array" ref="L304">CONCATENATE(_xlfn.XLOOKUP(C304,Clientes[ID_Cliente],Clientes[Provincia]),", Argentina")</f>
        <v>Buenos Aires, Argentina</v>
      </c>
      <c r="M304" s="20" t="str">
        <f t="array" ref="M304">_xlfn.XLOOKUP(F304,Metodos_De_Pago[ID_Metodo],Metodos_De_Pago[Metodo])</f>
        <v>Transferencia</v>
      </c>
      <c r="N304" s="20" t="str">
        <f t="shared" si="2"/>
        <v>2024 08</v>
      </c>
    </row>
    <row r="305" ht="22.5" customHeight="1">
      <c r="A305" s="12">
        <f>IFERROR(__xludf.DUMMYFUNCTION("""COMPUTED_VALUE"""),2316.0)</f>
        <v>2316</v>
      </c>
      <c r="B305" s="13">
        <f>IFERROR(__xludf.DUMMYFUNCTION("""COMPUTED_VALUE"""),45517.0)</f>
        <v>45517</v>
      </c>
      <c r="C305" s="12">
        <f>IFERROR(__xludf.DUMMYFUNCTION("""COMPUTED_VALUE"""),197.0)</f>
        <v>197</v>
      </c>
      <c r="D305" s="12">
        <f>IFERROR(__xludf.DUMMYFUNCTION("""COMPUTED_VALUE"""),11.0)</f>
        <v>11</v>
      </c>
      <c r="E305" s="12">
        <f>IFERROR(__xludf.DUMMYFUNCTION("""COMPUTED_VALUE"""),1.0)</f>
        <v>1</v>
      </c>
      <c r="F305" s="12">
        <f>IFERROR(__xludf.DUMMYFUNCTION("""COMPUTED_VALUE"""),4.0)</f>
        <v>4</v>
      </c>
      <c r="G305" s="15" t="str">
        <f>IFERROR(__xludf.DUMMYFUNCTION("""COMPUTED_VALUE"""),"Completa")</f>
        <v>Completa</v>
      </c>
      <c r="H305" s="16" t="str">
        <f t="array" ref="H305">_xlfn.XLOOKUP(D305,Productos[ID_Producto],Productos[Nombre_Producto])</f>
        <v>Salchicha</v>
      </c>
      <c r="I305" s="17">
        <f t="array" ref="I305">_xlfn.XLOOKUP(D305,Productos[ID_Producto],Productos[Precio_Unitario])</f>
        <v>11.23</v>
      </c>
      <c r="J305" s="17">
        <f t="shared" si="1"/>
        <v>11.23</v>
      </c>
      <c r="K305" s="16" t="str">
        <f t="array" ref="K305">_xlfn.XLOOKUP(C305,Clientes[ID_Cliente],Clientes[Provincia])</f>
        <v>San Luis</v>
      </c>
      <c r="L305" s="16" t="str">
        <f t="array" ref="L305">CONCATENATE(_xlfn.XLOOKUP(C305,Clientes[ID_Cliente],Clientes[Provincia]),", Argentina")</f>
        <v>San Luis, Argentina</v>
      </c>
      <c r="M305" s="20" t="str">
        <f t="array" ref="M305">_xlfn.XLOOKUP(F305,Metodos_De_Pago[ID_Metodo],Metodos_De_Pago[Metodo])</f>
        <v>Mercado Pago</v>
      </c>
      <c r="N305" s="20" t="str">
        <f t="shared" si="2"/>
        <v>2024 08</v>
      </c>
    </row>
    <row r="306" ht="22.5" customHeight="1">
      <c r="A306" s="12">
        <f>IFERROR(__xludf.DUMMYFUNCTION("""COMPUTED_VALUE"""),2329.0)</f>
        <v>2329</v>
      </c>
      <c r="B306" s="13">
        <f>IFERROR(__xludf.DUMMYFUNCTION("""COMPUTED_VALUE"""),45517.0)</f>
        <v>45517</v>
      </c>
      <c r="C306" s="12">
        <f>IFERROR(__xludf.DUMMYFUNCTION("""COMPUTED_VALUE"""),145.0)</f>
        <v>145</v>
      </c>
      <c r="D306" s="12">
        <f>IFERROR(__xludf.DUMMYFUNCTION("""COMPUTED_VALUE"""),30.0)</f>
        <v>30</v>
      </c>
      <c r="E306" s="12">
        <f>IFERROR(__xludf.DUMMYFUNCTION("""COMPUTED_VALUE"""),1.0)</f>
        <v>1</v>
      </c>
      <c r="F306" s="12">
        <f>IFERROR(__xludf.DUMMYFUNCTION("""COMPUTED_VALUE"""),5.0)</f>
        <v>5</v>
      </c>
      <c r="G306" s="15" t="str">
        <f>IFERROR(__xludf.DUMMYFUNCTION("""COMPUTED_VALUE"""),"Pendiente")</f>
        <v>Pendiente</v>
      </c>
      <c r="H306" s="16" t="str">
        <f t="array" ref="H306">_xlfn.XLOOKUP(D306,Productos[ID_Producto],Productos[Nombre_Producto])</f>
        <v>Vino tinto</v>
      </c>
      <c r="I306" s="17">
        <f t="array" ref="I306">_xlfn.XLOOKUP(D306,Productos[ID_Producto],Productos[Precio_Unitario])</f>
        <v>13.54</v>
      </c>
      <c r="J306" s="17">
        <f t="shared" si="1"/>
        <v>13.54</v>
      </c>
      <c r="K306" s="16" t="str">
        <f t="array" ref="K306">_xlfn.XLOOKUP(C306,Clientes[ID_Cliente],Clientes[Provincia])</f>
        <v>Buenos Aires</v>
      </c>
      <c r="L306" s="16" t="str">
        <f t="array" ref="L306">CONCATENATE(_xlfn.XLOOKUP(C306,Clientes[ID_Cliente],Clientes[Provincia]),", Argentina")</f>
        <v>Buenos Aires, Argentina</v>
      </c>
      <c r="M306" s="20" t="str">
        <f t="array" ref="M306">_xlfn.XLOOKUP(F306,Metodos_De_Pago[ID_Metodo],Metodos_De_Pago[Metodo])</f>
        <v>Transferencia</v>
      </c>
      <c r="N306" s="20" t="str">
        <f t="shared" si="2"/>
        <v>2024 08</v>
      </c>
    </row>
    <row r="307" ht="22.5" customHeight="1">
      <c r="A307" s="12">
        <f>IFERROR(__xludf.DUMMYFUNCTION("""COMPUTED_VALUE"""),1318.0)</f>
        <v>1318</v>
      </c>
      <c r="B307" s="13">
        <f>IFERROR(__xludf.DUMMYFUNCTION("""COMPUTED_VALUE"""),45518.0)</f>
        <v>45518</v>
      </c>
      <c r="C307" s="12">
        <f>IFERROR(__xludf.DUMMYFUNCTION("""COMPUTED_VALUE"""),219.0)</f>
        <v>219</v>
      </c>
      <c r="D307" s="12">
        <f>IFERROR(__xludf.DUMMYFUNCTION("""COMPUTED_VALUE"""),13.0)</f>
        <v>13</v>
      </c>
      <c r="E307" s="12">
        <f>IFERROR(__xludf.DUMMYFUNCTION("""COMPUTED_VALUE"""),1.0)</f>
        <v>1</v>
      </c>
      <c r="F307" s="12">
        <f>IFERROR(__xludf.DUMMYFUNCTION("""COMPUTED_VALUE"""),4.0)</f>
        <v>4</v>
      </c>
      <c r="G307" s="15" t="str">
        <f>IFERROR(__xludf.DUMMYFUNCTION("""COMPUTED_VALUE"""),"Completa")</f>
        <v>Completa</v>
      </c>
      <c r="H307" s="16" t="str">
        <f t="array" ref="H307">_xlfn.XLOOKUP(D307,Productos[ID_Producto],Productos[Nombre_Producto])</f>
        <v>Pan integral</v>
      </c>
      <c r="I307" s="17">
        <f t="array" ref="I307">_xlfn.XLOOKUP(D307,Productos[ID_Producto],Productos[Precio_Unitario])</f>
        <v>12.56</v>
      </c>
      <c r="J307" s="17">
        <f t="shared" si="1"/>
        <v>12.56</v>
      </c>
      <c r="K307" s="16" t="str">
        <f t="array" ref="K307">_xlfn.XLOOKUP(C307,Clientes[ID_Cliente],Clientes[Provincia])</f>
        <v>Neuquén</v>
      </c>
      <c r="L307" s="16" t="str">
        <f t="array" ref="L307">CONCATENATE(_xlfn.XLOOKUP(C307,Clientes[ID_Cliente],Clientes[Provincia]),", Argentina")</f>
        <v>Neuquén, Argentina</v>
      </c>
      <c r="M307" s="20" t="str">
        <f t="array" ref="M307">_xlfn.XLOOKUP(F307,Metodos_De_Pago[ID_Metodo],Metodos_De_Pago[Metodo])</f>
        <v>Mercado Pago</v>
      </c>
      <c r="N307" s="20" t="str">
        <f t="shared" si="2"/>
        <v>2024 08</v>
      </c>
    </row>
    <row r="308" ht="22.5" customHeight="1">
      <c r="A308" s="12">
        <f>IFERROR(__xludf.DUMMYFUNCTION("""COMPUTED_VALUE"""),1745.0)</f>
        <v>1745</v>
      </c>
      <c r="B308" s="13">
        <f>IFERROR(__xludf.DUMMYFUNCTION("""COMPUTED_VALUE"""),45518.0)</f>
        <v>45518</v>
      </c>
      <c r="C308" s="12">
        <f>IFERROR(__xludf.DUMMYFUNCTION("""COMPUTED_VALUE"""),294.0)</f>
        <v>294</v>
      </c>
      <c r="D308" s="12">
        <f>IFERROR(__xludf.DUMMYFUNCTION("""COMPUTED_VALUE"""),17.0)</f>
        <v>17</v>
      </c>
      <c r="E308" s="12">
        <f>IFERROR(__xludf.DUMMYFUNCTION("""COMPUTED_VALUE"""),1.0)</f>
        <v>1</v>
      </c>
      <c r="F308" s="12">
        <f>IFERROR(__xludf.DUMMYFUNCTION("""COMPUTED_VALUE"""),5.0)</f>
        <v>5</v>
      </c>
      <c r="G308" s="15" t="str">
        <f>IFERROR(__xludf.DUMMYFUNCTION("""COMPUTED_VALUE"""),"Completa")</f>
        <v>Completa</v>
      </c>
      <c r="H308" s="16" t="str">
        <f t="array" ref="H308">_xlfn.XLOOKUP(D308,Productos[ID_Producto],Productos[Nombre_Producto])</f>
        <v>Manzanas</v>
      </c>
      <c r="I308" s="17">
        <f t="array" ref="I308">_xlfn.XLOOKUP(D308,Productos[ID_Producto],Productos[Precio_Unitario])</f>
        <v>6.54</v>
      </c>
      <c r="J308" s="17">
        <f t="shared" si="1"/>
        <v>6.54</v>
      </c>
      <c r="K308" s="16" t="str">
        <f t="array" ref="K308">_xlfn.XLOOKUP(C308,Clientes[ID_Cliente],Clientes[Provincia])</f>
        <v>Córdoba</v>
      </c>
      <c r="L308" s="16" t="str">
        <f t="array" ref="L308">CONCATENATE(_xlfn.XLOOKUP(C308,Clientes[ID_Cliente],Clientes[Provincia]),", Argentina")</f>
        <v>Córdoba, Argentina</v>
      </c>
      <c r="M308" s="20" t="str">
        <f t="array" ref="M308">_xlfn.XLOOKUP(F308,Metodos_De_Pago[ID_Metodo],Metodos_De_Pago[Metodo])</f>
        <v>Transferencia</v>
      </c>
      <c r="N308" s="20" t="str">
        <f t="shared" si="2"/>
        <v>2024 08</v>
      </c>
    </row>
    <row r="309" ht="22.5" customHeight="1">
      <c r="A309" s="12">
        <f>IFERROR(__xludf.DUMMYFUNCTION("""COMPUTED_VALUE"""),413.0)</f>
        <v>413</v>
      </c>
      <c r="B309" s="13">
        <f>IFERROR(__xludf.DUMMYFUNCTION("""COMPUTED_VALUE"""),45519.0)</f>
        <v>45519</v>
      </c>
      <c r="C309" s="12">
        <f>IFERROR(__xludf.DUMMYFUNCTION("""COMPUTED_VALUE"""),137.0)</f>
        <v>137</v>
      </c>
      <c r="D309" s="12">
        <f>IFERROR(__xludf.DUMMYFUNCTION("""COMPUTED_VALUE"""),3.0)</f>
        <v>3</v>
      </c>
      <c r="E309" s="12">
        <f>IFERROR(__xludf.DUMMYFUNCTION("""COMPUTED_VALUE"""),1.0)</f>
        <v>1</v>
      </c>
      <c r="F309" s="12">
        <f>IFERROR(__xludf.DUMMYFUNCTION("""COMPUTED_VALUE"""),2.0)</f>
        <v>2</v>
      </c>
      <c r="G309" s="15" t="str">
        <f>IFERROR(__xludf.DUMMYFUNCTION("""COMPUTED_VALUE"""),"Completa")</f>
        <v>Completa</v>
      </c>
      <c r="H309" s="16" t="str">
        <f t="array" ref="H309">_xlfn.XLOOKUP(D309,Productos[ID_Producto],Productos[Nombre_Producto])</f>
        <v>Queso cremoso</v>
      </c>
      <c r="I309" s="17">
        <f t="array" ref="I309">_xlfn.XLOOKUP(D309,Productos[ID_Producto],Productos[Precio_Unitario])</f>
        <v>17.23</v>
      </c>
      <c r="J309" s="17">
        <f t="shared" si="1"/>
        <v>17.23</v>
      </c>
      <c r="K309" s="16" t="str">
        <f t="array" ref="K309">_xlfn.XLOOKUP(C309,Clientes[ID_Cliente],Clientes[Provincia])</f>
        <v>Neuquén</v>
      </c>
      <c r="L309" s="16" t="str">
        <f t="array" ref="L309">CONCATENATE(_xlfn.XLOOKUP(C309,Clientes[ID_Cliente],Clientes[Provincia]),", Argentina")</f>
        <v>Neuquén, Argentina</v>
      </c>
      <c r="M309" s="20" t="str">
        <f t="array" ref="M309">_xlfn.XLOOKUP(F309,Metodos_De_Pago[ID_Metodo],Metodos_De_Pago[Metodo])</f>
        <v>Tarjeta de Crédito</v>
      </c>
      <c r="N309" s="20" t="str">
        <f t="shared" si="2"/>
        <v>2024 08</v>
      </c>
    </row>
    <row r="310" ht="22.5" customHeight="1">
      <c r="A310" s="12">
        <f>IFERROR(__xludf.DUMMYFUNCTION("""COMPUTED_VALUE"""),1845.0)</f>
        <v>1845</v>
      </c>
      <c r="B310" s="13">
        <f>IFERROR(__xludf.DUMMYFUNCTION("""COMPUTED_VALUE"""),45519.0)</f>
        <v>45519</v>
      </c>
      <c r="C310" s="12">
        <f>IFERROR(__xludf.DUMMYFUNCTION("""COMPUTED_VALUE"""),70.0)</f>
        <v>70</v>
      </c>
      <c r="D310" s="12">
        <f>IFERROR(__xludf.DUMMYFUNCTION("""COMPUTED_VALUE"""),26.0)</f>
        <v>26</v>
      </c>
      <c r="E310" s="12">
        <f>IFERROR(__xludf.DUMMYFUNCTION("""COMPUTED_VALUE"""),1.0)</f>
        <v>1</v>
      </c>
      <c r="F310" s="12">
        <f>IFERROR(__xludf.DUMMYFUNCTION("""COMPUTED_VALUE"""),4.0)</f>
        <v>4</v>
      </c>
      <c r="G310" s="15" t="str">
        <f>IFERROR(__xludf.DUMMYFUNCTION("""COMPUTED_VALUE"""),"Completa")</f>
        <v>Completa</v>
      </c>
      <c r="H310" s="16" t="str">
        <f t="array" ref="H310">_xlfn.XLOOKUP(D310,Productos[ID_Producto],Productos[Nombre_Producto])</f>
        <v>Hamburgesas congeladas</v>
      </c>
      <c r="I310" s="17">
        <f t="array" ref="I310">_xlfn.XLOOKUP(D310,Productos[ID_Producto],Productos[Precio_Unitario])</f>
        <v>9.54</v>
      </c>
      <c r="J310" s="17">
        <f t="shared" si="1"/>
        <v>9.54</v>
      </c>
      <c r="K310" s="16" t="str">
        <f t="array" ref="K310">_xlfn.XLOOKUP(C310,Clientes[ID_Cliente],Clientes[Provincia])</f>
        <v>Córdoba</v>
      </c>
      <c r="L310" s="16" t="str">
        <f t="array" ref="L310">CONCATENATE(_xlfn.XLOOKUP(C310,Clientes[ID_Cliente],Clientes[Provincia]),", Argentina")</f>
        <v>Córdoba, Argentina</v>
      </c>
      <c r="M310" s="20" t="str">
        <f t="array" ref="M310">_xlfn.XLOOKUP(F310,Metodos_De_Pago[ID_Metodo],Metodos_De_Pago[Metodo])</f>
        <v>Mercado Pago</v>
      </c>
      <c r="N310" s="20" t="str">
        <f t="shared" si="2"/>
        <v>2024 08</v>
      </c>
    </row>
    <row r="311" ht="22.5" customHeight="1">
      <c r="A311" s="12">
        <f>IFERROR(__xludf.DUMMYFUNCTION("""COMPUTED_VALUE"""),276.0)</f>
        <v>276</v>
      </c>
      <c r="B311" s="13">
        <f>IFERROR(__xludf.DUMMYFUNCTION("""COMPUTED_VALUE"""),45520.0)</f>
        <v>45520</v>
      </c>
      <c r="C311" s="12">
        <f>IFERROR(__xludf.DUMMYFUNCTION("""COMPUTED_VALUE"""),103.0)</f>
        <v>103</v>
      </c>
      <c r="D311" s="12">
        <f>IFERROR(__xludf.DUMMYFUNCTION("""COMPUTED_VALUE"""),3.0)</f>
        <v>3</v>
      </c>
      <c r="E311" s="12">
        <f>IFERROR(__xludf.DUMMYFUNCTION("""COMPUTED_VALUE"""),1.0)</f>
        <v>1</v>
      </c>
      <c r="F311" s="12">
        <f>IFERROR(__xludf.DUMMYFUNCTION("""COMPUTED_VALUE"""),5.0)</f>
        <v>5</v>
      </c>
      <c r="G311" s="15" t="str">
        <f>IFERROR(__xludf.DUMMYFUNCTION("""COMPUTED_VALUE"""),"Pendiente")</f>
        <v>Pendiente</v>
      </c>
      <c r="H311" s="16" t="str">
        <f t="array" ref="H311">_xlfn.XLOOKUP(D311,Productos[ID_Producto],Productos[Nombre_Producto])</f>
        <v>Queso cremoso</v>
      </c>
      <c r="I311" s="17">
        <f t="array" ref="I311">_xlfn.XLOOKUP(D311,Productos[ID_Producto],Productos[Precio_Unitario])</f>
        <v>17.23</v>
      </c>
      <c r="J311" s="17">
        <f t="shared" si="1"/>
        <v>17.23</v>
      </c>
      <c r="K311" s="16" t="str">
        <f t="array" ref="K311">_xlfn.XLOOKUP(C311,Clientes[ID_Cliente],Clientes[Provincia])</f>
        <v>Neuquén</v>
      </c>
      <c r="L311" s="16" t="str">
        <f t="array" ref="L311">CONCATENATE(_xlfn.XLOOKUP(C311,Clientes[ID_Cliente],Clientes[Provincia]),", Argentina")</f>
        <v>Neuquén, Argentina</v>
      </c>
      <c r="M311" s="20" t="str">
        <f t="array" ref="M311">_xlfn.XLOOKUP(F311,Metodos_De_Pago[ID_Metodo],Metodos_De_Pago[Metodo])</f>
        <v>Transferencia</v>
      </c>
      <c r="N311" s="20" t="str">
        <f t="shared" si="2"/>
        <v>2024 08</v>
      </c>
    </row>
    <row r="312" ht="22.5" customHeight="1">
      <c r="A312" s="12">
        <f>IFERROR(__xludf.DUMMYFUNCTION("""COMPUTED_VALUE"""),575.0)</f>
        <v>575</v>
      </c>
      <c r="B312" s="13">
        <f>IFERROR(__xludf.DUMMYFUNCTION("""COMPUTED_VALUE"""),45520.0)</f>
        <v>45520</v>
      </c>
      <c r="C312" s="12">
        <f>IFERROR(__xludf.DUMMYFUNCTION("""COMPUTED_VALUE"""),112.0)</f>
        <v>112</v>
      </c>
      <c r="D312" s="12">
        <f>IFERROR(__xludf.DUMMYFUNCTION("""COMPUTED_VALUE"""),6.0)</f>
        <v>6</v>
      </c>
      <c r="E312" s="12">
        <f>IFERROR(__xludf.DUMMYFUNCTION("""COMPUTED_VALUE"""),1.0)</f>
        <v>1</v>
      </c>
      <c r="F312" s="12">
        <f>IFERROR(__xludf.DUMMYFUNCTION("""COMPUTED_VALUE"""),4.0)</f>
        <v>4</v>
      </c>
      <c r="G312" s="15" t="str">
        <f>IFERROR(__xludf.DUMMYFUNCTION("""COMPUTED_VALUE"""),"Completa")</f>
        <v>Completa</v>
      </c>
      <c r="H312" s="16" t="str">
        <f t="array" ref="H312">_xlfn.XLOOKUP(D312,Productos[ID_Producto],Productos[Nombre_Producto])</f>
        <v>Asado</v>
      </c>
      <c r="I312" s="17">
        <f t="array" ref="I312">_xlfn.XLOOKUP(D312,Productos[ID_Producto],Productos[Precio_Unitario])</f>
        <v>28.56</v>
      </c>
      <c r="J312" s="17">
        <f t="shared" si="1"/>
        <v>28.56</v>
      </c>
      <c r="K312" s="16" t="str">
        <f t="array" ref="K312">_xlfn.XLOOKUP(C312,Clientes[ID_Cliente],Clientes[Provincia])</f>
        <v>Chaco</v>
      </c>
      <c r="L312" s="16" t="str">
        <f t="array" ref="L312">CONCATENATE(_xlfn.XLOOKUP(C312,Clientes[ID_Cliente],Clientes[Provincia]),", Argentina")</f>
        <v>Chaco, Argentina</v>
      </c>
      <c r="M312" s="20" t="str">
        <f t="array" ref="M312">_xlfn.XLOOKUP(F312,Metodos_De_Pago[ID_Metodo],Metodos_De_Pago[Metodo])</f>
        <v>Mercado Pago</v>
      </c>
      <c r="N312" s="20" t="str">
        <f t="shared" si="2"/>
        <v>2024 08</v>
      </c>
    </row>
    <row r="313" ht="22.5" customHeight="1">
      <c r="A313" s="12">
        <f>IFERROR(__xludf.DUMMYFUNCTION("""COMPUTED_VALUE"""),1558.0)</f>
        <v>1558</v>
      </c>
      <c r="B313" s="13">
        <f>IFERROR(__xludf.DUMMYFUNCTION("""COMPUTED_VALUE"""),45521.0)</f>
        <v>45521</v>
      </c>
      <c r="C313" s="12">
        <f>IFERROR(__xludf.DUMMYFUNCTION("""COMPUTED_VALUE"""),318.0)</f>
        <v>318</v>
      </c>
      <c r="D313" s="12">
        <f>IFERROR(__xludf.DUMMYFUNCTION("""COMPUTED_VALUE"""),23.0)</f>
        <v>23</v>
      </c>
      <c r="E313" s="12">
        <f>IFERROR(__xludf.DUMMYFUNCTION("""COMPUTED_VALUE"""),1.0)</f>
        <v>1</v>
      </c>
      <c r="F313" s="12">
        <f>IFERROR(__xludf.DUMMYFUNCTION("""COMPUTED_VALUE"""),5.0)</f>
        <v>5</v>
      </c>
      <c r="G313" s="15" t="str">
        <f>IFERROR(__xludf.DUMMYFUNCTION("""COMPUTED_VALUE"""),"Completa")</f>
        <v>Completa</v>
      </c>
      <c r="H313" s="16" t="str">
        <f t="array" ref="H313">_xlfn.XLOOKUP(D313,Productos[ID_Producto],Productos[Nombre_Producto])</f>
        <v>Papas fritas</v>
      </c>
      <c r="I313" s="17">
        <f t="array" ref="I313">_xlfn.XLOOKUP(D313,Productos[ID_Producto],Productos[Precio_Unitario])</f>
        <v>8.23</v>
      </c>
      <c r="J313" s="17">
        <f t="shared" si="1"/>
        <v>8.23</v>
      </c>
      <c r="K313" s="16" t="str">
        <f t="array" ref="K313">_xlfn.XLOOKUP(C313,Clientes[ID_Cliente],Clientes[Provincia])</f>
        <v>Buenos Aires</v>
      </c>
      <c r="L313" s="16" t="str">
        <f t="array" ref="L313">CONCATENATE(_xlfn.XLOOKUP(C313,Clientes[ID_Cliente],Clientes[Provincia]),", Argentina")</f>
        <v>Buenos Aires, Argentina</v>
      </c>
      <c r="M313" s="20" t="str">
        <f t="array" ref="M313">_xlfn.XLOOKUP(F313,Metodos_De_Pago[ID_Metodo],Metodos_De_Pago[Metodo])</f>
        <v>Transferencia</v>
      </c>
      <c r="N313" s="20" t="str">
        <f t="shared" si="2"/>
        <v>2024 08</v>
      </c>
    </row>
    <row r="314" ht="22.5" customHeight="1">
      <c r="A314" s="12">
        <f>IFERROR(__xludf.DUMMYFUNCTION("""COMPUTED_VALUE"""),1109.0)</f>
        <v>1109</v>
      </c>
      <c r="B314" s="13">
        <f>IFERROR(__xludf.DUMMYFUNCTION("""COMPUTED_VALUE"""),45523.0)</f>
        <v>45523</v>
      </c>
      <c r="C314" s="12">
        <f>IFERROR(__xludf.DUMMYFUNCTION("""COMPUTED_VALUE"""),287.0)</f>
        <v>287</v>
      </c>
      <c r="D314" s="12">
        <f>IFERROR(__xludf.DUMMYFUNCTION("""COMPUTED_VALUE"""),29.0)</f>
        <v>29</v>
      </c>
      <c r="E314" s="12">
        <f>IFERROR(__xludf.DUMMYFUNCTION("""COMPUTED_VALUE"""),1.0)</f>
        <v>1</v>
      </c>
      <c r="F314" s="12">
        <f>IFERROR(__xludf.DUMMYFUNCTION("""COMPUTED_VALUE"""),3.0)</f>
        <v>3</v>
      </c>
      <c r="G314" s="15" t="str">
        <f>IFERROR(__xludf.DUMMYFUNCTION("""COMPUTED_VALUE"""),"Completa")</f>
        <v>Completa</v>
      </c>
      <c r="H314" s="16" t="str">
        <f t="array" ref="H314">_xlfn.XLOOKUP(D314,Productos[ID_Producto],Productos[Nombre_Producto])</f>
        <v>Cerveza</v>
      </c>
      <c r="I314" s="17">
        <f t="array" ref="I314">_xlfn.XLOOKUP(D314,Productos[ID_Producto],Productos[Precio_Unitario])</f>
        <v>11.54</v>
      </c>
      <c r="J314" s="17">
        <f t="shared" si="1"/>
        <v>11.54</v>
      </c>
      <c r="K314" s="16" t="str">
        <f t="array" ref="K314">_xlfn.XLOOKUP(C314,Clientes[ID_Cliente],Clientes[Provincia])</f>
        <v>Chaco</v>
      </c>
      <c r="L314" s="16" t="str">
        <f t="array" ref="L314">CONCATENATE(_xlfn.XLOOKUP(C314,Clientes[ID_Cliente],Clientes[Provincia]),", Argentina")</f>
        <v>Chaco, Argentina</v>
      </c>
      <c r="M314" s="20" t="str">
        <f t="array" ref="M314">_xlfn.XLOOKUP(F314,Metodos_De_Pago[ID_Metodo],Metodos_De_Pago[Metodo])</f>
        <v>Tarjeta de Débito</v>
      </c>
      <c r="N314" s="20" t="str">
        <f t="shared" si="2"/>
        <v>2024 08</v>
      </c>
    </row>
    <row r="315" ht="22.5" customHeight="1">
      <c r="A315" s="12">
        <f>IFERROR(__xludf.DUMMYFUNCTION("""COMPUTED_VALUE"""),1663.0)</f>
        <v>1663</v>
      </c>
      <c r="B315" s="13">
        <f>IFERROR(__xludf.DUMMYFUNCTION("""COMPUTED_VALUE"""),45523.0)</f>
        <v>45523</v>
      </c>
      <c r="C315" s="12">
        <f>IFERROR(__xludf.DUMMYFUNCTION("""COMPUTED_VALUE"""),191.0)</f>
        <v>191</v>
      </c>
      <c r="D315" s="12">
        <f>IFERROR(__xludf.DUMMYFUNCTION("""COMPUTED_VALUE"""),2.0)</f>
        <v>2</v>
      </c>
      <c r="E315" s="12">
        <f>IFERROR(__xludf.DUMMYFUNCTION("""COMPUTED_VALUE"""),1.0)</f>
        <v>1</v>
      </c>
      <c r="F315" s="12">
        <f>IFERROR(__xludf.DUMMYFUNCTION("""COMPUTED_VALUE"""),3.0)</f>
        <v>3</v>
      </c>
      <c r="G315" s="15" t="str">
        <f>IFERROR(__xludf.DUMMYFUNCTION("""COMPUTED_VALUE"""),"Completa")</f>
        <v>Completa</v>
      </c>
      <c r="H315" s="16" t="str">
        <f t="array" ref="H315">_xlfn.XLOOKUP(D315,Productos[ID_Producto],Productos[Nombre_Producto])</f>
        <v>Yogur</v>
      </c>
      <c r="I315" s="17">
        <f t="array" ref="I315">_xlfn.XLOOKUP(D315,Productos[ID_Producto],Productos[Precio_Unitario])</f>
        <v>5.21</v>
      </c>
      <c r="J315" s="17">
        <f t="shared" si="1"/>
        <v>5.21</v>
      </c>
      <c r="K315" s="16" t="str">
        <f t="array" ref="K315">_xlfn.XLOOKUP(C315,Clientes[ID_Cliente],Clientes[Provincia])</f>
        <v>Córdoba</v>
      </c>
      <c r="L315" s="16" t="str">
        <f t="array" ref="L315">CONCATENATE(_xlfn.XLOOKUP(C315,Clientes[ID_Cliente],Clientes[Provincia]),", Argentina")</f>
        <v>Córdoba, Argentina</v>
      </c>
      <c r="M315" s="20" t="str">
        <f t="array" ref="M315">_xlfn.XLOOKUP(F315,Metodos_De_Pago[ID_Metodo],Metodos_De_Pago[Metodo])</f>
        <v>Tarjeta de Débito</v>
      </c>
      <c r="N315" s="20" t="str">
        <f t="shared" si="2"/>
        <v>2024 08</v>
      </c>
    </row>
    <row r="316" ht="22.5" customHeight="1">
      <c r="A316" s="12">
        <f>IFERROR(__xludf.DUMMYFUNCTION("""COMPUTED_VALUE"""),2701.0)</f>
        <v>2701</v>
      </c>
      <c r="B316" s="13">
        <f>IFERROR(__xludf.DUMMYFUNCTION("""COMPUTED_VALUE"""),45524.0)</f>
        <v>45524</v>
      </c>
      <c r="C316" s="12">
        <f>IFERROR(__xludf.DUMMYFUNCTION("""COMPUTED_VALUE"""),169.0)</f>
        <v>169</v>
      </c>
      <c r="D316" s="12">
        <f>IFERROR(__xludf.DUMMYFUNCTION("""COMPUTED_VALUE"""),19.0)</f>
        <v>19</v>
      </c>
      <c r="E316" s="12">
        <f>IFERROR(__xludf.DUMMYFUNCTION("""COMPUTED_VALUE"""),1.0)</f>
        <v>1</v>
      </c>
      <c r="F316" s="12">
        <f>IFERROR(__xludf.DUMMYFUNCTION("""COMPUTED_VALUE"""),4.0)</f>
        <v>4</v>
      </c>
      <c r="G316" s="15" t="str">
        <f>IFERROR(__xludf.DUMMYFUNCTION("""COMPUTED_VALUE"""),"Completa")</f>
        <v>Completa</v>
      </c>
      <c r="H316" s="16" t="str">
        <f t="array" ref="H316">_xlfn.XLOOKUP(D316,Productos[ID_Producto],Productos[Nombre_Producto])</f>
        <v>Tomates</v>
      </c>
      <c r="I316" s="17">
        <f t="array" ref="I316">_xlfn.XLOOKUP(D316,Productos[ID_Producto],Productos[Precio_Unitario])</f>
        <v>6.54</v>
      </c>
      <c r="J316" s="17">
        <f t="shared" si="1"/>
        <v>6.54</v>
      </c>
      <c r="K316" s="16" t="str">
        <f t="array" ref="K316">_xlfn.XLOOKUP(C316,Clientes[ID_Cliente],Clientes[Provincia])</f>
        <v>Córdoba</v>
      </c>
      <c r="L316" s="16" t="str">
        <f t="array" ref="L316">CONCATENATE(_xlfn.XLOOKUP(C316,Clientes[ID_Cliente],Clientes[Provincia]),", Argentina")</f>
        <v>Córdoba, Argentina</v>
      </c>
      <c r="M316" s="20" t="str">
        <f t="array" ref="M316">_xlfn.XLOOKUP(F316,Metodos_De_Pago[ID_Metodo],Metodos_De_Pago[Metodo])</f>
        <v>Mercado Pago</v>
      </c>
      <c r="N316" s="20" t="str">
        <f t="shared" si="2"/>
        <v>2024 08</v>
      </c>
    </row>
    <row r="317" ht="22.5" customHeight="1">
      <c r="A317" s="12">
        <f>IFERROR(__xludf.DUMMYFUNCTION("""COMPUTED_VALUE"""),2722.0)</f>
        <v>2722</v>
      </c>
      <c r="B317" s="13">
        <f>IFERROR(__xludf.DUMMYFUNCTION("""COMPUTED_VALUE"""),45525.0)</f>
        <v>45525</v>
      </c>
      <c r="C317" s="12">
        <f>IFERROR(__xludf.DUMMYFUNCTION("""COMPUTED_VALUE"""),145.0)</f>
        <v>145</v>
      </c>
      <c r="D317" s="12">
        <f>IFERROR(__xludf.DUMMYFUNCTION("""COMPUTED_VALUE"""),33.0)</f>
        <v>33</v>
      </c>
      <c r="E317" s="12">
        <f>IFERROR(__xludf.DUMMYFUNCTION("""COMPUTED_VALUE"""),1.0)</f>
        <v>1</v>
      </c>
      <c r="F317" s="12">
        <f>IFERROR(__xludf.DUMMYFUNCTION("""COMPUTED_VALUE"""),2.0)</f>
        <v>2</v>
      </c>
      <c r="G317" s="15" t="str">
        <f>IFERROR(__xludf.DUMMYFUNCTION("""COMPUTED_VALUE"""),"Completa")</f>
        <v>Completa</v>
      </c>
      <c r="H317" s="16" t="str">
        <f t="array" ref="H317">_xlfn.XLOOKUP(D317,Productos[ID_Producto],Productos[Nombre_Producto])</f>
        <v>Papas chips</v>
      </c>
      <c r="I317" s="17">
        <f t="array" ref="I317">_xlfn.XLOOKUP(D317,Productos[ID_Producto],Productos[Precio_Unitario])</f>
        <v>8.54</v>
      </c>
      <c r="J317" s="17">
        <f t="shared" si="1"/>
        <v>8.54</v>
      </c>
      <c r="K317" s="16" t="str">
        <f t="array" ref="K317">_xlfn.XLOOKUP(C317,Clientes[ID_Cliente],Clientes[Provincia])</f>
        <v>Buenos Aires</v>
      </c>
      <c r="L317" s="16" t="str">
        <f t="array" ref="L317">CONCATENATE(_xlfn.XLOOKUP(C317,Clientes[ID_Cliente],Clientes[Provincia]),", Argentina")</f>
        <v>Buenos Aires, Argentina</v>
      </c>
      <c r="M317" s="20" t="str">
        <f t="array" ref="M317">_xlfn.XLOOKUP(F317,Metodos_De_Pago[ID_Metodo],Metodos_De_Pago[Metodo])</f>
        <v>Tarjeta de Crédito</v>
      </c>
      <c r="N317" s="20" t="str">
        <f t="shared" si="2"/>
        <v>2024 08</v>
      </c>
    </row>
    <row r="318" ht="22.5" customHeight="1">
      <c r="A318" s="12">
        <f>IFERROR(__xludf.DUMMYFUNCTION("""COMPUTED_VALUE"""),565.0)</f>
        <v>565</v>
      </c>
      <c r="B318" s="13">
        <f>IFERROR(__xludf.DUMMYFUNCTION("""COMPUTED_VALUE"""),45526.0)</f>
        <v>45526</v>
      </c>
      <c r="C318" s="12">
        <f>IFERROR(__xludf.DUMMYFUNCTION("""COMPUTED_VALUE"""),244.0)</f>
        <v>244</v>
      </c>
      <c r="D318" s="12">
        <f>IFERROR(__xludf.DUMMYFUNCTION("""COMPUTED_VALUE"""),19.0)</f>
        <v>19</v>
      </c>
      <c r="E318" s="12">
        <f>IFERROR(__xludf.DUMMYFUNCTION("""COMPUTED_VALUE"""),1.0)</f>
        <v>1</v>
      </c>
      <c r="F318" s="12">
        <f>IFERROR(__xludf.DUMMYFUNCTION("""COMPUTED_VALUE"""),5.0)</f>
        <v>5</v>
      </c>
      <c r="G318" s="15" t="str">
        <f>IFERROR(__xludf.DUMMYFUNCTION("""COMPUTED_VALUE"""),"Completa")</f>
        <v>Completa</v>
      </c>
      <c r="H318" s="16" t="str">
        <f t="array" ref="H318">_xlfn.XLOOKUP(D318,Productos[ID_Producto],Productos[Nombre_Producto])</f>
        <v>Tomates</v>
      </c>
      <c r="I318" s="17">
        <f t="array" ref="I318">_xlfn.XLOOKUP(D318,Productos[ID_Producto],Productos[Precio_Unitario])</f>
        <v>6.54</v>
      </c>
      <c r="J318" s="17">
        <f t="shared" si="1"/>
        <v>6.54</v>
      </c>
      <c r="K318" s="16" t="str">
        <f t="array" ref="K318">_xlfn.XLOOKUP(C318,Clientes[ID_Cliente],Clientes[Provincia])</f>
        <v>Buenos Aires</v>
      </c>
      <c r="L318" s="16" t="str">
        <f t="array" ref="L318">CONCATENATE(_xlfn.XLOOKUP(C318,Clientes[ID_Cliente],Clientes[Provincia]),", Argentina")</f>
        <v>Buenos Aires, Argentina</v>
      </c>
      <c r="M318" s="20" t="str">
        <f t="array" ref="M318">_xlfn.XLOOKUP(F318,Metodos_De_Pago[ID_Metodo],Metodos_De_Pago[Metodo])</f>
        <v>Transferencia</v>
      </c>
      <c r="N318" s="20" t="str">
        <f t="shared" si="2"/>
        <v>2024 08</v>
      </c>
    </row>
    <row r="319" ht="22.5" customHeight="1">
      <c r="A319" s="12">
        <f>IFERROR(__xludf.DUMMYFUNCTION("""COMPUTED_VALUE"""),2515.0)</f>
        <v>2515</v>
      </c>
      <c r="B319" s="13">
        <f>IFERROR(__xludf.DUMMYFUNCTION("""COMPUTED_VALUE"""),45526.0)</f>
        <v>45526</v>
      </c>
      <c r="C319" s="12">
        <f>IFERROR(__xludf.DUMMYFUNCTION("""COMPUTED_VALUE"""),79.0)</f>
        <v>79</v>
      </c>
      <c r="D319" s="12">
        <f>IFERROR(__xludf.DUMMYFUNCTION("""COMPUTED_VALUE"""),8.0)</f>
        <v>8</v>
      </c>
      <c r="E319" s="12">
        <f>IFERROR(__xludf.DUMMYFUNCTION("""COMPUTED_VALUE"""),1.0)</f>
        <v>1</v>
      </c>
      <c r="F319" s="12">
        <f>IFERROR(__xludf.DUMMYFUNCTION("""COMPUTED_VALUE"""),5.0)</f>
        <v>5</v>
      </c>
      <c r="G319" s="15" t="str">
        <f>IFERROR(__xludf.DUMMYFUNCTION("""COMPUTED_VALUE"""),"Completa")</f>
        <v>Completa</v>
      </c>
      <c r="H319" s="16" t="str">
        <f t="array" ref="H319">_xlfn.XLOOKUP(D319,Productos[ID_Producto],Productos[Nombre_Producto])</f>
        <v>Milanesa</v>
      </c>
      <c r="I319" s="17">
        <f t="array" ref="I319">_xlfn.XLOOKUP(D319,Productos[ID_Producto],Productos[Precio_Unitario])</f>
        <v>16.21</v>
      </c>
      <c r="J319" s="17">
        <f t="shared" si="1"/>
        <v>16.21</v>
      </c>
      <c r="K319" s="16" t="str">
        <f t="array" ref="K319">_xlfn.XLOOKUP(C319,Clientes[ID_Cliente],Clientes[Provincia])</f>
        <v>Neuquén</v>
      </c>
      <c r="L319" s="16" t="str">
        <f t="array" ref="L319">CONCATENATE(_xlfn.XLOOKUP(C319,Clientes[ID_Cliente],Clientes[Provincia]),", Argentina")</f>
        <v>Neuquén, Argentina</v>
      </c>
      <c r="M319" s="20" t="str">
        <f t="array" ref="M319">_xlfn.XLOOKUP(F319,Metodos_De_Pago[ID_Metodo],Metodos_De_Pago[Metodo])</f>
        <v>Transferencia</v>
      </c>
      <c r="N319" s="20" t="str">
        <f t="shared" si="2"/>
        <v>2024 08</v>
      </c>
    </row>
    <row r="320" ht="22.5" customHeight="1">
      <c r="A320" s="12">
        <f>IFERROR(__xludf.DUMMYFUNCTION("""COMPUTED_VALUE"""),640.0)</f>
        <v>640</v>
      </c>
      <c r="B320" s="13">
        <f>IFERROR(__xludf.DUMMYFUNCTION("""COMPUTED_VALUE"""),45530.0)</f>
        <v>45530</v>
      </c>
      <c r="C320" s="12">
        <f>IFERROR(__xludf.DUMMYFUNCTION("""COMPUTED_VALUE"""),316.0)</f>
        <v>316</v>
      </c>
      <c r="D320" s="12">
        <f>IFERROR(__xludf.DUMMYFUNCTION("""COMPUTED_VALUE"""),28.0)</f>
        <v>28</v>
      </c>
      <c r="E320" s="12">
        <f>IFERROR(__xludf.DUMMYFUNCTION("""COMPUTED_VALUE"""),1.0)</f>
        <v>1</v>
      </c>
      <c r="F320" s="12">
        <f>IFERROR(__xludf.DUMMYFUNCTION("""COMPUTED_VALUE"""),3.0)</f>
        <v>3</v>
      </c>
      <c r="G320" s="15" t="str">
        <f>IFERROR(__xludf.DUMMYFUNCTION("""COMPUTED_VALUE"""),"Completa")</f>
        <v>Completa</v>
      </c>
      <c r="H320" s="16" t="str">
        <f t="array" ref="H320">_xlfn.XLOOKUP(D320,Productos[ID_Producto],Productos[Nombre_Producto])</f>
        <v>Jugos de frutas</v>
      </c>
      <c r="I320" s="17">
        <f t="array" ref="I320">_xlfn.XLOOKUP(D320,Productos[ID_Producto],Productos[Precio_Unitario])</f>
        <v>9.45</v>
      </c>
      <c r="J320" s="17">
        <f t="shared" si="1"/>
        <v>9.45</v>
      </c>
      <c r="K320" s="16" t="str">
        <f t="array" ref="K320">_xlfn.XLOOKUP(C320,Clientes[ID_Cliente],Clientes[Provincia])</f>
        <v>Córdoba</v>
      </c>
      <c r="L320" s="16" t="str">
        <f t="array" ref="L320">CONCATENATE(_xlfn.XLOOKUP(C320,Clientes[ID_Cliente],Clientes[Provincia]),", Argentina")</f>
        <v>Córdoba, Argentina</v>
      </c>
      <c r="M320" s="20" t="str">
        <f t="array" ref="M320">_xlfn.XLOOKUP(F320,Metodos_De_Pago[ID_Metodo],Metodos_De_Pago[Metodo])</f>
        <v>Tarjeta de Débito</v>
      </c>
      <c r="N320" s="20" t="str">
        <f t="shared" si="2"/>
        <v>2024 08</v>
      </c>
    </row>
    <row r="321" ht="22.5" customHeight="1">
      <c r="A321" s="12">
        <f>IFERROR(__xludf.DUMMYFUNCTION("""COMPUTED_VALUE"""),1.0)</f>
        <v>1</v>
      </c>
      <c r="B321" s="13">
        <f>IFERROR(__xludf.DUMMYFUNCTION("""COMPUTED_VALUE"""),45532.0)</f>
        <v>45532</v>
      </c>
      <c r="C321" s="12">
        <f>IFERROR(__xludf.DUMMYFUNCTION("""COMPUTED_VALUE"""),298.0)</f>
        <v>298</v>
      </c>
      <c r="D321" s="12">
        <f>IFERROR(__xludf.DUMMYFUNCTION("""COMPUTED_VALUE"""),17.0)</f>
        <v>17</v>
      </c>
      <c r="E321" s="12">
        <f>IFERROR(__xludf.DUMMYFUNCTION("""COMPUTED_VALUE"""),1.0)</f>
        <v>1</v>
      </c>
      <c r="F321" s="12">
        <f>IFERROR(__xludf.DUMMYFUNCTION("""COMPUTED_VALUE"""),3.0)</f>
        <v>3</v>
      </c>
      <c r="G321" s="15" t="str">
        <f>IFERROR(__xludf.DUMMYFUNCTION("""COMPUTED_VALUE"""),"Completa")</f>
        <v>Completa</v>
      </c>
      <c r="H321" s="16" t="str">
        <f t="array" ref="H321">_xlfn.XLOOKUP(D321,Productos[ID_Producto],Productos[Nombre_Producto])</f>
        <v>Manzanas</v>
      </c>
      <c r="I321" s="17">
        <f t="array" ref="I321">_xlfn.XLOOKUP(D321,Productos[ID_Producto],Productos[Precio_Unitario])</f>
        <v>6.54</v>
      </c>
      <c r="J321" s="17">
        <f t="shared" si="1"/>
        <v>6.54</v>
      </c>
      <c r="K321" s="16" t="str">
        <f t="array" ref="K321">_xlfn.XLOOKUP(C321,Clientes[ID_Cliente],Clientes[Provincia])</f>
        <v>Buenos Aires</v>
      </c>
      <c r="L321" s="16" t="str">
        <f t="array" ref="L321">CONCATENATE(_xlfn.XLOOKUP(C321,Clientes[ID_Cliente],Clientes[Provincia]),", Argentina")</f>
        <v>Buenos Aires, Argentina</v>
      </c>
      <c r="M321" s="20" t="str">
        <f t="array" ref="M321">_xlfn.XLOOKUP(F321,Metodos_De_Pago[ID_Metodo],Metodos_De_Pago[Metodo])</f>
        <v>Tarjeta de Débito</v>
      </c>
      <c r="N321" s="20" t="str">
        <f t="shared" si="2"/>
        <v>2024 08</v>
      </c>
    </row>
    <row r="322" ht="22.5" customHeight="1">
      <c r="A322" s="12">
        <f>IFERROR(__xludf.DUMMYFUNCTION("""COMPUTED_VALUE"""),2053.0)</f>
        <v>2053</v>
      </c>
      <c r="B322" s="13">
        <f>IFERROR(__xludf.DUMMYFUNCTION("""COMPUTED_VALUE"""),45533.0)</f>
        <v>45533</v>
      </c>
      <c r="C322" s="12">
        <f>IFERROR(__xludf.DUMMYFUNCTION("""COMPUTED_VALUE"""),178.0)</f>
        <v>178</v>
      </c>
      <c r="D322" s="12">
        <f>IFERROR(__xludf.DUMMYFUNCTION("""COMPUTED_VALUE"""),30.0)</f>
        <v>30</v>
      </c>
      <c r="E322" s="12">
        <f>IFERROR(__xludf.DUMMYFUNCTION("""COMPUTED_VALUE"""),1.0)</f>
        <v>1</v>
      </c>
      <c r="F322" s="12">
        <f>IFERROR(__xludf.DUMMYFUNCTION("""COMPUTED_VALUE"""),2.0)</f>
        <v>2</v>
      </c>
      <c r="G322" s="15" t="str">
        <f>IFERROR(__xludf.DUMMYFUNCTION("""COMPUTED_VALUE"""),"Completa")</f>
        <v>Completa</v>
      </c>
      <c r="H322" s="16" t="str">
        <f t="array" ref="H322">_xlfn.XLOOKUP(D322,Productos[ID_Producto],Productos[Nombre_Producto])</f>
        <v>Vino tinto</v>
      </c>
      <c r="I322" s="17">
        <f t="array" ref="I322">_xlfn.XLOOKUP(D322,Productos[ID_Producto],Productos[Precio_Unitario])</f>
        <v>13.54</v>
      </c>
      <c r="J322" s="17">
        <f t="shared" si="1"/>
        <v>13.54</v>
      </c>
      <c r="K322" s="16" t="str">
        <f t="array" ref="K322">_xlfn.XLOOKUP(C322,Clientes[ID_Cliente],Clientes[Provincia])</f>
        <v>Neuquén</v>
      </c>
      <c r="L322" s="16" t="str">
        <f t="array" ref="L322">CONCATENATE(_xlfn.XLOOKUP(C322,Clientes[ID_Cliente],Clientes[Provincia]),", Argentina")</f>
        <v>Neuquén, Argentina</v>
      </c>
      <c r="M322" s="20" t="str">
        <f t="array" ref="M322">_xlfn.XLOOKUP(F322,Metodos_De_Pago[ID_Metodo],Metodos_De_Pago[Metodo])</f>
        <v>Tarjeta de Crédito</v>
      </c>
      <c r="N322" s="20" t="str">
        <f t="shared" si="2"/>
        <v>2024 08</v>
      </c>
    </row>
    <row r="323" ht="22.5" customHeight="1">
      <c r="A323" s="12">
        <f>IFERROR(__xludf.DUMMYFUNCTION("""COMPUTED_VALUE"""),2197.0)</f>
        <v>2197</v>
      </c>
      <c r="B323" s="13">
        <f>IFERROR(__xludf.DUMMYFUNCTION("""COMPUTED_VALUE"""),45535.0)</f>
        <v>45535</v>
      </c>
      <c r="C323" s="12">
        <f>IFERROR(__xludf.DUMMYFUNCTION("""COMPUTED_VALUE"""),151.0)</f>
        <v>151</v>
      </c>
      <c r="D323" s="12">
        <f>IFERROR(__xludf.DUMMYFUNCTION("""COMPUTED_VALUE"""),36.0)</f>
        <v>36</v>
      </c>
      <c r="E323" s="12">
        <f>IFERROR(__xludf.DUMMYFUNCTION("""COMPUTED_VALUE"""),1.0)</f>
        <v>1</v>
      </c>
      <c r="F323" s="12">
        <f>IFERROR(__xludf.DUMMYFUNCTION("""COMPUTED_VALUE"""),1.0)</f>
        <v>1</v>
      </c>
      <c r="G323" s="15" t="str">
        <f>IFERROR(__xludf.DUMMYFUNCTION("""COMPUTED_VALUE"""),"Completa")</f>
        <v>Completa</v>
      </c>
      <c r="H323" s="16" t="str">
        <f t="array" ref="H323">_xlfn.XLOOKUP(D323,Productos[ID_Producto],Productos[Nombre_Producto])</f>
        <v>Lentejas</v>
      </c>
      <c r="I323" s="17">
        <f t="array" ref="I323">_xlfn.XLOOKUP(D323,Productos[ID_Producto],Productos[Precio_Unitario])</f>
        <v>3.25</v>
      </c>
      <c r="J323" s="17">
        <f t="shared" si="1"/>
        <v>3.25</v>
      </c>
      <c r="K323" s="16" t="str">
        <f t="array" ref="K323">_xlfn.XLOOKUP(C323,Clientes[ID_Cliente],Clientes[Provincia])</f>
        <v>Buenos Aires</v>
      </c>
      <c r="L323" s="16" t="str">
        <f t="array" ref="L323">CONCATENATE(_xlfn.XLOOKUP(C323,Clientes[ID_Cliente],Clientes[Provincia]),", Argentina")</f>
        <v>Buenos Aires, Argentina</v>
      </c>
      <c r="M323" s="20" t="str">
        <f t="array" ref="M323">_xlfn.XLOOKUP(F323,Metodos_De_Pago[ID_Metodo],Metodos_De_Pago[Metodo])</f>
        <v>Efectivo</v>
      </c>
      <c r="N323" s="20" t="str">
        <f t="shared" si="2"/>
        <v>2024 08</v>
      </c>
    </row>
    <row r="324" ht="22.5" customHeight="1">
      <c r="A324" s="12">
        <f>IFERROR(__xludf.DUMMYFUNCTION("""COMPUTED_VALUE"""),46.0)</f>
        <v>46</v>
      </c>
      <c r="B324" s="13">
        <f>IFERROR(__xludf.DUMMYFUNCTION("""COMPUTED_VALUE"""),45536.0)</f>
        <v>45536</v>
      </c>
      <c r="C324" s="12">
        <f>IFERROR(__xludf.DUMMYFUNCTION("""COMPUTED_VALUE"""),207.0)</f>
        <v>207</v>
      </c>
      <c r="D324" s="12">
        <f>IFERROR(__xludf.DUMMYFUNCTION("""COMPUTED_VALUE"""),10.0)</f>
        <v>10</v>
      </c>
      <c r="E324" s="12">
        <f>IFERROR(__xludf.DUMMYFUNCTION("""COMPUTED_VALUE"""),1.0)</f>
        <v>1</v>
      </c>
      <c r="F324" s="12">
        <f>IFERROR(__xludf.DUMMYFUNCTION("""COMPUTED_VALUE"""),4.0)</f>
        <v>4</v>
      </c>
      <c r="G324" s="15" t="str">
        <f>IFERROR(__xludf.DUMMYFUNCTION("""COMPUTED_VALUE"""),"Completa")</f>
        <v>Completa</v>
      </c>
      <c r="H324" s="16" t="str">
        <f t="array" ref="H324">_xlfn.XLOOKUP(D324,Productos[ID_Producto],Productos[Nombre_Producto])</f>
        <v>Costilla de cerdo</v>
      </c>
      <c r="I324" s="17">
        <f t="array" ref="I324">_xlfn.XLOOKUP(D324,Productos[ID_Producto],Productos[Precio_Unitario])</f>
        <v>14.25</v>
      </c>
      <c r="J324" s="17">
        <f t="shared" si="1"/>
        <v>14.25</v>
      </c>
      <c r="K324" s="16" t="str">
        <f t="array" ref="K324">_xlfn.XLOOKUP(C324,Clientes[ID_Cliente],Clientes[Provincia])</f>
        <v>Buenos Aires</v>
      </c>
      <c r="L324" s="16" t="str">
        <f t="array" ref="L324">CONCATENATE(_xlfn.XLOOKUP(C324,Clientes[ID_Cliente],Clientes[Provincia]),", Argentina")</f>
        <v>Buenos Aires, Argentina</v>
      </c>
      <c r="M324" s="20" t="str">
        <f t="array" ref="M324">_xlfn.XLOOKUP(F324,Metodos_De_Pago[ID_Metodo],Metodos_De_Pago[Metodo])</f>
        <v>Mercado Pago</v>
      </c>
      <c r="N324" s="20" t="str">
        <f t="shared" si="2"/>
        <v>2024 09</v>
      </c>
    </row>
    <row r="325" ht="22.5" customHeight="1">
      <c r="A325" s="12">
        <f>IFERROR(__xludf.DUMMYFUNCTION("""COMPUTED_VALUE"""),1964.0)</f>
        <v>1964</v>
      </c>
      <c r="B325" s="13">
        <f>IFERROR(__xludf.DUMMYFUNCTION("""COMPUTED_VALUE"""),45536.0)</f>
        <v>45536</v>
      </c>
      <c r="C325" s="12">
        <f>IFERROR(__xludf.DUMMYFUNCTION("""COMPUTED_VALUE"""),319.0)</f>
        <v>319</v>
      </c>
      <c r="D325" s="12">
        <f>IFERROR(__xludf.DUMMYFUNCTION("""COMPUTED_VALUE"""),29.0)</f>
        <v>29</v>
      </c>
      <c r="E325" s="12">
        <f>IFERROR(__xludf.DUMMYFUNCTION("""COMPUTED_VALUE"""),1.0)</f>
        <v>1</v>
      </c>
      <c r="F325" s="12">
        <f>IFERROR(__xludf.DUMMYFUNCTION("""COMPUTED_VALUE"""),5.0)</f>
        <v>5</v>
      </c>
      <c r="G325" s="15" t="str">
        <f>IFERROR(__xludf.DUMMYFUNCTION("""COMPUTED_VALUE"""),"Completa")</f>
        <v>Completa</v>
      </c>
      <c r="H325" s="16" t="str">
        <f t="array" ref="H325">_xlfn.XLOOKUP(D325,Productos[ID_Producto],Productos[Nombre_Producto])</f>
        <v>Cerveza</v>
      </c>
      <c r="I325" s="17">
        <f t="array" ref="I325">_xlfn.XLOOKUP(D325,Productos[ID_Producto],Productos[Precio_Unitario])</f>
        <v>11.54</v>
      </c>
      <c r="J325" s="17">
        <f t="shared" si="1"/>
        <v>11.54</v>
      </c>
      <c r="K325" s="16" t="str">
        <f t="array" ref="K325">_xlfn.XLOOKUP(C325,Clientes[ID_Cliente],Clientes[Provincia])</f>
        <v>Neuquén</v>
      </c>
      <c r="L325" s="16" t="str">
        <f t="array" ref="L325">CONCATENATE(_xlfn.XLOOKUP(C325,Clientes[ID_Cliente],Clientes[Provincia]),", Argentina")</f>
        <v>Neuquén, Argentina</v>
      </c>
      <c r="M325" s="20" t="str">
        <f t="array" ref="M325">_xlfn.XLOOKUP(F325,Metodos_De_Pago[ID_Metodo],Metodos_De_Pago[Metodo])</f>
        <v>Transferencia</v>
      </c>
      <c r="N325" s="20" t="str">
        <f t="shared" si="2"/>
        <v>2024 09</v>
      </c>
    </row>
    <row r="326" ht="22.5" customHeight="1">
      <c r="A326" s="12">
        <f>IFERROR(__xludf.DUMMYFUNCTION("""COMPUTED_VALUE"""),624.0)</f>
        <v>624</v>
      </c>
      <c r="B326" s="13">
        <f>IFERROR(__xludf.DUMMYFUNCTION("""COMPUTED_VALUE"""),45538.0)</f>
        <v>45538</v>
      </c>
      <c r="C326" s="12">
        <f>IFERROR(__xludf.DUMMYFUNCTION("""COMPUTED_VALUE"""),297.0)</f>
        <v>297</v>
      </c>
      <c r="D326" s="12">
        <f>IFERROR(__xludf.DUMMYFUNCTION("""COMPUTED_VALUE"""),36.0)</f>
        <v>36</v>
      </c>
      <c r="E326" s="12">
        <f>IFERROR(__xludf.DUMMYFUNCTION("""COMPUTED_VALUE"""),1.0)</f>
        <v>1</v>
      </c>
      <c r="F326" s="12">
        <f>IFERROR(__xludf.DUMMYFUNCTION("""COMPUTED_VALUE"""),5.0)</f>
        <v>5</v>
      </c>
      <c r="G326" s="15" t="str">
        <f>IFERROR(__xludf.DUMMYFUNCTION("""COMPUTED_VALUE"""),"Completa")</f>
        <v>Completa</v>
      </c>
      <c r="H326" s="16" t="str">
        <f t="array" ref="H326">_xlfn.XLOOKUP(D326,Productos[ID_Producto],Productos[Nombre_Producto])</f>
        <v>Lentejas</v>
      </c>
      <c r="I326" s="17">
        <f t="array" ref="I326">_xlfn.XLOOKUP(D326,Productos[ID_Producto],Productos[Precio_Unitario])</f>
        <v>3.25</v>
      </c>
      <c r="J326" s="17">
        <f t="shared" si="1"/>
        <v>3.25</v>
      </c>
      <c r="K326" s="16" t="str">
        <f t="array" ref="K326">_xlfn.XLOOKUP(C326,Clientes[ID_Cliente],Clientes[Provincia])</f>
        <v>Buenos Aires</v>
      </c>
      <c r="L326" s="16" t="str">
        <f t="array" ref="L326">CONCATENATE(_xlfn.XLOOKUP(C326,Clientes[ID_Cliente],Clientes[Provincia]),", Argentina")</f>
        <v>Buenos Aires, Argentina</v>
      </c>
      <c r="M326" s="20" t="str">
        <f t="array" ref="M326">_xlfn.XLOOKUP(F326,Metodos_De_Pago[ID_Metodo],Metodos_De_Pago[Metodo])</f>
        <v>Transferencia</v>
      </c>
      <c r="N326" s="20" t="str">
        <f t="shared" si="2"/>
        <v>2024 09</v>
      </c>
    </row>
    <row r="327" ht="22.5" customHeight="1">
      <c r="A327" s="12">
        <f>IFERROR(__xludf.DUMMYFUNCTION("""COMPUTED_VALUE"""),1039.0)</f>
        <v>1039</v>
      </c>
      <c r="B327" s="13">
        <f>IFERROR(__xludf.DUMMYFUNCTION("""COMPUTED_VALUE"""),45539.0)</f>
        <v>45539</v>
      </c>
      <c r="C327" s="12">
        <f>IFERROR(__xludf.DUMMYFUNCTION("""COMPUTED_VALUE"""),314.0)</f>
        <v>314</v>
      </c>
      <c r="D327" s="12">
        <f>IFERROR(__xludf.DUMMYFUNCTION("""COMPUTED_VALUE"""),22.0)</f>
        <v>22</v>
      </c>
      <c r="E327" s="12">
        <f>IFERROR(__xludf.DUMMYFUNCTION("""COMPUTED_VALUE"""),1.0)</f>
        <v>1</v>
      </c>
      <c r="F327" s="12">
        <f>IFERROR(__xludf.DUMMYFUNCTION("""COMPUTED_VALUE"""),4.0)</f>
        <v>4</v>
      </c>
      <c r="G327" s="15" t="str">
        <f>IFERROR(__xludf.DUMMYFUNCTION("""COMPUTED_VALUE"""),"Completa")</f>
        <v>Completa</v>
      </c>
      <c r="H327" s="16" t="str">
        <f t="array" ref="H327">_xlfn.XLOOKUP(D327,Productos[ID_Producto],Productos[Nombre_Producto])</f>
        <v>Cebolla</v>
      </c>
      <c r="I327" s="17">
        <f t="array" ref="I327">_xlfn.XLOOKUP(D327,Productos[ID_Producto],Productos[Precio_Unitario])</f>
        <v>4.21</v>
      </c>
      <c r="J327" s="17">
        <f t="shared" si="1"/>
        <v>4.21</v>
      </c>
      <c r="K327" s="16" t="str">
        <f t="array" ref="K327">_xlfn.XLOOKUP(C327,Clientes[ID_Cliente],Clientes[Provincia])</f>
        <v>Neuquén</v>
      </c>
      <c r="L327" s="16" t="str">
        <f t="array" ref="L327">CONCATENATE(_xlfn.XLOOKUP(C327,Clientes[ID_Cliente],Clientes[Provincia]),", Argentina")</f>
        <v>Neuquén, Argentina</v>
      </c>
      <c r="M327" s="20" t="str">
        <f t="array" ref="M327">_xlfn.XLOOKUP(F327,Metodos_De_Pago[ID_Metodo],Metodos_De_Pago[Metodo])</f>
        <v>Mercado Pago</v>
      </c>
      <c r="N327" s="20" t="str">
        <f t="shared" si="2"/>
        <v>2024 09</v>
      </c>
    </row>
    <row r="328" ht="22.5" customHeight="1">
      <c r="A328" s="12">
        <f>IFERROR(__xludf.DUMMYFUNCTION("""COMPUTED_VALUE"""),2530.0)</f>
        <v>2530</v>
      </c>
      <c r="B328" s="13">
        <f>IFERROR(__xludf.DUMMYFUNCTION("""COMPUTED_VALUE"""),45540.0)</f>
        <v>45540</v>
      </c>
      <c r="C328" s="12">
        <f>IFERROR(__xludf.DUMMYFUNCTION("""COMPUTED_VALUE"""),218.0)</f>
        <v>218</v>
      </c>
      <c r="D328" s="12">
        <f>IFERROR(__xludf.DUMMYFUNCTION("""COMPUTED_VALUE"""),4.0)</f>
        <v>4</v>
      </c>
      <c r="E328" s="12">
        <f>IFERROR(__xludf.DUMMYFUNCTION("""COMPUTED_VALUE"""),1.0)</f>
        <v>1</v>
      </c>
      <c r="F328" s="12">
        <f>IFERROR(__xludf.DUMMYFUNCTION("""COMPUTED_VALUE"""),4.0)</f>
        <v>4</v>
      </c>
      <c r="G328" s="15" t="str">
        <f>IFERROR(__xludf.DUMMYFUNCTION("""COMPUTED_VALUE"""),"Completa")</f>
        <v>Completa</v>
      </c>
      <c r="H328" s="16" t="str">
        <f t="array" ref="H328">_xlfn.XLOOKUP(D328,Productos[ID_Producto],Productos[Nombre_Producto])</f>
        <v>Queso rallado</v>
      </c>
      <c r="I328" s="17">
        <f t="array" ref="I328">_xlfn.XLOOKUP(D328,Productos[ID_Producto],Productos[Precio_Unitario])</f>
        <v>19.23</v>
      </c>
      <c r="J328" s="17">
        <f t="shared" si="1"/>
        <v>19.23</v>
      </c>
      <c r="K328" s="16" t="str">
        <f t="array" ref="K328">_xlfn.XLOOKUP(C328,Clientes[ID_Cliente],Clientes[Provincia])</f>
        <v>Córdoba</v>
      </c>
      <c r="L328" s="16" t="str">
        <f t="array" ref="L328">CONCATENATE(_xlfn.XLOOKUP(C328,Clientes[ID_Cliente],Clientes[Provincia]),", Argentina")</f>
        <v>Córdoba, Argentina</v>
      </c>
      <c r="M328" s="20" t="str">
        <f t="array" ref="M328">_xlfn.XLOOKUP(F328,Metodos_De_Pago[ID_Metodo],Metodos_De_Pago[Metodo])</f>
        <v>Mercado Pago</v>
      </c>
      <c r="N328" s="20" t="str">
        <f t="shared" si="2"/>
        <v>2024 09</v>
      </c>
    </row>
    <row r="329" ht="22.5" customHeight="1">
      <c r="A329" s="12">
        <f>IFERROR(__xludf.DUMMYFUNCTION("""COMPUTED_VALUE"""),2025.0)</f>
        <v>2025</v>
      </c>
      <c r="B329" s="13">
        <f>IFERROR(__xludf.DUMMYFUNCTION("""COMPUTED_VALUE"""),45541.0)</f>
        <v>45541</v>
      </c>
      <c r="C329" s="12">
        <f>IFERROR(__xludf.DUMMYFUNCTION("""COMPUTED_VALUE"""),59.0)</f>
        <v>59</v>
      </c>
      <c r="D329" s="12">
        <f>IFERROR(__xludf.DUMMYFUNCTION("""COMPUTED_VALUE"""),4.0)</f>
        <v>4</v>
      </c>
      <c r="E329" s="12">
        <f>IFERROR(__xludf.DUMMYFUNCTION("""COMPUTED_VALUE"""),1.0)</f>
        <v>1</v>
      </c>
      <c r="F329" s="12">
        <f>IFERROR(__xludf.DUMMYFUNCTION("""COMPUTED_VALUE"""),1.0)</f>
        <v>1</v>
      </c>
      <c r="G329" s="15" t="str">
        <f>IFERROR(__xludf.DUMMYFUNCTION("""COMPUTED_VALUE"""),"Completa")</f>
        <v>Completa</v>
      </c>
      <c r="H329" s="16" t="str">
        <f t="array" ref="H329">_xlfn.XLOOKUP(D329,Productos[ID_Producto],Productos[Nombre_Producto])</f>
        <v>Queso rallado</v>
      </c>
      <c r="I329" s="17">
        <f t="array" ref="I329">_xlfn.XLOOKUP(D329,Productos[ID_Producto],Productos[Precio_Unitario])</f>
        <v>19.23</v>
      </c>
      <c r="J329" s="17">
        <f t="shared" si="1"/>
        <v>19.23</v>
      </c>
      <c r="K329" s="16" t="str">
        <f t="array" ref="K329">_xlfn.XLOOKUP(C329,Clientes[ID_Cliente],Clientes[Provincia])</f>
        <v>Córdoba</v>
      </c>
      <c r="L329" s="16" t="str">
        <f t="array" ref="L329">CONCATENATE(_xlfn.XLOOKUP(C329,Clientes[ID_Cliente],Clientes[Provincia]),", Argentina")</f>
        <v>Córdoba, Argentina</v>
      </c>
      <c r="M329" s="20" t="str">
        <f t="array" ref="M329">_xlfn.XLOOKUP(F329,Metodos_De_Pago[ID_Metodo],Metodos_De_Pago[Metodo])</f>
        <v>Efectivo</v>
      </c>
      <c r="N329" s="20" t="str">
        <f t="shared" si="2"/>
        <v>2024 09</v>
      </c>
    </row>
    <row r="330" ht="22.5" customHeight="1">
      <c r="A330" s="12">
        <f>IFERROR(__xludf.DUMMYFUNCTION("""COMPUTED_VALUE"""),2607.0)</f>
        <v>2607</v>
      </c>
      <c r="B330" s="13">
        <f>IFERROR(__xludf.DUMMYFUNCTION("""COMPUTED_VALUE"""),45541.0)</f>
        <v>45541</v>
      </c>
      <c r="C330" s="12">
        <f>IFERROR(__xludf.DUMMYFUNCTION("""COMPUTED_VALUE"""),214.0)</f>
        <v>214</v>
      </c>
      <c r="D330" s="12">
        <f>IFERROR(__xludf.DUMMYFUNCTION("""COMPUTED_VALUE"""),38.0)</f>
        <v>38</v>
      </c>
      <c r="E330" s="12">
        <f>IFERROR(__xludf.DUMMYFUNCTION("""COMPUTED_VALUE"""),1.0)</f>
        <v>1</v>
      </c>
      <c r="F330" s="12">
        <f>IFERROR(__xludf.DUMMYFUNCTION("""COMPUTED_VALUE"""),1.0)</f>
        <v>1</v>
      </c>
      <c r="G330" s="15" t="str">
        <f>IFERROR(__xludf.DUMMYFUNCTION("""COMPUTED_VALUE"""),"Completa")</f>
        <v>Completa</v>
      </c>
      <c r="H330" s="16" t="str">
        <f t="array" ref="H330">_xlfn.XLOOKUP(D330,Productos[ID_Producto],Productos[Nombre_Producto])</f>
        <v>Atún enlatado</v>
      </c>
      <c r="I330" s="17">
        <f t="array" ref="I330">_xlfn.XLOOKUP(D330,Productos[ID_Producto],Productos[Precio_Unitario])</f>
        <v>6.21</v>
      </c>
      <c r="J330" s="17">
        <f t="shared" si="1"/>
        <v>6.21</v>
      </c>
      <c r="K330" s="16" t="str">
        <f t="array" ref="K330">_xlfn.XLOOKUP(C330,Clientes[ID_Cliente],Clientes[Provincia])</f>
        <v>Neuquén</v>
      </c>
      <c r="L330" s="16" t="str">
        <f t="array" ref="L330">CONCATENATE(_xlfn.XLOOKUP(C330,Clientes[ID_Cliente],Clientes[Provincia]),", Argentina")</f>
        <v>Neuquén, Argentina</v>
      </c>
      <c r="M330" s="20" t="str">
        <f t="array" ref="M330">_xlfn.XLOOKUP(F330,Metodos_De_Pago[ID_Metodo],Metodos_De_Pago[Metodo])</f>
        <v>Efectivo</v>
      </c>
      <c r="N330" s="20" t="str">
        <f t="shared" si="2"/>
        <v>2024 09</v>
      </c>
    </row>
    <row r="331" ht="22.5" customHeight="1">
      <c r="A331" s="12">
        <f>IFERROR(__xludf.DUMMYFUNCTION("""COMPUTED_VALUE"""),2200.0)</f>
        <v>2200</v>
      </c>
      <c r="B331" s="13">
        <f>IFERROR(__xludf.DUMMYFUNCTION("""COMPUTED_VALUE"""),45543.0)</f>
        <v>45543</v>
      </c>
      <c r="C331" s="12">
        <f>IFERROR(__xludf.DUMMYFUNCTION("""COMPUTED_VALUE"""),115.0)</f>
        <v>115</v>
      </c>
      <c r="D331" s="12">
        <f>IFERROR(__xludf.DUMMYFUNCTION("""COMPUTED_VALUE"""),28.0)</f>
        <v>28</v>
      </c>
      <c r="E331" s="12">
        <f>IFERROR(__xludf.DUMMYFUNCTION("""COMPUTED_VALUE"""),1.0)</f>
        <v>1</v>
      </c>
      <c r="F331" s="12">
        <f>IFERROR(__xludf.DUMMYFUNCTION("""COMPUTED_VALUE"""),1.0)</f>
        <v>1</v>
      </c>
      <c r="G331" s="15" t="str">
        <f>IFERROR(__xludf.DUMMYFUNCTION("""COMPUTED_VALUE"""),"Completa")</f>
        <v>Completa</v>
      </c>
      <c r="H331" s="16" t="str">
        <f t="array" ref="H331">_xlfn.XLOOKUP(D331,Productos[ID_Producto],Productos[Nombre_Producto])</f>
        <v>Jugos de frutas</v>
      </c>
      <c r="I331" s="17">
        <f t="array" ref="I331">_xlfn.XLOOKUP(D331,Productos[ID_Producto],Productos[Precio_Unitario])</f>
        <v>9.45</v>
      </c>
      <c r="J331" s="17">
        <f t="shared" si="1"/>
        <v>9.45</v>
      </c>
      <c r="K331" s="16" t="str">
        <f t="array" ref="K331">_xlfn.XLOOKUP(C331,Clientes[ID_Cliente],Clientes[Provincia])</f>
        <v>San Luis</v>
      </c>
      <c r="L331" s="16" t="str">
        <f t="array" ref="L331">CONCATENATE(_xlfn.XLOOKUP(C331,Clientes[ID_Cliente],Clientes[Provincia]),", Argentina")</f>
        <v>San Luis, Argentina</v>
      </c>
      <c r="M331" s="20" t="str">
        <f t="array" ref="M331">_xlfn.XLOOKUP(F331,Metodos_De_Pago[ID_Metodo],Metodos_De_Pago[Metodo])</f>
        <v>Efectivo</v>
      </c>
      <c r="N331" s="20" t="str">
        <f t="shared" si="2"/>
        <v>2024 09</v>
      </c>
    </row>
    <row r="332" ht="22.5" customHeight="1">
      <c r="A332" s="12">
        <f>IFERROR(__xludf.DUMMYFUNCTION("""COMPUTED_VALUE"""),402.0)</f>
        <v>402</v>
      </c>
      <c r="B332" s="13">
        <f>IFERROR(__xludf.DUMMYFUNCTION("""COMPUTED_VALUE"""),45544.0)</f>
        <v>45544</v>
      </c>
      <c r="C332" s="12">
        <f>IFERROR(__xludf.DUMMYFUNCTION("""COMPUTED_VALUE"""),45.0)</f>
        <v>45</v>
      </c>
      <c r="D332" s="12">
        <f>IFERROR(__xludf.DUMMYFUNCTION("""COMPUTED_VALUE"""),25.0)</f>
        <v>25</v>
      </c>
      <c r="E332" s="12">
        <f>IFERROR(__xludf.DUMMYFUNCTION("""COMPUTED_VALUE"""),1.0)</f>
        <v>1</v>
      </c>
      <c r="F332" s="12">
        <f>IFERROR(__xludf.DUMMYFUNCTION("""COMPUTED_VALUE"""),5.0)</f>
        <v>5</v>
      </c>
      <c r="G332" s="15" t="str">
        <f>IFERROR(__xludf.DUMMYFUNCTION("""COMPUTED_VALUE"""),"Completa")</f>
        <v>Completa</v>
      </c>
      <c r="H332" s="16" t="str">
        <f t="array" ref="H332">_xlfn.XLOOKUP(D332,Productos[ID_Producto],Productos[Nombre_Producto])</f>
        <v>Pizza congelada</v>
      </c>
      <c r="I332" s="17">
        <f t="array" ref="I332">_xlfn.XLOOKUP(D332,Productos[ID_Producto],Productos[Precio_Unitario])</f>
        <v>15.45</v>
      </c>
      <c r="J332" s="17">
        <f t="shared" si="1"/>
        <v>15.45</v>
      </c>
      <c r="K332" s="16" t="str">
        <f t="array" ref="K332">_xlfn.XLOOKUP(C332,Clientes[ID_Cliente],Clientes[Provincia])</f>
        <v>Buenos Aires</v>
      </c>
      <c r="L332" s="16" t="str">
        <f t="array" ref="L332">CONCATENATE(_xlfn.XLOOKUP(C332,Clientes[ID_Cliente],Clientes[Provincia]),", Argentina")</f>
        <v>Buenos Aires, Argentina</v>
      </c>
      <c r="M332" s="20" t="str">
        <f t="array" ref="M332">_xlfn.XLOOKUP(F332,Metodos_De_Pago[ID_Metodo],Metodos_De_Pago[Metodo])</f>
        <v>Transferencia</v>
      </c>
      <c r="N332" s="20" t="str">
        <f t="shared" si="2"/>
        <v>2024 09</v>
      </c>
    </row>
    <row r="333" ht="22.5" customHeight="1">
      <c r="A333" s="12">
        <f>IFERROR(__xludf.DUMMYFUNCTION("""COMPUTED_VALUE"""),1821.0)</f>
        <v>1821</v>
      </c>
      <c r="B333" s="13">
        <f>IFERROR(__xludf.DUMMYFUNCTION("""COMPUTED_VALUE"""),45544.0)</f>
        <v>45544</v>
      </c>
      <c r="C333" s="12">
        <f>IFERROR(__xludf.DUMMYFUNCTION("""COMPUTED_VALUE"""),143.0)</f>
        <v>143</v>
      </c>
      <c r="D333" s="12">
        <f>IFERROR(__xludf.DUMMYFUNCTION("""COMPUTED_VALUE"""),16.0)</f>
        <v>16</v>
      </c>
      <c r="E333" s="12">
        <f>IFERROR(__xludf.DUMMYFUNCTION("""COMPUTED_VALUE"""),1.0)</f>
        <v>1</v>
      </c>
      <c r="F333" s="12">
        <f>IFERROR(__xludf.DUMMYFUNCTION("""COMPUTED_VALUE"""),4.0)</f>
        <v>4</v>
      </c>
      <c r="G333" s="15" t="str">
        <f>IFERROR(__xludf.DUMMYFUNCTION("""COMPUTED_VALUE"""),"Completa")</f>
        <v>Completa</v>
      </c>
      <c r="H333" s="16" t="str">
        <f t="array" ref="H333">_xlfn.XLOOKUP(D333,Productos[ID_Producto],Productos[Nombre_Producto])</f>
        <v>Tortas</v>
      </c>
      <c r="I333" s="17">
        <f t="array" ref="I333">_xlfn.XLOOKUP(D333,Productos[ID_Producto],Productos[Precio_Unitario])</f>
        <v>15.23</v>
      </c>
      <c r="J333" s="17">
        <f t="shared" si="1"/>
        <v>15.23</v>
      </c>
      <c r="K333" s="16" t="str">
        <f t="array" ref="K333">_xlfn.XLOOKUP(C333,Clientes[ID_Cliente],Clientes[Provincia])</f>
        <v>Buenos Aires</v>
      </c>
      <c r="L333" s="16" t="str">
        <f t="array" ref="L333">CONCATENATE(_xlfn.XLOOKUP(C333,Clientes[ID_Cliente],Clientes[Provincia]),", Argentina")</f>
        <v>Buenos Aires, Argentina</v>
      </c>
      <c r="M333" s="20" t="str">
        <f t="array" ref="M333">_xlfn.XLOOKUP(F333,Metodos_De_Pago[ID_Metodo],Metodos_De_Pago[Metodo])</f>
        <v>Mercado Pago</v>
      </c>
      <c r="N333" s="20" t="str">
        <f t="shared" si="2"/>
        <v>2024 09</v>
      </c>
    </row>
    <row r="334" ht="22.5" customHeight="1">
      <c r="A334" s="12">
        <f>IFERROR(__xludf.DUMMYFUNCTION("""COMPUTED_VALUE"""),2359.0)</f>
        <v>2359</v>
      </c>
      <c r="B334" s="13">
        <f>IFERROR(__xludf.DUMMYFUNCTION("""COMPUTED_VALUE"""),45545.0)</f>
        <v>45545</v>
      </c>
      <c r="C334" s="12">
        <f>IFERROR(__xludf.DUMMYFUNCTION("""COMPUTED_VALUE"""),230.0)</f>
        <v>230</v>
      </c>
      <c r="D334" s="12">
        <f>IFERROR(__xludf.DUMMYFUNCTION("""COMPUTED_VALUE"""),35.0)</f>
        <v>35</v>
      </c>
      <c r="E334" s="12">
        <f>IFERROR(__xludf.DUMMYFUNCTION("""COMPUTED_VALUE"""),1.0)</f>
        <v>1</v>
      </c>
      <c r="F334" s="12">
        <f>IFERROR(__xludf.DUMMYFUNCTION("""COMPUTED_VALUE"""),4.0)</f>
        <v>4</v>
      </c>
      <c r="G334" s="15" t="str">
        <f>IFERROR(__xludf.DUMMYFUNCTION("""COMPUTED_VALUE"""),"Pendiente")</f>
        <v>Pendiente</v>
      </c>
      <c r="H334" s="16" t="str">
        <f t="array" ref="H334">_xlfn.XLOOKUP(D334,Productos[ID_Producto],Productos[Nombre_Producto])</f>
        <v>Arroz</v>
      </c>
      <c r="I334" s="17">
        <f t="array" ref="I334">_xlfn.XLOOKUP(D334,Productos[ID_Producto],Productos[Precio_Unitario])</f>
        <v>4.25</v>
      </c>
      <c r="J334" s="17">
        <f t="shared" si="1"/>
        <v>4.25</v>
      </c>
      <c r="K334" s="16" t="str">
        <f t="array" ref="K334">_xlfn.XLOOKUP(C334,Clientes[ID_Cliente],Clientes[Provincia])</f>
        <v>Córdoba</v>
      </c>
      <c r="L334" s="16" t="str">
        <f t="array" ref="L334">CONCATENATE(_xlfn.XLOOKUP(C334,Clientes[ID_Cliente],Clientes[Provincia]),", Argentina")</f>
        <v>Córdoba, Argentina</v>
      </c>
      <c r="M334" s="20" t="str">
        <f t="array" ref="M334">_xlfn.XLOOKUP(F334,Metodos_De_Pago[ID_Metodo],Metodos_De_Pago[Metodo])</f>
        <v>Mercado Pago</v>
      </c>
      <c r="N334" s="20" t="str">
        <f t="shared" si="2"/>
        <v>2024 09</v>
      </c>
    </row>
    <row r="335" ht="22.5" customHeight="1">
      <c r="A335" s="12">
        <f>IFERROR(__xludf.DUMMYFUNCTION("""COMPUTED_VALUE"""),2649.0)</f>
        <v>2649</v>
      </c>
      <c r="B335" s="13">
        <f>IFERROR(__xludf.DUMMYFUNCTION("""COMPUTED_VALUE"""),45546.0)</f>
        <v>45546</v>
      </c>
      <c r="C335" s="12">
        <f>IFERROR(__xludf.DUMMYFUNCTION("""COMPUTED_VALUE"""),294.0)</f>
        <v>294</v>
      </c>
      <c r="D335" s="12">
        <f>IFERROR(__xludf.DUMMYFUNCTION("""COMPUTED_VALUE"""),28.0)</f>
        <v>28</v>
      </c>
      <c r="E335" s="12">
        <f>IFERROR(__xludf.DUMMYFUNCTION("""COMPUTED_VALUE"""),1.0)</f>
        <v>1</v>
      </c>
      <c r="F335" s="12">
        <f>IFERROR(__xludf.DUMMYFUNCTION("""COMPUTED_VALUE"""),4.0)</f>
        <v>4</v>
      </c>
      <c r="G335" s="15" t="str">
        <f>IFERROR(__xludf.DUMMYFUNCTION("""COMPUTED_VALUE"""),"Pendiente")</f>
        <v>Pendiente</v>
      </c>
      <c r="H335" s="16" t="str">
        <f t="array" ref="H335">_xlfn.XLOOKUP(D335,Productos[ID_Producto],Productos[Nombre_Producto])</f>
        <v>Jugos de frutas</v>
      </c>
      <c r="I335" s="17">
        <f t="array" ref="I335">_xlfn.XLOOKUP(D335,Productos[ID_Producto],Productos[Precio_Unitario])</f>
        <v>9.45</v>
      </c>
      <c r="J335" s="17">
        <f t="shared" si="1"/>
        <v>9.45</v>
      </c>
      <c r="K335" s="16" t="str">
        <f t="array" ref="K335">_xlfn.XLOOKUP(C335,Clientes[ID_Cliente],Clientes[Provincia])</f>
        <v>Córdoba</v>
      </c>
      <c r="L335" s="16" t="str">
        <f t="array" ref="L335">CONCATENATE(_xlfn.XLOOKUP(C335,Clientes[ID_Cliente],Clientes[Provincia]),", Argentina")</f>
        <v>Córdoba, Argentina</v>
      </c>
      <c r="M335" s="20" t="str">
        <f t="array" ref="M335">_xlfn.XLOOKUP(F335,Metodos_De_Pago[ID_Metodo],Metodos_De_Pago[Metodo])</f>
        <v>Mercado Pago</v>
      </c>
      <c r="N335" s="20" t="str">
        <f t="shared" si="2"/>
        <v>2024 09</v>
      </c>
    </row>
    <row r="336" ht="22.5" customHeight="1">
      <c r="A336" s="12">
        <f>IFERROR(__xludf.DUMMYFUNCTION("""COMPUTED_VALUE"""),1466.0)</f>
        <v>1466</v>
      </c>
      <c r="B336" s="13">
        <f>IFERROR(__xludf.DUMMYFUNCTION("""COMPUTED_VALUE"""),45547.0)</f>
        <v>45547</v>
      </c>
      <c r="C336" s="12">
        <f>IFERROR(__xludf.DUMMYFUNCTION("""COMPUTED_VALUE"""),215.0)</f>
        <v>215</v>
      </c>
      <c r="D336" s="12">
        <f>IFERROR(__xludf.DUMMYFUNCTION("""COMPUTED_VALUE"""),17.0)</f>
        <v>17</v>
      </c>
      <c r="E336" s="12">
        <f>IFERROR(__xludf.DUMMYFUNCTION("""COMPUTED_VALUE"""),1.0)</f>
        <v>1</v>
      </c>
      <c r="F336" s="12">
        <f>IFERROR(__xludf.DUMMYFUNCTION("""COMPUTED_VALUE"""),1.0)</f>
        <v>1</v>
      </c>
      <c r="G336" s="15" t="str">
        <f>IFERROR(__xludf.DUMMYFUNCTION("""COMPUTED_VALUE"""),"Completa")</f>
        <v>Completa</v>
      </c>
      <c r="H336" s="16" t="str">
        <f t="array" ref="H336">_xlfn.XLOOKUP(D336,Productos[ID_Producto],Productos[Nombre_Producto])</f>
        <v>Manzanas</v>
      </c>
      <c r="I336" s="17">
        <f t="array" ref="I336">_xlfn.XLOOKUP(D336,Productos[ID_Producto],Productos[Precio_Unitario])</f>
        <v>6.54</v>
      </c>
      <c r="J336" s="17">
        <f t="shared" si="1"/>
        <v>6.54</v>
      </c>
      <c r="K336" s="16" t="str">
        <f t="array" ref="K336">_xlfn.XLOOKUP(C336,Clientes[ID_Cliente],Clientes[Provincia])</f>
        <v>Chaco</v>
      </c>
      <c r="L336" s="16" t="str">
        <f t="array" ref="L336">CONCATENATE(_xlfn.XLOOKUP(C336,Clientes[ID_Cliente],Clientes[Provincia]),", Argentina")</f>
        <v>Chaco, Argentina</v>
      </c>
      <c r="M336" s="20" t="str">
        <f t="array" ref="M336">_xlfn.XLOOKUP(F336,Metodos_De_Pago[ID_Metodo],Metodos_De_Pago[Metodo])</f>
        <v>Efectivo</v>
      </c>
      <c r="N336" s="20" t="str">
        <f t="shared" si="2"/>
        <v>2024 09</v>
      </c>
    </row>
    <row r="337" ht="22.5" customHeight="1">
      <c r="A337" s="12">
        <f>IFERROR(__xludf.DUMMYFUNCTION("""COMPUTED_VALUE"""),1132.0)</f>
        <v>1132</v>
      </c>
      <c r="B337" s="13">
        <f>IFERROR(__xludf.DUMMYFUNCTION("""COMPUTED_VALUE"""),45548.0)</f>
        <v>45548</v>
      </c>
      <c r="C337" s="12">
        <f>IFERROR(__xludf.DUMMYFUNCTION("""COMPUTED_VALUE"""),88.0)</f>
        <v>88</v>
      </c>
      <c r="D337" s="12">
        <f>IFERROR(__xludf.DUMMYFUNCTION("""COMPUTED_VALUE"""),22.0)</f>
        <v>22</v>
      </c>
      <c r="E337" s="12">
        <f>IFERROR(__xludf.DUMMYFUNCTION("""COMPUTED_VALUE"""),1.0)</f>
        <v>1</v>
      </c>
      <c r="F337" s="12">
        <f>IFERROR(__xludf.DUMMYFUNCTION("""COMPUTED_VALUE"""),4.0)</f>
        <v>4</v>
      </c>
      <c r="G337" s="15" t="str">
        <f>IFERROR(__xludf.DUMMYFUNCTION("""COMPUTED_VALUE"""),"Completa")</f>
        <v>Completa</v>
      </c>
      <c r="H337" s="16" t="str">
        <f t="array" ref="H337">_xlfn.XLOOKUP(D337,Productos[ID_Producto],Productos[Nombre_Producto])</f>
        <v>Cebolla</v>
      </c>
      <c r="I337" s="17">
        <f t="array" ref="I337">_xlfn.XLOOKUP(D337,Productos[ID_Producto],Productos[Precio_Unitario])</f>
        <v>4.21</v>
      </c>
      <c r="J337" s="17">
        <f t="shared" si="1"/>
        <v>4.21</v>
      </c>
      <c r="K337" s="16" t="str">
        <f t="array" ref="K337">_xlfn.XLOOKUP(C337,Clientes[ID_Cliente],Clientes[Provincia])</f>
        <v>Neuquén</v>
      </c>
      <c r="L337" s="16" t="str">
        <f t="array" ref="L337">CONCATENATE(_xlfn.XLOOKUP(C337,Clientes[ID_Cliente],Clientes[Provincia]),", Argentina")</f>
        <v>Neuquén, Argentina</v>
      </c>
      <c r="M337" s="20" t="str">
        <f t="array" ref="M337">_xlfn.XLOOKUP(F337,Metodos_De_Pago[ID_Metodo],Metodos_De_Pago[Metodo])</f>
        <v>Mercado Pago</v>
      </c>
      <c r="N337" s="20" t="str">
        <f t="shared" si="2"/>
        <v>2024 09</v>
      </c>
    </row>
    <row r="338" ht="22.5" customHeight="1">
      <c r="A338" s="12">
        <f>IFERROR(__xludf.DUMMYFUNCTION("""COMPUTED_VALUE"""),499.0)</f>
        <v>499</v>
      </c>
      <c r="B338" s="13">
        <f>IFERROR(__xludf.DUMMYFUNCTION("""COMPUTED_VALUE"""),45552.0)</f>
        <v>45552</v>
      </c>
      <c r="C338" s="12">
        <f>IFERROR(__xludf.DUMMYFUNCTION("""COMPUTED_VALUE"""),197.0)</f>
        <v>197</v>
      </c>
      <c r="D338" s="12">
        <f>IFERROR(__xludf.DUMMYFUNCTION("""COMPUTED_VALUE"""),2.0)</f>
        <v>2</v>
      </c>
      <c r="E338" s="12">
        <f>IFERROR(__xludf.DUMMYFUNCTION("""COMPUTED_VALUE"""),1.0)</f>
        <v>1</v>
      </c>
      <c r="F338" s="12">
        <f>IFERROR(__xludf.DUMMYFUNCTION("""COMPUTED_VALUE"""),1.0)</f>
        <v>1</v>
      </c>
      <c r="G338" s="15" t="str">
        <f>IFERROR(__xludf.DUMMYFUNCTION("""COMPUTED_VALUE"""),"Completa")</f>
        <v>Completa</v>
      </c>
      <c r="H338" s="16" t="str">
        <f t="array" ref="H338">_xlfn.XLOOKUP(D338,Productos[ID_Producto],Productos[Nombre_Producto])</f>
        <v>Yogur</v>
      </c>
      <c r="I338" s="17">
        <f t="array" ref="I338">_xlfn.XLOOKUP(D338,Productos[ID_Producto],Productos[Precio_Unitario])</f>
        <v>5.21</v>
      </c>
      <c r="J338" s="17">
        <f t="shared" si="1"/>
        <v>5.21</v>
      </c>
      <c r="K338" s="16" t="str">
        <f t="array" ref="K338">_xlfn.XLOOKUP(C338,Clientes[ID_Cliente],Clientes[Provincia])</f>
        <v>San Luis</v>
      </c>
      <c r="L338" s="16" t="str">
        <f t="array" ref="L338">CONCATENATE(_xlfn.XLOOKUP(C338,Clientes[ID_Cliente],Clientes[Provincia]),", Argentina")</f>
        <v>San Luis, Argentina</v>
      </c>
      <c r="M338" s="20" t="str">
        <f t="array" ref="M338">_xlfn.XLOOKUP(F338,Metodos_De_Pago[ID_Metodo],Metodos_De_Pago[Metodo])</f>
        <v>Efectivo</v>
      </c>
      <c r="N338" s="20" t="str">
        <f t="shared" si="2"/>
        <v>2024 09</v>
      </c>
    </row>
    <row r="339" ht="22.5" customHeight="1">
      <c r="A339" s="12">
        <f>IFERROR(__xludf.DUMMYFUNCTION("""COMPUTED_VALUE"""),71.0)</f>
        <v>71</v>
      </c>
      <c r="B339" s="13">
        <f>IFERROR(__xludf.DUMMYFUNCTION("""COMPUTED_VALUE"""),45553.0)</f>
        <v>45553</v>
      </c>
      <c r="C339" s="12">
        <f>IFERROR(__xludf.DUMMYFUNCTION("""COMPUTED_VALUE"""),79.0)</f>
        <v>79</v>
      </c>
      <c r="D339" s="12">
        <f>IFERROR(__xludf.DUMMYFUNCTION("""COMPUTED_VALUE"""),3.0)</f>
        <v>3</v>
      </c>
      <c r="E339" s="12">
        <f>IFERROR(__xludf.DUMMYFUNCTION("""COMPUTED_VALUE"""),1.0)</f>
        <v>1</v>
      </c>
      <c r="F339" s="12">
        <f>IFERROR(__xludf.DUMMYFUNCTION("""COMPUTED_VALUE"""),5.0)</f>
        <v>5</v>
      </c>
      <c r="G339" s="15" t="str">
        <f>IFERROR(__xludf.DUMMYFUNCTION("""COMPUTED_VALUE"""),"Completa")</f>
        <v>Completa</v>
      </c>
      <c r="H339" s="16" t="str">
        <f t="array" ref="H339">_xlfn.XLOOKUP(D339,Productos[ID_Producto],Productos[Nombre_Producto])</f>
        <v>Queso cremoso</v>
      </c>
      <c r="I339" s="17">
        <f t="array" ref="I339">_xlfn.XLOOKUP(D339,Productos[ID_Producto],Productos[Precio_Unitario])</f>
        <v>17.23</v>
      </c>
      <c r="J339" s="17">
        <f t="shared" si="1"/>
        <v>17.23</v>
      </c>
      <c r="K339" s="16" t="str">
        <f t="array" ref="K339">_xlfn.XLOOKUP(C339,Clientes[ID_Cliente],Clientes[Provincia])</f>
        <v>Neuquén</v>
      </c>
      <c r="L339" s="16" t="str">
        <f t="array" ref="L339">CONCATENATE(_xlfn.XLOOKUP(C339,Clientes[ID_Cliente],Clientes[Provincia]),", Argentina")</f>
        <v>Neuquén, Argentina</v>
      </c>
      <c r="M339" s="20" t="str">
        <f t="array" ref="M339">_xlfn.XLOOKUP(F339,Metodos_De_Pago[ID_Metodo],Metodos_De_Pago[Metodo])</f>
        <v>Transferencia</v>
      </c>
      <c r="N339" s="20" t="str">
        <f t="shared" si="2"/>
        <v>2024 09</v>
      </c>
    </row>
    <row r="340" ht="22.5" customHeight="1">
      <c r="A340" s="12">
        <f>IFERROR(__xludf.DUMMYFUNCTION("""COMPUTED_VALUE"""),1582.0)</f>
        <v>1582</v>
      </c>
      <c r="B340" s="13">
        <f>IFERROR(__xludf.DUMMYFUNCTION("""COMPUTED_VALUE"""),45553.0)</f>
        <v>45553</v>
      </c>
      <c r="C340" s="12">
        <f>IFERROR(__xludf.DUMMYFUNCTION("""COMPUTED_VALUE"""),245.0)</f>
        <v>245</v>
      </c>
      <c r="D340" s="12">
        <f>IFERROR(__xludf.DUMMYFUNCTION("""COMPUTED_VALUE"""),16.0)</f>
        <v>16</v>
      </c>
      <c r="E340" s="12">
        <f>IFERROR(__xludf.DUMMYFUNCTION("""COMPUTED_VALUE"""),1.0)</f>
        <v>1</v>
      </c>
      <c r="F340" s="12">
        <f>IFERROR(__xludf.DUMMYFUNCTION("""COMPUTED_VALUE"""),2.0)</f>
        <v>2</v>
      </c>
      <c r="G340" s="15" t="str">
        <f>IFERROR(__xludf.DUMMYFUNCTION("""COMPUTED_VALUE"""),"Completa")</f>
        <v>Completa</v>
      </c>
      <c r="H340" s="16" t="str">
        <f t="array" ref="H340">_xlfn.XLOOKUP(D340,Productos[ID_Producto],Productos[Nombre_Producto])</f>
        <v>Tortas</v>
      </c>
      <c r="I340" s="17">
        <f t="array" ref="I340">_xlfn.XLOOKUP(D340,Productos[ID_Producto],Productos[Precio_Unitario])</f>
        <v>15.23</v>
      </c>
      <c r="J340" s="17">
        <f t="shared" si="1"/>
        <v>15.23</v>
      </c>
      <c r="K340" s="16" t="str">
        <f t="array" ref="K340">_xlfn.XLOOKUP(C340,Clientes[ID_Cliente],Clientes[Provincia])</f>
        <v>Chaco</v>
      </c>
      <c r="L340" s="16" t="str">
        <f t="array" ref="L340">CONCATENATE(_xlfn.XLOOKUP(C340,Clientes[ID_Cliente],Clientes[Provincia]),", Argentina")</f>
        <v>Chaco, Argentina</v>
      </c>
      <c r="M340" s="20" t="str">
        <f t="array" ref="M340">_xlfn.XLOOKUP(F340,Metodos_De_Pago[ID_Metodo],Metodos_De_Pago[Metodo])</f>
        <v>Tarjeta de Crédito</v>
      </c>
      <c r="N340" s="20" t="str">
        <f t="shared" si="2"/>
        <v>2024 09</v>
      </c>
    </row>
    <row r="341" ht="22.5" customHeight="1">
      <c r="A341" s="12">
        <f>IFERROR(__xludf.DUMMYFUNCTION("""COMPUTED_VALUE"""),1614.0)</f>
        <v>1614</v>
      </c>
      <c r="B341" s="13">
        <f>IFERROR(__xludf.DUMMYFUNCTION("""COMPUTED_VALUE"""),45553.0)</f>
        <v>45553</v>
      </c>
      <c r="C341" s="12">
        <f>IFERROR(__xludf.DUMMYFUNCTION("""COMPUTED_VALUE"""),60.0)</f>
        <v>60</v>
      </c>
      <c r="D341" s="12">
        <f>IFERROR(__xludf.DUMMYFUNCTION("""COMPUTED_VALUE"""),37.0)</f>
        <v>37</v>
      </c>
      <c r="E341" s="12">
        <f>IFERROR(__xludf.DUMMYFUNCTION("""COMPUTED_VALUE"""),1.0)</f>
        <v>1</v>
      </c>
      <c r="F341" s="12">
        <f>IFERROR(__xludf.DUMMYFUNCTION("""COMPUTED_VALUE"""),1.0)</f>
        <v>1</v>
      </c>
      <c r="G341" s="15" t="str">
        <f>IFERROR(__xludf.DUMMYFUNCTION("""COMPUTED_VALUE"""),"Completa")</f>
        <v>Completa</v>
      </c>
      <c r="H341" s="16" t="str">
        <f t="array" ref="H341">_xlfn.XLOOKUP(D341,Productos[ID_Producto],Productos[Nombre_Producto])</f>
        <v>Garbanzos</v>
      </c>
      <c r="I341" s="17">
        <f t="array" ref="I341">_xlfn.XLOOKUP(D341,Productos[ID_Producto],Productos[Precio_Unitario])</f>
        <v>3.65</v>
      </c>
      <c r="J341" s="17">
        <f t="shared" si="1"/>
        <v>3.65</v>
      </c>
      <c r="K341" s="16" t="str">
        <f t="array" ref="K341">_xlfn.XLOOKUP(C341,Clientes[ID_Cliente],Clientes[Provincia])</f>
        <v>Chaco</v>
      </c>
      <c r="L341" s="16" t="str">
        <f t="array" ref="L341">CONCATENATE(_xlfn.XLOOKUP(C341,Clientes[ID_Cliente],Clientes[Provincia]),", Argentina")</f>
        <v>Chaco, Argentina</v>
      </c>
      <c r="M341" s="20" t="str">
        <f t="array" ref="M341">_xlfn.XLOOKUP(F341,Metodos_De_Pago[ID_Metodo],Metodos_De_Pago[Metodo])</f>
        <v>Efectivo</v>
      </c>
      <c r="N341" s="20" t="str">
        <f t="shared" si="2"/>
        <v>2024 09</v>
      </c>
    </row>
    <row r="342" ht="22.5" customHeight="1">
      <c r="A342" s="12">
        <f>IFERROR(__xludf.DUMMYFUNCTION("""COMPUTED_VALUE"""),1801.0)</f>
        <v>1801</v>
      </c>
      <c r="B342" s="13">
        <f>IFERROR(__xludf.DUMMYFUNCTION("""COMPUTED_VALUE"""),45553.0)</f>
        <v>45553</v>
      </c>
      <c r="C342" s="12">
        <f>IFERROR(__xludf.DUMMYFUNCTION("""COMPUTED_VALUE"""),46.0)</f>
        <v>46</v>
      </c>
      <c r="D342" s="12">
        <f>IFERROR(__xludf.DUMMYFUNCTION("""COMPUTED_VALUE"""),33.0)</f>
        <v>33</v>
      </c>
      <c r="E342" s="12">
        <f>IFERROR(__xludf.DUMMYFUNCTION("""COMPUTED_VALUE"""),1.0)</f>
        <v>1</v>
      </c>
      <c r="F342" s="12">
        <f>IFERROR(__xludf.DUMMYFUNCTION("""COMPUTED_VALUE"""),5.0)</f>
        <v>5</v>
      </c>
      <c r="G342" s="15" t="str">
        <f>IFERROR(__xludf.DUMMYFUNCTION("""COMPUTED_VALUE"""),"Pendiente")</f>
        <v>Pendiente</v>
      </c>
      <c r="H342" s="16" t="str">
        <f t="array" ref="H342">_xlfn.XLOOKUP(D342,Productos[ID_Producto],Productos[Nombre_Producto])</f>
        <v>Papas chips</v>
      </c>
      <c r="I342" s="17">
        <f t="array" ref="I342">_xlfn.XLOOKUP(D342,Productos[ID_Producto],Productos[Precio_Unitario])</f>
        <v>8.54</v>
      </c>
      <c r="J342" s="17">
        <f t="shared" si="1"/>
        <v>8.54</v>
      </c>
      <c r="K342" s="16" t="str">
        <f t="array" ref="K342">_xlfn.XLOOKUP(C342,Clientes[ID_Cliente],Clientes[Provincia])</f>
        <v>Córdoba</v>
      </c>
      <c r="L342" s="16" t="str">
        <f t="array" ref="L342">CONCATENATE(_xlfn.XLOOKUP(C342,Clientes[ID_Cliente],Clientes[Provincia]),", Argentina")</f>
        <v>Córdoba, Argentina</v>
      </c>
      <c r="M342" s="20" t="str">
        <f t="array" ref="M342">_xlfn.XLOOKUP(F342,Metodos_De_Pago[ID_Metodo],Metodos_De_Pago[Metodo])</f>
        <v>Transferencia</v>
      </c>
      <c r="N342" s="20" t="str">
        <f t="shared" si="2"/>
        <v>2024 09</v>
      </c>
    </row>
    <row r="343" ht="22.5" customHeight="1">
      <c r="A343" s="12">
        <f>IFERROR(__xludf.DUMMYFUNCTION("""COMPUTED_VALUE"""),186.0)</f>
        <v>186</v>
      </c>
      <c r="B343" s="13">
        <f>IFERROR(__xludf.DUMMYFUNCTION("""COMPUTED_VALUE"""),45554.0)</f>
        <v>45554</v>
      </c>
      <c r="C343" s="12">
        <f>IFERROR(__xludf.DUMMYFUNCTION("""COMPUTED_VALUE"""),204.0)</f>
        <v>204</v>
      </c>
      <c r="D343" s="12">
        <f>IFERROR(__xludf.DUMMYFUNCTION("""COMPUTED_VALUE"""),12.0)</f>
        <v>12</v>
      </c>
      <c r="E343" s="12">
        <f>IFERROR(__xludf.DUMMYFUNCTION("""COMPUTED_VALUE"""),1.0)</f>
        <v>1</v>
      </c>
      <c r="F343" s="12">
        <f>IFERROR(__xludf.DUMMYFUNCTION("""COMPUTED_VALUE"""),2.0)</f>
        <v>2</v>
      </c>
      <c r="G343" s="15" t="str">
        <f>IFERROR(__xludf.DUMMYFUNCTION("""COMPUTED_VALUE"""),"Completa")</f>
        <v>Completa</v>
      </c>
      <c r="H343" s="16" t="str">
        <f t="array" ref="H343">_xlfn.XLOOKUP(D343,Productos[ID_Producto],Productos[Nombre_Producto])</f>
        <v>Pan francés</v>
      </c>
      <c r="I343" s="17">
        <f t="array" ref="I343">_xlfn.XLOOKUP(D343,Productos[ID_Producto],Productos[Precio_Unitario])</f>
        <v>8.12</v>
      </c>
      <c r="J343" s="17">
        <f t="shared" si="1"/>
        <v>8.12</v>
      </c>
      <c r="K343" s="16" t="str">
        <f t="array" ref="K343">_xlfn.XLOOKUP(C343,Clientes[ID_Cliente],Clientes[Provincia])</f>
        <v>Neuquén</v>
      </c>
      <c r="L343" s="16" t="str">
        <f t="array" ref="L343">CONCATENATE(_xlfn.XLOOKUP(C343,Clientes[ID_Cliente],Clientes[Provincia]),", Argentina")</f>
        <v>Neuquén, Argentina</v>
      </c>
      <c r="M343" s="20" t="str">
        <f t="array" ref="M343">_xlfn.XLOOKUP(F343,Metodos_De_Pago[ID_Metodo],Metodos_De_Pago[Metodo])</f>
        <v>Tarjeta de Crédito</v>
      </c>
      <c r="N343" s="20" t="str">
        <f t="shared" si="2"/>
        <v>2024 09</v>
      </c>
    </row>
    <row r="344" ht="22.5" customHeight="1">
      <c r="A344" s="12">
        <f>IFERROR(__xludf.DUMMYFUNCTION("""COMPUTED_VALUE"""),1366.0)</f>
        <v>1366</v>
      </c>
      <c r="B344" s="13">
        <f>IFERROR(__xludf.DUMMYFUNCTION("""COMPUTED_VALUE"""),45554.0)</f>
        <v>45554</v>
      </c>
      <c r="C344" s="12">
        <f>IFERROR(__xludf.DUMMYFUNCTION("""COMPUTED_VALUE"""),185.0)</f>
        <v>185</v>
      </c>
      <c r="D344" s="12">
        <f>IFERROR(__xludf.DUMMYFUNCTION("""COMPUTED_VALUE"""),35.0)</f>
        <v>35</v>
      </c>
      <c r="E344" s="12">
        <f>IFERROR(__xludf.DUMMYFUNCTION("""COMPUTED_VALUE"""),1.0)</f>
        <v>1</v>
      </c>
      <c r="F344" s="12">
        <f>IFERROR(__xludf.DUMMYFUNCTION("""COMPUTED_VALUE"""),4.0)</f>
        <v>4</v>
      </c>
      <c r="G344" s="15" t="str">
        <f>IFERROR(__xludf.DUMMYFUNCTION("""COMPUTED_VALUE"""),"Completa")</f>
        <v>Completa</v>
      </c>
      <c r="H344" s="16" t="str">
        <f t="array" ref="H344">_xlfn.XLOOKUP(D344,Productos[ID_Producto],Productos[Nombre_Producto])</f>
        <v>Arroz</v>
      </c>
      <c r="I344" s="17">
        <f t="array" ref="I344">_xlfn.XLOOKUP(D344,Productos[ID_Producto],Productos[Precio_Unitario])</f>
        <v>4.25</v>
      </c>
      <c r="J344" s="17">
        <f t="shared" si="1"/>
        <v>4.25</v>
      </c>
      <c r="K344" s="16" t="str">
        <f t="array" ref="K344">_xlfn.XLOOKUP(C344,Clientes[ID_Cliente],Clientes[Provincia])</f>
        <v>Córdoba</v>
      </c>
      <c r="L344" s="16" t="str">
        <f t="array" ref="L344">CONCATENATE(_xlfn.XLOOKUP(C344,Clientes[ID_Cliente],Clientes[Provincia]),", Argentina")</f>
        <v>Córdoba, Argentina</v>
      </c>
      <c r="M344" s="20" t="str">
        <f t="array" ref="M344">_xlfn.XLOOKUP(F344,Metodos_De_Pago[ID_Metodo],Metodos_De_Pago[Metodo])</f>
        <v>Mercado Pago</v>
      </c>
      <c r="N344" s="20" t="str">
        <f t="shared" si="2"/>
        <v>2024 09</v>
      </c>
    </row>
    <row r="345" ht="22.5" customHeight="1">
      <c r="A345" s="12">
        <f>IFERROR(__xludf.DUMMYFUNCTION("""COMPUTED_VALUE"""),1963.0)</f>
        <v>1963</v>
      </c>
      <c r="B345" s="13">
        <f>IFERROR(__xludf.DUMMYFUNCTION("""COMPUTED_VALUE"""),45554.0)</f>
        <v>45554</v>
      </c>
      <c r="C345" s="12">
        <f>IFERROR(__xludf.DUMMYFUNCTION("""COMPUTED_VALUE"""),99.0)</f>
        <v>99</v>
      </c>
      <c r="D345" s="12">
        <f>IFERROR(__xludf.DUMMYFUNCTION("""COMPUTED_VALUE"""),12.0)</f>
        <v>12</v>
      </c>
      <c r="E345" s="12">
        <f>IFERROR(__xludf.DUMMYFUNCTION("""COMPUTED_VALUE"""),1.0)</f>
        <v>1</v>
      </c>
      <c r="F345" s="12">
        <f>IFERROR(__xludf.DUMMYFUNCTION("""COMPUTED_VALUE"""),5.0)</f>
        <v>5</v>
      </c>
      <c r="G345" s="15" t="str">
        <f>IFERROR(__xludf.DUMMYFUNCTION("""COMPUTED_VALUE"""),"Completa")</f>
        <v>Completa</v>
      </c>
      <c r="H345" s="16" t="str">
        <f t="array" ref="H345">_xlfn.XLOOKUP(D345,Productos[ID_Producto],Productos[Nombre_Producto])</f>
        <v>Pan francés</v>
      </c>
      <c r="I345" s="17">
        <f t="array" ref="I345">_xlfn.XLOOKUP(D345,Productos[ID_Producto],Productos[Precio_Unitario])</f>
        <v>8.12</v>
      </c>
      <c r="J345" s="17">
        <f t="shared" si="1"/>
        <v>8.12</v>
      </c>
      <c r="K345" s="16" t="str">
        <f t="array" ref="K345">_xlfn.XLOOKUP(C345,Clientes[ID_Cliente],Clientes[Provincia])</f>
        <v>Buenos Aires</v>
      </c>
      <c r="L345" s="16" t="str">
        <f t="array" ref="L345">CONCATENATE(_xlfn.XLOOKUP(C345,Clientes[ID_Cliente],Clientes[Provincia]),", Argentina")</f>
        <v>Buenos Aires, Argentina</v>
      </c>
      <c r="M345" s="20" t="str">
        <f t="array" ref="M345">_xlfn.XLOOKUP(F345,Metodos_De_Pago[ID_Metodo],Metodos_De_Pago[Metodo])</f>
        <v>Transferencia</v>
      </c>
      <c r="N345" s="20" t="str">
        <f t="shared" si="2"/>
        <v>2024 09</v>
      </c>
    </row>
    <row r="346" ht="22.5" customHeight="1">
      <c r="A346" s="12">
        <f>IFERROR(__xludf.DUMMYFUNCTION("""COMPUTED_VALUE"""),2895.0)</f>
        <v>2895</v>
      </c>
      <c r="B346" s="13">
        <f>IFERROR(__xludf.DUMMYFUNCTION("""COMPUTED_VALUE"""),45555.0)</f>
        <v>45555</v>
      </c>
      <c r="C346" s="12">
        <f>IFERROR(__xludf.DUMMYFUNCTION("""COMPUTED_VALUE"""),41.0)</f>
        <v>41</v>
      </c>
      <c r="D346" s="12">
        <f>IFERROR(__xludf.DUMMYFUNCTION("""COMPUTED_VALUE"""),13.0)</f>
        <v>13</v>
      </c>
      <c r="E346" s="12">
        <f>IFERROR(__xludf.DUMMYFUNCTION("""COMPUTED_VALUE"""),1.0)</f>
        <v>1</v>
      </c>
      <c r="F346" s="12">
        <f>IFERROR(__xludf.DUMMYFUNCTION("""COMPUTED_VALUE"""),5.0)</f>
        <v>5</v>
      </c>
      <c r="G346" s="15" t="str">
        <f>IFERROR(__xludf.DUMMYFUNCTION("""COMPUTED_VALUE"""),"Completa")</f>
        <v>Completa</v>
      </c>
      <c r="H346" s="16" t="str">
        <f t="array" ref="H346">_xlfn.XLOOKUP(D346,Productos[ID_Producto],Productos[Nombre_Producto])</f>
        <v>Pan integral</v>
      </c>
      <c r="I346" s="17">
        <f t="array" ref="I346">_xlfn.XLOOKUP(D346,Productos[ID_Producto],Productos[Precio_Unitario])</f>
        <v>12.56</v>
      </c>
      <c r="J346" s="17">
        <f t="shared" si="1"/>
        <v>12.56</v>
      </c>
      <c r="K346" s="16" t="str">
        <f t="array" ref="K346">_xlfn.XLOOKUP(C346,Clientes[ID_Cliente],Clientes[Provincia])</f>
        <v>Neuquén</v>
      </c>
      <c r="L346" s="16" t="str">
        <f t="array" ref="L346">CONCATENATE(_xlfn.XLOOKUP(C346,Clientes[ID_Cliente],Clientes[Provincia]),", Argentina")</f>
        <v>Neuquén, Argentina</v>
      </c>
      <c r="M346" s="20" t="str">
        <f t="array" ref="M346">_xlfn.XLOOKUP(F346,Metodos_De_Pago[ID_Metodo],Metodos_De_Pago[Metodo])</f>
        <v>Transferencia</v>
      </c>
      <c r="N346" s="20" t="str">
        <f t="shared" si="2"/>
        <v>2024 09</v>
      </c>
    </row>
    <row r="347" ht="22.5" customHeight="1">
      <c r="A347" s="12">
        <f>IFERROR(__xludf.DUMMYFUNCTION("""COMPUTED_VALUE"""),552.0)</f>
        <v>552</v>
      </c>
      <c r="B347" s="13">
        <f>IFERROR(__xludf.DUMMYFUNCTION("""COMPUTED_VALUE"""),45556.0)</f>
        <v>45556</v>
      </c>
      <c r="C347" s="12">
        <f>IFERROR(__xludf.DUMMYFUNCTION("""COMPUTED_VALUE"""),286.0)</f>
        <v>286</v>
      </c>
      <c r="D347" s="12">
        <f>IFERROR(__xludf.DUMMYFUNCTION("""COMPUTED_VALUE"""),17.0)</f>
        <v>17</v>
      </c>
      <c r="E347" s="12">
        <f>IFERROR(__xludf.DUMMYFUNCTION("""COMPUTED_VALUE"""),1.0)</f>
        <v>1</v>
      </c>
      <c r="F347" s="12">
        <f>IFERROR(__xludf.DUMMYFUNCTION("""COMPUTED_VALUE"""),4.0)</f>
        <v>4</v>
      </c>
      <c r="G347" s="15" t="str">
        <f>IFERROR(__xludf.DUMMYFUNCTION("""COMPUTED_VALUE"""),"Completa")</f>
        <v>Completa</v>
      </c>
      <c r="H347" s="16" t="str">
        <f t="array" ref="H347">_xlfn.XLOOKUP(D347,Productos[ID_Producto],Productos[Nombre_Producto])</f>
        <v>Manzanas</v>
      </c>
      <c r="I347" s="17">
        <f t="array" ref="I347">_xlfn.XLOOKUP(D347,Productos[ID_Producto],Productos[Precio_Unitario])</f>
        <v>6.54</v>
      </c>
      <c r="J347" s="17">
        <f t="shared" si="1"/>
        <v>6.54</v>
      </c>
      <c r="K347" s="16" t="str">
        <f t="array" ref="K347">_xlfn.XLOOKUP(C347,Clientes[ID_Cliente],Clientes[Provincia])</f>
        <v>Córdoba</v>
      </c>
      <c r="L347" s="16" t="str">
        <f t="array" ref="L347">CONCATENATE(_xlfn.XLOOKUP(C347,Clientes[ID_Cliente],Clientes[Provincia]),", Argentina")</f>
        <v>Córdoba, Argentina</v>
      </c>
      <c r="M347" s="20" t="str">
        <f t="array" ref="M347">_xlfn.XLOOKUP(F347,Metodos_De_Pago[ID_Metodo],Metodos_De_Pago[Metodo])</f>
        <v>Mercado Pago</v>
      </c>
      <c r="N347" s="20" t="str">
        <f t="shared" si="2"/>
        <v>2024 09</v>
      </c>
    </row>
    <row r="348" ht="22.5" customHeight="1">
      <c r="A348" s="12">
        <f>IFERROR(__xludf.DUMMYFUNCTION("""COMPUTED_VALUE"""),2406.0)</f>
        <v>2406</v>
      </c>
      <c r="B348" s="13">
        <f>IFERROR(__xludf.DUMMYFUNCTION("""COMPUTED_VALUE"""),45556.0)</f>
        <v>45556</v>
      </c>
      <c r="C348" s="12">
        <f>IFERROR(__xludf.DUMMYFUNCTION("""COMPUTED_VALUE"""),152.0)</f>
        <v>152</v>
      </c>
      <c r="D348" s="12">
        <f>IFERROR(__xludf.DUMMYFUNCTION("""COMPUTED_VALUE"""),6.0)</f>
        <v>6</v>
      </c>
      <c r="E348" s="12">
        <f>IFERROR(__xludf.DUMMYFUNCTION("""COMPUTED_VALUE"""),1.0)</f>
        <v>1</v>
      </c>
      <c r="F348" s="12">
        <f>IFERROR(__xludf.DUMMYFUNCTION("""COMPUTED_VALUE"""),4.0)</f>
        <v>4</v>
      </c>
      <c r="G348" s="15" t="str">
        <f>IFERROR(__xludf.DUMMYFUNCTION("""COMPUTED_VALUE"""),"Completa")</f>
        <v>Completa</v>
      </c>
      <c r="H348" s="16" t="str">
        <f t="array" ref="H348">_xlfn.XLOOKUP(D348,Productos[ID_Producto],Productos[Nombre_Producto])</f>
        <v>Asado</v>
      </c>
      <c r="I348" s="17">
        <f t="array" ref="I348">_xlfn.XLOOKUP(D348,Productos[ID_Producto],Productos[Precio_Unitario])</f>
        <v>28.56</v>
      </c>
      <c r="J348" s="17">
        <f t="shared" si="1"/>
        <v>28.56</v>
      </c>
      <c r="K348" s="16" t="str">
        <f t="array" ref="K348">_xlfn.XLOOKUP(C348,Clientes[ID_Cliente],Clientes[Provincia])</f>
        <v>Salta</v>
      </c>
      <c r="L348" s="16" t="str">
        <f t="array" ref="L348">CONCATENATE(_xlfn.XLOOKUP(C348,Clientes[ID_Cliente],Clientes[Provincia]),", Argentina")</f>
        <v>Salta, Argentina</v>
      </c>
      <c r="M348" s="20" t="str">
        <f t="array" ref="M348">_xlfn.XLOOKUP(F348,Metodos_De_Pago[ID_Metodo],Metodos_De_Pago[Metodo])</f>
        <v>Mercado Pago</v>
      </c>
      <c r="N348" s="20" t="str">
        <f t="shared" si="2"/>
        <v>2024 09</v>
      </c>
    </row>
    <row r="349" ht="22.5" customHeight="1">
      <c r="A349" s="12">
        <f>IFERROR(__xludf.DUMMYFUNCTION("""COMPUTED_VALUE"""),1144.0)</f>
        <v>1144</v>
      </c>
      <c r="B349" s="13">
        <f>IFERROR(__xludf.DUMMYFUNCTION("""COMPUTED_VALUE"""),45557.0)</f>
        <v>45557</v>
      </c>
      <c r="C349" s="12">
        <f>IFERROR(__xludf.DUMMYFUNCTION("""COMPUTED_VALUE"""),106.0)</f>
        <v>106</v>
      </c>
      <c r="D349" s="12">
        <f>IFERROR(__xludf.DUMMYFUNCTION("""COMPUTED_VALUE"""),21.0)</f>
        <v>21</v>
      </c>
      <c r="E349" s="12">
        <f>IFERROR(__xludf.DUMMYFUNCTION("""COMPUTED_VALUE"""),1.0)</f>
        <v>1</v>
      </c>
      <c r="F349" s="12">
        <f>IFERROR(__xludf.DUMMYFUNCTION("""COMPUTED_VALUE"""),4.0)</f>
        <v>4</v>
      </c>
      <c r="G349" s="15" t="str">
        <f>IFERROR(__xludf.DUMMYFUNCTION("""COMPUTED_VALUE"""),"Completa")</f>
        <v>Completa</v>
      </c>
      <c r="H349" s="16" t="str">
        <f t="array" ref="H349">_xlfn.XLOOKUP(D349,Productos[ID_Producto],Productos[Nombre_Producto])</f>
        <v>Zanahorias</v>
      </c>
      <c r="I349" s="17">
        <f t="array" ref="I349">_xlfn.XLOOKUP(D349,Productos[ID_Producto],Productos[Precio_Unitario])</f>
        <v>3.25</v>
      </c>
      <c r="J349" s="17">
        <f t="shared" si="1"/>
        <v>3.25</v>
      </c>
      <c r="K349" s="16" t="str">
        <f t="array" ref="K349">_xlfn.XLOOKUP(C349,Clientes[ID_Cliente],Clientes[Provincia])</f>
        <v>Chaco</v>
      </c>
      <c r="L349" s="16" t="str">
        <f t="array" ref="L349">CONCATENATE(_xlfn.XLOOKUP(C349,Clientes[ID_Cliente],Clientes[Provincia]),", Argentina")</f>
        <v>Chaco, Argentina</v>
      </c>
      <c r="M349" s="20" t="str">
        <f t="array" ref="M349">_xlfn.XLOOKUP(F349,Metodos_De_Pago[ID_Metodo],Metodos_De_Pago[Metodo])</f>
        <v>Mercado Pago</v>
      </c>
      <c r="N349" s="20" t="str">
        <f t="shared" si="2"/>
        <v>2024 09</v>
      </c>
    </row>
    <row r="350" ht="22.5" customHeight="1">
      <c r="A350" s="12">
        <f>IFERROR(__xludf.DUMMYFUNCTION("""COMPUTED_VALUE"""),1172.0)</f>
        <v>1172</v>
      </c>
      <c r="B350" s="13">
        <f>IFERROR(__xludf.DUMMYFUNCTION("""COMPUTED_VALUE"""),45557.0)</f>
        <v>45557</v>
      </c>
      <c r="C350" s="12">
        <f>IFERROR(__xludf.DUMMYFUNCTION("""COMPUTED_VALUE"""),164.0)</f>
        <v>164</v>
      </c>
      <c r="D350" s="12">
        <f>IFERROR(__xludf.DUMMYFUNCTION("""COMPUTED_VALUE"""),13.0)</f>
        <v>13</v>
      </c>
      <c r="E350" s="12">
        <f>IFERROR(__xludf.DUMMYFUNCTION("""COMPUTED_VALUE"""),1.0)</f>
        <v>1</v>
      </c>
      <c r="F350" s="12">
        <f>IFERROR(__xludf.DUMMYFUNCTION("""COMPUTED_VALUE"""),5.0)</f>
        <v>5</v>
      </c>
      <c r="G350" s="15" t="str">
        <f>IFERROR(__xludf.DUMMYFUNCTION("""COMPUTED_VALUE"""),"Completa")</f>
        <v>Completa</v>
      </c>
      <c r="H350" s="16" t="str">
        <f t="array" ref="H350">_xlfn.XLOOKUP(D350,Productos[ID_Producto],Productos[Nombre_Producto])</f>
        <v>Pan integral</v>
      </c>
      <c r="I350" s="17">
        <f t="array" ref="I350">_xlfn.XLOOKUP(D350,Productos[ID_Producto],Productos[Precio_Unitario])</f>
        <v>12.56</v>
      </c>
      <c r="J350" s="17">
        <f t="shared" si="1"/>
        <v>12.56</v>
      </c>
      <c r="K350" s="16" t="str">
        <f t="array" ref="K350">_xlfn.XLOOKUP(C350,Clientes[ID_Cliente],Clientes[Provincia])</f>
        <v>Córdoba</v>
      </c>
      <c r="L350" s="16" t="str">
        <f t="array" ref="L350">CONCATENATE(_xlfn.XLOOKUP(C350,Clientes[ID_Cliente],Clientes[Provincia]),", Argentina")</f>
        <v>Córdoba, Argentina</v>
      </c>
      <c r="M350" s="20" t="str">
        <f t="array" ref="M350">_xlfn.XLOOKUP(F350,Metodos_De_Pago[ID_Metodo],Metodos_De_Pago[Metodo])</f>
        <v>Transferencia</v>
      </c>
      <c r="N350" s="20" t="str">
        <f t="shared" si="2"/>
        <v>2024 09</v>
      </c>
    </row>
    <row r="351" ht="22.5" customHeight="1">
      <c r="A351" s="12">
        <f>IFERROR(__xludf.DUMMYFUNCTION("""COMPUTED_VALUE"""),1373.0)</f>
        <v>1373</v>
      </c>
      <c r="B351" s="13">
        <f>IFERROR(__xludf.DUMMYFUNCTION("""COMPUTED_VALUE"""),45557.0)</f>
        <v>45557</v>
      </c>
      <c r="C351" s="12">
        <f>IFERROR(__xludf.DUMMYFUNCTION("""COMPUTED_VALUE"""),192.0)</f>
        <v>192</v>
      </c>
      <c r="D351" s="12">
        <f>IFERROR(__xludf.DUMMYFUNCTION("""COMPUTED_VALUE"""),11.0)</f>
        <v>11</v>
      </c>
      <c r="E351" s="12">
        <f>IFERROR(__xludf.DUMMYFUNCTION("""COMPUTED_VALUE"""),1.0)</f>
        <v>1</v>
      </c>
      <c r="F351" s="12">
        <f>IFERROR(__xludf.DUMMYFUNCTION("""COMPUTED_VALUE"""),5.0)</f>
        <v>5</v>
      </c>
      <c r="G351" s="15" t="str">
        <f>IFERROR(__xludf.DUMMYFUNCTION("""COMPUTED_VALUE"""),"Completa")</f>
        <v>Completa</v>
      </c>
      <c r="H351" s="16" t="str">
        <f t="array" ref="H351">_xlfn.XLOOKUP(D351,Productos[ID_Producto],Productos[Nombre_Producto])</f>
        <v>Salchicha</v>
      </c>
      <c r="I351" s="17">
        <f t="array" ref="I351">_xlfn.XLOOKUP(D351,Productos[ID_Producto],Productos[Precio_Unitario])</f>
        <v>11.23</v>
      </c>
      <c r="J351" s="17">
        <f t="shared" si="1"/>
        <v>11.23</v>
      </c>
      <c r="K351" s="16" t="str">
        <f t="array" ref="K351">_xlfn.XLOOKUP(C351,Clientes[ID_Cliente],Clientes[Provincia])</f>
        <v>San Luis</v>
      </c>
      <c r="L351" s="16" t="str">
        <f t="array" ref="L351">CONCATENATE(_xlfn.XLOOKUP(C351,Clientes[ID_Cliente],Clientes[Provincia]),", Argentina")</f>
        <v>San Luis, Argentina</v>
      </c>
      <c r="M351" s="20" t="str">
        <f t="array" ref="M351">_xlfn.XLOOKUP(F351,Metodos_De_Pago[ID_Metodo],Metodos_De_Pago[Metodo])</f>
        <v>Transferencia</v>
      </c>
      <c r="N351" s="20" t="str">
        <f t="shared" si="2"/>
        <v>2024 09</v>
      </c>
    </row>
    <row r="352" ht="22.5" customHeight="1">
      <c r="A352" s="12">
        <f>IFERROR(__xludf.DUMMYFUNCTION("""COMPUTED_VALUE"""),1180.0)</f>
        <v>1180</v>
      </c>
      <c r="B352" s="13">
        <f>IFERROR(__xludf.DUMMYFUNCTION("""COMPUTED_VALUE"""),45558.0)</f>
        <v>45558</v>
      </c>
      <c r="C352" s="12">
        <f>IFERROR(__xludf.DUMMYFUNCTION("""COMPUTED_VALUE"""),256.0)</f>
        <v>256</v>
      </c>
      <c r="D352" s="12">
        <f>IFERROR(__xludf.DUMMYFUNCTION("""COMPUTED_VALUE"""),10.0)</f>
        <v>10</v>
      </c>
      <c r="E352" s="12">
        <f>IFERROR(__xludf.DUMMYFUNCTION("""COMPUTED_VALUE"""),1.0)</f>
        <v>1</v>
      </c>
      <c r="F352" s="12">
        <f>IFERROR(__xludf.DUMMYFUNCTION("""COMPUTED_VALUE"""),5.0)</f>
        <v>5</v>
      </c>
      <c r="G352" s="15" t="str">
        <f>IFERROR(__xludf.DUMMYFUNCTION("""COMPUTED_VALUE"""),"Pendiente")</f>
        <v>Pendiente</v>
      </c>
      <c r="H352" s="16" t="str">
        <f t="array" ref="H352">_xlfn.XLOOKUP(D352,Productos[ID_Producto],Productos[Nombre_Producto])</f>
        <v>Costilla de cerdo</v>
      </c>
      <c r="I352" s="17">
        <f t="array" ref="I352">_xlfn.XLOOKUP(D352,Productos[ID_Producto],Productos[Precio_Unitario])</f>
        <v>14.25</v>
      </c>
      <c r="J352" s="17">
        <f t="shared" si="1"/>
        <v>14.25</v>
      </c>
      <c r="K352" s="16" t="str">
        <f t="array" ref="K352">_xlfn.XLOOKUP(C352,Clientes[ID_Cliente],Clientes[Provincia])</f>
        <v>Buenos Aires</v>
      </c>
      <c r="L352" s="16" t="str">
        <f t="array" ref="L352">CONCATENATE(_xlfn.XLOOKUP(C352,Clientes[ID_Cliente],Clientes[Provincia]),", Argentina")</f>
        <v>Buenos Aires, Argentina</v>
      </c>
      <c r="M352" s="20" t="str">
        <f t="array" ref="M352">_xlfn.XLOOKUP(F352,Metodos_De_Pago[ID_Metodo],Metodos_De_Pago[Metodo])</f>
        <v>Transferencia</v>
      </c>
      <c r="N352" s="20" t="str">
        <f t="shared" si="2"/>
        <v>2024 09</v>
      </c>
    </row>
    <row r="353" ht="22.5" customHeight="1">
      <c r="A353" s="12">
        <f>IFERROR(__xludf.DUMMYFUNCTION("""COMPUTED_VALUE"""),1402.0)</f>
        <v>1402</v>
      </c>
      <c r="B353" s="13">
        <f>IFERROR(__xludf.DUMMYFUNCTION("""COMPUTED_VALUE"""),45559.0)</f>
        <v>45559</v>
      </c>
      <c r="C353" s="12">
        <f>IFERROR(__xludf.DUMMYFUNCTION("""COMPUTED_VALUE"""),31.0)</f>
        <v>31</v>
      </c>
      <c r="D353" s="12">
        <f>IFERROR(__xludf.DUMMYFUNCTION("""COMPUTED_VALUE"""),35.0)</f>
        <v>35</v>
      </c>
      <c r="E353" s="12">
        <f>IFERROR(__xludf.DUMMYFUNCTION("""COMPUTED_VALUE"""),1.0)</f>
        <v>1</v>
      </c>
      <c r="F353" s="12">
        <f>IFERROR(__xludf.DUMMYFUNCTION("""COMPUTED_VALUE"""),4.0)</f>
        <v>4</v>
      </c>
      <c r="G353" s="15" t="str">
        <f>IFERROR(__xludf.DUMMYFUNCTION("""COMPUTED_VALUE"""),"Completa")</f>
        <v>Completa</v>
      </c>
      <c r="H353" s="16" t="str">
        <f t="array" ref="H353">_xlfn.XLOOKUP(D353,Productos[ID_Producto],Productos[Nombre_Producto])</f>
        <v>Arroz</v>
      </c>
      <c r="I353" s="17">
        <f t="array" ref="I353">_xlfn.XLOOKUP(D353,Productos[ID_Producto],Productos[Precio_Unitario])</f>
        <v>4.25</v>
      </c>
      <c r="J353" s="17">
        <f t="shared" si="1"/>
        <v>4.25</v>
      </c>
      <c r="K353" s="16" t="str">
        <f t="array" ref="K353">_xlfn.XLOOKUP(C353,Clientes[ID_Cliente],Clientes[Provincia])</f>
        <v>Córdoba</v>
      </c>
      <c r="L353" s="16" t="str">
        <f t="array" ref="L353">CONCATENATE(_xlfn.XLOOKUP(C353,Clientes[ID_Cliente],Clientes[Provincia]),", Argentina")</f>
        <v>Córdoba, Argentina</v>
      </c>
      <c r="M353" s="20" t="str">
        <f t="array" ref="M353">_xlfn.XLOOKUP(F353,Metodos_De_Pago[ID_Metodo],Metodos_De_Pago[Metodo])</f>
        <v>Mercado Pago</v>
      </c>
      <c r="N353" s="20" t="str">
        <f t="shared" si="2"/>
        <v>2024 09</v>
      </c>
    </row>
    <row r="354" ht="22.5" customHeight="1">
      <c r="A354" s="12">
        <f>IFERROR(__xludf.DUMMYFUNCTION("""COMPUTED_VALUE"""),478.0)</f>
        <v>478</v>
      </c>
      <c r="B354" s="13">
        <f>IFERROR(__xludf.DUMMYFUNCTION("""COMPUTED_VALUE"""),45560.0)</f>
        <v>45560</v>
      </c>
      <c r="C354" s="12">
        <f>IFERROR(__xludf.DUMMYFUNCTION("""COMPUTED_VALUE"""),108.0)</f>
        <v>108</v>
      </c>
      <c r="D354" s="12">
        <f>IFERROR(__xludf.DUMMYFUNCTION("""COMPUTED_VALUE"""),31.0)</f>
        <v>31</v>
      </c>
      <c r="E354" s="12">
        <f>IFERROR(__xludf.DUMMYFUNCTION("""COMPUTED_VALUE"""),1.0)</f>
        <v>1</v>
      </c>
      <c r="F354" s="12">
        <f>IFERROR(__xludf.DUMMYFUNCTION("""COMPUTED_VALUE"""),4.0)</f>
        <v>4</v>
      </c>
      <c r="G354" s="15" t="str">
        <f>IFERROR(__xludf.DUMMYFUNCTION("""COMPUTED_VALUE"""),"Completa")</f>
        <v>Completa</v>
      </c>
      <c r="H354" s="16" t="str">
        <f t="array" ref="H354">_xlfn.XLOOKUP(D354,Productos[ID_Producto],Productos[Nombre_Producto])</f>
        <v>Galletitas de agua</v>
      </c>
      <c r="I354" s="17">
        <f t="array" ref="I354">_xlfn.XLOOKUP(D354,Productos[ID_Producto],Productos[Precio_Unitario])</f>
        <v>5.24</v>
      </c>
      <c r="J354" s="17">
        <f t="shared" si="1"/>
        <v>5.24</v>
      </c>
      <c r="K354" s="16" t="str">
        <f t="array" ref="K354">_xlfn.XLOOKUP(C354,Clientes[ID_Cliente],Clientes[Provincia])</f>
        <v>Neuquén</v>
      </c>
      <c r="L354" s="16" t="str">
        <f t="array" ref="L354">CONCATENATE(_xlfn.XLOOKUP(C354,Clientes[ID_Cliente],Clientes[Provincia]),", Argentina")</f>
        <v>Neuquén, Argentina</v>
      </c>
      <c r="M354" s="20" t="str">
        <f t="array" ref="M354">_xlfn.XLOOKUP(F354,Metodos_De_Pago[ID_Metodo],Metodos_De_Pago[Metodo])</f>
        <v>Mercado Pago</v>
      </c>
      <c r="N354" s="20" t="str">
        <f t="shared" si="2"/>
        <v>2024 09</v>
      </c>
    </row>
    <row r="355" ht="22.5" customHeight="1">
      <c r="A355" s="12">
        <f>IFERROR(__xludf.DUMMYFUNCTION("""COMPUTED_VALUE"""),1204.0)</f>
        <v>1204</v>
      </c>
      <c r="B355" s="13">
        <f>IFERROR(__xludf.DUMMYFUNCTION("""COMPUTED_VALUE"""),45560.0)</f>
        <v>45560</v>
      </c>
      <c r="C355" s="12">
        <f>IFERROR(__xludf.DUMMYFUNCTION("""COMPUTED_VALUE"""),280.0)</f>
        <v>280</v>
      </c>
      <c r="D355" s="12">
        <f>IFERROR(__xludf.DUMMYFUNCTION("""COMPUTED_VALUE"""),33.0)</f>
        <v>33</v>
      </c>
      <c r="E355" s="12">
        <f>IFERROR(__xludf.DUMMYFUNCTION("""COMPUTED_VALUE"""),1.0)</f>
        <v>1</v>
      </c>
      <c r="F355" s="12">
        <f>IFERROR(__xludf.DUMMYFUNCTION("""COMPUTED_VALUE"""),4.0)</f>
        <v>4</v>
      </c>
      <c r="G355" s="15" t="str">
        <f>IFERROR(__xludf.DUMMYFUNCTION("""COMPUTED_VALUE"""),"Completa")</f>
        <v>Completa</v>
      </c>
      <c r="H355" s="16" t="str">
        <f t="array" ref="H355">_xlfn.XLOOKUP(D355,Productos[ID_Producto],Productos[Nombre_Producto])</f>
        <v>Papas chips</v>
      </c>
      <c r="I355" s="17">
        <f t="array" ref="I355">_xlfn.XLOOKUP(D355,Productos[ID_Producto],Productos[Precio_Unitario])</f>
        <v>8.54</v>
      </c>
      <c r="J355" s="17">
        <f t="shared" si="1"/>
        <v>8.54</v>
      </c>
      <c r="K355" s="16" t="str">
        <f t="array" ref="K355">_xlfn.XLOOKUP(C355,Clientes[ID_Cliente],Clientes[Provincia])</f>
        <v>Córdoba</v>
      </c>
      <c r="L355" s="16" t="str">
        <f t="array" ref="L355">CONCATENATE(_xlfn.XLOOKUP(C355,Clientes[ID_Cliente],Clientes[Provincia]),", Argentina")</f>
        <v>Córdoba, Argentina</v>
      </c>
      <c r="M355" s="20" t="str">
        <f t="array" ref="M355">_xlfn.XLOOKUP(F355,Metodos_De_Pago[ID_Metodo],Metodos_De_Pago[Metodo])</f>
        <v>Mercado Pago</v>
      </c>
      <c r="N355" s="20" t="str">
        <f t="shared" si="2"/>
        <v>2024 09</v>
      </c>
    </row>
    <row r="356" ht="22.5" customHeight="1">
      <c r="A356" s="12">
        <f>IFERROR(__xludf.DUMMYFUNCTION("""COMPUTED_VALUE"""),2513.0)</f>
        <v>2513</v>
      </c>
      <c r="B356" s="13">
        <f>IFERROR(__xludf.DUMMYFUNCTION("""COMPUTED_VALUE"""),45560.0)</f>
        <v>45560</v>
      </c>
      <c r="C356" s="12">
        <f>IFERROR(__xludf.DUMMYFUNCTION("""COMPUTED_VALUE"""),290.0)</f>
        <v>290</v>
      </c>
      <c r="D356" s="12">
        <f>IFERROR(__xludf.DUMMYFUNCTION("""COMPUTED_VALUE"""),18.0)</f>
        <v>18</v>
      </c>
      <c r="E356" s="12">
        <f>IFERROR(__xludf.DUMMYFUNCTION("""COMPUTED_VALUE"""),1.0)</f>
        <v>1</v>
      </c>
      <c r="F356" s="12">
        <f>IFERROR(__xludf.DUMMYFUNCTION("""COMPUTED_VALUE"""),1.0)</f>
        <v>1</v>
      </c>
      <c r="G356" s="15" t="str">
        <f>IFERROR(__xludf.DUMMYFUNCTION("""COMPUTED_VALUE"""),"Completa")</f>
        <v>Completa</v>
      </c>
      <c r="H356" s="16" t="str">
        <f t="array" ref="H356">_xlfn.XLOOKUP(D356,Productos[ID_Producto],Productos[Nombre_Producto])</f>
        <v>Bananas</v>
      </c>
      <c r="I356" s="17">
        <f t="array" ref="I356">_xlfn.XLOOKUP(D356,Productos[ID_Producto],Productos[Precio_Unitario])</f>
        <v>7.25</v>
      </c>
      <c r="J356" s="17">
        <f t="shared" si="1"/>
        <v>7.25</v>
      </c>
      <c r="K356" s="16" t="str">
        <f t="array" ref="K356">_xlfn.XLOOKUP(C356,Clientes[ID_Cliente],Clientes[Provincia])</f>
        <v>Buenos Aires</v>
      </c>
      <c r="L356" s="16" t="str">
        <f t="array" ref="L356">CONCATENATE(_xlfn.XLOOKUP(C356,Clientes[ID_Cliente],Clientes[Provincia]),", Argentina")</f>
        <v>Buenos Aires, Argentina</v>
      </c>
      <c r="M356" s="20" t="str">
        <f t="array" ref="M356">_xlfn.XLOOKUP(F356,Metodos_De_Pago[ID_Metodo],Metodos_De_Pago[Metodo])</f>
        <v>Efectivo</v>
      </c>
      <c r="N356" s="20" t="str">
        <f t="shared" si="2"/>
        <v>2024 09</v>
      </c>
    </row>
    <row r="357" ht="22.5" customHeight="1">
      <c r="A357" s="12">
        <f>IFERROR(__xludf.DUMMYFUNCTION("""COMPUTED_VALUE"""),1092.0)</f>
        <v>1092</v>
      </c>
      <c r="B357" s="13">
        <f>IFERROR(__xludf.DUMMYFUNCTION("""COMPUTED_VALUE"""),45561.0)</f>
        <v>45561</v>
      </c>
      <c r="C357" s="12">
        <f>IFERROR(__xludf.DUMMYFUNCTION("""COMPUTED_VALUE"""),232.0)</f>
        <v>232</v>
      </c>
      <c r="D357" s="12">
        <f>IFERROR(__xludf.DUMMYFUNCTION("""COMPUTED_VALUE"""),9.0)</f>
        <v>9</v>
      </c>
      <c r="E357" s="12">
        <f>IFERROR(__xludf.DUMMYFUNCTION("""COMPUTED_VALUE"""),1.0)</f>
        <v>1</v>
      </c>
      <c r="F357" s="12">
        <f>IFERROR(__xludf.DUMMYFUNCTION("""COMPUTED_VALUE"""),1.0)</f>
        <v>1</v>
      </c>
      <c r="G357" s="15" t="str">
        <f>IFERROR(__xludf.DUMMYFUNCTION("""COMPUTED_VALUE"""),"Completa")</f>
        <v>Completa</v>
      </c>
      <c r="H357" s="16" t="str">
        <f t="array" ref="H357">_xlfn.XLOOKUP(D357,Productos[ID_Producto],Productos[Nombre_Producto])</f>
        <v>Pollo</v>
      </c>
      <c r="I357" s="17">
        <f t="array" ref="I357">_xlfn.XLOOKUP(D357,Productos[ID_Producto],Productos[Precio_Unitario])</f>
        <v>18.56</v>
      </c>
      <c r="J357" s="17">
        <f t="shared" si="1"/>
        <v>18.56</v>
      </c>
      <c r="K357" s="16" t="str">
        <f t="array" ref="K357">_xlfn.XLOOKUP(C357,Clientes[ID_Cliente],Clientes[Provincia])</f>
        <v>Buenos Aires</v>
      </c>
      <c r="L357" s="16" t="str">
        <f t="array" ref="L357">CONCATENATE(_xlfn.XLOOKUP(C357,Clientes[ID_Cliente],Clientes[Provincia]),", Argentina")</f>
        <v>Buenos Aires, Argentina</v>
      </c>
      <c r="M357" s="20" t="str">
        <f t="array" ref="M357">_xlfn.XLOOKUP(F357,Metodos_De_Pago[ID_Metodo],Metodos_De_Pago[Metodo])</f>
        <v>Efectivo</v>
      </c>
      <c r="N357" s="20" t="str">
        <f t="shared" si="2"/>
        <v>2024 09</v>
      </c>
    </row>
    <row r="358" ht="22.5" customHeight="1">
      <c r="A358" s="12">
        <f>IFERROR(__xludf.DUMMYFUNCTION("""COMPUTED_VALUE"""),2707.0)</f>
        <v>2707</v>
      </c>
      <c r="B358" s="13">
        <f>IFERROR(__xludf.DUMMYFUNCTION("""COMPUTED_VALUE"""),45561.0)</f>
        <v>45561</v>
      </c>
      <c r="C358" s="12">
        <f>IFERROR(__xludf.DUMMYFUNCTION("""COMPUTED_VALUE"""),244.0)</f>
        <v>244</v>
      </c>
      <c r="D358" s="12">
        <f>IFERROR(__xludf.DUMMYFUNCTION("""COMPUTED_VALUE"""),23.0)</f>
        <v>23</v>
      </c>
      <c r="E358" s="12">
        <f>IFERROR(__xludf.DUMMYFUNCTION("""COMPUTED_VALUE"""),1.0)</f>
        <v>1</v>
      </c>
      <c r="F358" s="12">
        <f>IFERROR(__xludf.DUMMYFUNCTION("""COMPUTED_VALUE"""),5.0)</f>
        <v>5</v>
      </c>
      <c r="G358" s="15" t="str">
        <f>IFERROR(__xludf.DUMMYFUNCTION("""COMPUTED_VALUE"""),"Completa")</f>
        <v>Completa</v>
      </c>
      <c r="H358" s="16" t="str">
        <f t="array" ref="H358">_xlfn.XLOOKUP(D358,Productos[ID_Producto],Productos[Nombre_Producto])</f>
        <v>Papas fritas</v>
      </c>
      <c r="I358" s="17">
        <f t="array" ref="I358">_xlfn.XLOOKUP(D358,Productos[ID_Producto],Productos[Precio_Unitario])</f>
        <v>8.23</v>
      </c>
      <c r="J358" s="17">
        <f t="shared" si="1"/>
        <v>8.23</v>
      </c>
      <c r="K358" s="16" t="str">
        <f t="array" ref="K358">_xlfn.XLOOKUP(C358,Clientes[ID_Cliente],Clientes[Provincia])</f>
        <v>Buenos Aires</v>
      </c>
      <c r="L358" s="16" t="str">
        <f t="array" ref="L358">CONCATENATE(_xlfn.XLOOKUP(C358,Clientes[ID_Cliente],Clientes[Provincia]),", Argentina")</f>
        <v>Buenos Aires, Argentina</v>
      </c>
      <c r="M358" s="20" t="str">
        <f t="array" ref="M358">_xlfn.XLOOKUP(F358,Metodos_De_Pago[ID_Metodo],Metodos_De_Pago[Metodo])</f>
        <v>Transferencia</v>
      </c>
      <c r="N358" s="20" t="str">
        <f t="shared" si="2"/>
        <v>2024 09</v>
      </c>
    </row>
    <row r="359" ht="22.5" customHeight="1">
      <c r="A359" s="12">
        <f>IFERROR(__xludf.DUMMYFUNCTION("""COMPUTED_VALUE"""),2819.0)</f>
        <v>2819</v>
      </c>
      <c r="B359" s="13">
        <f>IFERROR(__xludf.DUMMYFUNCTION("""COMPUTED_VALUE"""),45561.0)</f>
        <v>45561</v>
      </c>
      <c r="C359" s="12">
        <f>IFERROR(__xludf.DUMMYFUNCTION("""COMPUTED_VALUE"""),6.0)</f>
        <v>6</v>
      </c>
      <c r="D359" s="12">
        <f>IFERROR(__xludf.DUMMYFUNCTION("""COMPUTED_VALUE"""),25.0)</f>
        <v>25</v>
      </c>
      <c r="E359" s="12">
        <f>IFERROR(__xludf.DUMMYFUNCTION("""COMPUTED_VALUE"""),1.0)</f>
        <v>1</v>
      </c>
      <c r="F359" s="12">
        <f>IFERROR(__xludf.DUMMYFUNCTION("""COMPUTED_VALUE"""),2.0)</f>
        <v>2</v>
      </c>
      <c r="G359" s="15" t="str">
        <f>IFERROR(__xludf.DUMMYFUNCTION("""COMPUTED_VALUE"""),"Completa")</f>
        <v>Completa</v>
      </c>
      <c r="H359" s="16" t="str">
        <f t="array" ref="H359">_xlfn.XLOOKUP(D359,Productos[ID_Producto],Productos[Nombre_Producto])</f>
        <v>Pizza congelada</v>
      </c>
      <c r="I359" s="17">
        <f t="array" ref="I359">_xlfn.XLOOKUP(D359,Productos[ID_Producto],Productos[Precio_Unitario])</f>
        <v>15.45</v>
      </c>
      <c r="J359" s="17">
        <f t="shared" si="1"/>
        <v>15.45</v>
      </c>
      <c r="K359" s="16" t="str">
        <f t="array" ref="K359">_xlfn.XLOOKUP(C359,Clientes[ID_Cliente],Clientes[Provincia])</f>
        <v>Buenos Aires</v>
      </c>
      <c r="L359" s="16" t="str">
        <f t="array" ref="L359">CONCATENATE(_xlfn.XLOOKUP(C359,Clientes[ID_Cliente],Clientes[Provincia]),", Argentina")</f>
        <v>Buenos Aires, Argentina</v>
      </c>
      <c r="M359" s="20" t="str">
        <f t="array" ref="M359">_xlfn.XLOOKUP(F359,Metodos_De_Pago[ID_Metodo],Metodos_De_Pago[Metodo])</f>
        <v>Tarjeta de Crédito</v>
      </c>
      <c r="N359" s="20" t="str">
        <f t="shared" si="2"/>
        <v>2024 09</v>
      </c>
    </row>
    <row r="360" ht="22.5" customHeight="1">
      <c r="A360" s="12">
        <f>IFERROR(__xludf.DUMMYFUNCTION("""COMPUTED_VALUE"""),112.0)</f>
        <v>112</v>
      </c>
      <c r="B360" s="13">
        <f>IFERROR(__xludf.DUMMYFUNCTION("""COMPUTED_VALUE"""),45562.0)</f>
        <v>45562</v>
      </c>
      <c r="C360" s="12">
        <f>IFERROR(__xludf.DUMMYFUNCTION("""COMPUTED_VALUE"""),3.0)</f>
        <v>3</v>
      </c>
      <c r="D360" s="12">
        <f>IFERROR(__xludf.DUMMYFUNCTION("""COMPUTED_VALUE"""),31.0)</f>
        <v>31</v>
      </c>
      <c r="E360" s="12">
        <f>IFERROR(__xludf.DUMMYFUNCTION("""COMPUTED_VALUE"""),1.0)</f>
        <v>1</v>
      </c>
      <c r="F360" s="12">
        <f>IFERROR(__xludf.DUMMYFUNCTION("""COMPUTED_VALUE"""),3.0)</f>
        <v>3</v>
      </c>
      <c r="G360" s="15" t="str">
        <f>IFERROR(__xludf.DUMMYFUNCTION("""COMPUTED_VALUE"""),"Completa")</f>
        <v>Completa</v>
      </c>
      <c r="H360" s="16" t="str">
        <f t="array" ref="H360">_xlfn.XLOOKUP(D360,Productos[ID_Producto],Productos[Nombre_Producto])</f>
        <v>Galletitas de agua</v>
      </c>
      <c r="I360" s="17">
        <f t="array" ref="I360">_xlfn.XLOOKUP(D360,Productos[ID_Producto],Productos[Precio_Unitario])</f>
        <v>5.24</v>
      </c>
      <c r="J360" s="17">
        <f t="shared" si="1"/>
        <v>5.24</v>
      </c>
      <c r="K360" s="16" t="str">
        <f t="array" ref="K360">_xlfn.XLOOKUP(C360,Clientes[ID_Cliente],Clientes[Provincia])</f>
        <v>Neuquén</v>
      </c>
      <c r="L360" s="16" t="str">
        <f t="array" ref="L360">CONCATENATE(_xlfn.XLOOKUP(C360,Clientes[ID_Cliente],Clientes[Provincia]),", Argentina")</f>
        <v>Neuquén, Argentina</v>
      </c>
      <c r="M360" s="20" t="str">
        <f t="array" ref="M360">_xlfn.XLOOKUP(F360,Metodos_De_Pago[ID_Metodo],Metodos_De_Pago[Metodo])</f>
        <v>Tarjeta de Débito</v>
      </c>
      <c r="N360" s="20" t="str">
        <f t="shared" si="2"/>
        <v>2024 09</v>
      </c>
    </row>
    <row r="361" ht="22.5" customHeight="1">
      <c r="A361" s="12">
        <f>IFERROR(__xludf.DUMMYFUNCTION("""COMPUTED_VALUE"""),254.0)</f>
        <v>254</v>
      </c>
      <c r="B361" s="13">
        <f>IFERROR(__xludf.DUMMYFUNCTION("""COMPUTED_VALUE"""),45563.0)</f>
        <v>45563</v>
      </c>
      <c r="C361" s="12">
        <f>IFERROR(__xludf.DUMMYFUNCTION("""COMPUTED_VALUE"""),324.0)</f>
        <v>324</v>
      </c>
      <c r="D361" s="12">
        <f>IFERROR(__xludf.DUMMYFUNCTION("""COMPUTED_VALUE"""),29.0)</f>
        <v>29</v>
      </c>
      <c r="E361" s="12">
        <f>IFERROR(__xludf.DUMMYFUNCTION("""COMPUTED_VALUE"""),1.0)</f>
        <v>1</v>
      </c>
      <c r="F361" s="12">
        <f>IFERROR(__xludf.DUMMYFUNCTION("""COMPUTED_VALUE"""),2.0)</f>
        <v>2</v>
      </c>
      <c r="G361" s="15" t="str">
        <f>IFERROR(__xludf.DUMMYFUNCTION("""COMPUTED_VALUE"""),"Completa")</f>
        <v>Completa</v>
      </c>
      <c r="H361" s="16" t="str">
        <f t="array" ref="H361">_xlfn.XLOOKUP(D361,Productos[ID_Producto],Productos[Nombre_Producto])</f>
        <v>Cerveza</v>
      </c>
      <c r="I361" s="17">
        <f t="array" ref="I361">_xlfn.XLOOKUP(D361,Productos[ID_Producto],Productos[Precio_Unitario])</f>
        <v>11.54</v>
      </c>
      <c r="J361" s="17">
        <f t="shared" si="1"/>
        <v>11.54</v>
      </c>
      <c r="K361" s="16" t="str">
        <f t="array" ref="K361">_xlfn.XLOOKUP(C361,Clientes[ID_Cliente],Clientes[Provincia])</f>
        <v>Chaco</v>
      </c>
      <c r="L361" s="16" t="str">
        <f t="array" ref="L361">CONCATENATE(_xlfn.XLOOKUP(C361,Clientes[ID_Cliente],Clientes[Provincia]),", Argentina")</f>
        <v>Chaco, Argentina</v>
      </c>
      <c r="M361" s="20" t="str">
        <f t="array" ref="M361">_xlfn.XLOOKUP(F361,Metodos_De_Pago[ID_Metodo],Metodos_De_Pago[Metodo])</f>
        <v>Tarjeta de Crédito</v>
      </c>
      <c r="N361" s="20" t="str">
        <f t="shared" si="2"/>
        <v>2024 09</v>
      </c>
    </row>
    <row r="362" ht="22.5" customHeight="1">
      <c r="A362" s="12">
        <f>IFERROR(__xludf.DUMMYFUNCTION("""COMPUTED_VALUE"""),2174.0)</f>
        <v>2174</v>
      </c>
      <c r="B362" s="13">
        <f>IFERROR(__xludf.DUMMYFUNCTION("""COMPUTED_VALUE"""),45563.0)</f>
        <v>45563</v>
      </c>
      <c r="C362" s="12">
        <f>IFERROR(__xludf.DUMMYFUNCTION("""COMPUTED_VALUE"""),325.0)</f>
        <v>325</v>
      </c>
      <c r="D362" s="12">
        <f>IFERROR(__xludf.DUMMYFUNCTION("""COMPUTED_VALUE"""),17.0)</f>
        <v>17</v>
      </c>
      <c r="E362" s="12">
        <f>IFERROR(__xludf.DUMMYFUNCTION("""COMPUTED_VALUE"""),1.0)</f>
        <v>1</v>
      </c>
      <c r="F362" s="12">
        <f>IFERROR(__xludf.DUMMYFUNCTION("""COMPUTED_VALUE"""),3.0)</f>
        <v>3</v>
      </c>
      <c r="G362" s="15" t="str">
        <f>IFERROR(__xludf.DUMMYFUNCTION("""COMPUTED_VALUE"""),"Completa")</f>
        <v>Completa</v>
      </c>
      <c r="H362" s="16" t="str">
        <f t="array" ref="H362">_xlfn.XLOOKUP(D362,Productos[ID_Producto],Productos[Nombre_Producto])</f>
        <v>Manzanas</v>
      </c>
      <c r="I362" s="17">
        <f t="array" ref="I362">_xlfn.XLOOKUP(D362,Productos[ID_Producto],Productos[Precio_Unitario])</f>
        <v>6.54</v>
      </c>
      <c r="J362" s="17">
        <f t="shared" si="1"/>
        <v>6.54</v>
      </c>
      <c r="K362" s="16" t="str">
        <f t="array" ref="K362">_xlfn.XLOOKUP(C362,Clientes[ID_Cliente],Clientes[Provincia])</f>
        <v>Chaco</v>
      </c>
      <c r="L362" s="16" t="str">
        <f t="array" ref="L362">CONCATENATE(_xlfn.XLOOKUP(C362,Clientes[ID_Cliente],Clientes[Provincia]),", Argentina")</f>
        <v>Chaco, Argentina</v>
      </c>
      <c r="M362" s="20" t="str">
        <f t="array" ref="M362">_xlfn.XLOOKUP(F362,Metodos_De_Pago[ID_Metodo],Metodos_De_Pago[Metodo])</f>
        <v>Tarjeta de Débito</v>
      </c>
      <c r="N362" s="20" t="str">
        <f t="shared" si="2"/>
        <v>2024 09</v>
      </c>
    </row>
    <row r="363" ht="22.5" customHeight="1">
      <c r="A363" s="12">
        <f>IFERROR(__xludf.DUMMYFUNCTION("""COMPUTED_VALUE"""),2211.0)</f>
        <v>2211</v>
      </c>
      <c r="B363" s="13">
        <f>IFERROR(__xludf.DUMMYFUNCTION("""COMPUTED_VALUE"""),45563.0)</f>
        <v>45563</v>
      </c>
      <c r="C363" s="12">
        <f>IFERROR(__xludf.DUMMYFUNCTION("""COMPUTED_VALUE"""),60.0)</f>
        <v>60</v>
      </c>
      <c r="D363" s="12">
        <f>IFERROR(__xludf.DUMMYFUNCTION("""COMPUTED_VALUE"""),24.0)</f>
        <v>24</v>
      </c>
      <c r="E363" s="12">
        <f>IFERROR(__xludf.DUMMYFUNCTION("""COMPUTED_VALUE"""),1.0)</f>
        <v>1</v>
      </c>
      <c r="F363" s="12">
        <f>IFERROR(__xludf.DUMMYFUNCTION("""COMPUTED_VALUE"""),1.0)</f>
        <v>1</v>
      </c>
      <c r="G363" s="15" t="str">
        <f>IFERROR(__xludf.DUMMYFUNCTION("""COMPUTED_VALUE"""),"Completa")</f>
        <v>Completa</v>
      </c>
      <c r="H363" s="16" t="str">
        <f t="array" ref="H363">_xlfn.XLOOKUP(D363,Productos[ID_Producto],Productos[Nombre_Producto])</f>
        <v>Empanadas</v>
      </c>
      <c r="I363" s="17">
        <f t="array" ref="I363">_xlfn.XLOOKUP(D363,Productos[ID_Producto],Productos[Precio_Unitario])</f>
        <v>13.54</v>
      </c>
      <c r="J363" s="17">
        <f t="shared" si="1"/>
        <v>13.54</v>
      </c>
      <c r="K363" s="16" t="str">
        <f t="array" ref="K363">_xlfn.XLOOKUP(C363,Clientes[ID_Cliente],Clientes[Provincia])</f>
        <v>Chaco</v>
      </c>
      <c r="L363" s="16" t="str">
        <f t="array" ref="L363">CONCATENATE(_xlfn.XLOOKUP(C363,Clientes[ID_Cliente],Clientes[Provincia]),", Argentina")</f>
        <v>Chaco, Argentina</v>
      </c>
      <c r="M363" s="20" t="str">
        <f t="array" ref="M363">_xlfn.XLOOKUP(F363,Metodos_De_Pago[ID_Metodo],Metodos_De_Pago[Metodo])</f>
        <v>Efectivo</v>
      </c>
      <c r="N363" s="20" t="str">
        <f t="shared" si="2"/>
        <v>2024 09</v>
      </c>
    </row>
    <row r="364" ht="22.5" customHeight="1">
      <c r="A364" s="12">
        <f>IFERROR(__xludf.DUMMYFUNCTION("""COMPUTED_VALUE"""),105.0)</f>
        <v>105</v>
      </c>
      <c r="B364" s="13">
        <f>IFERROR(__xludf.DUMMYFUNCTION("""COMPUTED_VALUE"""),45564.0)</f>
        <v>45564</v>
      </c>
      <c r="C364" s="12">
        <f>IFERROR(__xludf.DUMMYFUNCTION("""COMPUTED_VALUE"""),24.0)</f>
        <v>24</v>
      </c>
      <c r="D364" s="12">
        <f>IFERROR(__xludf.DUMMYFUNCTION("""COMPUTED_VALUE"""),24.0)</f>
        <v>24</v>
      </c>
      <c r="E364" s="12">
        <f>IFERROR(__xludf.DUMMYFUNCTION("""COMPUTED_VALUE"""),1.0)</f>
        <v>1</v>
      </c>
      <c r="F364" s="12">
        <f>IFERROR(__xludf.DUMMYFUNCTION("""COMPUTED_VALUE"""),4.0)</f>
        <v>4</v>
      </c>
      <c r="G364" s="15" t="str">
        <f>IFERROR(__xludf.DUMMYFUNCTION("""COMPUTED_VALUE"""),"Completa")</f>
        <v>Completa</v>
      </c>
      <c r="H364" s="16" t="str">
        <f t="array" ref="H364">_xlfn.XLOOKUP(D364,Productos[ID_Producto],Productos[Nombre_Producto])</f>
        <v>Empanadas</v>
      </c>
      <c r="I364" s="17">
        <f t="array" ref="I364">_xlfn.XLOOKUP(D364,Productos[ID_Producto],Productos[Precio_Unitario])</f>
        <v>13.54</v>
      </c>
      <c r="J364" s="17">
        <f t="shared" si="1"/>
        <v>13.54</v>
      </c>
      <c r="K364" s="16" t="str">
        <f t="array" ref="K364">_xlfn.XLOOKUP(C364,Clientes[ID_Cliente],Clientes[Provincia])</f>
        <v>San Luis</v>
      </c>
      <c r="L364" s="16" t="str">
        <f t="array" ref="L364">CONCATENATE(_xlfn.XLOOKUP(C364,Clientes[ID_Cliente],Clientes[Provincia]),", Argentina")</f>
        <v>San Luis, Argentina</v>
      </c>
      <c r="M364" s="20" t="str">
        <f t="array" ref="M364">_xlfn.XLOOKUP(F364,Metodos_De_Pago[ID_Metodo],Metodos_De_Pago[Metodo])</f>
        <v>Mercado Pago</v>
      </c>
      <c r="N364" s="20" t="str">
        <f t="shared" si="2"/>
        <v>2024 09</v>
      </c>
    </row>
    <row r="365" ht="22.5" customHeight="1">
      <c r="A365" s="12">
        <f>IFERROR(__xludf.DUMMYFUNCTION("""COMPUTED_VALUE"""),566.0)</f>
        <v>566</v>
      </c>
      <c r="B365" s="13">
        <f>IFERROR(__xludf.DUMMYFUNCTION("""COMPUTED_VALUE"""),45564.0)</f>
        <v>45564</v>
      </c>
      <c r="C365" s="12">
        <f>IFERROR(__xludf.DUMMYFUNCTION("""COMPUTED_VALUE"""),109.0)</f>
        <v>109</v>
      </c>
      <c r="D365" s="12">
        <f>IFERROR(__xludf.DUMMYFUNCTION("""COMPUTED_VALUE"""),16.0)</f>
        <v>16</v>
      </c>
      <c r="E365" s="12">
        <f>IFERROR(__xludf.DUMMYFUNCTION("""COMPUTED_VALUE"""),1.0)</f>
        <v>1</v>
      </c>
      <c r="F365" s="12">
        <f>IFERROR(__xludf.DUMMYFUNCTION("""COMPUTED_VALUE"""),5.0)</f>
        <v>5</v>
      </c>
      <c r="G365" s="15" t="str">
        <f>IFERROR(__xludf.DUMMYFUNCTION("""COMPUTED_VALUE"""),"Completa")</f>
        <v>Completa</v>
      </c>
      <c r="H365" s="16" t="str">
        <f t="array" ref="H365">_xlfn.XLOOKUP(D365,Productos[ID_Producto],Productos[Nombre_Producto])</f>
        <v>Tortas</v>
      </c>
      <c r="I365" s="17">
        <f t="array" ref="I365">_xlfn.XLOOKUP(D365,Productos[ID_Producto],Productos[Precio_Unitario])</f>
        <v>15.23</v>
      </c>
      <c r="J365" s="17">
        <f t="shared" si="1"/>
        <v>15.23</v>
      </c>
      <c r="K365" s="16" t="str">
        <f t="array" ref="K365">_xlfn.XLOOKUP(C365,Clientes[ID_Cliente],Clientes[Provincia])</f>
        <v>San Luis</v>
      </c>
      <c r="L365" s="16" t="str">
        <f t="array" ref="L365">CONCATENATE(_xlfn.XLOOKUP(C365,Clientes[ID_Cliente],Clientes[Provincia]),", Argentina")</f>
        <v>San Luis, Argentina</v>
      </c>
      <c r="M365" s="20" t="str">
        <f t="array" ref="M365">_xlfn.XLOOKUP(F365,Metodos_De_Pago[ID_Metodo],Metodos_De_Pago[Metodo])</f>
        <v>Transferencia</v>
      </c>
      <c r="N365" s="20" t="str">
        <f t="shared" si="2"/>
        <v>2024 09</v>
      </c>
    </row>
    <row r="366" ht="22.5" customHeight="1">
      <c r="A366" s="12">
        <f>IFERROR(__xludf.DUMMYFUNCTION("""COMPUTED_VALUE"""),1334.0)</f>
        <v>1334</v>
      </c>
      <c r="B366" s="13">
        <f>IFERROR(__xludf.DUMMYFUNCTION("""COMPUTED_VALUE"""),45565.0)</f>
        <v>45565</v>
      </c>
      <c r="C366" s="12">
        <f>IFERROR(__xludf.DUMMYFUNCTION("""COMPUTED_VALUE"""),158.0)</f>
        <v>158</v>
      </c>
      <c r="D366" s="12">
        <f>IFERROR(__xludf.DUMMYFUNCTION("""COMPUTED_VALUE"""),33.0)</f>
        <v>33</v>
      </c>
      <c r="E366" s="12">
        <f>IFERROR(__xludf.DUMMYFUNCTION("""COMPUTED_VALUE"""),1.0)</f>
        <v>1</v>
      </c>
      <c r="F366" s="12">
        <f>IFERROR(__xludf.DUMMYFUNCTION("""COMPUTED_VALUE"""),5.0)</f>
        <v>5</v>
      </c>
      <c r="G366" s="15" t="str">
        <f>IFERROR(__xludf.DUMMYFUNCTION("""COMPUTED_VALUE"""),"Completa")</f>
        <v>Completa</v>
      </c>
      <c r="H366" s="16" t="str">
        <f t="array" ref="H366">_xlfn.XLOOKUP(D366,Productos[ID_Producto],Productos[Nombre_Producto])</f>
        <v>Papas chips</v>
      </c>
      <c r="I366" s="17">
        <f t="array" ref="I366">_xlfn.XLOOKUP(D366,Productos[ID_Producto],Productos[Precio_Unitario])</f>
        <v>8.54</v>
      </c>
      <c r="J366" s="17">
        <f t="shared" si="1"/>
        <v>8.54</v>
      </c>
      <c r="K366" s="16" t="str">
        <f t="array" ref="K366">_xlfn.XLOOKUP(C366,Clientes[ID_Cliente],Clientes[Provincia])</f>
        <v>Buenos Aires</v>
      </c>
      <c r="L366" s="16" t="str">
        <f t="array" ref="L366">CONCATENATE(_xlfn.XLOOKUP(C366,Clientes[ID_Cliente],Clientes[Provincia]),", Argentina")</f>
        <v>Buenos Aires, Argentina</v>
      </c>
      <c r="M366" s="20" t="str">
        <f t="array" ref="M366">_xlfn.XLOOKUP(F366,Metodos_De_Pago[ID_Metodo],Metodos_De_Pago[Metodo])</f>
        <v>Transferencia</v>
      </c>
      <c r="N366" s="20" t="str">
        <f t="shared" si="2"/>
        <v>2024 09</v>
      </c>
    </row>
    <row r="367" ht="22.5" customHeight="1">
      <c r="A367" s="12">
        <f>IFERROR(__xludf.DUMMYFUNCTION("""COMPUTED_VALUE"""),1539.0)</f>
        <v>1539</v>
      </c>
      <c r="B367" s="13">
        <f>IFERROR(__xludf.DUMMYFUNCTION("""COMPUTED_VALUE"""),45565.0)</f>
        <v>45565</v>
      </c>
      <c r="C367" s="12">
        <f>IFERROR(__xludf.DUMMYFUNCTION("""COMPUTED_VALUE"""),152.0)</f>
        <v>152</v>
      </c>
      <c r="D367" s="12">
        <f>IFERROR(__xludf.DUMMYFUNCTION("""COMPUTED_VALUE"""),8.0)</f>
        <v>8</v>
      </c>
      <c r="E367" s="12">
        <f>IFERROR(__xludf.DUMMYFUNCTION("""COMPUTED_VALUE"""),1.0)</f>
        <v>1</v>
      </c>
      <c r="F367" s="12">
        <f>IFERROR(__xludf.DUMMYFUNCTION("""COMPUTED_VALUE"""),4.0)</f>
        <v>4</v>
      </c>
      <c r="G367" s="15" t="str">
        <f>IFERROR(__xludf.DUMMYFUNCTION("""COMPUTED_VALUE"""),"Completa")</f>
        <v>Completa</v>
      </c>
      <c r="H367" s="16" t="str">
        <f t="array" ref="H367">_xlfn.XLOOKUP(D367,Productos[ID_Producto],Productos[Nombre_Producto])</f>
        <v>Milanesa</v>
      </c>
      <c r="I367" s="17">
        <f t="array" ref="I367">_xlfn.XLOOKUP(D367,Productos[ID_Producto],Productos[Precio_Unitario])</f>
        <v>16.21</v>
      </c>
      <c r="J367" s="17">
        <f t="shared" si="1"/>
        <v>16.21</v>
      </c>
      <c r="K367" s="16" t="str">
        <f t="array" ref="K367">_xlfn.XLOOKUP(C367,Clientes[ID_Cliente],Clientes[Provincia])</f>
        <v>Salta</v>
      </c>
      <c r="L367" s="16" t="str">
        <f t="array" ref="L367">CONCATENATE(_xlfn.XLOOKUP(C367,Clientes[ID_Cliente],Clientes[Provincia]),", Argentina")</f>
        <v>Salta, Argentina</v>
      </c>
      <c r="M367" s="20" t="str">
        <f t="array" ref="M367">_xlfn.XLOOKUP(F367,Metodos_De_Pago[ID_Metodo],Metodos_De_Pago[Metodo])</f>
        <v>Mercado Pago</v>
      </c>
      <c r="N367" s="20" t="str">
        <f t="shared" si="2"/>
        <v>2024 09</v>
      </c>
    </row>
    <row r="368" ht="22.5" customHeight="1">
      <c r="A368" s="12">
        <f>IFERROR(__xludf.DUMMYFUNCTION("""COMPUTED_VALUE"""),1608.0)</f>
        <v>1608</v>
      </c>
      <c r="B368" s="13">
        <f>IFERROR(__xludf.DUMMYFUNCTION("""COMPUTED_VALUE"""),45565.0)</f>
        <v>45565</v>
      </c>
      <c r="C368" s="12">
        <f>IFERROR(__xludf.DUMMYFUNCTION("""COMPUTED_VALUE"""),78.0)</f>
        <v>78</v>
      </c>
      <c r="D368" s="12">
        <f>IFERROR(__xludf.DUMMYFUNCTION("""COMPUTED_VALUE"""),11.0)</f>
        <v>11</v>
      </c>
      <c r="E368" s="12">
        <f>IFERROR(__xludf.DUMMYFUNCTION("""COMPUTED_VALUE"""),1.0)</f>
        <v>1</v>
      </c>
      <c r="F368" s="12">
        <f>IFERROR(__xludf.DUMMYFUNCTION("""COMPUTED_VALUE"""),5.0)</f>
        <v>5</v>
      </c>
      <c r="G368" s="15" t="str">
        <f>IFERROR(__xludf.DUMMYFUNCTION("""COMPUTED_VALUE"""),"Completa")</f>
        <v>Completa</v>
      </c>
      <c r="H368" s="16" t="str">
        <f t="array" ref="H368">_xlfn.XLOOKUP(D368,Productos[ID_Producto],Productos[Nombre_Producto])</f>
        <v>Salchicha</v>
      </c>
      <c r="I368" s="17">
        <f t="array" ref="I368">_xlfn.XLOOKUP(D368,Productos[ID_Producto],Productos[Precio_Unitario])</f>
        <v>11.23</v>
      </c>
      <c r="J368" s="17">
        <f t="shared" si="1"/>
        <v>11.23</v>
      </c>
      <c r="K368" s="16" t="str">
        <f t="array" ref="K368">_xlfn.XLOOKUP(C368,Clientes[ID_Cliente],Clientes[Provincia])</f>
        <v>Buenos Aires</v>
      </c>
      <c r="L368" s="16" t="str">
        <f t="array" ref="L368">CONCATENATE(_xlfn.XLOOKUP(C368,Clientes[ID_Cliente],Clientes[Provincia]),", Argentina")</f>
        <v>Buenos Aires, Argentina</v>
      </c>
      <c r="M368" s="20" t="str">
        <f t="array" ref="M368">_xlfn.XLOOKUP(F368,Metodos_De_Pago[ID_Metodo],Metodos_De_Pago[Metodo])</f>
        <v>Transferencia</v>
      </c>
      <c r="N368" s="20" t="str">
        <f t="shared" si="2"/>
        <v>2024 09</v>
      </c>
    </row>
    <row r="369" ht="22.5" customHeight="1">
      <c r="A369" s="12">
        <f>IFERROR(__xludf.DUMMYFUNCTION("""COMPUTED_VALUE"""),1295.0)</f>
        <v>1295</v>
      </c>
      <c r="B369" s="13">
        <f>IFERROR(__xludf.DUMMYFUNCTION("""COMPUTED_VALUE"""),45567.0)</f>
        <v>45567</v>
      </c>
      <c r="C369" s="12">
        <f>IFERROR(__xludf.DUMMYFUNCTION("""COMPUTED_VALUE"""),208.0)</f>
        <v>208</v>
      </c>
      <c r="D369" s="12">
        <f>IFERROR(__xludf.DUMMYFUNCTION("""COMPUTED_VALUE"""),17.0)</f>
        <v>17</v>
      </c>
      <c r="E369" s="12">
        <f>IFERROR(__xludf.DUMMYFUNCTION("""COMPUTED_VALUE"""),1.0)</f>
        <v>1</v>
      </c>
      <c r="F369" s="12">
        <f>IFERROR(__xludf.DUMMYFUNCTION("""COMPUTED_VALUE"""),4.0)</f>
        <v>4</v>
      </c>
      <c r="G369" s="15" t="str">
        <f>IFERROR(__xludf.DUMMYFUNCTION("""COMPUTED_VALUE"""),"Pendiente")</f>
        <v>Pendiente</v>
      </c>
      <c r="H369" s="16" t="str">
        <f t="array" ref="H369">_xlfn.XLOOKUP(D369,Productos[ID_Producto],Productos[Nombre_Producto])</f>
        <v>Manzanas</v>
      </c>
      <c r="I369" s="17">
        <f t="array" ref="I369">_xlfn.XLOOKUP(D369,Productos[ID_Producto],Productos[Precio_Unitario])</f>
        <v>6.54</v>
      </c>
      <c r="J369" s="17">
        <f t="shared" si="1"/>
        <v>6.54</v>
      </c>
      <c r="K369" s="16" t="str">
        <f t="array" ref="K369">_xlfn.XLOOKUP(C369,Clientes[ID_Cliente],Clientes[Provincia])</f>
        <v>Buenos Aires</v>
      </c>
      <c r="L369" s="16" t="str">
        <f t="array" ref="L369">CONCATENATE(_xlfn.XLOOKUP(C369,Clientes[ID_Cliente],Clientes[Provincia]),", Argentina")</f>
        <v>Buenos Aires, Argentina</v>
      </c>
      <c r="M369" s="20" t="str">
        <f t="array" ref="M369">_xlfn.XLOOKUP(F369,Metodos_De_Pago[ID_Metodo],Metodos_De_Pago[Metodo])</f>
        <v>Mercado Pago</v>
      </c>
      <c r="N369" s="20" t="str">
        <f t="shared" si="2"/>
        <v>2024 10</v>
      </c>
    </row>
    <row r="370" ht="22.5" customHeight="1">
      <c r="A370" s="12">
        <f>IFERROR(__xludf.DUMMYFUNCTION("""COMPUTED_VALUE"""),2119.0)</f>
        <v>2119</v>
      </c>
      <c r="B370" s="13">
        <f>IFERROR(__xludf.DUMMYFUNCTION("""COMPUTED_VALUE"""),45567.0)</f>
        <v>45567</v>
      </c>
      <c r="C370" s="12">
        <f>IFERROR(__xludf.DUMMYFUNCTION("""COMPUTED_VALUE"""),296.0)</f>
        <v>296</v>
      </c>
      <c r="D370" s="12">
        <f>IFERROR(__xludf.DUMMYFUNCTION("""COMPUTED_VALUE"""),8.0)</f>
        <v>8</v>
      </c>
      <c r="E370" s="12">
        <f>IFERROR(__xludf.DUMMYFUNCTION("""COMPUTED_VALUE"""),1.0)</f>
        <v>1</v>
      </c>
      <c r="F370" s="12">
        <f>IFERROR(__xludf.DUMMYFUNCTION("""COMPUTED_VALUE"""),4.0)</f>
        <v>4</v>
      </c>
      <c r="G370" s="15" t="str">
        <f>IFERROR(__xludf.DUMMYFUNCTION("""COMPUTED_VALUE"""),"Completa")</f>
        <v>Completa</v>
      </c>
      <c r="H370" s="16" t="str">
        <f t="array" ref="H370">_xlfn.XLOOKUP(D370,Productos[ID_Producto],Productos[Nombre_Producto])</f>
        <v>Milanesa</v>
      </c>
      <c r="I370" s="17">
        <f t="array" ref="I370">_xlfn.XLOOKUP(D370,Productos[ID_Producto],Productos[Precio_Unitario])</f>
        <v>16.21</v>
      </c>
      <c r="J370" s="17">
        <f t="shared" si="1"/>
        <v>16.21</v>
      </c>
      <c r="K370" s="16" t="str">
        <f t="array" ref="K370">_xlfn.XLOOKUP(C370,Clientes[ID_Cliente],Clientes[Provincia])</f>
        <v>Buenos Aires</v>
      </c>
      <c r="L370" s="16" t="str">
        <f t="array" ref="L370">CONCATENATE(_xlfn.XLOOKUP(C370,Clientes[ID_Cliente],Clientes[Provincia]),", Argentina")</f>
        <v>Buenos Aires, Argentina</v>
      </c>
      <c r="M370" s="20" t="str">
        <f t="array" ref="M370">_xlfn.XLOOKUP(F370,Metodos_De_Pago[ID_Metodo],Metodos_De_Pago[Metodo])</f>
        <v>Mercado Pago</v>
      </c>
      <c r="N370" s="20" t="str">
        <f t="shared" si="2"/>
        <v>2024 10</v>
      </c>
    </row>
    <row r="371" ht="22.5" customHeight="1">
      <c r="A371" s="12">
        <f>IFERROR(__xludf.DUMMYFUNCTION("""COMPUTED_VALUE"""),1619.0)</f>
        <v>1619</v>
      </c>
      <c r="B371" s="13">
        <f>IFERROR(__xludf.DUMMYFUNCTION("""COMPUTED_VALUE"""),45568.0)</f>
        <v>45568</v>
      </c>
      <c r="C371" s="12">
        <f>IFERROR(__xludf.DUMMYFUNCTION("""COMPUTED_VALUE"""),236.0)</f>
        <v>236</v>
      </c>
      <c r="D371" s="12">
        <f>IFERROR(__xludf.DUMMYFUNCTION("""COMPUTED_VALUE"""),13.0)</f>
        <v>13</v>
      </c>
      <c r="E371" s="12">
        <f>IFERROR(__xludf.DUMMYFUNCTION("""COMPUTED_VALUE"""),1.0)</f>
        <v>1</v>
      </c>
      <c r="F371" s="12">
        <f>IFERROR(__xludf.DUMMYFUNCTION("""COMPUTED_VALUE"""),2.0)</f>
        <v>2</v>
      </c>
      <c r="G371" s="15" t="str">
        <f>IFERROR(__xludf.DUMMYFUNCTION("""COMPUTED_VALUE"""),"Completa")</f>
        <v>Completa</v>
      </c>
      <c r="H371" s="16" t="str">
        <f t="array" ref="H371">_xlfn.XLOOKUP(D371,Productos[ID_Producto],Productos[Nombre_Producto])</f>
        <v>Pan integral</v>
      </c>
      <c r="I371" s="17">
        <f t="array" ref="I371">_xlfn.XLOOKUP(D371,Productos[ID_Producto],Productos[Precio_Unitario])</f>
        <v>12.56</v>
      </c>
      <c r="J371" s="17">
        <f t="shared" si="1"/>
        <v>12.56</v>
      </c>
      <c r="K371" s="16" t="str">
        <f t="array" ref="K371">_xlfn.XLOOKUP(C371,Clientes[ID_Cliente],Clientes[Provincia])</f>
        <v>Buenos Aires</v>
      </c>
      <c r="L371" s="16" t="str">
        <f t="array" ref="L371">CONCATENATE(_xlfn.XLOOKUP(C371,Clientes[ID_Cliente],Clientes[Provincia]),", Argentina")</f>
        <v>Buenos Aires, Argentina</v>
      </c>
      <c r="M371" s="20" t="str">
        <f t="array" ref="M371">_xlfn.XLOOKUP(F371,Metodos_De_Pago[ID_Metodo],Metodos_De_Pago[Metodo])</f>
        <v>Tarjeta de Crédito</v>
      </c>
      <c r="N371" s="20" t="str">
        <f t="shared" si="2"/>
        <v>2024 10</v>
      </c>
    </row>
    <row r="372" ht="22.5" customHeight="1">
      <c r="A372" s="12">
        <f>IFERROR(__xludf.DUMMYFUNCTION("""COMPUTED_VALUE"""),1997.0)</f>
        <v>1997</v>
      </c>
      <c r="B372" s="13">
        <f>IFERROR(__xludf.DUMMYFUNCTION("""COMPUTED_VALUE"""),45568.0)</f>
        <v>45568</v>
      </c>
      <c r="C372" s="12">
        <f>IFERROR(__xludf.DUMMYFUNCTION("""COMPUTED_VALUE"""),246.0)</f>
        <v>246</v>
      </c>
      <c r="D372" s="12">
        <f>IFERROR(__xludf.DUMMYFUNCTION("""COMPUTED_VALUE"""),2.0)</f>
        <v>2</v>
      </c>
      <c r="E372" s="12">
        <f>IFERROR(__xludf.DUMMYFUNCTION("""COMPUTED_VALUE"""),1.0)</f>
        <v>1</v>
      </c>
      <c r="F372" s="12">
        <f>IFERROR(__xludf.DUMMYFUNCTION("""COMPUTED_VALUE"""),3.0)</f>
        <v>3</v>
      </c>
      <c r="G372" s="15" t="str">
        <f>IFERROR(__xludf.DUMMYFUNCTION("""COMPUTED_VALUE"""),"Completa")</f>
        <v>Completa</v>
      </c>
      <c r="H372" s="16" t="str">
        <f t="array" ref="H372">_xlfn.XLOOKUP(D372,Productos[ID_Producto],Productos[Nombre_Producto])</f>
        <v>Yogur</v>
      </c>
      <c r="I372" s="17">
        <f t="array" ref="I372">_xlfn.XLOOKUP(D372,Productos[ID_Producto],Productos[Precio_Unitario])</f>
        <v>5.21</v>
      </c>
      <c r="J372" s="17">
        <f t="shared" si="1"/>
        <v>5.21</v>
      </c>
      <c r="K372" s="16" t="str">
        <f t="array" ref="K372">_xlfn.XLOOKUP(C372,Clientes[ID_Cliente],Clientes[Provincia])</f>
        <v>Chaco</v>
      </c>
      <c r="L372" s="16" t="str">
        <f t="array" ref="L372">CONCATENATE(_xlfn.XLOOKUP(C372,Clientes[ID_Cliente],Clientes[Provincia]),", Argentina")</f>
        <v>Chaco, Argentina</v>
      </c>
      <c r="M372" s="20" t="str">
        <f t="array" ref="M372">_xlfn.XLOOKUP(F372,Metodos_De_Pago[ID_Metodo],Metodos_De_Pago[Metodo])</f>
        <v>Tarjeta de Débito</v>
      </c>
      <c r="N372" s="20" t="str">
        <f t="shared" si="2"/>
        <v>2024 10</v>
      </c>
    </row>
    <row r="373" ht="22.5" customHeight="1">
      <c r="A373" s="12">
        <f>IFERROR(__xludf.DUMMYFUNCTION("""COMPUTED_VALUE"""),2724.0)</f>
        <v>2724</v>
      </c>
      <c r="B373" s="13">
        <f>IFERROR(__xludf.DUMMYFUNCTION("""COMPUTED_VALUE"""),45568.0)</f>
        <v>45568</v>
      </c>
      <c r="C373" s="12">
        <f>IFERROR(__xludf.DUMMYFUNCTION("""COMPUTED_VALUE"""),302.0)</f>
        <v>302</v>
      </c>
      <c r="D373" s="12">
        <f>IFERROR(__xludf.DUMMYFUNCTION("""COMPUTED_VALUE"""),3.0)</f>
        <v>3</v>
      </c>
      <c r="E373" s="12">
        <f>IFERROR(__xludf.DUMMYFUNCTION("""COMPUTED_VALUE"""),1.0)</f>
        <v>1</v>
      </c>
      <c r="F373" s="12">
        <f>IFERROR(__xludf.DUMMYFUNCTION("""COMPUTED_VALUE"""),1.0)</f>
        <v>1</v>
      </c>
      <c r="G373" s="15" t="str">
        <f>IFERROR(__xludf.DUMMYFUNCTION("""COMPUTED_VALUE"""),"Completa")</f>
        <v>Completa</v>
      </c>
      <c r="H373" s="16" t="str">
        <f t="array" ref="H373">_xlfn.XLOOKUP(D373,Productos[ID_Producto],Productos[Nombre_Producto])</f>
        <v>Queso cremoso</v>
      </c>
      <c r="I373" s="17">
        <f t="array" ref="I373">_xlfn.XLOOKUP(D373,Productos[ID_Producto],Productos[Precio_Unitario])</f>
        <v>17.23</v>
      </c>
      <c r="J373" s="17">
        <f t="shared" si="1"/>
        <v>17.23</v>
      </c>
      <c r="K373" s="16" t="str">
        <f t="array" ref="K373">_xlfn.XLOOKUP(C373,Clientes[ID_Cliente],Clientes[Provincia])</f>
        <v>Neuquén</v>
      </c>
      <c r="L373" s="16" t="str">
        <f t="array" ref="L373">CONCATENATE(_xlfn.XLOOKUP(C373,Clientes[ID_Cliente],Clientes[Provincia]),", Argentina")</f>
        <v>Neuquén, Argentina</v>
      </c>
      <c r="M373" s="20" t="str">
        <f t="array" ref="M373">_xlfn.XLOOKUP(F373,Metodos_De_Pago[ID_Metodo],Metodos_De_Pago[Metodo])</f>
        <v>Efectivo</v>
      </c>
      <c r="N373" s="20" t="str">
        <f t="shared" si="2"/>
        <v>2024 10</v>
      </c>
    </row>
    <row r="374" ht="22.5" customHeight="1">
      <c r="A374" s="12">
        <f>IFERROR(__xludf.DUMMYFUNCTION("""COMPUTED_VALUE"""),2071.0)</f>
        <v>2071</v>
      </c>
      <c r="B374" s="13">
        <f>IFERROR(__xludf.DUMMYFUNCTION("""COMPUTED_VALUE"""),45569.0)</f>
        <v>45569</v>
      </c>
      <c r="C374" s="12">
        <f>IFERROR(__xludf.DUMMYFUNCTION("""COMPUTED_VALUE"""),122.0)</f>
        <v>122</v>
      </c>
      <c r="D374" s="12">
        <f>IFERROR(__xludf.DUMMYFUNCTION("""COMPUTED_VALUE"""),31.0)</f>
        <v>31</v>
      </c>
      <c r="E374" s="12">
        <f>IFERROR(__xludf.DUMMYFUNCTION("""COMPUTED_VALUE"""),1.0)</f>
        <v>1</v>
      </c>
      <c r="F374" s="12">
        <f>IFERROR(__xludf.DUMMYFUNCTION("""COMPUTED_VALUE"""),2.0)</f>
        <v>2</v>
      </c>
      <c r="G374" s="15" t="str">
        <f>IFERROR(__xludf.DUMMYFUNCTION("""COMPUTED_VALUE"""),"Pendiente")</f>
        <v>Pendiente</v>
      </c>
      <c r="H374" s="16" t="str">
        <f t="array" ref="H374">_xlfn.XLOOKUP(D374,Productos[ID_Producto],Productos[Nombre_Producto])</f>
        <v>Galletitas de agua</v>
      </c>
      <c r="I374" s="17">
        <f t="array" ref="I374">_xlfn.XLOOKUP(D374,Productos[ID_Producto],Productos[Precio_Unitario])</f>
        <v>5.24</v>
      </c>
      <c r="J374" s="17">
        <f t="shared" si="1"/>
        <v>5.24</v>
      </c>
      <c r="K374" s="16" t="str">
        <f t="array" ref="K374">_xlfn.XLOOKUP(C374,Clientes[ID_Cliente],Clientes[Provincia])</f>
        <v>Córdoba</v>
      </c>
      <c r="L374" s="16" t="str">
        <f t="array" ref="L374">CONCATENATE(_xlfn.XLOOKUP(C374,Clientes[ID_Cliente],Clientes[Provincia]),", Argentina")</f>
        <v>Córdoba, Argentina</v>
      </c>
      <c r="M374" s="20" t="str">
        <f t="array" ref="M374">_xlfn.XLOOKUP(F374,Metodos_De_Pago[ID_Metodo],Metodos_De_Pago[Metodo])</f>
        <v>Tarjeta de Crédito</v>
      </c>
      <c r="N374" s="20" t="str">
        <f t="shared" si="2"/>
        <v>2024 10</v>
      </c>
    </row>
    <row r="375" ht="22.5" customHeight="1">
      <c r="A375" s="12">
        <f>IFERROR(__xludf.DUMMYFUNCTION("""COMPUTED_VALUE"""),543.0)</f>
        <v>543</v>
      </c>
      <c r="B375" s="13">
        <f>IFERROR(__xludf.DUMMYFUNCTION("""COMPUTED_VALUE"""),45570.0)</f>
        <v>45570</v>
      </c>
      <c r="C375" s="12">
        <f>IFERROR(__xludf.DUMMYFUNCTION("""COMPUTED_VALUE"""),162.0)</f>
        <v>162</v>
      </c>
      <c r="D375" s="12">
        <f>IFERROR(__xludf.DUMMYFUNCTION("""COMPUTED_VALUE"""),8.0)</f>
        <v>8</v>
      </c>
      <c r="E375" s="12">
        <f>IFERROR(__xludf.DUMMYFUNCTION("""COMPUTED_VALUE"""),1.0)</f>
        <v>1</v>
      </c>
      <c r="F375" s="12">
        <f>IFERROR(__xludf.DUMMYFUNCTION("""COMPUTED_VALUE"""),5.0)</f>
        <v>5</v>
      </c>
      <c r="G375" s="15" t="str">
        <f>IFERROR(__xludf.DUMMYFUNCTION("""COMPUTED_VALUE"""),"Completa")</f>
        <v>Completa</v>
      </c>
      <c r="H375" s="16" t="str">
        <f t="array" ref="H375">_xlfn.XLOOKUP(D375,Productos[ID_Producto],Productos[Nombre_Producto])</f>
        <v>Milanesa</v>
      </c>
      <c r="I375" s="17">
        <f t="array" ref="I375">_xlfn.XLOOKUP(D375,Productos[ID_Producto],Productos[Precio_Unitario])</f>
        <v>16.21</v>
      </c>
      <c r="J375" s="17">
        <f t="shared" si="1"/>
        <v>16.21</v>
      </c>
      <c r="K375" s="16" t="str">
        <f t="array" ref="K375">_xlfn.XLOOKUP(C375,Clientes[ID_Cliente],Clientes[Provincia])</f>
        <v>Neuquén</v>
      </c>
      <c r="L375" s="16" t="str">
        <f t="array" ref="L375">CONCATENATE(_xlfn.XLOOKUP(C375,Clientes[ID_Cliente],Clientes[Provincia]),", Argentina")</f>
        <v>Neuquén, Argentina</v>
      </c>
      <c r="M375" s="20" t="str">
        <f t="array" ref="M375">_xlfn.XLOOKUP(F375,Metodos_De_Pago[ID_Metodo],Metodos_De_Pago[Metodo])</f>
        <v>Transferencia</v>
      </c>
      <c r="N375" s="20" t="str">
        <f t="shared" si="2"/>
        <v>2024 10</v>
      </c>
    </row>
    <row r="376" ht="22.5" customHeight="1">
      <c r="A376" s="12">
        <f>IFERROR(__xludf.DUMMYFUNCTION("""COMPUTED_VALUE"""),894.0)</f>
        <v>894</v>
      </c>
      <c r="B376" s="13">
        <f>IFERROR(__xludf.DUMMYFUNCTION("""COMPUTED_VALUE"""),45571.0)</f>
        <v>45571</v>
      </c>
      <c r="C376" s="12">
        <f>IFERROR(__xludf.DUMMYFUNCTION("""COMPUTED_VALUE"""),178.0)</f>
        <v>178</v>
      </c>
      <c r="D376" s="12">
        <f>IFERROR(__xludf.DUMMYFUNCTION("""COMPUTED_VALUE"""),6.0)</f>
        <v>6</v>
      </c>
      <c r="E376" s="12">
        <f>IFERROR(__xludf.DUMMYFUNCTION("""COMPUTED_VALUE"""),1.0)</f>
        <v>1</v>
      </c>
      <c r="F376" s="12">
        <f>IFERROR(__xludf.DUMMYFUNCTION("""COMPUTED_VALUE"""),5.0)</f>
        <v>5</v>
      </c>
      <c r="G376" s="15" t="str">
        <f>IFERROR(__xludf.DUMMYFUNCTION("""COMPUTED_VALUE"""),"Completa")</f>
        <v>Completa</v>
      </c>
      <c r="H376" s="16" t="str">
        <f t="array" ref="H376">_xlfn.XLOOKUP(D376,Productos[ID_Producto],Productos[Nombre_Producto])</f>
        <v>Asado</v>
      </c>
      <c r="I376" s="17">
        <f t="array" ref="I376">_xlfn.XLOOKUP(D376,Productos[ID_Producto],Productos[Precio_Unitario])</f>
        <v>28.56</v>
      </c>
      <c r="J376" s="17">
        <f t="shared" si="1"/>
        <v>28.56</v>
      </c>
      <c r="K376" s="16" t="str">
        <f t="array" ref="K376">_xlfn.XLOOKUP(C376,Clientes[ID_Cliente],Clientes[Provincia])</f>
        <v>Neuquén</v>
      </c>
      <c r="L376" s="16" t="str">
        <f t="array" ref="L376">CONCATENATE(_xlfn.XLOOKUP(C376,Clientes[ID_Cliente],Clientes[Provincia]),", Argentina")</f>
        <v>Neuquén, Argentina</v>
      </c>
      <c r="M376" s="20" t="str">
        <f t="array" ref="M376">_xlfn.XLOOKUP(F376,Metodos_De_Pago[ID_Metodo],Metodos_De_Pago[Metodo])</f>
        <v>Transferencia</v>
      </c>
      <c r="N376" s="20" t="str">
        <f t="shared" si="2"/>
        <v>2024 10</v>
      </c>
    </row>
    <row r="377" ht="22.5" customHeight="1">
      <c r="A377" s="12">
        <f>IFERROR(__xludf.DUMMYFUNCTION("""COMPUTED_VALUE"""),1015.0)</f>
        <v>1015</v>
      </c>
      <c r="B377" s="13">
        <f>IFERROR(__xludf.DUMMYFUNCTION("""COMPUTED_VALUE"""),45571.0)</f>
        <v>45571</v>
      </c>
      <c r="C377" s="12">
        <f>IFERROR(__xludf.DUMMYFUNCTION("""COMPUTED_VALUE"""),83.0)</f>
        <v>83</v>
      </c>
      <c r="D377" s="12">
        <f>IFERROR(__xludf.DUMMYFUNCTION("""COMPUTED_VALUE"""),4.0)</f>
        <v>4</v>
      </c>
      <c r="E377" s="12">
        <f>IFERROR(__xludf.DUMMYFUNCTION("""COMPUTED_VALUE"""),1.0)</f>
        <v>1</v>
      </c>
      <c r="F377" s="12">
        <f>IFERROR(__xludf.DUMMYFUNCTION("""COMPUTED_VALUE"""),5.0)</f>
        <v>5</v>
      </c>
      <c r="G377" s="15" t="str">
        <f>IFERROR(__xludf.DUMMYFUNCTION("""COMPUTED_VALUE"""),"Completa")</f>
        <v>Completa</v>
      </c>
      <c r="H377" s="16" t="str">
        <f t="array" ref="H377">_xlfn.XLOOKUP(D377,Productos[ID_Producto],Productos[Nombre_Producto])</f>
        <v>Queso rallado</v>
      </c>
      <c r="I377" s="17">
        <f t="array" ref="I377">_xlfn.XLOOKUP(D377,Productos[ID_Producto],Productos[Precio_Unitario])</f>
        <v>19.23</v>
      </c>
      <c r="J377" s="17">
        <f t="shared" si="1"/>
        <v>19.23</v>
      </c>
      <c r="K377" s="16" t="str">
        <f t="array" ref="K377">_xlfn.XLOOKUP(C377,Clientes[ID_Cliente],Clientes[Provincia])</f>
        <v>Buenos Aires</v>
      </c>
      <c r="L377" s="16" t="str">
        <f t="array" ref="L377">CONCATENATE(_xlfn.XLOOKUP(C377,Clientes[ID_Cliente],Clientes[Provincia]),", Argentina")</f>
        <v>Buenos Aires, Argentina</v>
      </c>
      <c r="M377" s="20" t="str">
        <f t="array" ref="M377">_xlfn.XLOOKUP(F377,Metodos_De_Pago[ID_Metodo],Metodos_De_Pago[Metodo])</f>
        <v>Transferencia</v>
      </c>
      <c r="N377" s="20" t="str">
        <f t="shared" si="2"/>
        <v>2024 10</v>
      </c>
    </row>
    <row r="378" ht="22.5" customHeight="1">
      <c r="A378" s="12">
        <f>IFERROR(__xludf.DUMMYFUNCTION("""COMPUTED_VALUE"""),1971.0)</f>
        <v>1971</v>
      </c>
      <c r="B378" s="13">
        <f>IFERROR(__xludf.DUMMYFUNCTION("""COMPUTED_VALUE"""),45571.0)</f>
        <v>45571</v>
      </c>
      <c r="C378" s="12">
        <f>IFERROR(__xludf.DUMMYFUNCTION("""COMPUTED_VALUE"""),176.0)</f>
        <v>176</v>
      </c>
      <c r="D378" s="12">
        <f>IFERROR(__xludf.DUMMYFUNCTION("""COMPUTED_VALUE"""),30.0)</f>
        <v>30</v>
      </c>
      <c r="E378" s="12">
        <f>IFERROR(__xludf.DUMMYFUNCTION("""COMPUTED_VALUE"""),1.0)</f>
        <v>1</v>
      </c>
      <c r="F378" s="12">
        <f>IFERROR(__xludf.DUMMYFUNCTION("""COMPUTED_VALUE"""),3.0)</f>
        <v>3</v>
      </c>
      <c r="G378" s="15" t="str">
        <f>IFERROR(__xludf.DUMMYFUNCTION("""COMPUTED_VALUE"""),"Completa")</f>
        <v>Completa</v>
      </c>
      <c r="H378" s="16" t="str">
        <f t="array" ref="H378">_xlfn.XLOOKUP(D378,Productos[ID_Producto],Productos[Nombre_Producto])</f>
        <v>Vino tinto</v>
      </c>
      <c r="I378" s="17">
        <f t="array" ref="I378">_xlfn.XLOOKUP(D378,Productos[ID_Producto],Productos[Precio_Unitario])</f>
        <v>13.54</v>
      </c>
      <c r="J378" s="17">
        <f t="shared" si="1"/>
        <v>13.54</v>
      </c>
      <c r="K378" s="16" t="str">
        <f t="array" ref="K378">_xlfn.XLOOKUP(C378,Clientes[ID_Cliente],Clientes[Provincia])</f>
        <v>Chaco</v>
      </c>
      <c r="L378" s="16" t="str">
        <f t="array" ref="L378">CONCATENATE(_xlfn.XLOOKUP(C378,Clientes[ID_Cliente],Clientes[Provincia]),", Argentina")</f>
        <v>Chaco, Argentina</v>
      </c>
      <c r="M378" s="20" t="str">
        <f t="array" ref="M378">_xlfn.XLOOKUP(F378,Metodos_De_Pago[ID_Metodo],Metodos_De_Pago[Metodo])</f>
        <v>Tarjeta de Débito</v>
      </c>
      <c r="N378" s="20" t="str">
        <f t="shared" si="2"/>
        <v>2024 10</v>
      </c>
    </row>
    <row r="379" ht="22.5" customHeight="1">
      <c r="A379" s="12">
        <f>IFERROR(__xludf.DUMMYFUNCTION("""COMPUTED_VALUE"""),137.0)</f>
        <v>137</v>
      </c>
      <c r="B379" s="13">
        <f>IFERROR(__xludf.DUMMYFUNCTION("""COMPUTED_VALUE"""),45572.0)</f>
        <v>45572</v>
      </c>
      <c r="C379" s="12">
        <f>IFERROR(__xludf.DUMMYFUNCTION("""COMPUTED_VALUE"""),264.0)</f>
        <v>264</v>
      </c>
      <c r="D379" s="12">
        <f>IFERROR(__xludf.DUMMYFUNCTION("""COMPUTED_VALUE"""),15.0)</f>
        <v>15</v>
      </c>
      <c r="E379" s="12">
        <f>IFERROR(__xludf.DUMMYFUNCTION("""COMPUTED_VALUE"""),1.0)</f>
        <v>1</v>
      </c>
      <c r="F379" s="12">
        <f>IFERROR(__xludf.DUMMYFUNCTION("""COMPUTED_VALUE"""),5.0)</f>
        <v>5</v>
      </c>
      <c r="G379" s="15" t="str">
        <f>IFERROR(__xludf.DUMMYFUNCTION("""COMPUTED_VALUE"""),"Pendiente")</f>
        <v>Pendiente</v>
      </c>
      <c r="H379" s="16" t="str">
        <f t="array" ref="H379">_xlfn.XLOOKUP(D379,Productos[ID_Producto],Productos[Nombre_Producto])</f>
        <v>Medialunas</v>
      </c>
      <c r="I379" s="17">
        <f t="array" ref="I379">_xlfn.XLOOKUP(D379,Productos[ID_Producto],Productos[Precio_Unitario])</f>
        <v>3.51</v>
      </c>
      <c r="J379" s="17">
        <f t="shared" si="1"/>
        <v>3.51</v>
      </c>
      <c r="K379" s="16" t="str">
        <f t="array" ref="K379">_xlfn.XLOOKUP(C379,Clientes[ID_Cliente],Clientes[Provincia])</f>
        <v>Buenos Aires</v>
      </c>
      <c r="L379" s="16" t="str">
        <f t="array" ref="L379">CONCATENATE(_xlfn.XLOOKUP(C379,Clientes[ID_Cliente],Clientes[Provincia]),", Argentina")</f>
        <v>Buenos Aires, Argentina</v>
      </c>
      <c r="M379" s="20" t="str">
        <f t="array" ref="M379">_xlfn.XLOOKUP(F379,Metodos_De_Pago[ID_Metodo],Metodos_De_Pago[Metodo])</f>
        <v>Transferencia</v>
      </c>
      <c r="N379" s="20" t="str">
        <f t="shared" si="2"/>
        <v>2024 10</v>
      </c>
    </row>
    <row r="380" ht="22.5" customHeight="1">
      <c r="A380" s="12">
        <f>IFERROR(__xludf.DUMMYFUNCTION("""COMPUTED_VALUE"""),2275.0)</f>
        <v>2275</v>
      </c>
      <c r="B380" s="13">
        <f>IFERROR(__xludf.DUMMYFUNCTION("""COMPUTED_VALUE"""),45572.0)</f>
        <v>45572</v>
      </c>
      <c r="C380" s="12">
        <f>IFERROR(__xludf.DUMMYFUNCTION("""COMPUTED_VALUE"""),227.0)</f>
        <v>227</v>
      </c>
      <c r="D380" s="12">
        <f>IFERROR(__xludf.DUMMYFUNCTION("""COMPUTED_VALUE"""),36.0)</f>
        <v>36</v>
      </c>
      <c r="E380" s="12">
        <f>IFERROR(__xludf.DUMMYFUNCTION("""COMPUTED_VALUE"""),1.0)</f>
        <v>1</v>
      </c>
      <c r="F380" s="12">
        <f>IFERROR(__xludf.DUMMYFUNCTION("""COMPUTED_VALUE"""),1.0)</f>
        <v>1</v>
      </c>
      <c r="G380" s="15" t="str">
        <f>IFERROR(__xludf.DUMMYFUNCTION("""COMPUTED_VALUE"""),"Completa")</f>
        <v>Completa</v>
      </c>
      <c r="H380" s="16" t="str">
        <f t="array" ref="H380">_xlfn.XLOOKUP(D380,Productos[ID_Producto],Productos[Nombre_Producto])</f>
        <v>Lentejas</v>
      </c>
      <c r="I380" s="17">
        <f t="array" ref="I380">_xlfn.XLOOKUP(D380,Productos[ID_Producto],Productos[Precio_Unitario])</f>
        <v>3.25</v>
      </c>
      <c r="J380" s="17">
        <f t="shared" si="1"/>
        <v>3.25</v>
      </c>
      <c r="K380" s="16" t="str">
        <f t="array" ref="K380">_xlfn.XLOOKUP(C380,Clientes[ID_Cliente],Clientes[Provincia])</f>
        <v>Buenos Aires</v>
      </c>
      <c r="L380" s="16" t="str">
        <f t="array" ref="L380">CONCATENATE(_xlfn.XLOOKUP(C380,Clientes[ID_Cliente],Clientes[Provincia]),", Argentina")</f>
        <v>Buenos Aires, Argentina</v>
      </c>
      <c r="M380" s="20" t="str">
        <f t="array" ref="M380">_xlfn.XLOOKUP(F380,Metodos_De_Pago[ID_Metodo],Metodos_De_Pago[Metodo])</f>
        <v>Efectivo</v>
      </c>
      <c r="N380" s="20" t="str">
        <f t="shared" si="2"/>
        <v>2024 10</v>
      </c>
    </row>
    <row r="381" ht="22.5" customHeight="1">
      <c r="A381" s="12">
        <f>IFERROR(__xludf.DUMMYFUNCTION("""COMPUTED_VALUE"""),1280.0)</f>
        <v>1280</v>
      </c>
      <c r="B381" s="13">
        <f>IFERROR(__xludf.DUMMYFUNCTION("""COMPUTED_VALUE"""),45574.0)</f>
        <v>45574</v>
      </c>
      <c r="C381" s="12">
        <f>IFERROR(__xludf.DUMMYFUNCTION("""COMPUTED_VALUE"""),239.0)</f>
        <v>239</v>
      </c>
      <c r="D381" s="12">
        <f>IFERROR(__xludf.DUMMYFUNCTION("""COMPUTED_VALUE"""),10.0)</f>
        <v>10</v>
      </c>
      <c r="E381" s="12">
        <f>IFERROR(__xludf.DUMMYFUNCTION("""COMPUTED_VALUE"""),1.0)</f>
        <v>1</v>
      </c>
      <c r="F381" s="12">
        <f>IFERROR(__xludf.DUMMYFUNCTION("""COMPUTED_VALUE"""),5.0)</f>
        <v>5</v>
      </c>
      <c r="G381" s="15" t="str">
        <f>IFERROR(__xludf.DUMMYFUNCTION("""COMPUTED_VALUE"""),"Completa")</f>
        <v>Completa</v>
      </c>
      <c r="H381" s="16" t="str">
        <f t="array" ref="H381">_xlfn.XLOOKUP(D381,Productos[ID_Producto],Productos[Nombre_Producto])</f>
        <v>Costilla de cerdo</v>
      </c>
      <c r="I381" s="17">
        <f t="array" ref="I381">_xlfn.XLOOKUP(D381,Productos[ID_Producto],Productos[Precio_Unitario])</f>
        <v>14.25</v>
      </c>
      <c r="J381" s="17">
        <f t="shared" si="1"/>
        <v>14.25</v>
      </c>
      <c r="K381" s="16" t="str">
        <f t="array" ref="K381">_xlfn.XLOOKUP(C381,Clientes[ID_Cliente],Clientes[Provincia])</f>
        <v>Buenos Aires</v>
      </c>
      <c r="L381" s="16" t="str">
        <f t="array" ref="L381">CONCATENATE(_xlfn.XLOOKUP(C381,Clientes[ID_Cliente],Clientes[Provincia]),", Argentina")</f>
        <v>Buenos Aires, Argentina</v>
      </c>
      <c r="M381" s="20" t="str">
        <f t="array" ref="M381">_xlfn.XLOOKUP(F381,Metodos_De_Pago[ID_Metodo],Metodos_De_Pago[Metodo])</f>
        <v>Transferencia</v>
      </c>
      <c r="N381" s="20" t="str">
        <f t="shared" si="2"/>
        <v>2024 10</v>
      </c>
    </row>
    <row r="382" ht="22.5" customHeight="1">
      <c r="A382" s="12">
        <f>IFERROR(__xludf.DUMMYFUNCTION("""COMPUTED_VALUE"""),602.0)</f>
        <v>602</v>
      </c>
      <c r="B382" s="13">
        <f>IFERROR(__xludf.DUMMYFUNCTION("""COMPUTED_VALUE"""),45575.0)</f>
        <v>45575</v>
      </c>
      <c r="C382" s="12">
        <f>IFERROR(__xludf.DUMMYFUNCTION("""COMPUTED_VALUE"""),53.0)</f>
        <v>53</v>
      </c>
      <c r="D382" s="12">
        <f>IFERROR(__xludf.DUMMYFUNCTION("""COMPUTED_VALUE"""),35.0)</f>
        <v>35</v>
      </c>
      <c r="E382" s="12">
        <f>IFERROR(__xludf.DUMMYFUNCTION("""COMPUTED_VALUE"""),1.0)</f>
        <v>1</v>
      </c>
      <c r="F382" s="12">
        <f>IFERROR(__xludf.DUMMYFUNCTION("""COMPUTED_VALUE"""),4.0)</f>
        <v>4</v>
      </c>
      <c r="G382" s="15" t="str">
        <f>IFERROR(__xludf.DUMMYFUNCTION("""COMPUTED_VALUE"""),"Completa")</f>
        <v>Completa</v>
      </c>
      <c r="H382" s="16" t="str">
        <f t="array" ref="H382">_xlfn.XLOOKUP(D382,Productos[ID_Producto],Productos[Nombre_Producto])</f>
        <v>Arroz</v>
      </c>
      <c r="I382" s="17">
        <f t="array" ref="I382">_xlfn.XLOOKUP(D382,Productos[ID_Producto],Productos[Precio_Unitario])</f>
        <v>4.25</v>
      </c>
      <c r="J382" s="17">
        <f t="shared" si="1"/>
        <v>4.25</v>
      </c>
      <c r="K382" s="16" t="str">
        <f t="array" ref="K382">_xlfn.XLOOKUP(C382,Clientes[ID_Cliente],Clientes[Provincia])</f>
        <v>Córdoba</v>
      </c>
      <c r="L382" s="16" t="str">
        <f t="array" ref="L382">CONCATENATE(_xlfn.XLOOKUP(C382,Clientes[ID_Cliente],Clientes[Provincia]),", Argentina")</f>
        <v>Córdoba, Argentina</v>
      </c>
      <c r="M382" s="20" t="str">
        <f t="array" ref="M382">_xlfn.XLOOKUP(F382,Metodos_De_Pago[ID_Metodo],Metodos_De_Pago[Metodo])</f>
        <v>Mercado Pago</v>
      </c>
      <c r="N382" s="20" t="str">
        <f t="shared" si="2"/>
        <v>2024 10</v>
      </c>
    </row>
    <row r="383" ht="22.5" customHeight="1">
      <c r="A383" s="12">
        <f>IFERROR(__xludf.DUMMYFUNCTION("""COMPUTED_VALUE"""),84.0)</f>
        <v>84</v>
      </c>
      <c r="B383" s="13">
        <f>IFERROR(__xludf.DUMMYFUNCTION("""COMPUTED_VALUE"""),45576.0)</f>
        <v>45576</v>
      </c>
      <c r="C383" s="12">
        <f>IFERROR(__xludf.DUMMYFUNCTION("""COMPUTED_VALUE"""),110.0)</f>
        <v>110</v>
      </c>
      <c r="D383" s="12">
        <f>IFERROR(__xludf.DUMMYFUNCTION("""COMPUTED_VALUE"""),13.0)</f>
        <v>13</v>
      </c>
      <c r="E383" s="12">
        <f>IFERROR(__xludf.DUMMYFUNCTION("""COMPUTED_VALUE"""),1.0)</f>
        <v>1</v>
      </c>
      <c r="F383" s="12">
        <f>IFERROR(__xludf.DUMMYFUNCTION("""COMPUTED_VALUE"""),4.0)</f>
        <v>4</v>
      </c>
      <c r="G383" s="15" t="str">
        <f>IFERROR(__xludf.DUMMYFUNCTION("""COMPUTED_VALUE"""),"Completa")</f>
        <v>Completa</v>
      </c>
      <c r="H383" s="16" t="str">
        <f t="array" ref="H383">_xlfn.XLOOKUP(D383,Productos[ID_Producto],Productos[Nombre_Producto])</f>
        <v>Pan integral</v>
      </c>
      <c r="I383" s="17">
        <f t="array" ref="I383">_xlfn.XLOOKUP(D383,Productos[ID_Producto],Productos[Precio_Unitario])</f>
        <v>12.56</v>
      </c>
      <c r="J383" s="17">
        <f t="shared" si="1"/>
        <v>12.56</v>
      </c>
      <c r="K383" s="16" t="str">
        <f t="array" ref="K383">_xlfn.XLOOKUP(C383,Clientes[ID_Cliente],Clientes[Provincia])</f>
        <v>Chaco</v>
      </c>
      <c r="L383" s="16" t="str">
        <f t="array" ref="L383">CONCATENATE(_xlfn.XLOOKUP(C383,Clientes[ID_Cliente],Clientes[Provincia]),", Argentina")</f>
        <v>Chaco, Argentina</v>
      </c>
      <c r="M383" s="20" t="str">
        <f t="array" ref="M383">_xlfn.XLOOKUP(F383,Metodos_De_Pago[ID_Metodo],Metodos_De_Pago[Metodo])</f>
        <v>Mercado Pago</v>
      </c>
      <c r="N383" s="20" t="str">
        <f t="shared" si="2"/>
        <v>2024 10</v>
      </c>
    </row>
    <row r="384" ht="22.5" customHeight="1">
      <c r="A384" s="12">
        <f>IFERROR(__xludf.DUMMYFUNCTION("""COMPUTED_VALUE"""),359.0)</f>
        <v>359</v>
      </c>
      <c r="B384" s="13">
        <f>IFERROR(__xludf.DUMMYFUNCTION("""COMPUTED_VALUE"""),45577.0)</f>
        <v>45577</v>
      </c>
      <c r="C384" s="12">
        <f>IFERROR(__xludf.DUMMYFUNCTION("""COMPUTED_VALUE"""),56.0)</f>
        <v>56</v>
      </c>
      <c r="D384" s="12">
        <f>IFERROR(__xludf.DUMMYFUNCTION("""COMPUTED_VALUE"""),18.0)</f>
        <v>18</v>
      </c>
      <c r="E384" s="12">
        <f>IFERROR(__xludf.DUMMYFUNCTION("""COMPUTED_VALUE"""),1.0)</f>
        <v>1</v>
      </c>
      <c r="F384" s="12">
        <f>IFERROR(__xludf.DUMMYFUNCTION("""COMPUTED_VALUE"""),5.0)</f>
        <v>5</v>
      </c>
      <c r="G384" s="15" t="str">
        <f>IFERROR(__xludf.DUMMYFUNCTION("""COMPUTED_VALUE"""),"Completa")</f>
        <v>Completa</v>
      </c>
      <c r="H384" s="16" t="str">
        <f t="array" ref="H384">_xlfn.XLOOKUP(D384,Productos[ID_Producto],Productos[Nombre_Producto])</f>
        <v>Bananas</v>
      </c>
      <c r="I384" s="17">
        <f t="array" ref="I384">_xlfn.XLOOKUP(D384,Productos[ID_Producto],Productos[Precio_Unitario])</f>
        <v>7.25</v>
      </c>
      <c r="J384" s="17">
        <f t="shared" si="1"/>
        <v>7.25</v>
      </c>
      <c r="K384" s="16" t="str">
        <f t="array" ref="K384">_xlfn.XLOOKUP(C384,Clientes[ID_Cliente],Clientes[Provincia])</f>
        <v>Córdoba</v>
      </c>
      <c r="L384" s="16" t="str">
        <f t="array" ref="L384">CONCATENATE(_xlfn.XLOOKUP(C384,Clientes[ID_Cliente],Clientes[Provincia]),", Argentina")</f>
        <v>Córdoba, Argentina</v>
      </c>
      <c r="M384" s="20" t="str">
        <f t="array" ref="M384">_xlfn.XLOOKUP(F384,Metodos_De_Pago[ID_Metodo],Metodos_De_Pago[Metodo])</f>
        <v>Transferencia</v>
      </c>
      <c r="N384" s="20" t="str">
        <f t="shared" si="2"/>
        <v>2024 10</v>
      </c>
    </row>
    <row r="385" ht="22.5" customHeight="1">
      <c r="A385" s="12">
        <f>IFERROR(__xludf.DUMMYFUNCTION("""COMPUTED_VALUE"""),2099.0)</f>
        <v>2099</v>
      </c>
      <c r="B385" s="13">
        <f>IFERROR(__xludf.DUMMYFUNCTION("""COMPUTED_VALUE"""),45577.0)</f>
        <v>45577</v>
      </c>
      <c r="C385" s="12">
        <f>IFERROR(__xludf.DUMMYFUNCTION("""COMPUTED_VALUE"""),147.0)</f>
        <v>147</v>
      </c>
      <c r="D385" s="12">
        <f>IFERROR(__xludf.DUMMYFUNCTION("""COMPUTED_VALUE"""),34.0)</f>
        <v>34</v>
      </c>
      <c r="E385" s="12">
        <f>IFERROR(__xludf.DUMMYFUNCTION("""COMPUTED_VALUE"""),1.0)</f>
        <v>1</v>
      </c>
      <c r="F385" s="12">
        <f>IFERROR(__xludf.DUMMYFUNCTION("""COMPUTED_VALUE"""),5.0)</f>
        <v>5</v>
      </c>
      <c r="G385" s="15" t="str">
        <f>IFERROR(__xludf.DUMMYFUNCTION("""COMPUTED_VALUE"""),"Completa")</f>
        <v>Completa</v>
      </c>
      <c r="H385" s="16" t="str">
        <f t="array" ref="H385">_xlfn.XLOOKUP(D385,Productos[ID_Producto],Productos[Nombre_Producto])</f>
        <v>Maníes</v>
      </c>
      <c r="I385" s="17">
        <f t="array" ref="I385">_xlfn.XLOOKUP(D385,Productos[ID_Producto],Productos[Precio_Unitario])</f>
        <v>5.45</v>
      </c>
      <c r="J385" s="17">
        <f t="shared" si="1"/>
        <v>5.45</v>
      </c>
      <c r="K385" s="16" t="str">
        <f t="array" ref="K385">_xlfn.XLOOKUP(C385,Clientes[ID_Cliente],Clientes[Provincia])</f>
        <v>San Luis</v>
      </c>
      <c r="L385" s="16" t="str">
        <f t="array" ref="L385">CONCATENATE(_xlfn.XLOOKUP(C385,Clientes[ID_Cliente],Clientes[Provincia]),", Argentina")</f>
        <v>San Luis, Argentina</v>
      </c>
      <c r="M385" s="20" t="str">
        <f t="array" ref="M385">_xlfn.XLOOKUP(F385,Metodos_De_Pago[ID_Metodo],Metodos_De_Pago[Metodo])</f>
        <v>Transferencia</v>
      </c>
      <c r="N385" s="20" t="str">
        <f t="shared" si="2"/>
        <v>2024 10</v>
      </c>
    </row>
    <row r="386" ht="22.5" customHeight="1">
      <c r="A386" s="12">
        <f>IFERROR(__xludf.DUMMYFUNCTION("""COMPUTED_VALUE"""),2360.0)</f>
        <v>2360</v>
      </c>
      <c r="B386" s="13">
        <f>IFERROR(__xludf.DUMMYFUNCTION("""COMPUTED_VALUE"""),45577.0)</f>
        <v>45577</v>
      </c>
      <c r="C386" s="12">
        <f>IFERROR(__xludf.DUMMYFUNCTION("""COMPUTED_VALUE"""),250.0)</f>
        <v>250</v>
      </c>
      <c r="D386" s="12">
        <f>IFERROR(__xludf.DUMMYFUNCTION("""COMPUTED_VALUE"""),21.0)</f>
        <v>21</v>
      </c>
      <c r="E386" s="12">
        <f>IFERROR(__xludf.DUMMYFUNCTION("""COMPUTED_VALUE"""),1.0)</f>
        <v>1</v>
      </c>
      <c r="F386" s="12">
        <f>IFERROR(__xludf.DUMMYFUNCTION("""COMPUTED_VALUE"""),4.0)</f>
        <v>4</v>
      </c>
      <c r="G386" s="15" t="str">
        <f>IFERROR(__xludf.DUMMYFUNCTION("""COMPUTED_VALUE"""),"Completa")</f>
        <v>Completa</v>
      </c>
      <c r="H386" s="16" t="str">
        <f t="array" ref="H386">_xlfn.XLOOKUP(D386,Productos[ID_Producto],Productos[Nombre_Producto])</f>
        <v>Zanahorias</v>
      </c>
      <c r="I386" s="17">
        <f t="array" ref="I386">_xlfn.XLOOKUP(D386,Productos[ID_Producto],Productos[Precio_Unitario])</f>
        <v>3.25</v>
      </c>
      <c r="J386" s="17">
        <f t="shared" si="1"/>
        <v>3.25</v>
      </c>
      <c r="K386" s="16" t="str">
        <f t="array" ref="K386">_xlfn.XLOOKUP(C386,Clientes[ID_Cliente],Clientes[Provincia])</f>
        <v>Córdoba</v>
      </c>
      <c r="L386" s="16" t="str">
        <f t="array" ref="L386">CONCATENATE(_xlfn.XLOOKUP(C386,Clientes[ID_Cliente],Clientes[Provincia]),", Argentina")</f>
        <v>Córdoba, Argentina</v>
      </c>
      <c r="M386" s="20" t="str">
        <f t="array" ref="M386">_xlfn.XLOOKUP(F386,Metodos_De_Pago[ID_Metodo],Metodos_De_Pago[Metodo])</f>
        <v>Mercado Pago</v>
      </c>
      <c r="N386" s="20" t="str">
        <f t="shared" si="2"/>
        <v>2024 10</v>
      </c>
    </row>
    <row r="387" ht="22.5" customHeight="1">
      <c r="A387" s="12">
        <f>IFERROR(__xludf.DUMMYFUNCTION("""COMPUTED_VALUE"""),1376.0)</f>
        <v>1376</v>
      </c>
      <c r="B387" s="13">
        <f>IFERROR(__xludf.DUMMYFUNCTION("""COMPUTED_VALUE"""),45579.0)</f>
        <v>45579</v>
      </c>
      <c r="C387" s="12">
        <f>IFERROR(__xludf.DUMMYFUNCTION("""COMPUTED_VALUE"""),61.0)</f>
        <v>61</v>
      </c>
      <c r="D387" s="12">
        <f>IFERROR(__xludf.DUMMYFUNCTION("""COMPUTED_VALUE"""),16.0)</f>
        <v>16</v>
      </c>
      <c r="E387" s="12">
        <f>IFERROR(__xludf.DUMMYFUNCTION("""COMPUTED_VALUE"""),1.0)</f>
        <v>1</v>
      </c>
      <c r="F387" s="12">
        <f>IFERROR(__xludf.DUMMYFUNCTION("""COMPUTED_VALUE"""),2.0)</f>
        <v>2</v>
      </c>
      <c r="G387" s="15" t="str">
        <f>IFERROR(__xludf.DUMMYFUNCTION("""COMPUTED_VALUE"""),"Completa")</f>
        <v>Completa</v>
      </c>
      <c r="H387" s="16" t="str">
        <f t="array" ref="H387">_xlfn.XLOOKUP(D387,Productos[ID_Producto],Productos[Nombre_Producto])</f>
        <v>Tortas</v>
      </c>
      <c r="I387" s="17">
        <f t="array" ref="I387">_xlfn.XLOOKUP(D387,Productos[ID_Producto],Productos[Precio_Unitario])</f>
        <v>15.23</v>
      </c>
      <c r="J387" s="17">
        <f t="shared" si="1"/>
        <v>15.23</v>
      </c>
      <c r="K387" s="16" t="str">
        <f t="array" ref="K387">_xlfn.XLOOKUP(C387,Clientes[ID_Cliente],Clientes[Provincia])</f>
        <v>Buenos Aires</v>
      </c>
      <c r="L387" s="16" t="str">
        <f t="array" ref="L387">CONCATENATE(_xlfn.XLOOKUP(C387,Clientes[ID_Cliente],Clientes[Provincia]),", Argentina")</f>
        <v>Buenos Aires, Argentina</v>
      </c>
      <c r="M387" s="20" t="str">
        <f t="array" ref="M387">_xlfn.XLOOKUP(F387,Metodos_De_Pago[ID_Metodo],Metodos_De_Pago[Metodo])</f>
        <v>Tarjeta de Crédito</v>
      </c>
      <c r="N387" s="20" t="str">
        <f t="shared" si="2"/>
        <v>2024 10</v>
      </c>
    </row>
    <row r="388" ht="22.5" customHeight="1">
      <c r="A388" s="12">
        <f>IFERROR(__xludf.DUMMYFUNCTION("""COMPUTED_VALUE"""),2829.0)</f>
        <v>2829</v>
      </c>
      <c r="B388" s="13">
        <f>IFERROR(__xludf.DUMMYFUNCTION("""COMPUTED_VALUE"""),45579.0)</f>
        <v>45579</v>
      </c>
      <c r="C388" s="12">
        <f>IFERROR(__xludf.DUMMYFUNCTION("""COMPUTED_VALUE"""),188.0)</f>
        <v>188</v>
      </c>
      <c r="D388" s="12">
        <f>IFERROR(__xludf.DUMMYFUNCTION("""COMPUTED_VALUE"""),2.0)</f>
        <v>2</v>
      </c>
      <c r="E388" s="12">
        <f>IFERROR(__xludf.DUMMYFUNCTION("""COMPUTED_VALUE"""),1.0)</f>
        <v>1</v>
      </c>
      <c r="F388" s="12">
        <f>IFERROR(__xludf.DUMMYFUNCTION("""COMPUTED_VALUE"""),5.0)</f>
        <v>5</v>
      </c>
      <c r="G388" s="15" t="str">
        <f>IFERROR(__xludf.DUMMYFUNCTION("""COMPUTED_VALUE"""),"Pendiente")</f>
        <v>Pendiente</v>
      </c>
      <c r="H388" s="16" t="str">
        <f t="array" ref="H388">_xlfn.XLOOKUP(D388,Productos[ID_Producto],Productos[Nombre_Producto])</f>
        <v>Yogur</v>
      </c>
      <c r="I388" s="17">
        <f t="array" ref="I388">_xlfn.XLOOKUP(D388,Productos[ID_Producto],Productos[Precio_Unitario])</f>
        <v>5.21</v>
      </c>
      <c r="J388" s="17">
        <f t="shared" si="1"/>
        <v>5.21</v>
      </c>
      <c r="K388" s="16" t="str">
        <f t="array" ref="K388">_xlfn.XLOOKUP(C388,Clientes[ID_Cliente],Clientes[Provincia])</f>
        <v>San Luis</v>
      </c>
      <c r="L388" s="16" t="str">
        <f t="array" ref="L388">CONCATENATE(_xlfn.XLOOKUP(C388,Clientes[ID_Cliente],Clientes[Provincia]),", Argentina")</f>
        <v>San Luis, Argentina</v>
      </c>
      <c r="M388" s="20" t="str">
        <f t="array" ref="M388">_xlfn.XLOOKUP(F388,Metodos_De_Pago[ID_Metodo],Metodos_De_Pago[Metodo])</f>
        <v>Transferencia</v>
      </c>
      <c r="N388" s="20" t="str">
        <f t="shared" si="2"/>
        <v>2024 10</v>
      </c>
    </row>
    <row r="389" ht="22.5" customHeight="1">
      <c r="A389" s="12">
        <f>IFERROR(__xludf.DUMMYFUNCTION("""COMPUTED_VALUE"""),653.0)</f>
        <v>653</v>
      </c>
      <c r="B389" s="13">
        <f>IFERROR(__xludf.DUMMYFUNCTION("""COMPUTED_VALUE"""),45580.0)</f>
        <v>45580</v>
      </c>
      <c r="C389" s="12">
        <f>IFERROR(__xludf.DUMMYFUNCTION("""COMPUTED_VALUE"""),29.0)</f>
        <v>29</v>
      </c>
      <c r="D389" s="12">
        <f>IFERROR(__xludf.DUMMYFUNCTION("""COMPUTED_VALUE"""),3.0)</f>
        <v>3</v>
      </c>
      <c r="E389" s="12">
        <f>IFERROR(__xludf.DUMMYFUNCTION("""COMPUTED_VALUE"""),1.0)</f>
        <v>1</v>
      </c>
      <c r="F389" s="12">
        <f>IFERROR(__xludf.DUMMYFUNCTION("""COMPUTED_VALUE"""),3.0)</f>
        <v>3</v>
      </c>
      <c r="G389" s="15" t="str">
        <f>IFERROR(__xludf.DUMMYFUNCTION("""COMPUTED_VALUE"""),"Completa")</f>
        <v>Completa</v>
      </c>
      <c r="H389" s="16" t="str">
        <f t="array" ref="H389">_xlfn.XLOOKUP(D389,Productos[ID_Producto],Productos[Nombre_Producto])</f>
        <v>Queso cremoso</v>
      </c>
      <c r="I389" s="17">
        <f t="array" ref="I389">_xlfn.XLOOKUP(D389,Productos[ID_Producto],Productos[Precio_Unitario])</f>
        <v>17.23</v>
      </c>
      <c r="J389" s="17">
        <f t="shared" si="1"/>
        <v>17.23</v>
      </c>
      <c r="K389" s="16" t="str">
        <f t="array" ref="K389">_xlfn.XLOOKUP(C389,Clientes[ID_Cliente],Clientes[Provincia])</f>
        <v>Chaco</v>
      </c>
      <c r="L389" s="16" t="str">
        <f t="array" ref="L389">CONCATENATE(_xlfn.XLOOKUP(C389,Clientes[ID_Cliente],Clientes[Provincia]),", Argentina")</f>
        <v>Chaco, Argentina</v>
      </c>
      <c r="M389" s="20" t="str">
        <f t="array" ref="M389">_xlfn.XLOOKUP(F389,Metodos_De_Pago[ID_Metodo],Metodos_De_Pago[Metodo])</f>
        <v>Tarjeta de Débito</v>
      </c>
      <c r="N389" s="20" t="str">
        <f t="shared" si="2"/>
        <v>2024 10</v>
      </c>
    </row>
    <row r="390" ht="22.5" customHeight="1">
      <c r="A390" s="12">
        <f>IFERROR(__xludf.DUMMYFUNCTION("""COMPUTED_VALUE"""),1024.0)</f>
        <v>1024</v>
      </c>
      <c r="B390" s="13">
        <f>IFERROR(__xludf.DUMMYFUNCTION("""COMPUTED_VALUE"""),45580.0)</f>
        <v>45580</v>
      </c>
      <c r="C390" s="12">
        <f>IFERROR(__xludf.DUMMYFUNCTION("""COMPUTED_VALUE"""),168.0)</f>
        <v>168</v>
      </c>
      <c r="D390" s="12">
        <f>IFERROR(__xludf.DUMMYFUNCTION("""COMPUTED_VALUE"""),37.0)</f>
        <v>37</v>
      </c>
      <c r="E390" s="12">
        <f>IFERROR(__xludf.DUMMYFUNCTION("""COMPUTED_VALUE"""),1.0)</f>
        <v>1</v>
      </c>
      <c r="F390" s="12">
        <f>IFERROR(__xludf.DUMMYFUNCTION("""COMPUTED_VALUE"""),3.0)</f>
        <v>3</v>
      </c>
      <c r="G390" s="15" t="str">
        <f>IFERROR(__xludf.DUMMYFUNCTION("""COMPUTED_VALUE"""),"Completa")</f>
        <v>Completa</v>
      </c>
      <c r="H390" s="16" t="str">
        <f t="array" ref="H390">_xlfn.XLOOKUP(D390,Productos[ID_Producto],Productos[Nombre_Producto])</f>
        <v>Garbanzos</v>
      </c>
      <c r="I390" s="17">
        <f t="array" ref="I390">_xlfn.XLOOKUP(D390,Productos[ID_Producto],Productos[Precio_Unitario])</f>
        <v>3.65</v>
      </c>
      <c r="J390" s="17">
        <f t="shared" si="1"/>
        <v>3.65</v>
      </c>
      <c r="K390" s="16" t="str">
        <f t="array" ref="K390">_xlfn.XLOOKUP(C390,Clientes[ID_Cliente],Clientes[Provincia])</f>
        <v>Córdoba</v>
      </c>
      <c r="L390" s="16" t="str">
        <f t="array" ref="L390">CONCATENATE(_xlfn.XLOOKUP(C390,Clientes[ID_Cliente],Clientes[Provincia]),", Argentina")</f>
        <v>Córdoba, Argentina</v>
      </c>
      <c r="M390" s="20" t="str">
        <f t="array" ref="M390">_xlfn.XLOOKUP(F390,Metodos_De_Pago[ID_Metodo],Metodos_De_Pago[Metodo])</f>
        <v>Tarjeta de Débito</v>
      </c>
      <c r="N390" s="20" t="str">
        <f t="shared" si="2"/>
        <v>2024 10</v>
      </c>
    </row>
    <row r="391" ht="22.5" customHeight="1">
      <c r="A391" s="12">
        <f>IFERROR(__xludf.DUMMYFUNCTION("""COMPUTED_VALUE"""),307.0)</f>
        <v>307</v>
      </c>
      <c r="B391" s="13">
        <f>IFERROR(__xludf.DUMMYFUNCTION("""COMPUTED_VALUE"""),45581.0)</f>
        <v>45581</v>
      </c>
      <c r="C391" s="12">
        <f>IFERROR(__xludf.DUMMYFUNCTION("""COMPUTED_VALUE"""),50.0)</f>
        <v>50</v>
      </c>
      <c r="D391" s="12">
        <f>IFERROR(__xludf.DUMMYFUNCTION("""COMPUTED_VALUE"""),27.0)</f>
        <v>27</v>
      </c>
      <c r="E391" s="12">
        <f>IFERROR(__xludf.DUMMYFUNCTION("""COMPUTED_VALUE"""),1.0)</f>
        <v>1</v>
      </c>
      <c r="F391" s="12">
        <f>IFERROR(__xludf.DUMMYFUNCTION("""COMPUTED_VALUE"""),2.0)</f>
        <v>2</v>
      </c>
      <c r="G391" s="15" t="str">
        <f>IFERROR(__xludf.DUMMYFUNCTION("""COMPUTED_VALUE"""),"Completa")</f>
        <v>Completa</v>
      </c>
      <c r="H391" s="16" t="str">
        <f t="array" ref="H391">_xlfn.XLOOKUP(D391,Productos[ID_Producto],Productos[Nombre_Producto])</f>
        <v>Agua mineral</v>
      </c>
      <c r="I391" s="17">
        <f t="array" ref="I391">_xlfn.XLOOKUP(D391,Productos[ID_Producto],Productos[Precio_Unitario])</f>
        <v>6.21</v>
      </c>
      <c r="J391" s="17">
        <f t="shared" si="1"/>
        <v>6.21</v>
      </c>
      <c r="K391" s="16" t="str">
        <f t="array" ref="K391">_xlfn.XLOOKUP(C391,Clientes[ID_Cliente],Clientes[Provincia])</f>
        <v>Buenos Aires</v>
      </c>
      <c r="L391" s="16" t="str">
        <f t="array" ref="L391">CONCATENATE(_xlfn.XLOOKUP(C391,Clientes[ID_Cliente],Clientes[Provincia]),", Argentina")</f>
        <v>Buenos Aires, Argentina</v>
      </c>
      <c r="M391" s="20" t="str">
        <f t="array" ref="M391">_xlfn.XLOOKUP(F391,Metodos_De_Pago[ID_Metodo],Metodos_De_Pago[Metodo])</f>
        <v>Tarjeta de Crédito</v>
      </c>
      <c r="N391" s="20" t="str">
        <f t="shared" si="2"/>
        <v>2024 10</v>
      </c>
    </row>
    <row r="392" ht="22.5" customHeight="1">
      <c r="A392" s="12">
        <f>IFERROR(__xludf.DUMMYFUNCTION("""COMPUTED_VALUE"""),645.0)</f>
        <v>645</v>
      </c>
      <c r="B392" s="13">
        <f>IFERROR(__xludf.DUMMYFUNCTION("""COMPUTED_VALUE"""),45581.0)</f>
        <v>45581</v>
      </c>
      <c r="C392" s="12">
        <f>IFERROR(__xludf.DUMMYFUNCTION("""COMPUTED_VALUE"""),188.0)</f>
        <v>188</v>
      </c>
      <c r="D392" s="12">
        <f>IFERROR(__xludf.DUMMYFUNCTION("""COMPUTED_VALUE"""),3.0)</f>
        <v>3</v>
      </c>
      <c r="E392" s="12">
        <f>IFERROR(__xludf.DUMMYFUNCTION("""COMPUTED_VALUE"""),1.0)</f>
        <v>1</v>
      </c>
      <c r="F392" s="12">
        <f>IFERROR(__xludf.DUMMYFUNCTION("""COMPUTED_VALUE"""),5.0)</f>
        <v>5</v>
      </c>
      <c r="G392" s="15" t="str">
        <f>IFERROR(__xludf.DUMMYFUNCTION("""COMPUTED_VALUE"""),"Completa")</f>
        <v>Completa</v>
      </c>
      <c r="H392" s="16" t="str">
        <f t="array" ref="H392">_xlfn.XLOOKUP(D392,Productos[ID_Producto],Productos[Nombre_Producto])</f>
        <v>Queso cremoso</v>
      </c>
      <c r="I392" s="17">
        <f t="array" ref="I392">_xlfn.XLOOKUP(D392,Productos[ID_Producto],Productos[Precio_Unitario])</f>
        <v>17.23</v>
      </c>
      <c r="J392" s="17">
        <f t="shared" si="1"/>
        <v>17.23</v>
      </c>
      <c r="K392" s="16" t="str">
        <f t="array" ref="K392">_xlfn.XLOOKUP(C392,Clientes[ID_Cliente],Clientes[Provincia])</f>
        <v>San Luis</v>
      </c>
      <c r="L392" s="16" t="str">
        <f t="array" ref="L392">CONCATENATE(_xlfn.XLOOKUP(C392,Clientes[ID_Cliente],Clientes[Provincia]),", Argentina")</f>
        <v>San Luis, Argentina</v>
      </c>
      <c r="M392" s="20" t="str">
        <f t="array" ref="M392">_xlfn.XLOOKUP(F392,Metodos_De_Pago[ID_Metodo],Metodos_De_Pago[Metodo])</f>
        <v>Transferencia</v>
      </c>
      <c r="N392" s="20" t="str">
        <f t="shared" si="2"/>
        <v>2024 10</v>
      </c>
    </row>
    <row r="393" ht="22.5" customHeight="1">
      <c r="A393" s="12">
        <f>IFERROR(__xludf.DUMMYFUNCTION("""COMPUTED_VALUE"""),415.0)</f>
        <v>415</v>
      </c>
      <c r="B393" s="13">
        <f>IFERROR(__xludf.DUMMYFUNCTION("""COMPUTED_VALUE"""),45582.0)</f>
        <v>45582</v>
      </c>
      <c r="C393" s="12">
        <f>IFERROR(__xludf.DUMMYFUNCTION("""COMPUTED_VALUE"""),148.0)</f>
        <v>148</v>
      </c>
      <c r="D393" s="12">
        <f>IFERROR(__xludf.DUMMYFUNCTION("""COMPUTED_VALUE"""),21.0)</f>
        <v>21</v>
      </c>
      <c r="E393" s="12">
        <f>IFERROR(__xludf.DUMMYFUNCTION("""COMPUTED_VALUE"""),1.0)</f>
        <v>1</v>
      </c>
      <c r="F393" s="12">
        <f>IFERROR(__xludf.DUMMYFUNCTION("""COMPUTED_VALUE"""),4.0)</f>
        <v>4</v>
      </c>
      <c r="G393" s="15" t="str">
        <f>IFERROR(__xludf.DUMMYFUNCTION("""COMPUTED_VALUE"""),"Completa")</f>
        <v>Completa</v>
      </c>
      <c r="H393" s="16" t="str">
        <f t="array" ref="H393">_xlfn.XLOOKUP(D393,Productos[ID_Producto],Productos[Nombre_Producto])</f>
        <v>Zanahorias</v>
      </c>
      <c r="I393" s="17">
        <f t="array" ref="I393">_xlfn.XLOOKUP(D393,Productos[ID_Producto],Productos[Precio_Unitario])</f>
        <v>3.25</v>
      </c>
      <c r="J393" s="17">
        <f t="shared" si="1"/>
        <v>3.25</v>
      </c>
      <c r="K393" s="16" t="str">
        <f t="array" ref="K393">_xlfn.XLOOKUP(C393,Clientes[ID_Cliente],Clientes[Provincia])</f>
        <v>Córdoba</v>
      </c>
      <c r="L393" s="16" t="str">
        <f t="array" ref="L393">CONCATENATE(_xlfn.XLOOKUP(C393,Clientes[ID_Cliente],Clientes[Provincia]),", Argentina")</f>
        <v>Córdoba, Argentina</v>
      </c>
      <c r="M393" s="20" t="str">
        <f t="array" ref="M393">_xlfn.XLOOKUP(F393,Metodos_De_Pago[ID_Metodo],Metodos_De_Pago[Metodo])</f>
        <v>Mercado Pago</v>
      </c>
      <c r="N393" s="20" t="str">
        <f t="shared" si="2"/>
        <v>2024 10</v>
      </c>
    </row>
    <row r="394" ht="22.5" customHeight="1">
      <c r="A394" s="12">
        <f>IFERROR(__xludf.DUMMYFUNCTION("""COMPUTED_VALUE"""),1969.0)</f>
        <v>1969</v>
      </c>
      <c r="B394" s="13">
        <f>IFERROR(__xludf.DUMMYFUNCTION("""COMPUTED_VALUE"""),45582.0)</f>
        <v>45582</v>
      </c>
      <c r="C394" s="12">
        <f>IFERROR(__xludf.DUMMYFUNCTION("""COMPUTED_VALUE"""),233.0)</f>
        <v>233</v>
      </c>
      <c r="D394" s="12">
        <f>IFERROR(__xludf.DUMMYFUNCTION("""COMPUTED_VALUE"""),29.0)</f>
        <v>29</v>
      </c>
      <c r="E394" s="12">
        <f>IFERROR(__xludf.DUMMYFUNCTION("""COMPUTED_VALUE"""),1.0)</f>
        <v>1</v>
      </c>
      <c r="F394" s="12">
        <f>IFERROR(__xludf.DUMMYFUNCTION("""COMPUTED_VALUE"""),1.0)</f>
        <v>1</v>
      </c>
      <c r="G394" s="15" t="str">
        <f>IFERROR(__xludf.DUMMYFUNCTION("""COMPUTED_VALUE"""),"Completa")</f>
        <v>Completa</v>
      </c>
      <c r="H394" s="16" t="str">
        <f t="array" ref="H394">_xlfn.XLOOKUP(D394,Productos[ID_Producto],Productos[Nombre_Producto])</f>
        <v>Cerveza</v>
      </c>
      <c r="I394" s="17">
        <f t="array" ref="I394">_xlfn.XLOOKUP(D394,Productos[ID_Producto],Productos[Precio_Unitario])</f>
        <v>11.54</v>
      </c>
      <c r="J394" s="17">
        <f t="shared" si="1"/>
        <v>11.54</v>
      </c>
      <c r="K394" s="16" t="str">
        <f t="array" ref="K394">_xlfn.XLOOKUP(C394,Clientes[ID_Cliente],Clientes[Provincia])</f>
        <v>Córdoba</v>
      </c>
      <c r="L394" s="16" t="str">
        <f t="array" ref="L394">CONCATENATE(_xlfn.XLOOKUP(C394,Clientes[ID_Cliente],Clientes[Provincia]),", Argentina")</f>
        <v>Córdoba, Argentina</v>
      </c>
      <c r="M394" s="20" t="str">
        <f t="array" ref="M394">_xlfn.XLOOKUP(F394,Metodos_De_Pago[ID_Metodo],Metodos_De_Pago[Metodo])</f>
        <v>Efectivo</v>
      </c>
      <c r="N394" s="20" t="str">
        <f t="shared" si="2"/>
        <v>2024 10</v>
      </c>
    </row>
    <row r="395" ht="22.5" customHeight="1">
      <c r="A395" s="12">
        <f>IFERROR(__xludf.DUMMYFUNCTION("""COMPUTED_VALUE"""),2679.0)</f>
        <v>2679</v>
      </c>
      <c r="B395" s="13">
        <f>IFERROR(__xludf.DUMMYFUNCTION("""COMPUTED_VALUE"""),45582.0)</f>
        <v>45582</v>
      </c>
      <c r="C395" s="12">
        <f>IFERROR(__xludf.DUMMYFUNCTION("""COMPUTED_VALUE"""),63.0)</f>
        <v>63</v>
      </c>
      <c r="D395" s="12">
        <f>IFERROR(__xludf.DUMMYFUNCTION("""COMPUTED_VALUE"""),3.0)</f>
        <v>3</v>
      </c>
      <c r="E395" s="12">
        <f>IFERROR(__xludf.DUMMYFUNCTION("""COMPUTED_VALUE"""),1.0)</f>
        <v>1</v>
      </c>
      <c r="F395" s="12">
        <f>IFERROR(__xludf.DUMMYFUNCTION("""COMPUTED_VALUE"""),1.0)</f>
        <v>1</v>
      </c>
      <c r="G395" s="15" t="str">
        <f>IFERROR(__xludf.DUMMYFUNCTION("""COMPUTED_VALUE"""),"Completa")</f>
        <v>Completa</v>
      </c>
      <c r="H395" s="16" t="str">
        <f t="array" ref="H395">_xlfn.XLOOKUP(D395,Productos[ID_Producto],Productos[Nombre_Producto])</f>
        <v>Queso cremoso</v>
      </c>
      <c r="I395" s="17">
        <f t="array" ref="I395">_xlfn.XLOOKUP(D395,Productos[ID_Producto],Productos[Precio_Unitario])</f>
        <v>17.23</v>
      </c>
      <c r="J395" s="17">
        <f t="shared" si="1"/>
        <v>17.23</v>
      </c>
      <c r="K395" s="16" t="str">
        <f t="array" ref="K395">_xlfn.XLOOKUP(C395,Clientes[ID_Cliente],Clientes[Provincia])</f>
        <v>Buenos Aires</v>
      </c>
      <c r="L395" s="16" t="str">
        <f t="array" ref="L395">CONCATENATE(_xlfn.XLOOKUP(C395,Clientes[ID_Cliente],Clientes[Provincia]),", Argentina")</f>
        <v>Buenos Aires, Argentina</v>
      </c>
      <c r="M395" s="20" t="str">
        <f t="array" ref="M395">_xlfn.XLOOKUP(F395,Metodos_De_Pago[ID_Metodo],Metodos_De_Pago[Metodo])</f>
        <v>Efectivo</v>
      </c>
      <c r="N395" s="20" t="str">
        <f t="shared" si="2"/>
        <v>2024 10</v>
      </c>
    </row>
    <row r="396" ht="22.5" customHeight="1">
      <c r="A396" s="12">
        <f>IFERROR(__xludf.DUMMYFUNCTION("""COMPUTED_VALUE"""),678.0)</f>
        <v>678</v>
      </c>
      <c r="B396" s="13">
        <f>IFERROR(__xludf.DUMMYFUNCTION("""COMPUTED_VALUE"""),45583.0)</f>
        <v>45583</v>
      </c>
      <c r="C396" s="12">
        <f>IFERROR(__xludf.DUMMYFUNCTION("""COMPUTED_VALUE"""),47.0)</f>
        <v>47</v>
      </c>
      <c r="D396" s="12">
        <f>IFERROR(__xludf.DUMMYFUNCTION("""COMPUTED_VALUE"""),27.0)</f>
        <v>27</v>
      </c>
      <c r="E396" s="12">
        <f>IFERROR(__xludf.DUMMYFUNCTION("""COMPUTED_VALUE"""),1.0)</f>
        <v>1</v>
      </c>
      <c r="F396" s="12">
        <f>IFERROR(__xludf.DUMMYFUNCTION("""COMPUTED_VALUE"""),4.0)</f>
        <v>4</v>
      </c>
      <c r="G396" s="15" t="str">
        <f>IFERROR(__xludf.DUMMYFUNCTION("""COMPUTED_VALUE"""),"Completa")</f>
        <v>Completa</v>
      </c>
      <c r="H396" s="16" t="str">
        <f t="array" ref="H396">_xlfn.XLOOKUP(D396,Productos[ID_Producto],Productos[Nombre_Producto])</f>
        <v>Agua mineral</v>
      </c>
      <c r="I396" s="17">
        <f t="array" ref="I396">_xlfn.XLOOKUP(D396,Productos[ID_Producto],Productos[Precio_Unitario])</f>
        <v>6.21</v>
      </c>
      <c r="J396" s="17">
        <f t="shared" si="1"/>
        <v>6.21</v>
      </c>
      <c r="K396" s="16" t="str">
        <f t="array" ref="K396">_xlfn.XLOOKUP(C396,Clientes[ID_Cliente],Clientes[Provincia])</f>
        <v>Buenos Aires</v>
      </c>
      <c r="L396" s="16" t="str">
        <f t="array" ref="L396">CONCATENATE(_xlfn.XLOOKUP(C396,Clientes[ID_Cliente],Clientes[Provincia]),", Argentina")</f>
        <v>Buenos Aires, Argentina</v>
      </c>
      <c r="M396" s="20" t="str">
        <f t="array" ref="M396">_xlfn.XLOOKUP(F396,Metodos_De_Pago[ID_Metodo],Metodos_De_Pago[Metodo])</f>
        <v>Mercado Pago</v>
      </c>
      <c r="N396" s="20" t="str">
        <f t="shared" si="2"/>
        <v>2024 10</v>
      </c>
    </row>
    <row r="397" ht="22.5" customHeight="1">
      <c r="A397" s="12">
        <f>IFERROR(__xludf.DUMMYFUNCTION("""COMPUTED_VALUE"""),966.0)</f>
        <v>966</v>
      </c>
      <c r="B397" s="13">
        <f>IFERROR(__xludf.DUMMYFUNCTION("""COMPUTED_VALUE"""),45583.0)</f>
        <v>45583</v>
      </c>
      <c r="C397" s="12">
        <f>IFERROR(__xludf.DUMMYFUNCTION("""COMPUTED_VALUE"""),120.0)</f>
        <v>120</v>
      </c>
      <c r="D397" s="12">
        <f>IFERROR(__xludf.DUMMYFUNCTION("""COMPUTED_VALUE"""),22.0)</f>
        <v>22</v>
      </c>
      <c r="E397" s="12">
        <f>IFERROR(__xludf.DUMMYFUNCTION("""COMPUTED_VALUE"""),1.0)</f>
        <v>1</v>
      </c>
      <c r="F397" s="12">
        <f>IFERROR(__xludf.DUMMYFUNCTION("""COMPUTED_VALUE"""),4.0)</f>
        <v>4</v>
      </c>
      <c r="G397" s="15" t="str">
        <f>IFERROR(__xludf.DUMMYFUNCTION("""COMPUTED_VALUE"""),"Pendiente")</f>
        <v>Pendiente</v>
      </c>
      <c r="H397" s="16" t="str">
        <f t="array" ref="H397">_xlfn.XLOOKUP(D397,Productos[ID_Producto],Productos[Nombre_Producto])</f>
        <v>Cebolla</v>
      </c>
      <c r="I397" s="17">
        <f t="array" ref="I397">_xlfn.XLOOKUP(D397,Productos[ID_Producto],Productos[Precio_Unitario])</f>
        <v>4.21</v>
      </c>
      <c r="J397" s="17">
        <f t="shared" si="1"/>
        <v>4.21</v>
      </c>
      <c r="K397" s="16" t="str">
        <f t="array" ref="K397">_xlfn.XLOOKUP(C397,Clientes[ID_Cliente],Clientes[Provincia])</f>
        <v>Buenos Aires</v>
      </c>
      <c r="L397" s="16" t="str">
        <f t="array" ref="L397">CONCATENATE(_xlfn.XLOOKUP(C397,Clientes[ID_Cliente],Clientes[Provincia]),", Argentina")</f>
        <v>Buenos Aires, Argentina</v>
      </c>
      <c r="M397" s="20" t="str">
        <f t="array" ref="M397">_xlfn.XLOOKUP(F397,Metodos_De_Pago[ID_Metodo],Metodos_De_Pago[Metodo])</f>
        <v>Mercado Pago</v>
      </c>
      <c r="N397" s="20" t="str">
        <f t="shared" si="2"/>
        <v>2024 10</v>
      </c>
    </row>
    <row r="398" ht="22.5" customHeight="1">
      <c r="A398" s="12">
        <f>IFERROR(__xludf.DUMMYFUNCTION("""COMPUTED_VALUE"""),1579.0)</f>
        <v>1579</v>
      </c>
      <c r="B398" s="13">
        <f>IFERROR(__xludf.DUMMYFUNCTION("""COMPUTED_VALUE"""),45584.0)</f>
        <v>45584</v>
      </c>
      <c r="C398" s="12">
        <f>IFERROR(__xludf.DUMMYFUNCTION("""COMPUTED_VALUE"""),20.0)</f>
        <v>20</v>
      </c>
      <c r="D398" s="12">
        <f>IFERROR(__xludf.DUMMYFUNCTION("""COMPUTED_VALUE"""),22.0)</f>
        <v>22</v>
      </c>
      <c r="E398" s="12">
        <f>IFERROR(__xludf.DUMMYFUNCTION("""COMPUTED_VALUE"""),1.0)</f>
        <v>1</v>
      </c>
      <c r="F398" s="12">
        <f>IFERROR(__xludf.DUMMYFUNCTION("""COMPUTED_VALUE"""),3.0)</f>
        <v>3</v>
      </c>
      <c r="G398" s="15" t="str">
        <f>IFERROR(__xludf.DUMMYFUNCTION("""COMPUTED_VALUE"""),"Completa")</f>
        <v>Completa</v>
      </c>
      <c r="H398" s="16" t="str">
        <f t="array" ref="H398">_xlfn.XLOOKUP(D398,Productos[ID_Producto],Productos[Nombre_Producto])</f>
        <v>Cebolla</v>
      </c>
      <c r="I398" s="17">
        <f t="array" ref="I398">_xlfn.XLOOKUP(D398,Productos[ID_Producto],Productos[Precio_Unitario])</f>
        <v>4.21</v>
      </c>
      <c r="J398" s="17">
        <f t="shared" si="1"/>
        <v>4.21</v>
      </c>
      <c r="K398" s="16" t="str">
        <f t="array" ref="K398">_xlfn.XLOOKUP(C398,Clientes[ID_Cliente],Clientes[Provincia])</f>
        <v>San Luis</v>
      </c>
      <c r="L398" s="16" t="str">
        <f t="array" ref="L398">CONCATENATE(_xlfn.XLOOKUP(C398,Clientes[ID_Cliente],Clientes[Provincia]),", Argentina")</f>
        <v>San Luis, Argentina</v>
      </c>
      <c r="M398" s="20" t="str">
        <f t="array" ref="M398">_xlfn.XLOOKUP(F398,Metodos_De_Pago[ID_Metodo],Metodos_De_Pago[Metodo])</f>
        <v>Tarjeta de Débito</v>
      </c>
      <c r="N398" s="20" t="str">
        <f t="shared" si="2"/>
        <v>2024 10</v>
      </c>
    </row>
    <row r="399" ht="22.5" customHeight="1">
      <c r="A399" s="12">
        <f>IFERROR(__xludf.DUMMYFUNCTION("""COMPUTED_VALUE"""),2422.0)</f>
        <v>2422</v>
      </c>
      <c r="B399" s="13">
        <f>IFERROR(__xludf.DUMMYFUNCTION("""COMPUTED_VALUE"""),45584.0)</f>
        <v>45584</v>
      </c>
      <c r="C399" s="12">
        <f>IFERROR(__xludf.DUMMYFUNCTION("""COMPUTED_VALUE"""),219.0)</f>
        <v>219</v>
      </c>
      <c r="D399" s="12">
        <f>IFERROR(__xludf.DUMMYFUNCTION("""COMPUTED_VALUE"""),4.0)</f>
        <v>4</v>
      </c>
      <c r="E399" s="12">
        <f>IFERROR(__xludf.DUMMYFUNCTION("""COMPUTED_VALUE"""),1.0)</f>
        <v>1</v>
      </c>
      <c r="F399" s="12">
        <f>IFERROR(__xludf.DUMMYFUNCTION("""COMPUTED_VALUE"""),1.0)</f>
        <v>1</v>
      </c>
      <c r="G399" s="15" t="str">
        <f>IFERROR(__xludf.DUMMYFUNCTION("""COMPUTED_VALUE"""),"Completa")</f>
        <v>Completa</v>
      </c>
      <c r="H399" s="16" t="str">
        <f t="array" ref="H399">_xlfn.XLOOKUP(D399,Productos[ID_Producto],Productos[Nombre_Producto])</f>
        <v>Queso rallado</v>
      </c>
      <c r="I399" s="17">
        <f t="array" ref="I399">_xlfn.XLOOKUP(D399,Productos[ID_Producto],Productos[Precio_Unitario])</f>
        <v>19.23</v>
      </c>
      <c r="J399" s="17">
        <f t="shared" si="1"/>
        <v>19.23</v>
      </c>
      <c r="K399" s="16" t="str">
        <f t="array" ref="K399">_xlfn.XLOOKUP(C399,Clientes[ID_Cliente],Clientes[Provincia])</f>
        <v>Neuquén</v>
      </c>
      <c r="L399" s="16" t="str">
        <f t="array" ref="L399">CONCATENATE(_xlfn.XLOOKUP(C399,Clientes[ID_Cliente],Clientes[Provincia]),", Argentina")</f>
        <v>Neuquén, Argentina</v>
      </c>
      <c r="M399" s="20" t="str">
        <f t="array" ref="M399">_xlfn.XLOOKUP(F399,Metodos_De_Pago[ID_Metodo],Metodos_De_Pago[Metodo])</f>
        <v>Efectivo</v>
      </c>
      <c r="N399" s="20" t="str">
        <f t="shared" si="2"/>
        <v>2024 10</v>
      </c>
    </row>
    <row r="400" ht="22.5" customHeight="1">
      <c r="A400" s="12">
        <f>IFERROR(__xludf.DUMMYFUNCTION("""COMPUTED_VALUE"""),2594.0)</f>
        <v>2594</v>
      </c>
      <c r="B400" s="13">
        <f>IFERROR(__xludf.DUMMYFUNCTION("""COMPUTED_VALUE"""),45585.0)</f>
        <v>45585</v>
      </c>
      <c r="C400" s="12">
        <f>IFERROR(__xludf.DUMMYFUNCTION("""COMPUTED_VALUE"""),75.0)</f>
        <v>75</v>
      </c>
      <c r="D400" s="12">
        <f>IFERROR(__xludf.DUMMYFUNCTION("""COMPUTED_VALUE"""),3.0)</f>
        <v>3</v>
      </c>
      <c r="E400" s="12">
        <f>IFERROR(__xludf.DUMMYFUNCTION("""COMPUTED_VALUE"""),1.0)</f>
        <v>1</v>
      </c>
      <c r="F400" s="12">
        <f>IFERROR(__xludf.DUMMYFUNCTION("""COMPUTED_VALUE"""),1.0)</f>
        <v>1</v>
      </c>
      <c r="G400" s="15" t="str">
        <f>IFERROR(__xludf.DUMMYFUNCTION("""COMPUTED_VALUE"""),"Completa")</f>
        <v>Completa</v>
      </c>
      <c r="H400" s="16" t="str">
        <f t="array" ref="H400">_xlfn.XLOOKUP(D400,Productos[ID_Producto],Productos[Nombre_Producto])</f>
        <v>Queso cremoso</v>
      </c>
      <c r="I400" s="17">
        <f t="array" ref="I400">_xlfn.XLOOKUP(D400,Productos[ID_Producto],Productos[Precio_Unitario])</f>
        <v>17.23</v>
      </c>
      <c r="J400" s="17">
        <f t="shared" si="1"/>
        <v>17.23</v>
      </c>
      <c r="K400" s="16" t="str">
        <f t="array" ref="K400">_xlfn.XLOOKUP(C400,Clientes[ID_Cliente],Clientes[Provincia])</f>
        <v>Chaco</v>
      </c>
      <c r="L400" s="16" t="str">
        <f t="array" ref="L400">CONCATENATE(_xlfn.XLOOKUP(C400,Clientes[ID_Cliente],Clientes[Provincia]),", Argentina")</f>
        <v>Chaco, Argentina</v>
      </c>
      <c r="M400" s="20" t="str">
        <f t="array" ref="M400">_xlfn.XLOOKUP(F400,Metodos_De_Pago[ID_Metodo],Metodos_De_Pago[Metodo])</f>
        <v>Efectivo</v>
      </c>
      <c r="N400" s="20" t="str">
        <f t="shared" si="2"/>
        <v>2024 10</v>
      </c>
    </row>
    <row r="401" ht="22.5" customHeight="1">
      <c r="A401" s="12">
        <f>IFERROR(__xludf.DUMMYFUNCTION("""COMPUTED_VALUE"""),132.0)</f>
        <v>132</v>
      </c>
      <c r="B401" s="13">
        <f>IFERROR(__xludf.DUMMYFUNCTION("""COMPUTED_VALUE"""),45586.0)</f>
        <v>45586</v>
      </c>
      <c r="C401" s="12">
        <f>IFERROR(__xludf.DUMMYFUNCTION("""COMPUTED_VALUE"""),95.0)</f>
        <v>95</v>
      </c>
      <c r="D401" s="12">
        <f>IFERROR(__xludf.DUMMYFUNCTION("""COMPUTED_VALUE"""),27.0)</f>
        <v>27</v>
      </c>
      <c r="E401" s="12">
        <f>IFERROR(__xludf.DUMMYFUNCTION("""COMPUTED_VALUE"""),1.0)</f>
        <v>1</v>
      </c>
      <c r="F401" s="12">
        <f>IFERROR(__xludf.DUMMYFUNCTION("""COMPUTED_VALUE"""),4.0)</f>
        <v>4</v>
      </c>
      <c r="G401" s="15" t="str">
        <f>IFERROR(__xludf.DUMMYFUNCTION("""COMPUTED_VALUE"""),"Pendiente")</f>
        <v>Pendiente</v>
      </c>
      <c r="H401" s="16" t="str">
        <f t="array" ref="H401">_xlfn.XLOOKUP(D401,Productos[ID_Producto],Productos[Nombre_Producto])</f>
        <v>Agua mineral</v>
      </c>
      <c r="I401" s="17">
        <f t="array" ref="I401">_xlfn.XLOOKUP(D401,Productos[ID_Producto],Productos[Precio_Unitario])</f>
        <v>6.21</v>
      </c>
      <c r="J401" s="17">
        <f t="shared" si="1"/>
        <v>6.21</v>
      </c>
      <c r="K401" s="16" t="str">
        <f t="array" ref="K401">_xlfn.XLOOKUP(C401,Clientes[ID_Cliente],Clientes[Provincia])</f>
        <v>Buenos Aires</v>
      </c>
      <c r="L401" s="16" t="str">
        <f t="array" ref="L401">CONCATENATE(_xlfn.XLOOKUP(C401,Clientes[ID_Cliente],Clientes[Provincia]),", Argentina")</f>
        <v>Buenos Aires, Argentina</v>
      </c>
      <c r="M401" s="20" t="str">
        <f t="array" ref="M401">_xlfn.XLOOKUP(F401,Metodos_De_Pago[ID_Metodo],Metodos_De_Pago[Metodo])</f>
        <v>Mercado Pago</v>
      </c>
      <c r="N401" s="20" t="str">
        <f t="shared" si="2"/>
        <v>2024 10</v>
      </c>
    </row>
    <row r="402" ht="22.5" customHeight="1">
      <c r="A402" s="12">
        <f>IFERROR(__xludf.DUMMYFUNCTION("""COMPUTED_VALUE"""),1559.0)</f>
        <v>1559</v>
      </c>
      <c r="B402" s="13">
        <f>IFERROR(__xludf.DUMMYFUNCTION("""COMPUTED_VALUE"""),45586.0)</f>
        <v>45586</v>
      </c>
      <c r="C402" s="12">
        <f>IFERROR(__xludf.DUMMYFUNCTION("""COMPUTED_VALUE"""),226.0)</f>
        <v>226</v>
      </c>
      <c r="D402" s="12">
        <f>IFERROR(__xludf.DUMMYFUNCTION("""COMPUTED_VALUE"""),1.0)</f>
        <v>1</v>
      </c>
      <c r="E402" s="12">
        <f>IFERROR(__xludf.DUMMYFUNCTION("""COMPUTED_VALUE"""),1.0)</f>
        <v>1</v>
      </c>
      <c r="F402" s="12">
        <f>IFERROR(__xludf.DUMMYFUNCTION("""COMPUTED_VALUE"""),3.0)</f>
        <v>3</v>
      </c>
      <c r="G402" s="15" t="str">
        <f>IFERROR(__xludf.DUMMYFUNCTION("""COMPUTED_VALUE"""),"Completa")</f>
        <v>Completa</v>
      </c>
      <c r="H402" s="16" t="str">
        <f t="array" ref="H402">_xlfn.XLOOKUP(D402,Productos[ID_Producto],Productos[Nombre_Producto])</f>
        <v>Leche</v>
      </c>
      <c r="I402" s="17">
        <f t="array" ref="I402">_xlfn.XLOOKUP(D402,Productos[ID_Producto],Productos[Precio_Unitario])</f>
        <v>12.24</v>
      </c>
      <c r="J402" s="17">
        <f t="shared" si="1"/>
        <v>12.24</v>
      </c>
      <c r="K402" s="16" t="str">
        <f t="array" ref="K402">_xlfn.XLOOKUP(C402,Clientes[ID_Cliente],Clientes[Provincia])</f>
        <v>Neuquén</v>
      </c>
      <c r="L402" s="16" t="str">
        <f t="array" ref="L402">CONCATENATE(_xlfn.XLOOKUP(C402,Clientes[ID_Cliente],Clientes[Provincia]),", Argentina")</f>
        <v>Neuquén, Argentina</v>
      </c>
      <c r="M402" s="20" t="str">
        <f t="array" ref="M402">_xlfn.XLOOKUP(F402,Metodos_De_Pago[ID_Metodo],Metodos_De_Pago[Metodo])</f>
        <v>Tarjeta de Débito</v>
      </c>
      <c r="N402" s="20" t="str">
        <f t="shared" si="2"/>
        <v>2024 10</v>
      </c>
    </row>
    <row r="403" ht="22.5" customHeight="1">
      <c r="A403" s="12">
        <f>IFERROR(__xludf.DUMMYFUNCTION("""COMPUTED_VALUE"""),173.0)</f>
        <v>173</v>
      </c>
      <c r="B403" s="13">
        <f>IFERROR(__xludf.DUMMYFUNCTION("""COMPUTED_VALUE"""),45588.0)</f>
        <v>45588</v>
      </c>
      <c r="C403" s="12">
        <f>IFERROR(__xludf.DUMMYFUNCTION("""COMPUTED_VALUE"""),168.0)</f>
        <v>168</v>
      </c>
      <c r="D403" s="12">
        <f>IFERROR(__xludf.DUMMYFUNCTION("""COMPUTED_VALUE"""),36.0)</f>
        <v>36</v>
      </c>
      <c r="E403" s="12">
        <f>IFERROR(__xludf.DUMMYFUNCTION("""COMPUTED_VALUE"""),1.0)</f>
        <v>1</v>
      </c>
      <c r="F403" s="12">
        <f>IFERROR(__xludf.DUMMYFUNCTION("""COMPUTED_VALUE"""),5.0)</f>
        <v>5</v>
      </c>
      <c r="G403" s="15" t="str">
        <f>IFERROR(__xludf.DUMMYFUNCTION("""COMPUTED_VALUE"""),"Completa")</f>
        <v>Completa</v>
      </c>
      <c r="H403" s="16" t="str">
        <f t="array" ref="H403">_xlfn.XLOOKUP(D403,Productos[ID_Producto],Productos[Nombre_Producto])</f>
        <v>Lentejas</v>
      </c>
      <c r="I403" s="17">
        <f t="array" ref="I403">_xlfn.XLOOKUP(D403,Productos[ID_Producto],Productos[Precio_Unitario])</f>
        <v>3.25</v>
      </c>
      <c r="J403" s="17">
        <f t="shared" si="1"/>
        <v>3.25</v>
      </c>
      <c r="K403" s="16" t="str">
        <f t="array" ref="K403">_xlfn.XLOOKUP(C403,Clientes[ID_Cliente],Clientes[Provincia])</f>
        <v>Córdoba</v>
      </c>
      <c r="L403" s="16" t="str">
        <f t="array" ref="L403">CONCATENATE(_xlfn.XLOOKUP(C403,Clientes[ID_Cliente],Clientes[Provincia]),", Argentina")</f>
        <v>Córdoba, Argentina</v>
      </c>
      <c r="M403" s="20" t="str">
        <f t="array" ref="M403">_xlfn.XLOOKUP(F403,Metodos_De_Pago[ID_Metodo],Metodos_De_Pago[Metodo])</f>
        <v>Transferencia</v>
      </c>
      <c r="N403" s="20" t="str">
        <f t="shared" si="2"/>
        <v>2024 10</v>
      </c>
    </row>
    <row r="404" ht="22.5" customHeight="1">
      <c r="A404" s="12">
        <f>IFERROR(__xludf.DUMMYFUNCTION("""COMPUTED_VALUE"""),840.0)</f>
        <v>840</v>
      </c>
      <c r="B404" s="13">
        <f>IFERROR(__xludf.DUMMYFUNCTION("""COMPUTED_VALUE"""),45588.0)</f>
        <v>45588</v>
      </c>
      <c r="C404" s="12">
        <f>IFERROR(__xludf.DUMMYFUNCTION("""COMPUTED_VALUE"""),116.0)</f>
        <v>116</v>
      </c>
      <c r="D404" s="12">
        <f>IFERROR(__xludf.DUMMYFUNCTION("""COMPUTED_VALUE"""),27.0)</f>
        <v>27</v>
      </c>
      <c r="E404" s="12">
        <f>IFERROR(__xludf.DUMMYFUNCTION("""COMPUTED_VALUE"""),1.0)</f>
        <v>1</v>
      </c>
      <c r="F404" s="12">
        <f>IFERROR(__xludf.DUMMYFUNCTION("""COMPUTED_VALUE"""),5.0)</f>
        <v>5</v>
      </c>
      <c r="G404" s="15" t="str">
        <f>IFERROR(__xludf.DUMMYFUNCTION("""COMPUTED_VALUE"""),"Completa")</f>
        <v>Completa</v>
      </c>
      <c r="H404" s="16" t="str">
        <f t="array" ref="H404">_xlfn.XLOOKUP(D404,Productos[ID_Producto],Productos[Nombre_Producto])</f>
        <v>Agua mineral</v>
      </c>
      <c r="I404" s="17">
        <f t="array" ref="I404">_xlfn.XLOOKUP(D404,Productos[ID_Producto],Productos[Precio_Unitario])</f>
        <v>6.21</v>
      </c>
      <c r="J404" s="17">
        <f t="shared" si="1"/>
        <v>6.21</v>
      </c>
      <c r="K404" s="16" t="str">
        <f t="array" ref="K404">_xlfn.XLOOKUP(C404,Clientes[ID_Cliente],Clientes[Provincia])</f>
        <v>Buenos Aires</v>
      </c>
      <c r="L404" s="16" t="str">
        <f t="array" ref="L404">CONCATENATE(_xlfn.XLOOKUP(C404,Clientes[ID_Cliente],Clientes[Provincia]),", Argentina")</f>
        <v>Buenos Aires, Argentina</v>
      </c>
      <c r="M404" s="20" t="str">
        <f t="array" ref="M404">_xlfn.XLOOKUP(F404,Metodos_De_Pago[ID_Metodo],Metodos_De_Pago[Metodo])</f>
        <v>Transferencia</v>
      </c>
      <c r="N404" s="20" t="str">
        <f t="shared" si="2"/>
        <v>2024 10</v>
      </c>
    </row>
    <row r="405" ht="22.5" customHeight="1">
      <c r="A405" s="12">
        <f>IFERROR(__xludf.DUMMYFUNCTION("""COMPUTED_VALUE"""),629.0)</f>
        <v>629</v>
      </c>
      <c r="B405" s="13">
        <f>IFERROR(__xludf.DUMMYFUNCTION("""COMPUTED_VALUE"""),45589.0)</f>
        <v>45589</v>
      </c>
      <c r="C405" s="12">
        <f>IFERROR(__xludf.DUMMYFUNCTION("""COMPUTED_VALUE"""),157.0)</f>
        <v>157</v>
      </c>
      <c r="D405" s="12">
        <f>IFERROR(__xludf.DUMMYFUNCTION("""COMPUTED_VALUE"""),14.0)</f>
        <v>14</v>
      </c>
      <c r="E405" s="12">
        <f>IFERROR(__xludf.DUMMYFUNCTION("""COMPUTED_VALUE"""),1.0)</f>
        <v>1</v>
      </c>
      <c r="F405" s="12">
        <f>IFERROR(__xludf.DUMMYFUNCTION("""COMPUTED_VALUE"""),1.0)</f>
        <v>1</v>
      </c>
      <c r="G405" s="15" t="str">
        <f>IFERROR(__xludf.DUMMYFUNCTION("""COMPUTED_VALUE"""),"Pendiente")</f>
        <v>Pendiente</v>
      </c>
      <c r="H405" s="16" t="str">
        <f t="array" ref="H405">_xlfn.XLOOKUP(D405,Productos[ID_Producto],Productos[Nombre_Producto])</f>
        <v>Facturas</v>
      </c>
      <c r="I405" s="17">
        <f t="array" ref="I405">_xlfn.XLOOKUP(D405,Productos[ID_Producto],Productos[Precio_Unitario])</f>
        <v>12.36</v>
      </c>
      <c r="J405" s="17">
        <f t="shared" si="1"/>
        <v>12.36</v>
      </c>
      <c r="K405" s="16" t="str">
        <f t="array" ref="K405">_xlfn.XLOOKUP(C405,Clientes[ID_Cliente],Clientes[Provincia])</f>
        <v>Neuquén</v>
      </c>
      <c r="L405" s="16" t="str">
        <f t="array" ref="L405">CONCATENATE(_xlfn.XLOOKUP(C405,Clientes[ID_Cliente],Clientes[Provincia]),", Argentina")</f>
        <v>Neuquén, Argentina</v>
      </c>
      <c r="M405" s="20" t="str">
        <f t="array" ref="M405">_xlfn.XLOOKUP(F405,Metodos_De_Pago[ID_Metodo],Metodos_De_Pago[Metodo])</f>
        <v>Efectivo</v>
      </c>
      <c r="N405" s="20" t="str">
        <f t="shared" si="2"/>
        <v>2024 10</v>
      </c>
    </row>
    <row r="406" ht="22.5" customHeight="1">
      <c r="A406" s="12">
        <f>IFERROR(__xludf.DUMMYFUNCTION("""COMPUTED_VALUE"""),1485.0)</f>
        <v>1485</v>
      </c>
      <c r="B406" s="13">
        <f>IFERROR(__xludf.DUMMYFUNCTION("""COMPUTED_VALUE"""),45590.0)</f>
        <v>45590</v>
      </c>
      <c r="C406" s="12">
        <f>IFERROR(__xludf.DUMMYFUNCTION("""COMPUTED_VALUE"""),162.0)</f>
        <v>162</v>
      </c>
      <c r="D406" s="12">
        <f>IFERROR(__xludf.DUMMYFUNCTION("""COMPUTED_VALUE"""),38.0)</f>
        <v>38</v>
      </c>
      <c r="E406" s="12">
        <f>IFERROR(__xludf.DUMMYFUNCTION("""COMPUTED_VALUE"""),1.0)</f>
        <v>1</v>
      </c>
      <c r="F406" s="12">
        <f>IFERROR(__xludf.DUMMYFUNCTION("""COMPUTED_VALUE"""),5.0)</f>
        <v>5</v>
      </c>
      <c r="G406" s="15" t="str">
        <f>IFERROR(__xludf.DUMMYFUNCTION("""COMPUTED_VALUE"""),"Completa")</f>
        <v>Completa</v>
      </c>
      <c r="H406" s="16" t="str">
        <f t="array" ref="H406">_xlfn.XLOOKUP(D406,Productos[ID_Producto],Productos[Nombre_Producto])</f>
        <v>Atún enlatado</v>
      </c>
      <c r="I406" s="17">
        <f t="array" ref="I406">_xlfn.XLOOKUP(D406,Productos[ID_Producto],Productos[Precio_Unitario])</f>
        <v>6.21</v>
      </c>
      <c r="J406" s="17">
        <f t="shared" si="1"/>
        <v>6.21</v>
      </c>
      <c r="K406" s="16" t="str">
        <f t="array" ref="K406">_xlfn.XLOOKUP(C406,Clientes[ID_Cliente],Clientes[Provincia])</f>
        <v>Neuquén</v>
      </c>
      <c r="L406" s="16" t="str">
        <f t="array" ref="L406">CONCATENATE(_xlfn.XLOOKUP(C406,Clientes[ID_Cliente],Clientes[Provincia]),", Argentina")</f>
        <v>Neuquén, Argentina</v>
      </c>
      <c r="M406" s="20" t="str">
        <f t="array" ref="M406">_xlfn.XLOOKUP(F406,Metodos_De_Pago[ID_Metodo],Metodos_De_Pago[Metodo])</f>
        <v>Transferencia</v>
      </c>
      <c r="N406" s="20" t="str">
        <f t="shared" si="2"/>
        <v>2024 10</v>
      </c>
    </row>
    <row r="407" ht="22.5" customHeight="1">
      <c r="A407" s="12">
        <f>IFERROR(__xludf.DUMMYFUNCTION("""COMPUTED_VALUE"""),2587.0)</f>
        <v>2587</v>
      </c>
      <c r="B407" s="13">
        <f>IFERROR(__xludf.DUMMYFUNCTION("""COMPUTED_VALUE"""),45590.0)</f>
        <v>45590</v>
      </c>
      <c r="C407" s="12">
        <f>IFERROR(__xludf.DUMMYFUNCTION("""COMPUTED_VALUE"""),221.0)</f>
        <v>221</v>
      </c>
      <c r="D407" s="12">
        <f>IFERROR(__xludf.DUMMYFUNCTION("""COMPUTED_VALUE"""),37.0)</f>
        <v>37</v>
      </c>
      <c r="E407" s="12">
        <f>IFERROR(__xludf.DUMMYFUNCTION("""COMPUTED_VALUE"""),1.0)</f>
        <v>1</v>
      </c>
      <c r="F407" s="12">
        <f>IFERROR(__xludf.DUMMYFUNCTION("""COMPUTED_VALUE"""),5.0)</f>
        <v>5</v>
      </c>
      <c r="G407" s="15" t="str">
        <f>IFERROR(__xludf.DUMMYFUNCTION("""COMPUTED_VALUE"""),"Completa")</f>
        <v>Completa</v>
      </c>
      <c r="H407" s="16" t="str">
        <f t="array" ref="H407">_xlfn.XLOOKUP(D407,Productos[ID_Producto],Productos[Nombre_Producto])</f>
        <v>Garbanzos</v>
      </c>
      <c r="I407" s="17">
        <f t="array" ref="I407">_xlfn.XLOOKUP(D407,Productos[ID_Producto],Productos[Precio_Unitario])</f>
        <v>3.65</v>
      </c>
      <c r="J407" s="17">
        <f t="shared" si="1"/>
        <v>3.65</v>
      </c>
      <c r="K407" s="16" t="str">
        <f t="array" ref="K407">_xlfn.XLOOKUP(C407,Clientes[ID_Cliente],Clientes[Provincia])</f>
        <v>Buenos Aires</v>
      </c>
      <c r="L407" s="16" t="str">
        <f t="array" ref="L407">CONCATENATE(_xlfn.XLOOKUP(C407,Clientes[ID_Cliente],Clientes[Provincia]),", Argentina")</f>
        <v>Buenos Aires, Argentina</v>
      </c>
      <c r="M407" s="20" t="str">
        <f t="array" ref="M407">_xlfn.XLOOKUP(F407,Metodos_De_Pago[ID_Metodo],Metodos_De_Pago[Metodo])</f>
        <v>Transferencia</v>
      </c>
      <c r="N407" s="20" t="str">
        <f t="shared" si="2"/>
        <v>2024 10</v>
      </c>
    </row>
    <row r="408" ht="22.5" customHeight="1">
      <c r="A408" s="12">
        <f>IFERROR(__xludf.DUMMYFUNCTION("""COMPUTED_VALUE"""),1303.0)</f>
        <v>1303</v>
      </c>
      <c r="B408" s="13">
        <f>IFERROR(__xludf.DUMMYFUNCTION("""COMPUTED_VALUE"""),45591.0)</f>
        <v>45591</v>
      </c>
      <c r="C408" s="12">
        <f>IFERROR(__xludf.DUMMYFUNCTION("""COMPUTED_VALUE"""),203.0)</f>
        <v>203</v>
      </c>
      <c r="D408" s="12">
        <f>IFERROR(__xludf.DUMMYFUNCTION("""COMPUTED_VALUE"""),33.0)</f>
        <v>33</v>
      </c>
      <c r="E408" s="12">
        <f>IFERROR(__xludf.DUMMYFUNCTION("""COMPUTED_VALUE"""),1.0)</f>
        <v>1</v>
      </c>
      <c r="F408" s="12">
        <f>IFERROR(__xludf.DUMMYFUNCTION("""COMPUTED_VALUE"""),5.0)</f>
        <v>5</v>
      </c>
      <c r="G408" s="15" t="str">
        <f>IFERROR(__xludf.DUMMYFUNCTION("""COMPUTED_VALUE"""),"Completa")</f>
        <v>Completa</v>
      </c>
      <c r="H408" s="16" t="str">
        <f t="array" ref="H408">_xlfn.XLOOKUP(D408,Productos[ID_Producto],Productos[Nombre_Producto])</f>
        <v>Papas chips</v>
      </c>
      <c r="I408" s="17">
        <f t="array" ref="I408">_xlfn.XLOOKUP(D408,Productos[ID_Producto],Productos[Precio_Unitario])</f>
        <v>8.54</v>
      </c>
      <c r="J408" s="17">
        <f t="shared" si="1"/>
        <v>8.54</v>
      </c>
      <c r="K408" s="16" t="str">
        <f t="array" ref="K408">_xlfn.XLOOKUP(C408,Clientes[ID_Cliente],Clientes[Provincia])</f>
        <v>Buenos Aires</v>
      </c>
      <c r="L408" s="16" t="str">
        <f t="array" ref="L408">CONCATENATE(_xlfn.XLOOKUP(C408,Clientes[ID_Cliente],Clientes[Provincia]),", Argentina")</f>
        <v>Buenos Aires, Argentina</v>
      </c>
      <c r="M408" s="20" t="str">
        <f t="array" ref="M408">_xlfn.XLOOKUP(F408,Metodos_De_Pago[ID_Metodo],Metodos_De_Pago[Metodo])</f>
        <v>Transferencia</v>
      </c>
      <c r="N408" s="20" t="str">
        <f t="shared" si="2"/>
        <v>2024 10</v>
      </c>
    </row>
    <row r="409" ht="22.5" customHeight="1">
      <c r="A409" s="12">
        <f>IFERROR(__xludf.DUMMYFUNCTION("""COMPUTED_VALUE"""),1283.0)</f>
        <v>1283</v>
      </c>
      <c r="B409" s="13">
        <f>IFERROR(__xludf.DUMMYFUNCTION("""COMPUTED_VALUE"""),45592.0)</f>
        <v>45592</v>
      </c>
      <c r="C409" s="12">
        <f>IFERROR(__xludf.DUMMYFUNCTION("""COMPUTED_VALUE"""),318.0)</f>
        <v>318</v>
      </c>
      <c r="D409" s="12">
        <f>IFERROR(__xludf.DUMMYFUNCTION("""COMPUTED_VALUE"""),32.0)</f>
        <v>32</v>
      </c>
      <c r="E409" s="12">
        <f>IFERROR(__xludf.DUMMYFUNCTION("""COMPUTED_VALUE"""),1.0)</f>
        <v>1</v>
      </c>
      <c r="F409" s="12">
        <f>IFERROR(__xludf.DUMMYFUNCTION("""COMPUTED_VALUE"""),4.0)</f>
        <v>4</v>
      </c>
      <c r="G409" s="15" t="str">
        <f>IFERROR(__xludf.DUMMYFUNCTION("""COMPUTED_VALUE"""),"Completa")</f>
        <v>Completa</v>
      </c>
      <c r="H409" s="16" t="str">
        <f t="array" ref="H409">_xlfn.XLOOKUP(D409,Productos[ID_Producto],Productos[Nombre_Producto])</f>
        <v>Galletitas de chocolate</v>
      </c>
      <c r="I409" s="17">
        <f t="array" ref="I409">_xlfn.XLOOKUP(D409,Productos[ID_Producto],Productos[Precio_Unitario])</f>
        <v>6.25</v>
      </c>
      <c r="J409" s="17">
        <f t="shared" si="1"/>
        <v>6.25</v>
      </c>
      <c r="K409" s="16" t="str">
        <f t="array" ref="K409">_xlfn.XLOOKUP(C409,Clientes[ID_Cliente],Clientes[Provincia])</f>
        <v>Buenos Aires</v>
      </c>
      <c r="L409" s="16" t="str">
        <f t="array" ref="L409">CONCATENATE(_xlfn.XLOOKUP(C409,Clientes[ID_Cliente],Clientes[Provincia]),", Argentina")</f>
        <v>Buenos Aires, Argentina</v>
      </c>
      <c r="M409" s="20" t="str">
        <f t="array" ref="M409">_xlfn.XLOOKUP(F409,Metodos_De_Pago[ID_Metodo],Metodos_De_Pago[Metodo])</f>
        <v>Mercado Pago</v>
      </c>
      <c r="N409" s="20" t="str">
        <f t="shared" si="2"/>
        <v>2024 10</v>
      </c>
    </row>
    <row r="410" ht="22.5" customHeight="1">
      <c r="A410" s="12">
        <f>IFERROR(__xludf.DUMMYFUNCTION("""COMPUTED_VALUE"""),1315.0)</f>
        <v>1315</v>
      </c>
      <c r="B410" s="13">
        <f>IFERROR(__xludf.DUMMYFUNCTION("""COMPUTED_VALUE"""),45592.0)</f>
        <v>45592</v>
      </c>
      <c r="C410" s="12">
        <f>IFERROR(__xludf.DUMMYFUNCTION("""COMPUTED_VALUE"""),222.0)</f>
        <v>222</v>
      </c>
      <c r="D410" s="12">
        <f>IFERROR(__xludf.DUMMYFUNCTION("""COMPUTED_VALUE"""),3.0)</f>
        <v>3</v>
      </c>
      <c r="E410" s="12">
        <f>IFERROR(__xludf.DUMMYFUNCTION("""COMPUTED_VALUE"""),1.0)</f>
        <v>1</v>
      </c>
      <c r="F410" s="12">
        <f>IFERROR(__xludf.DUMMYFUNCTION("""COMPUTED_VALUE"""),1.0)</f>
        <v>1</v>
      </c>
      <c r="G410" s="15" t="str">
        <f>IFERROR(__xludf.DUMMYFUNCTION("""COMPUTED_VALUE"""),"Completa")</f>
        <v>Completa</v>
      </c>
      <c r="H410" s="16" t="str">
        <f t="array" ref="H410">_xlfn.XLOOKUP(D410,Productos[ID_Producto],Productos[Nombre_Producto])</f>
        <v>Queso cremoso</v>
      </c>
      <c r="I410" s="17">
        <f t="array" ref="I410">_xlfn.XLOOKUP(D410,Productos[ID_Producto],Productos[Precio_Unitario])</f>
        <v>17.23</v>
      </c>
      <c r="J410" s="17">
        <f t="shared" si="1"/>
        <v>17.23</v>
      </c>
      <c r="K410" s="16" t="str">
        <f t="array" ref="K410">_xlfn.XLOOKUP(C410,Clientes[ID_Cliente],Clientes[Provincia])</f>
        <v>Córdoba</v>
      </c>
      <c r="L410" s="16" t="str">
        <f t="array" ref="L410">CONCATENATE(_xlfn.XLOOKUP(C410,Clientes[ID_Cliente],Clientes[Provincia]),", Argentina")</f>
        <v>Córdoba, Argentina</v>
      </c>
      <c r="M410" s="20" t="str">
        <f t="array" ref="M410">_xlfn.XLOOKUP(F410,Metodos_De_Pago[ID_Metodo],Metodos_De_Pago[Metodo])</f>
        <v>Efectivo</v>
      </c>
      <c r="N410" s="20" t="str">
        <f t="shared" si="2"/>
        <v>2024 10</v>
      </c>
    </row>
    <row r="411" ht="22.5" customHeight="1">
      <c r="A411" s="12">
        <f>IFERROR(__xludf.DUMMYFUNCTION("""COMPUTED_VALUE"""),1750.0)</f>
        <v>1750</v>
      </c>
      <c r="B411" s="13">
        <f>IFERROR(__xludf.DUMMYFUNCTION("""COMPUTED_VALUE"""),45593.0)</f>
        <v>45593</v>
      </c>
      <c r="C411" s="12">
        <f>IFERROR(__xludf.DUMMYFUNCTION("""COMPUTED_VALUE"""),310.0)</f>
        <v>310</v>
      </c>
      <c r="D411" s="12">
        <f>IFERROR(__xludf.DUMMYFUNCTION("""COMPUTED_VALUE"""),16.0)</f>
        <v>16</v>
      </c>
      <c r="E411" s="12">
        <f>IFERROR(__xludf.DUMMYFUNCTION("""COMPUTED_VALUE"""),1.0)</f>
        <v>1</v>
      </c>
      <c r="F411" s="12">
        <f>IFERROR(__xludf.DUMMYFUNCTION("""COMPUTED_VALUE"""),5.0)</f>
        <v>5</v>
      </c>
      <c r="G411" s="15" t="str">
        <f>IFERROR(__xludf.DUMMYFUNCTION("""COMPUTED_VALUE"""),"Completa")</f>
        <v>Completa</v>
      </c>
      <c r="H411" s="16" t="str">
        <f t="array" ref="H411">_xlfn.XLOOKUP(D411,Productos[ID_Producto],Productos[Nombre_Producto])</f>
        <v>Tortas</v>
      </c>
      <c r="I411" s="17">
        <f t="array" ref="I411">_xlfn.XLOOKUP(D411,Productos[ID_Producto],Productos[Precio_Unitario])</f>
        <v>15.23</v>
      </c>
      <c r="J411" s="17">
        <f t="shared" si="1"/>
        <v>15.23</v>
      </c>
      <c r="K411" s="16" t="str">
        <f t="array" ref="K411">_xlfn.XLOOKUP(C411,Clientes[ID_Cliente],Clientes[Provincia])</f>
        <v>Neuquén</v>
      </c>
      <c r="L411" s="16" t="str">
        <f t="array" ref="L411">CONCATENATE(_xlfn.XLOOKUP(C411,Clientes[ID_Cliente],Clientes[Provincia]),", Argentina")</f>
        <v>Neuquén, Argentina</v>
      </c>
      <c r="M411" s="20" t="str">
        <f t="array" ref="M411">_xlfn.XLOOKUP(F411,Metodos_De_Pago[ID_Metodo],Metodos_De_Pago[Metodo])</f>
        <v>Transferencia</v>
      </c>
      <c r="N411" s="20" t="str">
        <f t="shared" si="2"/>
        <v>2024 10</v>
      </c>
    </row>
    <row r="412" ht="22.5" customHeight="1">
      <c r="A412" s="12">
        <f>IFERROR(__xludf.DUMMYFUNCTION("""COMPUTED_VALUE"""),2549.0)</f>
        <v>2549</v>
      </c>
      <c r="B412" s="13">
        <f>IFERROR(__xludf.DUMMYFUNCTION("""COMPUTED_VALUE"""),45593.0)</f>
        <v>45593</v>
      </c>
      <c r="C412" s="12">
        <f>IFERROR(__xludf.DUMMYFUNCTION("""COMPUTED_VALUE"""),239.0)</f>
        <v>239</v>
      </c>
      <c r="D412" s="12">
        <f>IFERROR(__xludf.DUMMYFUNCTION("""COMPUTED_VALUE"""),8.0)</f>
        <v>8</v>
      </c>
      <c r="E412" s="12">
        <f>IFERROR(__xludf.DUMMYFUNCTION("""COMPUTED_VALUE"""),1.0)</f>
        <v>1</v>
      </c>
      <c r="F412" s="12">
        <f>IFERROR(__xludf.DUMMYFUNCTION("""COMPUTED_VALUE"""),4.0)</f>
        <v>4</v>
      </c>
      <c r="G412" s="15" t="str">
        <f>IFERROR(__xludf.DUMMYFUNCTION("""COMPUTED_VALUE"""),"Completa")</f>
        <v>Completa</v>
      </c>
      <c r="H412" s="16" t="str">
        <f t="array" ref="H412">_xlfn.XLOOKUP(D412,Productos[ID_Producto],Productos[Nombre_Producto])</f>
        <v>Milanesa</v>
      </c>
      <c r="I412" s="17">
        <f t="array" ref="I412">_xlfn.XLOOKUP(D412,Productos[ID_Producto],Productos[Precio_Unitario])</f>
        <v>16.21</v>
      </c>
      <c r="J412" s="17">
        <f t="shared" si="1"/>
        <v>16.21</v>
      </c>
      <c r="K412" s="16" t="str">
        <f t="array" ref="K412">_xlfn.XLOOKUP(C412,Clientes[ID_Cliente],Clientes[Provincia])</f>
        <v>Buenos Aires</v>
      </c>
      <c r="L412" s="16" t="str">
        <f t="array" ref="L412">CONCATENATE(_xlfn.XLOOKUP(C412,Clientes[ID_Cliente],Clientes[Provincia]),", Argentina")</f>
        <v>Buenos Aires, Argentina</v>
      </c>
      <c r="M412" s="20" t="str">
        <f t="array" ref="M412">_xlfn.XLOOKUP(F412,Metodos_De_Pago[ID_Metodo],Metodos_De_Pago[Metodo])</f>
        <v>Mercado Pago</v>
      </c>
      <c r="N412" s="20" t="str">
        <f t="shared" si="2"/>
        <v>2024 10</v>
      </c>
    </row>
    <row r="413" ht="22.5" customHeight="1">
      <c r="A413" s="12">
        <f>IFERROR(__xludf.DUMMYFUNCTION("""COMPUTED_VALUE"""),1785.0)</f>
        <v>1785</v>
      </c>
      <c r="B413" s="13">
        <f>IFERROR(__xludf.DUMMYFUNCTION("""COMPUTED_VALUE"""),45595.0)</f>
        <v>45595</v>
      </c>
      <c r="C413" s="12">
        <f>IFERROR(__xludf.DUMMYFUNCTION("""COMPUTED_VALUE"""),207.0)</f>
        <v>207</v>
      </c>
      <c r="D413" s="12">
        <f>IFERROR(__xludf.DUMMYFUNCTION("""COMPUTED_VALUE"""),1.0)</f>
        <v>1</v>
      </c>
      <c r="E413" s="12">
        <f>IFERROR(__xludf.DUMMYFUNCTION("""COMPUTED_VALUE"""),1.0)</f>
        <v>1</v>
      </c>
      <c r="F413" s="12">
        <f>IFERROR(__xludf.DUMMYFUNCTION("""COMPUTED_VALUE"""),4.0)</f>
        <v>4</v>
      </c>
      <c r="G413" s="15" t="str">
        <f>IFERROR(__xludf.DUMMYFUNCTION("""COMPUTED_VALUE"""),"Completa")</f>
        <v>Completa</v>
      </c>
      <c r="H413" s="16" t="str">
        <f t="array" ref="H413">_xlfn.XLOOKUP(D413,Productos[ID_Producto],Productos[Nombre_Producto])</f>
        <v>Leche</v>
      </c>
      <c r="I413" s="17">
        <f t="array" ref="I413">_xlfn.XLOOKUP(D413,Productos[ID_Producto],Productos[Precio_Unitario])</f>
        <v>12.24</v>
      </c>
      <c r="J413" s="17">
        <f t="shared" si="1"/>
        <v>12.24</v>
      </c>
      <c r="K413" s="16" t="str">
        <f t="array" ref="K413">_xlfn.XLOOKUP(C413,Clientes[ID_Cliente],Clientes[Provincia])</f>
        <v>Buenos Aires</v>
      </c>
      <c r="L413" s="16" t="str">
        <f t="array" ref="L413">CONCATENATE(_xlfn.XLOOKUP(C413,Clientes[ID_Cliente],Clientes[Provincia]),", Argentina")</f>
        <v>Buenos Aires, Argentina</v>
      </c>
      <c r="M413" s="20" t="str">
        <f t="array" ref="M413">_xlfn.XLOOKUP(F413,Metodos_De_Pago[ID_Metodo],Metodos_De_Pago[Metodo])</f>
        <v>Mercado Pago</v>
      </c>
      <c r="N413" s="20" t="str">
        <f t="shared" si="2"/>
        <v>2024 10</v>
      </c>
    </row>
    <row r="414" ht="22.5" customHeight="1">
      <c r="A414" s="12">
        <f>IFERROR(__xludf.DUMMYFUNCTION("""COMPUTED_VALUE"""),1930.0)</f>
        <v>1930</v>
      </c>
      <c r="B414" s="13">
        <f>IFERROR(__xludf.DUMMYFUNCTION("""COMPUTED_VALUE"""),45595.0)</f>
        <v>45595</v>
      </c>
      <c r="C414" s="12">
        <f>IFERROR(__xludf.DUMMYFUNCTION("""COMPUTED_VALUE"""),302.0)</f>
        <v>302</v>
      </c>
      <c r="D414" s="12">
        <f>IFERROR(__xludf.DUMMYFUNCTION("""COMPUTED_VALUE"""),1.0)</f>
        <v>1</v>
      </c>
      <c r="E414" s="12">
        <f>IFERROR(__xludf.DUMMYFUNCTION("""COMPUTED_VALUE"""),1.0)</f>
        <v>1</v>
      </c>
      <c r="F414" s="12">
        <f>IFERROR(__xludf.DUMMYFUNCTION("""COMPUTED_VALUE"""),1.0)</f>
        <v>1</v>
      </c>
      <c r="G414" s="15" t="str">
        <f>IFERROR(__xludf.DUMMYFUNCTION("""COMPUTED_VALUE"""),"Completa")</f>
        <v>Completa</v>
      </c>
      <c r="H414" s="16" t="str">
        <f t="array" ref="H414">_xlfn.XLOOKUP(D414,Productos[ID_Producto],Productos[Nombre_Producto])</f>
        <v>Leche</v>
      </c>
      <c r="I414" s="17">
        <f t="array" ref="I414">_xlfn.XLOOKUP(D414,Productos[ID_Producto],Productos[Precio_Unitario])</f>
        <v>12.24</v>
      </c>
      <c r="J414" s="17">
        <f t="shared" si="1"/>
        <v>12.24</v>
      </c>
      <c r="K414" s="16" t="str">
        <f t="array" ref="K414">_xlfn.XLOOKUP(C414,Clientes[ID_Cliente],Clientes[Provincia])</f>
        <v>Neuquén</v>
      </c>
      <c r="L414" s="16" t="str">
        <f t="array" ref="L414">CONCATENATE(_xlfn.XLOOKUP(C414,Clientes[ID_Cliente],Clientes[Provincia]),", Argentina")</f>
        <v>Neuquén, Argentina</v>
      </c>
      <c r="M414" s="20" t="str">
        <f t="array" ref="M414">_xlfn.XLOOKUP(F414,Metodos_De_Pago[ID_Metodo],Metodos_De_Pago[Metodo])</f>
        <v>Efectivo</v>
      </c>
      <c r="N414" s="20" t="str">
        <f t="shared" si="2"/>
        <v>2024 10</v>
      </c>
    </row>
    <row r="415" ht="22.5" customHeight="1">
      <c r="A415" s="12">
        <f>IFERROR(__xludf.DUMMYFUNCTION("""COMPUTED_VALUE"""),2858.0)</f>
        <v>2858</v>
      </c>
      <c r="B415" s="13">
        <f>IFERROR(__xludf.DUMMYFUNCTION("""COMPUTED_VALUE"""),45595.0)</f>
        <v>45595</v>
      </c>
      <c r="C415" s="12">
        <f>IFERROR(__xludf.DUMMYFUNCTION("""COMPUTED_VALUE"""),154.0)</f>
        <v>154</v>
      </c>
      <c r="D415" s="12">
        <f>IFERROR(__xludf.DUMMYFUNCTION("""COMPUTED_VALUE"""),15.0)</f>
        <v>15</v>
      </c>
      <c r="E415" s="12">
        <f>IFERROR(__xludf.DUMMYFUNCTION("""COMPUTED_VALUE"""),1.0)</f>
        <v>1</v>
      </c>
      <c r="F415" s="12">
        <f>IFERROR(__xludf.DUMMYFUNCTION("""COMPUTED_VALUE"""),5.0)</f>
        <v>5</v>
      </c>
      <c r="G415" s="15" t="str">
        <f>IFERROR(__xludf.DUMMYFUNCTION("""COMPUTED_VALUE"""),"Completa")</f>
        <v>Completa</v>
      </c>
      <c r="H415" s="16" t="str">
        <f t="array" ref="H415">_xlfn.XLOOKUP(D415,Productos[ID_Producto],Productos[Nombre_Producto])</f>
        <v>Medialunas</v>
      </c>
      <c r="I415" s="17">
        <f t="array" ref="I415">_xlfn.XLOOKUP(D415,Productos[ID_Producto],Productos[Precio_Unitario])</f>
        <v>3.51</v>
      </c>
      <c r="J415" s="17">
        <f t="shared" si="1"/>
        <v>3.51</v>
      </c>
      <c r="K415" s="16" t="str">
        <f t="array" ref="K415">_xlfn.XLOOKUP(C415,Clientes[ID_Cliente],Clientes[Provincia])</f>
        <v>Neuquén</v>
      </c>
      <c r="L415" s="16" t="str">
        <f t="array" ref="L415">CONCATENATE(_xlfn.XLOOKUP(C415,Clientes[ID_Cliente],Clientes[Provincia]),", Argentina")</f>
        <v>Neuquén, Argentina</v>
      </c>
      <c r="M415" s="20" t="str">
        <f t="array" ref="M415">_xlfn.XLOOKUP(F415,Metodos_De_Pago[ID_Metodo],Metodos_De_Pago[Metodo])</f>
        <v>Transferencia</v>
      </c>
      <c r="N415" s="20" t="str">
        <f t="shared" si="2"/>
        <v>2024 10</v>
      </c>
    </row>
    <row r="416" ht="22.5" customHeight="1">
      <c r="A416" s="12">
        <f>IFERROR(__xludf.DUMMYFUNCTION("""COMPUTED_VALUE"""),1361.0)</f>
        <v>1361</v>
      </c>
      <c r="B416" s="13">
        <f>IFERROR(__xludf.DUMMYFUNCTION("""COMPUTED_VALUE"""),45596.0)</f>
        <v>45596</v>
      </c>
      <c r="C416" s="12">
        <f>IFERROR(__xludf.DUMMYFUNCTION("""COMPUTED_VALUE"""),192.0)</f>
        <v>192</v>
      </c>
      <c r="D416" s="12">
        <f>IFERROR(__xludf.DUMMYFUNCTION("""COMPUTED_VALUE"""),28.0)</f>
        <v>28</v>
      </c>
      <c r="E416" s="12">
        <f>IFERROR(__xludf.DUMMYFUNCTION("""COMPUTED_VALUE"""),1.0)</f>
        <v>1</v>
      </c>
      <c r="F416" s="12">
        <f>IFERROR(__xludf.DUMMYFUNCTION("""COMPUTED_VALUE"""),3.0)</f>
        <v>3</v>
      </c>
      <c r="G416" s="15" t="str">
        <f>IFERROR(__xludf.DUMMYFUNCTION("""COMPUTED_VALUE"""),"Completa")</f>
        <v>Completa</v>
      </c>
      <c r="H416" s="16" t="str">
        <f t="array" ref="H416">_xlfn.XLOOKUP(D416,Productos[ID_Producto],Productos[Nombre_Producto])</f>
        <v>Jugos de frutas</v>
      </c>
      <c r="I416" s="17">
        <f t="array" ref="I416">_xlfn.XLOOKUP(D416,Productos[ID_Producto],Productos[Precio_Unitario])</f>
        <v>9.45</v>
      </c>
      <c r="J416" s="17">
        <f t="shared" si="1"/>
        <v>9.45</v>
      </c>
      <c r="K416" s="16" t="str">
        <f t="array" ref="K416">_xlfn.XLOOKUP(C416,Clientes[ID_Cliente],Clientes[Provincia])</f>
        <v>San Luis</v>
      </c>
      <c r="L416" s="16" t="str">
        <f t="array" ref="L416">CONCATENATE(_xlfn.XLOOKUP(C416,Clientes[ID_Cliente],Clientes[Provincia]),", Argentina")</f>
        <v>San Luis, Argentina</v>
      </c>
      <c r="M416" s="20" t="str">
        <f t="array" ref="M416">_xlfn.XLOOKUP(F416,Metodos_De_Pago[ID_Metodo],Metodos_De_Pago[Metodo])</f>
        <v>Tarjeta de Débito</v>
      </c>
      <c r="N416" s="20" t="str">
        <f t="shared" si="2"/>
        <v>2024 10</v>
      </c>
    </row>
    <row r="417" ht="22.5" customHeight="1">
      <c r="A417" s="12">
        <f>IFERROR(__xludf.DUMMYFUNCTION("""COMPUTED_VALUE"""),1610.0)</f>
        <v>1610</v>
      </c>
      <c r="B417" s="13">
        <f>IFERROR(__xludf.DUMMYFUNCTION("""COMPUTED_VALUE"""),45596.0)</f>
        <v>45596</v>
      </c>
      <c r="C417" s="12">
        <f>IFERROR(__xludf.DUMMYFUNCTION("""COMPUTED_VALUE"""),198.0)</f>
        <v>198</v>
      </c>
      <c r="D417" s="12">
        <f>IFERROR(__xludf.DUMMYFUNCTION("""COMPUTED_VALUE"""),31.0)</f>
        <v>31</v>
      </c>
      <c r="E417" s="12">
        <f>IFERROR(__xludf.DUMMYFUNCTION("""COMPUTED_VALUE"""),1.0)</f>
        <v>1</v>
      </c>
      <c r="F417" s="12">
        <f>IFERROR(__xludf.DUMMYFUNCTION("""COMPUTED_VALUE"""),1.0)</f>
        <v>1</v>
      </c>
      <c r="G417" s="15" t="str">
        <f>IFERROR(__xludf.DUMMYFUNCTION("""COMPUTED_VALUE"""),"Completa")</f>
        <v>Completa</v>
      </c>
      <c r="H417" s="16" t="str">
        <f t="array" ref="H417">_xlfn.XLOOKUP(D417,Productos[ID_Producto],Productos[Nombre_Producto])</f>
        <v>Galletitas de agua</v>
      </c>
      <c r="I417" s="17">
        <f t="array" ref="I417">_xlfn.XLOOKUP(D417,Productos[ID_Producto],Productos[Precio_Unitario])</f>
        <v>5.24</v>
      </c>
      <c r="J417" s="17">
        <f t="shared" si="1"/>
        <v>5.24</v>
      </c>
      <c r="K417" s="16" t="str">
        <f t="array" ref="K417">_xlfn.XLOOKUP(C417,Clientes[ID_Cliente],Clientes[Provincia])</f>
        <v>Salta</v>
      </c>
      <c r="L417" s="16" t="str">
        <f t="array" ref="L417">CONCATENATE(_xlfn.XLOOKUP(C417,Clientes[ID_Cliente],Clientes[Provincia]),", Argentina")</f>
        <v>Salta, Argentina</v>
      </c>
      <c r="M417" s="20" t="str">
        <f t="array" ref="M417">_xlfn.XLOOKUP(F417,Metodos_De_Pago[ID_Metodo],Metodos_De_Pago[Metodo])</f>
        <v>Efectivo</v>
      </c>
      <c r="N417" s="20" t="str">
        <f t="shared" si="2"/>
        <v>2024 10</v>
      </c>
    </row>
    <row r="418" ht="22.5" customHeight="1">
      <c r="A418" s="12">
        <f>IFERROR(__xludf.DUMMYFUNCTION("""COMPUTED_VALUE"""),99.0)</f>
        <v>99</v>
      </c>
      <c r="B418" s="13">
        <f>IFERROR(__xludf.DUMMYFUNCTION("""COMPUTED_VALUE"""),45597.0)</f>
        <v>45597</v>
      </c>
      <c r="C418" s="12">
        <f>IFERROR(__xludf.DUMMYFUNCTION("""COMPUTED_VALUE"""),11.0)</f>
        <v>11</v>
      </c>
      <c r="D418" s="12">
        <f>IFERROR(__xludf.DUMMYFUNCTION("""COMPUTED_VALUE"""),17.0)</f>
        <v>17</v>
      </c>
      <c r="E418" s="12">
        <f>IFERROR(__xludf.DUMMYFUNCTION("""COMPUTED_VALUE"""),1.0)</f>
        <v>1</v>
      </c>
      <c r="F418" s="12">
        <f>IFERROR(__xludf.DUMMYFUNCTION("""COMPUTED_VALUE"""),2.0)</f>
        <v>2</v>
      </c>
      <c r="G418" s="15" t="str">
        <f>IFERROR(__xludf.DUMMYFUNCTION("""COMPUTED_VALUE"""),"Completa")</f>
        <v>Completa</v>
      </c>
      <c r="H418" s="16" t="str">
        <f t="array" ref="H418">_xlfn.XLOOKUP(D418,Productos[ID_Producto],Productos[Nombre_Producto])</f>
        <v>Manzanas</v>
      </c>
      <c r="I418" s="17">
        <f t="array" ref="I418">_xlfn.XLOOKUP(D418,Productos[ID_Producto],Productos[Precio_Unitario])</f>
        <v>6.54</v>
      </c>
      <c r="J418" s="17">
        <f t="shared" si="1"/>
        <v>6.54</v>
      </c>
      <c r="K418" s="16" t="str">
        <f t="array" ref="K418">_xlfn.XLOOKUP(C418,Clientes[ID_Cliente],Clientes[Provincia])</f>
        <v>Buenos Aires</v>
      </c>
      <c r="L418" s="16" t="str">
        <f t="array" ref="L418">CONCATENATE(_xlfn.XLOOKUP(C418,Clientes[ID_Cliente],Clientes[Provincia]),", Argentina")</f>
        <v>Buenos Aires, Argentina</v>
      </c>
      <c r="M418" s="20" t="str">
        <f t="array" ref="M418">_xlfn.XLOOKUP(F418,Metodos_De_Pago[ID_Metodo],Metodos_De_Pago[Metodo])</f>
        <v>Tarjeta de Crédito</v>
      </c>
      <c r="N418" s="20" t="str">
        <f t="shared" si="2"/>
        <v>2024 11</v>
      </c>
    </row>
    <row r="419" ht="22.5" customHeight="1">
      <c r="A419" s="12">
        <f>IFERROR(__xludf.DUMMYFUNCTION("""COMPUTED_VALUE"""),1048.0)</f>
        <v>1048</v>
      </c>
      <c r="B419" s="13">
        <f>IFERROR(__xludf.DUMMYFUNCTION("""COMPUTED_VALUE"""),45597.0)</f>
        <v>45597</v>
      </c>
      <c r="C419" s="12">
        <f>IFERROR(__xludf.DUMMYFUNCTION("""COMPUTED_VALUE"""),185.0)</f>
        <v>185</v>
      </c>
      <c r="D419" s="12">
        <f>IFERROR(__xludf.DUMMYFUNCTION("""COMPUTED_VALUE"""),5.0)</f>
        <v>5</v>
      </c>
      <c r="E419" s="12">
        <f>IFERROR(__xludf.DUMMYFUNCTION("""COMPUTED_VALUE"""),1.0)</f>
        <v>1</v>
      </c>
      <c r="F419" s="12">
        <f>IFERROR(__xludf.DUMMYFUNCTION("""COMPUTED_VALUE"""),2.0)</f>
        <v>2</v>
      </c>
      <c r="G419" s="15" t="str">
        <f>IFERROR(__xludf.DUMMYFUNCTION("""COMPUTED_VALUE"""),"Completa")</f>
        <v>Completa</v>
      </c>
      <c r="H419" s="16" t="str">
        <f t="array" ref="H419">_xlfn.XLOOKUP(D419,Productos[ID_Producto],Productos[Nombre_Producto])</f>
        <v>Manteca</v>
      </c>
      <c r="I419" s="17">
        <f t="array" ref="I419">_xlfn.XLOOKUP(D419,Productos[ID_Producto],Productos[Precio_Unitario])</f>
        <v>5.65</v>
      </c>
      <c r="J419" s="17">
        <f t="shared" si="1"/>
        <v>5.65</v>
      </c>
      <c r="K419" s="16" t="str">
        <f t="array" ref="K419">_xlfn.XLOOKUP(C419,Clientes[ID_Cliente],Clientes[Provincia])</f>
        <v>Córdoba</v>
      </c>
      <c r="L419" s="16" t="str">
        <f t="array" ref="L419">CONCATENATE(_xlfn.XLOOKUP(C419,Clientes[ID_Cliente],Clientes[Provincia]),", Argentina")</f>
        <v>Córdoba, Argentina</v>
      </c>
      <c r="M419" s="20" t="str">
        <f t="array" ref="M419">_xlfn.XLOOKUP(F419,Metodos_De_Pago[ID_Metodo],Metodos_De_Pago[Metodo])</f>
        <v>Tarjeta de Crédito</v>
      </c>
      <c r="N419" s="20" t="str">
        <f t="shared" si="2"/>
        <v>2024 11</v>
      </c>
    </row>
    <row r="420" ht="22.5" customHeight="1">
      <c r="A420" s="12">
        <f>IFERROR(__xludf.DUMMYFUNCTION("""COMPUTED_VALUE"""),830.0)</f>
        <v>830</v>
      </c>
      <c r="B420" s="13">
        <f>IFERROR(__xludf.DUMMYFUNCTION("""COMPUTED_VALUE"""),45598.0)</f>
        <v>45598</v>
      </c>
      <c r="C420" s="12">
        <f>IFERROR(__xludf.DUMMYFUNCTION("""COMPUTED_VALUE"""),55.0)</f>
        <v>55</v>
      </c>
      <c r="D420" s="12">
        <f>IFERROR(__xludf.DUMMYFUNCTION("""COMPUTED_VALUE"""),20.0)</f>
        <v>20</v>
      </c>
      <c r="E420" s="12">
        <f>IFERROR(__xludf.DUMMYFUNCTION("""COMPUTED_VALUE"""),1.0)</f>
        <v>1</v>
      </c>
      <c r="F420" s="12">
        <f>IFERROR(__xludf.DUMMYFUNCTION("""COMPUTED_VALUE"""),5.0)</f>
        <v>5</v>
      </c>
      <c r="G420" s="15" t="str">
        <f>IFERROR(__xludf.DUMMYFUNCTION("""COMPUTED_VALUE"""),"Completa")</f>
        <v>Completa</v>
      </c>
      <c r="H420" s="16" t="str">
        <f t="array" ref="H420">_xlfn.XLOOKUP(D420,Productos[ID_Producto],Productos[Nombre_Producto])</f>
        <v>Lechugas</v>
      </c>
      <c r="I420" s="17">
        <f t="array" ref="I420">_xlfn.XLOOKUP(D420,Productos[ID_Producto],Productos[Precio_Unitario])</f>
        <v>4.25</v>
      </c>
      <c r="J420" s="17">
        <f t="shared" si="1"/>
        <v>4.25</v>
      </c>
      <c r="K420" s="16" t="str">
        <f t="array" ref="K420">_xlfn.XLOOKUP(C420,Clientes[ID_Cliente],Clientes[Provincia])</f>
        <v>Neuquén</v>
      </c>
      <c r="L420" s="16" t="str">
        <f t="array" ref="L420">CONCATENATE(_xlfn.XLOOKUP(C420,Clientes[ID_Cliente],Clientes[Provincia]),", Argentina")</f>
        <v>Neuquén, Argentina</v>
      </c>
      <c r="M420" s="20" t="str">
        <f t="array" ref="M420">_xlfn.XLOOKUP(F420,Metodos_De_Pago[ID_Metodo],Metodos_De_Pago[Metodo])</f>
        <v>Transferencia</v>
      </c>
      <c r="N420" s="20" t="str">
        <f t="shared" si="2"/>
        <v>2024 11</v>
      </c>
    </row>
    <row r="421" ht="22.5" customHeight="1">
      <c r="A421" s="12">
        <f>IFERROR(__xludf.DUMMYFUNCTION("""COMPUTED_VALUE"""),1029.0)</f>
        <v>1029</v>
      </c>
      <c r="B421" s="13">
        <f>IFERROR(__xludf.DUMMYFUNCTION("""COMPUTED_VALUE"""),45599.0)</f>
        <v>45599</v>
      </c>
      <c r="C421" s="12">
        <f>IFERROR(__xludf.DUMMYFUNCTION("""COMPUTED_VALUE"""),9.0)</f>
        <v>9</v>
      </c>
      <c r="D421" s="12">
        <f>IFERROR(__xludf.DUMMYFUNCTION("""COMPUTED_VALUE"""),29.0)</f>
        <v>29</v>
      </c>
      <c r="E421" s="12">
        <f>IFERROR(__xludf.DUMMYFUNCTION("""COMPUTED_VALUE"""),1.0)</f>
        <v>1</v>
      </c>
      <c r="F421" s="12">
        <f>IFERROR(__xludf.DUMMYFUNCTION("""COMPUTED_VALUE"""),5.0)</f>
        <v>5</v>
      </c>
      <c r="G421" s="15" t="str">
        <f>IFERROR(__xludf.DUMMYFUNCTION("""COMPUTED_VALUE"""),"Pendiente")</f>
        <v>Pendiente</v>
      </c>
      <c r="H421" s="16" t="str">
        <f t="array" ref="H421">_xlfn.XLOOKUP(D421,Productos[ID_Producto],Productos[Nombre_Producto])</f>
        <v>Cerveza</v>
      </c>
      <c r="I421" s="17">
        <f t="array" ref="I421">_xlfn.XLOOKUP(D421,Productos[ID_Producto],Productos[Precio_Unitario])</f>
        <v>11.54</v>
      </c>
      <c r="J421" s="17">
        <f t="shared" si="1"/>
        <v>11.54</v>
      </c>
      <c r="K421" s="16" t="str">
        <f t="array" ref="K421">_xlfn.XLOOKUP(C421,Clientes[ID_Cliente],Clientes[Provincia])</f>
        <v>Córdoba</v>
      </c>
      <c r="L421" s="16" t="str">
        <f t="array" ref="L421">CONCATENATE(_xlfn.XLOOKUP(C421,Clientes[ID_Cliente],Clientes[Provincia]),", Argentina")</f>
        <v>Córdoba, Argentina</v>
      </c>
      <c r="M421" s="20" t="str">
        <f t="array" ref="M421">_xlfn.XLOOKUP(F421,Metodos_De_Pago[ID_Metodo],Metodos_De_Pago[Metodo])</f>
        <v>Transferencia</v>
      </c>
      <c r="N421" s="20" t="str">
        <f t="shared" si="2"/>
        <v>2024 11</v>
      </c>
    </row>
    <row r="422" ht="22.5" customHeight="1">
      <c r="A422" s="12">
        <f>IFERROR(__xludf.DUMMYFUNCTION("""COMPUTED_VALUE"""),1396.0)</f>
        <v>1396</v>
      </c>
      <c r="B422" s="13">
        <f>IFERROR(__xludf.DUMMYFUNCTION("""COMPUTED_VALUE"""),45599.0)</f>
        <v>45599</v>
      </c>
      <c r="C422" s="12">
        <f>IFERROR(__xludf.DUMMYFUNCTION("""COMPUTED_VALUE"""),209.0)</f>
        <v>209</v>
      </c>
      <c r="D422" s="12">
        <f>IFERROR(__xludf.DUMMYFUNCTION("""COMPUTED_VALUE"""),9.0)</f>
        <v>9</v>
      </c>
      <c r="E422" s="12">
        <f>IFERROR(__xludf.DUMMYFUNCTION("""COMPUTED_VALUE"""),1.0)</f>
        <v>1</v>
      </c>
      <c r="F422" s="12">
        <f>IFERROR(__xludf.DUMMYFUNCTION("""COMPUTED_VALUE"""),5.0)</f>
        <v>5</v>
      </c>
      <c r="G422" s="15" t="str">
        <f>IFERROR(__xludf.DUMMYFUNCTION("""COMPUTED_VALUE"""),"Completa")</f>
        <v>Completa</v>
      </c>
      <c r="H422" s="16" t="str">
        <f t="array" ref="H422">_xlfn.XLOOKUP(D422,Productos[ID_Producto],Productos[Nombre_Producto])</f>
        <v>Pollo</v>
      </c>
      <c r="I422" s="17">
        <f t="array" ref="I422">_xlfn.XLOOKUP(D422,Productos[ID_Producto],Productos[Precio_Unitario])</f>
        <v>18.56</v>
      </c>
      <c r="J422" s="17">
        <f t="shared" si="1"/>
        <v>18.56</v>
      </c>
      <c r="K422" s="16" t="str">
        <f t="array" ref="K422">_xlfn.XLOOKUP(C422,Clientes[ID_Cliente],Clientes[Provincia])</f>
        <v>Buenos Aires</v>
      </c>
      <c r="L422" s="16" t="str">
        <f t="array" ref="L422">CONCATENATE(_xlfn.XLOOKUP(C422,Clientes[ID_Cliente],Clientes[Provincia]),", Argentina")</f>
        <v>Buenos Aires, Argentina</v>
      </c>
      <c r="M422" s="20" t="str">
        <f t="array" ref="M422">_xlfn.XLOOKUP(F422,Metodos_De_Pago[ID_Metodo],Metodos_De_Pago[Metodo])</f>
        <v>Transferencia</v>
      </c>
      <c r="N422" s="20" t="str">
        <f t="shared" si="2"/>
        <v>2024 11</v>
      </c>
    </row>
    <row r="423" ht="22.5" customHeight="1">
      <c r="A423" s="12">
        <f>IFERROR(__xludf.DUMMYFUNCTION("""COMPUTED_VALUE"""),2063.0)</f>
        <v>2063</v>
      </c>
      <c r="B423" s="13">
        <f>IFERROR(__xludf.DUMMYFUNCTION("""COMPUTED_VALUE"""),45599.0)</f>
        <v>45599</v>
      </c>
      <c r="C423" s="12">
        <f>IFERROR(__xludf.DUMMYFUNCTION("""COMPUTED_VALUE"""),8.0)</f>
        <v>8</v>
      </c>
      <c r="D423" s="12">
        <f>IFERROR(__xludf.DUMMYFUNCTION("""COMPUTED_VALUE"""),32.0)</f>
        <v>32</v>
      </c>
      <c r="E423" s="12">
        <f>IFERROR(__xludf.DUMMYFUNCTION("""COMPUTED_VALUE"""),1.0)</f>
        <v>1</v>
      </c>
      <c r="F423" s="12">
        <f>IFERROR(__xludf.DUMMYFUNCTION("""COMPUTED_VALUE"""),1.0)</f>
        <v>1</v>
      </c>
      <c r="G423" s="15" t="str">
        <f>IFERROR(__xludf.DUMMYFUNCTION("""COMPUTED_VALUE"""),"Completa")</f>
        <v>Completa</v>
      </c>
      <c r="H423" s="16" t="str">
        <f t="array" ref="H423">_xlfn.XLOOKUP(D423,Productos[ID_Producto],Productos[Nombre_Producto])</f>
        <v>Galletitas de chocolate</v>
      </c>
      <c r="I423" s="17">
        <f t="array" ref="I423">_xlfn.XLOOKUP(D423,Productos[ID_Producto],Productos[Precio_Unitario])</f>
        <v>6.25</v>
      </c>
      <c r="J423" s="17">
        <f t="shared" si="1"/>
        <v>6.25</v>
      </c>
      <c r="K423" s="16" t="str">
        <f t="array" ref="K423">_xlfn.XLOOKUP(C423,Clientes[ID_Cliente],Clientes[Provincia])</f>
        <v>Buenos Aires</v>
      </c>
      <c r="L423" s="16" t="str">
        <f t="array" ref="L423">CONCATENATE(_xlfn.XLOOKUP(C423,Clientes[ID_Cliente],Clientes[Provincia]),", Argentina")</f>
        <v>Buenos Aires, Argentina</v>
      </c>
      <c r="M423" s="20" t="str">
        <f t="array" ref="M423">_xlfn.XLOOKUP(F423,Metodos_De_Pago[ID_Metodo],Metodos_De_Pago[Metodo])</f>
        <v>Efectivo</v>
      </c>
      <c r="N423" s="20" t="str">
        <f t="shared" si="2"/>
        <v>2024 11</v>
      </c>
    </row>
    <row r="424" ht="22.5" customHeight="1">
      <c r="A424" s="12">
        <f>IFERROR(__xludf.DUMMYFUNCTION("""COMPUTED_VALUE"""),1832.0)</f>
        <v>1832</v>
      </c>
      <c r="B424" s="13">
        <f>IFERROR(__xludf.DUMMYFUNCTION("""COMPUTED_VALUE"""),45600.0)</f>
        <v>45600</v>
      </c>
      <c r="C424" s="12">
        <f>IFERROR(__xludf.DUMMYFUNCTION("""COMPUTED_VALUE"""),173.0)</f>
        <v>173</v>
      </c>
      <c r="D424" s="12">
        <f>IFERROR(__xludf.DUMMYFUNCTION("""COMPUTED_VALUE"""),22.0)</f>
        <v>22</v>
      </c>
      <c r="E424" s="12">
        <f>IFERROR(__xludf.DUMMYFUNCTION("""COMPUTED_VALUE"""),1.0)</f>
        <v>1</v>
      </c>
      <c r="F424" s="12">
        <f>IFERROR(__xludf.DUMMYFUNCTION("""COMPUTED_VALUE"""),3.0)</f>
        <v>3</v>
      </c>
      <c r="G424" s="15" t="str">
        <f>IFERROR(__xludf.DUMMYFUNCTION("""COMPUTED_VALUE"""),"Completa")</f>
        <v>Completa</v>
      </c>
      <c r="H424" s="16" t="str">
        <f t="array" ref="H424">_xlfn.XLOOKUP(D424,Productos[ID_Producto],Productos[Nombre_Producto])</f>
        <v>Cebolla</v>
      </c>
      <c r="I424" s="17">
        <f t="array" ref="I424">_xlfn.XLOOKUP(D424,Productos[ID_Producto],Productos[Precio_Unitario])</f>
        <v>4.21</v>
      </c>
      <c r="J424" s="17">
        <f t="shared" si="1"/>
        <v>4.21</v>
      </c>
      <c r="K424" s="16" t="str">
        <f t="array" ref="K424">_xlfn.XLOOKUP(C424,Clientes[ID_Cliente],Clientes[Provincia])</f>
        <v>Neuquén</v>
      </c>
      <c r="L424" s="16" t="str">
        <f t="array" ref="L424">CONCATENATE(_xlfn.XLOOKUP(C424,Clientes[ID_Cliente],Clientes[Provincia]),", Argentina")</f>
        <v>Neuquén, Argentina</v>
      </c>
      <c r="M424" s="20" t="str">
        <f t="array" ref="M424">_xlfn.XLOOKUP(F424,Metodos_De_Pago[ID_Metodo],Metodos_De_Pago[Metodo])</f>
        <v>Tarjeta de Débito</v>
      </c>
      <c r="N424" s="20" t="str">
        <f t="shared" si="2"/>
        <v>2024 11</v>
      </c>
    </row>
    <row r="425" ht="22.5" customHeight="1">
      <c r="A425" s="12">
        <f>IFERROR(__xludf.DUMMYFUNCTION("""COMPUTED_VALUE"""),2603.0)</f>
        <v>2603</v>
      </c>
      <c r="B425" s="13">
        <f>IFERROR(__xludf.DUMMYFUNCTION("""COMPUTED_VALUE"""),45601.0)</f>
        <v>45601</v>
      </c>
      <c r="C425" s="12">
        <f>IFERROR(__xludf.DUMMYFUNCTION("""COMPUTED_VALUE"""),156.0)</f>
        <v>156</v>
      </c>
      <c r="D425" s="12">
        <f>IFERROR(__xludf.DUMMYFUNCTION("""COMPUTED_VALUE"""),37.0)</f>
        <v>37</v>
      </c>
      <c r="E425" s="12">
        <f>IFERROR(__xludf.DUMMYFUNCTION("""COMPUTED_VALUE"""),1.0)</f>
        <v>1</v>
      </c>
      <c r="F425" s="12">
        <f>IFERROR(__xludf.DUMMYFUNCTION("""COMPUTED_VALUE"""),1.0)</f>
        <v>1</v>
      </c>
      <c r="G425" s="15" t="str">
        <f>IFERROR(__xludf.DUMMYFUNCTION("""COMPUTED_VALUE"""),"Pendiente")</f>
        <v>Pendiente</v>
      </c>
      <c r="H425" s="16" t="str">
        <f t="array" ref="H425">_xlfn.XLOOKUP(D425,Productos[ID_Producto],Productos[Nombre_Producto])</f>
        <v>Garbanzos</v>
      </c>
      <c r="I425" s="17">
        <f t="array" ref="I425">_xlfn.XLOOKUP(D425,Productos[ID_Producto],Productos[Precio_Unitario])</f>
        <v>3.65</v>
      </c>
      <c r="J425" s="17">
        <f t="shared" si="1"/>
        <v>3.65</v>
      </c>
      <c r="K425" s="16" t="str">
        <f t="array" ref="K425">_xlfn.XLOOKUP(C425,Clientes[ID_Cliente],Clientes[Provincia])</f>
        <v>Neuquén</v>
      </c>
      <c r="L425" s="16" t="str">
        <f t="array" ref="L425">CONCATENATE(_xlfn.XLOOKUP(C425,Clientes[ID_Cliente],Clientes[Provincia]),", Argentina")</f>
        <v>Neuquén, Argentina</v>
      </c>
      <c r="M425" s="20" t="str">
        <f t="array" ref="M425">_xlfn.XLOOKUP(F425,Metodos_De_Pago[ID_Metodo],Metodos_De_Pago[Metodo])</f>
        <v>Efectivo</v>
      </c>
      <c r="N425" s="20" t="str">
        <f t="shared" si="2"/>
        <v>2024 11</v>
      </c>
    </row>
    <row r="426" ht="22.5" customHeight="1">
      <c r="A426" s="12">
        <f>IFERROR(__xludf.DUMMYFUNCTION("""COMPUTED_VALUE"""),1298.0)</f>
        <v>1298</v>
      </c>
      <c r="B426" s="13">
        <f>IFERROR(__xludf.DUMMYFUNCTION("""COMPUTED_VALUE"""),45602.0)</f>
        <v>45602</v>
      </c>
      <c r="C426" s="12">
        <f>IFERROR(__xludf.DUMMYFUNCTION("""COMPUTED_VALUE"""),216.0)</f>
        <v>216</v>
      </c>
      <c r="D426" s="12">
        <f>IFERROR(__xludf.DUMMYFUNCTION("""COMPUTED_VALUE"""),18.0)</f>
        <v>18</v>
      </c>
      <c r="E426" s="12">
        <f>IFERROR(__xludf.DUMMYFUNCTION("""COMPUTED_VALUE"""),1.0)</f>
        <v>1</v>
      </c>
      <c r="F426" s="12">
        <f>IFERROR(__xludf.DUMMYFUNCTION("""COMPUTED_VALUE"""),5.0)</f>
        <v>5</v>
      </c>
      <c r="G426" s="15" t="str">
        <f>IFERROR(__xludf.DUMMYFUNCTION("""COMPUTED_VALUE"""),"Completa")</f>
        <v>Completa</v>
      </c>
      <c r="H426" s="16" t="str">
        <f t="array" ref="H426">_xlfn.XLOOKUP(D426,Productos[ID_Producto],Productos[Nombre_Producto])</f>
        <v>Bananas</v>
      </c>
      <c r="I426" s="17">
        <f t="array" ref="I426">_xlfn.XLOOKUP(D426,Productos[ID_Producto],Productos[Precio_Unitario])</f>
        <v>7.25</v>
      </c>
      <c r="J426" s="17">
        <f t="shared" si="1"/>
        <v>7.25</v>
      </c>
      <c r="K426" s="16" t="str">
        <f t="array" ref="K426">_xlfn.XLOOKUP(C426,Clientes[ID_Cliente],Clientes[Provincia])</f>
        <v>Córdoba</v>
      </c>
      <c r="L426" s="16" t="str">
        <f t="array" ref="L426">CONCATENATE(_xlfn.XLOOKUP(C426,Clientes[ID_Cliente],Clientes[Provincia]),", Argentina")</f>
        <v>Córdoba, Argentina</v>
      </c>
      <c r="M426" s="20" t="str">
        <f t="array" ref="M426">_xlfn.XLOOKUP(F426,Metodos_De_Pago[ID_Metodo],Metodos_De_Pago[Metodo])</f>
        <v>Transferencia</v>
      </c>
      <c r="N426" s="20" t="str">
        <f t="shared" si="2"/>
        <v>2024 11</v>
      </c>
    </row>
    <row r="427" ht="22.5" customHeight="1">
      <c r="A427" s="12">
        <f>IFERROR(__xludf.DUMMYFUNCTION("""COMPUTED_VALUE"""),101.0)</f>
        <v>101</v>
      </c>
      <c r="B427" s="13">
        <f>IFERROR(__xludf.DUMMYFUNCTION("""COMPUTED_VALUE"""),45603.0)</f>
        <v>45603</v>
      </c>
      <c r="C427" s="12">
        <f>IFERROR(__xludf.DUMMYFUNCTION("""COMPUTED_VALUE"""),281.0)</f>
        <v>281</v>
      </c>
      <c r="D427" s="12">
        <f>IFERROR(__xludf.DUMMYFUNCTION("""COMPUTED_VALUE"""),36.0)</f>
        <v>36</v>
      </c>
      <c r="E427" s="12">
        <f>IFERROR(__xludf.DUMMYFUNCTION("""COMPUTED_VALUE"""),1.0)</f>
        <v>1</v>
      </c>
      <c r="F427" s="12">
        <f>IFERROR(__xludf.DUMMYFUNCTION("""COMPUTED_VALUE"""),5.0)</f>
        <v>5</v>
      </c>
      <c r="G427" s="15" t="str">
        <f>IFERROR(__xludf.DUMMYFUNCTION("""COMPUTED_VALUE"""),"Completa")</f>
        <v>Completa</v>
      </c>
      <c r="H427" s="16" t="str">
        <f t="array" ref="H427">_xlfn.XLOOKUP(D427,Productos[ID_Producto],Productos[Nombre_Producto])</f>
        <v>Lentejas</v>
      </c>
      <c r="I427" s="17">
        <f t="array" ref="I427">_xlfn.XLOOKUP(D427,Productos[ID_Producto],Productos[Precio_Unitario])</f>
        <v>3.25</v>
      </c>
      <c r="J427" s="17">
        <f t="shared" si="1"/>
        <v>3.25</v>
      </c>
      <c r="K427" s="16" t="str">
        <f t="array" ref="K427">_xlfn.XLOOKUP(C427,Clientes[ID_Cliente],Clientes[Provincia])</f>
        <v>Buenos Aires</v>
      </c>
      <c r="L427" s="16" t="str">
        <f t="array" ref="L427">CONCATENATE(_xlfn.XLOOKUP(C427,Clientes[ID_Cliente],Clientes[Provincia]),", Argentina")</f>
        <v>Buenos Aires, Argentina</v>
      </c>
      <c r="M427" s="20" t="str">
        <f t="array" ref="M427">_xlfn.XLOOKUP(F427,Metodos_De_Pago[ID_Metodo],Metodos_De_Pago[Metodo])</f>
        <v>Transferencia</v>
      </c>
      <c r="N427" s="20" t="str">
        <f t="shared" si="2"/>
        <v>2024 11</v>
      </c>
    </row>
    <row r="428" ht="22.5" customHeight="1">
      <c r="A428" s="12">
        <f>IFERROR(__xludf.DUMMYFUNCTION("""COMPUTED_VALUE"""),1418.0)</f>
        <v>1418</v>
      </c>
      <c r="B428" s="13">
        <f>IFERROR(__xludf.DUMMYFUNCTION("""COMPUTED_VALUE"""),45603.0)</f>
        <v>45603</v>
      </c>
      <c r="C428" s="12">
        <f>IFERROR(__xludf.DUMMYFUNCTION("""COMPUTED_VALUE"""),111.0)</f>
        <v>111</v>
      </c>
      <c r="D428" s="12">
        <f>IFERROR(__xludf.DUMMYFUNCTION("""COMPUTED_VALUE"""),37.0)</f>
        <v>37</v>
      </c>
      <c r="E428" s="12">
        <f>IFERROR(__xludf.DUMMYFUNCTION("""COMPUTED_VALUE"""),1.0)</f>
        <v>1</v>
      </c>
      <c r="F428" s="12">
        <f>IFERROR(__xludf.DUMMYFUNCTION("""COMPUTED_VALUE"""),5.0)</f>
        <v>5</v>
      </c>
      <c r="G428" s="15" t="str">
        <f>IFERROR(__xludf.DUMMYFUNCTION("""COMPUTED_VALUE"""),"Pendiente")</f>
        <v>Pendiente</v>
      </c>
      <c r="H428" s="16" t="str">
        <f t="array" ref="H428">_xlfn.XLOOKUP(D428,Productos[ID_Producto],Productos[Nombre_Producto])</f>
        <v>Garbanzos</v>
      </c>
      <c r="I428" s="17">
        <f t="array" ref="I428">_xlfn.XLOOKUP(D428,Productos[ID_Producto],Productos[Precio_Unitario])</f>
        <v>3.65</v>
      </c>
      <c r="J428" s="17">
        <f t="shared" si="1"/>
        <v>3.65</v>
      </c>
      <c r="K428" s="16" t="str">
        <f t="array" ref="K428">_xlfn.XLOOKUP(C428,Clientes[ID_Cliente],Clientes[Provincia])</f>
        <v>San Luis</v>
      </c>
      <c r="L428" s="16" t="str">
        <f t="array" ref="L428">CONCATENATE(_xlfn.XLOOKUP(C428,Clientes[ID_Cliente],Clientes[Provincia]),", Argentina")</f>
        <v>San Luis, Argentina</v>
      </c>
      <c r="M428" s="20" t="str">
        <f t="array" ref="M428">_xlfn.XLOOKUP(F428,Metodos_De_Pago[ID_Metodo],Metodos_De_Pago[Metodo])</f>
        <v>Transferencia</v>
      </c>
      <c r="N428" s="20" t="str">
        <f t="shared" si="2"/>
        <v>2024 11</v>
      </c>
    </row>
    <row r="429" ht="22.5" customHeight="1">
      <c r="A429" s="12">
        <f>IFERROR(__xludf.DUMMYFUNCTION("""COMPUTED_VALUE"""),1982.0)</f>
        <v>1982</v>
      </c>
      <c r="B429" s="13">
        <f>IFERROR(__xludf.DUMMYFUNCTION("""COMPUTED_VALUE"""),45606.0)</f>
        <v>45606</v>
      </c>
      <c r="C429" s="12">
        <f>IFERROR(__xludf.DUMMYFUNCTION("""COMPUTED_VALUE"""),283.0)</f>
        <v>283</v>
      </c>
      <c r="D429" s="12">
        <f>IFERROR(__xludf.DUMMYFUNCTION("""COMPUTED_VALUE"""),26.0)</f>
        <v>26</v>
      </c>
      <c r="E429" s="12">
        <f>IFERROR(__xludf.DUMMYFUNCTION("""COMPUTED_VALUE"""),1.0)</f>
        <v>1</v>
      </c>
      <c r="F429" s="12">
        <f>IFERROR(__xludf.DUMMYFUNCTION("""COMPUTED_VALUE"""),3.0)</f>
        <v>3</v>
      </c>
      <c r="G429" s="15" t="str">
        <f>IFERROR(__xludf.DUMMYFUNCTION("""COMPUTED_VALUE"""),"Completa")</f>
        <v>Completa</v>
      </c>
      <c r="H429" s="16" t="str">
        <f t="array" ref="H429">_xlfn.XLOOKUP(D429,Productos[ID_Producto],Productos[Nombre_Producto])</f>
        <v>Hamburgesas congeladas</v>
      </c>
      <c r="I429" s="17">
        <f t="array" ref="I429">_xlfn.XLOOKUP(D429,Productos[ID_Producto],Productos[Precio_Unitario])</f>
        <v>9.54</v>
      </c>
      <c r="J429" s="17">
        <f t="shared" si="1"/>
        <v>9.54</v>
      </c>
      <c r="K429" s="16" t="str">
        <f t="array" ref="K429">_xlfn.XLOOKUP(C429,Clientes[ID_Cliente],Clientes[Provincia])</f>
        <v>Buenos Aires</v>
      </c>
      <c r="L429" s="16" t="str">
        <f t="array" ref="L429">CONCATENATE(_xlfn.XLOOKUP(C429,Clientes[ID_Cliente],Clientes[Provincia]),", Argentina")</f>
        <v>Buenos Aires, Argentina</v>
      </c>
      <c r="M429" s="20" t="str">
        <f t="array" ref="M429">_xlfn.XLOOKUP(F429,Metodos_De_Pago[ID_Metodo],Metodos_De_Pago[Metodo])</f>
        <v>Tarjeta de Débito</v>
      </c>
      <c r="N429" s="20" t="str">
        <f t="shared" si="2"/>
        <v>2024 11</v>
      </c>
    </row>
    <row r="430" ht="22.5" customHeight="1">
      <c r="A430" s="12">
        <f>IFERROR(__xludf.DUMMYFUNCTION("""COMPUTED_VALUE"""),1654.0)</f>
        <v>1654</v>
      </c>
      <c r="B430" s="13">
        <f>IFERROR(__xludf.DUMMYFUNCTION("""COMPUTED_VALUE"""),45608.0)</f>
        <v>45608</v>
      </c>
      <c r="C430" s="12">
        <f>IFERROR(__xludf.DUMMYFUNCTION("""COMPUTED_VALUE"""),183.0)</f>
        <v>183</v>
      </c>
      <c r="D430" s="12">
        <f>IFERROR(__xludf.DUMMYFUNCTION("""COMPUTED_VALUE"""),10.0)</f>
        <v>10</v>
      </c>
      <c r="E430" s="12">
        <f>IFERROR(__xludf.DUMMYFUNCTION("""COMPUTED_VALUE"""),1.0)</f>
        <v>1</v>
      </c>
      <c r="F430" s="12">
        <f>IFERROR(__xludf.DUMMYFUNCTION("""COMPUTED_VALUE"""),3.0)</f>
        <v>3</v>
      </c>
      <c r="G430" s="15" t="str">
        <f>IFERROR(__xludf.DUMMYFUNCTION("""COMPUTED_VALUE"""),"Cancelada")</f>
        <v>Cancelada</v>
      </c>
      <c r="H430" s="16" t="str">
        <f t="array" ref="H430">_xlfn.XLOOKUP(D430,Productos[ID_Producto],Productos[Nombre_Producto])</f>
        <v>Costilla de cerdo</v>
      </c>
      <c r="I430" s="17">
        <f t="array" ref="I430">_xlfn.XLOOKUP(D430,Productos[ID_Producto],Productos[Precio_Unitario])</f>
        <v>14.25</v>
      </c>
      <c r="J430" s="17">
        <f t="shared" si="1"/>
        <v>14.25</v>
      </c>
      <c r="K430" s="16" t="str">
        <f t="array" ref="K430">_xlfn.XLOOKUP(C430,Clientes[ID_Cliente],Clientes[Provincia])</f>
        <v>Neuquén</v>
      </c>
      <c r="L430" s="16" t="str">
        <f t="array" ref="L430">CONCATENATE(_xlfn.XLOOKUP(C430,Clientes[ID_Cliente],Clientes[Provincia]),", Argentina")</f>
        <v>Neuquén, Argentina</v>
      </c>
      <c r="M430" s="20" t="str">
        <f t="array" ref="M430">_xlfn.XLOOKUP(F430,Metodos_De_Pago[ID_Metodo],Metodos_De_Pago[Metodo])</f>
        <v>Tarjeta de Débito</v>
      </c>
      <c r="N430" s="20" t="str">
        <f t="shared" si="2"/>
        <v>2024 11</v>
      </c>
    </row>
    <row r="431" ht="22.5" customHeight="1">
      <c r="A431" s="12">
        <f>IFERROR(__xludf.DUMMYFUNCTION("""COMPUTED_VALUE"""),1927.0)</f>
        <v>1927</v>
      </c>
      <c r="B431" s="13">
        <f>IFERROR(__xludf.DUMMYFUNCTION("""COMPUTED_VALUE"""),45608.0)</f>
        <v>45608</v>
      </c>
      <c r="C431" s="12">
        <f>IFERROR(__xludf.DUMMYFUNCTION("""COMPUTED_VALUE"""),59.0)</f>
        <v>59</v>
      </c>
      <c r="D431" s="12">
        <f>IFERROR(__xludf.DUMMYFUNCTION("""COMPUTED_VALUE"""),18.0)</f>
        <v>18</v>
      </c>
      <c r="E431" s="12">
        <f>IFERROR(__xludf.DUMMYFUNCTION("""COMPUTED_VALUE"""),1.0)</f>
        <v>1</v>
      </c>
      <c r="F431" s="12">
        <f>IFERROR(__xludf.DUMMYFUNCTION("""COMPUTED_VALUE"""),5.0)</f>
        <v>5</v>
      </c>
      <c r="G431" s="15" t="str">
        <f>IFERROR(__xludf.DUMMYFUNCTION("""COMPUTED_VALUE"""),"Pendiente")</f>
        <v>Pendiente</v>
      </c>
      <c r="H431" s="16" t="str">
        <f t="array" ref="H431">_xlfn.XLOOKUP(D431,Productos[ID_Producto],Productos[Nombre_Producto])</f>
        <v>Bananas</v>
      </c>
      <c r="I431" s="17">
        <f t="array" ref="I431">_xlfn.XLOOKUP(D431,Productos[ID_Producto],Productos[Precio_Unitario])</f>
        <v>7.25</v>
      </c>
      <c r="J431" s="17">
        <f t="shared" si="1"/>
        <v>7.25</v>
      </c>
      <c r="K431" s="16" t="str">
        <f t="array" ref="K431">_xlfn.XLOOKUP(C431,Clientes[ID_Cliente],Clientes[Provincia])</f>
        <v>Córdoba</v>
      </c>
      <c r="L431" s="16" t="str">
        <f t="array" ref="L431">CONCATENATE(_xlfn.XLOOKUP(C431,Clientes[ID_Cliente],Clientes[Provincia]),", Argentina")</f>
        <v>Córdoba, Argentina</v>
      </c>
      <c r="M431" s="20" t="str">
        <f t="array" ref="M431">_xlfn.XLOOKUP(F431,Metodos_De_Pago[ID_Metodo],Metodos_De_Pago[Metodo])</f>
        <v>Transferencia</v>
      </c>
      <c r="N431" s="20" t="str">
        <f t="shared" si="2"/>
        <v>2024 11</v>
      </c>
    </row>
    <row r="432" ht="22.5" customHeight="1">
      <c r="A432" s="12">
        <f>IFERROR(__xludf.DUMMYFUNCTION("""COMPUTED_VALUE"""),2097.0)</f>
        <v>2097</v>
      </c>
      <c r="B432" s="13">
        <f>IFERROR(__xludf.DUMMYFUNCTION("""COMPUTED_VALUE"""),45608.0)</f>
        <v>45608</v>
      </c>
      <c r="C432" s="12">
        <f>IFERROR(__xludf.DUMMYFUNCTION("""COMPUTED_VALUE"""),296.0)</f>
        <v>296</v>
      </c>
      <c r="D432" s="12">
        <f>IFERROR(__xludf.DUMMYFUNCTION("""COMPUTED_VALUE"""),20.0)</f>
        <v>20</v>
      </c>
      <c r="E432" s="12">
        <f>IFERROR(__xludf.DUMMYFUNCTION("""COMPUTED_VALUE"""),1.0)</f>
        <v>1</v>
      </c>
      <c r="F432" s="12">
        <f>IFERROR(__xludf.DUMMYFUNCTION("""COMPUTED_VALUE"""),5.0)</f>
        <v>5</v>
      </c>
      <c r="G432" s="15" t="str">
        <f>IFERROR(__xludf.DUMMYFUNCTION("""COMPUTED_VALUE"""),"Completa")</f>
        <v>Completa</v>
      </c>
      <c r="H432" s="16" t="str">
        <f t="array" ref="H432">_xlfn.XLOOKUP(D432,Productos[ID_Producto],Productos[Nombre_Producto])</f>
        <v>Lechugas</v>
      </c>
      <c r="I432" s="17">
        <f t="array" ref="I432">_xlfn.XLOOKUP(D432,Productos[ID_Producto],Productos[Precio_Unitario])</f>
        <v>4.25</v>
      </c>
      <c r="J432" s="17">
        <f t="shared" si="1"/>
        <v>4.25</v>
      </c>
      <c r="K432" s="16" t="str">
        <f t="array" ref="K432">_xlfn.XLOOKUP(C432,Clientes[ID_Cliente],Clientes[Provincia])</f>
        <v>Buenos Aires</v>
      </c>
      <c r="L432" s="16" t="str">
        <f t="array" ref="L432">CONCATENATE(_xlfn.XLOOKUP(C432,Clientes[ID_Cliente],Clientes[Provincia]),", Argentina")</f>
        <v>Buenos Aires, Argentina</v>
      </c>
      <c r="M432" s="20" t="str">
        <f t="array" ref="M432">_xlfn.XLOOKUP(F432,Metodos_De_Pago[ID_Metodo],Metodos_De_Pago[Metodo])</f>
        <v>Transferencia</v>
      </c>
      <c r="N432" s="20" t="str">
        <f t="shared" si="2"/>
        <v>2024 11</v>
      </c>
    </row>
    <row r="433" ht="22.5" customHeight="1">
      <c r="A433" s="12">
        <f>IFERROR(__xludf.DUMMYFUNCTION("""COMPUTED_VALUE"""),1276.0)</f>
        <v>1276</v>
      </c>
      <c r="B433" s="13">
        <f>IFERROR(__xludf.DUMMYFUNCTION("""COMPUTED_VALUE"""),45609.0)</f>
        <v>45609</v>
      </c>
      <c r="C433" s="12">
        <f>IFERROR(__xludf.DUMMYFUNCTION("""COMPUTED_VALUE"""),99.0)</f>
        <v>99</v>
      </c>
      <c r="D433" s="12">
        <f>IFERROR(__xludf.DUMMYFUNCTION("""COMPUTED_VALUE"""),4.0)</f>
        <v>4</v>
      </c>
      <c r="E433" s="12">
        <f>IFERROR(__xludf.DUMMYFUNCTION("""COMPUTED_VALUE"""),1.0)</f>
        <v>1</v>
      </c>
      <c r="F433" s="12">
        <f>IFERROR(__xludf.DUMMYFUNCTION("""COMPUTED_VALUE"""),1.0)</f>
        <v>1</v>
      </c>
      <c r="G433" s="15" t="str">
        <f>IFERROR(__xludf.DUMMYFUNCTION("""COMPUTED_VALUE"""),"Completa")</f>
        <v>Completa</v>
      </c>
      <c r="H433" s="16" t="str">
        <f t="array" ref="H433">_xlfn.XLOOKUP(D433,Productos[ID_Producto],Productos[Nombre_Producto])</f>
        <v>Queso rallado</v>
      </c>
      <c r="I433" s="17">
        <f t="array" ref="I433">_xlfn.XLOOKUP(D433,Productos[ID_Producto],Productos[Precio_Unitario])</f>
        <v>19.23</v>
      </c>
      <c r="J433" s="17">
        <f t="shared" si="1"/>
        <v>19.23</v>
      </c>
      <c r="K433" s="16" t="str">
        <f t="array" ref="K433">_xlfn.XLOOKUP(C433,Clientes[ID_Cliente],Clientes[Provincia])</f>
        <v>Buenos Aires</v>
      </c>
      <c r="L433" s="16" t="str">
        <f t="array" ref="L433">CONCATENATE(_xlfn.XLOOKUP(C433,Clientes[ID_Cliente],Clientes[Provincia]),", Argentina")</f>
        <v>Buenos Aires, Argentina</v>
      </c>
      <c r="M433" s="20" t="str">
        <f t="array" ref="M433">_xlfn.XLOOKUP(F433,Metodos_De_Pago[ID_Metodo],Metodos_De_Pago[Metodo])</f>
        <v>Efectivo</v>
      </c>
      <c r="N433" s="20" t="str">
        <f t="shared" si="2"/>
        <v>2024 11</v>
      </c>
    </row>
    <row r="434" ht="22.5" customHeight="1">
      <c r="A434" s="12">
        <f>IFERROR(__xludf.DUMMYFUNCTION("""COMPUTED_VALUE"""),2167.0)</f>
        <v>2167</v>
      </c>
      <c r="B434" s="13">
        <f>IFERROR(__xludf.DUMMYFUNCTION("""COMPUTED_VALUE"""),45609.0)</f>
        <v>45609</v>
      </c>
      <c r="C434" s="12">
        <f>IFERROR(__xludf.DUMMYFUNCTION("""COMPUTED_VALUE"""),311.0)</f>
        <v>311</v>
      </c>
      <c r="D434" s="12">
        <f>IFERROR(__xludf.DUMMYFUNCTION("""COMPUTED_VALUE"""),27.0)</f>
        <v>27</v>
      </c>
      <c r="E434" s="12">
        <f>IFERROR(__xludf.DUMMYFUNCTION("""COMPUTED_VALUE"""),1.0)</f>
        <v>1</v>
      </c>
      <c r="F434" s="12">
        <f>IFERROR(__xludf.DUMMYFUNCTION("""COMPUTED_VALUE"""),3.0)</f>
        <v>3</v>
      </c>
      <c r="G434" s="15" t="str">
        <f>IFERROR(__xludf.DUMMYFUNCTION("""COMPUTED_VALUE"""),"Completa")</f>
        <v>Completa</v>
      </c>
      <c r="H434" s="16" t="str">
        <f t="array" ref="H434">_xlfn.XLOOKUP(D434,Productos[ID_Producto],Productos[Nombre_Producto])</f>
        <v>Agua mineral</v>
      </c>
      <c r="I434" s="17">
        <f t="array" ref="I434">_xlfn.XLOOKUP(D434,Productos[ID_Producto],Productos[Precio_Unitario])</f>
        <v>6.21</v>
      </c>
      <c r="J434" s="17">
        <f t="shared" si="1"/>
        <v>6.21</v>
      </c>
      <c r="K434" s="16" t="str">
        <f t="array" ref="K434">_xlfn.XLOOKUP(C434,Clientes[ID_Cliente],Clientes[Provincia])</f>
        <v>Buenos Aires</v>
      </c>
      <c r="L434" s="16" t="str">
        <f t="array" ref="L434">CONCATENATE(_xlfn.XLOOKUP(C434,Clientes[ID_Cliente],Clientes[Provincia]),", Argentina")</f>
        <v>Buenos Aires, Argentina</v>
      </c>
      <c r="M434" s="20" t="str">
        <f t="array" ref="M434">_xlfn.XLOOKUP(F434,Metodos_De_Pago[ID_Metodo],Metodos_De_Pago[Metodo])</f>
        <v>Tarjeta de Débito</v>
      </c>
      <c r="N434" s="20" t="str">
        <f t="shared" si="2"/>
        <v>2024 11</v>
      </c>
    </row>
    <row r="435" ht="22.5" customHeight="1">
      <c r="A435" s="12">
        <f>IFERROR(__xludf.DUMMYFUNCTION("""COMPUTED_VALUE"""),2506.0)</f>
        <v>2506</v>
      </c>
      <c r="B435" s="13">
        <f>IFERROR(__xludf.DUMMYFUNCTION("""COMPUTED_VALUE"""),45609.0)</f>
        <v>45609</v>
      </c>
      <c r="C435" s="12">
        <f>IFERROR(__xludf.DUMMYFUNCTION("""COMPUTED_VALUE"""),84.0)</f>
        <v>84</v>
      </c>
      <c r="D435" s="12">
        <f>IFERROR(__xludf.DUMMYFUNCTION("""COMPUTED_VALUE"""),26.0)</f>
        <v>26</v>
      </c>
      <c r="E435" s="12">
        <f>IFERROR(__xludf.DUMMYFUNCTION("""COMPUTED_VALUE"""),1.0)</f>
        <v>1</v>
      </c>
      <c r="F435" s="12">
        <f>IFERROR(__xludf.DUMMYFUNCTION("""COMPUTED_VALUE"""),4.0)</f>
        <v>4</v>
      </c>
      <c r="G435" s="15" t="str">
        <f>IFERROR(__xludf.DUMMYFUNCTION("""COMPUTED_VALUE"""),"Completa")</f>
        <v>Completa</v>
      </c>
      <c r="H435" s="16" t="str">
        <f t="array" ref="H435">_xlfn.XLOOKUP(D435,Productos[ID_Producto],Productos[Nombre_Producto])</f>
        <v>Hamburgesas congeladas</v>
      </c>
      <c r="I435" s="17">
        <f t="array" ref="I435">_xlfn.XLOOKUP(D435,Productos[ID_Producto],Productos[Precio_Unitario])</f>
        <v>9.54</v>
      </c>
      <c r="J435" s="17">
        <f t="shared" si="1"/>
        <v>9.54</v>
      </c>
      <c r="K435" s="16" t="str">
        <f t="array" ref="K435">_xlfn.XLOOKUP(C435,Clientes[ID_Cliente],Clientes[Provincia])</f>
        <v>Buenos Aires</v>
      </c>
      <c r="L435" s="16" t="str">
        <f t="array" ref="L435">CONCATENATE(_xlfn.XLOOKUP(C435,Clientes[ID_Cliente],Clientes[Provincia]),", Argentina")</f>
        <v>Buenos Aires, Argentina</v>
      </c>
      <c r="M435" s="20" t="str">
        <f t="array" ref="M435">_xlfn.XLOOKUP(F435,Metodos_De_Pago[ID_Metodo],Metodos_De_Pago[Metodo])</f>
        <v>Mercado Pago</v>
      </c>
      <c r="N435" s="20" t="str">
        <f t="shared" si="2"/>
        <v>2024 11</v>
      </c>
    </row>
    <row r="436" ht="22.5" customHeight="1">
      <c r="A436" s="12">
        <f>IFERROR(__xludf.DUMMYFUNCTION("""COMPUTED_VALUE"""),2062.0)</f>
        <v>2062</v>
      </c>
      <c r="B436" s="13">
        <f>IFERROR(__xludf.DUMMYFUNCTION("""COMPUTED_VALUE"""),45611.0)</f>
        <v>45611</v>
      </c>
      <c r="C436" s="12">
        <f>IFERROR(__xludf.DUMMYFUNCTION("""COMPUTED_VALUE"""),172.0)</f>
        <v>172</v>
      </c>
      <c r="D436" s="12">
        <f>IFERROR(__xludf.DUMMYFUNCTION("""COMPUTED_VALUE"""),28.0)</f>
        <v>28</v>
      </c>
      <c r="E436" s="12">
        <f>IFERROR(__xludf.DUMMYFUNCTION("""COMPUTED_VALUE"""),1.0)</f>
        <v>1</v>
      </c>
      <c r="F436" s="12">
        <f>IFERROR(__xludf.DUMMYFUNCTION("""COMPUTED_VALUE"""),4.0)</f>
        <v>4</v>
      </c>
      <c r="G436" s="15" t="str">
        <f>IFERROR(__xludf.DUMMYFUNCTION("""COMPUTED_VALUE"""),"Completa")</f>
        <v>Completa</v>
      </c>
      <c r="H436" s="16" t="str">
        <f t="array" ref="H436">_xlfn.XLOOKUP(D436,Productos[ID_Producto],Productos[Nombre_Producto])</f>
        <v>Jugos de frutas</v>
      </c>
      <c r="I436" s="17">
        <f t="array" ref="I436">_xlfn.XLOOKUP(D436,Productos[ID_Producto],Productos[Precio_Unitario])</f>
        <v>9.45</v>
      </c>
      <c r="J436" s="17">
        <f t="shared" si="1"/>
        <v>9.45</v>
      </c>
      <c r="K436" s="16" t="str">
        <f t="array" ref="K436">_xlfn.XLOOKUP(C436,Clientes[ID_Cliente],Clientes[Provincia])</f>
        <v>Buenos Aires</v>
      </c>
      <c r="L436" s="16" t="str">
        <f t="array" ref="L436">CONCATENATE(_xlfn.XLOOKUP(C436,Clientes[ID_Cliente],Clientes[Provincia]),", Argentina")</f>
        <v>Buenos Aires, Argentina</v>
      </c>
      <c r="M436" s="20" t="str">
        <f t="array" ref="M436">_xlfn.XLOOKUP(F436,Metodos_De_Pago[ID_Metodo],Metodos_De_Pago[Metodo])</f>
        <v>Mercado Pago</v>
      </c>
      <c r="N436" s="20" t="str">
        <f t="shared" si="2"/>
        <v>2024 11</v>
      </c>
    </row>
    <row r="437" ht="22.5" customHeight="1">
      <c r="A437" s="12">
        <f>IFERROR(__xludf.DUMMYFUNCTION("""COMPUTED_VALUE"""),747.0)</f>
        <v>747</v>
      </c>
      <c r="B437" s="13">
        <f>IFERROR(__xludf.DUMMYFUNCTION("""COMPUTED_VALUE"""),45612.0)</f>
        <v>45612</v>
      </c>
      <c r="C437" s="12">
        <f>IFERROR(__xludf.DUMMYFUNCTION("""COMPUTED_VALUE"""),84.0)</f>
        <v>84</v>
      </c>
      <c r="D437" s="12">
        <f>IFERROR(__xludf.DUMMYFUNCTION("""COMPUTED_VALUE"""),21.0)</f>
        <v>21</v>
      </c>
      <c r="E437" s="12">
        <f>IFERROR(__xludf.DUMMYFUNCTION("""COMPUTED_VALUE"""),1.0)</f>
        <v>1</v>
      </c>
      <c r="F437" s="12">
        <f>IFERROR(__xludf.DUMMYFUNCTION("""COMPUTED_VALUE"""),5.0)</f>
        <v>5</v>
      </c>
      <c r="G437" s="15" t="str">
        <f>IFERROR(__xludf.DUMMYFUNCTION("""COMPUTED_VALUE"""),"Completa")</f>
        <v>Completa</v>
      </c>
      <c r="H437" s="16" t="str">
        <f t="array" ref="H437">_xlfn.XLOOKUP(D437,Productos[ID_Producto],Productos[Nombre_Producto])</f>
        <v>Zanahorias</v>
      </c>
      <c r="I437" s="17">
        <f t="array" ref="I437">_xlfn.XLOOKUP(D437,Productos[ID_Producto],Productos[Precio_Unitario])</f>
        <v>3.25</v>
      </c>
      <c r="J437" s="17">
        <f t="shared" si="1"/>
        <v>3.25</v>
      </c>
      <c r="K437" s="16" t="str">
        <f t="array" ref="K437">_xlfn.XLOOKUP(C437,Clientes[ID_Cliente],Clientes[Provincia])</f>
        <v>Buenos Aires</v>
      </c>
      <c r="L437" s="16" t="str">
        <f t="array" ref="L437">CONCATENATE(_xlfn.XLOOKUP(C437,Clientes[ID_Cliente],Clientes[Provincia]),", Argentina")</f>
        <v>Buenos Aires, Argentina</v>
      </c>
      <c r="M437" s="20" t="str">
        <f t="array" ref="M437">_xlfn.XLOOKUP(F437,Metodos_De_Pago[ID_Metodo],Metodos_De_Pago[Metodo])</f>
        <v>Transferencia</v>
      </c>
      <c r="N437" s="20" t="str">
        <f t="shared" si="2"/>
        <v>2024 11</v>
      </c>
    </row>
    <row r="438" ht="22.5" customHeight="1">
      <c r="A438" s="12">
        <f>IFERROR(__xludf.DUMMYFUNCTION("""COMPUTED_VALUE"""),2207.0)</f>
        <v>2207</v>
      </c>
      <c r="B438" s="13">
        <f>IFERROR(__xludf.DUMMYFUNCTION("""COMPUTED_VALUE"""),45612.0)</f>
        <v>45612</v>
      </c>
      <c r="C438" s="12">
        <f>IFERROR(__xludf.DUMMYFUNCTION("""COMPUTED_VALUE"""),149.0)</f>
        <v>149</v>
      </c>
      <c r="D438" s="12">
        <f>IFERROR(__xludf.DUMMYFUNCTION("""COMPUTED_VALUE"""),17.0)</f>
        <v>17</v>
      </c>
      <c r="E438" s="12">
        <f>IFERROR(__xludf.DUMMYFUNCTION("""COMPUTED_VALUE"""),1.0)</f>
        <v>1</v>
      </c>
      <c r="F438" s="12">
        <f>IFERROR(__xludf.DUMMYFUNCTION("""COMPUTED_VALUE"""),4.0)</f>
        <v>4</v>
      </c>
      <c r="G438" s="15" t="str">
        <f>IFERROR(__xludf.DUMMYFUNCTION("""COMPUTED_VALUE"""),"Pendiente")</f>
        <v>Pendiente</v>
      </c>
      <c r="H438" s="16" t="str">
        <f t="array" ref="H438">_xlfn.XLOOKUP(D438,Productos[ID_Producto],Productos[Nombre_Producto])</f>
        <v>Manzanas</v>
      </c>
      <c r="I438" s="17">
        <f t="array" ref="I438">_xlfn.XLOOKUP(D438,Productos[ID_Producto],Productos[Precio_Unitario])</f>
        <v>6.54</v>
      </c>
      <c r="J438" s="17">
        <f t="shared" si="1"/>
        <v>6.54</v>
      </c>
      <c r="K438" s="16" t="str">
        <f t="array" ref="K438">_xlfn.XLOOKUP(C438,Clientes[ID_Cliente],Clientes[Provincia])</f>
        <v>San Luis</v>
      </c>
      <c r="L438" s="16" t="str">
        <f t="array" ref="L438">CONCATENATE(_xlfn.XLOOKUP(C438,Clientes[ID_Cliente],Clientes[Provincia]),", Argentina")</f>
        <v>San Luis, Argentina</v>
      </c>
      <c r="M438" s="20" t="str">
        <f t="array" ref="M438">_xlfn.XLOOKUP(F438,Metodos_De_Pago[ID_Metodo],Metodos_De_Pago[Metodo])</f>
        <v>Mercado Pago</v>
      </c>
      <c r="N438" s="20" t="str">
        <f t="shared" si="2"/>
        <v>2024 11</v>
      </c>
    </row>
    <row r="439" ht="22.5" customHeight="1">
      <c r="A439" s="12">
        <f>IFERROR(__xludf.DUMMYFUNCTION("""COMPUTED_VALUE"""),2867.0)</f>
        <v>2867</v>
      </c>
      <c r="B439" s="13">
        <f>IFERROR(__xludf.DUMMYFUNCTION("""COMPUTED_VALUE"""),45612.0)</f>
        <v>45612</v>
      </c>
      <c r="C439" s="12">
        <f>IFERROR(__xludf.DUMMYFUNCTION("""COMPUTED_VALUE"""),7.0)</f>
        <v>7</v>
      </c>
      <c r="D439" s="12">
        <f>IFERROR(__xludf.DUMMYFUNCTION("""COMPUTED_VALUE"""),17.0)</f>
        <v>17</v>
      </c>
      <c r="E439" s="12">
        <f>IFERROR(__xludf.DUMMYFUNCTION("""COMPUTED_VALUE"""),1.0)</f>
        <v>1</v>
      </c>
      <c r="F439" s="12">
        <f>IFERROR(__xludf.DUMMYFUNCTION("""COMPUTED_VALUE"""),1.0)</f>
        <v>1</v>
      </c>
      <c r="G439" s="15" t="str">
        <f>IFERROR(__xludf.DUMMYFUNCTION("""COMPUTED_VALUE"""),"Completa")</f>
        <v>Completa</v>
      </c>
      <c r="H439" s="16" t="str">
        <f t="array" ref="H439">_xlfn.XLOOKUP(D439,Productos[ID_Producto],Productos[Nombre_Producto])</f>
        <v>Manzanas</v>
      </c>
      <c r="I439" s="17">
        <f t="array" ref="I439">_xlfn.XLOOKUP(D439,Productos[ID_Producto],Productos[Precio_Unitario])</f>
        <v>6.54</v>
      </c>
      <c r="J439" s="17">
        <f t="shared" si="1"/>
        <v>6.54</v>
      </c>
      <c r="K439" s="16" t="str">
        <f t="array" ref="K439">_xlfn.XLOOKUP(C439,Clientes[ID_Cliente],Clientes[Provincia])</f>
        <v>San Luis</v>
      </c>
      <c r="L439" s="16" t="str">
        <f t="array" ref="L439">CONCATENATE(_xlfn.XLOOKUP(C439,Clientes[ID_Cliente],Clientes[Provincia]),", Argentina")</f>
        <v>San Luis, Argentina</v>
      </c>
      <c r="M439" s="20" t="str">
        <f t="array" ref="M439">_xlfn.XLOOKUP(F439,Metodos_De_Pago[ID_Metodo],Metodos_De_Pago[Metodo])</f>
        <v>Efectivo</v>
      </c>
      <c r="N439" s="20" t="str">
        <f t="shared" si="2"/>
        <v>2024 11</v>
      </c>
    </row>
    <row r="440" ht="22.5" customHeight="1">
      <c r="A440" s="12">
        <f>IFERROR(__xludf.DUMMYFUNCTION("""COMPUTED_VALUE"""),1892.0)</f>
        <v>1892</v>
      </c>
      <c r="B440" s="13">
        <f>IFERROR(__xludf.DUMMYFUNCTION("""COMPUTED_VALUE"""),45613.0)</f>
        <v>45613</v>
      </c>
      <c r="C440" s="12">
        <f>IFERROR(__xludf.DUMMYFUNCTION("""COMPUTED_VALUE"""),222.0)</f>
        <v>222</v>
      </c>
      <c r="D440" s="12">
        <f>IFERROR(__xludf.DUMMYFUNCTION("""COMPUTED_VALUE"""),13.0)</f>
        <v>13</v>
      </c>
      <c r="E440" s="12">
        <f>IFERROR(__xludf.DUMMYFUNCTION("""COMPUTED_VALUE"""),1.0)</f>
        <v>1</v>
      </c>
      <c r="F440" s="12">
        <f>IFERROR(__xludf.DUMMYFUNCTION("""COMPUTED_VALUE"""),4.0)</f>
        <v>4</v>
      </c>
      <c r="G440" s="15" t="str">
        <f>IFERROR(__xludf.DUMMYFUNCTION("""COMPUTED_VALUE"""),"Completa")</f>
        <v>Completa</v>
      </c>
      <c r="H440" s="16" t="str">
        <f t="array" ref="H440">_xlfn.XLOOKUP(D440,Productos[ID_Producto],Productos[Nombre_Producto])</f>
        <v>Pan integral</v>
      </c>
      <c r="I440" s="17">
        <f t="array" ref="I440">_xlfn.XLOOKUP(D440,Productos[ID_Producto],Productos[Precio_Unitario])</f>
        <v>12.56</v>
      </c>
      <c r="J440" s="17">
        <f t="shared" si="1"/>
        <v>12.56</v>
      </c>
      <c r="K440" s="16" t="str">
        <f t="array" ref="K440">_xlfn.XLOOKUP(C440,Clientes[ID_Cliente],Clientes[Provincia])</f>
        <v>Córdoba</v>
      </c>
      <c r="L440" s="16" t="str">
        <f t="array" ref="L440">CONCATENATE(_xlfn.XLOOKUP(C440,Clientes[ID_Cliente],Clientes[Provincia]),", Argentina")</f>
        <v>Córdoba, Argentina</v>
      </c>
      <c r="M440" s="20" t="str">
        <f t="array" ref="M440">_xlfn.XLOOKUP(F440,Metodos_De_Pago[ID_Metodo],Metodos_De_Pago[Metodo])</f>
        <v>Mercado Pago</v>
      </c>
      <c r="N440" s="20" t="str">
        <f t="shared" si="2"/>
        <v>2024 11</v>
      </c>
    </row>
    <row r="441" ht="22.5" customHeight="1">
      <c r="A441" s="12">
        <f>IFERROR(__xludf.DUMMYFUNCTION("""COMPUTED_VALUE"""),1993.0)</f>
        <v>1993</v>
      </c>
      <c r="B441" s="13">
        <f>IFERROR(__xludf.DUMMYFUNCTION("""COMPUTED_VALUE"""),45613.0)</f>
        <v>45613</v>
      </c>
      <c r="C441" s="12">
        <f>IFERROR(__xludf.DUMMYFUNCTION("""COMPUTED_VALUE"""),99.0)</f>
        <v>99</v>
      </c>
      <c r="D441" s="12">
        <f>IFERROR(__xludf.DUMMYFUNCTION("""COMPUTED_VALUE"""),31.0)</f>
        <v>31</v>
      </c>
      <c r="E441" s="12">
        <f>IFERROR(__xludf.DUMMYFUNCTION("""COMPUTED_VALUE"""),1.0)</f>
        <v>1</v>
      </c>
      <c r="F441" s="12">
        <f>IFERROR(__xludf.DUMMYFUNCTION("""COMPUTED_VALUE"""),1.0)</f>
        <v>1</v>
      </c>
      <c r="G441" s="15" t="str">
        <f>IFERROR(__xludf.DUMMYFUNCTION("""COMPUTED_VALUE"""),"Completa")</f>
        <v>Completa</v>
      </c>
      <c r="H441" s="16" t="str">
        <f t="array" ref="H441">_xlfn.XLOOKUP(D441,Productos[ID_Producto],Productos[Nombre_Producto])</f>
        <v>Galletitas de agua</v>
      </c>
      <c r="I441" s="17">
        <f t="array" ref="I441">_xlfn.XLOOKUP(D441,Productos[ID_Producto],Productos[Precio_Unitario])</f>
        <v>5.24</v>
      </c>
      <c r="J441" s="17">
        <f t="shared" si="1"/>
        <v>5.24</v>
      </c>
      <c r="K441" s="16" t="str">
        <f t="array" ref="K441">_xlfn.XLOOKUP(C441,Clientes[ID_Cliente],Clientes[Provincia])</f>
        <v>Buenos Aires</v>
      </c>
      <c r="L441" s="16" t="str">
        <f t="array" ref="L441">CONCATENATE(_xlfn.XLOOKUP(C441,Clientes[ID_Cliente],Clientes[Provincia]),", Argentina")</f>
        <v>Buenos Aires, Argentina</v>
      </c>
      <c r="M441" s="20" t="str">
        <f t="array" ref="M441">_xlfn.XLOOKUP(F441,Metodos_De_Pago[ID_Metodo],Metodos_De_Pago[Metodo])</f>
        <v>Efectivo</v>
      </c>
      <c r="N441" s="20" t="str">
        <f t="shared" si="2"/>
        <v>2024 11</v>
      </c>
    </row>
    <row r="442" ht="22.5" customHeight="1">
      <c r="A442" s="12">
        <f>IFERROR(__xludf.DUMMYFUNCTION("""COMPUTED_VALUE"""),2456.0)</f>
        <v>2456</v>
      </c>
      <c r="B442" s="13">
        <f>IFERROR(__xludf.DUMMYFUNCTION("""COMPUTED_VALUE"""),45613.0)</f>
        <v>45613</v>
      </c>
      <c r="C442" s="12">
        <f>IFERROR(__xludf.DUMMYFUNCTION("""COMPUTED_VALUE"""),243.0)</f>
        <v>243</v>
      </c>
      <c r="D442" s="12">
        <f>IFERROR(__xludf.DUMMYFUNCTION("""COMPUTED_VALUE"""),37.0)</f>
        <v>37</v>
      </c>
      <c r="E442" s="12">
        <f>IFERROR(__xludf.DUMMYFUNCTION("""COMPUTED_VALUE"""),1.0)</f>
        <v>1</v>
      </c>
      <c r="F442" s="12">
        <f>IFERROR(__xludf.DUMMYFUNCTION("""COMPUTED_VALUE"""),1.0)</f>
        <v>1</v>
      </c>
      <c r="G442" s="15" t="str">
        <f>IFERROR(__xludf.DUMMYFUNCTION("""COMPUTED_VALUE"""),"Pendiente")</f>
        <v>Pendiente</v>
      </c>
      <c r="H442" s="16" t="str">
        <f t="array" ref="H442">_xlfn.XLOOKUP(D442,Productos[ID_Producto],Productos[Nombre_Producto])</f>
        <v>Garbanzos</v>
      </c>
      <c r="I442" s="17">
        <f t="array" ref="I442">_xlfn.XLOOKUP(D442,Productos[ID_Producto],Productos[Precio_Unitario])</f>
        <v>3.65</v>
      </c>
      <c r="J442" s="17">
        <f t="shared" si="1"/>
        <v>3.65</v>
      </c>
      <c r="K442" s="16" t="str">
        <f t="array" ref="K442">_xlfn.XLOOKUP(C442,Clientes[ID_Cliente],Clientes[Provincia])</f>
        <v>Buenos Aires</v>
      </c>
      <c r="L442" s="16" t="str">
        <f t="array" ref="L442">CONCATENATE(_xlfn.XLOOKUP(C442,Clientes[ID_Cliente],Clientes[Provincia]),", Argentina")</f>
        <v>Buenos Aires, Argentina</v>
      </c>
      <c r="M442" s="20" t="str">
        <f t="array" ref="M442">_xlfn.XLOOKUP(F442,Metodos_De_Pago[ID_Metodo],Metodos_De_Pago[Metodo])</f>
        <v>Efectivo</v>
      </c>
      <c r="N442" s="20" t="str">
        <f t="shared" si="2"/>
        <v>2024 11</v>
      </c>
    </row>
    <row r="443" ht="22.5" customHeight="1">
      <c r="A443" s="12">
        <f>IFERROR(__xludf.DUMMYFUNCTION("""COMPUTED_VALUE"""),2343.0)</f>
        <v>2343</v>
      </c>
      <c r="B443" s="13">
        <f>IFERROR(__xludf.DUMMYFUNCTION("""COMPUTED_VALUE"""),45614.0)</f>
        <v>45614</v>
      </c>
      <c r="C443" s="12">
        <f>IFERROR(__xludf.DUMMYFUNCTION("""COMPUTED_VALUE"""),263.0)</f>
        <v>263</v>
      </c>
      <c r="D443" s="12">
        <f>IFERROR(__xludf.DUMMYFUNCTION("""COMPUTED_VALUE"""),11.0)</f>
        <v>11</v>
      </c>
      <c r="E443" s="12">
        <f>IFERROR(__xludf.DUMMYFUNCTION("""COMPUTED_VALUE"""),1.0)</f>
        <v>1</v>
      </c>
      <c r="F443" s="12">
        <f>IFERROR(__xludf.DUMMYFUNCTION("""COMPUTED_VALUE"""),3.0)</f>
        <v>3</v>
      </c>
      <c r="G443" s="15" t="str">
        <f>IFERROR(__xludf.DUMMYFUNCTION("""COMPUTED_VALUE"""),"Completa")</f>
        <v>Completa</v>
      </c>
      <c r="H443" s="16" t="str">
        <f t="array" ref="H443">_xlfn.XLOOKUP(D443,Productos[ID_Producto],Productos[Nombre_Producto])</f>
        <v>Salchicha</v>
      </c>
      <c r="I443" s="17">
        <f t="array" ref="I443">_xlfn.XLOOKUP(D443,Productos[ID_Producto],Productos[Precio_Unitario])</f>
        <v>11.23</v>
      </c>
      <c r="J443" s="17">
        <f t="shared" si="1"/>
        <v>11.23</v>
      </c>
      <c r="K443" s="16" t="str">
        <f t="array" ref="K443">_xlfn.XLOOKUP(C443,Clientes[ID_Cliente],Clientes[Provincia])</f>
        <v>Buenos Aires</v>
      </c>
      <c r="L443" s="16" t="str">
        <f t="array" ref="L443">CONCATENATE(_xlfn.XLOOKUP(C443,Clientes[ID_Cliente],Clientes[Provincia]),", Argentina")</f>
        <v>Buenos Aires, Argentina</v>
      </c>
      <c r="M443" s="20" t="str">
        <f t="array" ref="M443">_xlfn.XLOOKUP(F443,Metodos_De_Pago[ID_Metodo],Metodos_De_Pago[Metodo])</f>
        <v>Tarjeta de Débito</v>
      </c>
      <c r="N443" s="20" t="str">
        <f t="shared" si="2"/>
        <v>2024 11</v>
      </c>
    </row>
    <row r="444" ht="22.5" customHeight="1">
      <c r="A444" s="12">
        <f>IFERROR(__xludf.DUMMYFUNCTION("""COMPUTED_VALUE"""),2742.0)</f>
        <v>2742</v>
      </c>
      <c r="B444" s="13">
        <f>IFERROR(__xludf.DUMMYFUNCTION("""COMPUTED_VALUE"""),45614.0)</f>
        <v>45614</v>
      </c>
      <c r="C444" s="12">
        <f>IFERROR(__xludf.DUMMYFUNCTION("""COMPUTED_VALUE"""),25.0)</f>
        <v>25</v>
      </c>
      <c r="D444" s="12">
        <f>IFERROR(__xludf.DUMMYFUNCTION("""COMPUTED_VALUE"""),3.0)</f>
        <v>3</v>
      </c>
      <c r="E444" s="12">
        <f>IFERROR(__xludf.DUMMYFUNCTION("""COMPUTED_VALUE"""),1.0)</f>
        <v>1</v>
      </c>
      <c r="F444" s="12">
        <f>IFERROR(__xludf.DUMMYFUNCTION("""COMPUTED_VALUE"""),3.0)</f>
        <v>3</v>
      </c>
      <c r="G444" s="15" t="str">
        <f>IFERROR(__xludf.DUMMYFUNCTION("""COMPUTED_VALUE"""),"Completa")</f>
        <v>Completa</v>
      </c>
      <c r="H444" s="16" t="str">
        <f t="array" ref="H444">_xlfn.XLOOKUP(D444,Productos[ID_Producto],Productos[Nombre_Producto])</f>
        <v>Queso cremoso</v>
      </c>
      <c r="I444" s="17">
        <f t="array" ref="I444">_xlfn.XLOOKUP(D444,Productos[ID_Producto],Productos[Precio_Unitario])</f>
        <v>17.23</v>
      </c>
      <c r="J444" s="17">
        <f t="shared" si="1"/>
        <v>17.23</v>
      </c>
      <c r="K444" s="16" t="str">
        <f t="array" ref="K444">_xlfn.XLOOKUP(C444,Clientes[ID_Cliente],Clientes[Provincia])</f>
        <v>Neuquén</v>
      </c>
      <c r="L444" s="16" t="str">
        <f t="array" ref="L444">CONCATENATE(_xlfn.XLOOKUP(C444,Clientes[ID_Cliente],Clientes[Provincia]),", Argentina")</f>
        <v>Neuquén, Argentina</v>
      </c>
      <c r="M444" s="20" t="str">
        <f t="array" ref="M444">_xlfn.XLOOKUP(F444,Metodos_De_Pago[ID_Metodo],Metodos_De_Pago[Metodo])</f>
        <v>Tarjeta de Débito</v>
      </c>
      <c r="N444" s="20" t="str">
        <f t="shared" si="2"/>
        <v>2024 11</v>
      </c>
    </row>
    <row r="445" ht="22.5" customHeight="1">
      <c r="A445" s="12">
        <f>IFERROR(__xludf.DUMMYFUNCTION("""COMPUTED_VALUE"""),2428.0)</f>
        <v>2428</v>
      </c>
      <c r="B445" s="13">
        <f>IFERROR(__xludf.DUMMYFUNCTION("""COMPUTED_VALUE"""),45615.0)</f>
        <v>45615</v>
      </c>
      <c r="C445" s="12">
        <f>IFERROR(__xludf.DUMMYFUNCTION("""COMPUTED_VALUE"""),319.0)</f>
        <v>319</v>
      </c>
      <c r="D445" s="12">
        <f>IFERROR(__xludf.DUMMYFUNCTION("""COMPUTED_VALUE"""),5.0)</f>
        <v>5</v>
      </c>
      <c r="E445" s="12">
        <f>IFERROR(__xludf.DUMMYFUNCTION("""COMPUTED_VALUE"""),1.0)</f>
        <v>1</v>
      </c>
      <c r="F445" s="12">
        <f>IFERROR(__xludf.DUMMYFUNCTION("""COMPUTED_VALUE"""),1.0)</f>
        <v>1</v>
      </c>
      <c r="G445" s="15" t="str">
        <f>IFERROR(__xludf.DUMMYFUNCTION("""COMPUTED_VALUE"""),"Pendiente")</f>
        <v>Pendiente</v>
      </c>
      <c r="H445" s="16" t="str">
        <f t="array" ref="H445">_xlfn.XLOOKUP(D445,Productos[ID_Producto],Productos[Nombre_Producto])</f>
        <v>Manteca</v>
      </c>
      <c r="I445" s="17">
        <f t="array" ref="I445">_xlfn.XLOOKUP(D445,Productos[ID_Producto],Productos[Precio_Unitario])</f>
        <v>5.65</v>
      </c>
      <c r="J445" s="17">
        <f t="shared" si="1"/>
        <v>5.65</v>
      </c>
      <c r="K445" s="16" t="str">
        <f t="array" ref="K445">_xlfn.XLOOKUP(C445,Clientes[ID_Cliente],Clientes[Provincia])</f>
        <v>Neuquén</v>
      </c>
      <c r="L445" s="16" t="str">
        <f t="array" ref="L445">CONCATENATE(_xlfn.XLOOKUP(C445,Clientes[ID_Cliente],Clientes[Provincia]),", Argentina")</f>
        <v>Neuquén, Argentina</v>
      </c>
      <c r="M445" s="20" t="str">
        <f t="array" ref="M445">_xlfn.XLOOKUP(F445,Metodos_De_Pago[ID_Metodo],Metodos_De_Pago[Metodo])</f>
        <v>Efectivo</v>
      </c>
      <c r="N445" s="20" t="str">
        <f t="shared" si="2"/>
        <v>2024 11</v>
      </c>
    </row>
    <row r="446" ht="22.5" customHeight="1">
      <c r="A446" s="12">
        <f>IFERROR(__xludf.DUMMYFUNCTION("""COMPUTED_VALUE"""),16.0)</f>
        <v>16</v>
      </c>
      <c r="B446" s="13">
        <f>IFERROR(__xludf.DUMMYFUNCTION("""COMPUTED_VALUE"""),45616.0)</f>
        <v>45616</v>
      </c>
      <c r="C446" s="12">
        <f>IFERROR(__xludf.DUMMYFUNCTION("""COMPUTED_VALUE"""),106.0)</f>
        <v>106</v>
      </c>
      <c r="D446" s="12">
        <f>IFERROR(__xludf.DUMMYFUNCTION("""COMPUTED_VALUE"""),3.0)</f>
        <v>3</v>
      </c>
      <c r="E446" s="12">
        <f>IFERROR(__xludf.DUMMYFUNCTION("""COMPUTED_VALUE"""),1.0)</f>
        <v>1</v>
      </c>
      <c r="F446" s="12">
        <f>IFERROR(__xludf.DUMMYFUNCTION("""COMPUTED_VALUE"""),5.0)</f>
        <v>5</v>
      </c>
      <c r="G446" s="15" t="str">
        <f>IFERROR(__xludf.DUMMYFUNCTION("""COMPUTED_VALUE"""),"Pendiente")</f>
        <v>Pendiente</v>
      </c>
      <c r="H446" s="16" t="str">
        <f t="array" ref="H446">_xlfn.XLOOKUP(D446,Productos[ID_Producto],Productos[Nombre_Producto])</f>
        <v>Queso cremoso</v>
      </c>
      <c r="I446" s="17">
        <f t="array" ref="I446">_xlfn.XLOOKUP(D446,Productos[ID_Producto],Productos[Precio_Unitario])</f>
        <v>17.23</v>
      </c>
      <c r="J446" s="17">
        <f t="shared" si="1"/>
        <v>17.23</v>
      </c>
      <c r="K446" s="16" t="str">
        <f t="array" ref="K446">_xlfn.XLOOKUP(C446,Clientes[ID_Cliente],Clientes[Provincia])</f>
        <v>Chaco</v>
      </c>
      <c r="L446" s="16" t="str">
        <f t="array" ref="L446">CONCATENATE(_xlfn.XLOOKUP(C446,Clientes[ID_Cliente],Clientes[Provincia]),", Argentina")</f>
        <v>Chaco, Argentina</v>
      </c>
      <c r="M446" s="20" t="str">
        <f t="array" ref="M446">_xlfn.XLOOKUP(F446,Metodos_De_Pago[ID_Metodo],Metodos_De_Pago[Metodo])</f>
        <v>Transferencia</v>
      </c>
      <c r="N446" s="20" t="str">
        <f t="shared" si="2"/>
        <v>2024 11</v>
      </c>
    </row>
    <row r="447" ht="22.5" customHeight="1">
      <c r="A447" s="12">
        <f>IFERROR(__xludf.DUMMYFUNCTION("""COMPUTED_VALUE"""),718.0)</f>
        <v>718</v>
      </c>
      <c r="B447" s="13">
        <f>IFERROR(__xludf.DUMMYFUNCTION("""COMPUTED_VALUE"""),45616.0)</f>
        <v>45616</v>
      </c>
      <c r="C447" s="12">
        <f>IFERROR(__xludf.DUMMYFUNCTION("""COMPUTED_VALUE"""),292.0)</f>
        <v>292</v>
      </c>
      <c r="D447" s="12">
        <f>IFERROR(__xludf.DUMMYFUNCTION("""COMPUTED_VALUE"""),17.0)</f>
        <v>17</v>
      </c>
      <c r="E447" s="12">
        <f>IFERROR(__xludf.DUMMYFUNCTION("""COMPUTED_VALUE"""),1.0)</f>
        <v>1</v>
      </c>
      <c r="F447" s="12">
        <f>IFERROR(__xludf.DUMMYFUNCTION("""COMPUTED_VALUE"""),1.0)</f>
        <v>1</v>
      </c>
      <c r="G447" s="15" t="str">
        <f>IFERROR(__xludf.DUMMYFUNCTION("""COMPUTED_VALUE"""),"Completa")</f>
        <v>Completa</v>
      </c>
      <c r="H447" s="16" t="str">
        <f t="array" ref="H447">_xlfn.XLOOKUP(D447,Productos[ID_Producto],Productos[Nombre_Producto])</f>
        <v>Manzanas</v>
      </c>
      <c r="I447" s="17">
        <f t="array" ref="I447">_xlfn.XLOOKUP(D447,Productos[ID_Producto],Productos[Precio_Unitario])</f>
        <v>6.54</v>
      </c>
      <c r="J447" s="17">
        <f t="shared" si="1"/>
        <v>6.54</v>
      </c>
      <c r="K447" s="16" t="str">
        <f t="array" ref="K447">_xlfn.XLOOKUP(C447,Clientes[ID_Cliente],Clientes[Provincia])</f>
        <v>Neuquén</v>
      </c>
      <c r="L447" s="16" t="str">
        <f t="array" ref="L447">CONCATENATE(_xlfn.XLOOKUP(C447,Clientes[ID_Cliente],Clientes[Provincia]),", Argentina")</f>
        <v>Neuquén, Argentina</v>
      </c>
      <c r="M447" s="20" t="str">
        <f t="array" ref="M447">_xlfn.XLOOKUP(F447,Metodos_De_Pago[ID_Metodo],Metodos_De_Pago[Metodo])</f>
        <v>Efectivo</v>
      </c>
      <c r="N447" s="20" t="str">
        <f t="shared" si="2"/>
        <v>2024 11</v>
      </c>
    </row>
    <row r="448" ht="22.5" customHeight="1">
      <c r="A448" s="12">
        <f>IFERROR(__xludf.DUMMYFUNCTION("""COMPUTED_VALUE"""),2637.0)</f>
        <v>2637</v>
      </c>
      <c r="B448" s="13">
        <f>IFERROR(__xludf.DUMMYFUNCTION("""COMPUTED_VALUE"""),45616.0)</f>
        <v>45616</v>
      </c>
      <c r="C448" s="12">
        <f>IFERROR(__xludf.DUMMYFUNCTION("""COMPUTED_VALUE"""),316.0)</f>
        <v>316</v>
      </c>
      <c r="D448" s="12">
        <f>IFERROR(__xludf.DUMMYFUNCTION("""COMPUTED_VALUE"""),26.0)</f>
        <v>26</v>
      </c>
      <c r="E448" s="12">
        <f>IFERROR(__xludf.DUMMYFUNCTION("""COMPUTED_VALUE"""),1.0)</f>
        <v>1</v>
      </c>
      <c r="F448" s="12">
        <f>IFERROR(__xludf.DUMMYFUNCTION("""COMPUTED_VALUE"""),1.0)</f>
        <v>1</v>
      </c>
      <c r="G448" s="15" t="str">
        <f>IFERROR(__xludf.DUMMYFUNCTION("""COMPUTED_VALUE"""),"Completa")</f>
        <v>Completa</v>
      </c>
      <c r="H448" s="16" t="str">
        <f t="array" ref="H448">_xlfn.XLOOKUP(D448,Productos[ID_Producto],Productos[Nombre_Producto])</f>
        <v>Hamburgesas congeladas</v>
      </c>
      <c r="I448" s="17">
        <f t="array" ref="I448">_xlfn.XLOOKUP(D448,Productos[ID_Producto],Productos[Precio_Unitario])</f>
        <v>9.54</v>
      </c>
      <c r="J448" s="17">
        <f t="shared" si="1"/>
        <v>9.54</v>
      </c>
      <c r="K448" s="16" t="str">
        <f t="array" ref="K448">_xlfn.XLOOKUP(C448,Clientes[ID_Cliente],Clientes[Provincia])</f>
        <v>Córdoba</v>
      </c>
      <c r="L448" s="16" t="str">
        <f t="array" ref="L448">CONCATENATE(_xlfn.XLOOKUP(C448,Clientes[ID_Cliente],Clientes[Provincia]),", Argentina")</f>
        <v>Córdoba, Argentina</v>
      </c>
      <c r="M448" s="20" t="str">
        <f t="array" ref="M448">_xlfn.XLOOKUP(F448,Metodos_De_Pago[ID_Metodo],Metodos_De_Pago[Metodo])</f>
        <v>Efectivo</v>
      </c>
      <c r="N448" s="20" t="str">
        <f t="shared" si="2"/>
        <v>2024 11</v>
      </c>
    </row>
    <row r="449" ht="22.5" customHeight="1">
      <c r="A449" s="12">
        <f>IFERROR(__xludf.DUMMYFUNCTION("""COMPUTED_VALUE"""),1554.0)</f>
        <v>1554</v>
      </c>
      <c r="B449" s="13">
        <f>IFERROR(__xludf.DUMMYFUNCTION("""COMPUTED_VALUE"""),45617.0)</f>
        <v>45617</v>
      </c>
      <c r="C449" s="12">
        <f>IFERROR(__xludf.DUMMYFUNCTION("""COMPUTED_VALUE"""),212.0)</f>
        <v>212</v>
      </c>
      <c r="D449" s="12">
        <f>IFERROR(__xludf.DUMMYFUNCTION("""COMPUTED_VALUE"""),33.0)</f>
        <v>33</v>
      </c>
      <c r="E449" s="12">
        <f>IFERROR(__xludf.DUMMYFUNCTION("""COMPUTED_VALUE"""),1.0)</f>
        <v>1</v>
      </c>
      <c r="F449" s="12">
        <f>IFERROR(__xludf.DUMMYFUNCTION("""COMPUTED_VALUE"""),1.0)</f>
        <v>1</v>
      </c>
      <c r="G449" s="15" t="str">
        <f>IFERROR(__xludf.DUMMYFUNCTION("""COMPUTED_VALUE"""),"Completa")</f>
        <v>Completa</v>
      </c>
      <c r="H449" s="16" t="str">
        <f t="array" ref="H449">_xlfn.XLOOKUP(D449,Productos[ID_Producto],Productos[Nombre_Producto])</f>
        <v>Papas chips</v>
      </c>
      <c r="I449" s="17">
        <f t="array" ref="I449">_xlfn.XLOOKUP(D449,Productos[ID_Producto],Productos[Precio_Unitario])</f>
        <v>8.54</v>
      </c>
      <c r="J449" s="17">
        <f t="shared" si="1"/>
        <v>8.54</v>
      </c>
      <c r="K449" s="16" t="str">
        <f t="array" ref="K449">_xlfn.XLOOKUP(C449,Clientes[ID_Cliente],Clientes[Provincia])</f>
        <v>Buenos Aires</v>
      </c>
      <c r="L449" s="16" t="str">
        <f t="array" ref="L449">CONCATENATE(_xlfn.XLOOKUP(C449,Clientes[ID_Cliente],Clientes[Provincia]),", Argentina")</f>
        <v>Buenos Aires, Argentina</v>
      </c>
      <c r="M449" s="20" t="str">
        <f t="array" ref="M449">_xlfn.XLOOKUP(F449,Metodos_De_Pago[ID_Metodo],Metodos_De_Pago[Metodo])</f>
        <v>Efectivo</v>
      </c>
      <c r="N449" s="20" t="str">
        <f t="shared" si="2"/>
        <v>2024 11</v>
      </c>
    </row>
    <row r="450" ht="22.5" customHeight="1">
      <c r="A450" s="12">
        <f>IFERROR(__xludf.DUMMYFUNCTION("""COMPUTED_VALUE"""),2001.0)</f>
        <v>2001</v>
      </c>
      <c r="B450" s="13">
        <f>IFERROR(__xludf.DUMMYFUNCTION("""COMPUTED_VALUE"""),45617.0)</f>
        <v>45617</v>
      </c>
      <c r="C450" s="12">
        <f>IFERROR(__xludf.DUMMYFUNCTION("""COMPUTED_VALUE"""),271.0)</f>
        <v>271</v>
      </c>
      <c r="D450" s="12">
        <f>IFERROR(__xludf.DUMMYFUNCTION("""COMPUTED_VALUE"""),6.0)</f>
        <v>6</v>
      </c>
      <c r="E450" s="12">
        <f>IFERROR(__xludf.DUMMYFUNCTION("""COMPUTED_VALUE"""),1.0)</f>
        <v>1</v>
      </c>
      <c r="F450" s="12">
        <f>IFERROR(__xludf.DUMMYFUNCTION("""COMPUTED_VALUE"""),4.0)</f>
        <v>4</v>
      </c>
      <c r="G450" s="15" t="str">
        <f>IFERROR(__xludf.DUMMYFUNCTION("""COMPUTED_VALUE"""),"Completa")</f>
        <v>Completa</v>
      </c>
      <c r="H450" s="16" t="str">
        <f t="array" ref="H450">_xlfn.XLOOKUP(D450,Productos[ID_Producto],Productos[Nombre_Producto])</f>
        <v>Asado</v>
      </c>
      <c r="I450" s="17">
        <f t="array" ref="I450">_xlfn.XLOOKUP(D450,Productos[ID_Producto],Productos[Precio_Unitario])</f>
        <v>28.56</v>
      </c>
      <c r="J450" s="17">
        <f t="shared" si="1"/>
        <v>28.56</v>
      </c>
      <c r="K450" s="16" t="str">
        <f t="array" ref="K450">_xlfn.XLOOKUP(C450,Clientes[ID_Cliente],Clientes[Provincia])</f>
        <v>Neuquén</v>
      </c>
      <c r="L450" s="16" t="str">
        <f t="array" ref="L450">CONCATENATE(_xlfn.XLOOKUP(C450,Clientes[ID_Cliente],Clientes[Provincia]),", Argentina")</f>
        <v>Neuquén, Argentina</v>
      </c>
      <c r="M450" s="20" t="str">
        <f t="array" ref="M450">_xlfn.XLOOKUP(F450,Metodos_De_Pago[ID_Metodo],Metodos_De_Pago[Metodo])</f>
        <v>Mercado Pago</v>
      </c>
      <c r="N450" s="20" t="str">
        <f t="shared" si="2"/>
        <v>2024 11</v>
      </c>
    </row>
    <row r="451" ht="22.5" customHeight="1">
      <c r="A451" s="12">
        <f>IFERROR(__xludf.DUMMYFUNCTION("""COMPUTED_VALUE"""),1178.0)</f>
        <v>1178</v>
      </c>
      <c r="B451" s="13">
        <f>IFERROR(__xludf.DUMMYFUNCTION("""COMPUTED_VALUE"""),45619.0)</f>
        <v>45619</v>
      </c>
      <c r="C451" s="12">
        <f>IFERROR(__xludf.DUMMYFUNCTION("""COMPUTED_VALUE"""),249.0)</f>
        <v>249</v>
      </c>
      <c r="D451" s="12">
        <f>IFERROR(__xludf.DUMMYFUNCTION("""COMPUTED_VALUE"""),32.0)</f>
        <v>32</v>
      </c>
      <c r="E451" s="12">
        <f>IFERROR(__xludf.DUMMYFUNCTION("""COMPUTED_VALUE"""),1.0)</f>
        <v>1</v>
      </c>
      <c r="F451" s="12">
        <f>IFERROR(__xludf.DUMMYFUNCTION("""COMPUTED_VALUE"""),5.0)</f>
        <v>5</v>
      </c>
      <c r="G451" s="15" t="str">
        <f>IFERROR(__xludf.DUMMYFUNCTION("""COMPUTED_VALUE"""),"Pendiente")</f>
        <v>Pendiente</v>
      </c>
      <c r="H451" s="16" t="str">
        <f t="array" ref="H451">_xlfn.XLOOKUP(D451,Productos[ID_Producto],Productos[Nombre_Producto])</f>
        <v>Galletitas de chocolate</v>
      </c>
      <c r="I451" s="17">
        <f t="array" ref="I451">_xlfn.XLOOKUP(D451,Productos[ID_Producto],Productos[Precio_Unitario])</f>
        <v>6.25</v>
      </c>
      <c r="J451" s="17">
        <f t="shared" si="1"/>
        <v>6.25</v>
      </c>
      <c r="K451" s="16" t="str">
        <f t="array" ref="K451">_xlfn.XLOOKUP(C451,Clientes[ID_Cliente],Clientes[Provincia])</f>
        <v>Buenos Aires</v>
      </c>
      <c r="L451" s="16" t="str">
        <f t="array" ref="L451">CONCATENATE(_xlfn.XLOOKUP(C451,Clientes[ID_Cliente],Clientes[Provincia]),", Argentina")</f>
        <v>Buenos Aires, Argentina</v>
      </c>
      <c r="M451" s="20" t="str">
        <f t="array" ref="M451">_xlfn.XLOOKUP(F451,Metodos_De_Pago[ID_Metodo],Metodos_De_Pago[Metodo])</f>
        <v>Transferencia</v>
      </c>
      <c r="N451" s="20" t="str">
        <f t="shared" si="2"/>
        <v>2024 11</v>
      </c>
    </row>
    <row r="452" ht="22.5" customHeight="1">
      <c r="A452" s="12">
        <f>IFERROR(__xludf.DUMMYFUNCTION("""COMPUTED_VALUE"""),1630.0)</f>
        <v>1630</v>
      </c>
      <c r="B452" s="13">
        <f>IFERROR(__xludf.DUMMYFUNCTION("""COMPUTED_VALUE"""),45619.0)</f>
        <v>45619</v>
      </c>
      <c r="C452" s="12">
        <f>IFERROR(__xludf.DUMMYFUNCTION("""COMPUTED_VALUE"""),317.0)</f>
        <v>317</v>
      </c>
      <c r="D452" s="12">
        <f>IFERROR(__xludf.DUMMYFUNCTION("""COMPUTED_VALUE"""),7.0)</f>
        <v>7</v>
      </c>
      <c r="E452" s="12">
        <f>IFERROR(__xludf.DUMMYFUNCTION("""COMPUTED_VALUE"""),1.0)</f>
        <v>1</v>
      </c>
      <c r="F452" s="12">
        <f>IFERROR(__xludf.DUMMYFUNCTION("""COMPUTED_VALUE"""),1.0)</f>
        <v>1</v>
      </c>
      <c r="G452" s="15" t="str">
        <f>IFERROR(__xludf.DUMMYFUNCTION("""COMPUTED_VALUE"""),"Completa")</f>
        <v>Completa</v>
      </c>
      <c r="H452" s="16" t="str">
        <f t="array" ref="H452">_xlfn.XLOOKUP(D452,Productos[ID_Producto],Productos[Nombre_Producto])</f>
        <v>Chorizo</v>
      </c>
      <c r="I452" s="17">
        <f t="array" ref="I452">_xlfn.XLOOKUP(D452,Productos[ID_Producto],Productos[Precio_Unitario])</f>
        <v>11.25</v>
      </c>
      <c r="J452" s="17">
        <f t="shared" si="1"/>
        <v>11.25</v>
      </c>
      <c r="K452" s="16" t="str">
        <f t="array" ref="K452">_xlfn.XLOOKUP(C452,Clientes[ID_Cliente],Clientes[Provincia])</f>
        <v>Chaco</v>
      </c>
      <c r="L452" s="16" t="str">
        <f t="array" ref="L452">CONCATENATE(_xlfn.XLOOKUP(C452,Clientes[ID_Cliente],Clientes[Provincia]),", Argentina")</f>
        <v>Chaco, Argentina</v>
      </c>
      <c r="M452" s="20" t="str">
        <f t="array" ref="M452">_xlfn.XLOOKUP(F452,Metodos_De_Pago[ID_Metodo],Metodos_De_Pago[Metodo])</f>
        <v>Efectivo</v>
      </c>
      <c r="N452" s="20" t="str">
        <f t="shared" si="2"/>
        <v>2024 11</v>
      </c>
    </row>
    <row r="453" ht="22.5" customHeight="1">
      <c r="A453" s="12">
        <f>IFERROR(__xludf.DUMMYFUNCTION("""COMPUTED_VALUE"""),1697.0)</f>
        <v>1697</v>
      </c>
      <c r="B453" s="13">
        <f>IFERROR(__xludf.DUMMYFUNCTION("""COMPUTED_VALUE"""),45620.0)</f>
        <v>45620</v>
      </c>
      <c r="C453" s="12">
        <f>IFERROR(__xludf.DUMMYFUNCTION("""COMPUTED_VALUE"""),173.0)</f>
        <v>173</v>
      </c>
      <c r="D453" s="12">
        <f>IFERROR(__xludf.DUMMYFUNCTION("""COMPUTED_VALUE"""),13.0)</f>
        <v>13</v>
      </c>
      <c r="E453" s="12">
        <f>IFERROR(__xludf.DUMMYFUNCTION("""COMPUTED_VALUE"""),1.0)</f>
        <v>1</v>
      </c>
      <c r="F453" s="12">
        <f>IFERROR(__xludf.DUMMYFUNCTION("""COMPUTED_VALUE"""),5.0)</f>
        <v>5</v>
      </c>
      <c r="G453" s="15" t="str">
        <f>IFERROR(__xludf.DUMMYFUNCTION("""COMPUTED_VALUE"""),"Pendiente")</f>
        <v>Pendiente</v>
      </c>
      <c r="H453" s="16" t="str">
        <f t="array" ref="H453">_xlfn.XLOOKUP(D453,Productos[ID_Producto],Productos[Nombre_Producto])</f>
        <v>Pan integral</v>
      </c>
      <c r="I453" s="17">
        <f t="array" ref="I453">_xlfn.XLOOKUP(D453,Productos[ID_Producto],Productos[Precio_Unitario])</f>
        <v>12.56</v>
      </c>
      <c r="J453" s="17">
        <f t="shared" si="1"/>
        <v>12.56</v>
      </c>
      <c r="K453" s="16" t="str">
        <f t="array" ref="K453">_xlfn.XLOOKUP(C453,Clientes[ID_Cliente],Clientes[Provincia])</f>
        <v>Neuquén</v>
      </c>
      <c r="L453" s="16" t="str">
        <f t="array" ref="L453">CONCATENATE(_xlfn.XLOOKUP(C453,Clientes[ID_Cliente],Clientes[Provincia]),", Argentina")</f>
        <v>Neuquén, Argentina</v>
      </c>
      <c r="M453" s="20" t="str">
        <f t="array" ref="M453">_xlfn.XLOOKUP(F453,Metodos_De_Pago[ID_Metodo],Metodos_De_Pago[Metodo])</f>
        <v>Transferencia</v>
      </c>
      <c r="N453" s="20" t="str">
        <f t="shared" si="2"/>
        <v>2024 11</v>
      </c>
    </row>
    <row r="454" ht="22.5" customHeight="1">
      <c r="A454" s="12">
        <f>IFERROR(__xludf.DUMMYFUNCTION("""COMPUTED_VALUE"""),1953.0)</f>
        <v>1953</v>
      </c>
      <c r="B454" s="13">
        <f>IFERROR(__xludf.DUMMYFUNCTION("""COMPUTED_VALUE"""),45620.0)</f>
        <v>45620</v>
      </c>
      <c r="C454" s="12">
        <f>IFERROR(__xludf.DUMMYFUNCTION("""COMPUTED_VALUE"""),71.0)</f>
        <v>71</v>
      </c>
      <c r="D454" s="12">
        <f>IFERROR(__xludf.DUMMYFUNCTION("""COMPUTED_VALUE"""),32.0)</f>
        <v>32</v>
      </c>
      <c r="E454" s="12">
        <f>IFERROR(__xludf.DUMMYFUNCTION("""COMPUTED_VALUE"""),1.0)</f>
        <v>1</v>
      </c>
      <c r="F454" s="12">
        <f>IFERROR(__xludf.DUMMYFUNCTION("""COMPUTED_VALUE"""),5.0)</f>
        <v>5</v>
      </c>
      <c r="G454" s="15" t="str">
        <f>IFERROR(__xludf.DUMMYFUNCTION("""COMPUTED_VALUE"""),"Completa")</f>
        <v>Completa</v>
      </c>
      <c r="H454" s="16" t="str">
        <f t="array" ref="H454">_xlfn.XLOOKUP(D454,Productos[ID_Producto],Productos[Nombre_Producto])</f>
        <v>Galletitas de chocolate</v>
      </c>
      <c r="I454" s="17">
        <f t="array" ref="I454">_xlfn.XLOOKUP(D454,Productos[ID_Producto],Productos[Precio_Unitario])</f>
        <v>6.25</v>
      </c>
      <c r="J454" s="17">
        <f t="shared" si="1"/>
        <v>6.25</v>
      </c>
      <c r="K454" s="16" t="str">
        <f t="array" ref="K454">_xlfn.XLOOKUP(C454,Clientes[ID_Cliente],Clientes[Provincia])</f>
        <v>Buenos Aires</v>
      </c>
      <c r="L454" s="16" t="str">
        <f t="array" ref="L454">CONCATENATE(_xlfn.XLOOKUP(C454,Clientes[ID_Cliente],Clientes[Provincia]),", Argentina")</f>
        <v>Buenos Aires, Argentina</v>
      </c>
      <c r="M454" s="20" t="str">
        <f t="array" ref="M454">_xlfn.XLOOKUP(F454,Metodos_De_Pago[ID_Metodo],Metodos_De_Pago[Metodo])</f>
        <v>Transferencia</v>
      </c>
      <c r="N454" s="20" t="str">
        <f t="shared" si="2"/>
        <v>2024 11</v>
      </c>
    </row>
    <row r="455" ht="22.5" customHeight="1">
      <c r="A455" s="12">
        <f>IFERROR(__xludf.DUMMYFUNCTION("""COMPUTED_VALUE"""),440.0)</f>
        <v>440</v>
      </c>
      <c r="B455" s="13">
        <f>IFERROR(__xludf.DUMMYFUNCTION("""COMPUTED_VALUE"""),45621.0)</f>
        <v>45621</v>
      </c>
      <c r="C455" s="12">
        <f>IFERROR(__xludf.DUMMYFUNCTION("""COMPUTED_VALUE"""),269.0)</f>
        <v>269</v>
      </c>
      <c r="D455" s="12">
        <f>IFERROR(__xludf.DUMMYFUNCTION("""COMPUTED_VALUE"""),30.0)</f>
        <v>30</v>
      </c>
      <c r="E455" s="12">
        <f>IFERROR(__xludf.DUMMYFUNCTION("""COMPUTED_VALUE"""),1.0)</f>
        <v>1</v>
      </c>
      <c r="F455" s="12">
        <f>IFERROR(__xludf.DUMMYFUNCTION("""COMPUTED_VALUE"""),3.0)</f>
        <v>3</v>
      </c>
      <c r="G455" s="15" t="str">
        <f>IFERROR(__xludf.DUMMYFUNCTION("""COMPUTED_VALUE"""),"Completa")</f>
        <v>Completa</v>
      </c>
      <c r="H455" s="16" t="str">
        <f t="array" ref="H455">_xlfn.XLOOKUP(D455,Productos[ID_Producto],Productos[Nombre_Producto])</f>
        <v>Vino tinto</v>
      </c>
      <c r="I455" s="17">
        <f t="array" ref="I455">_xlfn.XLOOKUP(D455,Productos[ID_Producto],Productos[Precio_Unitario])</f>
        <v>13.54</v>
      </c>
      <c r="J455" s="17">
        <f t="shared" si="1"/>
        <v>13.54</v>
      </c>
      <c r="K455" s="16" t="str">
        <f t="array" ref="K455">_xlfn.XLOOKUP(C455,Clientes[ID_Cliente],Clientes[Provincia])</f>
        <v>Córdoba</v>
      </c>
      <c r="L455" s="16" t="str">
        <f t="array" ref="L455">CONCATENATE(_xlfn.XLOOKUP(C455,Clientes[ID_Cliente],Clientes[Provincia]),", Argentina")</f>
        <v>Córdoba, Argentina</v>
      </c>
      <c r="M455" s="20" t="str">
        <f t="array" ref="M455">_xlfn.XLOOKUP(F455,Metodos_De_Pago[ID_Metodo],Metodos_De_Pago[Metodo])</f>
        <v>Tarjeta de Débito</v>
      </c>
      <c r="N455" s="20" t="str">
        <f t="shared" si="2"/>
        <v>2024 11</v>
      </c>
    </row>
    <row r="456" ht="22.5" customHeight="1">
      <c r="A456" s="12">
        <f>IFERROR(__xludf.DUMMYFUNCTION("""COMPUTED_VALUE"""),2939.0)</f>
        <v>2939</v>
      </c>
      <c r="B456" s="13">
        <f>IFERROR(__xludf.DUMMYFUNCTION("""COMPUTED_VALUE"""),45622.0)</f>
        <v>45622</v>
      </c>
      <c r="C456" s="12">
        <f>IFERROR(__xludf.DUMMYFUNCTION("""COMPUTED_VALUE"""),279.0)</f>
        <v>279</v>
      </c>
      <c r="D456" s="12">
        <f>IFERROR(__xludf.DUMMYFUNCTION("""COMPUTED_VALUE"""),34.0)</f>
        <v>34</v>
      </c>
      <c r="E456" s="12">
        <f>IFERROR(__xludf.DUMMYFUNCTION("""COMPUTED_VALUE"""),1.0)</f>
        <v>1</v>
      </c>
      <c r="F456" s="12">
        <f>IFERROR(__xludf.DUMMYFUNCTION("""COMPUTED_VALUE"""),5.0)</f>
        <v>5</v>
      </c>
      <c r="G456" s="15" t="str">
        <f>IFERROR(__xludf.DUMMYFUNCTION("""COMPUTED_VALUE"""),"Completa")</f>
        <v>Completa</v>
      </c>
      <c r="H456" s="16" t="str">
        <f t="array" ref="H456">_xlfn.XLOOKUP(D456,Productos[ID_Producto],Productos[Nombre_Producto])</f>
        <v>Maníes</v>
      </c>
      <c r="I456" s="17">
        <f t="array" ref="I456">_xlfn.XLOOKUP(D456,Productos[ID_Producto],Productos[Precio_Unitario])</f>
        <v>5.45</v>
      </c>
      <c r="J456" s="17">
        <f t="shared" si="1"/>
        <v>5.45</v>
      </c>
      <c r="K456" s="16" t="str">
        <f t="array" ref="K456">_xlfn.XLOOKUP(C456,Clientes[ID_Cliente],Clientes[Provincia])</f>
        <v>Córdoba</v>
      </c>
      <c r="L456" s="16" t="str">
        <f t="array" ref="L456">CONCATENATE(_xlfn.XLOOKUP(C456,Clientes[ID_Cliente],Clientes[Provincia]),", Argentina")</f>
        <v>Córdoba, Argentina</v>
      </c>
      <c r="M456" s="20" t="str">
        <f t="array" ref="M456">_xlfn.XLOOKUP(F456,Metodos_De_Pago[ID_Metodo],Metodos_De_Pago[Metodo])</f>
        <v>Transferencia</v>
      </c>
      <c r="N456" s="20" t="str">
        <f t="shared" si="2"/>
        <v>2024 11</v>
      </c>
    </row>
    <row r="457" ht="22.5" customHeight="1">
      <c r="A457" s="12">
        <f>IFERROR(__xludf.DUMMYFUNCTION("""COMPUTED_VALUE"""),2998.0)</f>
        <v>2998</v>
      </c>
      <c r="B457" s="13">
        <f>IFERROR(__xludf.DUMMYFUNCTION("""COMPUTED_VALUE"""),45623.0)</f>
        <v>45623</v>
      </c>
      <c r="C457" s="12">
        <f>IFERROR(__xludf.DUMMYFUNCTION("""COMPUTED_VALUE"""),228.0)</f>
        <v>228</v>
      </c>
      <c r="D457" s="12">
        <f>IFERROR(__xludf.DUMMYFUNCTION("""COMPUTED_VALUE"""),22.0)</f>
        <v>22</v>
      </c>
      <c r="E457" s="12">
        <f>IFERROR(__xludf.DUMMYFUNCTION("""COMPUTED_VALUE"""),1.0)</f>
        <v>1</v>
      </c>
      <c r="F457" s="12">
        <f>IFERROR(__xludf.DUMMYFUNCTION("""COMPUTED_VALUE"""),1.0)</f>
        <v>1</v>
      </c>
      <c r="G457" s="15" t="str">
        <f>IFERROR(__xludf.DUMMYFUNCTION("""COMPUTED_VALUE"""),"Completa")</f>
        <v>Completa</v>
      </c>
      <c r="H457" s="16" t="str">
        <f t="array" ref="H457">_xlfn.XLOOKUP(D457,Productos[ID_Producto],Productos[Nombre_Producto])</f>
        <v>Cebolla</v>
      </c>
      <c r="I457" s="17">
        <f t="array" ref="I457">_xlfn.XLOOKUP(D457,Productos[ID_Producto],Productos[Precio_Unitario])</f>
        <v>4.21</v>
      </c>
      <c r="J457" s="17">
        <f t="shared" si="1"/>
        <v>4.21</v>
      </c>
      <c r="K457" s="16" t="str">
        <f t="array" ref="K457">_xlfn.XLOOKUP(C457,Clientes[ID_Cliente],Clientes[Provincia])</f>
        <v>Córdoba</v>
      </c>
      <c r="L457" s="16" t="str">
        <f t="array" ref="L457">CONCATENATE(_xlfn.XLOOKUP(C457,Clientes[ID_Cliente],Clientes[Provincia]),", Argentina")</f>
        <v>Córdoba, Argentina</v>
      </c>
      <c r="M457" s="20" t="str">
        <f t="array" ref="M457">_xlfn.XLOOKUP(F457,Metodos_De_Pago[ID_Metodo],Metodos_De_Pago[Metodo])</f>
        <v>Efectivo</v>
      </c>
      <c r="N457" s="20" t="str">
        <f t="shared" si="2"/>
        <v>2024 11</v>
      </c>
    </row>
    <row r="458" ht="22.5" customHeight="1">
      <c r="A458" s="12">
        <f>IFERROR(__xludf.DUMMYFUNCTION("""COMPUTED_VALUE"""),2764.0)</f>
        <v>2764</v>
      </c>
      <c r="B458" s="13">
        <f>IFERROR(__xludf.DUMMYFUNCTION("""COMPUTED_VALUE"""),45626.0)</f>
        <v>45626</v>
      </c>
      <c r="C458" s="12">
        <f>IFERROR(__xludf.DUMMYFUNCTION("""COMPUTED_VALUE"""),50.0)</f>
        <v>50</v>
      </c>
      <c r="D458" s="12">
        <f>IFERROR(__xludf.DUMMYFUNCTION("""COMPUTED_VALUE"""),1.0)</f>
        <v>1</v>
      </c>
      <c r="E458" s="12">
        <f>IFERROR(__xludf.DUMMYFUNCTION("""COMPUTED_VALUE"""),1.0)</f>
        <v>1</v>
      </c>
      <c r="F458" s="12">
        <f>IFERROR(__xludf.DUMMYFUNCTION("""COMPUTED_VALUE"""),4.0)</f>
        <v>4</v>
      </c>
      <c r="G458" s="15" t="str">
        <f>IFERROR(__xludf.DUMMYFUNCTION("""COMPUTED_VALUE"""),"Pendiente")</f>
        <v>Pendiente</v>
      </c>
      <c r="H458" s="16" t="str">
        <f t="array" ref="H458">_xlfn.XLOOKUP(D458,Productos[ID_Producto],Productos[Nombre_Producto])</f>
        <v>Leche</v>
      </c>
      <c r="I458" s="17">
        <f t="array" ref="I458">_xlfn.XLOOKUP(D458,Productos[ID_Producto],Productos[Precio_Unitario])</f>
        <v>12.24</v>
      </c>
      <c r="J458" s="17">
        <f t="shared" si="1"/>
        <v>12.24</v>
      </c>
      <c r="K458" s="16" t="str">
        <f t="array" ref="K458">_xlfn.XLOOKUP(C458,Clientes[ID_Cliente],Clientes[Provincia])</f>
        <v>Buenos Aires</v>
      </c>
      <c r="L458" s="16" t="str">
        <f t="array" ref="L458">CONCATENATE(_xlfn.XLOOKUP(C458,Clientes[ID_Cliente],Clientes[Provincia]),", Argentina")</f>
        <v>Buenos Aires, Argentina</v>
      </c>
      <c r="M458" s="20" t="str">
        <f t="array" ref="M458">_xlfn.XLOOKUP(F458,Metodos_De_Pago[ID_Metodo],Metodos_De_Pago[Metodo])</f>
        <v>Mercado Pago</v>
      </c>
      <c r="N458" s="20" t="str">
        <f t="shared" si="2"/>
        <v>2024 11</v>
      </c>
    </row>
    <row r="459" ht="22.5" customHeight="1">
      <c r="A459" s="12">
        <f>IFERROR(__xludf.DUMMYFUNCTION("""COMPUTED_VALUE"""),496.0)</f>
        <v>496</v>
      </c>
      <c r="B459" s="13">
        <f>IFERROR(__xludf.DUMMYFUNCTION("""COMPUTED_VALUE"""),45628.0)</f>
        <v>45628</v>
      </c>
      <c r="C459" s="12">
        <f>IFERROR(__xludf.DUMMYFUNCTION("""COMPUTED_VALUE"""),137.0)</f>
        <v>137</v>
      </c>
      <c r="D459" s="12">
        <f>IFERROR(__xludf.DUMMYFUNCTION("""COMPUTED_VALUE"""),33.0)</f>
        <v>33</v>
      </c>
      <c r="E459" s="12">
        <f>IFERROR(__xludf.DUMMYFUNCTION("""COMPUTED_VALUE"""),1.0)</f>
        <v>1</v>
      </c>
      <c r="F459" s="12">
        <f>IFERROR(__xludf.DUMMYFUNCTION("""COMPUTED_VALUE"""),5.0)</f>
        <v>5</v>
      </c>
      <c r="G459" s="15" t="str">
        <f>IFERROR(__xludf.DUMMYFUNCTION("""COMPUTED_VALUE"""),"Completa")</f>
        <v>Completa</v>
      </c>
      <c r="H459" s="16" t="str">
        <f t="array" ref="H459">_xlfn.XLOOKUP(D459,Productos[ID_Producto],Productos[Nombre_Producto])</f>
        <v>Papas chips</v>
      </c>
      <c r="I459" s="17">
        <f t="array" ref="I459">_xlfn.XLOOKUP(D459,Productos[ID_Producto],Productos[Precio_Unitario])</f>
        <v>8.54</v>
      </c>
      <c r="J459" s="17">
        <f t="shared" si="1"/>
        <v>8.54</v>
      </c>
      <c r="K459" s="16" t="str">
        <f t="array" ref="K459">_xlfn.XLOOKUP(C459,Clientes[ID_Cliente],Clientes[Provincia])</f>
        <v>Neuquén</v>
      </c>
      <c r="L459" s="16" t="str">
        <f t="array" ref="L459">CONCATENATE(_xlfn.XLOOKUP(C459,Clientes[ID_Cliente],Clientes[Provincia]),", Argentina")</f>
        <v>Neuquén, Argentina</v>
      </c>
      <c r="M459" s="20" t="str">
        <f t="array" ref="M459">_xlfn.XLOOKUP(F459,Metodos_De_Pago[ID_Metodo],Metodos_De_Pago[Metodo])</f>
        <v>Transferencia</v>
      </c>
      <c r="N459" s="20" t="str">
        <f t="shared" si="2"/>
        <v>2024 12</v>
      </c>
    </row>
    <row r="460" ht="22.5" customHeight="1">
      <c r="A460" s="12">
        <f>IFERROR(__xludf.DUMMYFUNCTION("""COMPUTED_VALUE"""),2573.0)</f>
        <v>2573</v>
      </c>
      <c r="B460" s="13">
        <f>IFERROR(__xludf.DUMMYFUNCTION("""COMPUTED_VALUE"""),45629.0)</f>
        <v>45629</v>
      </c>
      <c r="C460" s="12">
        <f>IFERROR(__xludf.DUMMYFUNCTION("""COMPUTED_VALUE"""),143.0)</f>
        <v>143</v>
      </c>
      <c r="D460" s="12">
        <f>IFERROR(__xludf.DUMMYFUNCTION("""COMPUTED_VALUE"""),7.0)</f>
        <v>7</v>
      </c>
      <c r="E460" s="12">
        <f>IFERROR(__xludf.DUMMYFUNCTION("""COMPUTED_VALUE"""),1.0)</f>
        <v>1</v>
      </c>
      <c r="F460" s="12">
        <f>IFERROR(__xludf.DUMMYFUNCTION("""COMPUTED_VALUE"""),2.0)</f>
        <v>2</v>
      </c>
      <c r="G460" s="15" t="str">
        <f>IFERROR(__xludf.DUMMYFUNCTION("""COMPUTED_VALUE"""),"Completa")</f>
        <v>Completa</v>
      </c>
      <c r="H460" s="16" t="str">
        <f t="array" ref="H460">_xlfn.XLOOKUP(D460,Productos[ID_Producto],Productos[Nombre_Producto])</f>
        <v>Chorizo</v>
      </c>
      <c r="I460" s="17">
        <f t="array" ref="I460">_xlfn.XLOOKUP(D460,Productos[ID_Producto],Productos[Precio_Unitario])</f>
        <v>11.25</v>
      </c>
      <c r="J460" s="17">
        <f t="shared" si="1"/>
        <v>11.25</v>
      </c>
      <c r="K460" s="16" t="str">
        <f t="array" ref="K460">_xlfn.XLOOKUP(C460,Clientes[ID_Cliente],Clientes[Provincia])</f>
        <v>Buenos Aires</v>
      </c>
      <c r="L460" s="16" t="str">
        <f t="array" ref="L460">CONCATENATE(_xlfn.XLOOKUP(C460,Clientes[ID_Cliente],Clientes[Provincia]),", Argentina")</f>
        <v>Buenos Aires, Argentina</v>
      </c>
      <c r="M460" s="20" t="str">
        <f t="array" ref="M460">_xlfn.XLOOKUP(F460,Metodos_De_Pago[ID_Metodo],Metodos_De_Pago[Metodo])</f>
        <v>Tarjeta de Crédito</v>
      </c>
      <c r="N460" s="20" t="str">
        <f t="shared" si="2"/>
        <v>2024 12</v>
      </c>
    </row>
    <row r="461" ht="22.5" customHeight="1">
      <c r="A461" s="12">
        <f>IFERROR(__xludf.DUMMYFUNCTION("""COMPUTED_VALUE"""),1240.0)</f>
        <v>1240</v>
      </c>
      <c r="B461" s="13">
        <f>IFERROR(__xludf.DUMMYFUNCTION("""COMPUTED_VALUE"""),45631.0)</f>
        <v>45631</v>
      </c>
      <c r="C461" s="12">
        <f>IFERROR(__xludf.DUMMYFUNCTION("""COMPUTED_VALUE"""),56.0)</f>
        <v>56</v>
      </c>
      <c r="D461" s="12">
        <f>IFERROR(__xludf.DUMMYFUNCTION("""COMPUTED_VALUE"""),28.0)</f>
        <v>28</v>
      </c>
      <c r="E461" s="12">
        <f>IFERROR(__xludf.DUMMYFUNCTION("""COMPUTED_VALUE"""),1.0)</f>
        <v>1</v>
      </c>
      <c r="F461" s="12">
        <f>IFERROR(__xludf.DUMMYFUNCTION("""COMPUTED_VALUE"""),5.0)</f>
        <v>5</v>
      </c>
      <c r="G461" s="15" t="str">
        <f>IFERROR(__xludf.DUMMYFUNCTION("""COMPUTED_VALUE"""),"Completa")</f>
        <v>Completa</v>
      </c>
      <c r="H461" s="16" t="str">
        <f t="array" ref="H461">_xlfn.XLOOKUP(D461,Productos[ID_Producto],Productos[Nombre_Producto])</f>
        <v>Jugos de frutas</v>
      </c>
      <c r="I461" s="17">
        <f t="array" ref="I461">_xlfn.XLOOKUP(D461,Productos[ID_Producto],Productos[Precio_Unitario])</f>
        <v>9.45</v>
      </c>
      <c r="J461" s="17">
        <f t="shared" si="1"/>
        <v>9.45</v>
      </c>
      <c r="K461" s="16" t="str">
        <f t="array" ref="K461">_xlfn.XLOOKUP(C461,Clientes[ID_Cliente],Clientes[Provincia])</f>
        <v>Córdoba</v>
      </c>
      <c r="L461" s="16" t="str">
        <f t="array" ref="L461">CONCATENATE(_xlfn.XLOOKUP(C461,Clientes[ID_Cliente],Clientes[Provincia]),", Argentina")</f>
        <v>Córdoba, Argentina</v>
      </c>
      <c r="M461" s="20" t="str">
        <f t="array" ref="M461">_xlfn.XLOOKUP(F461,Metodos_De_Pago[ID_Metodo],Metodos_De_Pago[Metodo])</f>
        <v>Transferencia</v>
      </c>
      <c r="N461" s="20" t="str">
        <f t="shared" si="2"/>
        <v>2024 12</v>
      </c>
    </row>
    <row r="462" ht="22.5" customHeight="1">
      <c r="A462" s="12">
        <f>IFERROR(__xludf.DUMMYFUNCTION("""COMPUTED_VALUE"""),2173.0)</f>
        <v>2173</v>
      </c>
      <c r="B462" s="13">
        <f>IFERROR(__xludf.DUMMYFUNCTION("""COMPUTED_VALUE"""),45631.0)</f>
        <v>45631</v>
      </c>
      <c r="C462" s="12">
        <f>IFERROR(__xludf.DUMMYFUNCTION("""COMPUTED_VALUE"""),128.0)</f>
        <v>128</v>
      </c>
      <c r="D462" s="12">
        <f>IFERROR(__xludf.DUMMYFUNCTION("""COMPUTED_VALUE"""),25.0)</f>
        <v>25</v>
      </c>
      <c r="E462" s="12">
        <f>IFERROR(__xludf.DUMMYFUNCTION("""COMPUTED_VALUE"""),1.0)</f>
        <v>1</v>
      </c>
      <c r="F462" s="12">
        <f>IFERROR(__xludf.DUMMYFUNCTION("""COMPUTED_VALUE"""),5.0)</f>
        <v>5</v>
      </c>
      <c r="G462" s="15" t="str">
        <f>IFERROR(__xludf.DUMMYFUNCTION("""COMPUTED_VALUE"""),"Completa")</f>
        <v>Completa</v>
      </c>
      <c r="H462" s="16" t="str">
        <f t="array" ref="H462">_xlfn.XLOOKUP(D462,Productos[ID_Producto],Productos[Nombre_Producto])</f>
        <v>Pizza congelada</v>
      </c>
      <c r="I462" s="17">
        <f t="array" ref="I462">_xlfn.XLOOKUP(D462,Productos[ID_Producto],Productos[Precio_Unitario])</f>
        <v>15.45</v>
      </c>
      <c r="J462" s="17">
        <f t="shared" si="1"/>
        <v>15.45</v>
      </c>
      <c r="K462" s="16" t="str">
        <f t="array" ref="K462">_xlfn.XLOOKUP(C462,Clientes[ID_Cliente],Clientes[Provincia])</f>
        <v>Buenos Aires</v>
      </c>
      <c r="L462" s="16" t="str">
        <f t="array" ref="L462">CONCATENATE(_xlfn.XLOOKUP(C462,Clientes[ID_Cliente],Clientes[Provincia]),", Argentina")</f>
        <v>Buenos Aires, Argentina</v>
      </c>
      <c r="M462" s="20" t="str">
        <f t="array" ref="M462">_xlfn.XLOOKUP(F462,Metodos_De_Pago[ID_Metodo],Metodos_De_Pago[Metodo])</f>
        <v>Transferencia</v>
      </c>
      <c r="N462" s="20" t="str">
        <f t="shared" si="2"/>
        <v>2024 12</v>
      </c>
    </row>
    <row r="463" ht="22.5" customHeight="1">
      <c r="A463" s="12">
        <f>IFERROR(__xludf.DUMMYFUNCTION("""COMPUTED_VALUE"""),1201.0)</f>
        <v>1201</v>
      </c>
      <c r="B463" s="13">
        <f>IFERROR(__xludf.DUMMYFUNCTION("""COMPUTED_VALUE"""),45632.0)</f>
        <v>45632</v>
      </c>
      <c r="C463" s="12">
        <f>IFERROR(__xludf.DUMMYFUNCTION("""COMPUTED_VALUE"""),161.0)</f>
        <v>161</v>
      </c>
      <c r="D463" s="12">
        <f>IFERROR(__xludf.DUMMYFUNCTION("""COMPUTED_VALUE"""),10.0)</f>
        <v>10</v>
      </c>
      <c r="E463" s="12">
        <f>IFERROR(__xludf.DUMMYFUNCTION("""COMPUTED_VALUE"""),1.0)</f>
        <v>1</v>
      </c>
      <c r="F463" s="12">
        <f>IFERROR(__xludf.DUMMYFUNCTION("""COMPUTED_VALUE"""),3.0)</f>
        <v>3</v>
      </c>
      <c r="G463" s="15" t="str">
        <f>IFERROR(__xludf.DUMMYFUNCTION("""COMPUTED_VALUE"""),"Completa")</f>
        <v>Completa</v>
      </c>
      <c r="H463" s="16" t="str">
        <f t="array" ref="H463">_xlfn.XLOOKUP(D463,Productos[ID_Producto],Productos[Nombre_Producto])</f>
        <v>Costilla de cerdo</v>
      </c>
      <c r="I463" s="17">
        <f t="array" ref="I463">_xlfn.XLOOKUP(D463,Productos[ID_Producto],Productos[Precio_Unitario])</f>
        <v>14.25</v>
      </c>
      <c r="J463" s="17">
        <f t="shared" si="1"/>
        <v>14.25</v>
      </c>
      <c r="K463" s="16" t="str">
        <f t="array" ref="K463">_xlfn.XLOOKUP(C463,Clientes[ID_Cliente],Clientes[Provincia])</f>
        <v>Neuquén</v>
      </c>
      <c r="L463" s="16" t="str">
        <f t="array" ref="L463">CONCATENATE(_xlfn.XLOOKUP(C463,Clientes[ID_Cliente],Clientes[Provincia]),", Argentina")</f>
        <v>Neuquén, Argentina</v>
      </c>
      <c r="M463" s="20" t="str">
        <f t="array" ref="M463">_xlfn.XLOOKUP(F463,Metodos_De_Pago[ID_Metodo],Metodos_De_Pago[Metodo])</f>
        <v>Tarjeta de Débito</v>
      </c>
      <c r="N463" s="20" t="str">
        <f t="shared" si="2"/>
        <v>2024 12</v>
      </c>
    </row>
    <row r="464" ht="22.5" customHeight="1">
      <c r="A464" s="12">
        <f>IFERROR(__xludf.DUMMYFUNCTION("""COMPUTED_VALUE"""),843.0)</f>
        <v>843</v>
      </c>
      <c r="B464" s="13">
        <f>IFERROR(__xludf.DUMMYFUNCTION("""COMPUTED_VALUE"""),45634.0)</f>
        <v>45634</v>
      </c>
      <c r="C464" s="12">
        <f>IFERROR(__xludf.DUMMYFUNCTION("""COMPUTED_VALUE"""),7.0)</f>
        <v>7</v>
      </c>
      <c r="D464" s="12">
        <f>IFERROR(__xludf.DUMMYFUNCTION("""COMPUTED_VALUE"""),3.0)</f>
        <v>3</v>
      </c>
      <c r="E464" s="12">
        <f>IFERROR(__xludf.DUMMYFUNCTION("""COMPUTED_VALUE"""),1.0)</f>
        <v>1</v>
      </c>
      <c r="F464" s="12">
        <f>IFERROR(__xludf.DUMMYFUNCTION("""COMPUTED_VALUE"""),2.0)</f>
        <v>2</v>
      </c>
      <c r="G464" s="15" t="str">
        <f>IFERROR(__xludf.DUMMYFUNCTION("""COMPUTED_VALUE"""),"Completa")</f>
        <v>Completa</v>
      </c>
      <c r="H464" s="16" t="str">
        <f t="array" ref="H464">_xlfn.XLOOKUP(D464,Productos[ID_Producto],Productos[Nombre_Producto])</f>
        <v>Queso cremoso</v>
      </c>
      <c r="I464" s="17">
        <f t="array" ref="I464">_xlfn.XLOOKUP(D464,Productos[ID_Producto],Productos[Precio_Unitario])</f>
        <v>17.23</v>
      </c>
      <c r="J464" s="17">
        <f t="shared" si="1"/>
        <v>17.23</v>
      </c>
      <c r="K464" s="16" t="str">
        <f t="array" ref="K464">_xlfn.XLOOKUP(C464,Clientes[ID_Cliente],Clientes[Provincia])</f>
        <v>San Luis</v>
      </c>
      <c r="L464" s="16" t="str">
        <f t="array" ref="L464">CONCATENATE(_xlfn.XLOOKUP(C464,Clientes[ID_Cliente],Clientes[Provincia]),", Argentina")</f>
        <v>San Luis, Argentina</v>
      </c>
      <c r="M464" s="20" t="str">
        <f t="array" ref="M464">_xlfn.XLOOKUP(F464,Metodos_De_Pago[ID_Metodo],Metodos_De_Pago[Metodo])</f>
        <v>Tarjeta de Crédito</v>
      </c>
      <c r="N464" s="20" t="str">
        <f t="shared" si="2"/>
        <v>2024 12</v>
      </c>
    </row>
    <row r="465" ht="22.5" customHeight="1">
      <c r="A465" s="12">
        <f>IFERROR(__xludf.DUMMYFUNCTION("""COMPUTED_VALUE"""),1154.0)</f>
        <v>1154</v>
      </c>
      <c r="B465" s="13">
        <f>IFERROR(__xludf.DUMMYFUNCTION("""COMPUTED_VALUE"""),45634.0)</f>
        <v>45634</v>
      </c>
      <c r="C465" s="12">
        <f>IFERROR(__xludf.DUMMYFUNCTION("""COMPUTED_VALUE"""),260.0)</f>
        <v>260</v>
      </c>
      <c r="D465" s="12">
        <f>IFERROR(__xludf.DUMMYFUNCTION("""COMPUTED_VALUE"""),15.0)</f>
        <v>15</v>
      </c>
      <c r="E465" s="12">
        <f>IFERROR(__xludf.DUMMYFUNCTION("""COMPUTED_VALUE"""),1.0)</f>
        <v>1</v>
      </c>
      <c r="F465" s="12">
        <f>IFERROR(__xludf.DUMMYFUNCTION("""COMPUTED_VALUE"""),5.0)</f>
        <v>5</v>
      </c>
      <c r="G465" s="15" t="str">
        <f>IFERROR(__xludf.DUMMYFUNCTION("""COMPUTED_VALUE"""),"Completa")</f>
        <v>Completa</v>
      </c>
      <c r="H465" s="16" t="str">
        <f t="array" ref="H465">_xlfn.XLOOKUP(D465,Productos[ID_Producto],Productos[Nombre_Producto])</f>
        <v>Medialunas</v>
      </c>
      <c r="I465" s="17">
        <f t="array" ref="I465">_xlfn.XLOOKUP(D465,Productos[ID_Producto],Productos[Precio_Unitario])</f>
        <v>3.51</v>
      </c>
      <c r="J465" s="17">
        <f t="shared" si="1"/>
        <v>3.51</v>
      </c>
      <c r="K465" s="16" t="str">
        <f t="array" ref="K465">_xlfn.XLOOKUP(C465,Clientes[ID_Cliente],Clientes[Provincia])</f>
        <v>Buenos Aires</v>
      </c>
      <c r="L465" s="16" t="str">
        <f t="array" ref="L465">CONCATENATE(_xlfn.XLOOKUP(C465,Clientes[ID_Cliente],Clientes[Provincia]),", Argentina")</f>
        <v>Buenos Aires, Argentina</v>
      </c>
      <c r="M465" s="20" t="str">
        <f t="array" ref="M465">_xlfn.XLOOKUP(F465,Metodos_De_Pago[ID_Metodo],Metodos_De_Pago[Metodo])</f>
        <v>Transferencia</v>
      </c>
      <c r="N465" s="20" t="str">
        <f t="shared" si="2"/>
        <v>2024 12</v>
      </c>
    </row>
    <row r="466" ht="22.5" customHeight="1">
      <c r="A466" s="12">
        <f>IFERROR(__xludf.DUMMYFUNCTION("""COMPUTED_VALUE"""),2378.0)</f>
        <v>2378</v>
      </c>
      <c r="B466" s="13">
        <f>IFERROR(__xludf.DUMMYFUNCTION("""COMPUTED_VALUE"""),45634.0)</f>
        <v>45634</v>
      </c>
      <c r="C466" s="12">
        <f>IFERROR(__xludf.DUMMYFUNCTION("""COMPUTED_VALUE"""),31.0)</f>
        <v>31</v>
      </c>
      <c r="D466" s="12">
        <f>IFERROR(__xludf.DUMMYFUNCTION("""COMPUTED_VALUE"""),2.0)</f>
        <v>2</v>
      </c>
      <c r="E466" s="12">
        <f>IFERROR(__xludf.DUMMYFUNCTION("""COMPUTED_VALUE"""),1.0)</f>
        <v>1</v>
      </c>
      <c r="F466" s="12">
        <f>IFERROR(__xludf.DUMMYFUNCTION("""COMPUTED_VALUE"""),5.0)</f>
        <v>5</v>
      </c>
      <c r="G466" s="15" t="str">
        <f>IFERROR(__xludf.DUMMYFUNCTION("""COMPUTED_VALUE"""),"Pendiente")</f>
        <v>Pendiente</v>
      </c>
      <c r="H466" s="16" t="str">
        <f t="array" ref="H466">_xlfn.XLOOKUP(D466,Productos[ID_Producto],Productos[Nombre_Producto])</f>
        <v>Yogur</v>
      </c>
      <c r="I466" s="17">
        <f t="array" ref="I466">_xlfn.XLOOKUP(D466,Productos[ID_Producto],Productos[Precio_Unitario])</f>
        <v>5.21</v>
      </c>
      <c r="J466" s="17">
        <f t="shared" si="1"/>
        <v>5.21</v>
      </c>
      <c r="K466" s="16" t="str">
        <f t="array" ref="K466">_xlfn.XLOOKUP(C466,Clientes[ID_Cliente],Clientes[Provincia])</f>
        <v>Córdoba</v>
      </c>
      <c r="L466" s="16" t="str">
        <f t="array" ref="L466">CONCATENATE(_xlfn.XLOOKUP(C466,Clientes[ID_Cliente],Clientes[Provincia]),", Argentina")</f>
        <v>Córdoba, Argentina</v>
      </c>
      <c r="M466" s="20" t="str">
        <f t="array" ref="M466">_xlfn.XLOOKUP(F466,Metodos_De_Pago[ID_Metodo],Metodos_De_Pago[Metodo])</f>
        <v>Transferencia</v>
      </c>
      <c r="N466" s="20" t="str">
        <f t="shared" si="2"/>
        <v>2024 12</v>
      </c>
    </row>
    <row r="467" ht="22.5" customHeight="1">
      <c r="A467" s="12">
        <f>IFERROR(__xludf.DUMMYFUNCTION("""COMPUTED_VALUE"""),347.0)</f>
        <v>347</v>
      </c>
      <c r="B467" s="13">
        <f>IFERROR(__xludf.DUMMYFUNCTION("""COMPUTED_VALUE"""),45635.0)</f>
        <v>45635</v>
      </c>
      <c r="C467" s="12">
        <f>IFERROR(__xludf.DUMMYFUNCTION("""COMPUTED_VALUE"""),204.0)</f>
        <v>204</v>
      </c>
      <c r="D467" s="12">
        <f>IFERROR(__xludf.DUMMYFUNCTION("""COMPUTED_VALUE"""),1.0)</f>
        <v>1</v>
      </c>
      <c r="E467" s="12">
        <f>IFERROR(__xludf.DUMMYFUNCTION("""COMPUTED_VALUE"""),1.0)</f>
        <v>1</v>
      </c>
      <c r="F467" s="12">
        <f>IFERROR(__xludf.DUMMYFUNCTION("""COMPUTED_VALUE"""),1.0)</f>
        <v>1</v>
      </c>
      <c r="G467" s="15" t="str">
        <f>IFERROR(__xludf.DUMMYFUNCTION("""COMPUTED_VALUE"""),"Completa")</f>
        <v>Completa</v>
      </c>
      <c r="H467" s="16" t="str">
        <f t="array" ref="H467">_xlfn.XLOOKUP(D467,Productos[ID_Producto],Productos[Nombre_Producto])</f>
        <v>Leche</v>
      </c>
      <c r="I467" s="17">
        <f t="array" ref="I467">_xlfn.XLOOKUP(D467,Productos[ID_Producto],Productos[Precio_Unitario])</f>
        <v>12.24</v>
      </c>
      <c r="J467" s="17">
        <f t="shared" si="1"/>
        <v>12.24</v>
      </c>
      <c r="K467" s="16" t="str">
        <f t="array" ref="K467">_xlfn.XLOOKUP(C467,Clientes[ID_Cliente],Clientes[Provincia])</f>
        <v>Neuquén</v>
      </c>
      <c r="L467" s="16" t="str">
        <f t="array" ref="L467">CONCATENATE(_xlfn.XLOOKUP(C467,Clientes[ID_Cliente],Clientes[Provincia]),", Argentina")</f>
        <v>Neuquén, Argentina</v>
      </c>
      <c r="M467" s="20" t="str">
        <f t="array" ref="M467">_xlfn.XLOOKUP(F467,Metodos_De_Pago[ID_Metodo],Metodos_De_Pago[Metodo])</f>
        <v>Efectivo</v>
      </c>
      <c r="N467" s="20" t="str">
        <f t="shared" si="2"/>
        <v>2024 12</v>
      </c>
    </row>
    <row r="468" ht="22.5" customHeight="1">
      <c r="A468" s="12">
        <f>IFERROR(__xludf.DUMMYFUNCTION("""COMPUTED_VALUE"""),369.0)</f>
        <v>369</v>
      </c>
      <c r="B468" s="13">
        <f>IFERROR(__xludf.DUMMYFUNCTION("""COMPUTED_VALUE"""),45635.0)</f>
        <v>45635</v>
      </c>
      <c r="C468" s="12">
        <f>IFERROR(__xludf.DUMMYFUNCTION("""COMPUTED_VALUE"""),96.0)</f>
        <v>96</v>
      </c>
      <c r="D468" s="12">
        <f>IFERROR(__xludf.DUMMYFUNCTION("""COMPUTED_VALUE"""),10.0)</f>
        <v>10</v>
      </c>
      <c r="E468" s="12">
        <f>IFERROR(__xludf.DUMMYFUNCTION("""COMPUTED_VALUE"""),1.0)</f>
        <v>1</v>
      </c>
      <c r="F468" s="12">
        <f>IFERROR(__xludf.DUMMYFUNCTION("""COMPUTED_VALUE"""),5.0)</f>
        <v>5</v>
      </c>
      <c r="G468" s="15" t="str">
        <f>IFERROR(__xludf.DUMMYFUNCTION("""COMPUTED_VALUE"""),"Completa")</f>
        <v>Completa</v>
      </c>
      <c r="H468" s="16" t="str">
        <f t="array" ref="H468">_xlfn.XLOOKUP(D468,Productos[ID_Producto],Productos[Nombre_Producto])</f>
        <v>Costilla de cerdo</v>
      </c>
      <c r="I468" s="17">
        <f t="array" ref="I468">_xlfn.XLOOKUP(D468,Productos[ID_Producto],Productos[Precio_Unitario])</f>
        <v>14.25</v>
      </c>
      <c r="J468" s="17">
        <f t="shared" si="1"/>
        <v>14.25</v>
      </c>
      <c r="K468" s="16" t="str">
        <f t="array" ref="K468">_xlfn.XLOOKUP(C468,Clientes[ID_Cliente],Clientes[Provincia])</f>
        <v>Buenos Aires</v>
      </c>
      <c r="L468" s="16" t="str">
        <f t="array" ref="L468">CONCATENATE(_xlfn.XLOOKUP(C468,Clientes[ID_Cliente],Clientes[Provincia]),", Argentina")</f>
        <v>Buenos Aires, Argentina</v>
      </c>
      <c r="M468" s="20" t="str">
        <f t="array" ref="M468">_xlfn.XLOOKUP(F468,Metodos_De_Pago[ID_Metodo],Metodos_De_Pago[Metodo])</f>
        <v>Transferencia</v>
      </c>
      <c r="N468" s="20" t="str">
        <f t="shared" si="2"/>
        <v>2024 12</v>
      </c>
    </row>
    <row r="469" ht="22.5" customHeight="1">
      <c r="A469" s="12">
        <f>IFERROR(__xludf.DUMMYFUNCTION("""COMPUTED_VALUE"""),1771.0)</f>
        <v>1771</v>
      </c>
      <c r="B469" s="13">
        <f>IFERROR(__xludf.DUMMYFUNCTION("""COMPUTED_VALUE"""),45635.0)</f>
        <v>45635</v>
      </c>
      <c r="C469" s="12">
        <f>IFERROR(__xludf.DUMMYFUNCTION("""COMPUTED_VALUE"""),169.0)</f>
        <v>169</v>
      </c>
      <c r="D469" s="12">
        <f>IFERROR(__xludf.DUMMYFUNCTION("""COMPUTED_VALUE"""),21.0)</f>
        <v>21</v>
      </c>
      <c r="E469" s="12">
        <f>IFERROR(__xludf.DUMMYFUNCTION("""COMPUTED_VALUE"""),1.0)</f>
        <v>1</v>
      </c>
      <c r="F469" s="12">
        <f>IFERROR(__xludf.DUMMYFUNCTION("""COMPUTED_VALUE"""),3.0)</f>
        <v>3</v>
      </c>
      <c r="G469" s="15" t="str">
        <f>IFERROR(__xludf.DUMMYFUNCTION("""COMPUTED_VALUE"""),"Completa")</f>
        <v>Completa</v>
      </c>
      <c r="H469" s="16" t="str">
        <f t="array" ref="H469">_xlfn.XLOOKUP(D469,Productos[ID_Producto],Productos[Nombre_Producto])</f>
        <v>Zanahorias</v>
      </c>
      <c r="I469" s="17">
        <f t="array" ref="I469">_xlfn.XLOOKUP(D469,Productos[ID_Producto],Productos[Precio_Unitario])</f>
        <v>3.25</v>
      </c>
      <c r="J469" s="17">
        <f t="shared" si="1"/>
        <v>3.25</v>
      </c>
      <c r="K469" s="16" t="str">
        <f t="array" ref="K469">_xlfn.XLOOKUP(C469,Clientes[ID_Cliente],Clientes[Provincia])</f>
        <v>Córdoba</v>
      </c>
      <c r="L469" s="16" t="str">
        <f t="array" ref="L469">CONCATENATE(_xlfn.XLOOKUP(C469,Clientes[ID_Cliente],Clientes[Provincia]),", Argentina")</f>
        <v>Córdoba, Argentina</v>
      </c>
      <c r="M469" s="20" t="str">
        <f t="array" ref="M469">_xlfn.XLOOKUP(F469,Metodos_De_Pago[ID_Metodo],Metodos_De_Pago[Metodo])</f>
        <v>Tarjeta de Débito</v>
      </c>
      <c r="N469" s="20" t="str">
        <f t="shared" si="2"/>
        <v>2024 12</v>
      </c>
    </row>
    <row r="470" ht="22.5" customHeight="1">
      <c r="A470" s="12">
        <f>IFERROR(__xludf.DUMMYFUNCTION("""COMPUTED_VALUE"""),2271.0)</f>
        <v>2271</v>
      </c>
      <c r="B470" s="13">
        <f>IFERROR(__xludf.DUMMYFUNCTION("""COMPUTED_VALUE"""),45635.0)</f>
        <v>45635</v>
      </c>
      <c r="C470" s="12">
        <f>IFERROR(__xludf.DUMMYFUNCTION("""COMPUTED_VALUE"""),45.0)</f>
        <v>45</v>
      </c>
      <c r="D470" s="12">
        <f>IFERROR(__xludf.DUMMYFUNCTION("""COMPUTED_VALUE"""),36.0)</f>
        <v>36</v>
      </c>
      <c r="E470" s="12">
        <f>IFERROR(__xludf.DUMMYFUNCTION("""COMPUTED_VALUE"""),1.0)</f>
        <v>1</v>
      </c>
      <c r="F470" s="12">
        <f>IFERROR(__xludf.DUMMYFUNCTION("""COMPUTED_VALUE"""),3.0)</f>
        <v>3</v>
      </c>
      <c r="G470" s="15" t="str">
        <f>IFERROR(__xludf.DUMMYFUNCTION("""COMPUTED_VALUE"""),"Completa")</f>
        <v>Completa</v>
      </c>
      <c r="H470" s="16" t="str">
        <f t="array" ref="H470">_xlfn.XLOOKUP(D470,Productos[ID_Producto],Productos[Nombre_Producto])</f>
        <v>Lentejas</v>
      </c>
      <c r="I470" s="17">
        <f t="array" ref="I470">_xlfn.XLOOKUP(D470,Productos[ID_Producto],Productos[Precio_Unitario])</f>
        <v>3.25</v>
      </c>
      <c r="J470" s="17">
        <f t="shared" si="1"/>
        <v>3.25</v>
      </c>
      <c r="K470" s="16" t="str">
        <f t="array" ref="K470">_xlfn.XLOOKUP(C470,Clientes[ID_Cliente],Clientes[Provincia])</f>
        <v>Buenos Aires</v>
      </c>
      <c r="L470" s="16" t="str">
        <f t="array" ref="L470">CONCATENATE(_xlfn.XLOOKUP(C470,Clientes[ID_Cliente],Clientes[Provincia]),", Argentina")</f>
        <v>Buenos Aires, Argentina</v>
      </c>
      <c r="M470" s="20" t="str">
        <f t="array" ref="M470">_xlfn.XLOOKUP(F470,Metodos_De_Pago[ID_Metodo],Metodos_De_Pago[Metodo])</f>
        <v>Tarjeta de Débito</v>
      </c>
      <c r="N470" s="20" t="str">
        <f t="shared" si="2"/>
        <v>2024 12</v>
      </c>
    </row>
    <row r="471" ht="22.5" customHeight="1">
      <c r="A471" s="12">
        <f>IFERROR(__xludf.DUMMYFUNCTION("""COMPUTED_VALUE"""),2834.0)</f>
        <v>2834</v>
      </c>
      <c r="B471" s="13">
        <f>IFERROR(__xludf.DUMMYFUNCTION("""COMPUTED_VALUE"""),45635.0)</f>
        <v>45635</v>
      </c>
      <c r="C471" s="12">
        <f>IFERROR(__xludf.DUMMYFUNCTION("""COMPUTED_VALUE"""),123.0)</f>
        <v>123</v>
      </c>
      <c r="D471" s="12">
        <f>IFERROR(__xludf.DUMMYFUNCTION("""COMPUTED_VALUE"""),26.0)</f>
        <v>26</v>
      </c>
      <c r="E471" s="12">
        <f>IFERROR(__xludf.DUMMYFUNCTION("""COMPUTED_VALUE"""),1.0)</f>
        <v>1</v>
      </c>
      <c r="F471" s="12">
        <f>IFERROR(__xludf.DUMMYFUNCTION("""COMPUTED_VALUE"""),3.0)</f>
        <v>3</v>
      </c>
      <c r="G471" s="15" t="str">
        <f>IFERROR(__xludf.DUMMYFUNCTION("""COMPUTED_VALUE"""),"Completa")</f>
        <v>Completa</v>
      </c>
      <c r="H471" s="16" t="str">
        <f t="array" ref="H471">_xlfn.XLOOKUP(D471,Productos[ID_Producto],Productos[Nombre_Producto])</f>
        <v>Hamburgesas congeladas</v>
      </c>
      <c r="I471" s="17">
        <f t="array" ref="I471">_xlfn.XLOOKUP(D471,Productos[ID_Producto],Productos[Precio_Unitario])</f>
        <v>9.54</v>
      </c>
      <c r="J471" s="17">
        <f t="shared" si="1"/>
        <v>9.54</v>
      </c>
      <c r="K471" s="16" t="str">
        <f t="array" ref="K471">_xlfn.XLOOKUP(C471,Clientes[ID_Cliente],Clientes[Provincia])</f>
        <v>Neuquén</v>
      </c>
      <c r="L471" s="16" t="str">
        <f t="array" ref="L471">CONCATENATE(_xlfn.XLOOKUP(C471,Clientes[ID_Cliente],Clientes[Provincia]),", Argentina")</f>
        <v>Neuquén, Argentina</v>
      </c>
      <c r="M471" s="20" t="str">
        <f t="array" ref="M471">_xlfn.XLOOKUP(F471,Metodos_De_Pago[ID_Metodo],Metodos_De_Pago[Metodo])</f>
        <v>Tarjeta de Débito</v>
      </c>
      <c r="N471" s="20" t="str">
        <f t="shared" si="2"/>
        <v>2024 12</v>
      </c>
    </row>
    <row r="472" ht="22.5" customHeight="1">
      <c r="A472" s="12">
        <f>IFERROR(__xludf.DUMMYFUNCTION("""COMPUTED_VALUE"""),1532.0)</f>
        <v>1532</v>
      </c>
      <c r="B472" s="13">
        <f>IFERROR(__xludf.DUMMYFUNCTION("""COMPUTED_VALUE"""),45639.0)</f>
        <v>45639</v>
      </c>
      <c r="C472" s="12">
        <f>IFERROR(__xludf.DUMMYFUNCTION("""COMPUTED_VALUE"""),218.0)</f>
        <v>218</v>
      </c>
      <c r="D472" s="12">
        <f>IFERROR(__xludf.DUMMYFUNCTION("""COMPUTED_VALUE"""),22.0)</f>
        <v>22</v>
      </c>
      <c r="E472" s="12">
        <f>IFERROR(__xludf.DUMMYFUNCTION("""COMPUTED_VALUE"""),1.0)</f>
        <v>1</v>
      </c>
      <c r="F472" s="12">
        <f>IFERROR(__xludf.DUMMYFUNCTION("""COMPUTED_VALUE"""),5.0)</f>
        <v>5</v>
      </c>
      <c r="G472" s="15" t="str">
        <f>IFERROR(__xludf.DUMMYFUNCTION("""COMPUTED_VALUE"""),"Completa")</f>
        <v>Completa</v>
      </c>
      <c r="H472" s="16" t="str">
        <f t="array" ref="H472">_xlfn.XLOOKUP(D472,Productos[ID_Producto],Productos[Nombre_Producto])</f>
        <v>Cebolla</v>
      </c>
      <c r="I472" s="17">
        <f t="array" ref="I472">_xlfn.XLOOKUP(D472,Productos[ID_Producto],Productos[Precio_Unitario])</f>
        <v>4.21</v>
      </c>
      <c r="J472" s="17">
        <f t="shared" si="1"/>
        <v>4.21</v>
      </c>
      <c r="K472" s="16" t="str">
        <f t="array" ref="K472">_xlfn.XLOOKUP(C472,Clientes[ID_Cliente],Clientes[Provincia])</f>
        <v>Córdoba</v>
      </c>
      <c r="L472" s="16" t="str">
        <f t="array" ref="L472">CONCATENATE(_xlfn.XLOOKUP(C472,Clientes[ID_Cliente],Clientes[Provincia]),", Argentina")</f>
        <v>Córdoba, Argentina</v>
      </c>
      <c r="M472" s="20" t="str">
        <f t="array" ref="M472">_xlfn.XLOOKUP(F472,Metodos_De_Pago[ID_Metodo],Metodos_De_Pago[Metodo])</f>
        <v>Transferencia</v>
      </c>
      <c r="N472" s="20" t="str">
        <f t="shared" si="2"/>
        <v>2024 12</v>
      </c>
    </row>
    <row r="473" ht="22.5" customHeight="1">
      <c r="A473" s="12">
        <f>IFERROR(__xludf.DUMMYFUNCTION("""COMPUTED_VALUE"""),2085.0)</f>
        <v>2085</v>
      </c>
      <c r="B473" s="13">
        <f>IFERROR(__xludf.DUMMYFUNCTION("""COMPUTED_VALUE"""),45639.0)</f>
        <v>45639</v>
      </c>
      <c r="C473" s="12">
        <f>IFERROR(__xludf.DUMMYFUNCTION("""COMPUTED_VALUE"""),46.0)</f>
        <v>46</v>
      </c>
      <c r="D473" s="12">
        <f>IFERROR(__xludf.DUMMYFUNCTION("""COMPUTED_VALUE"""),8.0)</f>
        <v>8</v>
      </c>
      <c r="E473" s="12">
        <f>IFERROR(__xludf.DUMMYFUNCTION("""COMPUTED_VALUE"""),1.0)</f>
        <v>1</v>
      </c>
      <c r="F473" s="12">
        <f>IFERROR(__xludf.DUMMYFUNCTION("""COMPUTED_VALUE"""),4.0)</f>
        <v>4</v>
      </c>
      <c r="G473" s="15" t="str">
        <f>IFERROR(__xludf.DUMMYFUNCTION("""COMPUTED_VALUE"""),"Completa")</f>
        <v>Completa</v>
      </c>
      <c r="H473" s="16" t="str">
        <f t="array" ref="H473">_xlfn.XLOOKUP(D473,Productos[ID_Producto],Productos[Nombre_Producto])</f>
        <v>Milanesa</v>
      </c>
      <c r="I473" s="17">
        <f t="array" ref="I473">_xlfn.XLOOKUP(D473,Productos[ID_Producto],Productos[Precio_Unitario])</f>
        <v>16.21</v>
      </c>
      <c r="J473" s="17">
        <f t="shared" si="1"/>
        <v>16.21</v>
      </c>
      <c r="K473" s="16" t="str">
        <f t="array" ref="K473">_xlfn.XLOOKUP(C473,Clientes[ID_Cliente],Clientes[Provincia])</f>
        <v>Córdoba</v>
      </c>
      <c r="L473" s="16" t="str">
        <f t="array" ref="L473">CONCATENATE(_xlfn.XLOOKUP(C473,Clientes[ID_Cliente],Clientes[Provincia]),", Argentina")</f>
        <v>Córdoba, Argentina</v>
      </c>
      <c r="M473" s="20" t="str">
        <f t="array" ref="M473">_xlfn.XLOOKUP(F473,Metodos_De_Pago[ID_Metodo],Metodos_De_Pago[Metodo])</f>
        <v>Mercado Pago</v>
      </c>
      <c r="N473" s="20" t="str">
        <f t="shared" si="2"/>
        <v>2024 12</v>
      </c>
    </row>
    <row r="474" ht="22.5" customHeight="1">
      <c r="A474" s="12">
        <f>IFERROR(__xludf.DUMMYFUNCTION("""COMPUTED_VALUE"""),2875.0)</f>
        <v>2875</v>
      </c>
      <c r="B474" s="13">
        <f>IFERROR(__xludf.DUMMYFUNCTION("""COMPUTED_VALUE"""),45640.0)</f>
        <v>45640</v>
      </c>
      <c r="C474" s="12">
        <f>IFERROR(__xludf.DUMMYFUNCTION("""COMPUTED_VALUE"""),148.0)</f>
        <v>148</v>
      </c>
      <c r="D474" s="12">
        <f>IFERROR(__xludf.DUMMYFUNCTION("""COMPUTED_VALUE"""),19.0)</f>
        <v>19</v>
      </c>
      <c r="E474" s="12">
        <f>IFERROR(__xludf.DUMMYFUNCTION("""COMPUTED_VALUE"""),1.0)</f>
        <v>1</v>
      </c>
      <c r="F474" s="12">
        <f>IFERROR(__xludf.DUMMYFUNCTION("""COMPUTED_VALUE"""),2.0)</f>
        <v>2</v>
      </c>
      <c r="G474" s="15" t="str">
        <f>IFERROR(__xludf.DUMMYFUNCTION("""COMPUTED_VALUE"""),"Completa")</f>
        <v>Completa</v>
      </c>
      <c r="H474" s="16" t="str">
        <f t="array" ref="H474">_xlfn.XLOOKUP(D474,Productos[ID_Producto],Productos[Nombre_Producto])</f>
        <v>Tomates</v>
      </c>
      <c r="I474" s="17">
        <f t="array" ref="I474">_xlfn.XLOOKUP(D474,Productos[ID_Producto],Productos[Precio_Unitario])</f>
        <v>6.54</v>
      </c>
      <c r="J474" s="17">
        <f t="shared" si="1"/>
        <v>6.54</v>
      </c>
      <c r="K474" s="16" t="str">
        <f t="array" ref="K474">_xlfn.XLOOKUP(C474,Clientes[ID_Cliente],Clientes[Provincia])</f>
        <v>Córdoba</v>
      </c>
      <c r="L474" s="16" t="str">
        <f t="array" ref="L474">CONCATENATE(_xlfn.XLOOKUP(C474,Clientes[ID_Cliente],Clientes[Provincia]),", Argentina")</f>
        <v>Córdoba, Argentina</v>
      </c>
      <c r="M474" s="20" t="str">
        <f t="array" ref="M474">_xlfn.XLOOKUP(F474,Metodos_De_Pago[ID_Metodo],Metodos_De_Pago[Metodo])</f>
        <v>Tarjeta de Crédito</v>
      </c>
      <c r="N474" s="20" t="str">
        <f t="shared" si="2"/>
        <v>2024 12</v>
      </c>
    </row>
    <row r="475" ht="22.5" customHeight="1">
      <c r="A475" s="12">
        <f>IFERROR(__xludf.DUMMYFUNCTION("""COMPUTED_VALUE"""),218.0)</f>
        <v>218</v>
      </c>
      <c r="B475" s="13">
        <f>IFERROR(__xludf.DUMMYFUNCTION("""COMPUTED_VALUE"""),45641.0)</f>
        <v>45641</v>
      </c>
      <c r="C475" s="12">
        <f>IFERROR(__xludf.DUMMYFUNCTION("""COMPUTED_VALUE"""),36.0)</f>
        <v>36</v>
      </c>
      <c r="D475" s="12">
        <f>IFERROR(__xludf.DUMMYFUNCTION("""COMPUTED_VALUE"""),35.0)</f>
        <v>35</v>
      </c>
      <c r="E475" s="12">
        <f>IFERROR(__xludf.DUMMYFUNCTION("""COMPUTED_VALUE"""),1.0)</f>
        <v>1</v>
      </c>
      <c r="F475" s="12">
        <f>IFERROR(__xludf.DUMMYFUNCTION("""COMPUTED_VALUE"""),2.0)</f>
        <v>2</v>
      </c>
      <c r="G475" s="15" t="str">
        <f>IFERROR(__xludf.DUMMYFUNCTION("""COMPUTED_VALUE"""),"Completa")</f>
        <v>Completa</v>
      </c>
      <c r="H475" s="16" t="str">
        <f t="array" ref="H475">_xlfn.XLOOKUP(D475,Productos[ID_Producto],Productos[Nombre_Producto])</f>
        <v>Arroz</v>
      </c>
      <c r="I475" s="17">
        <f t="array" ref="I475">_xlfn.XLOOKUP(D475,Productos[ID_Producto],Productos[Precio_Unitario])</f>
        <v>4.25</v>
      </c>
      <c r="J475" s="17">
        <f t="shared" si="1"/>
        <v>4.25</v>
      </c>
      <c r="K475" s="16" t="str">
        <f t="array" ref="K475">_xlfn.XLOOKUP(C475,Clientes[ID_Cliente],Clientes[Provincia])</f>
        <v>Buenos Aires</v>
      </c>
      <c r="L475" s="16" t="str">
        <f t="array" ref="L475">CONCATENATE(_xlfn.XLOOKUP(C475,Clientes[ID_Cliente],Clientes[Provincia]),", Argentina")</f>
        <v>Buenos Aires, Argentina</v>
      </c>
      <c r="M475" s="20" t="str">
        <f t="array" ref="M475">_xlfn.XLOOKUP(F475,Metodos_De_Pago[ID_Metodo],Metodos_De_Pago[Metodo])</f>
        <v>Tarjeta de Crédito</v>
      </c>
      <c r="N475" s="20" t="str">
        <f t="shared" si="2"/>
        <v>2024 12</v>
      </c>
    </row>
    <row r="476" ht="22.5" customHeight="1">
      <c r="A476" s="12">
        <f>IFERROR(__xludf.DUMMYFUNCTION("""COMPUTED_VALUE"""),1457.0)</f>
        <v>1457</v>
      </c>
      <c r="B476" s="13">
        <f>IFERROR(__xludf.DUMMYFUNCTION("""COMPUTED_VALUE"""),45641.0)</f>
        <v>45641</v>
      </c>
      <c r="C476" s="12">
        <f>IFERROR(__xludf.DUMMYFUNCTION("""COMPUTED_VALUE"""),284.0)</f>
        <v>284</v>
      </c>
      <c r="D476" s="12">
        <f>IFERROR(__xludf.DUMMYFUNCTION("""COMPUTED_VALUE"""),37.0)</f>
        <v>37</v>
      </c>
      <c r="E476" s="12">
        <f>IFERROR(__xludf.DUMMYFUNCTION("""COMPUTED_VALUE"""),1.0)</f>
        <v>1</v>
      </c>
      <c r="F476" s="12">
        <f>IFERROR(__xludf.DUMMYFUNCTION("""COMPUTED_VALUE"""),4.0)</f>
        <v>4</v>
      </c>
      <c r="G476" s="15" t="str">
        <f>IFERROR(__xludf.DUMMYFUNCTION("""COMPUTED_VALUE"""),"Completa")</f>
        <v>Completa</v>
      </c>
      <c r="H476" s="16" t="str">
        <f t="array" ref="H476">_xlfn.XLOOKUP(D476,Productos[ID_Producto],Productos[Nombre_Producto])</f>
        <v>Garbanzos</v>
      </c>
      <c r="I476" s="17">
        <f t="array" ref="I476">_xlfn.XLOOKUP(D476,Productos[ID_Producto],Productos[Precio_Unitario])</f>
        <v>3.65</v>
      </c>
      <c r="J476" s="17">
        <f t="shared" si="1"/>
        <v>3.65</v>
      </c>
      <c r="K476" s="16" t="str">
        <f t="array" ref="K476">_xlfn.XLOOKUP(C476,Clientes[ID_Cliente],Clientes[Provincia])</f>
        <v>Salta</v>
      </c>
      <c r="L476" s="16" t="str">
        <f t="array" ref="L476">CONCATENATE(_xlfn.XLOOKUP(C476,Clientes[ID_Cliente],Clientes[Provincia]),", Argentina")</f>
        <v>Salta, Argentina</v>
      </c>
      <c r="M476" s="20" t="str">
        <f t="array" ref="M476">_xlfn.XLOOKUP(F476,Metodos_De_Pago[ID_Metodo],Metodos_De_Pago[Metodo])</f>
        <v>Mercado Pago</v>
      </c>
      <c r="N476" s="20" t="str">
        <f t="shared" si="2"/>
        <v>2024 12</v>
      </c>
    </row>
    <row r="477" ht="22.5" customHeight="1">
      <c r="A477" s="12">
        <f>IFERROR(__xludf.DUMMYFUNCTION("""COMPUTED_VALUE"""),1631.0)</f>
        <v>1631</v>
      </c>
      <c r="B477" s="13">
        <f>IFERROR(__xludf.DUMMYFUNCTION("""COMPUTED_VALUE"""),45641.0)</f>
        <v>45641</v>
      </c>
      <c r="C477" s="12">
        <f>IFERROR(__xludf.DUMMYFUNCTION("""COMPUTED_VALUE"""),189.0)</f>
        <v>189</v>
      </c>
      <c r="D477" s="12">
        <f>IFERROR(__xludf.DUMMYFUNCTION("""COMPUTED_VALUE"""),36.0)</f>
        <v>36</v>
      </c>
      <c r="E477" s="12">
        <f>IFERROR(__xludf.DUMMYFUNCTION("""COMPUTED_VALUE"""),1.0)</f>
        <v>1</v>
      </c>
      <c r="F477" s="12">
        <f>IFERROR(__xludf.DUMMYFUNCTION("""COMPUTED_VALUE"""),5.0)</f>
        <v>5</v>
      </c>
      <c r="G477" s="15" t="str">
        <f>IFERROR(__xludf.DUMMYFUNCTION("""COMPUTED_VALUE"""),"Pendiente")</f>
        <v>Pendiente</v>
      </c>
      <c r="H477" s="16" t="str">
        <f t="array" ref="H477">_xlfn.XLOOKUP(D477,Productos[ID_Producto],Productos[Nombre_Producto])</f>
        <v>Lentejas</v>
      </c>
      <c r="I477" s="17">
        <f t="array" ref="I477">_xlfn.XLOOKUP(D477,Productos[ID_Producto],Productos[Precio_Unitario])</f>
        <v>3.25</v>
      </c>
      <c r="J477" s="17">
        <f t="shared" si="1"/>
        <v>3.25</v>
      </c>
      <c r="K477" s="16" t="str">
        <f t="array" ref="K477">_xlfn.XLOOKUP(C477,Clientes[ID_Cliente],Clientes[Provincia])</f>
        <v>Neuquén</v>
      </c>
      <c r="L477" s="16" t="str">
        <f t="array" ref="L477">CONCATENATE(_xlfn.XLOOKUP(C477,Clientes[ID_Cliente],Clientes[Provincia]),", Argentina")</f>
        <v>Neuquén, Argentina</v>
      </c>
      <c r="M477" s="20" t="str">
        <f t="array" ref="M477">_xlfn.XLOOKUP(F477,Metodos_De_Pago[ID_Metodo],Metodos_De_Pago[Metodo])</f>
        <v>Transferencia</v>
      </c>
      <c r="N477" s="20" t="str">
        <f t="shared" si="2"/>
        <v>2024 12</v>
      </c>
    </row>
    <row r="478" ht="22.5" customHeight="1">
      <c r="A478" s="12">
        <f>IFERROR(__xludf.DUMMYFUNCTION("""COMPUTED_VALUE"""),360.0)</f>
        <v>360</v>
      </c>
      <c r="B478" s="13">
        <f>IFERROR(__xludf.DUMMYFUNCTION("""COMPUTED_VALUE"""),45642.0)</f>
        <v>45642</v>
      </c>
      <c r="C478" s="12">
        <f>IFERROR(__xludf.DUMMYFUNCTION("""COMPUTED_VALUE"""),139.0)</f>
        <v>139</v>
      </c>
      <c r="D478" s="12">
        <f>IFERROR(__xludf.DUMMYFUNCTION("""COMPUTED_VALUE"""),12.0)</f>
        <v>12</v>
      </c>
      <c r="E478" s="12">
        <f>IFERROR(__xludf.DUMMYFUNCTION("""COMPUTED_VALUE"""),1.0)</f>
        <v>1</v>
      </c>
      <c r="F478" s="12">
        <f>IFERROR(__xludf.DUMMYFUNCTION("""COMPUTED_VALUE"""),4.0)</f>
        <v>4</v>
      </c>
      <c r="G478" s="15" t="str">
        <f>IFERROR(__xludf.DUMMYFUNCTION("""COMPUTED_VALUE"""),"Completa")</f>
        <v>Completa</v>
      </c>
      <c r="H478" s="16" t="str">
        <f t="array" ref="H478">_xlfn.XLOOKUP(D478,Productos[ID_Producto],Productos[Nombre_Producto])</f>
        <v>Pan francés</v>
      </c>
      <c r="I478" s="17">
        <f t="array" ref="I478">_xlfn.XLOOKUP(D478,Productos[ID_Producto],Productos[Precio_Unitario])</f>
        <v>8.12</v>
      </c>
      <c r="J478" s="17">
        <f t="shared" si="1"/>
        <v>8.12</v>
      </c>
      <c r="K478" s="16" t="str">
        <f t="array" ref="K478">_xlfn.XLOOKUP(C478,Clientes[ID_Cliente],Clientes[Provincia])</f>
        <v>Buenos Aires</v>
      </c>
      <c r="L478" s="16" t="str">
        <f t="array" ref="L478">CONCATENATE(_xlfn.XLOOKUP(C478,Clientes[ID_Cliente],Clientes[Provincia]),", Argentina")</f>
        <v>Buenos Aires, Argentina</v>
      </c>
      <c r="M478" s="20" t="str">
        <f t="array" ref="M478">_xlfn.XLOOKUP(F478,Metodos_De_Pago[ID_Metodo],Metodos_De_Pago[Metodo])</f>
        <v>Mercado Pago</v>
      </c>
      <c r="N478" s="20" t="str">
        <f t="shared" si="2"/>
        <v>2024 12</v>
      </c>
    </row>
    <row r="479" ht="22.5" customHeight="1">
      <c r="A479" s="12">
        <f>IFERROR(__xludf.DUMMYFUNCTION("""COMPUTED_VALUE"""),1781.0)</f>
        <v>1781</v>
      </c>
      <c r="B479" s="13">
        <f>IFERROR(__xludf.DUMMYFUNCTION("""COMPUTED_VALUE"""),45643.0)</f>
        <v>45643</v>
      </c>
      <c r="C479" s="12">
        <f>IFERROR(__xludf.DUMMYFUNCTION("""COMPUTED_VALUE"""),177.0)</f>
        <v>177</v>
      </c>
      <c r="D479" s="12">
        <f>IFERROR(__xludf.DUMMYFUNCTION("""COMPUTED_VALUE"""),15.0)</f>
        <v>15</v>
      </c>
      <c r="E479" s="12">
        <f>IFERROR(__xludf.DUMMYFUNCTION("""COMPUTED_VALUE"""),1.0)</f>
        <v>1</v>
      </c>
      <c r="F479" s="12">
        <f>IFERROR(__xludf.DUMMYFUNCTION("""COMPUTED_VALUE"""),4.0)</f>
        <v>4</v>
      </c>
      <c r="G479" s="15" t="str">
        <f>IFERROR(__xludf.DUMMYFUNCTION("""COMPUTED_VALUE"""),"Completa")</f>
        <v>Completa</v>
      </c>
      <c r="H479" s="16" t="str">
        <f t="array" ref="H479">_xlfn.XLOOKUP(D479,Productos[ID_Producto],Productos[Nombre_Producto])</f>
        <v>Medialunas</v>
      </c>
      <c r="I479" s="17">
        <f t="array" ref="I479">_xlfn.XLOOKUP(D479,Productos[ID_Producto],Productos[Precio_Unitario])</f>
        <v>3.51</v>
      </c>
      <c r="J479" s="17">
        <f t="shared" si="1"/>
        <v>3.51</v>
      </c>
      <c r="K479" s="16" t="str">
        <f t="array" ref="K479">_xlfn.XLOOKUP(C479,Clientes[ID_Cliente],Clientes[Provincia])</f>
        <v>Chaco</v>
      </c>
      <c r="L479" s="16" t="str">
        <f t="array" ref="L479">CONCATENATE(_xlfn.XLOOKUP(C479,Clientes[ID_Cliente],Clientes[Provincia]),", Argentina")</f>
        <v>Chaco, Argentina</v>
      </c>
      <c r="M479" s="20" t="str">
        <f t="array" ref="M479">_xlfn.XLOOKUP(F479,Metodos_De_Pago[ID_Metodo],Metodos_De_Pago[Metodo])</f>
        <v>Mercado Pago</v>
      </c>
      <c r="N479" s="20" t="str">
        <f t="shared" si="2"/>
        <v>2024 12</v>
      </c>
    </row>
    <row r="480" ht="22.5" customHeight="1">
      <c r="A480" s="12">
        <f>IFERROR(__xludf.DUMMYFUNCTION("""COMPUTED_VALUE"""),157.0)</f>
        <v>157</v>
      </c>
      <c r="B480" s="13">
        <f>IFERROR(__xludf.DUMMYFUNCTION("""COMPUTED_VALUE"""),45644.0)</f>
        <v>45644</v>
      </c>
      <c r="C480" s="12">
        <f>IFERROR(__xludf.DUMMYFUNCTION("""COMPUTED_VALUE"""),179.0)</f>
        <v>179</v>
      </c>
      <c r="D480" s="12">
        <f>IFERROR(__xludf.DUMMYFUNCTION("""COMPUTED_VALUE"""),18.0)</f>
        <v>18</v>
      </c>
      <c r="E480" s="12">
        <f>IFERROR(__xludf.DUMMYFUNCTION("""COMPUTED_VALUE"""),1.0)</f>
        <v>1</v>
      </c>
      <c r="F480" s="12">
        <f>IFERROR(__xludf.DUMMYFUNCTION("""COMPUTED_VALUE"""),4.0)</f>
        <v>4</v>
      </c>
      <c r="G480" s="15" t="str">
        <f>IFERROR(__xludf.DUMMYFUNCTION("""COMPUTED_VALUE"""),"Pendiente")</f>
        <v>Pendiente</v>
      </c>
      <c r="H480" s="16" t="str">
        <f t="array" ref="H480">_xlfn.XLOOKUP(D480,Productos[ID_Producto],Productos[Nombre_Producto])</f>
        <v>Bananas</v>
      </c>
      <c r="I480" s="17">
        <f t="array" ref="I480">_xlfn.XLOOKUP(D480,Productos[ID_Producto],Productos[Precio_Unitario])</f>
        <v>7.25</v>
      </c>
      <c r="J480" s="17">
        <f t="shared" si="1"/>
        <v>7.25</v>
      </c>
      <c r="K480" s="16" t="str">
        <f t="array" ref="K480">_xlfn.XLOOKUP(C480,Clientes[ID_Cliente],Clientes[Provincia])</f>
        <v>Buenos Aires</v>
      </c>
      <c r="L480" s="16" t="str">
        <f t="array" ref="L480">CONCATENATE(_xlfn.XLOOKUP(C480,Clientes[ID_Cliente],Clientes[Provincia]),", Argentina")</f>
        <v>Buenos Aires, Argentina</v>
      </c>
      <c r="M480" s="20" t="str">
        <f t="array" ref="M480">_xlfn.XLOOKUP(F480,Metodos_De_Pago[ID_Metodo],Metodos_De_Pago[Metodo])</f>
        <v>Mercado Pago</v>
      </c>
      <c r="N480" s="20" t="str">
        <f t="shared" si="2"/>
        <v>2024 12</v>
      </c>
    </row>
    <row r="481" ht="22.5" customHeight="1">
      <c r="A481" s="12">
        <f>IFERROR(__xludf.DUMMYFUNCTION("""COMPUTED_VALUE"""),868.0)</f>
        <v>868</v>
      </c>
      <c r="B481" s="13">
        <f>IFERROR(__xludf.DUMMYFUNCTION("""COMPUTED_VALUE"""),45645.0)</f>
        <v>45645</v>
      </c>
      <c r="C481" s="12">
        <f>IFERROR(__xludf.DUMMYFUNCTION("""COMPUTED_VALUE"""),287.0)</f>
        <v>287</v>
      </c>
      <c r="D481" s="12">
        <f>IFERROR(__xludf.DUMMYFUNCTION("""COMPUTED_VALUE"""),12.0)</f>
        <v>12</v>
      </c>
      <c r="E481" s="12">
        <f>IFERROR(__xludf.DUMMYFUNCTION("""COMPUTED_VALUE"""),1.0)</f>
        <v>1</v>
      </c>
      <c r="F481" s="12">
        <f>IFERROR(__xludf.DUMMYFUNCTION("""COMPUTED_VALUE"""),5.0)</f>
        <v>5</v>
      </c>
      <c r="G481" s="15" t="str">
        <f>IFERROR(__xludf.DUMMYFUNCTION("""COMPUTED_VALUE"""),"Completa")</f>
        <v>Completa</v>
      </c>
      <c r="H481" s="16" t="str">
        <f t="array" ref="H481">_xlfn.XLOOKUP(D481,Productos[ID_Producto],Productos[Nombre_Producto])</f>
        <v>Pan francés</v>
      </c>
      <c r="I481" s="17">
        <f t="array" ref="I481">_xlfn.XLOOKUP(D481,Productos[ID_Producto],Productos[Precio_Unitario])</f>
        <v>8.12</v>
      </c>
      <c r="J481" s="17">
        <f t="shared" si="1"/>
        <v>8.12</v>
      </c>
      <c r="K481" s="16" t="str">
        <f t="array" ref="K481">_xlfn.XLOOKUP(C481,Clientes[ID_Cliente],Clientes[Provincia])</f>
        <v>Chaco</v>
      </c>
      <c r="L481" s="16" t="str">
        <f t="array" ref="L481">CONCATENATE(_xlfn.XLOOKUP(C481,Clientes[ID_Cliente],Clientes[Provincia]),", Argentina")</f>
        <v>Chaco, Argentina</v>
      </c>
      <c r="M481" s="20" t="str">
        <f t="array" ref="M481">_xlfn.XLOOKUP(F481,Metodos_De_Pago[ID_Metodo],Metodos_De_Pago[Metodo])</f>
        <v>Transferencia</v>
      </c>
      <c r="N481" s="20" t="str">
        <f t="shared" si="2"/>
        <v>2024 12</v>
      </c>
    </row>
    <row r="482" ht="22.5" customHeight="1">
      <c r="A482" s="12">
        <f>IFERROR(__xludf.DUMMYFUNCTION("""COMPUTED_VALUE"""),1126.0)</f>
        <v>1126</v>
      </c>
      <c r="B482" s="13">
        <f>IFERROR(__xludf.DUMMYFUNCTION("""COMPUTED_VALUE"""),45645.0)</f>
        <v>45645</v>
      </c>
      <c r="C482" s="12">
        <f>IFERROR(__xludf.DUMMYFUNCTION("""COMPUTED_VALUE"""),315.0)</f>
        <v>315</v>
      </c>
      <c r="D482" s="12">
        <f>IFERROR(__xludf.DUMMYFUNCTION("""COMPUTED_VALUE"""),34.0)</f>
        <v>34</v>
      </c>
      <c r="E482" s="12">
        <f>IFERROR(__xludf.DUMMYFUNCTION("""COMPUTED_VALUE"""),1.0)</f>
        <v>1</v>
      </c>
      <c r="F482" s="12">
        <f>IFERROR(__xludf.DUMMYFUNCTION("""COMPUTED_VALUE"""),2.0)</f>
        <v>2</v>
      </c>
      <c r="G482" s="15" t="str">
        <f>IFERROR(__xludf.DUMMYFUNCTION("""COMPUTED_VALUE"""),"Completa")</f>
        <v>Completa</v>
      </c>
      <c r="H482" s="16" t="str">
        <f t="array" ref="H482">_xlfn.XLOOKUP(D482,Productos[ID_Producto],Productos[Nombre_Producto])</f>
        <v>Maníes</v>
      </c>
      <c r="I482" s="17">
        <f t="array" ref="I482">_xlfn.XLOOKUP(D482,Productos[ID_Producto],Productos[Precio_Unitario])</f>
        <v>5.45</v>
      </c>
      <c r="J482" s="17">
        <f t="shared" si="1"/>
        <v>5.45</v>
      </c>
      <c r="K482" s="16" t="str">
        <f t="array" ref="K482">_xlfn.XLOOKUP(C482,Clientes[ID_Cliente],Clientes[Provincia])</f>
        <v>Buenos Aires</v>
      </c>
      <c r="L482" s="16" t="str">
        <f t="array" ref="L482">CONCATENATE(_xlfn.XLOOKUP(C482,Clientes[ID_Cliente],Clientes[Provincia]),", Argentina")</f>
        <v>Buenos Aires, Argentina</v>
      </c>
      <c r="M482" s="20" t="str">
        <f t="array" ref="M482">_xlfn.XLOOKUP(F482,Metodos_De_Pago[ID_Metodo],Metodos_De_Pago[Metodo])</f>
        <v>Tarjeta de Crédito</v>
      </c>
      <c r="N482" s="20" t="str">
        <f t="shared" si="2"/>
        <v>2024 12</v>
      </c>
    </row>
    <row r="483" ht="22.5" customHeight="1">
      <c r="A483" s="12">
        <f>IFERROR(__xludf.DUMMYFUNCTION("""COMPUTED_VALUE"""),1660.0)</f>
        <v>1660</v>
      </c>
      <c r="B483" s="13">
        <f>IFERROR(__xludf.DUMMYFUNCTION("""COMPUTED_VALUE"""),45645.0)</f>
        <v>45645</v>
      </c>
      <c r="C483" s="12">
        <f>IFERROR(__xludf.DUMMYFUNCTION("""COMPUTED_VALUE"""),313.0)</f>
        <v>313</v>
      </c>
      <c r="D483" s="12">
        <f>IFERROR(__xludf.DUMMYFUNCTION("""COMPUTED_VALUE"""),17.0)</f>
        <v>17</v>
      </c>
      <c r="E483" s="12">
        <f>IFERROR(__xludf.DUMMYFUNCTION("""COMPUTED_VALUE"""),1.0)</f>
        <v>1</v>
      </c>
      <c r="F483" s="12">
        <f>IFERROR(__xludf.DUMMYFUNCTION("""COMPUTED_VALUE"""),2.0)</f>
        <v>2</v>
      </c>
      <c r="G483" s="15" t="str">
        <f>IFERROR(__xludf.DUMMYFUNCTION("""COMPUTED_VALUE"""),"Completa")</f>
        <v>Completa</v>
      </c>
      <c r="H483" s="16" t="str">
        <f t="array" ref="H483">_xlfn.XLOOKUP(D483,Productos[ID_Producto],Productos[Nombre_Producto])</f>
        <v>Manzanas</v>
      </c>
      <c r="I483" s="17">
        <f t="array" ref="I483">_xlfn.XLOOKUP(D483,Productos[ID_Producto],Productos[Precio_Unitario])</f>
        <v>6.54</v>
      </c>
      <c r="J483" s="17">
        <f t="shared" si="1"/>
        <v>6.54</v>
      </c>
      <c r="K483" s="16" t="str">
        <f t="array" ref="K483">_xlfn.XLOOKUP(C483,Clientes[ID_Cliente],Clientes[Provincia])</f>
        <v>San Luis</v>
      </c>
      <c r="L483" s="16" t="str">
        <f t="array" ref="L483">CONCATENATE(_xlfn.XLOOKUP(C483,Clientes[ID_Cliente],Clientes[Provincia]),", Argentina")</f>
        <v>San Luis, Argentina</v>
      </c>
      <c r="M483" s="20" t="str">
        <f t="array" ref="M483">_xlfn.XLOOKUP(F483,Metodos_De_Pago[ID_Metodo],Metodos_De_Pago[Metodo])</f>
        <v>Tarjeta de Crédito</v>
      </c>
      <c r="N483" s="20" t="str">
        <f t="shared" si="2"/>
        <v>2024 12</v>
      </c>
    </row>
    <row r="484" ht="22.5" customHeight="1">
      <c r="A484" s="12">
        <f>IFERROR(__xludf.DUMMYFUNCTION("""COMPUTED_VALUE"""),2358.0)</f>
        <v>2358</v>
      </c>
      <c r="B484" s="13">
        <f>IFERROR(__xludf.DUMMYFUNCTION("""COMPUTED_VALUE"""),45645.0)</f>
        <v>45645</v>
      </c>
      <c r="C484" s="12">
        <f>IFERROR(__xludf.DUMMYFUNCTION("""COMPUTED_VALUE"""),316.0)</f>
        <v>316</v>
      </c>
      <c r="D484" s="12">
        <f>IFERROR(__xludf.DUMMYFUNCTION("""COMPUTED_VALUE"""),28.0)</f>
        <v>28</v>
      </c>
      <c r="E484" s="12">
        <f>IFERROR(__xludf.DUMMYFUNCTION("""COMPUTED_VALUE"""),1.0)</f>
        <v>1</v>
      </c>
      <c r="F484" s="12">
        <f>IFERROR(__xludf.DUMMYFUNCTION("""COMPUTED_VALUE"""),5.0)</f>
        <v>5</v>
      </c>
      <c r="G484" s="15" t="str">
        <f>IFERROR(__xludf.DUMMYFUNCTION("""COMPUTED_VALUE"""),"Completa")</f>
        <v>Completa</v>
      </c>
      <c r="H484" s="16" t="str">
        <f t="array" ref="H484">_xlfn.XLOOKUP(D484,Productos[ID_Producto],Productos[Nombre_Producto])</f>
        <v>Jugos de frutas</v>
      </c>
      <c r="I484" s="17">
        <f t="array" ref="I484">_xlfn.XLOOKUP(D484,Productos[ID_Producto],Productos[Precio_Unitario])</f>
        <v>9.45</v>
      </c>
      <c r="J484" s="17">
        <f t="shared" si="1"/>
        <v>9.45</v>
      </c>
      <c r="K484" s="16" t="str">
        <f t="array" ref="K484">_xlfn.XLOOKUP(C484,Clientes[ID_Cliente],Clientes[Provincia])</f>
        <v>Córdoba</v>
      </c>
      <c r="L484" s="16" t="str">
        <f t="array" ref="L484">CONCATENATE(_xlfn.XLOOKUP(C484,Clientes[ID_Cliente],Clientes[Provincia]),", Argentina")</f>
        <v>Córdoba, Argentina</v>
      </c>
      <c r="M484" s="20" t="str">
        <f t="array" ref="M484">_xlfn.XLOOKUP(F484,Metodos_De_Pago[ID_Metodo],Metodos_De_Pago[Metodo])</f>
        <v>Transferencia</v>
      </c>
      <c r="N484" s="20" t="str">
        <f t="shared" si="2"/>
        <v>2024 12</v>
      </c>
    </row>
    <row r="485" ht="22.5" customHeight="1">
      <c r="A485" s="12">
        <f>IFERROR(__xludf.DUMMYFUNCTION("""COMPUTED_VALUE"""),562.0)</f>
        <v>562</v>
      </c>
      <c r="B485" s="13">
        <f>IFERROR(__xludf.DUMMYFUNCTION("""COMPUTED_VALUE"""),45647.0)</f>
        <v>45647</v>
      </c>
      <c r="C485" s="12">
        <f>IFERROR(__xludf.DUMMYFUNCTION("""COMPUTED_VALUE"""),248.0)</f>
        <v>248</v>
      </c>
      <c r="D485" s="12">
        <f>IFERROR(__xludf.DUMMYFUNCTION("""COMPUTED_VALUE"""),13.0)</f>
        <v>13</v>
      </c>
      <c r="E485" s="12">
        <f>IFERROR(__xludf.DUMMYFUNCTION("""COMPUTED_VALUE"""),1.0)</f>
        <v>1</v>
      </c>
      <c r="F485" s="12">
        <f>IFERROR(__xludf.DUMMYFUNCTION("""COMPUTED_VALUE"""),5.0)</f>
        <v>5</v>
      </c>
      <c r="G485" s="15" t="str">
        <f>IFERROR(__xludf.DUMMYFUNCTION("""COMPUTED_VALUE"""),"Completa")</f>
        <v>Completa</v>
      </c>
      <c r="H485" s="16" t="str">
        <f t="array" ref="H485">_xlfn.XLOOKUP(D485,Productos[ID_Producto],Productos[Nombre_Producto])</f>
        <v>Pan integral</v>
      </c>
      <c r="I485" s="17">
        <f t="array" ref="I485">_xlfn.XLOOKUP(D485,Productos[ID_Producto],Productos[Precio_Unitario])</f>
        <v>12.56</v>
      </c>
      <c r="J485" s="17">
        <f t="shared" si="1"/>
        <v>12.56</v>
      </c>
      <c r="K485" s="16" t="str">
        <f t="array" ref="K485">_xlfn.XLOOKUP(C485,Clientes[ID_Cliente],Clientes[Provincia])</f>
        <v>Córdoba</v>
      </c>
      <c r="L485" s="16" t="str">
        <f t="array" ref="L485">CONCATENATE(_xlfn.XLOOKUP(C485,Clientes[ID_Cliente],Clientes[Provincia]),", Argentina")</f>
        <v>Córdoba, Argentina</v>
      </c>
      <c r="M485" s="20" t="str">
        <f t="array" ref="M485">_xlfn.XLOOKUP(F485,Metodos_De_Pago[ID_Metodo],Metodos_De_Pago[Metodo])</f>
        <v>Transferencia</v>
      </c>
      <c r="N485" s="20" t="str">
        <f t="shared" si="2"/>
        <v>2024 12</v>
      </c>
    </row>
    <row r="486" ht="22.5" customHeight="1">
      <c r="A486" s="12">
        <f>IFERROR(__xludf.DUMMYFUNCTION("""COMPUTED_VALUE"""),1403.0)</f>
        <v>1403</v>
      </c>
      <c r="B486" s="13">
        <f>IFERROR(__xludf.DUMMYFUNCTION("""COMPUTED_VALUE"""),45647.0)</f>
        <v>45647</v>
      </c>
      <c r="C486" s="12">
        <f>IFERROR(__xludf.DUMMYFUNCTION("""COMPUTED_VALUE"""),79.0)</f>
        <v>79</v>
      </c>
      <c r="D486" s="12">
        <f>IFERROR(__xludf.DUMMYFUNCTION("""COMPUTED_VALUE"""),15.0)</f>
        <v>15</v>
      </c>
      <c r="E486" s="12">
        <f>IFERROR(__xludf.DUMMYFUNCTION("""COMPUTED_VALUE"""),1.0)</f>
        <v>1</v>
      </c>
      <c r="F486" s="12">
        <f>IFERROR(__xludf.DUMMYFUNCTION("""COMPUTED_VALUE"""),2.0)</f>
        <v>2</v>
      </c>
      <c r="G486" s="15" t="str">
        <f>IFERROR(__xludf.DUMMYFUNCTION("""COMPUTED_VALUE"""),"Completa")</f>
        <v>Completa</v>
      </c>
      <c r="H486" s="16" t="str">
        <f t="array" ref="H486">_xlfn.XLOOKUP(D486,Productos[ID_Producto],Productos[Nombre_Producto])</f>
        <v>Medialunas</v>
      </c>
      <c r="I486" s="17">
        <f t="array" ref="I486">_xlfn.XLOOKUP(D486,Productos[ID_Producto],Productos[Precio_Unitario])</f>
        <v>3.51</v>
      </c>
      <c r="J486" s="17">
        <f t="shared" si="1"/>
        <v>3.51</v>
      </c>
      <c r="K486" s="16" t="str">
        <f t="array" ref="K486">_xlfn.XLOOKUP(C486,Clientes[ID_Cliente],Clientes[Provincia])</f>
        <v>Neuquén</v>
      </c>
      <c r="L486" s="16" t="str">
        <f t="array" ref="L486">CONCATENATE(_xlfn.XLOOKUP(C486,Clientes[ID_Cliente],Clientes[Provincia]),", Argentina")</f>
        <v>Neuquén, Argentina</v>
      </c>
      <c r="M486" s="20" t="str">
        <f t="array" ref="M486">_xlfn.XLOOKUP(F486,Metodos_De_Pago[ID_Metodo],Metodos_De_Pago[Metodo])</f>
        <v>Tarjeta de Crédito</v>
      </c>
      <c r="N486" s="20" t="str">
        <f t="shared" si="2"/>
        <v>2024 12</v>
      </c>
    </row>
    <row r="487" ht="22.5" customHeight="1">
      <c r="A487" s="12">
        <f>IFERROR(__xludf.DUMMYFUNCTION("""COMPUTED_VALUE"""),1825.0)</f>
        <v>1825</v>
      </c>
      <c r="B487" s="13">
        <f>IFERROR(__xludf.DUMMYFUNCTION("""COMPUTED_VALUE"""),45647.0)</f>
        <v>45647</v>
      </c>
      <c r="C487" s="12">
        <f>IFERROR(__xludf.DUMMYFUNCTION("""COMPUTED_VALUE"""),136.0)</f>
        <v>136</v>
      </c>
      <c r="D487" s="12">
        <f>IFERROR(__xludf.DUMMYFUNCTION("""COMPUTED_VALUE"""),24.0)</f>
        <v>24</v>
      </c>
      <c r="E487" s="12">
        <f>IFERROR(__xludf.DUMMYFUNCTION("""COMPUTED_VALUE"""),1.0)</f>
        <v>1</v>
      </c>
      <c r="F487" s="12">
        <f>IFERROR(__xludf.DUMMYFUNCTION("""COMPUTED_VALUE"""),4.0)</f>
        <v>4</v>
      </c>
      <c r="G487" s="15" t="str">
        <f>IFERROR(__xludf.DUMMYFUNCTION("""COMPUTED_VALUE"""),"Completa")</f>
        <v>Completa</v>
      </c>
      <c r="H487" s="16" t="str">
        <f t="array" ref="H487">_xlfn.XLOOKUP(D487,Productos[ID_Producto],Productos[Nombre_Producto])</f>
        <v>Empanadas</v>
      </c>
      <c r="I487" s="17">
        <f t="array" ref="I487">_xlfn.XLOOKUP(D487,Productos[ID_Producto],Productos[Precio_Unitario])</f>
        <v>13.54</v>
      </c>
      <c r="J487" s="17">
        <f t="shared" si="1"/>
        <v>13.54</v>
      </c>
      <c r="K487" s="16" t="str">
        <f t="array" ref="K487">_xlfn.XLOOKUP(C487,Clientes[ID_Cliente],Clientes[Provincia])</f>
        <v>Neuquén</v>
      </c>
      <c r="L487" s="16" t="str">
        <f t="array" ref="L487">CONCATENATE(_xlfn.XLOOKUP(C487,Clientes[ID_Cliente],Clientes[Provincia]),", Argentina")</f>
        <v>Neuquén, Argentina</v>
      </c>
      <c r="M487" s="20" t="str">
        <f t="array" ref="M487">_xlfn.XLOOKUP(F487,Metodos_De_Pago[ID_Metodo],Metodos_De_Pago[Metodo])</f>
        <v>Mercado Pago</v>
      </c>
      <c r="N487" s="20" t="str">
        <f t="shared" si="2"/>
        <v>2024 12</v>
      </c>
    </row>
    <row r="488" ht="22.5" customHeight="1">
      <c r="A488" s="12">
        <f>IFERROR(__xludf.DUMMYFUNCTION("""COMPUTED_VALUE"""),144.0)</f>
        <v>144</v>
      </c>
      <c r="B488" s="13">
        <f>IFERROR(__xludf.DUMMYFUNCTION("""COMPUTED_VALUE"""),45648.0)</f>
        <v>45648</v>
      </c>
      <c r="C488" s="12">
        <f>IFERROR(__xludf.DUMMYFUNCTION("""COMPUTED_VALUE"""),47.0)</f>
        <v>47</v>
      </c>
      <c r="D488" s="12">
        <f>IFERROR(__xludf.DUMMYFUNCTION("""COMPUTED_VALUE"""),10.0)</f>
        <v>10</v>
      </c>
      <c r="E488" s="12">
        <f>IFERROR(__xludf.DUMMYFUNCTION("""COMPUTED_VALUE"""),1.0)</f>
        <v>1</v>
      </c>
      <c r="F488" s="12">
        <f>IFERROR(__xludf.DUMMYFUNCTION("""COMPUTED_VALUE"""),4.0)</f>
        <v>4</v>
      </c>
      <c r="G488" s="15" t="str">
        <f>IFERROR(__xludf.DUMMYFUNCTION("""COMPUTED_VALUE"""),"Pendiente")</f>
        <v>Pendiente</v>
      </c>
      <c r="H488" s="16" t="str">
        <f t="array" ref="H488">_xlfn.XLOOKUP(D488,Productos[ID_Producto],Productos[Nombre_Producto])</f>
        <v>Costilla de cerdo</v>
      </c>
      <c r="I488" s="17">
        <f t="array" ref="I488">_xlfn.XLOOKUP(D488,Productos[ID_Producto],Productos[Precio_Unitario])</f>
        <v>14.25</v>
      </c>
      <c r="J488" s="17">
        <f t="shared" si="1"/>
        <v>14.25</v>
      </c>
      <c r="K488" s="16" t="str">
        <f t="array" ref="K488">_xlfn.XLOOKUP(C488,Clientes[ID_Cliente],Clientes[Provincia])</f>
        <v>Buenos Aires</v>
      </c>
      <c r="L488" s="16" t="str">
        <f t="array" ref="L488">CONCATENATE(_xlfn.XLOOKUP(C488,Clientes[ID_Cliente],Clientes[Provincia]),", Argentina")</f>
        <v>Buenos Aires, Argentina</v>
      </c>
      <c r="M488" s="20" t="str">
        <f t="array" ref="M488">_xlfn.XLOOKUP(F488,Metodos_De_Pago[ID_Metodo],Metodos_De_Pago[Metodo])</f>
        <v>Mercado Pago</v>
      </c>
      <c r="N488" s="20" t="str">
        <f t="shared" si="2"/>
        <v>2024 12</v>
      </c>
    </row>
    <row r="489" ht="22.5" customHeight="1">
      <c r="A489" s="12">
        <f>IFERROR(__xludf.DUMMYFUNCTION("""COMPUTED_VALUE"""),1779.0)</f>
        <v>1779</v>
      </c>
      <c r="B489" s="13">
        <f>IFERROR(__xludf.DUMMYFUNCTION("""COMPUTED_VALUE"""),45648.0)</f>
        <v>45648</v>
      </c>
      <c r="C489" s="12">
        <f>IFERROR(__xludf.DUMMYFUNCTION("""COMPUTED_VALUE"""),81.0)</f>
        <v>81</v>
      </c>
      <c r="D489" s="12">
        <f>IFERROR(__xludf.DUMMYFUNCTION("""COMPUTED_VALUE"""),15.0)</f>
        <v>15</v>
      </c>
      <c r="E489" s="12">
        <f>IFERROR(__xludf.DUMMYFUNCTION("""COMPUTED_VALUE"""),1.0)</f>
        <v>1</v>
      </c>
      <c r="F489" s="12">
        <f>IFERROR(__xludf.DUMMYFUNCTION("""COMPUTED_VALUE"""),5.0)</f>
        <v>5</v>
      </c>
      <c r="G489" s="15" t="str">
        <f>IFERROR(__xludf.DUMMYFUNCTION("""COMPUTED_VALUE"""),"Completa")</f>
        <v>Completa</v>
      </c>
      <c r="H489" s="16" t="str">
        <f t="array" ref="H489">_xlfn.XLOOKUP(D489,Productos[ID_Producto],Productos[Nombre_Producto])</f>
        <v>Medialunas</v>
      </c>
      <c r="I489" s="17">
        <f t="array" ref="I489">_xlfn.XLOOKUP(D489,Productos[ID_Producto],Productos[Precio_Unitario])</f>
        <v>3.51</v>
      </c>
      <c r="J489" s="17">
        <f t="shared" si="1"/>
        <v>3.51</v>
      </c>
      <c r="K489" s="16" t="str">
        <f t="array" ref="K489">_xlfn.XLOOKUP(C489,Clientes[ID_Cliente],Clientes[Provincia])</f>
        <v>Buenos Aires</v>
      </c>
      <c r="L489" s="16" t="str">
        <f t="array" ref="L489">CONCATENATE(_xlfn.XLOOKUP(C489,Clientes[ID_Cliente],Clientes[Provincia]),", Argentina")</f>
        <v>Buenos Aires, Argentina</v>
      </c>
      <c r="M489" s="20" t="str">
        <f t="array" ref="M489">_xlfn.XLOOKUP(F489,Metodos_De_Pago[ID_Metodo],Metodos_De_Pago[Metodo])</f>
        <v>Transferencia</v>
      </c>
      <c r="N489" s="20" t="str">
        <f t="shared" si="2"/>
        <v>2024 12</v>
      </c>
    </row>
    <row r="490" ht="22.5" customHeight="1">
      <c r="A490" s="12">
        <f>IFERROR(__xludf.DUMMYFUNCTION("""COMPUTED_VALUE"""),2259.0)</f>
        <v>2259</v>
      </c>
      <c r="B490" s="13">
        <f>IFERROR(__xludf.DUMMYFUNCTION("""COMPUTED_VALUE"""),45648.0)</f>
        <v>45648</v>
      </c>
      <c r="C490" s="12">
        <f>IFERROR(__xludf.DUMMYFUNCTION("""COMPUTED_VALUE"""),103.0)</f>
        <v>103</v>
      </c>
      <c r="D490" s="12">
        <f>IFERROR(__xludf.DUMMYFUNCTION("""COMPUTED_VALUE"""),5.0)</f>
        <v>5</v>
      </c>
      <c r="E490" s="12">
        <f>IFERROR(__xludf.DUMMYFUNCTION("""COMPUTED_VALUE"""),1.0)</f>
        <v>1</v>
      </c>
      <c r="F490" s="12">
        <f>IFERROR(__xludf.DUMMYFUNCTION("""COMPUTED_VALUE"""),5.0)</f>
        <v>5</v>
      </c>
      <c r="G490" s="15" t="str">
        <f>IFERROR(__xludf.DUMMYFUNCTION("""COMPUTED_VALUE"""),"Completa")</f>
        <v>Completa</v>
      </c>
      <c r="H490" s="16" t="str">
        <f t="array" ref="H490">_xlfn.XLOOKUP(D490,Productos[ID_Producto],Productos[Nombre_Producto])</f>
        <v>Manteca</v>
      </c>
      <c r="I490" s="17">
        <f t="array" ref="I490">_xlfn.XLOOKUP(D490,Productos[ID_Producto],Productos[Precio_Unitario])</f>
        <v>5.65</v>
      </c>
      <c r="J490" s="17">
        <f t="shared" si="1"/>
        <v>5.65</v>
      </c>
      <c r="K490" s="16" t="str">
        <f t="array" ref="K490">_xlfn.XLOOKUP(C490,Clientes[ID_Cliente],Clientes[Provincia])</f>
        <v>Neuquén</v>
      </c>
      <c r="L490" s="16" t="str">
        <f t="array" ref="L490">CONCATENATE(_xlfn.XLOOKUP(C490,Clientes[ID_Cliente],Clientes[Provincia]),", Argentina")</f>
        <v>Neuquén, Argentina</v>
      </c>
      <c r="M490" s="20" t="str">
        <f t="array" ref="M490">_xlfn.XLOOKUP(F490,Metodos_De_Pago[ID_Metodo],Metodos_De_Pago[Metodo])</f>
        <v>Transferencia</v>
      </c>
      <c r="N490" s="20" t="str">
        <f t="shared" si="2"/>
        <v>2024 12</v>
      </c>
    </row>
    <row r="491" ht="22.5" customHeight="1">
      <c r="A491" s="12">
        <f>IFERROR(__xludf.DUMMYFUNCTION("""COMPUTED_VALUE"""),1301.0)</f>
        <v>1301</v>
      </c>
      <c r="B491" s="13">
        <f>IFERROR(__xludf.DUMMYFUNCTION("""COMPUTED_VALUE"""),45650.0)</f>
        <v>45650</v>
      </c>
      <c r="C491" s="12">
        <f>IFERROR(__xludf.DUMMYFUNCTION("""COMPUTED_VALUE"""),158.0)</f>
        <v>158</v>
      </c>
      <c r="D491" s="12">
        <f>IFERROR(__xludf.DUMMYFUNCTION("""COMPUTED_VALUE"""),6.0)</f>
        <v>6</v>
      </c>
      <c r="E491" s="12">
        <f>IFERROR(__xludf.DUMMYFUNCTION("""COMPUTED_VALUE"""),1.0)</f>
        <v>1</v>
      </c>
      <c r="F491" s="12">
        <f>IFERROR(__xludf.DUMMYFUNCTION("""COMPUTED_VALUE"""),5.0)</f>
        <v>5</v>
      </c>
      <c r="G491" s="15" t="str">
        <f>IFERROR(__xludf.DUMMYFUNCTION("""COMPUTED_VALUE"""),"Completa")</f>
        <v>Completa</v>
      </c>
      <c r="H491" s="16" t="str">
        <f t="array" ref="H491">_xlfn.XLOOKUP(D491,Productos[ID_Producto],Productos[Nombre_Producto])</f>
        <v>Asado</v>
      </c>
      <c r="I491" s="17">
        <f t="array" ref="I491">_xlfn.XLOOKUP(D491,Productos[ID_Producto],Productos[Precio_Unitario])</f>
        <v>28.56</v>
      </c>
      <c r="J491" s="17">
        <f t="shared" si="1"/>
        <v>28.56</v>
      </c>
      <c r="K491" s="16" t="str">
        <f t="array" ref="K491">_xlfn.XLOOKUP(C491,Clientes[ID_Cliente],Clientes[Provincia])</f>
        <v>Buenos Aires</v>
      </c>
      <c r="L491" s="16" t="str">
        <f t="array" ref="L491">CONCATENATE(_xlfn.XLOOKUP(C491,Clientes[ID_Cliente],Clientes[Provincia]),", Argentina")</f>
        <v>Buenos Aires, Argentina</v>
      </c>
      <c r="M491" s="20" t="str">
        <f t="array" ref="M491">_xlfn.XLOOKUP(F491,Metodos_De_Pago[ID_Metodo],Metodos_De_Pago[Metodo])</f>
        <v>Transferencia</v>
      </c>
      <c r="N491" s="20" t="str">
        <f t="shared" si="2"/>
        <v>2024 12</v>
      </c>
    </row>
    <row r="492" ht="22.5" customHeight="1">
      <c r="A492" s="12">
        <f>IFERROR(__xludf.DUMMYFUNCTION("""COMPUTED_VALUE"""),2747.0)</f>
        <v>2747</v>
      </c>
      <c r="B492" s="13">
        <f>IFERROR(__xludf.DUMMYFUNCTION("""COMPUTED_VALUE"""),45650.0)</f>
        <v>45650</v>
      </c>
      <c r="C492" s="12">
        <f>IFERROR(__xludf.DUMMYFUNCTION("""COMPUTED_VALUE"""),54.0)</f>
        <v>54</v>
      </c>
      <c r="D492" s="12">
        <f>IFERROR(__xludf.DUMMYFUNCTION("""COMPUTED_VALUE"""),24.0)</f>
        <v>24</v>
      </c>
      <c r="E492" s="12">
        <f>IFERROR(__xludf.DUMMYFUNCTION("""COMPUTED_VALUE"""),1.0)</f>
        <v>1</v>
      </c>
      <c r="F492" s="12">
        <f>IFERROR(__xludf.DUMMYFUNCTION("""COMPUTED_VALUE"""),1.0)</f>
        <v>1</v>
      </c>
      <c r="G492" s="15" t="str">
        <f>IFERROR(__xludf.DUMMYFUNCTION("""COMPUTED_VALUE"""),"Completa")</f>
        <v>Completa</v>
      </c>
      <c r="H492" s="16" t="str">
        <f t="array" ref="H492">_xlfn.XLOOKUP(D492,Productos[ID_Producto],Productos[Nombre_Producto])</f>
        <v>Empanadas</v>
      </c>
      <c r="I492" s="17">
        <f t="array" ref="I492">_xlfn.XLOOKUP(D492,Productos[ID_Producto],Productos[Precio_Unitario])</f>
        <v>13.54</v>
      </c>
      <c r="J492" s="17">
        <f t="shared" si="1"/>
        <v>13.54</v>
      </c>
      <c r="K492" s="16" t="str">
        <f t="array" ref="K492">_xlfn.XLOOKUP(C492,Clientes[ID_Cliente],Clientes[Provincia])</f>
        <v>Buenos Aires</v>
      </c>
      <c r="L492" s="16" t="str">
        <f t="array" ref="L492">CONCATENATE(_xlfn.XLOOKUP(C492,Clientes[ID_Cliente],Clientes[Provincia]),", Argentina")</f>
        <v>Buenos Aires, Argentina</v>
      </c>
      <c r="M492" s="20" t="str">
        <f t="array" ref="M492">_xlfn.XLOOKUP(F492,Metodos_De_Pago[ID_Metodo],Metodos_De_Pago[Metodo])</f>
        <v>Efectivo</v>
      </c>
      <c r="N492" s="20" t="str">
        <f t="shared" si="2"/>
        <v>2024 12</v>
      </c>
    </row>
    <row r="493" ht="22.5" customHeight="1">
      <c r="A493" s="12">
        <f>IFERROR(__xludf.DUMMYFUNCTION("""COMPUTED_VALUE"""),9.0)</f>
        <v>9</v>
      </c>
      <c r="B493" s="13">
        <f>IFERROR(__xludf.DUMMYFUNCTION("""COMPUTED_VALUE"""),45652.0)</f>
        <v>45652</v>
      </c>
      <c r="C493" s="12">
        <f>IFERROR(__xludf.DUMMYFUNCTION("""COMPUTED_VALUE"""),21.0)</f>
        <v>21</v>
      </c>
      <c r="D493" s="12">
        <f>IFERROR(__xludf.DUMMYFUNCTION("""COMPUTED_VALUE"""),34.0)</f>
        <v>34</v>
      </c>
      <c r="E493" s="12">
        <f>IFERROR(__xludf.DUMMYFUNCTION("""COMPUTED_VALUE"""),1.0)</f>
        <v>1</v>
      </c>
      <c r="F493" s="12">
        <f>IFERROR(__xludf.DUMMYFUNCTION("""COMPUTED_VALUE"""),5.0)</f>
        <v>5</v>
      </c>
      <c r="G493" s="15" t="str">
        <f>IFERROR(__xludf.DUMMYFUNCTION("""COMPUTED_VALUE"""),"Completa")</f>
        <v>Completa</v>
      </c>
      <c r="H493" s="16" t="str">
        <f t="array" ref="H493">_xlfn.XLOOKUP(D493,Productos[ID_Producto],Productos[Nombre_Producto])</f>
        <v>Maníes</v>
      </c>
      <c r="I493" s="17">
        <f t="array" ref="I493">_xlfn.XLOOKUP(D493,Productos[ID_Producto],Productos[Precio_Unitario])</f>
        <v>5.45</v>
      </c>
      <c r="J493" s="17">
        <f t="shared" si="1"/>
        <v>5.45</v>
      </c>
      <c r="K493" s="16" t="str">
        <f t="array" ref="K493">_xlfn.XLOOKUP(C493,Clientes[ID_Cliente],Clientes[Provincia])</f>
        <v>Buenos Aires</v>
      </c>
      <c r="L493" s="16" t="str">
        <f t="array" ref="L493">CONCATENATE(_xlfn.XLOOKUP(C493,Clientes[ID_Cliente],Clientes[Provincia]),", Argentina")</f>
        <v>Buenos Aires, Argentina</v>
      </c>
      <c r="M493" s="20" t="str">
        <f t="array" ref="M493">_xlfn.XLOOKUP(F493,Metodos_De_Pago[ID_Metodo],Metodos_De_Pago[Metodo])</f>
        <v>Transferencia</v>
      </c>
      <c r="N493" s="20" t="str">
        <f t="shared" si="2"/>
        <v>2024 12</v>
      </c>
    </row>
    <row r="494" ht="22.5" customHeight="1">
      <c r="A494" s="12">
        <f>IFERROR(__xludf.DUMMYFUNCTION("""COMPUTED_VALUE"""),1076.0)</f>
        <v>1076</v>
      </c>
      <c r="B494" s="13">
        <f>IFERROR(__xludf.DUMMYFUNCTION("""COMPUTED_VALUE"""),45653.0)</f>
        <v>45653</v>
      </c>
      <c r="C494" s="12">
        <f>IFERROR(__xludf.DUMMYFUNCTION("""COMPUTED_VALUE"""),316.0)</f>
        <v>316</v>
      </c>
      <c r="D494" s="12">
        <f>IFERROR(__xludf.DUMMYFUNCTION("""COMPUTED_VALUE"""),2.0)</f>
        <v>2</v>
      </c>
      <c r="E494" s="12">
        <f>IFERROR(__xludf.DUMMYFUNCTION("""COMPUTED_VALUE"""),1.0)</f>
        <v>1</v>
      </c>
      <c r="F494" s="12">
        <f>IFERROR(__xludf.DUMMYFUNCTION("""COMPUTED_VALUE"""),3.0)</f>
        <v>3</v>
      </c>
      <c r="G494" s="15" t="str">
        <f>IFERROR(__xludf.DUMMYFUNCTION("""COMPUTED_VALUE"""),"Completa")</f>
        <v>Completa</v>
      </c>
      <c r="H494" s="16" t="str">
        <f t="array" ref="H494">_xlfn.XLOOKUP(D494,Productos[ID_Producto],Productos[Nombre_Producto])</f>
        <v>Yogur</v>
      </c>
      <c r="I494" s="17">
        <f t="array" ref="I494">_xlfn.XLOOKUP(D494,Productos[ID_Producto],Productos[Precio_Unitario])</f>
        <v>5.21</v>
      </c>
      <c r="J494" s="17">
        <f t="shared" si="1"/>
        <v>5.21</v>
      </c>
      <c r="K494" s="16" t="str">
        <f t="array" ref="K494">_xlfn.XLOOKUP(C494,Clientes[ID_Cliente],Clientes[Provincia])</f>
        <v>Córdoba</v>
      </c>
      <c r="L494" s="16" t="str">
        <f t="array" ref="L494">CONCATENATE(_xlfn.XLOOKUP(C494,Clientes[ID_Cliente],Clientes[Provincia]),", Argentina")</f>
        <v>Córdoba, Argentina</v>
      </c>
      <c r="M494" s="20" t="str">
        <f t="array" ref="M494">_xlfn.XLOOKUP(F494,Metodos_De_Pago[ID_Metodo],Metodos_De_Pago[Metodo])</f>
        <v>Tarjeta de Débito</v>
      </c>
      <c r="N494" s="20" t="str">
        <f t="shared" si="2"/>
        <v>2024 12</v>
      </c>
    </row>
    <row r="495" ht="22.5" customHeight="1">
      <c r="A495" s="12">
        <f>IFERROR(__xludf.DUMMYFUNCTION("""COMPUTED_VALUE"""),1770.0)</f>
        <v>1770</v>
      </c>
      <c r="B495" s="13">
        <f>IFERROR(__xludf.DUMMYFUNCTION("""COMPUTED_VALUE"""),45654.0)</f>
        <v>45654</v>
      </c>
      <c r="C495" s="12">
        <f>IFERROR(__xludf.DUMMYFUNCTION("""COMPUTED_VALUE"""),263.0)</f>
        <v>263</v>
      </c>
      <c r="D495" s="12">
        <f>IFERROR(__xludf.DUMMYFUNCTION("""COMPUTED_VALUE"""),36.0)</f>
        <v>36</v>
      </c>
      <c r="E495" s="12">
        <f>IFERROR(__xludf.DUMMYFUNCTION("""COMPUTED_VALUE"""),1.0)</f>
        <v>1</v>
      </c>
      <c r="F495" s="12">
        <f>IFERROR(__xludf.DUMMYFUNCTION("""COMPUTED_VALUE"""),5.0)</f>
        <v>5</v>
      </c>
      <c r="G495" s="15" t="str">
        <f>IFERROR(__xludf.DUMMYFUNCTION("""COMPUTED_VALUE"""),"Completa")</f>
        <v>Completa</v>
      </c>
      <c r="H495" s="16" t="str">
        <f t="array" ref="H495">_xlfn.XLOOKUP(D495,Productos[ID_Producto],Productos[Nombre_Producto])</f>
        <v>Lentejas</v>
      </c>
      <c r="I495" s="17">
        <f t="array" ref="I495">_xlfn.XLOOKUP(D495,Productos[ID_Producto],Productos[Precio_Unitario])</f>
        <v>3.25</v>
      </c>
      <c r="J495" s="17">
        <f t="shared" si="1"/>
        <v>3.25</v>
      </c>
      <c r="K495" s="16" t="str">
        <f t="array" ref="K495">_xlfn.XLOOKUP(C495,Clientes[ID_Cliente],Clientes[Provincia])</f>
        <v>Buenos Aires</v>
      </c>
      <c r="L495" s="16" t="str">
        <f t="array" ref="L495">CONCATENATE(_xlfn.XLOOKUP(C495,Clientes[ID_Cliente],Clientes[Provincia]),", Argentina")</f>
        <v>Buenos Aires, Argentina</v>
      </c>
      <c r="M495" s="20" t="str">
        <f t="array" ref="M495">_xlfn.XLOOKUP(F495,Metodos_De_Pago[ID_Metodo],Metodos_De_Pago[Metodo])</f>
        <v>Transferencia</v>
      </c>
      <c r="N495" s="20" t="str">
        <f t="shared" si="2"/>
        <v>2024 12</v>
      </c>
    </row>
    <row r="496" ht="22.5" customHeight="1">
      <c r="A496" s="12">
        <f>IFERROR(__xludf.DUMMYFUNCTION("""COMPUTED_VALUE"""),2640.0)</f>
        <v>2640</v>
      </c>
      <c r="B496" s="13">
        <f>IFERROR(__xludf.DUMMYFUNCTION("""COMPUTED_VALUE"""),45654.0)</f>
        <v>45654</v>
      </c>
      <c r="C496" s="12">
        <f>IFERROR(__xludf.DUMMYFUNCTION("""COMPUTED_VALUE"""),25.0)</f>
        <v>25</v>
      </c>
      <c r="D496" s="12">
        <f>IFERROR(__xludf.DUMMYFUNCTION("""COMPUTED_VALUE"""),30.0)</f>
        <v>30</v>
      </c>
      <c r="E496" s="12">
        <f>IFERROR(__xludf.DUMMYFUNCTION("""COMPUTED_VALUE"""),1.0)</f>
        <v>1</v>
      </c>
      <c r="F496" s="12">
        <f>IFERROR(__xludf.DUMMYFUNCTION("""COMPUTED_VALUE"""),5.0)</f>
        <v>5</v>
      </c>
      <c r="G496" s="15" t="str">
        <f>IFERROR(__xludf.DUMMYFUNCTION("""COMPUTED_VALUE"""),"Completa")</f>
        <v>Completa</v>
      </c>
      <c r="H496" s="16" t="str">
        <f t="array" ref="H496">_xlfn.XLOOKUP(D496,Productos[ID_Producto],Productos[Nombre_Producto])</f>
        <v>Vino tinto</v>
      </c>
      <c r="I496" s="17">
        <f t="array" ref="I496">_xlfn.XLOOKUP(D496,Productos[ID_Producto],Productos[Precio_Unitario])</f>
        <v>13.54</v>
      </c>
      <c r="J496" s="17">
        <f t="shared" si="1"/>
        <v>13.54</v>
      </c>
      <c r="K496" s="16" t="str">
        <f t="array" ref="K496">_xlfn.XLOOKUP(C496,Clientes[ID_Cliente],Clientes[Provincia])</f>
        <v>Neuquén</v>
      </c>
      <c r="L496" s="16" t="str">
        <f t="array" ref="L496">CONCATENATE(_xlfn.XLOOKUP(C496,Clientes[ID_Cliente],Clientes[Provincia]),", Argentina")</f>
        <v>Neuquén, Argentina</v>
      </c>
      <c r="M496" s="20" t="str">
        <f t="array" ref="M496">_xlfn.XLOOKUP(F496,Metodos_De_Pago[ID_Metodo],Metodos_De_Pago[Metodo])</f>
        <v>Transferencia</v>
      </c>
      <c r="N496" s="20" t="str">
        <f t="shared" si="2"/>
        <v>2024 12</v>
      </c>
    </row>
    <row r="497" ht="22.5" customHeight="1">
      <c r="A497" s="12">
        <f>IFERROR(__xludf.DUMMYFUNCTION("""COMPUTED_VALUE"""),850.0)</f>
        <v>850</v>
      </c>
      <c r="B497" s="13">
        <f>IFERROR(__xludf.DUMMYFUNCTION("""COMPUTED_VALUE"""),45655.0)</f>
        <v>45655</v>
      </c>
      <c r="C497" s="12">
        <f>IFERROR(__xludf.DUMMYFUNCTION("""COMPUTED_VALUE"""),194.0)</f>
        <v>194</v>
      </c>
      <c r="D497" s="12">
        <f>IFERROR(__xludf.DUMMYFUNCTION("""COMPUTED_VALUE"""),31.0)</f>
        <v>31</v>
      </c>
      <c r="E497" s="12">
        <f>IFERROR(__xludf.DUMMYFUNCTION("""COMPUTED_VALUE"""),1.0)</f>
        <v>1</v>
      </c>
      <c r="F497" s="12">
        <f>IFERROR(__xludf.DUMMYFUNCTION("""COMPUTED_VALUE"""),5.0)</f>
        <v>5</v>
      </c>
      <c r="G497" s="15" t="str">
        <f>IFERROR(__xludf.DUMMYFUNCTION("""COMPUTED_VALUE"""),"Completa")</f>
        <v>Completa</v>
      </c>
      <c r="H497" s="16" t="str">
        <f t="array" ref="H497">_xlfn.XLOOKUP(D497,Productos[ID_Producto],Productos[Nombre_Producto])</f>
        <v>Galletitas de agua</v>
      </c>
      <c r="I497" s="17">
        <f t="array" ref="I497">_xlfn.XLOOKUP(D497,Productos[ID_Producto],Productos[Precio_Unitario])</f>
        <v>5.24</v>
      </c>
      <c r="J497" s="17">
        <f t="shared" si="1"/>
        <v>5.24</v>
      </c>
      <c r="K497" s="16" t="str">
        <f t="array" ref="K497">_xlfn.XLOOKUP(C497,Clientes[ID_Cliente],Clientes[Provincia])</f>
        <v>Buenos Aires</v>
      </c>
      <c r="L497" s="16" t="str">
        <f t="array" ref="L497">CONCATENATE(_xlfn.XLOOKUP(C497,Clientes[ID_Cliente],Clientes[Provincia]),", Argentina")</f>
        <v>Buenos Aires, Argentina</v>
      </c>
      <c r="M497" s="20" t="str">
        <f t="array" ref="M497">_xlfn.XLOOKUP(F497,Metodos_De_Pago[ID_Metodo],Metodos_De_Pago[Metodo])</f>
        <v>Transferencia</v>
      </c>
      <c r="N497" s="20" t="str">
        <f t="shared" si="2"/>
        <v>2024 12</v>
      </c>
    </row>
    <row r="498" ht="22.5" customHeight="1">
      <c r="A498" s="12">
        <f>IFERROR(__xludf.DUMMYFUNCTION("""COMPUTED_VALUE"""),1715.0)</f>
        <v>1715</v>
      </c>
      <c r="B498" s="13">
        <f>IFERROR(__xludf.DUMMYFUNCTION("""COMPUTED_VALUE"""),45655.0)</f>
        <v>45655</v>
      </c>
      <c r="C498" s="12">
        <f>IFERROR(__xludf.DUMMYFUNCTION("""COMPUTED_VALUE"""),87.0)</f>
        <v>87</v>
      </c>
      <c r="D498" s="12">
        <f>IFERROR(__xludf.DUMMYFUNCTION("""COMPUTED_VALUE"""),5.0)</f>
        <v>5</v>
      </c>
      <c r="E498" s="12">
        <f>IFERROR(__xludf.DUMMYFUNCTION("""COMPUTED_VALUE"""),1.0)</f>
        <v>1</v>
      </c>
      <c r="F498" s="12">
        <f>IFERROR(__xludf.DUMMYFUNCTION("""COMPUTED_VALUE"""),1.0)</f>
        <v>1</v>
      </c>
      <c r="G498" s="15" t="str">
        <f>IFERROR(__xludf.DUMMYFUNCTION("""COMPUTED_VALUE"""),"Completa")</f>
        <v>Completa</v>
      </c>
      <c r="H498" s="16" t="str">
        <f t="array" ref="H498">_xlfn.XLOOKUP(D498,Productos[ID_Producto],Productos[Nombre_Producto])</f>
        <v>Manteca</v>
      </c>
      <c r="I498" s="17">
        <f t="array" ref="I498">_xlfn.XLOOKUP(D498,Productos[ID_Producto],Productos[Precio_Unitario])</f>
        <v>5.65</v>
      </c>
      <c r="J498" s="17">
        <f t="shared" si="1"/>
        <v>5.65</v>
      </c>
      <c r="K498" s="16" t="str">
        <f t="array" ref="K498">_xlfn.XLOOKUP(C498,Clientes[ID_Cliente],Clientes[Provincia])</f>
        <v>Neuquén</v>
      </c>
      <c r="L498" s="16" t="str">
        <f t="array" ref="L498">CONCATENATE(_xlfn.XLOOKUP(C498,Clientes[ID_Cliente],Clientes[Provincia]),", Argentina")</f>
        <v>Neuquén, Argentina</v>
      </c>
      <c r="M498" s="20" t="str">
        <f t="array" ref="M498">_xlfn.XLOOKUP(F498,Metodos_De_Pago[ID_Metodo],Metodos_De_Pago[Metodo])</f>
        <v>Efectivo</v>
      </c>
      <c r="N498" s="20" t="str">
        <f t="shared" si="2"/>
        <v>2024 12</v>
      </c>
    </row>
    <row r="499" ht="22.5" customHeight="1">
      <c r="A499" s="12">
        <f>IFERROR(__xludf.DUMMYFUNCTION("""COMPUTED_VALUE"""),1439.0)</f>
        <v>1439</v>
      </c>
      <c r="B499" s="13">
        <f>IFERROR(__xludf.DUMMYFUNCTION("""COMPUTED_VALUE"""),45323.0)</f>
        <v>45323</v>
      </c>
      <c r="C499" s="12">
        <f>IFERROR(__xludf.DUMMYFUNCTION("""COMPUTED_VALUE"""),130.0)</f>
        <v>130</v>
      </c>
      <c r="D499" s="12">
        <f>IFERROR(__xludf.DUMMYFUNCTION("""COMPUTED_VALUE"""),18.0)</f>
        <v>18</v>
      </c>
      <c r="E499" s="12">
        <f>IFERROR(__xludf.DUMMYFUNCTION("""COMPUTED_VALUE"""),2.0)</f>
        <v>2</v>
      </c>
      <c r="F499" s="12">
        <f>IFERROR(__xludf.DUMMYFUNCTION("""COMPUTED_VALUE"""),2.0)</f>
        <v>2</v>
      </c>
      <c r="G499" s="15" t="str">
        <f>IFERROR(__xludf.DUMMYFUNCTION("""COMPUTED_VALUE"""),"Completa")</f>
        <v>Completa</v>
      </c>
      <c r="H499" s="16" t="str">
        <f t="array" ref="H499">_xlfn.XLOOKUP(D499,Productos[ID_Producto],Productos[Nombre_Producto])</f>
        <v>Bananas</v>
      </c>
      <c r="I499" s="17">
        <f t="array" ref="I499">_xlfn.XLOOKUP(D499,Productos[ID_Producto],Productos[Precio_Unitario])</f>
        <v>7.25</v>
      </c>
      <c r="J499" s="17">
        <f t="shared" si="1"/>
        <v>14.5</v>
      </c>
      <c r="K499" s="16" t="str">
        <f t="array" ref="K499">_xlfn.XLOOKUP(C499,Clientes[ID_Cliente],Clientes[Provincia])</f>
        <v>Buenos Aires</v>
      </c>
      <c r="L499" s="16" t="str">
        <f t="array" ref="L499">CONCATENATE(_xlfn.XLOOKUP(C499,Clientes[ID_Cliente],Clientes[Provincia]),", Argentina")</f>
        <v>Buenos Aires, Argentina</v>
      </c>
      <c r="M499" s="20" t="str">
        <f t="array" ref="M499">_xlfn.XLOOKUP(F499,Metodos_De_Pago[ID_Metodo],Metodos_De_Pago[Metodo])</f>
        <v>Tarjeta de Crédito</v>
      </c>
      <c r="N499" s="20" t="str">
        <f t="shared" si="2"/>
        <v>2024 02</v>
      </c>
    </row>
    <row r="500" ht="22.5" customHeight="1">
      <c r="A500" s="12">
        <f>IFERROR(__xludf.DUMMYFUNCTION("""COMPUTED_VALUE"""),680.0)</f>
        <v>680</v>
      </c>
      <c r="B500" s="13">
        <f>IFERROR(__xludf.DUMMYFUNCTION("""COMPUTED_VALUE"""),45326.0)</f>
        <v>45326</v>
      </c>
      <c r="C500" s="12">
        <f>IFERROR(__xludf.DUMMYFUNCTION("""COMPUTED_VALUE"""),112.0)</f>
        <v>112</v>
      </c>
      <c r="D500" s="12">
        <f>IFERROR(__xludf.DUMMYFUNCTION("""COMPUTED_VALUE"""),37.0)</f>
        <v>37</v>
      </c>
      <c r="E500" s="12">
        <f>IFERROR(__xludf.DUMMYFUNCTION("""COMPUTED_VALUE"""),2.0)</f>
        <v>2</v>
      </c>
      <c r="F500" s="12">
        <f>IFERROR(__xludf.DUMMYFUNCTION("""COMPUTED_VALUE"""),5.0)</f>
        <v>5</v>
      </c>
      <c r="G500" s="15" t="str">
        <f>IFERROR(__xludf.DUMMYFUNCTION("""COMPUTED_VALUE"""),"Completa")</f>
        <v>Completa</v>
      </c>
      <c r="H500" s="16" t="str">
        <f t="array" ref="H500">_xlfn.XLOOKUP(D500,Productos[ID_Producto],Productos[Nombre_Producto])</f>
        <v>Garbanzos</v>
      </c>
      <c r="I500" s="17">
        <f t="array" ref="I500">_xlfn.XLOOKUP(D500,Productos[ID_Producto],Productos[Precio_Unitario])</f>
        <v>3.65</v>
      </c>
      <c r="J500" s="17">
        <f t="shared" si="1"/>
        <v>7.3</v>
      </c>
      <c r="K500" s="16" t="str">
        <f t="array" ref="K500">_xlfn.XLOOKUP(C500,Clientes[ID_Cliente],Clientes[Provincia])</f>
        <v>Chaco</v>
      </c>
      <c r="L500" s="16" t="str">
        <f t="array" ref="L500">CONCATENATE(_xlfn.XLOOKUP(C500,Clientes[ID_Cliente],Clientes[Provincia]),", Argentina")</f>
        <v>Chaco, Argentina</v>
      </c>
      <c r="M500" s="20" t="str">
        <f t="array" ref="M500">_xlfn.XLOOKUP(F500,Metodos_De_Pago[ID_Metodo],Metodos_De_Pago[Metodo])</f>
        <v>Transferencia</v>
      </c>
      <c r="N500" s="20" t="str">
        <f t="shared" si="2"/>
        <v>2024 02</v>
      </c>
    </row>
    <row r="501" ht="22.5" customHeight="1">
      <c r="A501" s="12">
        <f>IFERROR(__xludf.DUMMYFUNCTION("""COMPUTED_VALUE"""),2889.0)</f>
        <v>2889</v>
      </c>
      <c r="B501" s="13">
        <f>IFERROR(__xludf.DUMMYFUNCTION("""COMPUTED_VALUE"""),45326.0)</f>
        <v>45326</v>
      </c>
      <c r="C501" s="12">
        <f>IFERROR(__xludf.DUMMYFUNCTION("""COMPUTED_VALUE"""),48.0)</f>
        <v>48</v>
      </c>
      <c r="D501" s="12">
        <f>IFERROR(__xludf.DUMMYFUNCTION("""COMPUTED_VALUE"""),24.0)</f>
        <v>24</v>
      </c>
      <c r="E501" s="12">
        <f>IFERROR(__xludf.DUMMYFUNCTION("""COMPUTED_VALUE"""),2.0)</f>
        <v>2</v>
      </c>
      <c r="F501" s="12">
        <f>IFERROR(__xludf.DUMMYFUNCTION("""COMPUTED_VALUE"""),3.0)</f>
        <v>3</v>
      </c>
      <c r="G501" s="15" t="str">
        <f>IFERROR(__xludf.DUMMYFUNCTION("""COMPUTED_VALUE"""),"Pendiente")</f>
        <v>Pendiente</v>
      </c>
      <c r="H501" s="16" t="str">
        <f t="array" ref="H501">_xlfn.XLOOKUP(D501,Productos[ID_Producto],Productos[Nombre_Producto])</f>
        <v>Empanadas</v>
      </c>
      <c r="I501" s="17">
        <f t="array" ref="I501">_xlfn.XLOOKUP(D501,Productos[ID_Producto],Productos[Precio_Unitario])</f>
        <v>13.54</v>
      </c>
      <c r="J501" s="17">
        <f t="shared" si="1"/>
        <v>27.08</v>
      </c>
      <c r="K501" s="16" t="str">
        <f t="array" ref="K501">_xlfn.XLOOKUP(C501,Clientes[ID_Cliente],Clientes[Provincia])</f>
        <v>Neuquén</v>
      </c>
      <c r="L501" s="16" t="str">
        <f t="array" ref="L501">CONCATENATE(_xlfn.XLOOKUP(C501,Clientes[ID_Cliente],Clientes[Provincia]),", Argentina")</f>
        <v>Neuquén, Argentina</v>
      </c>
      <c r="M501" s="20" t="str">
        <f t="array" ref="M501">_xlfn.XLOOKUP(F501,Metodos_De_Pago[ID_Metodo],Metodos_De_Pago[Metodo])</f>
        <v>Tarjeta de Débito</v>
      </c>
      <c r="N501" s="20" t="str">
        <f t="shared" si="2"/>
        <v>2024 02</v>
      </c>
    </row>
    <row r="502" ht="22.5" customHeight="1">
      <c r="A502" s="12">
        <f>IFERROR(__xludf.DUMMYFUNCTION("""COMPUTED_VALUE"""),1198.0)</f>
        <v>1198</v>
      </c>
      <c r="B502" s="13">
        <f>IFERROR(__xludf.DUMMYFUNCTION("""COMPUTED_VALUE"""),45327.0)</f>
        <v>45327</v>
      </c>
      <c r="C502" s="12">
        <f>IFERROR(__xludf.DUMMYFUNCTION("""COMPUTED_VALUE"""),102.0)</f>
        <v>102</v>
      </c>
      <c r="D502" s="12">
        <f>IFERROR(__xludf.DUMMYFUNCTION("""COMPUTED_VALUE"""),13.0)</f>
        <v>13</v>
      </c>
      <c r="E502" s="12">
        <f>IFERROR(__xludf.DUMMYFUNCTION("""COMPUTED_VALUE"""),2.0)</f>
        <v>2</v>
      </c>
      <c r="F502" s="12">
        <f>IFERROR(__xludf.DUMMYFUNCTION("""COMPUTED_VALUE"""),1.0)</f>
        <v>1</v>
      </c>
      <c r="G502" s="15" t="str">
        <f>IFERROR(__xludf.DUMMYFUNCTION("""COMPUTED_VALUE"""),"Completa")</f>
        <v>Completa</v>
      </c>
      <c r="H502" s="16" t="str">
        <f t="array" ref="H502">_xlfn.XLOOKUP(D502,Productos[ID_Producto],Productos[Nombre_Producto])</f>
        <v>Pan integral</v>
      </c>
      <c r="I502" s="17">
        <f t="array" ref="I502">_xlfn.XLOOKUP(D502,Productos[ID_Producto],Productos[Precio_Unitario])</f>
        <v>12.56</v>
      </c>
      <c r="J502" s="17">
        <f t="shared" si="1"/>
        <v>25.12</v>
      </c>
      <c r="K502" s="16" t="str">
        <f t="array" ref="K502">_xlfn.XLOOKUP(C502,Clientes[ID_Cliente],Clientes[Provincia])</f>
        <v>Neuquén</v>
      </c>
      <c r="L502" s="16" t="str">
        <f t="array" ref="L502">CONCATENATE(_xlfn.XLOOKUP(C502,Clientes[ID_Cliente],Clientes[Provincia]),", Argentina")</f>
        <v>Neuquén, Argentina</v>
      </c>
      <c r="M502" s="20" t="str">
        <f t="array" ref="M502">_xlfn.XLOOKUP(F502,Metodos_De_Pago[ID_Metodo],Metodos_De_Pago[Metodo])</f>
        <v>Efectivo</v>
      </c>
      <c r="N502" s="20" t="str">
        <f t="shared" si="2"/>
        <v>2024 02</v>
      </c>
    </row>
    <row r="503" ht="22.5" customHeight="1">
      <c r="A503" s="12">
        <f>IFERROR(__xludf.DUMMYFUNCTION("""COMPUTED_VALUE"""),2873.0)</f>
        <v>2873</v>
      </c>
      <c r="B503" s="13">
        <f>IFERROR(__xludf.DUMMYFUNCTION("""COMPUTED_VALUE"""),45327.0)</f>
        <v>45327</v>
      </c>
      <c r="C503" s="12">
        <f>IFERROR(__xludf.DUMMYFUNCTION("""COMPUTED_VALUE"""),230.0)</f>
        <v>230</v>
      </c>
      <c r="D503" s="12">
        <f>IFERROR(__xludf.DUMMYFUNCTION("""COMPUTED_VALUE"""),13.0)</f>
        <v>13</v>
      </c>
      <c r="E503" s="12">
        <f>IFERROR(__xludf.DUMMYFUNCTION("""COMPUTED_VALUE"""),2.0)</f>
        <v>2</v>
      </c>
      <c r="F503" s="12">
        <f>IFERROR(__xludf.DUMMYFUNCTION("""COMPUTED_VALUE"""),2.0)</f>
        <v>2</v>
      </c>
      <c r="G503" s="15" t="str">
        <f>IFERROR(__xludf.DUMMYFUNCTION("""COMPUTED_VALUE"""),"Completa")</f>
        <v>Completa</v>
      </c>
      <c r="H503" s="16" t="str">
        <f t="array" ref="H503">_xlfn.XLOOKUP(D503,Productos[ID_Producto],Productos[Nombre_Producto])</f>
        <v>Pan integral</v>
      </c>
      <c r="I503" s="17">
        <f t="array" ref="I503">_xlfn.XLOOKUP(D503,Productos[ID_Producto],Productos[Precio_Unitario])</f>
        <v>12.56</v>
      </c>
      <c r="J503" s="17">
        <f t="shared" si="1"/>
        <v>25.12</v>
      </c>
      <c r="K503" s="16" t="str">
        <f t="array" ref="K503">_xlfn.XLOOKUP(C503,Clientes[ID_Cliente],Clientes[Provincia])</f>
        <v>Córdoba</v>
      </c>
      <c r="L503" s="16" t="str">
        <f t="array" ref="L503">CONCATENATE(_xlfn.XLOOKUP(C503,Clientes[ID_Cliente],Clientes[Provincia]),", Argentina")</f>
        <v>Córdoba, Argentina</v>
      </c>
      <c r="M503" s="20" t="str">
        <f t="array" ref="M503">_xlfn.XLOOKUP(F503,Metodos_De_Pago[ID_Metodo],Metodos_De_Pago[Metodo])</f>
        <v>Tarjeta de Crédito</v>
      </c>
      <c r="N503" s="20" t="str">
        <f t="shared" si="2"/>
        <v>2024 02</v>
      </c>
    </row>
    <row r="504" ht="22.5" customHeight="1">
      <c r="A504" s="12">
        <f>IFERROR(__xludf.DUMMYFUNCTION("""COMPUTED_VALUE"""),2680.0)</f>
        <v>2680</v>
      </c>
      <c r="B504" s="13">
        <f>IFERROR(__xludf.DUMMYFUNCTION("""COMPUTED_VALUE"""),45328.0)</f>
        <v>45328</v>
      </c>
      <c r="C504" s="12">
        <f>IFERROR(__xludf.DUMMYFUNCTION("""COMPUTED_VALUE"""),155.0)</f>
        <v>155</v>
      </c>
      <c r="D504" s="12">
        <f>IFERROR(__xludf.DUMMYFUNCTION("""COMPUTED_VALUE"""),18.0)</f>
        <v>18</v>
      </c>
      <c r="E504" s="12">
        <f>IFERROR(__xludf.DUMMYFUNCTION("""COMPUTED_VALUE"""),2.0)</f>
        <v>2</v>
      </c>
      <c r="F504" s="12">
        <f>IFERROR(__xludf.DUMMYFUNCTION("""COMPUTED_VALUE"""),4.0)</f>
        <v>4</v>
      </c>
      <c r="G504" s="15" t="str">
        <f>IFERROR(__xludf.DUMMYFUNCTION("""COMPUTED_VALUE"""),"Completa")</f>
        <v>Completa</v>
      </c>
      <c r="H504" s="16" t="str">
        <f t="array" ref="H504">_xlfn.XLOOKUP(D504,Productos[ID_Producto],Productos[Nombre_Producto])</f>
        <v>Bananas</v>
      </c>
      <c r="I504" s="17">
        <f t="array" ref="I504">_xlfn.XLOOKUP(D504,Productos[ID_Producto],Productos[Precio_Unitario])</f>
        <v>7.25</v>
      </c>
      <c r="J504" s="17">
        <f t="shared" si="1"/>
        <v>14.5</v>
      </c>
      <c r="K504" s="16" t="str">
        <f t="array" ref="K504">_xlfn.XLOOKUP(C504,Clientes[ID_Cliente],Clientes[Provincia])</f>
        <v>San Luis</v>
      </c>
      <c r="L504" s="16" t="str">
        <f t="array" ref="L504">CONCATENATE(_xlfn.XLOOKUP(C504,Clientes[ID_Cliente],Clientes[Provincia]),", Argentina")</f>
        <v>San Luis, Argentina</v>
      </c>
      <c r="M504" s="20" t="str">
        <f t="array" ref="M504">_xlfn.XLOOKUP(F504,Metodos_De_Pago[ID_Metodo],Metodos_De_Pago[Metodo])</f>
        <v>Mercado Pago</v>
      </c>
      <c r="N504" s="20" t="str">
        <f t="shared" si="2"/>
        <v>2024 02</v>
      </c>
    </row>
    <row r="505" ht="22.5" customHeight="1">
      <c r="A505" s="12">
        <f>IFERROR(__xludf.DUMMYFUNCTION("""COMPUTED_VALUE"""),215.0)</f>
        <v>215</v>
      </c>
      <c r="B505" s="13">
        <f>IFERROR(__xludf.DUMMYFUNCTION("""COMPUTED_VALUE"""),45329.0)</f>
        <v>45329</v>
      </c>
      <c r="C505" s="12">
        <f>IFERROR(__xludf.DUMMYFUNCTION("""COMPUTED_VALUE"""),64.0)</f>
        <v>64</v>
      </c>
      <c r="D505" s="12">
        <f>IFERROR(__xludf.DUMMYFUNCTION("""COMPUTED_VALUE"""),31.0)</f>
        <v>31</v>
      </c>
      <c r="E505" s="12">
        <f>IFERROR(__xludf.DUMMYFUNCTION("""COMPUTED_VALUE"""),2.0)</f>
        <v>2</v>
      </c>
      <c r="F505" s="12">
        <f>IFERROR(__xludf.DUMMYFUNCTION("""COMPUTED_VALUE"""),4.0)</f>
        <v>4</v>
      </c>
      <c r="G505" s="15" t="str">
        <f>IFERROR(__xludf.DUMMYFUNCTION("""COMPUTED_VALUE"""),"Pendiente")</f>
        <v>Pendiente</v>
      </c>
      <c r="H505" s="16" t="str">
        <f t="array" ref="H505">_xlfn.XLOOKUP(D505,Productos[ID_Producto],Productos[Nombre_Producto])</f>
        <v>Galletitas de agua</v>
      </c>
      <c r="I505" s="17">
        <f t="array" ref="I505">_xlfn.XLOOKUP(D505,Productos[ID_Producto],Productos[Precio_Unitario])</f>
        <v>5.24</v>
      </c>
      <c r="J505" s="17">
        <f t="shared" si="1"/>
        <v>10.48</v>
      </c>
      <c r="K505" s="16" t="str">
        <f t="array" ref="K505">_xlfn.XLOOKUP(C505,Clientes[ID_Cliente],Clientes[Provincia])</f>
        <v>Chaco</v>
      </c>
      <c r="L505" s="16" t="str">
        <f t="array" ref="L505">CONCATENATE(_xlfn.XLOOKUP(C505,Clientes[ID_Cliente],Clientes[Provincia]),", Argentina")</f>
        <v>Chaco, Argentina</v>
      </c>
      <c r="M505" s="20" t="str">
        <f t="array" ref="M505">_xlfn.XLOOKUP(F505,Metodos_De_Pago[ID_Metodo],Metodos_De_Pago[Metodo])</f>
        <v>Mercado Pago</v>
      </c>
      <c r="N505" s="20" t="str">
        <f t="shared" si="2"/>
        <v>2024 02</v>
      </c>
    </row>
    <row r="506" ht="22.5" customHeight="1">
      <c r="A506" s="12">
        <f>IFERROR(__xludf.DUMMYFUNCTION("""COMPUTED_VALUE"""),1753.0)</f>
        <v>1753</v>
      </c>
      <c r="B506" s="13">
        <f>IFERROR(__xludf.DUMMYFUNCTION("""COMPUTED_VALUE"""),45329.0)</f>
        <v>45329</v>
      </c>
      <c r="C506" s="12">
        <f>IFERROR(__xludf.DUMMYFUNCTION("""COMPUTED_VALUE"""),35.0)</f>
        <v>35</v>
      </c>
      <c r="D506" s="12">
        <f>IFERROR(__xludf.DUMMYFUNCTION("""COMPUTED_VALUE"""),17.0)</f>
        <v>17</v>
      </c>
      <c r="E506" s="12">
        <f>IFERROR(__xludf.DUMMYFUNCTION("""COMPUTED_VALUE"""),2.0)</f>
        <v>2</v>
      </c>
      <c r="F506" s="12">
        <f>IFERROR(__xludf.DUMMYFUNCTION("""COMPUTED_VALUE"""),4.0)</f>
        <v>4</v>
      </c>
      <c r="G506" s="15" t="str">
        <f>IFERROR(__xludf.DUMMYFUNCTION("""COMPUTED_VALUE"""),"Pendiente")</f>
        <v>Pendiente</v>
      </c>
      <c r="H506" s="16" t="str">
        <f t="array" ref="H506">_xlfn.XLOOKUP(D506,Productos[ID_Producto],Productos[Nombre_Producto])</f>
        <v>Manzanas</v>
      </c>
      <c r="I506" s="17">
        <f t="array" ref="I506">_xlfn.XLOOKUP(D506,Productos[ID_Producto],Productos[Precio_Unitario])</f>
        <v>6.54</v>
      </c>
      <c r="J506" s="17">
        <f t="shared" si="1"/>
        <v>13.08</v>
      </c>
      <c r="K506" s="16" t="str">
        <f t="array" ref="K506">_xlfn.XLOOKUP(C506,Clientes[ID_Cliente],Clientes[Provincia])</f>
        <v>Salta</v>
      </c>
      <c r="L506" s="16" t="str">
        <f t="array" ref="L506">CONCATENATE(_xlfn.XLOOKUP(C506,Clientes[ID_Cliente],Clientes[Provincia]),", Argentina")</f>
        <v>Salta, Argentina</v>
      </c>
      <c r="M506" s="20" t="str">
        <f t="array" ref="M506">_xlfn.XLOOKUP(F506,Metodos_De_Pago[ID_Metodo],Metodos_De_Pago[Metodo])</f>
        <v>Mercado Pago</v>
      </c>
      <c r="N506" s="20" t="str">
        <f t="shared" si="2"/>
        <v>2024 02</v>
      </c>
    </row>
    <row r="507" ht="22.5" customHeight="1">
      <c r="A507" s="12">
        <f>IFERROR(__xludf.DUMMYFUNCTION("""COMPUTED_VALUE"""),2209.0)</f>
        <v>2209</v>
      </c>
      <c r="B507" s="13">
        <f>IFERROR(__xludf.DUMMYFUNCTION("""COMPUTED_VALUE"""),45329.0)</f>
        <v>45329</v>
      </c>
      <c r="C507" s="12">
        <f>IFERROR(__xludf.DUMMYFUNCTION("""COMPUTED_VALUE"""),151.0)</f>
        <v>151</v>
      </c>
      <c r="D507" s="12">
        <f>IFERROR(__xludf.DUMMYFUNCTION("""COMPUTED_VALUE"""),3.0)</f>
        <v>3</v>
      </c>
      <c r="E507" s="12">
        <f>IFERROR(__xludf.DUMMYFUNCTION("""COMPUTED_VALUE"""),2.0)</f>
        <v>2</v>
      </c>
      <c r="F507" s="12">
        <f>IFERROR(__xludf.DUMMYFUNCTION("""COMPUTED_VALUE"""),1.0)</f>
        <v>1</v>
      </c>
      <c r="G507" s="15" t="str">
        <f>IFERROR(__xludf.DUMMYFUNCTION("""COMPUTED_VALUE"""),"Completa")</f>
        <v>Completa</v>
      </c>
      <c r="H507" s="16" t="str">
        <f t="array" ref="H507">_xlfn.XLOOKUP(D507,Productos[ID_Producto],Productos[Nombre_Producto])</f>
        <v>Queso cremoso</v>
      </c>
      <c r="I507" s="17">
        <f t="array" ref="I507">_xlfn.XLOOKUP(D507,Productos[ID_Producto],Productos[Precio_Unitario])</f>
        <v>17.23</v>
      </c>
      <c r="J507" s="17">
        <f t="shared" si="1"/>
        <v>34.46</v>
      </c>
      <c r="K507" s="16" t="str">
        <f t="array" ref="K507">_xlfn.XLOOKUP(C507,Clientes[ID_Cliente],Clientes[Provincia])</f>
        <v>Buenos Aires</v>
      </c>
      <c r="L507" s="16" t="str">
        <f t="array" ref="L507">CONCATENATE(_xlfn.XLOOKUP(C507,Clientes[ID_Cliente],Clientes[Provincia]),", Argentina")</f>
        <v>Buenos Aires, Argentina</v>
      </c>
      <c r="M507" s="20" t="str">
        <f t="array" ref="M507">_xlfn.XLOOKUP(F507,Metodos_De_Pago[ID_Metodo],Metodos_De_Pago[Metodo])</f>
        <v>Efectivo</v>
      </c>
      <c r="N507" s="20" t="str">
        <f t="shared" si="2"/>
        <v>2024 02</v>
      </c>
    </row>
    <row r="508" ht="22.5" customHeight="1">
      <c r="A508" s="12">
        <f>IFERROR(__xludf.DUMMYFUNCTION("""COMPUTED_VALUE"""),2043.0)</f>
        <v>2043</v>
      </c>
      <c r="B508" s="13">
        <f>IFERROR(__xludf.DUMMYFUNCTION("""COMPUTED_VALUE"""),45330.0)</f>
        <v>45330</v>
      </c>
      <c r="C508" s="12">
        <f>IFERROR(__xludf.DUMMYFUNCTION("""COMPUTED_VALUE"""),318.0)</f>
        <v>318</v>
      </c>
      <c r="D508" s="12">
        <f>IFERROR(__xludf.DUMMYFUNCTION("""COMPUTED_VALUE"""),27.0)</f>
        <v>27</v>
      </c>
      <c r="E508" s="12">
        <f>IFERROR(__xludf.DUMMYFUNCTION("""COMPUTED_VALUE"""),2.0)</f>
        <v>2</v>
      </c>
      <c r="F508" s="12">
        <f>IFERROR(__xludf.DUMMYFUNCTION("""COMPUTED_VALUE"""),5.0)</f>
        <v>5</v>
      </c>
      <c r="G508" s="15" t="str">
        <f>IFERROR(__xludf.DUMMYFUNCTION("""COMPUTED_VALUE"""),"Completa")</f>
        <v>Completa</v>
      </c>
      <c r="H508" s="16" t="str">
        <f t="array" ref="H508">_xlfn.XLOOKUP(D508,Productos[ID_Producto],Productos[Nombre_Producto])</f>
        <v>Agua mineral</v>
      </c>
      <c r="I508" s="17">
        <f t="array" ref="I508">_xlfn.XLOOKUP(D508,Productos[ID_Producto],Productos[Precio_Unitario])</f>
        <v>6.21</v>
      </c>
      <c r="J508" s="17">
        <f t="shared" si="1"/>
        <v>12.42</v>
      </c>
      <c r="K508" s="16" t="str">
        <f t="array" ref="K508">_xlfn.XLOOKUP(C508,Clientes[ID_Cliente],Clientes[Provincia])</f>
        <v>Buenos Aires</v>
      </c>
      <c r="L508" s="16" t="str">
        <f t="array" ref="L508">CONCATENATE(_xlfn.XLOOKUP(C508,Clientes[ID_Cliente],Clientes[Provincia]),", Argentina")</f>
        <v>Buenos Aires, Argentina</v>
      </c>
      <c r="M508" s="20" t="str">
        <f t="array" ref="M508">_xlfn.XLOOKUP(F508,Metodos_De_Pago[ID_Metodo],Metodos_De_Pago[Metodo])</f>
        <v>Transferencia</v>
      </c>
      <c r="N508" s="20" t="str">
        <f t="shared" si="2"/>
        <v>2024 02</v>
      </c>
    </row>
    <row r="509" ht="22.5" customHeight="1">
      <c r="A509" s="12">
        <f>IFERROR(__xludf.DUMMYFUNCTION("""COMPUTED_VALUE"""),2335.0)</f>
        <v>2335</v>
      </c>
      <c r="B509" s="13">
        <f>IFERROR(__xludf.DUMMYFUNCTION("""COMPUTED_VALUE"""),45330.0)</f>
        <v>45330</v>
      </c>
      <c r="C509" s="12">
        <f>IFERROR(__xludf.DUMMYFUNCTION("""COMPUTED_VALUE"""),56.0)</f>
        <v>56</v>
      </c>
      <c r="D509" s="12">
        <f>IFERROR(__xludf.DUMMYFUNCTION("""COMPUTED_VALUE"""),38.0)</f>
        <v>38</v>
      </c>
      <c r="E509" s="12">
        <f>IFERROR(__xludf.DUMMYFUNCTION("""COMPUTED_VALUE"""),2.0)</f>
        <v>2</v>
      </c>
      <c r="F509" s="12">
        <f>IFERROR(__xludf.DUMMYFUNCTION("""COMPUTED_VALUE"""),5.0)</f>
        <v>5</v>
      </c>
      <c r="G509" s="15" t="str">
        <f>IFERROR(__xludf.DUMMYFUNCTION("""COMPUTED_VALUE"""),"Completa")</f>
        <v>Completa</v>
      </c>
      <c r="H509" s="16" t="str">
        <f t="array" ref="H509">_xlfn.XLOOKUP(D509,Productos[ID_Producto],Productos[Nombre_Producto])</f>
        <v>Atún enlatado</v>
      </c>
      <c r="I509" s="17">
        <f t="array" ref="I509">_xlfn.XLOOKUP(D509,Productos[ID_Producto],Productos[Precio_Unitario])</f>
        <v>6.21</v>
      </c>
      <c r="J509" s="17">
        <f t="shared" si="1"/>
        <v>12.42</v>
      </c>
      <c r="K509" s="16" t="str">
        <f t="array" ref="K509">_xlfn.XLOOKUP(C509,Clientes[ID_Cliente],Clientes[Provincia])</f>
        <v>Córdoba</v>
      </c>
      <c r="L509" s="16" t="str">
        <f t="array" ref="L509">CONCATENATE(_xlfn.XLOOKUP(C509,Clientes[ID_Cliente],Clientes[Provincia]),", Argentina")</f>
        <v>Córdoba, Argentina</v>
      </c>
      <c r="M509" s="20" t="str">
        <f t="array" ref="M509">_xlfn.XLOOKUP(F509,Metodos_De_Pago[ID_Metodo],Metodos_De_Pago[Metodo])</f>
        <v>Transferencia</v>
      </c>
      <c r="N509" s="20" t="str">
        <f t="shared" si="2"/>
        <v>2024 02</v>
      </c>
    </row>
    <row r="510" ht="22.5" customHeight="1">
      <c r="A510" s="12">
        <f>IFERROR(__xludf.DUMMYFUNCTION("""COMPUTED_VALUE"""),1162.0)</f>
        <v>1162</v>
      </c>
      <c r="B510" s="13">
        <f>IFERROR(__xludf.DUMMYFUNCTION("""COMPUTED_VALUE"""),45331.0)</f>
        <v>45331</v>
      </c>
      <c r="C510" s="12">
        <f>IFERROR(__xludf.DUMMYFUNCTION("""COMPUTED_VALUE"""),104.0)</f>
        <v>104</v>
      </c>
      <c r="D510" s="12">
        <f>IFERROR(__xludf.DUMMYFUNCTION("""COMPUTED_VALUE"""),17.0)</f>
        <v>17</v>
      </c>
      <c r="E510" s="12">
        <f>IFERROR(__xludf.DUMMYFUNCTION("""COMPUTED_VALUE"""),2.0)</f>
        <v>2</v>
      </c>
      <c r="F510" s="12">
        <f>IFERROR(__xludf.DUMMYFUNCTION("""COMPUTED_VALUE"""),3.0)</f>
        <v>3</v>
      </c>
      <c r="G510" s="15" t="str">
        <f>IFERROR(__xludf.DUMMYFUNCTION("""COMPUTED_VALUE"""),"Completa")</f>
        <v>Completa</v>
      </c>
      <c r="H510" s="16" t="str">
        <f t="array" ref="H510">_xlfn.XLOOKUP(D510,Productos[ID_Producto],Productos[Nombre_Producto])</f>
        <v>Manzanas</v>
      </c>
      <c r="I510" s="17">
        <f t="array" ref="I510">_xlfn.XLOOKUP(D510,Productos[ID_Producto],Productos[Precio_Unitario])</f>
        <v>6.54</v>
      </c>
      <c r="J510" s="17">
        <f t="shared" si="1"/>
        <v>13.08</v>
      </c>
      <c r="K510" s="16" t="str">
        <f t="array" ref="K510">_xlfn.XLOOKUP(C510,Clientes[ID_Cliente],Clientes[Provincia])</f>
        <v>Buenos Aires</v>
      </c>
      <c r="L510" s="16" t="str">
        <f t="array" ref="L510">CONCATENATE(_xlfn.XLOOKUP(C510,Clientes[ID_Cliente],Clientes[Provincia]),", Argentina")</f>
        <v>Buenos Aires, Argentina</v>
      </c>
      <c r="M510" s="20" t="str">
        <f t="array" ref="M510">_xlfn.XLOOKUP(F510,Metodos_De_Pago[ID_Metodo],Metodos_De_Pago[Metodo])</f>
        <v>Tarjeta de Débito</v>
      </c>
      <c r="N510" s="20" t="str">
        <f t="shared" si="2"/>
        <v>2024 02</v>
      </c>
    </row>
    <row r="511" ht="22.5" customHeight="1">
      <c r="A511" s="12">
        <f>IFERROR(__xludf.DUMMYFUNCTION("""COMPUTED_VALUE"""),1217.0)</f>
        <v>1217</v>
      </c>
      <c r="B511" s="13">
        <f>IFERROR(__xludf.DUMMYFUNCTION("""COMPUTED_VALUE"""),45332.0)</f>
        <v>45332</v>
      </c>
      <c r="C511" s="12">
        <f>IFERROR(__xludf.DUMMYFUNCTION("""COMPUTED_VALUE"""),144.0)</f>
        <v>144</v>
      </c>
      <c r="D511" s="12">
        <f>IFERROR(__xludf.DUMMYFUNCTION("""COMPUTED_VALUE"""),22.0)</f>
        <v>22</v>
      </c>
      <c r="E511" s="12">
        <f>IFERROR(__xludf.DUMMYFUNCTION("""COMPUTED_VALUE"""),2.0)</f>
        <v>2</v>
      </c>
      <c r="F511" s="12">
        <f>IFERROR(__xludf.DUMMYFUNCTION("""COMPUTED_VALUE"""),4.0)</f>
        <v>4</v>
      </c>
      <c r="G511" s="15" t="str">
        <f>IFERROR(__xludf.DUMMYFUNCTION("""COMPUTED_VALUE"""),"Completa")</f>
        <v>Completa</v>
      </c>
      <c r="H511" s="16" t="str">
        <f t="array" ref="H511">_xlfn.XLOOKUP(D511,Productos[ID_Producto],Productos[Nombre_Producto])</f>
        <v>Cebolla</v>
      </c>
      <c r="I511" s="17">
        <f t="array" ref="I511">_xlfn.XLOOKUP(D511,Productos[ID_Producto],Productos[Precio_Unitario])</f>
        <v>4.21</v>
      </c>
      <c r="J511" s="17">
        <f t="shared" si="1"/>
        <v>8.42</v>
      </c>
      <c r="K511" s="16" t="str">
        <f t="array" ref="K511">_xlfn.XLOOKUP(C511,Clientes[ID_Cliente],Clientes[Provincia])</f>
        <v>Chaco</v>
      </c>
      <c r="L511" s="16" t="str">
        <f t="array" ref="L511">CONCATENATE(_xlfn.XLOOKUP(C511,Clientes[ID_Cliente],Clientes[Provincia]),", Argentina")</f>
        <v>Chaco, Argentina</v>
      </c>
      <c r="M511" s="20" t="str">
        <f t="array" ref="M511">_xlfn.XLOOKUP(F511,Metodos_De_Pago[ID_Metodo],Metodos_De_Pago[Metodo])</f>
        <v>Mercado Pago</v>
      </c>
      <c r="N511" s="20" t="str">
        <f t="shared" si="2"/>
        <v>2024 02</v>
      </c>
    </row>
    <row r="512" ht="22.5" customHeight="1">
      <c r="A512" s="12">
        <f>IFERROR(__xludf.DUMMYFUNCTION("""COMPUTED_VALUE"""),1362.0)</f>
        <v>1362</v>
      </c>
      <c r="B512" s="13">
        <f>IFERROR(__xludf.DUMMYFUNCTION("""COMPUTED_VALUE"""),45333.0)</f>
        <v>45333</v>
      </c>
      <c r="C512" s="12">
        <f>IFERROR(__xludf.DUMMYFUNCTION("""COMPUTED_VALUE"""),120.0)</f>
        <v>120</v>
      </c>
      <c r="D512" s="12">
        <f>IFERROR(__xludf.DUMMYFUNCTION("""COMPUTED_VALUE"""),19.0)</f>
        <v>19</v>
      </c>
      <c r="E512" s="12">
        <f>IFERROR(__xludf.DUMMYFUNCTION("""COMPUTED_VALUE"""),2.0)</f>
        <v>2</v>
      </c>
      <c r="F512" s="12">
        <f>IFERROR(__xludf.DUMMYFUNCTION("""COMPUTED_VALUE"""),5.0)</f>
        <v>5</v>
      </c>
      <c r="G512" s="15" t="str">
        <f>IFERROR(__xludf.DUMMYFUNCTION("""COMPUTED_VALUE"""),"Pendiente")</f>
        <v>Pendiente</v>
      </c>
      <c r="H512" s="16" t="str">
        <f t="array" ref="H512">_xlfn.XLOOKUP(D512,Productos[ID_Producto],Productos[Nombre_Producto])</f>
        <v>Tomates</v>
      </c>
      <c r="I512" s="17">
        <f t="array" ref="I512">_xlfn.XLOOKUP(D512,Productos[ID_Producto],Productos[Precio_Unitario])</f>
        <v>6.54</v>
      </c>
      <c r="J512" s="17">
        <f t="shared" si="1"/>
        <v>13.08</v>
      </c>
      <c r="K512" s="16" t="str">
        <f t="array" ref="K512">_xlfn.XLOOKUP(C512,Clientes[ID_Cliente],Clientes[Provincia])</f>
        <v>Buenos Aires</v>
      </c>
      <c r="L512" s="16" t="str">
        <f t="array" ref="L512">CONCATENATE(_xlfn.XLOOKUP(C512,Clientes[ID_Cliente],Clientes[Provincia]),", Argentina")</f>
        <v>Buenos Aires, Argentina</v>
      </c>
      <c r="M512" s="20" t="str">
        <f t="array" ref="M512">_xlfn.XLOOKUP(F512,Metodos_De_Pago[ID_Metodo],Metodos_De_Pago[Metodo])</f>
        <v>Transferencia</v>
      </c>
      <c r="N512" s="20" t="str">
        <f t="shared" si="2"/>
        <v>2024 02</v>
      </c>
    </row>
    <row r="513" ht="22.5" customHeight="1">
      <c r="A513" s="12">
        <f>IFERROR(__xludf.DUMMYFUNCTION("""COMPUTED_VALUE"""),29.0)</f>
        <v>29</v>
      </c>
      <c r="B513" s="13">
        <f>IFERROR(__xludf.DUMMYFUNCTION("""COMPUTED_VALUE"""),45334.0)</f>
        <v>45334</v>
      </c>
      <c r="C513" s="12">
        <f>IFERROR(__xludf.DUMMYFUNCTION("""COMPUTED_VALUE"""),205.0)</f>
        <v>205</v>
      </c>
      <c r="D513" s="12">
        <f>IFERROR(__xludf.DUMMYFUNCTION("""COMPUTED_VALUE"""),38.0)</f>
        <v>38</v>
      </c>
      <c r="E513" s="12">
        <f>IFERROR(__xludf.DUMMYFUNCTION("""COMPUTED_VALUE"""),2.0)</f>
        <v>2</v>
      </c>
      <c r="F513" s="12">
        <f>IFERROR(__xludf.DUMMYFUNCTION("""COMPUTED_VALUE"""),3.0)</f>
        <v>3</v>
      </c>
      <c r="G513" s="15" t="str">
        <f>IFERROR(__xludf.DUMMYFUNCTION("""COMPUTED_VALUE"""),"Completa")</f>
        <v>Completa</v>
      </c>
      <c r="H513" s="16" t="str">
        <f t="array" ref="H513">_xlfn.XLOOKUP(D513,Productos[ID_Producto],Productos[Nombre_Producto])</f>
        <v>Atún enlatado</v>
      </c>
      <c r="I513" s="17">
        <f t="array" ref="I513">_xlfn.XLOOKUP(D513,Productos[ID_Producto],Productos[Precio_Unitario])</f>
        <v>6.21</v>
      </c>
      <c r="J513" s="17">
        <f t="shared" si="1"/>
        <v>12.42</v>
      </c>
      <c r="K513" s="16" t="str">
        <f t="array" ref="K513">_xlfn.XLOOKUP(C513,Clientes[ID_Cliente],Clientes[Provincia])</f>
        <v>Neuquén</v>
      </c>
      <c r="L513" s="16" t="str">
        <f t="array" ref="L513">CONCATENATE(_xlfn.XLOOKUP(C513,Clientes[ID_Cliente],Clientes[Provincia]),", Argentina")</f>
        <v>Neuquén, Argentina</v>
      </c>
      <c r="M513" s="20" t="str">
        <f t="array" ref="M513">_xlfn.XLOOKUP(F513,Metodos_De_Pago[ID_Metodo],Metodos_De_Pago[Metodo])</f>
        <v>Tarjeta de Débito</v>
      </c>
      <c r="N513" s="20" t="str">
        <f t="shared" si="2"/>
        <v>2024 02</v>
      </c>
    </row>
    <row r="514" ht="22.5" customHeight="1">
      <c r="A514" s="12">
        <f>IFERROR(__xludf.DUMMYFUNCTION("""COMPUTED_VALUE"""),488.0)</f>
        <v>488</v>
      </c>
      <c r="B514" s="13">
        <f>IFERROR(__xludf.DUMMYFUNCTION("""COMPUTED_VALUE"""),45334.0)</f>
        <v>45334</v>
      </c>
      <c r="C514" s="12">
        <f>IFERROR(__xludf.DUMMYFUNCTION("""COMPUTED_VALUE"""),47.0)</f>
        <v>47</v>
      </c>
      <c r="D514" s="12">
        <f>IFERROR(__xludf.DUMMYFUNCTION("""COMPUTED_VALUE"""),14.0)</f>
        <v>14</v>
      </c>
      <c r="E514" s="12">
        <f>IFERROR(__xludf.DUMMYFUNCTION("""COMPUTED_VALUE"""),2.0)</f>
        <v>2</v>
      </c>
      <c r="F514" s="12">
        <f>IFERROR(__xludf.DUMMYFUNCTION("""COMPUTED_VALUE"""),5.0)</f>
        <v>5</v>
      </c>
      <c r="G514" s="15" t="str">
        <f>IFERROR(__xludf.DUMMYFUNCTION("""COMPUTED_VALUE"""),"Completa")</f>
        <v>Completa</v>
      </c>
      <c r="H514" s="16" t="str">
        <f t="array" ref="H514">_xlfn.XLOOKUP(D514,Productos[ID_Producto],Productos[Nombre_Producto])</f>
        <v>Facturas</v>
      </c>
      <c r="I514" s="17">
        <f t="array" ref="I514">_xlfn.XLOOKUP(D514,Productos[ID_Producto],Productos[Precio_Unitario])</f>
        <v>12.36</v>
      </c>
      <c r="J514" s="17">
        <f t="shared" si="1"/>
        <v>24.72</v>
      </c>
      <c r="K514" s="16" t="str">
        <f t="array" ref="K514">_xlfn.XLOOKUP(C514,Clientes[ID_Cliente],Clientes[Provincia])</f>
        <v>Buenos Aires</v>
      </c>
      <c r="L514" s="16" t="str">
        <f t="array" ref="L514">CONCATENATE(_xlfn.XLOOKUP(C514,Clientes[ID_Cliente],Clientes[Provincia]),", Argentina")</f>
        <v>Buenos Aires, Argentina</v>
      </c>
      <c r="M514" s="20" t="str">
        <f t="array" ref="M514">_xlfn.XLOOKUP(F514,Metodos_De_Pago[ID_Metodo],Metodos_De_Pago[Metodo])</f>
        <v>Transferencia</v>
      </c>
      <c r="N514" s="20" t="str">
        <f t="shared" si="2"/>
        <v>2024 02</v>
      </c>
    </row>
    <row r="515" ht="22.5" customHeight="1">
      <c r="A515" s="12">
        <f>IFERROR(__xludf.DUMMYFUNCTION("""COMPUTED_VALUE"""),2007.0)</f>
        <v>2007</v>
      </c>
      <c r="B515" s="13">
        <f>IFERROR(__xludf.DUMMYFUNCTION("""COMPUTED_VALUE"""),45334.0)</f>
        <v>45334</v>
      </c>
      <c r="C515" s="12">
        <f>IFERROR(__xludf.DUMMYFUNCTION("""COMPUTED_VALUE"""),288.0)</f>
        <v>288</v>
      </c>
      <c r="D515" s="12">
        <f>IFERROR(__xludf.DUMMYFUNCTION("""COMPUTED_VALUE"""),14.0)</f>
        <v>14</v>
      </c>
      <c r="E515" s="12">
        <f>IFERROR(__xludf.DUMMYFUNCTION("""COMPUTED_VALUE"""),2.0)</f>
        <v>2</v>
      </c>
      <c r="F515" s="12">
        <f>IFERROR(__xludf.DUMMYFUNCTION("""COMPUTED_VALUE"""),4.0)</f>
        <v>4</v>
      </c>
      <c r="G515" s="15" t="str">
        <f>IFERROR(__xludf.DUMMYFUNCTION("""COMPUTED_VALUE"""),"Completa")</f>
        <v>Completa</v>
      </c>
      <c r="H515" s="16" t="str">
        <f t="array" ref="H515">_xlfn.XLOOKUP(D515,Productos[ID_Producto],Productos[Nombre_Producto])</f>
        <v>Facturas</v>
      </c>
      <c r="I515" s="17">
        <f t="array" ref="I515">_xlfn.XLOOKUP(D515,Productos[ID_Producto],Productos[Precio_Unitario])</f>
        <v>12.36</v>
      </c>
      <c r="J515" s="17">
        <f t="shared" si="1"/>
        <v>24.72</v>
      </c>
      <c r="K515" s="16" t="str">
        <f t="array" ref="K515">_xlfn.XLOOKUP(C515,Clientes[ID_Cliente],Clientes[Provincia])</f>
        <v>Buenos Aires</v>
      </c>
      <c r="L515" s="16" t="str">
        <f t="array" ref="L515">CONCATENATE(_xlfn.XLOOKUP(C515,Clientes[ID_Cliente],Clientes[Provincia]),", Argentina")</f>
        <v>Buenos Aires, Argentina</v>
      </c>
      <c r="M515" s="20" t="str">
        <f t="array" ref="M515">_xlfn.XLOOKUP(F515,Metodos_De_Pago[ID_Metodo],Metodos_De_Pago[Metodo])</f>
        <v>Mercado Pago</v>
      </c>
      <c r="N515" s="20" t="str">
        <f t="shared" si="2"/>
        <v>2024 02</v>
      </c>
    </row>
    <row r="516" ht="22.5" customHeight="1">
      <c r="A516" s="12">
        <f>IFERROR(__xludf.DUMMYFUNCTION("""COMPUTED_VALUE"""),2355.0)</f>
        <v>2355</v>
      </c>
      <c r="B516" s="13">
        <f>IFERROR(__xludf.DUMMYFUNCTION("""COMPUTED_VALUE"""),45335.0)</f>
        <v>45335</v>
      </c>
      <c r="C516" s="12">
        <f>IFERROR(__xludf.DUMMYFUNCTION("""COMPUTED_VALUE"""),150.0)</f>
        <v>150</v>
      </c>
      <c r="D516" s="12">
        <f>IFERROR(__xludf.DUMMYFUNCTION("""COMPUTED_VALUE"""),35.0)</f>
        <v>35</v>
      </c>
      <c r="E516" s="12">
        <f>IFERROR(__xludf.DUMMYFUNCTION("""COMPUTED_VALUE"""),2.0)</f>
        <v>2</v>
      </c>
      <c r="F516" s="12">
        <f>IFERROR(__xludf.DUMMYFUNCTION("""COMPUTED_VALUE"""),5.0)</f>
        <v>5</v>
      </c>
      <c r="G516" s="15" t="str">
        <f>IFERROR(__xludf.DUMMYFUNCTION("""COMPUTED_VALUE"""),"Completa")</f>
        <v>Completa</v>
      </c>
      <c r="H516" s="16" t="str">
        <f t="array" ref="H516">_xlfn.XLOOKUP(D516,Productos[ID_Producto],Productos[Nombre_Producto])</f>
        <v>Arroz</v>
      </c>
      <c r="I516" s="17">
        <f t="array" ref="I516">_xlfn.XLOOKUP(D516,Productos[ID_Producto],Productos[Precio_Unitario])</f>
        <v>4.25</v>
      </c>
      <c r="J516" s="17">
        <f t="shared" si="1"/>
        <v>8.5</v>
      </c>
      <c r="K516" s="16" t="str">
        <f t="array" ref="K516">_xlfn.XLOOKUP(C516,Clientes[ID_Cliente],Clientes[Provincia])</f>
        <v>Buenos Aires</v>
      </c>
      <c r="L516" s="16" t="str">
        <f t="array" ref="L516">CONCATENATE(_xlfn.XLOOKUP(C516,Clientes[ID_Cliente],Clientes[Provincia]),", Argentina")</f>
        <v>Buenos Aires, Argentina</v>
      </c>
      <c r="M516" s="20" t="str">
        <f t="array" ref="M516">_xlfn.XLOOKUP(F516,Metodos_De_Pago[ID_Metodo],Metodos_De_Pago[Metodo])</f>
        <v>Transferencia</v>
      </c>
      <c r="N516" s="20" t="str">
        <f t="shared" si="2"/>
        <v>2024 02</v>
      </c>
    </row>
    <row r="517" ht="22.5" customHeight="1">
      <c r="A517" s="12">
        <f>IFERROR(__xludf.DUMMYFUNCTION("""COMPUTED_VALUE"""),2709.0)</f>
        <v>2709</v>
      </c>
      <c r="B517" s="13">
        <f>IFERROR(__xludf.DUMMYFUNCTION("""COMPUTED_VALUE"""),45335.0)</f>
        <v>45335</v>
      </c>
      <c r="C517" s="12">
        <f>IFERROR(__xludf.DUMMYFUNCTION("""COMPUTED_VALUE"""),304.0)</f>
        <v>304</v>
      </c>
      <c r="D517" s="12">
        <f>IFERROR(__xludf.DUMMYFUNCTION("""COMPUTED_VALUE"""),12.0)</f>
        <v>12</v>
      </c>
      <c r="E517" s="12">
        <f>IFERROR(__xludf.DUMMYFUNCTION("""COMPUTED_VALUE"""),2.0)</f>
        <v>2</v>
      </c>
      <c r="F517" s="12">
        <f>IFERROR(__xludf.DUMMYFUNCTION("""COMPUTED_VALUE"""),1.0)</f>
        <v>1</v>
      </c>
      <c r="G517" s="15" t="str">
        <f>IFERROR(__xludf.DUMMYFUNCTION("""COMPUTED_VALUE"""),"Pendiente")</f>
        <v>Pendiente</v>
      </c>
      <c r="H517" s="16" t="str">
        <f t="array" ref="H517">_xlfn.XLOOKUP(D517,Productos[ID_Producto],Productos[Nombre_Producto])</f>
        <v>Pan francés</v>
      </c>
      <c r="I517" s="17">
        <f t="array" ref="I517">_xlfn.XLOOKUP(D517,Productos[ID_Producto],Productos[Precio_Unitario])</f>
        <v>8.12</v>
      </c>
      <c r="J517" s="17">
        <f t="shared" si="1"/>
        <v>16.24</v>
      </c>
      <c r="K517" s="16" t="str">
        <f t="array" ref="K517">_xlfn.XLOOKUP(C517,Clientes[ID_Cliente],Clientes[Provincia])</f>
        <v>San Luis</v>
      </c>
      <c r="L517" s="16" t="str">
        <f t="array" ref="L517">CONCATENATE(_xlfn.XLOOKUP(C517,Clientes[ID_Cliente],Clientes[Provincia]),", Argentina")</f>
        <v>San Luis, Argentina</v>
      </c>
      <c r="M517" s="20" t="str">
        <f t="array" ref="M517">_xlfn.XLOOKUP(F517,Metodos_De_Pago[ID_Metodo],Metodos_De_Pago[Metodo])</f>
        <v>Efectivo</v>
      </c>
      <c r="N517" s="20" t="str">
        <f t="shared" si="2"/>
        <v>2024 02</v>
      </c>
    </row>
    <row r="518" ht="22.5" customHeight="1">
      <c r="A518" s="12">
        <f>IFERROR(__xludf.DUMMYFUNCTION("""COMPUTED_VALUE"""),2481.0)</f>
        <v>2481</v>
      </c>
      <c r="B518" s="13">
        <f>IFERROR(__xludf.DUMMYFUNCTION("""COMPUTED_VALUE"""),45337.0)</f>
        <v>45337</v>
      </c>
      <c r="C518" s="12">
        <f>IFERROR(__xludf.DUMMYFUNCTION("""COMPUTED_VALUE"""),166.0)</f>
        <v>166</v>
      </c>
      <c r="D518" s="12">
        <f>IFERROR(__xludf.DUMMYFUNCTION("""COMPUTED_VALUE"""),4.0)</f>
        <v>4</v>
      </c>
      <c r="E518" s="12">
        <f>IFERROR(__xludf.DUMMYFUNCTION("""COMPUTED_VALUE"""),2.0)</f>
        <v>2</v>
      </c>
      <c r="F518" s="12">
        <f>IFERROR(__xludf.DUMMYFUNCTION("""COMPUTED_VALUE"""),5.0)</f>
        <v>5</v>
      </c>
      <c r="G518" s="15" t="str">
        <f>IFERROR(__xludf.DUMMYFUNCTION("""COMPUTED_VALUE"""),"Pendiente")</f>
        <v>Pendiente</v>
      </c>
      <c r="H518" s="16" t="str">
        <f t="array" ref="H518">_xlfn.XLOOKUP(D518,Productos[ID_Producto],Productos[Nombre_Producto])</f>
        <v>Queso rallado</v>
      </c>
      <c r="I518" s="17">
        <f t="array" ref="I518">_xlfn.XLOOKUP(D518,Productos[ID_Producto],Productos[Precio_Unitario])</f>
        <v>19.23</v>
      </c>
      <c r="J518" s="17">
        <f t="shared" si="1"/>
        <v>38.46</v>
      </c>
      <c r="K518" s="16" t="str">
        <f t="array" ref="K518">_xlfn.XLOOKUP(C518,Clientes[ID_Cliente],Clientes[Provincia])</f>
        <v>Chaco</v>
      </c>
      <c r="L518" s="16" t="str">
        <f t="array" ref="L518">CONCATENATE(_xlfn.XLOOKUP(C518,Clientes[ID_Cliente],Clientes[Provincia]),", Argentina")</f>
        <v>Chaco, Argentina</v>
      </c>
      <c r="M518" s="20" t="str">
        <f t="array" ref="M518">_xlfn.XLOOKUP(F518,Metodos_De_Pago[ID_Metodo],Metodos_De_Pago[Metodo])</f>
        <v>Transferencia</v>
      </c>
      <c r="N518" s="20" t="str">
        <f t="shared" si="2"/>
        <v>2024 02</v>
      </c>
    </row>
    <row r="519" ht="22.5" customHeight="1">
      <c r="A519" s="12">
        <f>IFERROR(__xludf.DUMMYFUNCTION("""COMPUTED_VALUE"""),735.0)</f>
        <v>735</v>
      </c>
      <c r="B519" s="13">
        <f>IFERROR(__xludf.DUMMYFUNCTION("""COMPUTED_VALUE"""),45338.0)</f>
        <v>45338</v>
      </c>
      <c r="C519" s="12">
        <f>IFERROR(__xludf.DUMMYFUNCTION("""COMPUTED_VALUE"""),183.0)</f>
        <v>183</v>
      </c>
      <c r="D519" s="12">
        <f>IFERROR(__xludf.DUMMYFUNCTION("""COMPUTED_VALUE"""),20.0)</f>
        <v>20</v>
      </c>
      <c r="E519" s="12">
        <f>IFERROR(__xludf.DUMMYFUNCTION("""COMPUTED_VALUE"""),2.0)</f>
        <v>2</v>
      </c>
      <c r="F519" s="12">
        <f>IFERROR(__xludf.DUMMYFUNCTION("""COMPUTED_VALUE"""),1.0)</f>
        <v>1</v>
      </c>
      <c r="G519" s="15" t="str">
        <f>IFERROR(__xludf.DUMMYFUNCTION("""COMPUTED_VALUE"""),"Completa")</f>
        <v>Completa</v>
      </c>
      <c r="H519" s="16" t="str">
        <f t="array" ref="H519">_xlfn.XLOOKUP(D519,Productos[ID_Producto],Productos[Nombre_Producto])</f>
        <v>Lechugas</v>
      </c>
      <c r="I519" s="17">
        <f t="array" ref="I519">_xlfn.XLOOKUP(D519,Productos[ID_Producto],Productos[Precio_Unitario])</f>
        <v>4.25</v>
      </c>
      <c r="J519" s="17">
        <f t="shared" si="1"/>
        <v>8.5</v>
      </c>
      <c r="K519" s="16" t="str">
        <f t="array" ref="K519">_xlfn.XLOOKUP(C519,Clientes[ID_Cliente],Clientes[Provincia])</f>
        <v>Neuquén</v>
      </c>
      <c r="L519" s="16" t="str">
        <f t="array" ref="L519">CONCATENATE(_xlfn.XLOOKUP(C519,Clientes[ID_Cliente],Clientes[Provincia]),", Argentina")</f>
        <v>Neuquén, Argentina</v>
      </c>
      <c r="M519" s="20" t="str">
        <f t="array" ref="M519">_xlfn.XLOOKUP(F519,Metodos_De_Pago[ID_Metodo],Metodos_De_Pago[Metodo])</f>
        <v>Efectivo</v>
      </c>
      <c r="N519" s="20" t="str">
        <f t="shared" si="2"/>
        <v>2024 02</v>
      </c>
    </row>
    <row r="520" ht="22.5" customHeight="1">
      <c r="A520" s="12">
        <f>IFERROR(__xludf.DUMMYFUNCTION("""COMPUTED_VALUE"""),779.0)</f>
        <v>779</v>
      </c>
      <c r="B520" s="13">
        <f>IFERROR(__xludf.DUMMYFUNCTION("""COMPUTED_VALUE"""),45338.0)</f>
        <v>45338</v>
      </c>
      <c r="C520" s="12">
        <f>IFERROR(__xludf.DUMMYFUNCTION("""COMPUTED_VALUE"""),252.0)</f>
        <v>252</v>
      </c>
      <c r="D520" s="12">
        <f>IFERROR(__xludf.DUMMYFUNCTION("""COMPUTED_VALUE"""),14.0)</f>
        <v>14</v>
      </c>
      <c r="E520" s="12">
        <f>IFERROR(__xludf.DUMMYFUNCTION("""COMPUTED_VALUE"""),2.0)</f>
        <v>2</v>
      </c>
      <c r="F520" s="12">
        <f>IFERROR(__xludf.DUMMYFUNCTION("""COMPUTED_VALUE"""),3.0)</f>
        <v>3</v>
      </c>
      <c r="G520" s="15" t="str">
        <f>IFERROR(__xludf.DUMMYFUNCTION("""COMPUTED_VALUE"""),"Completa")</f>
        <v>Completa</v>
      </c>
      <c r="H520" s="16" t="str">
        <f t="array" ref="H520">_xlfn.XLOOKUP(D520,Productos[ID_Producto],Productos[Nombre_Producto])</f>
        <v>Facturas</v>
      </c>
      <c r="I520" s="17">
        <f t="array" ref="I520">_xlfn.XLOOKUP(D520,Productos[ID_Producto],Productos[Precio_Unitario])</f>
        <v>12.36</v>
      </c>
      <c r="J520" s="17">
        <f t="shared" si="1"/>
        <v>24.72</v>
      </c>
      <c r="K520" s="16" t="str">
        <f t="array" ref="K520">_xlfn.XLOOKUP(C520,Clientes[ID_Cliente],Clientes[Provincia])</f>
        <v>Neuquén</v>
      </c>
      <c r="L520" s="16" t="str">
        <f t="array" ref="L520">CONCATENATE(_xlfn.XLOOKUP(C520,Clientes[ID_Cliente],Clientes[Provincia]),", Argentina")</f>
        <v>Neuquén, Argentina</v>
      </c>
      <c r="M520" s="20" t="str">
        <f t="array" ref="M520">_xlfn.XLOOKUP(F520,Metodos_De_Pago[ID_Metodo],Metodos_De_Pago[Metodo])</f>
        <v>Tarjeta de Débito</v>
      </c>
      <c r="N520" s="20" t="str">
        <f t="shared" si="2"/>
        <v>2024 02</v>
      </c>
    </row>
    <row r="521" ht="22.5" customHeight="1">
      <c r="A521" s="12">
        <f>IFERROR(__xludf.DUMMYFUNCTION("""COMPUTED_VALUE"""),2771.0)</f>
        <v>2771</v>
      </c>
      <c r="B521" s="13">
        <f>IFERROR(__xludf.DUMMYFUNCTION("""COMPUTED_VALUE"""),45338.0)</f>
        <v>45338</v>
      </c>
      <c r="C521" s="12">
        <f>IFERROR(__xludf.DUMMYFUNCTION("""COMPUTED_VALUE"""),39.0)</f>
        <v>39</v>
      </c>
      <c r="D521" s="12">
        <f>IFERROR(__xludf.DUMMYFUNCTION("""COMPUTED_VALUE"""),7.0)</f>
        <v>7</v>
      </c>
      <c r="E521" s="12">
        <f>IFERROR(__xludf.DUMMYFUNCTION("""COMPUTED_VALUE"""),2.0)</f>
        <v>2</v>
      </c>
      <c r="F521" s="12">
        <f>IFERROR(__xludf.DUMMYFUNCTION("""COMPUTED_VALUE"""),3.0)</f>
        <v>3</v>
      </c>
      <c r="G521" s="15" t="str">
        <f>IFERROR(__xludf.DUMMYFUNCTION("""COMPUTED_VALUE"""),"Completa")</f>
        <v>Completa</v>
      </c>
      <c r="H521" s="16" t="str">
        <f t="array" ref="H521">_xlfn.XLOOKUP(D521,Productos[ID_Producto],Productos[Nombre_Producto])</f>
        <v>Chorizo</v>
      </c>
      <c r="I521" s="17">
        <f t="array" ref="I521">_xlfn.XLOOKUP(D521,Productos[ID_Producto],Productos[Precio_Unitario])</f>
        <v>11.25</v>
      </c>
      <c r="J521" s="17">
        <f t="shared" si="1"/>
        <v>22.5</v>
      </c>
      <c r="K521" s="16" t="str">
        <f t="array" ref="K521">_xlfn.XLOOKUP(C521,Clientes[ID_Cliente],Clientes[Provincia])</f>
        <v>Neuquén</v>
      </c>
      <c r="L521" s="16" t="str">
        <f t="array" ref="L521">CONCATENATE(_xlfn.XLOOKUP(C521,Clientes[ID_Cliente],Clientes[Provincia]),", Argentina")</f>
        <v>Neuquén, Argentina</v>
      </c>
      <c r="M521" s="20" t="str">
        <f t="array" ref="M521">_xlfn.XLOOKUP(F521,Metodos_De_Pago[ID_Metodo],Metodos_De_Pago[Metodo])</f>
        <v>Tarjeta de Débito</v>
      </c>
      <c r="N521" s="20" t="str">
        <f t="shared" si="2"/>
        <v>2024 02</v>
      </c>
    </row>
    <row r="522" ht="22.5" customHeight="1">
      <c r="A522" s="12">
        <f>IFERROR(__xludf.DUMMYFUNCTION("""COMPUTED_VALUE"""),207.0)</f>
        <v>207</v>
      </c>
      <c r="B522" s="13">
        <f>IFERROR(__xludf.DUMMYFUNCTION("""COMPUTED_VALUE"""),45339.0)</f>
        <v>45339</v>
      </c>
      <c r="C522" s="12">
        <f>IFERROR(__xludf.DUMMYFUNCTION("""COMPUTED_VALUE"""),203.0)</f>
        <v>203</v>
      </c>
      <c r="D522" s="12">
        <f>IFERROR(__xludf.DUMMYFUNCTION("""COMPUTED_VALUE"""),20.0)</f>
        <v>20</v>
      </c>
      <c r="E522" s="12">
        <f>IFERROR(__xludf.DUMMYFUNCTION("""COMPUTED_VALUE"""),2.0)</f>
        <v>2</v>
      </c>
      <c r="F522" s="12">
        <f>IFERROR(__xludf.DUMMYFUNCTION("""COMPUTED_VALUE"""),5.0)</f>
        <v>5</v>
      </c>
      <c r="G522" s="15" t="str">
        <f>IFERROR(__xludf.DUMMYFUNCTION("""COMPUTED_VALUE"""),"Completa")</f>
        <v>Completa</v>
      </c>
      <c r="H522" s="16" t="str">
        <f t="array" ref="H522">_xlfn.XLOOKUP(D522,Productos[ID_Producto],Productos[Nombre_Producto])</f>
        <v>Lechugas</v>
      </c>
      <c r="I522" s="17">
        <f t="array" ref="I522">_xlfn.XLOOKUP(D522,Productos[ID_Producto],Productos[Precio_Unitario])</f>
        <v>4.25</v>
      </c>
      <c r="J522" s="17">
        <f t="shared" si="1"/>
        <v>8.5</v>
      </c>
      <c r="K522" s="16" t="str">
        <f t="array" ref="K522">_xlfn.XLOOKUP(C522,Clientes[ID_Cliente],Clientes[Provincia])</f>
        <v>Buenos Aires</v>
      </c>
      <c r="L522" s="16" t="str">
        <f t="array" ref="L522">CONCATENATE(_xlfn.XLOOKUP(C522,Clientes[ID_Cliente],Clientes[Provincia]),", Argentina")</f>
        <v>Buenos Aires, Argentina</v>
      </c>
      <c r="M522" s="20" t="str">
        <f t="array" ref="M522">_xlfn.XLOOKUP(F522,Metodos_De_Pago[ID_Metodo],Metodos_De_Pago[Metodo])</f>
        <v>Transferencia</v>
      </c>
      <c r="N522" s="20" t="str">
        <f t="shared" si="2"/>
        <v>2024 02</v>
      </c>
    </row>
    <row r="523" ht="22.5" customHeight="1">
      <c r="A523" s="12">
        <f>IFERROR(__xludf.DUMMYFUNCTION("""COMPUTED_VALUE"""),1842.0)</f>
        <v>1842</v>
      </c>
      <c r="B523" s="13">
        <f>IFERROR(__xludf.DUMMYFUNCTION("""COMPUTED_VALUE"""),45339.0)</f>
        <v>45339</v>
      </c>
      <c r="C523" s="12">
        <f>IFERROR(__xludf.DUMMYFUNCTION("""COMPUTED_VALUE"""),224.0)</f>
        <v>224</v>
      </c>
      <c r="D523" s="12">
        <f>IFERROR(__xludf.DUMMYFUNCTION("""COMPUTED_VALUE"""),29.0)</f>
        <v>29</v>
      </c>
      <c r="E523" s="12">
        <f>IFERROR(__xludf.DUMMYFUNCTION("""COMPUTED_VALUE"""),2.0)</f>
        <v>2</v>
      </c>
      <c r="F523" s="12">
        <f>IFERROR(__xludf.DUMMYFUNCTION("""COMPUTED_VALUE"""),1.0)</f>
        <v>1</v>
      </c>
      <c r="G523" s="15" t="str">
        <f>IFERROR(__xludf.DUMMYFUNCTION("""COMPUTED_VALUE"""),"Completa")</f>
        <v>Completa</v>
      </c>
      <c r="H523" s="16" t="str">
        <f t="array" ref="H523">_xlfn.XLOOKUP(D523,Productos[ID_Producto],Productos[Nombre_Producto])</f>
        <v>Cerveza</v>
      </c>
      <c r="I523" s="17">
        <f t="array" ref="I523">_xlfn.XLOOKUP(D523,Productos[ID_Producto],Productos[Precio_Unitario])</f>
        <v>11.54</v>
      </c>
      <c r="J523" s="17">
        <f t="shared" si="1"/>
        <v>23.08</v>
      </c>
      <c r="K523" s="16" t="str">
        <f t="array" ref="K523">_xlfn.XLOOKUP(C523,Clientes[ID_Cliente],Clientes[Provincia])</f>
        <v>San Luis</v>
      </c>
      <c r="L523" s="16" t="str">
        <f t="array" ref="L523">CONCATENATE(_xlfn.XLOOKUP(C523,Clientes[ID_Cliente],Clientes[Provincia]),", Argentina")</f>
        <v>San Luis, Argentina</v>
      </c>
      <c r="M523" s="20" t="str">
        <f t="array" ref="M523">_xlfn.XLOOKUP(F523,Metodos_De_Pago[ID_Metodo],Metodos_De_Pago[Metodo])</f>
        <v>Efectivo</v>
      </c>
      <c r="N523" s="20" t="str">
        <f t="shared" si="2"/>
        <v>2024 02</v>
      </c>
    </row>
    <row r="524" ht="22.5" customHeight="1">
      <c r="A524" s="12">
        <f>IFERROR(__xludf.DUMMYFUNCTION("""COMPUTED_VALUE"""),77.0)</f>
        <v>77</v>
      </c>
      <c r="B524" s="13">
        <f>IFERROR(__xludf.DUMMYFUNCTION("""COMPUTED_VALUE"""),45340.0)</f>
        <v>45340</v>
      </c>
      <c r="C524" s="12">
        <f>IFERROR(__xludf.DUMMYFUNCTION("""COMPUTED_VALUE"""),320.0)</f>
        <v>320</v>
      </c>
      <c r="D524" s="12">
        <f>IFERROR(__xludf.DUMMYFUNCTION("""COMPUTED_VALUE"""),27.0)</f>
        <v>27</v>
      </c>
      <c r="E524" s="12">
        <f>IFERROR(__xludf.DUMMYFUNCTION("""COMPUTED_VALUE"""),2.0)</f>
        <v>2</v>
      </c>
      <c r="F524" s="12">
        <f>IFERROR(__xludf.DUMMYFUNCTION("""COMPUTED_VALUE"""),3.0)</f>
        <v>3</v>
      </c>
      <c r="G524" s="15" t="str">
        <f>IFERROR(__xludf.DUMMYFUNCTION("""COMPUTED_VALUE"""),"Completa")</f>
        <v>Completa</v>
      </c>
      <c r="H524" s="16" t="str">
        <f t="array" ref="H524">_xlfn.XLOOKUP(D524,Productos[ID_Producto],Productos[Nombre_Producto])</f>
        <v>Agua mineral</v>
      </c>
      <c r="I524" s="17">
        <f t="array" ref="I524">_xlfn.XLOOKUP(D524,Productos[ID_Producto],Productos[Precio_Unitario])</f>
        <v>6.21</v>
      </c>
      <c r="J524" s="17">
        <f t="shared" si="1"/>
        <v>12.42</v>
      </c>
      <c r="K524" s="16" t="str">
        <f t="array" ref="K524">_xlfn.XLOOKUP(C524,Clientes[ID_Cliente],Clientes[Provincia])</f>
        <v>Córdoba</v>
      </c>
      <c r="L524" s="16" t="str">
        <f t="array" ref="L524">CONCATENATE(_xlfn.XLOOKUP(C524,Clientes[ID_Cliente],Clientes[Provincia]),", Argentina")</f>
        <v>Córdoba, Argentina</v>
      </c>
      <c r="M524" s="20" t="str">
        <f t="array" ref="M524">_xlfn.XLOOKUP(F524,Metodos_De_Pago[ID_Metodo],Metodos_De_Pago[Metodo])</f>
        <v>Tarjeta de Débito</v>
      </c>
      <c r="N524" s="20" t="str">
        <f t="shared" si="2"/>
        <v>2024 02</v>
      </c>
    </row>
    <row r="525" ht="22.5" customHeight="1">
      <c r="A525" s="12">
        <f>IFERROR(__xludf.DUMMYFUNCTION("""COMPUTED_VALUE"""),539.0)</f>
        <v>539</v>
      </c>
      <c r="B525" s="13">
        <f>IFERROR(__xludf.DUMMYFUNCTION("""COMPUTED_VALUE"""),45340.0)</f>
        <v>45340</v>
      </c>
      <c r="C525" s="12">
        <f>IFERROR(__xludf.DUMMYFUNCTION("""COMPUTED_VALUE"""),274.0)</f>
        <v>274</v>
      </c>
      <c r="D525" s="12">
        <f>IFERROR(__xludf.DUMMYFUNCTION("""COMPUTED_VALUE"""),14.0)</f>
        <v>14</v>
      </c>
      <c r="E525" s="12">
        <f>IFERROR(__xludf.DUMMYFUNCTION("""COMPUTED_VALUE"""),2.0)</f>
        <v>2</v>
      </c>
      <c r="F525" s="12">
        <f>IFERROR(__xludf.DUMMYFUNCTION("""COMPUTED_VALUE"""),5.0)</f>
        <v>5</v>
      </c>
      <c r="G525" s="15" t="str">
        <f>IFERROR(__xludf.DUMMYFUNCTION("""COMPUTED_VALUE"""),"Completa")</f>
        <v>Completa</v>
      </c>
      <c r="H525" s="16" t="str">
        <f t="array" ref="H525">_xlfn.XLOOKUP(D525,Productos[ID_Producto],Productos[Nombre_Producto])</f>
        <v>Facturas</v>
      </c>
      <c r="I525" s="17">
        <f t="array" ref="I525">_xlfn.XLOOKUP(D525,Productos[ID_Producto],Productos[Precio_Unitario])</f>
        <v>12.36</v>
      </c>
      <c r="J525" s="17">
        <f t="shared" si="1"/>
        <v>24.72</v>
      </c>
      <c r="K525" s="16" t="str">
        <f t="array" ref="K525">_xlfn.XLOOKUP(C525,Clientes[ID_Cliente],Clientes[Provincia])</f>
        <v>Buenos Aires</v>
      </c>
      <c r="L525" s="16" t="str">
        <f t="array" ref="L525">CONCATENATE(_xlfn.XLOOKUP(C525,Clientes[ID_Cliente],Clientes[Provincia]),", Argentina")</f>
        <v>Buenos Aires, Argentina</v>
      </c>
      <c r="M525" s="20" t="str">
        <f t="array" ref="M525">_xlfn.XLOOKUP(F525,Metodos_De_Pago[ID_Metodo],Metodos_De_Pago[Metodo])</f>
        <v>Transferencia</v>
      </c>
      <c r="N525" s="20" t="str">
        <f t="shared" si="2"/>
        <v>2024 02</v>
      </c>
    </row>
    <row r="526" ht="22.5" customHeight="1">
      <c r="A526" s="12">
        <f>IFERROR(__xludf.DUMMYFUNCTION("""COMPUTED_VALUE"""),2964.0)</f>
        <v>2964</v>
      </c>
      <c r="B526" s="13">
        <f>IFERROR(__xludf.DUMMYFUNCTION("""COMPUTED_VALUE"""),45340.0)</f>
        <v>45340</v>
      </c>
      <c r="C526" s="12">
        <f>IFERROR(__xludf.DUMMYFUNCTION("""COMPUTED_VALUE"""),269.0)</f>
        <v>269</v>
      </c>
      <c r="D526" s="12">
        <f>IFERROR(__xludf.DUMMYFUNCTION("""COMPUTED_VALUE"""),7.0)</f>
        <v>7</v>
      </c>
      <c r="E526" s="12">
        <f>IFERROR(__xludf.DUMMYFUNCTION("""COMPUTED_VALUE"""),2.0)</f>
        <v>2</v>
      </c>
      <c r="F526" s="12">
        <f>IFERROR(__xludf.DUMMYFUNCTION("""COMPUTED_VALUE"""),1.0)</f>
        <v>1</v>
      </c>
      <c r="G526" s="15" t="str">
        <f>IFERROR(__xludf.DUMMYFUNCTION("""COMPUTED_VALUE"""),"Completa")</f>
        <v>Completa</v>
      </c>
      <c r="H526" s="16" t="str">
        <f t="array" ref="H526">_xlfn.XLOOKUP(D526,Productos[ID_Producto],Productos[Nombre_Producto])</f>
        <v>Chorizo</v>
      </c>
      <c r="I526" s="17">
        <f t="array" ref="I526">_xlfn.XLOOKUP(D526,Productos[ID_Producto],Productos[Precio_Unitario])</f>
        <v>11.25</v>
      </c>
      <c r="J526" s="17">
        <f t="shared" si="1"/>
        <v>22.5</v>
      </c>
      <c r="K526" s="16" t="str">
        <f t="array" ref="K526">_xlfn.XLOOKUP(C526,Clientes[ID_Cliente],Clientes[Provincia])</f>
        <v>Córdoba</v>
      </c>
      <c r="L526" s="16" t="str">
        <f t="array" ref="L526">CONCATENATE(_xlfn.XLOOKUP(C526,Clientes[ID_Cliente],Clientes[Provincia]),", Argentina")</f>
        <v>Córdoba, Argentina</v>
      </c>
      <c r="M526" s="20" t="str">
        <f t="array" ref="M526">_xlfn.XLOOKUP(F526,Metodos_De_Pago[ID_Metodo],Metodos_De_Pago[Metodo])</f>
        <v>Efectivo</v>
      </c>
      <c r="N526" s="20" t="str">
        <f t="shared" si="2"/>
        <v>2024 02</v>
      </c>
    </row>
    <row r="527" ht="22.5" customHeight="1">
      <c r="A527" s="12">
        <f>IFERROR(__xludf.DUMMYFUNCTION("""COMPUTED_VALUE"""),53.0)</f>
        <v>53</v>
      </c>
      <c r="B527" s="13">
        <f>IFERROR(__xludf.DUMMYFUNCTION("""COMPUTED_VALUE"""),45341.0)</f>
        <v>45341</v>
      </c>
      <c r="C527" s="12">
        <f>IFERROR(__xludf.DUMMYFUNCTION("""COMPUTED_VALUE"""),66.0)</f>
        <v>66</v>
      </c>
      <c r="D527" s="12">
        <f>IFERROR(__xludf.DUMMYFUNCTION("""COMPUTED_VALUE"""),30.0)</f>
        <v>30</v>
      </c>
      <c r="E527" s="12">
        <f>IFERROR(__xludf.DUMMYFUNCTION("""COMPUTED_VALUE"""),2.0)</f>
        <v>2</v>
      </c>
      <c r="F527" s="12">
        <f>IFERROR(__xludf.DUMMYFUNCTION("""COMPUTED_VALUE"""),5.0)</f>
        <v>5</v>
      </c>
      <c r="G527" s="15" t="str">
        <f>IFERROR(__xludf.DUMMYFUNCTION("""COMPUTED_VALUE"""),"Completa")</f>
        <v>Completa</v>
      </c>
      <c r="H527" s="16" t="str">
        <f t="array" ref="H527">_xlfn.XLOOKUP(D527,Productos[ID_Producto],Productos[Nombre_Producto])</f>
        <v>Vino tinto</v>
      </c>
      <c r="I527" s="17">
        <f t="array" ref="I527">_xlfn.XLOOKUP(D527,Productos[ID_Producto],Productos[Precio_Unitario])</f>
        <v>13.54</v>
      </c>
      <c r="J527" s="17">
        <f t="shared" si="1"/>
        <v>27.08</v>
      </c>
      <c r="K527" s="16" t="str">
        <f t="array" ref="K527">_xlfn.XLOOKUP(C527,Clientes[ID_Cliente],Clientes[Provincia])</f>
        <v>Buenos Aires</v>
      </c>
      <c r="L527" s="16" t="str">
        <f t="array" ref="L527">CONCATENATE(_xlfn.XLOOKUP(C527,Clientes[ID_Cliente],Clientes[Provincia]),", Argentina")</f>
        <v>Buenos Aires, Argentina</v>
      </c>
      <c r="M527" s="20" t="str">
        <f t="array" ref="M527">_xlfn.XLOOKUP(F527,Metodos_De_Pago[ID_Metodo],Metodos_De_Pago[Metodo])</f>
        <v>Transferencia</v>
      </c>
      <c r="N527" s="20" t="str">
        <f t="shared" si="2"/>
        <v>2024 02</v>
      </c>
    </row>
    <row r="528" ht="22.5" customHeight="1">
      <c r="A528" s="12">
        <f>IFERROR(__xludf.DUMMYFUNCTION("""COMPUTED_VALUE"""),2310.0)</f>
        <v>2310</v>
      </c>
      <c r="B528" s="13">
        <f>IFERROR(__xludf.DUMMYFUNCTION("""COMPUTED_VALUE"""),45341.0)</f>
        <v>45341</v>
      </c>
      <c r="C528" s="12">
        <f>IFERROR(__xludf.DUMMYFUNCTION("""COMPUTED_VALUE"""),139.0)</f>
        <v>139</v>
      </c>
      <c r="D528" s="12">
        <f>IFERROR(__xludf.DUMMYFUNCTION("""COMPUTED_VALUE"""),11.0)</f>
        <v>11</v>
      </c>
      <c r="E528" s="12">
        <f>IFERROR(__xludf.DUMMYFUNCTION("""COMPUTED_VALUE"""),2.0)</f>
        <v>2</v>
      </c>
      <c r="F528" s="12">
        <f>IFERROR(__xludf.DUMMYFUNCTION("""COMPUTED_VALUE"""),5.0)</f>
        <v>5</v>
      </c>
      <c r="G528" s="15" t="str">
        <f>IFERROR(__xludf.DUMMYFUNCTION("""COMPUTED_VALUE"""),"Completa")</f>
        <v>Completa</v>
      </c>
      <c r="H528" s="16" t="str">
        <f t="array" ref="H528">_xlfn.XLOOKUP(D528,Productos[ID_Producto],Productos[Nombre_Producto])</f>
        <v>Salchicha</v>
      </c>
      <c r="I528" s="17">
        <f t="array" ref="I528">_xlfn.XLOOKUP(D528,Productos[ID_Producto],Productos[Precio_Unitario])</f>
        <v>11.23</v>
      </c>
      <c r="J528" s="17">
        <f t="shared" si="1"/>
        <v>22.46</v>
      </c>
      <c r="K528" s="16" t="str">
        <f t="array" ref="K528">_xlfn.XLOOKUP(C528,Clientes[ID_Cliente],Clientes[Provincia])</f>
        <v>Buenos Aires</v>
      </c>
      <c r="L528" s="16" t="str">
        <f t="array" ref="L528">CONCATENATE(_xlfn.XLOOKUP(C528,Clientes[ID_Cliente],Clientes[Provincia]),", Argentina")</f>
        <v>Buenos Aires, Argentina</v>
      </c>
      <c r="M528" s="20" t="str">
        <f t="array" ref="M528">_xlfn.XLOOKUP(F528,Metodos_De_Pago[ID_Metodo],Metodos_De_Pago[Metodo])</f>
        <v>Transferencia</v>
      </c>
      <c r="N528" s="20" t="str">
        <f t="shared" si="2"/>
        <v>2024 02</v>
      </c>
    </row>
    <row r="529" ht="22.5" customHeight="1">
      <c r="A529" s="12">
        <f>IFERROR(__xludf.DUMMYFUNCTION("""COMPUTED_VALUE"""),2926.0)</f>
        <v>2926</v>
      </c>
      <c r="B529" s="13">
        <f>IFERROR(__xludf.DUMMYFUNCTION("""COMPUTED_VALUE"""),45341.0)</f>
        <v>45341</v>
      </c>
      <c r="C529" s="12">
        <f>IFERROR(__xludf.DUMMYFUNCTION("""COMPUTED_VALUE"""),210.0)</f>
        <v>210</v>
      </c>
      <c r="D529" s="12">
        <f>IFERROR(__xludf.DUMMYFUNCTION("""COMPUTED_VALUE"""),37.0)</f>
        <v>37</v>
      </c>
      <c r="E529" s="12">
        <f>IFERROR(__xludf.DUMMYFUNCTION("""COMPUTED_VALUE"""),2.0)</f>
        <v>2</v>
      </c>
      <c r="F529" s="12">
        <f>IFERROR(__xludf.DUMMYFUNCTION("""COMPUTED_VALUE"""),1.0)</f>
        <v>1</v>
      </c>
      <c r="G529" s="15" t="str">
        <f>IFERROR(__xludf.DUMMYFUNCTION("""COMPUTED_VALUE"""),"Completa")</f>
        <v>Completa</v>
      </c>
      <c r="H529" s="16" t="str">
        <f t="array" ref="H529">_xlfn.XLOOKUP(D529,Productos[ID_Producto],Productos[Nombre_Producto])</f>
        <v>Garbanzos</v>
      </c>
      <c r="I529" s="17">
        <f t="array" ref="I529">_xlfn.XLOOKUP(D529,Productos[ID_Producto],Productos[Precio_Unitario])</f>
        <v>3.65</v>
      </c>
      <c r="J529" s="17">
        <f t="shared" si="1"/>
        <v>7.3</v>
      </c>
      <c r="K529" s="16" t="str">
        <f t="array" ref="K529">_xlfn.XLOOKUP(C529,Clientes[ID_Cliente],Clientes[Provincia])</f>
        <v>Córdoba</v>
      </c>
      <c r="L529" s="16" t="str">
        <f t="array" ref="L529">CONCATENATE(_xlfn.XLOOKUP(C529,Clientes[ID_Cliente],Clientes[Provincia]),", Argentina")</f>
        <v>Córdoba, Argentina</v>
      </c>
      <c r="M529" s="20" t="str">
        <f t="array" ref="M529">_xlfn.XLOOKUP(F529,Metodos_De_Pago[ID_Metodo],Metodos_De_Pago[Metodo])</f>
        <v>Efectivo</v>
      </c>
      <c r="N529" s="20" t="str">
        <f t="shared" si="2"/>
        <v>2024 02</v>
      </c>
    </row>
    <row r="530" ht="22.5" customHeight="1">
      <c r="A530" s="12">
        <f>IFERROR(__xludf.DUMMYFUNCTION("""COMPUTED_VALUE"""),110.0)</f>
        <v>110</v>
      </c>
      <c r="B530" s="13">
        <f>IFERROR(__xludf.DUMMYFUNCTION("""COMPUTED_VALUE"""),45342.0)</f>
        <v>45342</v>
      </c>
      <c r="C530" s="12">
        <f>IFERROR(__xludf.DUMMYFUNCTION("""COMPUTED_VALUE"""),31.0)</f>
        <v>31</v>
      </c>
      <c r="D530" s="12">
        <f>IFERROR(__xludf.DUMMYFUNCTION("""COMPUTED_VALUE"""),11.0)</f>
        <v>11</v>
      </c>
      <c r="E530" s="12">
        <f>IFERROR(__xludf.DUMMYFUNCTION("""COMPUTED_VALUE"""),2.0)</f>
        <v>2</v>
      </c>
      <c r="F530" s="12">
        <f>IFERROR(__xludf.DUMMYFUNCTION("""COMPUTED_VALUE"""),3.0)</f>
        <v>3</v>
      </c>
      <c r="G530" s="15" t="str">
        <f>IFERROR(__xludf.DUMMYFUNCTION("""COMPUTED_VALUE"""),"Completa")</f>
        <v>Completa</v>
      </c>
      <c r="H530" s="16" t="str">
        <f t="array" ref="H530">_xlfn.XLOOKUP(D530,Productos[ID_Producto],Productos[Nombre_Producto])</f>
        <v>Salchicha</v>
      </c>
      <c r="I530" s="17">
        <f t="array" ref="I530">_xlfn.XLOOKUP(D530,Productos[ID_Producto],Productos[Precio_Unitario])</f>
        <v>11.23</v>
      </c>
      <c r="J530" s="17">
        <f t="shared" si="1"/>
        <v>22.46</v>
      </c>
      <c r="K530" s="16" t="str">
        <f t="array" ref="K530">_xlfn.XLOOKUP(C530,Clientes[ID_Cliente],Clientes[Provincia])</f>
        <v>Córdoba</v>
      </c>
      <c r="L530" s="16" t="str">
        <f t="array" ref="L530">CONCATENATE(_xlfn.XLOOKUP(C530,Clientes[ID_Cliente],Clientes[Provincia]),", Argentina")</f>
        <v>Córdoba, Argentina</v>
      </c>
      <c r="M530" s="20" t="str">
        <f t="array" ref="M530">_xlfn.XLOOKUP(F530,Metodos_De_Pago[ID_Metodo],Metodos_De_Pago[Metodo])</f>
        <v>Tarjeta de Débito</v>
      </c>
      <c r="N530" s="20" t="str">
        <f t="shared" si="2"/>
        <v>2024 02</v>
      </c>
    </row>
    <row r="531" ht="22.5" customHeight="1">
      <c r="A531" s="12">
        <f>IFERROR(__xludf.DUMMYFUNCTION("""COMPUTED_VALUE"""),2427.0)</f>
        <v>2427</v>
      </c>
      <c r="B531" s="13">
        <f>IFERROR(__xludf.DUMMYFUNCTION("""COMPUTED_VALUE"""),45342.0)</f>
        <v>45342</v>
      </c>
      <c r="C531" s="12">
        <f>IFERROR(__xludf.DUMMYFUNCTION("""COMPUTED_VALUE"""),57.0)</f>
        <v>57</v>
      </c>
      <c r="D531" s="12">
        <f>IFERROR(__xludf.DUMMYFUNCTION("""COMPUTED_VALUE"""),35.0)</f>
        <v>35</v>
      </c>
      <c r="E531" s="12">
        <f>IFERROR(__xludf.DUMMYFUNCTION("""COMPUTED_VALUE"""),2.0)</f>
        <v>2</v>
      </c>
      <c r="F531" s="12">
        <f>IFERROR(__xludf.DUMMYFUNCTION("""COMPUTED_VALUE"""),1.0)</f>
        <v>1</v>
      </c>
      <c r="G531" s="15" t="str">
        <f>IFERROR(__xludf.DUMMYFUNCTION("""COMPUTED_VALUE"""),"Completa")</f>
        <v>Completa</v>
      </c>
      <c r="H531" s="16" t="str">
        <f t="array" ref="H531">_xlfn.XLOOKUP(D531,Productos[ID_Producto],Productos[Nombre_Producto])</f>
        <v>Arroz</v>
      </c>
      <c r="I531" s="17">
        <f t="array" ref="I531">_xlfn.XLOOKUP(D531,Productos[ID_Producto],Productos[Precio_Unitario])</f>
        <v>4.25</v>
      </c>
      <c r="J531" s="17">
        <f t="shared" si="1"/>
        <v>8.5</v>
      </c>
      <c r="K531" s="16" t="str">
        <f t="array" ref="K531">_xlfn.XLOOKUP(C531,Clientes[ID_Cliente],Clientes[Provincia])</f>
        <v>Córdoba</v>
      </c>
      <c r="L531" s="16" t="str">
        <f t="array" ref="L531">CONCATENATE(_xlfn.XLOOKUP(C531,Clientes[ID_Cliente],Clientes[Provincia]),", Argentina")</f>
        <v>Córdoba, Argentina</v>
      </c>
      <c r="M531" s="20" t="str">
        <f t="array" ref="M531">_xlfn.XLOOKUP(F531,Metodos_De_Pago[ID_Metodo],Metodos_De_Pago[Metodo])</f>
        <v>Efectivo</v>
      </c>
      <c r="N531" s="20" t="str">
        <f t="shared" si="2"/>
        <v>2024 02</v>
      </c>
    </row>
    <row r="532" ht="22.5" customHeight="1">
      <c r="A532" s="12">
        <f>IFERROR(__xludf.DUMMYFUNCTION("""COMPUTED_VALUE"""),851.0)</f>
        <v>851</v>
      </c>
      <c r="B532" s="13">
        <f>IFERROR(__xludf.DUMMYFUNCTION("""COMPUTED_VALUE"""),45343.0)</f>
        <v>45343</v>
      </c>
      <c r="C532" s="12">
        <f>IFERROR(__xludf.DUMMYFUNCTION("""COMPUTED_VALUE"""),13.0)</f>
        <v>13</v>
      </c>
      <c r="D532" s="12">
        <f>IFERROR(__xludf.DUMMYFUNCTION("""COMPUTED_VALUE"""),14.0)</f>
        <v>14</v>
      </c>
      <c r="E532" s="12">
        <f>IFERROR(__xludf.DUMMYFUNCTION("""COMPUTED_VALUE"""),2.0)</f>
        <v>2</v>
      </c>
      <c r="F532" s="12">
        <f>IFERROR(__xludf.DUMMYFUNCTION("""COMPUTED_VALUE"""),4.0)</f>
        <v>4</v>
      </c>
      <c r="G532" s="15" t="str">
        <f>IFERROR(__xludf.DUMMYFUNCTION("""COMPUTED_VALUE"""),"Completa")</f>
        <v>Completa</v>
      </c>
      <c r="H532" s="16" t="str">
        <f t="array" ref="H532">_xlfn.XLOOKUP(D532,Productos[ID_Producto],Productos[Nombre_Producto])</f>
        <v>Facturas</v>
      </c>
      <c r="I532" s="17">
        <f t="array" ref="I532">_xlfn.XLOOKUP(D532,Productos[ID_Producto],Productos[Precio_Unitario])</f>
        <v>12.36</v>
      </c>
      <c r="J532" s="17">
        <f t="shared" si="1"/>
        <v>24.72</v>
      </c>
      <c r="K532" s="16" t="str">
        <f t="array" ref="K532">_xlfn.XLOOKUP(C532,Clientes[ID_Cliente],Clientes[Provincia])</f>
        <v>Córdoba</v>
      </c>
      <c r="L532" s="16" t="str">
        <f t="array" ref="L532">CONCATENATE(_xlfn.XLOOKUP(C532,Clientes[ID_Cliente],Clientes[Provincia]),", Argentina")</f>
        <v>Córdoba, Argentina</v>
      </c>
      <c r="M532" s="20" t="str">
        <f t="array" ref="M532">_xlfn.XLOOKUP(F532,Metodos_De_Pago[ID_Metodo],Metodos_De_Pago[Metodo])</f>
        <v>Mercado Pago</v>
      </c>
      <c r="N532" s="20" t="str">
        <f t="shared" si="2"/>
        <v>2024 02</v>
      </c>
    </row>
    <row r="533" ht="22.5" customHeight="1">
      <c r="A533" s="12">
        <f>IFERROR(__xludf.DUMMYFUNCTION("""COMPUTED_VALUE"""),338.0)</f>
        <v>338</v>
      </c>
      <c r="B533" s="13">
        <f>IFERROR(__xludf.DUMMYFUNCTION("""COMPUTED_VALUE"""),45344.0)</f>
        <v>45344</v>
      </c>
      <c r="C533" s="12">
        <f>IFERROR(__xludf.DUMMYFUNCTION("""COMPUTED_VALUE"""),103.0)</f>
        <v>103</v>
      </c>
      <c r="D533" s="12">
        <f>IFERROR(__xludf.DUMMYFUNCTION("""COMPUTED_VALUE"""),12.0)</f>
        <v>12</v>
      </c>
      <c r="E533" s="12">
        <f>IFERROR(__xludf.DUMMYFUNCTION("""COMPUTED_VALUE"""),2.0)</f>
        <v>2</v>
      </c>
      <c r="F533" s="12">
        <f>IFERROR(__xludf.DUMMYFUNCTION("""COMPUTED_VALUE"""),3.0)</f>
        <v>3</v>
      </c>
      <c r="G533" s="15" t="str">
        <f>IFERROR(__xludf.DUMMYFUNCTION("""COMPUTED_VALUE"""),"Completa")</f>
        <v>Completa</v>
      </c>
      <c r="H533" s="16" t="str">
        <f t="array" ref="H533">_xlfn.XLOOKUP(D533,Productos[ID_Producto],Productos[Nombre_Producto])</f>
        <v>Pan francés</v>
      </c>
      <c r="I533" s="17">
        <f t="array" ref="I533">_xlfn.XLOOKUP(D533,Productos[ID_Producto],Productos[Precio_Unitario])</f>
        <v>8.12</v>
      </c>
      <c r="J533" s="17">
        <f t="shared" si="1"/>
        <v>16.24</v>
      </c>
      <c r="K533" s="16" t="str">
        <f t="array" ref="K533">_xlfn.XLOOKUP(C533,Clientes[ID_Cliente],Clientes[Provincia])</f>
        <v>Neuquén</v>
      </c>
      <c r="L533" s="16" t="str">
        <f t="array" ref="L533">CONCATENATE(_xlfn.XLOOKUP(C533,Clientes[ID_Cliente],Clientes[Provincia]),", Argentina")</f>
        <v>Neuquén, Argentina</v>
      </c>
      <c r="M533" s="20" t="str">
        <f t="array" ref="M533">_xlfn.XLOOKUP(F533,Metodos_De_Pago[ID_Metodo],Metodos_De_Pago[Metodo])</f>
        <v>Tarjeta de Débito</v>
      </c>
      <c r="N533" s="20" t="str">
        <f t="shared" si="2"/>
        <v>2024 02</v>
      </c>
    </row>
    <row r="534" ht="22.5" customHeight="1">
      <c r="A534" s="12">
        <f>IFERROR(__xludf.DUMMYFUNCTION("""COMPUTED_VALUE"""),2449.0)</f>
        <v>2449</v>
      </c>
      <c r="B534" s="13">
        <f>IFERROR(__xludf.DUMMYFUNCTION("""COMPUTED_VALUE"""),45344.0)</f>
        <v>45344</v>
      </c>
      <c r="C534" s="12">
        <f>IFERROR(__xludf.DUMMYFUNCTION("""COMPUTED_VALUE"""),262.0)</f>
        <v>262</v>
      </c>
      <c r="D534" s="12">
        <f>IFERROR(__xludf.DUMMYFUNCTION("""COMPUTED_VALUE"""),1.0)</f>
        <v>1</v>
      </c>
      <c r="E534" s="12">
        <f>IFERROR(__xludf.DUMMYFUNCTION("""COMPUTED_VALUE"""),2.0)</f>
        <v>2</v>
      </c>
      <c r="F534" s="12">
        <f>IFERROR(__xludf.DUMMYFUNCTION("""COMPUTED_VALUE"""),5.0)</f>
        <v>5</v>
      </c>
      <c r="G534" s="15" t="str">
        <f>IFERROR(__xludf.DUMMYFUNCTION("""COMPUTED_VALUE"""),"Pendiente")</f>
        <v>Pendiente</v>
      </c>
      <c r="H534" s="16" t="str">
        <f t="array" ref="H534">_xlfn.XLOOKUP(D534,Productos[ID_Producto],Productos[Nombre_Producto])</f>
        <v>Leche</v>
      </c>
      <c r="I534" s="17">
        <f t="array" ref="I534">_xlfn.XLOOKUP(D534,Productos[ID_Producto],Productos[Precio_Unitario])</f>
        <v>12.24</v>
      </c>
      <c r="J534" s="17">
        <f t="shared" si="1"/>
        <v>24.48</v>
      </c>
      <c r="K534" s="16" t="str">
        <f t="array" ref="K534">_xlfn.XLOOKUP(C534,Clientes[ID_Cliente],Clientes[Provincia])</f>
        <v>Buenos Aires</v>
      </c>
      <c r="L534" s="16" t="str">
        <f t="array" ref="L534">CONCATENATE(_xlfn.XLOOKUP(C534,Clientes[ID_Cliente],Clientes[Provincia]),", Argentina")</f>
        <v>Buenos Aires, Argentina</v>
      </c>
      <c r="M534" s="20" t="str">
        <f t="array" ref="M534">_xlfn.XLOOKUP(F534,Metodos_De_Pago[ID_Metodo],Metodos_De_Pago[Metodo])</f>
        <v>Transferencia</v>
      </c>
      <c r="N534" s="20" t="str">
        <f t="shared" si="2"/>
        <v>2024 02</v>
      </c>
    </row>
    <row r="535" ht="22.5" customHeight="1">
      <c r="A535" s="12">
        <f>IFERROR(__xludf.DUMMYFUNCTION("""COMPUTED_VALUE"""),1586.0)</f>
        <v>1586</v>
      </c>
      <c r="B535" s="13">
        <f>IFERROR(__xludf.DUMMYFUNCTION("""COMPUTED_VALUE"""),45345.0)</f>
        <v>45345</v>
      </c>
      <c r="C535" s="12">
        <f>IFERROR(__xludf.DUMMYFUNCTION("""COMPUTED_VALUE"""),166.0)</f>
        <v>166</v>
      </c>
      <c r="D535" s="12">
        <f>IFERROR(__xludf.DUMMYFUNCTION("""COMPUTED_VALUE"""),38.0)</f>
        <v>38</v>
      </c>
      <c r="E535" s="12">
        <f>IFERROR(__xludf.DUMMYFUNCTION("""COMPUTED_VALUE"""),2.0)</f>
        <v>2</v>
      </c>
      <c r="F535" s="12">
        <f>IFERROR(__xludf.DUMMYFUNCTION("""COMPUTED_VALUE"""),4.0)</f>
        <v>4</v>
      </c>
      <c r="G535" s="15" t="str">
        <f>IFERROR(__xludf.DUMMYFUNCTION("""COMPUTED_VALUE"""),"Pendiente")</f>
        <v>Pendiente</v>
      </c>
      <c r="H535" s="16" t="str">
        <f t="array" ref="H535">_xlfn.XLOOKUP(D535,Productos[ID_Producto],Productos[Nombre_Producto])</f>
        <v>Atún enlatado</v>
      </c>
      <c r="I535" s="17">
        <f t="array" ref="I535">_xlfn.XLOOKUP(D535,Productos[ID_Producto],Productos[Precio_Unitario])</f>
        <v>6.21</v>
      </c>
      <c r="J535" s="17">
        <f t="shared" si="1"/>
        <v>12.42</v>
      </c>
      <c r="K535" s="16" t="str">
        <f t="array" ref="K535">_xlfn.XLOOKUP(C535,Clientes[ID_Cliente],Clientes[Provincia])</f>
        <v>Chaco</v>
      </c>
      <c r="L535" s="16" t="str">
        <f t="array" ref="L535">CONCATENATE(_xlfn.XLOOKUP(C535,Clientes[ID_Cliente],Clientes[Provincia]),", Argentina")</f>
        <v>Chaco, Argentina</v>
      </c>
      <c r="M535" s="20" t="str">
        <f t="array" ref="M535">_xlfn.XLOOKUP(F535,Metodos_De_Pago[ID_Metodo],Metodos_De_Pago[Metodo])</f>
        <v>Mercado Pago</v>
      </c>
      <c r="N535" s="20" t="str">
        <f t="shared" si="2"/>
        <v>2024 02</v>
      </c>
    </row>
    <row r="536" ht="22.5" customHeight="1">
      <c r="A536" s="12">
        <f>IFERROR(__xludf.DUMMYFUNCTION("""COMPUTED_VALUE"""),2869.0)</f>
        <v>2869</v>
      </c>
      <c r="B536" s="13">
        <f>IFERROR(__xludf.DUMMYFUNCTION("""COMPUTED_VALUE"""),45345.0)</f>
        <v>45345</v>
      </c>
      <c r="C536" s="12">
        <f>IFERROR(__xludf.DUMMYFUNCTION("""COMPUTED_VALUE"""),247.0)</f>
        <v>247</v>
      </c>
      <c r="D536" s="12">
        <f>IFERROR(__xludf.DUMMYFUNCTION("""COMPUTED_VALUE"""),4.0)</f>
        <v>4</v>
      </c>
      <c r="E536" s="12">
        <f>IFERROR(__xludf.DUMMYFUNCTION("""COMPUTED_VALUE"""),2.0)</f>
        <v>2</v>
      </c>
      <c r="F536" s="12">
        <f>IFERROR(__xludf.DUMMYFUNCTION("""COMPUTED_VALUE"""),4.0)</f>
        <v>4</v>
      </c>
      <c r="G536" s="15" t="str">
        <f>IFERROR(__xludf.DUMMYFUNCTION("""COMPUTED_VALUE"""),"Completa")</f>
        <v>Completa</v>
      </c>
      <c r="H536" s="16" t="str">
        <f t="array" ref="H536">_xlfn.XLOOKUP(D536,Productos[ID_Producto],Productos[Nombre_Producto])</f>
        <v>Queso rallado</v>
      </c>
      <c r="I536" s="17">
        <f t="array" ref="I536">_xlfn.XLOOKUP(D536,Productos[ID_Producto],Productos[Precio_Unitario])</f>
        <v>19.23</v>
      </c>
      <c r="J536" s="17">
        <f t="shared" si="1"/>
        <v>38.46</v>
      </c>
      <c r="K536" s="16" t="str">
        <f t="array" ref="K536">_xlfn.XLOOKUP(C536,Clientes[ID_Cliente],Clientes[Provincia])</f>
        <v>Buenos Aires</v>
      </c>
      <c r="L536" s="16" t="str">
        <f t="array" ref="L536">CONCATENATE(_xlfn.XLOOKUP(C536,Clientes[ID_Cliente],Clientes[Provincia]),", Argentina")</f>
        <v>Buenos Aires, Argentina</v>
      </c>
      <c r="M536" s="20" t="str">
        <f t="array" ref="M536">_xlfn.XLOOKUP(F536,Metodos_De_Pago[ID_Metodo],Metodos_De_Pago[Metodo])</f>
        <v>Mercado Pago</v>
      </c>
      <c r="N536" s="20" t="str">
        <f t="shared" si="2"/>
        <v>2024 02</v>
      </c>
    </row>
    <row r="537" ht="22.5" customHeight="1">
      <c r="A537" s="12">
        <f>IFERROR(__xludf.DUMMYFUNCTION("""COMPUTED_VALUE"""),2982.0)</f>
        <v>2982</v>
      </c>
      <c r="B537" s="13">
        <f>IFERROR(__xludf.DUMMYFUNCTION("""COMPUTED_VALUE"""),45345.0)</f>
        <v>45345</v>
      </c>
      <c r="C537" s="12">
        <f>IFERROR(__xludf.DUMMYFUNCTION("""COMPUTED_VALUE"""),229.0)</f>
        <v>229</v>
      </c>
      <c r="D537" s="12">
        <f>IFERROR(__xludf.DUMMYFUNCTION("""COMPUTED_VALUE"""),34.0)</f>
        <v>34</v>
      </c>
      <c r="E537" s="12">
        <f>IFERROR(__xludf.DUMMYFUNCTION("""COMPUTED_VALUE"""),2.0)</f>
        <v>2</v>
      </c>
      <c r="F537" s="12">
        <f>IFERROR(__xludf.DUMMYFUNCTION("""COMPUTED_VALUE"""),4.0)</f>
        <v>4</v>
      </c>
      <c r="G537" s="15" t="str">
        <f>IFERROR(__xludf.DUMMYFUNCTION("""COMPUTED_VALUE"""),"Completa")</f>
        <v>Completa</v>
      </c>
      <c r="H537" s="16" t="str">
        <f t="array" ref="H537">_xlfn.XLOOKUP(D537,Productos[ID_Producto],Productos[Nombre_Producto])</f>
        <v>Maníes</v>
      </c>
      <c r="I537" s="17">
        <f t="array" ref="I537">_xlfn.XLOOKUP(D537,Productos[ID_Producto],Productos[Precio_Unitario])</f>
        <v>5.45</v>
      </c>
      <c r="J537" s="17">
        <f t="shared" si="1"/>
        <v>10.9</v>
      </c>
      <c r="K537" s="16" t="str">
        <f t="array" ref="K537">_xlfn.XLOOKUP(C537,Clientes[ID_Cliente],Clientes[Provincia])</f>
        <v>San Luis</v>
      </c>
      <c r="L537" s="16" t="str">
        <f t="array" ref="L537">CONCATENATE(_xlfn.XLOOKUP(C537,Clientes[ID_Cliente],Clientes[Provincia]),", Argentina")</f>
        <v>San Luis, Argentina</v>
      </c>
      <c r="M537" s="20" t="str">
        <f t="array" ref="M537">_xlfn.XLOOKUP(F537,Metodos_De_Pago[ID_Metodo],Metodos_De_Pago[Metodo])</f>
        <v>Mercado Pago</v>
      </c>
      <c r="N537" s="20" t="str">
        <f t="shared" si="2"/>
        <v>2024 02</v>
      </c>
    </row>
    <row r="538" ht="22.5" customHeight="1">
      <c r="A538" s="12">
        <f>IFERROR(__xludf.DUMMYFUNCTION("""COMPUTED_VALUE"""),1416.0)</f>
        <v>1416</v>
      </c>
      <c r="B538" s="13">
        <f>IFERROR(__xludf.DUMMYFUNCTION("""COMPUTED_VALUE"""),45346.0)</f>
        <v>45346</v>
      </c>
      <c r="C538" s="12">
        <f>IFERROR(__xludf.DUMMYFUNCTION("""COMPUTED_VALUE"""),31.0)</f>
        <v>31</v>
      </c>
      <c r="D538" s="12">
        <f>IFERROR(__xludf.DUMMYFUNCTION("""COMPUTED_VALUE"""),38.0)</f>
        <v>38</v>
      </c>
      <c r="E538" s="12">
        <f>IFERROR(__xludf.DUMMYFUNCTION("""COMPUTED_VALUE"""),2.0)</f>
        <v>2</v>
      </c>
      <c r="F538" s="12">
        <f>IFERROR(__xludf.DUMMYFUNCTION("""COMPUTED_VALUE"""),5.0)</f>
        <v>5</v>
      </c>
      <c r="G538" s="15" t="str">
        <f>IFERROR(__xludf.DUMMYFUNCTION("""COMPUTED_VALUE"""),"Completa")</f>
        <v>Completa</v>
      </c>
      <c r="H538" s="16" t="str">
        <f t="array" ref="H538">_xlfn.XLOOKUP(D538,Productos[ID_Producto],Productos[Nombre_Producto])</f>
        <v>Atún enlatado</v>
      </c>
      <c r="I538" s="17">
        <f t="array" ref="I538">_xlfn.XLOOKUP(D538,Productos[ID_Producto],Productos[Precio_Unitario])</f>
        <v>6.21</v>
      </c>
      <c r="J538" s="17">
        <f t="shared" si="1"/>
        <v>12.42</v>
      </c>
      <c r="K538" s="16" t="str">
        <f t="array" ref="K538">_xlfn.XLOOKUP(C538,Clientes[ID_Cliente],Clientes[Provincia])</f>
        <v>Córdoba</v>
      </c>
      <c r="L538" s="16" t="str">
        <f t="array" ref="L538">CONCATENATE(_xlfn.XLOOKUP(C538,Clientes[ID_Cliente],Clientes[Provincia]),", Argentina")</f>
        <v>Córdoba, Argentina</v>
      </c>
      <c r="M538" s="20" t="str">
        <f t="array" ref="M538">_xlfn.XLOOKUP(F538,Metodos_De_Pago[ID_Metodo],Metodos_De_Pago[Metodo])</f>
        <v>Transferencia</v>
      </c>
      <c r="N538" s="20" t="str">
        <f t="shared" si="2"/>
        <v>2024 02</v>
      </c>
    </row>
    <row r="539" ht="22.5" customHeight="1">
      <c r="A539" s="12">
        <f>IFERROR(__xludf.DUMMYFUNCTION("""COMPUTED_VALUE"""),1999.0)</f>
        <v>1999</v>
      </c>
      <c r="B539" s="13">
        <f>IFERROR(__xludf.DUMMYFUNCTION("""COMPUTED_VALUE"""),45347.0)</f>
        <v>45347</v>
      </c>
      <c r="C539" s="12">
        <f>IFERROR(__xludf.DUMMYFUNCTION("""COMPUTED_VALUE"""),209.0)</f>
        <v>209</v>
      </c>
      <c r="D539" s="12">
        <f>IFERROR(__xludf.DUMMYFUNCTION("""COMPUTED_VALUE"""),33.0)</f>
        <v>33</v>
      </c>
      <c r="E539" s="12">
        <f>IFERROR(__xludf.DUMMYFUNCTION("""COMPUTED_VALUE"""),2.0)</f>
        <v>2</v>
      </c>
      <c r="F539" s="12">
        <f>IFERROR(__xludf.DUMMYFUNCTION("""COMPUTED_VALUE"""),5.0)</f>
        <v>5</v>
      </c>
      <c r="G539" s="15" t="str">
        <f>IFERROR(__xludf.DUMMYFUNCTION("""COMPUTED_VALUE"""),"Completa")</f>
        <v>Completa</v>
      </c>
      <c r="H539" s="16" t="str">
        <f t="array" ref="H539">_xlfn.XLOOKUP(D539,Productos[ID_Producto],Productos[Nombre_Producto])</f>
        <v>Papas chips</v>
      </c>
      <c r="I539" s="17">
        <f t="array" ref="I539">_xlfn.XLOOKUP(D539,Productos[ID_Producto],Productos[Precio_Unitario])</f>
        <v>8.54</v>
      </c>
      <c r="J539" s="17">
        <f t="shared" si="1"/>
        <v>17.08</v>
      </c>
      <c r="K539" s="16" t="str">
        <f t="array" ref="K539">_xlfn.XLOOKUP(C539,Clientes[ID_Cliente],Clientes[Provincia])</f>
        <v>Buenos Aires</v>
      </c>
      <c r="L539" s="16" t="str">
        <f t="array" ref="L539">CONCATENATE(_xlfn.XLOOKUP(C539,Clientes[ID_Cliente],Clientes[Provincia]),", Argentina")</f>
        <v>Buenos Aires, Argentina</v>
      </c>
      <c r="M539" s="20" t="str">
        <f t="array" ref="M539">_xlfn.XLOOKUP(F539,Metodos_De_Pago[ID_Metodo],Metodos_De_Pago[Metodo])</f>
        <v>Transferencia</v>
      </c>
      <c r="N539" s="20" t="str">
        <f t="shared" si="2"/>
        <v>2024 02</v>
      </c>
    </row>
    <row r="540" ht="22.5" customHeight="1">
      <c r="A540" s="12">
        <f>IFERROR(__xludf.DUMMYFUNCTION("""COMPUTED_VALUE"""),2331.0)</f>
        <v>2331</v>
      </c>
      <c r="B540" s="13">
        <f>IFERROR(__xludf.DUMMYFUNCTION("""COMPUTED_VALUE"""),45347.0)</f>
        <v>45347</v>
      </c>
      <c r="C540" s="12">
        <f>IFERROR(__xludf.DUMMYFUNCTION("""COMPUTED_VALUE"""),228.0)</f>
        <v>228</v>
      </c>
      <c r="D540" s="12">
        <f>IFERROR(__xludf.DUMMYFUNCTION("""COMPUTED_VALUE"""),1.0)</f>
        <v>1</v>
      </c>
      <c r="E540" s="12">
        <f>IFERROR(__xludf.DUMMYFUNCTION("""COMPUTED_VALUE"""),2.0)</f>
        <v>2</v>
      </c>
      <c r="F540" s="12">
        <f>IFERROR(__xludf.DUMMYFUNCTION("""COMPUTED_VALUE"""),3.0)</f>
        <v>3</v>
      </c>
      <c r="G540" s="15" t="str">
        <f>IFERROR(__xludf.DUMMYFUNCTION("""COMPUTED_VALUE"""),"Completa")</f>
        <v>Completa</v>
      </c>
      <c r="H540" s="16" t="str">
        <f t="array" ref="H540">_xlfn.XLOOKUP(D540,Productos[ID_Producto],Productos[Nombre_Producto])</f>
        <v>Leche</v>
      </c>
      <c r="I540" s="17">
        <f t="array" ref="I540">_xlfn.XLOOKUP(D540,Productos[ID_Producto],Productos[Precio_Unitario])</f>
        <v>12.24</v>
      </c>
      <c r="J540" s="17">
        <f t="shared" si="1"/>
        <v>24.48</v>
      </c>
      <c r="K540" s="16" t="str">
        <f t="array" ref="K540">_xlfn.XLOOKUP(C540,Clientes[ID_Cliente],Clientes[Provincia])</f>
        <v>Córdoba</v>
      </c>
      <c r="L540" s="16" t="str">
        <f t="array" ref="L540">CONCATENATE(_xlfn.XLOOKUP(C540,Clientes[ID_Cliente],Clientes[Provincia]),", Argentina")</f>
        <v>Córdoba, Argentina</v>
      </c>
      <c r="M540" s="20" t="str">
        <f t="array" ref="M540">_xlfn.XLOOKUP(F540,Metodos_De_Pago[ID_Metodo],Metodos_De_Pago[Metodo])</f>
        <v>Tarjeta de Débito</v>
      </c>
      <c r="N540" s="20" t="str">
        <f t="shared" si="2"/>
        <v>2024 02</v>
      </c>
    </row>
    <row r="541" ht="22.5" customHeight="1">
      <c r="A541" s="12">
        <f>IFERROR(__xludf.DUMMYFUNCTION("""COMPUTED_VALUE"""),39.0)</f>
        <v>39</v>
      </c>
      <c r="B541" s="13">
        <f>IFERROR(__xludf.DUMMYFUNCTION("""COMPUTED_VALUE"""),45348.0)</f>
        <v>45348</v>
      </c>
      <c r="C541" s="12">
        <f>IFERROR(__xludf.DUMMYFUNCTION("""COMPUTED_VALUE"""),183.0)</f>
        <v>183</v>
      </c>
      <c r="D541" s="12">
        <f>IFERROR(__xludf.DUMMYFUNCTION("""COMPUTED_VALUE"""),26.0)</f>
        <v>26</v>
      </c>
      <c r="E541" s="12">
        <f>IFERROR(__xludf.DUMMYFUNCTION("""COMPUTED_VALUE"""),2.0)</f>
        <v>2</v>
      </c>
      <c r="F541" s="12">
        <f>IFERROR(__xludf.DUMMYFUNCTION("""COMPUTED_VALUE"""),4.0)</f>
        <v>4</v>
      </c>
      <c r="G541" s="15" t="str">
        <f>IFERROR(__xludf.DUMMYFUNCTION("""COMPUTED_VALUE"""),"Completa")</f>
        <v>Completa</v>
      </c>
      <c r="H541" s="16" t="str">
        <f t="array" ref="H541">_xlfn.XLOOKUP(D541,Productos[ID_Producto],Productos[Nombre_Producto])</f>
        <v>Hamburgesas congeladas</v>
      </c>
      <c r="I541" s="17">
        <f t="array" ref="I541">_xlfn.XLOOKUP(D541,Productos[ID_Producto],Productos[Precio_Unitario])</f>
        <v>9.54</v>
      </c>
      <c r="J541" s="17">
        <f t="shared" si="1"/>
        <v>19.08</v>
      </c>
      <c r="K541" s="16" t="str">
        <f t="array" ref="K541">_xlfn.XLOOKUP(C541,Clientes[ID_Cliente],Clientes[Provincia])</f>
        <v>Neuquén</v>
      </c>
      <c r="L541" s="16" t="str">
        <f t="array" ref="L541">CONCATENATE(_xlfn.XLOOKUP(C541,Clientes[ID_Cliente],Clientes[Provincia]),", Argentina")</f>
        <v>Neuquén, Argentina</v>
      </c>
      <c r="M541" s="20" t="str">
        <f t="array" ref="M541">_xlfn.XLOOKUP(F541,Metodos_De_Pago[ID_Metodo],Metodos_De_Pago[Metodo])</f>
        <v>Mercado Pago</v>
      </c>
      <c r="N541" s="20" t="str">
        <f t="shared" si="2"/>
        <v>2024 02</v>
      </c>
    </row>
    <row r="542" ht="22.5" customHeight="1">
      <c r="A542" s="12">
        <f>IFERROR(__xludf.DUMMYFUNCTION("""COMPUTED_VALUE"""),713.0)</f>
        <v>713</v>
      </c>
      <c r="B542" s="13">
        <f>IFERROR(__xludf.DUMMYFUNCTION("""COMPUTED_VALUE"""),45349.0)</f>
        <v>45349</v>
      </c>
      <c r="C542" s="12">
        <f>IFERROR(__xludf.DUMMYFUNCTION("""COMPUTED_VALUE"""),64.0)</f>
        <v>64</v>
      </c>
      <c r="D542" s="12">
        <f>IFERROR(__xludf.DUMMYFUNCTION("""COMPUTED_VALUE"""),14.0)</f>
        <v>14</v>
      </c>
      <c r="E542" s="12">
        <f>IFERROR(__xludf.DUMMYFUNCTION("""COMPUTED_VALUE"""),2.0)</f>
        <v>2</v>
      </c>
      <c r="F542" s="12">
        <f>IFERROR(__xludf.DUMMYFUNCTION("""COMPUTED_VALUE"""),4.0)</f>
        <v>4</v>
      </c>
      <c r="G542" s="15" t="str">
        <f>IFERROR(__xludf.DUMMYFUNCTION("""COMPUTED_VALUE"""),"Completa")</f>
        <v>Completa</v>
      </c>
      <c r="H542" s="16" t="str">
        <f t="array" ref="H542">_xlfn.XLOOKUP(D542,Productos[ID_Producto],Productos[Nombre_Producto])</f>
        <v>Facturas</v>
      </c>
      <c r="I542" s="17">
        <f t="array" ref="I542">_xlfn.XLOOKUP(D542,Productos[ID_Producto],Productos[Precio_Unitario])</f>
        <v>12.36</v>
      </c>
      <c r="J542" s="17">
        <f t="shared" si="1"/>
        <v>24.72</v>
      </c>
      <c r="K542" s="16" t="str">
        <f t="array" ref="K542">_xlfn.XLOOKUP(C542,Clientes[ID_Cliente],Clientes[Provincia])</f>
        <v>Chaco</v>
      </c>
      <c r="L542" s="16" t="str">
        <f t="array" ref="L542">CONCATENATE(_xlfn.XLOOKUP(C542,Clientes[ID_Cliente],Clientes[Provincia]),", Argentina")</f>
        <v>Chaco, Argentina</v>
      </c>
      <c r="M542" s="20" t="str">
        <f t="array" ref="M542">_xlfn.XLOOKUP(F542,Metodos_De_Pago[ID_Metodo],Metodos_De_Pago[Metodo])</f>
        <v>Mercado Pago</v>
      </c>
      <c r="N542" s="20" t="str">
        <f t="shared" si="2"/>
        <v>2024 02</v>
      </c>
    </row>
    <row r="543" ht="22.5" customHeight="1">
      <c r="A543" s="12">
        <f>IFERROR(__xludf.DUMMYFUNCTION("""COMPUTED_VALUE"""),89.0)</f>
        <v>89</v>
      </c>
      <c r="B543" s="13">
        <f>IFERROR(__xludf.DUMMYFUNCTION("""COMPUTED_VALUE"""),45350.0)</f>
        <v>45350</v>
      </c>
      <c r="C543" s="12">
        <f>IFERROR(__xludf.DUMMYFUNCTION("""COMPUTED_VALUE"""),6.0)</f>
        <v>6</v>
      </c>
      <c r="D543" s="12">
        <f>IFERROR(__xludf.DUMMYFUNCTION("""COMPUTED_VALUE"""),10.0)</f>
        <v>10</v>
      </c>
      <c r="E543" s="12">
        <f>IFERROR(__xludf.DUMMYFUNCTION("""COMPUTED_VALUE"""),2.0)</f>
        <v>2</v>
      </c>
      <c r="F543" s="12">
        <f>IFERROR(__xludf.DUMMYFUNCTION("""COMPUTED_VALUE"""),3.0)</f>
        <v>3</v>
      </c>
      <c r="G543" s="15" t="str">
        <f>IFERROR(__xludf.DUMMYFUNCTION("""COMPUTED_VALUE"""),"Completa")</f>
        <v>Completa</v>
      </c>
      <c r="H543" s="16" t="str">
        <f t="array" ref="H543">_xlfn.XLOOKUP(D543,Productos[ID_Producto],Productos[Nombre_Producto])</f>
        <v>Costilla de cerdo</v>
      </c>
      <c r="I543" s="17">
        <f t="array" ref="I543">_xlfn.XLOOKUP(D543,Productos[ID_Producto],Productos[Precio_Unitario])</f>
        <v>14.25</v>
      </c>
      <c r="J543" s="17">
        <f t="shared" si="1"/>
        <v>28.5</v>
      </c>
      <c r="K543" s="16" t="str">
        <f t="array" ref="K543">_xlfn.XLOOKUP(C543,Clientes[ID_Cliente],Clientes[Provincia])</f>
        <v>Buenos Aires</v>
      </c>
      <c r="L543" s="16" t="str">
        <f t="array" ref="L543">CONCATENATE(_xlfn.XLOOKUP(C543,Clientes[ID_Cliente],Clientes[Provincia]),", Argentina")</f>
        <v>Buenos Aires, Argentina</v>
      </c>
      <c r="M543" s="20" t="str">
        <f t="array" ref="M543">_xlfn.XLOOKUP(F543,Metodos_De_Pago[ID_Metodo],Metodos_De_Pago[Metodo])</f>
        <v>Tarjeta de Débito</v>
      </c>
      <c r="N543" s="20" t="str">
        <f t="shared" si="2"/>
        <v>2024 02</v>
      </c>
    </row>
    <row r="544" ht="22.5" customHeight="1">
      <c r="A544" s="12">
        <f>IFERROR(__xludf.DUMMYFUNCTION("""COMPUTED_VALUE"""),2294.0)</f>
        <v>2294</v>
      </c>
      <c r="B544" s="13">
        <f>IFERROR(__xludf.DUMMYFUNCTION("""COMPUTED_VALUE"""),45350.0)</f>
        <v>45350</v>
      </c>
      <c r="C544" s="12">
        <f>IFERROR(__xludf.DUMMYFUNCTION("""COMPUTED_VALUE"""),316.0)</f>
        <v>316</v>
      </c>
      <c r="D544" s="12">
        <f>IFERROR(__xludf.DUMMYFUNCTION("""COMPUTED_VALUE"""),35.0)</f>
        <v>35</v>
      </c>
      <c r="E544" s="12">
        <f>IFERROR(__xludf.DUMMYFUNCTION("""COMPUTED_VALUE"""),2.0)</f>
        <v>2</v>
      </c>
      <c r="F544" s="12">
        <f>IFERROR(__xludf.DUMMYFUNCTION("""COMPUTED_VALUE"""),1.0)</f>
        <v>1</v>
      </c>
      <c r="G544" s="15" t="str">
        <f>IFERROR(__xludf.DUMMYFUNCTION("""COMPUTED_VALUE"""),"Completa")</f>
        <v>Completa</v>
      </c>
      <c r="H544" s="16" t="str">
        <f t="array" ref="H544">_xlfn.XLOOKUP(D544,Productos[ID_Producto],Productos[Nombre_Producto])</f>
        <v>Arroz</v>
      </c>
      <c r="I544" s="17">
        <f t="array" ref="I544">_xlfn.XLOOKUP(D544,Productos[ID_Producto],Productos[Precio_Unitario])</f>
        <v>4.25</v>
      </c>
      <c r="J544" s="17">
        <f t="shared" si="1"/>
        <v>8.5</v>
      </c>
      <c r="K544" s="16" t="str">
        <f t="array" ref="K544">_xlfn.XLOOKUP(C544,Clientes[ID_Cliente],Clientes[Provincia])</f>
        <v>Córdoba</v>
      </c>
      <c r="L544" s="16" t="str">
        <f t="array" ref="L544">CONCATENATE(_xlfn.XLOOKUP(C544,Clientes[ID_Cliente],Clientes[Provincia]),", Argentina")</f>
        <v>Córdoba, Argentina</v>
      </c>
      <c r="M544" s="20" t="str">
        <f t="array" ref="M544">_xlfn.XLOOKUP(F544,Metodos_De_Pago[ID_Metodo],Metodos_De_Pago[Metodo])</f>
        <v>Efectivo</v>
      </c>
      <c r="N544" s="20" t="str">
        <f t="shared" si="2"/>
        <v>2024 02</v>
      </c>
    </row>
    <row r="545" ht="22.5" customHeight="1">
      <c r="A545" s="12">
        <f>IFERROR(__xludf.DUMMYFUNCTION("""COMPUTED_VALUE"""),1313.0)</f>
        <v>1313</v>
      </c>
      <c r="B545" s="13">
        <f>IFERROR(__xludf.DUMMYFUNCTION("""COMPUTED_VALUE"""),45351.0)</f>
        <v>45351</v>
      </c>
      <c r="C545" s="12">
        <f>IFERROR(__xludf.DUMMYFUNCTION("""COMPUTED_VALUE"""),95.0)</f>
        <v>95</v>
      </c>
      <c r="D545" s="12">
        <f>IFERROR(__xludf.DUMMYFUNCTION("""COMPUTED_VALUE"""),13.0)</f>
        <v>13</v>
      </c>
      <c r="E545" s="12">
        <f>IFERROR(__xludf.DUMMYFUNCTION("""COMPUTED_VALUE"""),2.0)</f>
        <v>2</v>
      </c>
      <c r="F545" s="12">
        <f>IFERROR(__xludf.DUMMYFUNCTION("""COMPUTED_VALUE"""),3.0)</f>
        <v>3</v>
      </c>
      <c r="G545" s="15" t="str">
        <f>IFERROR(__xludf.DUMMYFUNCTION("""COMPUTED_VALUE"""),"Completa")</f>
        <v>Completa</v>
      </c>
      <c r="H545" s="16" t="str">
        <f t="array" ref="H545">_xlfn.XLOOKUP(D545,Productos[ID_Producto],Productos[Nombre_Producto])</f>
        <v>Pan integral</v>
      </c>
      <c r="I545" s="17">
        <f t="array" ref="I545">_xlfn.XLOOKUP(D545,Productos[ID_Producto],Productos[Precio_Unitario])</f>
        <v>12.56</v>
      </c>
      <c r="J545" s="17">
        <f t="shared" si="1"/>
        <v>25.12</v>
      </c>
      <c r="K545" s="16" t="str">
        <f t="array" ref="K545">_xlfn.XLOOKUP(C545,Clientes[ID_Cliente],Clientes[Provincia])</f>
        <v>Buenos Aires</v>
      </c>
      <c r="L545" s="16" t="str">
        <f t="array" ref="L545">CONCATENATE(_xlfn.XLOOKUP(C545,Clientes[ID_Cliente],Clientes[Provincia]),", Argentina")</f>
        <v>Buenos Aires, Argentina</v>
      </c>
      <c r="M545" s="20" t="str">
        <f t="array" ref="M545">_xlfn.XLOOKUP(F545,Metodos_De_Pago[ID_Metodo],Metodos_De_Pago[Metodo])</f>
        <v>Tarjeta de Débito</v>
      </c>
      <c r="N545" s="20" t="str">
        <f t="shared" si="2"/>
        <v>2024 02</v>
      </c>
    </row>
    <row r="546" ht="22.5" customHeight="1">
      <c r="A546" s="12">
        <f>IFERROR(__xludf.DUMMYFUNCTION("""COMPUTED_VALUE"""),1713.0)</f>
        <v>1713</v>
      </c>
      <c r="B546" s="13">
        <f>IFERROR(__xludf.DUMMYFUNCTION("""COMPUTED_VALUE"""),45351.0)</f>
        <v>45351</v>
      </c>
      <c r="C546" s="12">
        <f>IFERROR(__xludf.DUMMYFUNCTION("""COMPUTED_VALUE"""),265.0)</f>
        <v>265</v>
      </c>
      <c r="D546" s="12">
        <f>IFERROR(__xludf.DUMMYFUNCTION("""COMPUTED_VALUE"""),14.0)</f>
        <v>14</v>
      </c>
      <c r="E546" s="12">
        <f>IFERROR(__xludf.DUMMYFUNCTION("""COMPUTED_VALUE"""),2.0)</f>
        <v>2</v>
      </c>
      <c r="F546" s="12">
        <f>IFERROR(__xludf.DUMMYFUNCTION("""COMPUTED_VALUE"""),4.0)</f>
        <v>4</v>
      </c>
      <c r="G546" s="15" t="str">
        <f>IFERROR(__xludf.DUMMYFUNCTION("""COMPUTED_VALUE"""),"Completa")</f>
        <v>Completa</v>
      </c>
      <c r="H546" s="16" t="str">
        <f t="array" ref="H546">_xlfn.XLOOKUP(D546,Productos[ID_Producto],Productos[Nombre_Producto])</f>
        <v>Facturas</v>
      </c>
      <c r="I546" s="17">
        <f t="array" ref="I546">_xlfn.XLOOKUP(D546,Productos[ID_Producto],Productos[Precio_Unitario])</f>
        <v>12.36</v>
      </c>
      <c r="J546" s="17">
        <f t="shared" si="1"/>
        <v>24.72</v>
      </c>
      <c r="K546" s="16" t="str">
        <f t="array" ref="K546">_xlfn.XLOOKUP(C546,Clientes[ID_Cliente],Clientes[Provincia])</f>
        <v>Córdoba</v>
      </c>
      <c r="L546" s="16" t="str">
        <f t="array" ref="L546">CONCATENATE(_xlfn.XLOOKUP(C546,Clientes[ID_Cliente],Clientes[Provincia]),", Argentina")</f>
        <v>Córdoba, Argentina</v>
      </c>
      <c r="M546" s="20" t="str">
        <f t="array" ref="M546">_xlfn.XLOOKUP(F546,Metodos_De_Pago[ID_Metodo],Metodos_De_Pago[Metodo])</f>
        <v>Mercado Pago</v>
      </c>
      <c r="N546" s="20" t="str">
        <f t="shared" si="2"/>
        <v>2024 02</v>
      </c>
    </row>
    <row r="547" ht="22.5" customHeight="1">
      <c r="A547" s="12">
        <f>IFERROR(__xludf.DUMMYFUNCTION("""COMPUTED_VALUE"""),2606.0)</f>
        <v>2606</v>
      </c>
      <c r="B547" s="13">
        <f>IFERROR(__xludf.DUMMYFUNCTION("""COMPUTED_VALUE"""),45351.0)</f>
        <v>45351</v>
      </c>
      <c r="C547" s="12">
        <f>IFERROR(__xludf.DUMMYFUNCTION("""COMPUTED_VALUE"""),221.0)</f>
        <v>221</v>
      </c>
      <c r="D547" s="12">
        <f>IFERROR(__xludf.DUMMYFUNCTION("""COMPUTED_VALUE"""),7.0)</f>
        <v>7</v>
      </c>
      <c r="E547" s="12">
        <f>IFERROR(__xludf.DUMMYFUNCTION("""COMPUTED_VALUE"""),2.0)</f>
        <v>2</v>
      </c>
      <c r="F547" s="12">
        <f>IFERROR(__xludf.DUMMYFUNCTION("""COMPUTED_VALUE"""),4.0)</f>
        <v>4</v>
      </c>
      <c r="G547" s="15" t="str">
        <f>IFERROR(__xludf.DUMMYFUNCTION("""COMPUTED_VALUE"""),"Completa")</f>
        <v>Completa</v>
      </c>
      <c r="H547" s="16" t="str">
        <f t="array" ref="H547">_xlfn.XLOOKUP(D547,Productos[ID_Producto],Productos[Nombre_Producto])</f>
        <v>Chorizo</v>
      </c>
      <c r="I547" s="17">
        <f t="array" ref="I547">_xlfn.XLOOKUP(D547,Productos[ID_Producto],Productos[Precio_Unitario])</f>
        <v>11.25</v>
      </c>
      <c r="J547" s="17">
        <f t="shared" si="1"/>
        <v>22.5</v>
      </c>
      <c r="K547" s="16" t="str">
        <f t="array" ref="K547">_xlfn.XLOOKUP(C547,Clientes[ID_Cliente],Clientes[Provincia])</f>
        <v>Buenos Aires</v>
      </c>
      <c r="L547" s="16" t="str">
        <f t="array" ref="L547">CONCATENATE(_xlfn.XLOOKUP(C547,Clientes[ID_Cliente],Clientes[Provincia]),", Argentina")</f>
        <v>Buenos Aires, Argentina</v>
      </c>
      <c r="M547" s="20" t="str">
        <f t="array" ref="M547">_xlfn.XLOOKUP(F547,Metodos_De_Pago[ID_Metodo],Metodos_De_Pago[Metodo])</f>
        <v>Mercado Pago</v>
      </c>
      <c r="N547" s="20" t="str">
        <f t="shared" si="2"/>
        <v>2024 02</v>
      </c>
    </row>
    <row r="548" ht="22.5" customHeight="1">
      <c r="A548" s="12">
        <f>IFERROR(__xludf.DUMMYFUNCTION("""COMPUTED_VALUE"""),1465.0)</f>
        <v>1465</v>
      </c>
      <c r="B548" s="13">
        <f>IFERROR(__xludf.DUMMYFUNCTION("""COMPUTED_VALUE"""),45352.0)</f>
        <v>45352</v>
      </c>
      <c r="C548" s="12">
        <f>IFERROR(__xludf.DUMMYFUNCTION("""COMPUTED_VALUE"""),36.0)</f>
        <v>36</v>
      </c>
      <c r="D548" s="12">
        <f>IFERROR(__xludf.DUMMYFUNCTION("""COMPUTED_VALUE"""),14.0)</f>
        <v>14</v>
      </c>
      <c r="E548" s="12">
        <f>IFERROR(__xludf.DUMMYFUNCTION("""COMPUTED_VALUE"""),2.0)</f>
        <v>2</v>
      </c>
      <c r="F548" s="12">
        <f>IFERROR(__xludf.DUMMYFUNCTION("""COMPUTED_VALUE"""),5.0)</f>
        <v>5</v>
      </c>
      <c r="G548" s="15" t="str">
        <f>IFERROR(__xludf.DUMMYFUNCTION("""COMPUTED_VALUE"""),"Completa")</f>
        <v>Completa</v>
      </c>
      <c r="H548" s="16" t="str">
        <f t="array" ref="H548">_xlfn.XLOOKUP(D548,Productos[ID_Producto],Productos[Nombre_Producto])</f>
        <v>Facturas</v>
      </c>
      <c r="I548" s="17">
        <f t="array" ref="I548">_xlfn.XLOOKUP(D548,Productos[ID_Producto],Productos[Precio_Unitario])</f>
        <v>12.36</v>
      </c>
      <c r="J548" s="17">
        <f t="shared" si="1"/>
        <v>24.72</v>
      </c>
      <c r="K548" s="16" t="str">
        <f t="array" ref="K548">_xlfn.XLOOKUP(C548,Clientes[ID_Cliente],Clientes[Provincia])</f>
        <v>Buenos Aires</v>
      </c>
      <c r="L548" s="16" t="str">
        <f t="array" ref="L548">CONCATENATE(_xlfn.XLOOKUP(C548,Clientes[ID_Cliente],Clientes[Provincia]),", Argentina")</f>
        <v>Buenos Aires, Argentina</v>
      </c>
      <c r="M548" s="20" t="str">
        <f t="array" ref="M548">_xlfn.XLOOKUP(F548,Metodos_De_Pago[ID_Metodo],Metodos_De_Pago[Metodo])</f>
        <v>Transferencia</v>
      </c>
      <c r="N548" s="20" t="str">
        <f t="shared" si="2"/>
        <v>2024 03</v>
      </c>
    </row>
    <row r="549" ht="22.5" customHeight="1">
      <c r="A549" s="12">
        <f>IFERROR(__xludf.DUMMYFUNCTION("""COMPUTED_VALUE"""),2420.0)</f>
        <v>2420</v>
      </c>
      <c r="B549" s="13">
        <f>IFERROR(__xludf.DUMMYFUNCTION("""COMPUTED_VALUE"""),45354.0)</f>
        <v>45354</v>
      </c>
      <c r="C549" s="12">
        <f>IFERROR(__xludf.DUMMYFUNCTION("""COMPUTED_VALUE"""),17.0)</f>
        <v>17</v>
      </c>
      <c r="D549" s="12">
        <f>IFERROR(__xludf.DUMMYFUNCTION("""COMPUTED_VALUE"""),1.0)</f>
        <v>1</v>
      </c>
      <c r="E549" s="12">
        <f>IFERROR(__xludf.DUMMYFUNCTION("""COMPUTED_VALUE"""),2.0)</f>
        <v>2</v>
      </c>
      <c r="F549" s="12">
        <f>IFERROR(__xludf.DUMMYFUNCTION("""COMPUTED_VALUE"""),2.0)</f>
        <v>2</v>
      </c>
      <c r="G549" s="15" t="str">
        <f>IFERROR(__xludf.DUMMYFUNCTION("""COMPUTED_VALUE"""),"Completa")</f>
        <v>Completa</v>
      </c>
      <c r="H549" s="16" t="str">
        <f t="array" ref="H549">_xlfn.XLOOKUP(D549,Productos[ID_Producto],Productos[Nombre_Producto])</f>
        <v>Leche</v>
      </c>
      <c r="I549" s="17">
        <f t="array" ref="I549">_xlfn.XLOOKUP(D549,Productos[ID_Producto],Productos[Precio_Unitario])</f>
        <v>12.24</v>
      </c>
      <c r="J549" s="17">
        <f t="shared" si="1"/>
        <v>24.48</v>
      </c>
      <c r="K549" s="16" t="str">
        <f t="array" ref="K549">_xlfn.XLOOKUP(C549,Clientes[ID_Cliente],Clientes[Provincia])</f>
        <v>Buenos Aires</v>
      </c>
      <c r="L549" s="16" t="str">
        <f t="array" ref="L549">CONCATENATE(_xlfn.XLOOKUP(C549,Clientes[ID_Cliente],Clientes[Provincia]),", Argentina")</f>
        <v>Buenos Aires, Argentina</v>
      </c>
      <c r="M549" s="20" t="str">
        <f t="array" ref="M549">_xlfn.XLOOKUP(F549,Metodos_De_Pago[ID_Metodo],Metodos_De_Pago[Metodo])</f>
        <v>Tarjeta de Crédito</v>
      </c>
      <c r="N549" s="20" t="str">
        <f t="shared" si="2"/>
        <v>2024 03</v>
      </c>
    </row>
    <row r="550" ht="22.5" customHeight="1">
      <c r="A550" s="12">
        <f>IFERROR(__xludf.DUMMYFUNCTION("""COMPUTED_VALUE"""),1589.0)</f>
        <v>1589</v>
      </c>
      <c r="B550" s="13">
        <f>IFERROR(__xludf.DUMMYFUNCTION("""COMPUTED_VALUE"""),45356.0)</f>
        <v>45356</v>
      </c>
      <c r="C550" s="12">
        <f>IFERROR(__xludf.DUMMYFUNCTION("""COMPUTED_VALUE"""),112.0)</f>
        <v>112</v>
      </c>
      <c r="D550" s="12">
        <f>IFERROR(__xludf.DUMMYFUNCTION("""COMPUTED_VALUE"""),26.0)</f>
        <v>26</v>
      </c>
      <c r="E550" s="12">
        <f>IFERROR(__xludf.DUMMYFUNCTION("""COMPUTED_VALUE"""),2.0)</f>
        <v>2</v>
      </c>
      <c r="F550" s="12">
        <f>IFERROR(__xludf.DUMMYFUNCTION("""COMPUTED_VALUE"""),4.0)</f>
        <v>4</v>
      </c>
      <c r="G550" s="15" t="str">
        <f>IFERROR(__xludf.DUMMYFUNCTION("""COMPUTED_VALUE"""),"Pendiente")</f>
        <v>Pendiente</v>
      </c>
      <c r="H550" s="16" t="str">
        <f t="array" ref="H550">_xlfn.XLOOKUP(D550,Productos[ID_Producto],Productos[Nombre_Producto])</f>
        <v>Hamburgesas congeladas</v>
      </c>
      <c r="I550" s="17">
        <f t="array" ref="I550">_xlfn.XLOOKUP(D550,Productos[ID_Producto],Productos[Precio_Unitario])</f>
        <v>9.54</v>
      </c>
      <c r="J550" s="17">
        <f t="shared" si="1"/>
        <v>19.08</v>
      </c>
      <c r="K550" s="16" t="str">
        <f t="array" ref="K550">_xlfn.XLOOKUP(C550,Clientes[ID_Cliente],Clientes[Provincia])</f>
        <v>Chaco</v>
      </c>
      <c r="L550" s="16" t="str">
        <f t="array" ref="L550">CONCATENATE(_xlfn.XLOOKUP(C550,Clientes[ID_Cliente],Clientes[Provincia]),", Argentina")</f>
        <v>Chaco, Argentina</v>
      </c>
      <c r="M550" s="20" t="str">
        <f t="array" ref="M550">_xlfn.XLOOKUP(F550,Metodos_De_Pago[ID_Metodo],Metodos_De_Pago[Metodo])</f>
        <v>Mercado Pago</v>
      </c>
      <c r="N550" s="20" t="str">
        <f t="shared" si="2"/>
        <v>2024 03</v>
      </c>
    </row>
    <row r="551" ht="22.5" customHeight="1">
      <c r="A551" s="12">
        <f>IFERROR(__xludf.DUMMYFUNCTION("""COMPUTED_VALUE"""),1524.0)</f>
        <v>1524</v>
      </c>
      <c r="B551" s="13">
        <f>IFERROR(__xludf.DUMMYFUNCTION("""COMPUTED_VALUE"""),45357.0)</f>
        <v>45357</v>
      </c>
      <c r="C551" s="12">
        <f>IFERROR(__xludf.DUMMYFUNCTION("""COMPUTED_VALUE"""),292.0)</f>
        <v>292</v>
      </c>
      <c r="D551" s="12">
        <f>IFERROR(__xludf.DUMMYFUNCTION("""COMPUTED_VALUE"""),34.0)</f>
        <v>34</v>
      </c>
      <c r="E551" s="12">
        <f>IFERROR(__xludf.DUMMYFUNCTION("""COMPUTED_VALUE"""),2.0)</f>
        <v>2</v>
      </c>
      <c r="F551" s="12">
        <f>IFERROR(__xludf.DUMMYFUNCTION("""COMPUTED_VALUE"""),5.0)</f>
        <v>5</v>
      </c>
      <c r="G551" s="15" t="str">
        <f>IFERROR(__xludf.DUMMYFUNCTION("""COMPUTED_VALUE"""),"Completa")</f>
        <v>Completa</v>
      </c>
      <c r="H551" s="16" t="str">
        <f t="array" ref="H551">_xlfn.XLOOKUP(D551,Productos[ID_Producto],Productos[Nombre_Producto])</f>
        <v>Maníes</v>
      </c>
      <c r="I551" s="17">
        <f t="array" ref="I551">_xlfn.XLOOKUP(D551,Productos[ID_Producto],Productos[Precio_Unitario])</f>
        <v>5.45</v>
      </c>
      <c r="J551" s="17">
        <f t="shared" si="1"/>
        <v>10.9</v>
      </c>
      <c r="K551" s="16" t="str">
        <f t="array" ref="K551">_xlfn.XLOOKUP(C551,Clientes[ID_Cliente],Clientes[Provincia])</f>
        <v>Neuquén</v>
      </c>
      <c r="L551" s="16" t="str">
        <f t="array" ref="L551">CONCATENATE(_xlfn.XLOOKUP(C551,Clientes[ID_Cliente],Clientes[Provincia]),", Argentina")</f>
        <v>Neuquén, Argentina</v>
      </c>
      <c r="M551" s="20" t="str">
        <f t="array" ref="M551">_xlfn.XLOOKUP(F551,Metodos_De_Pago[ID_Metodo],Metodos_De_Pago[Metodo])</f>
        <v>Transferencia</v>
      </c>
      <c r="N551" s="20" t="str">
        <f t="shared" si="2"/>
        <v>2024 03</v>
      </c>
    </row>
    <row r="552" ht="22.5" customHeight="1">
      <c r="A552" s="12">
        <f>IFERROR(__xludf.DUMMYFUNCTION("""COMPUTED_VALUE"""),606.0)</f>
        <v>606</v>
      </c>
      <c r="B552" s="13">
        <f>IFERROR(__xludf.DUMMYFUNCTION("""COMPUTED_VALUE"""),45358.0)</f>
        <v>45358</v>
      </c>
      <c r="C552" s="12">
        <f>IFERROR(__xludf.DUMMYFUNCTION("""COMPUTED_VALUE"""),46.0)</f>
        <v>46</v>
      </c>
      <c r="D552" s="12">
        <f>IFERROR(__xludf.DUMMYFUNCTION("""COMPUTED_VALUE"""),20.0)</f>
        <v>20</v>
      </c>
      <c r="E552" s="12">
        <f>IFERROR(__xludf.DUMMYFUNCTION("""COMPUTED_VALUE"""),2.0)</f>
        <v>2</v>
      </c>
      <c r="F552" s="12">
        <f>IFERROR(__xludf.DUMMYFUNCTION("""COMPUTED_VALUE"""),5.0)</f>
        <v>5</v>
      </c>
      <c r="G552" s="15" t="str">
        <f>IFERROR(__xludf.DUMMYFUNCTION("""COMPUTED_VALUE"""),"Completa")</f>
        <v>Completa</v>
      </c>
      <c r="H552" s="16" t="str">
        <f t="array" ref="H552">_xlfn.XLOOKUP(D552,Productos[ID_Producto],Productos[Nombre_Producto])</f>
        <v>Lechugas</v>
      </c>
      <c r="I552" s="17">
        <f t="array" ref="I552">_xlfn.XLOOKUP(D552,Productos[ID_Producto],Productos[Precio_Unitario])</f>
        <v>4.25</v>
      </c>
      <c r="J552" s="17">
        <f t="shared" si="1"/>
        <v>8.5</v>
      </c>
      <c r="K552" s="16" t="str">
        <f t="array" ref="K552">_xlfn.XLOOKUP(C552,Clientes[ID_Cliente],Clientes[Provincia])</f>
        <v>Córdoba</v>
      </c>
      <c r="L552" s="16" t="str">
        <f t="array" ref="L552">CONCATENATE(_xlfn.XLOOKUP(C552,Clientes[ID_Cliente],Clientes[Provincia]),", Argentina")</f>
        <v>Córdoba, Argentina</v>
      </c>
      <c r="M552" s="20" t="str">
        <f t="array" ref="M552">_xlfn.XLOOKUP(F552,Metodos_De_Pago[ID_Metodo],Metodos_De_Pago[Metodo])</f>
        <v>Transferencia</v>
      </c>
      <c r="N552" s="20" t="str">
        <f t="shared" si="2"/>
        <v>2024 03</v>
      </c>
    </row>
    <row r="553" ht="22.5" customHeight="1">
      <c r="A553" s="12">
        <f>IFERROR(__xludf.DUMMYFUNCTION("""COMPUTED_VALUE"""),1185.0)</f>
        <v>1185</v>
      </c>
      <c r="B553" s="13">
        <f>IFERROR(__xludf.DUMMYFUNCTION("""COMPUTED_VALUE"""),45358.0)</f>
        <v>45358</v>
      </c>
      <c r="C553" s="12">
        <f>IFERROR(__xludf.DUMMYFUNCTION("""COMPUTED_VALUE"""),58.0)</f>
        <v>58</v>
      </c>
      <c r="D553" s="12">
        <f>IFERROR(__xludf.DUMMYFUNCTION("""COMPUTED_VALUE"""),22.0)</f>
        <v>22</v>
      </c>
      <c r="E553" s="12">
        <f>IFERROR(__xludf.DUMMYFUNCTION("""COMPUTED_VALUE"""),2.0)</f>
        <v>2</v>
      </c>
      <c r="F553" s="12">
        <f>IFERROR(__xludf.DUMMYFUNCTION("""COMPUTED_VALUE"""),4.0)</f>
        <v>4</v>
      </c>
      <c r="G553" s="15" t="str">
        <f>IFERROR(__xludf.DUMMYFUNCTION("""COMPUTED_VALUE"""),"Pendiente")</f>
        <v>Pendiente</v>
      </c>
      <c r="H553" s="16" t="str">
        <f t="array" ref="H553">_xlfn.XLOOKUP(D553,Productos[ID_Producto],Productos[Nombre_Producto])</f>
        <v>Cebolla</v>
      </c>
      <c r="I553" s="17">
        <f t="array" ref="I553">_xlfn.XLOOKUP(D553,Productos[ID_Producto],Productos[Precio_Unitario])</f>
        <v>4.21</v>
      </c>
      <c r="J553" s="17">
        <f t="shared" si="1"/>
        <v>8.42</v>
      </c>
      <c r="K553" s="16" t="str">
        <f t="array" ref="K553">_xlfn.XLOOKUP(C553,Clientes[ID_Cliente],Clientes[Provincia])</f>
        <v>Buenos Aires</v>
      </c>
      <c r="L553" s="16" t="str">
        <f t="array" ref="L553">CONCATENATE(_xlfn.XLOOKUP(C553,Clientes[ID_Cliente],Clientes[Provincia]),", Argentina")</f>
        <v>Buenos Aires, Argentina</v>
      </c>
      <c r="M553" s="20" t="str">
        <f t="array" ref="M553">_xlfn.XLOOKUP(F553,Metodos_De_Pago[ID_Metodo],Metodos_De_Pago[Metodo])</f>
        <v>Mercado Pago</v>
      </c>
      <c r="N553" s="20" t="str">
        <f t="shared" si="2"/>
        <v>2024 03</v>
      </c>
    </row>
    <row r="554" ht="22.5" customHeight="1">
      <c r="A554" s="12">
        <f>IFERROR(__xludf.DUMMYFUNCTION("""COMPUTED_VALUE"""),1796.0)</f>
        <v>1796</v>
      </c>
      <c r="B554" s="13">
        <f>IFERROR(__xludf.DUMMYFUNCTION("""COMPUTED_VALUE"""),45358.0)</f>
        <v>45358</v>
      </c>
      <c r="C554" s="12">
        <f>IFERROR(__xludf.DUMMYFUNCTION("""COMPUTED_VALUE"""),32.0)</f>
        <v>32</v>
      </c>
      <c r="D554" s="12">
        <f>IFERROR(__xludf.DUMMYFUNCTION("""COMPUTED_VALUE"""),4.0)</f>
        <v>4</v>
      </c>
      <c r="E554" s="12">
        <f>IFERROR(__xludf.DUMMYFUNCTION("""COMPUTED_VALUE"""),2.0)</f>
        <v>2</v>
      </c>
      <c r="F554" s="12">
        <f>IFERROR(__xludf.DUMMYFUNCTION("""COMPUTED_VALUE"""),4.0)</f>
        <v>4</v>
      </c>
      <c r="G554" s="15" t="str">
        <f>IFERROR(__xludf.DUMMYFUNCTION("""COMPUTED_VALUE"""),"Completa")</f>
        <v>Completa</v>
      </c>
      <c r="H554" s="16" t="str">
        <f t="array" ref="H554">_xlfn.XLOOKUP(D554,Productos[ID_Producto],Productos[Nombre_Producto])</f>
        <v>Queso rallado</v>
      </c>
      <c r="I554" s="17">
        <f t="array" ref="I554">_xlfn.XLOOKUP(D554,Productos[ID_Producto],Productos[Precio_Unitario])</f>
        <v>19.23</v>
      </c>
      <c r="J554" s="17">
        <f t="shared" si="1"/>
        <v>38.46</v>
      </c>
      <c r="K554" s="16" t="str">
        <f t="array" ref="K554">_xlfn.XLOOKUP(C554,Clientes[ID_Cliente],Clientes[Provincia])</f>
        <v>San Luis</v>
      </c>
      <c r="L554" s="16" t="str">
        <f t="array" ref="L554">CONCATENATE(_xlfn.XLOOKUP(C554,Clientes[ID_Cliente],Clientes[Provincia]),", Argentina")</f>
        <v>San Luis, Argentina</v>
      </c>
      <c r="M554" s="20" t="str">
        <f t="array" ref="M554">_xlfn.XLOOKUP(F554,Metodos_De_Pago[ID_Metodo],Metodos_De_Pago[Metodo])</f>
        <v>Mercado Pago</v>
      </c>
      <c r="N554" s="20" t="str">
        <f t="shared" si="2"/>
        <v>2024 03</v>
      </c>
    </row>
    <row r="555" ht="22.5" customHeight="1">
      <c r="A555" s="12">
        <f>IFERROR(__xludf.DUMMYFUNCTION("""COMPUTED_VALUE"""),2366.0)</f>
        <v>2366</v>
      </c>
      <c r="B555" s="13">
        <f>IFERROR(__xludf.DUMMYFUNCTION("""COMPUTED_VALUE"""),45358.0)</f>
        <v>45358</v>
      </c>
      <c r="C555" s="12">
        <f>IFERROR(__xludf.DUMMYFUNCTION("""COMPUTED_VALUE"""),222.0)</f>
        <v>222</v>
      </c>
      <c r="D555" s="12">
        <f>IFERROR(__xludf.DUMMYFUNCTION("""COMPUTED_VALUE"""),17.0)</f>
        <v>17</v>
      </c>
      <c r="E555" s="12">
        <f>IFERROR(__xludf.DUMMYFUNCTION("""COMPUTED_VALUE"""),2.0)</f>
        <v>2</v>
      </c>
      <c r="F555" s="12">
        <f>IFERROR(__xludf.DUMMYFUNCTION("""COMPUTED_VALUE"""),4.0)</f>
        <v>4</v>
      </c>
      <c r="G555" s="15" t="str">
        <f>IFERROR(__xludf.DUMMYFUNCTION("""COMPUTED_VALUE"""),"Completa")</f>
        <v>Completa</v>
      </c>
      <c r="H555" s="16" t="str">
        <f t="array" ref="H555">_xlfn.XLOOKUP(D555,Productos[ID_Producto],Productos[Nombre_Producto])</f>
        <v>Manzanas</v>
      </c>
      <c r="I555" s="17">
        <f t="array" ref="I555">_xlfn.XLOOKUP(D555,Productos[ID_Producto],Productos[Precio_Unitario])</f>
        <v>6.54</v>
      </c>
      <c r="J555" s="17">
        <f t="shared" si="1"/>
        <v>13.08</v>
      </c>
      <c r="K555" s="16" t="str">
        <f t="array" ref="K555">_xlfn.XLOOKUP(C555,Clientes[ID_Cliente],Clientes[Provincia])</f>
        <v>Córdoba</v>
      </c>
      <c r="L555" s="16" t="str">
        <f t="array" ref="L555">CONCATENATE(_xlfn.XLOOKUP(C555,Clientes[ID_Cliente],Clientes[Provincia]),", Argentina")</f>
        <v>Córdoba, Argentina</v>
      </c>
      <c r="M555" s="20" t="str">
        <f t="array" ref="M555">_xlfn.XLOOKUP(F555,Metodos_De_Pago[ID_Metodo],Metodos_De_Pago[Metodo])</f>
        <v>Mercado Pago</v>
      </c>
      <c r="N555" s="20" t="str">
        <f t="shared" si="2"/>
        <v>2024 03</v>
      </c>
    </row>
    <row r="556" ht="22.5" customHeight="1">
      <c r="A556" s="12">
        <f>IFERROR(__xludf.DUMMYFUNCTION("""COMPUTED_VALUE"""),362.0)</f>
        <v>362</v>
      </c>
      <c r="B556" s="13">
        <f>IFERROR(__xludf.DUMMYFUNCTION("""COMPUTED_VALUE"""),45360.0)</f>
        <v>45360</v>
      </c>
      <c r="C556" s="12">
        <f>IFERROR(__xludf.DUMMYFUNCTION("""COMPUTED_VALUE"""),30.0)</f>
        <v>30</v>
      </c>
      <c r="D556" s="12">
        <f>IFERROR(__xludf.DUMMYFUNCTION("""COMPUTED_VALUE"""),15.0)</f>
        <v>15</v>
      </c>
      <c r="E556" s="12">
        <f>IFERROR(__xludf.DUMMYFUNCTION("""COMPUTED_VALUE"""),2.0)</f>
        <v>2</v>
      </c>
      <c r="F556" s="12">
        <f>IFERROR(__xludf.DUMMYFUNCTION("""COMPUTED_VALUE"""),4.0)</f>
        <v>4</v>
      </c>
      <c r="G556" s="15" t="str">
        <f>IFERROR(__xludf.DUMMYFUNCTION("""COMPUTED_VALUE"""),"Completa")</f>
        <v>Completa</v>
      </c>
      <c r="H556" s="16" t="str">
        <f t="array" ref="H556">_xlfn.XLOOKUP(D556,Productos[ID_Producto],Productos[Nombre_Producto])</f>
        <v>Medialunas</v>
      </c>
      <c r="I556" s="17">
        <f t="array" ref="I556">_xlfn.XLOOKUP(D556,Productos[ID_Producto],Productos[Precio_Unitario])</f>
        <v>3.51</v>
      </c>
      <c r="J556" s="17">
        <f t="shared" si="1"/>
        <v>7.02</v>
      </c>
      <c r="K556" s="16" t="str">
        <f t="array" ref="K556">_xlfn.XLOOKUP(C556,Clientes[ID_Cliente],Clientes[Provincia])</f>
        <v>Buenos Aires</v>
      </c>
      <c r="L556" s="16" t="str">
        <f t="array" ref="L556">CONCATENATE(_xlfn.XLOOKUP(C556,Clientes[ID_Cliente],Clientes[Provincia]),", Argentina")</f>
        <v>Buenos Aires, Argentina</v>
      </c>
      <c r="M556" s="20" t="str">
        <f t="array" ref="M556">_xlfn.XLOOKUP(F556,Metodos_De_Pago[ID_Metodo],Metodos_De_Pago[Metodo])</f>
        <v>Mercado Pago</v>
      </c>
      <c r="N556" s="20" t="str">
        <f t="shared" si="2"/>
        <v>2024 03</v>
      </c>
    </row>
    <row r="557" ht="22.5" customHeight="1">
      <c r="A557" s="12">
        <f>IFERROR(__xludf.DUMMYFUNCTION("""COMPUTED_VALUE"""),1788.0)</f>
        <v>1788</v>
      </c>
      <c r="B557" s="13">
        <f>IFERROR(__xludf.DUMMYFUNCTION("""COMPUTED_VALUE"""),45360.0)</f>
        <v>45360</v>
      </c>
      <c r="C557" s="12">
        <f>IFERROR(__xludf.DUMMYFUNCTION("""COMPUTED_VALUE"""),180.0)</f>
        <v>180</v>
      </c>
      <c r="D557" s="12">
        <f>IFERROR(__xludf.DUMMYFUNCTION("""COMPUTED_VALUE"""),2.0)</f>
        <v>2</v>
      </c>
      <c r="E557" s="12">
        <f>IFERROR(__xludf.DUMMYFUNCTION("""COMPUTED_VALUE"""),2.0)</f>
        <v>2</v>
      </c>
      <c r="F557" s="12">
        <f>IFERROR(__xludf.DUMMYFUNCTION("""COMPUTED_VALUE"""),4.0)</f>
        <v>4</v>
      </c>
      <c r="G557" s="15" t="str">
        <f>IFERROR(__xludf.DUMMYFUNCTION("""COMPUTED_VALUE"""),"Completa")</f>
        <v>Completa</v>
      </c>
      <c r="H557" s="16" t="str">
        <f t="array" ref="H557">_xlfn.XLOOKUP(D557,Productos[ID_Producto],Productos[Nombre_Producto])</f>
        <v>Yogur</v>
      </c>
      <c r="I557" s="17">
        <f t="array" ref="I557">_xlfn.XLOOKUP(D557,Productos[ID_Producto],Productos[Precio_Unitario])</f>
        <v>5.21</v>
      </c>
      <c r="J557" s="17">
        <f t="shared" si="1"/>
        <v>10.42</v>
      </c>
      <c r="K557" s="16" t="str">
        <f t="array" ref="K557">_xlfn.XLOOKUP(C557,Clientes[ID_Cliente],Clientes[Provincia])</f>
        <v>Buenos Aires</v>
      </c>
      <c r="L557" s="16" t="str">
        <f t="array" ref="L557">CONCATENATE(_xlfn.XLOOKUP(C557,Clientes[ID_Cliente],Clientes[Provincia]),", Argentina")</f>
        <v>Buenos Aires, Argentina</v>
      </c>
      <c r="M557" s="20" t="str">
        <f t="array" ref="M557">_xlfn.XLOOKUP(F557,Metodos_De_Pago[ID_Metodo],Metodos_De_Pago[Metodo])</f>
        <v>Mercado Pago</v>
      </c>
      <c r="N557" s="20" t="str">
        <f t="shared" si="2"/>
        <v>2024 03</v>
      </c>
    </row>
    <row r="558" ht="22.5" customHeight="1">
      <c r="A558" s="12">
        <f>IFERROR(__xludf.DUMMYFUNCTION("""COMPUTED_VALUE"""),1957.0)</f>
        <v>1957</v>
      </c>
      <c r="B558" s="13">
        <f>IFERROR(__xludf.DUMMYFUNCTION("""COMPUTED_VALUE"""),45361.0)</f>
        <v>45361</v>
      </c>
      <c r="C558" s="12">
        <f>IFERROR(__xludf.DUMMYFUNCTION("""COMPUTED_VALUE"""),217.0)</f>
        <v>217</v>
      </c>
      <c r="D558" s="12">
        <f>IFERROR(__xludf.DUMMYFUNCTION("""COMPUTED_VALUE"""),37.0)</f>
        <v>37</v>
      </c>
      <c r="E558" s="12">
        <f>IFERROR(__xludf.DUMMYFUNCTION("""COMPUTED_VALUE"""),2.0)</f>
        <v>2</v>
      </c>
      <c r="F558" s="12">
        <f>IFERROR(__xludf.DUMMYFUNCTION("""COMPUTED_VALUE"""),1.0)</f>
        <v>1</v>
      </c>
      <c r="G558" s="15" t="str">
        <f>IFERROR(__xludf.DUMMYFUNCTION("""COMPUTED_VALUE"""),"Completa")</f>
        <v>Completa</v>
      </c>
      <c r="H558" s="16" t="str">
        <f t="array" ref="H558">_xlfn.XLOOKUP(D558,Productos[ID_Producto],Productos[Nombre_Producto])</f>
        <v>Garbanzos</v>
      </c>
      <c r="I558" s="17">
        <f t="array" ref="I558">_xlfn.XLOOKUP(D558,Productos[ID_Producto],Productos[Precio_Unitario])</f>
        <v>3.65</v>
      </c>
      <c r="J558" s="17">
        <f t="shared" si="1"/>
        <v>7.3</v>
      </c>
      <c r="K558" s="16" t="str">
        <f t="array" ref="K558">_xlfn.XLOOKUP(C558,Clientes[ID_Cliente],Clientes[Provincia])</f>
        <v>Córdoba</v>
      </c>
      <c r="L558" s="16" t="str">
        <f t="array" ref="L558">CONCATENATE(_xlfn.XLOOKUP(C558,Clientes[ID_Cliente],Clientes[Provincia]),", Argentina")</f>
        <v>Córdoba, Argentina</v>
      </c>
      <c r="M558" s="20" t="str">
        <f t="array" ref="M558">_xlfn.XLOOKUP(F558,Metodos_De_Pago[ID_Metodo],Metodos_De_Pago[Metodo])</f>
        <v>Efectivo</v>
      </c>
      <c r="N558" s="20" t="str">
        <f t="shared" si="2"/>
        <v>2024 03</v>
      </c>
    </row>
    <row r="559" ht="22.5" customHeight="1">
      <c r="A559" s="12">
        <f>IFERROR(__xludf.DUMMYFUNCTION("""COMPUTED_VALUE"""),1564.0)</f>
        <v>1564</v>
      </c>
      <c r="B559" s="13">
        <f>IFERROR(__xludf.DUMMYFUNCTION("""COMPUTED_VALUE"""),45362.0)</f>
        <v>45362</v>
      </c>
      <c r="C559" s="12">
        <f>IFERROR(__xludf.DUMMYFUNCTION("""COMPUTED_VALUE"""),238.0)</f>
        <v>238</v>
      </c>
      <c r="D559" s="12">
        <f>IFERROR(__xludf.DUMMYFUNCTION("""COMPUTED_VALUE"""),23.0)</f>
        <v>23</v>
      </c>
      <c r="E559" s="12">
        <f>IFERROR(__xludf.DUMMYFUNCTION("""COMPUTED_VALUE"""),2.0)</f>
        <v>2</v>
      </c>
      <c r="F559" s="12">
        <f>IFERROR(__xludf.DUMMYFUNCTION("""COMPUTED_VALUE"""),2.0)</f>
        <v>2</v>
      </c>
      <c r="G559" s="15" t="str">
        <f>IFERROR(__xludf.DUMMYFUNCTION("""COMPUTED_VALUE"""),"Completa")</f>
        <v>Completa</v>
      </c>
      <c r="H559" s="16" t="str">
        <f t="array" ref="H559">_xlfn.XLOOKUP(D559,Productos[ID_Producto],Productos[Nombre_Producto])</f>
        <v>Papas fritas</v>
      </c>
      <c r="I559" s="17">
        <f t="array" ref="I559">_xlfn.XLOOKUP(D559,Productos[ID_Producto],Productos[Precio_Unitario])</f>
        <v>8.23</v>
      </c>
      <c r="J559" s="17">
        <f t="shared" si="1"/>
        <v>16.46</v>
      </c>
      <c r="K559" s="16" t="str">
        <f t="array" ref="K559">_xlfn.XLOOKUP(C559,Clientes[ID_Cliente],Clientes[Provincia])</f>
        <v>Buenos Aires</v>
      </c>
      <c r="L559" s="16" t="str">
        <f t="array" ref="L559">CONCATENATE(_xlfn.XLOOKUP(C559,Clientes[ID_Cliente],Clientes[Provincia]),", Argentina")</f>
        <v>Buenos Aires, Argentina</v>
      </c>
      <c r="M559" s="20" t="str">
        <f t="array" ref="M559">_xlfn.XLOOKUP(F559,Metodos_De_Pago[ID_Metodo],Metodos_De_Pago[Metodo])</f>
        <v>Tarjeta de Crédito</v>
      </c>
      <c r="N559" s="20" t="str">
        <f t="shared" si="2"/>
        <v>2024 03</v>
      </c>
    </row>
    <row r="560" ht="22.5" customHeight="1">
      <c r="A560" s="12">
        <f>IFERROR(__xludf.DUMMYFUNCTION("""COMPUTED_VALUE"""),2058.0)</f>
        <v>2058</v>
      </c>
      <c r="B560" s="13">
        <f>IFERROR(__xludf.DUMMYFUNCTION("""COMPUTED_VALUE"""),45362.0)</f>
        <v>45362</v>
      </c>
      <c r="C560" s="12">
        <f>IFERROR(__xludf.DUMMYFUNCTION("""COMPUTED_VALUE"""),206.0)</f>
        <v>206</v>
      </c>
      <c r="D560" s="12">
        <f>IFERROR(__xludf.DUMMYFUNCTION("""COMPUTED_VALUE"""),9.0)</f>
        <v>9</v>
      </c>
      <c r="E560" s="12">
        <f>IFERROR(__xludf.DUMMYFUNCTION("""COMPUTED_VALUE"""),2.0)</f>
        <v>2</v>
      </c>
      <c r="F560" s="12">
        <f>IFERROR(__xludf.DUMMYFUNCTION("""COMPUTED_VALUE"""),4.0)</f>
        <v>4</v>
      </c>
      <c r="G560" s="15" t="str">
        <f>IFERROR(__xludf.DUMMYFUNCTION("""COMPUTED_VALUE"""),"Completa")</f>
        <v>Completa</v>
      </c>
      <c r="H560" s="16" t="str">
        <f t="array" ref="H560">_xlfn.XLOOKUP(D560,Productos[ID_Producto],Productos[Nombre_Producto])</f>
        <v>Pollo</v>
      </c>
      <c r="I560" s="17">
        <f t="array" ref="I560">_xlfn.XLOOKUP(D560,Productos[ID_Producto],Productos[Precio_Unitario])</f>
        <v>18.56</v>
      </c>
      <c r="J560" s="17">
        <f t="shared" si="1"/>
        <v>37.12</v>
      </c>
      <c r="K560" s="16" t="str">
        <f t="array" ref="K560">_xlfn.XLOOKUP(C560,Clientes[ID_Cliente],Clientes[Provincia])</f>
        <v>Chaco</v>
      </c>
      <c r="L560" s="16" t="str">
        <f t="array" ref="L560">CONCATENATE(_xlfn.XLOOKUP(C560,Clientes[ID_Cliente],Clientes[Provincia]),", Argentina")</f>
        <v>Chaco, Argentina</v>
      </c>
      <c r="M560" s="20" t="str">
        <f t="array" ref="M560">_xlfn.XLOOKUP(F560,Metodos_De_Pago[ID_Metodo],Metodos_De_Pago[Metodo])</f>
        <v>Mercado Pago</v>
      </c>
      <c r="N560" s="20" t="str">
        <f t="shared" si="2"/>
        <v>2024 03</v>
      </c>
    </row>
    <row r="561" ht="22.5" customHeight="1">
      <c r="A561" s="12">
        <f>IFERROR(__xludf.DUMMYFUNCTION("""COMPUTED_VALUE"""),2253.0)</f>
        <v>2253</v>
      </c>
      <c r="B561" s="13">
        <f>IFERROR(__xludf.DUMMYFUNCTION("""COMPUTED_VALUE"""),45362.0)</f>
        <v>45362</v>
      </c>
      <c r="C561" s="12">
        <f>IFERROR(__xludf.DUMMYFUNCTION("""COMPUTED_VALUE"""),278.0)</f>
        <v>278</v>
      </c>
      <c r="D561" s="12">
        <f>IFERROR(__xludf.DUMMYFUNCTION("""COMPUTED_VALUE"""),2.0)</f>
        <v>2</v>
      </c>
      <c r="E561" s="12">
        <f>IFERROR(__xludf.DUMMYFUNCTION("""COMPUTED_VALUE"""),2.0)</f>
        <v>2</v>
      </c>
      <c r="F561" s="12">
        <f>IFERROR(__xludf.DUMMYFUNCTION("""COMPUTED_VALUE"""),2.0)</f>
        <v>2</v>
      </c>
      <c r="G561" s="15" t="str">
        <f>IFERROR(__xludf.DUMMYFUNCTION("""COMPUTED_VALUE"""),"Completa")</f>
        <v>Completa</v>
      </c>
      <c r="H561" s="16" t="str">
        <f t="array" ref="H561">_xlfn.XLOOKUP(D561,Productos[ID_Producto],Productos[Nombre_Producto])</f>
        <v>Yogur</v>
      </c>
      <c r="I561" s="17">
        <f t="array" ref="I561">_xlfn.XLOOKUP(D561,Productos[ID_Producto],Productos[Precio_Unitario])</f>
        <v>5.21</v>
      </c>
      <c r="J561" s="17">
        <f t="shared" si="1"/>
        <v>10.42</v>
      </c>
      <c r="K561" s="16" t="str">
        <f t="array" ref="K561">_xlfn.XLOOKUP(C561,Clientes[ID_Cliente],Clientes[Provincia])</f>
        <v>Córdoba</v>
      </c>
      <c r="L561" s="16" t="str">
        <f t="array" ref="L561">CONCATENATE(_xlfn.XLOOKUP(C561,Clientes[ID_Cliente],Clientes[Provincia]),", Argentina")</f>
        <v>Córdoba, Argentina</v>
      </c>
      <c r="M561" s="20" t="str">
        <f t="array" ref="M561">_xlfn.XLOOKUP(F561,Metodos_De_Pago[ID_Metodo],Metodos_De_Pago[Metodo])</f>
        <v>Tarjeta de Crédito</v>
      </c>
      <c r="N561" s="20" t="str">
        <f t="shared" si="2"/>
        <v>2024 03</v>
      </c>
    </row>
    <row r="562" ht="22.5" customHeight="1">
      <c r="A562" s="12">
        <f>IFERROR(__xludf.DUMMYFUNCTION("""COMPUTED_VALUE"""),2524.0)</f>
        <v>2524</v>
      </c>
      <c r="B562" s="13">
        <f>IFERROR(__xludf.DUMMYFUNCTION("""COMPUTED_VALUE"""),45363.0)</f>
        <v>45363</v>
      </c>
      <c r="C562" s="12">
        <f>IFERROR(__xludf.DUMMYFUNCTION("""COMPUTED_VALUE"""),117.0)</f>
        <v>117</v>
      </c>
      <c r="D562" s="12">
        <f>IFERROR(__xludf.DUMMYFUNCTION("""COMPUTED_VALUE"""),9.0)</f>
        <v>9</v>
      </c>
      <c r="E562" s="12">
        <f>IFERROR(__xludf.DUMMYFUNCTION("""COMPUTED_VALUE"""),2.0)</f>
        <v>2</v>
      </c>
      <c r="F562" s="12">
        <f>IFERROR(__xludf.DUMMYFUNCTION("""COMPUTED_VALUE"""),3.0)</f>
        <v>3</v>
      </c>
      <c r="G562" s="15" t="str">
        <f>IFERROR(__xludf.DUMMYFUNCTION("""COMPUTED_VALUE"""),"Pendiente")</f>
        <v>Pendiente</v>
      </c>
      <c r="H562" s="16" t="str">
        <f t="array" ref="H562">_xlfn.XLOOKUP(D562,Productos[ID_Producto],Productos[Nombre_Producto])</f>
        <v>Pollo</v>
      </c>
      <c r="I562" s="17">
        <f t="array" ref="I562">_xlfn.XLOOKUP(D562,Productos[ID_Producto],Productos[Precio_Unitario])</f>
        <v>18.56</v>
      </c>
      <c r="J562" s="17">
        <f t="shared" si="1"/>
        <v>37.12</v>
      </c>
      <c r="K562" s="16" t="str">
        <f t="array" ref="K562">_xlfn.XLOOKUP(C562,Clientes[ID_Cliente],Clientes[Provincia])</f>
        <v>Salta</v>
      </c>
      <c r="L562" s="16" t="str">
        <f t="array" ref="L562">CONCATENATE(_xlfn.XLOOKUP(C562,Clientes[ID_Cliente],Clientes[Provincia]),", Argentina")</f>
        <v>Salta, Argentina</v>
      </c>
      <c r="M562" s="20" t="str">
        <f t="array" ref="M562">_xlfn.XLOOKUP(F562,Metodos_De_Pago[ID_Metodo],Metodos_De_Pago[Metodo])</f>
        <v>Tarjeta de Débito</v>
      </c>
      <c r="N562" s="20" t="str">
        <f t="shared" si="2"/>
        <v>2024 03</v>
      </c>
    </row>
    <row r="563" ht="22.5" customHeight="1">
      <c r="A563" s="12">
        <f>IFERROR(__xludf.DUMMYFUNCTION("""COMPUTED_VALUE"""),705.0)</f>
        <v>705</v>
      </c>
      <c r="B563" s="13">
        <f>IFERROR(__xludf.DUMMYFUNCTION("""COMPUTED_VALUE"""),45365.0)</f>
        <v>45365</v>
      </c>
      <c r="C563" s="12">
        <f>IFERROR(__xludf.DUMMYFUNCTION("""COMPUTED_VALUE"""),185.0)</f>
        <v>185</v>
      </c>
      <c r="D563" s="12">
        <f>IFERROR(__xludf.DUMMYFUNCTION("""COMPUTED_VALUE"""),17.0)</f>
        <v>17</v>
      </c>
      <c r="E563" s="12">
        <f>IFERROR(__xludf.DUMMYFUNCTION("""COMPUTED_VALUE"""),2.0)</f>
        <v>2</v>
      </c>
      <c r="F563" s="12">
        <f>IFERROR(__xludf.DUMMYFUNCTION("""COMPUTED_VALUE"""),1.0)</f>
        <v>1</v>
      </c>
      <c r="G563" s="15" t="str">
        <f>IFERROR(__xludf.DUMMYFUNCTION("""COMPUTED_VALUE"""),"Completa")</f>
        <v>Completa</v>
      </c>
      <c r="H563" s="16" t="str">
        <f t="array" ref="H563">_xlfn.XLOOKUP(D563,Productos[ID_Producto],Productos[Nombre_Producto])</f>
        <v>Manzanas</v>
      </c>
      <c r="I563" s="17">
        <f t="array" ref="I563">_xlfn.XLOOKUP(D563,Productos[ID_Producto],Productos[Precio_Unitario])</f>
        <v>6.54</v>
      </c>
      <c r="J563" s="17">
        <f t="shared" si="1"/>
        <v>13.08</v>
      </c>
      <c r="K563" s="16" t="str">
        <f t="array" ref="K563">_xlfn.XLOOKUP(C563,Clientes[ID_Cliente],Clientes[Provincia])</f>
        <v>Córdoba</v>
      </c>
      <c r="L563" s="16" t="str">
        <f t="array" ref="L563">CONCATENATE(_xlfn.XLOOKUP(C563,Clientes[ID_Cliente],Clientes[Provincia]),", Argentina")</f>
        <v>Córdoba, Argentina</v>
      </c>
      <c r="M563" s="20" t="str">
        <f t="array" ref="M563">_xlfn.XLOOKUP(F563,Metodos_De_Pago[ID_Metodo],Metodos_De_Pago[Metodo])</f>
        <v>Efectivo</v>
      </c>
      <c r="N563" s="20" t="str">
        <f t="shared" si="2"/>
        <v>2024 03</v>
      </c>
    </row>
    <row r="564" ht="22.5" customHeight="1">
      <c r="A564" s="12">
        <f>IFERROR(__xludf.DUMMYFUNCTION("""COMPUTED_VALUE"""),817.0)</f>
        <v>817</v>
      </c>
      <c r="B564" s="13">
        <f>IFERROR(__xludf.DUMMYFUNCTION("""COMPUTED_VALUE"""),45366.0)</f>
        <v>45366</v>
      </c>
      <c r="C564" s="12">
        <f>IFERROR(__xludf.DUMMYFUNCTION("""COMPUTED_VALUE"""),31.0)</f>
        <v>31</v>
      </c>
      <c r="D564" s="12">
        <f>IFERROR(__xludf.DUMMYFUNCTION("""COMPUTED_VALUE"""),3.0)</f>
        <v>3</v>
      </c>
      <c r="E564" s="12">
        <f>IFERROR(__xludf.DUMMYFUNCTION("""COMPUTED_VALUE"""),2.0)</f>
        <v>2</v>
      </c>
      <c r="F564" s="12">
        <f>IFERROR(__xludf.DUMMYFUNCTION("""COMPUTED_VALUE"""),4.0)</f>
        <v>4</v>
      </c>
      <c r="G564" s="15" t="str">
        <f>IFERROR(__xludf.DUMMYFUNCTION("""COMPUTED_VALUE"""),"Completa")</f>
        <v>Completa</v>
      </c>
      <c r="H564" s="16" t="str">
        <f t="array" ref="H564">_xlfn.XLOOKUP(D564,Productos[ID_Producto],Productos[Nombre_Producto])</f>
        <v>Queso cremoso</v>
      </c>
      <c r="I564" s="17">
        <f t="array" ref="I564">_xlfn.XLOOKUP(D564,Productos[ID_Producto],Productos[Precio_Unitario])</f>
        <v>17.23</v>
      </c>
      <c r="J564" s="17">
        <f t="shared" si="1"/>
        <v>34.46</v>
      </c>
      <c r="K564" s="16" t="str">
        <f t="array" ref="K564">_xlfn.XLOOKUP(C564,Clientes[ID_Cliente],Clientes[Provincia])</f>
        <v>Córdoba</v>
      </c>
      <c r="L564" s="16" t="str">
        <f t="array" ref="L564">CONCATENATE(_xlfn.XLOOKUP(C564,Clientes[ID_Cliente],Clientes[Provincia]),", Argentina")</f>
        <v>Córdoba, Argentina</v>
      </c>
      <c r="M564" s="20" t="str">
        <f t="array" ref="M564">_xlfn.XLOOKUP(F564,Metodos_De_Pago[ID_Metodo],Metodos_De_Pago[Metodo])</f>
        <v>Mercado Pago</v>
      </c>
      <c r="N564" s="20" t="str">
        <f t="shared" si="2"/>
        <v>2024 03</v>
      </c>
    </row>
    <row r="565" ht="22.5" customHeight="1">
      <c r="A565" s="12">
        <f>IFERROR(__xludf.DUMMYFUNCTION("""COMPUTED_VALUE"""),1622.0)</f>
        <v>1622</v>
      </c>
      <c r="B565" s="13">
        <f>IFERROR(__xludf.DUMMYFUNCTION("""COMPUTED_VALUE"""),45366.0)</f>
        <v>45366</v>
      </c>
      <c r="C565" s="12">
        <f>IFERROR(__xludf.DUMMYFUNCTION("""COMPUTED_VALUE"""),211.0)</f>
        <v>211</v>
      </c>
      <c r="D565" s="12">
        <f>IFERROR(__xludf.DUMMYFUNCTION("""COMPUTED_VALUE"""),16.0)</f>
        <v>16</v>
      </c>
      <c r="E565" s="12">
        <f>IFERROR(__xludf.DUMMYFUNCTION("""COMPUTED_VALUE"""),2.0)</f>
        <v>2</v>
      </c>
      <c r="F565" s="12">
        <f>IFERROR(__xludf.DUMMYFUNCTION("""COMPUTED_VALUE"""),5.0)</f>
        <v>5</v>
      </c>
      <c r="G565" s="15" t="str">
        <f>IFERROR(__xludf.DUMMYFUNCTION("""COMPUTED_VALUE"""),"Completa")</f>
        <v>Completa</v>
      </c>
      <c r="H565" s="16" t="str">
        <f t="array" ref="H565">_xlfn.XLOOKUP(D565,Productos[ID_Producto],Productos[Nombre_Producto])</f>
        <v>Tortas</v>
      </c>
      <c r="I565" s="17">
        <f t="array" ref="I565">_xlfn.XLOOKUP(D565,Productos[ID_Producto],Productos[Precio_Unitario])</f>
        <v>15.23</v>
      </c>
      <c r="J565" s="17">
        <f t="shared" si="1"/>
        <v>30.46</v>
      </c>
      <c r="K565" s="16" t="str">
        <f t="array" ref="K565">_xlfn.XLOOKUP(C565,Clientes[ID_Cliente],Clientes[Provincia])</f>
        <v>Córdoba</v>
      </c>
      <c r="L565" s="16" t="str">
        <f t="array" ref="L565">CONCATENATE(_xlfn.XLOOKUP(C565,Clientes[ID_Cliente],Clientes[Provincia]),", Argentina")</f>
        <v>Córdoba, Argentina</v>
      </c>
      <c r="M565" s="20" t="str">
        <f t="array" ref="M565">_xlfn.XLOOKUP(F565,Metodos_De_Pago[ID_Metodo],Metodos_De_Pago[Metodo])</f>
        <v>Transferencia</v>
      </c>
      <c r="N565" s="20" t="str">
        <f t="shared" si="2"/>
        <v>2024 03</v>
      </c>
    </row>
    <row r="566" ht="22.5" customHeight="1">
      <c r="A566" s="12">
        <f>IFERROR(__xludf.DUMMYFUNCTION("""COMPUTED_VALUE"""),1111.0)</f>
        <v>1111</v>
      </c>
      <c r="B566" s="13">
        <f>IFERROR(__xludf.DUMMYFUNCTION("""COMPUTED_VALUE"""),45367.0)</f>
        <v>45367</v>
      </c>
      <c r="C566" s="12">
        <f>IFERROR(__xludf.DUMMYFUNCTION("""COMPUTED_VALUE"""),65.0)</f>
        <v>65</v>
      </c>
      <c r="D566" s="12">
        <f>IFERROR(__xludf.DUMMYFUNCTION("""COMPUTED_VALUE"""),16.0)</f>
        <v>16</v>
      </c>
      <c r="E566" s="12">
        <f>IFERROR(__xludf.DUMMYFUNCTION("""COMPUTED_VALUE"""),2.0)</f>
        <v>2</v>
      </c>
      <c r="F566" s="12">
        <f>IFERROR(__xludf.DUMMYFUNCTION("""COMPUTED_VALUE"""),3.0)</f>
        <v>3</v>
      </c>
      <c r="G566" s="15" t="str">
        <f>IFERROR(__xludf.DUMMYFUNCTION("""COMPUTED_VALUE"""),"Completa")</f>
        <v>Completa</v>
      </c>
      <c r="H566" s="16" t="str">
        <f t="array" ref="H566">_xlfn.XLOOKUP(D566,Productos[ID_Producto],Productos[Nombre_Producto])</f>
        <v>Tortas</v>
      </c>
      <c r="I566" s="17">
        <f t="array" ref="I566">_xlfn.XLOOKUP(D566,Productos[ID_Producto],Productos[Precio_Unitario])</f>
        <v>15.23</v>
      </c>
      <c r="J566" s="17">
        <f t="shared" si="1"/>
        <v>30.46</v>
      </c>
      <c r="K566" s="16" t="str">
        <f t="array" ref="K566">_xlfn.XLOOKUP(C566,Clientes[ID_Cliente],Clientes[Provincia])</f>
        <v>Buenos Aires</v>
      </c>
      <c r="L566" s="16" t="str">
        <f t="array" ref="L566">CONCATENATE(_xlfn.XLOOKUP(C566,Clientes[ID_Cliente],Clientes[Provincia]),", Argentina")</f>
        <v>Buenos Aires, Argentina</v>
      </c>
      <c r="M566" s="20" t="str">
        <f t="array" ref="M566">_xlfn.XLOOKUP(F566,Metodos_De_Pago[ID_Metodo],Metodos_De_Pago[Metodo])</f>
        <v>Tarjeta de Débito</v>
      </c>
      <c r="N566" s="20" t="str">
        <f t="shared" si="2"/>
        <v>2024 03</v>
      </c>
    </row>
    <row r="567" ht="22.5" customHeight="1">
      <c r="A567" s="12">
        <f>IFERROR(__xludf.DUMMYFUNCTION("""COMPUTED_VALUE"""),827.0)</f>
        <v>827</v>
      </c>
      <c r="B567" s="13">
        <f>IFERROR(__xludf.DUMMYFUNCTION("""COMPUTED_VALUE"""),45368.0)</f>
        <v>45368</v>
      </c>
      <c r="C567" s="12">
        <f>IFERROR(__xludf.DUMMYFUNCTION("""COMPUTED_VALUE"""),246.0)</f>
        <v>246</v>
      </c>
      <c r="D567" s="12">
        <f>IFERROR(__xludf.DUMMYFUNCTION("""COMPUTED_VALUE"""),8.0)</f>
        <v>8</v>
      </c>
      <c r="E567" s="12">
        <f>IFERROR(__xludf.DUMMYFUNCTION("""COMPUTED_VALUE"""),2.0)</f>
        <v>2</v>
      </c>
      <c r="F567" s="12">
        <f>IFERROR(__xludf.DUMMYFUNCTION("""COMPUTED_VALUE"""),5.0)</f>
        <v>5</v>
      </c>
      <c r="G567" s="15" t="str">
        <f>IFERROR(__xludf.DUMMYFUNCTION("""COMPUTED_VALUE"""),"Completa")</f>
        <v>Completa</v>
      </c>
      <c r="H567" s="16" t="str">
        <f t="array" ref="H567">_xlfn.XLOOKUP(D567,Productos[ID_Producto],Productos[Nombre_Producto])</f>
        <v>Milanesa</v>
      </c>
      <c r="I567" s="17">
        <f t="array" ref="I567">_xlfn.XLOOKUP(D567,Productos[ID_Producto],Productos[Precio_Unitario])</f>
        <v>16.21</v>
      </c>
      <c r="J567" s="17">
        <f t="shared" si="1"/>
        <v>32.42</v>
      </c>
      <c r="K567" s="16" t="str">
        <f t="array" ref="K567">_xlfn.XLOOKUP(C567,Clientes[ID_Cliente],Clientes[Provincia])</f>
        <v>Chaco</v>
      </c>
      <c r="L567" s="16" t="str">
        <f t="array" ref="L567">CONCATENATE(_xlfn.XLOOKUP(C567,Clientes[ID_Cliente],Clientes[Provincia]),", Argentina")</f>
        <v>Chaco, Argentina</v>
      </c>
      <c r="M567" s="20" t="str">
        <f t="array" ref="M567">_xlfn.XLOOKUP(F567,Metodos_De_Pago[ID_Metodo],Metodos_De_Pago[Metodo])</f>
        <v>Transferencia</v>
      </c>
      <c r="N567" s="20" t="str">
        <f t="shared" si="2"/>
        <v>2024 03</v>
      </c>
    </row>
    <row r="568" ht="22.5" customHeight="1">
      <c r="A568" s="12">
        <f>IFERROR(__xludf.DUMMYFUNCTION("""COMPUTED_VALUE"""),1545.0)</f>
        <v>1545</v>
      </c>
      <c r="B568" s="13">
        <f>IFERROR(__xludf.DUMMYFUNCTION("""COMPUTED_VALUE"""),45369.0)</f>
        <v>45369</v>
      </c>
      <c r="C568" s="12">
        <f>IFERROR(__xludf.DUMMYFUNCTION("""COMPUTED_VALUE"""),8.0)</f>
        <v>8</v>
      </c>
      <c r="D568" s="12">
        <f>IFERROR(__xludf.DUMMYFUNCTION("""COMPUTED_VALUE"""),19.0)</f>
        <v>19</v>
      </c>
      <c r="E568" s="12">
        <f>IFERROR(__xludf.DUMMYFUNCTION("""COMPUTED_VALUE"""),2.0)</f>
        <v>2</v>
      </c>
      <c r="F568" s="12">
        <f>IFERROR(__xludf.DUMMYFUNCTION("""COMPUTED_VALUE"""),1.0)</f>
        <v>1</v>
      </c>
      <c r="G568" s="15" t="str">
        <f>IFERROR(__xludf.DUMMYFUNCTION("""COMPUTED_VALUE"""),"Completa")</f>
        <v>Completa</v>
      </c>
      <c r="H568" s="16" t="str">
        <f t="array" ref="H568">_xlfn.XLOOKUP(D568,Productos[ID_Producto],Productos[Nombre_Producto])</f>
        <v>Tomates</v>
      </c>
      <c r="I568" s="17">
        <f t="array" ref="I568">_xlfn.XLOOKUP(D568,Productos[ID_Producto],Productos[Precio_Unitario])</f>
        <v>6.54</v>
      </c>
      <c r="J568" s="17">
        <f t="shared" si="1"/>
        <v>13.08</v>
      </c>
      <c r="K568" s="16" t="str">
        <f t="array" ref="K568">_xlfn.XLOOKUP(C568,Clientes[ID_Cliente],Clientes[Provincia])</f>
        <v>Buenos Aires</v>
      </c>
      <c r="L568" s="16" t="str">
        <f t="array" ref="L568">CONCATENATE(_xlfn.XLOOKUP(C568,Clientes[ID_Cliente],Clientes[Provincia]),", Argentina")</f>
        <v>Buenos Aires, Argentina</v>
      </c>
      <c r="M568" s="20" t="str">
        <f t="array" ref="M568">_xlfn.XLOOKUP(F568,Metodos_De_Pago[ID_Metodo],Metodos_De_Pago[Metodo])</f>
        <v>Efectivo</v>
      </c>
      <c r="N568" s="20" t="str">
        <f t="shared" si="2"/>
        <v>2024 03</v>
      </c>
    </row>
    <row r="569" ht="22.5" customHeight="1">
      <c r="A569" s="12">
        <f>IFERROR(__xludf.DUMMYFUNCTION("""COMPUTED_VALUE"""),2981.0)</f>
        <v>2981</v>
      </c>
      <c r="B569" s="13">
        <f>IFERROR(__xludf.DUMMYFUNCTION("""COMPUTED_VALUE"""),45369.0)</f>
        <v>45369</v>
      </c>
      <c r="C569" s="12">
        <f>IFERROR(__xludf.DUMMYFUNCTION("""COMPUTED_VALUE"""),36.0)</f>
        <v>36</v>
      </c>
      <c r="D569" s="12">
        <f>IFERROR(__xludf.DUMMYFUNCTION("""COMPUTED_VALUE"""),11.0)</f>
        <v>11</v>
      </c>
      <c r="E569" s="12">
        <f>IFERROR(__xludf.DUMMYFUNCTION("""COMPUTED_VALUE"""),2.0)</f>
        <v>2</v>
      </c>
      <c r="F569" s="12">
        <f>IFERROR(__xludf.DUMMYFUNCTION("""COMPUTED_VALUE"""),4.0)</f>
        <v>4</v>
      </c>
      <c r="G569" s="15" t="str">
        <f>IFERROR(__xludf.DUMMYFUNCTION("""COMPUTED_VALUE"""),"Completa")</f>
        <v>Completa</v>
      </c>
      <c r="H569" s="16" t="str">
        <f t="array" ref="H569">_xlfn.XLOOKUP(D569,Productos[ID_Producto],Productos[Nombre_Producto])</f>
        <v>Salchicha</v>
      </c>
      <c r="I569" s="17">
        <f t="array" ref="I569">_xlfn.XLOOKUP(D569,Productos[ID_Producto],Productos[Precio_Unitario])</f>
        <v>11.23</v>
      </c>
      <c r="J569" s="17">
        <f t="shared" si="1"/>
        <v>22.46</v>
      </c>
      <c r="K569" s="16" t="str">
        <f t="array" ref="K569">_xlfn.XLOOKUP(C569,Clientes[ID_Cliente],Clientes[Provincia])</f>
        <v>Buenos Aires</v>
      </c>
      <c r="L569" s="16" t="str">
        <f t="array" ref="L569">CONCATENATE(_xlfn.XLOOKUP(C569,Clientes[ID_Cliente],Clientes[Provincia]),", Argentina")</f>
        <v>Buenos Aires, Argentina</v>
      </c>
      <c r="M569" s="20" t="str">
        <f t="array" ref="M569">_xlfn.XLOOKUP(F569,Metodos_De_Pago[ID_Metodo],Metodos_De_Pago[Metodo])</f>
        <v>Mercado Pago</v>
      </c>
      <c r="N569" s="20" t="str">
        <f t="shared" si="2"/>
        <v>2024 03</v>
      </c>
    </row>
    <row r="570" ht="22.5" customHeight="1">
      <c r="A570" s="12">
        <f>IFERROR(__xludf.DUMMYFUNCTION("""COMPUTED_VALUE"""),44.0)</f>
        <v>44</v>
      </c>
      <c r="B570" s="13">
        <f>IFERROR(__xludf.DUMMYFUNCTION("""COMPUTED_VALUE"""),45370.0)</f>
        <v>45370</v>
      </c>
      <c r="C570" s="12">
        <f>IFERROR(__xludf.DUMMYFUNCTION("""COMPUTED_VALUE"""),122.0)</f>
        <v>122</v>
      </c>
      <c r="D570" s="12">
        <f>IFERROR(__xludf.DUMMYFUNCTION("""COMPUTED_VALUE"""),30.0)</f>
        <v>30</v>
      </c>
      <c r="E570" s="12">
        <f>IFERROR(__xludf.DUMMYFUNCTION("""COMPUTED_VALUE"""),2.0)</f>
        <v>2</v>
      </c>
      <c r="F570" s="12">
        <f>IFERROR(__xludf.DUMMYFUNCTION("""COMPUTED_VALUE"""),4.0)</f>
        <v>4</v>
      </c>
      <c r="G570" s="15" t="str">
        <f>IFERROR(__xludf.DUMMYFUNCTION("""COMPUTED_VALUE"""),"Completa")</f>
        <v>Completa</v>
      </c>
      <c r="H570" s="16" t="str">
        <f t="array" ref="H570">_xlfn.XLOOKUP(D570,Productos[ID_Producto],Productos[Nombre_Producto])</f>
        <v>Vino tinto</v>
      </c>
      <c r="I570" s="17">
        <f t="array" ref="I570">_xlfn.XLOOKUP(D570,Productos[ID_Producto],Productos[Precio_Unitario])</f>
        <v>13.54</v>
      </c>
      <c r="J570" s="17">
        <f t="shared" si="1"/>
        <v>27.08</v>
      </c>
      <c r="K570" s="16" t="str">
        <f t="array" ref="K570">_xlfn.XLOOKUP(C570,Clientes[ID_Cliente],Clientes[Provincia])</f>
        <v>Córdoba</v>
      </c>
      <c r="L570" s="16" t="str">
        <f t="array" ref="L570">CONCATENATE(_xlfn.XLOOKUP(C570,Clientes[ID_Cliente],Clientes[Provincia]),", Argentina")</f>
        <v>Córdoba, Argentina</v>
      </c>
      <c r="M570" s="20" t="str">
        <f t="array" ref="M570">_xlfn.XLOOKUP(F570,Metodos_De_Pago[ID_Metodo],Metodos_De_Pago[Metodo])</f>
        <v>Mercado Pago</v>
      </c>
      <c r="N570" s="20" t="str">
        <f t="shared" si="2"/>
        <v>2024 03</v>
      </c>
    </row>
    <row r="571" ht="22.5" customHeight="1">
      <c r="A571" s="12">
        <f>IFERROR(__xludf.DUMMYFUNCTION("""COMPUTED_VALUE"""),1777.0)</f>
        <v>1777</v>
      </c>
      <c r="B571" s="13">
        <f>IFERROR(__xludf.DUMMYFUNCTION("""COMPUTED_VALUE"""),45370.0)</f>
        <v>45370</v>
      </c>
      <c r="C571" s="12">
        <f>IFERROR(__xludf.DUMMYFUNCTION("""COMPUTED_VALUE"""),113.0)</f>
        <v>113</v>
      </c>
      <c r="D571" s="12">
        <f>IFERROR(__xludf.DUMMYFUNCTION("""COMPUTED_VALUE"""),3.0)</f>
        <v>3</v>
      </c>
      <c r="E571" s="12">
        <f>IFERROR(__xludf.DUMMYFUNCTION("""COMPUTED_VALUE"""),2.0)</f>
        <v>2</v>
      </c>
      <c r="F571" s="12">
        <f>IFERROR(__xludf.DUMMYFUNCTION("""COMPUTED_VALUE"""),5.0)</f>
        <v>5</v>
      </c>
      <c r="G571" s="15" t="str">
        <f>IFERROR(__xludf.DUMMYFUNCTION("""COMPUTED_VALUE"""),"Completa")</f>
        <v>Completa</v>
      </c>
      <c r="H571" s="16" t="str">
        <f t="array" ref="H571">_xlfn.XLOOKUP(D571,Productos[ID_Producto],Productos[Nombre_Producto])</f>
        <v>Queso cremoso</v>
      </c>
      <c r="I571" s="17">
        <f t="array" ref="I571">_xlfn.XLOOKUP(D571,Productos[ID_Producto],Productos[Precio_Unitario])</f>
        <v>17.23</v>
      </c>
      <c r="J571" s="17">
        <f t="shared" si="1"/>
        <v>34.46</v>
      </c>
      <c r="K571" s="16" t="str">
        <f t="array" ref="K571">_xlfn.XLOOKUP(C571,Clientes[ID_Cliente],Clientes[Provincia])</f>
        <v>Buenos Aires</v>
      </c>
      <c r="L571" s="16" t="str">
        <f t="array" ref="L571">CONCATENATE(_xlfn.XLOOKUP(C571,Clientes[ID_Cliente],Clientes[Provincia]),", Argentina")</f>
        <v>Buenos Aires, Argentina</v>
      </c>
      <c r="M571" s="20" t="str">
        <f t="array" ref="M571">_xlfn.XLOOKUP(F571,Metodos_De_Pago[ID_Metodo],Metodos_De_Pago[Metodo])</f>
        <v>Transferencia</v>
      </c>
      <c r="N571" s="20" t="str">
        <f t="shared" si="2"/>
        <v>2024 03</v>
      </c>
    </row>
    <row r="572" ht="22.5" customHeight="1">
      <c r="A572" s="12">
        <f>IFERROR(__xludf.DUMMYFUNCTION("""COMPUTED_VALUE"""),1130.0)</f>
        <v>1130</v>
      </c>
      <c r="B572" s="13">
        <f>IFERROR(__xludf.DUMMYFUNCTION("""COMPUTED_VALUE"""),45371.0)</f>
        <v>45371</v>
      </c>
      <c r="C572" s="12">
        <f>IFERROR(__xludf.DUMMYFUNCTION("""COMPUTED_VALUE"""),213.0)</f>
        <v>213</v>
      </c>
      <c r="D572" s="12">
        <f>IFERROR(__xludf.DUMMYFUNCTION("""COMPUTED_VALUE"""),4.0)</f>
        <v>4</v>
      </c>
      <c r="E572" s="12">
        <f>IFERROR(__xludf.DUMMYFUNCTION("""COMPUTED_VALUE"""),2.0)</f>
        <v>2</v>
      </c>
      <c r="F572" s="12">
        <f>IFERROR(__xludf.DUMMYFUNCTION("""COMPUTED_VALUE"""),2.0)</f>
        <v>2</v>
      </c>
      <c r="G572" s="15" t="str">
        <f>IFERROR(__xludf.DUMMYFUNCTION("""COMPUTED_VALUE"""),"Completa")</f>
        <v>Completa</v>
      </c>
      <c r="H572" s="16" t="str">
        <f t="array" ref="H572">_xlfn.XLOOKUP(D572,Productos[ID_Producto],Productos[Nombre_Producto])</f>
        <v>Queso rallado</v>
      </c>
      <c r="I572" s="17">
        <f t="array" ref="I572">_xlfn.XLOOKUP(D572,Productos[ID_Producto],Productos[Precio_Unitario])</f>
        <v>19.23</v>
      </c>
      <c r="J572" s="17">
        <f t="shared" si="1"/>
        <v>38.46</v>
      </c>
      <c r="K572" s="16" t="str">
        <f t="array" ref="K572">_xlfn.XLOOKUP(C572,Clientes[ID_Cliente],Clientes[Provincia])</f>
        <v>Córdoba</v>
      </c>
      <c r="L572" s="16" t="str">
        <f t="array" ref="L572">CONCATENATE(_xlfn.XLOOKUP(C572,Clientes[ID_Cliente],Clientes[Provincia]),", Argentina")</f>
        <v>Córdoba, Argentina</v>
      </c>
      <c r="M572" s="20" t="str">
        <f t="array" ref="M572">_xlfn.XLOOKUP(F572,Metodos_De_Pago[ID_Metodo],Metodos_De_Pago[Metodo])</f>
        <v>Tarjeta de Crédito</v>
      </c>
      <c r="N572" s="20" t="str">
        <f t="shared" si="2"/>
        <v>2024 03</v>
      </c>
    </row>
    <row r="573" ht="22.5" customHeight="1">
      <c r="A573" s="12">
        <f>IFERROR(__xludf.DUMMYFUNCTION("""COMPUTED_VALUE"""),1903.0)</f>
        <v>1903</v>
      </c>
      <c r="B573" s="13">
        <f>IFERROR(__xludf.DUMMYFUNCTION("""COMPUTED_VALUE"""),45371.0)</f>
        <v>45371</v>
      </c>
      <c r="C573" s="12">
        <f>IFERROR(__xludf.DUMMYFUNCTION("""COMPUTED_VALUE"""),278.0)</f>
        <v>278</v>
      </c>
      <c r="D573" s="12">
        <f>IFERROR(__xludf.DUMMYFUNCTION("""COMPUTED_VALUE"""),33.0)</f>
        <v>33</v>
      </c>
      <c r="E573" s="12">
        <f>IFERROR(__xludf.DUMMYFUNCTION("""COMPUTED_VALUE"""),2.0)</f>
        <v>2</v>
      </c>
      <c r="F573" s="12">
        <f>IFERROR(__xludf.DUMMYFUNCTION("""COMPUTED_VALUE"""),5.0)</f>
        <v>5</v>
      </c>
      <c r="G573" s="15" t="str">
        <f>IFERROR(__xludf.DUMMYFUNCTION("""COMPUTED_VALUE"""),"Completa")</f>
        <v>Completa</v>
      </c>
      <c r="H573" s="16" t="str">
        <f t="array" ref="H573">_xlfn.XLOOKUP(D573,Productos[ID_Producto],Productos[Nombre_Producto])</f>
        <v>Papas chips</v>
      </c>
      <c r="I573" s="17">
        <f t="array" ref="I573">_xlfn.XLOOKUP(D573,Productos[ID_Producto],Productos[Precio_Unitario])</f>
        <v>8.54</v>
      </c>
      <c r="J573" s="17">
        <f t="shared" si="1"/>
        <v>17.08</v>
      </c>
      <c r="K573" s="16" t="str">
        <f t="array" ref="K573">_xlfn.XLOOKUP(C573,Clientes[ID_Cliente],Clientes[Provincia])</f>
        <v>Córdoba</v>
      </c>
      <c r="L573" s="16" t="str">
        <f t="array" ref="L573">CONCATENATE(_xlfn.XLOOKUP(C573,Clientes[ID_Cliente],Clientes[Provincia]),", Argentina")</f>
        <v>Córdoba, Argentina</v>
      </c>
      <c r="M573" s="20" t="str">
        <f t="array" ref="M573">_xlfn.XLOOKUP(F573,Metodos_De_Pago[ID_Metodo],Metodos_De_Pago[Metodo])</f>
        <v>Transferencia</v>
      </c>
      <c r="N573" s="20" t="str">
        <f t="shared" si="2"/>
        <v>2024 03</v>
      </c>
    </row>
    <row r="574" ht="22.5" customHeight="1">
      <c r="A574" s="12">
        <f>IFERROR(__xludf.DUMMYFUNCTION("""COMPUTED_VALUE"""),1984.0)</f>
        <v>1984</v>
      </c>
      <c r="B574" s="13">
        <f>IFERROR(__xludf.DUMMYFUNCTION("""COMPUTED_VALUE"""),45371.0)</f>
        <v>45371</v>
      </c>
      <c r="C574" s="12">
        <f>IFERROR(__xludf.DUMMYFUNCTION("""COMPUTED_VALUE"""),321.0)</f>
        <v>321</v>
      </c>
      <c r="D574" s="12">
        <f>IFERROR(__xludf.DUMMYFUNCTION("""COMPUTED_VALUE"""),38.0)</f>
        <v>38</v>
      </c>
      <c r="E574" s="12">
        <f>IFERROR(__xludf.DUMMYFUNCTION("""COMPUTED_VALUE"""),2.0)</f>
        <v>2</v>
      </c>
      <c r="F574" s="12">
        <f>IFERROR(__xludf.DUMMYFUNCTION("""COMPUTED_VALUE"""),1.0)</f>
        <v>1</v>
      </c>
      <c r="G574" s="15" t="str">
        <f>IFERROR(__xludf.DUMMYFUNCTION("""COMPUTED_VALUE"""),"Pendiente")</f>
        <v>Pendiente</v>
      </c>
      <c r="H574" s="16" t="str">
        <f t="array" ref="H574">_xlfn.XLOOKUP(D574,Productos[ID_Producto],Productos[Nombre_Producto])</f>
        <v>Atún enlatado</v>
      </c>
      <c r="I574" s="17">
        <f t="array" ref="I574">_xlfn.XLOOKUP(D574,Productos[ID_Producto],Productos[Precio_Unitario])</f>
        <v>6.21</v>
      </c>
      <c r="J574" s="17">
        <f t="shared" si="1"/>
        <v>12.42</v>
      </c>
      <c r="K574" s="16" t="str">
        <f t="array" ref="K574">_xlfn.XLOOKUP(C574,Clientes[ID_Cliente],Clientes[Provincia])</f>
        <v>San Luis</v>
      </c>
      <c r="L574" s="16" t="str">
        <f t="array" ref="L574">CONCATENATE(_xlfn.XLOOKUP(C574,Clientes[ID_Cliente],Clientes[Provincia]),", Argentina")</f>
        <v>San Luis, Argentina</v>
      </c>
      <c r="M574" s="20" t="str">
        <f t="array" ref="M574">_xlfn.XLOOKUP(F574,Metodos_De_Pago[ID_Metodo],Metodos_De_Pago[Metodo])</f>
        <v>Efectivo</v>
      </c>
      <c r="N574" s="20" t="str">
        <f t="shared" si="2"/>
        <v>2024 03</v>
      </c>
    </row>
    <row r="575" ht="22.5" customHeight="1">
      <c r="A575" s="12">
        <f>IFERROR(__xludf.DUMMYFUNCTION("""COMPUTED_VALUE"""),2243.0)</f>
        <v>2243</v>
      </c>
      <c r="B575" s="13">
        <f>IFERROR(__xludf.DUMMYFUNCTION("""COMPUTED_VALUE"""),45372.0)</f>
        <v>45372</v>
      </c>
      <c r="C575" s="12">
        <f>IFERROR(__xludf.DUMMYFUNCTION("""COMPUTED_VALUE"""),326.0)</f>
        <v>326</v>
      </c>
      <c r="D575" s="12">
        <f>IFERROR(__xludf.DUMMYFUNCTION("""COMPUTED_VALUE"""),18.0)</f>
        <v>18</v>
      </c>
      <c r="E575" s="12">
        <f>IFERROR(__xludf.DUMMYFUNCTION("""COMPUTED_VALUE"""),2.0)</f>
        <v>2</v>
      </c>
      <c r="F575" s="12">
        <f>IFERROR(__xludf.DUMMYFUNCTION("""COMPUTED_VALUE"""),2.0)</f>
        <v>2</v>
      </c>
      <c r="G575" s="15" t="str">
        <f>IFERROR(__xludf.DUMMYFUNCTION("""COMPUTED_VALUE"""),"Completa")</f>
        <v>Completa</v>
      </c>
      <c r="H575" s="16" t="str">
        <f t="array" ref="H575">_xlfn.XLOOKUP(D575,Productos[ID_Producto],Productos[Nombre_Producto])</f>
        <v>Bananas</v>
      </c>
      <c r="I575" s="17">
        <f t="array" ref="I575">_xlfn.XLOOKUP(D575,Productos[ID_Producto],Productos[Precio_Unitario])</f>
        <v>7.25</v>
      </c>
      <c r="J575" s="17">
        <f t="shared" si="1"/>
        <v>14.5</v>
      </c>
      <c r="K575" s="16" t="str">
        <f t="array" ref="K575">_xlfn.XLOOKUP(C575,Clientes[ID_Cliente],Clientes[Provincia])</f>
        <v>San Luis</v>
      </c>
      <c r="L575" s="16" t="str">
        <f t="array" ref="L575">CONCATENATE(_xlfn.XLOOKUP(C575,Clientes[ID_Cliente],Clientes[Provincia]),", Argentina")</f>
        <v>San Luis, Argentina</v>
      </c>
      <c r="M575" s="20" t="str">
        <f t="array" ref="M575">_xlfn.XLOOKUP(F575,Metodos_De_Pago[ID_Metodo],Metodos_De_Pago[Metodo])</f>
        <v>Tarjeta de Crédito</v>
      </c>
      <c r="N575" s="20" t="str">
        <f t="shared" si="2"/>
        <v>2024 03</v>
      </c>
    </row>
    <row r="576" ht="22.5" customHeight="1">
      <c r="A576" s="12">
        <f>IFERROR(__xludf.DUMMYFUNCTION("""COMPUTED_VALUE"""),2397.0)</f>
        <v>2397</v>
      </c>
      <c r="B576" s="13">
        <f>IFERROR(__xludf.DUMMYFUNCTION("""COMPUTED_VALUE"""),45372.0)</f>
        <v>45372</v>
      </c>
      <c r="C576" s="12">
        <f>IFERROR(__xludf.DUMMYFUNCTION("""COMPUTED_VALUE"""),238.0)</f>
        <v>238</v>
      </c>
      <c r="D576" s="12">
        <f>IFERROR(__xludf.DUMMYFUNCTION("""COMPUTED_VALUE"""),32.0)</f>
        <v>32</v>
      </c>
      <c r="E576" s="12">
        <f>IFERROR(__xludf.DUMMYFUNCTION("""COMPUTED_VALUE"""),2.0)</f>
        <v>2</v>
      </c>
      <c r="F576" s="12">
        <f>IFERROR(__xludf.DUMMYFUNCTION("""COMPUTED_VALUE"""),3.0)</f>
        <v>3</v>
      </c>
      <c r="G576" s="15" t="str">
        <f>IFERROR(__xludf.DUMMYFUNCTION("""COMPUTED_VALUE"""),"Completa")</f>
        <v>Completa</v>
      </c>
      <c r="H576" s="16" t="str">
        <f t="array" ref="H576">_xlfn.XLOOKUP(D576,Productos[ID_Producto],Productos[Nombre_Producto])</f>
        <v>Galletitas de chocolate</v>
      </c>
      <c r="I576" s="17">
        <f t="array" ref="I576">_xlfn.XLOOKUP(D576,Productos[ID_Producto],Productos[Precio_Unitario])</f>
        <v>6.25</v>
      </c>
      <c r="J576" s="17">
        <f t="shared" si="1"/>
        <v>12.5</v>
      </c>
      <c r="K576" s="16" t="str">
        <f t="array" ref="K576">_xlfn.XLOOKUP(C576,Clientes[ID_Cliente],Clientes[Provincia])</f>
        <v>Buenos Aires</v>
      </c>
      <c r="L576" s="16" t="str">
        <f t="array" ref="L576">CONCATENATE(_xlfn.XLOOKUP(C576,Clientes[ID_Cliente],Clientes[Provincia]),", Argentina")</f>
        <v>Buenos Aires, Argentina</v>
      </c>
      <c r="M576" s="20" t="str">
        <f t="array" ref="M576">_xlfn.XLOOKUP(F576,Metodos_De_Pago[ID_Metodo],Metodos_De_Pago[Metodo])</f>
        <v>Tarjeta de Débito</v>
      </c>
      <c r="N576" s="20" t="str">
        <f t="shared" si="2"/>
        <v>2024 03</v>
      </c>
    </row>
    <row r="577" ht="22.5" customHeight="1">
      <c r="A577" s="12">
        <f>IFERROR(__xludf.DUMMYFUNCTION("""COMPUTED_VALUE"""),416.0)</f>
        <v>416</v>
      </c>
      <c r="B577" s="13">
        <f>IFERROR(__xludf.DUMMYFUNCTION("""COMPUTED_VALUE"""),45373.0)</f>
        <v>45373</v>
      </c>
      <c r="C577" s="12">
        <f>IFERROR(__xludf.DUMMYFUNCTION("""COMPUTED_VALUE"""),110.0)</f>
        <v>110</v>
      </c>
      <c r="D577" s="12">
        <f>IFERROR(__xludf.DUMMYFUNCTION("""COMPUTED_VALUE"""),29.0)</f>
        <v>29</v>
      </c>
      <c r="E577" s="12">
        <f>IFERROR(__xludf.DUMMYFUNCTION("""COMPUTED_VALUE"""),2.0)</f>
        <v>2</v>
      </c>
      <c r="F577" s="12">
        <f>IFERROR(__xludf.DUMMYFUNCTION("""COMPUTED_VALUE"""),4.0)</f>
        <v>4</v>
      </c>
      <c r="G577" s="15" t="str">
        <f>IFERROR(__xludf.DUMMYFUNCTION("""COMPUTED_VALUE"""),"Completa")</f>
        <v>Completa</v>
      </c>
      <c r="H577" s="16" t="str">
        <f t="array" ref="H577">_xlfn.XLOOKUP(D577,Productos[ID_Producto],Productos[Nombre_Producto])</f>
        <v>Cerveza</v>
      </c>
      <c r="I577" s="17">
        <f t="array" ref="I577">_xlfn.XLOOKUP(D577,Productos[ID_Producto],Productos[Precio_Unitario])</f>
        <v>11.54</v>
      </c>
      <c r="J577" s="17">
        <f t="shared" si="1"/>
        <v>23.08</v>
      </c>
      <c r="K577" s="16" t="str">
        <f t="array" ref="K577">_xlfn.XLOOKUP(C577,Clientes[ID_Cliente],Clientes[Provincia])</f>
        <v>Chaco</v>
      </c>
      <c r="L577" s="16" t="str">
        <f t="array" ref="L577">CONCATENATE(_xlfn.XLOOKUP(C577,Clientes[ID_Cliente],Clientes[Provincia]),", Argentina")</f>
        <v>Chaco, Argentina</v>
      </c>
      <c r="M577" s="20" t="str">
        <f t="array" ref="M577">_xlfn.XLOOKUP(F577,Metodos_De_Pago[ID_Metodo],Metodos_De_Pago[Metodo])</f>
        <v>Mercado Pago</v>
      </c>
      <c r="N577" s="20" t="str">
        <f t="shared" si="2"/>
        <v>2024 03</v>
      </c>
    </row>
    <row r="578" ht="22.5" customHeight="1">
      <c r="A578" s="12">
        <f>IFERROR(__xludf.DUMMYFUNCTION("""COMPUTED_VALUE"""),1118.0)</f>
        <v>1118</v>
      </c>
      <c r="B578" s="13">
        <f>IFERROR(__xludf.DUMMYFUNCTION("""COMPUTED_VALUE"""),45373.0)</f>
        <v>45373</v>
      </c>
      <c r="C578" s="12">
        <f>IFERROR(__xludf.DUMMYFUNCTION("""COMPUTED_VALUE"""),106.0)</f>
        <v>106</v>
      </c>
      <c r="D578" s="12">
        <f>IFERROR(__xludf.DUMMYFUNCTION("""COMPUTED_VALUE"""),13.0)</f>
        <v>13</v>
      </c>
      <c r="E578" s="12">
        <f>IFERROR(__xludf.DUMMYFUNCTION("""COMPUTED_VALUE"""),2.0)</f>
        <v>2</v>
      </c>
      <c r="F578" s="12">
        <f>IFERROR(__xludf.DUMMYFUNCTION("""COMPUTED_VALUE"""),1.0)</f>
        <v>1</v>
      </c>
      <c r="G578" s="15" t="str">
        <f>IFERROR(__xludf.DUMMYFUNCTION("""COMPUTED_VALUE"""),"Completa")</f>
        <v>Completa</v>
      </c>
      <c r="H578" s="16" t="str">
        <f t="array" ref="H578">_xlfn.XLOOKUP(D578,Productos[ID_Producto],Productos[Nombre_Producto])</f>
        <v>Pan integral</v>
      </c>
      <c r="I578" s="17">
        <f t="array" ref="I578">_xlfn.XLOOKUP(D578,Productos[ID_Producto],Productos[Precio_Unitario])</f>
        <v>12.56</v>
      </c>
      <c r="J578" s="17">
        <f t="shared" si="1"/>
        <v>25.12</v>
      </c>
      <c r="K578" s="16" t="str">
        <f t="array" ref="K578">_xlfn.XLOOKUP(C578,Clientes[ID_Cliente],Clientes[Provincia])</f>
        <v>Chaco</v>
      </c>
      <c r="L578" s="16" t="str">
        <f t="array" ref="L578">CONCATENATE(_xlfn.XLOOKUP(C578,Clientes[ID_Cliente],Clientes[Provincia]),", Argentina")</f>
        <v>Chaco, Argentina</v>
      </c>
      <c r="M578" s="20" t="str">
        <f t="array" ref="M578">_xlfn.XLOOKUP(F578,Metodos_De_Pago[ID_Metodo],Metodos_De_Pago[Metodo])</f>
        <v>Efectivo</v>
      </c>
      <c r="N578" s="20" t="str">
        <f t="shared" si="2"/>
        <v>2024 03</v>
      </c>
    </row>
    <row r="579" ht="22.5" customHeight="1">
      <c r="A579" s="12">
        <f>IFERROR(__xludf.DUMMYFUNCTION("""COMPUTED_VALUE"""),2907.0)</f>
        <v>2907</v>
      </c>
      <c r="B579" s="13">
        <f>IFERROR(__xludf.DUMMYFUNCTION("""COMPUTED_VALUE"""),45373.0)</f>
        <v>45373</v>
      </c>
      <c r="C579" s="12">
        <f>IFERROR(__xludf.DUMMYFUNCTION("""COMPUTED_VALUE"""),207.0)</f>
        <v>207</v>
      </c>
      <c r="D579" s="12">
        <f>IFERROR(__xludf.DUMMYFUNCTION("""COMPUTED_VALUE"""),6.0)</f>
        <v>6</v>
      </c>
      <c r="E579" s="12">
        <f>IFERROR(__xludf.DUMMYFUNCTION("""COMPUTED_VALUE"""),2.0)</f>
        <v>2</v>
      </c>
      <c r="F579" s="12">
        <f>IFERROR(__xludf.DUMMYFUNCTION("""COMPUTED_VALUE"""),3.0)</f>
        <v>3</v>
      </c>
      <c r="G579" s="15" t="str">
        <f>IFERROR(__xludf.DUMMYFUNCTION("""COMPUTED_VALUE"""),"Completa")</f>
        <v>Completa</v>
      </c>
      <c r="H579" s="16" t="str">
        <f t="array" ref="H579">_xlfn.XLOOKUP(D579,Productos[ID_Producto],Productos[Nombre_Producto])</f>
        <v>Asado</v>
      </c>
      <c r="I579" s="17">
        <f t="array" ref="I579">_xlfn.XLOOKUP(D579,Productos[ID_Producto],Productos[Precio_Unitario])</f>
        <v>28.56</v>
      </c>
      <c r="J579" s="17">
        <f t="shared" si="1"/>
        <v>57.12</v>
      </c>
      <c r="K579" s="16" t="str">
        <f t="array" ref="K579">_xlfn.XLOOKUP(C579,Clientes[ID_Cliente],Clientes[Provincia])</f>
        <v>Buenos Aires</v>
      </c>
      <c r="L579" s="16" t="str">
        <f t="array" ref="L579">CONCATENATE(_xlfn.XLOOKUP(C579,Clientes[ID_Cliente],Clientes[Provincia]),", Argentina")</f>
        <v>Buenos Aires, Argentina</v>
      </c>
      <c r="M579" s="20" t="str">
        <f t="array" ref="M579">_xlfn.XLOOKUP(F579,Metodos_De_Pago[ID_Metodo],Metodos_De_Pago[Metodo])</f>
        <v>Tarjeta de Débito</v>
      </c>
      <c r="N579" s="20" t="str">
        <f t="shared" si="2"/>
        <v>2024 03</v>
      </c>
    </row>
    <row r="580" ht="22.5" customHeight="1">
      <c r="A580" s="12">
        <f>IFERROR(__xludf.DUMMYFUNCTION("""COMPUTED_VALUE"""),405.0)</f>
        <v>405</v>
      </c>
      <c r="B580" s="13">
        <f>IFERROR(__xludf.DUMMYFUNCTION("""COMPUTED_VALUE"""),45374.0)</f>
        <v>45374</v>
      </c>
      <c r="C580" s="12">
        <f>IFERROR(__xludf.DUMMYFUNCTION("""COMPUTED_VALUE"""),122.0)</f>
        <v>122</v>
      </c>
      <c r="D580" s="12">
        <f>IFERROR(__xludf.DUMMYFUNCTION("""COMPUTED_VALUE"""),16.0)</f>
        <v>16</v>
      </c>
      <c r="E580" s="12">
        <f>IFERROR(__xludf.DUMMYFUNCTION("""COMPUTED_VALUE"""),2.0)</f>
        <v>2</v>
      </c>
      <c r="F580" s="12">
        <f>IFERROR(__xludf.DUMMYFUNCTION("""COMPUTED_VALUE"""),4.0)</f>
        <v>4</v>
      </c>
      <c r="G580" s="15" t="str">
        <f>IFERROR(__xludf.DUMMYFUNCTION("""COMPUTED_VALUE"""),"Pendiente")</f>
        <v>Pendiente</v>
      </c>
      <c r="H580" s="16" t="str">
        <f t="array" ref="H580">_xlfn.XLOOKUP(D580,Productos[ID_Producto],Productos[Nombre_Producto])</f>
        <v>Tortas</v>
      </c>
      <c r="I580" s="17">
        <f t="array" ref="I580">_xlfn.XLOOKUP(D580,Productos[ID_Producto],Productos[Precio_Unitario])</f>
        <v>15.23</v>
      </c>
      <c r="J580" s="17">
        <f t="shared" si="1"/>
        <v>30.46</v>
      </c>
      <c r="K580" s="16" t="str">
        <f t="array" ref="K580">_xlfn.XLOOKUP(C580,Clientes[ID_Cliente],Clientes[Provincia])</f>
        <v>Córdoba</v>
      </c>
      <c r="L580" s="16" t="str">
        <f t="array" ref="L580">CONCATENATE(_xlfn.XLOOKUP(C580,Clientes[ID_Cliente],Clientes[Provincia]),", Argentina")</f>
        <v>Córdoba, Argentina</v>
      </c>
      <c r="M580" s="20" t="str">
        <f t="array" ref="M580">_xlfn.XLOOKUP(F580,Metodos_De_Pago[ID_Metodo],Metodos_De_Pago[Metodo])</f>
        <v>Mercado Pago</v>
      </c>
      <c r="N580" s="20" t="str">
        <f t="shared" si="2"/>
        <v>2024 03</v>
      </c>
    </row>
    <row r="581" ht="22.5" customHeight="1">
      <c r="A581" s="12">
        <f>IFERROR(__xludf.DUMMYFUNCTION("""COMPUTED_VALUE"""),1947.0)</f>
        <v>1947</v>
      </c>
      <c r="B581" s="13">
        <f>IFERROR(__xludf.DUMMYFUNCTION("""COMPUTED_VALUE"""),45375.0)</f>
        <v>45375</v>
      </c>
      <c r="C581" s="12">
        <f>IFERROR(__xludf.DUMMYFUNCTION("""COMPUTED_VALUE"""),288.0)</f>
        <v>288</v>
      </c>
      <c r="D581" s="12">
        <f>IFERROR(__xludf.DUMMYFUNCTION("""COMPUTED_VALUE"""),29.0)</f>
        <v>29</v>
      </c>
      <c r="E581" s="12">
        <f>IFERROR(__xludf.DUMMYFUNCTION("""COMPUTED_VALUE"""),2.0)</f>
        <v>2</v>
      </c>
      <c r="F581" s="12">
        <f>IFERROR(__xludf.DUMMYFUNCTION("""COMPUTED_VALUE"""),5.0)</f>
        <v>5</v>
      </c>
      <c r="G581" s="15" t="str">
        <f>IFERROR(__xludf.DUMMYFUNCTION("""COMPUTED_VALUE"""),"Completa")</f>
        <v>Completa</v>
      </c>
      <c r="H581" s="16" t="str">
        <f t="array" ref="H581">_xlfn.XLOOKUP(D581,Productos[ID_Producto],Productos[Nombre_Producto])</f>
        <v>Cerveza</v>
      </c>
      <c r="I581" s="17">
        <f t="array" ref="I581">_xlfn.XLOOKUP(D581,Productos[ID_Producto],Productos[Precio_Unitario])</f>
        <v>11.54</v>
      </c>
      <c r="J581" s="17">
        <f t="shared" si="1"/>
        <v>23.08</v>
      </c>
      <c r="K581" s="16" t="str">
        <f t="array" ref="K581">_xlfn.XLOOKUP(C581,Clientes[ID_Cliente],Clientes[Provincia])</f>
        <v>Buenos Aires</v>
      </c>
      <c r="L581" s="16" t="str">
        <f t="array" ref="L581">CONCATENATE(_xlfn.XLOOKUP(C581,Clientes[ID_Cliente],Clientes[Provincia]),", Argentina")</f>
        <v>Buenos Aires, Argentina</v>
      </c>
      <c r="M581" s="20" t="str">
        <f t="array" ref="M581">_xlfn.XLOOKUP(F581,Metodos_De_Pago[ID_Metodo],Metodos_De_Pago[Metodo])</f>
        <v>Transferencia</v>
      </c>
      <c r="N581" s="20" t="str">
        <f t="shared" si="2"/>
        <v>2024 03</v>
      </c>
    </row>
    <row r="582" ht="22.5" customHeight="1">
      <c r="A582" s="12">
        <f>IFERROR(__xludf.DUMMYFUNCTION("""COMPUTED_VALUE"""),1399.0)</f>
        <v>1399</v>
      </c>
      <c r="B582" s="13">
        <f>IFERROR(__xludf.DUMMYFUNCTION("""COMPUTED_VALUE"""),45376.0)</f>
        <v>45376</v>
      </c>
      <c r="C582" s="12">
        <f>IFERROR(__xludf.DUMMYFUNCTION("""COMPUTED_VALUE"""),90.0)</f>
        <v>90</v>
      </c>
      <c r="D582" s="12">
        <f>IFERROR(__xludf.DUMMYFUNCTION("""COMPUTED_VALUE"""),27.0)</f>
        <v>27</v>
      </c>
      <c r="E582" s="12">
        <f>IFERROR(__xludf.DUMMYFUNCTION("""COMPUTED_VALUE"""),2.0)</f>
        <v>2</v>
      </c>
      <c r="F582" s="12">
        <f>IFERROR(__xludf.DUMMYFUNCTION("""COMPUTED_VALUE"""),3.0)</f>
        <v>3</v>
      </c>
      <c r="G582" s="15" t="str">
        <f>IFERROR(__xludf.DUMMYFUNCTION("""COMPUTED_VALUE"""),"Completa")</f>
        <v>Completa</v>
      </c>
      <c r="H582" s="16" t="str">
        <f t="array" ref="H582">_xlfn.XLOOKUP(D582,Productos[ID_Producto],Productos[Nombre_Producto])</f>
        <v>Agua mineral</v>
      </c>
      <c r="I582" s="17">
        <f t="array" ref="I582">_xlfn.XLOOKUP(D582,Productos[ID_Producto],Productos[Precio_Unitario])</f>
        <v>6.21</v>
      </c>
      <c r="J582" s="17">
        <f t="shared" si="1"/>
        <v>12.42</v>
      </c>
      <c r="K582" s="16" t="str">
        <f t="array" ref="K582">_xlfn.XLOOKUP(C582,Clientes[ID_Cliente],Clientes[Provincia])</f>
        <v>Buenos Aires</v>
      </c>
      <c r="L582" s="16" t="str">
        <f t="array" ref="L582">CONCATENATE(_xlfn.XLOOKUP(C582,Clientes[ID_Cliente],Clientes[Provincia]),", Argentina")</f>
        <v>Buenos Aires, Argentina</v>
      </c>
      <c r="M582" s="20" t="str">
        <f t="array" ref="M582">_xlfn.XLOOKUP(F582,Metodos_De_Pago[ID_Metodo],Metodos_De_Pago[Metodo])</f>
        <v>Tarjeta de Débito</v>
      </c>
      <c r="N582" s="20" t="str">
        <f t="shared" si="2"/>
        <v>2024 03</v>
      </c>
    </row>
    <row r="583" ht="22.5" customHeight="1">
      <c r="A583" s="12">
        <f>IFERROR(__xludf.DUMMYFUNCTION("""COMPUTED_VALUE"""),2854.0)</f>
        <v>2854</v>
      </c>
      <c r="B583" s="13">
        <f>IFERROR(__xludf.DUMMYFUNCTION("""COMPUTED_VALUE"""),45376.0)</f>
        <v>45376</v>
      </c>
      <c r="C583" s="12">
        <f>IFERROR(__xludf.DUMMYFUNCTION("""COMPUTED_VALUE"""),208.0)</f>
        <v>208</v>
      </c>
      <c r="D583" s="12">
        <f>IFERROR(__xludf.DUMMYFUNCTION("""COMPUTED_VALUE"""),33.0)</f>
        <v>33</v>
      </c>
      <c r="E583" s="12">
        <f>IFERROR(__xludf.DUMMYFUNCTION("""COMPUTED_VALUE"""),2.0)</f>
        <v>2</v>
      </c>
      <c r="F583" s="12">
        <f>IFERROR(__xludf.DUMMYFUNCTION("""COMPUTED_VALUE"""),5.0)</f>
        <v>5</v>
      </c>
      <c r="G583" s="15" t="str">
        <f>IFERROR(__xludf.DUMMYFUNCTION("""COMPUTED_VALUE"""),"Pendiente")</f>
        <v>Pendiente</v>
      </c>
      <c r="H583" s="16" t="str">
        <f t="array" ref="H583">_xlfn.XLOOKUP(D583,Productos[ID_Producto],Productos[Nombre_Producto])</f>
        <v>Papas chips</v>
      </c>
      <c r="I583" s="17">
        <f t="array" ref="I583">_xlfn.XLOOKUP(D583,Productos[ID_Producto],Productos[Precio_Unitario])</f>
        <v>8.54</v>
      </c>
      <c r="J583" s="17">
        <f t="shared" si="1"/>
        <v>17.08</v>
      </c>
      <c r="K583" s="16" t="str">
        <f t="array" ref="K583">_xlfn.XLOOKUP(C583,Clientes[ID_Cliente],Clientes[Provincia])</f>
        <v>Buenos Aires</v>
      </c>
      <c r="L583" s="16" t="str">
        <f t="array" ref="L583">CONCATENATE(_xlfn.XLOOKUP(C583,Clientes[ID_Cliente],Clientes[Provincia]),", Argentina")</f>
        <v>Buenos Aires, Argentina</v>
      </c>
      <c r="M583" s="20" t="str">
        <f t="array" ref="M583">_xlfn.XLOOKUP(F583,Metodos_De_Pago[ID_Metodo],Metodos_De_Pago[Metodo])</f>
        <v>Transferencia</v>
      </c>
      <c r="N583" s="20" t="str">
        <f t="shared" si="2"/>
        <v>2024 03</v>
      </c>
    </row>
    <row r="584" ht="22.5" customHeight="1">
      <c r="A584" s="12">
        <f>IFERROR(__xludf.DUMMYFUNCTION("""COMPUTED_VALUE"""),2993.0)</f>
        <v>2993</v>
      </c>
      <c r="B584" s="13">
        <f>IFERROR(__xludf.DUMMYFUNCTION("""COMPUTED_VALUE"""),45376.0)</f>
        <v>45376</v>
      </c>
      <c r="C584" s="12">
        <f>IFERROR(__xludf.DUMMYFUNCTION("""COMPUTED_VALUE"""),117.0)</f>
        <v>117</v>
      </c>
      <c r="D584" s="12">
        <f>IFERROR(__xludf.DUMMYFUNCTION("""COMPUTED_VALUE"""),4.0)</f>
        <v>4</v>
      </c>
      <c r="E584" s="12">
        <f>IFERROR(__xludf.DUMMYFUNCTION("""COMPUTED_VALUE"""),2.0)</f>
        <v>2</v>
      </c>
      <c r="F584" s="12">
        <f>IFERROR(__xludf.DUMMYFUNCTION("""COMPUTED_VALUE"""),1.0)</f>
        <v>1</v>
      </c>
      <c r="G584" s="15" t="str">
        <f>IFERROR(__xludf.DUMMYFUNCTION("""COMPUTED_VALUE"""),"Completa")</f>
        <v>Completa</v>
      </c>
      <c r="H584" s="16" t="str">
        <f t="array" ref="H584">_xlfn.XLOOKUP(D584,Productos[ID_Producto],Productos[Nombre_Producto])</f>
        <v>Queso rallado</v>
      </c>
      <c r="I584" s="17">
        <f t="array" ref="I584">_xlfn.XLOOKUP(D584,Productos[ID_Producto],Productos[Precio_Unitario])</f>
        <v>19.23</v>
      </c>
      <c r="J584" s="17">
        <f t="shared" si="1"/>
        <v>38.46</v>
      </c>
      <c r="K584" s="16" t="str">
        <f t="array" ref="K584">_xlfn.XLOOKUP(C584,Clientes[ID_Cliente],Clientes[Provincia])</f>
        <v>Salta</v>
      </c>
      <c r="L584" s="16" t="str">
        <f t="array" ref="L584">CONCATENATE(_xlfn.XLOOKUP(C584,Clientes[ID_Cliente],Clientes[Provincia]),", Argentina")</f>
        <v>Salta, Argentina</v>
      </c>
      <c r="M584" s="20" t="str">
        <f t="array" ref="M584">_xlfn.XLOOKUP(F584,Metodos_De_Pago[ID_Metodo],Metodos_De_Pago[Metodo])</f>
        <v>Efectivo</v>
      </c>
      <c r="N584" s="20" t="str">
        <f t="shared" si="2"/>
        <v>2024 03</v>
      </c>
    </row>
    <row r="585" ht="22.5" customHeight="1">
      <c r="A585" s="12">
        <f>IFERROR(__xludf.DUMMYFUNCTION("""COMPUTED_VALUE"""),1556.0)</f>
        <v>1556</v>
      </c>
      <c r="B585" s="13">
        <f>IFERROR(__xludf.DUMMYFUNCTION("""COMPUTED_VALUE"""),45377.0)</f>
        <v>45377</v>
      </c>
      <c r="C585" s="12">
        <f>IFERROR(__xludf.DUMMYFUNCTION("""COMPUTED_VALUE"""),65.0)</f>
        <v>65</v>
      </c>
      <c r="D585" s="12">
        <f>IFERROR(__xludf.DUMMYFUNCTION("""COMPUTED_VALUE"""),8.0)</f>
        <v>8</v>
      </c>
      <c r="E585" s="12">
        <f>IFERROR(__xludf.DUMMYFUNCTION("""COMPUTED_VALUE"""),2.0)</f>
        <v>2</v>
      </c>
      <c r="F585" s="12">
        <f>IFERROR(__xludf.DUMMYFUNCTION("""COMPUTED_VALUE"""),1.0)</f>
        <v>1</v>
      </c>
      <c r="G585" s="15" t="str">
        <f>IFERROR(__xludf.DUMMYFUNCTION("""COMPUTED_VALUE"""),"Completa")</f>
        <v>Completa</v>
      </c>
      <c r="H585" s="16" t="str">
        <f t="array" ref="H585">_xlfn.XLOOKUP(D585,Productos[ID_Producto],Productos[Nombre_Producto])</f>
        <v>Milanesa</v>
      </c>
      <c r="I585" s="17">
        <f t="array" ref="I585">_xlfn.XLOOKUP(D585,Productos[ID_Producto],Productos[Precio_Unitario])</f>
        <v>16.21</v>
      </c>
      <c r="J585" s="17">
        <f t="shared" si="1"/>
        <v>32.42</v>
      </c>
      <c r="K585" s="16" t="str">
        <f t="array" ref="K585">_xlfn.XLOOKUP(C585,Clientes[ID_Cliente],Clientes[Provincia])</f>
        <v>Buenos Aires</v>
      </c>
      <c r="L585" s="16" t="str">
        <f t="array" ref="L585">CONCATENATE(_xlfn.XLOOKUP(C585,Clientes[ID_Cliente],Clientes[Provincia]),", Argentina")</f>
        <v>Buenos Aires, Argentina</v>
      </c>
      <c r="M585" s="20" t="str">
        <f t="array" ref="M585">_xlfn.XLOOKUP(F585,Metodos_De_Pago[ID_Metodo],Metodos_De_Pago[Metodo])</f>
        <v>Efectivo</v>
      </c>
      <c r="N585" s="20" t="str">
        <f t="shared" si="2"/>
        <v>2024 03</v>
      </c>
    </row>
    <row r="586" ht="22.5" customHeight="1">
      <c r="A586" s="12">
        <f>IFERROR(__xludf.DUMMYFUNCTION("""COMPUTED_VALUE"""),249.0)</f>
        <v>249</v>
      </c>
      <c r="B586" s="13">
        <f>IFERROR(__xludf.DUMMYFUNCTION("""COMPUTED_VALUE"""),45379.0)</f>
        <v>45379</v>
      </c>
      <c r="C586" s="12">
        <f>IFERROR(__xludf.DUMMYFUNCTION("""COMPUTED_VALUE"""),1.0)</f>
        <v>1</v>
      </c>
      <c r="D586" s="12">
        <f>IFERROR(__xludf.DUMMYFUNCTION("""COMPUTED_VALUE"""),31.0)</f>
        <v>31</v>
      </c>
      <c r="E586" s="12">
        <f>IFERROR(__xludf.DUMMYFUNCTION("""COMPUTED_VALUE"""),2.0)</f>
        <v>2</v>
      </c>
      <c r="F586" s="12">
        <f>IFERROR(__xludf.DUMMYFUNCTION("""COMPUTED_VALUE"""),5.0)</f>
        <v>5</v>
      </c>
      <c r="G586" s="15" t="str">
        <f>IFERROR(__xludf.DUMMYFUNCTION("""COMPUTED_VALUE"""),"Pendiente")</f>
        <v>Pendiente</v>
      </c>
      <c r="H586" s="16" t="str">
        <f t="array" ref="H586">_xlfn.XLOOKUP(D586,Productos[ID_Producto],Productos[Nombre_Producto])</f>
        <v>Galletitas de agua</v>
      </c>
      <c r="I586" s="17">
        <f t="array" ref="I586">_xlfn.XLOOKUP(D586,Productos[ID_Producto],Productos[Precio_Unitario])</f>
        <v>5.24</v>
      </c>
      <c r="J586" s="17">
        <f t="shared" si="1"/>
        <v>10.48</v>
      </c>
      <c r="K586" s="16" t="str">
        <f t="array" ref="K586">_xlfn.XLOOKUP(C586,Clientes[ID_Cliente],Clientes[Provincia])</f>
        <v>Neuquén</v>
      </c>
      <c r="L586" s="16" t="str">
        <f t="array" ref="L586">CONCATENATE(_xlfn.XLOOKUP(C586,Clientes[ID_Cliente],Clientes[Provincia]),", Argentina")</f>
        <v>Neuquén, Argentina</v>
      </c>
      <c r="M586" s="20" t="str">
        <f t="array" ref="M586">_xlfn.XLOOKUP(F586,Metodos_De_Pago[ID_Metodo],Metodos_De_Pago[Metodo])</f>
        <v>Transferencia</v>
      </c>
      <c r="N586" s="20" t="str">
        <f t="shared" si="2"/>
        <v>2024 03</v>
      </c>
    </row>
    <row r="587" ht="22.5" customHeight="1">
      <c r="A587" s="12">
        <f>IFERROR(__xludf.DUMMYFUNCTION("""COMPUTED_VALUE"""),86.0)</f>
        <v>86</v>
      </c>
      <c r="B587" s="13">
        <f>IFERROR(__xludf.DUMMYFUNCTION("""COMPUTED_VALUE"""),45380.0)</f>
        <v>45380</v>
      </c>
      <c r="C587" s="12">
        <f>IFERROR(__xludf.DUMMYFUNCTION("""COMPUTED_VALUE"""),188.0)</f>
        <v>188</v>
      </c>
      <c r="D587" s="12">
        <f>IFERROR(__xludf.DUMMYFUNCTION("""COMPUTED_VALUE"""),30.0)</f>
        <v>30</v>
      </c>
      <c r="E587" s="12">
        <f>IFERROR(__xludf.DUMMYFUNCTION("""COMPUTED_VALUE"""),2.0)</f>
        <v>2</v>
      </c>
      <c r="F587" s="12">
        <f>IFERROR(__xludf.DUMMYFUNCTION("""COMPUTED_VALUE"""),4.0)</f>
        <v>4</v>
      </c>
      <c r="G587" s="15" t="str">
        <f>IFERROR(__xludf.DUMMYFUNCTION("""COMPUTED_VALUE"""),"Completa")</f>
        <v>Completa</v>
      </c>
      <c r="H587" s="16" t="str">
        <f t="array" ref="H587">_xlfn.XLOOKUP(D587,Productos[ID_Producto],Productos[Nombre_Producto])</f>
        <v>Vino tinto</v>
      </c>
      <c r="I587" s="17">
        <f t="array" ref="I587">_xlfn.XLOOKUP(D587,Productos[ID_Producto],Productos[Precio_Unitario])</f>
        <v>13.54</v>
      </c>
      <c r="J587" s="17">
        <f t="shared" si="1"/>
        <v>27.08</v>
      </c>
      <c r="K587" s="16" t="str">
        <f t="array" ref="K587">_xlfn.XLOOKUP(C587,Clientes[ID_Cliente],Clientes[Provincia])</f>
        <v>San Luis</v>
      </c>
      <c r="L587" s="16" t="str">
        <f t="array" ref="L587">CONCATENATE(_xlfn.XLOOKUP(C587,Clientes[ID_Cliente],Clientes[Provincia]),", Argentina")</f>
        <v>San Luis, Argentina</v>
      </c>
      <c r="M587" s="20" t="str">
        <f t="array" ref="M587">_xlfn.XLOOKUP(F587,Metodos_De_Pago[ID_Metodo],Metodos_De_Pago[Metodo])</f>
        <v>Mercado Pago</v>
      </c>
      <c r="N587" s="20" t="str">
        <f t="shared" si="2"/>
        <v>2024 03</v>
      </c>
    </row>
    <row r="588" ht="22.5" customHeight="1">
      <c r="A588" s="12">
        <f>IFERROR(__xludf.DUMMYFUNCTION("""COMPUTED_VALUE"""),1828.0)</f>
        <v>1828</v>
      </c>
      <c r="B588" s="13">
        <f>IFERROR(__xludf.DUMMYFUNCTION("""COMPUTED_VALUE"""),45380.0)</f>
        <v>45380</v>
      </c>
      <c r="C588" s="12">
        <f>IFERROR(__xludf.DUMMYFUNCTION("""COMPUTED_VALUE"""),52.0)</f>
        <v>52</v>
      </c>
      <c r="D588" s="12">
        <f>IFERROR(__xludf.DUMMYFUNCTION("""COMPUTED_VALUE"""),14.0)</f>
        <v>14</v>
      </c>
      <c r="E588" s="12">
        <f>IFERROR(__xludf.DUMMYFUNCTION("""COMPUTED_VALUE"""),2.0)</f>
        <v>2</v>
      </c>
      <c r="F588" s="12">
        <f>IFERROR(__xludf.DUMMYFUNCTION("""COMPUTED_VALUE"""),2.0)</f>
        <v>2</v>
      </c>
      <c r="G588" s="15" t="str">
        <f>IFERROR(__xludf.DUMMYFUNCTION("""COMPUTED_VALUE"""),"Completa")</f>
        <v>Completa</v>
      </c>
      <c r="H588" s="16" t="str">
        <f t="array" ref="H588">_xlfn.XLOOKUP(D588,Productos[ID_Producto],Productos[Nombre_Producto])</f>
        <v>Facturas</v>
      </c>
      <c r="I588" s="17">
        <f t="array" ref="I588">_xlfn.XLOOKUP(D588,Productos[ID_Producto],Productos[Precio_Unitario])</f>
        <v>12.36</v>
      </c>
      <c r="J588" s="17">
        <f t="shared" si="1"/>
        <v>24.72</v>
      </c>
      <c r="K588" s="16" t="str">
        <f t="array" ref="K588">_xlfn.XLOOKUP(C588,Clientes[ID_Cliente],Clientes[Provincia])</f>
        <v>Neuquén</v>
      </c>
      <c r="L588" s="16" t="str">
        <f t="array" ref="L588">CONCATENATE(_xlfn.XLOOKUP(C588,Clientes[ID_Cliente],Clientes[Provincia]),", Argentina")</f>
        <v>Neuquén, Argentina</v>
      </c>
      <c r="M588" s="20" t="str">
        <f t="array" ref="M588">_xlfn.XLOOKUP(F588,Metodos_De_Pago[ID_Metodo],Metodos_De_Pago[Metodo])</f>
        <v>Tarjeta de Crédito</v>
      </c>
      <c r="N588" s="20" t="str">
        <f t="shared" si="2"/>
        <v>2024 03</v>
      </c>
    </row>
    <row r="589" ht="22.5" customHeight="1">
      <c r="A589" s="12">
        <f>IFERROR(__xludf.DUMMYFUNCTION("""COMPUTED_VALUE"""),2142.0)</f>
        <v>2142</v>
      </c>
      <c r="B589" s="13">
        <f>IFERROR(__xludf.DUMMYFUNCTION("""COMPUTED_VALUE"""),45380.0)</f>
        <v>45380</v>
      </c>
      <c r="C589" s="12">
        <f>IFERROR(__xludf.DUMMYFUNCTION("""COMPUTED_VALUE"""),165.0)</f>
        <v>165</v>
      </c>
      <c r="D589" s="12">
        <f>IFERROR(__xludf.DUMMYFUNCTION("""COMPUTED_VALUE"""),23.0)</f>
        <v>23</v>
      </c>
      <c r="E589" s="12">
        <f>IFERROR(__xludf.DUMMYFUNCTION("""COMPUTED_VALUE"""),2.0)</f>
        <v>2</v>
      </c>
      <c r="F589" s="12">
        <f>IFERROR(__xludf.DUMMYFUNCTION("""COMPUTED_VALUE"""),1.0)</f>
        <v>1</v>
      </c>
      <c r="G589" s="15" t="str">
        <f>IFERROR(__xludf.DUMMYFUNCTION("""COMPUTED_VALUE"""),"Pendiente")</f>
        <v>Pendiente</v>
      </c>
      <c r="H589" s="16" t="str">
        <f t="array" ref="H589">_xlfn.XLOOKUP(D589,Productos[ID_Producto],Productos[Nombre_Producto])</f>
        <v>Papas fritas</v>
      </c>
      <c r="I589" s="17">
        <f t="array" ref="I589">_xlfn.XLOOKUP(D589,Productos[ID_Producto],Productos[Precio_Unitario])</f>
        <v>8.23</v>
      </c>
      <c r="J589" s="17">
        <f t="shared" si="1"/>
        <v>16.46</v>
      </c>
      <c r="K589" s="16" t="str">
        <f t="array" ref="K589">_xlfn.XLOOKUP(C589,Clientes[ID_Cliente],Clientes[Provincia])</f>
        <v>Buenos Aires</v>
      </c>
      <c r="L589" s="16" t="str">
        <f t="array" ref="L589">CONCATENATE(_xlfn.XLOOKUP(C589,Clientes[ID_Cliente],Clientes[Provincia]),", Argentina")</f>
        <v>Buenos Aires, Argentina</v>
      </c>
      <c r="M589" s="20" t="str">
        <f t="array" ref="M589">_xlfn.XLOOKUP(F589,Metodos_De_Pago[ID_Metodo],Metodos_De_Pago[Metodo])</f>
        <v>Efectivo</v>
      </c>
      <c r="N589" s="20" t="str">
        <f t="shared" si="2"/>
        <v>2024 03</v>
      </c>
    </row>
    <row r="590" ht="22.5" customHeight="1">
      <c r="A590" s="12">
        <f>IFERROR(__xludf.DUMMYFUNCTION("""COMPUTED_VALUE"""),1624.0)</f>
        <v>1624</v>
      </c>
      <c r="B590" s="13">
        <f>IFERROR(__xludf.DUMMYFUNCTION("""COMPUTED_VALUE"""),45381.0)</f>
        <v>45381</v>
      </c>
      <c r="C590" s="12">
        <f>IFERROR(__xludf.DUMMYFUNCTION("""COMPUTED_VALUE"""),71.0)</f>
        <v>71</v>
      </c>
      <c r="D590" s="12">
        <f>IFERROR(__xludf.DUMMYFUNCTION("""COMPUTED_VALUE"""),1.0)</f>
        <v>1</v>
      </c>
      <c r="E590" s="12">
        <f>IFERROR(__xludf.DUMMYFUNCTION("""COMPUTED_VALUE"""),2.0)</f>
        <v>2</v>
      </c>
      <c r="F590" s="12">
        <f>IFERROR(__xludf.DUMMYFUNCTION("""COMPUTED_VALUE"""),5.0)</f>
        <v>5</v>
      </c>
      <c r="G590" s="15" t="str">
        <f>IFERROR(__xludf.DUMMYFUNCTION("""COMPUTED_VALUE"""),"Completa")</f>
        <v>Completa</v>
      </c>
      <c r="H590" s="16" t="str">
        <f t="array" ref="H590">_xlfn.XLOOKUP(D590,Productos[ID_Producto],Productos[Nombre_Producto])</f>
        <v>Leche</v>
      </c>
      <c r="I590" s="17">
        <f t="array" ref="I590">_xlfn.XLOOKUP(D590,Productos[ID_Producto],Productos[Precio_Unitario])</f>
        <v>12.24</v>
      </c>
      <c r="J590" s="17">
        <f t="shared" si="1"/>
        <v>24.48</v>
      </c>
      <c r="K590" s="16" t="str">
        <f t="array" ref="K590">_xlfn.XLOOKUP(C590,Clientes[ID_Cliente],Clientes[Provincia])</f>
        <v>Buenos Aires</v>
      </c>
      <c r="L590" s="16" t="str">
        <f t="array" ref="L590">CONCATENATE(_xlfn.XLOOKUP(C590,Clientes[ID_Cliente],Clientes[Provincia]),", Argentina")</f>
        <v>Buenos Aires, Argentina</v>
      </c>
      <c r="M590" s="20" t="str">
        <f t="array" ref="M590">_xlfn.XLOOKUP(F590,Metodos_De_Pago[ID_Metodo],Metodos_De_Pago[Metodo])</f>
        <v>Transferencia</v>
      </c>
      <c r="N590" s="20" t="str">
        <f t="shared" si="2"/>
        <v>2024 03</v>
      </c>
    </row>
    <row r="591" ht="22.5" customHeight="1">
      <c r="A591" s="12">
        <f>IFERROR(__xludf.DUMMYFUNCTION("""COMPUTED_VALUE"""),853.0)</f>
        <v>853</v>
      </c>
      <c r="B591" s="13">
        <f>IFERROR(__xludf.DUMMYFUNCTION("""COMPUTED_VALUE"""),45382.0)</f>
        <v>45382</v>
      </c>
      <c r="C591" s="12">
        <f>IFERROR(__xludf.DUMMYFUNCTION("""COMPUTED_VALUE"""),176.0)</f>
        <v>176</v>
      </c>
      <c r="D591" s="12">
        <f>IFERROR(__xludf.DUMMYFUNCTION("""COMPUTED_VALUE"""),35.0)</f>
        <v>35</v>
      </c>
      <c r="E591" s="12">
        <f>IFERROR(__xludf.DUMMYFUNCTION("""COMPUTED_VALUE"""),2.0)</f>
        <v>2</v>
      </c>
      <c r="F591" s="12">
        <f>IFERROR(__xludf.DUMMYFUNCTION("""COMPUTED_VALUE"""),4.0)</f>
        <v>4</v>
      </c>
      <c r="G591" s="15" t="str">
        <f>IFERROR(__xludf.DUMMYFUNCTION("""COMPUTED_VALUE"""),"Completa")</f>
        <v>Completa</v>
      </c>
      <c r="H591" s="16" t="str">
        <f t="array" ref="H591">_xlfn.XLOOKUP(D591,Productos[ID_Producto],Productos[Nombre_Producto])</f>
        <v>Arroz</v>
      </c>
      <c r="I591" s="17">
        <f t="array" ref="I591">_xlfn.XLOOKUP(D591,Productos[ID_Producto],Productos[Precio_Unitario])</f>
        <v>4.25</v>
      </c>
      <c r="J591" s="17">
        <f t="shared" si="1"/>
        <v>8.5</v>
      </c>
      <c r="K591" s="16" t="str">
        <f t="array" ref="K591">_xlfn.XLOOKUP(C591,Clientes[ID_Cliente],Clientes[Provincia])</f>
        <v>Chaco</v>
      </c>
      <c r="L591" s="16" t="str">
        <f t="array" ref="L591">CONCATENATE(_xlfn.XLOOKUP(C591,Clientes[ID_Cliente],Clientes[Provincia]),", Argentina")</f>
        <v>Chaco, Argentina</v>
      </c>
      <c r="M591" s="20" t="str">
        <f t="array" ref="M591">_xlfn.XLOOKUP(F591,Metodos_De_Pago[ID_Metodo],Metodos_De_Pago[Metodo])</f>
        <v>Mercado Pago</v>
      </c>
      <c r="N591" s="20" t="str">
        <f t="shared" si="2"/>
        <v>2024 03</v>
      </c>
    </row>
    <row r="592" ht="22.5" customHeight="1">
      <c r="A592" s="12">
        <f>IFERROR(__xludf.DUMMYFUNCTION("""COMPUTED_VALUE"""),1968.0)</f>
        <v>1968</v>
      </c>
      <c r="B592" s="13">
        <f>IFERROR(__xludf.DUMMYFUNCTION("""COMPUTED_VALUE"""),45384.0)</f>
        <v>45384</v>
      </c>
      <c r="C592" s="12">
        <f>IFERROR(__xludf.DUMMYFUNCTION("""COMPUTED_VALUE"""),285.0)</f>
        <v>285</v>
      </c>
      <c r="D592" s="12">
        <f>IFERROR(__xludf.DUMMYFUNCTION("""COMPUTED_VALUE"""),12.0)</f>
        <v>12</v>
      </c>
      <c r="E592" s="12">
        <f>IFERROR(__xludf.DUMMYFUNCTION("""COMPUTED_VALUE"""),2.0)</f>
        <v>2</v>
      </c>
      <c r="F592" s="12">
        <f>IFERROR(__xludf.DUMMYFUNCTION("""COMPUTED_VALUE"""),5.0)</f>
        <v>5</v>
      </c>
      <c r="G592" s="15" t="str">
        <f>IFERROR(__xludf.DUMMYFUNCTION("""COMPUTED_VALUE"""),"Pendiente")</f>
        <v>Pendiente</v>
      </c>
      <c r="H592" s="16" t="str">
        <f t="array" ref="H592">_xlfn.XLOOKUP(D592,Productos[ID_Producto],Productos[Nombre_Producto])</f>
        <v>Pan francés</v>
      </c>
      <c r="I592" s="17">
        <f t="array" ref="I592">_xlfn.XLOOKUP(D592,Productos[ID_Producto],Productos[Precio_Unitario])</f>
        <v>8.12</v>
      </c>
      <c r="J592" s="17">
        <f t="shared" si="1"/>
        <v>16.24</v>
      </c>
      <c r="K592" s="16" t="str">
        <f t="array" ref="K592">_xlfn.XLOOKUP(C592,Clientes[ID_Cliente],Clientes[Provincia])</f>
        <v>Neuquén</v>
      </c>
      <c r="L592" s="16" t="str">
        <f t="array" ref="L592">CONCATENATE(_xlfn.XLOOKUP(C592,Clientes[ID_Cliente],Clientes[Provincia]),", Argentina")</f>
        <v>Neuquén, Argentina</v>
      </c>
      <c r="M592" s="20" t="str">
        <f t="array" ref="M592">_xlfn.XLOOKUP(F592,Metodos_De_Pago[ID_Metodo],Metodos_De_Pago[Metodo])</f>
        <v>Transferencia</v>
      </c>
      <c r="N592" s="20" t="str">
        <f t="shared" si="2"/>
        <v>2024 04</v>
      </c>
    </row>
    <row r="593" ht="22.5" customHeight="1">
      <c r="A593" s="12">
        <f>IFERROR(__xludf.DUMMYFUNCTION("""COMPUTED_VALUE"""),844.0)</f>
        <v>844</v>
      </c>
      <c r="B593" s="13">
        <f>IFERROR(__xludf.DUMMYFUNCTION("""COMPUTED_VALUE"""),45385.0)</f>
        <v>45385</v>
      </c>
      <c r="C593" s="12">
        <f>IFERROR(__xludf.DUMMYFUNCTION("""COMPUTED_VALUE"""),258.0)</f>
        <v>258</v>
      </c>
      <c r="D593" s="12">
        <f>IFERROR(__xludf.DUMMYFUNCTION("""COMPUTED_VALUE"""),22.0)</f>
        <v>22</v>
      </c>
      <c r="E593" s="12">
        <f>IFERROR(__xludf.DUMMYFUNCTION("""COMPUTED_VALUE"""),2.0)</f>
        <v>2</v>
      </c>
      <c r="F593" s="12">
        <f>IFERROR(__xludf.DUMMYFUNCTION("""COMPUTED_VALUE"""),2.0)</f>
        <v>2</v>
      </c>
      <c r="G593" s="15" t="str">
        <f>IFERROR(__xludf.DUMMYFUNCTION("""COMPUTED_VALUE"""),"Pendiente")</f>
        <v>Pendiente</v>
      </c>
      <c r="H593" s="16" t="str">
        <f t="array" ref="H593">_xlfn.XLOOKUP(D593,Productos[ID_Producto],Productos[Nombre_Producto])</f>
        <v>Cebolla</v>
      </c>
      <c r="I593" s="17">
        <f t="array" ref="I593">_xlfn.XLOOKUP(D593,Productos[ID_Producto],Productos[Precio_Unitario])</f>
        <v>4.21</v>
      </c>
      <c r="J593" s="17">
        <f t="shared" si="1"/>
        <v>8.42</v>
      </c>
      <c r="K593" s="16" t="str">
        <f t="array" ref="K593">_xlfn.XLOOKUP(C593,Clientes[ID_Cliente],Clientes[Provincia])</f>
        <v>Córdoba</v>
      </c>
      <c r="L593" s="16" t="str">
        <f t="array" ref="L593">CONCATENATE(_xlfn.XLOOKUP(C593,Clientes[ID_Cliente],Clientes[Provincia]),", Argentina")</f>
        <v>Córdoba, Argentina</v>
      </c>
      <c r="M593" s="20" t="str">
        <f t="array" ref="M593">_xlfn.XLOOKUP(F593,Metodos_De_Pago[ID_Metodo],Metodos_De_Pago[Metodo])</f>
        <v>Tarjeta de Crédito</v>
      </c>
      <c r="N593" s="20" t="str">
        <f t="shared" si="2"/>
        <v>2024 04</v>
      </c>
    </row>
    <row r="594" ht="22.5" customHeight="1">
      <c r="A594" s="12">
        <f>IFERROR(__xludf.DUMMYFUNCTION("""COMPUTED_VALUE"""),2961.0)</f>
        <v>2961</v>
      </c>
      <c r="B594" s="13">
        <f>IFERROR(__xludf.DUMMYFUNCTION("""COMPUTED_VALUE"""),45385.0)</f>
        <v>45385</v>
      </c>
      <c r="C594" s="12">
        <f>IFERROR(__xludf.DUMMYFUNCTION("""COMPUTED_VALUE"""),141.0)</f>
        <v>141</v>
      </c>
      <c r="D594" s="12">
        <f>IFERROR(__xludf.DUMMYFUNCTION("""COMPUTED_VALUE"""),25.0)</f>
        <v>25</v>
      </c>
      <c r="E594" s="12">
        <f>IFERROR(__xludf.DUMMYFUNCTION("""COMPUTED_VALUE"""),2.0)</f>
        <v>2</v>
      </c>
      <c r="F594" s="12">
        <f>IFERROR(__xludf.DUMMYFUNCTION("""COMPUTED_VALUE"""),1.0)</f>
        <v>1</v>
      </c>
      <c r="G594" s="15" t="str">
        <f>IFERROR(__xludf.DUMMYFUNCTION("""COMPUTED_VALUE"""),"Completa")</f>
        <v>Completa</v>
      </c>
      <c r="H594" s="16" t="str">
        <f t="array" ref="H594">_xlfn.XLOOKUP(D594,Productos[ID_Producto],Productos[Nombre_Producto])</f>
        <v>Pizza congelada</v>
      </c>
      <c r="I594" s="17">
        <f t="array" ref="I594">_xlfn.XLOOKUP(D594,Productos[ID_Producto],Productos[Precio_Unitario])</f>
        <v>15.45</v>
      </c>
      <c r="J594" s="17">
        <f t="shared" si="1"/>
        <v>30.9</v>
      </c>
      <c r="K594" s="16" t="str">
        <f t="array" ref="K594">_xlfn.XLOOKUP(C594,Clientes[ID_Cliente],Clientes[Provincia])</f>
        <v>Chaco</v>
      </c>
      <c r="L594" s="16" t="str">
        <f t="array" ref="L594">CONCATENATE(_xlfn.XLOOKUP(C594,Clientes[ID_Cliente],Clientes[Provincia]),", Argentina")</f>
        <v>Chaco, Argentina</v>
      </c>
      <c r="M594" s="20" t="str">
        <f t="array" ref="M594">_xlfn.XLOOKUP(F594,Metodos_De_Pago[ID_Metodo],Metodos_De_Pago[Metodo])</f>
        <v>Efectivo</v>
      </c>
      <c r="N594" s="20" t="str">
        <f t="shared" si="2"/>
        <v>2024 04</v>
      </c>
    </row>
    <row r="595" ht="22.5" customHeight="1">
      <c r="A595" s="12">
        <f>IFERROR(__xludf.DUMMYFUNCTION("""COMPUTED_VALUE"""),1782.0)</f>
        <v>1782</v>
      </c>
      <c r="B595" s="13">
        <f>IFERROR(__xludf.DUMMYFUNCTION("""COMPUTED_VALUE"""),45386.0)</f>
        <v>45386</v>
      </c>
      <c r="C595" s="12">
        <f>IFERROR(__xludf.DUMMYFUNCTION("""COMPUTED_VALUE"""),145.0)</f>
        <v>145</v>
      </c>
      <c r="D595" s="12">
        <f>IFERROR(__xludf.DUMMYFUNCTION("""COMPUTED_VALUE"""),13.0)</f>
        <v>13</v>
      </c>
      <c r="E595" s="12">
        <f>IFERROR(__xludf.DUMMYFUNCTION("""COMPUTED_VALUE"""),2.0)</f>
        <v>2</v>
      </c>
      <c r="F595" s="12">
        <f>IFERROR(__xludf.DUMMYFUNCTION("""COMPUTED_VALUE"""),3.0)</f>
        <v>3</v>
      </c>
      <c r="G595" s="15" t="str">
        <f>IFERROR(__xludf.DUMMYFUNCTION("""COMPUTED_VALUE"""),"Completa")</f>
        <v>Completa</v>
      </c>
      <c r="H595" s="16" t="str">
        <f t="array" ref="H595">_xlfn.XLOOKUP(D595,Productos[ID_Producto],Productos[Nombre_Producto])</f>
        <v>Pan integral</v>
      </c>
      <c r="I595" s="17">
        <f t="array" ref="I595">_xlfn.XLOOKUP(D595,Productos[ID_Producto],Productos[Precio_Unitario])</f>
        <v>12.56</v>
      </c>
      <c r="J595" s="17">
        <f t="shared" si="1"/>
        <v>25.12</v>
      </c>
      <c r="K595" s="16" t="str">
        <f t="array" ref="K595">_xlfn.XLOOKUP(C595,Clientes[ID_Cliente],Clientes[Provincia])</f>
        <v>Buenos Aires</v>
      </c>
      <c r="L595" s="16" t="str">
        <f t="array" ref="L595">CONCATENATE(_xlfn.XLOOKUP(C595,Clientes[ID_Cliente],Clientes[Provincia]),", Argentina")</f>
        <v>Buenos Aires, Argentina</v>
      </c>
      <c r="M595" s="20" t="str">
        <f t="array" ref="M595">_xlfn.XLOOKUP(F595,Metodos_De_Pago[ID_Metodo],Metodos_De_Pago[Metodo])</f>
        <v>Tarjeta de Débito</v>
      </c>
      <c r="N595" s="20" t="str">
        <f t="shared" si="2"/>
        <v>2024 04</v>
      </c>
    </row>
    <row r="596" ht="22.5" customHeight="1">
      <c r="A596" s="12">
        <f>IFERROR(__xludf.DUMMYFUNCTION("""COMPUTED_VALUE"""),905.0)</f>
        <v>905</v>
      </c>
      <c r="B596" s="13">
        <f>IFERROR(__xludf.DUMMYFUNCTION("""COMPUTED_VALUE"""),45387.0)</f>
        <v>45387</v>
      </c>
      <c r="C596" s="12">
        <f>IFERROR(__xludf.DUMMYFUNCTION("""COMPUTED_VALUE"""),151.0)</f>
        <v>151</v>
      </c>
      <c r="D596" s="12">
        <f>IFERROR(__xludf.DUMMYFUNCTION("""COMPUTED_VALUE"""),3.0)</f>
        <v>3</v>
      </c>
      <c r="E596" s="12">
        <f>IFERROR(__xludf.DUMMYFUNCTION("""COMPUTED_VALUE"""),2.0)</f>
        <v>2</v>
      </c>
      <c r="F596" s="12">
        <f>IFERROR(__xludf.DUMMYFUNCTION("""COMPUTED_VALUE"""),4.0)</f>
        <v>4</v>
      </c>
      <c r="G596" s="15" t="str">
        <f>IFERROR(__xludf.DUMMYFUNCTION("""COMPUTED_VALUE"""),"Completa")</f>
        <v>Completa</v>
      </c>
      <c r="H596" s="16" t="str">
        <f t="array" ref="H596">_xlfn.XLOOKUP(D596,Productos[ID_Producto],Productos[Nombre_Producto])</f>
        <v>Queso cremoso</v>
      </c>
      <c r="I596" s="17">
        <f t="array" ref="I596">_xlfn.XLOOKUP(D596,Productos[ID_Producto],Productos[Precio_Unitario])</f>
        <v>17.23</v>
      </c>
      <c r="J596" s="17">
        <f t="shared" si="1"/>
        <v>34.46</v>
      </c>
      <c r="K596" s="16" t="str">
        <f t="array" ref="K596">_xlfn.XLOOKUP(C596,Clientes[ID_Cliente],Clientes[Provincia])</f>
        <v>Buenos Aires</v>
      </c>
      <c r="L596" s="16" t="str">
        <f t="array" ref="L596">CONCATENATE(_xlfn.XLOOKUP(C596,Clientes[ID_Cliente],Clientes[Provincia]),", Argentina")</f>
        <v>Buenos Aires, Argentina</v>
      </c>
      <c r="M596" s="20" t="str">
        <f t="array" ref="M596">_xlfn.XLOOKUP(F596,Metodos_De_Pago[ID_Metodo],Metodos_De_Pago[Metodo])</f>
        <v>Mercado Pago</v>
      </c>
      <c r="N596" s="20" t="str">
        <f t="shared" si="2"/>
        <v>2024 04</v>
      </c>
    </row>
    <row r="597" ht="22.5" customHeight="1">
      <c r="A597" s="12">
        <f>IFERROR(__xludf.DUMMYFUNCTION("""COMPUTED_VALUE"""),10.0)</f>
        <v>10</v>
      </c>
      <c r="B597" s="13">
        <f>IFERROR(__xludf.DUMMYFUNCTION("""COMPUTED_VALUE"""),45388.0)</f>
        <v>45388</v>
      </c>
      <c r="C597" s="12">
        <f>IFERROR(__xludf.DUMMYFUNCTION("""COMPUTED_VALUE"""),232.0)</f>
        <v>232</v>
      </c>
      <c r="D597" s="12">
        <f>IFERROR(__xludf.DUMMYFUNCTION("""COMPUTED_VALUE"""),37.0)</f>
        <v>37</v>
      </c>
      <c r="E597" s="12">
        <f>IFERROR(__xludf.DUMMYFUNCTION("""COMPUTED_VALUE"""),2.0)</f>
        <v>2</v>
      </c>
      <c r="F597" s="12">
        <f>IFERROR(__xludf.DUMMYFUNCTION("""COMPUTED_VALUE"""),3.0)</f>
        <v>3</v>
      </c>
      <c r="G597" s="15" t="str">
        <f>IFERROR(__xludf.DUMMYFUNCTION("""COMPUTED_VALUE"""),"Completa")</f>
        <v>Completa</v>
      </c>
      <c r="H597" s="16" t="str">
        <f t="array" ref="H597">_xlfn.XLOOKUP(D597,Productos[ID_Producto],Productos[Nombre_Producto])</f>
        <v>Garbanzos</v>
      </c>
      <c r="I597" s="17">
        <f t="array" ref="I597">_xlfn.XLOOKUP(D597,Productos[ID_Producto],Productos[Precio_Unitario])</f>
        <v>3.65</v>
      </c>
      <c r="J597" s="17">
        <f t="shared" si="1"/>
        <v>7.3</v>
      </c>
      <c r="K597" s="16" t="str">
        <f t="array" ref="K597">_xlfn.XLOOKUP(C597,Clientes[ID_Cliente],Clientes[Provincia])</f>
        <v>Buenos Aires</v>
      </c>
      <c r="L597" s="16" t="str">
        <f t="array" ref="L597">CONCATENATE(_xlfn.XLOOKUP(C597,Clientes[ID_Cliente],Clientes[Provincia]),", Argentina")</f>
        <v>Buenos Aires, Argentina</v>
      </c>
      <c r="M597" s="20" t="str">
        <f t="array" ref="M597">_xlfn.XLOOKUP(F597,Metodos_De_Pago[ID_Metodo],Metodos_De_Pago[Metodo])</f>
        <v>Tarjeta de Débito</v>
      </c>
      <c r="N597" s="20" t="str">
        <f t="shared" si="2"/>
        <v>2024 04</v>
      </c>
    </row>
    <row r="598" ht="22.5" customHeight="1">
      <c r="A598" s="12">
        <f>IFERROR(__xludf.DUMMYFUNCTION("""COMPUTED_VALUE"""),453.0)</f>
        <v>453</v>
      </c>
      <c r="B598" s="13">
        <f>IFERROR(__xludf.DUMMYFUNCTION("""COMPUTED_VALUE"""),45389.0)</f>
        <v>45389</v>
      </c>
      <c r="C598" s="12">
        <f>IFERROR(__xludf.DUMMYFUNCTION("""COMPUTED_VALUE"""),75.0)</f>
        <v>75</v>
      </c>
      <c r="D598" s="12">
        <f>IFERROR(__xludf.DUMMYFUNCTION("""COMPUTED_VALUE"""),12.0)</f>
        <v>12</v>
      </c>
      <c r="E598" s="12">
        <f>IFERROR(__xludf.DUMMYFUNCTION("""COMPUTED_VALUE"""),2.0)</f>
        <v>2</v>
      </c>
      <c r="F598" s="12">
        <f>IFERROR(__xludf.DUMMYFUNCTION("""COMPUTED_VALUE"""),4.0)</f>
        <v>4</v>
      </c>
      <c r="G598" s="15" t="str">
        <f>IFERROR(__xludf.DUMMYFUNCTION("""COMPUTED_VALUE"""),"Completa")</f>
        <v>Completa</v>
      </c>
      <c r="H598" s="16" t="str">
        <f t="array" ref="H598">_xlfn.XLOOKUP(D598,Productos[ID_Producto],Productos[Nombre_Producto])</f>
        <v>Pan francés</v>
      </c>
      <c r="I598" s="17">
        <f t="array" ref="I598">_xlfn.XLOOKUP(D598,Productos[ID_Producto],Productos[Precio_Unitario])</f>
        <v>8.12</v>
      </c>
      <c r="J598" s="17">
        <f t="shared" si="1"/>
        <v>16.24</v>
      </c>
      <c r="K598" s="16" t="str">
        <f t="array" ref="K598">_xlfn.XLOOKUP(C598,Clientes[ID_Cliente],Clientes[Provincia])</f>
        <v>Chaco</v>
      </c>
      <c r="L598" s="16" t="str">
        <f t="array" ref="L598">CONCATENATE(_xlfn.XLOOKUP(C598,Clientes[ID_Cliente],Clientes[Provincia]),", Argentina")</f>
        <v>Chaco, Argentina</v>
      </c>
      <c r="M598" s="20" t="str">
        <f t="array" ref="M598">_xlfn.XLOOKUP(F598,Metodos_De_Pago[ID_Metodo],Metodos_De_Pago[Metodo])</f>
        <v>Mercado Pago</v>
      </c>
      <c r="N598" s="20" t="str">
        <f t="shared" si="2"/>
        <v>2024 04</v>
      </c>
    </row>
    <row r="599" ht="22.5" customHeight="1">
      <c r="A599" s="12">
        <f>IFERROR(__xludf.DUMMYFUNCTION("""COMPUTED_VALUE"""),600.0)</f>
        <v>600</v>
      </c>
      <c r="B599" s="13">
        <f>IFERROR(__xludf.DUMMYFUNCTION("""COMPUTED_VALUE"""),45391.0)</f>
        <v>45391</v>
      </c>
      <c r="C599" s="12">
        <f>IFERROR(__xludf.DUMMYFUNCTION("""COMPUTED_VALUE"""),142.0)</f>
        <v>142</v>
      </c>
      <c r="D599" s="12">
        <f>IFERROR(__xludf.DUMMYFUNCTION("""COMPUTED_VALUE"""),14.0)</f>
        <v>14</v>
      </c>
      <c r="E599" s="12">
        <f>IFERROR(__xludf.DUMMYFUNCTION("""COMPUTED_VALUE"""),2.0)</f>
        <v>2</v>
      </c>
      <c r="F599" s="12">
        <f>IFERROR(__xludf.DUMMYFUNCTION("""COMPUTED_VALUE"""),4.0)</f>
        <v>4</v>
      </c>
      <c r="G599" s="15" t="str">
        <f>IFERROR(__xludf.DUMMYFUNCTION("""COMPUTED_VALUE"""),"Completa")</f>
        <v>Completa</v>
      </c>
      <c r="H599" s="16" t="str">
        <f t="array" ref="H599">_xlfn.XLOOKUP(D599,Productos[ID_Producto],Productos[Nombre_Producto])</f>
        <v>Facturas</v>
      </c>
      <c r="I599" s="17">
        <f t="array" ref="I599">_xlfn.XLOOKUP(D599,Productos[ID_Producto],Productos[Precio_Unitario])</f>
        <v>12.36</v>
      </c>
      <c r="J599" s="17">
        <f t="shared" si="1"/>
        <v>24.72</v>
      </c>
      <c r="K599" s="16" t="str">
        <f t="array" ref="K599">_xlfn.XLOOKUP(C599,Clientes[ID_Cliente],Clientes[Provincia])</f>
        <v>San Luis</v>
      </c>
      <c r="L599" s="16" t="str">
        <f t="array" ref="L599">CONCATENATE(_xlfn.XLOOKUP(C599,Clientes[ID_Cliente],Clientes[Provincia]),", Argentina")</f>
        <v>San Luis, Argentina</v>
      </c>
      <c r="M599" s="20" t="str">
        <f t="array" ref="M599">_xlfn.XLOOKUP(F599,Metodos_De_Pago[ID_Metodo],Metodos_De_Pago[Metodo])</f>
        <v>Mercado Pago</v>
      </c>
      <c r="N599" s="20" t="str">
        <f t="shared" si="2"/>
        <v>2024 04</v>
      </c>
    </row>
    <row r="600" ht="22.5" customHeight="1">
      <c r="A600" s="12">
        <f>IFERROR(__xludf.DUMMYFUNCTION("""COMPUTED_VALUE"""),962.0)</f>
        <v>962</v>
      </c>
      <c r="B600" s="13">
        <f>IFERROR(__xludf.DUMMYFUNCTION("""COMPUTED_VALUE"""),45391.0)</f>
        <v>45391</v>
      </c>
      <c r="C600" s="12">
        <f>IFERROR(__xludf.DUMMYFUNCTION("""COMPUTED_VALUE"""),275.0)</f>
        <v>275</v>
      </c>
      <c r="D600" s="12">
        <f>IFERROR(__xludf.DUMMYFUNCTION("""COMPUTED_VALUE"""),8.0)</f>
        <v>8</v>
      </c>
      <c r="E600" s="12">
        <f>IFERROR(__xludf.DUMMYFUNCTION("""COMPUTED_VALUE"""),2.0)</f>
        <v>2</v>
      </c>
      <c r="F600" s="12">
        <f>IFERROR(__xludf.DUMMYFUNCTION("""COMPUTED_VALUE"""),4.0)</f>
        <v>4</v>
      </c>
      <c r="G600" s="15" t="str">
        <f>IFERROR(__xludf.DUMMYFUNCTION("""COMPUTED_VALUE"""),"Completa")</f>
        <v>Completa</v>
      </c>
      <c r="H600" s="16" t="str">
        <f t="array" ref="H600">_xlfn.XLOOKUP(D600,Productos[ID_Producto],Productos[Nombre_Producto])</f>
        <v>Milanesa</v>
      </c>
      <c r="I600" s="17">
        <f t="array" ref="I600">_xlfn.XLOOKUP(D600,Productos[ID_Producto],Productos[Precio_Unitario])</f>
        <v>16.21</v>
      </c>
      <c r="J600" s="17">
        <f t="shared" si="1"/>
        <v>32.42</v>
      </c>
      <c r="K600" s="16" t="str">
        <f t="array" ref="K600">_xlfn.XLOOKUP(C600,Clientes[ID_Cliente],Clientes[Provincia])</f>
        <v>Buenos Aires</v>
      </c>
      <c r="L600" s="16" t="str">
        <f t="array" ref="L600">CONCATENATE(_xlfn.XLOOKUP(C600,Clientes[ID_Cliente],Clientes[Provincia]),", Argentina")</f>
        <v>Buenos Aires, Argentina</v>
      </c>
      <c r="M600" s="20" t="str">
        <f t="array" ref="M600">_xlfn.XLOOKUP(F600,Metodos_De_Pago[ID_Metodo],Metodos_De_Pago[Metodo])</f>
        <v>Mercado Pago</v>
      </c>
      <c r="N600" s="20" t="str">
        <f t="shared" si="2"/>
        <v>2024 04</v>
      </c>
    </row>
    <row r="601" ht="22.5" customHeight="1">
      <c r="A601" s="12">
        <f>IFERROR(__xludf.DUMMYFUNCTION("""COMPUTED_VALUE"""),1331.0)</f>
        <v>1331</v>
      </c>
      <c r="B601" s="13">
        <f>IFERROR(__xludf.DUMMYFUNCTION("""COMPUTED_VALUE"""),45391.0)</f>
        <v>45391</v>
      </c>
      <c r="C601" s="12">
        <f>IFERROR(__xludf.DUMMYFUNCTION("""COMPUTED_VALUE"""),51.0)</f>
        <v>51</v>
      </c>
      <c r="D601" s="12">
        <f>IFERROR(__xludf.DUMMYFUNCTION("""COMPUTED_VALUE"""),11.0)</f>
        <v>11</v>
      </c>
      <c r="E601" s="12">
        <f>IFERROR(__xludf.DUMMYFUNCTION("""COMPUTED_VALUE"""),2.0)</f>
        <v>2</v>
      </c>
      <c r="F601" s="12">
        <f>IFERROR(__xludf.DUMMYFUNCTION("""COMPUTED_VALUE"""),4.0)</f>
        <v>4</v>
      </c>
      <c r="G601" s="15" t="str">
        <f>IFERROR(__xludf.DUMMYFUNCTION("""COMPUTED_VALUE"""),"Completa")</f>
        <v>Completa</v>
      </c>
      <c r="H601" s="16" t="str">
        <f t="array" ref="H601">_xlfn.XLOOKUP(D601,Productos[ID_Producto],Productos[Nombre_Producto])</f>
        <v>Salchicha</v>
      </c>
      <c r="I601" s="17">
        <f t="array" ref="I601">_xlfn.XLOOKUP(D601,Productos[ID_Producto],Productos[Precio_Unitario])</f>
        <v>11.23</v>
      </c>
      <c r="J601" s="17">
        <f t="shared" si="1"/>
        <v>22.46</v>
      </c>
      <c r="K601" s="16" t="str">
        <f t="array" ref="K601">_xlfn.XLOOKUP(C601,Clientes[ID_Cliente],Clientes[Provincia])</f>
        <v>San Luis</v>
      </c>
      <c r="L601" s="16" t="str">
        <f t="array" ref="L601">CONCATENATE(_xlfn.XLOOKUP(C601,Clientes[ID_Cliente],Clientes[Provincia]),", Argentina")</f>
        <v>San Luis, Argentina</v>
      </c>
      <c r="M601" s="20" t="str">
        <f t="array" ref="M601">_xlfn.XLOOKUP(F601,Metodos_De_Pago[ID_Metodo],Metodos_De_Pago[Metodo])</f>
        <v>Mercado Pago</v>
      </c>
      <c r="N601" s="20" t="str">
        <f t="shared" si="2"/>
        <v>2024 04</v>
      </c>
    </row>
    <row r="602" ht="22.5" customHeight="1">
      <c r="A602" s="12">
        <f>IFERROR(__xludf.DUMMYFUNCTION("""COMPUTED_VALUE"""),2920.0)</f>
        <v>2920</v>
      </c>
      <c r="B602" s="13">
        <f>IFERROR(__xludf.DUMMYFUNCTION("""COMPUTED_VALUE"""),45391.0)</f>
        <v>45391</v>
      </c>
      <c r="C602" s="12">
        <f>IFERROR(__xludf.DUMMYFUNCTION("""COMPUTED_VALUE"""),207.0)</f>
        <v>207</v>
      </c>
      <c r="D602" s="12">
        <f>IFERROR(__xludf.DUMMYFUNCTION("""COMPUTED_VALUE"""),35.0)</f>
        <v>35</v>
      </c>
      <c r="E602" s="12">
        <f>IFERROR(__xludf.DUMMYFUNCTION("""COMPUTED_VALUE"""),2.0)</f>
        <v>2</v>
      </c>
      <c r="F602" s="12">
        <f>IFERROR(__xludf.DUMMYFUNCTION("""COMPUTED_VALUE"""),3.0)</f>
        <v>3</v>
      </c>
      <c r="G602" s="15" t="str">
        <f>IFERROR(__xludf.DUMMYFUNCTION("""COMPUTED_VALUE"""),"Completa")</f>
        <v>Completa</v>
      </c>
      <c r="H602" s="16" t="str">
        <f t="array" ref="H602">_xlfn.XLOOKUP(D602,Productos[ID_Producto],Productos[Nombre_Producto])</f>
        <v>Arroz</v>
      </c>
      <c r="I602" s="17">
        <f t="array" ref="I602">_xlfn.XLOOKUP(D602,Productos[ID_Producto],Productos[Precio_Unitario])</f>
        <v>4.25</v>
      </c>
      <c r="J602" s="17">
        <f t="shared" si="1"/>
        <v>8.5</v>
      </c>
      <c r="K602" s="16" t="str">
        <f t="array" ref="K602">_xlfn.XLOOKUP(C602,Clientes[ID_Cliente],Clientes[Provincia])</f>
        <v>Buenos Aires</v>
      </c>
      <c r="L602" s="16" t="str">
        <f t="array" ref="L602">CONCATENATE(_xlfn.XLOOKUP(C602,Clientes[ID_Cliente],Clientes[Provincia]),", Argentina")</f>
        <v>Buenos Aires, Argentina</v>
      </c>
      <c r="M602" s="20" t="str">
        <f t="array" ref="M602">_xlfn.XLOOKUP(F602,Metodos_De_Pago[ID_Metodo],Metodos_De_Pago[Metodo])</f>
        <v>Tarjeta de Débito</v>
      </c>
      <c r="N602" s="20" t="str">
        <f t="shared" si="2"/>
        <v>2024 04</v>
      </c>
    </row>
    <row r="603" ht="22.5" customHeight="1">
      <c r="A603" s="12">
        <f>IFERROR(__xludf.DUMMYFUNCTION("""COMPUTED_VALUE"""),2758.0)</f>
        <v>2758</v>
      </c>
      <c r="B603" s="13">
        <f>IFERROR(__xludf.DUMMYFUNCTION("""COMPUTED_VALUE"""),45392.0)</f>
        <v>45392</v>
      </c>
      <c r="C603" s="12">
        <f>IFERROR(__xludf.DUMMYFUNCTION("""COMPUTED_VALUE"""),273.0)</f>
        <v>273</v>
      </c>
      <c r="D603" s="12">
        <f>IFERROR(__xludf.DUMMYFUNCTION("""COMPUTED_VALUE"""),23.0)</f>
        <v>23</v>
      </c>
      <c r="E603" s="12">
        <f>IFERROR(__xludf.DUMMYFUNCTION("""COMPUTED_VALUE"""),2.0)</f>
        <v>2</v>
      </c>
      <c r="F603" s="12">
        <f>IFERROR(__xludf.DUMMYFUNCTION("""COMPUTED_VALUE"""),4.0)</f>
        <v>4</v>
      </c>
      <c r="G603" s="15" t="str">
        <f>IFERROR(__xludf.DUMMYFUNCTION("""COMPUTED_VALUE"""),"Completa")</f>
        <v>Completa</v>
      </c>
      <c r="H603" s="16" t="str">
        <f t="array" ref="H603">_xlfn.XLOOKUP(D603,Productos[ID_Producto],Productos[Nombre_Producto])</f>
        <v>Papas fritas</v>
      </c>
      <c r="I603" s="17">
        <f t="array" ref="I603">_xlfn.XLOOKUP(D603,Productos[ID_Producto],Productos[Precio_Unitario])</f>
        <v>8.23</v>
      </c>
      <c r="J603" s="17">
        <f t="shared" si="1"/>
        <v>16.46</v>
      </c>
      <c r="K603" s="16" t="str">
        <f t="array" ref="K603">_xlfn.XLOOKUP(C603,Clientes[ID_Cliente],Clientes[Provincia])</f>
        <v>San Luis</v>
      </c>
      <c r="L603" s="16" t="str">
        <f t="array" ref="L603">CONCATENATE(_xlfn.XLOOKUP(C603,Clientes[ID_Cliente],Clientes[Provincia]),", Argentina")</f>
        <v>San Luis, Argentina</v>
      </c>
      <c r="M603" s="20" t="str">
        <f t="array" ref="M603">_xlfn.XLOOKUP(F603,Metodos_De_Pago[ID_Metodo],Metodos_De_Pago[Metodo])</f>
        <v>Mercado Pago</v>
      </c>
      <c r="N603" s="20" t="str">
        <f t="shared" si="2"/>
        <v>2024 04</v>
      </c>
    </row>
    <row r="604" ht="22.5" customHeight="1">
      <c r="A604" s="12">
        <f>IFERROR(__xludf.DUMMYFUNCTION("""COMPUTED_VALUE"""),1110.0)</f>
        <v>1110</v>
      </c>
      <c r="B604" s="13">
        <f>IFERROR(__xludf.DUMMYFUNCTION("""COMPUTED_VALUE"""),45393.0)</f>
        <v>45393</v>
      </c>
      <c r="C604" s="12">
        <f>IFERROR(__xludf.DUMMYFUNCTION("""COMPUTED_VALUE"""),284.0)</f>
        <v>284</v>
      </c>
      <c r="D604" s="12">
        <f>IFERROR(__xludf.DUMMYFUNCTION("""COMPUTED_VALUE"""),12.0)</f>
        <v>12</v>
      </c>
      <c r="E604" s="12">
        <f>IFERROR(__xludf.DUMMYFUNCTION("""COMPUTED_VALUE"""),2.0)</f>
        <v>2</v>
      </c>
      <c r="F604" s="12">
        <f>IFERROR(__xludf.DUMMYFUNCTION("""COMPUTED_VALUE"""),4.0)</f>
        <v>4</v>
      </c>
      <c r="G604" s="15" t="str">
        <f>IFERROR(__xludf.DUMMYFUNCTION("""COMPUTED_VALUE"""),"Completa")</f>
        <v>Completa</v>
      </c>
      <c r="H604" s="16" t="str">
        <f t="array" ref="H604">_xlfn.XLOOKUP(D604,Productos[ID_Producto],Productos[Nombre_Producto])</f>
        <v>Pan francés</v>
      </c>
      <c r="I604" s="17">
        <f t="array" ref="I604">_xlfn.XLOOKUP(D604,Productos[ID_Producto],Productos[Precio_Unitario])</f>
        <v>8.12</v>
      </c>
      <c r="J604" s="17">
        <f t="shared" si="1"/>
        <v>16.24</v>
      </c>
      <c r="K604" s="16" t="str">
        <f t="array" ref="K604">_xlfn.XLOOKUP(C604,Clientes[ID_Cliente],Clientes[Provincia])</f>
        <v>Salta</v>
      </c>
      <c r="L604" s="16" t="str">
        <f t="array" ref="L604">CONCATENATE(_xlfn.XLOOKUP(C604,Clientes[ID_Cliente],Clientes[Provincia]),", Argentina")</f>
        <v>Salta, Argentina</v>
      </c>
      <c r="M604" s="20" t="str">
        <f t="array" ref="M604">_xlfn.XLOOKUP(F604,Metodos_De_Pago[ID_Metodo],Metodos_De_Pago[Metodo])</f>
        <v>Mercado Pago</v>
      </c>
      <c r="N604" s="20" t="str">
        <f t="shared" si="2"/>
        <v>2024 04</v>
      </c>
    </row>
    <row r="605" ht="22.5" customHeight="1">
      <c r="A605" s="12">
        <f>IFERROR(__xludf.DUMMYFUNCTION("""COMPUTED_VALUE"""),1143.0)</f>
        <v>1143</v>
      </c>
      <c r="B605" s="13">
        <f>IFERROR(__xludf.DUMMYFUNCTION("""COMPUTED_VALUE"""),45394.0)</f>
        <v>45394</v>
      </c>
      <c r="C605" s="12">
        <f>IFERROR(__xludf.DUMMYFUNCTION("""COMPUTED_VALUE"""),266.0)</f>
        <v>266</v>
      </c>
      <c r="D605" s="12">
        <f>IFERROR(__xludf.DUMMYFUNCTION("""COMPUTED_VALUE"""),20.0)</f>
        <v>20</v>
      </c>
      <c r="E605" s="12">
        <f>IFERROR(__xludf.DUMMYFUNCTION("""COMPUTED_VALUE"""),2.0)</f>
        <v>2</v>
      </c>
      <c r="F605" s="12">
        <f>IFERROR(__xludf.DUMMYFUNCTION("""COMPUTED_VALUE"""),5.0)</f>
        <v>5</v>
      </c>
      <c r="G605" s="15" t="str">
        <f>IFERROR(__xludf.DUMMYFUNCTION("""COMPUTED_VALUE"""),"Completa")</f>
        <v>Completa</v>
      </c>
      <c r="H605" s="16" t="str">
        <f t="array" ref="H605">_xlfn.XLOOKUP(D605,Productos[ID_Producto],Productos[Nombre_Producto])</f>
        <v>Lechugas</v>
      </c>
      <c r="I605" s="17">
        <f t="array" ref="I605">_xlfn.XLOOKUP(D605,Productos[ID_Producto],Productos[Precio_Unitario])</f>
        <v>4.25</v>
      </c>
      <c r="J605" s="17">
        <f t="shared" si="1"/>
        <v>8.5</v>
      </c>
      <c r="K605" s="16" t="str">
        <f t="array" ref="K605">_xlfn.XLOOKUP(C605,Clientes[ID_Cliente],Clientes[Provincia])</f>
        <v>Buenos Aires</v>
      </c>
      <c r="L605" s="16" t="str">
        <f t="array" ref="L605">CONCATENATE(_xlfn.XLOOKUP(C605,Clientes[ID_Cliente],Clientes[Provincia]),", Argentina")</f>
        <v>Buenos Aires, Argentina</v>
      </c>
      <c r="M605" s="20" t="str">
        <f t="array" ref="M605">_xlfn.XLOOKUP(F605,Metodos_De_Pago[ID_Metodo],Metodos_De_Pago[Metodo])</f>
        <v>Transferencia</v>
      </c>
      <c r="N605" s="20" t="str">
        <f t="shared" si="2"/>
        <v>2024 04</v>
      </c>
    </row>
    <row r="606" ht="22.5" customHeight="1">
      <c r="A606" s="12">
        <f>IFERROR(__xludf.DUMMYFUNCTION("""COMPUTED_VALUE"""),2229.0)</f>
        <v>2229</v>
      </c>
      <c r="B606" s="13">
        <f>IFERROR(__xludf.DUMMYFUNCTION("""COMPUTED_VALUE"""),45394.0)</f>
        <v>45394</v>
      </c>
      <c r="C606" s="12">
        <f>IFERROR(__xludf.DUMMYFUNCTION("""COMPUTED_VALUE"""),312.0)</f>
        <v>312</v>
      </c>
      <c r="D606" s="12">
        <f>IFERROR(__xludf.DUMMYFUNCTION("""COMPUTED_VALUE"""),27.0)</f>
        <v>27</v>
      </c>
      <c r="E606" s="12">
        <f>IFERROR(__xludf.DUMMYFUNCTION("""COMPUTED_VALUE"""),2.0)</f>
        <v>2</v>
      </c>
      <c r="F606" s="12">
        <f>IFERROR(__xludf.DUMMYFUNCTION("""COMPUTED_VALUE"""),1.0)</f>
        <v>1</v>
      </c>
      <c r="G606" s="15" t="str">
        <f>IFERROR(__xludf.DUMMYFUNCTION("""COMPUTED_VALUE"""),"Completa")</f>
        <v>Completa</v>
      </c>
      <c r="H606" s="16" t="str">
        <f t="array" ref="H606">_xlfn.XLOOKUP(D606,Productos[ID_Producto],Productos[Nombre_Producto])</f>
        <v>Agua mineral</v>
      </c>
      <c r="I606" s="17">
        <f t="array" ref="I606">_xlfn.XLOOKUP(D606,Productos[ID_Producto],Productos[Precio_Unitario])</f>
        <v>6.21</v>
      </c>
      <c r="J606" s="17">
        <f t="shared" si="1"/>
        <v>12.42</v>
      </c>
      <c r="K606" s="16" t="str">
        <f t="array" ref="K606">_xlfn.XLOOKUP(C606,Clientes[ID_Cliente],Clientes[Provincia])</f>
        <v>San Luis</v>
      </c>
      <c r="L606" s="16" t="str">
        <f t="array" ref="L606">CONCATENATE(_xlfn.XLOOKUP(C606,Clientes[ID_Cliente],Clientes[Provincia]),", Argentina")</f>
        <v>San Luis, Argentina</v>
      </c>
      <c r="M606" s="20" t="str">
        <f t="array" ref="M606">_xlfn.XLOOKUP(F606,Metodos_De_Pago[ID_Metodo],Metodos_De_Pago[Metodo])</f>
        <v>Efectivo</v>
      </c>
      <c r="N606" s="20" t="str">
        <f t="shared" si="2"/>
        <v>2024 04</v>
      </c>
    </row>
    <row r="607" ht="22.5" customHeight="1">
      <c r="A607" s="12">
        <f>IFERROR(__xludf.DUMMYFUNCTION("""COMPUTED_VALUE"""),2581.0)</f>
        <v>2581</v>
      </c>
      <c r="B607" s="13">
        <f>IFERROR(__xludf.DUMMYFUNCTION("""COMPUTED_VALUE"""),45394.0)</f>
        <v>45394</v>
      </c>
      <c r="C607" s="12">
        <f>IFERROR(__xludf.DUMMYFUNCTION("""COMPUTED_VALUE"""),260.0)</f>
        <v>260</v>
      </c>
      <c r="D607" s="12">
        <f>IFERROR(__xludf.DUMMYFUNCTION("""COMPUTED_VALUE"""),26.0)</f>
        <v>26</v>
      </c>
      <c r="E607" s="12">
        <f>IFERROR(__xludf.DUMMYFUNCTION("""COMPUTED_VALUE"""),2.0)</f>
        <v>2</v>
      </c>
      <c r="F607" s="12">
        <f>IFERROR(__xludf.DUMMYFUNCTION("""COMPUTED_VALUE"""),4.0)</f>
        <v>4</v>
      </c>
      <c r="G607" s="15" t="str">
        <f>IFERROR(__xludf.DUMMYFUNCTION("""COMPUTED_VALUE"""),"Completa")</f>
        <v>Completa</v>
      </c>
      <c r="H607" s="16" t="str">
        <f t="array" ref="H607">_xlfn.XLOOKUP(D607,Productos[ID_Producto],Productos[Nombre_Producto])</f>
        <v>Hamburgesas congeladas</v>
      </c>
      <c r="I607" s="17">
        <f t="array" ref="I607">_xlfn.XLOOKUP(D607,Productos[ID_Producto],Productos[Precio_Unitario])</f>
        <v>9.54</v>
      </c>
      <c r="J607" s="17">
        <f t="shared" si="1"/>
        <v>19.08</v>
      </c>
      <c r="K607" s="16" t="str">
        <f t="array" ref="K607">_xlfn.XLOOKUP(C607,Clientes[ID_Cliente],Clientes[Provincia])</f>
        <v>Buenos Aires</v>
      </c>
      <c r="L607" s="16" t="str">
        <f t="array" ref="L607">CONCATENATE(_xlfn.XLOOKUP(C607,Clientes[ID_Cliente],Clientes[Provincia]),", Argentina")</f>
        <v>Buenos Aires, Argentina</v>
      </c>
      <c r="M607" s="20" t="str">
        <f t="array" ref="M607">_xlfn.XLOOKUP(F607,Metodos_De_Pago[ID_Metodo],Metodos_De_Pago[Metodo])</f>
        <v>Mercado Pago</v>
      </c>
      <c r="N607" s="20" t="str">
        <f t="shared" si="2"/>
        <v>2024 04</v>
      </c>
    </row>
    <row r="608" ht="22.5" customHeight="1">
      <c r="A608" s="12">
        <f>IFERROR(__xludf.DUMMYFUNCTION("""COMPUTED_VALUE"""),1899.0)</f>
        <v>1899</v>
      </c>
      <c r="B608" s="13">
        <f>IFERROR(__xludf.DUMMYFUNCTION("""COMPUTED_VALUE"""),45395.0)</f>
        <v>45395</v>
      </c>
      <c r="C608" s="12">
        <f>IFERROR(__xludf.DUMMYFUNCTION("""COMPUTED_VALUE"""),176.0)</f>
        <v>176</v>
      </c>
      <c r="D608" s="12">
        <f>IFERROR(__xludf.DUMMYFUNCTION("""COMPUTED_VALUE"""),22.0)</f>
        <v>22</v>
      </c>
      <c r="E608" s="12">
        <f>IFERROR(__xludf.DUMMYFUNCTION("""COMPUTED_VALUE"""),2.0)</f>
        <v>2</v>
      </c>
      <c r="F608" s="12">
        <f>IFERROR(__xludf.DUMMYFUNCTION("""COMPUTED_VALUE"""),5.0)</f>
        <v>5</v>
      </c>
      <c r="G608" s="15" t="str">
        <f>IFERROR(__xludf.DUMMYFUNCTION("""COMPUTED_VALUE"""),"Completa")</f>
        <v>Completa</v>
      </c>
      <c r="H608" s="16" t="str">
        <f t="array" ref="H608">_xlfn.XLOOKUP(D608,Productos[ID_Producto],Productos[Nombre_Producto])</f>
        <v>Cebolla</v>
      </c>
      <c r="I608" s="17">
        <f t="array" ref="I608">_xlfn.XLOOKUP(D608,Productos[ID_Producto],Productos[Precio_Unitario])</f>
        <v>4.21</v>
      </c>
      <c r="J608" s="17">
        <f t="shared" si="1"/>
        <v>8.42</v>
      </c>
      <c r="K608" s="16" t="str">
        <f t="array" ref="K608">_xlfn.XLOOKUP(C608,Clientes[ID_Cliente],Clientes[Provincia])</f>
        <v>Chaco</v>
      </c>
      <c r="L608" s="16" t="str">
        <f t="array" ref="L608">CONCATENATE(_xlfn.XLOOKUP(C608,Clientes[ID_Cliente],Clientes[Provincia]),", Argentina")</f>
        <v>Chaco, Argentina</v>
      </c>
      <c r="M608" s="20" t="str">
        <f t="array" ref="M608">_xlfn.XLOOKUP(F608,Metodos_De_Pago[ID_Metodo],Metodos_De_Pago[Metodo])</f>
        <v>Transferencia</v>
      </c>
      <c r="N608" s="20" t="str">
        <f t="shared" si="2"/>
        <v>2024 04</v>
      </c>
    </row>
    <row r="609" ht="22.5" customHeight="1">
      <c r="A609" s="12">
        <f>IFERROR(__xludf.DUMMYFUNCTION("""COMPUTED_VALUE"""),2403.0)</f>
        <v>2403</v>
      </c>
      <c r="B609" s="13">
        <f>IFERROR(__xludf.DUMMYFUNCTION("""COMPUTED_VALUE"""),45395.0)</f>
        <v>45395</v>
      </c>
      <c r="C609" s="12">
        <f>IFERROR(__xludf.DUMMYFUNCTION("""COMPUTED_VALUE"""),15.0)</f>
        <v>15</v>
      </c>
      <c r="D609" s="12">
        <f>IFERROR(__xludf.DUMMYFUNCTION("""COMPUTED_VALUE"""),8.0)</f>
        <v>8</v>
      </c>
      <c r="E609" s="12">
        <f>IFERROR(__xludf.DUMMYFUNCTION("""COMPUTED_VALUE"""),2.0)</f>
        <v>2</v>
      </c>
      <c r="F609" s="12">
        <f>IFERROR(__xludf.DUMMYFUNCTION("""COMPUTED_VALUE"""),4.0)</f>
        <v>4</v>
      </c>
      <c r="G609" s="15" t="str">
        <f>IFERROR(__xludf.DUMMYFUNCTION("""COMPUTED_VALUE"""),"Completa")</f>
        <v>Completa</v>
      </c>
      <c r="H609" s="16" t="str">
        <f t="array" ref="H609">_xlfn.XLOOKUP(D609,Productos[ID_Producto],Productos[Nombre_Producto])</f>
        <v>Milanesa</v>
      </c>
      <c r="I609" s="17">
        <f t="array" ref="I609">_xlfn.XLOOKUP(D609,Productos[ID_Producto],Productos[Precio_Unitario])</f>
        <v>16.21</v>
      </c>
      <c r="J609" s="17">
        <f t="shared" si="1"/>
        <v>32.42</v>
      </c>
      <c r="K609" s="16" t="str">
        <f t="array" ref="K609">_xlfn.XLOOKUP(C609,Clientes[ID_Cliente],Clientes[Provincia])</f>
        <v>Buenos Aires</v>
      </c>
      <c r="L609" s="16" t="str">
        <f t="array" ref="L609">CONCATENATE(_xlfn.XLOOKUP(C609,Clientes[ID_Cliente],Clientes[Provincia]),", Argentina")</f>
        <v>Buenos Aires, Argentina</v>
      </c>
      <c r="M609" s="20" t="str">
        <f t="array" ref="M609">_xlfn.XLOOKUP(F609,Metodos_De_Pago[ID_Metodo],Metodos_De_Pago[Metodo])</f>
        <v>Mercado Pago</v>
      </c>
      <c r="N609" s="20" t="str">
        <f t="shared" si="2"/>
        <v>2024 04</v>
      </c>
    </row>
    <row r="610" ht="22.5" customHeight="1">
      <c r="A610" s="12">
        <f>IFERROR(__xludf.DUMMYFUNCTION("""COMPUTED_VALUE"""),340.0)</f>
        <v>340</v>
      </c>
      <c r="B610" s="13">
        <f>IFERROR(__xludf.DUMMYFUNCTION("""COMPUTED_VALUE"""),45396.0)</f>
        <v>45396</v>
      </c>
      <c r="C610" s="12">
        <f>IFERROR(__xludf.DUMMYFUNCTION("""COMPUTED_VALUE"""),271.0)</f>
        <v>271</v>
      </c>
      <c r="D610" s="12">
        <f>IFERROR(__xludf.DUMMYFUNCTION("""COMPUTED_VALUE"""),19.0)</f>
        <v>19</v>
      </c>
      <c r="E610" s="12">
        <f>IFERROR(__xludf.DUMMYFUNCTION("""COMPUTED_VALUE"""),2.0)</f>
        <v>2</v>
      </c>
      <c r="F610" s="12">
        <f>IFERROR(__xludf.DUMMYFUNCTION("""COMPUTED_VALUE"""),3.0)</f>
        <v>3</v>
      </c>
      <c r="G610" s="15" t="str">
        <f>IFERROR(__xludf.DUMMYFUNCTION("""COMPUTED_VALUE"""),"Pendiente")</f>
        <v>Pendiente</v>
      </c>
      <c r="H610" s="16" t="str">
        <f t="array" ref="H610">_xlfn.XLOOKUP(D610,Productos[ID_Producto],Productos[Nombre_Producto])</f>
        <v>Tomates</v>
      </c>
      <c r="I610" s="17">
        <f t="array" ref="I610">_xlfn.XLOOKUP(D610,Productos[ID_Producto],Productos[Precio_Unitario])</f>
        <v>6.54</v>
      </c>
      <c r="J610" s="17">
        <f t="shared" si="1"/>
        <v>13.08</v>
      </c>
      <c r="K610" s="16" t="str">
        <f t="array" ref="K610">_xlfn.XLOOKUP(C610,Clientes[ID_Cliente],Clientes[Provincia])</f>
        <v>Neuquén</v>
      </c>
      <c r="L610" s="16" t="str">
        <f t="array" ref="L610">CONCATENATE(_xlfn.XLOOKUP(C610,Clientes[ID_Cliente],Clientes[Provincia]),", Argentina")</f>
        <v>Neuquén, Argentina</v>
      </c>
      <c r="M610" s="20" t="str">
        <f t="array" ref="M610">_xlfn.XLOOKUP(F610,Metodos_De_Pago[ID_Metodo],Metodos_De_Pago[Metodo])</f>
        <v>Tarjeta de Débito</v>
      </c>
      <c r="N610" s="20" t="str">
        <f t="shared" si="2"/>
        <v>2024 04</v>
      </c>
    </row>
    <row r="611" ht="22.5" customHeight="1">
      <c r="A611" s="12">
        <f>IFERROR(__xludf.DUMMYFUNCTION("""COMPUTED_VALUE"""),371.0)</f>
        <v>371</v>
      </c>
      <c r="B611" s="13">
        <f>IFERROR(__xludf.DUMMYFUNCTION("""COMPUTED_VALUE"""),45396.0)</f>
        <v>45396</v>
      </c>
      <c r="C611" s="12">
        <f>IFERROR(__xludf.DUMMYFUNCTION("""COMPUTED_VALUE"""),105.0)</f>
        <v>105</v>
      </c>
      <c r="D611" s="12">
        <f>IFERROR(__xludf.DUMMYFUNCTION("""COMPUTED_VALUE"""),5.0)</f>
        <v>5</v>
      </c>
      <c r="E611" s="12">
        <f>IFERROR(__xludf.DUMMYFUNCTION("""COMPUTED_VALUE"""),2.0)</f>
        <v>2</v>
      </c>
      <c r="F611" s="12">
        <f>IFERROR(__xludf.DUMMYFUNCTION("""COMPUTED_VALUE"""),4.0)</f>
        <v>4</v>
      </c>
      <c r="G611" s="15" t="str">
        <f>IFERROR(__xludf.DUMMYFUNCTION("""COMPUTED_VALUE"""),"Completa")</f>
        <v>Completa</v>
      </c>
      <c r="H611" s="16" t="str">
        <f t="array" ref="H611">_xlfn.XLOOKUP(D611,Productos[ID_Producto],Productos[Nombre_Producto])</f>
        <v>Manteca</v>
      </c>
      <c r="I611" s="17">
        <f t="array" ref="I611">_xlfn.XLOOKUP(D611,Productos[ID_Producto],Productos[Precio_Unitario])</f>
        <v>5.65</v>
      </c>
      <c r="J611" s="17">
        <f t="shared" si="1"/>
        <v>11.3</v>
      </c>
      <c r="K611" s="16" t="str">
        <f t="array" ref="K611">_xlfn.XLOOKUP(C611,Clientes[ID_Cliente],Clientes[Provincia])</f>
        <v>Buenos Aires</v>
      </c>
      <c r="L611" s="16" t="str">
        <f t="array" ref="L611">CONCATENATE(_xlfn.XLOOKUP(C611,Clientes[ID_Cliente],Clientes[Provincia]),", Argentina")</f>
        <v>Buenos Aires, Argentina</v>
      </c>
      <c r="M611" s="20" t="str">
        <f t="array" ref="M611">_xlfn.XLOOKUP(F611,Metodos_De_Pago[ID_Metodo],Metodos_De_Pago[Metodo])</f>
        <v>Mercado Pago</v>
      </c>
      <c r="N611" s="20" t="str">
        <f t="shared" si="2"/>
        <v>2024 04</v>
      </c>
    </row>
    <row r="612" ht="22.5" customHeight="1">
      <c r="A612" s="12">
        <f>IFERROR(__xludf.DUMMYFUNCTION("""COMPUTED_VALUE"""),2051.0)</f>
        <v>2051</v>
      </c>
      <c r="B612" s="13">
        <f>IFERROR(__xludf.DUMMYFUNCTION("""COMPUTED_VALUE"""),45396.0)</f>
        <v>45396</v>
      </c>
      <c r="C612" s="12">
        <f>IFERROR(__xludf.DUMMYFUNCTION("""COMPUTED_VALUE"""),165.0)</f>
        <v>165</v>
      </c>
      <c r="D612" s="12">
        <f>IFERROR(__xludf.DUMMYFUNCTION("""COMPUTED_VALUE"""),30.0)</f>
        <v>30</v>
      </c>
      <c r="E612" s="12">
        <f>IFERROR(__xludf.DUMMYFUNCTION("""COMPUTED_VALUE"""),2.0)</f>
        <v>2</v>
      </c>
      <c r="F612" s="12">
        <f>IFERROR(__xludf.DUMMYFUNCTION("""COMPUTED_VALUE"""),5.0)</f>
        <v>5</v>
      </c>
      <c r="G612" s="15" t="str">
        <f>IFERROR(__xludf.DUMMYFUNCTION("""COMPUTED_VALUE"""),"Completa")</f>
        <v>Completa</v>
      </c>
      <c r="H612" s="16" t="str">
        <f t="array" ref="H612">_xlfn.XLOOKUP(D612,Productos[ID_Producto],Productos[Nombre_Producto])</f>
        <v>Vino tinto</v>
      </c>
      <c r="I612" s="17">
        <f t="array" ref="I612">_xlfn.XLOOKUP(D612,Productos[ID_Producto],Productos[Precio_Unitario])</f>
        <v>13.54</v>
      </c>
      <c r="J612" s="17">
        <f t="shared" si="1"/>
        <v>27.08</v>
      </c>
      <c r="K612" s="16" t="str">
        <f t="array" ref="K612">_xlfn.XLOOKUP(C612,Clientes[ID_Cliente],Clientes[Provincia])</f>
        <v>Buenos Aires</v>
      </c>
      <c r="L612" s="16" t="str">
        <f t="array" ref="L612">CONCATENATE(_xlfn.XLOOKUP(C612,Clientes[ID_Cliente],Clientes[Provincia]),", Argentina")</f>
        <v>Buenos Aires, Argentina</v>
      </c>
      <c r="M612" s="20" t="str">
        <f t="array" ref="M612">_xlfn.XLOOKUP(F612,Metodos_De_Pago[ID_Metodo],Metodos_De_Pago[Metodo])</f>
        <v>Transferencia</v>
      </c>
      <c r="N612" s="20" t="str">
        <f t="shared" si="2"/>
        <v>2024 04</v>
      </c>
    </row>
    <row r="613" ht="22.5" customHeight="1">
      <c r="A613" s="12">
        <f>IFERROR(__xludf.DUMMYFUNCTION("""COMPUTED_VALUE"""),2838.0)</f>
        <v>2838</v>
      </c>
      <c r="B613" s="13">
        <f>IFERROR(__xludf.DUMMYFUNCTION("""COMPUTED_VALUE"""),45396.0)</f>
        <v>45396</v>
      </c>
      <c r="C613" s="12">
        <f>IFERROR(__xludf.DUMMYFUNCTION("""COMPUTED_VALUE"""),41.0)</f>
        <v>41</v>
      </c>
      <c r="D613" s="12">
        <f>IFERROR(__xludf.DUMMYFUNCTION("""COMPUTED_VALUE"""),28.0)</f>
        <v>28</v>
      </c>
      <c r="E613" s="12">
        <f>IFERROR(__xludf.DUMMYFUNCTION("""COMPUTED_VALUE"""),2.0)</f>
        <v>2</v>
      </c>
      <c r="F613" s="12">
        <f>IFERROR(__xludf.DUMMYFUNCTION("""COMPUTED_VALUE"""),3.0)</f>
        <v>3</v>
      </c>
      <c r="G613" s="15" t="str">
        <f>IFERROR(__xludf.DUMMYFUNCTION("""COMPUTED_VALUE"""),"Completa")</f>
        <v>Completa</v>
      </c>
      <c r="H613" s="16" t="str">
        <f t="array" ref="H613">_xlfn.XLOOKUP(D613,Productos[ID_Producto],Productos[Nombre_Producto])</f>
        <v>Jugos de frutas</v>
      </c>
      <c r="I613" s="17">
        <f t="array" ref="I613">_xlfn.XLOOKUP(D613,Productos[ID_Producto],Productos[Precio_Unitario])</f>
        <v>9.45</v>
      </c>
      <c r="J613" s="17">
        <f t="shared" si="1"/>
        <v>18.9</v>
      </c>
      <c r="K613" s="16" t="str">
        <f t="array" ref="K613">_xlfn.XLOOKUP(C613,Clientes[ID_Cliente],Clientes[Provincia])</f>
        <v>Neuquén</v>
      </c>
      <c r="L613" s="16" t="str">
        <f t="array" ref="L613">CONCATENATE(_xlfn.XLOOKUP(C613,Clientes[ID_Cliente],Clientes[Provincia]),", Argentina")</f>
        <v>Neuquén, Argentina</v>
      </c>
      <c r="M613" s="20" t="str">
        <f t="array" ref="M613">_xlfn.XLOOKUP(F613,Metodos_De_Pago[ID_Metodo],Metodos_De_Pago[Metodo])</f>
        <v>Tarjeta de Débito</v>
      </c>
      <c r="N613" s="20" t="str">
        <f t="shared" si="2"/>
        <v>2024 04</v>
      </c>
    </row>
    <row r="614" ht="22.5" customHeight="1">
      <c r="A614" s="12">
        <f>IFERROR(__xludf.DUMMYFUNCTION("""COMPUTED_VALUE"""),976.0)</f>
        <v>976</v>
      </c>
      <c r="B614" s="13">
        <f>IFERROR(__xludf.DUMMYFUNCTION("""COMPUTED_VALUE"""),45398.0)</f>
        <v>45398</v>
      </c>
      <c r="C614" s="12">
        <f>IFERROR(__xludf.DUMMYFUNCTION("""COMPUTED_VALUE"""),110.0)</f>
        <v>110</v>
      </c>
      <c r="D614" s="12">
        <f>IFERROR(__xludf.DUMMYFUNCTION("""COMPUTED_VALUE"""),31.0)</f>
        <v>31</v>
      </c>
      <c r="E614" s="12">
        <f>IFERROR(__xludf.DUMMYFUNCTION("""COMPUTED_VALUE"""),2.0)</f>
        <v>2</v>
      </c>
      <c r="F614" s="12">
        <f>IFERROR(__xludf.DUMMYFUNCTION("""COMPUTED_VALUE"""),4.0)</f>
        <v>4</v>
      </c>
      <c r="G614" s="15" t="str">
        <f>IFERROR(__xludf.DUMMYFUNCTION("""COMPUTED_VALUE"""),"Completa")</f>
        <v>Completa</v>
      </c>
      <c r="H614" s="16" t="str">
        <f t="array" ref="H614">_xlfn.XLOOKUP(D614,Productos[ID_Producto],Productos[Nombre_Producto])</f>
        <v>Galletitas de agua</v>
      </c>
      <c r="I614" s="17">
        <f t="array" ref="I614">_xlfn.XLOOKUP(D614,Productos[ID_Producto],Productos[Precio_Unitario])</f>
        <v>5.24</v>
      </c>
      <c r="J614" s="17">
        <f t="shared" si="1"/>
        <v>10.48</v>
      </c>
      <c r="K614" s="16" t="str">
        <f t="array" ref="K614">_xlfn.XLOOKUP(C614,Clientes[ID_Cliente],Clientes[Provincia])</f>
        <v>Chaco</v>
      </c>
      <c r="L614" s="16" t="str">
        <f t="array" ref="L614">CONCATENATE(_xlfn.XLOOKUP(C614,Clientes[ID_Cliente],Clientes[Provincia]),", Argentina")</f>
        <v>Chaco, Argentina</v>
      </c>
      <c r="M614" s="20" t="str">
        <f t="array" ref="M614">_xlfn.XLOOKUP(F614,Metodos_De_Pago[ID_Metodo],Metodos_De_Pago[Metodo])</f>
        <v>Mercado Pago</v>
      </c>
      <c r="N614" s="20" t="str">
        <f t="shared" si="2"/>
        <v>2024 04</v>
      </c>
    </row>
    <row r="615" ht="22.5" customHeight="1">
      <c r="A615" s="12">
        <f>IFERROR(__xludf.DUMMYFUNCTION("""COMPUTED_VALUE"""),547.0)</f>
        <v>547</v>
      </c>
      <c r="B615" s="13">
        <f>IFERROR(__xludf.DUMMYFUNCTION("""COMPUTED_VALUE"""),45399.0)</f>
        <v>45399</v>
      </c>
      <c r="C615" s="12">
        <f>IFERROR(__xludf.DUMMYFUNCTION("""COMPUTED_VALUE"""),69.0)</f>
        <v>69</v>
      </c>
      <c r="D615" s="12">
        <f>IFERROR(__xludf.DUMMYFUNCTION("""COMPUTED_VALUE"""),22.0)</f>
        <v>22</v>
      </c>
      <c r="E615" s="12">
        <f>IFERROR(__xludf.DUMMYFUNCTION("""COMPUTED_VALUE"""),2.0)</f>
        <v>2</v>
      </c>
      <c r="F615" s="12">
        <f>IFERROR(__xludf.DUMMYFUNCTION("""COMPUTED_VALUE"""),4.0)</f>
        <v>4</v>
      </c>
      <c r="G615" s="15" t="str">
        <f>IFERROR(__xludf.DUMMYFUNCTION("""COMPUTED_VALUE"""),"Pendiente")</f>
        <v>Pendiente</v>
      </c>
      <c r="H615" s="16" t="str">
        <f t="array" ref="H615">_xlfn.XLOOKUP(D615,Productos[ID_Producto],Productos[Nombre_Producto])</f>
        <v>Cebolla</v>
      </c>
      <c r="I615" s="17">
        <f t="array" ref="I615">_xlfn.XLOOKUP(D615,Productos[ID_Producto],Productos[Precio_Unitario])</f>
        <v>4.21</v>
      </c>
      <c r="J615" s="17">
        <f t="shared" si="1"/>
        <v>8.42</v>
      </c>
      <c r="K615" s="16" t="str">
        <f t="array" ref="K615">_xlfn.XLOOKUP(C615,Clientes[ID_Cliente],Clientes[Provincia])</f>
        <v>San Luis</v>
      </c>
      <c r="L615" s="16" t="str">
        <f t="array" ref="L615">CONCATENATE(_xlfn.XLOOKUP(C615,Clientes[ID_Cliente],Clientes[Provincia]),", Argentina")</f>
        <v>San Luis, Argentina</v>
      </c>
      <c r="M615" s="20" t="str">
        <f t="array" ref="M615">_xlfn.XLOOKUP(F615,Metodos_De_Pago[ID_Metodo],Metodos_De_Pago[Metodo])</f>
        <v>Mercado Pago</v>
      </c>
      <c r="N615" s="20" t="str">
        <f t="shared" si="2"/>
        <v>2024 04</v>
      </c>
    </row>
    <row r="616" ht="22.5" customHeight="1">
      <c r="A616" s="12">
        <f>IFERROR(__xludf.DUMMYFUNCTION("""COMPUTED_VALUE"""),1320.0)</f>
        <v>1320</v>
      </c>
      <c r="B616" s="13">
        <f>IFERROR(__xludf.DUMMYFUNCTION("""COMPUTED_VALUE"""),45401.0)</f>
        <v>45401</v>
      </c>
      <c r="C616" s="12">
        <f>IFERROR(__xludf.DUMMYFUNCTION("""COMPUTED_VALUE"""),324.0)</f>
        <v>324</v>
      </c>
      <c r="D616" s="12">
        <f>IFERROR(__xludf.DUMMYFUNCTION("""COMPUTED_VALUE"""),22.0)</f>
        <v>22</v>
      </c>
      <c r="E616" s="12">
        <f>IFERROR(__xludf.DUMMYFUNCTION("""COMPUTED_VALUE"""),2.0)</f>
        <v>2</v>
      </c>
      <c r="F616" s="12">
        <f>IFERROR(__xludf.DUMMYFUNCTION("""COMPUTED_VALUE"""),4.0)</f>
        <v>4</v>
      </c>
      <c r="G616" s="15" t="str">
        <f>IFERROR(__xludf.DUMMYFUNCTION("""COMPUTED_VALUE"""),"Pendiente")</f>
        <v>Pendiente</v>
      </c>
      <c r="H616" s="16" t="str">
        <f t="array" ref="H616">_xlfn.XLOOKUP(D616,Productos[ID_Producto],Productos[Nombre_Producto])</f>
        <v>Cebolla</v>
      </c>
      <c r="I616" s="17">
        <f t="array" ref="I616">_xlfn.XLOOKUP(D616,Productos[ID_Producto],Productos[Precio_Unitario])</f>
        <v>4.21</v>
      </c>
      <c r="J616" s="17">
        <f t="shared" si="1"/>
        <v>8.42</v>
      </c>
      <c r="K616" s="16" t="str">
        <f t="array" ref="K616">_xlfn.XLOOKUP(C616,Clientes[ID_Cliente],Clientes[Provincia])</f>
        <v>Chaco</v>
      </c>
      <c r="L616" s="16" t="str">
        <f t="array" ref="L616">CONCATENATE(_xlfn.XLOOKUP(C616,Clientes[ID_Cliente],Clientes[Provincia]),", Argentina")</f>
        <v>Chaco, Argentina</v>
      </c>
      <c r="M616" s="20" t="str">
        <f t="array" ref="M616">_xlfn.XLOOKUP(F616,Metodos_De_Pago[ID_Metodo],Metodos_De_Pago[Metodo])</f>
        <v>Mercado Pago</v>
      </c>
      <c r="N616" s="20" t="str">
        <f t="shared" si="2"/>
        <v>2024 04</v>
      </c>
    </row>
    <row r="617" ht="22.5" customHeight="1">
      <c r="A617" s="12">
        <f>IFERROR(__xludf.DUMMYFUNCTION("""COMPUTED_VALUE"""),724.0)</f>
        <v>724</v>
      </c>
      <c r="B617" s="13">
        <f>IFERROR(__xludf.DUMMYFUNCTION("""COMPUTED_VALUE"""),45402.0)</f>
        <v>45402</v>
      </c>
      <c r="C617" s="12">
        <f>IFERROR(__xludf.DUMMYFUNCTION("""COMPUTED_VALUE"""),298.0)</f>
        <v>298</v>
      </c>
      <c r="D617" s="12">
        <f>IFERROR(__xludf.DUMMYFUNCTION("""COMPUTED_VALUE"""),4.0)</f>
        <v>4</v>
      </c>
      <c r="E617" s="12">
        <f>IFERROR(__xludf.DUMMYFUNCTION("""COMPUTED_VALUE"""),2.0)</f>
        <v>2</v>
      </c>
      <c r="F617" s="12">
        <f>IFERROR(__xludf.DUMMYFUNCTION("""COMPUTED_VALUE"""),2.0)</f>
        <v>2</v>
      </c>
      <c r="G617" s="15" t="str">
        <f>IFERROR(__xludf.DUMMYFUNCTION("""COMPUTED_VALUE"""),"Completa")</f>
        <v>Completa</v>
      </c>
      <c r="H617" s="16" t="str">
        <f t="array" ref="H617">_xlfn.XLOOKUP(D617,Productos[ID_Producto],Productos[Nombre_Producto])</f>
        <v>Queso rallado</v>
      </c>
      <c r="I617" s="17">
        <f t="array" ref="I617">_xlfn.XLOOKUP(D617,Productos[ID_Producto],Productos[Precio_Unitario])</f>
        <v>19.23</v>
      </c>
      <c r="J617" s="17">
        <f t="shared" si="1"/>
        <v>38.46</v>
      </c>
      <c r="K617" s="16" t="str">
        <f t="array" ref="K617">_xlfn.XLOOKUP(C617,Clientes[ID_Cliente],Clientes[Provincia])</f>
        <v>Buenos Aires</v>
      </c>
      <c r="L617" s="16" t="str">
        <f t="array" ref="L617">CONCATENATE(_xlfn.XLOOKUP(C617,Clientes[ID_Cliente],Clientes[Provincia]),", Argentina")</f>
        <v>Buenos Aires, Argentina</v>
      </c>
      <c r="M617" s="20" t="str">
        <f t="array" ref="M617">_xlfn.XLOOKUP(F617,Metodos_De_Pago[ID_Metodo],Metodos_De_Pago[Metodo])</f>
        <v>Tarjeta de Crédito</v>
      </c>
      <c r="N617" s="20" t="str">
        <f t="shared" si="2"/>
        <v>2024 04</v>
      </c>
    </row>
    <row r="618" ht="22.5" customHeight="1">
      <c r="A618" s="12">
        <f>IFERROR(__xludf.DUMMYFUNCTION("""COMPUTED_VALUE"""),1707.0)</f>
        <v>1707</v>
      </c>
      <c r="B618" s="13">
        <f>IFERROR(__xludf.DUMMYFUNCTION("""COMPUTED_VALUE"""),45402.0)</f>
        <v>45402</v>
      </c>
      <c r="C618" s="12">
        <f>IFERROR(__xludf.DUMMYFUNCTION("""COMPUTED_VALUE"""),223.0)</f>
        <v>223</v>
      </c>
      <c r="D618" s="12">
        <f>IFERROR(__xludf.DUMMYFUNCTION("""COMPUTED_VALUE"""),30.0)</f>
        <v>30</v>
      </c>
      <c r="E618" s="12">
        <f>IFERROR(__xludf.DUMMYFUNCTION("""COMPUTED_VALUE"""),2.0)</f>
        <v>2</v>
      </c>
      <c r="F618" s="12">
        <f>IFERROR(__xludf.DUMMYFUNCTION("""COMPUTED_VALUE"""),5.0)</f>
        <v>5</v>
      </c>
      <c r="G618" s="15" t="str">
        <f>IFERROR(__xludf.DUMMYFUNCTION("""COMPUTED_VALUE"""),"Completa")</f>
        <v>Completa</v>
      </c>
      <c r="H618" s="16" t="str">
        <f t="array" ref="H618">_xlfn.XLOOKUP(D618,Productos[ID_Producto],Productos[Nombre_Producto])</f>
        <v>Vino tinto</v>
      </c>
      <c r="I618" s="17">
        <f t="array" ref="I618">_xlfn.XLOOKUP(D618,Productos[ID_Producto],Productos[Precio_Unitario])</f>
        <v>13.54</v>
      </c>
      <c r="J618" s="17">
        <f t="shared" si="1"/>
        <v>27.08</v>
      </c>
      <c r="K618" s="16" t="str">
        <f t="array" ref="K618">_xlfn.XLOOKUP(C618,Clientes[ID_Cliente],Clientes[Provincia])</f>
        <v>Buenos Aires</v>
      </c>
      <c r="L618" s="16" t="str">
        <f t="array" ref="L618">CONCATENATE(_xlfn.XLOOKUP(C618,Clientes[ID_Cliente],Clientes[Provincia]),", Argentina")</f>
        <v>Buenos Aires, Argentina</v>
      </c>
      <c r="M618" s="20" t="str">
        <f t="array" ref="M618">_xlfn.XLOOKUP(F618,Metodos_De_Pago[ID_Metodo],Metodos_De_Pago[Metodo])</f>
        <v>Transferencia</v>
      </c>
      <c r="N618" s="20" t="str">
        <f t="shared" si="2"/>
        <v>2024 04</v>
      </c>
    </row>
    <row r="619" ht="22.5" customHeight="1">
      <c r="A619" s="12">
        <f>IFERROR(__xludf.DUMMYFUNCTION("""COMPUTED_VALUE"""),2205.0)</f>
        <v>2205</v>
      </c>
      <c r="B619" s="13">
        <f>IFERROR(__xludf.DUMMYFUNCTION("""COMPUTED_VALUE"""),45402.0)</f>
        <v>45402</v>
      </c>
      <c r="C619" s="12">
        <f>IFERROR(__xludf.DUMMYFUNCTION("""COMPUTED_VALUE"""),233.0)</f>
        <v>233</v>
      </c>
      <c r="D619" s="12">
        <f>IFERROR(__xludf.DUMMYFUNCTION("""COMPUTED_VALUE"""),4.0)</f>
        <v>4</v>
      </c>
      <c r="E619" s="12">
        <f>IFERROR(__xludf.DUMMYFUNCTION("""COMPUTED_VALUE"""),2.0)</f>
        <v>2</v>
      </c>
      <c r="F619" s="12">
        <f>IFERROR(__xludf.DUMMYFUNCTION("""COMPUTED_VALUE"""),4.0)</f>
        <v>4</v>
      </c>
      <c r="G619" s="15" t="str">
        <f>IFERROR(__xludf.DUMMYFUNCTION("""COMPUTED_VALUE"""),"Completa")</f>
        <v>Completa</v>
      </c>
      <c r="H619" s="16" t="str">
        <f t="array" ref="H619">_xlfn.XLOOKUP(D619,Productos[ID_Producto],Productos[Nombre_Producto])</f>
        <v>Queso rallado</v>
      </c>
      <c r="I619" s="17">
        <f t="array" ref="I619">_xlfn.XLOOKUP(D619,Productos[ID_Producto],Productos[Precio_Unitario])</f>
        <v>19.23</v>
      </c>
      <c r="J619" s="17">
        <f t="shared" si="1"/>
        <v>38.46</v>
      </c>
      <c r="K619" s="16" t="str">
        <f t="array" ref="K619">_xlfn.XLOOKUP(C619,Clientes[ID_Cliente],Clientes[Provincia])</f>
        <v>Córdoba</v>
      </c>
      <c r="L619" s="16" t="str">
        <f t="array" ref="L619">CONCATENATE(_xlfn.XLOOKUP(C619,Clientes[ID_Cliente],Clientes[Provincia]),", Argentina")</f>
        <v>Córdoba, Argentina</v>
      </c>
      <c r="M619" s="20" t="str">
        <f t="array" ref="M619">_xlfn.XLOOKUP(F619,Metodos_De_Pago[ID_Metodo],Metodos_De_Pago[Metodo])</f>
        <v>Mercado Pago</v>
      </c>
      <c r="N619" s="20" t="str">
        <f t="shared" si="2"/>
        <v>2024 04</v>
      </c>
    </row>
    <row r="620" ht="22.5" customHeight="1">
      <c r="A620" s="12">
        <f>IFERROR(__xludf.DUMMYFUNCTION("""COMPUTED_VALUE"""),135.0)</f>
        <v>135</v>
      </c>
      <c r="B620" s="13">
        <f>IFERROR(__xludf.DUMMYFUNCTION("""COMPUTED_VALUE"""),45403.0)</f>
        <v>45403</v>
      </c>
      <c r="C620" s="12">
        <f>IFERROR(__xludf.DUMMYFUNCTION("""COMPUTED_VALUE"""),254.0)</f>
        <v>254</v>
      </c>
      <c r="D620" s="12">
        <f>IFERROR(__xludf.DUMMYFUNCTION("""COMPUTED_VALUE"""),38.0)</f>
        <v>38</v>
      </c>
      <c r="E620" s="12">
        <f>IFERROR(__xludf.DUMMYFUNCTION("""COMPUTED_VALUE"""),2.0)</f>
        <v>2</v>
      </c>
      <c r="F620" s="12">
        <f>IFERROR(__xludf.DUMMYFUNCTION("""COMPUTED_VALUE"""),5.0)</f>
        <v>5</v>
      </c>
      <c r="G620" s="15" t="str">
        <f>IFERROR(__xludf.DUMMYFUNCTION("""COMPUTED_VALUE"""),"Completa")</f>
        <v>Completa</v>
      </c>
      <c r="H620" s="16" t="str">
        <f t="array" ref="H620">_xlfn.XLOOKUP(D620,Productos[ID_Producto],Productos[Nombre_Producto])</f>
        <v>Atún enlatado</v>
      </c>
      <c r="I620" s="17">
        <f t="array" ref="I620">_xlfn.XLOOKUP(D620,Productos[ID_Producto],Productos[Precio_Unitario])</f>
        <v>6.21</v>
      </c>
      <c r="J620" s="17">
        <f t="shared" si="1"/>
        <v>12.42</v>
      </c>
      <c r="K620" s="16" t="str">
        <f t="array" ref="K620">_xlfn.XLOOKUP(C620,Clientes[ID_Cliente],Clientes[Provincia])</f>
        <v>Neuquén</v>
      </c>
      <c r="L620" s="16" t="str">
        <f t="array" ref="L620">CONCATENATE(_xlfn.XLOOKUP(C620,Clientes[ID_Cliente],Clientes[Provincia]),", Argentina")</f>
        <v>Neuquén, Argentina</v>
      </c>
      <c r="M620" s="20" t="str">
        <f t="array" ref="M620">_xlfn.XLOOKUP(F620,Metodos_De_Pago[ID_Metodo],Metodos_De_Pago[Metodo])</f>
        <v>Transferencia</v>
      </c>
      <c r="N620" s="20" t="str">
        <f t="shared" si="2"/>
        <v>2024 04</v>
      </c>
    </row>
    <row r="621" ht="22.5" customHeight="1">
      <c r="A621" s="12">
        <f>IFERROR(__xludf.DUMMYFUNCTION("""COMPUTED_VALUE"""),1026.0)</f>
        <v>1026</v>
      </c>
      <c r="B621" s="13">
        <f>IFERROR(__xludf.DUMMYFUNCTION("""COMPUTED_VALUE"""),45403.0)</f>
        <v>45403</v>
      </c>
      <c r="C621" s="12">
        <f>IFERROR(__xludf.DUMMYFUNCTION("""COMPUTED_VALUE"""),131.0)</f>
        <v>131</v>
      </c>
      <c r="D621" s="12">
        <f>IFERROR(__xludf.DUMMYFUNCTION("""COMPUTED_VALUE"""),17.0)</f>
        <v>17</v>
      </c>
      <c r="E621" s="12">
        <f>IFERROR(__xludf.DUMMYFUNCTION("""COMPUTED_VALUE"""),2.0)</f>
        <v>2</v>
      </c>
      <c r="F621" s="12">
        <f>IFERROR(__xludf.DUMMYFUNCTION("""COMPUTED_VALUE"""),4.0)</f>
        <v>4</v>
      </c>
      <c r="G621" s="15" t="str">
        <f>IFERROR(__xludf.DUMMYFUNCTION("""COMPUTED_VALUE"""),"Pendiente")</f>
        <v>Pendiente</v>
      </c>
      <c r="H621" s="16" t="str">
        <f t="array" ref="H621">_xlfn.XLOOKUP(D621,Productos[ID_Producto],Productos[Nombre_Producto])</f>
        <v>Manzanas</v>
      </c>
      <c r="I621" s="17">
        <f t="array" ref="I621">_xlfn.XLOOKUP(D621,Productos[ID_Producto],Productos[Precio_Unitario])</f>
        <v>6.54</v>
      </c>
      <c r="J621" s="17">
        <f t="shared" si="1"/>
        <v>13.08</v>
      </c>
      <c r="K621" s="16" t="str">
        <f t="array" ref="K621">_xlfn.XLOOKUP(C621,Clientes[ID_Cliente],Clientes[Provincia])</f>
        <v>Buenos Aires</v>
      </c>
      <c r="L621" s="16" t="str">
        <f t="array" ref="L621">CONCATENATE(_xlfn.XLOOKUP(C621,Clientes[ID_Cliente],Clientes[Provincia]),", Argentina")</f>
        <v>Buenos Aires, Argentina</v>
      </c>
      <c r="M621" s="20" t="str">
        <f t="array" ref="M621">_xlfn.XLOOKUP(F621,Metodos_De_Pago[ID_Metodo],Metodos_De_Pago[Metodo])</f>
        <v>Mercado Pago</v>
      </c>
      <c r="N621" s="20" t="str">
        <f t="shared" si="2"/>
        <v>2024 04</v>
      </c>
    </row>
    <row r="622" ht="22.5" customHeight="1">
      <c r="A622" s="12">
        <f>IFERROR(__xludf.DUMMYFUNCTION("""COMPUTED_VALUE"""),2426.0)</f>
        <v>2426</v>
      </c>
      <c r="B622" s="13">
        <f>IFERROR(__xludf.DUMMYFUNCTION("""COMPUTED_VALUE"""),45403.0)</f>
        <v>45403</v>
      </c>
      <c r="C622" s="12">
        <f>IFERROR(__xludf.DUMMYFUNCTION("""COMPUTED_VALUE"""),75.0)</f>
        <v>75</v>
      </c>
      <c r="D622" s="12">
        <f>IFERROR(__xludf.DUMMYFUNCTION("""COMPUTED_VALUE"""),30.0)</f>
        <v>30</v>
      </c>
      <c r="E622" s="12">
        <f>IFERROR(__xludf.DUMMYFUNCTION("""COMPUTED_VALUE"""),2.0)</f>
        <v>2</v>
      </c>
      <c r="F622" s="12">
        <f>IFERROR(__xludf.DUMMYFUNCTION("""COMPUTED_VALUE"""),4.0)</f>
        <v>4</v>
      </c>
      <c r="G622" s="15" t="str">
        <f>IFERROR(__xludf.DUMMYFUNCTION("""COMPUTED_VALUE"""),"Completa")</f>
        <v>Completa</v>
      </c>
      <c r="H622" s="16" t="str">
        <f t="array" ref="H622">_xlfn.XLOOKUP(D622,Productos[ID_Producto],Productos[Nombre_Producto])</f>
        <v>Vino tinto</v>
      </c>
      <c r="I622" s="17">
        <f t="array" ref="I622">_xlfn.XLOOKUP(D622,Productos[ID_Producto],Productos[Precio_Unitario])</f>
        <v>13.54</v>
      </c>
      <c r="J622" s="17">
        <f t="shared" si="1"/>
        <v>27.08</v>
      </c>
      <c r="K622" s="16" t="str">
        <f t="array" ref="K622">_xlfn.XLOOKUP(C622,Clientes[ID_Cliente],Clientes[Provincia])</f>
        <v>Chaco</v>
      </c>
      <c r="L622" s="16" t="str">
        <f t="array" ref="L622">CONCATENATE(_xlfn.XLOOKUP(C622,Clientes[ID_Cliente],Clientes[Provincia]),", Argentina")</f>
        <v>Chaco, Argentina</v>
      </c>
      <c r="M622" s="20" t="str">
        <f t="array" ref="M622">_xlfn.XLOOKUP(F622,Metodos_De_Pago[ID_Metodo],Metodos_De_Pago[Metodo])</f>
        <v>Mercado Pago</v>
      </c>
      <c r="N622" s="20" t="str">
        <f t="shared" si="2"/>
        <v>2024 04</v>
      </c>
    </row>
    <row r="623" ht="22.5" customHeight="1">
      <c r="A623" s="12">
        <f>IFERROR(__xludf.DUMMYFUNCTION("""COMPUTED_VALUE"""),2827.0)</f>
        <v>2827</v>
      </c>
      <c r="B623" s="13">
        <f>IFERROR(__xludf.DUMMYFUNCTION("""COMPUTED_VALUE"""),45403.0)</f>
        <v>45403</v>
      </c>
      <c r="C623" s="12">
        <f>IFERROR(__xludf.DUMMYFUNCTION("""COMPUTED_VALUE"""),305.0)</f>
        <v>305</v>
      </c>
      <c r="D623" s="12">
        <f>IFERROR(__xludf.DUMMYFUNCTION("""COMPUTED_VALUE"""),23.0)</f>
        <v>23</v>
      </c>
      <c r="E623" s="12">
        <f>IFERROR(__xludf.DUMMYFUNCTION("""COMPUTED_VALUE"""),2.0)</f>
        <v>2</v>
      </c>
      <c r="F623" s="12">
        <f>IFERROR(__xludf.DUMMYFUNCTION("""COMPUTED_VALUE"""),5.0)</f>
        <v>5</v>
      </c>
      <c r="G623" s="15" t="str">
        <f>IFERROR(__xludf.DUMMYFUNCTION("""COMPUTED_VALUE"""),"Completa")</f>
        <v>Completa</v>
      </c>
      <c r="H623" s="16" t="str">
        <f t="array" ref="H623">_xlfn.XLOOKUP(D623,Productos[ID_Producto],Productos[Nombre_Producto])</f>
        <v>Papas fritas</v>
      </c>
      <c r="I623" s="17">
        <f t="array" ref="I623">_xlfn.XLOOKUP(D623,Productos[ID_Producto],Productos[Precio_Unitario])</f>
        <v>8.23</v>
      </c>
      <c r="J623" s="17">
        <f t="shared" si="1"/>
        <v>16.46</v>
      </c>
      <c r="K623" s="16" t="str">
        <f t="array" ref="K623">_xlfn.XLOOKUP(C623,Clientes[ID_Cliente],Clientes[Provincia])</f>
        <v>Neuquén</v>
      </c>
      <c r="L623" s="16" t="str">
        <f t="array" ref="L623">CONCATENATE(_xlfn.XLOOKUP(C623,Clientes[ID_Cliente],Clientes[Provincia]),", Argentina")</f>
        <v>Neuquén, Argentina</v>
      </c>
      <c r="M623" s="20" t="str">
        <f t="array" ref="M623">_xlfn.XLOOKUP(F623,Metodos_De_Pago[ID_Metodo],Metodos_De_Pago[Metodo])</f>
        <v>Transferencia</v>
      </c>
      <c r="N623" s="20" t="str">
        <f t="shared" si="2"/>
        <v>2024 04</v>
      </c>
    </row>
    <row r="624" ht="22.5" customHeight="1">
      <c r="A624" s="12">
        <f>IFERROR(__xludf.DUMMYFUNCTION("""COMPUTED_VALUE"""),523.0)</f>
        <v>523</v>
      </c>
      <c r="B624" s="13">
        <f>IFERROR(__xludf.DUMMYFUNCTION("""COMPUTED_VALUE"""),45404.0)</f>
        <v>45404</v>
      </c>
      <c r="C624" s="12">
        <f>IFERROR(__xludf.DUMMYFUNCTION("""COMPUTED_VALUE"""),107.0)</f>
        <v>107</v>
      </c>
      <c r="D624" s="12">
        <f>IFERROR(__xludf.DUMMYFUNCTION("""COMPUTED_VALUE"""),12.0)</f>
        <v>12</v>
      </c>
      <c r="E624" s="12">
        <f>IFERROR(__xludf.DUMMYFUNCTION("""COMPUTED_VALUE"""),2.0)</f>
        <v>2</v>
      </c>
      <c r="F624" s="12">
        <f>IFERROR(__xludf.DUMMYFUNCTION("""COMPUTED_VALUE"""),1.0)</f>
        <v>1</v>
      </c>
      <c r="G624" s="15" t="str">
        <f>IFERROR(__xludf.DUMMYFUNCTION("""COMPUTED_VALUE"""),"Completa")</f>
        <v>Completa</v>
      </c>
      <c r="H624" s="16" t="str">
        <f t="array" ref="H624">_xlfn.XLOOKUP(D624,Productos[ID_Producto],Productos[Nombre_Producto])</f>
        <v>Pan francés</v>
      </c>
      <c r="I624" s="17">
        <f t="array" ref="I624">_xlfn.XLOOKUP(D624,Productos[ID_Producto],Productos[Precio_Unitario])</f>
        <v>8.12</v>
      </c>
      <c r="J624" s="17">
        <f t="shared" si="1"/>
        <v>16.24</v>
      </c>
      <c r="K624" s="16" t="str">
        <f t="array" ref="K624">_xlfn.XLOOKUP(C624,Clientes[ID_Cliente],Clientes[Provincia])</f>
        <v>Neuquén</v>
      </c>
      <c r="L624" s="16" t="str">
        <f t="array" ref="L624">CONCATENATE(_xlfn.XLOOKUP(C624,Clientes[ID_Cliente],Clientes[Provincia]),", Argentina")</f>
        <v>Neuquén, Argentina</v>
      </c>
      <c r="M624" s="20" t="str">
        <f t="array" ref="M624">_xlfn.XLOOKUP(F624,Metodos_De_Pago[ID_Metodo],Metodos_De_Pago[Metodo])</f>
        <v>Efectivo</v>
      </c>
      <c r="N624" s="20" t="str">
        <f t="shared" si="2"/>
        <v>2024 04</v>
      </c>
    </row>
    <row r="625" ht="22.5" customHeight="1">
      <c r="A625" s="12">
        <f>IFERROR(__xludf.DUMMYFUNCTION("""COMPUTED_VALUE"""),61.0)</f>
        <v>61</v>
      </c>
      <c r="B625" s="13">
        <f>IFERROR(__xludf.DUMMYFUNCTION("""COMPUTED_VALUE"""),45405.0)</f>
        <v>45405</v>
      </c>
      <c r="C625" s="12">
        <f>IFERROR(__xludf.DUMMYFUNCTION("""COMPUTED_VALUE"""),319.0)</f>
        <v>319</v>
      </c>
      <c r="D625" s="12">
        <f>IFERROR(__xludf.DUMMYFUNCTION("""COMPUTED_VALUE"""),6.0)</f>
        <v>6</v>
      </c>
      <c r="E625" s="12">
        <f>IFERROR(__xludf.DUMMYFUNCTION("""COMPUTED_VALUE"""),2.0)</f>
        <v>2</v>
      </c>
      <c r="F625" s="12">
        <f>IFERROR(__xludf.DUMMYFUNCTION("""COMPUTED_VALUE"""),1.0)</f>
        <v>1</v>
      </c>
      <c r="G625" s="15" t="str">
        <f>IFERROR(__xludf.DUMMYFUNCTION("""COMPUTED_VALUE"""),"Completa")</f>
        <v>Completa</v>
      </c>
      <c r="H625" s="16" t="str">
        <f t="array" ref="H625">_xlfn.XLOOKUP(D625,Productos[ID_Producto],Productos[Nombre_Producto])</f>
        <v>Asado</v>
      </c>
      <c r="I625" s="17">
        <f t="array" ref="I625">_xlfn.XLOOKUP(D625,Productos[ID_Producto],Productos[Precio_Unitario])</f>
        <v>28.56</v>
      </c>
      <c r="J625" s="17">
        <f t="shared" si="1"/>
        <v>57.12</v>
      </c>
      <c r="K625" s="16" t="str">
        <f t="array" ref="K625">_xlfn.XLOOKUP(C625,Clientes[ID_Cliente],Clientes[Provincia])</f>
        <v>Neuquén</v>
      </c>
      <c r="L625" s="16" t="str">
        <f t="array" ref="L625">CONCATENATE(_xlfn.XLOOKUP(C625,Clientes[ID_Cliente],Clientes[Provincia]),", Argentina")</f>
        <v>Neuquén, Argentina</v>
      </c>
      <c r="M625" s="20" t="str">
        <f t="array" ref="M625">_xlfn.XLOOKUP(F625,Metodos_De_Pago[ID_Metodo],Metodos_De_Pago[Metodo])</f>
        <v>Efectivo</v>
      </c>
      <c r="N625" s="20" t="str">
        <f t="shared" si="2"/>
        <v>2024 04</v>
      </c>
    </row>
    <row r="626" ht="22.5" customHeight="1">
      <c r="A626" s="12">
        <f>IFERROR(__xludf.DUMMYFUNCTION("""COMPUTED_VALUE"""),849.0)</f>
        <v>849</v>
      </c>
      <c r="B626" s="13">
        <f>IFERROR(__xludf.DUMMYFUNCTION("""COMPUTED_VALUE"""),45405.0)</f>
        <v>45405</v>
      </c>
      <c r="C626" s="12">
        <f>IFERROR(__xludf.DUMMYFUNCTION("""COMPUTED_VALUE"""),177.0)</f>
        <v>177</v>
      </c>
      <c r="D626" s="12">
        <f>IFERROR(__xludf.DUMMYFUNCTION("""COMPUTED_VALUE"""),31.0)</f>
        <v>31</v>
      </c>
      <c r="E626" s="12">
        <f>IFERROR(__xludf.DUMMYFUNCTION("""COMPUTED_VALUE"""),2.0)</f>
        <v>2</v>
      </c>
      <c r="F626" s="12">
        <f>IFERROR(__xludf.DUMMYFUNCTION("""COMPUTED_VALUE"""),5.0)</f>
        <v>5</v>
      </c>
      <c r="G626" s="15" t="str">
        <f>IFERROR(__xludf.DUMMYFUNCTION("""COMPUTED_VALUE"""),"Completa")</f>
        <v>Completa</v>
      </c>
      <c r="H626" s="16" t="str">
        <f t="array" ref="H626">_xlfn.XLOOKUP(D626,Productos[ID_Producto],Productos[Nombre_Producto])</f>
        <v>Galletitas de agua</v>
      </c>
      <c r="I626" s="17">
        <f t="array" ref="I626">_xlfn.XLOOKUP(D626,Productos[ID_Producto],Productos[Precio_Unitario])</f>
        <v>5.24</v>
      </c>
      <c r="J626" s="17">
        <f t="shared" si="1"/>
        <v>10.48</v>
      </c>
      <c r="K626" s="16" t="str">
        <f t="array" ref="K626">_xlfn.XLOOKUP(C626,Clientes[ID_Cliente],Clientes[Provincia])</f>
        <v>Chaco</v>
      </c>
      <c r="L626" s="16" t="str">
        <f t="array" ref="L626">CONCATENATE(_xlfn.XLOOKUP(C626,Clientes[ID_Cliente],Clientes[Provincia]),", Argentina")</f>
        <v>Chaco, Argentina</v>
      </c>
      <c r="M626" s="20" t="str">
        <f t="array" ref="M626">_xlfn.XLOOKUP(F626,Metodos_De_Pago[ID_Metodo],Metodos_De_Pago[Metodo])</f>
        <v>Transferencia</v>
      </c>
      <c r="N626" s="20" t="str">
        <f t="shared" si="2"/>
        <v>2024 04</v>
      </c>
    </row>
    <row r="627" ht="22.5" customHeight="1">
      <c r="A627" s="12">
        <f>IFERROR(__xludf.DUMMYFUNCTION("""COMPUTED_VALUE"""),1254.0)</f>
        <v>1254</v>
      </c>
      <c r="B627" s="13">
        <f>IFERROR(__xludf.DUMMYFUNCTION("""COMPUTED_VALUE"""),45405.0)</f>
        <v>45405</v>
      </c>
      <c r="C627" s="12">
        <f>IFERROR(__xludf.DUMMYFUNCTION("""COMPUTED_VALUE"""),294.0)</f>
        <v>294</v>
      </c>
      <c r="D627" s="12">
        <f>IFERROR(__xludf.DUMMYFUNCTION("""COMPUTED_VALUE"""),4.0)</f>
        <v>4</v>
      </c>
      <c r="E627" s="12">
        <f>IFERROR(__xludf.DUMMYFUNCTION("""COMPUTED_VALUE"""),2.0)</f>
        <v>2</v>
      </c>
      <c r="F627" s="12">
        <f>IFERROR(__xludf.DUMMYFUNCTION("""COMPUTED_VALUE"""),4.0)</f>
        <v>4</v>
      </c>
      <c r="G627" s="15" t="str">
        <f>IFERROR(__xludf.DUMMYFUNCTION("""COMPUTED_VALUE"""),"Completa")</f>
        <v>Completa</v>
      </c>
      <c r="H627" s="16" t="str">
        <f t="array" ref="H627">_xlfn.XLOOKUP(D627,Productos[ID_Producto],Productos[Nombre_Producto])</f>
        <v>Queso rallado</v>
      </c>
      <c r="I627" s="17">
        <f t="array" ref="I627">_xlfn.XLOOKUP(D627,Productos[ID_Producto],Productos[Precio_Unitario])</f>
        <v>19.23</v>
      </c>
      <c r="J627" s="17">
        <f t="shared" si="1"/>
        <v>38.46</v>
      </c>
      <c r="K627" s="16" t="str">
        <f t="array" ref="K627">_xlfn.XLOOKUP(C627,Clientes[ID_Cliente],Clientes[Provincia])</f>
        <v>Córdoba</v>
      </c>
      <c r="L627" s="16" t="str">
        <f t="array" ref="L627">CONCATENATE(_xlfn.XLOOKUP(C627,Clientes[ID_Cliente],Clientes[Provincia]),", Argentina")</f>
        <v>Córdoba, Argentina</v>
      </c>
      <c r="M627" s="20" t="str">
        <f t="array" ref="M627">_xlfn.XLOOKUP(F627,Metodos_De_Pago[ID_Metodo],Metodos_De_Pago[Metodo])</f>
        <v>Mercado Pago</v>
      </c>
      <c r="N627" s="20" t="str">
        <f t="shared" si="2"/>
        <v>2024 04</v>
      </c>
    </row>
    <row r="628" ht="22.5" customHeight="1">
      <c r="A628" s="12">
        <f>IFERROR(__xludf.DUMMYFUNCTION("""COMPUTED_VALUE"""),1783.0)</f>
        <v>1783</v>
      </c>
      <c r="B628" s="13">
        <f>IFERROR(__xludf.DUMMYFUNCTION("""COMPUTED_VALUE"""),45406.0)</f>
        <v>45406</v>
      </c>
      <c r="C628" s="12">
        <f>IFERROR(__xludf.DUMMYFUNCTION("""COMPUTED_VALUE"""),301.0)</f>
        <v>301</v>
      </c>
      <c r="D628" s="12">
        <f>IFERROR(__xludf.DUMMYFUNCTION("""COMPUTED_VALUE"""),11.0)</f>
        <v>11</v>
      </c>
      <c r="E628" s="12">
        <f>IFERROR(__xludf.DUMMYFUNCTION("""COMPUTED_VALUE"""),2.0)</f>
        <v>2</v>
      </c>
      <c r="F628" s="12">
        <f>IFERROR(__xludf.DUMMYFUNCTION("""COMPUTED_VALUE"""),4.0)</f>
        <v>4</v>
      </c>
      <c r="G628" s="15" t="str">
        <f>IFERROR(__xludf.DUMMYFUNCTION("""COMPUTED_VALUE"""),"Completa")</f>
        <v>Completa</v>
      </c>
      <c r="H628" s="16" t="str">
        <f t="array" ref="H628">_xlfn.XLOOKUP(D628,Productos[ID_Producto],Productos[Nombre_Producto])</f>
        <v>Salchicha</v>
      </c>
      <c r="I628" s="17">
        <f t="array" ref="I628">_xlfn.XLOOKUP(D628,Productos[ID_Producto],Productos[Precio_Unitario])</f>
        <v>11.23</v>
      </c>
      <c r="J628" s="17">
        <f t="shared" si="1"/>
        <v>22.46</v>
      </c>
      <c r="K628" s="16" t="str">
        <f t="array" ref="K628">_xlfn.XLOOKUP(C628,Clientes[ID_Cliente],Clientes[Provincia])</f>
        <v>San Luis</v>
      </c>
      <c r="L628" s="16" t="str">
        <f t="array" ref="L628">CONCATENATE(_xlfn.XLOOKUP(C628,Clientes[ID_Cliente],Clientes[Provincia]),", Argentina")</f>
        <v>San Luis, Argentina</v>
      </c>
      <c r="M628" s="20" t="str">
        <f t="array" ref="M628">_xlfn.XLOOKUP(F628,Metodos_De_Pago[ID_Metodo],Metodos_De_Pago[Metodo])</f>
        <v>Mercado Pago</v>
      </c>
      <c r="N628" s="20" t="str">
        <f t="shared" si="2"/>
        <v>2024 04</v>
      </c>
    </row>
    <row r="629" ht="22.5" customHeight="1">
      <c r="A629" s="12">
        <f>IFERROR(__xludf.DUMMYFUNCTION("""COMPUTED_VALUE"""),1996.0)</f>
        <v>1996</v>
      </c>
      <c r="B629" s="13">
        <f>IFERROR(__xludf.DUMMYFUNCTION("""COMPUTED_VALUE"""),45406.0)</f>
        <v>45406</v>
      </c>
      <c r="C629" s="12">
        <f>IFERROR(__xludf.DUMMYFUNCTION("""COMPUTED_VALUE"""),117.0)</f>
        <v>117</v>
      </c>
      <c r="D629" s="12">
        <f>IFERROR(__xludf.DUMMYFUNCTION("""COMPUTED_VALUE"""),23.0)</f>
        <v>23</v>
      </c>
      <c r="E629" s="12">
        <f>IFERROR(__xludf.DUMMYFUNCTION("""COMPUTED_VALUE"""),2.0)</f>
        <v>2</v>
      </c>
      <c r="F629" s="12">
        <f>IFERROR(__xludf.DUMMYFUNCTION("""COMPUTED_VALUE"""),3.0)</f>
        <v>3</v>
      </c>
      <c r="G629" s="15" t="str">
        <f>IFERROR(__xludf.DUMMYFUNCTION("""COMPUTED_VALUE"""),"Completa")</f>
        <v>Completa</v>
      </c>
      <c r="H629" s="16" t="str">
        <f t="array" ref="H629">_xlfn.XLOOKUP(D629,Productos[ID_Producto],Productos[Nombre_Producto])</f>
        <v>Papas fritas</v>
      </c>
      <c r="I629" s="17">
        <f t="array" ref="I629">_xlfn.XLOOKUP(D629,Productos[ID_Producto],Productos[Precio_Unitario])</f>
        <v>8.23</v>
      </c>
      <c r="J629" s="17">
        <f t="shared" si="1"/>
        <v>16.46</v>
      </c>
      <c r="K629" s="16" t="str">
        <f t="array" ref="K629">_xlfn.XLOOKUP(C629,Clientes[ID_Cliente],Clientes[Provincia])</f>
        <v>Salta</v>
      </c>
      <c r="L629" s="16" t="str">
        <f t="array" ref="L629">CONCATENATE(_xlfn.XLOOKUP(C629,Clientes[ID_Cliente],Clientes[Provincia]),", Argentina")</f>
        <v>Salta, Argentina</v>
      </c>
      <c r="M629" s="20" t="str">
        <f t="array" ref="M629">_xlfn.XLOOKUP(F629,Metodos_De_Pago[ID_Metodo],Metodos_De_Pago[Metodo])</f>
        <v>Tarjeta de Débito</v>
      </c>
      <c r="N629" s="20" t="str">
        <f t="shared" si="2"/>
        <v>2024 04</v>
      </c>
    </row>
    <row r="630" ht="22.5" customHeight="1">
      <c r="A630" s="12">
        <f>IFERROR(__xludf.DUMMYFUNCTION("""COMPUTED_VALUE"""),751.0)</f>
        <v>751</v>
      </c>
      <c r="B630" s="13">
        <f>IFERROR(__xludf.DUMMYFUNCTION("""COMPUTED_VALUE"""),45407.0)</f>
        <v>45407</v>
      </c>
      <c r="C630" s="12">
        <f>IFERROR(__xludf.DUMMYFUNCTION("""COMPUTED_VALUE"""),259.0)</f>
        <v>259</v>
      </c>
      <c r="D630" s="12">
        <f>IFERROR(__xludf.DUMMYFUNCTION("""COMPUTED_VALUE"""),23.0)</f>
        <v>23</v>
      </c>
      <c r="E630" s="12">
        <f>IFERROR(__xludf.DUMMYFUNCTION("""COMPUTED_VALUE"""),2.0)</f>
        <v>2</v>
      </c>
      <c r="F630" s="12">
        <f>IFERROR(__xludf.DUMMYFUNCTION("""COMPUTED_VALUE"""),1.0)</f>
        <v>1</v>
      </c>
      <c r="G630" s="15" t="str">
        <f>IFERROR(__xludf.DUMMYFUNCTION("""COMPUTED_VALUE"""),"Pendiente")</f>
        <v>Pendiente</v>
      </c>
      <c r="H630" s="16" t="str">
        <f t="array" ref="H630">_xlfn.XLOOKUP(D630,Productos[ID_Producto],Productos[Nombre_Producto])</f>
        <v>Papas fritas</v>
      </c>
      <c r="I630" s="17">
        <f t="array" ref="I630">_xlfn.XLOOKUP(D630,Productos[ID_Producto],Productos[Precio_Unitario])</f>
        <v>8.23</v>
      </c>
      <c r="J630" s="17">
        <f t="shared" si="1"/>
        <v>16.46</v>
      </c>
      <c r="K630" s="16" t="str">
        <f t="array" ref="K630">_xlfn.XLOOKUP(C630,Clientes[ID_Cliente],Clientes[Provincia])</f>
        <v>San Luis</v>
      </c>
      <c r="L630" s="16" t="str">
        <f t="array" ref="L630">CONCATENATE(_xlfn.XLOOKUP(C630,Clientes[ID_Cliente],Clientes[Provincia]),", Argentina")</f>
        <v>San Luis, Argentina</v>
      </c>
      <c r="M630" s="20" t="str">
        <f t="array" ref="M630">_xlfn.XLOOKUP(F630,Metodos_De_Pago[ID_Metodo],Metodos_De_Pago[Metodo])</f>
        <v>Efectivo</v>
      </c>
      <c r="N630" s="20" t="str">
        <f t="shared" si="2"/>
        <v>2024 04</v>
      </c>
    </row>
    <row r="631" ht="22.5" customHeight="1">
      <c r="A631" s="12">
        <f>IFERROR(__xludf.DUMMYFUNCTION("""COMPUTED_VALUE"""),1088.0)</f>
        <v>1088</v>
      </c>
      <c r="B631" s="13">
        <f>IFERROR(__xludf.DUMMYFUNCTION("""COMPUTED_VALUE"""),45407.0)</f>
        <v>45407</v>
      </c>
      <c r="C631" s="12">
        <f>IFERROR(__xludf.DUMMYFUNCTION("""COMPUTED_VALUE"""),274.0)</f>
        <v>274</v>
      </c>
      <c r="D631" s="12">
        <f>IFERROR(__xludf.DUMMYFUNCTION("""COMPUTED_VALUE"""),30.0)</f>
        <v>30</v>
      </c>
      <c r="E631" s="12">
        <f>IFERROR(__xludf.DUMMYFUNCTION("""COMPUTED_VALUE"""),2.0)</f>
        <v>2</v>
      </c>
      <c r="F631" s="12">
        <f>IFERROR(__xludf.DUMMYFUNCTION("""COMPUTED_VALUE"""),2.0)</f>
        <v>2</v>
      </c>
      <c r="G631" s="15" t="str">
        <f>IFERROR(__xludf.DUMMYFUNCTION("""COMPUTED_VALUE"""),"Completa")</f>
        <v>Completa</v>
      </c>
      <c r="H631" s="16" t="str">
        <f t="array" ref="H631">_xlfn.XLOOKUP(D631,Productos[ID_Producto],Productos[Nombre_Producto])</f>
        <v>Vino tinto</v>
      </c>
      <c r="I631" s="17">
        <f t="array" ref="I631">_xlfn.XLOOKUP(D631,Productos[ID_Producto],Productos[Precio_Unitario])</f>
        <v>13.54</v>
      </c>
      <c r="J631" s="17">
        <f t="shared" si="1"/>
        <v>27.08</v>
      </c>
      <c r="K631" s="16" t="str">
        <f t="array" ref="K631">_xlfn.XLOOKUP(C631,Clientes[ID_Cliente],Clientes[Provincia])</f>
        <v>Buenos Aires</v>
      </c>
      <c r="L631" s="16" t="str">
        <f t="array" ref="L631">CONCATENATE(_xlfn.XLOOKUP(C631,Clientes[ID_Cliente],Clientes[Provincia]),", Argentina")</f>
        <v>Buenos Aires, Argentina</v>
      </c>
      <c r="M631" s="20" t="str">
        <f t="array" ref="M631">_xlfn.XLOOKUP(F631,Metodos_De_Pago[ID_Metodo],Metodos_De_Pago[Metodo])</f>
        <v>Tarjeta de Crédito</v>
      </c>
      <c r="N631" s="20" t="str">
        <f t="shared" si="2"/>
        <v>2024 04</v>
      </c>
    </row>
    <row r="632" ht="22.5" customHeight="1">
      <c r="A632" s="12">
        <f>IFERROR(__xludf.DUMMYFUNCTION("""COMPUTED_VALUE"""),1900.0)</f>
        <v>1900</v>
      </c>
      <c r="B632" s="13">
        <f>IFERROR(__xludf.DUMMYFUNCTION("""COMPUTED_VALUE"""),45407.0)</f>
        <v>45407</v>
      </c>
      <c r="C632" s="12">
        <f>IFERROR(__xludf.DUMMYFUNCTION("""COMPUTED_VALUE"""),222.0)</f>
        <v>222</v>
      </c>
      <c r="D632" s="12">
        <f>IFERROR(__xludf.DUMMYFUNCTION("""COMPUTED_VALUE"""),24.0)</f>
        <v>24</v>
      </c>
      <c r="E632" s="12">
        <f>IFERROR(__xludf.DUMMYFUNCTION("""COMPUTED_VALUE"""),2.0)</f>
        <v>2</v>
      </c>
      <c r="F632" s="12">
        <f>IFERROR(__xludf.DUMMYFUNCTION("""COMPUTED_VALUE"""),3.0)</f>
        <v>3</v>
      </c>
      <c r="G632" s="15" t="str">
        <f>IFERROR(__xludf.DUMMYFUNCTION("""COMPUTED_VALUE"""),"Completa")</f>
        <v>Completa</v>
      </c>
      <c r="H632" s="16" t="str">
        <f t="array" ref="H632">_xlfn.XLOOKUP(D632,Productos[ID_Producto],Productos[Nombre_Producto])</f>
        <v>Empanadas</v>
      </c>
      <c r="I632" s="17">
        <f t="array" ref="I632">_xlfn.XLOOKUP(D632,Productos[ID_Producto],Productos[Precio_Unitario])</f>
        <v>13.54</v>
      </c>
      <c r="J632" s="17">
        <f t="shared" si="1"/>
        <v>27.08</v>
      </c>
      <c r="K632" s="16" t="str">
        <f t="array" ref="K632">_xlfn.XLOOKUP(C632,Clientes[ID_Cliente],Clientes[Provincia])</f>
        <v>Córdoba</v>
      </c>
      <c r="L632" s="16" t="str">
        <f t="array" ref="L632">CONCATENATE(_xlfn.XLOOKUP(C632,Clientes[ID_Cliente],Clientes[Provincia]),", Argentina")</f>
        <v>Córdoba, Argentina</v>
      </c>
      <c r="M632" s="20" t="str">
        <f t="array" ref="M632">_xlfn.XLOOKUP(F632,Metodos_De_Pago[ID_Metodo],Metodos_De_Pago[Metodo])</f>
        <v>Tarjeta de Débito</v>
      </c>
      <c r="N632" s="20" t="str">
        <f t="shared" si="2"/>
        <v>2024 04</v>
      </c>
    </row>
    <row r="633" ht="22.5" customHeight="1">
      <c r="A633" s="12">
        <f>IFERROR(__xludf.DUMMYFUNCTION("""COMPUTED_VALUE"""),763.0)</f>
        <v>763</v>
      </c>
      <c r="B633" s="13">
        <f>IFERROR(__xludf.DUMMYFUNCTION("""COMPUTED_VALUE"""),45408.0)</f>
        <v>45408</v>
      </c>
      <c r="C633" s="12">
        <f>IFERROR(__xludf.DUMMYFUNCTION("""COMPUTED_VALUE"""),254.0)</f>
        <v>254</v>
      </c>
      <c r="D633" s="12">
        <f>IFERROR(__xludf.DUMMYFUNCTION("""COMPUTED_VALUE"""),27.0)</f>
        <v>27</v>
      </c>
      <c r="E633" s="12">
        <f>IFERROR(__xludf.DUMMYFUNCTION("""COMPUTED_VALUE"""),2.0)</f>
        <v>2</v>
      </c>
      <c r="F633" s="12">
        <f>IFERROR(__xludf.DUMMYFUNCTION("""COMPUTED_VALUE"""),3.0)</f>
        <v>3</v>
      </c>
      <c r="G633" s="15" t="str">
        <f>IFERROR(__xludf.DUMMYFUNCTION("""COMPUTED_VALUE"""),"Completa")</f>
        <v>Completa</v>
      </c>
      <c r="H633" s="16" t="str">
        <f t="array" ref="H633">_xlfn.XLOOKUP(D633,Productos[ID_Producto],Productos[Nombre_Producto])</f>
        <v>Agua mineral</v>
      </c>
      <c r="I633" s="17">
        <f t="array" ref="I633">_xlfn.XLOOKUP(D633,Productos[ID_Producto],Productos[Precio_Unitario])</f>
        <v>6.21</v>
      </c>
      <c r="J633" s="17">
        <f t="shared" si="1"/>
        <v>12.42</v>
      </c>
      <c r="K633" s="16" t="str">
        <f t="array" ref="K633">_xlfn.XLOOKUP(C633,Clientes[ID_Cliente],Clientes[Provincia])</f>
        <v>Neuquén</v>
      </c>
      <c r="L633" s="16" t="str">
        <f t="array" ref="L633">CONCATENATE(_xlfn.XLOOKUP(C633,Clientes[ID_Cliente],Clientes[Provincia]),", Argentina")</f>
        <v>Neuquén, Argentina</v>
      </c>
      <c r="M633" s="20" t="str">
        <f t="array" ref="M633">_xlfn.XLOOKUP(F633,Metodos_De_Pago[ID_Metodo],Metodos_De_Pago[Metodo])</f>
        <v>Tarjeta de Débito</v>
      </c>
      <c r="N633" s="20" t="str">
        <f t="shared" si="2"/>
        <v>2024 04</v>
      </c>
    </row>
    <row r="634" ht="22.5" customHeight="1">
      <c r="A634" s="12">
        <f>IFERROR(__xludf.DUMMYFUNCTION("""COMPUTED_VALUE"""),1621.0)</f>
        <v>1621</v>
      </c>
      <c r="B634" s="13">
        <f>IFERROR(__xludf.DUMMYFUNCTION("""COMPUTED_VALUE"""),45408.0)</f>
        <v>45408</v>
      </c>
      <c r="C634" s="12">
        <f>IFERROR(__xludf.DUMMYFUNCTION("""COMPUTED_VALUE"""),193.0)</f>
        <v>193</v>
      </c>
      <c r="D634" s="12">
        <f>IFERROR(__xludf.DUMMYFUNCTION("""COMPUTED_VALUE"""),2.0)</f>
        <v>2</v>
      </c>
      <c r="E634" s="12">
        <f>IFERROR(__xludf.DUMMYFUNCTION("""COMPUTED_VALUE"""),2.0)</f>
        <v>2</v>
      </c>
      <c r="F634" s="12">
        <f>IFERROR(__xludf.DUMMYFUNCTION("""COMPUTED_VALUE"""),1.0)</f>
        <v>1</v>
      </c>
      <c r="G634" s="15" t="str">
        <f>IFERROR(__xludf.DUMMYFUNCTION("""COMPUTED_VALUE"""),"Completa")</f>
        <v>Completa</v>
      </c>
      <c r="H634" s="16" t="str">
        <f t="array" ref="H634">_xlfn.XLOOKUP(D634,Productos[ID_Producto],Productos[Nombre_Producto])</f>
        <v>Yogur</v>
      </c>
      <c r="I634" s="17">
        <f t="array" ref="I634">_xlfn.XLOOKUP(D634,Productos[ID_Producto],Productos[Precio_Unitario])</f>
        <v>5.21</v>
      </c>
      <c r="J634" s="17">
        <f t="shared" si="1"/>
        <v>10.42</v>
      </c>
      <c r="K634" s="16" t="str">
        <f t="array" ref="K634">_xlfn.XLOOKUP(C634,Clientes[ID_Cliente],Clientes[Provincia])</f>
        <v>Buenos Aires</v>
      </c>
      <c r="L634" s="16" t="str">
        <f t="array" ref="L634">CONCATENATE(_xlfn.XLOOKUP(C634,Clientes[ID_Cliente],Clientes[Provincia]),", Argentina")</f>
        <v>Buenos Aires, Argentina</v>
      </c>
      <c r="M634" s="20" t="str">
        <f t="array" ref="M634">_xlfn.XLOOKUP(F634,Metodos_De_Pago[ID_Metodo],Metodos_De_Pago[Metodo])</f>
        <v>Efectivo</v>
      </c>
      <c r="N634" s="20" t="str">
        <f t="shared" si="2"/>
        <v>2024 04</v>
      </c>
    </row>
    <row r="635" ht="22.5" customHeight="1">
      <c r="A635" s="12">
        <f>IFERROR(__xludf.DUMMYFUNCTION("""COMPUTED_VALUE"""),2117.0)</f>
        <v>2117</v>
      </c>
      <c r="B635" s="13">
        <f>IFERROR(__xludf.DUMMYFUNCTION("""COMPUTED_VALUE"""),45408.0)</f>
        <v>45408</v>
      </c>
      <c r="C635" s="12">
        <f>IFERROR(__xludf.DUMMYFUNCTION("""COMPUTED_VALUE"""),82.0)</f>
        <v>82</v>
      </c>
      <c r="D635" s="12">
        <f>IFERROR(__xludf.DUMMYFUNCTION("""COMPUTED_VALUE"""),12.0)</f>
        <v>12</v>
      </c>
      <c r="E635" s="12">
        <f>IFERROR(__xludf.DUMMYFUNCTION("""COMPUTED_VALUE"""),2.0)</f>
        <v>2</v>
      </c>
      <c r="F635" s="12">
        <f>IFERROR(__xludf.DUMMYFUNCTION("""COMPUTED_VALUE"""),5.0)</f>
        <v>5</v>
      </c>
      <c r="G635" s="15" t="str">
        <f>IFERROR(__xludf.DUMMYFUNCTION("""COMPUTED_VALUE"""),"Completa")</f>
        <v>Completa</v>
      </c>
      <c r="H635" s="16" t="str">
        <f t="array" ref="H635">_xlfn.XLOOKUP(D635,Productos[ID_Producto],Productos[Nombre_Producto])</f>
        <v>Pan francés</v>
      </c>
      <c r="I635" s="17">
        <f t="array" ref="I635">_xlfn.XLOOKUP(D635,Productos[ID_Producto],Productos[Precio_Unitario])</f>
        <v>8.12</v>
      </c>
      <c r="J635" s="17">
        <f t="shared" si="1"/>
        <v>16.24</v>
      </c>
      <c r="K635" s="16" t="str">
        <f t="array" ref="K635">_xlfn.XLOOKUP(C635,Clientes[ID_Cliente],Clientes[Provincia])</f>
        <v>Buenos Aires</v>
      </c>
      <c r="L635" s="16" t="str">
        <f t="array" ref="L635">CONCATENATE(_xlfn.XLOOKUP(C635,Clientes[ID_Cliente],Clientes[Provincia]),", Argentina")</f>
        <v>Buenos Aires, Argentina</v>
      </c>
      <c r="M635" s="20" t="str">
        <f t="array" ref="M635">_xlfn.XLOOKUP(F635,Metodos_De_Pago[ID_Metodo],Metodos_De_Pago[Metodo])</f>
        <v>Transferencia</v>
      </c>
      <c r="N635" s="20" t="str">
        <f t="shared" si="2"/>
        <v>2024 04</v>
      </c>
    </row>
    <row r="636" ht="22.5" customHeight="1">
      <c r="A636" s="12">
        <f>IFERROR(__xludf.DUMMYFUNCTION("""COMPUTED_VALUE"""),889.0)</f>
        <v>889</v>
      </c>
      <c r="B636" s="13">
        <f>IFERROR(__xludf.DUMMYFUNCTION("""COMPUTED_VALUE"""),45409.0)</f>
        <v>45409</v>
      </c>
      <c r="C636" s="12">
        <f>IFERROR(__xludf.DUMMYFUNCTION("""COMPUTED_VALUE"""),51.0)</f>
        <v>51</v>
      </c>
      <c r="D636" s="12">
        <f>IFERROR(__xludf.DUMMYFUNCTION("""COMPUTED_VALUE"""),17.0)</f>
        <v>17</v>
      </c>
      <c r="E636" s="12">
        <f>IFERROR(__xludf.DUMMYFUNCTION("""COMPUTED_VALUE"""),2.0)</f>
        <v>2</v>
      </c>
      <c r="F636" s="12">
        <f>IFERROR(__xludf.DUMMYFUNCTION("""COMPUTED_VALUE"""),5.0)</f>
        <v>5</v>
      </c>
      <c r="G636" s="15" t="str">
        <f>IFERROR(__xludf.DUMMYFUNCTION("""COMPUTED_VALUE"""),"Completa")</f>
        <v>Completa</v>
      </c>
      <c r="H636" s="16" t="str">
        <f t="array" ref="H636">_xlfn.XLOOKUP(D636,Productos[ID_Producto],Productos[Nombre_Producto])</f>
        <v>Manzanas</v>
      </c>
      <c r="I636" s="17">
        <f t="array" ref="I636">_xlfn.XLOOKUP(D636,Productos[ID_Producto],Productos[Precio_Unitario])</f>
        <v>6.54</v>
      </c>
      <c r="J636" s="17">
        <f t="shared" si="1"/>
        <v>13.08</v>
      </c>
      <c r="K636" s="16" t="str">
        <f t="array" ref="K636">_xlfn.XLOOKUP(C636,Clientes[ID_Cliente],Clientes[Provincia])</f>
        <v>San Luis</v>
      </c>
      <c r="L636" s="16" t="str">
        <f t="array" ref="L636">CONCATENATE(_xlfn.XLOOKUP(C636,Clientes[ID_Cliente],Clientes[Provincia]),", Argentina")</f>
        <v>San Luis, Argentina</v>
      </c>
      <c r="M636" s="20" t="str">
        <f t="array" ref="M636">_xlfn.XLOOKUP(F636,Metodos_De_Pago[ID_Metodo],Metodos_De_Pago[Metodo])</f>
        <v>Transferencia</v>
      </c>
      <c r="N636" s="20" t="str">
        <f t="shared" si="2"/>
        <v>2024 04</v>
      </c>
    </row>
    <row r="637" ht="22.5" customHeight="1">
      <c r="A637" s="12">
        <f>IFERROR(__xludf.DUMMYFUNCTION("""COMPUTED_VALUE"""),1988.0)</f>
        <v>1988</v>
      </c>
      <c r="B637" s="13">
        <f>IFERROR(__xludf.DUMMYFUNCTION("""COMPUTED_VALUE"""),45410.0)</f>
        <v>45410</v>
      </c>
      <c r="C637" s="12">
        <f>IFERROR(__xludf.DUMMYFUNCTION("""COMPUTED_VALUE"""),114.0)</f>
        <v>114</v>
      </c>
      <c r="D637" s="12">
        <f>IFERROR(__xludf.DUMMYFUNCTION("""COMPUTED_VALUE"""),21.0)</f>
        <v>21</v>
      </c>
      <c r="E637" s="12">
        <f>IFERROR(__xludf.DUMMYFUNCTION("""COMPUTED_VALUE"""),2.0)</f>
        <v>2</v>
      </c>
      <c r="F637" s="12">
        <f>IFERROR(__xludf.DUMMYFUNCTION("""COMPUTED_VALUE"""),5.0)</f>
        <v>5</v>
      </c>
      <c r="G637" s="15" t="str">
        <f>IFERROR(__xludf.DUMMYFUNCTION("""COMPUTED_VALUE"""),"Completa")</f>
        <v>Completa</v>
      </c>
      <c r="H637" s="16" t="str">
        <f t="array" ref="H637">_xlfn.XLOOKUP(D637,Productos[ID_Producto],Productos[Nombre_Producto])</f>
        <v>Zanahorias</v>
      </c>
      <c r="I637" s="17">
        <f t="array" ref="I637">_xlfn.XLOOKUP(D637,Productos[ID_Producto],Productos[Precio_Unitario])</f>
        <v>3.25</v>
      </c>
      <c r="J637" s="17">
        <f t="shared" si="1"/>
        <v>6.5</v>
      </c>
      <c r="K637" s="16" t="str">
        <f t="array" ref="K637">_xlfn.XLOOKUP(C637,Clientes[ID_Cliente],Clientes[Provincia])</f>
        <v>Córdoba</v>
      </c>
      <c r="L637" s="16" t="str">
        <f t="array" ref="L637">CONCATENATE(_xlfn.XLOOKUP(C637,Clientes[ID_Cliente],Clientes[Provincia]),", Argentina")</f>
        <v>Córdoba, Argentina</v>
      </c>
      <c r="M637" s="20" t="str">
        <f t="array" ref="M637">_xlfn.XLOOKUP(F637,Metodos_De_Pago[ID_Metodo],Metodos_De_Pago[Metodo])</f>
        <v>Transferencia</v>
      </c>
      <c r="N637" s="20" t="str">
        <f t="shared" si="2"/>
        <v>2024 04</v>
      </c>
    </row>
    <row r="638" ht="22.5" customHeight="1">
      <c r="A638" s="12">
        <f>IFERROR(__xludf.DUMMYFUNCTION("""COMPUTED_VALUE"""),1127.0)</f>
        <v>1127</v>
      </c>
      <c r="B638" s="13">
        <f>IFERROR(__xludf.DUMMYFUNCTION("""COMPUTED_VALUE"""),45412.0)</f>
        <v>45412</v>
      </c>
      <c r="C638" s="12">
        <f>IFERROR(__xludf.DUMMYFUNCTION("""COMPUTED_VALUE"""),136.0)</f>
        <v>136</v>
      </c>
      <c r="D638" s="12">
        <f>IFERROR(__xludf.DUMMYFUNCTION("""COMPUTED_VALUE"""),6.0)</f>
        <v>6</v>
      </c>
      <c r="E638" s="12">
        <f>IFERROR(__xludf.DUMMYFUNCTION("""COMPUTED_VALUE"""),2.0)</f>
        <v>2</v>
      </c>
      <c r="F638" s="12">
        <f>IFERROR(__xludf.DUMMYFUNCTION("""COMPUTED_VALUE"""),4.0)</f>
        <v>4</v>
      </c>
      <c r="G638" s="15" t="str">
        <f>IFERROR(__xludf.DUMMYFUNCTION("""COMPUTED_VALUE"""),"Completa")</f>
        <v>Completa</v>
      </c>
      <c r="H638" s="16" t="str">
        <f t="array" ref="H638">_xlfn.XLOOKUP(D638,Productos[ID_Producto],Productos[Nombre_Producto])</f>
        <v>Asado</v>
      </c>
      <c r="I638" s="17">
        <f t="array" ref="I638">_xlfn.XLOOKUP(D638,Productos[ID_Producto],Productos[Precio_Unitario])</f>
        <v>28.56</v>
      </c>
      <c r="J638" s="17">
        <f t="shared" si="1"/>
        <v>57.12</v>
      </c>
      <c r="K638" s="16" t="str">
        <f t="array" ref="K638">_xlfn.XLOOKUP(C638,Clientes[ID_Cliente],Clientes[Provincia])</f>
        <v>Neuquén</v>
      </c>
      <c r="L638" s="16" t="str">
        <f t="array" ref="L638">CONCATENATE(_xlfn.XLOOKUP(C638,Clientes[ID_Cliente],Clientes[Provincia]),", Argentina")</f>
        <v>Neuquén, Argentina</v>
      </c>
      <c r="M638" s="20" t="str">
        <f t="array" ref="M638">_xlfn.XLOOKUP(F638,Metodos_De_Pago[ID_Metodo],Metodos_De_Pago[Metodo])</f>
        <v>Mercado Pago</v>
      </c>
      <c r="N638" s="20" t="str">
        <f t="shared" si="2"/>
        <v>2024 04</v>
      </c>
    </row>
    <row r="639" ht="22.5" customHeight="1">
      <c r="A639" s="12">
        <f>IFERROR(__xludf.DUMMYFUNCTION("""COMPUTED_VALUE"""),1238.0)</f>
        <v>1238</v>
      </c>
      <c r="B639" s="13">
        <f>IFERROR(__xludf.DUMMYFUNCTION("""COMPUTED_VALUE"""),45412.0)</f>
        <v>45412</v>
      </c>
      <c r="C639" s="12">
        <f>IFERROR(__xludf.DUMMYFUNCTION("""COMPUTED_VALUE"""),254.0)</f>
        <v>254</v>
      </c>
      <c r="D639" s="12">
        <f>IFERROR(__xludf.DUMMYFUNCTION("""COMPUTED_VALUE"""),6.0)</f>
        <v>6</v>
      </c>
      <c r="E639" s="12">
        <f>IFERROR(__xludf.DUMMYFUNCTION("""COMPUTED_VALUE"""),2.0)</f>
        <v>2</v>
      </c>
      <c r="F639" s="12">
        <f>IFERROR(__xludf.DUMMYFUNCTION("""COMPUTED_VALUE"""),1.0)</f>
        <v>1</v>
      </c>
      <c r="G639" s="15" t="str">
        <f>IFERROR(__xludf.DUMMYFUNCTION("""COMPUTED_VALUE"""),"Pendiente")</f>
        <v>Pendiente</v>
      </c>
      <c r="H639" s="16" t="str">
        <f t="array" ref="H639">_xlfn.XLOOKUP(D639,Productos[ID_Producto],Productos[Nombre_Producto])</f>
        <v>Asado</v>
      </c>
      <c r="I639" s="17">
        <f t="array" ref="I639">_xlfn.XLOOKUP(D639,Productos[ID_Producto],Productos[Precio_Unitario])</f>
        <v>28.56</v>
      </c>
      <c r="J639" s="17">
        <f t="shared" si="1"/>
        <v>57.12</v>
      </c>
      <c r="K639" s="16" t="str">
        <f t="array" ref="K639">_xlfn.XLOOKUP(C639,Clientes[ID_Cliente],Clientes[Provincia])</f>
        <v>Neuquén</v>
      </c>
      <c r="L639" s="16" t="str">
        <f t="array" ref="L639">CONCATENATE(_xlfn.XLOOKUP(C639,Clientes[ID_Cliente],Clientes[Provincia]),", Argentina")</f>
        <v>Neuquén, Argentina</v>
      </c>
      <c r="M639" s="20" t="str">
        <f t="array" ref="M639">_xlfn.XLOOKUP(F639,Metodos_De_Pago[ID_Metodo],Metodos_De_Pago[Metodo])</f>
        <v>Efectivo</v>
      </c>
      <c r="N639" s="20" t="str">
        <f t="shared" si="2"/>
        <v>2024 04</v>
      </c>
    </row>
    <row r="640" ht="22.5" customHeight="1">
      <c r="A640" s="12">
        <f>IFERROR(__xludf.DUMMYFUNCTION("""COMPUTED_VALUE"""),419.0)</f>
        <v>419</v>
      </c>
      <c r="B640" s="13">
        <f>IFERROR(__xludf.DUMMYFUNCTION("""COMPUTED_VALUE"""),45413.0)</f>
        <v>45413</v>
      </c>
      <c r="C640" s="12">
        <f>IFERROR(__xludf.DUMMYFUNCTION("""COMPUTED_VALUE"""),149.0)</f>
        <v>149</v>
      </c>
      <c r="D640" s="12">
        <f>IFERROR(__xludf.DUMMYFUNCTION("""COMPUTED_VALUE"""),2.0)</f>
        <v>2</v>
      </c>
      <c r="E640" s="12">
        <f>IFERROR(__xludf.DUMMYFUNCTION("""COMPUTED_VALUE"""),2.0)</f>
        <v>2</v>
      </c>
      <c r="F640" s="12">
        <f>IFERROR(__xludf.DUMMYFUNCTION("""COMPUTED_VALUE"""),3.0)</f>
        <v>3</v>
      </c>
      <c r="G640" s="15" t="str">
        <f>IFERROR(__xludf.DUMMYFUNCTION("""COMPUTED_VALUE"""),"Completa")</f>
        <v>Completa</v>
      </c>
      <c r="H640" s="16" t="str">
        <f t="array" ref="H640">_xlfn.XLOOKUP(D640,Productos[ID_Producto],Productos[Nombre_Producto])</f>
        <v>Yogur</v>
      </c>
      <c r="I640" s="17">
        <f t="array" ref="I640">_xlfn.XLOOKUP(D640,Productos[ID_Producto],Productos[Precio_Unitario])</f>
        <v>5.21</v>
      </c>
      <c r="J640" s="17">
        <f t="shared" si="1"/>
        <v>10.42</v>
      </c>
      <c r="K640" s="16" t="str">
        <f t="array" ref="K640">_xlfn.XLOOKUP(C640,Clientes[ID_Cliente],Clientes[Provincia])</f>
        <v>San Luis</v>
      </c>
      <c r="L640" s="16" t="str">
        <f t="array" ref="L640">CONCATENATE(_xlfn.XLOOKUP(C640,Clientes[ID_Cliente],Clientes[Provincia]),", Argentina")</f>
        <v>San Luis, Argentina</v>
      </c>
      <c r="M640" s="20" t="str">
        <f t="array" ref="M640">_xlfn.XLOOKUP(F640,Metodos_De_Pago[ID_Metodo],Metodos_De_Pago[Metodo])</f>
        <v>Tarjeta de Débito</v>
      </c>
      <c r="N640" s="20" t="str">
        <f t="shared" si="2"/>
        <v>2024 05</v>
      </c>
    </row>
    <row r="641" ht="22.5" customHeight="1">
      <c r="A641" s="12">
        <f>IFERROR(__xludf.DUMMYFUNCTION("""COMPUTED_VALUE"""),659.0)</f>
        <v>659</v>
      </c>
      <c r="B641" s="13">
        <f>IFERROR(__xludf.DUMMYFUNCTION("""COMPUTED_VALUE"""),45413.0)</f>
        <v>45413</v>
      </c>
      <c r="C641" s="12">
        <f>IFERROR(__xludf.DUMMYFUNCTION("""COMPUTED_VALUE"""),213.0)</f>
        <v>213</v>
      </c>
      <c r="D641" s="12">
        <f>IFERROR(__xludf.DUMMYFUNCTION("""COMPUTED_VALUE"""),1.0)</f>
        <v>1</v>
      </c>
      <c r="E641" s="12">
        <f>IFERROR(__xludf.DUMMYFUNCTION("""COMPUTED_VALUE"""),2.0)</f>
        <v>2</v>
      </c>
      <c r="F641" s="12">
        <f>IFERROR(__xludf.DUMMYFUNCTION("""COMPUTED_VALUE"""),3.0)</f>
        <v>3</v>
      </c>
      <c r="G641" s="15" t="str">
        <f>IFERROR(__xludf.DUMMYFUNCTION("""COMPUTED_VALUE"""),"Completa")</f>
        <v>Completa</v>
      </c>
      <c r="H641" s="16" t="str">
        <f t="array" ref="H641">_xlfn.XLOOKUP(D641,Productos[ID_Producto],Productos[Nombre_Producto])</f>
        <v>Leche</v>
      </c>
      <c r="I641" s="17">
        <f t="array" ref="I641">_xlfn.XLOOKUP(D641,Productos[ID_Producto],Productos[Precio_Unitario])</f>
        <v>12.24</v>
      </c>
      <c r="J641" s="17">
        <f t="shared" si="1"/>
        <v>24.48</v>
      </c>
      <c r="K641" s="16" t="str">
        <f t="array" ref="K641">_xlfn.XLOOKUP(C641,Clientes[ID_Cliente],Clientes[Provincia])</f>
        <v>Córdoba</v>
      </c>
      <c r="L641" s="16" t="str">
        <f t="array" ref="L641">CONCATENATE(_xlfn.XLOOKUP(C641,Clientes[ID_Cliente],Clientes[Provincia]),", Argentina")</f>
        <v>Córdoba, Argentina</v>
      </c>
      <c r="M641" s="20" t="str">
        <f t="array" ref="M641">_xlfn.XLOOKUP(F641,Metodos_De_Pago[ID_Metodo],Metodos_De_Pago[Metodo])</f>
        <v>Tarjeta de Débito</v>
      </c>
      <c r="N641" s="20" t="str">
        <f t="shared" si="2"/>
        <v>2024 05</v>
      </c>
    </row>
    <row r="642" ht="22.5" customHeight="1">
      <c r="A642" s="12">
        <f>IFERROR(__xludf.DUMMYFUNCTION("""COMPUTED_VALUE"""),1472.0)</f>
        <v>1472</v>
      </c>
      <c r="B642" s="13">
        <f>IFERROR(__xludf.DUMMYFUNCTION("""COMPUTED_VALUE"""),45413.0)</f>
        <v>45413</v>
      </c>
      <c r="C642" s="12">
        <f>IFERROR(__xludf.DUMMYFUNCTION("""COMPUTED_VALUE"""),1.0)</f>
        <v>1</v>
      </c>
      <c r="D642" s="12">
        <f>IFERROR(__xludf.DUMMYFUNCTION("""COMPUTED_VALUE"""),12.0)</f>
        <v>12</v>
      </c>
      <c r="E642" s="12">
        <f>IFERROR(__xludf.DUMMYFUNCTION("""COMPUTED_VALUE"""),2.0)</f>
        <v>2</v>
      </c>
      <c r="F642" s="12">
        <f>IFERROR(__xludf.DUMMYFUNCTION("""COMPUTED_VALUE"""),3.0)</f>
        <v>3</v>
      </c>
      <c r="G642" s="15" t="str">
        <f>IFERROR(__xludf.DUMMYFUNCTION("""COMPUTED_VALUE"""),"Completa")</f>
        <v>Completa</v>
      </c>
      <c r="H642" s="16" t="str">
        <f t="array" ref="H642">_xlfn.XLOOKUP(D642,Productos[ID_Producto],Productos[Nombre_Producto])</f>
        <v>Pan francés</v>
      </c>
      <c r="I642" s="17">
        <f t="array" ref="I642">_xlfn.XLOOKUP(D642,Productos[ID_Producto],Productos[Precio_Unitario])</f>
        <v>8.12</v>
      </c>
      <c r="J642" s="17">
        <f t="shared" si="1"/>
        <v>16.24</v>
      </c>
      <c r="K642" s="16" t="str">
        <f t="array" ref="K642">_xlfn.XLOOKUP(C642,Clientes[ID_Cliente],Clientes[Provincia])</f>
        <v>Neuquén</v>
      </c>
      <c r="L642" s="16" t="str">
        <f t="array" ref="L642">CONCATENATE(_xlfn.XLOOKUP(C642,Clientes[ID_Cliente],Clientes[Provincia]),", Argentina")</f>
        <v>Neuquén, Argentina</v>
      </c>
      <c r="M642" s="20" t="str">
        <f t="array" ref="M642">_xlfn.XLOOKUP(F642,Metodos_De_Pago[ID_Metodo],Metodos_De_Pago[Metodo])</f>
        <v>Tarjeta de Débito</v>
      </c>
      <c r="N642" s="20" t="str">
        <f t="shared" si="2"/>
        <v>2024 05</v>
      </c>
    </row>
    <row r="643" ht="22.5" customHeight="1">
      <c r="A643" s="12">
        <f>IFERROR(__xludf.DUMMYFUNCTION("""COMPUTED_VALUE"""),2810.0)</f>
        <v>2810</v>
      </c>
      <c r="B643" s="13">
        <f>IFERROR(__xludf.DUMMYFUNCTION("""COMPUTED_VALUE"""),45414.0)</f>
        <v>45414</v>
      </c>
      <c r="C643" s="12">
        <f>IFERROR(__xludf.DUMMYFUNCTION("""COMPUTED_VALUE"""),314.0)</f>
        <v>314</v>
      </c>
      <c r="D643" s="12">
        <f>IFERROR(__xludf.DUMMYFUNCTION("""COMPUTED_VALUE"""),12.0)</f>
        <v>12</v>
      </c>
      <c r="E643" s="12">
        <f>IFERROR(__xludf.DUMMYFUNCTION("""COMPUTED_VALUE"""),2.0)</f>
        <v>2</v>
      </c>
      <c r="F643" s="12">
        <f>IFERROR(__xludf.DUMMYFUNCTION("""COMPUTED_VALUE"""),1.0)</f>
        <v>1</v>
      </c>
      <c r="G643" s="15" t="str">
        <f>IFERROR(__xludf.DUMMYFUNCTION("""COMPUTED_VALUE"""),"Pendiente")</f>
        <v>Pendiente</v>
      </c>
      <c r="H643" s="16" t="str">
        <f t="array" ref="H643">_xlfn.XLOOKUP(D643,Productos[ID_Producto],Productos[Nombre_Producto])</f>
        <v>Pan francés</v>
      </c>
      <c r="I643" s="17">
        <f t="array" ref="I643">_xlfn.XLOOKUP(D643,Productos[ID_Producto],Productos[Precio_Unitario])</f>
        <v>8.12</v>
      </c>
      <c r="J643" s="17">
        <f t="shared" si="1"/>
        <v>16.24</v>
      </c>
      <c r="K643" s="16" t="str">
        <f t="array" ref="K643">_xlfn.XLOOKUP(C643,Clientes[ID_Cliente],Clientes[Provincia])</f>
        <v>Neuquén</v>
      </c>
      <c r="L643" s="16" t="str">
        <f t="array" ref="L643">CONCATENATE(_xlfn.XLOOKUP(C643,Clientes[ID_Cliente],Clientes[Provincia]),", Argentina")</f>
        <v>Neuquén, Argentina</v>
      </c>
      <c r="M643" s="20" t="str">
        <f t="array" ref="M643">_xlfn.XLOOKUP(F643,Metodos_De_Pago[ID_Metodo],Metodos_De_Pago[Metodo])</f>
        <v>Efectivo</v>
      </c>
      <c r="N643" s="20" t="str">
        <f t="shared" si="2"/>
        <v>2024 05</v>
      </c>
    </row>
    <row r="644" ht="22.5" customHeight="1">
      <c r="A644" s="12">
        <f>IFERROR(__xludf.DUMMYFUNCTION("""COMPUTED_VALUE"""),2109.0)</f>
        <v>2109</v>
      </c>
      <c r="B644" s="13">
        <f>IFERROR(__xludf.DUMMYFUNCTION("""COMPUTED_VALUE"""),45415.0)</f>
        <v>45415</v>
      </c>
      <c r="C644" s="12">
        <f>IFERROR(__xludf.DUMMYFUNCTION("""COMPUTED_VALUE"""),284.0)</f>
        <v>284</v>
      </c>
      <c r="D644" s="12">
        <f>IFERROR(__xludf.DUMMYFUNCTION("""COMPUTED_VALUE"""),1.0)</f>
        <v>1</v>
      </c>
      <c r="E644" s="12">
        <f>IFERROR(__xludf.DUMMYFUNCTION("""COMPUTED_VALUE"""),2.0)</f>
        <v>2</v>
      </c>
      <c r="F644" s="12">
        <f>IFERROR(__xludf.DUMMYFUNCTION("""COMPUTED_VALUE"""),1.0)</f>
        <v>1</v>
      </c>
      <c r="G644" s="15" t="str">
        <f>IFERROR(__xludf.DUMMYFUNCTION("""COMPUTED_VALUE"""),"Completa")</f>
        <v>Completa</v>
      </c>
      <c r="H644" s="16" t="str">
        <f t="array" ref="H644">_xlfn.XLOOKUP(D644,Productos[ID_Producto],Productos[Nombre_Producto])</f>
        <v>Leche</v>
      </c>
      <c r="I644" s="17">
        <f t="array" ref="I644">_xlfn.XLOOKUP(D644,Productos[ID_Producto],Productos[Precio_Unitario])</f>
        <v>12.24</v>
      </c>
      <c r="J644" s="17">
        <f t="shared" si="1"/>
        <v>24.48</v>
      </c>
      <c r="K644" s="16" t="str">
        <f t="array" ref="K644">_xlfn.XLOOKUP(C644,Clientes[ID_Cliente],Clientes[Provincia])</f>
        <v>Salta</v>
      </c>
      <c r="L644" s="16" t="str">
        <f t="array" ref="L644">CONCATENATE(_xlfn.XLOOKUP(C644,Clientes[ID_Cliente],Clientes[Provincia]),", Argentina")</f>
        <v>Salta, Argentina</v>
      </c>
      <c r="M644" s="20" t="str">
        <f t="array" ref="M644">_xlfn.XLOOKUP(F644,Metodos_De_Pago[ID_Metodo],Metodos_De_Pago[Metodo])</f>
        <v>Efectivo</v>
      </c>
      <c r="N644" s="20" t="str">
        <f t="shared" si="2"/>
        <v>2024 05</v>
      </c>
    </row>
    <row r="645" ht="22.5" customHeight="1">
      <c r="A645" s="12">
        <f>IFERROR(__xludf.DUMMYFUNCTION("""COMPUTED_VALUE"""),2388.0)</f>
        <v>2388</v>
      </c>
      <c r="B645" s="13">
        <f>IFERROR(__xludf.DUMMYFUNCTION("""COMPUTED_VALUE"""),45415.0)</f>
        <v>45415</v>
      </c>
      <c r="C645" s="12">
        <f>IFERROR(__xludf.DUMMYFUNCTION("""COMPUTED_VALUE"""),128.0)</f>
        <v>128</v>
      </c>
      <c r="D645" s="12">
        <f>IFERROR(__xludf.DUMMYFUNCTION("""COMPUTED_VALUE"""),37.0)</f>
        <v>37</v>
      </c>
      <c r="E645" s="12">
        <f>IFERROR(__xludf.DUMMYFUNCTION("""COMPUTED_VALUE"""),2.0)</f>
        <v>2</v>
      </c>
      <c r="F645" s="12">
        <f>IFERROR(__xludf.DUMMYFUNCTION("""COMPUTED_VALUE"""),5.0)</f>
        <v>5</v>
      </c>
      <c r="G645" s="15" t="str">
        <f>IFERROR(__xludf.DUMMYFUNCTION("""COMPUTED_VALUE"""),"Completa")</f>
        <v>Completa</v>
      </c>
      <c r="H645" s="16" t="str">
        <f t="array" ref="H645">_xlfn.XLOOKUP(D645,Productos[ID_Producto],Productos[Nombre_Producto])</f>
        <v>Garbanzos</v>
      </c>
      <c r="I645" s="17">
        <f t="array" ref="I645">_xlfn.XLOOKUP(D645,Productos[ID_Producto],Productos[Precio_Unitario])</f>
        <v>3.65</v>
      </c>
      <c r="J645" s="17">
        <f t="shared" si="1"/>
        <v>7.3</v>
      </c>
      <c r="K645" s="16" t="str">
        <f t="array" ref="K645">_xlfn.XLOOKUP(C645,Clientes[ID_Cliente],Clientes[Provincia])</f>
        <v>Buenos Aires</v>
      </c>
      <c r="L645" s="16" t="str">
        <f t="array" ref="L645">CONCATENATE(_xlfn.XLOOKUP(C645,Clientes[ID_Cliente],Clientes[Provincia]),", Argentina")</f>
        <v>Buenos Aires, Argentina</v>
      </c>
      <c r="M645" s="20" t="str">
        <f t="array" ref="M645">_xlfn.XLOOKUP(F645,Metodos_De_Pago[ID_Metodo],Metodos_De_Pago[Metodo])</f>
        <v>Transferencia</v>
      </c>
      <c r="N645" s="20" t="str">
        <f t="shared" si="2"/>
        <v>2024 05</v>
      </c>
    </row>
    <row r="646" ht="22.5" customHeight="1">
      <c r="A646" s="12">
        <f>IFERROR(__xludf.DUMMYFUNCTION("""COMPUTED_VALUE"""),238.0)</f>
        <v>238</v>
      </c>
      <c r="B646" s="13">
        <f>IFERROR(__xludf.DUMMYFUNCTION("""COMPUTED_VALUE"""),45416.0)</f>
        <v>45416</v>
      </c>
      <c r="C646" s="12">
        <f>IFERROR(__xludf.DUMMYFUNCTION("""COMPUTED_VALUE"""),25.0)</f>
        <v>25</v>
      </c>
      <c r="D646" s="12">
        <f>IFERROR(__xludf.DUMMYFUNCTION("""COMPUTED_VALUE"""),2.0)</f>
        <v>2</v>
      </c>
      <c r="E646" s="12">
        <f>IFERROR(__xludf.DUMMYFUNCTION("""COMPUTED_VALUE"""),2.0)</f>
        <v>2</v>
      </c>
      <c r="F646" s="12">
        <f>IFERROR(__xludf.DUMMYFUNCTION("""COMPUTED_VALUE"""),3.0)</f>
        <v>3</v>
      </c>
      <c r="G646" s="15" t="str">
        <f>IFERROR(__xludf.DUMMYFUNCTION("""COMPUTED_VALUE"""),"Completa")</f>
        <v>Completa</v>
      </c>
      <c r="H646" s="16" t="str">
        <f t="array" ref="H646">_xlfn.XLOOKUP(D646,Productos[ID_Producto],Productos[Nombre_Producto])</f>
        <v>Yogur</v>
      </c>
      <c r="I646" s="17">
        <f t="array" ref="I646">_xlfn.XLOOKUP(D646,Productos[ID_Producto],Productos[Precio_Unitario])</f>
        <v>5.21</v>
      </c>
      <c r="J646" s="17">
        <f t="shared" si="1"/>
        <v>10.42</v>
      </c>
      <c r="K646" s="16" t="str">
        <f t="array" ref="K646">_xlfn.XLOOKUP(C646,Clientes[ID_Cliente],Clientes[Provincia])</f>
        <v>Neuquén</v>
      </c>
      <c r="L646" s="16" t="str">
        <f t="array" ref="L646">CONCATENATE(_xlfn.XLOOKUP(C646,Clientes[ID_Cliente],Clientes[Provincia]),", Argentina")</f>
        <v>Neuquén, Argentina</v>
      </c>
      <c r="M646" s="20" t="str">
        <f t="array" ref="M646">_xlfn.XLOOKUP(F646,Metodos_De_Pago[ID_Metodo],Metodos_De_Pago[Metodo])</f>
        <v>Tarjeta de Débito</v>
      </c>
      <c r="N646" s="20" t="str">
        <f t="shared" si="2"/>
        <v>2024 05</v>
      </c>
    </row>
    <row r="647" ht="22.5" customHeight="1">
      <c r="A647" s="12">
        <f>IFERROR(__xludf.DUMMYFUNCTION("""COMPUTED_VALUE"""),2146.0)</f>
        <v>2146</v>
      </c>
      <c r="B647" s="13">
        <f>IFERROR(__xludf.DUMMYFUNCTION("""COMPUTED_VALUE"""),45416.0)</f>
        <v>45416</v>
      </c>
      <c r="C647" s="12">
        <f>IFERROR(__xludf.DUMMYFUNCTION("""COMPUTED_VALUE"""),278.0)</f>
        <v>278</v>
      </c>
      <c r="D647" s="12">
        <f>IFERROR(__xludf.DUMMYFUNCTION("""COMPUTED_VALUE"""),15.0)</f>
        <v>15</v>
      </c>
      <c r="E647" s="12">
        <f>IFERROR(__xludf.DUMMYFUNCTION("""COMPUTED_VALUE"""),2.0)</f>
        <v>2</v>
      </c>
      <c r="F647" s="12">
        <f>IFERROR(__xludf.DUMMYFUNCTION("""COMPUTED_VALUE"""),4.0)</f>
        <v>4</v>
      </c>
      <c r="G647" s="15" t="str">
        <f>IFERROR(__xludf.DUMMYFUNCTION("""COMPUTED_VALUE"""),"Completa")</f>
        <v>Completa</v>
      </c>
      <c r="H647" s="16" t="str">
        <f t="array" ref="H647">_xlfn.XLOOKUP(D647,Productos[ID_Producto],Productos[Nombre_Producto])</f>
        <v>Medialunas</v>
      </c>
      <c r="I647" s="17">
        <f t="array" ref="I647">_xlfn.XLOOKUP(D647,Productos[ID_Producto],Productos[Precio_Unitario])</f>
        <v>3.51</v>
      </c>
      <c r="J647" s="17">
        <f t="shared" si="1"/>
        <v>7.02</v>
      </c>
      <c r="K647" s="16" t="str">
        <f t="array" ref="K647">_xlfn.XLOOKUP(C647,Clientes[ID_Cliente],Clientes[Provincia])</f>
        <v>Córdoba</v>
      </c>
      <c r="L647" s="16" t="str">
        <f t="array" ref="L647">CONCATENATE(_xlfn.XLOOKUP(C647,Clientes[ID_Cliente],Clientes[Provincia]),", Argentina")</f>
        <v>Córdoba, Argentina</v>
      </c>
      <c r="M647" s="20" t="str">
        <f t="array" ref="M647">_xlfn.XLOOKUP(F647,Metodos_De_Pago[ID_Metodo],Metodos_De_Pago[Metodo])</f>
        <v>Mercado Pago</v>
      </c>
      <c r="N647" s="20" t="str">
        <f t="shared" si="2"/>
        <v>2024 05</v>
      </c>
    </row>
    <row r="648" ht="22.5" customHeight="1">
      <c r="A648" s="12">
        <f>IFERROR(__xludf.DUMMYFUNCTION("""COMPUTED_VALUE"""),2313.0)</f>
        <v>2313</v>
      </c>
      <c r="B648" s="13">
        <f>IFERROR(__xludf.DUMMYFUNCTION("""COMPUTED_VALUE"""),45417.0)</f>
        <v>45417</v>
      </c>
      <c r="C648" s="12">
        <f>IFERROR(__xludf.DUMMYFUNCTION("""COMPUTED_VALUE"""),122.0)</f>
        <v>122</v>
      </c>
      <c r="D648" s="12">
        <f>IFERROR(__xludf.DUMMYFUNCTION("""COMPUTED_VALUE"""),33.0)</f>
        <v>33</v>
      </c>
      <c r="E648" s="12">
        <f>IFERROR(__xludf.DUMMYFUNCTION("""COMPUTED_VALUE"""),2.0)</f>
        <v>2</v>
      </c>
      <c r="F648" s="12">
        <f>IFERROR(__xludf.DUMMYFUNCTION("""COMPUTED_VALUE"""),3.0)</f>
        <v>3</v>
      </c>
      <c r="G648" s="15" t="str">
        <f>IFERROR(__xludf.DUMMYFUNCTION("""COMPUTED_VALUE"""),"Completa")</f>
        <v>Completa</v>
      </c>
      <c r="H648" s="16" t="str">
        <f t="array" ref="H648">_xlfn.XLOOKUP(D648,Productos[ID_Producto],Productos[Nombre_Producto])</f>
        <v>Papas chips</v>
      </c>
      <c r="I648" s="17">
        <f t="array" ref="I648">_xlfn.XLOOKUP(D648,Productos[ID_Producto],Productos[Precio_Unitario])</f>
        <v>8.54</v>
      </c>
      <c r="J648" s="17">
        <f t="shared" si="1"/>
        <v>17.08</v>
      </c>
      <c r="K648" s="16" t="str">
        <f t="array" ref="K648">_xlfn.XLOOKUP(C648,Clientes[ID_Cliente],Clientes[Provincia])</f>
        <v>Córdoba</v>
      </c>
      <c r="L648" s="16" t="str">
        <f t="array" ref="L648">CONCATENATE(_xlfn.XLOOKUP(C648,Clientes[ID_Cliente],Clientes[Provincia]),", Argentina")</f>
        <v>Córdoba, Argentina</v>
      </c>
      <c r="M648" s="20" t="str">
        <f t="array" ref="M648">_xlfn.XLOOKUP(F648,Metodos_De_Pago[ID_Metodo],Metodos_De_Pago[Metodo])</f>
        <v>Tarjeta de Débito</v>
      </c>
      <c r="N648" s="20" t="str">
        <f t="shared" si="2"/>
        <v>2024 05</v>
      </c>
    </row>
    <row r="649" ht="22.5" customHeight="1">
      <c r="A649" s="12">
        <f>IFERROR(__xludf.DUMMYFUNCTION("""COMPUTED_VALUE"""),2997.0)</f>
        <v>2997</v>
      </c>
      <c r="B649" s="13">
        <f>IFERROR(__xludf.DUMMYFUNCTION("""COMPUTED_VALUE"""),45417.0)</f>
        <v>45417</v>
      </c>
      <c r="C649" s="12">
        <f>IFERROR(__xludf.DUMMYFUNCTION("""COMPUTED_VALUE"""),178.0)</f>
        <v>178</v>
      </c>
      <c r="D649" s="12">
        <f>IFERROR(__xludf.DUMMYFUNCTION("""COMPUTED_VALUE"""),25.0)</f>
        <v>25</v>
      </c>
      <c r="E649" s="12">
        <f>IFERROR(__xludf.DUMMYFUNCTION("""COMPUTED_VALUE"""),2.0)</f>
        <v>2</v>
      </c>
      <c r="F649" s="12">
        <f>IFERROR(__xludf.DUMMYFUNCTION("""COMPUTED_VALUE"""),5.0)</f>
        <v>5</v>
      </c>
      <c r="G649" s="15" t="str">
        <f>IFERROR(__xludf.DUMMYFUNCTION("""COMPUTED_VALUE"""),"Completa")</f>
        <v>Completa</v>
      </c>
      <c r="H649" s="16" t="str">
        <f t="array" ref="H649">_xlfn.XLOOKUP(D649,Productos[ID_Producto],Productos[Nombre_Producto])</f>
        <v>Pizza congelada</v>
      </c>
      <c r="I649" s="17">
        <f t="array" ref="I649">_xlfn.XLOOKUP(D649,Productos[ID_Producto],Productos[Precio_Unitario])</f>
        <v>15.45</v>
      </c>
      <c r="J649" s="17">
        <f t="shared" si="1"/>
        <v>30.9</v>
      </c>
      <c r="K649" s="16" t="str">
        <f t="array" ref="K649">_xlfn.XLOOKUP(C649,Clientes[ID_Cliente],Clientes[Provincia])</f>
        <v>Neuquén</v>
      </c>
      <c r="L649" s="16" t="str">
        <f t="array" ref="L649">CONCATENATE(_xlfn.XLOOKUP(C649,Clientes[ID_Cliente],Clientes[Provincia]),", Argentina")</f>
        <v>Neuquén, Argentina</v>
      </c>
      <c r="M649" s="20" t="str">
        <f t="array" ref="M649">_xlfn.XLOOKUP(F649,Metodos_De_Pago[ID_Metodo],Metodos_De_Pago[Metodo])</f>
        <v>Transferencia</v>
      </c>
      <c r="N649" s="20" t="str">
        <f t="shared" si="2"/>
        <v>2024 05</v>
      </c>
    </row>
    <row r="650" ht="22.5" customHeight="1">
      <c r="A650" s="12">
        <f>IFERROR(__xludf.DUMMYFUNCTION("""COMPUTED_VALUE"""),815.0)</f>
        <v>815</v>
      </c>
      <c r="B650" s="13">
        <f>IFERROR(__xludf.DUMMYFUNCTION("""COMPUTED_VALUE"""),45418.0)</f>
        <v>45418</v>
      </c>
      <c r="C650" s="12">
        <f>IFERROR(__xludf.DUMMYFUNCTION("""COMPUTED_VALUE"""),186.0)</f>
        <v>186</v>
      </c>
      <c r="D650" s="12">
        <f>IFERROR(__xludf.DUMMYFUNCTION("""COMPUTED_VALUE"""),5.0)</f>
        <v>5</v>
      </c>
      <c r="E650" s="12">
        <f>IFERROR(__xludf.DUMMYFUNCTION("""COMPUTED_VALUE"""),2.0)</f>
        <v>2</v>
      </c>
      <c r="F650" s="12">
        <f>IFERROR(__xludf.DUMMYFUNCTION("""COMPUTED_VALUE"""),4.0)</f>
        <v>4</v>
      </c>
      <c r="G650" s="15" t="str">
        <f>IFERROR(__xludf.DUMMYFUNCTION("""COMPUTED_VALUE"""),"Completa")</f>
        <v>Completa</v>
      </c>
      <c r="H650" s="16" t="str">
        <f t="array" ref="H650">_xlfn.XLOOKUP(D650,Productos[ID_Producto],Productos[Nombre_Producto])</f>
        <v>Manteca</v>
      </c>
      <c r="I650" s="17">
        <f t="array" ref="I650">_xlfn.XLOOKUP(D650,Productos[ID_Producto],Productos[Precio_Unitario])</f>
        <v>5.65</v>
      </c>
      <c r="J650" s="17">
        <f t="shared" si="1"/>
        <v>11.3</v>
      </c>
      <c r="K650" s="16" t="str">
        <f t="array" ref="K650">_xlfn.XLOOKUP(C650,Clientes[ID_Cliente],Clientes[Provincia])</f>
        <v>Neuquén</v>
      </c>
      <c r="L650" s="16" t="str">
        <f t="array" ref="L650">CONCATENATE(_xlfn.XLOOKUP(C650,Clientes[ID_Cliente],Clientes[Provincia]),", Argentina")</f>
        <v>Neuquén, Argentina</v>
      </c>
      <c r="M650" s="20" t="str">
        <f t="array" ref="M650">_xlfn.XLOOKUP(F650,Metodos_De_Pago[ID_Metodo],Metodos_De_Pago[Metodo])</f>
        <v>Mercado Pago</v>
      </c>
      <c r="N650" s="20" t="str">
        <f t="shared" si="2"/>
        <v>2024 05</v>
      </c>
    </row>
    <row r="651" ht="22.5" customHeight="1">
      <c r="A651" s="12">
        <f>IFERROR(__xludf.DUMMYFUNCTION("""COMPUTED_VALUE"""),1051.0)</f>
        <v>1051</v>
      </c>
      <c r="B651" s="13">
        <f>IFERROR(__xludf.DUMMYFUNCTION("""COMPUTED_VALUE"""),45420.0)</f>
        <v>45420</v>
      </c>
      <c r="C651" s="12">
        <f>IFERROR(__xludf.DUMMYFUNCTION("""COMPUTED_VALUE"""),308.0)</f>
        <v>308</v>
      </c>
      <c r="D651" s="12">
        <f>IFERROR(__xludf.DUMMYFUNCTION("""COMPUTED_VALUE"""),7.0)</f>
        <v>7</v>
      </c>
      <c r="E651" s="12">
        <f>IFERROR(__xludf.DUMMYFUNCTION("""COMPUTED_VALUE"""),2.0)</f>
        <v>2</v>
      </c>
      <c r="F651" s="12">
        <f>IFERROR(__xludf.DUMMYFUNCTION("""COMPUTED_VALUE"""),5.0)</f>
        <v>5</v>
      </c>
      <c r="G651" s="15" t="str">
        <f>IFERROR(__xludf.DUMMYFUNCTION("""COMPUTED_VALUE"""),"Pendiente")</f>
        <v>Pendiente</v>
      </c>
      <c r="H651" s="16" t="str">
        <f t="array" ref="H651">_xlfn.XLOOKUP(D651,Productos[ID_Producto],Productos[Nombre_Producto])</f>
        <v>Chorizo</v>
      </c>
      <c r="I651" s="17">
        <f t="array" ref="I651">_xlfn.XLOOKUP(D651,Productos[ID_Producto],Productos[Precio_Unitario])</f>
        <v>11.25</v>
      </c>
      <c r="J651" s="17">
        <f t="shared" si="1"/>
        <v>22.5</v>
      </c>
      <c r="K651" s="16" t="str">
        <f t="array" ref="K651">_xlfn.XLOOKUP(C651,Clientes[ID_Cliente],Clientes[Provincia])</f>
        <v>Córdoba</v>
      </c>
      <c r="L651" s="16" t="str">
        <f t="array" ref="L651">CONCATENATE(_xlfn.XLOOKUP(C651,Clientes[ID_Cliente],Clientes[Provincia]),", Argentina")</f>
        <v>Córdoba, Argentina</v>
      </c>
      <c r="M651" s="20" t="str">
        <f t="array" ref="M651">_xlfn.XLOOKUP(F651,Metodos_De_Pago[ID_Metodo],Metodos_De_Pago[Metodo])</f>
        <v>Transferencia</v>
      </c>
      <c r="N651" s="20" t="str">
        <f t="shared" si="2"/>
        <v>2024 05</v>
      </c>
    </row>
    <row r="652" ht="22.5" customHeight="1">
      <c r="A652" s="12">
        <f>IFERROR(__xludf.DUMMYFUNCTION("""COMPUTED_VALUE"""),182.0)</f>
        <v>182</v>
      </c>
      <c r="B652" s="13">
        <f>IFERROR(__xludf.DUMMYFUNCTION("""COMPUTED_VALUE"""),45422.0)</f>
        <v>45422</v>
      </c>
      <c r="C652" s="12">
        <f>IFERROR(__xludf.DUMMYFUNCTION("""COMPUTED_VALUE"""),301.0)</f>
        <v>301</v>
      </c>
      <c r="D652" s="12">
        <f>IFERROR(__xludf.DUMMYFUNCTION("""COMPUTED_VALUE"""),13.0)</f>
        <v>13</v>
      </c>
      <c r="E652" s="12">
        <f>IFERROR(__xludf.DUMMYFUNCTION("""COMPUTED_VALUE"""),2.0)</f>
        <v>2</v>
      </c>
      <c r="F652" s="12">
        <f>IFERROR(__xludf.DUMMYFUNCTION("""COMPUTED_VALUE"""),3.0)</f>
        <v>3</v>
      </c>
      <c r="G652" s="15" t="str">
        <f>IFERROR(__xludf.DUMMYFUNCTION("""COMPUTED_VALUE"""),"Completa")</f>
        <v>Completa</v>
      </c>
      <c r="H652" s="16" t="str">
        <f t="array" ref="H652">_xlfn.XLOOKUP(D652,Productos[ID_Producto],Productos[Nombre_Producto])</f>
        <v>Pan integral</v>
      </c>
      <c r="I652" s="17">
        <f t="array" ref="I652">_xlfn.XLOOKUP(D652,Productos[ID_Producto],Productos[Precio_Unitario])</f>
        <v>12.56</v>
      </c>
      <c r="J652" s="17">
        <f t="shared" si="1"/>
        <v>25.12</v>
      </c>
      <c r="K652" s="16" t="str">
        <f t="array" ref="K652">_xlfn.XLOOKUP(C652,Clientes[ID_Cliente],Clientes[Provincia])</f>
        <v>San Luis</v>
      </c>
      <c r="L652" s="16" t="str">
        <f t="array" ref="L652">CONCATENATE(_xlfn.XLOOKUP(C652,Clientes[ID_Cliente],Clientes[Provincia]),", Argentina")</f>
        <v>San Luis, Argentina</v>
      </c>
      <c r="M652" s="20" t="str">
        <f t="array" ref="M652">_xlfn.XLOOKUP(F652,Metodos_De_Pago[ID_Metodo],Metodos_De_Pago[Metodo])</f>
        <v>Tarjeta de Débito</v>
      </c>
      <c r="N652" s="20" t="str">
        <f t="shared" si="2"/>
        <v>2024 05</v>
      </c>
    </row>
    <row r="653" ht="22.5" customHeight="1">
      <c r="A653" s="12">
        <f>IFERROR(__xludf.DUMMYFUNCTION("""COMPUTED_VALUE"""),422.0)</f>
        <v>422</v>
      </c>
      <c r="B653" s="13">
        <f>IFERROR(__xludf.DUMMYFUNCTION("""COMPUTED_VALUE"""),45422.0)</f>
        <v>45422</v>
      </c>
      <c r="C653" s="12">
        <f>IFERROR(__xludf.DUMMYFUNCTION("""COMPUTED_VALUE"""),81.0)</f>
        <v>81</v>
      </c>
      <c r="D653" s="12">
        <f>IFERROR(__xludf.DUMMYFUNCTION("""COMPUTED_VALUE"""),11.0)</f>
        <v>11</v>
      </c>
      <c r="E653" s="12">
        <f>IFERROR(__xludf.DUMMYFUNCTION("""COMPUTED_VALUE"""),2.0)</f>
        <v>2</v>
      </c>
      <c r="F653" s="12">
        <f>IFERROR(__xludf.DUMMYFUNCTION("""COMPUTED_VALUE"""),4.0)</f>
        <v>4</v>
      </c>
      <c r="G653" s="15" t="str">
        <f>IFERROR(__xludf.DUMMYFUNCTION("""COMPUTED_VALUE"""),"Completa")</f>
        <v>Completa</v>
      </c>
      <c r="H653" s="16" t="str">
        <f t="array" ref="H653">_xlfn.XLOOKUP(D653,Productos[ID_Producto],Productos[Nombre_Producto])</f>
        <v>Salchicha</v>
      </c>
      <c r="I653" s="17">
        <f t="array" ref="I653">_xlfn.XLOOKUP(D653,Productos[ID_Producto],Productos[Precio_Unitario])</f>
        <v>11.23</v>
      </c>
      <c r="J653" s="17">
        <f t="shared" si="1"/>
        <v>22.46</v>
      </c>
      <c r="K653" s="16" t="str">
        <f t="array" ref="K653">_xlfn.XLOOKUP(C653,Clientes[ID_Cliente],Clientes[Provincia])</f>
        <v>Buenos Aires</v>
      </c>
      <c r="L653" s="16" t="str">
        <f t="array" ref="L653">CONCATENATE(_xlfn.XLOOKUP(C653,Clientes[ID_Cliente],Clientes[Provincia]),", Argentina")</f>
        <v>Buenos Aires, Argentina</v>
      </c>
      <c r="M653" s="20" t="str">
        <f t="array" ref="M653">_xlfn.XLOOKUP(F653,Metodos_De_Pago[ID_Metodo],Metodos_De_Pago[Metodo])</f>
        <v>Mercado Pago</v>
      </c>
      <c r="N653" s="20" t="str">
        <f t="shared" si="2"/>
        <v>2024 05</v>
      </c>
    </row>
    <row r="654" ht="22.5" customHeight="1">
      <c r="A654" s="12">
        <f>IFERROR(__xludf.DUMMYFUNCTION("""COMPUTED_VALUE"""),1447.0)</f>
        <v>1447</v>
      </c>
      <c r="B654" s="13">
        <f>IFERROR(__xludf.DUMMYFUNCTION("""COMPUTED_VALUE"""),45422.0)</f>
        <v>45422</v>
      </c>
      <c r="C654" s="12">
        <f>IFERROR(__xludf.DUMMYFUNCTION("""COMPUTED_VALUE"""),75.0)</f>
        <v>75</v>
      </c>
      <c r="D654" s="12">
        <f>IFERROR(__xludf.DUMMYFUNCTION("""COMPUTED_VALUE"""),37.0)</f>
        <v>37</v>
      </c>
      <c r="E654" s="12">
        <f>IFERROR(__xludf.DUMMYFUNCTION("""COMPUTED_VALUE"""),2.0)</f>
        <v>2</v>
      </c>
      <c r="F654" s="12">
        <f>IFERROR(__xludf.DUMMYFUNCTION("""COMPUTED_VALUE"""),5.0)</f>
        <v>5</v>
      </c>
      <c r="G654" s="15" t="str">
        <f>IFERROR(__xludf.DUMMYFUNCTION("""COMPUTED_VALUE"""),"Completa")</f>
        <v>Completa</v>
      </c>
      <c r="H654" s="16" t="str">
        <f t="array" ref="H654">_xlfn.XLOOKUP(D654,Productos[ID_Producto],Productos[Nombre_Producto])</f>
        <v>Garbanzos</v>
      </c>
      <c r="I654" s="17">
        <f t="array" ref="I654">_xlfn.XLOOKUP(D654,Productos[ID_Producto],Productos[Precio_Unitario])</f>
        <v>3.65</v>
      </c>
      <c r="J654" s="17">
        <f t="shared" si="1"/>
        <v>7.3</v>
      </c>
      <c r="K654" s="16" t="str">
        <f t="array" ref="K654">_xlfn.XLOOKUP(C654,Clientes[ID_Cliente],Clientes[Provincia])</f>
        <v>Chaco</v>
      </c>
      <c r="L654" s="16" t="str">
        <f t="array" ref="L654">CONCATENATE(_xlfn.XLOOKUP(C654,Clientes[ID_Cliente],Clientes[Provincia]),", Argentina")</f>
        <v>Chaco, Argentina</v>
      </c>
      <c r="M654" s="20" t="str">
        <f t="array" ref="M654">_xlfn.XLOOKUP(F654,Metodos_De_Pago[ID_Metodo],Metodos_De_Pago[Metodo])</f>
        <v>Transferencia</v>
      </c>
      <c r="N654" s="20" t="str">
        <f t="shared" si="2"/>
        <v>2024 05</v>
      </c>
    </row>
    <row r="655" ht="22.5" customHeight="1">
      <c r="A655" s="12">
        <f>IFERROR(__xludf.DUMMYFUNCTION("""COMPUTED_VALUE"""),2311.0)</f>
        <v>2311</v>
      </c>
      <c r="B655" s="13">
        <f>IFERROR(__xludf.DUMMYFUNCTION("""COMPUTED_VALUE"""),45422.0)</f>
        <v>45422</v>
      </c>
      <c r="C655" s="12">
        <f>IFERROR(__xludf.DUMMYFUNCTION("""COMPUTED_VALUE"""),45.0)</f>
        <v>45</v>
      </c>
      <c r="D655" s="12">
        <f>IFERROR(__xludf.DUMMYFUNCTION("""COMPUTED_VALUE"""),18.0)</f>
        <v>18</v>
      </c>
      <c r="E655" s="12">
        <f>IFERROR(__xludf.DUMMYFUNCTION("""COMPUTED_VALUE"""),2.0)</f>
        <v>2</v>
      </c>
      <c r="F655" s="12">
        <f>IFERROR(__xludf.DUMMYFUNCTION("""COMPUTED_VALUE"""),4.0)</f>
        <v>4</v>
      </c>
      <c r="G655" s="15" t="str">
        <f>IFERROR(__xludf.DUMMYFUNCTION("""COMPUTED_VALUE"""),"Completa")</f>
        <v>Completa</v>
      </c>
      <c r="H655" s="16" t="str">
        <f t="array" ref="H655">_xlfn.XLOOKUP(D655,Productos[ID_Producto],Productos[Nombre_Producto])</f>
        <v>Bananas</v>
      </c>
      <c r="I655" s="17">
        <f t="array" ref="I655">_xlfn.XLOOKUP(D655,Productos[ID_Producto],Productos[Precio_Unitario])</f>
        <v>7.25</v>
      </c>
      <c r="J655" s="17">
        <f t="shared" si="1"/>
        <v>14.5</v>
      </c>
      <c r="K655" s="16" t="str">
        <f t="array" ref="K655">_xlfn.XLOOKUP(C655,Clientes[ID_Cliente],Clientes[Provincia])</f>
        <v>Buenos Aires</v>
      </c>
      <c r="L655" s="16" t="str">
        <f t="array" ref="L655">CONCATENATE(_xlfn.XLOOKUP(C655,Clientes[ID_Cliente],Clientes[Provincia]),", Argentina")</f>
        <v>Buenos Aires, Argentina</v>
      </c>
      <c r="M655" s="20" t="str">
        <f t="array" ref="M655">_xlfn.XLOOKUP(F655,Metodos_De_Pago[ID_Metodo],Metodos_De_Pago[Metodo])</f>
        <v>Mercado Pago</v>
      </c>
      <c r="N655" s="20" t="str">
        <f t="shared" si="2"/>
        <v>2024 05</v>
      </c>
    </row>
    <row r="656" ht="22.5" customHeight="1">
      <c r="A656" s="12">
        <f>IFERROR(__xludf.DUMMYFUNCTION("""COMPUTED_VALUE"""),2794.0)</f>
        <v>2794</v>
      </c>
      <c r="B656" s="13">
        <f>IFERROR(__xludf.DUMMYFUNCTION("""COMPUTED_VALUE"""),45422.0)</f>
        <v>45422</v>
      </c>
      <c r="C656" s="12">
        <f>IFERROR(__xludf.DUMMYFUNCTION("""COMPUTED_VALUE"""),114.0)</f>
        <v>114</v>
      </c>
      <c r="D656" s="12">
        <f>IFERROR(__xludf.DUMMYFUNCTION("""COMPUTED_VALUE"""),38.0)</f>
        <v>38</v>
      </c>
      <c r="E656" s="12">
        <f>IFERROR(__xludf.DUMMYFUNCTION("""COMPUTED_VALUE"""),2.0)</f>
        <v>2</v>
      </c>
      <c r="F656" s="12">
        <f>IFERROR(__xludf.DUMMYFUNCTION("""COMPUTED_VALUE"""),5.0)</f>
        <v>5</v>
      </c>
      <c r="G656" s="15" t="str">
        <f>IFERROR(__xludf.DUMMYFUNCTION("""COMPUTED_VALUE"""),"Pendiente")</f>
        <v>Pendiente</v>
      </c>
      <c r="H656" s="16" t="str">
        <f t="array" ref="H656">_xlfn.XLOOKUP(D656,Productos[ID_Producto],Productos[Nombre_Producto])</f>
        <v>Atún enlatado</v>
      </c>
      <c r="I656" s="17">
        <f t="array" ref="I656">_xlfn.XLOOKUP(D656,Productos[ID_Producto],Productos[Precio_Unitario])</f>
        <v>6.21</v>
      </c>
      <c r="J656" s="17">
        <f t="shared" si="1"/>
        <v>12.42</v>
      </c>
      <c r="K656" s="16" t="str">
        <f t="array" ref="K656">_xlfn.XLOOKUP(C656,Clientes[ID_Cliente],Clientes[Provincia])</f>
        <v>Córdoba</v>
      </c>
      <c r="L656" s="16" t="str">
        <f t="array" ref="L656">CONCATENATE(_xlfn.XLOOKUP(C656,Clientes[ID_Cliente],Clientes[Provincia]),", Argentina")</f>
        <v>Córdoba, Argentina</v>
      </c>
      <c r="M656" s="20" t="str">
        <f t="array" ref="M656">_xlfn.XLOOKUP(F656,Metodos_De_Pago[ID_Metodo],Metodos_De_Pago[Metodo])</f>
        <v>Transferencia</v>
      </c>
      <c r="N656" s="20" t="str">
        <f t="shared" si="2"/>
        <v>2024 05</v>
      </c>
    </row>
    <row r="657" ht="22.5" customHeight="1">
      <c r="A657" s="12">
        <f>IFERROR(__xludf.DUMMYFUNCTION("""COMPUTED_VALUE"""),214.0)</f>
        <v>214</v>
      </c>
      <c r="B657" s="13">
        <f>IFERROR(__xludf.DUMMYFUNCTION("""COMPUTED_VALUE"""),45423.0)</f>
        <v>45423</v>
      </c>
      <c r="C657" s="12">
        <f>IFERROR(__xludf.DUMMYFUNCTION("""COMPUTED_VALUE"""),9.0)</f>
        <v>9</v>
      </c>
      <c r="D657" s="12">
        <f>IFERROR(__xludf.DUMMYFUNCTION("""COMPUTED_VALUE"""),8.0)</f>
        <v>8</v>
      </c>
      <c r="E657" s="12">
        <f>IFERROR(__xludf.DUMMYFUNCTION("""COMPUTED_VALUE"""),2.0)</f>
        <v>2</v>
      </c>
      <c r="F657" s="12">
        <f>IFERROR(__xludf.DUMMYFUNCTION("""COMPUTED_VALUE"""),5.0)</f>
        <v>5</v>
      </c>
      <c r="G657" s="15" t="str">
        <f>IFERROR(__xludf.DUMMYFUNCTION("""COMPUTED_VALUE"""),"Completa")</f>
        <v>Completa</v>
      </c>
      <c r="H657" s="16" t="str">
        <f t="array" ref="H657">_xlfn.XLOOKUP(D657,Productos[ID_Producto],Productos[Nombre_Producto])</f>
        <v>Milanesa</v>
      </c>
      <c r="I657" s="17">
        <f t="array" ref="I657">_xlfn.XLOOKUP(D657,Productos[ID_Producto],Productos[Precio_Unitario])</f>
        <v>16.21</v>
      </c>
      <c r="J657" s="17">
        <f t="shared" si="1"/>
        <v>32.42</v>
      </c>
      <c r="K657" s="16" t="str">
        <f t="array" ref="K657">_xlfn.XLOOKUP(C657,Clientes[ID_Cliente],Clientes[Provincia])</f>
        <v>Córdoba</v>
      </c>
      <c r="L657" s="16" t="str">
        <f t="array" ref="L657">CONCATENATE(_xlfn.XLOOKUP(C657,Clientes[ID_Cliente],Clientes[Provincia]),", Argentina")</f>
        <v>Córdoba, Argentina</v>
      </c>
      <c r="M657" s="20" t="str">
        <f t="array" ref="M657">_xlfn.XLOOKUP(F657,Metodos_De_Pago[ID_Metodo],Metodos_De_Pago[Metodo])</f>
        <v>Transferencia</v>
      </c>
      <c r="N657" s="20" t="str">
        <f t="shared" si="2"/>
        <v>2024 05</v>
      </c>
    </row>
    <row r="658" ht="22.5" customHeight="1">
      <c r="A658" s="12">
        <f>IFERROR(__xludf.DUMMYFUNCTION("""COMPUTED_VALUE"""),2332.0)</f>
        <v>2332</v>
      </c>
      <c r="B658" s="13">
        <f>IFERROR(__xludf.DUMMYFUNCTION("""COMPUTED_VALUE"""),45423.0)</f>
        <v>45423</v>
      </c>
      <c r="C658" s="12">
        <f>IFERROR(__xludf.DUMMYFUNCTION("""COMPUTED_VALUE"""),301.0)</f>
        <v>301</v>
      </c>
      <c r="D658" s="12">
        <f>IFERROR(__xludf.DUMMYFUNCTION("""COMPUTED_VALUE"""),3.0)</f>
        <v>3</v>
      </c>
      <c r="E658" s="12">
        <f>IFERROR(__xludf.DUMMYFUNCTION("""COMPUTED_VALUE"""),2.0)</f>
        <v>2</v>
      </c>
      <c r="F658" s="12">
        <f>IFERROR(__xludf.DUMMYFUNCTION("""COMPUTED_VALUE"""),5.0)</f>
        <v>5</v>
      </c>
      <c r="G658" s="15" t="str">
        <f>IFERROR(__xludf.DUMMYFUNCTION("""COMPUTED_VALUE"""),"Completa")</f>
        <v>Completa</v>
      </c>
      <c r="H658" s="16" t="str">
        <f t="array" ref="H658">_xlfn.XLOOKUP(D658,Productos[ID_Producto],Productos[Nombre_Producto])</f>
        <v>Queso cremoso</v>
      </c>
      <c r="I658" s="17">
        <f t="array" ref="I658">_xlfn.XLOOKUP(D658,Productos[ID_Producto],Productos[Precio_Unitario])</f>
        <v>17.23</v>
      </c>
      <c r="J658" s="17">
        <f t="shared" si="1"/>
        <v>34.46</v>
      </c>
      <c r="K658" s="16" t="str">
        <f t="array" ref="K658">_xlfn.XLOOKUP(C658,Clientes[ID_Cliente],Clientes[Provincia])</f>
        <v>San Luis</v>
      </c>
      <c r="L658" s="16" t="str">
        <f t="array" ref="L658">CONCATENATE(_xlfn.XLOOKUP(C658,Clientes[ID_Cliente],Clientes[Provincia]),", Argentina")</f>
        <v>San Luis, Argentina</v>
      </c>
      <c r="M658" s="20" t="str">
        <f t="array" ref="M658">_xlfn.XLOOKUP(F658,Metodos_De_Pago[ID_Metodo],Metodos_De_Pago[Metodo])</f>
        <v>Transferencia</v>
      </c>
      <c r="N658" s="20" t="str">
        <f t="shared" si="2"/>
        <v>2024 05</v>
      </c>
    </row>
    <row r="659" ht="22.5" customHeight="1">
      <c r="A659" s="12">
        <f>IFERROR(__xludf.DUMMYFUNCTION("""COMPUTED_VALUE"""),2493.0)</f>
        <v>2493</v>
      </c>
      <c r="B659" s="13">
        <f>IFERROR(__xludf.DUMMYFUNCTION("""COMPUTED_VALUE"""),45425.0)</f>
        <v>45425</v>
      </c>
      <c r="C659" s="12">
        <f>IFERROR(__xludf.DUMMYFUNCTION("""COMPUTED_VALUE"""),36.0)</f>
        <v>36</v>
      </c>
      <c r="D659" s="12">
        <f>IFERROR(__xludf.DUMMYFUNCTION("""COMPUTED_VALUE"""),3.0)</f>
        <v>3</v>
      </c>
      <c r="E659" s="12">
        <f>IFERROR(__xludf.DUMMYFUNCTION("""COMPUTED_VALUE"""),2.0)</f>
        <v>2</v>
      </c>
      <c r="F659" s="12">
        <f>IFERROR(__xludf.DUMMYFUNCTION("""COMPUTED_VALUE"""),5.0)</f>
        <v>5</v>
      </c>
      <c r="G659" s="15" t="str">
        <f>IFERROR(__xludf.DUMMYFUNCTION("""COMPUTED_VALUE"""),"Completa")</f>
        <v>Completa</v>
      </c>
      <c r="H659" s="16" t="str">
        <f t="array" ref="H659">_xlfn.XLOOKUP(D659,Productos[ID_Producto],Productos[Nombre_Producto])</f>
        <v>Queso cremoso</v>
      </c>
      <c r="I659" s="17">
        <f t="array" ref="I659">_xlfn.XLOOKUP(D659,Productos[ID_Producto],Productos[Precio_Unitario])</f>
        <v>17.23</v>
      </c>
      <c r="J659" s="17">
        <f t="shared" si="1"/>
        <v>34.46</v>
      </c>
      <c r="K659" s="16" t="str">
        <f t="array" ref="K659">_xlfn.XLOOKUP(C659,Clientes[ID_Cliente],Clientes[Provincia])</f>
        <v>Buenos Aires</v>
      </c>
      <c r="L659" s="16" t="str">
        <f t="array" ref="L659">CONCATENATE(_xlfn.XLOOKUP(C659,Clientes[ID_Cliente],Clientes[Provincia]),", Argentina")</f>
        <v>Buenos Aires, Argentina</v>
      </c>
      <c r="M659" s="20" t="str">
        <f t="array" ref="M659">_xlfn.XLOOKUP(F659,Metodos_De_Pago[ID_Metodo],Metodos_De_Pago[Metodo])</f>
        <v>Transferencia</v>
      </c>
      <c r="N659" s="20" t="str">
        <f t="shared" si="2"/>
        <v>2024 05</v>
      </c>
    </row>
    <row r="660" ht="22.5" customHeight="1">
      <c r="A660" s="12">
        <f>IFERROR(__xludf.DUMMYFUNCTION("""COMPUTED_VALUE"""),1685.0)</f>
        <v>1685</v>
      </c>
      <c r="B660" s="13">
        <f>IFERROR(__xludf.DUMMYFUNCTION("""COMPUTED_VALUE"""),45426.0)</f>
        <v>45426</v>
      </c>
      <c r="C660" s="12">
        <f>IFERROR(__xludf.DUMMYFUNCTION("""COMPUTED_VALUE"""),96.0)</f>
        <v>96</v>
      </c>
      <c r="D660" s="12">
        <f>IFERROR(__xludf.DUMMYFUNCTION("""COMPUTED_VALUE"""),31.0)</f>
        <v>31</v>
      </c>
      <c r="E660" s="12">
        <f>IFERROR(__xludf.DUMMYFUNCTION("""COMPUTED_VALUE"""),2.0)</f>
        <v>2</v>
      </c>
      <c r="F660" s="12">
        <f>IFERROR(__xludf.DUMMYFUNCTION("""COMPUTED_VALUE"""),4.0)</f>
        <v>4</v>
      </c>
      <c r="G660" s="15" t="str">
        <f>IFERROR(__xludf.DUMMYFUNCTION("""COMPUTED_VALUE"""),"Completa")</f>
        <v>Completa</v>
      </c>
      <c r="H660" s="16" t="str">
        <f t="array" ref="H660">_xlfn.XLOOKUP(D660,Productos[ID_Producto],Productos[Nombre_Producto])</f>
        <v>Galletitas de agua</v>
      </c>
      <c r="I660" s="17">
        <f t="array" ref="I660">_xlfn.XLOOKUP(D660,Productos[ID_Producto],Productos[Precio_Unitario])</f>
        <v>5.24</v>
      </c>
      <c r="J660" s="17">
        <f t="shared" si="1"/>
        <v>10.48</v>
      </c>
      <c r="K660" s="16" t="str">
        <f t="array" ref="K660">_xlfn.XLOOKUP(C660,Clientes[ID_Cliente],Clientes[Provincia])</f>
        <v>Buenos Aires</v>
      </c>
      <c r="L660" s="16" t="str">
        <f t="array" ref="L660">CONCATENATE(_xlfn.XLOOKUP(C660,Clientes[ID_Cliente],Clientes[Provincia]),", Argentina")</f>
        <v>Buenos Aires, Argentina</v>
      </c>
      <c r="M660" s="20" t="str">
        <f t="array" ref="M660">_xlfn.XLOOKUP(F660,Metodos_De_Pago[ID_Metodo],Metodos_De_Pago[Metodo])</f>
        <v>Mercado Pago</v>
      </c>
      <c r="N660" s="20" t="str">
        <f t="shared" si="2"/>
        <v>2024 05</v>
      </c>
    </row>
    <row r="661" ht="22.5" customHeight="1">
      <c r="A661" s="12">
        <f>IFERROR(__xludf.DUMMYFUNCTION("""COMPUTED_VALUE"""),2564.0)</f>
        <v>2564</v>
      </c>
      <c r="B661" s="13">
        <f>IFERROR(__xludf.DUMMYFUNCTION("""COMPUTED_VALUE"""),45426.0)</f>
        <v>45426</v>
      </c>
      <c r="C661" s="12">
        <f>IFERROR(__xludf.DUMMYFUNCTION("""COMPUTED_VALUE"""),117.0)</f>
        <v>117</v>
      </c>
      <c r="D661" s="12">
        <f>IFERROR(__xludf.DUMMYFUNCTION("""COMPUTED_VALUE"""),8.0)</f>
        <v>8</v>
      </c>
      <c r="E661" s="12">
        <f>IFERROR(__xludf.DUMMYFUNCTION("""COMPUTED_VALUE"""),2.0)</f>
        <v>2</v>
      </c>
      <c r="F661" s="12">
        <f>IFERROR(__xludf.DUMMYFUNCTION("""COMPUTED_VALUE"""),4.0)</f>
        <v>4</v>
      </c>
      <c r="G661" s="15" t="str">
        <f>IFERROR(__xludf.DUMMYFUNCTION("""COMPUTED_VALUE"""),"Completa")</f>
        <v>Completa</v>
      </c>
      <c r="H661" s="16" t="str">
        <f t="array" ref="H661">_xlfn.XLOOKUP(D661,Productos[ID_Producto],Productos[Nombre_Producto])</f>
        <v>Milanesa</v>
      </c>
      <c r="I661" s="17">
        <f t="array" ref="I661">_xlfn.XLOOKUP(D661,Productos[ID_Producto],Productos[Precio_Unitario])</f>
        <v>16.21</v>
      </c>
      <c r="J661" s="17">
        <f t="shared" si="1"/>
        <v>32.42</v>
      </c>
      <c r="K661" s="16" t="str">
        <f t="array" ref="K661">_xlfn.XLOOKUP(C661,Clientes[ID_Cliente],Clientes[Provincia])</f>
        <v>Salta</v>
      </c>
      <c r="L661" s="16" t="str">
        <f t="array" ref="L661">CONCATENATE(_xlfn.XLOOKUP(C661,Clientes[ID_Cliente],Clientes[Provincia]),", Argentina")</f>
        <v>Salta, Argentina</v>
      </c>
      <c r="M661" s="20" t="str">
        <f t="array" ref="M661">_xlfn.XLOOKUP(F661,Metodos_De_Pago[ID_Metodo],Metodos_De_Pago[Metodo])</f>
        <v>Mercado Pago</v>
      </c>
      <c r="N661" s="20" t="str">
        <f t="shared" si="2"/>
        <v>2024 05</v>
      </c>
    </row>
    <row r="662" ht="22.5" customHeight="1">
      <c r="A662" s="12">
        <f>IFERROR(__xludf.DUMMYFUNCTION("""COMPUTED_VALUE"""),1100.0)</f>
        <v>1100</v>
      </c>
      <c r="B662" s="13">
        <f>IFERROR(__xludf.DUMMYFUNCTION("""COMPUTED_VALUE"""),45427.0)</f>
        <v>45427</v>
      </c>
      <c r="C662" s="12">
        <f>IFERROR(__xludf.DUMMYFUNCTION("""COMPUTED_VALUE"""),18.0)</f>
        <v>18</v>
      </c>
      <c r="D662" s="12">
        <f>IFERROR(__xludf.DUMMYFUNCTION("""COMPUTED_VALUE"""),29.0)</f>
        <v>29</v>
      </c>
      <c r="E662" s="12">
        <f>IFERROR(__xludf.DUMMYFUNCTION("""COMPUTED_VALUE"""),2.0)</f>
        <v>2</v>
      </c>
      <c r="F662" s="12">
        <f>IFERROR(__xludf.DUMMYFUNCTION("""COMPUTED_VALUE"""),2.0)</f>
        <v>2</v>
      </c>
      <c r="G662" s="15" t="str">
        <f>IFERROR(__xludf.DUMMYFUNCTION("""COMPUTED_VALUE"""),"Completa")</f>
        <v>Completa</v>
      </c>
      <c r="H662" s="16" t="str">
        <f t="array" ref="H662">_xlfn.XLOOKUP(D662,Productos[ID_Producto],Productos[Nombre_Producto])</f>
        <v>Cerveza</v>
      </c>
      <c r="I662" s="17">
        <f t="array" ref="I662">_xlfn.XLOOKUP(D662,Productos[ID_Producto],Productos[Precio_Unitario])</f>
        <v>11.54</v>
      </c>
      <c r="J662" s="17">
        <f t="shared" si="1"/>
        <v>23.08</v>
      </c>
      <c r="K662" s="16" t="str">
        <f t="array" ref="K662">_xlfn.XLOOKUP(C662,Clientes[ID_Cliente],Clientes[Provincia])</f>
        <v>Córdoba</v>
      </c>
      <c r="L662" s="16" t="str">
        <f t="array" ref="L662">CONCATENATE(_xlfn.XLOOKUP(C662,Clientes[ID_Cliente],Clientes[Provincia]),", Argentina")</f>
        <v>Córdoba, Argentina</v>
      </c>
      <c r="M662" s="20" t="str">
        <f t="array" ref="M662">_xlfn.XLOOKUP(F662,Metodos_De_Pago[ID_Metodo],Metodos_De_Pago[Metodo])</f>
        <v>Tarjeta de Crédito</v>
      </c>
      <c r="N662" s="20" t="str">
        <f t="shared" si="2"/>
        <v>2024 05</v>
      </c>
    </row>
    <row r="663" ht="22.5" customHeight="1">
      <c r="A663" s="12">
        <f>IFERROR(__xludf.DUMMYFUNCTION("""COMPUTED_VALUE"""),1875.0)</f>
        <v>1875</v>
      </c>
      <c r="B663" s="13">
        <f>IFERROR(__xludf.DUMMYFUNCTION("""COMPUTED_VALUE"""),45427.0)</f>
        <v>45427</v>
      </c>
      <c r="C663" s="12">
        <f>IFERROR(__xludf.DUMMYFUNCTION("""COMPUTED_VALUE"""),6.0)</f>
        <v>6</v>
      </c>
      <c r="D663" s="12">
        <f>IFERROR(__xludf.DUMMYFUNCTION("""COMPUTED_VALUE"""),5.0)</f>
        <v>5</v>
      </c>
      <c r="E663" s="12">
        <f>IFERROR(__xludf.DUMMYFUNCTION("""COMPUTED_VALUE"""),2.0)</f>
        <v>2</v>
      </c>
      <c r="F663" s="12">
        <f>IFERROR(__xludf.DUMMYFUNCTION("""COMPUTED_VALUE"""),3.0)</f>
        <v>3</v>
      </c>
      <c r="G663" s="15" t="str">
        <f>IFERROR(__xludf.DUMMYFUNCTION("""COMPUTED_VALUE"""),"Completa")</f>
        <v>Completa</v>
      </c>
      <c r="H663" s="16" t="str">
        <f t="array" ref="H663">_xlfn.XLOOKUP(D663,Productos[ID_Producto],Productos[Nombre_Producto])</f>
        <v>Manteca</v>
      </c>
      <c r="I663" s="17">
        <f t="array" ref="I663">_xlfn.XLOOKUP(D663,Productos[ID_Producto],Productos[Precio_Unitario])</f>
        <v>5.65</v>
      </c>
      <c r="J663" s="17">
        <f t="shared" si="1"/>
        <v>11.3</v>
      </c>
      <c r="K663" s="16" t="str">
        <f t="array" ref="K663">_xlfn.XLOOKUP(C663,Clientes[ID_Cliente],Clientes[Provincia])</f>
        <v>Buenos Aires</v>
      </c>
      <c r="L663" s="16" t="str">
        <f t="array" ref="L663">CONCATENATE(_xlfn.XLOOKUP(C663,Clientes[ID_Cliente],Clientes[Provincia]),", Argentina")</f>
        <v>Buenos Aires, Argentina</v>
      </c>
      <c r="M663" s="20" t="str">
        <f t="array" ref="M663">_xlfn.XLOOKUP(F663,Metodos_De_Pago[ID_Metodo],Metodos_De_Pago[Metodo])</f>
        <v>Tarjeta de Débito</v>
      </c>
      <c r="N663" s="20" t="str">
        <f t="shared" si="2"/>
        <v>2024 05</v>
      </c>
    </row>
    <row r="664" ht="22.5" customHeight="1">
      <c r="A664" s="12">
        <f>IFERROR(__xludf.DUMMYFUNCTION("""COMPUTED_VALUE"""),1358.0)</f>
        <v>1358</v>
      </c>
      <c r="B664" s="13">
        <f>IFERROR(__xludf.DUMMYFUNCTION("""COMPUTED_VALUE"""),45428.0)</f>
        <v>45428</v>
      </c>
      <c r="C664" s="12">
        <f>IFERROR(__xludf.DUMMYFUNCTION("""COMPUTED_VALUE"""),115.0)</f>
        <v>115</v>
      </c>
      <c r="D664" s="12">
        <f>IFERROR(__xludf.DUMMYFUNCTION("""COMPUTED_VALUE"""),19.0)</f>
        <v>19</v>
      </c>
      <c r="E664" s="12">
        <f>IFERROR(__xludf.DUMMYFUNCTION("""COMPUTED_VALUE"""),2.0)</f>
        <v>2</v>
      </c>
      <c r="F664" s="12">
        <f>IFERROR(__xludf.DUMMYFUNCTION("""COMPUTED_VALUE"""),5.0)</f>
        <v>5</v>
      </c>
      <c r="G664" s="15" t="str">
        <f>IFERROR(__xludf.DUMMYFUNCTION("""COMPUTED_VALUE"""),"Completa")</f>
        <v>Completa</v>
      </c>
      <c r="H664" s="16" t="str">
        <f t="array" ref="H664">_xlfn.XLOOKUP(D664,Productos[ID_Producto],Productos[Nombre_Producto])</f>
        <v>Tomates</v>
      </c>
      <c r="I664" s="17">
        <f t="array" ref="I664">_xlfn.XLOOKUP(D664,Productos[ID_Producto],Productos[Precio_Unitario])</f>
        <v>6.54</v>
      </c>
      <c r="J664" s="17">
        <f t="shared" si="1"/>
        <v>13.08</v>
      </c>
      <c r="K664" s="16" t="str">
        <f t="array" ref="K664">_xlfn.XLOOKUP(C664,Clientes[ID_Cliente],Clientes[Provincia])</f>
        <v>San Luis</v>
      </c>
      <c r="L664" s="16" t="str">
        <f t="array" ref="L664">CONCATENATE(_xlfn.XLOOKUP(C664,Clientes[ID_Cliente],Clientes[Provincia]),", Argentina")</f>
        <v>San Luis, Argentina</v>
      </c>
      <c r="M664" s="20" t="str">
        <f t="array" ref="M664">_xlfn.XLOOKUP(F664,Metodos_De_Pago[ID_Metodo],Metodos_De_Pago[Metodo])</f>
        <v>Transferencia</v>
      </c>
      <c r="N664" s="20" t="str">
        <f t="shared" si="2"/>
        <v>2024 05</v>
      </c>
    </row>
    <row r="665" ht="22.5" customHeight="1">
      <c r="A665" s="12">
        <f>IFERROR(__xludf.DUMMYFUNCTION("""COMPUTED_VALUE"""),1804.0)</f>
        <v>1804</v>
      </c>
      <c r="B665" s="13">
        <f>IFERROR(__xludf.DUMMYFUNCTION("""COMPUTED_VALUE"""),45429.0)</f>
        <v>45429</v>
      </c>
      <c r="C665" s="12">
        <f>IFERROR(__xludf.DUMMYFUNCTION("""COMPUTED_VALUE"""),184.0)</f>
        <v>184</v>
      </c>
      <c r="D665" s="12">
        <f>IFERROR(__xludf.DUMMYFUNCTION("""COMPUTED_VALUE"""),4.0)</f>
        <v>4</v>
      </c>
      <c r="E665" s="12">
        <f>IFERROR(__xludf.DUMMYFUNCTION("""COMPUTED_VALUE"""),2.0)</f>
        <v>2</v>
      </c>
      <c r="F665" s="12">
        <f>IFERROR(__xludf.DUMMYFUNCTION("""COMPUTED_VALUE"""),1.0)</f>
        <v>1</v>
      </c>
      <c r="G665" s="15" t="str">
        <f>IFERROR(__xludf.DUMMYFUNCTION("""COMPUTED_VALUE"""),"Completa")</f>
        <v>Completa</v>
      </c>
      <c r="H665" s="16" t="str">
        <f t="array" ref="H665">_xlfn.XLOOKUP(D665,Productos[ID_Producto],Productos[Nombre_Producto])</f>
        <v>Queso rallado</v>
      </c>
      <c r="I665" s="17">
        <f t="array" ref="I665">_xlfn.XLOOKUP(D665,Productos[ID_Producto],Productos[Precio_Unitario])</f>
        <v>19.23</v>
      </c>
      <c r="J665" s="17">
        <f t="shared" si="1"/>
        <v>38.46</v>
      </c>
      <c r="K665" s="16" t="str">
        <f t="array" ref="K665">_xlfn.XLOOKUP(C665,Clientes[ID_Cliente],Clientes[Provincia])</f>
        <v>Buenos Aires</v>
      </c>
      <c r="L665" s="16" t="str">
        <f t="array" ref="L665">CONCATENATE(_xlfn.XLOOKUP(C665,Clientes[ID_Cliente],Clientes[Provincia]),", Argentina")</f>
        <v>Buenos Aires, Argentina</v>
      </c>
      <c r="M665" s="20" t="str">
        <f t="array" ref="M665">_xlfn.XLOOKUP(F665,Metodos_De_Pago[ID_Metodo],Metodos_De_Pago[Metodo])</f>
        <v>Efectivo</v>
      </c>
      <c r="N665" s="20" t="str">
        <f t="shared" si="2"/>
        <v>2024 05</v>
      </c>
    </row>
    <row r="666" ht="22.5" customHeight="1">
      <c r="A666" s="12">
        <f>IFERROR(__xludf.DUMMYFUNCTION("""COMPUTED_VALUE"""),2674.0)</f>
        <v>2674</v>
      </c>
      <c r="B666" s="13">
        <f>IFERROR(__xludf.DUMMYFUNCTION("""COMPUTED_VALUE"""),45429.0)</f>
        <v>45429</v>
      </c>
      <c r="C666" s="12">
        <f>IFERROR(__xludf.DUMMYFUNCTION("""COMPUTED_VALUE"""),165.0)</f>
        <v>165</v>
      </c>
      <c r="D666" s="12">
        <f>IFERROR(__xludf.DUMMYFUNCTION("""COMPUTED_VALUE"""),20.0)</f>
        <v>20</v>
      </c>
      <c r="E666" s="12">
        <f>IFERROR(__xludf.DUMMYFUNCTION("""COMPUTED_VALUE"""),2.0)</f>
        <v>2</v>
      </c>
      <c r="F666" s="12">
        <f>IFERROR(__xludf.DUMMYFUNCTION("""COMPUTED_VALUE"""),3.0)</f>
        <v>3</v>
      </c>
      <c r="G666" s="15" t="str">
        <f>IFERROR(__xludf.DUMMYFUNCTION("""COMPUTED_VALUE"""),"Completa")</f>
        <v>Completa</v>
      </c>
      <c r="H666" s="16" t="str">
        <f t="array" ref="H666">_xlfn.XLOOKUP(D666,Productos[ID_Producto],Productos[Nombre_Producto])</f>
        <v>Lechugas</v>
      </c>
      <c r="I666" s="17">
        <f t="array" ref="I666">_xlfn.XLOOKUP(D666,Productos[ID_Producto],Productos[Precio_Unitario])</f>
        <v>4.25</v>
      </c>
      <c r="J666" s="17">
        <f t="shared" si="1"/>
        <v>8.5</v>
      </c>
      <c r="K666" s="16" t="str">
        <f t="array" ref="K666">_xlfn.XLOOKUP(C666,Clientes[ID_Cliente],Clientes[Provincia])</f>
        <v>Buenos Aires</v>
      </c>
      <c r="L666" s="16" t="str">
        <f t="array" ref="L666">CONCATENATE(_xlfn.XLOOKUP(C666,Clientes[ID_Cliente],Clientes[Provincia]),", Argentina")</f>
        <v>Buenos Aires, Argentina</v>
      </c>
      <c r="M666" s="20" t="str">
        <f t="array" ref="M666">_xlfn.XLOOKUP(F666,Metodos_De_Pago[ID_Metodo],Metodos_De_Pago[Metodo])</f>
        <v>Tarjeta de Débito</v>
      </c>
      <c r="N666" s="20" t="str">
        <f t="shared" si="2"/>
        <v>2024 05</v>
      </c>
    </row>
    <row r="667" ht="22.5" customHeight="1">
      <c r="A667" s="12">
        <f>IFERROR(__xludf.DUMMYFUNCTION("""COMPUTED_VALUE"""),2882.0)</f>
        <v>2882</v>
      </c>
      <c r="B667" s="13">
        <f>IFERROR(__xludf.DUMMYFUNCTION("""COMPUTED_VALUE"""),45429.0)</f>
        <v>45429</v>
      </c>
      <c r="C667" s="12">
        <f>IFERROR(__xludf.DUMMYFUNCTION("""COMPUTED_VALUE"""),23.0)</f>
        <v>23</v>
      </c>
      <c r="D667" s="12">
        <f>IFERROR(__xludf.DUMMYFUNCTION("""COMPUTED_VALUE"""),25.0)</f>
        <v>25</v>
      </c>
      <c r="E667" s="12">
        <f>IFERROR(__xludf.DUMMYFUNCTION("""COMPUTED_VALUE"""),2.0)</f>
        <v>2</v>
      </c>
      <c r="F667" s="12">
        <f>IFERROR(__xludf.DUMMYFUNCTION("""COMPUTED_VALUE"""),5.0)</f>
        <v>5</v>
      </c>
      <c r="G667" s="15" t="str">
        <f>IFERROR(__xludf.DUMMYFUNCTION("""COMPUTED_VALUE"""),"Completa")</f>
        <v>Completa</v>
      </c>
      <c r="H667" s="16" t="str">
        <f t="array" ref="H667">_xlfn.XLOOKUP(D667,Productos[ID_Producto],Productos[Nombre_Producto])</f>
        <v>Pizza congelada</v>
      </c>
      <c r="I667" s="17">
        <f t="array" ref="I667">_xlfn.XLOOKUP(D667,Productos[ID_Producto],Productos[Precio_Unitario])</f>
        <v>15.45</v>
      </c>
      <c r="J667" s="17">
        <f t="shared" si="1"/>
        <v>30.9</v>
      </c>
      <c r="K667" s="16" t="str">
        <f t="array" ref="K667">_xlfn.XLOOKUP(C667,Clientes[ID_Cliente],Clientes[Provincia])</f>
        <v>Neuquén</v>
      </c>
      <c r="L667" s="16" t="str">
        <f t="array" ref="L667">CONCATENATE(_xlfn.XLOOKUP(C667,Clientes[ID_Cliente],Clientes[Provincia]),", Argentina")</f>
        <v>Neuquén, Argentina</v>
      </c>
      <c r="M667" s="20" t="str">
        <f t="array" ref="M667">_xlfn.XLOOKUP(F667,Metodos_De_Pago[ID_Metodo],Metodos_De_Pago[Metodo])</f>
        <v>Transferencia</v>
      </c>
      <c r="N667" s="20" t="str">
        <f t="shared" si="2"/>
        <v>2024 05</v>
      </c>
    </row>
    <row r="668" ht="22.5" customHeight="1">
      <c r="A668" s="12">
        <f>IFERROR(__xludf.DUMMYFUNCTION("""COMPUTED_VALUE"""),1328.0)</f>
        <v>1328</v>
      </c>
      <c r="B668" s="13">
        <f>IFERROR(__xludf.DUMMYFUNCTION("""COMPUTED_VALUE"""),45431.0)</f>
        <v>45431</v>
      </c>
      <c r="C668" s="12">
        <f>IFERROR(__xludf.DUMMYFUNCTION("""COMPUTED_VALUE"""),91.0)</f>
        <v>91</v>
      </c>
      <c r="D668" s="12">
        <f>IFERROR(__xludf.DUMMYFUNCTION("""COMPUTED_VALUE"""),29.0)</f>
        <v>29</v>
      </c>
      <c r="E668" s="12">
        <f>IFERROR(__xludf.DUMMYFUNCTION("""COMPUTED_VALUE"""),2.0)</f>
        <v>2</v>
      </c>
      <c r="F668" s="12">
        <f>IFERROR(__xludf.DUMMYFUNCTION("""COMPUTED_VALUE"""),4.0)</f>
        <v>4</v>
      </c>
      <c r="G668" s="15" t="str">
        <f>IFERROR(__xludf.DUMMYFUNCTION("""COMPUTED_VALUE"""),"Completa")</f>
        <v>Completa</v>
      </c>
      <c r="H668" s="16" t="str">
        <f t="array" ref="H668">_xlfn.XLOOKUP(D668,Productos[ID_Producto],Productos[Nombre_Producto])</f>
        <v>Cerveza</v>
      </c>
      <c r="I668" s="17">
        <f t="array" ref="I668">_xlfn.XLOOKUP(D668,Productos[ID_Producto],Productos[Precio_Unitario])</f>
        <v>11.54</v>
      </c>
      <c r="J668" s="17">
        <f t="shared" si="1"/>
        <v>23.08</v>
      </c>
      <c r="K668" s="16" t="str">
        <f t="array" ref="K668">_xlfn.XLOOKUP(C668,Clientes[ID_Cliente],Clientes[Provincia])</f>
        <v>Buenos Aires</v>
      </c>
      <c r="L668" s="16" t="str">
        <f t="array" ref="L668">CONCATENATE(_xlfn.XLOOKUP(C668,Clientes[ID_Cliente],Clientes[Provincia]),", Argentina")</f>
        <v>Buenos Aires, Argentina</v>
      </c>
      <c r="M668" s="20" t="str">
        <f t="array" ref="M668">_xlfn.XLOOKUP(F668,Metodos_De_Pago[ID_Metodo],Metodos_De_Pago[Metodo])</f>
        <v>Mercado Pago</v>
      </c>
      <c r="N668" s="20" t="str">
        <f t="shared" si="2"/>
        <v>2024 05</v>
      </c>
    </row>
    <row r="669" ht="22.5" customHeight="1">
      <c r="A669" s="12">
        <f>IFERROR(__xludf.DUMMYFUNCTION("""COMPUTED_VALUE"""),2196.0)</f>
        <v>2196</v>
      </c>
      <c r="B669" s="13">
        <f>IFERROR(__xludf.DUMMYFUNCTION("""COMPUTED_VALUE"""),45432.0)</f>
        <v>45432</v>
      </c>
      <c r="C669" s="12">
        <f>IFERROR(__xludf.DUMMYFUNCTION("""COMPUTED_VALUE"""),175.0)</f>
        <v>175</v>
      </c>
      <c r="D669" s="12">
        <f>IFERROR(__xludf.DUMMYFUNCTION("""COMPUTED_VALUE"""),23.0)</f>
        <v>23</v>
      </c>
      <c r="E669" s="12">
        <f>IFERROR(__xludf.DUMMYFUNCTION("""COMPUTED_VALUE"""),2.0)</f>
        <v>2</v>
      </c>
      <c r="F669" s="12">
        <f>IFERROR(__xludf.DUMMYFUNCTION("""COMPUTED_VALUE"""),4.0)</f>
        <v>4</v>
      </c>
      <c r="G669" s="15" t="str">
        <f>IFERROR(__xludf.DUMMYFUNCTION("""COMPUTED_VALUE"""),"Completa")</f>
        <v>Completa</v>
      </c>
      <c r="H669" s="16" t="str">
        <f t="array" ref="H669">_xlfn.XLOOKUP(D669,Productos[ID_Producto],Productos[Nombre_Producto])</f>
        <v>Papas fritas</v>
      </c>
      <c r="I669" s="17">
        <f t="array" ref="I669">_xlfn.XLOOKUP(D669,Productos[ID_Producto],Productos[Precio_Unitario])</f>
        <v>8.23</v>
      </c>
      <c r="J669" s="17">
        <f t="shared" si="1"/>
        <v>16.46</v>
      </c>
      <c r="K669" s="16" t="str">
        <f t="array" ref="K669">_xlfn.XLOOKUP(C669,Clientes[ID_Cliente],Clientes[Provincia])</f>
        <v>Buenos Aires</v>
      </c>
      <c r="L669" s="16" t="str">
        <f t="array" ref="L669">CONCATENATE(_xlfn.XLOOKUP(C669,Clientes[ID_Cliente],Clientes[Provincia]),", Argentina")</f>
        <v>Buenos Aires, Argentina</v>
      </c>
      <c r="M669" s="20" t="str">
        <f t="array" ref="M669">_xlfn.XLOOKUP(F669,Metodos_De_Pago[ID_Metodo],Metodos_De_Pago[Metodo])</f>
        <v>Mercado Pago</v>
      </c>
      <c r="N669" s="20" t="str">
        <f t="shared" si="2"/>
        <v>2024 05</v>
      </c>
    </row>
    <row r="670" ht="22.5" customHeight="1">
      <c r="A670" s="12">
        <f>IFERROR(__xludf.DUMMYFUNCTION("""COMPUTED_VALUE"""),329.0)</f>
        <v>329</v>
      </c>
      <c r="B670" s="13">
        <f>IFERROR(__xludf.DUMMYFUNCTION("""COMPUTED_VALUE"""),45434.0)</f>
        <v>45434</v>
      </c>
      <c r="C670" s="12">
        <f>IFERROR(__xludf.DUMMYFUNCTION("""COMPUTED_VALUE"""),234.0)</f>
        <v>234</v>
      </c>
      <c r="D670" s="12">
        <f>IFERROR(__xludf.DUMMYFUNCTION("""COMPUTED_VALUE"""),13.0)</f>
        <v>13</v>
      </c>
      <c r="E670" s="12">
        <f>IFERROR(__xludf.DUMMYFUNCTION("""COMPUTED_VALUE"""),2.0)</f>
        <v>2</v>
      </c>
      <c r="F670" s="12">
        <f>IFERROR(__xludf.DUMMYFUNCTION("""COMPUTED_VALUE"""),5.0)</f>
        <v>5</v>
      </c>
      <c r="G670" s="15" t="str">
        <f>IFERROR(__xludf.DUMMYFUNCTION("""COMPUTED_VALUE"""),"Completa")</f>
        <v>Completa</v>
      </c>
      <c r="H670" s="16" t="str">
        <f t="array" ref="H670">_xlfn.XLOOKUP(D670,Productos[ID_Producto],Productos[Nombre_Producto])</f>
        <v>Pan integral</v>
      </c>
      <c r="I670" s="17">
        <f t="array" ref="I670">_xlfn.XLOOKUP(D670,Productos[ID_Producto],Productos[Precio_Unitario])</f>
        <v>12.56</v>
      </c>
      <c r="J670" s="17">
        <f t="shared" si="1"/>
        <v>25.12</v>
      </c>
      <c r="K670" s="16" t="str">
        <f t="array" ref="K670">_xlfn.XLOOKUP(C670,Clientes[ID_Cliente],Clientes[Provincia])</f>
        <v>Buenos Aires</v>
      </c>
      <c r="L670" s="16" t="str">
        <f t="array" ref="L670">CONCATENATE(_xlfn.XLOOKUP(C670,Clientes[ID_Cliente],Clientes[Provincia]),", Argentina")</f>
        <v>Buenos Aires, Argentina</v>
      </c>
      <c r="M670" s="20" t="str">
        <f t="array" ref="M670">_xlfn.XLOOKUP(F670,Metodos_De_Pago[ID_Metodo],Metodos_De_Pago[Metodo])</f>
        <v>Transferencia</v>
      </c>
      <c r="N670" s="20" t="str">
        <f t="shared" si="2"/>
        <v>2024 05</v>
      </c>
    </row>
    <row r="671" ht="22.5" customHeight="1">
      <c r="A671" s="12">
        <f>IFERROR(__xludf.DUMMYFUNCTION("""COMPUTED_VALUE"""),51.0)</f>
        <v>51</v>
      </c>
      <c r="B671" s="13">
        <f>IFERROR(__xludf.DUMMYFUNCTION("""COMPUTED_VALUE"""),45435.0)</f>
        <v>45435</v>
      </c>
      <c r="C671" s="12">
        <f>IFERROR(__xludf.DUMMYFUNCTION("""COMPUTED_VALUE"""),189.0)</f>
        <v>189</v>
      </c>
      <c r="D671" s="12">
        <f>IFERROR(__xludf.DUMMYFUNCTION("""COMPUTED_VALUE"""),18.0)</f>
        <v>18</v>
      </c>
      <c r="E671" s="12">
        <f>IFERROR(__xludf.DUMMYFUNCTION("""COMPUTED_VALUE"""),2.0)</f>
        <v>2</v>
      </c>
      <c r="F671" s="12">
        <f>IFERROR(__xludf.DUMMYFUNCTION("""COMPUTED_VALUE"""),4.0)</f>
        <v>4</v>
      </c>
      <c r="G671" s="15" t="str">
        <f>IFERROR(__xludf.DUMMYFUNCTION("""COMPUTED_VALUE"""),"Completa")</f>
        <v>Completa</v>
      </c>
      <c r="H671" s="16" t="str">
        <f t="array" ref="H671">_xlfn.XLOOKUP(D671,Productos[ID_Producto],Productos[Nombre_Producto])</f>
        <v>Bananas</v>
      </c>
      <c r="I671" s="17">
        <f t="array" ref="I671">_xlfn.XLOOKUP(D671,Productos[ID_Producto],Productos[Precio_Unitario])</f>
        <v>7.25</v>
      </c>
      <c r="J671" s="17">
        <f t="shared" si="1"/>
        <v>14.5</v>
      </c>
      <c r="K671" s="16" t="str">
        <f t="array" ref="K671">_xlfn.XLOOKUP(C671,Clientes[ID_Cliente],Clientes[Provincia])</f>
        <v>Neuquén</v>
      </c>
      <c r="L671" s="16" t="str">
        <f t="array" ref="L671">CONCATENATE(_xlfn.XLOOKUP(C671,Clientes[ID_Cliente],Clientes[Provincia]),", Argentina")</f>
        <v>Neuquén, Argentina</v>
      </c>
      <c r="M671" s="20" t="str">
        <f t="array" ref="M671">_xlfn.XLOOKUP(F671,Metodos_De_Pago[ID_Metodo],Metodos_De_Pago[Metodo])</f>
        <v>Mercado Pago</v>
      </c>
      <c r="N671" s="20" t="str">
        <f t="shared" si="2"/>
        <v>2024 05</v>
      </c>
    </row>
    <row r="672" ht="22.5" customHeight="1">
      <c r="A672" s="12">
        <f>IFERROR(__xludf.DUMMYFUNCTION("""COMPUTED_VALUE"""),1602.0)</f>
        <v>1602</v>
      </c>
      <c r="B672" s="13">
        <f>IFERROR(__xludf.DUMMYFUNCTION("""COMPUTED_VALUE"""),45435.0)</f>
        <v>45435</v>
      </c>
      <c r="C672" s="12">
        <f>IFERROR(__xludf.DUMMYFUNCTION("""COMPUTED_VALUE"""),123.0)</f>
        <v>123</v>
      </c>
      <c r="D672" s="12">
        <f>IFERROR(__xludf.DUMMYFUNCTION("""COMPUTED_VALUE"""),31.0)</f>
        <v>31</v>
      </c>
      <c r="E672" s="12">
        <f>IFERROR(__xludf.DUMMYFUNCTION("""COMPUTED_VALUE"""),2.0)</f>
        <v>2</v>
      </c>
      <c r="F672" s="12">
        <f>IFERROR(__xludf.DUMMYFUNCTION("""COMPUTED_VALUE"""),1.0)</f>
        <v>1</v>
      </c>
      <c r="G672" s="15" t="str">
        <f>IFERROR(__xludf.DUMMYFUNCTION("""COMPUTED_VALUE"""),"Completa")</f>
        <v>Completa</v>
      </c>
      <c r="H672" s="16" t="str">
        <f t="array" ref="H672">_xlfn.XLOOKUP(D672,Productos[ID_Producto],Productos[Nombre_Producto])</f>
        <v>Galletitas de agua</v>
      </c>
      <c r="I672" s="17">
        <f t="array" ref="I672">_xlfn.XLOOKUP(D672,Productos[ID_Producto],Productos[Precio_Unitario])</f>
        <v>5.24</v>
      </c>
      <c r="J672" s="17">
        <f t="shared" si="1"/>
        <v>10.48</v>
      </c>
      <c r="K672" s="16" t="str">
        <f t="array" ref="K672">_xlfn.XLOOKUP(C672,Clientes[ID_Cliente],Clientes[Provincia])</f>
        <v>Neuquén</v>
      </c>
      <c r="L672" s="16" t="str">
        <f t="array" ref="L672">CONCATENATE(_xlfn.XLOOKUP(C672,Clientes[ID_Cliente],Clientes[Provincia]),", Argentina")</f>
        <v>Neuquén, Argentina</v>
      </c>
      <c r="M672" s="20" t="str">
        <f t="array" ref="M672">_xlfn.XLOOKUP(F672,Metodos_De_Pago[ID_Metodo],Metodos_De_Pago[Metodo])</f>
        <v>Efectivo</v>
      </c>
      <c r="N672" s="20" t="str">
        <f t="shared" si="2"/>
        <v>2024 05</v>
      </c>
    </row>
    <row r="673" ht="22.5" customHeight="1">
      <c r="A673" s="12">
        <f>IFERROR(__xludf.DUMMYFUNCTION("""COMPUTED_VALUE"""),956.0)</f>
        <v>956</v>
      </c>
      <c r="B673" s="13">
        <f>IFERROR(__xludf.DUMMYFUNCTION("""COMPUTED_VALUE"""),45437.0)</f>
        <v>45437</v>
      </c>
      <c r="C673" s="12">
        <f>IFERROR(__xludf.DUMMYFUNCTION("""COMPUTED_VALUE"""),139.0)</f>
        <v>139</v>
      </c>
      <c r="D673" s="12">
        <f>IFERROR(__xludf.DUMMYFUNCTION("""COMPUTED_VALUE"""),14.0)</f>
        <v>14</v>
      </c>
      <c r="E673" s="12">
        <f>IFERROR(__xludf.DUMMYFUNCTION("""COMPUTED_VALUE"""),2.0)</f>
        <v>2</v>
      </c>
      <c r="F673" s="12">
        <f>IFERROR(__xludf.DUMMYFUNCTION("""COMPUTED_VALUE"""),5.0)</f>
        <v>5</v>
      </c>
      <c r="G673" s="15" t="str">
        <f>IFERROR(__xludf.DUMMYFUNCTION("""COMPUTED_VALUE"""),"Pendiente")</f>
        <v>Pendiente</v>
      </c>
      <c r="H673" s="16" t="str">
        <f t="array" ref="H673">_xlfn.XLOOKUP(D673,Productos[ID_Producto],Productos[Nombre_Producto])</f>
        <v>Facturas</v>
      </c>
      <c r="I673" s="17">
        <f t="array" ref="I673">_xlfn.XLOOKUP(D673,Productos[ID_Producto],Productos[Precio_Unitario])</f>
        <v>12.36</v>
      </c>
      <c r="J673" s="17">
        <f t="shared" si="1"/>
        <v>24.72</v>
      </c>
      <c r="K673" s="16" t="str">
        <f t="array" ref="K673">_xlfn.XLOOKUP(C673,Clientes[ID_Cliente],Clientes[Provincia])</f>
        <v>Buenos Aires</v>
      </c>
      <c r="L673" s="16" t="str">
        <f t="array" ref="L673">CONCATENATE(_xlfn.XLOOKUP(C673,Clientes[ID_Cliente],Clientes[Provincia]),", Argentina")</f>
        <v>Buenos Aires, Argentina</v>
      </c>
      <c r="M673" s="20" t="str">
        <f t="array" ref="M673">_xlfn.XLOOKUP(F673,Metodos_De_Pago[ID_Metodo],Metodos_De_Pago[Metodo])</f>
        <v>Transferencia</v>
      </c>
      <c r="N673" s="20" t="str">
        <f t="shared" si="2"/>
        <v>2024 05</v>
      </c>
    </row>
    <row r="674" ht="22.5" customHeight="1">
      <c r="A674" s="12">
        <f>IFERROR(__xludf.DUMMYFUNCTION("""COMPUTED_VALUE"""),2991.0)</f>
        <v>2991</v>
      </c>
      <c r="B674" s="13">
        <f>IFERROR(__xludf.DUMMYFUNCTION("""COMPUTED_VALUE"""),45438.0)</f>
        <v>45438</v>
      </c>
      <c r="C674" s="12">
        <f>IFERROR(__xludf.DUMMYFUNCTION("""COMPUTED_VALUE"""),266.0)</f>
        <v>266</v>
      </c>
      <c r="D674" s="12">
        <f>IFERROR(__xludf.DUMMYFUNCTION("""COMPUTED_VALUE"""),38.0)</f>
        <v>38</v>
      </c>
      <c r="E674" s="12">
        <f>IFERROR(__xludf.DUMMYFUNCTION("""COMPUTED_VALUE"""),2.0)</f>
        <v>2</v>
      </c>
      <c r="F674" s="12">
        <f>IFERROR(__xludf.DUMMYFUNCTION("""COMPUTED_VALUE"""),3.0)</f>
        <v>3</v>
      </c>
      <c r="G674" s="15" t="str">
        <f>IFERROR(__xludf.DUMMYFUNCTION("""COMPUTED_VALUE"""),"Completa")</f>
        <v>Completa</v>
      </c>
      <c r="H674" s="16" t="str">
        <f t="array" ref="H674">_xlfn.XLOOKUP(D674,Productos[ID_Producto],Productos[Nombre_Producto])</f>
        <v>Atún enlatado</v>
      </c>
      <c r="I674" s="17">
        <f t="array" ref="I674">_xlfn.XLOOKUP(D674,Productos[ID_Producto],Productos[Precio_Unitario])</f>
        <v>6.21</v>
      </c>
      <c r="J674" s="17">
        <f t="shared" si="1"/>
        <v>12.42</v>
      </c>
      <c r="K674" s="16" t="str">
        <f t="array" ref="K674">_xlfn.XLOOKUP(C674,Clientes[ID_Cliente],Clientes[Provincia])</f>
        <v>Buenos Aires</v>
      </c>
      <c r="L674" s="16" t="str">
        <f t="array" ref="L674">CONCATENATE(_xlfn.XLOOKUP(C674,Clientes[ID_Cliente],Clientes[Provincia]),", Argentina")</f>
        <v>Buenos Aires, Argentina</v>
      </c>
      <c r="M674" s="20" t="str">
        <f t="array" ref="M674">_xlfn.XLOOKUP(F674,Metodos_De_Pago[ID_Metodo],Metodos_De_Pago[Metodo])</f>
        <v>Tarjeta de Débito</v>
      </c>
      <c r="N674" s="20" t="str">
        <f t="shared" si="2"/>
        <v>2024 05</v>
      </c>
    </row>
    <row r="675" ht="22.5" customHeight="1">
      <c r="A675" s="12">
        <f>IFERROR(__xludf.DUMMYFUNCTION("""COMPUTED_VALUE"""),1441.0)</f>
        <v>1441</v>
      </c>
      <c r="B675" s="13">
        <f>IFERROR(__xludf.DUMMYFUNCTION("""COMPUTED_VALUE"""),45439.0)</f>
        <v>45439</v>
      </c>
      <c r="C675" s="12">
        <f>IFERROR(__xludf.DUMMYFUNCTION("""COMPUTED_VALUE"""),145.0)</f>
        <v>145</v>
      </c>
      <c r="D675" s="12">
        <f>IFERROR(__xludf.DUMMYFUNCTION("""COMPUTED_VALUE"""),19.0)</f>
        <v>19</v>
      </c>
      <c r="E675" s="12">
        <f>IFERROR(__xludf.DUMMYFUNCTION("""COMPUTED_VALUE"""),2.0)</f>
        <v>2</v>
      </c>
      <c r="F675" s="12">
        <f>IFERROR(__xludf.DUMMYFUNCTION("""COMPUTED_VALUE"""),1.0)</f>
        <v>1</v>
      </c>
      <c r="G675" s="15" t="str">
        <f>IFERROR(__xludf.DUMMYFUNCTION("""COMPUTED_VALUE"""),"Completa")</f>
        <v>Completa</v>
      </c>
      <c r="H675" s="16" t="str">
        <f t="array" ref="H675">_xlfn.XLOOKUP(D675,Productos[ID_Producto],Productos[Nombre_Producto])</f>
        <v>Tomates</v>
      </c>
      <c r="I675" s="17">
        <f t="array" ref="I675">_xlfn.XLOOKUP(D675,Productos[ID_Producto],Productos[Precio_Unitario])</f>
        <v>6.54</v>
      </c>
      <c r="J675" s="17">
        <f t="shared" si="1"/>
        <v>13.08</v>
      </c>
      <c r="K675" s="16" t="str">
        <f t="array" ref="K675">_xlfn.XLOOKUP(C675,Clientes[ID_Cliente],Clientes[Provincia])</f>
        <v>Buenos Aires</v>
      </c>
      <c r="L675" s="16" t="str">
        <f t="array" ref="L675">CONCATENATE(_xlfn.XLOOKUP(C675,Clientes[ID_Cliente],Clientes[Provincia]),", Argentina")</f>
        <v>Buenos Aires, Argentina</v>
      </c>
      <c r="M675" s="20" t="str">
        <f t="array" ref="M675">_xlfn.XLOOKUP(F675,Metodos_De_Pago[ID_Metodo],Metodos_De_Pago[Metodo])</f>
        <v>Efectivo</v>
      </c>
      <c r="N675" s="20" t="str">
        <f t="shared" si="2"/>
        <v>2024 05</v>
      </c>
    </row>
    <row r="676" ht="22.5" customHeight="1">
      <c r="A676" s="12">
        <f>IFERROR(__xludf.DUMMYFUNCTION("""COMPUTED_VALUE"""),1752.0)</f>
        <v>1752</v>
      </c>
      <c r="B676" s="13">
        <f>IFERROR(__xludf.DUMMYFUNCTION("""COMPUTED_VALUE"""),45439.0)</f>
        <v>45439</v>
      </c>
      <c r="C676" s="12">
        <f>IFERROR(__xludf.DUMMYFUNCTION("""COMPUTED_VALUE"""),220.0)</f>
        <v>220</v>
      </c>
      <c r="D676" s="12">
        <f>IFERROR(__xludf.DUMMYFUNCTION("""COMPUTED_VALUE"""),31.0)</f>
        <v>31</v>
      </c>
      <c r="E676" s="12">
        <f>IFERROR(__xludf.DUMMYFUNCTION("""COMPUTED_VALUE"""),2.0)</f>
        <v>2</v>
      </c>
      <c r="F676" s="12">
        <f>IFERROR(__xludf.DUMMYFUNCTION("""COMPUTED_VALUE"""),1.0)</f>
        <v>1</v>
      </c>
      <c r="G676" s="15" t="str">
        <f>IFERROR(__xludf.DUMMYFUNCTION("""COMPUTED_VALUE"""),"Completa")</f>
        <v>Completa</v>
      </c>
      <c r="H676" s="16" t="str">
        <f t="array" ref="H676">_xlfn.XLOOKUP(D676,Productos[ID_Producto],Productos[Nombre_Producto])</f>
        <v>Galletitas de agua</v>
      </c>
      <c r="I676" s="17">
        <f t="array" ref="I676">_xlfn.XLOOKUP(D676,Productos[ID_Producto],Productos[Precio_Unitario])</f>
        <v>5.24</v>
      </c>
      <c r="J676" s="17">
        <f t="shared" si="1"/>
        <v>10.48</v>
      </c>
      <c r="K676" s="16" t="str">
        <f t="array" ref="K676">_xlfn.XLOOKUP(C676,Clientes[ID_Cliente],Clientes[Provincia])</f>
        <v>Córdoba</v>
      </c>
      <c r="L676" s="16" t="str">
        <f t="array" ref="L676">CONCATENATE(_xlfn.XLOOKUP(C676,Clientes[ID_Cliente],Clientes[Provincia]),", Argentina")</f>
        <v>Córdoba, Argentina</v>
      </c>
      <c r="M676" s="20" t="str">
        <f t="array" ref="M676">_xlfn.XLOOKUP(F676,Metodos_De_Pago[ID_Metodo],Metodos_De_Pago[Metodo])</f>
        <v>Efectivo</v>
      </c>
      <c r="N676" s="20" t="str">
        <f t="shared" si="2"/>
        <v>2024 05</v>
      </c>
    </row>
    <row r="677" ht="22.5" customHeight="1">
      <c r="A677" s="12">
        <f>IFERROR(__xludf.DUMMYFUNCTION("""COMPUTED_VALUE"""),2599.0)</f>
        <v>2599</v>
      </c>
      <c r="B677" s="13">
        <f>IFERROR(__xludf.DUMMYFUNCTION("""COMPUTED_VALUE"""),45439.0)</f>
        <v>45439</v>
      </c>
      <c r="C677" s="12">
        <f>IFERROR(__xludf.DUMMYFUNCTION("""COMPUTED_VALUE"""),176.0)</f>
        <v>176</v>
      </c>
      <c r="D677" s="12">
        <f>IFERROR(__xludf.DUMMYFUNCTION("""COMPUTED_VALUE"""),30.0)</f>
        <v>30</v>
      </c>
      <c r="E677" s="12">
        <f>IFERROR(__xludf.DUMMYFUNCTION("""COMPUTED_VALUE"""),2.0)</f>
        <v>2</v>
      </c>
      <c r="F677" s="12">
        <f>IFERROR(__xludf.DUMMYFUNCTION("""COMPUTED_VALUE"""),4.0)</f>
        <v>4</v>
      </c>
      <c r="G677" s="15" t="str">
        <f>IFERROR(__xludf.DUMMYFUNCTION("""COMPUTED_VALUE"""),"Completa")</f>
        <v>Completa</v>
      </c>
      <c r="H677" s="16" t="str">
        <f t="array" ref="H677">_xlfn.XLOOKUP(D677,Productos[ID_Producto],Productos[Nombre_Producto])</f>
        <v>Vino tinto</v>
      </c>
      <c r="I677" s="17">
        <f t="array" ref="I677">_xlfn.XLOOKUP(D677,Productos[ID_Producto],Productos[Precio_Unitario])</f>
        <v>13.54</v>
      </c>
      <c r="J677" s="17">
        <f t="shared" si="1"/>
        <v>27.08</v>
      </c>
      <c r="K677" s="16" t="str">
        <f t="array" ref="K677">_xlfn.XLOOKUP(C677,Clientes[ID_Cliente],Clientes[Provincia])</f>
        <v>Chaco</v>
      </c>
      <c r="L677" s="16" t="str">
        <f t="array" ref="L677">CONCATENATE(_xlfn.XLOOKUP(C677,Clientes[ID_Cliente],Clientes[Provincia]),", Argentina")</f>
        <v>Chaco, Argentina</v>
      </c>
      <c r="M677" s="20" t="str">
        <f t="array" ref="M677">_xlfn.XLOOKUP(F677,Metodos_De_Pago[ID_Metodo],Metodos_De_Pago[Metodo])</f>
        <v>Mercado Pago</v>
      </c>
      <c r="N677" s="20" t="str">
        <f t="shared" si="2"/>
        <v>2024 05</v>
      </c>
    </row>
    <row r="678" ht="22.5" customHeight="1">
      <c r="A678" s="12">
        <f>IFERROR(__xludf.DUMMYFUNCTION("""COMPUTED_VALUE"""),1709.0)</f>
        <v>1709</v>
      </c>
      <c r="B678" s="13">
        <f>IFERROR(__xludf.DUMMYFUNCTION("""COMPUTED_VALUE"""),45440.0)</f>
        <v>45440</v>
      </c>
      <c r="C678" s="12">
        <f>IFERROR(__xludf.DUMMYFUNCTION("""COMPUTED_VALUE"""),319.0)</f>
        <v>319</v>
      </c>
      <c r="D678" s="12">
        <f>IFERROR(__xludf.DUMMYFUNCTION("""COMPUTED_VALUE"""),3.0)</f>
        <v>3</v>
      </c>
      <c r="E678" s="12">
        <f>IFERROR(__xludf.DUMMYFUNCTION("""COMPUTED_VALUE"""),2.0)</f>
        <v>2</v>
      </c>
      <c r="F678" s="12">
        <f>IFERROR(__xludf.DUMMYFUNCTION("""COMPUTED_VALUE"""),4.0)</f>
        <v>4</v>
      </c>
      <c r="G678" s="15" t="str">
        <f>IFERROR(__xludf.DUMMYFUNCTION("""COMPUTED_VALUE"""),"Pendiente")</f>
        <v>Pendiente</v>
      </c>
      <c r="H678" s="16" t="str">
        <f t="array" ref="H678">_xlfn.XLOOKUP(D678,Productos[ID_Producto],Productos[Nombre_Producto])</f>
        <v>Queso cremoso</v>
      </c>
      <c r="I678" s="17">
        <f t="array" ref="I678">_xlfn.XLOOKUP(D678,Productos[ID_Producto],Productos[Precio_Unitario])</f>
        <v>17.23</v>
      </c>
      <c r="J678" s="17">
        <f t="shared" si="1"/>
        <v>34.46</v>
      </c>
      <c r="K678" s="16" t="str">
        <f t="array" ref="K678">_xlfn.XLOOKUP(C678,Clientes[ID_Cliente],Clientes[Provincia])</f>
        <v>Neuquén</v>
      </c>
      <c r="L678" s="16" t="str">
        <f t="array" ref="L678">CONCATENATE(_xlfn.XLOOKUP(C678,Clientes[ID_Cliente],Clientes[Provincia]),", Argentina")</f>
        <v>Neuquén, Argentina</v>
      </c>
      <c r="M678" s="20" t="str">
        <f t="array" ref="M678">_xlfn.XLOOKUP(F678,Metodos_De_Pago[ID_Metodo],Metodos_De_Pago[Metodo])</f>
        <v>Mercado Pago</v>
      </c>
      <c r="N678" s="20" t="str">
        <f t="shared" si="2"/>
        <v>2024 05</v>
      </c>
    </row>
    <row r="679" ht="22.5" customHeight="1">
      <c r="A679" s="12">
        <f>IFERROR(__xludf.DUMMYFUNCTION("""COMPUTED_VALUE"""),1844.0)</f>
        <v>1844</v>
      </c>
      <c r="B679" s="13">
        <f>IFERROR(__xludf.DUMMYFUNCTION("""COMPUTED_VALUE"""),45441.0)</f>
        <v>45441</v>
      </c>
      <c r="C679" s="12">
        <f>IFERROR(__xludf.DUMMYFUNCTION("""COMPUTED_VALUE"""),127.0)</f>
        <v>127</v>
      </c>
      <c r="D679" s="12">
        <f>IFERROR(__xludf.DUMMYFUNCTION("""COMPUTED_VALUE"""),28.0)</f>
        <v>28</v>
      </c>
      <c r="E679" s="12">
        <f>IFERROR(__xludf.DUMMYFUNCTION("""COMPUTED_VALUE"""),2.0)</f>
        <v>2</v>
      </c>
      <c r="F679" s="12">
        <f>IFERROR(__xludf.DUMMYFUNCTION("""COMPUTED_VALUE"""),5.0)</f>
        <v>5</v>
      </c>
      <c r="G679" s="15" t="str">
        <f>IFERROR(__xludf.DUMMYFUNCTION("""COMPUTED_VALUE"""),"Completa")</f>
        <v>Completa</v>
      </c>
      <c r="H679" s="16" t="str">
        <f t="array" ref="H679">_xlfn.XLOOKUP(D679,Productos[ID_Producto],Productos[Nombre_Producto])</f>
        <v>Jugos de frutas</v>
      </c>
      <c r="I679" s="17">
        <f t="array" ref="I679">_xlfn.XLOOKUP(D679,Productos[ID_Producto],Productos[Precio_Unitario])</f>
        <v>9.45</v>
      </c>
      <c r="J679" s="17">
        <f t="shared" si="1"/>
        <v>18.9</v>
      </c>
      <c r="K679" s="16" t="str">
        <f t="array" ref="K679">_xlfn.XLOOKUP(C679,Clientes[ID_Cliente],Clientes[Provincia])</f>
        <v>Buenos Aires</v>
      </c>
      <c r="L679" s="16" t="str">
        <f t="array" ref="L679">CONCATENATE(_xlfn.XLOOKUP(C679,Clientes[ID_Cliente],Clientes[Provincia]),", Argentina")</f>
        <v>Buenos Aires, Argentina</v>
      </c>
      <c r="M679" s="20" t="str">
        <f t="array" ref="M679">_xlfn.XLOOKUP(F679,Metodos_De_Pago[ID_Metodo],Metodos_De_Pago[Metodo])</f>
        <v>Transferencia</v>
      </c>
      <c r="N679" s="20" t="str">
        <f t="shared" si="2"/>
        <v>2024 05</v>
      </c>
    </row>
    <row r="680" ht="22.5" customHeight="1">
      <c r="A680" s="12">
        <f>IFERROR(__xludf.DUMMYFUNCTION("""COMPUTED_VALUE"""),2761.0)</f>
        <v>2761</v>
      </c>
      <c r="B680" s="13">
        <f>IFERROR(__xludf.DUMMYFUNCTION("""COMPUTED_VALUE"""),45441.0)</f>
        <v>45441</v>
      </c>
      <c r="C680" s="12">
        <f>IFERROR(__xludf.DUMMYFUNCTION("""COMPUTED_VALUE"""),87.0)</f>
        <v>87</v>
      </c>
      <c r="D680" s="12">
        <f>IFERROR(__xludf.DUMMYFUNCTION("""COMPUTED_VALUE"""),26.0)</f>
        <v>26</v>
      </c>
      <c r="E680" s="12">
        <f>IFERROR(__xludf.DUMMYFUNCTION("""COMPUTED_VALUE"""),2.0)</f>
        <v>2</v>
      </c>
      <c r="F680" s="12">
        <f>IFERROR(__xludf.DUMMYFUNCTION("""COMPUTED_VALUE"""),3.0)</f>
        <v>3</v>
      </c>
      <c r="G680" s="15" t="str">
        <f>IFERROR(__xludf.DUMMYFUNCTION("""COMPUTED_VALUE"""),"Completa")</f>
        <v>Completa</v>
      </c>
      <c r="H680" s="16" t="str">
        <f t="array" ref="H680">_xlfn.XLOOKUP(D680,Productos[ID_Producto],Productos[Nombre_Producto])</f>
        <v>Hamburgesas congeladas</v>
      </c>
      <c r="I680" s="17">
        <f t="array" ref="I680">_xlfn.XLOOKUP(D680,Productos[ID_Producto],Productos[Precio_Unitario])</f>
        <v>9.54</v>
      </c>
      <c r="J680" s="17">
        <f t="shared" si="1"/>
        <v>19.08</v>
      </c>
      <c r="K680" s="16" t="str">
        <f t="array" ref="K680">_xlfn.XLOOKUP(C680,Clientes[ID_Cliente],Clientes[Provincia])</f>
        <v>Neuquén</v>
      </c>
      <c r="L680" s="16" t="str">
        <f t="array" ref="L680">CONCATENATE(_xlfn.XLOOKUP(C680,Clientes[ID_Cliente],Clientes[Provincia]),", Argentina")</f>
        <v>Neuquén, Argentina</v>
      </c>
      <c r="M680" s="20" t="str">
        <f t="array" ref="M680">_xlfn.XLOOKUP(F680,Metodos_De_Pago[ID_Metodo],Metodos_De_Pago[Metodo])</f>
        <v>Tarjeta de Débito</v>
      </c>
      <c r="N680" s="20" t="str">
        <f t="shared" si="2"/>
        <v>2024 05</v>
      </c>
    </row>
    <row r="681" ht="22.5" customHeight="1">
      <c r="A681" s="12">
        <f>IFERROR(__xludf.DUMMYFUNCTION("""COMPUTED_VALUE"""),818.0)</f>
        <v>818</v>
      </c>
      <c r="B681" s="13">
        <f>IFERROR(__xludf.DUMMYFUNCTION("""COMPUTED_VALUE"""),45442.0)</f>
        <v>45442</v>
      </c>
      <c r="C681" s="12">
        <f>IFERROR(__xludf.DUMMYFUNCTION("""COMPUTED_VALUE"""),159.0)</f>
        <v>159</v>
      </c>
      <c r="D681" s="12">
        <f>IFERROR(__xludf.DUMMYFUNCTION("""COMPUTED_VALUE"""),10.0)</f>
        <v>10</v>
      </c>
      <c r="E681" s="12">
        <f>IFERROR(__xludf.DUMMYFUNCTION("""COMPUTED_VALUE"""),2.0)</f>
        <v>2</v>
      </c>
      <c r="F681" s="12">
        <f>IFERROR(__xludf.DUMMYFUNCTION("""COMPUTED_VALUE"""),1.0)</f>
        <v>1</v>
      </c>
      <c r="G681" s="15" t="str">
        <f>IFERROR(__xludf.DUMMYFUNCTION("""COMPUTED_VALUE"""),"Completa")</f>
        <v>Completa</v>
      </c>
      <c r="H681" s="16" t="str">
        <f t="array" ref="H681">_xlfn.XLOOKUP(D681,Productos[ID_Producto],Productos[Nombre_Producto])</f>
        <v>Costilla de cerdo</v>
      </c>
      <c r="I681" s="17">
        <f t="array" ref="I681">_xlfn.XLOOKUP(D681,Productos[ID_Producto],Productos[Precio_Unitario])</f>
        <v>14.25</v>
      </c>
      <c r="J681" s="17">
        <f t="shared" si="1"/>
        <v>28.5</v>
      </c>
      <c r="K681" s="16" t="str">
        <f t="array" ref="K681">_xlfn.XLOOKUP(C681,Clientes[ID_Cliente],Clientes[Provincia])</f>
        <v>Chaco</v>
      </c>
      <c r="L681" s="16" t="str">
        <f t="array" ref="L681">CONCATENATE(_xlfn.XLOOKUP(C681,Clientes[ID_Cliente],Clientes[Provincia]),", Argentina")</f>
        <v>Chaco, Argentina</v>
      </c>
      <c r="M681" s="20" t="str">
        <f t="array" ref="M681">_xlfn.XLOOKUP(F681,Metodos_De_Pago[ID_Metodo],Metodos_De_Pago[Metodo])</f>
        <v>Efectivo</v>
      </c>
      <c r="N681" s="20" t="str">
        <f t="shared" si="2"/>
        <v>2024 05</v>
      </c>
    </row>
    <row r="682" ht="22.5" customHeight="1">
      <c r="A682" s="12">
        <f>IFERROR(__xludf.DUMMYFUNCTION("""COMPUTED_VALUE"""),1962.0)</f>
        <v>1962</v>
      </c>
      <c r="B682" s="13">
        <f>IFERROR(__xludf.DUMMYFUNCTION("""COMPUTED_VALUE"""),45442.0)</f>
        <v>45442</v>
      </c>
      <c r="C682" s="12">
        <f>IFERROR(__xludf.DUMMYFUNCTION("""COMPUTED_VALUE"""),82.0)</f>
        <v>82</v>
      </c>
      <c r="D682" s="12">
        <f>IFERROR(__xludf.DUMMYFUNCTION("""COMPUTED_VALUE"""),5.0)</f>
        <v>5</v>
      </c>
      <c r="E682" s="12">
        <f>IFERROR(__xludf.DUMMYFUNCTION("""COMPUTED_VALUE"""),2.0)</f>
        <v>2</v>
      </c>
      <c r="F682" s="12">
        <f>IFERROR(__xludf.DUMMYFUNCTION("""COMPUTED_VALUE"""),4.0)</f>
        <v>4</v>
      </c>
      <c r="G682" s="15" t="str">
        <f>IFERROR(__xludf.DUMMYFUNCTION("""COMPUTED_VALUE"""),"Completa")</f>
        <v>Completa</v>
      </c>
      <c r="H682" s="16" t="str">
        <f t="array" ref="H682">_xlfn.XLOOKUP(D682,Productos[ID_Producto],Productos[Nombre_Producto])</f>
        <v>Manteca</v>
      </c>
      <c r="I682" s="17">
        <f t="array" ref="I682">_xlfn.XLOOKUP(D682,Productos[ID_Producto],Productos[Precio_Unitario])</f>
        <v>5.65</v>
      </c>
      <c r="J682" s="17">
        <f t="shared" si="1"/>
        <v>11.3</v>
      </c>
      <c r="K682" s="16" t="str">
        <f t="array" ref="K682">_xlfn.XLOOKUP(C682,Clientes[ID_Cliente],Clientes[Provincia])</f>
        <v>Buenos Aires</v>
      </c>
      <c r="L682" s="16" t="str">
        <f t="array" ref="L682">CONCATENATE(_xlfn.XLOOKUP(C682,Clientes[ID_Cliente],Clientes[Provincia]),", Argentina")</f>
        <v>Buenos Aires, Argentina</v>
      </c>
      <c r="M682" s="20" t="str">
        <f t="array" ref="M682">_xlfn.XLOOKUP(F682,Metodos_De_Pago[ID_Metodo],Metodos_De_Pago[Metodo])</f>
        <v>Mercado Pago</v>
      </c>
      <c r="N682" s="20" t="str">
        <f t="shared" si="2"/>
        <v>2024 05</v>
      </c>
    </row>
    <row r="683" ht="22.5" customHeight="1">
      <c r="A683" s="12">
        <f>IFERROR(__xludf.DUMMYFUNCTION("""COMPUTED_VALUE"""),867.0)</f>
        <v>867</v>
      </c>
      <c r="B683" s="13">
        <f>IFERROR(__xludf.DUMMYFUNCTION("""COMPUTED_VALUE"""),45443.0)</f>
        <v>45443</v>
      </c>
      <c r="C683" s="12">
        <f>IFERROR(__xludf.DUMMYFUNCTION("""COMPUTED_VALUE"""),77.0)</f>
        <v>77</v>
      </c>
      <c r="D683" s="12">
        <f>IFERROR(__xludf.DUMMYFUNCTION("""COMPUTED_VALUE"""),12.0)</f>
        <v>12</v>
      </c>
      <c r="E683" s="12">
        <f>IFERROR(__xludf.DUMMYFUNCTION("""COMPUTED_VALUE"""),2.0)</f>
        <v>2</v>
      </c>
      <c r="F683" s="12">
        <f>IFERROR(__xludf.DUMMYFUNCTION("""COMPUTED_VALUE"""),1.0)</f>
        <v>1</v>
      </c>
      <c r="G683" s="15" t="str">
        <f>IFERROR(__xludf.DUMMYFUNCTION("""COMPUTED_VALUE"""),"Completa")</f>
        <v>Completa</v>
      </c>
      <c r="H683" s="16" t="str">
        <f t="array" ref="H683">_xlfn.XLOOKUP(D683,Productos[ID_Producto],Productos[Nombre_Producto])</f>
        <v>Pan francés</v>
      </c>
      <c r="I683" s="17">
        <f t="array" ref="I683">_xlfn.XLOOKUP(D683,Productos[ID_Producto],Productos[Precio_Unitario])</f>
        <v>8.12</v>
      </c>
      <c r="J683" s="17">
        <f t="shared" si="1"/>
        <v>16.24</v>
      </c>
      <c r="K683" s="16" t="str">
        <f t="array" ref="K683">_xlfn.XLOOKUP(C683,Clientes[ID_Cliente],Clientes[Provincia])</f>
        <v>Buenos Aires</v>
      </c>
      <c r="L683" s="16" t="str">
        <f t="array" ref="L683">CONCATENATE(_xlfn.XLOOKUP(C683,Clientes[ID_Cliente],Clientes[Provincia]),", Argentina")</f>
        <v>Buenos Aires, Argentina</v>
      </c>
      <c r="M683" s="20" t="str">
        <f t="array" ref="M683">_xlfn.XLOOKUP(F683,Metodos_De_Pago[ID_Metodo],Metodos_De_Pago[Metodo])</f>
        <v>Efectivo</v>
      </c>
      <c r="N683" s="20" t="str">
        <f t="shared" si="2"/>
        <v>2024 05</v>
      </c>
    </row>
    <row r="684" ht="22.5" customHeight="1">
      <c r="A684" s="12">
        <f>IFERROR(__xludf.DUMMYFUNCTION("""COMPUTED_VALUE"""),2249.0)</f>
        <v>2249</v>
      </c>
      <c r="B684" s="13">
        <f>IFERROR(__xludf.DUMMYFUNCTION("""COMPUTED_VALUE"""),45444.0)</f>
        <v>45444</v>
      </c>
      <c r="C684" s="12">
        <f>IFERROR(__xludf.DUMMYFUNCTION("""COMPUTED_VALUE"""),124.0)</f>
        <v>124</v>
      </c>
      <c r="D684" s="12">
        <f>IFERROR(__xludf.DUMMYFUNCTION("""COMPUTED_VALUE"""),29.0)</f>
        <v>29</v>
      </c>
      <c r="E684" s="12">
        <f>IFERROR(__xludf.DUMMYFUNCTION("""COMPUTED_VALUE"""),2.0)</f>
        <v>2</v>
      </c>
      <c r="F684" s="12">
        <f>IFERROR(__xludf.DUMMYFUNCTION("""COMPUTED_VALUE"""),4.0)</f>
        <v>4</v>
      </c>
      <c r="G684" s="15" t="str">
        <f>IFERROR(__xludf.DUMMYFUNCTION("""COMPUTED_VALUE"""),"Completa")</f>
        <v>Completa</v>
      </c>
      <c r="H684" s="16" t="str">
        <f t="array" ref="H684">_xlfn.XLOOKUP(D684,Productos[ID_Producto],Productos[Nombre_Producto])</f>
        <v>Cerveza</v>
      </c>
      <c r="I684" s="17">
        <f t="array" ref="I684">_xlfn.XLOOKUP(D684,Productos[ID_Producto],Productos[Precio_Unitario])</f>
        <v>11.54</v>
      </c>
      <c r="J684" s="17">
        <f t="shared" si="1"/>
        <v>23.08</v>
      </c>
      <c r="K684" s="16" t="str">
        <f t="array" ref="K684">_xlfn.XLOOKUP(C684,Clientes[ID_Cliente],Clientes[Provincia])</f>
        <v>Chaco</v>
      </c>
      <c r="L684" s="16" t="str">
        <f t="array" ref="L684">CONCATENATE(_xlfn.XLOOKUP(C684,Clientes[ID_Cliente],Clientes[Provincia]),", Argentina")</f>
        <v>Chaco, Argentina</v>
      </c>
      <c r="M684" s="20" t="str">
        <f t="array" ref="M684">_xlfn.XLOOKUP(F684,Metodos_De_Pago[ID_Metodo],Metodos_De_Pago[Metodo])</f>
        <v>Mercado Pago</v>
      </c>
      <c r="N684" s="20" t="str">
        <f t="shared" si="2"/>
        <v>2024 06</v>
      </c>
    </row>
    <row r="685" ht="22.5" customHeight="1">
      <c r="A685" s="12">
        <f>IFERROR(__xludf.DUMMYFUNCTION("""COMPUTED_VALUE"""),516.0)</f>
        <v>516</v>
      </c>
      <c r="B685" s="13">
        <f>IFERROR(__xludf.DUMMYFUNCTION("""COMPUTED_VALUE"""),45445.0)</f>
        <v>45445</v>
      </c>
      <c r="C685" s="12">
        <f>IFERROR(__xludf.DUMMYFUNCTION("""COMPUTED_VALUE"""),83.0)</f>
        <v>83</v>
      </c>
      <c r="D685" s="12">
        <f>IFERROR(__xludf.DUMMYFUNCTION("""COMPUTED_VALUE"""),17.0)</f>
        <v>17</v>
      </c>
      <c r="E685" s="12">
        <f>IFERROR(__xludf.DUMMYFUNCTION("""COMPUTED_VALUE"""),2.0)</f>
        <v>2</v>
      </c>
      <c r="F685" s="12">
        <f>IFERROR(__xludf.DUMMYFUNCTION("""COMPUTED_VALUE"""),1.0)</f>
        <v>1</v>
      </c>
      <c r="G685" s="15" t="str">
        <f>IFERROR(__xludf.DUMMYFUNCTION("""COMPUTED_VALUE"""),"Pendiente")</f>
        <v>Pendiente</v>
      </c>
      <c r="H685" s="16" t="str">
        <f t="array" ref="H685">_xlfn.XLOOKUP(D685,Productos[ID_Producto],Productos[Nombre_Producto])</f>
        <v>Manzanas</v>
      </c>
      <c r="I685" s="17">
        <f t="array" ref="I685">_xlfn.XLOOKUP(D685,Productos[ID_Producto],Productos[Precio_Unitario])</f>
        <v>6.54</v>
      </c>
      <c r="J685" s="17">
        <f t="shared" si="1"/>
        <v>13.08</v>
      </c>
      <c r="K685" s="16" t="str">
        <f t="array" ref="K685">_xlfn.XLOOKUP(C685,Clientes[ID_Cliente],Clientes[Provincia])</f>
        <v>Buenos Aires</v>
      </c>
      <c r="L685" s="16" t="str">
        <f t="array" ref="L685">CONCATENATE(_xlfn.XLOOKUP(C685,Clientes[ID_Cliente],Clientes[Provincia]),", Argentina")</f>
        <v>Buenos Aires, Argentina</v>
      </c>
      <c r="M685" s="20" t="str">
        <f t="array" ref="M685">_xlfn.XLOOKUP(F685,Metodos_De_Pago[ID_Metodo],Metodos_De_Pago[Metodo])</f>
        <v>Efectivo</v>
      </c>
      <c r="N685" s="20" t="str">
        <f t="shared" si="2"/>
        <v>2024 06</v>
      </c>
    </row>
    <row r="686" ht="22.5" customHeight="1">
      <c r="A686" s="12">
        <f>IFERROR(__xludf.DUMMYFUNCTION("""COMPUTED_VALUE"""),991.0)</f>
        <v>991</v>
      </c>
      <c r="B686" s="13">
        <f>IFERROR(__xludf.DUMMYFUNCTION("""COMPUTED_VALUE"""),45445.0)</f>
        <v>45445</v>
      </c>
      <c r="C686" s="12">
        <f>IFERROR(__xludf.DUMMYFUNCTION("""COMPUTED_VALUE"""),104.0)</f>
        <v>104</v>
      </c>
      <c r="D686" s="12">
        <f>IFERROR(__xludf.DUMMYFUNCTION("""COMPUTED_VALUE"""),4.0)</f>
        <v>4</v>
      </c>
      <c r="E686" s="12">
        <f>IFERROR(__xludf.DUMMYFUNCTION("""COMPUTED_VALUE"""),2.0)</f>
        <v>2</v>
      </c>
      <c r="F686" s="12">
        <f>IFERROR(__xludf.DUMMYFUNCTION("""COMPUTED_VALUE"""),2.0)</f>
        <v>2</v>
      </c>
      <c r="G686" s="15" t="str">
        <f>IFERROR(__xludf.DUMMYFUNCTION("""COMPUTED_VALUE"""),"Completa")</f>
        <v>Completa</v>
      </c>
      <c r="H686" s="16" t="str">
        <f t="array" ref="H686">_xlfn.XLOOKUP(D686,Productos[ID_Producto],Productos[Nombre_Producto])</f>
        <v>Queso rallado</v>
      </c>
      <c r="I686" s="17">
        <f t="array" ref="I686">_xlfn.XLOOKUP(D686,Productos[ID_Producto],Productos[Precio_Unitario])</f>
        <v>19.23</v>
      </c>
      <c r="J686" s="17">
        <f t="shared" si="1"/>
        <v>38.46</v>
      </c>
      <c r="K686" s="16" t="str">
        <f t="array" ref="K686">_xlfn.XLOOKUP(C686,Clientes[ID_Cliente],Clientes[Provincia])</f>
        <v>Buenos Aires</v>
      </c>
      <c r="L686" s="16" t="str">
        <f t="array" ref="L686">CONCATENATE(_xlfn.XLOOKUP(C686,Clientes[ID_Cliente],Clientes[Provincia]),", Argentina")</f>
        <v>Buenos Aires, Argentina</v>
      </c>
      <c r="M686" s="20" t="str">
        <f t="array" ref="M686">_xlfn.XLOOKUP(F686,Metodos_De_Pago[ID_Metodo],Metodos_De_Pago[Metodo])</f>
        <v>Tarjeta de Crédito</v>
      </c>
      <c r="N686" s="20" t="str">
        <f t="shared" si="2"/>
        <v>2024 06</v>
      </c>
    </row>
    <row r="687" ht="22.5" customHeight="1">
      <c r="A687" s="12">
        <f>IFERROR(__xludf.DUMMYFUNCTION("""COMPUTED_VALUE"""),2308.0)</f>
        <v>2308</v>
      </c>
      <c r="B687" s="13">
        <f>IFERROR(__xludf.DUMMYFUNCTION("""COMPUTED_VALUE"""),45445.0)</f>
        <v>45445</v>
      </c>
      <c r="C687" s="12">
        <f>IFERROR(__xludf.DUMMYFUNCTION("""COMPUTED_VALUE"""),31.0)</f>
        <v>31</v>
      </c>
      <c r="D687" s="12">
        <f>IFERROR(__xludf.DUMMYFUNCTION("""COMPUTED_VALUE"""),23.0)</f>
        <v>23</v>
      </c>
      <c r="E687" s="12">
        <f>IFERROR(__xludf.DUMMYFUNCTION("""COMPUTED_VALUE"""),2.0)</f>
        <v>2</v>
      </c>
      <c r="F687" s="12">
        <f>IFERROR(__xludf.DUMMYFUNCTION("""COMPUTED_VALUE"""),1.0)</f>
        <v>1</v>
      </c>
      <c r="G687" s="15" t="str">
        <f>IFERROR(__xludf.DUMMYFUNCTION("""COMPUTED_VALUE"""),"Completa")</f>
        <v>Completa</v>
      </c>
      <c r="H687" s="16" t="str">
        <f t="array" ref="H687">_xlfn.XLOOKUP(D687,Productos[ID_Producto],Productos[Nombre_Producto])</f>
        <v>Papas fritas</v>
      </c>
      <c r="I687" s="17">
        <f t="array" ref="I687">_xlfn.XLOOKUP(D687,Productos[ID_Producto],Productos[Precio_Unitario])</f>
        <v>8.23</v>
      </c>
      <c r="J687" s="17">
        <f t="shared" si="1"/>
        <v>16.46</v>
      </c>
      <c r="K687" s="16" t="str">
        <f t="array" ref="K687">_xlfn.XLOOKUP(C687,Clientes[ID_Cliente],Clientes[Provincia])</f>
        <v>Córdoba</v>
      </c>
      <c r="L687" s="16" t="str">
        <f t="array" ref="L687">CONCATENATE(_xlfn.XLOOKUP(C687,Clientes[ID_Cliente],Clientes[Provincia]),", Argentina")</f>
        <v>Córdoba, Argentina</v>
      </c>
      <c r="M687" s="20" t="str">
        <f t="array" ref="M687">_xlfn.XLOOKUP(F687,Metodos_De_Pago[ID_Metodo],Metodos_De_Pago[Metodo])</f>
        <v>Efectivo</v>
      </c>
      <c r="N687" s="20" t="str">
        <f t="shared" si="2"/>
        <v>2024 06</v>
      </c>
    </row>
    <row r="688" ht="22.5" customHeight="1">
      <c r="A688" s="12">
        <f>IFERROR(__xludf.DUMMYFUNCTION("""COMPUTED_VALUE"""),2433.0)</f>
        <v>2433</v>
      </c>
      <c r="B688" s="13">
        <f>IFERROR(__xludf.DUMMYFUNCTION("""COMPUTED_VALUE"""),45446.0)</f>
        <v>45446</v>
      </c>
      <c r="C688" s="12">
        <f>IFERROR(__xludf.DUMMYFUNCTION("""COMPUTED_VALUE"""),126.0)</f>
        <v>126</v>
      </c>
      <c r="D688" s="12">
        <f>IFERROR(__xludf.DUMMYFUNCTION("""COMPUTED_VALUE"""),29.0)</f>
        <v>29</v>
      </c>
      <c r="E688" s="12">
        <f>IFERROR(__xludf.DUMMYFUNCTION("""COMPUTED_VALUE"""),2.0)</f>
        <v>2</v>
      </c>
      <c r="F688" s="12">
        <f>IFERROR(__xludf.DUMMYFUNCTION("""COMPUTED_VALUE"""),1.0)</f>
        <v>1</v>
      </c>
      <c r="G688" s="15" t="str">
        <f>IFERROR(__xludf.DUMMYFUNCTION("""COMPUTED_VALUE"""),"Completa")</f>
        <v>Completa</v>
      </c>
      <c r="H688" s="16" t="str">
        <f t="array" ref="H688">_xlfn.XLOOKUP(D688,Productos[ID_Producto],Productos[Nombre_Producto])</f>
        <v>Cerveza</v>
      </c>
      <c r="I688" s="17">
        <f t="array" ref="I688">_xlfn.XLOOKUP(D688,Productos[ID_Producto],Productos[Precio_Unitario])</f>
        <v>11.54</v>
      </c>
      <c r="J688" s="17">
        <f t="shared" si="1"/>
        <v>23.08</v>
      </c>
      <c r="K688" s="16" t="str">
        <f t="array" ref="K688">_xlfn.XLOOKUP(C688,Clientes[ID_Cliente],Clientes[Provincia])</f>
        <v>San Luis</v>
      </c>
      <c r="L688" s="16" t="str">
        <f t="array" ref="L688">CONCATENATE(_xlfn.XLOOKUP(C688,Clientes[ID_Cliente],Clientes[Provincia]),", Argentina")</f>
        <v>San Luis, Argentina</v>
      </c>
      <c r="M688" s="20" t="str">
        <f t="array" ref="M688">_xlfn.XLOOKUP(F688,Metodos_De_Pago[ID_Metodo],Metodos_De_Pago[Metodo])</f>
        <v>Efectivo</v>
      </c>
      <c r="N688" s="20" t="str">
        <f t="shared" si="2"/>
        <v>2024 06</v>
      </c>
    </row>
    <row r="689" ht="22.5" customHeight="1">
      <c r="A689" s="12">
        <f>IFERROR(__xludf.DUMMYFUNCTION("""COMPUTED_VALUE"""),2908.0)</f>
        <v>2908</v>
      </c>
      <c r="B689" s="13">
        <f>IFERROR(__xludf.DUMMYFUNCTION("""COMPUTED_VALUE"""),45446.0)</f>
        <v>45446</v>
      </c>
      <c r="C689" s="12">
        <f>IFERROR(__xludf.DUMMYFUNCTION("""COMPUTED_VALUE"""),48.0)</f>
        <v>48</v>
      </c>
      <c r="D689" s="12">
        <f>IFERROR(__xludf.DUMMYFUNCTION("""COMPUTED_VALUE"""),21.0)</f>
        <v>21</v>
      </c>
      <c r="E689" s="12">
        <f>IFERROR(__xludf.DUMMYFUNCTION("""COMPUTED_VALUE"""),2.0)</f>
        <v>2</v>
      </c>
      <c r="F689" s="12">
        <f>IFERROR(__xludf.DUMMYFUNCTION("""COMPUTED_VALUE"""),4.0)</f>
        <v>4</v>
      </c>
      <c r="G689" s="15" t="str">
        <f>IFERROR(__xludf.DUMMYFUNCTION("""COMPUTED_VALUE"""),"Completa")</f>
        <v>Completa</v>
      </c>
      <c r="H689" s="16" t="str">
        <f t="array" ref="H689">_xlfn.XLOOKUP(D689,Productos[ID_Producto],Productos[Nombre_Producto])</f>
        <v>Zanahorias</v>
      </c>
      <c r="I689" s="17">
        <f t="array" ref="I689">_xlfn.XLOOKUP(D689,Productos[ID_Producto],Productos[Precio_Unitario])</f>
        <v>3.25</v>
      </c>
      <c r="J689" s="17">
        <f t="shared" si="1"/>
        <v>6.5</v>
      </c>
      <c r="K689" s="16" t="str">
        <f t="array" ref="K689">_xlfn.XLOOKUP(C689,Clientes[ID_Cliente],Clientes[Provincia])</f>
        <v>Neuquén</v>
      </c>
      <c r="L689" s="16" t="str">
        <f t="array" ref="L689">CONCATENATE(_xlfn.XLOOKUP(C689,Clientes[ID_Cliente],Clientes[Provincia]),", Argentina")</f>
        <v>Neuquén, Argentina</v>
      </c>
      <c r="M689" s="20" t="str">
        <f t="array" ref="M689">_xlfn.XLOOKUP(F689,Metodos_De_Pago[ID_Metodo],Metodos_De_Pago[Metodo])</f>
        <v>Mercado Pago</v>
      </c>
      <c r="N689" s="20" t="str">
        <f t="shared" si="2"/>
        <v>2024 06</v>
      </c>
    </row>
    <row r="690" ht="22.5" customHeight="1">
      <c r="A690" s="12">
        <f>IFERROR(__xludf.DUMMYFUNCTION("""COMPUTED_VALUE"""),2959.0)</f>
        <v>2959</v>
      </c>
      <c r="B690" s="13">
        <f>IFERROR(__xludf.DUMMYFUNCTION("""COMPUTED_VALUE"""),45447.0)</f>
        <v>45447</v>
      </c>
      <c r="C690" s="12">
        <f>IFERROR(__xludf.DUMMYFUNCTION("""COMPUTED_VALUE"""),197.0)</f>
        <v>197</v>
      </c>
      <c r="D690" s="12">
        <f>IFERROR(__xludf.DUMMYFUNCTION("""COMPUTED_VALUE"""),19.0)</f>
        <v>19</v>
      </c>
      <c r="E690" s="12">
        <f>IFERROR(__xludf.DUMMYFUNCTION("""COMPUTED_VALUE"""),2.0)</f>
        <v>2</v>
      </c>
      <c r="F690" s="12">
        <f>IFERROR(__xludf.DUMMYFUNCTION("""COMPUTED_VALUE"""),4.0)</f>
        <v>4</v>
      </c>
      <c r="G690" s="15" t="str">
        <f>IFERROR(__xludf.DUMMYFUNCTION("""COMPUTED_VALUE"""),"Completa")</f>
        <v>Completa</v>
      </c>
      <c r="H690" s="16" t="str">
        <f t="array" ref="H690">_xlfn.XLOOKUP(D690,Productos[ID_Producto],Productos[Nombre_Producto])</f>
        <v>Tomates</v>
      </c>
      <c r="I690" s="17">
        <f t="array" ref="I690">_xlfn.XLOOKUP(D690,Productos[ID_Producto],Productos[Precio_Unitario])</f>
        <v>6.54</v>
      </c>
      <c r="J690" s="17">
        <f t="shared" si="1"/>
        <v>13.08</v>
      </c>
      <c r="K690" s="16" t="str">
        <f t="array" ref="K690">_xlfn.XLOOKUP(C690,Clientes[ID_Cliente],Clientes[Provincia])</f>
        <v>San Luis</v>
      </c>
      <c r="L690" s="16" t="str">
        <f t="array" ref="L690">CONCATENATE(_xlfn.XLOOKUP(C690,Clientes[ID_Cliente],Clientes[Provincia]),", Argentina")</f>
        <v>San Luis, Argentina</v>
      </c>
      <c r="M690" s="20" t="str">
        <f t="array" ref="M690">_xlfn.XLOOKUP(F690,Metodos_De_Pago[ID_Metodo],Metodos_De_Pago[Metodo])</f>
        <v>Mercado Pago</v>
      </c>
      <c r="N690" s="20" t="str">
        <f t="shared" si="2"/>
        <v>2024 06</v>
      </c>
    </row>
    <row r="691" ht="22.5" customHeight="1">
      <c r="A691" s="12">
        <f>IFERROR(__xludf.DUMMYFUNCTION("""COMPUTED_VALUE"""),1281.0)</f>
        <v>1281</v>
      </c>
      <c r="B691" s="13">
        <f>IFERROR(__xludf.DUMMYFUNCTION("""COMPUTED_VALUE"""),45448.0)</f>
        <v>45448</v>
      </c>
      <c r="C691" s="12">
        <f>IFERROR(__xludf.DUMMYFUNCTION("""COMPUTED_VALUE"""),223.0)</f>
        <v>223</v>
      </c>
      <c r="D691" s="12">
        <f>IFERROR(__xludf.DUMMYFUNCTION("""COMPUTED_VALUE"""),9.0)</f>
        <v>9</v>
      </c>
      <c r="E691" s="12">
        <f>IFERROR(__xludf.DUMMYFUNCTION("""COMPUTED_VALUE"""),2.0)</f>
        <v>2</v>
      </c>
      <c r="F691" s="12">
        <f>IFERROR(__xludf.DUMMYFUNCTION("""COMPUTED_VALUE"""),5.0)</f>
        <v>5</v>
      </c>
      <c r="G691" s="15" t="str">
        <f>IFERROR(__xludf.DUMMYFUNCTION("""COMPUTED_VALUE"""),"Completa")</f>
        <v>Completa</v>
      </c>
      <c r="H691" s="16" t="str">
        <f t="array" ref="H691">_xlfn.XLOOKUP(D691,Productos[ID_Producto],Productos[Nombre_Producto])</f>
        <v>Pollo</v>
      </c>
      <c r="I691" s="17">
        <f t="array" ref="I691">_xlfn.XLOOKUP(D691,Productos[ID_Producto],Productos[Precio_Unitario])</f>
        <v>18.56</v>
      </c>
      <c r="J691" s="17">
        <f t="shared" si="1"/>
        <v>37.12</v>
      </c>
      <c r="K691" s="16" t="str">
        <f t="array" ref="K691">_xlfn.XLOOKUP(C691,Clientes[ID_Cliente],Clientes[Provincia])</f>
        <v>Buenos Aires</v>
      </c>
      <c r="L691" s="16" t="str">
        <f t="array" ref="L691">CONCATENATE(_xlfn.XLOOKUP(C691,Clientes[ID_Cliente],Clientes[Provincia]),", Argentina")</f>
        <v>Buenos Aires, Argentina</v>
      </c>
      <c r="M691" s="20" t="str">
        <f t="array" ref="M691">_xlfn.XLOOKUP(F691,Metodos_De_Pago[ID_Metodo],Metodos_De_Pago[Metodo])</f>
        <v>Transferencia</v>
      </c>
      <c r="N691" s="20" t="str">
        <f t="shared" si="2"/>
        <v>2024 06</v>
      </c>
    </row>
    <row r="692" ht="22.5" customHeight="1">
      <c r="A692" s="12">
        <f>IFERROR(__xludf.DUMMYFUNCTION("""COMPUTED_VALUE"""),1857.0)</f>
        <v>1857</v>
      </c>
      <c r="B692" s="13">
        <f>IFERROR(__xludf.DUMMYFUNCTION("""COMPUTED_VALUE"""),45448.0)</f>
        <v>45448</v>
      </c>
      <c r="C692" s="12">
        <f>IFERROR(__xludf.DUMMYFUNCTION("""COMPUTED_VALUE"""),298.0)</f>
        <v>298</v>
      </c>
      <c r="D692" s="12">
        <f>IFERROR(__xludf.DUMMYFUNCTION("""COMPUTED_VALUE"""),4.0)</f>
        <v>4</v>
      </c>
      <c r="E692" s="12">
        <f>IFERROR(__xludf.DUMMYFUNCTION("""COMPUTED_VALUE"""),2.0)</f>
        <v>2</v>
      </c>
      <c r="F692" s="12">
        <f>IFERROR(__xludf.DUMMYFUNCTION("""COMPUTED_VALUE"""),3.0)</f>
        <v>3</v>
      </c>
      <c r="G692" s="15" t="str">
        <f>IFERROR(__xludf.DUMMYFUNCTION("""COMPUTED_VALUE"""),"Completa")</f>
        <v>Completa</v>
      </c>
      <c r="H692" s="16" t="str">
        <f t="array" ref="H692">_xlfn.XLOOKUP(D692,Productos[ID_Producto],Productos[Nombre_Producto])</f>
        <v>Queso rallado</v>
      </c>
      <c r="I692" s="17">
        <f t="array" ref="I692">_xlfn.XLOOKUP(D692,Productos[ID_Producto],Productos[Precio_Unitario])</f>
        <v>19.23</v>
      </c>
      <c r="J692" s="17">
        <f t="shared" si="1"/>
        <v>38.46</v>
      </c>
      <c r="K692" s="16" t="str">
        <f t="array" ref="K692">_xlfn.XLOOKUP(C692,Clientes[ID_Cliente],Clientes[Provincia])</f>
        <v>Buenos Aires</v>
      </c>
      <c r="L692" s="16" t="str">
        <f t="array" ref="L692">CONCATENATE(_xlfn.XLOOKUP(C692,Clientes[ID_Cliente],Clientes[Provincia]),", Argentina")</f>
        <v>Buenos Aires, Argentina</v>
      </c>
      <c r="M692" s="20" t="str">
        <f t="array" ref="M692">_xlfn.XLOOKUP(F692,Metodos_De_Pago[ID_Metodo],Metodos_De_Pago[Metodo])</f>
        <v>Tarjeta de Débito</v>
      </c>
      <c r="N692" s="20" t="str">
        <f t="shared" si="2"/>
        <v>2024 06</v>
      </c>
    </row>
    <row r="693" ht="22.5" customHeight="1">
      <c r="A693" s="12">
        <f>IFERROR(__xludf.DUMMYFUNCTION("""COMPUTED_VALUE"""),2151.0)</f>
        <v>2151</v>
      </c>
      <c r="B693" s="13">
        <f>IFERROR(__xludf.DUMMYFUNCTION("""COMPUTED_VALUE"""),45448.0)</f>
        <v>45448</v>
      </c>
      <c r="C693" s="12">
        <f>IFERROR(__xludf.DUMMYFUNCTION("""COMPUTED_VALUE"""),127.0)</f>
        <v>127</v>
      </c>
      <c r="D693" s="12">
        <f>IFERROR(__xludf.DUMMYFUNCTION("""COMPUTED_VALUE"""),18.0)</f>
        <v>18</v>
      </c>
      <c r="E693" s="12">
        <f>IFERROR(__xludf.DUMMYFUNCTION("""COMPUTED_VALUE"""),2.0)</f>
        <v>2</v>
      </c>
      <c r="F693" s="12">
        <f>IFERROR(__xludf.DUMMYFUNCTION("""COMPUTED_VALUE"""),2.0)</f>
        <v>2</v>
      </c>
      <c r="G693" s="15" t="str">
        <f>IFERROR(__xludf.DUMMYFUNCTION("""COMPUTED_VALUE"""),"Completa")</f>
        <v>Completa</v>
      </c>
      <c r="H693" s="16" t="str">
        <f t="array" ref="H693">_xlfn.XLOOKUP(D693,Productos[ID_Producto],Productos[Nombre_Producto])</f>
        <v>Bananas</v>
      </c>
      <c r="I693" s="17">
        <f t="array" ref="I693">_xlfn.XLOOKUP(D693,Productos[ID_Producto],Productos[Precio_Unitario])</f>
        <v>7.25</v>
      </c>
      <c r="J693" s="17">
        <f t="shared" si="1"/>
        <v>14.5</v>
      </c>
      <c r="K693" s="16" t="str">
        <f t="array" ref="K693">_xlfn.XLOOKUP(C693,Clientes[ID_Cliente],Clientes[Provincia])</f>
        <v>Buenos Aires</v>
      </c>
      <c r="L693" s="16" t="str">
        <f t="array" ref="L693">CONCATENATE(_xlfn.XLOOKUP(C693,Clientes[ID_Cliente],Clientes[Provincia]),", Argentina")</f>
        <v>Buenos Aires, Argentina</v>
      </c>
      <c r="M693" s="20" t="str">
        <f t="array" ref="M693">_xlfn.XLOOKUP(F693,Metodos_De_Pago[ID_Metodo],Metodos_De_Pago[Metodo])</f>
        <v>Tarjeta de Crédito</v>
      </c>
      <c r="N693" s="20" t="str">
        <f t="shared" si="2"/>
        <v>2024 06</v>
      </c>
    </row>
    <row r="694" ht="22.5" customHeight="1">
      <c r="A694" s="12">
        <f>IFERROR(__xludf.DUMMYFUNCTION("""COMPUTED_VALUE"""),1386.0)</f>
        <v>1386</v>
      </c>
      <c r="B694" s="13">
        <f>IFERROR(__xludf.DUMMYFUNCTION("""COMPUTED_VALUE"""),45449.0)</f>
        <v>45449</v>
      </c>
      <c r="C694" s="12">
        <f>IFERROR(__xludf.DUMMYFUNCTION("""COMPUTED_VALUE"""),125.0)</f>
        <v>125</v>
      </c>
      <c r="D694" s="12">
        <f>IFERROR(__xludf.DUMMYFUNCTION("""COMPUTED_VALUE"""),15.0)</f>
        <v>15</v>
      </c>
      <c r="E694" s="12">
        <f>IFERROR(__xludf.DUMMYFUNCTION("""COMPUTED_VALUE"""),2.0)</f>
        <v>2</v>
      </c>
      <c r="F694" s="12">
        <f>IFERROR(__xludf.DUMMYFUNCTION("""COMPUTED_VALUE"""),1.0)</f>
        <v>1</v>
      </c>
      <c r="G694" s="15" t="str">
        <f>IFERROR(__xludf.DUMMYFUNCTION("""COMPUTED_VALUE"""),"Completa")</f>
        <v>Completa</v>
      </c>
      <c r="H694" s="16" t="str">
        <f t="array" ref="H694">_xlfn.XLOOKUP(D694,Productos[ID_Producto],Productos[Nombre_Producto])</f>
        <v>Medialunas</v>
      </c>
      <c r="I694" s="17">
        <f t="array" ref="I694">_xlfn.XLOOKUP(D694,Productos[ID_Producto],Productos[Precio_Unitario])</f>
        <v>3.51</v>
      </c>
      <c r="J694" s="17">
        <f t="shared" si="1"/>
        <v>7.02</v>
      </c>
      <c r="K694" s="16" t="str">
        <f t="array" ref="K694">_xlfn.XLOOKUP(C694,Clientes[ID_Cliente],Clientes[Provincia])</f>
        <v>Neuquén</v>
      </c>
      <c r="L694" s="16" t="str">
        <f t="array" ref="L694">CONCATENATE(_xlfn.XLOOKUP(C694,Clientes[ID_Cliente],Clientes[Provincia]),", Argentina")</f>
        <v>Neuquén, Argentina</v>
      </c>
      <c r="M694" s="20" t="str">
        <f t="array" ref="M694">_xlfn.XLOOKUP(F694,Metodos_De_Pago[ID_Metodo],Metodos_De_Pago[Metodo])</f>
        <v>Efectivo</v>
      </c>
      <c r="N694" s="20" t="str">
        <f t="shared" si="2"/>
        <v>2024 06</v>
      </c>
    </row>
    <row r="695" ht="22.5" customHeight="1">
      <c r="A695" s="12">
        <f>IFERROR(__xludf.DUMMYFUNCTION("""COMPUTED_VALUE"""),1434.0)</f>
        <v>1434</v>
      </c>
      <c r="B695" s="13">
        <f>IFERROR(__xludf.DUMMYFUNCTION("""COMPUTED_VALUE"""),45449.0)</f>
        <v>45449</v>
      </c>
      <c r="C695" s="12">
        <f>IFERROR(__xludf.DUMMYFUNCTION("""COMPUTED_VALUE"""),5.0)</f>
        <v>5</v>
      </c>
      <c r="D695" s="12">
        <f>IFERROR(__xludf.DUMMYFUNCTION("""COMPUTED_VALUE"""),5.0)</f>
        <v>5</v>
      </c>
      <c r="E695" s="12">
        <f>IFERROR(__xludf.DUMMYFUNCTION("""COMPUTED_VALUE"""),2.0)</f>
        <v>2</v>
      </c>
      <c r="F695" s="12">
        <f>IFERROR(__xludf.DUMMYFUNCTION("""COMPUTED_VALUE"""),3.0)</f>
        <v>3</v>
      </c>
      <c r="G695" s="15" t="str">
        <f>IFERROR(__xludf.DUMMYFUNCTION("""COMPUTED_VALUE"""),"Completa")</f>
        <v>Completa</v>
      </c>
      <c r="H695" s="16" t="str">
        <f t="array" ref="H695">_xlfn.XLOOKUP(D695,Productos[ID_Producto],Productos[Nombre_Producto])</f>
        <v>Manteca</v>
      </c>
      <c r="I695" s="17">
        <f t="array" ref="I695">_xlfn.XLOOKUP(D695,Productos[ID_Producto],Productos[Precio_Unitario])</f>
        <v>5.65</v>
      </c>
      <c r="J695" s="17">
        <f t="shared" si="1"/>
        <v>11.3</v>
      </c>
      <c r="K695" s="16" t="str">
        <f t="array" ref="K695">_xlfn.XLOOKUP(C695,Clientes[ID_Cliente],Clientes[Provincia])</f>
        <v>Córdoba</v>
      </c>
      <c r="L695" s="16" t="str">
        <f t="array" ref="L695">CONCATENATE(_xlfn.XLOOKUP(C695,Clientes[ID_Cliente],Clientes[Provincia]),", Argentina")</f>
        <v>Córdoba, Argentina</v>
      </c>
      <c r="M695" s="20" t="str">
        <f t="array" ref="M695">_xlfn.XLOOKUP(F695,Metodos_De_Pago[ID_Metodo],Metodos_De_Pago[Metodo])</f>
        <v>Tarjeta de Débito</v>
      </c>
      <c r="N695" s="20" t="str">
        <f t="shared" si="2"/>
        <v>2024 06</v>
      </c>
    </row>
    <row r="696" ht="22.5" customHeight="1">
      <c r="A696" s="12">
        <f>IFERROR(__xludf.DUMMYFUNCTION("""COMPUTED_VALUE"""),1182.0)</f>
        <v>1182</v>
      </c>
      <c r="B696" s="13">
        <f>IFERROR(__xludf.DUMMYFUNCTION("""COMPUTED_VALUE"""),45450.0)</f>
        <v>45450</v>
      </c>
      <c r="C696" s="12">
        <f>IFERROR(__xludf.DUMMYFUNCTION("""COMPUTED_VALUE"""),169.0)</f>
        <v>169</v>
      </c>
      <c r="D696" s="12">
        <f>IFERROR(__xludf.DUMMYFUNCTION("""COMPUTED_VALUE"""),15.0)</f>
        <v>15</v>
      </c>
      <c r="E696" s="12">
        <f>IFERROR(__xludf.DUMMYFUNCTION("""COMPUTED_VALUE"""),2.0)</f>
        <v>2</v>
      </c>
      <c r="F696" s="12">
        <f>IFERROR(__xludf.DUMMYFUNCTION("""COMPUTED_VALUE"""),1.0)</f>
        <v>1</v>
      </c>
      <c r="G696" s="15" t="str">
        <f>IFERROR(__xludf.DUMMYFUNCTION("""COMPUTED_VALUE"""),"Completa")</f>
        <v>Completa</v>
      </c>
      <c r="H696" s="16" t="str">
        <f t="array" ref="H696">_xlfn.XLOOKUP(D696,Productos[ID_Producto],Productos[Nombre_Producto])</f>
        <v>Medialunas</v>
      </c>
      <c r="I696" s="17">
        <f t="array" ref="I696">_xlfn.XLOOKUP(D696,Productos[ID_Producto],Productos[Precio_Unitario])</f>
        <v>3.51</v>
      </c>
      <c r="J696" s="17">
        <f t="shared" si="1"/>
        <v>7.02</v>
      </c>
      <c r="K696" s="16" t="str">
        <f t="array" ref="K696">_xlfn.XLOOKUP(C696,Clientes[ID_Cliente],Clientes[Provincia])</f>
        <v>Córdoba</v>
      </c>
      <c r="L696" s="16" t="str">
        <f t="array" ref="L696">CONCATENATE(_xlfn.XLOOKUP(C696,Clientes[ID_Cliente],Clientes[Provincia]),", Argentina")</f>
        <v>Córdoba, Argentina</v>
      </c>
      <c r="M696" s="20" t="str">
        <f t="array" ref="M696">_xlfn.XLOOKUP(F696,Metodos_De_Pago[ID_Metodo],Metodos_De_Pago[Metodo])</f>
        <v>Efectivo</v>
      </c>
      <c r="N696" s="20" t="str">
        <f t="shared" si="2"/>
        <v>2024 06</v>
      </c>
    </row>
    <row r="697" ht="22.5" customHeight="1">
      <c r="A697" s="12">
        <f>IFERROR(__xludf.DUMMYFUNCTION("""COMPUTED_VALUE"""),1805.0)</f>
        <v>1805</v>
      </c>
      <c r="B697" s="13">
        <f>IFERROR(__xludf.DUMMYFUNCTION("""COMPUTED_VALUE"""),45450.0)</f>
        <v>45450</v>
      </c>
      <c r="C697" s="12">
        <f>IFERROR(__xludf.DUMMYFUNCTION("""COMPUTED_VALUE"""),290.0)</f>
        <v>290</v>
      </c>
      <c r="D697" s="12">
        <f>IFERROR(__xludf.DUMMYFUNCTION("""COMPUTED_VALUE"""),31.0)</f>
        <v>31</v>
      </c>
      <c r="E697" s="12">
        <f>IFERROR(__xludf.DUMMYFUNCTION("""COMPUTED_VALUE"""),2.0)</f>
        <v>2</v>
      </c>
      <c r="F697" s="12">
        <f>IFERROR(__xludf.DUMMYFUNCTION("""COMPUTED_VALUE"""),3.0)</f>
        <v>3</v>
      </c>
      <c r="G697" s="15" t="str">
        <f>IFERROR(__xludf.DUMMYFUNCTION("""COMPUTED_VALUE"""),"Pendiente")</f>
        <v>Pendiente</v>
      </c>
      <c r="H697" s="16" t="str">
        <f t="array" ref="H697">_xlfn.XLOOKUP(D697,Productos[ID_Producto],Productos[Nombre_Producto])</f>
        <v>Galletitas de agua</v>
      </c>
      <c r="I697" s="17">
        <f t="array" ref="I697">_xlfn.XLOOKUP(D697,Productos[ID_Producto],Productos[Precio_Unitario])</f>
        <v>5.24</v>
      </c>
      <c r="J697" s="17">
        <f t="shared" si="1"/>
        <v>10.48</v>
      </c>
      <c r="K697" s="16" t="str">
        <f t="array" ref="K697">_xlfn.XLOOKUP(C697,Clientes[ID_Cliente],Clientes[Provincia])</f>
        <v>Buenos Aires</v>
      </c>
      <c r="L697" s="16" t="str">
        <f t="array" ref="L697">CONCATENATE(_xlfn.XLOOKUP(C697,Clientes[ID_Cliente],Clientes[Provincia]),", Argentina")</f>
        <v>Buenos Aires, Argentina</v>
      </c>
      <c r="M697" s="20" t="str">
        <f t="array" ref="M697">_xlfn.XLOOKUP(F697,Metodos_De_Pago[ID_Metodo],Metodos_De_Pago[Metodo])</f>
        <v>Tarjeta de Débito</v>
      </c>
      <c r="N697" s="20" t="str">
        <f t="shared" si="2"/>
        <v>2024 06</v>
      </c>
    </row>
    <row r="698" ht="22.5" customHeight="1">
      <c r="A698" s="12">
        <f>IFERROR(__xludf.DUMMYFUNCTION("""COMPUTED_VALUE"""),2082.0)</f>
        <v>2082</v>
      </c>
      <c r="B698" s="13">
        <f>IFERROR(__xludf.DUMMYFUNCTION("""COMPUTED_VALUE"""),45450.0)</f>
        <v>45450</v>
      </c>
      <c r="C698" s="12">
        <f>IFERROR(__xludf.DUMMYFUNCTION("""COMPUTED_VALUE"""),169.0)</f>
        <v>169</v>
      </c>
      <c r="D698" s="12">
        <f>IFERROR(__xludf.DUMMYFUNCTION("""COMPUTED_VALUE"""),19.0)</f>
        <v>19</v>
      </c>
      <c r="E698" s="12">
        <f>IFERROR(__xludf.DUMMYFUNCTION("""COMPUTED_VALUE"""),2.0)</f>
        <v>2</v>
      </c>
      <c r="F698" s="12">
        <f>IFERROR(__xludf.DUMMYFUNCTION("""COMPUTED_VALUE"""),4.0)</f>
        <v>4</v>
      </c>
      <c r="G698" s="15" t="str">
        <f>IFERROR(__xludf.DUMMYFUNCTION("""COMPUTED_VALUE"""),"Completa")</f>
        <v>Completa</v>
      </c>
      <c r="H698" s="16" t="str">
        <f t="array" ref="H698">_xlfn.XLOOKUP(D698,Productos[ID_Producto],Productos[Nombre_Producto])</f>
        <v>Tomates</v>
      </c>
      <c r="I698" s="17">
        <f t="array" ref="I698">_xlfn.XLOOKUP(D698,Productos[ID_Producto],Productos[Precio_Unitario])</f>
        <v>6.54</v>
      </c>
      <c r="J698" s="17">
        <f t="shared" si="1"/>
        <v>13.08</v>
      </c>
      <c r="K698" s="16" t="str">
        <f t="array" ref="K698">_xlfn.XLOOKUP(C698,Clientes[ID_Cliente],Clientes[Provincia])</f>
        <v>Córdoba</v>
      </c>
      <c r="L698" s="16" t="str">
        <f t="array" ref="L698">CONCATENATE(_xlfn.XLOOKUP(C698,Clientes[ID_Cliente],Clientes[Provincia]),", Argentina")</f>
        <v>Córdoba, Argentina</v>
      </c>
      <c r="M698" s="20" t="str">
        <f t="array" ref="M698">_xlfn.XLOOKUP(F698,Metodos_De_Pago[ID_Metodo],Metodos_De_Pago[Metodo])</f>
        <v>Mercado Pago</v>
      </c>
      <c r="N698" s="20" t="str">
        <f t="shared" si="2"/>
        <v>2024 06</v>
      </c>
    </row>
    <row r="699" ht="22.5" customHeight="1">
      <c r="A699" s="12">
        <f>IFERROR(__xludf.DUMMYFUNCTION("""COMPUTED_VALUE"""),302.0)</f>
        <v>302</v>
      </c>
      <c r="B699" s="13">
        <f>IFERROR(__xludf.DUMMYFUNCTION("""COMPUTED_VALUE"""),45451.0)</f>
        <v>45451</v>
      </c>
      <c r="C699" s="12">
        <f>IFERROR(__xludf.DUMMYFUNCTION("""COMPUTED_VALUE"""),155.0)</f>
        <v>155</v>
      </c>
      <c r="D699" s="12">
        <f>IFERROR(__xludf.DUMMYFUNCTION("""COMPUTED_VALUE"""),14.0)</f>
        <v>14</v>
      </c>
      <c r="E699" s="12">
        <f>IFERROR(__xludf.DUMMYFUNCTION("""COMPUTED_VALUE"""),2.0)</f>
        <v>2</v>
      </c>
      <c r="F699" s="12">
        <f>IFERROR(__xludf.DUMMYFUNCTION("""COMPUTED_VALUE"""),4.0)</f>
        <v>4</v>
      </c>
      <c r="G699" s="15" t="str">
        <f>IFERROR(__xludf.DUMMYFUNCTION("""COMPUTED_VALUE"""),"Completa")</f>
        <v>Completa</v>
      </c>
      <c r="H699" s="16" t="str">
        <f t="array" ref="H699">_xlfn.XLOOKUP(D699,Productos[ID_Producto],Productos[Nombre_Producto])</f>
        <v>Facturas</v>
      </c>
      <c r="I699" s="17">
        <f t="array" ref="I699">_xlfn.XLOOKUP(D699,Productos[ID_Producto],Productos[Precio_Unitario])</f>
        <v>12.36</v>
      </c>
      <c r="J699" s="17">
        <f t="shared" si="1"/>
        <v>24.72</v>
      </c>
      <c r="K699" s="16" t="str">
        <f t="array" ref="K699">_xlfn.XLOOKUP(C699,Clientes[ID_Cliente],Clientes[Provincia])</f>
        <v>San Luis</v>
      </c>
      <c r="L699" s="16" t="str">
        <f t="array" ref="L699">CONCATENATE(_xlfn.XLOOKUP(C699,Clientes[ID_Cliente],Clientes[Provincia]),", Argentina")</f>
        <v>San Luis, Argentina</v>
      </c>
      <c r="M699" s="20" t="str">
        <f t="array" ref="M699">_xlfn.XLOOKUP(F699,Metodos_De_Pago[ID_Metodo],Metodos_De_Pago[Metodo])</f>
        <v>Mercado Pago</v>
      </c>
      <c r="N699" s="20" t="str">
        <f t="shared" si="2"/>
        <v>2024 06</v>
      </c>
    </row>
    <row r="700" ht="22.5" customHeight="1">
      <c r="A700" s="12">
        <f>IFERROR(__xludf.DUMMYFUNCTION("""COMPUTED_VALUE"""),312.0)</f>
        <v>312</v>
      </c>
      <c r="B700" s="13">
        <f>IFERROR(__xludf.DUMMYFUNCTION("""COMPUTED_VALUE"""),45451.0)</f>
        <v>45451</v>
      </c>
      <c r="C700" s="12">
        <f>IFERROR(__xludf.DUMMYFUNCTION("""COMPUTED_VALUE"""),101.0)</f>
        <v>101</v>
      </c>
      <c r="D700" s="12">
        <f>IFERROR(__xludf.DUMMYFUNCTION("""COMPUTED_VALUE"""),38.0)</f>
        <v>38</v>
      </c>
      <c r="E700" s="12">
        <f>IFERROR(__xludf.DUMMYFUNCTION("""COMPUTED_VALUE"""),2.0)</f>
        <v>2</v>
      </c>
      <c r="F700" s="12">
        <f>IFERROR(__xludf.DUMMYFUNCTION("""COMPUTED_VALUE"""),3.0)</f>
        <v>3</v>
      </c>
      <c r="G700" s="15" t="str">
        <f>IFERROR(__xludf.DUMMYFUNCTION("""COMPUTED_VALUE"""),"Completa")</f>
        <v>Completa</v>
      </c>
      <c r="H700" s="16" t="str">
        <f t="array" ref="H700">_xlfn.XLOOKUP(D700,Productos[ID_Producto],Productos[Nombre_Producto])</f>
        <v>Atún enlatado</v>
      </c>
      <c r="I700" s="17">
        <f t="array" ref="I700">_xlfn.XLOOKUP(D700,Productos[ID_Producto],Productos[Precio_Unitario])</f>
        <v>6.21</v>
      </c>
      <c r="J700" s="17">
        <f t="shared" si="1"/>
        <v>12.42</v>
      </c>
      <c r="K700" s="16" t="str">
        <f t="array" ref="K700">_xlfn.XLOOKUP(C700,Clientes[ID_Cliente],Clientes[Provincia])</f>
        <v>Buenos Aires</v>
      </c>
      <c r="L700" s="16" t="str">
        <f t="array" ref="L700">CONCATENATE(_xlfn.XLOOKUP(C700,Clientes[ID_Cliente],Clientes[Provincia]),", Argentina")</f>
        <v>Buenos Aires, Argentina</v>
      </c>
      <c r="M700" s="20" t="str">
        <f t="array" ref="M700">_xlfn.XLOOKUP(F700,Metodos_De_Pago[ID_Metodo],Metodos_De_Pago[Metodo])</f>
        <v>Tarjeta de Débito</v>
      </c>
      <c r="N700" s="20" t="str">
        <f t="shared" si="2"/>
        <v>2024 06</v>
      </c>
    </row>
    <row r="701" ht="22.5" customHeight="1">
      <c r="A701" s="12">
        <f>IFERROR(__xludf.DUMMYFUNCTION("""COMPUTED_VALUE"""),2405.0)</f>
        <v>2405</v>
      </c>
      <c r="B701" s="13">
        <f>IFERROR(__xludf.DUMMYFUNCTION("""COMPUTED_VALUE"""),45452.0)</f>
        <v>45452</v>
      </c>
      <c r="C701" s="12">
        <f>IFERROR(__xludf.DUMMYFUNCTION("""COMPUTED_VALUE"""),77.0)</f>
        <v>77</v>
      </c>
      <c r="D701" s="12">
        <f>IFERROR(__xludf.DUMMYFUNCTION("""COMPUTED_VALUE"""),28.0)</f>
        <v>28</v>
      </c>
      <c r="E701" s="12">
        <f>IFERROR(__xludf.DUMMYFUNCTION("""COMPUTED_VALUE"""),2.0)</f>
        <v>2</v>
      </c>
      <c r="F701" s="12">
        <f>IFERROR(__xludf.DUMMYFUNCTION("""COMPUTED_VALUE"""),1.0)</f>
        <v>1</v>
      </c>
      <c r="G701" s="15" t="str">
        <f>IFERROR(__xludf.DUMMYFUNCTION("""COMPUTED_VALUE"""),"Completa")</f>
        <v>Completa</v>
      </c>
      <c r="H701" s="16" t="str">
        <f t="array" ref="H701">_xlfn.XLOOKUP(D701,Productos[ID_Producto],Productos[Nombre_Producto])</f>
        <v>Jugos de frutas</v>
      </c>
      <c r="I701" s="17">
        <f t="array" ref="I701">_xlfn.XLOOKUP(D701,Productos[ID_Producto],Productos[Precio_Unitario])</f>
        <v>9.45</v>
      </c>
      <c r="J701" s="17">
        <f t="shared" si="1"/>
        <v>18.9</v>
      </c>
      <c r="K701" s="16" t="str">
        <f t="array" ref="K701">_xlfn.XLOOKUP(C701,Clientes[ID_Cliente],Clientes[Provincia])</f>
        <v>Buenos Aires</v>
      </c>
      <c r="L701" s="16" t="str">
        <f t="array" ref="L701">CONCATENATE(_xlfn.XLOOKUP(C701,Clientes[ID_Cliente],Clientes[Provincia]),", Argentina")</f>
        <v>Buenos Aires, Argentina</v>
      </c>
      <c r="M701" s="20" t="str">
        <f t="array" ref="M701">_xlfn.XLOOKUP(F701,Metodos_De_Pago[ID_Metodo],Metodos_De_Pago[Metodo])</f>
        <v>Efectivo</v>
      </c>
      <c r="N701" s="20" t="str">
        <f t="shared" si="2"/>
        <v>2024 06</v>
      </c>
    </row>
    <row r="702" ht="22.5" customHeight="1">
      <c r="A702" s="12">
        <f>IFERROR(__xludf.DUMMYFUNCTION("""COMPUTED_VALUE"""),685.0)</f>
        <v>685</v>
      </c>
      <c r="B702" s="13">
        <f>IFERROR(__xludf.DUMMYFUNCTION("""COMPUTED_VALUE"""),45454.0)</f>
        <v>45454</v>
      </c>
      <c r="C702" s="12">
        <f>IFERROR(__xludf.DUMMYFUNCTION("""COMPUTED_VALUE"""),201.0)</f>
        <v>201</v>
      </c>
      <c r="D702" s="12">
        <f>IFERROR(__xludf.DUMMYFUNCTION("""COMPUTED_VALUE"""),20.0)</f>
        <v>20</v>
      </c>
      <c r="E702" s="12">
        <f>IFERROR(__xludf.DUMMYFUNCTION("""COMPUTED_VALUE"""),2.0)</f>
        <v>2</v>
      </c>
      <c r="F702" s="12">
        <f>IFERROR(__xludf.DUMMYFUNCTION("""COMPUTED_VALUE"""),3.0)</f>
        <v>3</v>
      </c>
      <c r="G702" s="15" t="str">
        <f>IFERROR(__xludf.DUMMYFUNCTION("""COMPUTED_VALUE"""),"Completa")</f>
        <v>Completa</v>
      </c>
      <c r="H702" s="16" t="str">
        <f t="array" ref="H702">_xlfn.XLOOKUP(D702,Productos[ID_Producto],Productos[Nombre_Producto])</f>
        <v>Lechugas</v>
      </c>
      <c r="I702" s="17">
        <f t="array" ref="I702">_xlfn.XLOOKUP(D702,Productos[ID_Producto],Productos[Precio_Unitario])</f>
        <v>4.25</v>
      </c>
      <c r="J702" s="17">
        <f t="shared" si="1"/>
        <v>8.5</v>
      </c>
      <c r="K702" s="16" t="str">
        <f t="array" ref="K702">_xlfn.XLOOKUP(C702,Clientes[ID_Cliente],Clientes[Provincia])</f>
        <v>Neuquén</v>
      </c>
      <c r="L702" s="16" t="str">
        <f t="array" ref="L702">CONCATENATE(_xlfn.XLOOKUP(C702,Clientes[ID_Cliente],Clientes[Provincia]),", Argentina")</f>
        <v>Neuquén, Argentina</v>
      </c>
      <c r="M702" s="20" t="str">
        <f t="array" ref="M702">_xlfn.XLOOKUP(F702,Metodos_De_Pago[ID_Metodo],Metodos_De_Pago[Metodo])</f>
        <v>Tarjeta de Débito</v>
      </c>
      <c r="N702" s="20" t="str">
        <f t="shared" si="2"/>
        <v>2024 06</v>
      </c>
    </row>
    <row r="703" ht="22.5" customHeight="1">
      <c r="A703" s="12">
        <f>IFERROR(__xludf.DUMMYFUNCTION("""COMPUTED_VALUE"""),2586.0)</f>
        <v>2586</v>
      </c>
      <c r="B703" s="13">
        <f>IFERROR(__xludf.DUMMYFUNCTION("""COMPUTED_VALUE"""),45454.0)</f>
        <v>45454</v>
      </c>
      <c r="C703" s="12">
        <f>IFERROR(__xludf.DUMMYFUNCTION("""COMPUTED_VALUE"""),184.0)</f>
        <v>184</v>
      </c>
      <c r="D703" s="12">
        <f>IFERROR(__xludf.DUMMYFUNCTION("""COMPUTED_VALUE"""),11.0)</f>
        <v>11</v>
      </c>
      <c r="E703" s="12">
        <f>IFERROR(__xludf.DUMMYFUNCTION("""COMPUTED_VALUE"""),2.0)</f>
        <v>2</v>
      </c>
      <c r="F703" s="12">
        <f>IFERROR(__xludf.DUMMYFUNCTION("""COMPUTED_VALUE"""),4.0)</f>
        <v>4</v>
      </c>
      <c r="G703" s="15" t="str">
        <f>IFERROR(__xludf.DUMMYFUNCTION("""COMPUTED_VALUE"""),"Completa")</f>
        <v>Completa</v>
      </c>
      <c r="H703" s="16" t="str">
        <f t="array" ref="H703">_xlfn.XLOOKUP(D703,Productos[ID_Producto],Productos[Nombre_Producto])</f>
        <v>Salchicha</v>
      </c>
      <c r="I703" s="17">
        <f t="array" ref="I703">_xlfn.XLOOKUP(D703,Productos[ID_Producto],Productos[Precio_Unitario])</f>
        <v>11.23</v>
      </c>
      <c r="J703" s="17">
        <f t="shared" si="1"/>
        <v>22.46</v>
      </c>
      <c r="K703" s="16" t="str">
        <f t="array" ref="K703">_xlfn.XLOOKUP(C703,Clientes[ID_Cliente],Clientes[Provincia])</f>
        <v>Buenos Aires</v>
      </c>
      <c r="L703" s="16" t="str">
        <f t="array" ref="L703">CONCATENATE(_xlfn.XLOOKUP(C703,Clientes[ID_Cliente],Clientes[Provincia]),", Argentina")</f>
        <v>Buenos Aires, Argentina</v>
      </c>
      <c r="M703" s="20" t="str">
        <f t="array" ref="M703">_xlfn.XLOOKUP(F703,Metodos_De_Pago[ID_Metodo],Metodos_De_Pago[Metodo])</f>
        <v>Mercado Pago</v>
      </c>
      <c r="N703" s="20" t="str">
        <f t="shared" si="2"/>
        <v>2024 06</v>
      </c>
    </row>
    <row r="704" ht="22.5" customHeight="1">
      <c r="A704" s="12">
        <f>IFERROR(__xludf.DUMMYFUNCTION("""COMPUTED_VALUE"""),969.0)</f>
        <v>969</v>
      </c>
      <c r="B704" s="13">
        <f>IFERROR(__xludf.DUMMYFUNCTION("""COMPUTED_VALUE"""),45455.0)</f>
        <v>45455</v>
      </c>
      <c r="C704" s="12">
        <f>IFERROR(__xludf.DUMMYFUNCTION("""COMPUTED_VALUE"""),118.0)</f>
        <v>118</v>
      </c>
      <c r="D704" s="12">
        <f>IFERROR(__xludf.DUMMYFUNCTION("""COMPUTED_VALUE"""),37.0)</f>
        <v>37</v>
      </c>
      <c r="E704" s="12">
        <f>IFERROR(__xludf.DUMMYFUNCTION("""COMPUTED_VALUE"""),2.0)</f>
        <v>2</v>
      </c>
      <c r="F704" s="12">
        <f>IFERROR(__xludf.DUMMYFUNCTION("""COMPUTED_VALUE"""),4.0)</f>
        <v>4</v>
      </c>
      <c r="G704" s="15" t="str">
        <f>IFERROR(__xludf.DUMMYFUNCTION("""COMPUTED_VALUE"""),"Pendiente")</f>
        <v>Pendiente</v>
      </c>
      <c r="H704" s="16" t="str">
        <f t="array" ref="H704">_xlfn.XLOOKUP(D704,Productos[ID_Producto],Productos[Nombre_Producto])</f>
        <v>Garbanzos</v>
      </c>
      <c r="I704" s="17">
        <f t="array" ref="I704">_xlfn.XLOOKUP(D704,Productos[ID_Producto],Productos[Precio_Unitario])</f>
        <v>3.65</v>
      </c>
      <c r="J704" s="17">
        <f t="shared" si="1"/>
        <v>7.3</v>
      </c>
      <c r="K704" s="16" t="str">
        <f t="array" ref="K704">_xlfn.XLOOKUP(C704,Clientes[ID_Cliente],Clientes[Provincia])</f>
        <v>Córdoba</v>
      </c>
      <c r="L704" s="16" t="str">
        <f t="array" ref="L704">CONCATENATE(_xlfn.XLOOKUP(C704,Clientes[ID_Cliente],Clientes[Provincia]),", Argentina")</f>
        <v>Córdoba, Argentina</v>
      </c>
      <c r="M704" s="20" t="str">
        <f t="array" ref="M704">_xlfn.XLOOKUP(F704,Metodos_De_Pago[ID_Metodo],Metodos_De_Pago[Metodo])</f>
        <v>Mercado Pago</v>
      </c>
      <c r="N704" s="20" t="str">
        <f t="shared" si="2"/>
        <v>2024 06</v>
      </c>
    </row>
    <row r="705" ht="22.5" customHeight="1">
      <c r="A705" s="12">
        <f>IFERROR(__xludf.DUMMYFUNCTION("""COMPUTED_VALUE"""),2685.0)</f>
        <v>2685</v>
      </c>
      <c r="B705" s="13">
        <f>IFERROR(__xludf.DUMMYFUNCTION("""COMPUTED_VALUE"""),45455.0)</f>
        <v>45455</v>
      </c>
      <c r="C705" s="12">
        <f>IFERROR(__xludf.DUMMYFUNCTION("""COMPUTED_VALUE"""),40.0)</f>
        <v>40</v>
      </c>
      <c r="D705" s="12">
        <f>IFERROR(__xludf.DUMMYFUNCTION("""COMPUTED_VALUE"""),38.0)</f>
        <v>38</v>
      </c>
      <c r="E705" s="12">
        <f>IFERROR(__xludf.DUMMYFUNCTION("""COMPUTED_VALUE"""),2.0)</f>
        <v>2</v>
      </c>
      <c r="F705" s="12">
        <f>IFERROR(__xludf.DUMMYFUNCTION("""COMPUTED_VALUE"""),4.0)</f>
        <v>4</v>
      </c>
      <c r="G705" s="15" t="str">
        <f>IFERROR(__xludf.DUMMYFUNCTION("""COMPUTED_VALUE"""),"Completa")</f>
        <v>Completa</v>
      </c>
      <c r="H705" s="16" t="str">
        <f t="array" ref="H705">_xlfn.XLOOKUP(D705,Productos[ID_Producto],Productos[Nombre_Producto])</f>
        <v>Atún enlatado</v>
      </c>
      <c r="I705" s="17">
        <f t="array" ref="I705">_xlfn.XLOOKUP(D705,Productos[ID_Producto],Productos[Precio_Unitario])</f>
        <v>6.21</v>
      </c>
      <c r="J705" s="17">
        <f t="shared" si="1"/>
        <v>12.42</v>
      </c>
      <c r="K705" s="16" t="str">
        <f t="array" ref="K705">_xlfn.XLOOKUP(C705,Clientes[ID_Cliente],Clientes[Provincia])</f>
        <v>San Luis</v>
      </c>
      <c r="L705" s="16" t="str">
        <f t="array" ref="L705">CONCATENATE(_xlfn.XLOOKUP(C705,Clientes[ID_Cliente],Clientes[Provincia]),", Argentina")</f>
        <v>San Luis, Argentina</v>
      </c>
      <c r="M705" s="20" t="str">
        <f t="array" ref="M705">_xlfn.XLOOKUP(F705,Metodos_De_Pago[ID_Metodo],Metodos_De_Pago[Metodo])</f>
        <v>Mercado Pago</v>
      </c>
      <c r="N705" s="20" t="str">
        <f t="shared" si="2"/>
        <v>2024 06</v>
      </c>
    </row>
    <row r="706" ht="22.5" customHeight="1">
      <c r="A706" s="12">
        <f>IFERROR(__xludf.DUMMYFUNCTION("""COMPUTED_VALUE"""),586.0)</f>
        <v>586</v>
      </c>
      <c r="B706" s="13">
        <f>IFERROR(__xludf.DUMMYFUNCTION("""COMPUTED_VALUE"""),45456.0)</f>
        <v>45456</v>
      </c>
      <c r="C706" s="12">
        <f>IFERROR(__xludf.DUMMYFUNCTION("""COMPUTED_VALUE"""),128.0)</f>
        <v>128</v>
      </c>
      <c r="D706" s="12">
        <f>IFERROR(__xludf.DUMMYFUNCTION("""COMPUTED_VALUE"""),25.0)</f>
        <v>25</v>
      </c>
      <c r="E706" s="12">
        <f>IFERROR(__xludf.DUMMYFUNCTION("""COMPUTED_VALUE"""),2.0)</f>
        <v>2</v>
      </c>
      <c r="F706" s="12">
        <f>IFERROR(__xludf.DUMMYFUNCTION("""COMPUTED_VALUE"""),4.0)</f>
        <v>4</v>
      </c>
      <c r="G706" s="15" t="str">
        <f>IFERROR(__xludf.DUMMYFUNCTION("""COMPUTED_VALUE"""),"Completa")</f>
        <v>Completa</v>
      </c>
      <c r="H706" s="16" t="str">
        <f t="array" ref="H706">_xlfn.XLOOKUP(D706,Productos[ID_Producto],Productos[Nombre_Producto])</f>
        <v>Pizza congelada</v>
      </c>
      <c r="I706" s="17">
        <f t="array" ref="I706">_xlfn.XLOOKUP(D706,Productos[ID_Producto],Productos[Precio_Unitario])</f>
        <v>15.45</v>
      </c>
      <c r="J706" s="17">
        <f t="shared" si="1"/>
        <v>30.9</v>
      </c>
      <c r="K706" s="16" t="str">
        <f t="array" ref="K706">_xlfn.XLOOKUP(C706,Clientes[ID_Cliente],Clientes[Provincia])</f>
        <v>Buenos Aires</v>
      </c>
      <c r="L706" s="16" t="str">
        <f t="array" ref="L706">CONCATENATE(_xlfn.XLOOKUP(C706,Clientes[ID_Cliente],Clientes[Provincia]),", Argentina")</f>
        <v>Buenos Aires, Argentina</v>
      </c>
      <c r="M706" s="20" t="str">
        <f t="array" ref="M706">_xlfn.XLOOKUP(F706,Metodos_De_Pago[ID_Metodo],Metodos_De_Pago[Metodo])</f>
        <v>Mercado Pago</v>
      </c>
      <c r="N706" s="20" t="str">
        <f t="shared" si="2"/>
        <v>2024 06</v>
      </c>
    </row>
    <row r="707" ht="22.5" customHeight="1">
      <c r="A707" s="12">
        <f>IFERROR(__xludf.DUMMYFUNCTION("""COMPUTED_VALUE"""),1337.0)</f>
        <v>1337</v>
      </c>
      <c r="B707" s="13">
        <f>IFERROR(__xludf.DUMMYFUNCTION("""COMPUTED_VALUE"""),45456.0)</f>
        <v>45456</v>
      </c>
      <c r="C707" s="12">
        <f>IFERROR(__xludf.DUMMYFUNCTION("""COMPUTED_VALUE"""),77.0)</f>
        <v>77</v>
      </c>
      <c r="D707" s="12">
        <f>IFERROR(__xludf.DUMMYFUNCTION("""COMPUTED_VALUE"""),4.0)</f>
        <v>4</v>
      </c>
      <c r="E707" s="12">
        <f>IFERROR(__xludf.DUMMYFUNCTION("""COMPUTED_VALUE"""),2.0)</f>
        <v>2</v>
      </c>
      <c r="F707" s="12">
        <f>IFERROR(__xludf.DUMMYFUNCTION("""COMPUTED_VALUE"""),3.0)</f>
        <v>3</v>
      </c>
      <c r="G707" s="15" t="str">
        <f>IFERROR(__xludf.DUMMYFUNCTION("""COMPUTED_VALUE"""),"Completa")</f>
        <v>Completa</v>
      </c>
      <c r="H707" s="16" t="str">
        <f t="array" ref="H707">_xlfn.XLOOKUP(D707,Productos[ID_Producto],Productos[Nombre_Producto])</f>
        <v>Queso rallado</v>
      </c>
      <c r="I707" s="17">
        <f t="array" ref="I707">_xlfn.XLOOKUP(D707,Productos[ID_Producto],Productos[Precio_Unitario])</f>
        <v>19.23</v>
      </c>
      <c r="J707" s="17">
        <f t="shared" si="1"/>
        <v>38.46</v>
      </c>
      <c r="K707" s="16" t="str">
        <f t="array" ref="K707">_xlfn.XLOOKUP(C707,Clientes[ID_Cliente],Clientes[Provincia])</f>
        <v>Buenos Aires</v>
      </c>
      <c r="L707" s="16" t="str">
        <f t="array" ref="L707">CONCATENATE(_xlfn.XLOOKUP(C707,Clientes[ID_Cliente],Clientes[Provincia]),", Argentina")</f>
        <v>Buenos Aires, Argentina</v>
      </c>
      <c r="M707" s="20" t="str">
        <f t="array" ref="M707">_xlfn.XLOOKUP(F707,Metodos_De_Pago[ID_Metodo],Metodos_De_Pago[Metodo])</f>
        <v>Tarjeta de Débito</v>
      </c>
      <c r="N707" s="20" t="str">
        <f t="shared" si="2"/>
        <v>2024 06</v>
      </c>
    </row>
    <row r="708" ht="22.5" customHeight="1">
      <c r="A708" s="12">
        <f>IFERROR(__xludf.DUMMYFUNCTION("""COMPUTED_VALUE"""),2894.0)</f>
        <v>2894</v>
      </c>
      <c r="B708" s="13">
        <f>IFERROR(__xludf.DUMMYFUNCTION("""COMPUTED_VALUE"""),45456.0)</f>
        <v>45456</v>
      </c>
      <c r="C708" s="12">
        <f>IFERROR(__xludf.DUMMYFUNCTION("""COMPUTED_VALUE"""),259.0)</f>
        <v>259</v>
      </c>
      <c r="D708" s="12">
        <f>IFERROR(__xludf.DUMMYFUNCTION("""COMPUTED_VALUE"""),15.0)</f>
        <v>15</v>
      </c>
      <c r="E708" s="12">
        <f>IFERROR(__xludf.DUMMYFUNCTION("""COMPUTED_VALUE"""),2.0)</f>
        <v>2</v>
      </c>
      <c r="F708" s="12">
        <f>IFERROR(__xludf.DUMMYFUNCTION("""COMPUTED_VALUE"""),1.0)</f>
        <v>1</v>
      </c>
      <c r="G708" s="15" t="str">
        <f>IFERROR(__xludf.DUMMYFUNCTION("""COMPUTED_VALUE"""),"Completa")</f>
        <v>Completa</v>
      </c>
      <c r="H708" s="16" t="str">
        <f t="array" ref="H708">_xlfn.XLOOKUP(D708,Productos[ID_Producto],Productos[Nombre_Producto])</f>
        <v>Medialunas</v>
      </c>
      <c r="I708" s="17">
        <f t="array" ref="I708">_xlfn.XLOOKUP(D708,Productos[ID_Producto],Productos[Precio_Unitario])</f>
        <v>3.51</v>
      </c>
      <c r="J708" s="17">
        <f t="shared" si="1"/>
        <v>7.02</v>
      </c>
      <c r="K708" s="16" t="str">
        <f t="array" ref="K708">_xlfn.XLOOKUP(C708,Clientes[ID_Cliente],Clientes[Provincia])</f>
        <v>San Luis</v>
      </c>
      <c r="L708" s="16" t="str">
        <f t="array" ref="L708">CONCATENATE(_xlfn.XLOOKUP(C708,Clientes[ID_Cliente],Clientes[Provincia]),", Argentina")</f>
        <v>San Luis, Argentina</v>
      </c>
      <c r="M708" s="20" t="str">
        <f t="array" ref="M708">_xlfn.XLOOKUP(F708,Metodos_De_Pago[ID_Metodo],Metodos_De_Pago[Metodo])</f>
        <v>Efectivo</v>
      </c>
      <c r="N708" s="20" t="str">
        <f t="shared" si="2"/>
        <v>2024 06</v>
      </c>
    </row>
    <row r="709" ht="22.5" customHeight="1">
      <c r="A709" s="12">
        <f>IFERROR(__xludf.DUMMYFUNCTION("""COMPUTED_VALUE"""),972.0)</f>
        <v>972</v>
      </c>
      <c r="B709" s="13">
        <f>IFERROR(__xludf.DUMMYFUNCTION("""COMPUTED_VALUE"""),45457.0)</f>
        <v>45457</v>
      </c>
      <c r="C709" s="12">
        <f>IFERROR(__xludf.DUMMYFUNCTION("""COMPUTED_VALUE"""),181.0)</f>
        <v>181</v>
      </c>
      <c r="D709" s="12">
        <f>IFERROR(__xludf.DUMMYFUNCTION("""COMPUTED_VALUE"""),35.0)</f>
        <v>35</v>
      </c>
      <c r="E709" s="12">
        <f>IFERROR(__xludf.DUMMYFUNCTION("""COMPUTED_VALUE"""),2.0)</f>
        <v>2</v>
      </c>
      <c r="F709" s="12">
        <f>IFERROR(__xludf.DUMMYFUNCTION("""COMPUTED_VALUE"""),4.0)</f>
        <v>4</v>
      </c>
      <c r="G709" s="15" t="str">
        <f>IFERROR(__xludf.DUMMYFUNCTION("""COMPUTED_VALUE"""),"Completa")</f>
        <v>Completa</v>
      </c>
      <c r="H709" s="16" t="str">
        <f t="array" ref="H709">_xlfn.XLOOKUP(D709,Productos[ID_Producto],Productos[Nombre_Producto])</f>
        <v>Arroz</v>
      </c>
      <c r="I709" s="17">
        <f t="array" ref="I709">_xlfn.XLOOKUP(D709,Productos[ID_Producto],Productos[Precio_Unitario])</f>
        <v>4.25</v>
      </c>
      <c r="J709" s="17">
        <f t="shared" si="1"/>
        <v>8.5</v>
      </c>
      <c r="K709" s="16" t="str">
        <f t="array" ref="K709">_xlfn.XLOOKUP(C709,Clientes[ID_Cliente],Clientes[Provincia])</f>
        <v>Neuquén</v>
      </c>
      <c r="L709" s="16" t="str">
        <f t="array" ref="L709">CONCATENATE(_xlfn.XLOOKUP(C709,Clientes[ID_Cliente],Clientes[Provincia]),", Argentina")</f>
        <v>Neuquén, Argentina</v>
      </c>
      <c r="M709" s="20" t="str">
        <f t="array" ref="M709">_xlfn.XLOOKUP(F709,Metodos_De_Pago[ID_Metodo],Metodos_De_Pago[Metodo])</f>
        <v>Mercado Pago</v>
      </c>
      <c r="N709" s="20" t="str">
        <f t="shared" si="2"/>
        <v>2024 06</v>
      </c>
    </row>
    <row r="710" ht="22.5" customHeight="1">
      <c r="A710" s="12">
        <f>IFERROR(__xludf.DUMMYFUNCTION("""COMPUTED_VALUE"""),2582.0)</f>
        <v>2582</v>
      </c>
      <c r="B710" s="13">
        <f>IFERROR(__xludf.DUMMYFUNCTION("""COMPUTED_VALUE"""),45457.0)</f>
        <v>45457</v>
      </c>
      <c r="C710" s="12">
        <f>IFERROR(__xludf.DUMMYFUNCTION("""COMPUTED_VALUE"""),124.0)</f>
        <v>124</v>
      </c>
      <c r="D710" s="12">
        <f>IFERROR(__xludf.DUMMYFUNCTION("""COMPUTED_VALUE"""),32.0)</f>
        <v>32</v>
      </c>
      <c r="E710" s="12">
        <f>IFERROR(__xludf.DUMMYFUNCTION("""COMPUTED_VALUE"""),2.0)</f>
        <v>2</v>
      </c>
      <c r="F710" s="12">
        <f>IFERROR(__xludf.DUMMYFUNCTION("""COMPUTED_VALUE"""),1.0)</f>
        <v>1</v>
      </c>
      <c r="G710" s="15" t="str">
        <f>IFERROR(__xludf.DUMMYFUNCTION("""COMPUTED_VALUE"""),"Completa")</f>
        <v>Completa</v>
      </c>
      <c r="H710" s="16" t="str">
        <f t="array" ref="H710">_xlfn.XLOOKUP(D710,Productos[ID_Producto],Productos[Nombre_Producto])</f>
        <v>Galletitas de chocolate</v>
      </c>
      <c r="I710" s="17">
        <f t="array" ref="I710">_xlfn.XLOOKUP(D710,Productos[ID_Producto],Productos[Precio_Unitario])</f>
        <v>6.25</v>
      </c>
      <c r="J710" s="17">
        <f t="shared" si="1"/>
        <v>12.5</v>
      </c>
      <c r="K710" s="16" t="str">
        <f t="array" ref="K710">_xlfn.XLOOKUP(C710,Clientes[ID_Cliente],Clientes[Provincia])</f>
        <v>Chaco</v>
      </c>
      <c r="L710" s="16" t="str">
        <f t="array" ref="L710">CONCATENATE(_xlfn.XLOOKUP(C710,Clientes[ID_Cliente],Clientes[Provincia]),", Argentina")</f>
        <v>Chaco, Argentina</v>
      </c>
      <c r="M710" s="20" t="str">
        <f t="array" ref="M710">_xlfn.XLOOKUP(F710,Metodos_De_Pago[ID_Metodo],Metodos_De_Pago[Metodo])</f>
        <v>Efectivo</v>
      </c>
      <c r="N710" s="20" t="str">
        <f t="shared" si="2"/>
        <v>2024 06</v>
      </c>
    </row>
    <row r="711" ht="22.5" customHeight="1">
      <c r="A711" s="12">
        <f>IFERROR(__xludf.DUMMYFUNCTION("""COMPUTED_VALUE"""),1653.0)</f>
        <v>1653</v>
      </c>
      <c r="B711" s="13">
        <f>IFERROR(__xludf.DUMMYFUNCTION("""COMPUTED_VALUE"""),45458.0)</f>
        <v>45458</v>
      </c>
      <c r="C711" s="12">
        <f>IFERROR(__xludf.DUMMYFUNCTION("""COMPUTED_VALUE"""),124.0)</f>
        <v>124</v>
      </c>
      <c r="D711" s="12">
        <f>IFERROR(__xludf.DUMMYFUNCTION("""COMPUTED_VALUE"""),6.0)</f>
        <v>6</v>
      </c>
      <c r="E711" s="12">
        <f>IFERROR(__xludf.DUMMYFUNCTION("""COMPUTED_VALUE"""),2.0)</f>
        <v>2</v>
      </c>
      <c r="F711" s="12">
        <f>IFERROR(__xludf.DUMMYFUNCTION("""COMPUTED_VALUE"""),5.0)</f>
        <v>5</v>
      </c>
      <c r="G711" s="15" t="str">
        <f>IFERROR(__xludf.DUMMYFUNCTION("""COMPUTED_VALUE"""),"Completa")</f>
        <v>Completa</v>
      </c>
      <c r="H711" s="16" t="str">
        <f t="array" ref="H711">_xlfn.XLOOKUP(D711,Productos[ID_Producto],Productos[Nombre_Producto])</f>
        <v>Asado</v>
      </c>
      <c r="I711" s="17">
        <f t="array" ref="I711">_xlfn.XLOOKUP(D711,Productos[ID_Producto],Productos[Precio_Unitario])</f>
        <v>28.56</v>
      </c>
      <c r="J711" s="17">
        <f t="shared" si="1"/>
        <v>57.12</v>
      </c>
      <c r="K711" s="16" t="str">
        <f t="array" ref="K711">_xlfn.XLOOKUP(C711,Clientes[ID_Cliente],Clientes[Provincia])</f>
        <v>Chaco</v>
      </c>
      <c r="L711" s="16" t="str">
        <f t="array" ref="L711">CONCATENATE(_xlfn.XLOOKUP(C711,Clientes[ID_Cliente],Clientes[Provincia]),", Argentina")</f>
        <v>Chaco, Argentina</v>
      </c>
      <c r="M711" s="20" t="str">
        <f t="array" ref="M711">_xlfn.XLOOKUP(F711,Metodos_De_Pago[ID_Metodo],Metodos_De_Pago[Metodo])</f>
        <v>Transferencia</v>
      </c>
      <c r="N711" s="20" t="str">
        <f t="shared" si="2"/>
        <v>2024 06</v>
      </c>
    </row>
    <row r="712" ht="22.5" customHeight="1">
      <c r="A712" s="12">
        <f>IFERROR(__xludf.DUMMYFUNCTION("""COMPUTED_VALUE"""),2364.0)</f>
        <v>2364</v>
      </c>
      <c r="B712" s="13">
        <f>IFERROR(__xludf.DUMMYFUNCTION("""COMPUTED_VALUE"""),45458.0)</f>
        <v>45458</v>
      </c>
      <c r="C712" s="12">
        <f>IFERROR(__xludf.DUMMYFUNCTION("""COMPUTED_VALUE"""),285.0)</f>
        <v>285</v>
      </c>
      <c r="D712" s="12">
        <f>IFERROR(__xludf.DUMMYFUNCTION("""COMPUTED_VALUE"""),26.0)</f>
        <v>26</v>
      </c>
      <c r="E712" s="12">
        <f>IFERROR(__xludf.DUMMYFUNCTION("""COMPUTED_VALUE"""),2.0)</f>
        <v>2</v>
      </c>
      <c r="F712" s="12">
        <f>IFERROR(__xludf.DUMMYFUNCTION("""COMPUTED_VALUE"""),4.0)</f>
        <v>4</v>
      </c>
      <c r="G712" s="15" t="str">
        <f>IFERROR(__xludf.DUMMYFUNCTION("""COMPUTED_VALUE"""),"Pendiente")</f>
        <v>Pendiente</v>
      </c>
      <c r="H712" s="16" t="str">
        <f t="array" ref="H712">_xlfn.XLOOKUP(D712,Productos[ID_Producto],Productos[Nombre_Producto])</f>
        <v>Hamburgesas congeladas</v>
      </c>
      <c r="I712" s="17">
        <f t="array" ref="I712">_xlfn.XLOOKUP(D712,Productos[ID_Producto],Productos[Precio_Unitario])</f>
        <v>9.54</v>
      </c>
      <c r="J712" s="17">
        <f t="shared" si="1"/>
        <v>19.08</v>
      </c>
      <c r="K712" s="16" t="str">
        <f t="array" ref="K712">_xlfn.XLOOKUP(C712,Clientes[ID_Cliente],Clientes[Provincia])</f>
        <v>Neuquén</v>
      </c>
      <c r="L712" s="16" t="str">
        <f t="array" ref="L712">CONCATENATE(_xlfn.XLOOKUP(C712,Clientes[ID_Cliente],Clientes[Provincia]),", Argentina")</f>
        <v>Neuquén, Argentina</v>
      </c>
      <c r="M712" s="20" t="str">
        <f t="array" ref="M712">_xlfn.XLOOKUP(F712,Metodos_De_Pago[ID_Metodo],Metodos_De_Pago[Metodo])</f>
        <v>Mercado Pago</v>
      </c>
      <c r="N712" s="20" t="str">
        <f t="shared" si="2"/>
        <v>2024 06</v>
      </c>
    </row>
    <row r="713" ht="22.5" customHeight="1">
      <c r="A713" s="12">
        <f>IFERROR(__xludf.DUMMYFUNCTION("""COMPUTED_VALUE"""),1354.0)</f>
        <v>1354</v>
      </c>
      <c r="B713" s="13">
        <f>IFERROR(__xludf.DUMMYFUNCTION("""COMPUTED_VALUE"""),45459.0)</f>
        <v>45459</v>
      </c>
      <c r="C713" s="12">
        <f>IFERROR(__xludf.DUMMYFUNCTION("""COMPUTED_VALUE"""),71.0)</f>
        <v>71</v>
      </c>
      <c r="D713" s="12">
        <f>IFERROR(__xludf.DUMMYFUNCTION("""COMPUTED_VALUE"""),38.0)</f>
        <v>38</v>
      </c>
      <c r="E713" s="12">
        <f>IFERROR(__xludf.DUMMYFUNCTION("""COMPUTED_VALUE"""),2.0)</f>
        <v>2</v>
      </c>
      <c r="F713" s="12">
        <f>IFERROR(__xludf.DUMMYFUNCTION("""COMPUTED_VALUE"""),1.0)</f>
        <v>1</v>
      </c>
      <c r="G713" s="15" t="str">
        <f>IFERROR(__xludf.DUMMYFUNCTION("""COMPUTED_VALUE"""),"Pendiente")</f>
        <v>Pendiente</v>
      </c>
      <c r="H713" s="16" t="str">
        <f t="array" ref="H713">_xlfn.XLOOKUP(D713,Productos[ID_Producto],Productos[Nombre_Producto])</f>
        <v>Atún enlatado</v>
      </c>
      <c r="I713" s="17">
        <f t="array" ref="I713">_xlfn.XLOOKUP(D713,Productos[ID_Producto],Productos[Precio_Unitario])</f>
        <v>6.21</v>
      </c>
      <c r="J713" s="17">
        <f t="shared" si="1"/>
        <v>12.42</v>
      </c>
      <c r="K713" s="16" t="str">
        <f t="array" ref="K713">_xlfn.XLOOKUP(C713,Clientes[ID_Cliente],Clientes[Provincia])</f>
        <v>Buenos Aires</v>
      </c>
      <c r="L713" s="16" t="str">
        <f t="array" ref="L713">CONCATENATE(_xlfn.XLOOKUP(C713,Clientes[ID_Cliente],Clientes[Provincia]),", Argentina")</f>
        <v>Buenos Aires, Argentina</v>
      </c>
      <c r="M713" s="20" t="str">
        <f t="array" ref="M713">_xlfn.XLOOKUP(F713,Metodos_De_Pago[ID_Metodo],Metodos_De_Pago[Metodo])</f>
        <v>Efectivo</v>
      </c>
      <c r="N713" s="20" t="str">
        <f t="shared" si="2"/>
        <v>2024 06</v>
      </c>
    </row>
    <row r="714" ht="22.5" customHeight="1">
      <c r="A714" s="12">
        <f>IFERROR(__xludf.DUMMYFUNCTION("""COMPUTED_VALUE"""),1692.0)</f>
        <v>1692</v>
      </c>
      <c r="B714" s="13">
        <f>IFERROR(__xludf.DUMMYFUNCTION("""COMPUTED_VALUE"""),45459.0)</f>
        <v>45459</v>
      </c>
      <c r="C714" s="12">
        <f>IFERROR(__xludf.DUMMYFUNCTION("""COMPUTED_VALUE"""),295.0)</f>
        <v>295</v>
      </c>
      <c r="D714" s="12">
        <f>IFERROR(__xludf.DUMMYFUNCTION("""COMPUTED_VALUE"""),35.0)</f>
        <v>35</v>
      </c>
      <c r="E714" s="12">
        <f>IFERROR(__xludf.DUMMYFUNCTION("""COMPUTED_VALUE"""),2.0)</f>
        <v>2</v>
      </c>
      <c r="F714" s="12">
        <f>IFERROR(__xludf.DUMMYFUNCTION("""COMPUTED_VALUE"""),4.0)</f>
        <v>4</v>
      </c>
      <c r="G714" s="15" t="str">
        <f>IFERROR(__xludf.DUMMYFUNCTION("""COMPUTED_VALUE"""),"Pendiente")</f>
        <v>Pendiente</v>
      </c>
      <c r="H714" s="16" t="str">
        <f t="array" ref="H714">_xlfn.XLOOKUP(D714,Productos[ID_Producto],Productos[Nombre_Producto])</f>
        <v>Arroz</v>
      </c>
      <c r="I714" s="17">
        <f t="array" ref="I714">_xlfn.XLOOKUP(D714,Productos[ID_Producto],Productos[Precio_Unitario])</f>
        <v>4.25</v>
      </c>
      <c r="J714" s="17">
        <f t="shared" si="1"/>
        <v>8.5</v>
      </c>
      <c r="K714" s="16" t="str">
        <f t="array" ref="K714">_xlfn.XLOOKUP(C714,Clientes[ID_Cliente],Clientes[Provincia])</f>
        <v>San Luis</v>
      </c>
      <c r="L714" s="16" t="str">
        <f t="array" ref="L714">CONCATENATE(_xlfn.XLOOKUP(C714,Clientes[ID_Cliente],Clientes[Provincia]),", Argentina")</f>
        <v>San Luis, Argentina</v>
      </c>
      <c r="M714" s="20" t="str">
        <f t="array" ref="M714">_xlfn.XLOOKUP(F714,Metodos_De_Pago[ID_Metodo],Metodos_De_Pago[Metodo])</f>
        <v>Mercado Pago</v>
      </c>
      <c r="N714" s="20" t="str">
        <f t="shared" si="2"/>
        <v>2024 06</v>
      </c>
    </row>
    <row r="715" ht="22.5" customHeight="1">
      <c r="A715" s="12">
        <f>IFERROR(__xludf.DUMMYFUNCTION("""COMPUTED_VALUE"""),949.0)</f>
        <v>949</v>
      </c>
      <c r="B715" s="13">
        <f>IFERROR(__xludf.DUMMYFUNCTION("""COMPUTED_VALUE"""),45460.0)</f>
        <v>45460</v>
      </c>
      <c r="C715" s="12">
        <f>IFERROR(__xludf.DUMMYFUNCTION("""COMPUTED_VALUE"""),29.0)</f>
        <v>29</v>
      </c>
      <c r="D715" s="12">
        <f>IFERROR(__xludf.DUMMYFUNCTION("""COMPUTED_VALUE"""),19.0)</f>
        <v>19</v>
      </c>
      <c r="E715" s="12">
        <f>IFERROR(__xludf.DUMMYFUNCTION("""COMPUTED_VALUE"""),2.0)</f>
        <v>2</v>
      </c>
      <c r="F715" s="12">
        <f>IFERROR(__xludf.DUMMYFUNCTION("""COMPUTED_VALUE"""),3.0)</f>
        <v>3</v>
      </c>
      <c r="G715" s="15" t="str">
        <f>IFERROR(__xludf.DUMMYFUNCTION("""COMPUTED_VALUE"""),"Pendiente")</f>
        <v>Pendiente</v>
      </c>
      <c r="H715" s="16" t="str">
        <f t="array" ref="H715">_xlfn.XLOOKUP(D715,Productos[ID_Producto],Productos[Nombre_Producto])</f>
        <v>Tomates</v>
      </c>
      <c r="I715" s="17">
        <f t="array" ref="I715">_xlfn.XLOOKUP(D715,Productos[ID_Producto],Productos[Precio_Unitario])</f>
        <v>6.54</v>
      </c>
      <c r="J715" s="17">
        <f t="shared" si="1"/>
        <v>13.08</v>
      </c>
      <c r="K715" s="16" t="str">
        <f t="array" ref="K715">_xlfn.XLOOKUP(C715,Clientes[ID_Cliente],Clientes[Provincia])</f>
        <v>Chaco</v>
      </c>
      <c r="L715" s="16" t="str">
        <f t="array" ref="L715">CONCATENATE(_xlfn.XLOOKUP(C715,Clientes[ID_Cliente],Clientes[Provincia]),", Argentina")</f>
        <v>Chaco, Argentina</v>
      </c>
      <c r="M715" s="20" t="str">
        <f t="array" ref="M715">_xlfn.XLOOKUP(F715,Metodos_De_Pago[ID_Metodo],Metodos_De_Pago[Metodo])</f>
        <v>Tarjeta de Débito</v>
      </c>
      <c r="N715" s="20" t="str">
        <f t="shared" si="2"/>
        <v>2024 06</v>
      </c>
    </row>
    <row r="716" ht="22.5" customHeight="1">
      <c r="A716" s="12">
        <f>IFERROR(__xludf.DUMMYFUNCTION("""COMPUTED_VALUE"""),1760.0)</f>
        <v>1760</v>
      </c>
      <c r="B716" s="13">
        <f>IFERROR(__xludf.DUMMYFUNCTION("""COMPUTED_VALUE"""),45460.0)</f>
        <v>45460</v>
      </c>
      <c r="C716" s="12">
        <f>IFERROR(__xludf.DUMMYFUNCTION("""COMPUTED_VALUE"""),124.0)</f>
        <v>124</v>
      </c>
      <c r="D716" s="12">
        <f>IFERROR(__xludf.DUMMYFUNCTION("""COMPUTED_VALUE"""),36.0)</f>
        <v>36</v>
      </c>
      <c r="E716" s="12">
        <f>IFERROR(__xludf.DUMMYFUNCTION("""COMPUTED_VALUE"""),2.0)</f>
        <v>2</v>
      </c>
      <c r="F716" s="12">
        <f>IFERROR(__xludf.DUMMYFUNCTION("""COMPUTED_VALUE"""),3.0)</f>
        <v>3</v>
      </c>
      <c r="G716" s="15" t="str">
        <f>IFERROR(__xludf.DUMMYFUNCTION("""COMPUTED_VALUE"""),"Completa")</f>
        <v>Completa</v>
      </c>
      <c r="H716" s="16" t="str">
        <f t="array" ref="H716">_xlfn.XLOOKUP(D716,Productos[ID_Producto],Productos[Nombre_Producto])</f>
        <v>Lentejas</v>
      </c>
      <c r="I716" s="17">
        <f t="array" ref="I716">_xlfn.XLOOKUP(D716,Productos[ID_Producto],Productos[Precio_Unitario])</f>
        <v>3.25</v>
      </c>
      <c r="J716" s="17">
        <f t="shared" si="1"/>
        <v>6.5</v>
      </c>
      <c r="K716" s="16" t="str">
        <f t="array" ref="K716">_xlfn.XLOOKUP(C716,Clientes[ID_Cliente],Clientes[Provincia])</f>
        <v>Chaco</v>
      </c>
      <c r="L716" s="16" t="str">
        <f t="array" ref="L716">CONCATENATE(_xlfn.XLOOKUP(C716,Clientes[ID_Cliente],Clientes[Provincia]),", Argentina")</f>
        <v>Chaco, Argentina</v>
      </c>
      <c r="M716" s="20" t="str">
        <f t="array" ref="M716">_xlfn.XLOOKUP(F716,Metodos_De_Pago[ID_Metodo],Metodos_De_Pago[Metodo])</f>
        <v>Tarjeta de Débito</v>
      </c>
      <c r="N716" s="20" t="str">
        <f t="shared" si="2"/>
        <v>2024 06</v>
      </c>
    </row>
    <row r="717" ht="22.5" customHeight="1">
      <c r="A717" s="12">
        <f>IFERROR(__xludf.DUMMYFUNCTION("""COMPUTED_VALUE"""),1355.0)</f>
        <v>1355</v>
      </c>
      <c r="B717" s="13">
        <f>IFERROR(__xludf.DUMMYFUNCTION("""COMPUTED_VALUE"""),45462.0)</f>
        <v>45462</v>
      </c>
      <c r="C717" s="12">
        <f>IFERROR(__xludf.DUMMYFUNCTION("""COMPUTED_VALUE"""),106.0)</f>
        <v>106</v>
      </c>
      <c r="D717" s="12">
        <f>IFERROR(__xludf.DUMMYFUNCTION("""COMPUTED_VALUE"""),22.0)</f>
        <v>22</v>
      </c>
      <c r="E717" s="12">
        <f>IFERROR(__xludf.DUMMYFUNCTION("""COMPUTED_VALUE"""),2.0)</f>
        <v>2</v>
      </c>
      <c r="F717" s="12">
        <f>IFERROR(__xludf.DUMMYFUNCTION("""COMPUTED_VALUE"""),1.0)</f>
        <v>1</v>
      </c>
      <c r="G717" s="15" t="str">
        <f>IFERROR(__xludf.DUMMYFUNCTION("""COMPUTED_VALUE"""),"Completa")</f>
        <v>Completa</v>
      </c>
      <c r="H717" s="16" t="str">
        <f t="array" ref="H717">_xlfn.XLOOKUP(D717,Productos[ID_Producto],Productos[Nombre_Producto])</f>
        <v>Cebolla</v>
      </c>
      <c r="I717" s="17">
        <f t="array" ref="I717">_xlfn.XLOOKUP(D717,Productos[ID_Producto],Productos[Precio_Unitario])</f>
        <v>4.21</v>
      </c>
      <c r="J717" s="17">
        <f t="shared" si="1"/>
        <v>8.42</v>
      </c>
      <c r="K717" s="16" t="str">
        <f t="array" ref="K717">_xlfn.XLOOKUP(C717,Clientes[ID_Cliente],Clientes[Provincia])</f>
        <v>Chaco</v>
      </c>
      <c r="L717" s="16" t="str">
        <f t="array" ref="L717">CONCATENATE(_xlfn.XLOOKUP(C717,Clientes[ID_Cliente],Clientes[Provincia]),", Argentina")</f>
        <v>Chaco, Argentina</v>
      </c>
      <c r="M717" s="20" t="str">
        <f t="array" ref="M717">_xlfn.XLOOKUP(F717,Metodos_De_Pago[ID_Metodo],Metodos_De_Pago[Metodo])</f>
        <v>Efectivo</v>
      </c>
      <c r="N717" s="20" t="str">
        <f t="shared" si="2"/>
        <v>2024 06</v>
      </c>
    </row>
    <row r="718" ht="22.5" customHeight="1">
      <c r="A718" s="12">
        <f>IFERROR(__xludf.DUMMYFUNCTION("""COMPUTED_VALUE"""),2178.0)</f>
        <v>2178</v>
      </c>
      <c r="B718" s="13">
        <f>IFERROR(__xludf.DUMMYFUNCTION("""COMPUTED_VALUE"""),45462.0)</f>
        <v>45462</v>
      </c>
      <c r="C718" s="12">
        <f>IFERROR(__xludf.DUMMYFUNCTION("""COMPUTED_VALUE"""),54.0)</f>
        <v>54</v>
      </c>
      <c r="D718" s="12">
        <f>IFERROR(__xludf.DUMMYFUNCTION("""COMPUTED_VALUE"""),7.0)</f>
        <v>7</v>
      </c>
      <c r="E718" s="12">
        <f>IFERROR(__xludf.DUMMYFUNCTION("""COMPUTED_VALUE"""),2.0)</f>
        <v>2</v>
      </c>
      <c r="F718" s="12">
        <f>IFERROR(__xludf.DUMMYFUNCTION("""COMPUTED_VALUE"""),4.0)</f>
        <v>4</v>
      </c>
      <c r="G718" s="15" t="str">
        <f>IFERROR(__xludf.DUMMYFUNCTION("""COMPUTED_VALUE"""),"Completa")</f>
        <v>Completa</v>
      </c>
      <c r="H718" s="16" t="str">
        <f t="array" ref="H718">_xlfn.XLOOKUP(D718,Productos[ID_Producto],Productos[Nombre_Producto])</f>
        <v>Chorizo</v>
      </c>
      <c r="I718" s="17">
        <f t="array" ref="I718">_xlfn.XLOOKUP(D718,Productos[ID_Producto],Productos[Precio_Unitario])</f>
        <v>11.25</v>
      </c>
      <c r="J718" s="17">
        <f t="shared" si="1"/>
        <v>22.5</v>
      </c>
      <c r="K718" s="16" t="str">
        <f t="array" ref="K718">_xlfn.XLOOKUP(C718,Clientes[ID_Cliente],Clientes[Provincia])</f>
        <v>Buenos Aires</v>
      </c>
      <c r="L718" s="16" t="str">
        <f t="array" ref="L718">CONCATENATE(_xlfn.XLOOKUP(C718,Clientes[ID_Cliente],Clientes[Provincia]),", Argentina")</f>
        <v>Buenos Aires, Argentina</v>
      </c>
      <c r="M718" s="20" t="str">
        <f t="array" ref="M718">_xlfn.XLOOKUP(F718,Metodos_De_Pago[ID_Metodo],Metodos_De_Pago[Metodo])</f>
        <v>Mercado Pago</v>
      </c>
      <c r="N718" s="20" t="str">
        <f t="shared" si="2"/>
        <v>2024 06</v>
      </c>
    </row>
    <row r="719" ht="22.5" customHeight="1">
      <c r="A719" s="12">
        <f>IFERROR(__xludf.DUMMYFUNCTION("""COMPUTED_VALUE"""),2351.0)</f>
        <v>2351</v>
      </c>
      <c r="B719" s="13">
        <f>IFERROR(__xludf.DUMMYFUNCTION("""COMPUTED_VALUE"""),45462.0)</f>
        <v>45462</v>
      </c>
      <c r="C719" s="12">
        <f>IFERROR(__xludf.DUMMYFUNCTION("""COMPUTED_VALUE"""),114.0)</f>
        <v>114</v>
      </c>
      <c r="D719" s="12">
        <f>IFERROR(__xludf.DUMMYFUNCTION("""COMPUTED_VALUE"""),3.0)</f>
        <v>3</v>
      </c>
      <c r="E719" s="12">
        <f>IFERROR(__xludf.DUMMYFUNCTION("""COMPUTED_VALUE"""),2.0)</f>
        <v>2</v>
      </c>
      <c r="F719" s="12">
        <f>IFERROR(__xludf.DUMMYFUNCTION("""COMPUTED_VALUE"""),4.0)</f>
        <v>4</v>
      </c>
      <c r="G719" s="15" t="str">
        <f>IFERROR(__xludf.DUMMYFUNCTION("""COMPUTED_VALUE"""),"Completa")</f>
        <v>Completa</v>
      </c>
      <c r="H719" s="16" t="str">
        <f t="array" ref="H719">_xlfn.XLOOKUP(D719,Productos[ID_Producto],Productos[Nombre_Producto])</f>
        <v>Queso cremoso</v>
      </c>
      <c r="I719" s="17">
        <f t="array" ref="I719">_xlfn.XLOOKUP(D719,Productos[ID_Producto],Productos[Precio_Unitario])</f>
        <v>17.23</v>
      </c>
      <c r="J719" s="17">
        <f t="shared" si="1"/>
        <v>34.46</v>
      </c>
      <c r="K719" s="16" t="str">
        <f t="array" ref="K719">_xlfn.XLOOKUP(C719,Clientes[ID_Cliente],Clientes[Provincia])</f>
        <v>Córdoba</v>
      </c>
      <c r="L719" s="16" t="str">
        <f t="array" ref="L719">CONCATENATE(_xlfn.XLOOKUP(C719,Clientes[ID_Cliente],Clientes[Provincia]),", Argentina")</f>
        <v>Córdoba, Argentina</v>
      </c>
      <c r="M719" s="20" t="str">
        <f t="array" ref="M719">_xlfn.XLOOKUP(F719,Metodos_De_Pago[ID_Metodo],Metodos_De_Pago[Metodo])</f>
        <v>Mercado Pago</v>
      </c>
      <c r="N719" s="20" t="str">
        <f t="shared" si="2"/>
        <v>2024 06</v>
      </c>
    </row>
    <row r="720" ht="22.5" customHeight="1">
      <c r="A720" s="12">
        <f>IFERROR(__xludf.DUMMYFUNCTION("""COMPUTED_VALUE"""),2023.0)</f>
        <v>2023</v>
      </c>
      <c r="B720" s="13">
        <f>IFERROR(__xludf.DUMMYFUNCTION("""COMPUTED_VALUE"""),45463.0)</f>
        <v>45463</v>
      </c>
      <c r="C720" s="12">
        <f>IFERROR(__xludf.DUMMYFUNCTION("""COMPUTED_VALUE"""),280.0)</f>
        <v>280</v>
      </c>
      <c r="D720" s="12">
        <f>IFERROR(__xludf.DUMMYFUNCTION("""COMPUTED_VALUE"""),24.0)</f>
        <v>24</v>
      </c>
      <c r="E720" s="12">
        <f>IFERROR(__xludf.DUMMYFUNCTION("""COMPUTED_VALUE"""),2.0)</f>
        <v>2</v>
      </c>
      <c r="F720" s="12">
        <f>IFERROR(__xludf.DUMMYFUNCTION("""COMPUTED_VALUE"""),1.0)</f>
        <v>1</v>
      </c>
      <c r="G720" s="15" t="str">
        <f>IFERROR(__xludf.DUMMYFUNCTION("""COMPUTED_VALUE"""),"Completa")</f>
        <v>Completa</v>
      </c>
      <c r="H720" s="16" t="str">
        <f t="array" ref="H720">_xlfn.XLOOKUP(D720,Productos[ID_Producto],Productos[Nombre_Producto])</f>
        <v>Empanadas</v>
      </c>
      <c r="I720" s="17">
        <f t="array" ref="I720">_xlfn.XLOOKUP(D720,Productos[ID_Producto],Productos[Precio_Unitario])</f>
        <v>13.54</v>
      </c>
      <c r="J720" s="17">
        <f t="shared" si="1"/>
        <v>27.08</v>
      </c>
      <c r="K720" s="16" t="str">
        <f t="array" ref="K720">_xlfn.XLOOKUP(C720,Clientes[ID_Cliente],Clientes[Provincia])</f>
        <v>Córdoba</v>
      </c>
      <c r="L720" s="16" t="str">
        <f t="array" ref="L720">CONCATENATE(_xlfn.XLOOKUP(C720,Clientes[ID_Cliente],Clientes[Provincia]),", Argentina")</f>
        <v>Córdoba, Argentina</v>
      </c>
      <c r="M720" s="20" t="str">
        <f t="array" ref="M720">_xlfn.XLOOKUP(F720,Metodos_De_Pago[ID_Metodo],Metodos_De_Pago[Metodo])</f>
        <v>Efectivo</v>
      </c>
      <c r="N720" s="20" t="str">
        <f t="shared" si="2"/>
        <v>2024 06</v>
      </c>
    </row>
    <row r="721" ht="22.5" customHeight="1">
      <c r="A721" s="12">
        <f>IFERROR(__xludf.DUMMYFUNCTION("""COMPUTED_VALUE"""),2492.0)</f>
        <v>2492</v>
      </c>
      <c r="B721" s="13">
        <f>IFERROR(__xludf.DUMMYFUNCTION("""COMPUTED_VALUE"""),45463.0)</f>
        <v>45463</v>
      </c>
      <c r="C721" s="12">
        <f>IFERROR(__xludf.DUMMYFUNCTION("""COMPUTED_VALUE"""),68.0)</f>
        <v>68</v>
      </c>
      <c r="D721" s="12">
        <f>IFERROR(__xludf.DUMMYFUNCTION("""COMPUTED_VALUE"""),31.0)</f>
        <v>31</v>
      </c>
      <c r="E721" s="12">
        <f>IFERROR(__xludf.DUMMYFUNCTION("""COMPUTED_VALUE"""),2.0)</f>
        <v>2</v>
      </c>
      <c r="F721" s="12">
        <f>IFERROR(__xludf.DUMMYFUNCTION("""COMPUTED_VALUE"""),3.0)</f>
        <v>3</v>
      </c>
      <c r="G721" s="15" t="str">
        <f>IFERROR(__xludf.DUMMYFUNCTION("""COMPUTED_VALUE"""),"Pendiente")</f>
        <v>Pendiente</v>
      </c>
      <c r="H721" s="16" t="str">
        <f t="array" ref="H721">_xlfn.XLOOKUP(D721,Productos[ID_Producto],Productos[Nombre_Producto])</f>
        <v>Galletitas de agua</v>
      </c>
      <c r="I721" s="17">
        <f t="array" ref="I721">_xlfn.XLOOKUP(D721,Productos[ID_Producto],Productos[Precio_Unitario])</f>
        <v>5.24</v>
      </c>
      <c r="J721" s="17">
        <f t="shared" si="1"/>
        <v>10.48</v>
      </c>
      <c r="K721" s="16" t="str">
        <f t="array" ref="K721">_xlfn.XLOOKUP(C721,Clientes[ID_Cliente],Clientes[Provincia])</f>
        <v>Neuquén</v>
      </c>
      <c r="L721" s="16" t="str">
        <f t="array" ref="L721">CONCATENATE(_xlfn.XLOOKUP(C721,Clientes[ID_Cliente],Clientes[Provincia]),", Argentina")</f>
        <v>Neuquén, Argentina</v>
      </c>
      <c r="M721" s="20" t="str">
        <f t="array" ref="M721">_xlfn.XLOOKUP(F721,Metodos_De_Pago[ID_Metodo],Metodos_De_Pago[Metodo])</f>
        <v>Tarjeta de Débito</v>
      </c>
      <c r="N721" s="20" t="str">
        <f t="shared" si="2"/>
        <v>2024 06</v>
      </c>
    </row>
    <row r="722" ht="22.5" customHeight="1">
      <c r="A722" s="12">
        <f>IFERROR(__xludf.DUMMYFUNCTION("""COMPUTED_VALUE"""),1534.0)</f>
        <v>1534</v>
      </c>
      <c r="B722" s="13">
        <f>IFERROR(__xludf.DUMMYFUNCTION("""COMPUTED_VALUE"""),45464.0)</f>
        <v>45464</v>
      </c>
      <c r="C722" s="12">
        <f>IFERROR(__xludf.DUMMYFUNCTION("""COMPUTED_VALUE"""),12.0)</f>
        <v>12</v>
      </c>
      <c r="D722" s="12">
        <f>IFERROR(__xludf.DUMMYFUNCTION("""COMPUTED_VALUE"""),5.0)</f>
        <v>5</v>
      </c>
      <c r="E722" s="12">
        <f>IFERROR(__xludf.DUMMYFUNCTION("""COMPUTED_VALUE"""),2.0)</f>
        <v>2</v>
      </c>
      <c r="F722" s="12">
        <f>IFERROR(__xludf.DUMMYFUNCTION("""COMPUTED_VALUE"""),5.0)</f>
        <v>5</v>
      </c>
      <c r="G722" s="15" t="str">
        <f>IFERROR(__xludf.DUMMYFUNCTION("""COMPUTED_VALUE"""),"Completa")</f>
        <v>Completa</v>
      </c>
      <c r="H722" s="16" t="str">
        <f t="array" ref="H722">_xlfn.XLOOKUP(D722,Productos[ID_Producto],Productos[Nombre_Producto])</f>
        <v>Manteca</v>
      </c>
      <c r="I722" s="17">
        <f t="array" ref="I722">_xlfn.XLOOKUP(D722,Productos[ID_Producto],Productos[Precio_Unitario])</f>
        <v>5.65</v>
      </c>
      <c r="J722" s="17">
        <f t="shared" si="1"/>
        <v>11.3</v>
      </c>
      <c r="K722" s="16" t="str">
        <f t="array" ref="K722">_xlfn.XLOOKUP(C722,Clientes[ID_Cliente],Clientes[Provincia])</f>
        <v>Neuquén</v>
      </c>
      <c r="L722" s="16" t="str">
        <f t="array" ref="L722">CONCATENATE(_xlfn.XLOOKUP(C722,Clientes[ID_Cliente],Clientes[Provincia]),", Argentina")</f>
        <v>Neuquén, Argentina</v>
      </c>
      <c r="M722" s="20" t="str">
        <f t="array" ref="M722">_xlfn.XLOOKUP(F722,Metodos_De_Pago[ID_Metodo],Metodos_De_Pago[Metodo])</f>
        <v>Transferencia</v>
      </c>
      <c r="N722" s="20" t="str">
        <f t="shared" si="2"/>
        <v>2024 06</v>
      </c>
    </row>
    <row r="723" ht="22.5" customHeight="1">
      <c r="A723" s="12">
        <f>IFERROR(__xludf.DUMMYFUNCTION("""COMPUTED_VALUE"""),1583.0)</f>
        <v>1583</v>
      </c>
      <c r="B723" s="13">
        <f>IFERROR(__xludf.DUMMYFUNCTION("""COMPUTED_VALUE"""),45464.0)</f>
        <v>45464</v>
      </c>
      <c r="C723" s="12">
        <f>IFERROR(__xludf.DUMMYFUNCTION("""COMPUTED_VALUE"""),53.0)</f>
        <v>53</v>
      </c>
      <c r="D723" s="12">
        <f>IFERROR(__xludf.DUMMYFUNCTION("""COMPUTED_VALUE"""),30.0)</f>
        <v>30</v>
      </c>
      <c r="E723" s="12">
        <f>IFERROR(__xludf.DUMMYFUNCTION("""COMPUTED_VALUE"""),2.0)</f>
        <v>2</v>
      </c>
      <c r="F723" s="12">
        <f>IFERROR(__xludf.DUMMYFUNCTION("""COMPUTED_VALUE"""),1.0)</f>
        <v>1</v>
      </c>
      <c r="G723" s="15" t="str">
        <f>IFERROR(__xludf.DUMMYFUNCTION("""COMPUTED_VALUE"""),"Completa")</f>
        <v>Completa</v>
      </c>
      <c r="H723" s="16" t="str">
        <f t="array" ref="H723">_xlfn.XLOOKUP(D723,Productos[ID_Producto],Productos[Nombre_Producto])</f>
        <v>Vino tinto</v>
      </c>
      <c r="I723" s="17">
        <f t="array" ref="I723">_xlfn.XLOOKUP(D723,Productos[ID_Producto],Productos[Precio_Unitario])</f>
        <v>13.54</v>
      </c>
      <c r="J723" s="17">
        <f t="shared" si="1"/>
        <v>27.08</v>
      </c>
      <c r="K723" s="16" t="str">
        <f t="array" ref="K723">_xlfn.XLOOKUP(C723,Clientes[ID_Cliente],Clientes[Provincia])</f>
        <v>Córdoba</v>
      </c>
      <c r="L723" s="16" t="str">
        <f t="array" ref="L723">CONCATENATE(_xlfn.XLOOKUP(C723,Clientes[ID_Cliente],Clientes[Provincia]),", Argentina")</f>
        <v>Córdoba, Argentina</v>
      </c>
      <c r="M723" s="20" t="str">
        <f t="array" ref="M723">_xlfn.XLOOKUP(F723,Metodos_De_Pago[ID_Metodo],Metodos_De_Pago[Metodo])</f>
        <v>Efectivo</v>
      </c>
      <c r="N723" s="20" t="str">
        <f t="shared" si="2"/>
        <v>2024 06</v>
      </c>
    </row>
    <row r="724" ht="22.5" customHeight="1">
      <c r="A724" s="12">
        <f>IFERROR(__xludf.DUMMYFUNCTION("""COMPUTED_VALUE"""),533.0)</f>
        <v>533</v>
      </c>
      <c r="B724" s="13">
        <f>IFERROR(__xludf.DUMMYFUNCTION("""COMPUTED_VALUE"""),45465.0)</f>
        <v>45465</v>
      </c>
      <c r="C724" s="12">
        <f>IFERROR(__xludf.DUMMYFUNCTION("""COMPUTED_VALUE"""),83.0)</f>
        <v>83</v>
      </c>
      <c r="D724" s="12">
        <f>IFERROR(__xludf.DUMMYFUNCTION("""COMPUTED_VALUE"""),4.0)</f>
        <v>4</v>
      </c>
      <c r="E724" s="12">
        <f>IFERROR(__xludf.DUMMYFUNCTION("""COMPUTED_VALUE"""),2.0)</f>
        <v>2</v>
      </c>
      <c r="F724" s="12">
        <f>IFERROR(__xludf.DUMMYFUNCTION("""COMPUTED_VALUE"""),5.0)</f>
        <v>5</v>
      </c>
      <c r="G724" s="15" t="str">
        <f>IFERROR(__xludf.DUMMYFUNCTION("""COMPUTED_VALUE"""),"Completa")</f>
        <v>Completa</v>
      </c>
      <c r="H724" s="16" t="str">
        <f t="array" ref="H724">_xlfn.XLOOKUP(D724,Productos[ID_Producto],Productos[Nombre_Producto])</f>
        <v>Queso rallado</v>
      </c>
      <c r="I724" s="17">
        <f t="array" ref="I724">_xlfn.XLOOKUP(D724,Productos[ID_Producto],Productos[Precio_Unitario])</f>
        <v>19.23</v>
      </c>
      <c r="J724" s="17">
        <f t="shared" si="1"/>
        <v>38.46</v>
      </c>
      <c r="K724" s="16" t="str">
        <f t="array" ref="K724">_xlfn.XLOOKUP(C724,Clientes[ID_Cliente],Clientes[Provincia])</f>
        <v>Buenos Aires</v>
      </c>
      <c r="L724" s="16" t="str">
        <f t="array" ref="L724">CONCATENATE(_xlfn.XLOOKUP(C724,Clientes[ID_Cliente],Clientes[Provincia]),", Argentina")</f>
        <v>Buenos Aires, Argentina</v>
      </c>
      <c r="M724" s="20" t="str">
        <f t="array" ref="M724">_xlfn.XLOOKUP(F724,Metodos_De_Pago[ID_Metodo],Metodos_De_Pago[Metodo])</f>
        <v>Transferencia</v>
      </c>
      <c r="N724" s="20" t="str">
        <f t="shared" si="2"/>
        <v>2024 06</v>
      </c>
    </row>
    <row r="725" ht="22.5" customHeight="1">
      <c r="A725" s="12">
        <f>IFERROR(__xludf.DUMMYFUNCTION("""COMPUTED_VALUE"""),1412.0)</f>
        <v>1412</v>
      </c>
      <c r="B725" s="13">
        <f>IFERROR(__xludf.DUMMYFUNCTION("""COMPUTED_VALUE"""),45465.0)</f>
        <v>45465</v>
      </c>
      <c r="C725" s="12">
        <f>IFERROR(__xludf.DUMMYFUNCTION("""COMPUTED_VALUE"""),60.0)</f>
        <v>60</v>
      </c>
      <c r="D725" s="12">
        <f>IFERROR(__xludf.DUMMYFUNCTION("""COMPUTED_VALUE"""),28.0)</f>
        <v>28</v>
      </c>
      <c r="E725" s="12">
        <f>IFERROR(__xludf.DUMMYFUNCTION("""COMPUTED_VALUE"""),2.0)</f>
        <v>2</v>
      </c>
      <c r="F725" s="12">
        <f>IFERROR(__xludf.DUMMYFUNCTION("""COMPUTED_VALUE"""),5.0)</f>
        <v>5</v>
      </c>
      <c r="G725" s="15" t="str">
        <f>IFERROR(__xludf.DUMMYFUNCTION("""COMPUTED_VALUE"""),"Completa")</f>
        <v>Completa</v>
      </c>
      <c r="H725" s="16" t="str">
        <f t="array" ref="H725">_xlfn.XLOOKUP(D725,Productos[ID_Producto],Productos[Nombre_Producto])</f>
        <v>Jugos de frutas</v>
      </c>
      <c r="I725" s="17">
        <f t="array" ref="I725">_xlfn.XLOOKUP(D725,Productos[ID_Producto],Productos[Precio_Unitario])</f>
        <v>9.45</v>
      </c>
      <c r="J725" s="17">
        <f t="shared" si="1"/>
        <v>18.9</v>
      </c>
      <c r="K725" s="16" t="str">
        <f t="array" ref="K725">_xlfn.XLOOKUP(C725,Clientes[ID_Cliente],Clientes[Provincia])</f>
        <v>Chaco</v>
      </c>
      <c r="L725" s="16" t="str">
        <f t="array" ref="L725">CONCATENATE(_xlfn.XLOOKUP(C725,Clientes[ID_Cliente],Clientes[Provincia]),", Argentina")</f>
        <v>Chaco, Argentina</v>
      </c>
      <c r="M725" s="20" t="str">
        <f t="array" ref="M725">_xlfn.XLOOKUP(F725,Metodos_De_Pago[ID_Metodo],Metodos_De_Pago[Metodo])</f>
        <v>Transferencia</v>
      </c>
      <c r="N725" s="20" t="str">
        <f t="shared" si="2"/>
        <v>2024 06</v>
      </c>
    </row>
    <row r="726" ht="22.5" customHeight="1">
      <c r="A726" s="12">
        <f>IFERROR(__xludf.DUMMYFUNCTION("""COMPUTED_VALUE"""),2334.0)</f>
        <v>2334</v>
      </c>
      <c r="B726" s="13">
        <f>IFERROR(__xludf.DUMMYFUNCTION("""COMPUTED_VALUE"""),45465.0)</f>
        <v>45465</v>
      </c>
      <c r="C726" s="12">
        <f>IFERROR(__xludf.DUMMYFUNCTION("""COMPUTED_VALUE"""),190.0)</f>
        <v>190</v>
      </c>
      <c r="D726" s="12">
        <f>IFERROR(__xludf.DUMMYFUNCTION("""COMPUTED_VALUE"""),2.0)</f>
        <v>2</v>
      </c>
      <c r="E726" s="12">
        <f>IFERROR(__xludf.DUMMYFUNCTION("""COMPUTED_VALUE"""),2.0)</f>
        <v>2</v>
      </c>
      <c r="F726" s="12">
        <f>IFERROR(__xludf.DUMMYFUNCTION("""COMPUTED_VALUE"""),1.0)</f>
        <v>1</v>
      </c>
      <c r="G726" s="15" t="str">
        <f>IFERROR(__xludf.DUMMYFUNCTION("""COMPUTED_VALUE"""),"Completa")</f>
        <v>Completa</v>
      </c>
      <c r="H726" s="16" t="str">
        <f t="array" ref="H726">_xlfn.XLOOKUP(D726,Productos[ID_Producto],Productos[Nombre_Producto])</f>
        <v>Yogur</v>
      </c>
      <c r="I726" s="17">
        <f t="array" ref="I726">_xlfn.XLOOKUP(D726,Productos[ID_Producto],Productos[Precio_Unitario])</f>
        <v>5.21</v>
      </c>
      <c r="J726" s="17">
        <f t="shared" si="1"/>
        <v>10.42</v>
      </c>
      <c r="K726" s="16" t="str">
        <f t="array" ref="K726">_xlfn.XLOOKUP(C726,Clientes[ID_Cliente],Clientes[Provincia])</f>
        <v>Chaco</v>
      </c>
      <c r="L726" s="16" t="str">
        <f t="array" ref="L726">CONCATENATE(_xlfn.XLOOKUP(C726,Clientes[ID_Cliente],Clientes[Provincia]),", Argentina")</f>
        <v>Chaco, Argentina</v>
      </c>
      <c r="M726" s="20" t="str">
        <f t="array" ref="M726">_xlfn.XLOOKUP(F726,Metodos_De_Pago[ID_Metodo],Metodos_De_Pago[Metodo])</f>
        <v>Efectivo</v>
      </c>
      <c r="N726" s="20" t="str">
        <f t="shared" si="2"/>
        <v>2024 06</v>
      </c>
    </row>
    <row r="727" ht="22.5" customHeight="1">
      <c r="A727" s="12">
        <f>IFERROR(__xludf.DUMMYFUNCTION("""COMPUTED_VALUE"""),2390.0)</f>
        <v>2390</v>
      </c>
      <c r="B727" s="13">
        <f>IFERROR(__xludf.DUMMYFUNCTION("""COMPUTED_VALUE"""),45467.0)</f>
        <v>45467</v>
      </c>
      <c r="C727" s="12">
        <f>IFERROR(__xludf.DUMMYFUNCTION("""COMPUTED_VALUE"""),159.0)</f>
        <v>159</v>
      </c>
      <c r="D727" s="12">
        <f>IFERROR(__xludf.DUMMYFUNCTION("""COMPUTED_VALUE"""),8.0)</f>
        <v>8</v>
      </c>
      <c r="E727" s="12">
        <f>IFERROR(__xludf.DUMMYFUNCTION("""COMPUTED_VALUE"""),2.0)</f>
        <v>2</v>
      </c>
      <c r="F727" s="12">
        <f>IFERROR(__xludf.DUMMYFUNCTION("""COMPUTED_VALUE"""),4.0)</f>
        <v>4</v>
      </c>
      <c r="G727" s="15" t="str">
        <f>IFERROR(__xludf.DUMMYFUNCTION("""COMPUTED_VALUE"""),"Completa")</f>
        <v>Completa</v>
      </c>
      <c r="H727" s="16" t="str">
        <f t="array" ref="H727">_xlfn.XLOOKUP(D727,Productos[ID_Producto],Productos[Nombre_Producto])</f>
        <v>Milanesa</v>
      </c>
      <c r="I727" s="17">
        <f t="array" ref="I727">_xlfn.XLOOKUP(D727,Productos[ID_Producto],Productos[Precio_Unitario])</f>
        <v>16.21</v>
      </c>
      <c r="J727" s="17">
        <f t="shared" si="1"/>
        <v>32.42</v>
      </c>
      <c r="K727" s="16" t="str">
        <f t="array" ref="K727">_xlfn.XLOOKUP(C727,Clientes[ID_Cliente],Clientes[Provincia])</f>
        <v>Chaco</v>
      </c>
      <c r="L727" s="16" t="str">
        <f t="array" ref="L727">CONCATENATE(_xlfn.XLOOKUP(C727,Clientes[ID_Cliente],Clientes[Provincia]),", Argentina")</f>
        <v>Chaco, Argentina</v>
      </c>
      <c r="M727" s="20" t="str">
        <f t="array" ref="M727">_xlfn.XLOOKUP(F727,Metodos_De_Pago[ID_Metodo],Metodos_De_Pago[Metodo])</f>
        <v>Mercado Pago</v>
      </c>
      <c r="N727" s="20" t="str">
        <f t="shared" si="2"/>
        <v>2024 06</v>
      </c>
    </row>
    <row r="728" ht="22.5" customHeight="1">
      <c r="A728" s="12">
        <f>IFERROR(__xludf.DUMMYFUNCTION("""COMPUTED_VALUE"""),50.0)</f>
        <v>50</v>
      </c>
      <c r="B728" s="13">
        <f>IFERROR(__xludf.DUMMYFUNCTION("""COMPUTED_VALUE"""),45468.0)</f>
        <v>45468</v>
      </c>
      <c r="C728" s="12">
        <f>IFERROR(__xludf.DUMMYFUNCTION("""COMPUTED_VALUE"""),233.0)</f>
        <v>233</v>
      </c>
      <c r="D728" s="12">
        <f>IFERROR(__xludf.DUMMYFUNCTION("""COMPUTED_VALUE"""),23.0)</f>
        <v>23</v>
      </c>
      <c r="E728" s="12">
        <f>IFERROR(__xludf.DUMMYFUNCTION("""COMPUTED_VALUE"""),2.0)</f>
        <v>2</v>
      </c>
      <c r="F728" s="12">
        <f>IFERROR(__xludf.DUMMYFUNCTION("""COMPUTED_VALUE"""),5.0)</f>
        <v>5</v>
      </c>
      <c r="G728" s="15" t="str">
        <f>IFERROR(__xludf.DUMMYFUNCTION("""COMPUTED_VALUE"""),"Completa")</f>
        <v>Completa</v>
      </c>
      <c r="H728" s="16" t="str">
        <f t="array" ref="H728">_xlfn.XLOOKUP(D728,Productos[ID_Producto],Productos[Nombre_Producto])</f>
        <v>Papas fritas</v>
      </c>
      <c r="I728" s="17">
        <f t="array" ref="I728">_xlfn.XLOOKUP(D728,Productos[ID_Producto],Productos[Precio_Unitario])</f>
        <v>8.23</v>
      </c>
      <c r="J728" s="17">
        <f t="shared" si="1"/>
        <v>16.46</v>
      </c>
      <c r="K728" s="16" t="str">
        <f t="array" ref="K728">_xlfn.XLOOKUP(C728,Clientes[ID_Cliente],Clientes[Provincia])</f>
        <v>Córdoba</v>
      </c>
      <c r="L728" s="16" t="str">
        <f t="array" ref="L728">CONCATENATE(_xlfn.XLOOKUP(C728,Clientes[ID_Cliente],Clientes[Provincia]),", Argentina")</f>
        <v>Córdoba, Argentina</v>
      </c>
      <c r="M728" s="20" t="str">
        <f t="array" ref="M728">_xlfn.XLOOKUP(F728,Metodos_De_Pago[ID_Metodo],Metodos_De_Pago[Metodo])</f>
        <v>Transferencia</v>
      </c>
      <c r="N728" s="20" t="str">
        <f t="shared" si="2"/>
        <v>2024 06</v>
      </c>
    </row>
    <row r="729" ht="22.5" customHeight="1">
      <c r="A729" s="12">
        <f>IFERROR(__xludf.DUMMYFUNCTION("""COMPUTED_VALUE"""),2865.0)</f>
        <v>2865</v>
      </c>
      <c r="B729" s="13">
        <f>IFERROR(__xludf.DUMMYFUNCTION("""COMPUTED_VALUE"""),45468.0)</f>
        <v>45468</v>
      </c>
      <c r="C729" s="12">
        <f>IFERROR(__xludf.DUMMYFUNCTION("""COMPUTED_VALUE"""),265.0)</f>
        <v>265</v>
      </c>
      <c r="D729" s="12">
        <f>IFERROR(__xludf.DUMMYFUNCTION("""COMPUTED_VALUE"""),22.0)</f>
        <v>22</v>
      </c>
      <c r="E729" s="12">
        <f>IFERROR(__xludf.DUMMYFUNCTION("""COMPUTED_VALUE"""),2.0)</f>
        <v>2</v>
      </c>
      <c r="F729" s="12">
        <f>IFERROR(__xludf.DUMMYFUNCTION("""COMPUTED_VALUE"""),4.0)</f>
        <v>4</v>
      </c>
      <c r="G729" s="15" t="str">
        <f>IFERROR(__xludf.DUMMYFUNCTION("""COMPUTED_VALUE"""),"Completa")</f>
        <v>Completa</v>
      </c>
      <c r="H729" s="16" t="str">
        <f t="array" ref="H729">_xlfn.XLOOKUP(D729,Productos[ID_Producto],Productos[Nombre_Producto])</f>
        <v>Cebolla</v>
      </c>
      <c r="I729" s="17">
        <f t="array" ref="I729">_xlfn.XLOOKUP(D729,Productos[ID_Producto],Productos[Precio_Unitario])</f>
        <v>4.21</v>
      </c>
      <c r="J729" s="17">
        <f t="shared" si="1"/>
        <v>8.42</v>
      </c>
      <c r="K729" s="16" t="str">
        <f t="array" ref="K729">_xlfn.XLOOKUP(C729,Clientes[ID_Cliente],Clientes[Provincia])</f>
        <v>Córdoba</v>
      </c>
      <c r="L729" s="16" t="str">
        <f t="array" ref="L729">CONCATENATE(_xlfn.XLOOKUP(C729,Clientes[ID_Cliente],Clientes[Provincia]),", Argentina")</f>
        <v>Córdoba, Argentina</v>
      </c>
      <c r="M729" s="20" t="str">
        <f t="array" ref="M729">_xlfn.XLOOKUP(F729,Metodos_De_Pago[ID_Metodo],Metodos_De_Pago[Metodo])</f>
        <v>Mercado Pago</v>
      </c>
      <c r="N729" s="20" t="str">
        <f t="shared" si="2"/>
        <v>2024 06</v>
      </c>
    </row>
    <row r="730" ht="22.5" customHeight="1">
      <c r="A730" s="12">
        <f>IFERROR(__xludf.DUMMYFUNCTION("""COMPUTED_VALUE"""),2820.0)</f>
        <v>2820</v>
      </c>
      <c r="B730" s="13">
        <f>IFERROR(__xludf.DUMMYFUNCTION("""COMPUTED_VALUE"""),45469.0)</f>
        <v>45469</v>
      </c>
      <c r="C730" s="12">
        <f>IFERROR(__xludf.DUMMYFUNCTION("""COMPUTED_VALUE"""),258.0)</f>
        <v>258</v>
      </c>
      <c r="D730" s="12">
        <f>IFERROR(__xludf.DUMMYFUNCTION("""COMPUTED_VALUE"""),14.0)</f>
        <v>14</v>
      </c>
      <c r="E730" s="12">
        <f>IFERROR(__xludf.DUMMYFUNCTION("""COMPUTED_VALUE"""),2.0)</f>
        <v>2</v>
      </c>
      <c r="F730" s="12">
        <f>IFERROR(__xludf.DUMMYFUNCTION("""COMPUTED_VALUE"""),4.0)</f>
        <v>4</v>
      </c>
      <c r="G730" s="15" t="str">
        <f>IFERROR(__xludf.DUMMYFUNCTION("""COMPUTED_VALUE"""),"Completa")</f>
        <v>Completa</v>
      </c>
      <c r="H730" s="16" t="str">
        <f t="array" ref="H730">_xlfn.XLOOKUP(D730,Productos[ID_Producto],Productos[Nombre_Producto])</f>
        <v>Facturas</v>
      </c>
      <c r="I730" s="17">
        <f t="array" ref="I730">_xlfn.XLOOKUP(D730,Productos[ID_Producto],Productos[Precio_Unitario])</f>
        <v>12.36</v>
      </c>
      <c r="J730" s="17">
        <f t="shared" si="1"/>
        <v>24.72</v>
      </c>
      <c r="K730" s="16" t="str">
        <f t="array" ref="K730">_xlfn.XLOOKUP(C730,Clientes[ID_Cliente],Clientes[Provincia])</f>
        <v>Córdoba</v>
      </c>
      <c r="L730" s="16" t="str">
        <f t="array" ref="L730">CONCATENATE(_xlfn.XLOOKUP(C730,Clientes[ID_Cliente],Clientes[Provincia]),", Argentina")</f>
        <v>Córdoba, Argentina</v>
      </c>
      <c r="M730" s="20" t="str">
        <f t="array" ref="M730">_xlfn.XLOOKUP(F730,Metodos_De_Pago[ID_Metodo],Metodos_De_Pago[Metodo])</f>
        <v>Mercado Pago</v>
      </c>
      <c r="N730" s="20" t="str">
        <f t="shared" si="2"/>
        <v>2024 06</v>
      </c>
    </row>
    <row r="731" ht="22.5" customHeight="1">
      <c r="A731" s="12">
        <f>IFERROR(__xludf.DUMMYFUNCTION("""COMPUTED_VALUE"""),578.0)</f>
        <v>578</v>
      </c>
      <c r="B731" s="13">
        <f>IFERROR(__xludf.DUMMYFUNCTION("""COMPUTED_VALUE"""),45470.0)</f>
        <v>45470</v>
      </c>
      <c r="C731" s="12">
        <f>IFERROR(__xludf.DUMMYFUNCTION("""COMPUTED_VALUE"""),180.0)</f>
        <v>180</v>
      </c>
      <c r="D731" s="12">
        <f>IFERROR(__xludf.DUMMYFUNCTION("""COMPUTED_VALUE"""),15.0)</f>
        <v>15</v>
      </c>
      <c r="E731" s="12">
        <f>IFERROR(__xludf.DUMMYFUNCTION("""COMPUTED_VALUE"""),2.0)</f>
        <v>2</v>
      </c>
      <c r="F731" s="12">
        <f>IFERROR(__xludf.DUMMYFUNCTION("""COMPUTED_VALUE"""),5.0)</f>
        <v>5</v>
      </c>
      <c r="G731" s="15" t="str">
        <f>IFERROR(__xludf.DUMMYFUNCTION("""COMPUTED_VALUE"""),"Completa")</f>
        <v>Completa</v>
      </c>
      <c r="H731" s="16" t="str">
        <f t="array" ref="H731">_xlfn.XLOOKUP(D731,Productos[ID_Producto],Productos[Nombre_Producto])</f>
        <v>Medialunas</v>
      </c>
      <c r="I731" s="17">
        <f t="array" ref="I731">_xlfn.XLOOKUP(D731,Productos[ID_Producto],Productos[Precio_Unitario])</f>
        <v>3.51</v>
      </c>
      <c r="J731" s="17">
        <f t="shared" si="1"/>
        <v>7.02</v>
      </c>
      <c r="K731" s="16" t="str">
        <f t="array" ref="K731">_xlfn.XLOOKUP(C731,Clientes[ID_Cliente],Clientes[Provincia])</f>
        <v>Buenos Aires</v>
      </c>
      <c r="L731" s="16" t="str">
        <f t="array" ref="L731">CONCATENATE(_xlfn.XLOOKUP(C731,Clientes[ID_Cliente],Clientes[Provincia]),", Argentina")</f>
        <v>Buenos Aires, Argentina</v>
      </c>
      <c r="M731" s="20" t="str">
        <f t="array" ref="M731">_xlfn.XLOOKUP(F731,Metodos_De_Pago[ID_Metodo],Metodos_De_Pago[Metodo])</f>
        <v>Transferencia</v>
      </c>
      <c r="N731" s="20" t="str">
        <f t="shared" si="2"/>
        <v>2024 06</v>
      </c>
    </row>
    <row r="732" ht="22.5" customHeight="1">
      <c r="A732" s="12">
        <f>IFERROR(__xludf.DUMMYFUNCTION("""COMPUTED_VALUE"""),750.0)</f>
        <v>750</v>
      </c>
      <c r="B732" s="13">
        <f>IFERROR(__xludf.DUMMYFUNCTION("""COMPUTED_VALUE"""),45470.0)</f>
        <v>45470</v>
      </c>
      <c r="C732" s="12">
        <f>IFERROR(__xludf.DUMMYFUNCTION("""COMPUTED_VALUE"""),198.0)</f>
        <v>198</v>
      </c>
      <c r="D732" s="12">
        <f>IFERROR(__xludf.DUMMYFUNCTION("""COMPUTED_VALUE"""),30.0)</f>
        <v>30</v>
      </c>
      <c r="E732" s="12">
        <f>IFERROR(__xludf.DUMMYFUNCTION("""COMPUTED_VALUE"""),2.0)</f>
        <v>2</v>
      </c>
      <c r="F732" s="12">
        <f>IFERROR(__xludf.DUMMYFUNCTION("""COMPUTED_VALUE"""),5.0)</f>
        <v>5</v>
      </c>
      <c r="G732" s="15" t="str">
        <f>IFERROR(__xludf.DUMMYFUNCTION("""COMPUTED_VALUE"""),"Completa")</f>
        <v>Completa</v>
      </c>
      <c r="H732" s="16" t="str">
        <f t="array" ref="H732">_xlfn.XLOOKUP(D732,Productos[ID_Producto],Productos[Nombre_Producto])</f>
        <v>Vino tinto</v>
      </c>
      <c r="I732" s="17">
        <f t="array" ref="I732">_xlfn.XLOOKUP(D732,Productos[ID_Producto],Productos[Precio_Unitario])</f>
        <v>13.54</v>
      </c>
      <c r="J732" s="17">
        <f t="shared" si="1"/>
        <v>27.08</v>
      </c>
      <c r="K732" s="16" t="str">
        <f t="array" ref="K732">_xlfn.XLOOKUP(C732,Clientes[ID_Cliente],Clientes[Provincia])</f>
        <v>Salta</v>
      </c>
      <c r="L732" s="16" t="str">
        <f t="array" ref="L732">CONCATENATE(_xlfn.XLOOKUP(C732,Clientes[ID_Cliente],Clientes[Provincia]),", Argentina")</f>
        <v>Salta, Argentina</v>
      </c>
      <c r="M732" s="20" t="str">
        <f t="array" ref="M732">_xlfn.XLOOKUP(F732,Metodos_De_Pago[ID_Metodo],Metodos_De_Pago[Metodo])</f>
        <v>Transferencia</v>
      </c>
      <c r="N732" s="20" t="str">
        <f t="shared" si="2"/>
        <v>2024 06</v>
      </c>
    </row>
    <row r="733" ht="22.5" customHeight="1">
      <c r="A733" s="12">
        <f>IFERROR(__xludf.DUMMYFUNCTION("""COMPUTED_VALUE"""),2411.0)</f>
        <v>2411</v>
      </c>
      <c r="B733" s="13">
        <f>IFERROR(__xludf.DUMMYFUNCTION("""COMPUTED_VALUE"""),45470.0)</f>
        <v>45470</v>
      </c>
      <c r="C733" s="12">
        <f>IFERROR(__xludf.DUMMYFUNCTION("""COMPUTED_VALUE"""),178.0)</f>
        <v>178</v>
      </c>
      <c r="D733" s="12">
        <f>IFERROR(__xludf.DUMMYFUNCTION("""COMPUTED_VALUE"""),24.0)</f>
        <v>24</v>
      </c>
      <c r="E733" s="12">
        <f>IFERROR(__xludf.DUMMYFUNCTION("""COMPUTED_VALUE"""),2.0)</f>
        <v>2</v>
      </c>
      <c r="F733" s="12">
        <f>IFERROR(__xludf.DUMMYFUNCTION("""COMPUTED_VALUE"""),5.0)</f>
        <v>5</v>
      </c>
      <c r="G733" s="15" t="str">
        <f>IFERROR(__xludf.DUMMYFUNCTION("""COMPUTED_VALUE"""),"Completa")</f>
        <v>Completa</v>
      </c>
      <c r="H733" s="16" t="str">
        <f t="array" ref="H733">_xlfn.XLOOKUP(D733,Productos[ID_Producto],Productos[Nombre_Producto])</f>
        <v>Empanadas</v>
      </c>
      <c r="I733" s="17">
        <f t="array" ref="I733">_xlfn.XLOOKUP(D733,Productos[ID_Producto],Productos[Precio_Unitario])</f>
        <v>13.54</v>
      </c>
      <c r="J733" s="17">
        <f t="shared" si="1"/>
        <v>27.08</v>
      </c>
      <c r="K733" s="16" t="str">
        <f t="array" ref="K733">_xlfn.XLOOKUP(C733,Clientes[ID_Cliente],Clientes[Provincia])</f>
        <v>Neuquén</v>
      </c>
      <c r="L733" s="16" t="str">
        <f t="array" ref="L733">CONCATENATE(_xlfn.XLOOKUP(C733,Clientes[ID_Cliente],Clientes[Provincia]),", Argentina")</f>
        <v>Neuquén, Argentina</v>
      </c>
      <c r="M733" s="20" t="str">
        <f t="array" ref="M733">_xlfn.XLOOKUP(F733,Metodos_De_Pago[ID_Metodo],Metodos_De_Pago[Metodo])</f>
        <v>Transferencia</v>
      </c>
      <c r="N733" s="20" t="str">
        <f t="shared" si="2"/>
        <v>2024 06</v>
      </c>
    </row>
    <row r="734" ht="22.5" customHeight="1">
      <c r="A734" s="12">
        <f>IFERROR(__xludf.DUMMYFUNCTION("""COMPUTED_VALUE"""),866.0)</f>
        <v>866</v>
      </c>
      <c r="B734" s="13">
        <f>IFERROR(__xludf.DUMMYFUNCTION("""COMPUTED_VALUE"""),45471.0)</f>
        <v>45471</v>
      </c>
      <c r="C734" s="12">
        <f>IFERROR(__xludf.DUMMYFUNCTION("""COMPUTED_VALUE"""),46.0)</f>
        <v>46</v>
      </c>
      <c r="D734" s="12">
        <f>IFERROR(__xludf.DUMMYFUNCTION("""COMPUTED_VALUE"""),33.0)</f>
        <v>33</v>
      </c>
      <c r="E734" s="12">
        <f>IFERROR(__xludf.DUMMYFUNCTION("""COMPUTED_VALUE"""),2.0)</f>
        <v>2</v>
      </c>
      <c r="F734" s="12">
        <f>IFERROR(__xludf.DUMMYFUNCTION("""COMPUTED_VALUE"""),5.0)</f>
        <v>5</v>
      </c>
      <c r="G734" s="15" t="str">
        <f>IFERROR(__xludf.DUMMYFUNCTION("""COMPUTED_VALUE"""),"Completa")</f>
        <v>Completa</v>
      </c>
      <c r="H734" s="16" t="str">
        <f t="array" ref="H734">_xlfn.XLOOKUP(D734,Productos[ID_Producto],Productos[Nombre_Producto])</f>
        <v>Papas chips</v>
      </c>
      <c r="I734" s="17">
        <f t="array" ref="I734">_xlfn.XLOOKUP(D734,Productos[ID_Producto],Productos[Precio_Unitario])</f>
        <v>8.54</v>
      </c>
      <c r="J734" s="17">
        <f t="shared" si="1"/>
        <v>17.08</v>
      </c>
      <c r="K734" s="16" t="str">
        <f t="array" ref="K734">_xlfn.XLOOKUP(C734,Clientes[ID_Cliente],Clientes[Provincia])</f>
        <v>Córdoba</v>
      </c>
      <c r="L734" s="16" t="str">
        <f t="array" ref="L734">CONCATENATE(_xlfn.XLOOKUP(C734,Clientes[ID_Cliente],Clientes[Provincia]),", Argentina")</f>
        <v>Córdoba, Argentina</v>
      </c>
      <c r="M734" s="20" t="str">
        <f t="array" ref="M734">_xlfn.XLOOKUP(F734,Metodos_De_Pago[ID_Metodo],Metodos_De_Pago[Metodo])</f>
        <v>Transferencia</v>
      </c>
      <c r="N734" s="20" t="str">
        <f t="shared" si="2"/>
        <v>2024 06</v>
      </c>
    </row>
    <row r="735" ht="22.5" customHeight="1">
      <c r="A735" s="12">
        <f>IFERROR(__xludf.DUMMYFUNCTION("""COMPUTED_VALUE"""),21.0)</f>
        <v>21</v>
      </c>
      <c r="B735" s="13">
        <f>IFERROR(__xludf.DUMMYFUNCTION("""COMPUTED_VALUE"""),45472.0)</f>
        <v>45472</v>
      </c>
      <c r="C735" s="12">
        <f>IFERROR(__xludf.DUMMYFUNCTION("""COMPUTED_VALUE"""),184.0)</f>
        <v>184</v>
      </c>
      <c r="D735" s="12">
        <f>IFERROR(__xludf.DUMMYFUNCTION("""COMPUTED_VALUE"""),27.0)</f>
        <v>27</v>
      </c>
      <c r="E735" s="12">
        <f>IFERROR(__xludf.DUMMYFUNCTION("""COMPUTED_VALUE"""),2.0)</f>
        <v>2</v>
      </c>
      <c r="F735" s="12">
        <f>IFERROR(__xludf.DUMMYFUNCTION("""COMPUTED_VALUE"""),1.0)</f>
        <v>1</v>
      </c>
      <c r="G735" s="15" t="str">
        <f>IFERROR(__xludf.DUMMYFUNCTION("""COMPUTED_VALUE"""),"Completa")</f>
        <v>Completa</v>
      </c>
      <c r="H735" s="16" t="str">
        <f t="array" ref="H735">_xlfn.XLOOKUP(D735,Productos[ID_Producto],Productos[Nombre_Producto])</f>
        <v>Agua mineral</v>
      </c>
      <c r="I735" s="17">
        <f t="array" ref="I735">_xlfn.XLOOKUP(D735,Productos[ID_Producto],Productos[Precio_Unitario])</f>
        <v>6.21</v>
      </c>
      <c r="J735" s="17">
        <f t="shared" si="1"/>
        <v>12.42</v>
      </c>
      <c r="K735" s="16" t="str">
        <f t="array" ref="K735">_xlfn.XLOOKUP(C735,Clientes[ID_Cliente],Clientes[Provincia])</f>
        <v>Buenos Aires</v>
      </c>
      <c r="L735" s="16" t="str">
        <f t="array" ref="L735">CONCATENATE(_xlfn.XLOOKUP(C735,Clientes[ID_Cliente],Clientes[Provincia]),", Argentina")</f>
        <v>Buenos Aires, Argentina</v>
      </c>
      <c r="M735" s="20" t="str">
        <f t="array" ref="M735">_xlfn.XLOOKUP(F735,Metodos_De_Pago[ID_Metodo],Metodos_De_Pago[Metodo])</f>
        <v>Efectivo</v>
      </c>
      <c r="N735" s="20" t="str">
        <f t="shared" si="2"/>
        <v>2024 06</v>
      </c>
    </row>
    <row r="736" ht="22.5" customHeight="1">
      <c r="A736" s="12">
        <f>IFERROR(__xludf.DUMMYFUNCTION("""COMPUTED_VALUE"""),1693.0)</f>
        <v>1693</v>
      </c>
      <c r="B736" s="13">
        <f>IFERROR(__xludf.DUMMYFUNCTION("""COMPUTED_VALUE"""),45472.0)</f>
        <v>45472</v>
      </c>
      <c r="C736" s="12">
        <f>IFERROR(__xludf.DUMMYFUNCTION("""COMPUTED_VALUE"""),68.0)</f>
        <v>68</v>
      </c>
      <c r="D736" s="12">
        <f>IFERROR(__xludf.DUMMYFUNCTION("""COMPUTED_VALUE"""),6.0)</f>
        <v>6</v>
      </c>
      <c r="E736" s="12">
        <f>IFERROR(__xludf.DUMMYFUNCTION("""COMPUTED_VALUE"""),2.0)</f>
        <v>2</v>
      </c>
      <c r="F736" s="12">
        <f>IFERROR(__xludf.DUMMYFUNCTION("""COMPUTED_VALUE"""),4.0)</f>
        <v>4</v>
      </c>
      <c r="G736" s="15" t="str">
        <f>IFERROR(__xludf.DUMMYFUNCTION("""COMPUTED_VALUE"""),"Completa")</f>
        <v>Completa</v>
      </c>
      <c r="H736" s="16" t="str">
        <f t="array" ref="H736">_xlfn.XLOOKUP(D736,Productos[ID_Producto],Productos[Nombre_Producto])</f>
        <v>Asado</v>
      </c>
      <c r="I736" s="17">
        <f t="array" ref="I736">_xlfn.XLOOKUP(D736,Productos[ID_Producto],Productos[Precio_Unitario])</f>
        <v>28.56</v>
      </c>
      <c r="J736" s="17">
        <f t="shared" si="1"/>
        <v>57.12</v>
      </c>
      <c r="K736" s="16" t="str">
        <f t="array" ref="K736">_xlfn.XLOOKUP(C736,Clientes[ID_Cliente],Clientes[Provincia])</f>
        <v>Neuquén</v>
      </c>
      <c r="L736" s="16" t="str">
        <f t="array" ref="L736">CONCATENATE(_xlfn.XLOOKUP(C736,Clientes[ID_Cliente],Clientes[Provincia]),", Argentina")</f>
        <v>Neuquén, Argentina</v>
      </c>
      <c r="M736" s="20" t="str">
        <f t="array" ref="M736">_xlfn.XLOOKUP(F736,Metodos_De_Pago[ID_Metodo],Metodos_De_Pago[Metodo])</f>
        <v>Mercado Pago</v>
      </c>
      <c r="N736" s="20" t="str">
        <f t="shared" si="2"/>
        <v>2024 06</v>
      </c>
    </row>
    <row r="737" ht="22.5" customHeight="1">
      <c r="A737" s="12">
        <f>IFERROR(__xludf.DUMMYFUNCTION("""COMPUTED_VALUE"""),2399.0)</f>
        <v>2399</v>
      </c>
      <c r="B737" s="13">
        <f>IFERROR(__xludf.DUMMYFUNCTION("""COMPUTED_VALUE"""),45472.0)</f>
        <v>45472</v>
      </c>
      <c r="C737" s="12">
        <f>IFERROR(__xludf.DUMMYFUNCTION("""COMPUTED_VALUE"""),73.0)</f>
        <v>73</v>
      </c>
      <c r="D737" s="12">
        <f>IFERROR(__xludf.DUMMYFUNCTION("""COMPUTED_VALUE"""),37.0)</f>
        <v>37</v>
      </c>
      <c r="E737" s="12">
        <f>IFERROR(__xludf.DUMMYFUNCTION("""COMPUTED_VALUE"""),2.0)</f>
        <v>2</v>
      </c>
      <c r="F737" s="12">
        <f>IFERROR(__xludf.DUMMYFUNCTION("""COMPUTED_VALUE"""),1.0)</f>
        <v>1</v>
      </c>
      <c r="G737" s="15" t="str">
        <f>IFERROR(__xludf.DUMMYFUNCTION("""COMPUTED_VALUE"""),"Pendiente")</f>
        <v>Pendiente</v>
      </c>
      <c r="H737" s="16" t="str">
        <f t="array" ref="H737">_xlfn.XLOOKUP(D737,Productos[ID_Producto],Productos[Nombre_Producto])</f>
        <v>Garbanzos</v>
      </c>
      <c r="I737" s="17">
        <f t="array" ref="I737">_xlfn.XLOOKUP(D737,Productos[ID_Producto],Productos[Precio_Unitario])</f>
        <v>3.65</v>
      </c>
      <c r="J737" s="17">
        <f t="shared" si="1"/>
        <v>7.3</v>
      </c>
      <c r="K737" s="16" t="str">
        <f t="array" ref="K737">_xlfn.XLOOKUP(C737,Clientes[ID_Cliente],Clientes[Provincia])</f>
        <v>Córdoba</v>
      </c>
      <c r="L737" s="16" t="str">
        <f t="array" ref="L737">CONCATENATE(_xlfn.XLOOKUP(C737,Clientes[ID_Cliente],Clientes[Provincia]),", Argentina")</f>
        <v>Córdoba, Argentina</v>
      </c>
      <c r="M737" s="20" t="str">
        <f t="array" ref="M737">_xlfn.XLOOKUP(F737,Metodos_De_Pago[ID_Metodo],Metodos_De_Pago[Metodo])</f>
        <v>Efectivo</v>
      </c>
      <c r="N737" s="20" t="str">
        <f t="shared" si="2"/>
        <v>2024 06</v>
      </c>
    </row>
    <row r="738" ht="22.5" customHeight="1">
      <c r="A738" s="12">
        <f>IFERROR(__xludf.DUMMYFUNCTION("""COMPUTED_VALUE"""),2721.0)</f>
        <v>2721</v>
      </c>
      <c r="B738" s="13">
        <f>IFERROR(__xludf.DUMMYFUNCTION("""COMPUTED_VALUE"""),45472.0)</f>
        <v>45472</v>
      </c>
      <c r="C738" s="12">
        <f>IFERROR(__xludf.DUMMYFUNCTION("""COMPUTED_VALUE"""),29.0)</f>
        <v>29</v>
      </c>
      <c r="D738" s="12">
        <f>IFERROR(__xludf.DUMMYFUNCTION("""COMPUTED_VALUE"""),20.0)</f>
        <v>20</v>
      </c>
      <c r="E738" s="12">
        <f>IFERROR(__xludf.DUMMYFUNCTION("""COMPUTED_VALUE"""),2.0)</f>
        <v>2</v>
      </c>
      <c r="F738" s="12">
        <f>IFERROR(__xludf.DUMMYFUNCTION("""COMPUTED_VALUE"""),4.0)</f>
        <v>4</v>
      </c>
      <c r="G738" s="15" t="str">
        <f>IFERROR(__xludf.DUMMYFUNCTION("""COMPUTED_VALUE"""),"Completa")</f>
        <v>Completa</v>
      </c>
      <c r="H738" s="16" t="str">
        <f t="array" ref="H738">_xlfn.XLOOKUP(D738,Productos[ID_Producto],Productos[Nombre_Producto])</f>
        <v>Lechugas</v>
      </c>
      <c r="I738" s="17">
        <f t="array" ref="I738">_xlfn.XLOOKUP(D738,Productos[ID_Producto],Productos[Precio_Unitario])</f>
        <v>4.25</v>
      </c>
      <c r="J738" s="17">
        <f t="shared" si="1"/>
        <v>8.5</v>
      </c>
      <c r="K738" s="16" t="str">
        <f t="array" ref="K738">_xlfn.XLOOKUP(C738,Clientes[ID_Cliente],Clientes[Provincia])</f>
        <v>Chaco</v>
      </c>
      <c r="L738" s="16" t="str">
        <f t="array" ref="L738">CONCATENATE(_xlfn.XLOOKUP(C738,Clientes[ID_Cliente],Clientes[Provincia]),", Argentina")</f>
        <v>Chaco, Argentina</v>
      </c>
      <c r="M738" s="20" t="str">
        <f t="array" ref="M738">_xlfn.XLOOKUP(F738,Metodos_De_Pago[ID_Metodo],Metodos_De_Pago[Metodo])</f>
        <v>Mercado Pago</v>
      </c>
      <c r="N738" s="20" t="str">
        <f t="shared" si="2"/>
        <v>2024 06</v>
      </c>
    </row>
    <row r="739" ht="22.5" customHeight="1">
      <c r="A739" s="12">
        <f>IFERROR(__xludf.DUMMYFUNCTION("""COMPUTED_VALUE"""),1260.0)</f>
        <v>1260</v>
      </c>
      <c r="B739" s="13">
        <f>IFERROR(__xludf.DUMMYFUNCTION("""COMPUTED_VALUE"""),45473.0)</f>
        <v>45473</v>
      </c>
      <c r="C739" s="12">
        <f>IFERROR(__xludf.DUMMYFUNCTION("""COMPUTED_VALUE"""),115.0)</f>
        <v>115</v>
      </c>
      <c r="D739" s="12">
        <f>IFERROR(__xludf.DUMMYFUNCTION("""COMPUTED_VALUE"""),25.0)</f>
        <v>25</v>
      </c>
      <c r="E739" s="12">
        <f>IFERROR(__xludf.DUMMYFUNCTION("""COMPUTED_VALUE"""),2.0)</f>
        <v>2</v>
      </c>
      <c r="F739" s="12">
        <f>IFERROR(__xludf.DUMMYFUNCTION("""COMPUTED_VALUE"""),4.0)</f>
        <v>4</v>
      </c>
      <c r="G739" s="15" t="str">
        <f>IFERROR(__xludf.DUMMYFUNCTION("""COMPUTED_VALUE"""),"Completa")</f>
        <v>Completa</v>
      </c>
      <c r="H739" s="16" t="str">
        <f t="array" ref="H739">_xlfn.XLOOKUP(D739,Productos[ID_Producto],Productos[Nombre_Producto])</f>
        <v>Pizza congelada</v>
      </c>
      <c r="I739" s="17">
        <f t="array" ref="I739">_xlfn.XLOOKUP(D739,Productos[ID_Producto],Productos[Precio_Unitario])</f>
        <v>15.45</v>
      </c>
      <c r="J739" s="17">
        <f t="shared" si="1"/>
        <v>30.9</v>
      </c>
      <c r="K739" s="16" t="str">
        <f t="array" ref="K739">_xlfn.XLOOKUP(C739,Clientes[ID_Cliente],Clientes[Provincia])</f>
        <v>San Luis</v>
      </c>
      <c r="L739" s="16" t="str">
        <f t="array" ref="L739">CONCATENATE(_xlfn.XLOOKUP(C739,Clientes[ID_Cliente],Clientes[Provincia]),", Argentina")</f>
        <v>San Luis, Argentina</v>
      </c>
      <c r="M739" s="20" t="str">
        <f t="array" ref="M739">_xlfn.XLOOKUP(F739,Metodos_De_Pago[ID_Metodo],Metodos_De_Pago[Metodo])</f>
        <v>Mercado Pago</v>
      </c>
      <c r="N739" s="20" t="str">
        <f t="shared" si="2"/>
        <v>2024 06</v>
      </c>
    </row>
    <row r="740" ht="22.5" customHeight="1">
      <c r="A740" s="12">
        <f>IFERROR(__xludf.DUMMYFUNCTION("""COMPUTED_VALUE"""),804.0)</f>
        <v>804</v>
      </c>
      <c r="B740" s="13">
        <f>IFERROR(__xludf.DUMMYFUNCTION("""COMPUTED_VALUE"""),45474.0)</f>
        <v>45474</v>
      </c>
      <c r="C740" s="12">
        <f>IFERROR(__xludf.DUMMYFUNCTION("""COMPUTED_VALUE"""),154.0)</f>
        <v>154</v>
      </c>
      <c r="D740" s="12">
        <f>IFERROR(__xludf.DUMMYFUNCTION("""COMPUTED_VALUE"""),10.0)</f>
        <v>10</v>
      </c>
      <c r="E740" s="12">
        <f>IFERROR(__xludf.DUMMYFUNCTION("""COMPUTED_VALUE"""),2.0)</f>
        <v>2</v>
      </c>
      <c r="F740" s="12">
        <f>IFERROR(__xludf.DUMMYFUNCTION("""COMPUTED_VALUE"""),5.0)</f>
        <v>5</v>
      </c>
      <c r="G740" s="15" t="str">
        <f>IFERROR(__xludf.DUMMYFUNCTION("""COMPUTED_VALUE"""),"Pendiente")</f>
        <v>Pendiente</v>
      </c>
      <c r="H740" s="16" t="str">
        <f t="array" ref="H740">_xlfn.XLOOKUP(D740,Productos[ID_Producto],Productos[Nombre_Producto])</f>
        <v>Costilla de cerdo</v>
      </c>
      <c r="I740" s="17">
        <f t="array" ref="I740">_xlfn.XLOOKUP(D740,Productos[ID_Producto],Productos[Precio_Unitario])</f>
        <v>14.25</v>
      </c>
      <c r="J740" s="17">
        <f t="shared" si="1"/>
        <v>28.5</v>
      </c>
      <c r="K740" s="16" t="str">
        <f t="array" ref="K740">_xlfn.XLOOKUP(C740,Clientes[ID_Cliente],Clientes[Provincia])</f>
        <v>Neuquén</v>
      </c>
      <c r="L740" s="16" t="str">
        <f t="array" ref="L740">CONCATENATE(_xlfn.XLOOKUP(C740,Clientes[ID_Cliente],Clientes[Provincia]),", Argentina")</f>
        <v>Neuquén, Argentina</v>
      </c>
      <c r="M740" s="20" t="str">
        <f t="array" ref="M740">_xlfn.XLOOKUP(F740,Metodos_De_Pago[ID_Metodo],Metodos_De_Pago[Metodo])</f>
        <v>Transferencia</v>
      </c>
      <c r="N740" s="20" t="str">
        <f t="shared" si="2"/>
        <v>2024 07</v>
      </c>
    </row>
    <row r="741" ht="22.5" customHeight="1">
      <c r="A741" s="12">
        <f>IFERROR(__xludf.DUMMYFUNCTION("""COMPUTED_VALUE"""),1159.0)</f>
        <v>1159</v>
      </c>
      <c r="B741" s="13">
        <f>IFERROR(__xludf.DUMMYFUNCTION("""COMPUTED_VALUE"""),45474.0)</f>
        <v>45474</v>
      </c>
      <c r="C741" s="12">
        <f>IFERROR(__xludf.DUMMYFUNCTION("""COMPUTED_VALUE"""),233.0)</f>
        <v>233</v>
      </c>
      <c r="D741" s="12">
        <f>IFERROR(__xludf.DUMMYFUNCTION("""COMPUTED_VALUE"""),21.0)</f>
        <v>21</v>
      </c>
      <c r="E741" s="12">
        <f>IFERROR(__xludf.DUMMYFUNCTION("""COMPUTED_VALUE"""),2.0)</f>
        <v>2</v>
      </c>
      <c r="F741" s="12">
        <f>IFERROR(__xludf.DUMMYFUNCTION("""COMPUTED_VALUE"""),1.0)</f>
        <v>1</v>
      </c>
      <c r="G741" s="15" t="str">
        <f>IFERROR(__xludf.DUMMYFUNCTION("""COMPUTED_VALUE"""),"Completa")</f>
        <v>Completa</v>
      </c>
      <c r="H741" s="16" t="str">
        <f t="array" ref="H741">_xlfn.XLOOKUP(D741,Productos[ID_Producto],Productos[Nombre_Producto])</f>
        <v>Zanahorias</v>
      </c>
      <c r="I741" s="17">
        <f t="array" ref="I741">_xlfn.XLOOKUP(D741,Productos[ID_Producto],Productos[Precio_Unitario])</f>
        <v>3.25</v>
      </c>
      <c r="J741" s="17">
        <f t="shared" si="1"/>
        <v>6.5</v>
      </c>
      <c r="K741" s="16" t="str">
        <f t="array" ref="K741">_xlfn.XLOOKUP(C741,Clientes[ID_Cliente],Clientes[Provincia])</f>
        <v>Córdoba</v>
      </c>
      <c r="L741" s="16" t="str">
        <f t="array" ref="L741">CONCATENATE(_xlfn.XLOOKUP(C741,Clientes[ID_Cliente],Clientes[Provincia]),", Argentina")</f>
        <v>Córdoba, Argentina</v>
      </c>
      <c r="M741" s="20" t="str">
        <f t="array" ref="M741">_xlfn.XLOOKUP(F741,Metodos_De_Pago[ID_Metodo],Metodos_De_Pago[Metodo])</f>
        <v>Efectivo</v>
      </c>
      <c r="N741" s="20" t="str">
        <f t="shared" si="2"/>
        <v>2024 07</v>
      </c>
    </row>
    <row r="742" ht="22.5" customHeight="1">
      <c r="A742" s="12">
        <f>IFERROR(__xludf.DUMMYFUNCTION("""COMPUTED_VALUE"""),306.0)</f>
        <v>306</v>
      </c>
      <c r="B742" s="13">
        <f>IFERROR(__xludf.DUMMYFUNCTION("""COMPUTED_VALUE"""),45475.0)</f>
        <v>45475</v>
      </c>
      <c r="C742" s="12">
        <f>IFERROR(__xludf.DUMMYFUNCTION("""COMPUTED_VALUE"""),14.0)</f>
        <v>14</v>
      </c>
      <c r="D742" s="12">
        <f>IFERROR(__xludf.DUMMYFUNCTION("""COMPUTED_VALUE"""),38.0)</f>
        <v>38</v>
      </c>
      <c r="E742" s="12">
        <f>IFERROR(__xludf.DUMMYFUNCTION("""COMPUTED_VALUE"""),2.0)</f>
        <v>2</v>
      </c>
      <c r="F742" s="12">
        <f>IFERROR(__xludf.DUMMYFUNCTION("""COMPUTED_VALUE"""),5.0)</f>
        <v>5</v>
      </c>
      <c r="G742" s="15" t="str">
        <f>IFERROR(__xludf.DUMMYFUNCTION("""COMPUTED_VALUE"""),"Completa")</f>
        <v>Completa</v>
      </c>
      <c r="H742" s="16" t="str">
        <f t="array" ref="H742">_xlfn.XLOOKUP(D742,Productos[ID_Producto],Productos[Nombre_Producto])</f>
        <v>Atún enlatado</v>
      </c>
      <c r="I742" s="17">
        <f t="array" ref="I742">_xlfn.XLOOKUP(D742,Productos[ID_Producto],Productos[Precio_Unitario])</f>
        <v>6.21</v>
      </c>
      <c r="J742" s="17">
        <f t="shared" si="1"/>
        <v>12.42</v>
      </c>
      <c r="K742" s="16" t="str">
        <f t="array" ref="K742">_xlfn.XLOOKUP(C742,Clientes[ID_Cliente],Clientes[Provincia])</f>
        <v>Buenos Aires</v>
      </c>
      <c r="L742" s="16" t="str">
        <f t="array" ref="L742">CONCATENATE(_xlfn.XLOOKUP(C742,Clientes[ID_Cliente],Clientes[Provincia]),", Argentina")</f>
        <v>Buenos Aires, Argentina</v>
      </c>
      <c r="M742" s="20" t="str">
        <f t="array" ref="M742">_xlfn.XLOOKUP(F742,Metodos_De_Pago[ID_Metodo],Metodos_De_Pago[Metodo])</f>
        <v>Transferencia</v>
      </c>
      <c r="N742" s="20" t="str">
        <f t="shared" si="2"/>
        <v>2024 07</v>
      </c>
    </row>
    <row r="743" ht="22.5" customHeight="1">
      <c r="A743" s="12">
        <f>IFERROR(__xludf.DUMMYFUNCTION("""COMPUTED_VALUE"""),1897.0)</f>
        <v>1897</v>
      </c>
      <c r="B743" s="13">
        <f>IFERROR(__xludf.DUMMYFUNCTION("""COMPUTED_VALUE"""),45475.0)</f>
        <v>45475</v>
      </c>
      <c r="C743" s="12">
        <f>IFERROR(__xludf.DUMMYFUNCTION("""COMPUTED_VALUE"""),57.0)</f>
        <v>57</v>
      </c>
      <c r="D743" s="12">
        <f>IFERROR(__xludf.DUMMYFUNCTION("""COMPUTED_VALUE"""),37.0)</f>
        <v>37</v>
      </c>
      <c r="E743" s="12">
        <f>IFERROR(__xludf.DUMMYFUNCTION("""COMPUTED_VALUE"""),2.0)</f>
        <v>2</v>
      </c>
      <c r="F743" s="12">
        <f>IFERROR(__xludf.DUMMYFUNCTION("""COMPUTED_VALUE"""),4.0)</f>
        <v>4</v>
      </c>
      <c r="G743" s="15" t="str">
        <f>IFERROR(__xludf.DUMMYFUNCTION("""COMPUTED_VALUE"""),"Pendiente")</f>
        <v>Pendiente</v>
      </c>
      <c r="H743" s="16" t="str">
        <f t="array" ref="H743">_xlfn.XLOOKUP(D743,Productos[ID_Producto],Productos[Nombre_Producto])</f>
        <v>Garbanzos</v>
      </c>
      <c r="I743" s="17">
        <f t="array" ref="I743">_xlfn.XLOOKUP(D743,Productos[ID_Producto],Productos[Precio_Unitario])</f>
        <v>3.65</v>
      </c>
      <c r="J743" s="17">
        <f t="shared" si="1"/>
        <v>7.3</v>
      </c>
      <c r="K743" s="16" t="str">
        <f t="array" ref="K743">_xlfn.XLOOKUP(C743,Clientes[ID_Cliente],Clientes[Provincia])</f>
        <v>Córdoba</v>
      </c>
      <c r="L743" s="16" t="str">
        <f t="array" ref="L743">CONCATENATE(_xlfn.XLOOKUP(C743,Clientes[ID_Cliente],Clientes[Provincia]),", Argentina")</f>
        <v>Córdoba, Argentina</v>
      </c>
      <c r="M743" s="20" t="str">
        <f t="array" ref="M743">_xlfn.XLOOKUP(F743,Metodos_De_Pago[ID_Metodo],Metodos_De_Pago[Metodo])</f>
        <v>Mercado Pago</v>
      </c>
      <c r="N743" s="20" t="str">
        <f t="shared" si="2"/>
        <v>2024 07</v>
      </c>
    </row>
    <row r="744" ht="22.5" customHeight="1">
      <c r="A744" s="12">
        <f>IFERROR(__xludf.DUMMYFUNCTION("""COMPUTED_VALUE"""),2194.0)</f>
        <v>2194</v>
      </c>
      <c r="B744" s="13">
        <f>IFERROR(__xludf.DUMMYFUNCTION("""COMPUTED_VALUE"""),45475.0)</f>
        <v>45475</v>
      </c>
      <c r="C744" s="12">
        <f>IFERROR(__xludf.DUMMYFUNCTION("""COMPUTED_VALUE"""),157.0)</f>
        <v>157</v>
      </c>
      <c r="D744" s="12">
        <f>IFERROR(__xludf.DUMMYFUNCTION("""COMPUTED_VALUE"""),8.0)</f>
        <v>8</v>
      </c>
      <c r="E744" s="12">
        <f>IFERROR(__xludf.DUMMYFUNCTION("""COMPUTED_VALUE"""),2.0)</f>
        <v>2</v>
      </c>
      <c r="F744" s="12">
        <f>IFERROR(__xludf.DUMMYFUNCTION("""COMPUTED_VALUE"""),1.0)</f>
        <v>1</v>
      </c>
      <c r="G744" s="15" t="str">
        <f>IFERROR(__xludf.DUMMYFUNCTION("""COMPUTED_VALUE"""),"Completa")</f>
        <v>Completa</v>
      </c>
      <c r="H744" s="16" t="str">
        <f t="array" ref="H744">_xlfn.XLOOKUP(D744,Productos[ID_Producto],Productos[Nombre_Producto])</f>
        <v>Milanesa</v>
      </c>
      <c r="I744" s="17">
        <f t="array" ref="I744">_xlfn.XLOOKUP(D744,Productos[ID_Producto],Productos[Precio_Unitario])</f>
        <v>16.21</v>
      </c>
      <c r="J744" s="17">
        <f t="shared" si="1"/>
        <v>32.42</v>
      </c>
      <c r="K744" s="16" t="str">
        <f t="array" ref="K744">_xlfn.XLOOKUP(C744,Clientes[ID_Cliente],Clientes[Provincia])</f>
        <v>Neuquén</v>
      </c>
      <c r="L744" s="16" t="str">
        <f t="array" ref="L744">CONCATENATE(_xlfn.XLOOKUP(C744,Clientes[ID_Cliente],Clientes[Provincia]),", Argentina")</f>
        <v>Neuquén, Argentina</v>
      </c>
      <c r="M744" s="20" t="str">
        <f t="array" ref="M744">_xlfn.XLOOKUP(F744,Metodos_De_Pago[ID_Metodo],Metodos_De_Pago[Metodo])</f>
        <v>Efectivo</v>
      </c>
      <c r="N744" s="20" t="str">
        <f t="shared" si="2"/>
        <v>2024 07</v>
      </c>
    </row>
    <row r="745" ht="22.5" customHeight="1">
      <c r="A745" s="12">
        <f>IFERROR(__xludf.DUMMYFUNCTION("""COMPUTED_VALUE"""),528.0)</f>
        <v>528</v>
      </c>
      <c r="B745" s="13">
        <f>IFERROR(__xludf.DUMMYFUNCTION("""COMPUTED_VALUE"""),45476.0)</f>
        <v>45476</v>
      </c>
      <c r="C745" s="12">
        <f>IFERROR(__xludf.DUMMYFUNCTION("""COMPUTED_VALUE"""),93.0)</f>
        <v>93</v>
      </c>
      <c r="D745" s="12">
        <f>IFERROR(__xludf.DUMMYFUNCTION("""COMPUTED_VALUE"""),37.0)</f>
        <v>37</v>
      </c>
      <c r="E745" s="12">
        <f>IFERROR(__xludf.DUMMYFUNCTION("""COMPUTED_VALUE"""),2.0)</f>
        <v>2</v>
      </c>
      <c r="F745" s="12">
        <f>IFERROR(__xludf.DUMMYFUNCTION("""COMPUTED_VALUE"""),3.0)</f>
        <v>3</v>
      </c>
      <c r="G745" s="15" t="str">
        <f>IFERROR(__xludf.DUMMYFUNCTION("""COMPUTED_VALUE"""),"Completa")</f>
        <v>Completa</v>
      </c>
      <c r="H745" s="16" t="str">
        <f t="array" ref="H745">_xlfn.XLOOKUP(D745,Productos[ID_Producto],Productos[Nombre_Producto])</f>
        <v>Garbanzos</v>
      </c>
      <c r="I745" s="17">
        <f t="array" ref="I745">_xlfn.XLOOKUP(D745,Productos[ID_Producto],Productos[Precio_Unitario])</f>
        <v>3.65</v>
      </c>
      <c r="J745" s="17">
        <f t="shared" si="1"/>
        <v>7.3</v>
      </c>
      <c r="K745" s="16" t="str">
        <f t="array" ref="K745">_xlfn.XLOOKUP(C745,Clientes[ID_Cliente],Clientes[Provincia])</f>
        <v>Buenos Aires</v>
      </c>
      <c r="L745" s="16" t="str">
        <f t="array" ref="L745">CONCATENATE(_xlfn.XLOOKUP(C745,Clientes[ID_Cliente],Clientes[Provincia]),", Argentina")</f>
        <v>Buenos Aires, Argentina</v>
      </c>
      <c r="M745" s="20" t="str">
        <f t="array" ref="M745">_xlfn.XLOOKUP(F745,Metodos_De_Pago[ID_Metodo],Metodos_De_Pago[Metodo])</f>
        <v>Tarjeta de Débito</v>
      </c>
      <c r="N745" s="20" t="str">
        <f t="shared" si="2"/>
        <v>2024 07</v>
      </c>
    </row>
    <row r="746" ht="22.5" customHeight="1">
      <c r="A746" s="12">
        <f>IFERROR(__xludf.DUMMYFUNCTION("""COMPUTED_VALUE"""),883.0)</f>
        <v>883</v>
      </c>
      <c r="B746" s="13">
        <f>IFERROR(__xludf.DUMMYFUNCTION("""COMPUTED_VALUE"""),45477.0)</f>
        <v>45477</v>
      </c>
      <c r="C746" s="12">
        <f>IFERROR(__xludf.DUMMYFUNCTION("""COMPUTED_VALUE"""),222.0)</f>
        <v>222</v>
      </c>
      <c r="D746" s="12">
        <f>IFERROR(__xludf.DUMMYFUNCTION("""COMPUTED_VALUE"""),2.0)</f>
        <v>2</v>
      </c>
      <c r="E746" s="12">
        <f>IFERROR(__xludf.DUMMYFUNCTION("""COMPUTED_VALUE"""),2.0)</f>
        <v>2</v>
      </c>
      <c r="F746" s="12">
        <f>IFERROR(__xludf.DUMMYFUNCTION("""COMPUTED_VALUE"""),5.0)</f>
        <v>5</v>
      </c>
      <c r="G746" s="15" t="str">
        <f>IFERROR(__xludf.DUMMYFUNCTION("""COMPUTED_VALUE"""),"Completa")</f>
        <v>Completa</v>
      </c>
      <c r="H746" s="16" t="str">
        <f t="array" ref="H746">_xlfn.XLOOKUP(D746,Productos[ID_Producto],Productos[Nombre_Producto])</f>
        <v>Yogur</v>
      </c>
      <c r="I746" s="17">
        <f t="array" ref="I746">_xlfn.XLOOKUP(D746,Productos[ID_Producto],Productos[Precio_Unitario])</f>
        <v>5.21</v>
      </c>
      <c r="J746" s="17">
        <f t="shared" si="1"/>
        <v>10.42</v>
      </c>
      <c r="K746" s="16" t="str">
        <f t="array" ref="K746">_xlfn.XLOOKUP(C746,Clientes[ID_Cliente],Clientes[Provincia])</f>
        <v>Córdoba</v>
      </c>
      <c r="L746" s="16" t="str">
        <f t="array" ref="L746">CONCATENATE(_xlfn.XLOOKUP(C746,Clientes[ID_Cliente],Clientes[Provincia]),", Argentina")</f>
        <v>Córdoba, Argentina</v>
      </c>
      <c r="M746" s="20" t="str">
        <f t="array" ref="M746">_xlfn.XLOOKUP(F746,Metodos_De_Pago[ID_Metodo],Metodos_De_Pago[Metodo])</f>
        <v>Transferencia</v>
      </c>
      <c r="N746" s="20" t="str">
        <f t="shared" si="2"/>
        <v>2024 07</v>
      </c>
    </row>
    <row r="747" ht="22.5" customHeight="1">
      <c r="A747" s="12">
        <f>IFERROR(__xludf.DUMMYFUNCTION("""COMPUTED_VALUE"""),1036.0)</f>
        <v>1036</v>
      </c>
      <c r="B747" s="13">
        <f>IFERROR(__xludf.DUMMYFUNCTION("""COMPUTED_VALUE"""),45477.0)</f>
        <v>45477</v>
      </c>
      <c r="C747" s="12">
        <f>IFERROR(__xludf.DUMMYFUNCTION("""COMPUTED_VALUE"""),230.0)</f>
        <v>230</v>
      </c>
      <c r="D747" s="12">
        <f>IFERROR(__xludf.DUMMYFUNCTION("""COMPUTED_VALUE"""),30.0)</f>
        <v>30</v>
      </c>
      <c r="E747" s="12">
        <f>IFERROR(__xludf.DUMMYFUNCTION("""COMPUTED_VALUE"""),2.0)</f>
        <v>2</v>
      </c>
      <c r="F747" s="12">
        <f>IFERROR(__xludf.DUMMYFUNCTION("""COMPUTED_VALUE"""),5.0)</f>
        <v>5</v>
      </c>
      <c r="G747" s="15" t="str">
        <f>IFERROR(__xludf.DUMMYFUNCTION("""COMPUTED_VALUE"""),"Completa")</f>
        <v>Completa</v>
      </c>
      <c r="H747" s="16" t="str">
        <f t="array" ref="H747">_xlfn.XLOOKUP(D747,Productos[ID_Producto],Productos[Nombre_Producto])</f>
        <v>Vino tinto</v>
      </c>
      <c r="I747" s="17">
        <f t="array" ref="I747">_xlfn.XLOOKUP(D747,Productos[ID_Producto],Productos[Precio_Unitario])</f>
        <v>13.54</v>
      </c>
      <c r="J747" s="17">
        <f t="shared" si="1"/>
        <v>27.08</v>
      </c>
      <c r="K747" s="16" t="str">
        <f t="array" ref="K747">_xlfn.XLOOKUP(C747,Clientes[ID_Cliente],Clientes[Provincia])</f>
        <v>Córdoba</v>
      </c>
      <c r="L747" s="16" t="str">
        <f t="array" ref="L747">CONCATENATE(_xlfn.XLOOKUP(C747,Clientes[ID_Cliente],Clientes[Provincia]),", Argentina")</f>
        <v>Córdoba, Argentina</v>
      </c>
      <c r="M747" s="20" t="str">
        <f t="array" ref="M747">_xlfn.XLOOKUP(F747,Metodos_De_Pago[ID_Metodo],Metodos_De_Pago[Metodo])</f>
        <v>Transferencia</v>
      </c>
      <c r="N747" s="20" t="str">
        <f t="shared" si="2"/>
        <v>2024 07</v>
      </c>
    </row>
    <row r="748" ht="22.5" customHeight="1">
      <c r="A748" s="12">
        <f>IFERROR(__xludf.DUMMYFUNCTION("""COMPUTED_VALUE"""),67.0)</f>
        <v>67</v>
      </c>
      <c r="B748" s="13">
        <f>IFERROR(__xludf.DUMMYFUNCTION("""COMPUTED_VALUE"""),45479.0)</f>
        <v>45479</v>
      </c>
      <c r="C748" s="12">
        <f>IFERROR(__xludf.DUMMYFUNCTION("""COMPUTED_VALUE"""),120.0)</f>
        <v>120</v>
      </c>
      <c r="D748" s="12">
        <f>IFERROR(__xludf.DUMMYFUNCTION("""COMPUTED_VALUE"""),18.0)</f>
        <v>18</v>
      </c>
      <c r="E748" s="12">
        <f>IFERROR(__xludf.DUMMYFUNCTION("""COMPUTED_VALUE"""),2.0)</f>
        <v>2</v>
      </c>
      <c r="F748" s="12">
        <f>IFERROR(__xludf.DUMMYFUNCTION("""COMPUTED_VALUE"""),5.0)</f>
        <v>5</v>
      </c>
      <c r="G748" s="15" t="str">
        <f>IFERROR(__xludf.DUMMYFUNCTION("""COMPUTED_VALUE"""),"Completa")</f>
        <v>Completa</v>
      </c>
      <c r="H748" s="16" t="str">
        <f t="array" ref="H748">_xlfn.XLOOKUP(D748,Productos[ID_Producto],Productos[Nombre_Producto])</f>
        <v>Bananas</v>
      </c>
      <c r="I748" s="17">
        <f t="array" ref="I748">_xlfn.XLOOKUP(D748,Productos[ID_Producto],Productos[Precio_Unitario])</f>
        <v>7.25</v>
      </c>
      <c r="J748" s="17">
        <f t="shared" si="1"/>
        <v>14.5</v>
      </c>
      <c r="K748" s="16" t="str">
        <f t="array" ref="K748">_xlfn.XLOOKUP(C748,Clientes[ID_Cliente],Clientes[Provincia])</f>
        <v>Buenos Aires</v>
      </c>
      <c r="L748" s="16" t="str">
        <f t="array" ref="L748">CONCATENATE(_xlfn.XLOOKUP(C748,Clientes[ID_Cliente],Clientes[Provincia]),", Argentina")</f>
        <v>Buenos Aires, Argentina</v>
      </c>
      <c r="M748" s="20" t="str">
        <f t="array" ref="M748">_xlfn.XLOOKUP(F748,Metodos_De_Pago[ID_Metodo],Metodos_De_Pago[Metodo])</f>
        <v>Transferencia</v>
      </c>
      <c r="N748" s="20" t="str">
        <f t="shared" si="2"/>
        <v>2024 07</v>
      </c>
    </row>
    <row r="749" ht="22.5" customHeight="1">
      <c r="A749" s="12">
        <f>IFERROR(__xludf.DUMMYFUNCTION("""COMPUTED_VALUE"""),960.0)</f>
        <v>960</v>
      </c>
      <c r="B749" s="13">
        <f>IFERROR(__xludf.DUMMYFUNCTION("""COMPUTED_VALUE"""),45479.0)</f>
        <v>45479</v>
      </c>
      <c r="C749" s="12">
        <f>IFERROR(__xludf.DUMMYFUNCTION("""COMPUTED_VALUE"""),200.0)</f>
        <v>200</v>
      </c>
      <c r="D749" s="12">
        <f>IFERROR(__xludf.DUMMYFUNCTION("""COMPUTED_VALUE"""),4.0)</f>
        <v>4</v>
      </c>
      <c r="E749" s="12">
        <f>IFERROR(__xludf.DUMMYFUNCTION("""COMPUTED_VALUE"""),2.0)</f>
        <v>2</v>
      </c>
      <c r="F749" s="12">
        <f>IFERROR(__xludf.DUMMYFUNCTION("""COMPUTED_VALUE"""),4.0)</f>
        <v>4</v>
      </c>
      <c r="G749" s="15" t="str">
        <f>IFERROR(__xludf.DUMMYFUNCTION("""COMPUTED_VALUE"""),"Completa")</f>
        <v>Completa</v>
      </c>
      <c r="H749" s="16" t="str">
        <f t="array" ref="H749">_xlfn.XLOOKUP(D749,Productos[ID_Producto],Productos[Nombre_Producto])</f>
        <v>Queso rallado</v>
      </c>
      <c r="I749" s="17">
        <f t="array" ref="I749">_xlfn.XLOOKUP(D749,Productos[ID_Producto],Productos[Precio_Unitario])</f>
        <v>19.23</v>
      </c>
      <c r="J749" s="17">
        <f t="shared" si="1"/>
        <v>38.46</v>
      </c>
      <c r="K749" s="16" t="str">
        <f t="array" ref="K749">_xlfn.XLOOKUP(C749,Clientes[ID_Cliente],Clientes[Provincia])</f>
        <v>Córdoba</v>
      </c>
      <c r="L749" s="16" t="str">
        <f t="array" ref="L749">CONCATENATE(_xlfn.XLOOKUP(C749,Clientes[ID_Cliente],Clientes[Provincia]),", Argentina")</f>
        <v>Córdoba, Argentina</v>
      </c>
      <c r="M749" s="20" t="str">
        <f t="array" ref="M749">_xlfn.XLOOKUP(F749,Metodos_De_Pago[ID_Metodo],Metodos_De_Pago[Metodo])</f>
        <v>Mercado Pago</v>
      </c>
      <c r="N749" s="20" t="str">
        <f t="shared" si="2"/>
        <v>2024 07</v>
      </c>
    </row>
    <row r="750" ht="22.5" customHeight="1">
      <c r="A750" s="12">
        <f>IFERROR(__xludf.DUMMYFUNCTION("""COMPUTED_VALUE"""),2832.0)</f>
        <v>2832</v>
      </c>
      <c r="B750" s="13">
        <f>IFERROR(__xludf.DUMMYFUNCTION("""COMPUTED_VALUE"""),45480.0)</f>
        <v>45480</v>
      </c>
      <c r="C750" s="12">
        <f>IFERROR(__xludf.DUMMYFUNCTION("""COMPUTED_VALUE"""),171.0)</f>
        <v>171</v>
      </c>
      <c r="D750" s="12">
        <f>IFERROR(__xludf.DUMMYFUNCTION("""COMPUTED_VALUE"""),31.0)</f>
        <v>31</v>
      </c>
      <c r="E750" s="12">
        <f>IFERROR(__xludf.DUMMYFUNCTION("""COMPUTED_VALUE"""),2.0)</f>
        <v>2</v>
      </c>
      <c r="F750" s="12">
        <f>IFERROR(__xludf.DUMMYFUNCTION("""COMPUTED_VALUE"""),4.0)</f>
        <v>4</v>
      </c>
      <c r="G750" s="15" t="str">
        <f>IFERROR(__xludf.DUMMYFUNCTION("""COMPUTED_VALUE"""),"Completa")</f>
        <v>Completa</v>
      </c>
      <c r="H750" s="16" t="str">
        <f t="array" ref="H750">_xlfn.XLOOKUP(D750,Productos[ID_Producto],Productos[Nombre_Producto])</f>
        <v>Galletitas de agua</v>
      </c>
      <c r="I750" s="17">
        <f t="array" ref="I750">_xlfn.XLOOKUP(D750,Productos[ID_Producto],Productos[Precio_Unitario])</f>
        <v>5.24</v>
      </c>
      <c r="J750" s="17">
        <f t="shared" si="1"/>
        <v>10.48</v>
      </c>
      <c r="K750" s="16" t="str">
        <f t="array" ref="K750">_xlfn.XLOOKUP(C750,Clientes[ID_Cliente],Clientes[Provincia])</f>
        <v>San Luis</v>
      </c>
      <c r="L750" s="16" t="str">
        <f t="array" ref="L750">CONCATENATE(_xlfn.XLOOKUP(C750,Clientes[ID_Cliente],Clientes[Provincia]),", Argentina")</f>
        <v>San Luis, Argentina</v>
      </c>
      <c r="M750" s="20" t="str">
        <f t="array" ref="M750">_xlfn.XLOOKUP(F750,Metodos_De_Pago[ID_Metodo],Metodos_De_Pago[Metodo])</f>
        <v>Mercado Pago</v>
      </c>
      <c r="N750" s="20" t="str">
        <f t="shared" si="2"/>
        <v>2024 07</v>
      </c>
    </row>
    <row r="751" ht="22.5" customHeight="1">
      <c r="A751" s="12">
        <f>IFERROR(__xludf.DUMMYFUNCTION("""COMPUTED_VALUE"""),663.0)</f>
        <v>663</v>
      </c>
      <c r="B751" s="13">
        <f>IFERROR(__xludf.DUMMYFUNCTION("""COMPUTED_VALUE"""),45481.0)</f>
        <v>45481</v>
      </c>
      <c r="C751" s="12">
        <f>IFERROR(__xludf.DUMMYFUNCTION("""COMPUTED_VALUE"""),183.0)</f>
        <v>183</v>
      </c>
      <c r="D751" s="12">
        <f>IFERROR(__xludf.DUMMYFUNCTION("""COMPUTED_VALUE"""),18.0)</f>
        <v>18</v>
      </c>
      <c r="E751" s="12">
        <f>IFERROR(__xludf.DUMMYFUNCTION("""COMPUTED_VALUE"""),2.0)</f>
        <v>2</v>
      </c>
      <c r="F751" s="12">
        <f>IFERROR(__xludf.DUMMYFUNCTION("""COMPUTED_VALUE"""),5.0)</f>
        <v>5</v>
      </c>
      <c r="G751" s="15" t="str">
        <f>IFERROR(__xludf.DUMMYFUNCTION("""COMPUTED_VALUE"""),"Completa")</f>
        <v>Completa</v>
      </c>
      <c r="H751" s="16" t="str">
        <f t="array" ref="H751">_xlfn.XLOOKUP(D751,Productos[ID_Producto],Productos[Nombre_Producto])</f>
        <v>Bananas</v>
      </c>
      <c r="I751" s="17">
        <f t="array" ref="I751">_xlfn.XLOOKUP(D751,Productos[ID_Producto],Productos[Precio_Unitario])</f>
        <v>7.25</v>
      </c>
      <c r="J751" s="17">
        <f t="shared" si="1"/>
        <v>14.5</v>
      </c>
      <c r="K751" s="16" t="str">
        <f t="array" ref="K751">_xlfn.XLOOKUP(C751,Clientes[ID_Cliente],Clientes[Provincia])</f>
        <v>Neuquén</v>
      </c>
      <c r="L751" s="16" t="str">
        <f t="array" ref="L751">CONCATENATE(_xlfn.XLOOKUP(C751,Clientes[ID_Cliente],Clientes[Provincia]),", Argentina")</f>
        <v>Neuquén, Argentina</v>
      </c>
      <c r="M751" s="20" t="str">
        <f t="array" ref="M751">_xlfn.XLOOKUP(F751,Metodos_De_Pago[ID_Metodo],Metodos_De_Pago[Metodo])</f>
        <v>Transferencia</v>
      </c>
      <c r="N751" s="20" t="str">
        <f t="shared" si="2"/>
        <v>2024 07</v>
      </c>
    </row>
    <row r="752" ht="22.5" customHeight="1">
      <c r="A752" s="12">
        <f>IFERROR(__xludf.DUMMYFUNCTION("""COMPUTED_VALUE"""),1989.0)</f>
        <v>1989</v>
      </c>
      <c r="B752" s="13">
        <f>IFERROR(__xludf.DUMMYFUNCTION("""COMPUTED_VALUE"""),45481.0)</f>
        <v>45481</v>
      </c>
      <c r="C752" s="12">
        <f>IFERROR(__xludf.DUMMYFUNCTION("""COMPUTED_VALUE"""),274.0)</f>
        <v>274</v>
      </c>
      <c r="D752" s="12">
        <f>IFERROR(__xludf.DUMMYFUNCTION("""COMPUTED_VALUE"""),17.0)</f>
        <v>17</v>
      </c>
      <c r="E752" s="12">
        <f>IFERROR(__xludf.DUMMYFUNCTION("""COMPUTED_VALUE"""),2.0)</f>
        <v>2</v>
      </c>
      <c r="F752" s="12">
        <f>IFERROR(__xludf.DUMMYFUNCTION("""COMPUTED_VALUE"""),3.0)</f>
        <v>3</v>
      </c>
      <c r="G752" s="15" t="str">
        <f>IFERROR(__xludf.DUMMYFUNCTION("""COMPUTED_VALUE"""),"Completa")</f>
        <v>Completa</v>
      </c>
      <c r="H752" s="16" t="str">
        <f t="array" ref="H752">_xlfn.XLOOKUP(D752,Productos[ID_Producto],Productos[Nombre_Producto])</f>
        <v>Manzanas</v>
      </c>
      <c r="I752" s="17">
        <f t="array" ref="I752">_xlfn.XLOOKUP(D752,Productos[ID_Producto],Productos[Precio_Unitario])</f>
        <v>6.54</v>
      </c>
      <c r="J752" s="17">
        <f t="shared" si="1"/>
        <v>13.08</v>
      </c>
      <c r="K752" s="16" t="str">
        <f t="array" ref="K752">_xlfn.XLOOKUP(C752,Clientes[ID_Cliente],Clientes[Provincia])</f>
        <v>Buenos Aires</v>
      </c>
      <c r="L752" s="16" t="str">
        <f t="array" ref="L752">CONCATENATE(_xlfn.XLOOKUP(C752,Clientes[ID_Cliente],Clientes[Provincia]),", Argentina")</f>
        <v>Buenos Aires, Argentina</v>
      </c>
      <c r="M752" s="20" t="str">
        <f t="array" ref="M752">_xlfn.XLOOKUP(F752,Metodos_De_Pago[ID_Metodo],Metodos_De_Pago[Metodo])</f>
        <v>Tarjeta de Débito</v>
      </c>
      <c r="N752" s="20" t="str">
        <f t="shared" si="2"/>
        <v>2024 07</v>
      </c>
    </row>
    <row r="753" ht="22.5" customHeight="1">
      <c r="A753" s="12">
        <f>IFERROR(__xludf.DUMMYFUNCTION("""COMPUTED_VALUE"""),212.0)</f>
        <v>212</v>
      </c>
      <c r="B753" s="13">
        <f>IFERROR(__xludf.DUMMYFUNCTION("""COMPUTED_VALUE"""),45482.0)</f>
        <v>45482</v>
      </c>
      <c r="C753" s="12">
        <f>IFERROR(__xludf.DUMMYFUNCTION("""COMPUTED_VALUE"""),75.0)</f>
        <v>75</v>
      </c>
      <c r="D753" s="12">
        <f>IFERROR(__xludf.DUMMYFUNCTION("""COMPUTED_VALUE"""),9.0)</f>
        <v>9</v>
      </c>
      <c r="E753" s="12">
        <f>IFERROR(__xludf.DUMMYFUNCTION("""COMPUTED_VALUE"""),2.0)</f>
        <v>2</v>
      </c>
      <c r="F753" s="12">
        <f>IFERROR(__xludf.DUMMYFUNCTION("""COMPUTED_VALUE"""),4.0)</f>
        <v>4</v>
      </c>
      <c r="G753" s="15" t="str">
        <f>IFERROR(__xludf.DUMMYFUNCTION("""COMPUTED_VALUE"""),"Pendiente")</f>
        <v>Pendiente</v>
      </c>
      <c r="H753" s="16" t="str">
        <f t="array" ref="H753">_xlfn.XLOOKUP(D753,Productos[ID_Producto],Productos[Nombre_Producto])</f>
        <v>Pollo</v>
      </c>
      <c r="I753" s="17">
        <f t="array" ref="I753">_xlfn.XLOOKUP(D753,Productos[ID_Producto],Productos[Precio_Unitario])</f>
        <v>18.56</v>
      </c>
      <c r="J753" s="17">
        <f t="shared" si="1"/>
        <v>37.12</v>
      </c>
      <c r="K753" s="16" t="str">
        <f t="array" ref="K753">_xlfn.XLOOKUP(C753,Clientes[ID_Cliente],Clientes[Provincia])</f>
        <v>Chaco</v>
      </c>
      <c r="L753" s="16" t="str">
        <f t="array" ref="L753">CONCATENATE(_xlfn.XLOOKUP(C753,Clientes[ID_Cliente],Clientes[Provincia]),", Argentina")</f>
        <v>Chaco, Argentina</v>
      </c>
      <c r="M753" s="20" t="str">
        <f t="array" ref="M753">_xlfn.XLOOKUP(F753,Metodos_De_Pago[ID_Metodo],Metodos_De_Pago[Metodo])</f>
        <v>Mercado Pago</v>
      </c>
      <c r="N753" s="20" t="str">
        <f t="shared" si="2"/>
        <v>2024 07</v>
      </c>
    </row>
    <row r="754" ht="22.5" customHeight="1">
      <c r="A754" s="12">
        <f>IFERROR(__xludf.DUMMYFUNCTION("""COMPUTED_VALUE"""),1541.0)</f>
        <v>1541</v>
      </c>
      <c r="B754" s="13">
        <f>IFERROR(__xludf.DUMMYFUNCTION("""COMPUTED_VALUE"""),45482.0)</f>
        <v>45482</v>
      </c>
      <c r="C754" s="12">
        <f>IFERROR(__xludf.DUMMYFUNCTION("""COMPUTED_VALUE"""),184.0)</f>
        <v>184</v>
      </c>
      <c r="D754" s="12">
        <f>IFERROR(__xludf.DUMMYFUNCTION("""COMPUTED_VALUE"""),13.0)</f>
        <v>13</v>
      </c>
      <c r="E754" s="12">
        <f>IFERROR(__xludf.DUMMYFUNCTION("""COMPUTED_VALUE"""),2.0)</f>
        <v>2</v>
      </c>
      <c r="F754" s="12">
        <f>IFERROR(__xludf.DUMMYFUNCTION("""COMPUTED_VALUE"""),5.0)</f>
        <v>5</v>
      </c>
      <c r="G754" s="15" t="str">
        <f>IFERROR(__xludf.DUMMYFUNCTION("""COMPUTED_VALUE"""),"Pendiente")</f>
        <v>Pendiente</v>
      </c>
      <c r="H754" s="16" t="str">
        <f t="array" ref="H754">_xlfn.XLOOKUP(D754,Productos[ID_Producto],Productos[Nombre_Producto])</f>
        <v>Pan integral</v>
      </c>
      <c r="I754" s="17">
        <f t="array" ref="I754">_xlfn.XLOOKUP(D754,Productos[ID_Producto],Productos[Precio_Unitario])</f>
        <v>12.56</v>
      </c>
      <c r="J754" s="17">
        <f t="shared" si="1"/>
        <v>25.12</v>
      </c>
      <c r="K754" s="16" t="str">
        <f t="array" ref="K754">_xlfn.XLOOKUP(C754,Clientes[ID_Cliente],Clientes[Provincia])</f>
        <v>Buenos Aires</v>
      </c>
      <c r="L754" s="16" t="str">
        <f t="array" ref="L754">CONCATENATE(_xlfn.XLOOKUP(C754,Clientes[ID_Cliente],Clientes[Provincia]),", Argentina")</f>
        <v>Buenos Aires, Argentina</v>
      </c>
      <c r="M754" s="20" t="str">
        <f t="array" ref="M754">_xlfn.XLOOKUP(F754,Metodos_De_Pago[ID_Metodo],Metodos_De_Pago[Metodo])</f>
        <v>Transferencia</v>
      </c>
      <c r="N754" s="20" t="str">
        <f t="shared" si="2"/>
        <v>2024 07</v>
      </c>
    </row>
    <row r="755" ht="22.5" customHeight="1">
      <c r="A755" s="12">
        <f>IFERROR(__xludf.DUMMYFUNCTION("""COMPUTED_VALUE"""),1790.0)</f>
        <v>1790</v>
      </c>
      <c r="B755" s="13">
        <f>IFERROR(__xludf.DUMMYFUNCTION("""COMPUTED_VALUE"""),45482.0)</f>
        <v>45482</v>
      </c>
      <c r="C755" s="12">
        <f>IFERROR(__xludf.DUMMYFUNCTION("""COMPUTED_VALUE"""),225.0)</f>
        <v>225</v>
      </c>
      <c r="D755" s="12">
        <f>IFERROR(__xludf.DUMMYFUNCTION("""COMPUTED_VALUE"""),30.0)</f>
        <v>30</v>
      </c>
      <c r="E755" s="12">
        <f>IFERROR(__xludf.DUMMYFUNCTION("""COMPUTED_VALUE"""),2.0)</f>
        <v>2</v>
      </c>
      <c r="F755" s="12">
        <f>IFERROR(__xludf.DUMMYFUNCTION("""COMPUTED_VALUE"""),2.0)</f>
        <v>2</v>
      </c>
      <c r="G755" s="15" t="str">
        <f>IFERROR(__xludf.DUMMYFUNCTION("""COMPUTED_VALUE"""),"Completa")</f>
        <v>Completa</v>
      </c>
      <c r="H755" s="16" t="str">
        <f t="array" ref="H755">_xlfn.XLOOKUP(D755,Productos[ID_Producto],Productos[Nombre_Producto])</f>
        <v>Vino tinto</v>
      </c>
      <c r="I755" s="17">
        <f t="array" ref="I755">_xlfn.XLOOKUP(D755,Productos[ID_Producto],Productos[Precio_Unitario])</f>
        <v>13.54</v>
      </c>
      <c r="J755" s="17">
        <f t="shared" si="1"/>
        <v>27.08</v>
      </c>
      <c r="K755" s="16" t="str">
        <f t="array" ref="K755">_xlfn.XLOOKUP(C755,Clientes[ID_Cliente],Clientes[Provincia])</f>
        <v>Buenos Aires</v>
      </c>
      <c r="L755" s="16" t="str">
        <f t="array" ref="L755">CONCATENATE(_xlfn.XLOOKUP(C755,Clientes[ID_Cliente],Clientes[Provincia]),", Argentina")</f>
        <v>Buenos Aires, Argentina</v>
      </c>
      <c r="M755" s="20" t="str">
        <f t="array" ref="M755">_xlfn.XLOOKUP(F755,Metodos_De_Pago[ID_Metodo],Metodos_De_Pago[Metodo])</f>
        <v>Tarjeta de Crédito</v>
      </c>
      <c r="N755" s="20" t="str">
        <f t="shared" si="2"/>
        <v>2024 07</v>
      </c>
    </row>
    <row r="756" ht="22.5" customHeight="1">
      <c r="A756" s="12">
        <f>IFERROR(__xludf.DUMMYFUNCTION("""COMPUTED_VALUE"""),1941.0)</f>
        <v>1941</v>
      </c>
      <c r="B756" s="13">
        <f>IFERROR(__xludf.DUMMYFUNCTION("""COMPUTED_VALUE"""),45482.0)</f>
        <v>45482</v>
      </c>
      <c r="C756" s="12">
        <f>IFERROR(__xludf.DUMMYFUNCTION("""COMPUTED_VALUE"""),133.0)</f>
        <v>133</v>
      </c>
      <c r="D756" s="12">
        <f>IFERROR(__xludf.DUMMYFUNCTION("""COMPUTED_VALUE"""),13.0)</f>
        <v>13</v>
      </c>
      <c r="E756" s="12">
        <f>IFERROR(__xludf.DUMMYFUNCTION("""COMPUTED_VALUE"""),2.0)</f>
        <v>2</v>
      </c>
      <c r="F756" s="12">
        <f>IFERROR(__xludf.DUMMYFUNCTION("""COMPUTED_VALUE"""),4.0)</f>
        <v>4</v>
      </c>
      <c r="G756" s="15" t="str">
        <f>IFERROR(__xludf.DUMMYFUNCTION("""COMPUTED_VALUE"""),"Pendiente")</f>
        <v>Pendiente</v>
      </c>
      <c r="H756" s="16" t="str">
        <f t="array" ref="H756">_xlfn.XLOOKUP(D756,Productos[ID_Producto],Productos[Nombre_Producto])</f>
        <v>Pan integral</v>
      </c>
      <c r="I756" s="17">
        <f t="array" ref="I756">_xlfn.XLOOKUP(D756,Productos[ID_Producto],Productos[Precio_Unitario])</f>
        <v>12.56</v>
      </c>
      <c r="J756" s="17">
        <f t="shared" si="1"/>
        <v>25.12</v>
      </c>
      <c r="K756" s="16" t="str">
        <f t="array" ref="K756">_xlfn.XLOOKUP(C756,Clientes[ID_Cliente],Clientes[Provincia])</f>
        <v>Buenos Aires</v>
      </c>
      <c r="L756" s="16" t="str">
        <f t="array" ref="L756">CONCATENATE(_xlfn.XLOOKUP(C756,Clientes[ID_Cliente],Clientes[Provincia]),", Argentina")</f>
        <v>Buenos Aires, Argentina</v>
      </c>
      <c r="M756" s="20" t="str">
        <f t="array" ref="M756">_xlfn.XLOOKUP(F756,Metodos_De_Pago[ID_Metodo],Metodos_De_Pago[Metodo])</f>
        <v>Mercado Pago</v>
      </c>
      <c r="N756" s="20" t="str">
        <f t="shared" si="2"/>
        <v>2024 07</v>
      </c>
    </row>
    <row r="757" ht="22.5" customHeight="1">
      <c r="A757" s="12">
        <f>IFERROR(__xludf.DUMMYFUNCTION("""COMPUTED_VALUE"""),2432.0)</f>
        <v>2432</v>
      </c>
      <c r="B757" s="13">
        <f>IFERROR(__xludf.DUMMYFUNCTION("""COMPUTED_VALUE"""),45482.0)</f>
        <v>45482</v>
      </c>
      <c r="C757" s="12">
        <f>IFERROR(__xludf.DUMMYFUNCTION("""COMPUTED_VALUE"""),190.0)</f>
        <v>190</v>
      </c>
      <c r="D757" s="12">
        <f>IFERROR(__xludf.DUMMYFUNCTION("""COMPUTED_VALUE"""),20.0)</f>
        <v>20</v>
      </c>
      <c r="E757" s="12">
        <f>IFERROR(__xludf.DUMMYFUNCTION("""COMPUTED_VALUE"""),2.0)</f>
        <v>2</v>
      </c>
      <c r="F757" s="12">
        <f>IFERROR(__xludf.DUMMYFUNCTION("""COMPUTED_VALUE"""),5.0)</f>
        <v>5</v>
      </c>
      <c r="G757" s="15" t="str">
        <f>IFERROR(__xludf.DUMMYFUNCTION("""COMPUTED_VALUE"""),"Pendiente")</f>
        <v>Pendiente</v>
      </c>
      <c r="H757" s="16" t="str">
        <f t="array" ref="H757">_xlfn.XLOOKUP(D757,Productos[ID_Producto],Productos[Nombre_Producto])</f>
        <v>Lechugas</v>
      </c>
      <c r="I757" s="17">
        <f t="array" ref="I757">_xlfn.XLOOKUP(D757,Productos[ID_Producto],Productos[Precio_Unitario])</f>
        <v>4.25</v>
      </c>
      <c r="J757" s="17">
        <f t="shared" si="1"/>
        <v>8.5</v>
      </c>
      <c r="K757" s="16" t="str">
        <f t="array" ref="K757">_xlfn.XLOOKUP(C757,Clientes[ID_Cliente],Clientes[Provincia])</f>
        <v>Chaco</v>
      </c>
      <c r="L757" s="16" t="str">
        <f t="array" ref="L757">CONCATENATE(_xlfn.XLOOKUP(C757,Clientes[ID_Cliente],Clientes[Provincia]),", Argentina")</f>
        <v>Chaco, Argentina</v>
      </c>
      <c r="M757" s="20" t="str">
        <f t="array" ref="M757">_xlfn.XLOOKUP(F757,Metodos_De_Pago[ID_Metodo],Metodos_De_Pago[Metodo])</f>
        <v>Transferencia</v>
      </c>
      <c r="N757" s="20" t="str">
        <f t="shared" si="2"/>
        <v>2024 07</v>
      </c>
    </row>
    <row r="758" ht="22.5" customHeight="1">
      <c r="A758" s="12">
        <f>IFERROR(__xludf.DUMMYFUNCTION("""COMPUTED_VALUE"""),1628.0)</f>
        <v>1628</v>
      </c>
      <c r="B758" s="13">
        <f>IFERROR(__xludf.DUMMYFUNCTION("""COMPUTED_VALUE"""),45483.0)</f>
        <v>45483</v>
      </c>
      <c r="C758" s="12">
        <f>IFERROR(__xludf.DUMMYFUNCTION("""COMPUTED_VALUE"""),307.0)</f>
        <v>307</v>
      </c>
      <c r="D758" s="12">
        <f>IFERROR(__xludf.DUMMYFUNCTION("""COMPUTED_VALUE"""),35.0)</f>
        <v>35</v>
      </c>
      <c r="E758" s="12">
        <f>IFERROR(__xludf.DUMMYFUNCTION("""COMPUTED_VALUE"""),2.0)</f>
        <v>2</v>
      </c>
      <c r="F758" s="12">
        <f>IFERROR(__xludf.DUMMYFUNCTION("""COMPUTED_VALUE"""),4.0)</f>
        <v>4</v>
      </c>
      <c r="G758" s="15" t="str">
        <f>IFERROR(__xludf.DUMMYFUNCTION("""COMPUTED_VALUE"""),"Completa")</f>
        <v>Completa</v>
      </c>
      <c r="H758" s="16" t="str">
        <f t="array" ref="H758">_xlfn.XLOOKUP(D758,Productos[ID_Producto],Productos[Nombre_Producto])</f>
        <v>Arroz</v>
      </c>
      <c r="I758" s="17">
        <f t="array" ref="I758">_xlfn.XLOOKUP(D758,Productos[ID_Producto],Productos[Precio_Unitario])</f>
        <v>4.25</v>
      </c>
      <c r="J758" s="17">
        <f t="shared" si="1"/>
        <v>8.5</v>
      </c>
      <c r="K758" s="16" t="str">
        <f t="array" ref="K758">_xlfn.XLOOKUP(C758,Clientes[ID_Cliente],Clientes[Provincia])</f>
        <v>San Luis</v>
      </c>
      <c r="L758" s="16" t="str">
        <f t="array" ref="L758">CONCATENATE(_xlfn.XLOOKUP(C758,Clientes[ID_Cliente],Clientes[Provincia]),", Argentina")</f>
        <v>San Luis, Argentina</v>
      </c>
      <c r="M758" s="20" t="str">
        <f t="array" ref="M758">_xlfn.XLOOKUP(F758,Metodos_De_Pago[ID_Metodo],Metodos_De_Pago[Metodo])</f>
        <v>Mercado Pago</v>
      </c>
      <c r="N758" s="20" t="str">
        <f t="shared" si="2"/>
        <v>2024 07</v>
      </c>
    </row>
    <row r="759" ht="22.5" customHeight="1">
      <c r="A759" s="12">
        <f>IFERROR(__xludf.DUMMYFUNCTION("""COMPUTED_VALUE"""),1611.0)</f>
        <v>1611</v>
      </c>
      <c r="B759" s="13">
        <f>IFERROR(__xludf.DUMMYFUNCTION("""COMPUTED_VALUE"""),45484.0)</f>
        <v>45484</v>
      </c>
      <c r="C759" s="12">
        <f>IFERROR(__xludf.DUMMYFUNCTION("""COMPUTED_VALUE"""),297.0)</f>
        <v>297</v>
      </c>
      <c r="D759" s="12">
        <f>IFERROR(__xludf.DUMMYFUNCTION("""COMPUTED_VALUE"""),8.0)</f>
        <v>8</v>
      </c>
      <c r="E759" s="12">
        <f>IFERROR(__xludf.DUMMYFUNCTION("""COMPUTED_VALUE"""),2.0)</f>
        <v>2</v>
      </c>
      <c r="F759" s="12">
        <f>IFERROR(__xludf.DUMMYFUNCTION("""COMPUTED_VALUE"""),4.0)</f>
        <v>4</v>
      </c>
      <c r="G759" s="15" t="str">
        <f>IFERROR(__xludf.DUMMYFUNCTION("""COMPUTED_VALUE"""),"Completa")</f>
        <v>Completa</v>
      </c>
      <c r="H759" s="16" t="str">
        <f t="array" ref="H759">_xlfn.XLOOKUP(D759,Productos[ID_Producto],Productos[Nombre_Producto])</f>
        <v>Milanesa</v>
      </c>
      <c r="I759" s="17">
        <f t="array" ref="I759">_xlfn.XLOOKUP(D759,Productos[ID_Producto],Productos[Precio_Unitario])</f>
        <v>16.21</v>
      </c>
      <c r="J759" s="17">
        <f t="shared" si="1"/>
        <v>32.42</v>
      </c>
      <c r="K759" s="16" t="str">
        <f t="array" ref="K759">_xlfn.XLOOKUP(C759,Clientes[ID_Cliente],Clientes[Provincia])</f>
        <v>Buenos Aires</v>
      </c>
      <c r="L759" s="16" t="str">
        <f t="array" ref="L759">CONCATENATE(_xlfn.XLOOKUP(C759,Clientes[ID_Cliente],Clientes[Provincia]),", Argentina")</f>
        <v>Buenos Aires, Argentina</v>
      </c>
      <c r="M759" s="20" t="str">
        <f t="array" ref="M759">_xlfn.XLOOKUP(F759,Metodos_De_Pago[ID_Metodo],Metodos_De_Pago[Metodo])</f>
        <v>Mercado Pago</v>
      </c>
      <c r="N759" s="20" t="str">
        <f t="shared" si="2"/>
        <v>2024 07</v>
      </c>
    </row>
    <row r="760" ht="22.5" customHeight="1">
      <c r="A760" s="12">
        <f>IFERROR(__xludf.DUMMYFUNCTION("""COMPUTED_VALUE"""),2254.0)</f>
        <v>2254</v>
      </c>
      <c r="B760" s="13">
        <f>IFERROR(__xludf.DUMMYFUNCTION("""COMPUTED_VALUE"""),45484.0)</f>
        <v>45484</v>
      </c>
      <c r="C760" s="12">
        <f>IFERROR(__xludf.DUMMYFUNCTION("""COMPUTED_VALUE"""),303.0)</f>
        <v>303</v>
      </c>
      <c r="D760" s="12">
        <f>IFERROR(__xludf.DUMMYFUNCTION("""COMPUTED_VALUE"""),10.0)</f>
        <v>10</v>
      </c>
      <c r="E760" s="12">
        <f>IFERROR(__xludf.DUMMYFUNCTION("""COMPUTED_VALUE"""),2.0)</f>
        <v>2</v>
      </c>
      <c r="F760" s="12">
        <f>IFERROR(__xludf.DUMMYFUNCTION("""COMPUTED_VALUE"""),3.0)</f>
        <v>3</v>
      </c>
      <c r="G760" s="15" t="str">
        <f>IFERROR(__xludf.DUMMYFUNCTION("""COMPUTED_VALUE"""),"Pendiente")</f>
        <v>Pendiente</v>
      </c>
      <c r="H760" s="16" t="str">
        <f t="array" ref="H760">_xlfn.XLOOKUP(D760,Productos[ID_Producto],Productos[Nombre_Producto])</f>
        <v>Costilla de cerdo</v>
      </c>
      <c r="I760" s="17">
        <f t="array" ref="I760">_xlfn.XLOOKUP(D760,Productos[ID_Producto],Productos[Precio_Unitario])</f>
        <v>14.25</v>
      </c>
      <c r="J760" s="17">
        <f t="shared" si="1"/>
        <v>28.5</v>
      </c>
      <c r="K760" s="16" t="str">
        <f t="array" ref="K760">_xlfn.XLOOKUP(C760,Clientes[ID_Cliente],Clientes[Provincia])</f>
        <v>Córdoba</v>
      </c>
      <c r="L760" s="16" t="str">
        <f t="array" ref="L760">CONCATENATE(_xlfn.XLOOKUP(C760,Clientes[ID_Cliente],Clientes[Provincia]),", Argentina")</f>
        <v>Córdoba, Argentina</v>
      </c>
      <c r="M760" s="20" t="str">
        <f t="array" ref="M760">_xlfn.XLOOKUP(F760,Metodos_De_Pago[ID_Metodo],Metodos_De_Pago[Metodo])</f>
        <v>Tarjeta de Débito</v>
      </c>
      <c r="N760" s="20" t="str">
        <f t="shared" si="2"/>
        <v>2024 07</v>
      </c>
    </row>
    <row r="761" ht="22.5" customHeight="1">
      <c r="A761" s="12">
        <f>IFERROR(__xludf.DUMMYFUNCTION("""COMPUTED_VALUE"""),1262.0)</f>
        <v>1262</v>
      </c>
      <c r="B761" s="13">
        <f>IFERROR(__xludf.DUMMYFUNCTION("""COMPUTED_VALUE"""),45485.0)</f>
        <v>45485</v>
      </c>
      <c r="C761" s="12">
        <f>IFERROR(__xludf.DUMMYFUNCTION("""COMPUTED_VALUE"""),313.0)</f>
        <v>313</v>
      </c>
      <c r="D761" s="12">
        <f>IFERROR(__xludf.DUMMYFUNCTION("""COMPUTED_VALUE"""),21.0)</f>
        <v>21</v>
      </c>
      <c r="E761" s="12">
        <f>IFERROR(__xludf.DUMMYFUNCTION("""COMPUTED_VALUE"""),2.0)</f>
        <v>2</v>
      </c>
      <c r="F761" s="12">
        <f>IFERROR(__xludf.DUMMYFUNCTION("""COMPUTED_VALUE"""),5.0)</f>
        <v>5</v>
      </c>
      <c r="G761" s="15" t="str">
        <f>IFERROR(__xludf.DUMMYFUNCTION("""COMPUTED_VALUE"""),"Pendiente")</f>
        <v>Pendiente</v>
      </c>
      <c r="H761" s="16" t="str">
        <f t="array" ref="H761">_xlfn.XLOOKUP(D761,Productos[ID_Producto],Productos[Nombre_Producto])</f>
        <v>Zanahorias</v>
      </c>
      <c r="I761" s="17">
        <f t="array" ref="I761">_xlfn.XLOOKUP(D761,Productos[ID_Producto],Productos[Precio_Unitario])</f>
        <v>3.25</v>
      </c>
      <c r="J761" s="17">
        <f t="shared" si="1"/>
        <v>6.5</v>
      </c>
      <c r="K761" s="16" t="str">
        <f t="array" ref="K761">_xlfn.XLOOKUP(C761,Clientes[ID_Cliente],Clientes[Provincia])</f>
        <v>San Luis</v>
      </c>
      <c r="L761" s="16" t="str">
        <f t="array" ref="L761">CONCATENATE(_xlfn.XLOOKUP(C761,Clientes[ID_Cliente],Clientes[Provincia]),", Argentina")</f>
        <v>San Luis, Argentina</v>
      </c>
      <c r="M761" s="20" t="str">
        <f t="array" ref="M761">_xlfn.XLOOKUP(F761,Metodos_De_Pago[ID_Metodo],Metodos_De_Pago[Metodo])</f>
        <v>Transferencia</v>
      </c>
      <c r="N761" s="20" t="str">
        <f t="shared" si="2"/>
        <v>2024 07</v>
      </c>
    </row>
    <row r="762" ht="22.5" customHeight="1">
      <c r="A762" s="12">
        <f>IFERROR(__xludf.DUMMYFUNCTION("""COMPUTED_VALUE"""),619.0)</f>
        <v>619</v>
      </c>
      <c r="B762" s="13">
        <f>IFERROR(__xludf.DUMMYFUNCTION("""COMPUTED_VALUE"""),45487.0)</f>
        <v>45487</v>
      </c>
      <c r="C762" s="12">
        <f>IFERROR(__xludf.DUMMYFUNCTION("""COMPUTED_VALUE"""),121.0)</f>
        <v>121</v>
      </c>
      <c r="D762" s="12">
        <f>IFERROR(__xludf.DUMMYFUNCTION("""COMPUTED_VALUE"""),35.0)</f>
        <v>35</v>
      </c>
      <c r="E762" s="12">
        <f>IFERROR(__xludf.DUMMYFUNCTION("""COMPUTED_VALUE"""),2.0)</f>
        <v>2</v>
      </c>
      <c r="F762" s="12">
        <f>IFERROR(__xludf.DUMMYFUNCTION("""COMPUTED_VALUE"""),4.0)</f>
        <v>4</v>
      </c>
      <c r="G762" s="15" t="str">
        <f>IFERROR(__xludf.DUMMYFUNCTION("""COMPUTED_VALUE"""),"Completa")</f>
        <v>Completa</v>
      </c>
      <c r="H762" s="16" t="str">
        <f t="array" ref="H762">_xlfn.XLOOKUP(D762,Productos[ID_Producto],Productos[Nombre_Producto])</f>
        <v>Arroz</v>
      </c>
      <c r="I762" s="17">
        <f t="array" ref="I762">_xlfn.XLOOKUP(D762,Productos[ID_Producto],Productos[Precio_Unitario])</f>
        <v>4.25</v>
      </c>
      <c r="J762" s="17">
        <f t="shared" si="1"/>
        <v>8.5</v>
      </c>
      <c r="K762" s="16" t="str">
        <f t="array" ref="K762">_xlfn.XLOOKUP(C762,Clientes[ID_Cliente],Clientes[Provincia])</f>
        <v>San Luis</v>
      </c>
      <c r="L762" s="16" t="str">
        <f t="array" ref="L762">CONCATENATE(_xlfn.XLOOKUP(C762,Clientes[ID_Cliente],Clientes[Provincia]),", Argentina")</f>
        <v>San Luis, Argentina</v>
      </c>
      <c r="M762" s="20" t="str">
        <f t="array" ref="M762">_xlfn.XLOOKUP(F762,Metodos_De_Pago[ID_Metodo],Metodos_De_Pago[Metodo])</f>
        <v>Mercado Pago</v>
      </c>
      <c r="N762" s="20" t="str">
        <f t="shared" si="2"/>
        <v>2024 07</v>
      </c>
    </row>
    <row r="763" ht="22.5" customHeight="1">
      <c r="A763" s="12">
        <f>IFERROR(__xludf.DUMMYFUNCTION("""COMPUTED_VALUE"""),1397.0)</f>
        <v>1397</v>
      </c>
      <c r="B763" s="13">
        <f>IFERROR(__xludf.DUMMYFUNCTION("""COMPUTED_VALUE"""),45487.0)</f>
        <v>45487</v>
      </c>
      <c r="C763" s="12">
        <f>IFERROR(__xludf.DUMMYFUNCTION("""COMPUTED_VALUE"""),112.0)</f>
        <v>112</v>
      </c>
      <c r="D763" s="12">
        <f>IFERROR(__xludf.DUMMYFUNCTION("""COMPUTED_VALUE"""),13.0)</f>
        <v>13</v>
      </c>
      <c r="E763" s="12">
        <f>IFERROR(__xludf.DUMMYFUNCTION("""COMPUTED_VALUE"""),2.0)</f>
        <v>2</v>
      </c>
      <c r="F763" s="12">
        <f>IFERROR(__xludf.DUMMYFUNCTION("""COMPUTED_VALUE"""),1.0)</f>
        <v>1</v>
      </c>
      <c r="G763" s="15" t="str">
        <f>IFERROR(__xludf.DUMMYFUNCTION("""COMPUTED_VALUE"""),"Completa")</f>
        <v>Completa</v>
      </c>
      <c r="H763" s="16" t="str">
        <f t="array" ref="H763">_xlfn.XLOOKUP(D763,Productos[ID_Producto],Productos[Nombre_Producto])</f>
        <v>Pan integral</v>
      </c>
      <c r="I763" s="17">
        <f t="array" ref="I763">_xlfn.XLOOKUP(D763,Productos[ID_Producto],Productos[Precio_Unitario])</f>
        <v>12.56</v>
      </c>
      <c r="J763" s="17">
        <f t="shared" si="1"/>
        <v>25.12</v>
      </c>
      <c r="K763" s="16" t="str">
        <f t="array" ref="K763">_xlfn.XLOOKUP(C763,Clientes[ID_Cliente],Clientes[Provincia])</f>
        <v>Chaco</v>
      </c>
      <c r="L763" s="16" t="str">
        <f t="array" ref="L763">CONCATENATE(_xlfn.XLOOKUP(C763,Clientes[ID_Cliente],Clientes[Provincia]),", Argentina")</f>
        <v>Chaco, Argentina</v>
      </c>
      <c r="M763" s="20" t="str">
        <f t="array" ref="M763">_xlfn.XLOOKUP(F763,Metodos_De_Pago[ID_Metodo],Metodos_De_Pago[Metodo])</f>
        <v>Efectivo</v>
      </c>
      <c r="N763" s="20" t="str">
        <f t="shared" si="2"/>
        <v>2024 07</v>
      </c>
    </row>
    <row r="764" ht="22.5" customHeight="1">
      <c r="A764" s="12">
        <f>IFERROR(__xludf.DUMMYFUNCTION("""COMPUTED_VALUE"""),1620.0)</f>
        <v>1620</v>
      </c>
      <c r="B764" s="13">
        <f>IFERROR(__xludf.DUMMYFUNCTION("""COMPUTED_VALUE"""),45487.0)</f>
        <v>45487</v>
      </c>
      <c r="C764" s="12">
        <f>IFERROR(__xludf.DUMMYFUNCTION("""COMPUTED_VALUE"""),267.0)</f>
        <v>267</v>
      </c>
      <c r="D764" s="12">
        <f>IFERROR(__xludf.DUMMYFUNCTION("""COMPUTED_VALUE"""),32.0)</f>
        <v>32</v>
      </c>
      <c r="E764" s="12">
        <f>IFERROR(__xludf.DUMMYFUNCTION("""COMPUTED_VALUE"""),2.0)</f>
        <v>2</v>
      </c>
      <c r="F764" s="12">
        <f>IFERROR(__xludf.DUMMYFUNCTION("""COMPUTED_VALUE"""),4.0)</f>
        <v>4</v>
      </c>
      <c r="G764" s="15" t="str">
        <f>IFERROR(__xludf.DUMMYFUNCTION("""COMPUTED_VALUE"""),"Completa")</f>
        <v>Completa</v>
      </c>
      <c r="H764" s="16" t="str">
        <f t="array" ref="H764">_xlfn.XLOOKUP(D764,Productos[ID_Producto],Productos[Nombre_Producto])</f>
        <v>Galletitas de chocolate</v>
      </c>
      <c r="I764" s="17">
        <f t="array" ref="I764">_xlfn.XLOOKUP(D764,Productos[ID_Producto],Productos[Precio_Unitario])</f>
        <v>6.25</v>
      </c>
      <c r="J764" s="17">
        <f t="shared" si="1"/>
        <v>12.5</v>
      </c>
      <c r="K764" s="16" t="str">
        <f t="array" ref="K764">_xlfn.XLOOKUP(C764,Clientes[ID_Cliente],Clientes[Provincia])</f>
        <v>Córdoba</v>
      </c>
      <c r="L764" s="16" t="str">
        <f t="array" ref="L764">CONCATENATE(_xlfn.XLOOKUP(C764,Clientes[ID_Cliente],Clientes[Provincia]),", Argentina")</f>
        <v>Córdoba, Argentina</v>
      </c>
      <c r="M764" s="20" t="str">
        <f t="array" ref="M764">_xlfn.XLOOKUP(F764,Metodos_De_Pago[ID_Metodo],Metodos_De_Pago[Metodo])</f>
        <v>Mercado Pago</v>
      </c>
      <c r="N764" s="20" t="str">
        <f t="shared" si="2"/>
        <v>2024 07</v>
      </c>
    </row>
    <row r="765" ht="22.5" customHeight="1">
      <c r="A765" s="12">
        <f>IFERROR(__xludf.DUMMYFUNCTION("""COMPUTED_VALUE"""),2083.0)</f>
        <v>2083</v>
      </c>
      <c r="B765" s="13">
        <f>IFERROR(__xludf.DUMMYFUNCTION("""COMPUTED_VALUE"""),45488.0)</f>
        <v>45488</v>
      </c>
      <c r="C765" s="12">
        <f>IFERROR(__xludf.DUMMYFUNCTION("""COMPUTED_VALUE"""),44.0)</f>
        <v>44</v>
      </c>
      <c r="D765" s="12">
        <f>IFERROR(__xludf.DUMMYFUNCTION("""COMPUTED_VALUE"""),6.0)</f>
        <v>6</v>
      </c>
      <c r="E765" s="12">
        <f>IFERROR(__xludf.DUMMYFUNCTION("""COMPUTED_VALUE"""),2.0)</f>
        <v>2</v>
      </c>
      <c r="F765" s="12">
        <f>IFERROR(__xludf.DUMMYFUNCTION("""COMPUTED_VALUE"""),4.0)</f>
        <v>4</v>
      </c>
      <c r="G765" s="15" t="str">
        <f>IFERROR(__xludf.DUMMYFUNCTION("""COMPUTED_VALUE"""),"Completa")</f>
        <v>Completa</v>
      </c>
      <c r="H765" s="16" t="str">
        <f t="array" ref="H765">_xlfn.XLOOKUP(D765,Productos[ID_Producto],Productos[Nombre_Producto])</f>
        <v>Asado</v>
      </c>
      <c r="I765" s="17">
        <f t="array" ref="I765">_xlfn.XLOOKUP(D765,Productos[ID_Producto],Productos[Precio_Unitario])</f>
        <v>28.56</v>
      </c>
      <c r="J765" s="17">
        <f t="shared" si="1"/>
        <v>57.12</v>
      </c>
      <c r="K765" s="16" t="str">
        <f t="array" ref="K765">_xlfn.XLOOKUP(C765,Clientes[ID_Cliente],Clientes[Provincia])</f>
        <v>Buenos Aires</v>
      </c>
      <c r="L765" s="16" t="str">
        <f t="array" ref="L765">CONCATENATE(_xlfn.XLOOKUP(C765,Clientes[ID_Cliente],Clientes[Provincia]),", Argentina")</f>
        <v>Buenos Aires, Argentina</v>
      </c>
      <c r="M765" s="20" t="str">
        <f t="array" ref="M765">_xlfn.XLOOKUP(F765,Metodos_De_Pago[ID_Metodo],Metodos_De_Pago[Metodo])</f>
        <v>Mercado Pago</v>
      </c>
      <c r="N765" s="20" t="str">
        <f t="shared" si="2"/>
        <v>2024 07</v>
      </c>
    </row>
    <row r="766" ht="22.5" customHeight="1">
      <c r="A766" s="12">
        <f>IFERROR(__xludf.DUMMYFUNCTION("""COMPUTED_VALUE"""),48.0)</f>
        <v>48</v>
      </c>
      <c r="B766" s="13">
        <f>IFERROR(__xludf.DUMMYFUNCTION("""COMPUTED_VALUE"""),45489.0)</f>
        <v>45489</v>
      </c>
      <c r="C766" s="12">
        <f>IFERROR(__xludf.DUMMYFUNCTION("""COMPUTED_VALUE"""),13.0)</f>
        <v>13</v>
      </c>
      <c r="D766" s="12">
        <f>IFERROR(__xludf.DUMMYFUNCTION("""COMPUTED_VALUE"""),4.0)</f>
        <v>4</v>
      </c>
      <c r="E766" s="12">
        <f>IFERROR(__xludf.DUMMYFUNCTION("""COMPUTED_VALUE"""),2.0)</f>
        <v>2</v>
      </c>
      <c r="F766" s="12">
        <f>IFERROR(__xludf.DUMMYFUNCTION("""COMPUTED_VALUE"""),3.0)</f>
        <v>3</v>
      </c>
      <c r="G766" s="15" t="str">
        <f>IFERROR(__xludf.DUMMYFUNCTION("""COMPUTED_VALUE"""),"Pendiente")</f>
        <v>Pendiente</v>
      </c>
      <c r="H766" s="16" t="str">
        <f t="array" ref="H766">_xlfn.XLOOKUP(D766,Productos[ID_Producto],Productos[Nombre_Producto])</f>
        <v>Queso rallado</v>
      </c>
      <c r="I766" s="17">
        <f t="array" ref="I766">_xlfn.XLOOKUP(D766,Productos[ID_Producto],Productos[Precio_Unitario])</f>
        <v>19.23</v>
      </c>
      <c r="J766" s="17">
        <f t="shared" si="1"/>
        <v>38.46</v>
      </c>
      <c r="K766" s="16" t="str">
        <f t="array" ref="K766">_xlfn.XLOOKUP(C766,Clientes[ID_Cliente],Clientes[Provincia])</f>
        <v>Córdoba</v>
      </c>
      <c r="L766" s="16" t="str">
        <f t="array" ref="L766">CONCATENATE(_xlfn.XLOOKUP(C766,Clientes[ID_Cliente],Clientes[Provincia]),", Argentina")</f>
        <v>Córdoba, Argentina</v>
      </c>
      <c r="M766" s="20" t="str">
        <f t="array" ref="M766">_xlfn.XLOOKUP(F766,Metodos_De_Pago[ID_Metodo],Metodos_De_Pago[Metodo])</f>
        <v>Tarjeta de Débito</v>
      </c>
      <c r="N766" s="20" t="str">
        <f t="shared" si="2"/>
        <v>2024 07</v>
      </c>
    </row>
    <row r="767" ht="22.5" customHeight="1">
      <c r="A767" s="12">
        <f>IFERROR(__xludf.DUMMYFUNCTION("""COMPUTED_VALUE"""),974.0)</f>
        <v>974</v>
      </c>
      <c r="B767" s="13">
        <f>IFERROR(__xludf.DUMMYFUNCTION("""COMPUTED_VALUE"""),45490.0)</f>
        <v>45490</v>
      </c>
      <c r="C767" s="12">
        <f>IFERROR(__xludf.DUMMYFUNCTION("""COMPUTED_VALUE"""),175.0)</f>
        <v>175</v>
      </c>
      <c r="D767" s="12">
        <f>IFERROR(__xludf.DUMMYFUNCTION("""COMPUTED_VALUE"""),23.0)</f>
        <v>23</v>
      </c>
      <c r="E767" s="12">
        <f>IFERROR(__xludf.DUMMYFUNCTION("""COMPUTED_VALUE"""),2.0)</f>
        <v>2</v>
      </c>
      <c r="F767" s="12">
        <f>IFERROR(__xludf.DUMMYFUNCTION("""COMPUTED_VALUE"""),5.0)</f>
        <v>5</v>
      </c>
      <c r="G767" s="15" t="str">
        <f>IFERROR(__xludf.DUMMYFUNCTION("""COMPUTED_VALUE"""),"Completa")</f>
        <v>Completa</v>
      </c>
      <c r="H767" s="16" t="str">
        <f t="array" ref="H767">_xlfn.XLOOKUP(D767,Productos[ID_Producto],Productos[Nombre_Producto])</f>
        <v>Papas fritas</v>
      </c>
      <c r="I767" s="17">
        <f t="array" ref="I767">_xlfn.XLOOKUP(D767,Productos[ID_Producto],Productos[Precio_Unitario])</f>
        <v>8.23</v>
      </c>
      <c r="J767" s="17">
        <f t="shared" si="1"/>
        <v>16.46</v>
      </c>
      <c r="K767" s="16" t="str">
        <f t="array" ref="K767">_xlfn.XLOOKUP(C767,Clientes[ID_Cliente],Clientes[Provincia])</f>
        <v>Buenos Aires</v>
      </c>
      <c r="L767" s="16" t="str">
        <f t="array" ref="L767">CONCATENATE(_xlfn.XLOOKUP(C767,Clientes[ID_Cliente],Clientes[Provincia]),", Argentina")</f>
        <v>Buenos Aires, Argentina</v>
      </c>
      <c r="M767" s="20" t="str">
        <f t="array" ref="M767">_xlfn.XLOOKUP(F767,Metodos_De_Pago[ID_Metodo],Metodos_De_Pago[Metodo])</f>
        <v>Transferencia</v>
      </c>
      <c r="N767" s="20" t="str">
        <f t="shared" si="2"/>
        <v>2024 07</v>
      </c>
    </row>
    <row r="768" ht="22.5" customHeight="1">
      <c r="A768" s="12">
        <f>IFERROR(__xludf.DUMMYFUNCTION("""COMPUTED_VALUE"""),1664.0)</f>
        <v>1664</v>
      </c>
      <c r="B768" s="13">
        <f>IFERROR(__xludf.DUMMYFUNCTION("""COMPUTED_VALUE"""),45490.0)</f>
        <v>45490</v>
      </c>
      <c r="C768" s="12">
        <f>IFERROR(__xludf.DUMMYFUNCTION("""COMPUTED_VALUE"""),17.0)</f>
        <v>17</v>
      </c>
      <c r="D768" s="12">
        <f>IFERROR(__xludf.DUMMYFUNCTION("""COMPUTED_VALUE"""),11.0)</f>
        <v>11</v>
      </c>
      <c r="E768" s="12">
        <f>IFERROR(__xludf.DUMMYFUNCTION("""COMPUTED_VALUE"""),2.0)</f>
        <v>2</v>
      </c>
      <c r="F768" s="12">
        <f>IFERROR(__xludf.DUMMYFUNCTION("""COMPUTED_VALUE"""),4.0)</f>
        <v>4</v>
      </c>
      <c r="G768" s="15" t="str">
        <f>IFERROR(__xludf.DUMMYFUNCTION("""COMPUTED_VALUE"""),"Pendiente")</f>
        <v>Pendiente</v>
      </c>
      <c r="H768" s="16" t="str">
        <f t="array" ref="H768">_xlfn.XLOOKUP(D768,Productos[ID_Producto],Productos[Nombre_Producto])</f>
        <v>Salchicha</v>
      </c>
      <c r="I768" s="17">
        <f t="array" ref="I768">_xlfn.XLOOKUP(D768,Productos[ID_Producto],Productos[Precio_Unitario])</f>
        <v>11.23</v>
      </c>
      <c r="J768" s="17">
        <f t="shared" si="1"/>
        <v>22.46</v>
      </c>
      <c r="K768" s="16" t="str">
        <f t="array" ref="K768">_xlfn.XLOOKUP(C768,Clientes[ID_Cliente],Clientes[Provincia])</f>
        <v>Buenos Aires</v>
      </c>
      <c r="L768" s="16" t="str">
        <f t="array" ref="L768">CONCATENATE(_xlfn.XLOOKUP(C768,Clientes[ID_Cliente],Clientes[Provincia]),", Argentina")</f>
        <v>Buenos Aires, Argentina</v>
      </c>
      <c r="M768" s="20" t="str">
        <f t="array" ref="M768">_xlfn.XLOOKUP(F768,Metodos_De_Pago[ID_Metodo],Metodos_De_Pago[Metodo])</f>
        <v>Mercado Pago</v>
      </c>
      <c r="N768" s="20" t="str">
        <f t="shared" si="2"/>
        <v>2024 07</v>
      </c>
    </row>
    <row r="769" ht="22.5" customHeight="1">
      <c r="A769" s="12">
        <f>IFERROR(__xludf.DUMMYFUNCTION("""COMPUTED_VALUE"""),2061.0)</f>
        <v>2061</v>
      </c>
      <c r="B769" s="13">
        <f>IFERROR(__xludf.DUMMYFUNCTION("""COMPUTED_VALUE"""),45490.0)</f>
        <v>45490</v>
      </c>
      <c r="C769" s="12">
        <f>IFERROR(__xludf.DUMMYFUNCTION("""COMPUTED_VALUE"""),318.0)</f>
        <v>318</v>
      </c>
      <c r="D769" s="12">
        <f>IFERROR(__xludf.DUMMYFUNCTION("""COMPUTED_VALUE"""),30.0)</f>
        <v>30</v>
      </c>
      <c r="E769" s="12">
        <f>IFERROR(__xludf.DUMMYFUNCTION("""COMPUTED_VALUE"""),2.0)</f>
        <v>2</v>
      </c>
      <c r="F769" s="12">
        <f>IFERROR(__xludf.DUMMYFUNCTION("""COMPUTED_VALUE"""),4.0)</f>
        <v>4</v>
      </c>
      <c r="G769" s="15" t="str">
        <f>IFERROR(__xludf.DUMMYFUNCTION("""COMPUTED_VALUE"""),"Completa")</f>
        <v>Completa</v>
      </c>
      <c r="H769" s="16" t="str">
        <f t="array" ref="H769">_xlfn.XLOOKUP(D769,Productos[ID_Producto],Productos[Nombre_Producto])</f>
        <v>Vino tinto</v>
      </c>
      <c r="I769" s="17">
        <f t="array" ref="I769">_xlfn.XLOOKUP(D769,Productos[ID_Producto],Productos[Precio_Unitario])</f>
        <v>13.54</v>
      </c>
      <c r="J769" s="17">
        <f t="shared" si="1"/>
        <v>27.08</v>
      </c>
      <c r="K769" s="16" t="str">
        <f t="array" ref="K769">_xlfn.XLOOKUP(C769,Clientes[ID_Cliente],Clientes[Provincia])</f>
        <v>Buenos Aires</v>
      </c>
      <c r="L769" s="16" t="str">
        <f t="array" ref="L769">CONCATENATE(_xlfn.XLOOKUP(C769,Clientes[ID_Cliente],Clientes[Provincia]),", Argentina")</f>
        <v>Buenos Aires, Argentina</v>
      </c>
      <c r="M769" s="20" t="str">
        <f t="array" ref="M769">_xlfn.XLOOKUP(F769,Metodos_De_Pago[ID_Metodo],Metodos_De_Pago[Metodo])</f>
        <v>Mercado Pago</v>
      </c>
      <c r="N769" s="20" t="str">
        <f t="shared" si="2"/>
        <v>2024 07</v>
      </c>
    </row>
    <row r="770" ht="22.5" customHeight="1">
      <c r="A770" s="12">
        <f>IFERROR(__xludf.DUMMYFUNCTION("""COMPUTED_VALUE"""),335.0)</f>
        <v>335</v>
      </c>
      <c r="B770" s="13">
        <f>IFERROR(__xludf.DUMMYFUNCTION("""COMPUTED_VALUE"""),45492.0)</f>
        <v>45492</v>
      </c>
      <c r="C770" s="12">
        <f>IFERROR(__xludf.DUMMYFUNCTION("""COMPUTED_VALUE"""),277.0)</f>
        <v>277</v>
      </c>
      <c r="D770" s="12">
        <f>IFERROR(__xludf.DUMMYFUNCTION("""COMPUTED_VALUE"""),11.0)</f>
        <v>11</v>
      </c>
      <c r="E770" s="12">
        <f>IFERROR(__xludf.DUMMYFUNCTION("""COMPUTED_VALUE"""),2.0)</f>
        <v>2</v>
      </c>
      <c r="F770" s="12">
        <f>IFERROR(__xludf.DUMMYFUNCTION("""COMPUTED_VALUE"""),4.0)</f>
        <v>4</v>
      </c>
      <c r="G770" s="15" t="str">
        <f>IFERROR(__xludf.DUMMYFUNCTION("""COMPUTED_VALUE"""),"Pendiente")</f>
        <v>Pendiente</v>
      </c>
      <c r="H770" s="16" t="str">
        <f t="array" ref="H770">_xlfn.XLOOKUP(D770,Productos[ID_Producto],Productos[Nombre_Producto])</f>
        <v>Salchicha</v>
      </c>
      <c r="I770" s="17">
        <f t="array" ref="I770">_xlfn.XLOOKUP(D770,Productos[ID_Producto],Productos[Precio_Unitario])</f>
        <v>11.23</v>
      </c>
      <c r="J770" s="17">
        <f t="shared" si="1"/>
        <v>22.46</v>
      </c>
      <c r="K770" s="16" t="str">
        <f t="array" ref="K770">_xlfn.XLOOKUP(C770,Clientes[ID_Cliente],Clientes[Provincia])</f>
        <v>Neuquén</v>
      </c>
      <c r="L770" s="16" t="str">
        <f t="array" ref="L770">CONCATENATE(_xlfn.XLOOKUP(C770,Clientes[ID_Cliente],Clientes[Provincia]),", Argentina")</f>
        <v>Neuquén, Argentina</v>
      </c>
      <c r="M770" s="20" t="str">
        <f t="array" ref="M770">_xlfn.XLOOKUP(F770,Metodos_De_Pago[ID_Metodo],Metodos_De_Pago[Metodo])</f>
        <v>Mercado Pago</v>
      </c>
      <c r="N770" s="20" t="str">
        <f t="shared" si="2"/>
        <v>2024 07</v>
      </c>
    </row>
    <row r="771" ht="22.5" customHeight="1">
      <c r="A771" s="12">
        <f>IFERROR(__xludf.DUMMYFUNCTION("""COMPUTED_VALUE"""),2977.0)</f>
        <v>2977</v>
      </c>
      <c r="B771" s="13">
        <f>IFERROR(__xludf.DUMMYFUNCTION("""COMPUTED_VALUE"""),45492.0)</f>
        <v>45492</v>
      </c>
      <c r="C771" s="12">
        <f>IFERROR(__xludf.DUMMYFUNCTION("""COMPUTED_VALUE"""),288.0)</f>
        <v>288</v>
      </c>
      <c r="D771" s="12">
        <f>IFERROR(__xludf.DUMMYFUNCTION("""COMPUTED_VALUE"""),21.0)</f>
        <v>21</v>
      </c>
      <c r="E771" s="12">
        <f>IFERROR(__xludf.DUMMYFUNCTION("""COMPUTED_VALUE"""),2.0)</f>
        <v>2</v>
      </c>
      <c r="F771" s="12">
        <f>IFERROR(__xludf.DUMMYFUNCTION("""COMPUTED_VALUE"""),2.0)</f>
        <v>2</v>
      </c>
      <c r="G771" s="15" t="str">
        <f>IFERROR(__xludf.DUMMYFUNCTION("""COMPUTED_VALUE"""),"Completa")</f>
        <v>Completa</v>
      </c>
      <c r="H771" s="16" t="str">
        <f t="array" ref="H771">_xlfn.XLOOKUP(D771,Productos[ID_Producto],Productos[Nombre_Producto])</f>
        <v>Zanahorias</v>
      </c>
      <c r="I771" s="17">
        <f t="array" ref="I771">_xlfn.XLOOKUP(D771,Productos[ID_Producto],Productos[Precio_Unitario])</f>
        <v>3.25</v>
      </c>
      <c r="J771" s="17">
        <f t="shared" si="1"/>
        <v>6.5</v>
      </c>
      <c r="K771" s="16" t="str">
        <f t="array" ref="K771">_xlfn.XLOOKUP(C771,Clientes[ID_Cliente],Clientes[Provincia])</f>
        <v>Buenos Aires</v>
      </c>
      <c r="L771" s="16" t="str">
        <f t="array" ref="L771">CONCATENATE(_xlfn.XLOOKUP(C771,Clientes[ID_Cliente],Clientes[Provincia]),", Argentina")</f>
        <v>Buenos Aires, Argentina</v>
      </c>
      <c r="M771" s="20" t="str">
        <f t="array" ref="M771">_xlfn.XLOOKUP(F771,Metodos_De_Pago[ID_Metodo],Metodos_De_Pago[Metodo])</f>
        <v>Tarjeta de Crédito</v>
      </c>
      <c r="N771" s="20" t="str">
        <f t="shared" si="2"/>
        <v>2024 07</v>
      </c>
    </row>
    <row r="772" ht="22.5" customHeight="1">
      <c r="A772" s="12">
        <f>IFERROR(__xludf.DUMMYFUNCTION("""COMPUTED_VALUE"""),682.0)</f>
        <v>682</v>
      </c>
      <c r="B772" s="13">
        <f>IFERROR(__xludf.DUMMYFUNCTION("""COMPUTED_VALUE"""),45493.0)</f>
        <v>45493</v>
      </c>
      <c r="C772" s="12">
        <f>IFERROR(__xludf.DUMMYFUNCTION("""COMPUTED_VALUE"""),200.0)</f>
        <v>200</v>
      </c>
      <c r="D772" s="12">
        <f>IFERROR(__xludf.DUMMYFUNCTION("""COMPUTED_VALUE"""),17.0)</f>
        <v>17</v>
      </c>
      <c r="E772" s="12">
        <f>IFERROR(__xludf.DUMMYFUNCTION("""COMPUTED_VALUE"""),2.0)</f>
        <v>2</v>
      </c>
      <c r="F772" s="12">
        <f>IFERROR(__xludf.DUMMYFUNCTION("""COMPUTED_VALUE"""),2.0)</f>
        <v>2</v>
      </c>
      <c r="G772" s="15" t="str">
        <f>IFERROR(__xludf.DUMMYFUNCTION("""COMPUTED_VALUE"""),"Completa")</f>
        <v>Completa</v>
      </c>
      <c r="H772" s="16" t="str">
        <f t="array" ref="H772">_xlfn.XLOOKUP(D772,Productos[ID_Producto],Productos[Nombre_Producto])</f>
        <v>Manzanas</v>
      </c>
      <c r="I772" s="17">
        <f t="array" ref="I772">_xlfn.XLOOKUP(D772,Productos[ID_Producto],Productos[Precio_Unitario])</f>
        <v>6.54</v>
      </c>
      <c r="J772" s="17">
        <f t="shared" si="1"/>
        <v>13.08</v>
      </c>
      <c r="K772" s="16" t="str">
        <f t="array" ref="K772">_xlfn.XLOOKUP(C772,Clientes[ID_Cliente],Clientes[Provincia])</f>
        <v>Córdoba</v>
      </c>
      <c r="L772" s="16" t="str">
        <f t="array" ref="L772">CONCATENATE(_xlfn.XLOOKUP(C772,Clientes[ID_Cliente],Clientes[Provincia]),", Argentina")</f>
        <v>Córdoba, Argentina</v>
      </c>
      <c r="M772" s="20" t="str">
        <f t="array" ref="M772">_xlfn.XLOOKUP(F772,Metodos_De_Pago[ID_Metodo],Metodos_De_Pago[Metodo])</f>
        <v>Tarjeta de Crédito</v>
      </c>
      <c r="N772" s="20" t="str">
        <f t="shared" si="2"/>
        <v>2024 07</v>
      </c>
    </row>
    <row r="773" ht="22.5" customHeight="1">
      <c r="A773" s="12">
        <f>IFERROR(__xludf.DUMMYFUNCTION("""COMPUTED_VALUE"""),1547.0)</f>
        <v>1547</v>
      </c>
      <c r="B773" s="13">
        <f>IFERROR(__xludf.DUMMYFUNCTION("""COMPUTED_VALUE"""),45493.0)</f>
        <v>45493</v>
      </c>
      <c r="C773" s="12">
        <f>IFERROR(__xludf.DUMMYFUNCTION("""COMPUTED_VALUE"""),122.0)</f>
        <v>122</v>
      </c>
      <c r="D773" s="12">
        <f>IFERROR(__xludf.DUMMYFUNCTION("""COMPUTED_VALUE"""),21.0)</f>
        <v>21</v>
      </c>
      <c r="E773" s="12">
        <f>IFERROR(__xludf.DUMMYFUNCTION("""COMPUTED_VALUE"""),2.0)</f>
        <v>2</v>
      </c>
      <c r="F773" s="12">
        <f>IFERROR(__xludf.DUMMYFUNCTION("""COMPUTED_VALUE"""),2.0)</f>
        <v>2</v>
      </c>
      <c r="G773" s="15" t="str">
        <f>IFERROR(__xludf.DUMMYFUNCTION("""COMPUTED_VALUE"""),"Completa")</f>
        <v>Completa</v>
      </c>
      <c r="H773" s="16" t="str">
        <f t="array" ref="H773">_xlfn.XLOOKUP(D773,Productos[ID_Producto],Productos[Nombre_Producto])</f>
        <v>Zanahorias</v>
      </c>
      <c r="I773" s="17">
        <f t="array" ref="I773">_xlfn.XLOOKUP(D773,Productos[ID_Producto],Productos[Precio_Unitario])</f>
        <v>3.25</v>
      </c>
      <c r="J773" s="17">
        <f t="shared" si="1"/>
        <v>6.5</v>
      </c>
      <c r="K773" s="16" t="str">
        <f t="array" ref="K773">_xlfn.XLOOKUP(C773,Clientes[ID_Cliente],Clientes[Provincia])</f>
        <v>Córdoba</v>
      </c>
      <c r="L773" s="16" t="str">
        <f t="array" ref="L773">CONCATENATE(_xlfn.XLOOKUP(C773,Clientes[ID_Cliente],Clientes[Provincia]),", Argentina")</f>
        <v>Córdoba, Argentina</v>
      </c>
      <c r="M773" s="20" t="str">
        <f t="array" ref="M773">_xlfn.XLOOKUP(F773,Metodos_De_Pago[ID_Metodo],Metodos_De_Pago[Metodo])</f>
        <v>Tarjeta de Crédito</v>
      </c>
      <c r="N773" s="20" t="str">
        <f t="shared" si="2"/>
        <v>2024 07</v>
      </c>
    </row>
    <row r="774" ht="22.5" customHeight="1">
      <c r="A774" s="12">
        <f>IFERROR(__xludf.DUMMYFUNCTION("""COMPUTED_VALUE"""),2676.0)</f>
        <v>2676</v>
      </c>
      <c r="B774" s="13">
        <f>IFERROR(__xludf.DUMMYFUNCTION("""COMPUTED_VALUE"""),45493.0)</f>
        <v>45493</v>
      </c>
      <c r="C774" s="12">
        <f>IFERROR(__xludf.DUMMYFUNCTION("""COMPUTED_VALUE"""),83.0)</f>
        <v>83</v>
      </c>
      <c r="D774" s="12">
        <f>IFERROR(__xludf.DUMMYFUNCTION("""COMPUTED_VALUE"""),25.0)</f>
        <v>25</v>
      </c>
      <c r="E774" s="12">
        <f>IFERROR(__xludf.DUMMYFUNCTION("""COMPUTED_VALUE"""),2.0)</f>
        <v>2</v>
      </c>
      <c r="F774" s="12">
        <f>IFERROR(__xludf.DUMMYFUNCTION("""COMPUTED_VALUE"""),4.0)</f>
        <v>4</v>
      </c>
      <c r="G774" s="15" t="str">
        <f>IFERROR(__xludf.DUMMYFUNCTION("""COMPUTED_VALUE"""),"Completa")</f>
        <v>Completa</v>
      </c>
      <c r="H774" s="16" t="str">
        <f t="array" ref="H774">_xlfn.XLOOKUP(D774,Productos[ID_Producto],Productos[Nombre_Producto])</f>
        <v>Pizza congelada</v>
      </c>
      <c r="I774" s="17">
        <f t="array" ref="I774">_xlfn.XLOOKUP(D774,Productos[ID_Producto],Productos[Precio_Unitario])</f>
        <v>15.45</v>
      </c>
      <c r="J774" s="17">
        <f t="shared" si="1"/>
        <v>30.9</v>
      </c>
      <c r="K774" s="16" t="str">
        <f t="array" ref="K774">_xlfn.XLOOKUP(C774,Clientes[ID_Cliente],Clientes[Provincia])</f>
        <v>Buenos Aires</v>
      </c>
      <c r="L774" s="16" t="str">
        <f t="array" ref="L774">CONCATENATE(_xlfn.XLOOKUP(C774,Clientes[ID_Cliente],Clientes[Provincia]),", Argentina")</f>
        <v>Buenos Aires, Argentina</v>
      </c>
      <c r="M774" s="20" t="str">
        <f t="array" ref="M774">_xlfn.XLOOKUP(F774,Metodos_De_Pago[ID_Metodo],Metodos_De_Pago[Metodo])</f>
        <v>Mercado Pago</v>
      </c>
      <c r="N774" s="20" t="str">
        <f t="shared" si="2"/>
        <v>2024 07</v>
      </c>
    </row>
    <row r="775" ht="22.5" customHeight="1">
      <c r="A775" s="12">
        <f>IFERROR(__xludf.DUMMYFUNCTION("""COMPUTED_VALUE"""),1017.0)</f>
        <v>1017</v>
      </c>
      <c r="B775" s="13">
        <f>IFERROR(__xludf.DUMMYFUNCTION("""COMPUTED_VALUE"""),45494.0)</f>
        <v>45494</v>
      </c>
      <c r="C775" s="12">
        <f>IFERROR(__xludf.DUMMYFUNCTION("""COMPUTED_VALUE"""),200.0)</f>
        <v>200</v>
      </c>
      <c r="D775" s="12">
        <f>IFERROR(__xludf.DUMMYFUNCTION("""COMPUTED_VALUE"""),24.0)</f>
        <v>24</v>
      </c>
      <c r="E775" s="12">
        <f>IFERROR(__xludf.DUMMYFUNCTION("""COMPUTED_VALUE"""),2.0)</f>
        <v>2</v>
      </c>
      <c r="F775" s="12">
        <f>IFERROR(__xludf.DUMMYFUNCTION("""COMPUTED_VALUE"""),3.0)</f>
        <v>3</v>
      </c>
      <c r="G775" s="15" t="str">
        <f>IFERROR(__xludf.DUMMYFUNCTION("""COMPUTED_VALUE"""),"Completa")</f>
        <v>Completa</v>
      </c>
      <c r="H775" s="16" t="str">
        <f t="array" ref="H775">_xlfn.XLOOKUP(D775,Productos[ID_Producto],Productos[Nombre_Producto])</f>
        <v>Empanadas</v>
      </c>
      <c r="I775" s="17">
        <f t="array" ref="I775">_xlfn.XLOOKUP(D775,Productos[ID_Producto],Productos[Precio_Unitario])</f>
        <v>13.54</v>
      </c>
      <c r="J775" s="17">
        <f t="shared" si="1"/>
        <v>27.08</v>
      </c>
      <c r="K775" s="16" t="str">
        <f t="array" ref="K775">_xlfn.XLOOKUP(C775,Clientes[ID_Cliente],Clientes[Provincia])</f>
        <v>Córdoba</v>
      </c>
      <c r="L775" s="16" t="str">
        <f t="array" ref="L775">CONCATENATE(_xlfn.XLOOKUP(C775,Clientes[ID_Cliente],Clientes[Provincia]),", Argentina")</f>
        <v>Córdoba, Argentina</v>
      </c>
      <c r="M775" s="20" t="str">
        <f t="array" ref="M775">_xlfn.XLOOKUP(F775,Metodos_De_Pago[ID_Metodo],Metodos_De_Pago[Metodo])</f>
        <v>Tarjeta de Débito</v>
      </c>
      <c r="N775" s="20" t="str">
        <f t="shared" si="2"/>
        <v>2024 07</v>
      </c>
    </row>
    <row r="776" ht="22.5" customHeight="1">
      <c r="A776" s="12">
        <f>IFERROR(__xludf.DUMMYFUNCTION("""COMPUTED_VALUE"""),1023.0)</f>
        <v>1023</v>
      </c>
      <c r="B776" s="13">
        <f>IFERROR(__xludf.DUMMYFUNCTION("""COMPUTED_VALUE"""),45494.0)</f>
        <v>45494</v>
      </c>
      <c r="C776" s="12">
        <f>IFERROR(__xludf.DUMMYFUNCTION("""COMPUTED_VALUE"""),104.0)</f>
        <v>104</v>
      </c>
      <c r="D776" s="12">
        <f>IFERROR(__xludf.DUMMYFUNCTION("""COMPUTED_VALUE"""),4.0)</f>
        <v>4</v>
      </c>
      <c r="E776" s="12">
        <f>IFERROR(__xludf.DUMMYFUNCTION("""COMPUTED_VALUE"""),2.0)</f>
        <v>2</v>
      </c>
      <c r="F776" s="12">
        <f>IFERROR(__xludf.DUMMYFUNCTION("""COMPUTED_VALUE"""),5.0)</f>
        <v>5</v>
      </c>
      <c r="G776" s="15" t="str">
        <f>IFERROR(__xludf.DUMMYFUNCTION("""COMPUTED_VALUE"""),"Pendiente")</f>
        <v>Pendiente</v>
      </c>
      <c r="H776" s="16" t="str">
        <f t="array" ref="H776">_xlfn.XLOOKUP(D776,Productos[ID_Producto],Productos[Nombre_Producto])</f>
        <v>Queso rallado</v>
      </c>
      <c r="I776" s="17">
        <f t="array" ref="I776">_xlfn.XLOOKUP(D776,Productos[ID_Producto],Productos[Precio_Unitario])</f>
        <v>19.23</v>
      </c>
      <c r="J776" s="17">
        <f t="shared" si="1"/>
        <v>38.46</v>
      </c>
      <c r="K776" s="16" t="str">
        <f t="array" ref="K776">_xlfn.XLOOKUP(C776,Clientes[ID_Cliente],Clientes[Provincia])</f>
        <v>Buenos Aires</v>
      </c>
      <c r="L776" s="16" t="str">
        <f t="array" ref="L776">CONCATENATE(_xlfn.XLOOKUP(C776,Clientes[ID_Cliente],Clientes[Provincia]),", Argentina")</f>
        <v>Buenos Aires, Argentina</v>
      </c>
      <c r="M776" s="20" t="str">
        <f t="array" ref="M776">_xlfn.XLOOKUP(F776,Metodos_De_Pago[ID_Metodo],Metodos_De_Pago[Metodo])</f>
        <v>Transferencia</v>
      </c>
      <c r="N776" s="20" t="str">
        <f t="shared" si="2"/>
        <v>2024 07</v>
      </c>
    </row>
    <row r="777" ht="22.5" customHeight="1">
      <c r="A777" s="12">
        <f>IFERROR(__xludf.DUMMYFUNCTION("""COMPUTED_VALUE"""),1887.0)</f>
        <v>1887</v>
      </c>
      <c r="B777" s="13">
        <f>IFERROR(__xludf.DUMMYFUNCTION("""COMPUTED_VALUE"""),45494.0)</f>
        <v>45494</v>
      </c>
      <c r="C777" s="12">
        <f>IFERROR(__xludf.DUMMYFUNCTION("""COMPUTED_VALUE"""),19.0)</f>
        <v>19</v>
      </c>
      <c r="D777" s="12">
        <f>IFERROR(__xludf.DUMMYFUNCTION("""COMPUTED_VALUE"""),19.0)</f>
        <v>19</v>
      </c>
      <c r="E777" s="12">
        <f>IFERROR(__xludf.DUMMYFUNCTION("""COMPUTED_VALUE"""),2.0)</f>
        <v>2</v>
      </c>
      <c r="F777" s="12">
        <f>IFERROR(__xludf.DUMMYFUNCTION("""COMPUTED_VALUE"""),5.0)</f>
        <v>5</v>
      </c>
      <c r="G777" s="15" t="str">
        <f>IFERROR(__xludf.DUMMYFUNCTION("""COMPUTED_VALUE"""),"Completa")</f>
        <v>Completa</v>
      </c>
      <c r="H777" s="16" t="str">
        <f t="array" ref="H777">_xlfn.XLOOKUP(D777,Productos[ID_Producto],Productos[Nombre_Producto])</f>
        <v>Tomates</v>
      </c>
      <c r="I777" s="17">
        <f t="array" ref="I777">_xlfn.XLOOKUP(D777,Productos[ID_Producto],Productos[Precio_Unitario])</f>
        <v>6.54</v>
      </c>
      <c r="J777" s="17">
        <f t="shared" si="1"/>
        <v>13.08</v>
      </c>
      <c r="K777" s="16" t="str">
        <f t="array" ref="K777">_xlfn.XLOOKUP(C777,Clientes[ID_Cliente],Clientes[Provincia])</f>
        <v>Córdoba</v>
      </c>
      <c r="L777" s="16" t="str">
        <f t="array" ref="L777">CONCATENATE(_xlfn.XLOOKUP(C777,Clientes[ID_Cliente],Clientes[Provincia]),", Argentina")</f>
        <v>Córdoba, Argentina</v>
      </c>
      <c r="M777" s="20" t="str">
        <f t="array" ref="M777">_xlfn.XLOOKUP(F777,Metodos_De_Pago[ID_Metodo],Metodos_De_Pago[Metodo])</f>
        <v>Transferencia</v>
      </c>
      <c r="N777" s="20" t="str">
        <f t="shared" si="2"/>
        <v>2024 07</v>
      </c>
    </row>
    <row r="778" ht="22.5" customHeight="1">
      <c r="A778" s="12">
        <f>IFERROR(__xludf.DUMMYFUNCTION("""COMPUTED_VALUE"""),1943.0)</f>
        <v>1943</v>
      </c>
      <c r="B778" s="13">
        <f>IFERROR(__xludf.DUMMYFUNCTION("""COMPUTED_VALUE"""),45494.0)</f>
        <v>45494</v>
      </c>
      <c r="C778" s="12">
        <f>IFERROR(__xludf.DUMMYFUNCTION("""COMPUTED_VALUE"""),235.0)</f>
        <v>235</v>
      </c>
      <c r="D778" s="12">
        <f>IFERROR(__xludf.DUMMYFUNCTION("""COMPUTED_VALUE"""),15.0)</f>
        <v>15</v>
      </c>
      <c r="E778" s="12">
        <f>IFERROR(__xludf.DUMMYFUNCTION("""COMPUTED_VALUE"""),2.0)</f>
        <v>2</v>
      </c>
      <c r="F778" s="12">
        <f>IFERROR(__xludf.DUMMYFUNCTION("""COMPUTED_VALUE"""),4.0)</f>
        <v>4</v>
      </c>
      <c r="G778" s="15" t="str">
        <f>IFERROR(__xludf.DUMMYFUNCTION("""COMPUTED_VALUE"""),"Completa")</f>
        <v>Completa</v>
      </c>
      <c r="H778" s="16" t="str">
        <f t="array" ref="H778">_xlfn.XLOOKUP(D778,Productos[ID_Producto],Productos[Nombre_Producto])</f>
        <v>Medialunas</v>
      </c>
      <c r="I778" s="17">
        <f t="array" ref="I778">_xlfn.XLOOKUP(D778,Productos[ID_Producto],Productos[Precio_Unitario])</f>
        <v>3.51</v>
      </c>
      <c r="J778" s="17">
        <f t="shared" si="1"/>
        <v>7.02</v>
      </c>
      <c r="K778" s="16" t="str">
        <f t="array" ref="K778">_xlfn.XLOOKUP(C778,Clientes[ID_Cliente],Clientes[Provincia])</f>
        <v>Chaco</v>
      </c>
      <c r="L778" s="16" t="str">
        <f t="array" ref="L778">CONCATENATE(_xlfn.XLOOKUP(C778,Clientes[ID_Cliente],Clientes[Provincia]),", Argentina")</f>
        <v>Chaco, Argentina</v>
      </c>
      <c r="M778" s="20" t="str">
        <f t="array" ref="M778">_xlfn.XLOOKUP(F778,Metodos_De_Pago[ID_Metodo],Metodos_De_Pago[Metodo])</f>
        <v>Mercado Pago</v>
      </c>
      <c r="N778" s="20" t="str">
        <f t="shared" si="2"/>
        <v>2024 07</v>
      </c>
    </row>
    <row r="779" ht="22.5" customHeight="1">
      <c r="A779" s="12">
        <f>IFERROR(__xludf.DUMMYFUNCTION("""COMPUTED_VALUE"""),2111.0)</f>
        <v>2111</v>
      </c>
      <c r="B779" s="13">
        <f>IFERROR(__xludf.DUMMYFUNCTION("""COMPUTED_VALUE"""),45494.0)</f>
        <v>45494</v>
      </c>
      <c r="C779" s="12">
        <f>IFERROR(__xludf.DUMMYFUNCTION("""COMPUTED_VALUE"""),289.0)</f>
        <v>289</v>
      </c>
      <c r="D779" s="12">
        <f>IFERROR(__xludf.DUMMYFUNCTION("""COMPUTED_VALUE"""),23.0)</f>
        <v>23</v>
      </c>
      <c r="E779" s="12">
        <f>IFERROR(__xludf.DUMMYFUNCTION("""COMPUTED_VALUE"""),2.0)</f>
        <v>2</v>
      </c>
      <c r="F779" s="12">
        <f>IFERROR(__xludf.DUMMYFUNCTION("""COMPUTED_VALUE"""),3.0)</f>
        <v>3</v>
      </c>
      <c r="G779" s="15" t="str">
        <f>IFERROR(__xludf.DUMMYFUNCTION("""COMPUTED_VALUE"""),"Completa")</f>
        <v>Completa</v>
      </c>
      <c r="H779" s="16" t="str">
        <f t="array" ref="H779">_xlfn.XLOOKUP(D779,Productos[ID_Producto],Productos[Nombre_Producto])</f>
        <v>Papas fritas</v>
      </c>
      <c r="I779" s="17">
        <f t="array" ref="I779">_xlfn.XLOOKUP(D779,Productos[ID_Producto],Productos[Precio_Unitario])</f>
        <v>8.23</v>
      </c>
      <c r="J779" s="17">
        <f t="shared" si="1"/>
        <v>16.46</v>
      </c>
      <c r="K779" s="16" t="str">
        <f t="array" ref="K779">_xlfn.XLOOKUP(C779,Clientes[ID_Cliente],Clientes[Provincia])</f>
        <v>San Luis</v>
      </c>
      <c r="L779" s="16" t="str">
        <f t="array" ref="L779">CONCATENATE(_xlfn.XLOOKUP(C779,Clientes[ID_Cliente],Clientes[Provincia]),", Argentina")</f>
        <v>San Luis, Argentina</v>
      </c>
      <c r="M779" s="20" t="str">
        <f t="array" ref="M779">_xlfn.XLOOKUP(F779,Metodos_De_Pago[ID_Metodo],Metodos_De_Pago[Metodo])</f>
        <v>Tarjeta de Débito</v>
      </c>
      <c r="N779" s="20" t="str">
        <f t="shared" si="2"/>
        <v>2024 07</v>
      </c>
    </row>
    <row r="780" ht="22.5" customHeight="1">
      <c r="A780" s="12">
        <f>IFERROR(__xludf.DUMMYFUNCTION("""COMPUTED_VALUE"""),81.0)</f>
        <v>81</v>
      </c>
      <c r="B780" s="13">
        <f>IFERROR(__xludf.DUMMYFUNCTION("""COMPUTED_VALUE"""),45495.0)</f>
        <v>45495</v>
      </c>
      <c r="C780" s="12">
        <f>IFERROR(__xludf.DUMMYFUNCTION("""COMPUTED_VALUE"""),160.0)</f>
        <v>160</v>
      </c>
      <c r="D780" s="12">
        <f>IFERROR(__xludf.DUMMYFUNCTION("""COMPUTED_VALUE"""),10.0)</f>
        <v>10</v>
      </c>
      <c r="E780" s="12">
        <f>IFERROR(__xludf.DUMMYFUNCTION("""COMPUTED_VALUE"""),2.0)</f>
        <v>2</v>
      </c>
      <c r="F780" s="12">
        <f>IFERROR(__xludf.DUMMYFUNCTION("""COMPUTED_VALUE"""),3.0)</f>
        <v>3</v>
      </c>
      <c r="G780" s="15" t="str">
        <f>IFERROR(__xludf.DUMMYFUNCTION("""COMPUTED_VALUE"""),"Completa")</f>
        <v>Completa</v>
      </c>
      <c r="H780" s="16" t="str">
        <f t="array" ref="H780">_xlfn.XLOOKUP(D780,Productos[ID_Producto],Productos[Nombre_Producto])</f>
        <v>Costilla de cerdo</v>
      </c>
      <c r="I780" s="17">
        <f t="array" ref="I780">_xlfn.XLOOKUP(D780,Productos[ID_Producto],Productos[Precio_Unitario])</f>
        <v>14.25</v>
      </c>
      <c r="J780" s="17">
        <f t="shared" si="1"/>
        <v>28.5</v>
      </c>
      <c r="K780" s="16" t="str">
        <f t="array" ref="K780">_xlfn.XLOOKUP(C780,Clientes[ID_Cliente],Clientes[Provincia])</f>
        <v>Córdoba</v>
      </c>
      <c r="L780" s="16" t="str">
        <f t="array" ref="L780">CONCATENATE(_xlfn.XLOOKUP(C780,Clientes[ID_Cliente],Clientes[Provincia]),", Argentina")</f>
        <v>Córdoba, Argentina</v>
      </c>
      <c r="M780" s="20" t="str">
        <f t="array" ref="M780">_xlfn.XLOOKUP(F780,Metodos_De_Pago[ID_Metodo],Metodos_De_Pago[Metodo])</f>
        <v>Tarjeta de Débito</v>
      </c>
      <c r="N780" s="20" t="str">
        <f t="shared" si="2"/>
        <v>2024 07</v>
      </c>
    </row>
    <row r="781" ht="22.5" customHeight="1">
      <c r="A781" s="12">
        <f>IFERROR(__xludf.DUMMYFUNCTION("""COMPUTED_VALUE"""),2749.0)</f>
        <v>2749</v>
      </c>
      <c r="B781" s="13">
        <f>IFERROR(__xludf.DUMMYFUNCTION("""COMPUTED_VALUE"""),45496.0)</f>
        <v>45496</v>
      </c>
      <c r="C781" s="12">
        <f>IFERROR(__xludf.DUMMYFUNCTION("""COMPUTED_VALUE"""),248.0)</f>
        <v>248</v>
      </c>
      <c r="D781" s="12">
        <f>IFERROR(__xludf.DUMMYFUNCTION("""COMPUTED_VALUE"""),18.0)</f>
        <v>18</v>
      </c>
      <c r="E781" s="12">
        <f>IFERROR(__xludf.DUMMYFUNCTION("""COMPUTED_VALUE"""),2.0)</f>
        <v>2</v>
      </c>
      <c r="F781" s="12">
        <f>IFERROR(__xludf.DUMMYFUNCTION("""COMPUTED_VALUE"""),1.0)</f>
        <v>1</v>
      </c>
      <c r="G781" s="15" t="str">
        <f>IFERROR(__xludf.DUMMYFUNCTION("""COMPUTED_VALUE"""),"Completa")</f>
        <v>Completa</v>
      </c>
      <c r="H781" s="16" t="str">
        <f t="array" ref="H781">_xlfn.XLOOKUP(D781,Productos[ID_Producto],Productos[Nombre_Producto])</f>
        <v>Bananas</v>
      </c>
      <c r="I781" s="17">
        <f t="array" ref="I781">_xlfn.XLOOKUP(D781,Productos[ID_Producto],Productos[Precio_Unitario])</f>
        <v>7.25</v>
      </c>
      <c r="J781" s="17">
        <f t="shared" si="1"/>
        <v>14.5</v>
      </c>
      <c r="K781" s="16" t="str">
        <f t="array" ref="K781">_xlfn.XLOOKUP(C781,Clientes[ID_Cliente],Clientes[Provincia])</f>
        <v>Córdoba</v>
      </c>
      <c r="L781" s="16" t="str">
        <f t="array" ref="L781">CONCATENATE(_xlfn.XLOOKUP(C781,Clientes[ID_Cliente],Clientes[Provincia]),", Argentina")</f>
        <v>Córdoba, Argentina</v>
      </c>
      <c r="M781" s="20" t="str">
        <f t="array" ref="M781">_xlfn.XLOOKUP(F781,Metodos_De_Pago[ID_Metodo],Metodos_De_Pago[Metodo])</f>
        <v>Efectivo</v>
      </c>
      <c r="N781" s="20" t="str">
        <f t="shared" si="2"/>
        <v>2024 07</v>
      </c>
    </row>
    <row r="782" ht="22.5" customHeight="1">
      <c r="A782" s="12">
        <f>IFERROR(__xludf.DUMMYFUNCTION("""COMPUTED_VALUE"""),92.0)</f>
        <v>92</v>
      </c>
      <c r="B782" s="13">
        <f>IFERROR(__xludf.DUMMYFUNCTION("""COMPUTED_VALUE"""),45497.0)</f>
        <v>45497</v>
      </c>
      <c r="C782" s="12">
        <f>IFERROR(__xludf.DUMMYFUNCTION("""COMPUTED_VALUE"""),190.0)</f>
        <v>190</v>
      </c>
      <c r="D782" s="12">
        <f>IFERROR(__xludf.DUMMYFUNCTION("""COMPUTED_VALUE"""),22.0)</f>
        <v>22</v>
      </c>
      <c r="E782" s="12">
        <f>IFERROR(__xludf.DUMMYFUNCTION("""COMPUTED_VALUE"""),2.0)</f>
        <v>2</v>
      </c>
      <c r="F782" s="12">
        <f>IFERROR(__xludf.DUMMYFUNCTION("""COMPUTED_VALUE"""),5.0)</f>
        <v>5</v>
      </c>
      <c r="G782" s="15" t="str">
        <f>IFERROR(__xludf.DUMMYFUNCTION("""COMPUTED_VALUE"""),"Completa")</f>
        <v>Completa</v>
      </c>
      <c r="H782" s="16" t="str">
        <f t="array" ref="H782">_xlfn.XLOOKUP(D782,Productos[ID_Producto],Productos[Nombre_Producto])</f>
        <v>Cebolla</v>
      </c>
      <c r="I782" s="17">
        <f t="array" ref="I782">_xlfn.XLOOKUP(D782,Productos[ID_Producto],Productos[Precio_Unitario])</f>
        <v>4.21</v>
      </c>
      <c r="J782" s="17">
        <f t="shared" si="1"/>
        <v>8.42</v>
      </c>
      <c r="K782" s="16" t="str">
        <f t="array" ref="K782">_xlfn.XLOOKUP(C782,Clientes[ID_Cliente],Clientes[Provincia])</f>
        <v>Chaco</v>
      </c>
      <c r="L782" s="16" t="str">
        <f t="array" ref="L782">CONCATENATE(_xlfn.XLOOKUP(C782,Clientes[ID_Cliente],Clientes[Provincia]),", Argentina")</f>
        <v>Chaco, Argentina</v>
      </c>
      <c r="M782" s="20" t="str">
        <f t="array" ref="M782">_xlfn.XLOOKUP(F782,Metodos_De_Pago[ID_Metodo],Metodos_De_Pago[Metodo])</f>
        <v>Transferencia</v>
      </c>
      <c r="N782" s="20" t="str">
        <f t="shared" si="2"/>
        <v>2024 07</v>
      </c>
    </row>
    <row r="783" ht="22.5" customHeight="1">
      <c r="A783" s="12">
        <f>IFERROR(__xludf.DUMMYFUNCTION("""COMPUTED_VALUE"""),104.0)</f>
        <v>104</v>
      </c>
      <c r="B783" s="13">
        <f>IFERROR(__xludf.DUMMYFUNCTION("""COMPUTED_VALUE"""),45498.0)</f>
        <v>45498</v>
      </c>
      <c r="C783" s="12">
        <f>IFERROR(__xludf.DUMMYFUNCTION("""COMPUTED_VALUE"""),171.0)</f>
        <v>171</v>
      </c>
      <c r="D783" s="12">
        <f>IFERROR(__xludf.DUMMYFUNCTION("""COMPUTED_VALUE"""),21.0)</f>
        <v>21</v>
      </c>
      <c r="E783" s="12">
        <f>IFERROR(__xludf.DUMMYFUNCTION("""COMPUTED_VALUE"""),2.0)</f>
        <v>2</v>
      </c>
      <c r="F783" s="12">
        <f>IFERROR(__xludf.DUMMYFUNCTION("""COMPUTED_VALUE"""),5.0)</f>
        <v>5</v>
      </c>
      <c r="G783" s="15" t="str">
        <f>IFERROR(__xludf.DUMMYFUNCTION("""COMPUTED_VALUE"""),"Completa")</f>
        <v>Completa</v>
      </c>
      <c r="H783" s="16" t="str">
        <f t="array" ref="H783">_xlfn.XLOOKUP(D783,Productos[ID_Producto],Productos[Nombre_Producto])</f>
        <v>Zanahorias</v>
      </c>
      <c r="I783" s="17">
        <f t="array" ref="I783">_xlfn.XLOOKUP(D783,Productos[ID_Producto],Productos[Precio_Unitario])</f>
        <v>3.25</v>
      </c>
      <c r="J783" s="17">
        <f t="shared" si="1"/>
        <v>6.5</v>
      </c>
      <c r="K783" s="16" t="str">
        <f t="array" ref="K783">_xlfn.XLOOKUP(C783,Clientes[ID_Cliente],Clientes[Provincia])</f>
        <v>San Luis</v>
      </c>
      <c r="L783" s="16" t="str">
        <f t="array" ref="L783">CONCATENATE(_xlfn.XLOOKUP(C783,Clientes[ID_Cliente],Clientes[Provincia]),", Argentina")</f>
        <v>San Luis, Argentina</v>
      </c>
      <c r="M783" s="20" t="str">
        <f t="array" ref="M783">_xlfn.XLOOKUP(F783,Metodos_De_Pago[ID_Metodo],Metodos_De_Pago[Metodo])</f>
        <v>Transferencia</v>
      </c>
      <c r="N783" s="20" t="str">
        <f t="shared" si="2"/>
        <v>2024 07</v>
      </c>
    </row>
    <row r="784" ht="22.5" customHeight="1">
      <c r="A784" s="12">
        <f>IFERROR(__xludf.DUMMYFUNCTION("""COMPUTED_VALUE"""),939.0)</f>
        <v>939</v>
      </c>
      <c r="B784" s="13">
        <f>IFERROR(__xludf.DUMMYFUNCTION("""COMPUTED_VALUE"""),45498.0)</f>
        <v>45498</v>
      </c>
      <c r="C784" s="12">
        <f>IFERROR(__xludf.DUMMYFUNCTION("""COMPUTED_VALUE"""),150.0)</f>
        <v>150</v>
      </c>
      <c r="D784" s="12">
        <f>IFERROR(__xludf.DUMMYFUNCTION("""COMPUTED_VALUE"""),14.0)</f>
        <v>14</v>
      </c>
      <c r="E784" s="12">
        <f>IFERROR(__xludf.DUMMYFUNCTION("""COMPUTED_VALUE"""),2.0)</f>
        <v>2</v>
      </c>
      <c r="F784" s="12">
        <f>IFERROR(__xludf.DUMMYFUNCTION("""COMPUTED_VALUE"""),5.0)</f>
        <v>5</v>
      </c>
      <c r="G784" s="15" t="str">
        <f>IFERROR(__xludf.DUMMYFUNCTION("""COMPUTED_VALUE"""),"Completa")</f>
        <v>Completa</v>
      </c>
      <c r="H784" s="16" t="str">
        <f t="array" ref="H784">_xlfn.XLOOKUP(D784,Productos[ID_Producto],Productos[Nombre_Producto])</f>
        <v>Facturas</v>
      </c>
      <c r="I784" s="17">
        <f t="array" ref="I784">_xlfn.XLOOKUP(D784,Productos[ID_Producto],Productos[Precio_Unitario])</f>
        <v>12.36</v>
      </c>
      <c r="J784" s="17">
        <f t="shared" si="1"/>
        <v>24.72</v>
      </c>
      <c r="K784" s="16" t="str">
        <f t="array" ref="K784">_xlfn.XLOOKUP(C784,Clientes[ID_Cliente],Clientes[Provincia])</f>
        <v>Buenos Aires</v>
      </c>
      <c r="L784" s="16" t="str">
        <f t="array" ref="L784">CONCATENATE(_xlfn.XLOOKUP(C784,Clientes[ID_Cliente],Clientes[Provincia]),", Argentina")</f>
        <v>Buenos Aires, Argentina</v>
      </c>
      <c r="M784" s="20" t="str">
        <f t="array" ref="M784">_xlfn.XLOOKUP(F784,Metodos_De_Pago[ID_Metodo],Metodos_De_Pago[Metodo])</f>
        <v>Transferencia</v>
      </c>
      <c r="N784" s="20" t="str">
        <f t="shared" si="2"/>
        <v>2024 07</v>
      </c>
    </row>
    <row r="785" ht="22.5" customHeight="1">
      <c r="A785" s="12">
        <f>IFERROR(__xludf.DUMMYFUNCTION("""COMPUTED_VALUE"""),2471.0)</f>
        <v>2471</v>
      </c>
      <c r="B785" s="13">
        <f>IFERROR(__xludf.DUMMYFUNCTION("""COMPUTED_VALUE"""),45498.0)</f>
        <v>45498</v>
      </c>
      <c r="C785" s="12">
        <f>IFERROR(__xludf.DUMMYFUNCTION("""COMPUTED_VALUE"""),32.0)</f>
        <v>32</v>
      </c>
      <c r="D785" s="12">
        <f>IFERROR(__xludf.DUMMYFUNCTION("""COMPUTED_VALUE"""),35.0)</f>
        <v>35</v>
      </c>
      <c r="E785" s="12">
        <f>IFERROR(__xludf.DUMMYFUNCTION("""COMPUTED_VALUE"""),2.0)</f>
        <v>2</v>
      </c>
      <c r="F785" s="12">
        <f>IFERROR(__xludf.DUMMYFUNCTION("""COMPUTED_VALUE"""),3.0)</f>
        <v>3</v>
      </c>
      <c r="G785" s="15" t="str">
        <f>IFERROR(__xludf.DUMMYFUNCTION("""COMPUTED_VALUE"""),"Completa")</f>
        <v>Completa</v>
      </c>
      <c r="H785" s="16" t="str">
        <f t="array" ref="H785">_xlfn.XLOOKUP(D785,Productos[ID_Producto],Productos[Nombre_Producto])</f>
        <v>Arroz</v>
      </c>
      <c r="I785" s="17">
        <f t="array" ref="I785">_xlfn.XLOOKUP(D785,Productos[ID_Producto],Productos[Precio_Unitario])</f>
        <v>4.25</v>
      </c>
      <c r="J785" s="17">
        <f t="shared" si="1"/>
        <v>8.5</v>
      </c>
      <c r="K785" s="16" t="str">
        <f t="array" ref="K785">_xlfn.XLOOKUP(C785,Clientes[ID_Cliente],Clientes[Provincia])</f>
        <v>San Luis</v>
      </c>
      <c r="L785" s="16" t="str">
        <f t="array" ref="L785">CONCATENATE(_xlfn.XLOOKUP(C785,Clientes[ID_Cliente],Clientes[Provincia]),", Argentina")</f>
        <v>San Luis, Argentina</v>
      </c>
      <c r="M785" s="20" t="str">
        <f t="array" ref="M785">_xlfn.XLOOKUP(F785,Metodos_De_Pago[ID_Metodo],Metodos_De_Pago[Metodo])</f>
        <v>Tarjeta de Débito</v>
      </c>
      <c r="N785" s="20" t="str">
        <f t="shared" si="2"/>
        <v>2024 07</v>
      </c>
    </row>
    <row r="786" ht="22.5" customHeight="1">
      <c r="A786" s="12">
        <f>IFERROR(__xludf.DUMMYFUNCTION("""COMPUTED_VALUE"""),344.0)</f>
        <v>344</v>
      </c>
      <c r="B786" s="13">
        <f>IFERROR(__xludf.DUMMYFUNCTION("""COMPUTED_VALUE"""),45500.0)</f>
        <v>45500</v>
      </c>
      <c r="C786" s="12">
        <f>IFERROR(__xludf.DUMMYFUNCTION("""COMPUTED_VALUE"""),151.0)</f>
        <v>151</v>
      </c>
      <c r="D786" s="12">
        <f>IFERROR(__xludf.DUMMYFUNCTION("""COMPUTED_VALUE"""),19.0)</f>
        <v>19</v>
      </c>
      <c r="E786" s="12">
        <f>IFERROR(__xludf.DUMMYFUNCTION("""COMPUTED_VALUE"""),2.0)</f>
        <v>2</v>
      </c>
      <c r="F786" s="12">
        <f>IFERROR(__xludf.DUMMYFUNCTION("""COMPUTED_VALUE"""),3.0)</f>
        <v>3</v>
      </c>
      <c r="G786" s="15" t="str">
        <f>IFERROR(__xludf.DUMMYFUNCTION("""COMPUTED_VALUE"""),"Pendiente")</f>
        <v>Pendiente</v>
      </c>
      <c r="H786" s="16" t="str">
        <f t="array" ref="H786">_xlfn.XLOOKUP(D786,Productos[ID_Producto],Productos[Nombre_Producto])</f>
        <v>Tomates</v>
      </c>
      <c r="I786" s="17">
        <f t="array" ref="I786">_xlfn.XLOOKUP(D786,Productos[ID_Producto],Productos[Precio_Unitario])</f>
        <v>6.54</v>
      </c>
      <c r="J786" s="17">
        <f t="shared" si="1"/>
        <v>13.08</v>
      </c>
      <c r="K786" s="16" t="str">
        <f t="array" ref="K786">_xlfn.XLOOKUP(C786,Clientes[ID_Cliente],Clientes[Provincia])</f>
        <v>Buenos Aires</v>
      </c>
      <c r="L786" s="16" t="str">
        <f t="array" ref="L786">CONCATENATE(_xlfn.XLOOKUP(C786,Clientes[ID_Cliente],Clientes[Provincia]),", Argentina")</f>
        <v>Buenos Aires, Argentina</v>
      </c>
      <c r="M786" s="20" t="str">
        <f t="array" ref="M786">_xlfn.XLOOKUP(F786,Metodos_De_Pago[ID_Metodo],Metodos_De_Pago[Metodo])</f>
        <v>Tarjeta de Débito</v>
      </c>
      <c r="N786" s="20" t="str">
        <f t="shared" si="2"/>
        <v>2024 07</v>
      </c>
    </row>
    <row r="787" ht="22.5" customHeight="1">
      <c r="A787" s="12">
        <f>IFERROR(__xludf.DUMMYFUNCTION("""COMPUTED_VALUE"""),1516.0)</f>
        <v>1516</v>
      </c>
      <c r="B787" s="13">
        <f>IFERROR(__xludf.DUMMYFUNCTION("""COMPUTED_VALUE"""),45500.0)</f>
        <v>45500</v>
      </c>
      <c r="C787" s="12">
        <f>IFERROR(__xludf.DUMMYFUNCTION("""COMPUTED_VALUE"""),22.0)</f>
        <v>22</v>
      </c>
      <c r="D787" s="12">
        <f>IFERROR(__xludf.DUMMYFUNCTION("""COMPUTED_VALUE"""),14.0)</f>
        <v>14</v>
      </c>
      <c r="E787" s="12">
        <f>IFERROR(__xludf.DUMMYFUNCTION("""COMPUTED_VALUE"""),2.0)</f>
        <v>2</v>
      </c>
      <c r="F787" s="12">
        <f>IFERROR(__xludf.DUMMYFUNCTION("""COMPUTED_VALUE"""),4.0)</f>
        <v>4</v>
      </c>
      <c r="G787" s="15" t="str">
        <f>IFERROR(__xludf.DUMMYFUNCTION("""COMPUTED_VALUE"""),"Completa")</f>
        <v>Completa</v>
      </c>
      <c r="H787" s="16" t="str">
        <f t="array" ref="H787">_xlfn.XLOOKUP(D787,Productos[ID_Producto],Productos[Nombre_Producto])</f>
        <v>Facturas</v>
      </c>
      <c r="I787" s="17">
        <f t="array" ref="I787">_xlfn.XLOOKUP(D787,Productos[ID_Producto],Productos[Precio_Unitario])</f>
        <v>12.36</v>
      </c>
      <c r="J787" s="17">
        <f t="shared" si="1"/>
        <v>24.72</v>
      </c>
      <c r="K787" s="16" t="str">
        <f t="array" ref="K787">_xlfn.XLOOKUP(C787,Clientes[ID_Cliente],Clientes[Provincia])</f>
        <v>Córdoba</v>
      </c>
      <c r="L787" s="16" t="str">
        <f t="array" ref="L787">CONCATENATE(_xlfn.XLOOKUP(C787,Clientes[ID_Cliente],Clientes[Provincia]),", Argentina")</f>
        <v>Córdoba, Argentina</v>
      </c>
      <c r="M787" s="20" t="str">
        <f t="array" ref="M787">_xlfn.XLOOKUP(F787,Metodos_De_Pago[ID_Metodo],Metodos_De_Pago[Metodo])</f>
        <v>Mercado Pago</v>
      </c>
      <c r="N787" s="20" t="str">
        <f t="shared" si="2"/>
        <v>2024 07</v>
      </c>
    </row>
    <row r="788" ht="22.5" customHeight="1">
      <c r="A788" s="12">
        <f>IFERROR(__xludf.DUMMYFUNCTION("""COMPUTED_VALUE"""),1858.0)</f>
        <v>1858</v>
      </c>
      <c r="B788" s="13">
        <f>IFERROR(__xludf.DUMMYFUNCTION("""COMPUTED_VALUE"""),45500.0)</f>
        <v>45500</v>
      </c>
      <c r="C788" s="12">
        <f>IFERROR(__xludf.DUMMYFUNCTION("""COMPUTED_VALUE"""),301.0)</f>
        <v>301</v>
      </c>
      <c r="D788" s="12">
        <f>IFERROR(__xludf.DUMMYFUNCTION("""COMPUTED_VALUE"""),26.0)</f>
        <v>26</v>
      </c>
      <c r="E788" s="12">
        <f>IFERROR(__xludf.DUMMYFUNCTION("""COMPUTED_VALUE"""),2.0)</f>
        <v>2</v>
      </c>
      <c r="F788" s="12">
        <f>IFERROR(__xludf.DUMMYFUNCTION("""COMPUTED_VALUE"""),4.0)</f>
        <v>4</v>
      </c>
      <c r="G788" s="15" t="str">
        <f>IFERROR(__xludf.DUMMYFUNCTION("""COMPUTED_VALUE"""),"Pendiente")</f>
        <v>Pendiente</v>
      </c>
      <c r="H788" s="16" t="str">
        <f t="array" ref="H788">_xlfn.XLOOKUP(D788,Productos[ID_Producto],Productos[Nombre_Producto])</f>
        <v>Hamburgesas congeladas</v>
      </c>
      <c r="I788" s="17">
        <f t="array" ref="I788">_xlfn.XLOOKUP(D788,Productos[ID_Producto],Productos[Precio_Unitario])</f>
        <v>9.54</v>
      </c>
      <c r="J788" s="17">
        <f t="shared" si="1"/>
        <v>19.08</v>
      </c>
      <c r="K788" s="16" t="str">
        <f t="array" ref="K788">_xlfn.XLOOKUP(C788,Clientes[ID_Cliente],Clientes[Provincia])</f>
        <v>San Luis</v>
      </c>
      <c r="L788" s="16" t="str">
        <f t="array" ref="L788">CONCATENATE(_xlfn.XLOOKUP(C788,Clientes[ID_Cliente],Clientes[Provincia]),", Argentina")</f>
        <v>San Luis, Argentina</v>
      </c>
      <c r="M788" s="20" t="str">
        <f t="array" ref="M788">_xlfn.XLOOKUP(F788,Metodos_De_Pago[ID_Metodo],Metodos_De_Pago[Metodo])</f>
        <v>Mercado Pago</v>
      </c>
      <c r="N788" s="20" t="str">
        <f t="shared" si="2"/>
        <v>2024 07</v>
      </c>
    </row>
    <row r="789" ht="22.5" customHeight="1">
      <c r="A789" s="12">
        <f>IFERROR(__xludf.DUMMYFUNCTION("""COMPUTED_VALUE"""),531.0)</f>
        <v>531</v>
      </c>
      <c r="B789" s="13">
        <f>IFERROR(__xludf.DUMMYFUNCTION("""COMPUTED_VALUE"""),45502.0)</f>
        <v>45502</v>
      </c>
      <c r="C789" s="12">
        <f>IFERROR(__xludf.DUMMYFUNCTION("""COMPUTED_VALUE"""),24.0)</f>
        <v>24</v>
      </c>
      <c r="D789" s="12">
        <f>IFERROR(__xludf.DUMMYFUNCTION("""COMPUTED_VALUE"""),27.0)</f>
        <v>27</v>
      </c>
      <c r="E789" s="12">
        <f>IFERROR(__xludf.DUMMYFUNCTION("""COMPUTED_VALUE"""),2.0)</f>
        <v>2</v>
      </c>
      <c r="F789" s="12">
        <f>IFERROR(__xludf.DUMMYFUNCTION("""COMPUTED_VALUE"""),4.0)</f>
        <v>4</v>
      </c>
      <c r="G789" s="15" t="str">
        <f>IFERROR(__xludf.DUMMYFUNCTION("""COMPUTED_VALUE"""),"Completa")</f>
        <v>Completa</v>
      </c>
      <c r="H789" s="16" t="str">
        <f t="array" ref="H789">_xlfn.XLOOKUP(D789,Productos[ID_Producto],Productos[Nombre_Producto])</f>
        <v>Agua mineral</v>
      </c>
      <c r="I789" s="17">
        <f t="array" ref="I789">_xlfn.XLOOKUP(D789,Productos[ID_Producto],Productos[Precio_Unitario])</f>
        <v>6.21</v>
      </c>
      <c r="J789" s="17">
        <f t="shared" si="1"/>
        <v>12.42</v>
      </c>
      <c r="K789" s="16" t="str">
        <f t="array" ref="K789">_xlfn.XLOOKUP(C789,Clientes[ID_Cliente],Clientes[Provincia])</f>
        <v>San Luis</v>
      </c>
      <c r="L789" s="16" t="str">
        <f t="array" ref="L789">CONCATENATE(_xlfn.XLOOKUP(C789,Clientes[ID_Cliente],Clientes[Provincia]),", Argentina")</f>
        <v>San Luis, Argentina</v>
      </c>
      <c r="M789" s="20" t="str">
        <f t="array" ref="M789">_xlfn.XLOOKUP(F789,Metodos_De_Pago[ID_Metodo],Metodos_De_Pago[Metodo])</f>
        <v>Mercado Pago</v>
      </c>
      <c r="N789" s="20" t="str">
        <f t="shared" si="2"/>
        <v>2024 07</v>
      </c>
    </row>
    <row r="790" ht="22.5" customHeight="1">
      <c r="A790" s="12">
        <f>IFERROR(__xludf.DUMMYFUNCTION("""COMPUTED_VALUE"""),701.0)</f>
        <v>701</v>
      </c>
      <c r="B790" s="13">
        <f>IFERROR(__xludf.DUMMYFUNCTION("""COMPUTED_VALUE"""),45502.0)</f>
        <v>45502</v>
      </c>
      <c r="C790" s="12">
        <f>IFERROR(__xludf.DUMMYFUNCTION("""COMPUTED_VALUE"""),77.0)</f>
        <v>77</v>
      </c>
      <c r="D790" s="12">
        <f>IFERROR(__xludf.DUMMYFUNCTION("""COMPUTED_VALUE"""),21.0)</f>
        <v>21</v>
      </c>
      <c r="E790" s="12">
        <f>IFERROR(__xludf.DUMMYFUNCTION("""COMPUTED_VALUE"""),2.0)</f>
        <v>2</v>
      </c>
      <c r="F790" s="12">
        <f>IFERROR(__xludf.DUMMYFUNCTION("""COMPUTED_VALUE"""),3.0)</f>
        <v>3</v>
      </c>
      <c r="G790" s="15" t="str">
        <f>IFERROR(__xludf.DUMMYFUNCTION("""COMPUTED_VALUE"""),"Pendiente")</f>
        <v>Pendiente</v>
      </c>
      <c r="H790" s="16" t="str">
        <f t="array" ref="H790">_xlfn.XLOOKUP(D790,Productos[ID_Producto],Productos[Nombre_Producto])</f>
        <v>Zanahorias</v>
      </c>
      <c r="I790" s="17">
        <f t="array" ref="I790">_xlfn.XLOOKUP(D790,Productos[ID_Producto],Productos[Precio_Unitario])</f>
        <v>3.25</v>
      </c>
      <c r="J790" s="17">
        <f t="shared" si="1"/>
        <v>6.5</v>
      </c>
      <c r="K790" s="16" t="str">
        <f t="array" ref="K790">_xlfn.XLOOKUP(C790,Clientes[ID_Cliente],Clientes[Provincia])</f>
        <v>Buenos Aires</v>
      </c>
      <c r="L790" s="16" t="str">
        <f t="array" ref="L790">CONCATENATE(_xlfn.XLOOKUP(C790,Clientes[ID_Cliente],Clientes[Provincia]),", Argentina")</f>
        <v>Buenos Aires, Argentina</v>
      </c>
      <c r="M790" s="20" t="str">
        <f t="array" ref="M790">_xlfn.XLOOKUP(F790,Metodos_De_Pago[ID_Metodo],Metodos_De_Pago[Metodo])</f>
        <v>Tarjeta de Débito</v>
      </c>
      <c r="N790" s="20" t="str">
        <f t="shared" si="2"/>
        <v>2024 07</v>
      </c>
    </row>
    <row r="791" ht="22.5" customHeight="1">
      <c r="A791" s="12">
        <f>IFERROR(__xludf.DUMMYFUNCTION("""COMPUTED_VALUE"""),308.0)</f>
        <v>308</v>
      </c>
      <c r="B791" s="13">
        <f>IFERROR(__xludf.DUMMYFUNCTION("""COMPUTED_VALUE"""),45503.0)</f>
        <v>45503</v>
      </c>
      <c r="C791" s="12">
        <f>IFERROR(__xludf.DUMMYFUNCTION("""COMPUTED_VALUE"""),153.0)</f>
        <v>153</v>
      </c>
      <c r="D791" s="12">
        <f>IFERROR(__xludf.DUMMYFUNCTION("""COMPUTED_VALUE"""),29.0)</f>
        <v>29</v>
      </c>
      <c r="E791" s="12">
        <f>IFERROR(__xludf.DUMMYFUNCTION("""COMPUTED_VALUE"""),2.0)</f>
        <v>2</v>
      </c>
      <c r="F791" s="12">
        <f>IFERROR(__xludf.DUMMYFUNCTION("""COMPUTED_VALUE"""),4.0)</f>
        <v>4</v>
      </c>
      <c r="G791" s="15" t="str">
        <f>IFERROR(__xludf.DUMMYFUNCTION("""COMPUTED_VALUE"""),"Completa")</f>
        <v>Completa</v>
      </c>
      <c r="H791" s="16" t="str">
        <f t="array" ref="H791">_xlfn.XLOOKUP(D791,Productos[ID_Producto],Productos[Nombre_Producto])</f>
        <v>Cerveza</v>
      </c>
      <c r="I791" s="17">
        <f t="array" ref="I791">_xlfn.XLOOKUP(D791,Productos[ID_Producto],Productos[Precio_Unitario])</f>
        <v>11.54</v>
      </c>
      <c r="J791" s="17">
        <f t="shared" si="1"/>
        <v>23.08</v>
      </c>
      <c r="K791" s="16" t="str">
        <f t="array" ref="K791">_xlfn.XLOOKUP(C791,Clientes[ID_Cliente],Clientes[Provincia])</f>
        <v>San Luis</v>
      </c>
      <c r="L791" s="16" t="str">
        <f t="array" ref="L791">CONCATENATE(_xlfn.XLOOKUP(C791,Clientes[ID_Cliente],Clientes[Provincia]),", Argentina")</f>
        <v>San Luis, Argentina</v>
      </c>
      <c r="M791" s="20" t="str">
        <f t="array" ref="M791">_xlfn.XLOOKUP(F791,Metodos_De_Pago[ID_Metodo],Metodos_De_Pago[Metodo])</f>
        <v>Mercado Pago</v>
      </c>
      <c r="N791" s="20" t="str">
        <f t="shared" si="2"/>
        <v>2024 07</v>
      </c>
    </row>
    <row r="792" ht="22.5" customHeight="1">
      <c r="A792" s="12">
        <f>IFERROR(__xludf.DUMMYFUNCTION("""COMPUTED_VALUE"""),1196.0)</f>
        <v>1196</v>
      </c>
      <c r="B792" s="13">
        <f>IFERROR(__xludf.DUMMYFUNCTION("""COMPUTED_VALUE"""),45503.0)</f>
        <v>45503</v>
      </c>
      <c r="C792" s="12">
        <f>IFERROR(__xludf.DUMMYFUNCTION("""COMPUTED_VALUE"""),239.0)</f>
        <v>239</v>
      </c>
      <c r="D792" s="12">
        <f>IFERROR(__xludf.DUMMYFUNCTION("""COMPUTED_VALUE"""),32.0)</f>
        <v>32</v>
      </c>
      <c r="E792" s="12">
        <f>IFERROR(__xludf.DUMMYFUNCTION("""COMPUTED_VALUE"""),2.0)</f>
        <v>2</v>
      </c>
      <c r="F792" s="12">
        <f>IFERROR(__xludf.DUMMYFUNCTION("""COMPUTED_VALUE"""),1.0)</f>
        <v>1</v>
      </c>
      <c r="G792" s="15" t="str">
        <f>IFERROR(__xludf.DUMMYFUNCTION("""COMPUTED_VALUE"""),"Completa")</f>
        <v>Completa</v>
      </c>
      <c r="H792" s="16" t="str">
        <f t="array" ref="H792">_xlfn.XLOOKUP(D792,Productos[ID_Producto],Productos[Nombre_Producto])</f>
        <v>Galletitas de chocolate</v>
      </c>
      <c r="I792" s="17">
        <f t="array" ref="I792">_xlfn.XLOOKUP(D792,Productos[ID_Producto],Productos[Precio_Unitario])</f>
        <v>6.25</v>
      </c>
      <c r="J792" s="17">
        <f t="shared" si="1"/>
        <v>12.5</v>
      </c>
      <c r="K792" s="16" t="str">
        <f t="array" ref="K792">_xlfn.XLOOKUP(C792,Clientes[ID_Cliente],Clientes[Provincia])</f>
        <v>Buenos Aires</v>
      </c>
      <c r="L792" s="16" t="str">
        <f t="array" ref="L792">CONCATENATE(_xlfn.XLOOKUP(C792,Clientes[ID_Cliente],Clientes[Provincia]),", Argentina")</f>
        <v>Buenos Aires, Argentina</v>
      </c>
      <c r="M792" s="20" t="str">
        <f t="array" ref="M792">_xlfn.XLOOKUP(F792,Metodos_De_Pago[ID_Metodo],Metodos_De_Pago[Metodo])</f>
        <v>Efectivo</v>
      </c>
      <c r="N792" s="20" t="str">
        <f t="shared" si="2"/>
        <v>2024 07</v>
      </c>
    </row>
    <row r="793" ht="22.5" customHeight="1">
      <c r="A793" s="12">
        <f>IFERROR(__xludf.DUMMYFUNCTION("""COMPUTED_VALUE"""),2849.0)</f>
        <v>2849</v>
      </c>
      <c r="B793" s="13">
        <f>IFERROR(__xludf.DUMMYFUNCTION("""COMPUTED_VALUE"""),45503.0)</f>
        <v>45503</v>
      </c>
      <c r="C793" s="12">
        <f>IFERROR(__xludf.DUMMYFUNCTION("""COMPUTED_VALUE"""),153.0)</f>
        <v>153</v>
      </c>
      <c r="D793" s="12">
        <f>IFERROR(__xludf.DUMMYFUNCTION("""COMPUTED_VALUE"""),26.0)</f>
        <v>26</v>
      </c>
      <c r="E793" s="12">
        <f>IFERROR(__xludf.DUMMYFUNCTION("""COMPUTED_VALUE"""),2.0)</f>
        <v>2</v>
      </c>
      <c r="F793" s="12">
        <f>IFERROR(__xludf.DUMMYFUNCTION("""COMPUTED_VALUE"""),4.0)</f>
        <v>4</v>
      </c>
      <c r="G793" s="15" t="str">
        <f>IFERROR(__xludf.DUMMYFUNCTION("""COMPUTED_VALUE"""),"Completa")</f>
        <v>Completa</v>
      </c>
      <c r="H793" s="16" t="str">
        <f t="array" ref="H793">_xlfn.XLOOKUP(D793,Productos[ID_Producto],Productos[Nombre_Producto])</f>
        <v>Hamburgesas congeladas</v>
      </c>
      <c r="I793" s="17">
        <f t="array" ref="I793">_xlfn.XLOOKUP(D793,Productos[ID_Producto],Productos[Precio_Unitario])</f>
        <v>9.54</v>
      </c>
      <c r="J793" s="17">
        <f t="shared" si="1"/>
        <v>19.08</v>
      </c>
      <c r="K793" s="16" t="str">
        <f t="array" ref="K793">_xlfn.XLOOKUP(C793,Clientes[ID_Cliente],Clientes[Provincia])</f>
        <v>San Luis</v>
      </c>
      <c r="L793" s="16" t="str">
        <f t="array" ref="L793">CONCATENATE(_xlfn.XLOOKUP(C793,Clientes[ID_Cliente],Clientes[Provincia]),", Argentina")</f>
        <v>San Luis, Argentina</v>
      </c>
      <c r="M793" s="20" t="str">
        <f t="array" ref="M793">_xlfn.XLOOKUP(F793,Metodos_De_Pago[ID_Metodo],Metodos_De_Pago[Metodo])</f>
        <v>Mercado Pago</v>
      </c>
      <c r="N793" s="20" t="str">
        <f t="shared" si="2"/>
        <v>2024 07</v>
      </c>
    </row>
    <row r="794" ht="22.5" customHeight="1">
      <c r="A794" s="12">
        <f>IFERROR(__xludf.DUMMYFUNCTION("""COMPUTED_VALUE"""),146.0)</f>
        <v>146</v>
      </c>
      <c r="B794" s="13">
        <f>IFERROR(__xludf.DUMMYFUNCTION("""COMPUTED_VALUE"""),45504.0)</f>
        <v>45504</v>
      </c>
      <c r="C794" s="12">
        <f>IFERROR(__xludf.DUMMYFUNCTION("""COMPUTED_VALUE"""),148.0)</f>
        <v>148</v>
      </c>
      <c r="D794" s="12">
        <f>IFERROR(__xludf.DUMMYFUNCTION("""COMPUTED_VALUE"""),8.0)</f>
        <v>8</v>
      </c>
      <c r="E794" s="12">
        <f>IFERROR(__xludf.DUMMYFUNCTION("""COMPUTED_VALUE"""),2.0)</f>
        <v>2</v>
      </c>
      <c r="F794" s="12">
        <f>IFERROR(__xludf.DUMMYFUNCTION("""COMPUTED_VALUE"""),4.0)</f>
        <v>4</v>
      </c>
      <c r="G794" s="15" t="str">
        <f>IFERROR(__xludf.DUMMYFUNCTION("""COMPUTED_VALUE"""),"Completa")</f>
        <v>Completa</v>
      </c>
      <c r="H794" s="16" t="str">
        <f t="array" ref="H794">_xlfn.XLOOKUP(D794,Productos[ID_Producto],Productos[Nombre_Producto])</f>
        <v>Milanesa</v>
      </c>
      <c r="I794" s="17">
        <f t="array" ref="I794">_xlfn.XLOOKUP(D794,Productos[ID_Producto],Productos[Precio_Unitario])</f>
        <v>16.21</v>
      </c>
      <c r="J794" s="17">
        <f t="shared" si="1"/>
        <v>32.42</v>
      </c>
      <c r="K794" s="16" t="str">
        <f t="array" ref="K794">_xlfn.XLOOKUP(C794,Clientes[ID_Cliente],Clientes[Provincia])</f>
        <v>Córdoba</v>
      </c>
      <c r="L794" s="16" t="str">
        <f t="array" ref="L794">CONCATENATE(_xlfn.XLOOKUP(C794,Clientes[ID_Cliente],Clientes[Provincia]),", Argentina")</f>
        <v>Córdoba, Argentina</v>
      </c>
      <c r="M794" s="20" t="str">
        <f t="array" ref="M794">_xlfn.XLOOKUP(F794,Metodos_De_Pago[ID_Metodo],Metodos_De_Pago[Metodo])</f>
        <v>Mercado Pago</v>
      </c>
      <c r="N794" s="20" t="str">
        <f t="shared" si="2"/>
        <v>2024 07</v>
      </c>
    </row>
    <row r="795" ht="22.5" customHeight="1">
      <c r="A795" s="12">
        <f>IFERROR(__xludf.DUMMYFUNCTION("""COMPUTED_VALUE"""),1297.0)</f>
        <v>1297</v>
      </c>
      <c r="B795" s="13">
        <f>IFERROR(__xludf.DUMMYFUNCTION("""COMPUTED_VALUE"""),45504.0)</f>
        <v>45504</v>
      </c>
      <c r="C795" s="12">
        <f>IFERROR(__xludf.DUMMYFUNCTION("""COMPUTED_VALUE"""),32.0)</f>
        <v>32</v>
      </c>
      <c r="D795" s="12">
        <f>IFERROR(__xludf.DUMMYFUNCTION("""COMPUTED_VALUE"""),24.0)</f>
        <v>24</v>
      </c>
      <c r="E795" s="12">
        <f>IFERROR(__xludf.DUMMYFUNCTION("""COMPUTED_VALUE"""),2.0)</f>
        <v>2</v>
      </c>
      <c r="F795" s="12">
        <f>IFERROR(__xludf.DUMMYFUNCTION("""COMPUTED_VALUE"""),1.0)</f>
        <v>1</v>
      </c>
      <c r="G795" s="15" t="str">
        <f>IFERROR(__xludf.DUMMYFUNCTION("""COMPUTED_VALUE"""),"Completa")</f>
        <v>Completa</v>
      </c>
      <c r="H795" s="16" t="str">
        <f t="array" ref="H795">_xlfn.XLOOKUP(D795,Productos[ID_Producto],Productos[Nombre_Producto])</f>
        <v>Empanadas</v>
      </c>
      <c r="I795" s="17">
        <f t="array" ref="I795">_xlfn.XLOOKUP(D795,Productos[ID_Producto],Productos[Precio_Unitario])</f>
        <v>13.54</v>
      </c>
      <c r="J795" s="17">
        <f t="shared" si="1"/>
        <v>27.08</v>
      </c>
      <c r="K795" s="16" t="str">
        <f t="array" ref="K795">_xlfn.XLOOKUP(C795,Clientes[ID_Cliente],Clientes[Provincia])</f>
        <v>San Luis</v>
      </c>
      <c r="L795" s="16" t="str">
        <f t="array" ref="L795">CONCATENATE(_xlfn.XLOOKUP(C795,Clientes[ID_Cliente],Clientes[Provincia]),", Argentina")</f>
        <v>San Luis, Argentina</v>
      </c>
      <c r="M795" s="20" t="str">
        <f t="array" ref="M795">_xlfn.XLOOKUP(F795,Metodos_De_Pago[ID_Metodo],Metodos_De_Pago[Metodo])</f>
        <v>Efectivo</v>
      </c>
      <c r="N795" s="20" t="str">
        <f t="shared" si="2"/>
        <v>2024 07</v>
      </c>
    </row>
    <row r="796" ht="22.5" customHeight="1">
      <c r="A796" s="12">
        <f>IFERROR(__xludf.DUMMYFUNCTION("""COMPUTED_VALUE"""),2118.0)</f>
        <v>2118</v>
      </c>
      <c r="B796" s="13">
        <f>IFERROR(__xludf.DUMMYFUNCTION("""COMPUTED_VALUE"""),45505.0)</f>
        <v>45505</v>
      </c>
      <c r="C796" s="12">
        <f>IFERROR(__xludf.DUMMYFUNCTION("""COMPUTED_VALUE"""),199.0)</f>
        <v>199</v>
      </c>
      <c r="D796" s="12">
        <f>IFERROR(__xludf.DUMMYFUNCTION("""COMPUTED_VALUE"""),7.0)</f>
        <v>7</v>
      </c>
      <c r="E796" s="12">
        <f>IFERROR(__xludf.DUMMYFUNCTION("""COMPUTED_VALUE"""),2.0)</f>
        <v>2</v>
      </c>
      <c r="F796" s="12">
        <f>IFERROR(__xludf.DUMMYFUNCTION("""COMPUTED_VALUE"""),5.0)</f>
        <v>5</v>
      </c>
      <c r="G796" s="15" t="str">
        <f>IFERROR(__xludf.DUMMYFUNCTION("""COMPUTED_VALUE"""),"Completa")</f>
        <v>Completa</v>
      </c>
      <c r="H796" s="16" t="str">
        <f t="array" ref="H796">_xlfn.XLOOKUP(D796,Productos[ID_Producto],Productos[Nombre_Producto])</f>
        <v>Chorizo</v>
      </c>
      <c r="I796" s="17">
        <f t="array" ref="I796">_xlfn.XLOOKUP(D796,Productos[ID_Producto],Productos[Precio_Unitario])</f>
        <v>11.25</v>
      </c>
      <c r="J796" s="17">
        <f t="shared" si="1"/>
        <v>22.5</v>
      </c>
      <c r="K796" s="16" t="str">
        <f t="array" ref="K796">_xlfn.XLOOKUP(C796,Clientes[ID_Cliente],Clientes[Provincia])</f>
        <v>Buenos Aires</v>
      </c>
      <c r="L796" s="16" t="str">
        <f t="array" ref="L796">CONCATENATE(_xlfn.XLOOKUP(C796,Clientes[ID_Cliente],Clientes[Provincia]),", Argentina")</f>
        <v>Buenos Aires, Argentina</v>
      </c>
      <c r="M796" s="20" t="str">
        <f t="array" ref="M796">_xlfn.XLOOKUP(F796,Metodos_De_Pago[ID_Metodo],Metodos_De_Pago[Metodo])</f>
        <v>Transferencia</v>
      </c>
      <c r="N796" s="20" t="str">
        <f t="shared" si="2"/>
        <v>2024 08</v>
      </c>
    </row>
    <row r="797" ht="22.5" customHeight="1">
      <c r="A797" s="12">
        <f>IFERROR(__xludf.DUMMYFUNCTION("""COMPUTED_VALUE"""),2210.0)</f>
        <v>2210</v>
      </c>
      <c r="B797" s="13">
        <f>IFERROR(__xludf.DUMMYFUNCTION("""COMPUTED_VALUE"""),45505.0)</f>
        <v>45505</v>
      </c>
      <c r="C797" s="12">
        <f>IFERROR(__xludf.DUMMYFUNCTION("""COMPUTED_VALUE"""),140.0)</f>
        <v>140</v>
      </c>
      <c r="D797" s="12">
        <f>IFERROR(__xludf.DUMMYFUNCTION("""COMPUTED_VALUE"""),5.0)</f>
        <v>5</v>
      </c>
      <c r="E797" s="12">
        <f>IFERROR(__xludf.DUMMYFUNCTION("""COMPUTED_VALUE"""),2.0)</f>
        <v>2</v>
      </c>
      <c r="F797" s="12">
        <f>IFERROR(__xludf.DUMMYFUNCTION("""COMPUTED_VALUE"""),3.0)</f>
        <v>3</v>
      </c>
      <c r="G797" s="15" t="str">
        <f>IFERROR(__xludf.DUMMYFUNCTION("""COMPUTED_VALUE"""),"Completa")</f>
        <v>Completa</v>
      </c>
      <c r="H797" s="16" t="str">
        <f t="array" ref="H797">_xlfn.XLOOKUP(D797,Productos[ID_Producto],Productos[Nombre_Producto])</f>
        <v>Manteca</v>
      </c>
      <c r="I797" s="17">
        <f t="array" ref="I797">_xlfn.XLOOKUP(D797,Productos[ID_Producto],Productos[Precio_Unitario])</f>
        <v>5.65</v>
      </c>
      <c r="J797" s="17">
        <f t="shared" si="1"/>
        <v>11.3</v>
      </c>
      <c r="K797" s="16" t="str">
        <f t="array" ref="K797">_xlfn.XLOOKUP(C797,Clientes[ID_Cliente],Clientes[Provincia])</f>
        <v>Chaco</v>
      </c>
      <c r="L797" s="16" t="str">
        <f t="array" ref="L797">CONCATENATE(_xlfn.XLOOKUP(C797,Clientes[ID_Cliente],Clientes[Provincia]),", Argentina")</f>
        <v>Chaco, Argentina</v>
      </c>
      <c r="M797" s="20" t="str">
        <f t="array" ref="M797">_xlfn.XLOOKUP(F797,Metodos_De_Pago[ID_Metodo],Metodos_De_Pago[Metodo])</f>
        <v>Tarjeta de Débito</v>
      </c>
      <c r="N797" s="20" t="str">
        <f t="shared" si="2"/>
        <v>2024 08</v>
      </c>
    </row>
    <row r="798" ht="22.5" customHeight="1">
      <c r="A798" s="12">
        <f>IFERROR(__xludf.DUMMYFUNCTION("""COMPUTED_VALUE"""),2152.0)</f>
        <v>2152</v>
      </c>
      <c r="B798" s="13">
        <f>IFERROR(__xludf.DUMMYFUNCTION("""COMPUTED_VALUE"""),45507.0)</f>
        <v>45507</v>
      </c>
      <c r="C798" s="12">
        <f>IFERROR(__xludf.DUMMYFUNCTION("""COMPUTED_VALUE"""),153.0)</f>
        <v>153</v>
      </c>
      <c r="D798" s="12">
        <f>IFERROR(__xludf.DUMMYFUNCTION("""COMPUTED_VALUE"""),25.0)</f>
        <v>25</v>
      </c>
      <c r="E798" s="12">
        <f>IFERROR(__xludf.DUMMYFUNCTION("""COMPUTED_VALUE"""),2.0)</f>
        <v>2</v>
      </c>
      <c r="F798" s="12">
        <f>IFERROR(__xludf.DUMMYFUNCTION("""COMPUTED_VALUE"""),2.0)</f>
        <v>2</v>
      </c>
      <c r="G798" s="15" t="str">
        <f>IFERROR(__xludf.DUMMYFUNCTION("""COMPUTED_VALUE"""),"Pendiente")</f>
        <v>Pendiente</v>
      </c>
      <c r="H798" s="16" t="str">
        <f t="array" ref="H798">_xlfn.XLOOKUP(D798,Productos[ID_Producto],Productos[Nombre_Producto])</f>
        <v>Pizza congelada</v>
      </c>
      <c r="I798" s="17">
        <f t="array" ref="I798">_xlfn.XLOOKUP(D798,Productos[ID_Producto],Productos[Precio_Unitario])</f>
        <v>15.45</v>
      </c>
      <c r="J798" s="17">
        <f t="shared" si="1"/>
        <v>30.9</v>
      </c>
      <c r="K798" s="16" t="str">
        <f t="array" ref="K798">_xlfn.XLOOKUP(C798,Clientes[ID_Cliente],Clientes[Provincia])</f>
        <v>San Luis</v>
      </c>
      <c r="L798" s="16" t="str">
        <f t="array" ref="L798">CONCATENATE(_xlfn.XLOOKUP(C798,Clientes[ID_Cliente],Clientes[Provincia]),", Argentina")</f>
        <v>San Luis, Argentina</v>
      </c>
      <c r="M798" s="20" t="str">
        <f t="array" ref="M798">_xlfn.XLOOKUP(F798,Metodos_De_Pago[ID_Metodo],Metodos_De_Pago[Metodo])</f>
        <v>Tarjeta de Crédito</v>
      </c>
      <c r="N798" s="20" t="str">
        <f t="shared" si="2"/>
        <v>2024 08</v>
      </c>
    </row>
    <row r="799" ht="22.5" customHeight="1">
      <c r="A799" s="12">
        <f>IFERROR(__xludf.DUMMYFUNCTION("""COMPUTED_VALUE"""),211.0)</f>
        <v>211</v>
      </c>
      <c r="B799" s="13">
        <f>IFERROR(__xludf.DUMMYFUNCTION("""COMPUTED_VALUE"""),45508.0)</f>
        <v>45508</v>
      </c>
      <c r="C799" s="12">
        <f>IFERROR(__xludf.DUMMYFUNCTION("""COMPUTED_VALUE"""),264.0)</f>
        <v>264</v>
      </c>
      <c r="D799" s="12">
        <f>IFERROR(__xludf.DUMMYFUNCTION("""COMPUTED_VALUE"""),32.0)</f>
        <v>32</v>
      </c>
      <c r="E799" s="12">
        <f>IFERROR(__xludf.DUMMYFUNCTION("""COMPUTED_VALUE"""),2.0)</f>
        <v>2</v>
      </c>
      <c r="F799" s="12">
        <f>IFERROR(__xludf.DUMMYFUNCTION("""COMPUTED_VALUE"""),5.0)</f>
        <v>5</v>
      </c>
      <c r="G799" s="15" t="str">
        <f>IFERROR(__xludf.DUMMYFUNCTION("""COMPUTED_VALUE"""),"Completa")</f>
        <v>Completa</v>
      </c>
      <c r="H799" s="16" t="str">
        <f t="array" ref="H799">_xlfn.XLOOKUP(D799,Productos[ID_Producto],Productos[Nombre_Producto])</f>
        <v>Galletitas de chocolate</v>
      </c>
      <c r="I799" s="17">
        <f t="array" ref="I799">_xlfn.XLOOKUP(D799,Productos[ID_Producto],Productos[Precio_Unitario])</f>
        <v>6.25</v>
      </c>
      <c r="J799" s="17">
        <f t="shared" si="1"/>
        <v>12.5</v>
      </c>
      <c r="K799" s="16" t="str">
        <f t="array" ref="K799">_xlfn.XLOOKUP(C799,Clientes[ID_Cliente],Clientes[Provincia])</f>
        <v>Buenos Aires</v>
      </c>
      <c r="L799" s="16" t="str">
        <f t="array" ref="L799">CONCATENATE(_xlfn.XLOOKUP(C799,Clientes[ID_Cliente],Clientes[Provincia]),", Argentina")</f>
        <v>Buenos Aires, Argentina</v>
      </c>
      <c r="M799" s="20" t="str">
        <f t="array" ref="M799">_xlfn.XLOOKUP(F799,Metodos_De_Pago[ID_Metodo],Metodos_De_Pago[Metodo])</f>
        <v>Transferencia</v>
      </c>
      <c r="N799" s="20" t="str">
        <f t="shared" si="2"/>
        <v>2024 08</v>
      </c>
    </row>
    <row r="800" ht="22.5" customHeight="1">
      <c r="A800" s="12">
        <f>IFERROR(__xludf.DUMMYFUNCTION("""COMPUTED_VALUE"""),282.0)</f>
        <v>282</v>
      </c>
      <c r="B800" s="13">
        <f>IFERROR(__xludf.DUMMYFUNCTION("""COMPUTED_VALUE"""),45508.0)</f>
        <v>45508</v>
      </c>
      <c r="C800" s="12">
        <f>IFERROR(__xludf.DUMMYFUNCTION("""COMPUTED_VALUE"""),189.0)</f>
        <v>189</v>
      </c>
      <c r="D800" s="12">
        <f>IFERROR(__xludf.DUMMYFUNCTION("""COMPUTED_VALUE"""),3.0)</f>
        <v>3</v>
      </c>
      <c r="E800" s="12">
        <f>IFERROR(__xludf.DUMMYFUNCTION("""COMPUTED_VALUE"""),2.0)</f>
        <v>2</v>
      </c>
      <c r="F800" s="12">
        <f>IFERROR(__xludf.DUMMYFUNCTION("""COMPUTED_VALUE"""),5.0)</f>
        <v>5</v>
      </c>
      <c r="G800" s="15" t="str">
        <f>IFERROR(__xludf.DUMMYFUNCTION("""COMPUTED_VALUE"""),"Completa")</f>
        <v>Completa</v>
      </c>
      <c r="H800" s="16" t="str">
        <f t="array" ref="H800">_xlfn.XLOOKUP(D800,Productos[ID_Producto],Productos[Nombre_Producto])</f>
        <v>Queso cremoso</v>
      </c>
      <c r="I800" s="17">
        <f t="array" ref="I800">_xlfn.XLOOKUP(D800,Productos[ID_Producto],Productos[Precio_Unitario])</f>
        <v>17.23</v>
      </c>
      <c r="J800" s="17">
        <f t="shared" si="1"/>
        <v>34.46</v>
      </c>
      <c r="K800" s="16" t="str">
        <f t="array" ref="K800">_xlfn.XLOOKUP(C800,Clientes[ID_Cliente],Clientes[Provincia])</f>
        <v>Neuquén</v>
      </c>
      <c r="L800" s="16" t="str">
        <f t="array" ref="L800">CONCATENATE(_xlfn.XLOOKUP(C800,Clientes[ID_Cliente],Clientes[Provincia]),", Argentina")</f>
        <v>Neuquén, Argentina</v>
      </c>
      <c r="M800" s="20" t="str">
        <f t="array" ref="M800">_xlfn.XLOOKUP(F800,Metodos_De_Pago[ID_Metodo],Metodos_De_Pago[Metodo])</f>
        <v>Transferencia</v>
      </c>
      <c r="N800" s="20" t="str">
        <f t="shared" si="2"/>
        <v>2024 08</v>
      </c>
    </row>
    <row r="801" ht="22.5" customHeight="1">
      <c r="A801" s="12">
        <f>IFERROR(__xludf.DUMMYFUNCTION("""COMPUTED_VALUE"""),2234.0)</f>
        <v>2234</v>
      </c>
      <c r="B801" s="13">
        <f>IFERROR(__xludf.DUMMYFUNCTION("""COMPUTED_VALUE"""),45508.0)</f>
        <v>45508</v>
      </c>
      <c r="C801" s="12">
        <f>IFERROR(__xludf.DUMMYFUNCTION("""COMPUTED_VALUE"""),278.0)</f>
        <v>278</v>
      </c>
      <c r="D801" s="12">
        <f>IFERROR(__xludf.DUMMYFUNCTION("""COMPUTED_VALUE"""),27.0)</f>
        <v>27</v>
      </c>
      <c r="E801" s="12">
        <f>IFERROR(__xludf.DUMMYFUNCTION("""COMPUTED_VALUE"""),2.0)</f>
        <v>2</v>
      </c>
      <c r="F801" s="12">
        <f>IFERROR(__xludf.DUMMYFUNCTION("""COMPUTED_VALUE"""),4.0)</f>
        <v>4</v>
      </c>
      <c r="G801" s="15" t="str">
        <f>IFERROR(__xludf.DUMMYFUNCTION("""COMPUTED_VALUE"""),"Completa")</f>
        <v>Completa</v>
      </c>
      <c r="H801" s="16" t="str">
        <f t="array" ref="H801">_xlfn.XLOOKUP(D801,Productos[ID_Producto],Productos[Nombre_Producto])</f>
        <v>Agua mineral</v>
      </c>
      <c r="I801" s="17">
        <f t="array" ref="I801">_xlfn.XLOOKUP(D801,Productos[ID_Producto],Productos[Precio_Unitario])</f>
        <v>6.21</v>
      </c>
      <c r="J801" s="17">
        <f t="shared" si="1"/>
        <v>12.42</v>
      </c>
      <c r="K801" s="16" t="str">
        <f t="array" ref="K801">_xlfn.XLOOKUP(C801,Clientes[ID_Cliente],Clientes[Provincia])</f>
        <v>Córdoba</v>
      </c>
      <c r="L801" s="16" t="str">
        <f t="array" ref="L801">CONCATENATE(_xlfn.XLOOKUP(C801,Clientes[ID_Cliente],Clientes[Provincia]),", Argentina")</f>
        <v>Córdoba, Argentina</v>
      </c>
      <c r="M801" s="20" t="str">
        <f t="array" ref="M801">_xlfn.XLOOKUP(F801,Metodos_De_Pago[ID_Metodo],Metodos_De_Pago[Metodo])</f>
        <v>Mercado Pago</v>
      </c>
      <c r="N801" s="20" t="str">
        <f t="shared" si="2"/>
        <v>2024 08</v>
      </c>
    </row>
    <row r="802" ht="22.5" customHeight="1">
      <c r="A802" s="12">
        <f>IFERROR(__xludf.DUMMYFUNCTION("""COMPUTED_VALUE"""),193.0)</f>
        <v>193</v>
      </c>
      <c r="B802" s="13">
        <f>IFERROR(__xludf.DUMMYFUNCTION("""COMPUTED_VALUE"""),45509.0)</f>
        <v>45509</v>
      </c>
      <c r="C802" s="12">
        <f>IFERROR(__xludf.DUMMYFUNCTION("""COMPUTED_VALUE"""),20.0)</f>
        <v>20</v>
      </c>
      <c r="D802" s="12">
        <f>IFERROR(__xludf.DUMMYFUNCTION("""COMPUTED_VALUE"""),1.0)</f>
        <v>1</v>
      </c>
      <c r="E802" s="12">
        <f>IFERROR(__xludf.DUMMYFUNCTION("""COMPUTED_VALUE"""),2.0)</f>
        <v>2</v>
      </c>
      <c r="F802" s="12">
        <f>IFERROR(__xludf.DUMMYFUNCTION("""COMPUTED_VALUE"""),1.0)</f>
        <v>1</v>
      </c>
      <c r="G802" s="15" t="str">
        <f>IFERROR(__xludf.DUMMYFUNCTION("""COMPUTED_VALUE"""),"Completa")</f>
        <v>Completa</v>
      </c>
      <c r="H802" s="16" t="str">
        <f t="array" ref="H802">_xlfn.XLOOKUP(D802,Productos[ID_Producto],Productos[Nombre_Producto])</f>
        <v>Leche</v>
      </c>
      <c r="I802" s="17">
        <f t="array" ref="I802">_xlfn.XLOOKUP(D802,Productos[ID_Producto],Productos[Precio_Unitario])</f>
        <v>12.24</v>
      </c>
      <c r="J802" s="17">
        <f t="shared" si="1"/>
        <v>24.48</v>
      </c>
      <c r="K802" s="16" t="str">
        <f t="array" ref="K802">_xlfn.XLOOKUP(C802,Clientes[ID_Cliente],Clientes[Provincia])</f>
        <v>San Luis</v>
      </c>
      <c r="L802" s="16" t="str">
        <f t="array" ref="L802">CONCATENATE(_xlfn.XLOOKUP(C802,Clientes[ID_Cliente],Clientes[Provincia]),", Argentina")</f>
        <v>San Luis, Argentina</v>
      </c>
      <c r="M802" s="20" t="str">
        <f t="array" ref="M802">_xlfn.XLOOKUP(F802,Metodos_De_Pago[ID_Metodo],Metodos_De_Pago[Metodo])</f>
        <v>Efectivo</v>
      </c>
      <c r="N802" s="20" t="str">
        <f t="shared" si="2"/>
        <v>2024 08</v>
      </c>
    </row>
    <row r="803" ht="22.5" customHeight="1">
      <c r="A803" s="12">
        <f>IFERROR(__xludf.DUMMYFUNCTION("""COMPUTED_VALUE"""),487.0)</f>
        <v>487</v>
      </c>
      <c r="B803" s="13">
        <f>IFERROR(__xludf.DUMMYFUNCTION("""COMPUTED_VALUE"""),45509.0)</f>
        <v>45509</v>
      </c>
      <c r="C803" s="12">
        <f>IFERROR(__xludf.DUMMYFUNCTION("""COMPUTED_VALUE"""),93.0)</f>
        <v>93</v>
      </c>
      <c r="D803" s="12">
        <f>IFERROR(__xludf.DUMMYFUNCTION("""COMPUTED_VALUE"""),36.0)</f>
        <v>36</v>
      </c>
      <c r="E803" s="12">
        <f>IFERROR(__xludf.DUMMYFUNCTION("""COMPUTED_VALUE"""),2.0)</f>
        <v>2</v>
      </c>
      <c r="F803" s="12">
        <f>IFERROR(__xludf.DUMMYFUNCTION("""COMPUTED_VALUE"""),5.0)</f>
        <v>5</v>
      </c>
      <c r="G803" s="15" t="str">
        <f>IFERROR(__xludf.DUMMYFUNCTION("""COMPUTED_VALUE"""),"Completa")</f>
        <v>Completa</v>
      </c>
      <c r="H803" s="16" t="str">
        <f t="array" ref="H803">_xlfn.XLOOKUP(D803,Productos[ID_Producto],Productos[Nombre_Producto])</f>
        <v>Lentejas</v>
      </c>
      <c r="I803" s="17">
        <f t="array" ref="I803">_xlfn.XLOOKUP(D803,Productos[ID_Producto],Productos[Precio_Unitario])</f>
        <v>3.25</v>
      </c>
      <c r="J803" s="17">
        <f t="shared" si="1"/>
        <v>6.5</v>
      </c>
      <c r="K803" s="16" t="str">
        <f t="array" ref="K803">_xlfn.XLOOKUP(C803,Clientes[ID_Cliente],Clientes[Provincia])</f>
        <v>Buenos Aires</v>
      </c>
      <c r="L803" s="16" t="str">
        <f t="array" ref="L803">CONCATENATE(_xlfn.XLOOKUP(C803,Clientes[ID_Cliente],Clientes[Provincia]),", Argentina")</f>
        <v>Buenos Aires, Argentina</v>
      </c>
      <c r="M803" s="20" t="str">
        <f t="array" ref="M803">_xlfn.XLOOKUP(F803,Metodos_De_Pago[ID_Metodo],Metodos_De_Pago[Metodo])</f>
        <v>Transferencia</v>
      </c>
      <c r="N803" s="20" t="str">
        <f t="shared" si="2"/>
        <v>2024 08</v>
      </c>
    </row>
    <row r="804" ht="22.5" customHeight="1">
      <c r="A804" s="12">
        <f>IFERROR(__xludf.DUMMYFUNCTION("""COMPUTED_VALUE"""),880.0)</f>
        <v>880</v>
      </c>
      <c r="B804" s="13">
        <f>IFERROR(__xludf.DUMMYFUNCTION("""COMPUTED_VALUE"""),45509.0)</f>
        <v>45509</v>
      </c>
      <c r="C804" s="12">
        <f>IFERROR(__xludf.DUMMYFUNCTION("""COMPUTED_VALUE"""),114.0)</f>
        <v>114</v>
      </c>
      <c r="D804" s="12">
        <f>IFERROR(__xludf.DUMMYFUNCTION("""COMPUTED_VALUE"""),2.0)</f>
        <v>2</v>
      </c>
      <c r="E804" s="12">
        <f>IFERROR(__xludf.DUMMYFUNCTION("""COMPUTED_VALUE"""),2.0)</f>
        <v>2</v>
      </c>
      <c r="F804" s="12">
        <f>IFERROR(__xludf.DUMMYFUNCTION("""COMPUTED_VALUE"""),5.0)</f>
        <v>5</v>
      </c>
      <c r="G804" s="15" t="str">
        <f>IFERROR(__xludf.DUMMYFUNCTION("""COMPUTED_VALUE"""),"Completa")</f>
        <v>Completa</v>
      </c>
      <c r="H804" s="16" t="str">
        <f t="array" ref="H804">_xlfn.XLOOKUP(D804,Productos[ID_Producto],Productos[Nombre_Producto])</f>
        <v>Yogur</v>
      </c>
      <c r="I804" s="17">
        <f t="array" ref="I804">_xlfn.XLOOKUP(D804,Productos[ID_Producto],Productos[Precio_Unitario])</f>
        <v>5.21</v>
      </c>
      <c r="J804" s="17">
        <f t="shared" si="1"/>
        <v>10.42</v>
      </c>
      <c r="K804" s="16" t="str">
        <f t="array" ref="K804">_xlfn.XLOOKUP(C804,Clientes[ID_Cliente],Clientes[Provincia])</f>
        <v>Córdoba</v>
      </c>
      <c r="L804" s="16" t="str">
        <f t="array" ref="L804">CONCATENATE(_xlfn.XLOOKUP(C804,Clientes[ID_Cliente],Clientes[Provincia]),", Argentina")</f>
        <v>Córdoba, Argentina</v>
      </c>
      <c r="M804" s="20" t="str">
        <f t="array" ref="M804">_xlfn.XLOOKUP(F804,Metodos_De_Pago[ID_Metodo],Metodos_De_Pago[Metodo])</f>
        <v>Transferencia</v>
      </c>
      <c r="N804" s="20" t="str">
        <f t="shared" si="2"/>
        <v>2024 08</v>
      </c>
    </row>
    <row r="805" ht="22.5" customHeight="1">
      <c r="A805" s="12">
        <f>IFERROR(__xludf.DUMMYFUNCTION("""COMPUTED_VALUE"""),1009.0)</f>
        <v>1009</v>
      </c>
      <c r="B805" s="13">
        <f>IFERROR(__xludf.DUMMYFUNCTION("""COMPUTED_VALUE"""),45509.0)</f>
        <v>45509</v>
      </c>
      <c r="C805" s="12">
        <f>IFERROR(__xludf.DUMMYFUNCTION("""COMPUTED_VALUE"""),306.0)</f>
        <v>306</v>
      </c>
      <c r="D805" s="12">
        <f>IFERROR(__xludf.DUMMYFUNCTION("""COMPUTED_VALUE"""),29.0)</f>
        <v>29</v>
      </c>
      <c r="E805" s="12">
        <f>IFERROR(__xludf.DUMMYFUNCTION("""COMPUTED_VALUE"""),2.0)</f>
        <v>2</v>
      </c>
      <c r="F805" s="12">
        <f>IFERROR(__xludf.DUMMYFUNCTION("""COMPUTED_VALUE"""),5.0)</f>
        <v>5</v>
      </c>
      <c r="G805" s="15" t="str">
        <f>IFERROR(__xludf.DUMMYFUNCTION("""COMPUTED_VALUE"""),"Completa")</f>
        <v>Completa</v>
      </c>
      <c r="H805" s="16" t="str">
        <f t="array" ref="H805">_xlfn.XLOOKUP(D805,Productos[ID_Producto],Productos[Nombre_Producto])</f>
        <v>Cerveza</v>
      </c>
      <c r="I805" s="17">
        <f t="array" ref="I805">_xlfn.XLOOKUP(D805,Productos[ID_Producto],Productos[Precio_Unitario])</f>
        <v>11.54</v>
      </c>
      <c r="J805" s="17">
        <f t="shared" si="1"/>
        <v>23.08</v>
      </c>
      <c r="K805" s="16" t="str">
        <f t="array" ref="K805">_xlfn.XLOOKUP(C805,Clientes[ID_Cliente],Clientes[Provincia])</f>
        <v>San Luis</v>
      </c>
      <c r="L805" s="16" t="str">
        <f t="array" ref="L805">CONCATENATE(_xlfn.XLOOKUP(C805,Clientes[ID_Cliente],Clientes[Provincia]),", Argentina")</f>
        <v>San Luis, Argentina</v>
      </c>
      <c r="M805" s="20" t="str">
        <f t="array" ref="M805">_xlfn.XLOOKUP(F805,Metodos_De_Pago[ID_Metodo],Metodos_De_Pago[Metodo])</f>
        <v>Transferencia</v>
      </c>
      <c r="N805" s="20" t="str">
        <f t="shared" si="2"/>
        <v>2024 08</v>
      </c>
    </row>
    <row r="806" ht="22.5" customHeight="1">
      <c r="A806" s="12">
        <f>IFERROR(__xludf.DUMMYFUNCTION("""COMPUTED_VALUE"""),175.0)</f>
        <v>175</v>
      </c>
      <c r="B806" s="13">
        <f>IFERROR(__xludf.DUMMYFUNCTION("""COMPUTED_VALUE"""),45510.0)</f>
        <v>45510</v>
      </c>
      <c r="C806" s="12">
        <f>IFERROR(__xludf.DUMMYFUNCTION("""COMPUTED_VALUE"""),203.0)</f>
        <v>203</v>
      </c>
      <c r="D806" s="12">
        <f>IFERROR(__xludf.DUMMYFUNCTION("""COMPUTED_VALUE"""),3.0)</f>
        <v>3</v>
      </c>
      <c r="E806" s="12">
        <f>IFERROR(__xludf.DUMMYFUNCTION("""COMPUTED_VALUE"""),2.0)</f>
        <v>2</v>
      </c>
      <c r="F806" s="12">
        <f>IFERROR(__xludf.DUMMYFUNCTION("""COMPUTED_VALUE"""),5.0)</f>
        <v>5</v>
      </c>
      <c r="G806" s="15" t="str">
        <f>IFERROR(__xludf.DUMMYFUNCTION("""COMPUTED_VALUE"""),"Pendiente")</f>
        <v>Pendiente</v>
      </c>
      <c r="H806" s="16" t="str">
        <f t="array" ref="H806">_xlfn.XLOOKUP(D806,Productos[ID_Producto],Productos[Nombre_Producto])</f>
        <v>Queso cremoso</v>
      </c>
      <c r="I806" s="17">
        <f t="array" ref="I806">_xlfn.XLOOKUP(D806,Productos[ID_Producto],Productos[Precio_Unitario])</f>
        <v>17.23</v>
      </c>
      <c r="J806" s="17">
        <f t="shared" si="1"/>
        <v>34.46</v>
      </c>
      <c r="K806" s="16" t="str">
        <f t="array" ref="K806">_xlfn.XLOOKUP(C806,Clientes[ID_Cliente],Clientes[Provincia])</f>
        <v>Buenos Aires</v>
      </c>
      <c r="L806" s="16" t="str">
        <f t="array" ref="L806">CONCATENATE(_xlfn.XLOOKUP(C806,Clientes[ID_Cliente],Clientes[Provincia]),", Argentina")</f>
        <v>Buenos Aires, Argentina</v>
      </c>
      <c r="M806" s="20" t="str">
        <f t="array" ref="M806">_xlfn.XLOOKUP(F806,Metodos_De_Pago[ID_Metodo],Metodos_De_Pago[Metodo])</f>
        <v>Transferencia</v>
      </c>
      <c r="N806" s="20" t="str">
        <f t="shared" si="2"/>
        <v>2024 08</v>
      </c>
    </row>
    <row r="807" ht="22.5" customHeight="1">
      <c r="A807" s="12">
        <f>IFERROR(__xludf.DUMMYFUNCTION("""COMPUTED_VALUE"""),764.0)</f>
        <v>764</v>
      </c>
      <c r="B807" s="13">
        <f>IFERROR(__xludf.DUMMYFUNCTION("""COMPUTED_VALUE"""),45510.0)</f>
        <v>45510</v>
      </c>
      <c r="C807" s="12">
        <f>IFERROR(__xludf.DUMMYFUNCTION("""COMPUTED_VALUE"""),43.0)</f>
        <v>43</v>
      </c>
      <c r="D807" s="12">
        <f>IFERROR(__xludf.DUMMYFUNCTION("""COMPUTED_VALUE"""),9.0)</f>
        <v>9</v>
      </c>
      <c r="E807" s="12">
        <f>IFERROR(__xludf.DUMMYFUNCTION("""COMPUTED_VALUE"""),2.0)</f>
        <v>2</v>
      </c>
      <c r="F807" s="12">
        <f>IFERROR(__xludf.DUMMYFUNCTION("""COMPUTED_VALUE"""),5.0)</f>
        <v>5</v>
      </c>
      <c r="G807" s="15" t="str">
        <f>IFERROR(__xludf.DUMMYFUNCTION("""COMPUTED_VALUE"""),"Completa")</f>
        <v>Completa</v>
      </c>
      <c r="H807" s="16" t="str">
        <f t="array" ref="H807">_xlfn.XLOOKUP(D807,Productos[ID_Producto],Productos[Nombre_Producto])</f>
        <v>Pollo</v>
      </c>
      <c r="I807" s="17">
        <f t="array" ref="I807">_xlfn.XLOOKUP(D807,Productos[ID_Producto],Productos[Precio_Unitario])</f>
        <v>18.56</v>
      </c>
      <c r="J807" s="17">
        <f t="shared" si="1"/>
        <v>37.12</v>
      </c>
      <c r="K807" s="16" t="str">
        <f t="array" ref="K807">_xlfn.XLOOKUP(C807,Clientes[ID_Cliente],Clientes[Provincia])</f>
        <v>Neuquén</v>
      </c>
      <c r="L807" s="16" t="str">
        <f t="array" ref="L807">CONCATENATE(_xlfn.XLOOKUP(C807,Clientes[ID_Cliente],Clientes[Provincia]),", Argentina")</f>
        <v>Neuquén, Argentina</v>
      </c>
      <c r="M807" s="20" t="str">
        <f t="array" ref="M807">_xlfn.XLOOKUP(F807,Metodos_De_Pago[ID_Metodo],Metodos_De_Pago[Metodo])</f>
        <v>Transferencia</v>
      </c>
      <c r="N807" s="20" t="str">
        <f t="shared" si="2"/>
        <v>2024 08</v>
      </c>
    </row>
    <row r="808" ht="22.5" customHeight="1">
      <c r="A808" s="12">
        <f>IFERROR(__xludf.DUMMYFUNCTION("""COMPUTED_VALUE"""),62.0)</f>
        <v>62</v>
      </c>
      <c r="B808" s="13">
        <f>IFERROR(__xludf.DUMMYFUNCTION("""COMPUTED_VALUE"""),45511.0)</f>
        <v>45511</v>
      </c>
      <c r="C808" s="12">
        <f>IFERROR(__xludf.DUMMYFUNCTION("""COMPUTED_VALUE"""),205.0)</f>
        <v>205</v>
      </c>
      <c r="D808" s="12">
        <f>IFERROR(__xludf.DUMMYFUNCTION("""COMPUTED_VALUE"""),15.0)</f>
        <v>15</v>
      </c>
      <c r="E808" s="12">
        <f>IFERROR(__xludf.DUMMYFUNCTION("""COMPUTED_VALUE"""),2.0)</f>
        <v>2</v>
      </c>
      <c r="F808" s="12">
        <f>IFERROR(__xludf.DUMMYFUNCTION("""COMPUTED_VALUE"""),5.0)</f>
        <v>5</v>
      </c>
      <c r="G808" s="15" t="str">
        <f>IFERROR(__xludf.DUMMYFUNCTION("""COMPUTED_VALUE"""),"Completa")</f>
        <v>Completa</v>
      </c>
      <c r="H808" s="16" t="str">
        <f t="array" ref="H808">_xlfn.XLOOKUP(D808,Productos[ID_Producto],Productos[Nombre_Producto])</f>
        <v>Medialunas</v>
      </c>
      <c r="I808" s="17">
        <f t="array" ref="I808">_xlfn.XLOOKUP(D808,Productos[ID_Producto],Productos[Precio_Unitario])</f>
        <v>3.51</v>
      </c>
      <c r="J808" s="17">
        <f t="shared" si="1"/>
        <v>7.02</v>
      </c>
      <c r="K808" s="16" t="str">
        <f t="array" ref="K808">_xlfn.XLOOKUP(C808,Clientes[ID_Cliente],Clientes[Provincia])</f>
        <v>Neuquén</v>
      </c>
      <c r="L808" s="16" t="str">
        <f t="array" ref="L808">CONCATENATE(_xlfn.XLOOKUP(C808,Clientes[ID_Cliente],Clientes[Provincia]),", Argentina")</f>
        <v>Neuquén, Argentina</v>
      </c>
      <c r="M808" s="20" t="str">
        <f t="array" ref="M808">_xlfn.XLOOKUP(F808,Metodos_De_Pago[ID_Metodo],Metodos_De_Pago[Metodo])</f>
        <v>Transferencia</v>
      </c>
      <c r="N808" s="20" t="str">
        <f t="shared" si="2"/>
        <v>2024 08</v>
      </c>
    </row>
    <row r="809" ht="22.5" customHeight="1">
      <c r="A809" s="12">
        <f>IFERROR(__xludf.DUMMYFUNCTION("""COMPUTED_VALUE"""),1827.0)</f>
        <v>1827</v>
      </c>
      <c r="B809" s="13">
        <f>IFERROR(__xludf.DUMMYFUNCTION("""COMPUTED_VALUE"""),45512.0)</f>
        <v>45512</v>
      </c>
      <c r="C809" s="12">
        <f>IFERROR(__xludf.DUMMYFUNCTION("""COMPUTED_VALUE"""),13.0)</f>
        <v>13</v>
      </c>
      <c r="D809" s="12">
        <f>IFERROR(__xludf.DUMMYFUNCTION("""COMPUTED_VALUE"""),28.0)</f>
        <v>28</v>
      </c>
      <c r="E809" s="12">
        <f>IFERROR(__xludf.DUMMYFUNCTION("""COMPUTED_VALUE"""),2.0)</f>
        <v>2</v>
      </c>
      <c r="F809" s="12">
        <f>IFERROR(__xludf.DUMMYFUNCTION("""COMPUTED_VALUE"""),3.0)</f>
        <v>3</v>
      </c>
      <c r="G809" s="15" t="str">
        <f>IFERROR(__xludf.DUMMYFUNCTION("""COMPUTED_VALUE"""),"Pendiente")</f>
        <v>Pendiente</v>
      </c>
      <c r="H809" s="16" t="str">
        <f t="array" ref="H809">_xlfn.XLOOKUP(D809,Productos[ID_Producto],Productos[Nombre_Producto])</f>
        <v>Jugos de frutas</v>
      </c>
      <c r="I809" s="17">
        <f t="array" ref="I809">_xlfn.XLOOKUP(D809,Productos[ID_Producto],Productos[Precio_Unitario])</f>
        <v>9.45</v>
      </c>
      <c r="J809" s="17">
        <f t="shared" si="1"/>
        <v>18.9</v>
      </c>
      <c r="K809" s="16" t="str">
        <f t="array" ref="K809">_xlfn.XLOOKUP(C809,Clientes[ID_Cliente],Clientes[Provincia])</f>
        <v>Córdoba</v>
      </c>
      <c r="L809" s="16" t="str">
        <f t="array" ref="L809">CONCATENATE(_xlfn.XLOOKUP(C809,Clientes[ID_Cliente],Clientes[Provincia]),", Argentina")</f>
        <v>Córdoba, Argentina</v>
      </c>
      <c r="M809" s="20" t="str">
        <f t="array" ref="M809">_xlfn.XLOOKUP(F809,Metodos_De_Pago[ID_Metodo],Metodos_De_Pago[Metodo])</f>
        <v>Tarjeta de Débito</v>
      </c>
      <c r="N809" s="20" t="str">
        <f t="shared" si="2"/>
        <v>2024 08</v>
      </c>
    </row>
    <row r="810" ht="22.5" customHeight="1">
      <c r="A810" s="12">
        <f>IFERROR(__xludf.DUMMYFUNCTION("""COMPUTED_VALUE"""),2791.0)</f>
        <v>2791</v>
      </c>
      <c r="B810" s="13">
        <f>IFERROR(__xludf.DUMMYFUNCTION("""COMPUTED_VALUE"""),45513.0)</f>
        <v>45513</v>
      </c>
      <c r="C810" s="12">
        <f>IFERROR(__xludf.DUMMYFUNCTION("""COMPUTED_VALUE"""),124.0)</f>
        <v>124</v>
      </c>
      <c r="D810" s="12">
        <f>IFERROR(__xludf.DUMMYFUNCTION("""COMPUTED_VALUE"""),33.0)</f>
        <v>33</v>
      </c>
      <c r="E810" s="12">
        <f>IFERROR(__xludf.DUMMYFUNCTION("""COMPUTED_VALUE"""),2.0)</f>
        <v>2</v>
      </c>
      <c r="F810" s="12">
        <f>IFERROR(__xludf.DUMMYFUNCTION("""COMPUTED_VALUE"""),3.0)</f>
        <v>3</v>
      </c>
      <c r="G810" s="15" t="str">
        <f>IFERROR(__xludf.DUMMYFUNCTION("""COMPUTED_VALUE"""),"Completa")</f>
        <v>Completa</v>
      </c>
      <c r="H810" s="16" t="str">
        <f t="array" ref="H810">_xlfn.XLOOKUP(D810,Productos[ID_Producto],Productos[Nombre_Producto])</f>
        <v>Papas chips</v>
      </c>
      <c r="I810" s="17">
        <f t="array" ref="I810">_xlfn.XLOOKUP(D810,Productos[ID_Producto],Productos[Precio_Unitario])</f>
        <v>8.54</v>
      </c>
      <c r="J810" s="17">
        <f t="shared" si="1"/>
        <v>17.08</v>
      </c>
      <c r="K810" s="16" t="str">
        <f t="array" ref="K810">_xlfn.XLOOKUP(C810,Clientes[ID_Cliente],Clientes[Provincia])</f>
        <v>Chaco</v>
      </c>
      <c r="L810" s="16" t="str">
        <f t="array" ref="L810">CONCATENATE(_xlfn.XLOOKUP(C810,Clientes[ID_Cliente],Clientes[Provincia]),", Argentina")</f>
        <v>Chaco, Argentina</v>
      </c>
      <c r="M810" s="20" t="str">
        <f t="array" ref="M810">_xlfn.XLOOKUP(F810,Metodos_De_Pago[ID_Metodo],Metodos_De_Pago[Metodo])</f>
        <v>Tarjeta de Débito</v>
      </c>
      <c r="N810" s="20" t="str">
        <f t="shared" si="2"/>
        <v>2024 08</v>
      </c>
    </row>
    <row r="811" ht="22.5" customHeight="1">
      <c r="A811" s="12">
        <f>IFERROR(__xludf.DUMMYFUNCTION("""COMPUTED_VALUE"""),2748.0)</f>
        <v>2748</v>
      </c>
      <c r="B811" s="13">
        <f>IFERROR(__xludf.DUMMYFUNCTION("""COMPUTED_VALUE"""),45514.0)</f>
        <v>45514</v>
      </c>
      <c r="C811" s="12">
        <f>IFERROR(__xludf.DUMMYFUNCTION("""COMPUTED_VALUE"""),169.0)</f>
        <v>169</v>
      </c>
      <c r="D811" s="12">
        <f>IFERROR(__xludf.DUMMYFUNCTION("""COMPUTED_VALUE"""),27.0)</f>
        <v>27</v>
      </c>
      <c r="E811" s="12">
        <f>IFERROR(__xludf.DUMMYFUNCTION("""COMPUTED_VALUE"""),2.0)</f>
        <v>2</v>
      </c>
      <c r="F811" s="12">
        <f>IFERROR(__xludf.DUMMYFUNCTION("""COMPUTED_VALUE"""),1.0)</f>
        <v>1</v>
      </c>
      <c r="G811" s="15" t="str">
        <f>IFERROR(__xludf.DUMMYFUNCTION("""COMPUTED_VALUE"""),"Completa")</f>
        <v>Completa</v>
      </c>
      <c r="H811" s="16" t="str">
        <f t="array" ref="H811">_xlfn.XLOOKUP(D811,Productos[ID_Producto],Productos[Nombre_Producto])</f>
        <v>Agua mineral</v>
      </c>
      <c r="I811" s="17">
        <f t="array" ref="I811">_xlfn.XLOOKUP(D811,Productos[ID_Producto],Productos[Precio_Unitario])</f>
        <v>6.21</v>
      </c>
      <c r="J811" s="17">
        <f t="shared" si="1"/>
        <v>12.42</v>
      </c>
      <c r="K811" s="16" t="str">
        <f t="array" ref="K811">_xlfn.XLOOKUP(C811,Clientes[ID_Cliente],Clientes[Provincia])</f>
        <v>Córdoba</v>
      </c>
      <c r="L811" s="16" t="str">
        <f t="array" ref="L811">CONCATENATE(_xlfn.XLOOKUP(C811,Clientes[ID_Cliente],Clientes[Provincia]),", Argentina")</f>
        <v>Córdoba, Argentina</v>
      </c>
      <c r="M811" s="20" t="str">
        <f t="array" ref="M811">_xlfn.XLOOKUP(F811,Metodos_De_Pago[ID_Metodo],Metodos_De_Pago[Metodo])</f>
        <v>Efectivo</v>
      </c>
      <c r="N811" s="20" t="str">
        <f t="shared" si="2"/>
        <v>2024 08</v>
      </c>
    </row>
    <row r="812" ht="22.5" customHeight="1">
      <c r="A812" s="12">
        <f>IFERROR(__xludf.DUMMYFUNCTION("""COMPUTED_VALUE"""),1873.0)</f>
        <v>1873</v>
      </c>
      <c r="B812" s="13">
        <f>IFERROR(__xludf.DUMMYFUNCTION("""COMPUTED_VALUE"""),45515.0)</f>
        <v>45515</v>
      </c>
      <c r="C812" s="12">
        <f>IFERROR(__xludf.DUMMYFUNCTION("""COMPUTED_VALUE"""),234.0)</f>
        <v>234</v>
      </c>
      <c r="D812" s="12">
        <f>IFERROR(__xludf.DUMMYFUNCTION("""COMPUTED_VALUE"""),9.0)</f>
        <v>9</v>
      </c>
      <c r="E812" s="12">
        <f>IFERROR(__xludf.DUMMYFUNCTION("""COMPUTED_VALUE"""),2.0)</f>
        <v>2</v>
      </c>
      <c r="F812" s="12">
        <f>IFERROR(__xludf.DUMMYFUNCTION("""COMPUTED_VALUE"""),5.0)</f>
        <v>5</v>
      </c>
      <c r="G812" s="15" t="str">
        <f>IFERROR(__xludf.DUMMYFUNCTION("""COMPUTED_VALUE"""),"Completa")</f>
        <v>Completa</v>
      </c>
      <c r="H812" s="16" t="str">
        <f t="array" ref="H812">_xlfn.XLOOKUP(D812,Productos[ID_Producto],Productos[Nombre_Producto])</f>
        <v>Pollo</v>
      </c>
      <c r="I812" s="17">
        <f t="array" ref="I812">_xlfn.XLOOKUP(D812,Productos[ID_Producto],Productos[Precio_Unitario])</f>
        <v>18.56</v>
      </c>
      <c r="J812" s="17">
        <f t="shared" si="1"/>
        <v>37.12</v>
      </c>
      <c r="K812" s="16" t="str">
        <f t="array" ref="K812">_xlfn.XLOOKUP(C812,Clientes[ID_Cliente],Clientes[Provincia])</f>
        <v>Buenos Aires</v>
      </c>
      <c r="L812" s="16" t="str">
        <f t="array" ref="L812">CONCATENATE(_xlfn.XLOOKUP(C812,Clientes[ID_Cliente],Clientes[Provincia]),", Argentina")</f>
        <v>Buenos Aires, Argentina</v>
      </c>
      <c r="M812" s="20" t="str">
        <f t="array" ref="M812">_xlfn.XLOOKUP(F812,Metodos_De_Pago[ID_Metodo],Metodos_De_Pago[Metodo])</f>
        <v>Transferencia</v>
      </c>
      <c r="N812" s="20" t="str">
        <f t="shared" si="2"/>
        <v>2024 08</v>
      </c>
    </row>
    <row r="813" ht="22.5" customHeight="1">
      <c r="A813" s="12">
        <f>IFERROR(__xludf.DUMMYFUNCTION("""COMPUTED_VALUE"""),1991.0)</f>
        <v>1991</v>
      </c>
      <c r="B813" s="13">
        <f>IFERROR(__xludf.DUMMYFUNCTION("""COMPUTED_VALUE"""),45515.0)</f>
        <v>45515</v>
      </c>
      <c r="C813" s="12">
        <f>IFERROR(__xludf.DUMMYFUNCTION("""COMPUTED_VALUE"""),21.0)</f>
        <v>21</v>
      </c>
      <c r="D813" s="12">
        <f>IFERROR(__xludf.DUMMYFUNCTION("""COMPUTED_VALUE"""),35.0)</f>
        <v>35</v>
      </c>
      <c r="E813" s="12">
        <f>IFERROR(__xludf.DUMMYFUNCTION("""COMPUTED_VALUE"""),2.0)</f>
        <v>2</v>
      </c>
      <c r="F813" s="12">
        <f>IFERROR(__xludf.DUMMYFUNCTION("""COMPUTED_VALUE"""),1.0)</f>
        <v>1</v>
      </c>
      <c r="G813" s="15" t="str">
        <f>IFERROR(__xludf.DUMMYFUNCTION("""COMPUTED_VALUE"""),"Completa")</f>
        <v>Completa</v>
      </c>
      <c r="H813" s="16" t="str">
        <f t="array" ref="H813">_xlfn.XLOOKUP(D813,Productos[ID_Producto],Productos[Nombre_Producto])</f>
        <v>Arroz</v>
      </c>
      <c r="I813" s="17">
        <f t="array" ref="I813">_xlfn.XLOOKUP(D813,Productos[ID_Producto],Productos[Precio_Unitario])</f>
        <v>4.25</v>
      </c>
      <c r="J813" s="17">
        <f t="shared" si="1"/>
        <v>8.5</v>
      </c>
      <c r="K813" s="16" t="str">
        <f t="array" ref="K813">_xlfn.XLOOKUP(C813,Clientes[ID_Cliente],Clientes[Provincia])</f>
        <v>Buenos Aires</v>
      </c>
      <c r="L813" s="16" t="str">
        <f t="array" ref="L813">CONCATENATE(_xlfn.XLOOKUP(C813,Clientes[ID_Cliente],Clientes[Provincia]),", Argentina")</f>
        <v>Buenos Aires, Argentina</v>
      </c>
      <c r="M813" s="20" t="str">
        <f t="array" ref="M813">_xlfn.XLOOKUP(F813,Metodos_De_Pago[ID_Metodo],Metodos_De_Pago[Metodo])</f>
        <v>Efectivo</v>
      </c>
      <c r="N813" s="20" t="str">
        <f t="shared" si="2"/>
        <v>2024 08</v>
      </c>
    </row>
    <row r="814" ht="22.5" customHeight="1">
      <c r="A814" s="12">
        <f>IFERROR(__xludf.DUMMYFUNCTION("""COMPUTED_VALUE"""),1995.0)</f>
        <v>1995</v>
      </c>
      <c r="B814" s="13">
        <f>IFERROR(__xludf.DUMMYFUNCTION("""COMPUTED_VALUE"""),45515.0)</f>
        <v>45515</v>
      </c>
      <c r="C814" s="12">
        <f>IFERROR(__xludf.DUMMYFUNCTION("""COMPUTED_VALUE"""),159.0)</f>
        <v>159</v>
      </c>
      <c r="D814" s="12">
        <f>IFERROR(__xludf.DUMMYFUNCTION("""COMPUTED_VALUE"""),9.0)</f>
        <v>9</v>
      </c>
      <c r="E814" s="12">
        <f>IFERROR(__xludf.DUMMYFUNCTION("""COMPUTED_VALUE"""),2.0)</f>
        <v>2</v>
      </c>
      <c r="F814" s="12">
        <f>IFERROR(__xludf.DUMMYFUNCTION("""COMPUTED_VALUE"""),5.0)</f>
        <v>5</v>
      </c>
      <c r="G814" s="15" t="str">
        <f>IFERROR(__xludf.DUMMYFUNCTION("""COMPUTED_VALUE"""),"Completa")</f>
        <v>Completa</v>
      </c>
      <c r="H814" s="16" t="str">
        <f t="array" ref="H814">_xlfn.XLOOKUP(D814,Productos[ID_Producto],Productos[Nombre_Producto])</f>
        <v>Pollo</v>
      </c>
      <c r="I814" s="17">
        <f t="array" ref="I814">_xlfn.XLOOKUP(D814,Productos[ID_Producto],Productos[Precio_Unitario])</f>
        <v>18.56</v>
      </c>
      <c r="J814" s="17">
        <f t="shared" si="1"/>
        <v>37.12</v>
      </c>
      <c r="K814" s="16" t="str">
        <f t="array" ref="K814">_xlfn.XLOOKUP(C814,Clientes[ID_Cliente],Clientes[Provincia])</f>
        <v>Chaco</v>
      </c>
      <c r="L814" s="16" t="str">
        <f t="array" ref="L814">CONCATENATE(_xlfn.XLOOKUP(C814,Clientes[ID_Cliente],Clientes[Provincia]),", Argentina")</f>
        <v>Chaco, Argentina</v>
      </c>
      <c r="M814" s="20" t="str">
        <f t="array" ref="M814">_xlfn.XLOOKUP(F814,Metodos_De_Pago[ID_Metodo],Metodos_De_Pago[Metodo])</f>
        <v>Transferencia</v>
      </c>
      <c r="N814" s="20" t="str">
        <f t="shared" si="2"/>
        <v>2024 08</v>
      </c>
    </row>
    <row r="815" ht="22.5" customHeight="1">
      <c r="A815" s="12">
        <f>IFERROR(__xludf.DUMMYFUNCTION("""COMPUTED_VALUE"""),2692.0)</f>
        <v>2692</v>
      </c>
      <c r="B815" s="13">
        <f>IFERROR(__xludf.DUMMYFUNCTION("""COMPUTED_VALUE"""),45515.0)</f>
        <v>45515</v>
      </c>
      <c r="C815" s="12">
        <f>IFERROR(__xludf.DUMMYFUNCTION("""COMPUTED_VALUE"""),1.0)</f>
        <v>1</v>
      </c>
      <c r="D815" s="12">
        <f>IFERROR(__xludf.DUMMYFUNCTION("""COMPUTED_VALUE"""),13.0)</f>
        <v>13</v>
      </c>
      <c r="E815" s="12">
        <f>IFERROR(__xludf.DUMMYFUNCTION("""COMPUTED_VALUE"""),2.0)</f>
        <v>2</v>
      </c>
      <c r="F815" s="12">
        <f>IFERROR(__xludf.DUMMYFUNCTION("""COMPUTED_VALUE"""),1.0)</f>
        <v>1</v>
      </c>
      <c r="G815" s="15" t="str">
        <f>IFERROR(__xludf.DUMMYFUNCTION("""COMPUTED_VALUE"""),"Pendiente")</f>
        <v>Pendiente</v>
      </c>
      <c r="H815" s="16" t="str">
        <f t="array" ref="H815">_xlfn.XLOOKUP(D815,Productos[ID_Producto],Productos[Nombre_Producto])</f>
        <v>Pan integral</v>
      </c>
      <c r="I815" s="17">
        <f t="array" ref="I815">_xlfn.XLOOKUP(D815,Productos[ID_Producto],Productos[Precio_Unitario])</f>
        <v>12.56</v>
      </c>
      <c r="J815" s="17">
        <f t="shared" si="1"/>
        <v>25.12</v>
      </c>
      <c r="K815" s="16" t="str">
        <f t="array" ref="K815">_xlfn.XLOOKUP(C815,Clientes[ID_Cliente],Clientes[Provincia])</f>
        <v>Neuquén</v>
      </c>
      <c r="L815" s="16" t="str">
        <f t="array" ref="L815">CONCATENATE(_xlfn.XLOOKUP(C815,Clientes[ID_Cliente],Clientes[Provincia]),", Argentina")</f>
        <v>Neuquén, Argentina</v>
      </c>
      <c r="M815" s="20" t="str">
        <f t="array" ref="M815">_xlfn.XLOOKUP(F815,Metodos_De_Pago[ID_Metodo],Metodos_De_Pago[Metodo])</f>
        <v>Efectivo</v>
      </c>
      <c r="N815" s="20" t="str">
        <f t="shared" si="2"/>
        <v>2024 08</v>
      </c>
    </row>
    <row r="816" ht="22.5" customHeight="1">
      <c r="A816" s="12">
        <f>IFERROR(__xludf.DUMMYFUNCTION("""COMPUTED_VALUE"""),315.0)</f>
        <v>315</v>
      </c>
      <c r="B816" s="13">
        <f>IFERROR(__xludf.DUMMYFUNCTION("""COMPUTED_VALUE"""),45516.0)</f>
        <v>45516</v>
      </c>
      <c r="C816" s="12">
        <f>IFERROR(__xludf.DUMMYFUNCTION("""COMPUTED_VALUE"""),182.0)</f>
        <v>182</v>
      </c>
      <c r="D816" s="12">
        <f>IFERROR(__xludf.DUMMYFUNCTION("""COMPUTED_VALUE"""),14.0)</f>
        <v>14</v>
      </c>
      <c r="E816" s="12">
        <f>IFERROR(__xludf.DUMMYFUNCTION("""COMPUTED_VALUE"""),2.0)</f>
        <v>2</v>
      </c>
      <c r="F816" s="12">
        <f>IFERROR(__xludf.DUMMYFUNCTION("""COMPUTED_VALUE"""),5.0)</f>
        <v>5</v>
      </c>
      <c r="G816" s="15" t="str">
        <f>IFERROR(__xludf.DUMMYFUNCTION("""COMPUTED_VALUE"""),"Pendiente")</f>
        <v>Pendiente</v>
      </c>
      <c r="H816" s="16" t="str">
        <f t="array" ref="H816">_xlfn.XLOOKUP(D816,Productos[ID_Producto],Productos[Nombre_Producto])</f>
        <v>Facturas</v>
      </c>
      <c r="I816" s="17">
        <f t="array" ref="I816">_xlfn.XLOOKUP(D816,Productos[ID_Producto],Productos[Precio_Unitario])</f>
        <v>12.36</v>
      </c>
      <c r="J816" s="17">
        <f t="shared" si="1"/>
        <v>24.72</v>
      </c>
      <c r="K816" s="16" t="str">
        <f t="array" ref="K816">_xlfn.XLOOKUP(C816,Clientes[ID_Cliente],Clientes[Provincia])</f>
        <v>Córdoba</v>
      </c>
      <c r="L816" s="16" t="str">
        <f t="array" ref="L816">CONCATENATE(_xlfn.XLOOKUP(C816,Clientes[ID_Cliente],Clientes[Provincia]),", Argentina")</f>
        <v>Córdoba, Argentina</v>
      </c>
      <c r="M816" s="20" t="str">
        <f t="array" ref="M816">_xlfn.XLOOKUP(F816,Metodos_De_Pago[ID_Metodo],Metodos_De_Pago[Metodo])</f>
        <v>Transferencia</v>
      </c>
      <c r="N816" s="20" t="str">
        <f t="shared" si="2"/>
        <v>2024 08</v>
      </c>
    </row>
    <row r="817" ht="22.5" customHeight="1">
      <c r="A817" s="12">
        <f>IFERROR(__xludf.DUMMYFUNCTION("""COMPUTED_VALUE"""),773.0)</f>
        <v>773</v>
      </c>
      <c r="B817" s="13">
        <f>IFERROR(__xludf.DUMMYFUNCTION("""COMPUTED_VALUE"""),45516.0)</f>
        <v>45516</v>
      </c>
      <c r="C817" s="12">
        <f>IFERROR(__xludf.DUMMYFUNCTION("""COMPUTED_VALUE"""),247.0)</f>
        <v>247</v>
      </c>
      <c r="D817" s="12">
        <f>IFERROR(__xludf.DUMMYFUNCTION("""COMPUTED_VALUE"""),26.0)</f>
        <v>26</v>
      </c>
      <c r="E817" s="12">
        <f>IFERROR(__xludf.DUMMYFUNCTION("""COMPUTED_VALUE"""),2.0)</f>
        <v>2</v>
      </c>
      <c r="F817" s="12">
        <f>IFERROR(__xludf.DUMMYFUNCTION("""COMPUTED_VALUE"""),1.0)</f>
        <v>1</v>
      </c>
      <c r="G817" s="15" t="str">
        <f>IFERROR(__xludf.DUMMYFUNCTION("""COMPUTED_VALUE"""),"Pendiente")</f>
        <v>Pendiente</v>
      </c>
      <c r="H817" s="16" t="str">
        <f t="array" ref="H817">_xlfn.XLOOKUP(D817,Productos[ID_Producto],Productos[Nombre_Producto])</f>
        <v>Hamburgesas congeladas</v>
      </c>
      <c r="I817" s="17">
        <f t="array" ref="I817">_xlfn.XLOOKUP(D817,Productos[ID_Producto],Productos[Precio_Unitario])</f>
        <v>9.54</v>
      </c>
      <c r="J817" s="17">
        <f t="shared" si="1"/>
        <v>19.08</v>
      </c>
      <c r="K817" s="16" t="str">
        <f t="array" ref="K817">_xlfn.XLOOKUP(C817,Clientes[ID_Cliente],Clientes[Provincia])</f>
        <v>Buenos Aires</v>
      </c>
      <c r="L817" s="16" t="str">
        <f t="array" ref="L817">CONCATENATE(_xlfn.XLOOKUP(C817,Clientes[ID_Cliente],Clientes[Provincia]),", Argentina")</f>
        <v>Buenos Aires, Argentina</v>
      </c>
      <c r="M817" s="20" t="str">
        <f t="array" ref="M817">_xlfn.XLOOKUP(F817,Metodos_De_Pago[ID_Metodo],Metodos_De_Pago[Metodo])</f>
        <v>Efectivo</v>
      </c>
      <c r="N817" s="20" t="str">
        <f t="shared" si="2"/>
        <v>2024 08</v>
      </c>
    </row>
    <row r="818" ht="22.5" customHeight="1">
      <c r="A818" s="12">
        <f>IFERROR(__xludf.DUMMYFUNCTION("""COMPUTED_VALUE"""),2626.0)</f>
        <v>2626</v>
      </c>
      <c r="B818" s="13">
        <f>IFERROR(__xludf.DUMMYFUNCTION("""COMPUTED_VALUE"""),45516.0)</f>
        <v>45516</v>
      </c>
      <c r="C818" s="12">
        <f>IFERROR(__xludf.DUMMYFUNCTION("""COMPUTED_VALUE"""),321.0)</f>
        <v>321</v>
      </c>
      <c r="D818" s="12">
        <f>IFERROR(__xludf.DUMMYFUNCTION("""COMPUTED_VALUE"""),10.0)</f>
        <v>10</v>
      </c>
      <c r="E818" s="12">
        <f>IFERROR(__xludf.DUMMYFUNCTION("""COMPUTED_VALUE"""),2.0)</f>
        <v>2</v>
      </c>
      <c r="F818" s="12">
        <f>IFERROR(__xludf.DUMMYFUNCTION("""COMPUTED_VALUE"""),5.0)</f>
        <v>5</v>
      </c>
      <c r="G818" s="15" t="str">
        <f>IFERROR(__xludf.DUMMYFUNCTION("""COMPUTED_VALUE"""),"Completa")</f>
        <v>Completa</v>
      </c>
      <c r="H818" s="16" t="str">
        <f t="array" ref="H818">_xlfn.XLOOKUP(D818,Productos[ID_Producto],Productos[Nombre_Producto])</f>
        <v>Costilla de cerdo</v>
      </c>
      <c r="I818" s="17">
        <f t="array" ref="I818">_xlfn.XLOOKUP(D818,Productos[ID_Producto],Productos[Precio_Unitario])</f>
        <v>14.25</v>
      </c>
      <c r="J818" s="17">
        <f t="shared" si="1"/>
        <v>28.5</v>
      </c>
      <c r="K818" s="16" t="str">
        <f t="array" ref="K818">_xlfn.XLOOKUP(C818,Clientes[ID_Cliente],Clientes[Provincia])</f>
        <v>San Luis</v>
      </c>
      <c r="L818" s="16" t="str">
        <f t="array" ref="L818">CONCATENATE(_xlfn.XLOOKUP(C818,Clientes[ID_Cliente],Clientes[Provincia]),", Argentina")</f>
        <v>San Luis, Argentina</v>
      </c>
      <c r="M818" s="20" t="str">
        <f t="array" ref="M818">_xlfn.XLOOKUP(F818,Metodos_De_Pago[ID_Metodo],Metodos_De_Pago[Metodo])</f>
        <v>Transferencia</v>
      </c>
      <c r="N818" s="20" t="str">
        <f t="shared" si="2"/>
        <v>2024 08</v>
      </c>
    </row>
    <row r="819" ht="22.5" customHeight="1">
      <c r="A819" s="12">
        <f>IFERROR(__xludf.DUMMYFUNCTION("""COMPUTED_VALUE"""),936.0)</f>
        <v>936</v>
      </c>
      <c r="B819" s="13">
        <f>IFERROR(__xludf.DUMMYFUNCTION("""COMPUTED_VALUE"""),45517.0)</f>
        <v>45517</v>
      </c>
      <c r="C819" s="12">
        <f>IFERROR(__xludf.DUMMYFUNCTION("""COMPUTED_VALUE"""),98.0)</f>
        <v>98</v>
      </c>
      <c r="D819" s="12">
        <f>IFERROR(__xludf.DUMMYFUNCTION("""COMPUTED_VALUE"""),2.0)</f>
        <v>2</v>
      </c>
      <c r="E819" s="12">
        <f>IFERROR(__xludf.DUMMYFUNCTION("""COMPUTED_VALUE"""),2.0)</f>
        <v>2</v>
      </c>
      <c r="F819" s="12">
        <f>IFERROR(__xludf.DUMMYFUNCTION("""COMPUTED_VALUE"""),4.0)</f>
        <v>4</v>
      </c>
      <c r="G819" s="15" t="str">
        <f>IFERROR(__xludf.DUMMYFUNCTION("""COMPUTED_VALUE"""),"Completa")</f>
        <v>Completa</v>
      </c>
      <c r="H819" s="16" t="str">
        <f t="array" ref="H819">_xlfn.XLOOKUP(D819,Productos[ID_Producto],Productos[Nombre_Producto])</f>
        <v>Yogur</v>
      </c>
      <c r="I819" s="17">
        <f t="array" ref="I819">_xlfn.XLOOKUP(D819,Productos[ID_Producto],Productos[Precio_Unitario])</f>
        <v>5.21</v>
      </c>
      <c r="J819" s="17">
        <f t="shared" si="1"/>
        <v>10.42</v>
      </c>
      <c r="K819" s="16" t="str">
        <f t="array" ref="K819">_xlfn.XLOOKUP(C819,Clientes[ID_Cliente],Clientes[Provincia])</f>
        <v>Córdoba</v>
      </c>
      <c r="L819" s="16" t="str">
        <f t="array" ref="L819">CONCATENATE(_xlfn.XLOOKUP(C819,Clientes[ID_Cliente],Clientes[Provincia]),", Argentina")</f>
        <v>Córdoba, Argentina</v>
      </c>
      <c r="M819" s="20" t="str">
        <f t="array" ref="M819">_xlfn.XLOOKUP(F819,Metodos_De_Pago[ID_Metodo],Metodos_De_Pago[Metodo])</f>
        <v>Mercado Pago</v>
      </c>
      <c r="N819" s="20" t="str">
        <f t="shared" si="2"/>
        <v>2024 08</v>
      </c>
    </row>
    <row r="820" ht="22.5" customHeight="1">
      <c r="A820" s="12">
        <f>IFERROR(__xludf.DUMMYFUNCTION("""COMPUTED_VALUE"""),1450.0)</f>
        <v>1450</v>
      </c>
      <c r="B820" s="13">
        <f>IFERROR(__xludf.DUMMYFUNCTION("""COMPUTED_VALUE"""),45517.0)</f>
        <v>45517</v>
      </c>
      <c r="C820" s="12">
        <f>IFERROR(__xludf.DUMMYFUNCTION("""COMPUTED_VALUE"""),98.0)</f>
        <v>98</v>
      </c>
      <c r="D820" s="12">
        <f>IFERROR(__xludf.DUMMYFUNCTION("""COMPUTED_VALUE"""),12.0)</f>
        <v>12</v>
      </c>
      <c r="E820" s="12">
        <f>IFERROR(__xludf.DUMMYFUNCTION("""COMPUTED_VALUE"""),2.0)</f>
        <v>2</v>
      </c>
      <c r="F820" s="12">
        <f>IFERROR(__xludf.DUMMYFUNCTION("""COMPUTED_VALUE"""),2.0)</f>
        <v>2</v>
      </c>
      <c r="G820" s="15" t="str">
        <f>IFERROR(__xludf.DUMMYFUNCTION("""COMPUTED_VALUE"""),"Completa")</f>
        <v>Completa</v>
      </c>
      <c r="H820" s="16" t="str">
        <f t="array" ref="H820">_xlfn.XLOOKUP(D820,Productos[ID_Producto],Productos[Nombre_Producto])</f>
        <v>Pan francés</v>
      </c>
      <c r="I820" s="17">
        <f t="array" ref="I820">_xlfn.XLOOKUP(D820,Productos[ID_Producto],Productos[Precio_Unitario])</f>
        <v>8.12</v>
      </c>
      <c r="J820" s="17">
        <f t="shared" si="1"/>
        <v>16.24</v>
      </c>
      <c r="K820" s="16" t="str">
        <f t="array" ref="K820">_xlfn.XLOOKUP(C820,Clientes[ID_Cliente],Clientes[Provincia])</f>
        <v>Córdoba</v>
      </c>
      <c r="L820" s="16" t="str">
        <f t="array" ref="L820">CONCATENATE(_xlfn.XLOOKUP(C820,Clientes[ID_Cliente],Clientes[Provincia]),", Argentina")</f>
        <v>Córdoba, Argentina</v>
      </c>
      <c r="M820" s="20" t="str">
        <f t="array" ref="M820">_xlfn.XLOOKUP(F820,Metodos_De_Pago[ID_Metodo],Metodos_De_Pago[Metodo])</f>
        <v>Tarjeta de Crédito</v>
      </c>
      <c r="N820" s="20" t="str">
        <f t="shared" si="2"/>
        <v>2024 08</v>
      </c>
    </row>
    <row r="821" ht="22.5" customHeight="1">
      <c r="A821" s="12">
        <f>IFERROR(__xludf.DUMMYFUNCTION("""COMPUTED_VALUE"""),1799.0)</f>
        <v>1799</v>
      </c>
      <c r="B821" s="13">
        <f>IFERROR(__xludf.DUMMYFUNCTION("""COMPUTED_VALUE"""),45517.0)</f>
        <v>45517</v>
      </c>
      <c r="C821" s="12">
        <f>IFERROR(__xludf.DUMMYFUNCTION("""COMPUTED_VALUE"""),325.0)</f>
        <v>325</v>
      </c>
      <c r="D821" s="12">
        <f>IFERROR(__xludf.DUMMYFUNCTION("""COMPUTED_VALUE"""),19.0)</f>
        <v>19</v>
      </c>
      <c r="E821" s="12">
        <f>IFERROR(__xludf.DUMMYFUNCTION("""COMPUTED_VALUE"""),2.0)</f>
        <v>2</v>
      </c>
      <c r="F821" s="12">
        <f>IFERROR(__xludf.DUMMYFUNCTION("""COMPUTED_VALUE"""),3.0)</f>
        <v>3</v>
      </c>
      <c r="G821" s="15" t="str">
        <f>IFERROR(__xludf.DUMMYFUNCTION("""COMPUTED_VALUE"""),"Completa")</f>
        <v>Completa</v>
      </c>
      <c r="H821" s="16" t="str">
        <f t="array" ref="H821">_xlfn.XLOOKUP(D821,Productos[ID_Producto],Productos[Nombre_Producto])</f>
        <v>Tomates</v>
      </c>
      <c r="I821" s="17">
        <f t="array" ref="I821">_xlfn.XLOOKUP(D821,Productos[ID_Producto],Productos[Precio_Unitario])</f>
        <v>6.54</v>
      </c>
      <c r="J821" s="17">
        <f t="shared" si="1"/>
        <v>13.08</v>
      </c>
      <c r="K821" s="16" t="str">
        <f t="array" ref="K821">_xlfn.XLOOKUP(C821,Clientes[ID_Cliente],Clientes[Provincia])</f>
        <v>Chaco</v>
      </c>
      <c r="L821" s="16" t="str">
        <f t="array" ref="L821">CONCATENATE(_xlfn.XLOOKUP(C821,Clientes[ID_Cliente],Clientes[Provincia]),", Argentina")</f>
        <v>Chaco, Argentina</v>
      </c>
      <c r="M821" s="20" t="str">
        <f t="array" ref="M821">_xlfn.XLOOKUP(F821,Metodos_De_Pago[ID_Metodo],Metodos_De_Pago[Metodo])</f>
        <v>Tarjeta de Débito</v>
      </c>
      <c r="N821" s="20" t="str">
        <f t="shared" si="2"/>
        <v>2024 08</v>
      </c>
    </row>
    <row r="822" ht="22.5" customHeight="1">
      <c r="A822" s="12">
        <f>IFERROR(__xludf.DUMMYFUNCTION("""COMPUTED_VALUE"""),1568.0)</f>
        <v>1568</v>
      </c>
      <c r="B822" s="13">
        <f>IFERROR(__xludf.DUMMYFUNCTION("""COMPUTED_VALUE"""),45518.0)</f>
        <v>45518</v>
      </c>
      <c r="C822" s="12">
        <f>IFERROR(__xludf.DUMMYFUNCTION("""COMPUTED_VALUE"""),148.0)</f>
        <v>148</v>
      </c>
      <c r="D822" s="12">
        <f>IFERROR(__xludf.DUMMYFUNCTION("""COMPUTED_VALUE"""),6.0)</f>
        <v>6</v>
      </c>
      <c r="E822" s="12">
        <f>IFERROR(__xludf.DUMMYFUNCTION("""COMPUTED_VALUE"""),2.0)</f>
        <v>2</v>
      </c>
      <c r="F822" s="12">
        <f>IFERROR(__xludf.DUMMYFUNCTION("""COMPUTED_VALUE"""),3.0)</f>
        <v>3</v>
      </c>
      <c r="G822" s="15" t="str">
        <f>IFERROR(__xludf.DUMMYFUNCTION("""COMPUTED_VALUE"""),"Completa")</f>
        <v>Completa</v>
      </c>
      <c r="H822" s="16" t="str">
        <f t="array" ref="H822">_xlfn.XLOOKUP(D822,Productos[ID_Producto],Productos[Nombre_Producto])</f>
        <v>Asado</v>
      </c>
      <c r="I822" s="17">
        <f t="array" ref="I822">_xlfn.XLOOKUP(D822,Productos[ID_Producto],Productos[Precio_Unitario])</f>
        <v>28.56</v>
      </c>
      <c r="J822" s="17">
        <f t="shared" si="1"/>
        <v>57.12</v>
      </c>
      <c r="K822" s="16" t="str">
        <f t="array" ref="K822">_xlfn.XLOOKUP(C822,Clientes[ID_Cliente],Clientes[Provincia])</f>
        <v>Córdoba</v>
      </c>
      <c r="L822" s="16" t="str">
        <f t="array" ref="L822">CONCATENATE(_xlfn.XLOOKUP(C822,Clientes[ID_Cliente],Clientes[Provincia]),", Argentina")</f>
        <v>Córdoba, Argentina</v>
      </c>
      <c r="M822" s="20" t="str">
        <f t="array" ref="M822">_xlfn.XLOOKUP(F822,Metodos_De_Pago[ID_Metodo],Metodos_De_Pago[Metodo])</f>
        <v>Tarjeta de Débito</v>
      </c>
      <c r="N822" s="20" t="str">
        <f t="shared" si="2"/>
        <v>2024 08</v>
      </c>
    </row>
    <row r="823" ht="22.5" customHeight="1">
      <c r="A823" s="12">
        <f>IFERROR(__xludf.DUMMYFUNCTION("""COMPUTED_VALUE"""),1765.0)</f>
        <v>1765</v>
      </c>
      <c r="B823" s="13">
        <f>IFERROR(__xludf.DUMMYFUNCTION("""COMPUTED_VALUE"""),45518.0)</f>
        <v>45518</v>
      </c>
      <c r="C823" s="12">
        <f>IFERROR(__xludf.DUMMYFUNCTION("""COMPUTED_VALUE"""),307.0)</f>
        <v>307</v>
      </c>
      <c r="D823" s="12">
        <f>IFERROR(__xludf.DUMMYFUNCTION("""COMPUTED_VALUE"""),24.0)</f>
        <v>24</v>
      </c>
      <c r="E823" s="12">
        <f>IFERROR(__xludf.DUMMYFUNCTION("""COMPUTED_VALUE"""),2.0)</f>
        <v>2</v>
      </c>
      <c r="F823" s="12">
        <f>IFERROR(__xludf.DUMMYFUNCTION("""COMPUTED_VALUE"""),5.0)</f>
        <v>5</v>
      </c>
      <c r="G823" s="15" t="str">
        <f>IFERROR(__xludf.DUMMYFUNCTION("""COMPUTED_VALUE"""),"Completa")</f>
        <v>Completa</v>
      </c>
      <c r="H823" s="16" t="str">
        <f t="array" ref="H823">_xlfn.XLOOKUP(D823,Productos[ID_Producto],Productos[Nombre_Producto])</f>
        <v>Empanadas</v>
      </c>
      <c r="I823" s="17">
        <f t="array" ref="I823">_xlfn.XLOOKUP(D823,Productos[ID_Producto],Productos[Precio_Unitario])</f>
        <v>13.54</v>
      </c>
      <c r="J823" s="17">
        <f t="shared" si="1"/>
        <v>27.08</v>
      </c>
      <c r="K823" s="16" t="str">
        <f t="array" ref="K823">_xlfn.XLOOKUP(C823,Clientes[ID_Cliente],Clientes[Provincia])</f>
        <v>San Luis</v>
      </c>
      <c r="L823" s="16" t="str">
        <f t="array" ref="L823">CONCATENATE(_xlfn.XLOOKUP(C823,Clientes[ID_Cliente],Clientes[Provincia]),", Argentina")</f>
        <v>San Luis, Argentina</v>
      </c>
      <c r="M823" s="20" t="str">
        <f t="array" ref="M823">_xlfn.XLOOKUP(F823,Metodos_De_Pago[ID_Metodo],Metodos_De_Pago[Metodo])</f>
        <v>Transferencia</v>
      </c>
      <c r="N823" s="20" t="str">
        <f t="shared" si="2"/>
        <v>2024 08</v>
      </c>
    </row>
    <row r="824" ht="22.5" customHeight="1">
      <c r="A824" s="12">
        <f>IFERROR(__xludf.DUMMYFUNCTION("""COMPUTED_VALUE"""),2537.0)</f>
        <v>2537</v>
      </c>
      <c r="B824" s="13">
        <f>IFERROR(__xludf.DUMMYFUNCTION("""COMPUTED_VALUE"""),45518.0)</f>
        <v>45518</v>
      </c>
      <c r="C824" s="12">
        <f>IFERROR(__xludf.DUMMYFUNCTION("""COMPUTED_VALUE"""),57.0)</f>
        <v>57</v>
      </c>
      <c r="D824" s="12">
        <f>IFERROR(__xludf.DUMMYFUNCTION("""COMPUTED_VALUE"""),26.0)</f>
        <v>26</v>
      </c>
      <c r="E824" s="12">
        <f>IFERROR(__xludf.DUMMYFUNCTION("""COMPUTED_VALUE"""),2.0)</f>
        <v>2</v>
      </c>
      <c r="F824" s="12">
        <f>IFERROR(__xludf.DUMMYFUNCTION("""COMPUTED_VALUE"""),1.0)</f>
        <v>1</v>
      </c>
      <c r="G824" s="15" t="str">
        <f>IFERROR(__xludf.DUMMYFUNCTION("""COMPUTED_VALUE"""),"Completa")</f>
        <v>Completa</v>
      </c>
      <c r="H824" s="16" t="str">
        <f t="array" ref="H824">_xlfn.XLOOKUP(D824,Productos[ID_Producto],Productos[Nombre_Producto])</f>
        <v>Hamburgesas congeladas</v>
      </c>
      <c r="I824" s="17">
        <f t="array" ref="I824">_xlfn.XLOOKUP(D824,Productos[ID_Producto],Productos[Precio_Unitario])</f>
        <v>9.54</v>
      </c>
      <c r="J824" s="17">
        <f t="shared" si="1"/>
        <v>19.08</v>
      </c>
      <c r="K824" s="16" t="str">
        <f t="array" ref="K824">_xlfn.XLOOKUP(C824,Clientes[ID_Cliente],Clientes[Provincia])</f>
        <v>Córdoba</v>
      </c>
      <c r="L824" s="16" t="str">
        <f t="array" ref="L824">CONCATENATE(_xlfn.XLOOKUP(C824,Clientes[ID_Cliente],Clientes[Provincia]),", Argentina")</f>
        <v>Córdoba, Argentina</v>
      </c>
      <c r="M824" s="20" t="str">
        <f t="array" ref="M824">_xlfn.XLOOKUP(F824,Metodos_De_Pago[ID_Metodo],Metodos_De_Pago[Metodo])</f>
        <v>Efectivo</v>
      </c>
      <c r="N824" s="20" t="str">
        <f t="shared" si="2"/>
        <v>2024 08</v>
      </c>
    </row>
    <row r="825" ht="22.5" customHeight="1">
      <c r="A825" s="12">
        <f>IFERROR(__xludf.DUMMYFUNCTION("""COMPUTED_VALUE"""),2936.0)</f>
        <v>2936</v>
      </c>
      <c r="B825" s="13">
        <f>IFERROR(__xludf.DUMMYFUNCTION("""COMPUTED_VALUE"""),45519.0)</f>
        <v>45519</v>
      </c>
      <c r="C825" s="12">
        <f>IFERROR(__xludf.DUMMYFUNCTION("""COMPUTED_VALUE"""),241.0)</f>
        <v>241</v>
      </c>
      <c r="D825" s="12">
        <f>IFERROR(__xludf.DUMMYFUNCTION("""COMPUTED_VALUE"""),25.0)</f>
        <v>25</v>
      </c>
      <c r="E825" s="12">
        <f>IFERROR(__xludf.DUMMYFUNCTION("""COMPUTED_VALUE"""),2.0)</f>
        <v>2</v>
      </c>
      <c r="F825" s="12">
        <f>IFERROR(__xludf.DUMMYFUNCTION("""COMPUTED_VALUE"""),4.0)</f>
        <v>4</v>
      </c>
      <c r="G825" s="15" t="str">
        <f>IFERROR(__xludf.DUMMYFUNCTION("""COMPUTED_VALUE"""),"Completa")</f>
        <v>Completa</v>
      </c>
      <c r="H825" s="16" t="str">
        <f t="array" ref="H825">_xlfn.XLOOKUP(D825,Productos[ID_Producto],Productos[Nombre_Producto])</f>
        <v>Pizza congelada</v>
      </c>
      <c r="I825" s="17">
        <f t="array" ref="I825">_xlfn.XLOOKUP(D825,Productos[ID_Producto],Productos[Precio_Unitario])</f>
        <v>15.45</v>
      </c>
      <c r="J825" s="17">
        <f t="shared" si="1"/>
        <v>30.9</v>
      </c>
      <c r="K825" s="16" t="str">
        <f t="array" ref="K825">_xlfn.XLOOKUP(C825,Clientes[ID_Cliente],Clientes[Provincia])</f>
        <v>Buenos Aires</v>
      </c>
      <c r="L825" s="16" t="str">
        <f t="array" ref="L825">CONCATENATE(_xlfn.XLOOKUP(C825,Clientes[ID_Cliente],Clientes[Provincia]),", Argentina")</f>
        <v>Buenos Aires, Argentina</v>
      </c>
      <c r="M825" s="20" t="str">
        <f t="array" ref="M825">_xlfn.XLOOKUP(F825,Metodos_De_Pago[ID_Metodo],Metodos_De_Pago[Metodo])</f>
        <v>Mercado Pago</v>
      </c>
      <c r="N825" s="20" t="str">
        <f t="shared" si="2"/>
        <v>2024 08</v>
      </c>
    </row>
    <row r="826" ht="22.5" customHeight="1">
      <c r="A826" s="12">
        <f>IFERROR(__xludf.DUMMYFUNCTION("""COMPUTED_VALUE"""),129.0)</f>
        <v>129</v>
      </c>
      <c r="B826" s="13">
        <f>IFERROR(__xludf.DUMMYFUNCTION("""COMPUTED_VALUE"""),45520.0)</f>
        <v>45520</v>
      </c>
      <c r="C826" s="12">
        <f>IFERROR(__xludf.DUMMYFUNCTION("""COMPUTED_VALUE"""),25.0)</f>
        <v>25</v>
      </c>
      <c r="D826" s="12">
        <f>IFERROR(__xludf.DUMMYFUNCTION("""COMPUTED_VALUE"""),14.0)</f>
        <v>14</v>
      </c>
      <c r="E826" s="12">
        <f>IFERROR(__xludf.DUMMYFUNCTION("""COMPUTED_VALUE"""),2.0)</f>
        <v>2</v>
      </c>
      <c r="F826" s="12">
        <f>IFERROR(__xludf.DUMMYFUNCTION("""COMPUTED_VALUE"""),3.0)</f>
        <v>3</v>
      </c>
      <c r="G826" s="15" t="str">
        <f>IFERROR(__xludf.DUMMYFUNCTION("""COMPUTED_VALUE"""),"Completa")</f>
        <v>Completa</v>
      </c>
      <c r="H826" s="16" t="str">
        <f t="array" ref="H826">_xlfn.XLOOKUP(D826,Productos[ID_Producto],Productos[Nombre_Producto])</f>
        <v>Facturas</v>
      </c>
      <c r="I826" s="17">
        <f t="array" ref="I826">_xlfn.XLOOKUP(D826,Productos[ID_Producto],Productos[Precio_Unitario])</f>
        <v>12.36</v>
      </c>
      <c r="J826" s="17">
        <f t="shared" si="1"/>
        <v>24.72</v>
      </c>
      <c r="K826" s="16" t="str">
        <f t="array" ref="K826">_xlfn.XLOOKUP(C826,Clientes[ID_Cliente],Clientes[Provincia])</f>
        <v>Neuquén</v>
      </c>
      <c r="L826" s="16" t="str">
        <f t="array" ref="L826">CONCATENATE(_xlfn.XLOOKUP(C826,Clientes[ID_Cliente],Clientes[Provincia]),", Argentina")</f>
        <v>Neuquén, Argentina</v>
      </c>
      <c r="M826" s="20" t="str">
        <f t="array" ref="M826">_xlfn.XLOOKUP(F826,Metodos_De_Pago[ID_Metodo],Metodos_De_Pago[Metodo])</f>
        <v>Tarjeta de Débito</v>
      </c>
      <c r="N826" s="20" t="str">
        <f t="shared" si="2"/>
        <v>2024 08</v>
      </c>
    </row>
    <row r="827" ht="22.5" customHeight="1">
      <c r="A827" s="12">
        <f>IFERROR(__xludf.DUMMYFUNCTION("""COMPUTED_VALUE"""),679.0)</f>
        <v>679</v>
      </c>
      <c r="B827" s="13">
        <f>IFERROR(__xludf.DUMMYFUNCTION("""COMPUTED_VALUE"""),45520.0)</f>
        <v>45520</v>
      </c>
      <c r="C827" s="12">
        <f>IFERROR(__xludf.DUMMYFUNCTION("""COMPUTED_VALUE"""),137.0)</f>
        <v>137</v>
      </c>
      <c r="D827" s="12">
        <f>IFERROR(__xludf.DUMMYFUNCTION("""COMPUTED_VALUE"""),10.0)</f>
        <v>10</v>
      </c>
      <c r="E827" s="12">
        <f>IFERROR(__xludf.DUMMYFUNCTION("""COMPUTED_VALUE"""),2.0)</f>
        <v>2</v>
      </c>
      <c r="F827" s="12">
        <f>IFERROR(__xludf.DUMMYFUNCTION("""COMPUTED_VALUE"""),2.0)</f>
        <v>2</v>
      </c>
      <c r="G827" s="15" t="str">
        <f>IFERROR(__xludf.DUMMYFUNCTION("""COMPUTED_VALUE"""),"Pendiente")</f>
        <v>Pendiente</v>
      </c>
      <c r="H827" s="16" t="str">
        <f t="array" ref="H827">_xlfn.XLOOKUP(D827,Productos[ID_Producto],Productos[Nombre_Producto])</f>
        <v>Costilla de cerdo</v>
      </c>
      <c r="I827" s="17">
        <f t="array" ref="I827">_xlfn.XLOOKUP(D827,Productos[ID_Producto],Productos[Precio_Unitario])</f>
        <v>14.25</v>
      </c>
      <c r="J827" s="17">
        <f t="shared" si="1"/>
        <v>28.5</v>
      </c>
      <c r="K827" s="16" t="str">
        <f t="array" ref="K827">_xlfn.XLOOKUP(C827,Clientes[ID_Cliente],Clientes[Provincia])</f>
        <v>Neuquén</v>
      </c>
      <c r="L827" s="16" t="str">
        <f t="array" ref="L827">CONCATENATE(_xlfn.XLOOKUP(C827,Clientes[ID_Cliente],Clientes[Provincia]),", Argentina")</f>
        <v>Neuquén, Argentina</v>
      </c>
      <c r="M827" s="20" t="str">
        <f t="array" ref="M827">_xlfn.XLOOKUP(F827,Metodos_De_Pago[ID_Metodo],Metodos_De_Pago[Metodo])</f>
        <v>Tarjeta de Crédito</v>
      </c>
      <c r="N827" s="20" t="str">
        <f t="shared" si="2"/>
        <v>2024 08</v>
      </c>
    </row>
    <row r="828" ht="22.5" customHeight="1">
      <c r="A828" s="12">
        <f>IFERROR(__xludf.DUMMYFUNCTION("""COMPUTED_VALUE"""),1094.0)</f>
        <v>1094</v>
      </c>
      <c r="B828" s="13">
        <f>IFERROR(__xludf.DUMMYFUNCTION("""COMPUTED_VALUE"""),45522.0)</f>
        <v>45522</v>
      </c>
      <c r="C828" s="12">
        <f>IFERROR(__xludf.DUMMYFUNCTION("""COMPUTED_VALUE"""),98.0)</f>
        <v>98</v>
      </c>
      <c r="D828" s="12">
        <f>IFERROR(__xludf.DUMMYFUNCTION("""COMPUTED_VALUE"""),36.0)</f>
        <v>36</v>
      </c>
      <c r="E828" s="12">
        <f>IFERROR(__xludf.DUMMYFUNCTION("""COMPUTED_VALUE"""),2.0)</f>
        <v>2</v>
      </c>
      <c r="F828" s="12">
        <f>IFERROR(__xludf.DUMMYFUNCTION("""COMPUTED_VALUE"""),1.0)</f>
        <v>1</v>
      </c>
      <c r="G828" s="15" t="str">
        <f>IFERROR(__xludf.DUMMYFUNCTION("""COMPUTED_VALUE"""),"Pendiente")</f>
        <v>Pendiente</v>
      </c>
      <c r="H828" s="16" t="str">
        <f t="array" ref="H828">_xlfn.XLOOKUP(D828,Productos[ID_Producto],Productos[Nombre_Producto])</f>
        <v>Lentejas</v>
      </c>
      <c r="I828" s="17">
        <f t="array" ref="I828">_xlfn.XLOOKUP(D828,Productos[ID_Producto],Productos[Precio_Unitario])</f>
        <v>3.25</v>
      </c>
      <c r="J828" s="17">
        <f t="shared" si="1"/>
        <v>6.5</v>
      </c>
      <c r="K828" s="16" t="str">
        <f t="array" ref="K828">_xlfn.XLOOKUP(C828,Clientes[ID_Cliente],Clientes[Provincia])</f>
        <v>Córdoba</v>
      </c>
      <c r="L828" s="16" t="str">
        <f t="array" ref="L828">CONCATENATE(_xlfn.XLOOKUP(C828,Clientes[ID_Cliente],Clientes[Provincia]),", Argentina")</f>
        <v>Córdoba, Argentina</v>
      </c>
      <c r="M828" s="20" t="str">
        <f t="array" ref="M828">_xlfn.XLOOKUP(F828,Metodos_De_Pago[ID_Metodo],Metodos_De_Pago[Metodo])</f>
        <v>Efectivo</v>
      </c>
      <c r="N828" s="20" t="str">
        <f t="shared" si="2"/>
        <v>2024 08</v>
      </c>
    </row>
    <row r="829" ht="22.5" customHeight="1">
      <c r="A829" s="12">
        <f>IFERROR(__xludf.DUMMYFUNCTION("""COMPUTED_VALUE"""),1122.0)</f>
        <v>1122</v>
      </c>
      <c r="B829" s="13">
        <f>IFERROR(__xludf.DUMMYFUNCTION("""COMPUTED_VALUE"""),45523.0)</f>
        <v>45523</v>
      </c>
      <c r="C829" s="12">
        <f>IFERROR(__xludf.DUMMYFUNCTION("""COMPUTED_VALUE"""),313.0)</f>
        <v>313</v>
      </c>
      <c r="D829" s="12">
        <f>IFERROR(__xludf.DUMMYFUNCTION("""COMPUTED_VALUE"""),19.0)</f>
        <v>19</v>
      </c>
      <c r="E829" s="12">
        <f>IFERROR(__xludf.DUMMYFUNCTION("""COMPUTED_VALUE"""),2.0)</f>
        <v>2</v>
      </c>
      <c r="F829" s="12">
        <f>IFERROR(__xludf.DUMMYFUNCTION("""COMPUTED_VALUE"""),4.0)</f>
        <v>4</v>
      </c>
      <c r="G829" s="15" t="str">
        <f>IFERROR(__xludf.DUMMYFUNCTION("""COMPUTED_VALUE"""),"Pendiente")</f>
        <v>Pendiente</v>
      </c>
      <c r="H829" s="16" t="str">
        <f t="array" ref="H829">_xlfn.XLOOKUP(D829,Productos[ID_Producto],Productos[Nombre_Producto])</f>
        <v>Tomates</v>
      </c>
      <c r="I829" s="17">
        <f t="array" ref="I829">_xlfn.XLOOKUP(D829,Productos[ID_Producto],Productos[Precio_Unitario])</f>
        <v>6.54</v>
      </c>
      <c r="J829" s="17">
        <f t="shared" si="1"/>
        <v>13.08</v>
      </c>
      <c r="K829" s="16" t="str">
        <f t="array" ref="K829">_xlfn.XLOOKUP(C829,Clientes[ID_Cliente],Clientes[Provincia])</f>
        <v>San Luis</v>
      </c>
      <c r="L829" s="16" t="str">
        <f t="array" ref="L829">CONCATENATE(_xlfn.XLOOKUP(C829,Clientes[ID_Cliente],Clientes[Provincia]),", Argentina")</f>
        <v>San Luis, Argentina</v>
      </c>
      <c r="M829" s="20" t="str">
        <f t="array" ref="M829">_xlfn.XLOOKUP(F829,Metodos_De_Pago[ID_Metodo],Metodos_De_Pago[Metodo])</f>
        <v>Mercado Pago</v>
      </c>
      <c r="N829" s="20" t="str">
        <f t="shared" si="2"/>
        <v>2024 08</v>
      </c>
    </row>
    <row r="830" ht="22.5" customHeight="1">
      <c r="A830" s="12">
        <f>IFERROR(__xludf.DUMMYFUNCTION("""COMPUTED_VALUE"""),1458.0)</f>
        <v>1458</v>
      </c>
      <c r="B830" s="13">
        <f>IFERROR(__xludf.DUMMYFUNCTION("""COMPUTED_VALUE"""),45523.0)</f>
        <v>45523</v>
      </c>
      <c r="C830" s="12">
        <f>IFERROR(__xludf.DUMMYFUNCTION("""COMPUTED_VALUE"""),73.0)</f>
        <v>73</v>
      </c>
      <c r="D830" s="12">
        <f>IFERROR(__xludf.DUMMYFUNCTION("""COMPUTED_VALUE"""),8.0)</f>
        <v>8</v>
      </c>
      <c r="E830" s="12">
        <f>IFERROR(__xludf.DUMMYFUNCTION("""COMPUTED_VALUE"""),2.0)</f>
        <v>2</v>
      </c>
      <c r="F830" s="12">
        <f>IFERROR(__xludf.DUMMYFUNCTION("""COMPUTED_VALUE"""),2.0)</f>
        <v>2</v>
      </c>
      <c r="G830" s="15" t="str">
        <f>IFERROR(__xludf.DUMMYFUNCTION("""COMPUTED_VALUE"""),"Completa")</f>
        <v>Completa</v>
      </c>
      <c r="H830" s="16" t="str">
        <f t="array" ref="H830">_xlfn.XLOOKUP(D830,Productos[ID_Producto],Productos[Nombre_Producto])</f>
        <v>Milanesa</v>
      </c>
      <c r="I830" s="17">
        <f t="array" ref="I830">_xlfn.XLOOKUP(D830,Productos[ID_Producto],Productos[Precio_Unitario])</f>
        <v>16.21</v>
      </c>
      <c r="J830" s="17">
        <f t="shared" si="1"/>
        <v>32.42</v>
      </c>
      <c r="K830" s="16" t="str">
        <f t="array" ref="K830">_xlfn.XLOOKUP(C830,Clientes[ID_Cliente],Clientes[Provincia])</f>
        <v>Córdoba</v>
      </c>
      <c r="L830" s="16" t="str">
        <f t="array" ref="L830">CONCATENATE(_xlfn.XLOOKUP(C830,Clientes[ID_Cliente],Clientes[Provincia]),", Argentina")</f>
        <v>Córdoba, Argentina</v>
      </c>
      <c r="M830" s="20" t="str">
        <f t="array" ref="M830">_xlfn.XLOOKUP(F830,Metodos_De_Pago[ID_Metodo],Metodos_De_Pago[Metodo])</f>
        <v>Tarjeta de Crédito</v>
      </c>
      <c r="N830" s="20" t="str">
        <f t="shared" si="2"/>
        <v>2024 08</v>
      </c>
    </row>
    <row r="831" ht="22.5" customHeight="1">
      <c r="A831" s="12">
        <f>IFERROR(__xludf.DUMMYFUNCTION("""COMPUTED_VALUE"""),2108.0)</f>
        <v>2108</v>
      </c>
      <c r="B831" s="13">
        <f>IFERROR(__xludf.DUMMYFUNCTION("""COMPUTED_VALUE"""),45523.0)</f>
        <v>45523</v>
      </c>
      <c r="C831" s="12">
        <f>IFERROR(__xludf.DUMMYFUNCTION("""COMPUTED_VALUE"""),246.0)</f>
        <v>246</v>
      </c>
      <c r="D831" s="12">
        <f>IFERROR(__xludf.DUMMYFUNCTION("""COMPUTED_VALUE"""),20.0)</f>
        <v>20</v>
      </c>
      <c r="E831" s="12">
        <f>IFERROR(__xludf.DUMMYFUNCTION("""COMPUTED_VALUE"""),2.0)</f>
        <v>2</v>
      </c>
      <c r="F831" s="12">
        <f>IFERROR(__xludf.DUMMYFUNCTION("""COMPUTED_VALUE"""),5.0)</f>
        <v>5</v>
      </c>
      <c r="G831" s="15" t="str">
        <f>IFERROR(__xludf.DUMMYFUNCTION("""COMPUTED_VALUE"""),"Completa")</f>
        <v>Completa</v>
      </c>
      <c r="H831" s="16" t="str">
        <f t="array" ref="H831">_xlfn.XLOOKUP(D831,Productos[ID_Producto],Productos[Nombre_Producto])</f>
        <v>Lechugas</v>
      </c>
      <c r="I831" s="17">
        <f t="array" ref="I831">_xlfn.XLOOKUP(D831,Productos[ID_Producto],Productos[Precio_Unitario])</f>
        <v>4.25</v>
      </c>
      <c r="J831" s="17">
        <f t="shared" si="1"/>
        <v>8.5</v>
      </c>
      <c r="K831" s="16" t="str">
        <f t="array" ref="K831">_xlfn.XLOOKUP(C831,Clientes[ID_Cliente],Clientes[Provincia])</f>
        <v>Chaco</v>
      </c>
      <c r="L831" s="16" t="str">
        <f t="array" ref="L831">CONCATENATE(_xlfn.XLOOKUP(C831,Clientes[ID_Cliente],Clientes[Provincia]),", Argentina")</f>
        <v>Chaco, Argentina</v>
      </c>
      <c r="M831" s="20" t="str">
        <f t="array" ref="M831">_xlfn.XLOOKUP(F831,Metodos_De_Pago[ID_Metodo],Metodos_De_Pago[Metodo])</f>
        <v>Transferencia</v>
      </c>
      <c r="N831" s="20" t="str">
        <f t="shared" si="2"/>
        <v>2024 08</v>
      </c>
    </row>
    <row r="832" ht="22.5" customHeight="1">
      <c r="A832" s="12">
        <f>IFERROR(__xludf.DUMMYFUNCTION("""COMPUTED_VALUE"""),2454.0)</f>
        <v>2454</v>
      </c>
      <c r="B832" s="13">
        <f>IFERROR(__xludf.DUMMYFUNCTION("""COMPUTED_VALUE"""),45523.0)</f>
        <v>45523</v>
      </c>
      <c r="C832" s="12">
        <f>IFERROR(__xludf.DUMMYFUNCTION("""COMPUTED_VALUE"""),218.0)</f>
        <v>218</v>
      </c>
      <c r="D832" s="12">
        <f>IFERROR(__xludf.DUMMYFUNCTION("""COMPUTED_VALUE"""),17.0)</f>
        <v>17</v>
      </c>
      <c r="E832" s="12">
        <f>IFERROR(__xludf.DUMMYFUNCTION("""COMPUTED_VALUE"""),2.0)</f>
        <v>2</v>
      </c>
      <c r="F832" s="12">
        <f>IFERROR(__xludf.DUMMYFUNCTION("""COMPUTED_VALUE"""),3.0)</f>
        <v>3</v>
      </c>
      <c r="G832" s="15" t="str">
        <f>IFERROR(__xludf.DUMMYFUNCTION("""COMPUTED_VALUE"""),"Pendiente")</f>
        <v>Pendiente</v>
      </c>
      <c r="H832" s="16" t="str">
        <f t="array" ref="H832">_xlfn.XLOOKUP(D832,Productos[ID_Producto],Productos[Nombre_Producto])</f>
        <v>Manzanas</v>
      </c>
      <c r="I832" s="17">
        <f t="array" ref="I832">_xlfn.XLOOKUP(D832,Productos[ID_Producto],Productos[Precio_Unitario])</f>
        <v>6.54</v>
      </c>
      <c r="J832" s="17">
        <f t="shared" si="1"/>
        <v>13.08</v>
      </c>
      <c r="K832" s="16" t="str">
        <f t="array" ref="K832">_xlfn.XLOOKUP(C832,Clientes[ID_Cliente],Clientes[Provincia])</f>
        <v>Córdoba</v>
      </c>
      <c r="L832" s="16" t="str">
        <f t="array" ref="L832">CONCATENATE(_xlfn.XLOOKUP(C832,Clientes[ID_Cliente],Clientes[Provincia]),", Argentina")</f>
        <v>Córdoba, Argentina</v>
      </c>
      <c r="M832" s="20" t="str">
        <f t="array" ref="M832">_xlfn.XLOOKUP(F832,Metodos_De_Pago[ID_Metodo],Metodos_De_Pago[Metodo])</f>
        <v>Tarjeta de Débito</v>
      </c>
      <c r="N832" s="20" t="str">
        <f t="shared" si="2"/>
        <v>2024 08</v>
      </c>
    </row>
    <row r="833" ht="22.5" customHeight="1">
      <c r="A833" s="12">
        <f>IFERROR(__xludf.DUMMYFUNCTION("""COMPUTED_VALUE"""),1862.0)</f>
        <v>1862</v>
      </c>
      <c r="B833" s="13">
        <f>IFERROR(__xludf.DUMMYFUNCTION("""COMPUTED_VALUE"""),45525.0)</f>
        <v>45525</v>
      </c>
      <c r="C833" s="12">
        <f>IFERROR(__xludf.DUMMYFUNCTION("""COMPUTED_VALUE"""),26.0)</f>
        <v>26</v>
      </c>
      <c r="D833" s="12">
        <f>IFERROR(__xludf.DUMMYFUNCTION("""COMPUTED_VALUE"""),31.0)</f>
        <v>31</v>
      </c>
      <c r="E833" s="12">
        <f>IFERROR(__xludf.DUMMYFUNCTION("""COMPUTED_VALUE"""),2.0)</f>
        <v>2</v>
      </c>
      <c r="F833" s="12">
        <f>IFERROR(__xludf.DUMMYFUNCTION("""COMPUTED_VALUE"""),4.0)</f>
        <v>4</v>
      </c>
      <c r="G833" s="15" t="str">
        <f>IFERROR(__xludf.DUMMYFUNCTION("""COMPUTED_VALUE"""),"Completa")</f>
        <v>Completa</v>
      </c>
      <c r="H833" s="16" t="str">
        <f t="array" ref="H833">_xlfn.XLOOKUP(D833,Productos[ID_Producto],Productos[Nombre_Producto])</f>
        <v>Galletitas de agua</v>
      </c>
      <c r="I833" s="17">
        <f t="array" ref="I833">_xlfn.XLOOKUP(D833,Productos[ID_Producto],Productos[Precio_Unitario])</f>
        <v>5.24</v>
      </c>
      <c r="J833" s="17">
        <f t="shared" si="1"/>
        <v>10.48</v>
      </c>
      <c r="K833" s="16" t="str">
        <f t="array" ref="K833">_xlfn.XLOOKUP(C833,Clientes[ID_Cliente],Clientes[Provincia])</f>
        <v>Córdoba</v>
      </c>
      <c r="L833" s="16" t="str">
        <f t="array" ref="L833">CONCATENATE(_xlfn.XLOOKUP(C833,Clientes[ID_Cliente],Clientes[Provincia]),", Argentina")</f>
        <v>Córdoba, Argentina</v>
      </c>
      <c r="M833" s="20" t="str">
        <f t="array" ref="M833">_xlfn.XLOOKUP(F833,Metodos_De_Pago[ID_Metodo],Metodos_De_Pago[Metodo])</f>
        <v>Mercado Pago</v>
      </c>
      <c r="N833" s="20" t="str">
        <f t="shared" si="2"/>
        <v>2024 08</v>
      </c>
    </row>
    <row r="834" ht="22.5" customHeight="1">
      <c r="A834" s="12">
        <f>IFERROR(__xludf.DUMMYFUNCTION("""COMPUTED_VALUE"""),2681.0)</f>
        <v>2681</v>
      </c>
      <c r="B834" s="13">
        <f>IFERROR(__xludf.DUMMYFUNCTION("""COMPUTED_VALUE"""),45525.0)</f>
        <v>45525</v>
      </c>
      <c r="C834" s="12">
        <f>IFERROR(__xludf.DUMMYFUNCTION("""COMPUTED_VALUE"""),62.0)</f>
        <v>62</v>
      </c>
      <c r="D834" s="12">
        <f>IFERROR(__xludf.DUMMYFUNCTION("""COMPUTED_VALUE"""),37.0)</f>
        <v>37</v>
      </c>
      <c r="E834" s="12">
        <f>IFERROR(__xludf.DUMMYFUNCTION("""COMPUTED_VALUE"""),2.0)</f>
        <v>2</v>
      </c>
      <c r="F834" s="12">
        <f>IFERROR(__xludf.DUMMYFUNCTION("""COMPUTED_VALUE"""),4.0)</f>
        <v>4</v>
      </c>
      <c r="G834" s="15" t="str">
        <f>IFERROR(__xludf.DUMMYFUNCTION("""COMPUTED_VALUE"""),"Completa")</f>
        <v>Completa</v>
      </c>
      <c r="H834" s="16" t="str">
        <f t="array" ref="H834">_xlfn.XLOOKUP(D834,Productos[ID_Producto],Productos[Nombre_Producto])</f>
        <v>Garbanzos</v>
      </c>
      <c r="I834" s="17">
        <f t="array" ref="I834">_xlfn.XLOOKUP(D834,Productos[ID_Producto],Productos[Precio_Unitario])</f>
        <v>3.65</v>
      </c>
      <c r="J834" s="17">
        <f t="shared" si="1"/>
        <v>7.3</v>
      </c>
      <c r="K834" s="16" t="str">
        <f t="array" ref="K834">_xlfn.XLOOKUP(C834,Clientes[ID_Cliente],Clientes[Provincia])</f>
        <v>Chaco</v>
      </c>
      <c r="L834" s="16" t="str">
        <f t="array" ref="L834">CONCATENATE(_xlfn.XLOOKUP(C834,Clientes[ID_Cliente],Clientes[Provincia]),", Argentina")</f>
        <v>Chaco, Argentina</v>
      </c>
      <c r="M834" s="20" t="str">
        <f t="array" ref="M834">_xlfn.XLOOKUP(F834,Metodos_De_Pago[ID_Metodo],Metodos_De_Pago[Metodo])</f>
        <v>Mercado Pago</v>
      </c>
      <c r="N834" s="20" t="str">
        <f t="shared" si="2"/>
        <v>2024 08</v>
      </c>
    </row>
    <row r="835" ht="22.5" customHeight="1">
      <c r="A835" s="12">
        <f>IFERROR(__xludf.DUMMYFUNCTION("""COMPUTED_VALUE"""),725.0)</f>
        <v>725</v>
      </c>
      <c r="B835" s="13">
        <f>IFERROR(__xludf.DUMMYFUNCTION("""COMPUTED_VALUE"""),45526.0)</f>
        <v>45526</v>
      </c>
      <c r="C835" s="12">
        <f>IFERROR(__xludf.DUMMYFUNCTION("""COMPUTED_VALUE"""),234.0)</f>
        <v>234</v>
      </c>
      <c r="D835" s="12">
        <f>IFERROR(__xludf.DUMMYFUNCTION("""COMPUTED_VALUE"""),21.0)</f>
        <v>21</v>
      </c>
      <c r="E835" s="12">
        <f>IFERROR(__xludf.DUMMYFUNCTION("""COMPUTED_VALUE"""),2.0)</f>
        <v>2</v>
      </c>
      <c r="F835" s="12">
        <f>IFERROR(__xludf.DUMMYFUNCTION("""COMPUTED_VALUE"""),3.0)</f>
        <v>3</v>
      </c>
      <c r="G835" s="15" t="str">
        <f>IFERROR(__xludf.DUMMYFUNCTION("""COMPUTED_VALUE"""),"Completa")</f>
        <v>Completa</v>
      </c>
      <c r="H835" s="16" t="str">
        <f t="array" ref="H835">_xlfn.XLOOKUP(D835,Productos[ID_Producto],Productos[Nombre_Producto])</f>
        <v>Zanahorias</v>
      </c>
      <c r="I835" s="17">
        <f t="array" ref="I835">_xlfn.XLOOKUP(D835,Productos[ID_Producto],Productos[Precio_Unitario])</f>
        <v>3.25</v>
      </c>
      <c r="J835" s="17">
        <f t="shared" si="1"/>
        <v>6.5</v>
      </c>
      <c r="K835" s="16" t="str">
        <f t="array" ref="K835">_xlfn.XLOOKUP(C835,Clientes[ID_Cliente],Clientes[Provincia])</f>
        <v>Buenos Aires</v>
      </c>
      <c r="L835" s="16" t="str">
        <f t="array" ref="L835">CONCATENATE(_xlfn.XLOOKUP(C835,Clientes[ID_Cliente],Clientes[Provincia]),", Argentina")</f>
        <v>Buenos Aires, Argentina</v>
      </c>
      <c r="M835" s="20" t="str">
        <f t="array" ref="M835">_xlfn.XLOOKUP(F835,Metodos_De_Pago[ID_Metodo],Metodos_De_Pago[Metodo])</f>
        <v>Tarjeta de Débito</v>
      </c>
      <c r="N835" s="20" t="str">
        <f t="shared" si="2"/>
        <v>2024 08</v>
      </c>
    </row>
    <row r="836" ht="22.5" customHeight="1">
      <c r="A836" s="12">
        <f>IFERROR(__xludf.DUMMYFUNCTION("""COMPUTED_VALUE"""),2531.0)</f>
        <v>2531</v>
      </c>
      <c r="B836" s="13">
        <f>IFERROR(__xludf.DUMMYFUNCTION("""COMPUTED_VALUE"""),45527.0)</f>
        <v>45527</v>
      </c>
      <c r="C836" s="12">
        <f>IFERROR(__xludf.DUMMYFUNCTION("""COMPUTED_VALUE"""),274.0)</f>
        <v>274</v>
      </c>
      <c r="D836" s="12">
        <f>IFERROR(__xludf.DUMMYFUNCTION("""COMPUTED_VALUE"""),35.0)</f>
        <v>35</v>
      </c>
      <c r="E836" s="12">
        <f>IFERROR(__xludf.DUMMYFUNCTION("""COMPUTED_VALUE"""),2.0)</f>
        <v>2</v>
      </c>
      <c r="F836" s="12">
        <f>IFERROR(__xludf.DUMMYFUNCTION("""COMPUTED_VALUE"""),3.0)</f>
        <v>3</v>
      </c>
      <c r="G836" s="15" t="str">
        <f>IFERROR(__xludf.DUMMYFUNCTION("""COMPUTED_VALUE"""),"Completa")</f>
        <v>Completa</v>
      </c>
      <c r="H836" s="16" t="str">
        <f t="array" ref="H836">_xlfn.XLOOKUP(D836,Productos[ID_Producto],Productos[Nombre_Producto])</f>
        <v>Arroz</v>
      </c>
      <c r="I836" s="17">
        <f t="array" ref="I836">_xlfn.XLOOKUP(D836,Productos[ID_Producto],Productos[Precio_Unitario])</f>
        <v>4.25</v>
      </c>
      <c r="J836" s="17">
        <f t="shared" si="1"/>
        <v>8.5</v>
      </c>
      <c r="K836" s="16" t="str">
        <f t="array" ref="K836">_xlfn.XLOOKUP(C836,Clientes[ID_Cliente],Clientes[Provincia])</f>
        <v>Buenos Aires</v>
      </c>
      <c r="L836" s="16" t="str">
        <f t="array" ref="L836">CONCATENATE(_xlfn.XLOOKUP(C836,Clientes[ID_Cliente],Clientes[Provincia]),", Argentina")</f>
        <v>Buenos Aires, Argentina</v>
      </c>
      <c r="M836" s="20" t="str">
        <f t="array" ref="M836">_xlfn.XLOOKUP(F836,Metodos_De_Pago[ID_Metodo],Metodos_De_Pago[Metodo])</f>
        <v>Tarjeta de Débito</v>
      </c>
      <c r="N836" s="20" t="str">
        <f t="shared" si="2"/>
        <v>2024 08</v>
      </c>
    </row>
    <row r="837" ht="22.5" customHeight="1">
      <c r="A837" s="12">
        <f>IFERROR(__xludf.DUMMYFUNCTION("""COMPUTED_VALUE"""),926.0)</f>
        <v>926</v>
      </c>
      <c r="B837" s="13">
        <f>IFERROR(__xludf.DUMMYFUNCTION("""COMPUTED_VALUE"""),45528.0)</f>
        <v>45528</v>
      </c>
      <c r="C837" s="12">
        <f>IFERROR(__xludf.DUMMYFUNCTION("""COMPUTED_VALUE"""),55.0)</f>
        <v>55</v>
      </c>
      <c r="D837" s="12">
        <f>IFERROR(__xludf.DUMMYFUNCTION("""COMPUTED_VALUE"""),25.0)</f>
        <v>25</v>
      </c>
      <c r="E837" s="12">
        <f>IFERROR(__xludf.DUMMYFUNCTION("""COMPUTED_VALUE"""),2.0)</f>
        <v>2</v>
      </c>
      <c r="F837" s="12">
        <f>IFERROR(__xludf.DUMMYFUNCTION("""COMPUTED_VALUE"""),5.0)</f>
        <v>5</v>
      </c>
      <c r="G837" s="15" t="str">
        <f>IFERROR(__xludf.DUMMYFUNCTION("""COMPUTED_VALUE"""),"Completa")</f>
        <v>Completa</v>
      </c>
      <c r="H837" s="16" t="str">
        <f t="array" ref="H837">_xlfn.XLOOKUP(D837,Productos[ID_Producto],Productos[Nombre_Producto])</f>
        <v>Pizza congelada</v>
      </c>
      <c r="I837" s="17">
        <f t="array" ref="I837">_xlfn.XLOOKUP(D837,Productos[ID_Producto],Productos[Precio_Unitario])</f>
        <v>15.45</v>
      </c>
      <c r="J837" s="17">
        <f t="shared" si="1"/>
        <v>30.9</v>
      </c>
      <c r="K837" s="16" t="str">
        <f t="array" ref="K837">_xlfn.XLOOKUP(C837,Clientes[ID_Cliente],Clientes[Provincia])</f>
        <v>Neuquén</v>
      </c>
      <c r="L837" s="16" t="str">
        <f t="array" ref="L837">CONCATENATE(_xlfn.XLOOKUP(C837,Clientes[ID_Cliente],Clientes[Provincia]),", Argentina")</f>
        <v>Neuquén, Argentina</v>
      </c>
      <c r="M837" s="20" t="str">
        <f t="array" ref="M837">_xlfn.XLOOKUP(F837,Metodos_De_Pago[ID_Metodo],Metodos_De_Pago[Metodo])</f>
        <v>Transferencia</v>
      </c>
      <c r="N837" s="20" t="str">
        <f t="shared" si="2"/>
        <v>2024 08</v>
      </c>
    </row>
    <row r="838" ht="22.5" customHeight="1">
      <c r="A838" s="12">
        <f>IFERROR(__xludf.DUMMYFUNCTION("""COMPUTED_VALUE"""),142.0)</f>
        <v>142</v>
      </c>
      <c r="B838" s="13">
        <f>IFERROR(__xludf.DUMMYFUNCTION("""COMPUTED_VALUE"""),45529.0)</f>
        <v>45529</v>
      </c>
      <c r="C838" s="12">
        <f>IFERROR(__xludf.DUMMYFUNCTION("""COMPUTED_VALUE"""),246.0)</f>
        <v>246</v>
      </c>
      <c r="D838" s="12">
        <f>IFERROR(__xludf.DUMMYFUNCTION("""COMPUTED_VALUE"""),21.0)</f>
        <v>21</v>
      </c>
      <c r="E838" s="12">
        <f>IFERROR(__xludf.DUMMYFUNCTION("""COMPUTED_VALUE"""),2.0)</f>
        <v>2</v>
      </c>
      <c r="F838" s="12">
        <f>IFERROR(__xludf.DUMMYFUNCTION("""COMPUTED_VALUE"""),2.0)</f>
        <v>2</v>
      </c>
      <c r="G838" s="15" t="str">
        <f>IFERROR(__xludf.DUMMYFUNCTION("""COMPUTED_VALUE"""),"Completa")</f>
        <v>Completa</v>
      </c>
      <c r="H838" s="16" t="str">
        <f t="array" ref="H838">_xlfn.XLOOKUP(D838,Productos[ID_Producto],Productos[Nombre_Producto])</f>
        <v>Zanahorias</v>
      </c>
      <c r="I838" s="17">
        <f t="array" ref="I838">_xlfn.XLOOKUP(D838,Productos[ID_Producto],Productos[Precio_Unitario])</f>
        <v>3.25</v>
      </c>
      <c r="J838" s="17">
        <f t="shared" si="1"/>
        <v>6.5</v>
      </c>
      <c r="K838" s="16" t="str">
        <f t="array" ref="K838">_xlfn.XLOOKUP(C838,Clientes[ID_Cliente],Clientes[Provincia])</f>
        <v>Chaco</v>
      </c>
      <c r="L838" s="16" t="str">
        <f t="array" ref="L838">CONCATENATE(_xlfn.XLOOKUP(C838,Clientes[ID_Cliente],Clientes[Provincia]),", Argentina")</f>
        <v>Chaco, Argentina</v>
      </c>
      <c r="M838" s="20" t="str">
        <f t="array" ref="M838">_xlfn.XLOOKUP(F838,Metodos_De_Pago[ID_Metodo],Metodos_De_Pago[Metodo])</f>
        <v>Tarjeta de Crédito</v>
      </c>
      <c r="N838" s="20" t="str">
        <f t="shared" si="2"/>
        <v>2024 08</v>
      </c>
    </row>
    <row r="839" ht="22.5" customHeight="1">
      <c r="A839" s="12">
        <f>IFERROR(__xludf.DUMMYFUNCTION("""COMPUTED_VALUE"""),2677.0)</f>
        <v>2677</v>
      </c>
      <c r="B839" s="13">
        <f>IFERROR(__xludf.DUMMYFUNCTION("""COMPUTED_VALUE"""),45529.0)</f>
        <v>45529</v>
      </c>
      <c r="C839" s="12">
        <f>IFERROR(__xludf.DUMMYFUNCTION("""COMPUTED_VALUE"""),118.0)</f>
        <v>118</v>
      </c>
      <c r="D839" s="12">
        <f>IFERROR(__xludf.DUMMYFUNCTION("""COMPUTED_VALUE"""),33.0)</f>
        <v>33</v>
      </c>
      <c r="E839" s="12">
        <f>IFERROR(__xludf.DUMMYFUNCTION("""COMPUTED_VALUE"""),2.0)</f>
        <v>2</v>
      </c>
      <c r="F839" s="12">
        <f>IFERROR(__xludf.DUMMYFUNCTION("""COMPUTED_VALUE"""),5.0)</f>
        <v>5</v>
      </c>
      <c r="G839" s="15" t="str">
        <f>IFERROR(__xludf.DUMMYFUNCTION("""COMPUTED_VALUE"""),"Completa")</f>
        <v>Completa</v>
      </c>
      <c r="H839" s="16" t="str">
        <f t="array" ref="H839">_xlfn.XLOOKUP(D839,Productos[ID_Producto],Productos[Nombre_Producto])</f>
        <v>Papas chips</v>
      </c>
      <c r="I839" s="17">
        <f t="array" ref="I839">_xlfn.XLOOKUP(D839,Productos[ID_Producto],Productos[Precio_Unitario])</f>
        <v>8.54</v>
      </c>
      <c r="J839" s="17">
        <f t="shared" si="1"/>
        <v>17.08</v>
      </c>
      <c r="K839" s="16" t="str">
        <f t="array" ref="K839">_xlfn.XLOOKUP(C839,Clientes[ID_Cliente],Clientes[Provincia])</f>
        <v>Córdoba</v>
      </c>
      <c r="L839" s="16" t="str">
        <f t="array" ref="L839">CONCATENATE(_xlfn.XLOOKUP(C839,Clientes[ID_Cliente],Clientes[Provincia]),", Argentina")</f>
        <v>Córdoba, Argentina</v>
      </c>
      <c r="M839" s="20" t="str">
        <f t="array" ref="M839">_xlfn.XLOOKUP(F839,Metodos_De_Pago[ID_Metodo],Metodos_De_Pago[Metodo])</f>
        <v>Transferencia</v>
      </c>
      <c r="N839" s="20" t="str">
        <f t="shared" si="2"/>
        <v>2024 08</v>
      </c>
    </row>
    <row r="840" ht="22.5" customHeight="1">
      <c r="A840" s="12">
        <f>IFERROR(__xludf.DUMMYFUNCTION("""COMPUTED_VALUE"""),869.0)</f>
        <v>869</v>
      </c>
      <c r="B840" s="13">
        <f>IFERROR(__xludf.DUMMYFUNCTION("""COMPUTED_VALUE"""),45531.0)</f>
        <v>45531</v>
      </c>
      <c r="C840" s="12">
        <f>IFERROR(__xludf.DUMMYFUNCTION("""COMPUTED_VALUE"""),111.0)</f>
        <v>111</v>
      </c>
      <c r="D840" s="12">
        <f>IFERROR(__xludf.DUMMYFUNCTION("""COMPUTED_VALUE"""),20.0)</f>
        <v>20</v>
      </c>
      <c r="E840" s="12">
        <f>IFERROR(__xludf.DUMMYFUNCTION("""COMPUTED_VALUE"""),2.0)</f>
        <v>2</v>
      </c>
      <c r="F840" s="12">
        <f>IFERROR(__xludf.DUMMYFUNCTION("""COMPUTED_VALUE"""),1.0)</f>
        <v>1</v>
      </c>
      <c r="G840" s="15" t="str">
        <f>IFERROR(__xludf.DUMMYFUNCTION("""COMPUTED_VALUE"""),"Completa")</f>
        <v>Completa</v>
      </c>
      <c r="H840" s="16" t="str">
        <f t="array" ref="H840">_xlfn.XLOOKUP(D840,Productos[ID_Producto],Productos[Nombre_Producto])</f>
        <v>Lechugas</v>
      </c>
      <c r="I840" s="17">
        <f t="array" ref="I840">_xlfn.XLOOKUP(D840,Productos[ID_Producto],Productos[Precio_Unitario])</f>
        <v>4.25</v>
      </c>
      <c r="J840" s="17">
        <f t="shared" si="1"/>
        <v>8.5</v>
      </c>
      <c r="K840" s="16" t="str">
        <f t="array" ref="K840">_xlfn.XLOOKUP(C840,Clientes[ID_Cliente],Clientes[Provincia])</f>
        <v>San Luis</v>
      </c>
      <c r="L840" s="16" t="str">
        <f t="array" ref="L840">CONCATENATE(_xlfn.XLOOKUP(C840,Clientes[ID_Cliente],Clientes[Provincia]),", Argentina")</f>
        <v>San Luis, Argentina</v>
      </c>
      <c r="M840" s="20" t="str">
        <f t="array" ref="M840">_xlfn.XLOOKUP(F840,Metodos_De_Pago[ID_Metodo],Metodos_De_Pago[Metodo])</f>
        <v>Efectivo</v>
      </c>
      <c r="N840" s="20" t="str">
        <f t="shared" si="2"/>
        <v>2024 08</v>
      </c>
    </row>
    <row r="841" ht="22.5" customHeight="1">
      <c r="A841" s="12">
        <f>IFERROR(__xludf.DUMMYFUNCTION("""COMPUTED_VALUE"""),2915.0)</f>
        <v>2915</v>
      </c>
      <c r="B841" s="13">
        <f>IFERROR(__xludf.DUMMYFUNCTION("""COMPUTED_VALUE"""),45531.0)</f>
        <v>45531</v>
      </c>
      <c r="C841" s="12">
        <f>IFERROR(__xludf.DUMMYFUNCTION("""COMPUTED_VALUE"""),187.0)</f>
        <v>187</v>
      </c>
      <c r="D841" s="12">
        <f>IFERROR(__xludf.DUMMYFUNCTION("""COMPUTED_VALUE"""),37.0)</f>
        <v>37</v>
      </c>
      <c r="E841" s="12">
        <f>IFERROR(__xludf.DUMMYFUNCTION("""COMPUTED_VALUE"""),2.0)</f>
        <v>2</v>
      </c>
      <c r="F841" s="12">
        <f>IFERROR(__xludf.DUMMYFUNCTION("""COMPUTED_VALUE"""),3.0)</f>
        <v>3</v>
      </c>
      <c r="G841" s="15" t="str">
        <f>IFERROR(__xludf.DUMMYFUNCTION("""COMPUTED_VALUE"""),"Completa")</f>
        <v>Completa</v>
      </c>
      <c r="H841" s="16" t="str">
        <f t="array" ref="H841">_xlfn.XLOOKUP(D841,Productos[ID_Producto],Productos[Nombre_Producto])</f>
        <v>Garbanzos</v>
      </c>
      <c r="I841" s="17">
        <f t="array" ref="I841">_xlfn.XLOOKUP(D841,Productos[ID_Producto],Productos[Precio_Unitario])</f>
        <v>3.65</v>
      </c>
      <c r="J841" s="17">
        <f t="shared" si="1"/>
        <v>7.3</v>
      </c>
      <c r="K841" s="16" t="str">
        <f t="array" ref="K841">_xlfn.XLOOKUP(C841,Clientes[ID_Cliente],Clientes[Provincia])</f>
        <v>Buenos Aires</v>
      </c>
      <c r="L841" s="16" t="str">
        <f t="array" ref="L841">CONCATENATE(_xlfn.XLOOKUP(C841,Clientes[ID_Cliente],Clientes[Provincia]),", Argentina")</f>
        <v>Buenos Aires, Argentina</v>
      </c>
      <c r="M841" s="20" t="str">
        <f t="array" ref="M841">_xlfn.XLOOKUP(F841,Metodos_De_Pago[ID_Metodo],Metodos_De_Pago[Metodo])</f>
        <v>Tarjeta de Débito</v>
      </c>
      <c r="N841" s="20" t="str">
        <f t="shared" si="2"/>
        <v>2024 08</v>
      </c>
    </row>
    <row r="842" ht="22.5" customHeight="1">
      <c r="A842" s="12">
        <f>IFERROR(__xludf.DUMMYFUNCTION("""COMPUTED_VALUE"""),2688.0)</f>
        <v>2688</v>
      </c>
      <c r="B842" s="13">
        <f>IFERROR(__xludf.DUMMYFUNCTION("""COMPUTED_VALUE"""),45532.0)</f>
        <v>45532</v>
      </c>
      <c r="C842" s="12">
        <f>IFERROR(__xludf.DUMMYFUNCTION("""COMPUTED_VALUE"""),74.0)</f>
        <v>74</v>
      </c>
      <c r="D842" s="12">
        <f>IFERROR(__xludf.DUMMYFUNCTION("""COMPUTED_VALUE"""),15.0)</f>
        <v>15</v>
      </c>
      <c r="E842" s="12">
        <f>IFERROR(__xludf.DUMMYFUNCTION("""COMPUTED_VALUE"""),2.0)</f>
        <v>2</v>
      </c>
      <c r="F842" s="12">
        <f>IFERROR(__xludf.DUMMYFUNCTION("""COMPUTED_VALUE"""),5.0)</f>
        <v>5</v>
      </c>
      <c r="G842" s="15" t="str">
        <f>IFERROR(__xludf.DUMMYFUNCTION("""COMPUTED_VALUE"""),"Completa")</f>
        <v>Completa</v>
      </c>
      <c r="H842" s="16" t="str">
        <f t="array" ref="H842">_xlfn.XLOOKUP(D842,Productos[ID_Producto],Productos[Nombre_Producto])</f>
        <v>Medialunas</v>
      </c>
      <c r="I842" s="17">
        <f t="array" ref="I842">_xlfn.XLOOKUP(D842,Productos[ID_Producto],Productos[Precio_Unitario])</f>
        <v>3.51</v>
      </c>
      <c r="J842" s="17">
        <f t="shared" si="1"/>
        <v>7.02</v>
      </c>
      <c r="K842" s="16" t="str">
        <f t="array" ref="K842">_xlfn.XLOOKUP(C842,Clientes[ID_Cliente],Clientes[Provincia])</f>
        <v>Neuquén</v>
      </c>
      <c r="L842" s="16" t="str">
        <f t="array" ref="L842">CONCATENATE(_xlfn.XLOOKUP(C842,Clientes[ID_Cliente],Clientes[Provincia]),", Argentina")</f>
        <v>Neuquén, Argentina</v>
      </c>
      <c r="M842" s="20" t="str">
        <f t="array" ref="M842">_xlfn.XLOOKUP(F842,Metodos_De_Pago[ID_Metodo],Metodos_De_Pago[Metodo])</f>
        <v>Transferencia</v>
      </c>
      <c r="N842" s="20" t="str">
        <f t="shared" si="2"/>
        <v>2024 08</v>
      </c>
    </row>
    <row r="843" ht="22.5" customHeight="1">
      <c r="A843" s="12">
        <f>IFERROR(__xludf.DUMMYFUNCTION("""COMPUTED_VALUE"""),1333.0)</f>
        <v>1333</v>
      </c>
      <c r="B843" s="13">
        <f>IFERROR(__xludf.DUMMYFUNCTION("""COMPUTED_VALUE"""),45534.0)</f>
        <v>45534</v>
      </c>
      <c r="C843" s="12">
        <f>IFERROR(__xludf.DUMMYFUNCTION("""COMPUTED_VALUE"""),132.0)</f>
        <v>132</v>
      </c>
      <c r="D843" s="12">
        <f>IFERROR(__xludf.DUMMYFUNCTION("""COMPUTED_VALUE"""),28.0)</f>
        <v>28</v>
      </c>
      <c r="E843" s="12">
        <f>IFERROR(__xludf.DUMMYFUNCTION("""COMPUTED_VALUE"""),2.0)</f>
        <v>2</v>
      </c>
      <c r="F843" s="12">
        <f>IFERROR(__xludf.DUMMYFUNCTION("""COMPUTED_VALUE"""),2.0)</f>
        <v>2</v>
      </c>
      <c r="G843" s="15" t="str">
        <f>IFERROR(__xludf.DUMMYFUNCTION("""COMPUTED_VALUE"""),"Completa")</f>
        <v>Completa</v>
      </c>
      <c r="H843" s="16" t="str">
        <f t="array" ref="H843">_xlfn.XLOOKUP(D843,Productos[ID_Producto],Productos[Nombre_Producto])</f>
        <v>Jugos de frutas</v>
      </c>
      <c r="I843" s="17">
        <f t="array" ref="I843">_xlfn.XLOOKUP(D843,Productos[ID_Producto],Productos[Precio_Unitario])</f>
        <v>9.45</v>
      </c>
      <c r="J843" s="17">
        <f t="shared" si="1"/>
        <v>18.9</v>
      </c>
      <c r="K843" s="16" t="str">
        <f t="array" ref="K843">_xlfn.XLOOKUP(C843,Clientes[ID_Cliente],Clientes[Provincia])</f>
        <v>Buenos Aires</v>
      </c>
      <c r="L843" s="16" t="str">
        <f t="array" ref="L843">CONCATENATE(_xlfn.XLOOKUP(C843,Clientes[ID_Cliente],Clientes[Provincia]),", Argentina")</f>
        <v>Buenos Aires, Argentina</v>
      </c>
      <c r="M843" s="20" t="str">
        <f t="array" ref="M843">_xlfn.XLOOKUP(F843,Metodos_De_Pago[ID_Metodo],Metodos_De_Pago[Metodo])</f>
        <v>Tarjeta de Crédito</v>
      </c>
      <c r="N843" s="20" t="str">
        <f t="shared" si="2"/>
        <v>2024 08</v>
      </c>
    </row>
    <row r="844" ht="22.5" customHeight="1">
      <c r="A844" s="12">
        <f>IFERROR(__xludf.DUMMYFUNCTION("""COMPUTED_VALUE"""),1597.0)</f>
        <v>1597</v>
      </c>
      <c r="B844" s="13">
        <f>IFERROR(__xludf.DUMMYFUNCTION("""COMPUTED_VALUE"""),45534.0)</f>
        <v>45534</v>
      </c>
      <c r="C844" s="12">
        <f>IFERROR(__xludf.DUMMYFUNCTION("""COMPUTED_VALUE"""),281.0)</f>
        <v>281</v>
      </c>
      <c r="D844" s="12">
        <f>IFERROR(__xludf.DUMMYFUNCTION("""COMPUTED_VALUE"""),33.0)</f>
        <v>33</v>
      </c>
      <c r="E844" s="12">
        <f>IFERROR(__xludf.DUMMYFUNCTION("""COMPUTED_VALUE"""),2.0)</f>
        <v>2</v>
      </c>
      <c r="F844" s="12">
        <f>IFERROR(__xludf.DUMMYFUNCTION("""COMPUTED_VALUE"""),5.0)</f>
        <v>5</v>
      </c>
      <c r="G844" s="15" t="str">
        <f>IFERROR(__xludf.DUMMYFUNCTION("""COMPUTED_VALUE"""),"Completa")</f>
        <v>Completa</v>
      </c>
      <c r="H844" s="16" t="str">
        <f t="array" ref="H844">_xlfn.XLOOKUP(D844,Productos[ID_Producto],Productos[Nombre_Producto])</f>
        <v>Papas chips</v>
      </c>
      <c r="I844" s="17">
        <f t="array" ref="I844">_xlfn.XLOOKUP(D844,Productos[ID_Producto],Productos[Precio_Unitario])</f>
        <v>8.54</v>
      </c>
      <c r="J844" s="17">
        <f t="shared" si="1"/>
        <v>17.08</v>
      </c>
      <c r="K844" s="16" t="str">
        <f t="array" ref="K844">_xlfn.XLOOKUP(C844,Clientes[ID_Cliente],Clientes[Provincia])</f>
        <v>Buenos Aires</v>
      </c>
      <c r="L844" s="16" t="str">
        <f t="array" ref="L844">CONCATENATE(_xlfn.XLOOKUP(C844,Clientes[ID_Cliente],Clientes[Provincia]),", Argentina")</f>
        <v>Buenos Aires, Argentina</v>
      </c>
      <c r="M844" s="20" t="str">
        <f t="array" ref="M844">_xlfn.XLOOKUP(F844,Metodos_De_Pago[ID_Metodo],Metodos_De_Pago[Metodo])</f>
        <v>Transferencia</v>
      </c>
      <c r="N844" s="20" t="str">
        <f t="shared" si="2"/>
        <v>2024 08</v>
      </c>
    </row>
    <row r="845" ht="22.5" customHeight="1">
      <c r="A845" s="12">
        <f>IFERROR(__xludf.DUMMYFUNCTION("""COMPUTED_VALUE"""),2295.0)</f>
        <v>2295</v>
      </c>
      <c r="B845" s="13">
        <f>IFERROR(__xludf.DUMMYFUNCTION("""COMPUTED_VALUE"""),45534.0)</f>
        <v>45534</v>
      </c>
      <c r="C845" s="12">
        <f>IFERROR(__xludf.DUMMYFUNCTION("""COMPUTED_VALUE"""),252.0)</f>
        <v>252</v>
      </c>
      <c r="D845" s="12">
        <f>IFERROR(__xludf.DUMMYFUNCTION("""COMPUTED_VALUE"""),34.0)</f>
        <v>34</v>
      </c>
      <c r="E845" s="12">
        <f>IFERROR(__xludf.DUMMYFUNCTION("""COMPUTED_VALUE"""),2.0)</f>
        <v>2</v>
      </c>
      <c r="F845" s="12">
        <f>IFERROR(__xludf.DUMMYFUNCTION("""COMPUTED_VALUE"""),5.0)</f>
        <v>5</v>
      </c>
      <c r="G845" s="15" t="str">
        <f>IFERROR(__xludf.DUMMYFUNCTION("""COMPUTED_VALUE"""),"Completa")</f>
        <v>Completa</v>
      </c>
      <c r="H845" s="16" t="str">
        <f t="array" ref="H845">_xlfn.XLOOKUP(D845,Productos[ID_Producto],Productos[Nombre_Producto])</f>
        <v>Maníes</v>
      </c>
      <c r="I845" s="17">
        <f t="array" ref="I845">_xlfn.XLOOKUP(D845,Productos[ID_Producto],Productos[Precio_Unitario])</f>
        <v>5.45</v>
      </c>
      <c r="J845" s="17">
        <f t="shared" si="1"/>
        <v>10.9</v>
      </c>
      <c r="K845" s="16" t="str">
        <f t="array" ref="K845">_xlfn.XLOOKUP(C845,Clientes[ID_Cliente],Clientes[Provincia])</f>
        <v>Neuquén</v>
      </c>
      <c r="L845" s="16" t="str">
        <f t="array" ref="L845">CONCATENATE(_xlfn.XLOOKUP(C845,Clientes[ID_Cliente],Clientes[Provincia]),", Argentina")</f>
        <v>Neuquén, Argentina</v>
      </c>
      <c r="M845" s="20" t="str">
        <f t="array" ref="M845">_xlfn.XLOOKUP(F845,Metodos_De_Pago[ID_Metodo],Metodos_De_Pago[Metodo])</f>
        <v>Transferencia</v>
      </c>
      <c r="N845" s="20" t="str">
        <f t="shared" si="2"/>
        <v>2024 08</v>
      </c>
    </row>
    <row r="846" ht="22.5" customHeight="1">
      <c r="A846" s="12">
        <f>IFERROR(__xludf.DUMMYFUNCTION("""COMPUTED_VALUE"""),1908.0)</f>
        <v>1908</v>
      </c>
      <c r="B846" s="13">
        <f>IFERROR(__xludf.DUMMYFUNCTION("""COMPUTED_VALUE"""),45535.0)</f>
        <v>45535</v>
      </c>
      <c r="C846" s="12">
        <f>IFERROR(__xludf.DUMMYFUNCTION("""COMPUTED_VALUE"""),199.0)</f>
        <v>199</v>
      </c>
      <c r="D846" s="12">
        <f>IFERROR(__xludf.DUMMYFUNCTION("""COMPUTED_VALUE"""),3.0)</f>
        <v>3</v>
      </c>
      <c r="E846" s="12">
        <f>IFERROR(__xludf.DUMMYFUNCTION("""COMPUTED_VALUE"""),2.0)</f>
        <v>2</v>
      </c>
      <c r="F846" s="12">
        <f>IFERROR(__xludf.DUMMYFUNCTION("""COMPUTED_VALUE"""),3.0)</f>
        <v>3</v>
      </c>
      <c r="G846" s="15" t="str">
        <f>IFERROR(__xludf.DUMMYFUNCTION("""COMPUTED_VALUE"""),"Completa")</f>
        <v>Completa</v>
      </c>
      <c r="H846" s="16" t="str">
        <f t="array" ref="H846">_xlfn.XLOOKUP(D846,Productos[ID_Producto],Productos[Nombre_Producto])</f>
        <v>Queso cremoso</v>
      </c>
      <c r="I846" s="17">
        <f t="array" ref="I846">_xlfn.XLOOKUP(D846,Productos[ID_Producto],Productos[Precio_Unitario])</f>
        <v>17.23</v>
      </c>
      <c r="J846" s="17">
        <f t="shared" si="1"/>
        <v>34.46</v>
      </c>
      <c r="K846" s="16" t="str">
        <f t="array" ref="K846">_xlfn.XLOOKUP(C846,Clientes[ID_Cliente],Clientes[Provincia])</f>
        <v>Buenos Aires</v>
      </c>
      <c r="L846" s="16" t="str">
        <f t="array" ref="L846">CONCATENATE(_xlfn.XLOOKUP(C846,Clientes[ID_Cliente],Clientes[Provincia]),", Argentina")</f>
        <v>Buenos Aires, Argentina</v>
      </c>
      <c r="M846" s="20" t="str">
        <f t="array" ref="M846">_xlfn.XLOOKUP(F846,Metodos_De_Pago[ID_Metodo],Metodos_De_Pago[Metodo])</f>
        <v>Tarjeta de Débito</v>
      </c>
      <c r="N846" s="20" t="str">
        <f t="shared" si="2"/>
        <v>2024 08</v>
      </c>
    </row>
    <row r="847" ht="22.5" customHeight="1">
      <c r="A847" s="12">
        <f>IFERROR(__xludf.DUMMYFUNCTION("""COMPUTED_VALUE"""),154.0)</f>
        <v>154</v>
      </c>
      <c r="B847" s="13">
        <f>IFERROR(__xludf.DUMMYFUNCTION("""COMPUTED_VALUE"""),45537.0)</f>
        <v>45537</v>
      </c>
      <c r="C847" s="12">
        <f>IFERROR(__xludf.DUMMYFUNCTION("""COMPUTED_VALUE"""),164.0)</f>
        <v>164</v>
      </c>
      <c r="D847" s="12">
        <f>IFERROR(__xludf.DUMMYFUNCTION("""COMPUTED_VALUE"""),16.0)</f>
        <v>16</v>
      </c>
      <c r="E847" s="12">
        <f>IFERROR(__xludf.DUMMYFUNCTION("""COMPUTED_VALUE"""),2.0)</f>
        <v>2</v>
      </c>
      <c r="F847" s="12">
        <f>IFERROR(__xludf.DUMMYFUNCTION("""COMPUTED_VALUE"""),5.0)</f>
        <v>5</v>
      </c>
      <c r="G847" s="15" t="str">
        <f>IFERROR(__xludf.DUMMYFUNCTION("""COMPUTED_VALUE"""),"Completa")</f>
        <v>Completa</v>
      </c>
      <c r="H847" s="16" t="str">
        <f t="array" ref="H847">_xlfn.XLOOKUP(D847,Productos[ID_Producto],Productos[Nombre_Producto])</f>
        <v>Tortas</v>
      </c>
      <c r="I847" s="17">
        <f t="array" ref="I847">_xlfn.XLOOKUP(D847,Productos[ID_Producto],Productos[Precio_Unitario])</f>
        <v>15.23</v>
      </c>
      <c r="J847" s="17">
        <f t="shared" si="1"/>
        <v>30.46</v>
      </c>
      <c r="K847" s="16" t="str">
        <f t="array" ref="K847">_xlfn.XLOOKUP(C847,Clientes[ID_Cliente],Clientes[Provincia])</f>
        <v>Córdoba</v>
      </c>
      <c r="L847" s="16" t="str">
        <f t="array" ref="L847">CONCATENATE(_xlfn.XLOOKUP(C847,Clientes[ID_Cliente],Clientes[Provincia]),", Argentina")</f>
        <v>Córdoba, Argentina</v>
      </c>
      <c r="M847" s="20" t="str">
        <f t="array" ref="M847">_xlfn.XLOOKUP(F847,Metodos_De_Pago[ID_Metodo],Metodos_De_Pago[Metodo])</f>
        <v>Transferencia</v>
      </c>
      <c r="N847" s="20" t="str">
        <f t="shared" si="2"/>
        <v>2024 09</v>
      </c>
    </row>
    <row r="848" ht="22.5" customHeight="1">
      <c r="A848" s="12">
        <f>IFERROR(__xludf.DUMMYFUNCTION("""COMPUTED_VALUE"""),702.0)</f>
        <v>702</v>
      </c>
      <c r="B848" s="13">
        <f>IFERROR(__xludf.DUMMYFUNCTION("""COMPUTED_VALUE"""),45537.0)</f>
        <v>45537</v>
      </c>
      <c r="C848" s="12">
        <f>IFERROR(__xludf.DUMMYFUNCTION("""COMPUTED_VALUE"""),308.0)</f>
        <v>308</v>
      </c>
      <c r="D848" s="12">
        <f>IFERROR(__xludf.DUMMYFUNCTION("""COMPUTED_VALUE"""),25.0)</f>
        <v>25</v>
      </c>
      <c r="E848" s="12">
        <f>IFERROR(__xludf.DUMMYFUNCTION("""COMPUTED_VALUE"""),2.0)</f>
        <v>2</v>
      </c>
      <c r="F848" s="12">
        <f>IFERROR(__xludf.DUMMYFUNCTION("""COMPUTED_VALUE"""),1.0)</f>
        <v>1</v>
      </c>
      <c r="G848" s="15" t="str">
        <f>IFERROR(__xludf.DUMMYFUNCTION("""COMPUTED_VALUE"""),"Completa")</f>
        <v>Completa</v>
      </c>
      <c r="H848" s="16" t="str">
        <f t="array" ref="H848">_xlfn.XLOOKUP(D848,Productos[ID_Producto],Productos[Nombre_Producto])</f>
        <v>Pizza congelada</v>
      </c>
      <c r="I848" s="17">
        <f t="array" ref="I848">_xlfn.XLOOKUP(D848,Productos[ID_Producto],Productos[Precio_Unitario])</f>
        <v>15.45</v>
      </c>
      <c r="J848" s="17">
        <f t="shared" si="1"/>
        <v>30.9</v>
      </c>
      <c r="K848" s="16" t="str">
        <f t="array" ref="K848">_xlfn.XLOOKUP(C848,Clientes[ID_Cliente],Clientes[Provincia])</f>
        <v>Córdoba</v>
      </c>
      <c r="L848" s="16" t="str">
        <f t="array" ref="L848">CONCATENATE(_xlfn.XLOOKUP(C848,Clientes[ID_Cliente],Clientes[Provincia]),", Argentina")</f>
        <v>Córdoba, Argentina</v>
      </c>
      <c r="M848" s="20" t="str">
        <f t="array" ref="M848">_xlfn.XLOOKUP(F848,Metodos_De_Pago[ID_Metodo],Metodos_De_Pago[Metodo])</f>
        <v>Efectivo</v>
      </c>
      <c r="N848" s="20" t="str">
        <f t="shared" si="2"/>
        <v>2024 09</v>
      </c>
    </row>
    <row r="849" ht="22.5" customHeight="1">
      <c r="A849" s="12">
        <f>IFERROR(__xludf.DUMMYFUNCTION("""COMPUTED_VALUE"""),1584.0)</f>
        <v>1584</v>
      </c>
      <c r="B849" s="13">
        <f>IFERROR(__xludf.DUMMYFUNCTION("""COMPUTED_VALUE"""),45538.0)</f>
        <v>45538</v>
      </c>
      <c r="C849" s="12">
        <f>IFERROR(__xludf.DUMMYFUNCTION("""COMPUTED_VALUE"""),194.0)</f>
        <v>194</v>
      </c>
      <c r="D849" s="12">
        <f>IFERROR(__xludf.DUMMYFUNCTION("""COMPUTED_VALUE"""),31.0)</f>
        <v>31</v>
      </c>
      <c r="E849" s="12">
        <f>IFERROR(__xludf.DUMMYFUNCTION("""COMPUTED_VALUE"""),2.0)</f>
        <v>2</v>
      </c>
      <c r="F849" s="12">
        <f>IFERROR(__xludf.DUMMYFUNCTION("""COMPUTED_VALUE"""),2.0)</f>
        <v>2</v>
      </c>
      <c r="G849" s="15" t="str">
        <f>IFERROR(__xludf.DUMMYFUNCTION("""COMPUTED_VALUE"""),"Completa")</f>
        <v>Completa</v>
      </c>
      <c r="H849" s="16" t="str">
        <f t="array" ref="H849">_xlfn.XLOOKUP(D849,Productos[ID_Producto],Productos[Nombre_Producto])</f>
        <v>Galletitas de agua</v>
      </c>
      <c r="I849" s="17">
        <f t="array" ref="I849">_xlfn.XLOOKUP(D849,Productos[ID_Producto],Productos[Precio_Unitario])</f>
        <v>5.24</v>
      </c>
      <c r="J849" s="17">
        <f t="shared" si="1"/>
        <v>10.48</v>
      </c>
      <c r="K849" s="16" t="str">
        <f t="array" ref="K849">_xlfn.XLOOKUP(C849,Clientes[ID_Cliente],Clientes[Provincia])</f>
        <v>Buenos Aires</v>
      </c>
      <c r="L849" s="16" t="str">
        <f t="array" ref="L849">CONCATENATE(_xlfn.XLOOKUP(C849,Clientes[ID_Cliente],Clientes[Provincia]),", Argentina")</f>
        <v>Buenos Aires, Argentina</v>
      </c>
      <c r="M849" s="20" t="str">
        <f t="array" ref="M849">_xlfn.XLOOKUP(F849,Metodos_De_Pago[ID_Metodo],Metodos_De_Pago[Metodo])</f>
        <v>Tarjeta de Crédito</v>
      </c>
      <c r="N849" s="20" t="str">
        <f t="shared" si="2"/>
        <v>2024 09</v>
      </c>
    </row>
    <row r="850" ht="22.5" customHeight="1">
      <c r="A850" s="12">
        <f>IFERROR(__xludf.DUMMYFUNCTION("""COMPUTED_VALUE"""),385.0)</f>
        <v>385</v>
      </c>
      <c r="B850" s="13">
        <f>IFERROR(__xludf.DUMMYFUNCTION("""COMPUTED_VALUE"""),45539.0)</f>
        <v>45539</v>
      </c>
      <c r="C850" s="12">
        <f>IFERROR(__xludf.DUMMYFUNCTION("""COMPUTED_VALUE"""),257.0)</f>
        <v>257</v>
      </c>
      <c r="D850" s="12">
        <f>IFERROR(__xludf.DUMMYFUNCTION("""COMPUTED_VALUE"""),19.0)</f>
        <v>19</v>
      </c>
      <c r="E850" s="12">
        <f>IFERROR(__xludf.DUMMYFUNCTION("""COMPUTED_VALUE"""),2.0)</f>
        <v>2</v>
      </c>
      <c r="F850" s="12">
        <f>IFERROR(__xludf.DUMMYFUNCTION("""COMPUTED_VALUE"""),3.0)</f>
        <v>3</v>
      </c>
      <c r="G850" s="15" t="str">
        <f>IFERROR(__xludf.DUMMYFUNCTION("""COMPUTED_VALUE"""),"Completa")</f>
        <v>Completa</v>
      </c>
      <c r="H850" s="16" t="str">
        <f t="array" ref="H850">_xlfn.XLOOKUP(D850,Productos[ID_Producto],Productos[Nombre_Producto])</f>
        <v>Tomates</v>
      </c>
      <c r="I850" s="17">
        <f t="array" ref="I850">_xlfn.XLOOKUP(D850,Productos[ID_Producto],Productos[Precio_Unitario])</f>
        <v>6.54</v>
      </c>
      <c r="J850" s="17">
        <f t="shared" si="1"/>
        <v>13.08</v>
      </c>
      <c r="K850" s="16" t="str">
        <f t="array" ref="K850">_xlfn.XLOOKUP(C850,Clientes[ID_Cliente],Clientes[Provincia])</f>
        <v>Chaco</v>
      </c>
      <c r="L850" s="16" t="str">
        <f t="array" ref="L850">CONCATENATE(_xlfn.XLOOKUP(C850,Clientes[ID_Cliente],Clientes[Provincia]),", Argentina")</f>
        <v>Chaco, Argentina</v>
      </c>
      <c r="M850" s="20" t="str">
        <f t="array" ref="M850">_xlfn.XLOOKUP(F850,Metodos_De_Pago[ID_Metodo],Metodos_De_Pago[Metodo])</f>
        <v>Tarjeta de Débito</v>
      </c>
      <c r="N850" s="20" t="str">
        <f t="shared" si="2"/>
        <v>2024 09</v>
      </c>
    </row>
    <row r="851" ht="22.5" customHeight="1">
      <c r="A851" s="12">
        <f>IFERROR(__xludf.DUMMYFUNCTION("""COMPUTED_VALUE"""),1042.0)</f>
        <v>1042</v>
      </c>
      <c r="B851" s="13">
        <f>IFERROR(__xludf.DUMMYFUNCTION("""COMPUTED_VALUE"""),45539.0)</f>
        <v>45539</v>
      </c>
      <c r="C851" s="12">
        <f>IFERROR(__xludf.DUMMYFUNCTION("""COMPUTED_VALUE"""),257.0)</f>
        <v>257</v>
      </c>
      <c r="D851" s="12">
        <f>IFERROR(__xludf.DUMMYFUNCTION("""COMPUTED_VALUE"""),8.0)</f>
        <v>8</v>
      </c>
      <c r="E851" s="12">
        <f>IFERROR(__xludf.DUMMYFUNCTION("""COMPUTED_VALUE"""),2.0)</f>
        <v>2</v>
      </c>
      <c r="F851" s="12">
        <f>IFERROR(__xludf.DUMMYFUNCTION("""COMPUTED_VALUE"""),4.0)</f>
        <v>4</v>
      </c>
      <c r="G851" s="15" t="str">
        <f>IFERROR(__xludf.DUMMYFUNCTION("""COMPUTED_VALUE"""),"Completa")</f>
        <v>Completa</v>
      </c>
      <c r="H851" s="16" t="str">
        <f t="array" ref="H851">_xlfn.XLOOKUP(D851,Productos[ID_Producto],Productos[Nombre_Producto])</f>
        <v>Milanesa</v>
      </c>
      <c r="I851" s="17">
        <f t="array" ref="I851">_xlfn.XLOOKUP(D851,Productos[ID_Producto],Productos[Precio_Unitario])</f>
        <v>16.21</v>
      </c>
      <c r="J851" s="17">
        <f t="shared" si="1"/>
        <v>32.42</v>
      </c>
      <c r="K851" s="16" t="str">
        <f t="array" ref="K851">_xlfn.XLOOKUP(C851,Clientes[ID_Cliente],Clientes[Provincia])</f>
        <v>Chaco</v>
      </c>
      <c r="L851" s="16" t="str">
        <f t="array" ref="L851">CONCATENATE(_xlfn.XLOOKUP(C851,Clientes[ID_Cliente],Clientes[Provincia]),", Argentina")</f>
        <v>Chaco, Argentina</v>
      </c>
      <c r="M851" s="20" t="str">
        <f t="array" ref="M851">_xlfn.XLOOKUP(F851,Metodos_De_Pago[ID_Metodo],Metodos_De_Pago[Metodo])</f>
        <v>Mercado Pago</v>
      </c>
      <c r="N851" s="20" t="str">
        <f t="shared" si="2"/>
        <v>2024 09</v>
      </c>
    </row>
    <row r="852" ht="22.5" customHeight="1">
      <c r="A852" s="12">
        <f>IFERROR(__xludf.DUMMYFUNCTION("""COMPUTED_VALUE"""),1429.0)</f>
        <v>1429</v>
      </c>
      <c r="B852" s="13">
        <f>IFERROR(__xludf.DUMMYFUNCTION("""COMPUTED_VALUE"""),45539.0)</f>
        <v>45539</v>
      </c>
      <c r="C852" s="12">
        <f>IFERROR(__xludf.DUMMYFUNCTION("""COMPUTED_VALUE"""),23.0)</f>
        <v>23</v>
      </c>
      <c r="D852" s="12">
        <f>IFERROR(__xludf.DUMMYFUNCTION("""COMPUTED_VALUE"""),26.0)</f>
        <v>26</v>
      </c>
      <c r="E852" s="12">
        <f>IFERROR(__xludf.DUMMYFUNCTION("""COMPUTED_VALUE"""),2.0)</f>
        <v>2</v>
      </c>
      <c r="F852" s="12">
        <f>IFERROR(__xludf.DUMMYFUNCTION("""COMPUTED_VALUE"""),5.0)</f>
        <v>5</v>
      </c>
      <c r="G852" s="15" t="str">
        <f>IFERROR(__xludf.DUMMYFUNCTION("""COMPUTED_VALUE"""),"Pendiente")</f>
        <v>Pendiente</v>
      </c>
      <c r="H852" s="16" t="str">
        <f t="array" ref="H852">_xlfn.XLOOKUP(D852,Productos[ID_Producto],Productos[Nombre_Producto])</f>
        <v>Hamburgesas congeladas</v>
      </c>
      <c r="I852" s="17">
        <f t="array" ref="I852">_xlfn.XLOOKUP(D852,Productos[ID_Producto],Productos[Precio_Unitario])</f>
        <v>9.54</v>
      </c>
      <c r="J852" s="17">
        <f t="shared" si="1"/>
        <v>19.08</v>
      </c>
      <c r="K852" s="16" t="str">
        <f t="array" ref="K852">_xlfn.XLOOKUP(C852,Clientes[ID_Cliente],Clientes[Provincia])</f>
        <v>Neuquén</v>
      </c>
      <c r="L852" s="16" t="str">
        <f t="array" ref="L852">CONCATENATE(_xlfn.XLOOKUP(C852,Clientes[ID_Cliente],Clientes[Provincia]),", Argentina")</f>
        <v>Neuquén, Argentina</v>
      </c>
      <c r="M852" s="20" t="str">
        <f t="array" ref="M852">_xlfn.XLOOKUP(F852,Metodos_De_Pago[ID_Metodo],Metodos_De_Pago[Metodo])</f>
        <v>Transferencia</v>
      </c>
      <c r="N852" s="20" t="str">
        <f t="shared" si="2"/>
        <v>2024 09</v>
      </c>
    </row>
    <row r="853" ht="22.5" customHeight="1">
      <c r="A853" s="12">
        <f>IFERROR(__xludf.DUMMYFUNCTION("""COMPUTED_VALUE"""),1134.0)</f>
        <v>1134</v>
      </c>
      <c r="B853" s="13">
        <f>IFERROR(__xludf.DUMMYFUNCTION("""COMPUTED_VALUE"""),45540.0)</f>
        <v>45540</v>
      </c>
      <c r="C853" s="12">
        <f>IFERROR(__xludf.DUMMYFUNCTION("""COMPUTED_VALUE"""),138.0)</f>
        <v>138</v>
      </c>
      <c r="D853" s="12">
        <f>IFERROR(__xludf.DUMMYFUNCTION("""COMPUTED_VALUE"""),30.0)</f>
        <v>30</v>
      </c>
      <c r="E853" s="12">
        <f>IFERROR(__xludf.DUMMYFUNCTION("""COMPUTED_VALUE"""),2.0)</f>
        <v>2</v>
      </c>
      <c r="F853" s="12">
        <f>IFERROR(__xludf.DUMMYFUNCTION("""COMPUTED_VALUE"""),4.0)</f>
        <v>4</v>
      </c>
      <c r="G853" s="15" t="str">
        <f>IFERROR(__xludf.DUMMYFUNCTION("""COMPUTED_VALUE"""),"Pendiente")</f>
        <v>Pendiente</v>
      </c>
      <c r="H853" s="16" t="str">
        <f t="array" ref="H853">_xlfn.XLOOKUP(D853,Productos[ID_Producto],Productos[Nombre_Producto])</f>
        <v>Vino tinto</v>
      </c>
      <c r="I853" s="17">
        <f t="array" ref="I853">_xlfn.XLOOKUP(D853,Productos[ID_Producto],Productos[Precio_Unitario])</f>
        <v>13.54</v>
      </c>
      <c r="J853" s="17">
        <f t="shared" si="1"/>
        <v>27.08</v>
      </c>
      <c r="K853" s="16" t="str">
        <f t="array" ref="K853">_xlfn.XLOOKUP(C853,Clientes[ID_Cliente],Clientes[Provincia])</f>
        <v>Buenos Aires</v>
      </c>
      <c r="L853" s="16" t="str">
        <f t="array" ref="L853">CONCATENATE(_xlfn.XLOOKUP(C853,Clientes[ID_Cliente],Clientes[Provincia]),", Argentina")</f>
        <v>Buenos Aires, Argentina</v>
      </c>
      <c r="M853" s="20" t="str">
        <f t="array" ref="M853">_xlfn.XLOOKUP(F853,Metodos_De_Pago[ID_Metodo],Metodos_De_Pago[Metodo])</f>
        <v>Mercado Pago</v>
      </c>
      <c r="N853" s="20" t="str">
        <f t="shared" si="2"/>
        <v>2024 09</v>
      </c>
    </row>
    <row r="854" ht="22.5" customHeight="1">
      <c r="A854" s="12">
        <f>IFERROR(__xludf.DUMMYFUNCTION("""COMPUTED_VALUE"""),2714.0)</f>
        <v>2714</v>
      </c>
      <c r="B854" s="13">
        <f>IFERROR(__xludf.DUMMYFUNCTION("""COMPUTED_VALUE"""),45541.0)</f>
        <v>45541</v>
      </c>
      <c r="C854" s="12">
        <f>IFERROR(__xludf.DUMMYFUNCTION("""COMPUTED_VALUE"""),21.0)</f>
        <v>21</v>
      </c>
      <c r="D854" s="12">
        <f>IFERROR(__xludf.DUMMYFUNCTION("""COMPUTED_VALUE"""),1.0)</f>
        <v>1</v>
      </c>
      <c r="E854" s="12">
        <f>IFERROR(__xludf.DUMMYFUNCTION("""COMPUTED_VALUE"""),2.0)</f>
        <v>2</v>
      </c>
      <c r="F854" s="12">
        <f>IFERROR(__xludf.DUMMYFUNCTION("""COMPUTED_VALUE"""),3.0)</f>
        <v>3</v>
      </c>
      <c r="G854" s="15" t="str">
        <f>IFERROR(__xludf.DUMMYFUNCTION("""COMPUTED_VALUE"""),"Completa")</f>
        <v>Completa</v>
      </c>
      <c r="H854" s="16" t="str">
        <f t="array" ref="H854">_xlfn.XLOOKUP(D854,Productos[ID_Producto],Productos[Nombre_Producto])</f>
        <v>Leche</v>
      </c>
      <c r="I854" s="17">
        <f t="array" ref="I854">_xlfn.XLOOKUP(D854,Productos[ID_Producto],Productos[Precio_Unitario])</f>
        <v>12.24</v>
      </c>
      <c r="J854" s="17">
        <f t="shared" si="1"/>
        <v>24.48</v>
      </c>
      <c r="K854" s="16" t="str">
        <f t="array" ref="K854">_xlfn.XLOOKUP(C854,Clientes[ID_Cliente],Clientes[Provincia])</f>
        <v>Buenos Aires</v>
      </c>
      <c r="L854" s="16" t="str">
        <f t="array" ref="L854">CONCATENATE(_xlfn.XLOOKUP(C854,Clientes[ID_Cliente],Clientes[Provincia]),", Argentina")</f>
        <v>Buenos Aires, Argentina</v>
      </c>
      <c r="M854" s="20" t="str">
        <f t="array" ref="M854">_xlfn.XLOOKUP(F854,Metodos_De_Pago[ID_Metodo],Metodos_De_Pago[Metodo])</f>
        <v>Tarjeta de Débito</v>
      </c>
      <c r="N854" s="20" t="str">
        <f t="shared" si="2"/>
        <v>2024 09</v>
      </c>
    </row>
    <row r="855" ht="22.5" customHeight="1">
      <c r="A855" s="12">
        <f>IFERROR(__xludf.DUMMYFUNCTION("""COMPUTED_VALUE"""),299.0)</f>
        <v>299</v>
      </c>
      <c r="B855" s="13">
        <f>IFERROR(__xludf.DUMMYFUNCTION("""COMPUTED_VALUE"""),45542.0)</f>
        <v>45542</v>
      </c>
      <c r="C855" s="12">
        <f>IFERROR(__xludf.DUMMYFUNCTION("""COMPUTED_VALUE"""),60.0)</f>
        <v>60</v>
      </c>
      <c r="D855" s="12">
        <f>IFERROR(__xludf.DUMMYFUNCTION("""COMPUTED_VALUE"""),28.0)</f>
        <v>28</v>
      </c>
      <c r="E855" s="12">
        <f>IFERROR(__xludf.DUMMYFUNCTION("""COMPUTED_VALUE"""),2.0)</f>
        <v>2</v>
      </c>
      <c r="F855" s="12">
        <f>IFERROR(__xludf.DUMMYFUNCTION("""COMPUTED_VALUE"""),1.0)</f>
        <v>1</v>
      </c>
      <c r="G855" s="15" t="str">
        <f>IFERROR(__xludf.DUMMYFUNCTION("""COMPUTED_VALUE"""),"Pendiente")</f>
        <v>Pendiente</v>
      </c>
      <c r="H855" s="16" t="str">
        <f t="array" ref="H855">_xlfn.XLOOKUP(D855,Productos[ID_Producto],Productos[Nombre_Producto])</f>
        <v>Jugos de frutas</v>
      </c>
      <c r="I855" s="17">
        <f t="array" ref="I855">_xlfn.XLOOKUP(D855,Productos[ID_Producto],Productos[Precio_Unitario])</f>
        <v>9.45</v>
      </c>
      <c r="J855" s="17">
        <f t="shared" si="1"/>
        <v>18.9</v>
      </c>
      <c r="K855" s="16" t="str">
        <f t="array" ref="K855">_xlfn.XLOOKUP(C855,Clientes[ID_Cliente],Clientes[Provincia])</f>
        <v>Chaco</v>
      </c>
      <c r="L855" s="16" t="str">
        <f t="array" ref="L855">CONCATENATE(_xlfn.XLOOKUP(C855,Clientes[ID_Cliente],Clientes[Provincia]),", Argentina")</f>
        <v>Chaco, Argentina</v>
      </c>
      <c r="M855" s="20" t="str">
        <f t="array" ref="M855">_xlfn.XLOOKUP(F855,Metodos_De_Pago[ID_Metodo],Metodos_De_Pago[Metodo])</f>
        <v>Efectivo</v>
      </c>
      <c r="N855" s="20" t="str">
        <f t="shared" si="2"/>
        <v>2024 09</v>
      </c>
    </row>
    <row r="856" ht="22.5" customHeight="1">
      <c r="A856" s="12">
        <f>IFERROR(__xludf.DUMMYFUNCTION("""COMPUTED_VALUE"""),726.0)</f>
        <v>726</v>
      </c>
      <c r="B856" s="13">
        <f>IFERROR(__xludf.DUMMYFUNCTION("""COMPUTED_VALUE"""),45545.0)</f>
        <v>45545</v>
      </c>
      <c r="C856" s="12">
        <f>IFERROR(__xludf.DUMMYFUNCTION("""COMPUTED_VALUE"""),161.0)</f>
        <v>161</v>
      </c>
      <c r="D856" s="12">
        <f>IFERROR(__xludf.DUMMYFUNCTION("""COMPUTED_VALUE"""),32.0)</f>
        <v>32</v>
      </c>
      <c r="E856" s="12">
        <f>IFERROR(__xludf.DUMMYFUNCTION("""COMPUTED_VALUE"""),2.0)</f>
        <v>2</v>
      </c>
      <c r="F856" s="12">
        <f>IFERROR(__xludf.DUMMYFUNCTION("""COMPUTED_VALUE"""),4.0)</f>
        <v>4</v>
      </c>
      <c r="G856" s="15" t="str">
        <f>IFERROR(__xludf.DUMMYFUNCTION("""COMPUTED_VALUE"""),"Completa")</f>
        <v>Completa</v>
      </c>
      <c r="H856" s="16" t="str">
        <f t="array" ref="H856">_xlfn.XLOOKUP(D856,Productos[ID_Producto],Productos[Nombre_Producto])</f>
        <v>Galletitas de chocolate</v>
      </c>
      <c r="I856" s="17">
        <f t="array" ref="I856">_xlfn.XLOOKUP(D856,Productos[ID_Producto],Productos[Precio_Unitario])</f>
        <v>6.25</v>
      </c>
      <c r="J856" s="17">
        <f t="shared" si="1"/>
        <v>12.5</v>
      </c>
      <c r="K856" s="16" t="str">
        <f t="array" ref="K856">_xlfn.XLOOKUP(C856,Clientes[ID_Cliente],Clientes[Provincia])</f>
        <v>Neuquén</v>
      </c>
      <c r="L856" s="16" t="str">
        <f t="array" ref="L856">CONCATENATE(_xlfn.XLOOKUP(C856,Clientes[ID_Cliente],Clientes[Provincia]),", Argentina")</f>
        <v>Neuquén, Argentina</v>
      </c>
      <c r="M856" s="20" t="str">
        <f t="array" ref="M856">_xlfn.XLOOKUP(F856,Metodos_De_Pago[ID_Metodo],Metodos_De_Pago[Metodo])</f>
        <v>Mercado Pago</v>
      </c>
      <c r="N856" s="20" t="str">
        <f t="shared" si="2"/>
        <v>2024 09</v>
      </c>
    </row>
    <row r="857" ht="22.5" customHeight="1">
      <c r="A857" s="12">
        <f>IFERROR(__xludf.DUMMYFUNCTION("""COMPUTED_VALUE"""),1649.0)</f>
        <v>1649</v>
      </c>
      <c r="B857" s="13">
        <f>IFERROR(__xludf.DUMMYFUNCTION("""COMPUTED_VALUE"""),45546.0)</f>
        <v>45546</v>
      </c>
      <c r="C857" s="12">
        <f>IFERROR(__xludf.DUMMYFUNCTION("""COMPUTED_VALUE"""),189.0)</f>
        <v>189</v>
      </c>
      <c r="D857" s="12">
        <f>IFERROR(__xludf.DUMMYFUNCTION("""COMPUTED_VALUE"""),37.0)</f>
        <v>37</v>
      </c>
      <c r="E857" s="12">
        <f>IFERROR(__xludf.DUMMYFUNCTION("""COMPUTED_VALUE"""),2.0)</f>
        <v>2</v>
      </c>
      <c r="F857" s="12">
        <f>IFERROR(__xludf.DUMMYFUNCTION("""COMPUTED_VALUE"""),4.0)</f>
        <v>4</v>
      </c>
      <c r="G857" s="15" t="str">
        <f>IFERROR(__xludf.DUMMYFUNCTION("""COMPUTED_VALUE"""),"Completa")</f>
        <v>Completa</v>
      </c>
      <c r="H857" s="16" t="str">
        <f t="array" ref="H857">_xlfn.XLOOKUP(D857,Productos[ID_Producto],Productos[Nombre_Producto])</f>
        <v>Garbanzos</v>
      </c>
      <c r="I857" s="17">
        <f t="array" ref="I857">_xlfn.XLOOKUP(D857,Productos[ID_Producto],Productos[Precio_Unitario])</f>
        <v>3.65</v>
      </c>
      <c r="J857" s="17">
        <f t="shared" si="1"/>
        <v>7.3</v>
      </c>
      <c r="K857" s="16" t="str">
        <f t="array" ref="K857">_xlfn.XLOOKUP(C857,Clientes[ID_Cliente],Clientes[Provincia])</f>
        <v>Neuquén</v>
      </c>
      <c r="L857" s="16" t="str">
        <f t="array" ref="L857">CONCATENATE(_xlfn.XLOOKUP(C857,Clientes[ID_Cliente],Clientes[Provincia]),", Argentina")</f>
        <v>Neuquén, Argentina</v>
      </c>
      <c r="M857" s="20" t="str">
        <f t="array" ref="M857">_xlfn.XLOOKUP(F857,Metodos_De_Pago[ID_Metodo],Metodos_De_Pago[Metodo])</f>
        <v>Mercado Pago</v>
      </c>
      <c r="N857" s="20" t="str">
        <f t="shared" si="2"/>
        <v>2024 09</v>
      </c>
    </row>
    <row r="858" ht="22.5" customHeight="1">
      <c r="A858" s="12">
        <f>IFERROR(__xludf.DUMMYFUNCTION("""COMPUTED_VALUE"""),2106.0)</f>
        <v>2106</v>
      </c>
      <c r="B858" s="13">
        <f>IFERROR(__xludf.DUMMYFUNCTION("""COMPUTED_VALUE"""),45547.0)</f>
        <v>45547</v>
      </c>
      <c r="C858" s="12">
        <f>IFERROR(__xludf.DUMMYFUNCTION("""COMPUTED_VALUE"""),135.0)</f>
        <v>135</v>
      </c>
      <c r="D858" s="12">
        <f>IFERROR(__xludf.DUMMYFUNCTION("""COMPUTED_VALUE"""),14.0)</f>
        <v>14</v>
      </c>
      <c r="E858" s="12">
        <f>IFERROR(__xludf.DUMMYFUNCTION("""COMPUTED_VALUE"""),2.0)</f>
        <v>2</v>
      </c>
      <c r="F858" s="12">
        <f>IFERROR(__xludf.DUMMYFUNCTION("""COMPUTED_VALUE"""),1.0)</f>
        <v>1</v>
      </c>
      <c r="G858" s="15" t="str">
        <f>IFERROR(__xludf.DUMMYFUNCTION("""COMPUTED_VALUE"""),"Completa")</f>
        <v>Completa</v>
      </c>
      <c r="H858" s="16" t="str">
        <f t="array" ref="H858">_xlfn.XLOOKUP(D858,Productos[ID_Producto],Productos[Nombre_Producto])</f>
        <v>Facturas</v>
      </c>
      <c r="I858" s="17">
        <f t="array" ref="I858">_xlfn.XLOOKUP(D858,Productos[ID_Producto],Productos[Precio_Unitario])</f>
        <v>12.36</v>
      </c>
      <c r="J858" s="17">
        <f t="shared" si="1"/>
        <v>24.72</v>
      </c>
      <c r="K858" s="16" t="str">
        <f t="array" ref="K858">_xlfn.XLOOKUP(C858,Clientes[ID_Cliente],Clientes[Provincia])</f>
        <v>San Luis</v>
      </c>
      <c r="L858" s="16" t="str">
        <f t="array" ref="L858">CONCATENATE(_xlfn.XLOOKUP(C858,Clientes[ID_Cliente],Clientes[Provincia]),", Argentina")</f>
        <v>San Luis, Argentina</v>
      </c>
      <c r="M858" s="20" t="str">
        <f t="array" ref="M858">_xlfn.XLOOKUP(F858,Metodos_De_Pago[ID_Metodo],Metodos_De_Pago[Metodo])</f>
        <v>Efectivo</v>
      </c>
      <c r="N858" s="20" t="str">
        <f t="shared" si="2"/>
        <v>2024 09</v>
      </c>
    </row>
    <row r="859" ht="22.5" customHeight="1">
      <c r="A859" s="12">
        <f>IFERROR(__xludf.DUMMYFUNCTION("""COMPUTED_VALUE"""),1272.0)</f>
        <v>1272</v>
      </c>
      <c r="B859" s="13">
        <f>IFERROR(__xludf.DUMMYFUNCTION("""COMPUTED_VALUE"""),45549.0)</f>
        <v>45549</v>
      </c>
      <c r="C859" s="12">
        <f>IFERROR(__xludf.DUMMYFUNCTION("""COMPUTED_VALUE"""),187.0)</f>
        <v>187</v>
      </c>
      <c r="D859" s="12">
        <f>IFERROR(__xludf.DUMMYFUNCTION("""COMPUTED_VALUE"""),12.0)</f>
        <v>12</v>
      </c>
      <c r="E859" s="12">
        <f>IFERROR(__xludf.DUMMYFUNCTION("""COMPUTED_VALUE"""),2.0)</f>
        <v>2</v>
      </c>
      <c r="F859" s="12">
        <f>IFERROR(__xludf.DUMMYFUNCTION("""COMPUTED_VALUE"""),2.0)</f>
        <v>2</v>
      </c>
      <c r="G859" s="15" t="str">
        <f>IFERROR(__xludf.DUMMYFUNCTION("""COMPUTED_VALUE"""),"Pendiente")</f>
        <v>Pendiente</v>
      </c>
      <c r="H859" s="16" t="str">
        <f t="array" ref="H859">_xlfn.XLOOKUP(D859,Productos[ID_Producto],Productos[Nombre_Producto])</f>
        <v>Pan francés</v>
      </c>
      <c r="I859" s="17">
        <f t="array" ref="I859">_xlfn.XLOOKUP(D859,Productos[ID_Producto],Productos[Precio_Unitario])</f>
        <v>8.12</v>
      </c>
      <c r="J859" s="17">
        <f t="shared" si="1"/>
        <v>16.24</v>
      </c>
      <c r="K859" s="16" t="str">
        <f t="array" ref="K859">_xlfn.XLOOKUP(C859,Clientes[ID_Cliente],Clientes[Provincia])</f>
        <v>Buenos Aires</v>
      </c>
      <c r="L859" s="16" t="str">
        <f t="array" ref="L859">CONCATENATE(_xlfn.XLOOKUP(C859,Clientes[ID_Cliente],Clientes[Provincia]),", Argentina")</f>
        <v>Buenos Aires, Argentina</v>
      </c>
      <c r="M859" s="20" t="str">
        <f t="array" ref="M859">_xlfn.XLOOKUP(F859,Metodos_De_Pago[ID_Metodo],Metodos_De_Pago[Metodo])</f>
        <v>Tarjeta de Crédito</v>
      </c>
      <c r="N859" s="20" t="str">
        <f t="shared" si="2"/>
        <v>2024 09</v>
      </c>
    </row>
    <row r="860" ht="22.5" customHeight="1">
      <c r="A860" s="12">
        <f>IFERROR(__xludf.DUMMYFUNCTION("""COMPUTED_VALUE"""),1380.0)</f>
        <v>1380</v>
      </c>
      <c r="B860" s="13">
        <f>IFERROR(__xludf.DUMMYFUNCTION("""COMPUTED_VALUE"""),45549.0)</f>
        <v>45549</v>
      </c>
      <c r="C860" s="12">
        <f>IFERROR(__xludf.DUMMYFUNCTION("""COMPUTED_VALUE"""),126.0)</f>
        <v>126</v>
      </c>
      <c r="D860" s="12">
        <f>IFERROR(__xludf.DUMMYFUNCTION("""COMPUTED_VALUE"""),22.0)</f>
        <v>22</v>
      </c>
      <c r="E860" s="12">
        <f>IFERROR(__xludf.DUMMYFUNCTION("""COMPUTED_VALUE"""),2.0)</f>
        <v>2</v>
      </c>
      <c r="F860" s="12">
        <f>IFERROR(__xludf.DUMMYFUNCTION("""COMPUTED_VALUE"""),1.0)</f>
        <v>1</v>
      </c>
      <c r="G860" s="15" t="str">
        <f>IFERROR(__xludf.DUMMYFUNCTION("""COMPUTED_VALUE"""),"Completa")</f>
        <v>Completa</v>
      </c>
      <c r="H860" s="16" t="str">
        <f t="array" ref="H860">_xlfn.XLOOKUP(D860,Productos[ID_Producto],Productos[Nombre_Producto])</f>
        <v>Cebolla</v>
      </c>
      <c r="I860" s="17">
        <f t="array" ref="I860">_xlfn.XLOOKUP(D860,Productos[ID_Producto],Productos[Precio_Unitario])</f>
        <v>4.21</v>
      </c>
      <c r="J860" s="17">
        <f t="shared" si="1"/>
        <v>8.42</v>
      </c>
      <c r="K860" s="16" t="str">
        <f t="array" ref="K860">_xlfn.XLOOKUP(C860,Clientes[ID_Cliente],Clientes[Provincia])</f>
        <v>San Luis</v>
      </c>
      <c r="L860" s="16" t="str">
        <f t="array" ref="L860">CONCATENATE(_xlfn.XLOOKUP(C860,Clientes[ID_Cliente],Clientes[Provincia]),", Argentina")</f>
        <v>San Luis, Argentina</v>
      </c>
      <c r="M860" s="20" t="str">
        <f t="array" ref="M860">_xlfn.XLOOKUP(F860,Metodos_De_Pago[ID_Metodo],Metodos_De_Pago[Metodo])</f>
        <v>Efectivo</v>
      </c>
      <c r="N860" s="20" t="str">
        <f t="shared" si="2"/>
        <v>2024 09</v>
      </c>
    </row>
    <row r="861" ht="22.5" customHeight="1">
      <c r="A861" s="12">
        <f>IFERROR(__xludf.DUMMYFUNCTION("""COMPUTED_VALUE"""),1762.0)</f>
        <v>1762</v>
      </c>
      <c r="B861" s="13">
        <f>IFERROR(__xludf.DUMMYFUNCTION("""COMPUTED_VALUE"""),45549.0)</f>
        <v>45549</v>
      </c>
      <c r="C861" s="12">
        <f>IFERROR(__xludf.DUMMYFUNCTION("""COMPUTED_VALUE"""),71.0)</f>
        <v>71</v>
      </c>
      <c r="D861" s="12">
        <f>IFERROR(__xludf.DUMMYFUNCTION("""COMPUTED_VALUE"""),29.0)</f>
        <v>29</v>
      </c>
      <c r="E861" s="12">
        <f>IFERROR(__xludf.DUMMYFUNCTION("""COMPUTED_VALUE"""),2.0)</f>
        <v>2</v>
      </c>
      <c r="F861" s="12">
        <f>IFERROR(__xludf.DUMMYFUNCTION("""COMPUTED_VALUE"""),4.0)</f>
        <v>4</v>
      </c>
      <c r="G861" s="15" t="str">
        <f>IFERROR(__xludf.DUMMYFUNCTION("""COMPUTED_VALUE"""),"Completa")</f>
        <v>Completa</v>
      </c>
      <c r="H861" s="16" t="str">
        <f t="array" ref="H861">_xlfn.XLOOKUP(D861,Productos[ID_Producto],Productos[Nombre_Producto])</f>
        <v>Cerveza</v>
      </c>
      <c r="I861" s="17">
        <f t="array" ref="I861">_xlfn.XLOOKUP(D861,Productos[ID_Producto],Productos[Precio_Unitario])</f>
        <v>11.54</v>
      </c>
      <c r="J861" s="17">
        <f t="shared" si="1"/>
        <v>23.08</v>
      </c>
      <c r="K861" s="16" t="str">
        <f t="array" ref="K861">_xlfn.XLOOKUP(C861,Clientes[ID_Cliente],Clientes[Provincia])</f>
        <v>Buenos Aires</v>
      </c>
      <c r="L861" s="16" t="str">
        <f t="array" ref="L861">CONCATENATE(_xlfn.XLOOKUP(C861,Clientes[ID_Cliente],Clientes[Provincia]),", Argentina")</f>
        <v>Buenos Aires, Argentina</v>
      </c>
      <c r="M861" s="20" t="str">
        <f t="array" ref="M861">_xlfn.XLOOKUP(F861,Metodos_De_Pago[ID_Metodo],Metodos_De_Pago[Metodo])</f>
        <v>Mercado Pago</v>
      </c>
      <c r="N861" s="20" t="str">
        <f t="shared" si="2"/>
        <v>2024 09</v>
      </c>
    </row>
    <row r="862" ht="22.5" customHeight="1">
      <c r="A862" s="12">
        <f>IFERROR(__xludf.DUMMYFUNCTION("""COMPUTED_VALUE"""),1829.0)</f>
        <v>1829</v>
      </c>
      <c r="B862" s="13">
        <f>IFERROR(__xludf.DUMMYFUNCTION("""COMPUTED_VALUE"""),45549.0)</f>
        <v>45549</v>
      </c>
      <c r="C862" s="12">
        <f>IFERROR(__xludf.DUMMYFUNCTION("""COMPUTED_VALUE"""),207.0)</f>
        <v>207</v>
      </c>
      <c r="D862" s="12">
        <f>IFERROR(__xludf.DUMMYFUNCTION("""COMPUTED_VALUE"""),23.0)</f>
        <v>23</v>
      </c>
      <c r="E862" s="12">
        <f>IFERROR(__xludf.DUMMYFUNCTION("""COMPUTED_VALUE"""),2.0)</f>
        <v>2</v>
      </c>
      <c r="F862" s="12">
        <f>IFERROR(__xludf.DUMMYFUNCTION("""COMPUTED_VALUE"""),4.0)</f>
        <v>4</v>
      </c>
      <c r="G862" s="15" t="str">
        <f>IFERROR(__xludf.DUMMYFUNCTION("""COMPUTED_VALUE"""),"Completa")</f>
        <v>Completa</v>
      </c>
      <c r="H862" s="16" t="str">
        <f t="array" ref="H862">_xlfn.XLOOKUP(D862,Productos[ID_Producto],Productos[Nombre_Producto])</f>
        <v>Papas fritas</v>
      </c>
      <c r="I862" s="17">
        <f t="array" ref="I862">_xlfn.XLOOKUP(D862,Productos[ID_Producto],Productos[Precio_Unitario])</f>
        <v>8.23</v>
      </c>
      <c r="J862" s="17">
        <f t="shared" si="1"/>
        <v>16.46</v>
      </c>
      <c r="K862" s="16" t="str">
        <f t="array" ref="K862">_xlfn.XLOOKUP(C862,Clientes[ID_Cliente],Clientes[Provincia])</f>
        <v>Buenos Aires</v>
      </c>
      <c r="L862" s="16" t="str">
        <f t="array" ref="L862">CONCATENATE(_xlfn.XLOOKUP(C862,Clientes[ID_Cliente],Clientes[Provincia]),", Argentina")</f>
        <v>Buenos Aires, Argentina</v>
      </c>
      <c r="M862" s="20" t="str">
        <f t="array" ref="M862">_xlfn.XLOOKUP(F862,Metodos_De_Pago[ID_Metodo],Metodos_De_Pago[Metodo])</f>
        <v>Mercado Pago</v>
      </c>
      <c r="N862" s="20" t="str">
        <f t="shared" si="2"/>
        <v>2024 09</v>
      </c>
    </row>
    <row r="863" ht="22.5" customHeight="1">
      <c r="A863" s="12">
        <f>IFERROR(__xludf.DUMMYFUNCTION("""COMPUTED_VALUE"""),2992.0)</f>
        <v>2992</v>
      </c>
      <c r="B863" s="13">
        <f>IFERROR(__xludf.DUMMYFUNCTION("""COMPUTED_VALUE"""),45549.0)</f>
        <v>45549</v>
      </c>
      <c r="C863" s="12">
        <f>IFERROR(__xludf.DUMMYFUNCTION("""COMPUTED_VALUE"""),311.0)</f>
        <v>311</v>
      </c>
      <c r="D863" s="12">
        <f>IFERROR(__xludf.DUMMYFUNCTION("""COMPUTED_VALUE"""),30.0)</f>
        <v>30</v>
      </c>
      <c r="E863" s="12">
        <f>IFERROR(__xludf.DUMMYFUNCTION("""COMPUTED_VALUE"""),2.0)</f>
        <v>2</v>
      </c>
      <c r="F863" s="12">
        <f>IFERROR(__xludf.DUMMYFUNCTION("""COMPUTED_VALUE"""),4.0)</f>
        <v>4</v>
      </c>
      <c r="G863" s="15" t="str">
        <f>IFERROR(__xludf.DUMMYFUNCTION("""COMPUTED_VALUE"""),"Completa")</f>
        <v>Completa</v>
      </c>
      <c r="H863" s="16" t="str">
        <f t="array" ref="H863">_xlfn.XLOOKUP(D863,Productos[ID_Producto],Productos[Nombre_Producto])</f>
        <v>Vino tinto</v>
      </c>
      <c r="I863" s="17">
        <f t="array" ref="I863">_xlfn.XLOOKUP(D863,Productos[ID_Producto],Productos[Precio_Unitario])</f>
        <v>13.54</v>
      </c>
      <c r="J863" s="17">
        <f t="shared" si="1"/>
        <v>27.08</v>
      </c>
      <c r="K863" s="16" t="str">
        <f t="array" ref="K863">_xlfn.XLOOKUP(C863,Clientes[ID_Cliente],Clientes[Provincia])</f>
        <v>Buenos Aires</v>
      </c>
      <c r="L863" s="16" t="str">
        <f t="array" ref="L863">CONCATENATE(_xlfn.XLOOKUP(C863,Clientes[ID_Cliente],Clientes[Provincia]),", Argentina")</f>
        <v>Buenos Aires, Argentina</v>
      </c>
      <c r="M863" s="20" t="str">
        <f t="array" ref="M863">_xlfn.XLOOKUP(F863,Metodos_De_Pago[ID_Metodo],Metodos_De_Pago[Metodo])</f>
        <v>Mercado Pago</v>
      </c>
      <c r="N863" s="20" t="str">
        <f t="shared" si="2"/>
        <v>2024 09</v>
      </c>
    </row>
    <row r="864" ht="22.5" customHeight="1">
      <c r="A864" s="12">
        <f>IFERROR(__xludf.DUMMYFUNCTION("""COMPUTED_VALUE"""),26.0)</f>
        <v>26</v>
      </c>
      <c r="B864" s="13">
        <f>IFERROR(__xludf.DUMMYFUNCTION("""COMPUTED_VALUE"""),45551.0)</f>
        <v>45551</v>
      </c>
      <c r="C864" s="12">
        <f>IFERROR(__xludf.DUMMYFUNCTION("""COMPUTED_VALUE"""),286.0)</f>
        <v>286</v>
      </c>
      <c r="D864" s="12">
        <f>IFERROR(__xludf.DUMMYFUNCTION("""COMPUTED_VALUE"""),23.0)</f>
        <v>23</v>
      </c>
      <c r="E864" s="12">
        <f>IFERROR(__xludf.DUMMYFUNCTION("""COMPUTED_VALUE"""),2.0)</f>
        <v>2</v>
      </c>
      <c r="F864" s="12">
        <f>IFERROR(__xludf.DUMMYFUNCTION("""COMPUTED_VALUE"""),5.0)</f>
        <v>5</v>
      </c>
      <c r="G864" s="15" t="str">
        <f>IFERROR(__xludf.DUMMYFUNCTION("""COMPUTED_VALUE"""),"Completa")</f>
        <v>Completa</v>
      </c>
      <c r="H864" s="16" t="str">
        <f t="array" ref="H864">_xlfn.XLOOKUP(D864,Productos[ID_Producto],Productos[Nombre_Producto])</f>
        <v>Papas fritas</v>
      </c>
      <c r="I864" s="17">
        <f t="array" ref="I864">_xlfn.XLOOKUP(D864,Productos[ID_Producto],Productos[Precio_Unitario])</f>
        <v>8.23</v>
      </c>
      <c r="J864" s="17">
        <f t="shared" si="1"/>
        <v>16.46</v>
      </c>
      <c r="K864" s="16" t="str">
        <f t="array" ref="K864">_xlfn.XLOOKUP(C864,Clientes[ID_Cliente],Clientes[Provincia])</f>
        <v>Córdoba</v>
      </c>
      <c r="L864" s="16" t="str">
        <f t="array" ref="L864">CONCATENATE(_xlfn.XLOOKUP(C864,Clientes[ID_Cliente],Clientes[Provincia]),", Argentina")</f>
        <v>Córdoba, Argentina</v>
      </c>
      <c r="M864" s="20" t="str">
        <f t="array" ref="M864">_xlfn.XLOOKUP(F864,Metodos_De_Pago[ID_Metodo],Metodos_De_Pago[Metodo])</f>
        <v>Transferencia</v>
      </c>
      <c r="N864" s="20" t="str">
        <f t="shared" si="2"/>
        <v>2024 09</v>
      </c>
    </row>
    <row r="865" ht="22.5" customHeight="1">
      <c r="A865" s="12">
        <f>IFERROR(__xludf.DUMMYFUNCTION("""COMPUTED_VALUE"""),2667.0)</f>
        <v>2667</v>
      </c>
      <c r="B865" s="13">
        <f>IFERROR(__xludf.DUMMYFUNCTION("""COMPUTED_VALUE"""),45551.0)</f>
        <v>45551</v>
      </c>
      <c r="C865" s="12">
        <f>IFERROR(__xludf.DUMMYFUNCTION("""COMPUTED_VALUE"""),315.0)</f>
        <v>315</v>
      </c>
      <c r="D865" s="12">
        <f>IFERROR(__xludf.DUMMYFUNCTION("""COMPUTED_VALUE"""),26.0)</f>
        <v>26</v>
      </c>
      <c r="E865" s="12">
        <f>IFERROR(__xludf.DUMMYFUNCTION("""COMPUTED_VALUE"""),2.0)</f>
        <v>2</v>
      </c>
      <c r="F865" s="12">
        <f>IFERROR(__xludf.DUMMYFUNCTION("""COMPUTED_VALUE"""),5.0)</f>
        <v>5</v>
      </c>
      <c r="G865" s="15" t="str">
        <f>IFERROR(__xludf.DUMMYFUNCTION("""COMPUTED_VALUE"""),"Pendiente")</f>
        <v>Pendiente</v>
      </c>
      <c r="H865" s="16" t="str">
        <f t="array" ref="H865">_xlfn.XLOOKUP(D865,Productos[ID_Producto],Productos[Nombre_Producto])</f>
        <v>Hamburgesas congeladas</v>
      </c>
      <c r="I865" s="17">
        <f t="array" ref="I865">_xlfn.XLOOKUP(D865,Productos[ID_Producto],Productos[Precio_Unitario])</f>
        <v>9.54</v>
      </c>
      <c r="J865" s="17">
        <f t="shared" si="1"/>
        <v>19.08</v>
      </c>
      <c r="K865" s="16" t="str">
        <f t="array" ref="K865">_xlfn.XLOOKUP(C865,Clientes[ID_Cliente],Clientes[Provincia])</f>
        <v>Buenos Aires</v>
      </c>
      <c r="L865" s="16" t="str">
        <f t="array" ref="L865">CONCATENATE(_xlfn.XLOOKUP(C865,Clientes[ID_Cliente],Clientes[Provincia]),", Argentina")</f>
        <v>Buenos Aires, Argentina</v>
      </c>
      <c r="M865" s="20" t="str">
        <f t="array" ref="M865">_xlfn.XLOOKUP(F865,Metodos_De_Pago[ID_Metodo],Metodos_De_Pago[Metodo])</f>
        <v>Transferencia</v>
      </c>
      <c r="N865" s="20" t="str">
        <f t="shared" si="2"/>
        <v>2024 09</v>
      </c>
    </row>
    <row r="866" ht="22.5" customHeight="1">
      <c r="A866" s="12">
        <f>IFERROR(__xludf.DUMMYFUNCTION("""COMPUTED_VALUE"""),1306.0)</f>
        <v>1306</v>
      </c>
      <c r="B866" s="13">
        <f>IFERROR(__xludf.DUMMYFUNCTION("""COMPUTED_VALUE"""),45552.0)</f>
        <v>45552</v>
      </c>
      <c r="C866" s="12">
        <f>IFERROR(__xludf.DUMMYFUNCTION("""COMPUTED_VALUE"""),168.0)</f>
        <v>168</v>
      </c>
      <c r="D866" s="12">
        <f>IFERROR(__xludf.DUMMYFUNCTION("""COMPUTED_VALUE"""),23.0)</f>
        <v>23</v>
      </c>
      <c r="E866" s="12">
        <f>IFERROR(__xludf.DUMMYFUNCTION("""COMPUTED_VALUE"""),2.0)</f>
        <v>2</v>
      </c>
      <c r="F866" s="12">
        <f>IFERROR(__xludf.DUMMYFUNCTION("""COMPUTED_VALUE"""),5.0)</f>
        <v>5</v>
      </c>
      <c r="G866" s="15" t="str">
        <f>IFERROR(__xludf.DUMMYFUNCTION("""COMPUTED_VALUE"""),"Completa")</f>
        <v>Completa</v>
      </c>
      <c r="H866" s="16" t="str">
        <f t="array" ref="H866">_xlfn.XLOOKUP(D866,Productos[ID_Producto],Productos[Nombre_Producto])</f>
        <v>Papas fritas</v>
      </c>
      <c r="I866" s="17">
        <f t="array" ref="I866">_xlfn.XLOOKUP(D866,Productos[ID_Producto],Productos[Precio_Unitario])</f>
        <v>8.23</v>
      </c>
      <c r="J866" s="17">
        <f t="shared" si="1"/>
        <v>16.46</v>
      </c>
      <c r="K866" s="16" t="str">
        <f t="array" ref="K866">_xlfn.XLOOKUP(C866,Clientes[ID_Cliente],Clientes[Provincia])</f>
        <v>Córdoba</v>
      </c>
      <c r="L866" s="16" t="str">
        <f t="array" ref="L866">CONCATENATE(_xlfn.XLOOKUP(C866,Clientes[ID_Cliente],Clientes[Provincia]),", Argentina")</f>
        <v>Córdoba, Argentina</v>
      </c>
      <c r="M866" s="20" t="str">
        <f t="array" ref="M866">_xlfn.XLOOKUP(F866,Metodos_De_Pago[ID_Metodo],Metodos_De_Pago[Metodo])</f>
        <v>Transferencia</v>
      </c>
      <c r="N866" s="20" t="str">
        <f t="shared" si="2"/>
        <v>2024 09</v>
      </c>
    </row>
    <row r="867" ht="22.5" customHeight="1">
      <c r="A867" s="12">
        <f>IFERROR(__xludf.DUMMYFUNCTION("""COMPUTED_VALUE"""),1382.0)</f>
        <v>1382</v>
      </c>
      <c r="B867" s="13">
        <f>IFERROR(__xludf.DUMMYFUNCTION("""COMPUTED_VALUE"""),45553.0)</f>
        <v>45553</v>
      </c>
      <c r="C867" s="12">
        <f>IFERROR(__xludf.DUMMYFUNCTION("""COMPUTED_VALUE"""),318.0)</f>
        <v>318</v>
      </c>
      <c r="D867" s="12">
        <f>IFERROR(__xludf.DUMMYFUNCTION("""COMPUTED_VALUE"""),23.0)</f>
        <v>23</v>
      </c>
      <c r="E867" s="12">
        <f>IFERROR(__xludf.DUMMYFUNCTION("""COMPUTED_VALUE"""),2.0)</f>
        <v>2</v>
      </c>
      <c r="F867" s="12">
        <f>IFERROR(__xludf.DUMMYFUNCTION("""COMPUTED_VALUE"""),1.0)</f>
        <v>1</v>
      </c>
      <c r="G867" s="15" t="str">
        <f>IFERROR(__xludf.DUMMYFUNCTION("""COMPUTED_VALUE"""),"Pendiente")</f>
        <v>Pendiente</v>
      </c>
      <c r="H867" s="16" t="str">
        <f t="array" ref="H867">_xlfn.XLOOKUP(D867,Productos[ID_Producto],Productos[Nombre_Producto])</f>
        <v>Papas fritas</v>
      </c>
      <c r="I867" s="17">
        <f t="array" ref="I867">_xlfn.XLOOKUP(D867,Productos[ID_Producto],Productos[Precio_Unitario])</f>
        <v>8.23</v>
      </c>
      <c r="J867" s="17">
        <f t="shared" si="1"/>
        <v>16.46</v>
      </c>
      <c r="K867" s="16" t="str">
        <f t="array" ref="K867">_xlfn.XLOOKUP(C867,Clientes[ID_Cliente],Clientes[Provincia])</f>
        <v>Buenos Aires</v>
      </c>
      <c r="L867" s="16" t="str">
        <f t="array" ref="L867">CONCATENATE(_xlfn.XLOOKUP(C867,Clientes[ID_Cliente],Clientes[Provincia]),", Argentina")</f>
        <v>Buenos Aires, Argentina</v>
      </c>
      <c r="M867" s="20" t="str">
        <f t="array" ref="M867">_xlfn.XLOOKUP(F867,Metodos_De_Pago[ID_Metodo],Metodos_De_Pago[Metodo])</f>
        <v>Efectivo</v>
      </c>
      <c r="N867" s="20" t="str">
        <f t="shared" si="2"/>
        <v>2024 09</v>
      </c>
    </row>
    <row r="868" ht="22.5" customHeight="1">
      <c r="A868" s="12">
        <f>IFERROR(__xludf.DUMMYFUNCTION("""COMPUTED_VALUE"""),2793.0)</f>
        <v>2793</v>
      </c>
      <c r="B868" s="13">
        <f>IFERROR(__xludf.DUMMYFUNCTION("""COMPUTED_VALUE"""),45553.0)</f>
        <v>45553</v>
      </c>
      <c r="C868" s="12">
        <f>IFERROR(__xludf.DUMMYFUNCTION("""COMPUTED_VALUE"""),205.0)</f>
        <v>205</v>
      </c>
      <c r="D868" s="12">
        <f>IFERROR(__xludf.DUMMYFUNCTION("""COMPUTED_VALUE"""),16.0)</f>
        <v>16</v>
      </c>
      <c r="E868" s="12">
        <f>IFERROR(__xludf.DUMMYFUNCTION("""COMPUTED_VALUE"""),2.0)</f>
        <v>2</v>
      </c>
      <c r="F868" s="12">
        <f>IFERROR(__xludf.DUMMYFUNCTION("""COMPUTED_VALUE"""),5.0)</f>
        <v>5</v>
      </c>
      <c r="G868" s="15" t="str">
        <f>IFERROR(__xludf.DUMMYFUNCTION("""COMPUTED_VALUE"""),"Pendiente")</f>
        <v>Pendiente</v>
      </c>
      <c r="H868" s="16" t="str">
        <f t="array" ref="H868">_xlfn.XLOOKUP(D868,Productos[ID_Producto],Productos[Nombre_Producto])</f>
        <v>Tortas</v>
      </c>
      <c r="I868" s="17">
        <f t="array" ref="I868">_xlfn.XLOOKUP(D868,Productos[ID_Producto],Productos[Precio_Unitario])</f>
        <v>15.23</v>
      </c>
      <c r="J868" s="17">
        <f t="shared" si="1"/>
        <v>30.46</v>
      </c>
      <c r="K868" s="16" t="str">
        <f t="array" ref="K868">_xlfn.XLOOKUP(C868,Clientes[ID_Cliente],Clientes[Provincia])</f>
        <v>Neuquén</v>
      </c>
      <c r="L868" s="16" t="str">
        <f t="array" ref="L868">CONCATENATE(_xlfn.XLOOKUP(C868,Clientes[ID_Cliente],Clientes[Provincia]),", Argentina")</f>
        <v>Neuquén, Argentina</v>
      </c>
      <c r="M868" s="20" t="str">
        <f t="array" ref="M868">_xlfn.XLOOKUP(F868,Metodos_De_Pago[ID_Metodo],Metodos_De_Pago[Metodo])</f>
        <v>Transferencia</v>
      </c>
      <c r="N868" s="20" t="str">
        <f t="shared" si="2"/>
        <v>2024 09</v>
      </c>
    </row>
    <row r="869" ht="22.5" customHeight="1">
      <c r="A869" s="12">
        <f>IFERROR(__xludf.DUMMYFUNCTION("""COMPUTED_VALUE"""),892.0)</f>
        <v>892</v>
      </c>
      <c r="B869" s="13">
        <f>IFERROR(__xludf.DUMMYFUNCTION("""COMPUTED_VALUE"""),45554.0)</f>
        <v>45554</v>
      </c>
      <c r="C869" s="12">
        <f>IFERROR(__xludf.DUMMYFUNCTION("""COMPUTED_VALUE"""),214.0)</f>
        <v>214</v>
      </c>
      <c r="D869" s="12">
        <f>IFERROR(__xludf.DUMMYFUNCTION("""COMPUTED_VALUE"""),37.0)</f>
        <v>37</v>
      </c>
      <c r="E869" s="12">
        <f>IFERROR(__xludf.DUMMYFUNCTION("""COMPUTED_VALUE"""),2.0)</f>
        <v>2</v>
      </c>
      <c r="F869" s="12">
        <f>IFERROR(__xludf.DUMMYFUNCTION("""COMPUTED_VALUE"""),5.0)</f>
        <v>5</v>
      </c>
      <c r="G869" s="15" t="str">
        <f>IFERROR(__xludf.DUMMYFUNCTION("""COMPUTED_VALUE"""),"Completa")</f>
        <v>Completa</v>
      </c>
      <c r="H869" s="16" t="str">
        <f t="array" ref="H869">_xlfn.XLOOKUP(D869,Productos[ID_Producto],Productos[Nombre_Producto])</f>
        <v>Garbanzos</v>
      </c>
      <c r="I869" s="17">
        <f t="array" ref="I869">_xlfn.XLOOKUP(D869,Productos[ID_Producto],Productos[Precio_Unitario])</f>
        <v>3.65</v>
      </c>
      <c r="J869" s="17">
        <f t="shared" si="1"/>
        <v>7.3</v>
      </c>
      <c r="K869" s="16" t="str">
        <f t="array" ref="K869">_xlfn.XLOOKUP(C869,Clientes[ID_Cliente],Clientes[Provincia])</f>
        <v>Neuquén</v>
      </c>
      <c r="L869" s="16" t="str">
        <f t="array" ref="L869">CONCATENATE(_xlfn.XLOOKUP(C869,Clientes[ID_Cliente],Clientes[Provincia]),", Argentina")</f>
        <v>Neuquén, Argentina</v>
      </c>
      <c r="M869" s="20" t="str">
        <f t="array" ref="M869">_xlfn.XLOOKUP(F869,Metodos_De_Pago[ID_Metodo],Metodos_De_Pago[Metodo])</f>
        <v>Transferencia</v>
      </c>
      <c r="N869" s="20" t="str">
        <f t="shared" si="2"/>
        <v>2024 09</v>
      </c>
    </row>
    <row r="870" ht="22.5" customHeight="1">
      <c r="A870" s="12">
        <f>IFERROR(__xludf.DUMMYFUNCTION("""COMPUTED_VALUE"""),2988.0)</f>
        <v>2988</v>
      </c>
      <c r="B870" s="13">
        <f>IFERROR(__xludf.DUMMYFUNCTION("""COMPUTED_VALUE"""),45554.0)</f>
        <v>45554</v>
      </c>
      <c r="C870" s="12">
        <f>IFERROR(__xludf.DUMMYFUNCTION("""COMPUTED_VALUE"""),152.0)</f>
        <v>152</v>
      </c>
      <c r="D870" s="12">
        <f>IFERROR(__xludf.DUMMYFUNCTION("""COMPUTED_VALUE"""),30.0)</f>
        <v>30</v>
      </c>
      <c r="E870" s="12">
        <f>IFERROR(__xludf.DUMMYFUNCTION("""COMPUTED_VALUE"""),2.0)</f>
        <v>2</v>
      </c>
      <c r="F870" s="12">
        <f>IFERROR(__xludf.DUMMYFUNCTION("""COMPUTED_VALUE"""),1.0)</f>
        <v>1</v>
      </c>
      <c r="G870" s="15" t="str">
        <f>IFERROR(__xludf.DUMMYFUNCTION("""COMPUTED_VALUE"""),"Completa")</f>
        <v>Completa</v>
      </c>
      <c r="H870" s="16" t="str">
        <f t="array" ref="H870">_xlfn.XLOOKUP(D870,Productos[ID_Producto],Productos[Nombre_Producto])</f>
        <v>Vino tinto</v>
      </c>
      <c r="I870" s="17">
        <f t="array" ref="I870">_xlfn.XLOOKUP(D870,Productos[ID_Producto],Productos[Precio_Unitario])</f>
        <v>13.54</v>
      </c>
      <c r="J870" s="17">
        <f t="shared" si="1"/>
        <v>27.08</v>
      </c>
      <c r="K870" s="16" t="str">
        <f t="array" ref="K870">_xlfn.XLOOKUP(C870,Clientes[ID_Cliente],Clientes[Provincia])</f>
        <v>Salta</v>
      </c>
      <c r="L870" s="16" t="str">
        <f t="array" ref="L870">CONCATENATE(_xlfn.XLOOKUP(C870,Clientes[ID_Cliente],Clientes[Provincia]),", Argentina")</f>
        <v>Salta, Argentina</v>
      </c>
      <c r="M870" s="20" t="str">
        <f t="array" ref="M870">_xlfn.XLOOKUP(F870,Metodos_De_Pago[ID_Metodo],Metodos_De_Pago[Metodo])</f>
        <v>Efectivo</v>
      </c>
      <c r="N870" s="20" t="str">
        <f t="shared" si="2"/>
        <v>2024 09</v>
      </c>
    </row>
    <row r="871" ht="22.5" customHeight="1">
      <c r="A871" s="12">
        <f>IFERROR(__xludf.DUMMYFUNCTION("""COMPUTED_VALUE"""),1495.0)</f>
        <v>1495</v>
      </c>
      <c r="B871" s="13">
        <f>IFERROR(__xludf.DUMMYFUNCTION("""COMPUTED_VALUE"""),45555.0)</f>
        <v>45555</v>
      </c>
      <c r="C871" s="12">
        <f>IFERROR(__xludf.DUMMYFUNCTION("""COMPUTED_VALUE"""),142.0)</f>
        <v>142</v>
      </c>
      <c r="D871" s="12">
        <f>IFERROR(__xludf.DUMMYFUNCTION("""COMPUTED_VALUE"""),18.0)</f>
        <v>18</v>
      </c>
      <c r="E871" s="12">
        <f>IFERROR(__xludf.DUMMYFUNCTION("""COMPUTED_VALUE"""),2.0)</f>
        <v>2</v>
      </c>
      <c r="F871" s="12">
        <f>IFERROR(__xludf.DUMMYFUNCTION("""COMPUTED_VALUE"""),3.0)</f>
        <v>3</v>
      </c>
      <c r="G871" s="15" t="str">
        <f>IFERROR(__xludf.DUMMYFUNCTION("""COMPUTED_VALUE"""),"Completa")</f>
        <v>Completa</v>
      </c>
      <c r="H871" s="16" t="str">
        <f t="array" ref="H871">_xlfn.XLOOKUP(D871,Productos[ID_Producto],Productos[Nombre_Producto])</f>
        <v>Bananas</v>
      </c>
      <c r="I871" s="17">
        <f t="array" ref="I871">_xlfn.XLOOKUP(D871,Productos[ID_Producto],Productos[Precio_Unitario])</f>
        <v>7.25</v>
      </c>
      <c r="J871" s="17">
        <f t="shared" si="1"/>
        <v>14.5</v>
      </c>
      <c r="K871" s="16" t="str">
        <f t="array" ref="K871">_xlfn.XLOOKUP(C871,Clientes[ID_Cliente],Clientes[Provincia])</f>
        <v>San Luis</v>
      </c>
      <c r="L871" s="16" t="str">
        <f t="array" ref="L871">CONCATENATE(_xlfn.XLOOKUP(C871,Clientes[ID_Cliente],Clientes[Provincia]),", Argentina")</f>
        <v>San Luis, Argentina</v>
      </c>
      <c r="M871" s="20" t="str">
        <f t="array" ref="M871">_xlfn.XLOOKUP(F871,Metodos_De_Pago[ID_Metodo],Metodos_De_Pago[Metodo])</f>
        <v>Tarjeta de Débito</v>
      </c>
      <c r="N871" s="20" t="str">
        <f t="shared" si="2"/>
        <v>2024 09</v>
      </c>
    </row>
    <row r="872" ht="22.5" customHeight="1">
      <c r="A872" s="12">
        <f>IFERROR(__xludf.DUMMYFUNCTION("""COMPUTED_VALUE"""),2508.0)</f>
        <v>2508</v>
      </c>
      <c r="B872" s="13">
        <f>IFERROR(__xludf.DUMMYFUNCTION("""COMPUTED_VALUE"""),45555.0)</f>
        <v>45555</v>
      </c>
      <c r="C872" s="12">
        <f>IFERROR(__xludf.DUMMYFUNCTION("""COMPUTED_VALUE"""),225.0)</f>
        <v>225</v>
      </c>
      <c r="D872" s="12">
        <f>IFERROR(__xludf.DUMMYFUNCTION("""COMPUTED_VALUE"""),31.0)</f>
        <v>31</v>
      </c>
      <c r="E872" s="12">
        <f>IFERROR(__xludf.DUMMYFUNCTION("""COMPUTED_VALUE"""),2.0)</f>
        <v>2</v>
      </c>
      <c r="F872" s="12">
        <f>IFERROR(__xludf.DUMMYFUNCTION("""COMPUTED_VALUE"""),5.0)</f>
        <v>5</v>
      </c>
      <c r="G872" s="15" t="str">
        <f>IFERROR(__xludf.DUMMYFUNCTION("""COMPUTED_VALUE"""),"Completa")</f>
        <v>Completa</v>
      </c>
      <c r="H872" s="16" t="str">
        <f t="array" ref="H872">_xlfn.XLOOKUP(D872,Productos[ID_Producto],Productos[Nombre_Producto])</f>
        <v>Galletitas de agua</v>
      </c>
      <c r="I872" s="17">
        <f t="array" ref="I872">_xlfn.XLOOKUP(D872,Productos[ID_Producto],Productos[Precio_Unitario])</f>
        <v>5.24</v>
      </c>
      <c r="J872" s="17">
        <f t="shared" si="1"/>
        <v>10.48</v>
      </c>
      <c r="K872" s="16" t="str">
        <f t="array" ref="K872">_xlfn.XLOOKUP(C872,Clientes[ID_Cliente],Clientes[Provincia])</f>
        <v>Buenos Aires</v>
      </c>
      <c r="L872" s="16" t="str">
        <f t="array" ref="L872">CONCATENATE(_xlfn.XLOOKUP(C872,Clientes[ID_Cliente],Clientes[Provincia]),", Argentina")</f>
        <v>Buenos Aires, Argentina</v>
      </c>
      <c r="M872" s="20" t="str">
        <f t="array" ref="M872">_xlfn.XLOOKUP(F872,Metodos_De_Pago[ID_Metodo],Metodos_De_Pago[Metodo])</f>
        <v>Transferencia</v>
      </c>
      <c r="N872" s="20" t="str">
        <f t="shared" si="2"/>
        <v>2024 09</v>
      </c>
    </row>
    <row r="873" ht="22.5" customHeight="1">
      <c r="A873" s="12">
        <f>IFERROR(__xludf.DUMMYFUNCTION("""COMPUTED_VALUE"""),1265.0)</f>
        <v>1265</v>
      </c>
      <c r="B873" s="13">
        <f>IFERROR(__xludf.DUMMYFUNCTION("""COMPUTED_VALUE"""),45556.0)</f>
        <v>45556</v>
      </c>
      <c r="C873" s="12">
        <f>IFERROR(__xludf.DUMMYFUNCTION("""COMPUTED_VALUE"""),94.0)</f>
        <v>94</v>
      </c>
      <c r="D873" s="12">
        <f>IFERROR(__xludf.DUMMYFUNCTION("""COMPUTED_VALUE"""),6.0)</f>
        <v>6</v>
      </c>
      <c r="E873" s="12">
        <f>IFERROR(__xludf.DUMMYFUNCTION("""COMPUTED_VALUE"""),2.0)</f>
        <v>2</v>
      </c>
      <c r="F873" s="12">
        <f>IFERROR(__xludf.DUMMYFUNCTION("""COMPUTED_VALUE"""),3.0)</f>
        <v>3</v>
      </c>
      <c r="G873" s="15" t="str">
        <f>IFERROR(__xludf.DUMMYFUNCTION("""COMPUTED_VALUE"""),"Completa")</f>
        <v>Completa</v>
      </c>
      <c r="H873" s="16" t="str">
        <f t="array" ref="H873">_xlfn.XLOOKUP(D873,Productos[ID_Producto],Productos[Nombre_Producto])</f>
        <v>Asado</v>
      </c>
      <c r="I873" s="17">
        <f t="array" ref="I873">_xlfn.XLOOKUP(D873,Productos[ID_Producto],Productos[Precio_Unitario])</f>
        <v>28.56</v>
      </c>
      <c r="J873" s="17">
        <f t="shared" si="1"/>
        <v>57.12</v>
      </c>
      <c r="K873" s="16" t="str">
        <f t="array" ref="K873">_xlfn.XLOOKUP(C873,Clientes[ID_Cliente],Clientes[Provincia])</f>
        <v>Córdoba</v>
      </c>
      <c r="L873" s="16" t="str">
        <f t="array" ref="L873">CONCATENATE(_xlfn.XLOOKUP(C873,Clientes[ID_Cliente],Clientes[Provincia]),", Argentina")</f>
        <v>Córdoba, Argentina</v>
      </c>
      <c r="M873" s="20" t="str">
        <f t="array" ref="M873">_xlfn.XLOOKUP(F873,Metodos_De_Pago[ID_Metodo],Metodos_De_Pago[Metodo])</f>
        <v>Tarjeta de Débito</v>
      </c>
      <c r="N873" s="20" t="str">
        <f t="shared" si="2"/>
        <v>2024 09</v>
      </c>
    </row>
    <row r="874" ht="22.5" customHeight="1">
      <c r="A874" s="12">
        <f>IFERROR(__xludf.DUMMYFUNCTION("""COMPUTED_VALUE"""),2673.0)</f>
        <v>2673</v>
      </c>
      <c r="B874" s="13">
        <f>IFERROR(__xludf.DUMMYFUNCTION("""COMPUTED_VALUE"""),45556.0)</f>
        <v>45556</v>
      </c>
      <c r="C874" s="12">
        <f>IFERROR(__xludf.DUMMYFUNCTION("""COMPUTED_VALUE"""),44.0)</f>
        <v>44</v>
      </c>
      <c r="D874" s="12">
        <f>IFERROR(__xludf.DUMMYFUNCTION("""COMPUTED_VALUE"""),33.0)</f>
        <v>33</v>
      </c>
      <c r="E874" s="12">
        <f>IFERROR(__xludf.DUMMYFUNCTION("""COMPUTED_VALUE"""),2.0)</f>
        <v>2</v>
      </c>
      <c r="F874" s="12">
        <f>IFERROR(__xludf.DUMMYFUNCTION("""COMPUTED_VALUE"""),2.0)</f>
        <v>2</v>
      </c>
      <c r="G874" s="15" t="str">
        <f>IFERROR(__xludf.DUMMYFUNCTION("""COMPUTED_VALUE"""),"Completa")</f>
        <v>Completa</v>
      </c>
      <c r="H874" s="16" t="str">
        <f t="array" ref="H874">_xlfn.XLOOKUP(D874,Productos[ID_Producto],Productos[Nombre_Producto])</f>
        <v>Papas chips</v>
      </c>
      <c r="I874" s="17">
        <f t="array" ref="I874">_xlfn.XLOOKUP(D874,Productos[ID_Producto],Productos[Precio_Unitario])</f>
        <v>8.54</v>
      </c>
      <c r="J874" s="17">
        <f t="shared" si="1"/>
        <v>17.08</v>
      </c>
      <c r="K874" s="16" t="str">
        <f t="array" ref="K874">_xlfn.XLOOKUP(C874,Clientes[ID_Cliente],Clientes[Provincia])</f>
        <v>Buenos Aires</v>
      </c>
      <c r="L874" s="16" t="str">
        <f t="array" ref="L874">CONCATENATE(_xlfn.XLOOKUP(C874,Clientes[ID_Cliente],Clientes[Provincia]),", Argentina")</f>
        <v>Buenos Aires, Argentina</v>
      </c>
      <c r="M874" s="20" t="str">
        <f t="array" ref="M874">_xlfn.XLOOKUP(F874,Metodos_De_Pago[ID_Metodo],Metodos_De_Pago[Metodo])</f>
        <v>Tarjeta de Crédito</v>
      </c>
      <c r="N874" s="20" t="str">
        <f t="shared" si="2"/>
        <v>2024 09</v>
      </c>
    </row>
    <row r="875" ht="22.5" customHeight="1">
      <c r="A875" s="12">
        <f>IFERROR(__xludf.DUMMYFUNCTION("""COMPUTED_VALUE"""),855.0)</f>
        <v>855</v>
      </c>
      <c r="B875" s="13">
        <f>IFERROR(__xludf.DUMMYFUNCTION("""COMPUTED_VALUE"""),45557.0)</f>
        <v>45557</v>
      </c>
      <c r="C875" s="12">
        <f>IFERROR(__xludf.DUMMYFUNCTION("""COMPUTED_VALUE"""),35.0)</f>
        <v>35</v>
      </c>
      <c r="D875" s="12">
        <f>IFERROR(__xludf.DUMMYFUNCTION("""COMPUTED_VALUE"""),8.0)</f>
        <v>8</v>
      </c>
      <c r="E875" s="12">
        <f>IFERROR(__xludf.DUMMYFUNCTION("""COMPUTED_VALUE"""),2.0)</f>
        <v>2</v>
      </c>
      <c r="F875" s="12">
        <f>IFERROR(__xludf.DUMMYFUNCTION("""COMPUTED_VALUE"""),3.0)</f>
        <v>3</v>
      </c>
      <c r="G875" s="15" t="str">
        <f>IFERROR(__xludf.DUMMYFUNCTION("""COMPUTED_VALUE"""),"Completa")</f>
        <v>Completa</v>
      </c>
      <c r="H875" s="16" t="str">
        <f t="array" ref="H875">_xlfn.XLOOKUP(D875,Productos[ID_Producto],Productos[Nombre_Producto])</f>
        <v>Milanesa</v>
      </c>
      <c r="I875" s="17">
        <f t="array" ref="I875">_xlfn.XLOOKUP(D875,Productos[ID_Producto],Productos[Precio_Unitario])</f>
        <v>16.21</v>
      </c>
      <c r="J875" s="17">
        <f t="shared" si="1"/>
        <v>32.42</v>
      </c>
      <c r="K875" s="16" t="str">
        <f t="array" ref="K875">_xlfn.XLOOKUP(C875,Clientes[ID_Cliente],Clientes[Provincia])</f>
        <v>Salta</v>
      </c>
      <c r="L875" s="16" t="str">
        <f t="array" ref="L875">CONCATENATE(_xlfn.XLOOKUP(C875,Clientes[ID_Cliente],Clientes[Provincia]),", Argentina")</f>
        <v>Salta, Argentina</v>
      </c>
      <c r="M875" s="20" t="str">
        <f t="array" ref="M875">_xlfn.XLOOKUP(F875,Metodos_De_Pago[ID_Metodo],Metodos_De_Pago[Metodo])</f>
        <v>Tarjeta de Débito</v>
      </c>
      <c r="N875" s="20" t="str">
        <f t="shared" si="2"/>
        <v>2024 09</v>
      </c>
    </row>
    <row r="876" ht="22.5" customHeight="1">
      <c r="A876" s="12">
        <f>IFERROR(__xludf.DUMMYFUNCTION("""COMPUTED_VALUE"""),2774.0)</f>
        <v>2774</v>
      </c>
      <c r="B876" s="13">
        <f>IFERROR(__xludf.DUMMYFUNCTION("""COMPUTED_VALUE"""),45557.0)</f>
        <v>45557</v>
      </c>
      <c r="C876" s="12">
        <f>IFERROR(__xludf.DUMMYFUNCTION("""COMPUTED_VALUE"""),31.0)</f>
        <v>31</v>
      </c>
      <c r="D876" s="12">
        <f>IFERROR(__xludf.DUMMYFUNCTION("""COMPUTED_VALUE"""),6.0)</f>
        <v>6</v>
      </c>
      <c r="E876" s="12">
        <f>IFERROR(__xludf.DUMMYFUNCTION("""COMPUTED_VALUE"""),2.0)</f>
        <v>2</v>
      </c>
      <c r="F876" s="12">
        <f>IFERROR(__xludf.DUMMYFUNCTION("""COMPUTED_VALUE"""),5.0)</f>
        <v>5</v>
      </c>
      <c r="G876" s="15" t="str">
        <f>IFERROR(__xludf.DUMMYFUNCTION("""COMPUTED_VALUE"""),"Pendiente")</f>
        <v>Pendiente</v>
      </c>
      <c r="H876" s="16" t="str">
        <f t="array" ref="H876">_xlfn.XLOOKUP(D876,Productos[ID_Producto],Productos[Nombre_Producto])</f>
        <v>Asado</v>
      </c>
      <c r="I876" s="17">
        <f t="array" ref="I876">_xlfn.XLOOKUP(D876,Productos[ID_Producto],Productos[Precio_Unitario])</f>
        <v>28.56</v>
      </c>
      <c r="J876" s="17">
        <f t="shared" si="1"/>
        <v>57.12</v>
      </c>
      <c r="K876" s="16" t="str">
        <f t="array" ref="K876">_xlfn.XLOOKUP(C876,Clientes[ID_Cliente],Clientes[Provincia])</f>
        <v>Córdoba</v>
      </c>
      <c r="L876" s="16" t="str">
        <f t="array" ref="L876">CONCATENATE(_xlfn.XLOOKUP(C876,Clientes[ID_Cliente],Clientes[Provincia]),", Argentina")</f>
        <v>Córdoba, Argentina</v>
      </c>
      <c r="M876" s="20" t="str">
        <f t="array" ref="M876">_xlfn.XLOOKUP(F876,Metodos_De_Pago[ID_Metodo],Metodos_De_Pago[Metodo])</f>
        <v>Transferencia</v>
      </c>
      <c r="N876" s="20" t="str">
        <f t="shared" si="2"/>
        <v>2024 09</v>
      </c>
    </row>
    <row r="877" ht="22.5" customHeight="1">
      <c r="A877" s="12">
        <f>IFERROR(__xludf.DUMMYFUNCTION("""COMPUTED_VALUE"""),2968.0)</f>
        <v>2968</v>
      </c>
      <c r="B877" s="13">
        <f>IFERROR(__xludf.DUMMYFUNCTION("""COMPUTED_VALUE"""),45557.0)</f>
        <v>45557</v>
      </c>
      <c r="C877" s="12">
        <f>IFERROR(__xludf.DUMMYFUNCTION("""COMPUTED_VALUE"""),245.0)</f>
        <v>245</v>
      </c>
      <c r="D877" s="12">
        <f>IFERROR(__xludf.DUMMYFUNCTION("""COMPUTED_VALUE"""),29.0)</f>
        <v>29</v>
      </c>
      <c r="E877" s="12">
        <f>IFERROR(__xludf.DUMMYFUNCTION("""COMPUTED_VALUE"""),2.0)</f>
        <v>2</v>
      </c>
      <c r="F877" s="12">
        <f>IFERROR(__xludf.DUMMYFUNCTION("""COMPUTED_VALUE"""),1.0)</f>
        <v>1</v>
      </c>
      <c r="G877" s="15" t="str">
        <f>IFERROR(__xludf.DUMMYFUNCTION("""COMPUTED_VALUE"""),"Completa")</f>
        <v>Completa</v>
      </c>
      <c r="H877" s="16" t="str">
        <f t="array" ref="H877">_xlfn.XLOOKUP(D877,Productos[ID_Producto],Productos[Nombre_Producto])</f>
        <v>Cerveza</v>
      </c>
      <c r="I877" s="17">
        <f t="array" ref="I877">_xlfn.XLOOKUP(D877,Productos[ID_Producto],Productos[Precio_Unitario])</f>
        <v>11.54</v>
      </c>
      <c r="J877" s="17">
        <f t="shared" si="1"/>
        <v>23.08</v>
      </c>
      <c r="K877" s="16" t="str">
        <f t="array" ref="K877">_xlfn.XLOOKUP(C877,Clientes[ID_Cliente],Clientes[Provincia])</f>
        <v>Chaco</v>
      </c>
      <c r="L877" s="16" t="str">
        <f t="array" ref="L877">CONCATENATE(_xlfn.XLOOKUP(C877,Clientes[ID_Cliente],Clientes[Provincia]),", Argentina")</f>
        <v>Chaco, Argentina</v>
      </c>
      <c r="M877" s="20" t="str">
        <f t="array" ref="M877">_xlfn.XLOOKUP(F877,Metodos_De_Pago[ID_Metodo],Metodos_De_Pago[Metodo])</f>
        <v>Efectivo</v>
      </c>
      <c r="N877" s="20" t="str">
        <f t="shared" si="2"/>
        <v>2024 09</v>
      </c>
    </row>
    <row r="878" ht="22.5" customHeight="1">
      <c r="A878" s="12">
        <f>IFERROR(__xludf.DUMMYFUNCTION("""COMPUTED_VALUE"""),2620.0)</f>
        <v>2620</v>
      </c>
      <c r="B878" s="13">
        <f>IFERROR(__xludf.DUMMYFUNCTION("""COMPUTED_VALUE"""),45558.0)</f>
        <v>45558</v>
      </c>
      <c r="C878" s="12">
        <f>IFERROR(__xludf.DUMMYFUNCTION("""COMPUTED_VALUE"""),29.0)</f>
        <v>29</v>
      </c>
      <c r="D878" s="12">
        <f>IFERROR(__xludf.DUMMYFUNCTION("""COMPUTED_VALUE"""),22.0)</f>
        <v>22</v>
      </c>
      <c r="E878" s="12">
        <f>IFERROR(__xludf.DUMMYFUNCTION("""COMPUTED_VALUE"""),2.0)</f>
        <v>2</v>
      </c>
      <c r="F878" s="12">
        <f>IFERROR(__xludf.DUMMYFUNCTION("""COMPUTED_VALUE"""),5.0)</f>
        <v>5</v>
      </c>
      <c r="G878" s="15" t="str">
        <f>IFERROR(__xludf.DUMMYFUNCTION("""COMPUTED_VALUE"""),"Completa")</f>
        <v>Completa</v>
      </c>
      <c r="H878" s="16" t="str">
        <f t="array" ref="H878">_xlfn.XLOOKUP(D878,Productos[ID_Producto],Productos[Nombre_Producto])</f>
        <v>Cebolla</v>
      </c>
      <c r="I878" s="17">
        <f t="array" ref="I878">_xlfn.XLOOKUP(D878,Productos[ID_Producto],Productos[Precio_Unitario])</f>
        <v>4.21</v>
      </c>
      <c r="J878" s="17">
        <f t="shared" si="1"/>
        <v>8.42</v>
      </c>
      <c r="K878" s="16" t="str">
        <f t="array" ref="K878">_xlfn.XLOOKUP(C878,Clientes[ID_Cliente],Clientes[Provincia])</f>
        <v>Chaco</v>
      </c>
      <c r="L878" s="16" t="str">
        <f t="array" ref="L878">CONCATENATE(_xlfn.XLOOKUP(C878,Clientes[ID_Cliente],Clientes[Provincia]),", Argentina")</f>
        <v>Chaco, Argentina</v>
      </c>
      <c r="M878" s="20" t="str">
        <f t="array" ref="M878">_xlfn.XLOOKUP(F878,Metodos_De_Pago[ID_Metodo],Metodos_De_Pago[Metodo])</f>
        <v>Transferencia</v>
      </c>
      <c r="N878" s="20" t="str">
        <f t="shared" si="2"/>
        <v>2024 09</v>
      </c>
    </row>
    <row r="879" ht="22.5" customHeight="1">
      <c r="A879" s="12">
        <f>IFERROR(__xludf.DUMMYFUNCTION("""COMPUTED_VALUE"""),368.0)</f>
        <v>368</v>
      </c>
      <c r="B879" s="13">
        <f>IFERROR(__xludf.DUMMYFUNCTION("""COMPUTED_VALUE"""),45559.0)</f>
        <v>45559</v>
      </c>
      <c r="C879" s="12">
        <f>IFERROR(__xludf.DUMMYFUNCTION("""COMPUTED_VALUE"""),276.0)</f>
        <v>276</v>
      </c>
      <c r="D879" s="12">
        <f>IFERROR(__xludf.DUMMYFUNCTION("""COMPUTED_VALUE"""),32.0)</f>
        <v>32</v>
      </c>
      <c r="E879" s="12">
        <f>IFERROR(__xludf.DUMMYFUNCTION("""COMPUTED_VALUE"""),2.0)</f>
        <v>2</v>
      </c>
      <c r="F879" s="12">
        <f>IFERROR(__xludf.DUMMYFUNCTION("""COMPUTED_VALUE"""),3.0)</f>
        <v>3</v>
      </c>
      <c r="G879" s="15" t="str">
        <f>IFERROR(__xludf.DUMMYFUNCTION("""COMPUTED_VALUE"""),"Pendiente")</f>
        <v>Pendiente</v>
      </c>
      <c r="H879" s="16" t="str">
        <f t="array" ref="H879">_xlfn.XLOOKUP(D879,Productos[ID_Producto],Productos[Nombre_Producto])</f>
        <v>Galletitas de chocolate</v>
      </c>
      <c r="I879" s="17">
        <f t="array" ref="I879">_xlfn.XLOOKUP(D879,Productos[ID_Producto],Productos[Precio_Unitario])</f>
        <v>6.25</v>
      </c>
      <c r="J879" s="17">
        <f t="shared" si="1"/>
        <v>12.5</v>
      </c>
      <c r="K879" s="16" t="str">
        <f t="array" ref="K879">_xlfn.XLOOKUP(C879,Clientes[ID_Cliente],Clientes[Provincia])</f>
        <v>Neuquén</v>
      </c>
      <c r="L879" s="16" t="str">
        <f t="array" ref="L879">CONCATENATE(_xlfn.XLOOKUP(C879,Clientes[ID_Cliente],Clientes[Provincia]),", Argentina")</f>
        <v>Neuquén, Argentina</v>
      </c>
      <c r="M879" s="20" t="str">
        <f t="array" ref="M879">_xlfn.XLOOKUP(F879,Metodos_De_Pago[ID_Metodo],Metodos_De_Pago[Metodo])</f>
        <v>Tarjeta de Débito</v>
      </c>
      <c r="N879" s="20" t="str">
        <f t="shared" si="2"/>
        <v>2024 09</v>
      </c>
    </row>
    <row r="880" ht="22.5" customHeight="1">
      <c r="A880" s="12">
        <f>IFERROR(__xludf.DUMMYFUNCTION("""COMPUTED_VALUE"""),2735.0)</f>
        <v>2735</v>
      </c>
      <c r="B880" s="13">
        <f>IFERROR(__xludf.DUMMYFUNCTION("""COMPUTED_VALUE"""),45559.0)</f>
        <v>45559</v>
      </c>
      <c r="C880" s="12">
        <f>IFERROR(__xludf.DUMMYFUNCTION("""COMPUTED_VALUE"""),3.0)</f>
        <v>3</v>
      </c>
      <c r="D880" s="12">
        <f>IFERROR(__xludf.DUMMYFUNCTION("""COMPUTED_VALUE"""),36.0)</f>
        <v>36</v>
      </c>
      <c r="E880" s="12">
        <f>IFERROR(__xludf.DUMMYFUNCTION("""COMPUTED_VALUE"""),2.0)</f>
        <v>2</v>
      </c>
      <c r="F880" s="12">
        <f>IFERROR(__xludf.DUMMYFUNCTION("""COMPUTED_VALUE"""),4.0)</f>
        <v>4</v>
      </c>
      <c r="G880" s="15" t="str">
        <f>IFERROR(__xludf.DUMMYFUNCTION("""COMPUTED_VALUE"""),"Pendiente")</f>
        <v>Pendiente</v>
      </c>
      <c r="H880" s="16" t="str">
        <f t="array" ref="H880">_xlfn.XLOOKUP(D880,Productos[ID_Producto],Productos[Nombre_Producto])</f>
        <v>Lentejas</v>
      </c>
      <c r="I880" s="17">
        <f t="array" ref="I880">_xlfn.XLOOKUP(D880,Productos[ID_Producto],Productos[Precio_Unitario])</f>
        <v>3.25</v>
      </c>
      <c r="J880" s="17">
        <f t="shared" si="1"/>
        <v>6.5</v>
      </c>
      <c r="K880" s="16" t="str">
        <f t="array" ref="K880">_xlfn.XLOOKUP(C880,Clientes[ID_Cliente],Clientes[Provincia])</f>
        <v>Neuquén</v>
      </c>
      <c r="L880" s="16" t="str">
        <f t="array" ref="L880">CONCATENATE(_xlfn.XLOOKUP(C880,Clientes[ID_Cliente],Clientes[Provincia]),", Argentina")</f>
        <v>Neuquén, Argentina</v>
      </c>
      <c r="M880" s="20" t="str">
        <f t="array" ref="M880">_xlfn.XLOOKUP(F880,Metodos_De_Pago[ID_Metodo],Metodos_De_Pago[Metodo])</f>
        <v>Mercado Pago</v>
      </c>
      <c r="N880" s="20" t="str">
        <f t="shared" si="2"/>
        <v>2024 09</v>
      </c>
    </row>
    <row r="881" ht="22.5" customHeight="1">
      <c r="A881" s="12">
        <f>IFERROR(__xludf.DUMMYFUNCTION("""COMPUTED_VALUE"""),635.0)</f>
        <v>635</v>
      </c>
      <c r="B881" s="13">
        <f>IFERROR(__xludf.DUMMYFUNCTION("""COMPUTED_VALUE"""),45560.0)</f>
        <v>45560</v>
      </c>
      <c r="C881" s="12">
        <f>IFERROR(__xludf.DUMMYFUNCTION("""COMPUTED_VALUE"""),261.0)</f>
        <v>261</v>
      </c>
      <c r="D881" s="12">
        <f>IFERROR(__xludf.DUMMYFUNCTION("""COMPUTED_VALUE"""),5.0)</f>
        <v>5</v>
      </c>
      <c r="E881" s="12">
        <f>IFERROR(__xludf.DUMMYFUNCTION("""COMPUTED_VALUE"""),2.0)</f>
        <v>2</v>
      </c>
      <c r="F881" s="12">
        <f>IFERROR(__xludf.DUMMYFUNCTION("""COMPUTED_VALUE"""),1.0)</f>
        <v>1</v>
      </c>
      <c r="G881" s="15" t="str">
        <f>IFERROR(__xludf.DUMMYFUNCTION("""COMPUTED_VALUE"""),"Completa")</f>
        <v>Completa</v>
      </c>
      <c r="H881" s="16" t="str">
        <f t="array" ref="H881">_xlfn.XLOOKUP(D881,Productos[ID_Producto],Productos[Nombre_Producto])</f>
        <v>Manteca</v>
      </c>
      <c r="I881" s="17">
        <f t="array" ref="I881">_xlfn.XLOOKUP(D881,Productos[ID_Producto],Productos[Precio_Unitario])</f>
        <v>5.65</v>
      </c>
      <c r="J881" s="17">
        <f t="shared" si="1"/>
        <v>11.3</v>
      </c>
      <c r="K881" s="16" t="str">
        <f t="array" ref="K881">_xlfn.XLOOKUP(C881,Clientes[ID_Cliente],Clientes[Provincia])</f>
        <v>Salta</v>
      </c>
      <c r="L881" s="16" t="str">
        <f t="array" ref="L881">CONCATENATE(_xlfn.XLOOKUP(C881,Clientes[ID_Cliente],Clientes[Provincia]),", Argentina")</f>
        <v>Salta, Argentina</v>
      </c>
      <c r="M881" s="20" t="str">
        <f t="array" ref="M881">_xlfn.XLOOKUP(F881,Metodos_De_Pago[ID_Metodo],Metodos_De_Pago[Metodo])</f>
        <v>Efectivo</v>
      </c>
      <c r="N881" s="20" t="str">
        <f t="shared" si="2"/>
        <v>2024 09</v>
      </c>
    </row>
    <row r="882" ht="22.5" customHeight="1">
      <c r="A882" s="12">
        <f>IFERROR(__xludf.DUMMYFUNCTION("""COMPUTED_VALUE"""),805.0)</f>
        <v>805</v>
      </c>
      <c r="B882" s="13">
        <f>IFERROR(__xludf.DUMMYFUNCTION("""COMPUTED_VALUE"""),45560.0)</f>
        <v>45560</v>
      </c>
      <c r="C882" s="12">
        <f>IFERROR(__xludf.DUMMYFUNCTION("""COMPUTED_VALUE"""),270.0)</f>
        <v>270</v>
      </c>
      <c r="D882" s="12">
        <f>IFERROR(__xludf.DUMMYFUNCTION("""COMPUTED_VALUE"""),26.0)</f>
        <v>26</v>
      </c>
      <c r="E882" s="12">
        <f>IFERROR(__xludf.DUMMYFUNCTION("""COMPUTED_VALUE"""),2.0)</f>
        <v>2</v>
      </c>
      <c r="F882" s="12">
        <f>IFERROR(__xludf.DUMMYFUNCTION("""COMPUTED_VALUE"""),3.0)</f>
        <v>3</v>
      </c>
      <c r="G882" s="15" t="str">
        <f>IFERROR(__xludf.DUMMYFUNCTION("""COMPUTED_VALUE"""),"Completa")</f>
        <v>Completa</v>
      </c>
      <c r="H882" s="16" t="str">
        <f t="array" ref="H882">_xlfn.XLOOKUP(D882,Productos[ID_Producto],Productos[Nombre_Producto])</f>
        <v>Hamburgesas congeladas</v>
      </c>
      <c r="I882" s="17">
        <f t="array" ref="I882">_xlfn.XLOOKUP(D882,Productos[ID_Producto],Productos[Precio_Unitario])</f>
        <v>9.54</v>
      </c>
      <c r="J882" s="17">
        <f t="shared" si="1"/>
        <v>19.08</v>
      </c>
      <c r="K882" s="16" t="str">
        <f t="array" ref="K882">_xlfn.XLOOKUP(C882,Clientes[ID_Cliente],Clientes[Provincia])</f>
        <v>San Luis</v>
      </c>
      <c r="L882" s="16" t="str">
        <f t="array" ref="L882">CONCATENATE(_xlfn.XLOOKUP(C882,Clientes[ID_Cliente],Clientes[Provincia]),", Argentina")</f>
        <v>San Luis, Argentina</v>
      </c>
      <c r="M882" s="20" t="str">
        <f t="array" ref="M882">_xlfn.XLOOKUP(F882,Metodos_De_Pago[ID_Metodo],Metodos_De_Pago[Metodo])</f>
        <v>Tarjeta de Débito</v>
      </c>
      <c r="N882" s="20" t="str">
        <f t="shared" si="2"/>
        <v>2024 09</v>
      </c>
    </row>
    <row r="883" ht="22.5" customHeight="1">
      <c r="A883" s="12">
        <f>IFERROR(__xludf.DUMMYFUNCTION("""COMPUTED_VALUE"""),878.0)</f>
        <v>878</v>
      </c>
      <c r="B883" s="13">
        <f>IFERROR(__xludf.DUMMYFUNCTION("""COMPUTED_VALUE"""),45560.0)</f>
        <v>45560</v>
      </c>
      <c r="C883" s="12">
        <f>IFERROR(__xludf.DUMMYFUNCTION("""COMPUTED_VALUE"""),153.0)</f>
        <v>153</v>
      </c>
      <c r="D883" s="12">
        <f>IFERROR(__xludf.DUMMYFUNCTION("""COMPUTED_VALUE"""),26.0)</f>
        <v>26</v>
      </c>
      <c r="E883" s="12">
        <f>IFERROR(__xludf.DUMMYFUNCTION("""COMPUTED_VALUE"""),2.0)</f>
        <v>2</v>
      </c>
      <c r="F883" s="12">
        <f>IFERROR(__xludf.DUMMYFUNCTION("""COMPUTED_VALUE"""),1.0)</f>
        <v>1</v>
      </c>
      <c r="G883" s="15" t="str">
        <f>IFERROR(__xludf.DUMMYFUNCTION("""COMPUTED_VALUE"""),"Completa")</f>
        <v>Completa</v>
      </c>
      <c r="H883" s="16" t="str">
        <f t="array" ref="H883">_xlfn.XLOOKUP(D883,Productos[ID_Producto],Productos[Nombre_Producto])</f>
        <v>Hamburgesas congeladas</v>
      </c>
      <c r="I883" s="17">
        <f t="array" ref="I883">_xlfn.XLOOKUP(D883,Productos[ID_Producto],Productos[Precio_Unitario])</f>
        <v>9.54</v>
      </c>
      <c r="J883" s="17">
        <f t="shared" si="1"/>
        <v>19.08</v>
      </c>
      <c r="K883" s="16" t="str">
        <f t="array" ref="K883">_xlfn.XLOOKUP(C883,Clientes[ID_Cliente],Clientes[Provincia])</f>
        <v>San Luis</v>
      </c>
      <c r="L883" s="16" t="str">
        <f t="array" ref="L883">CONCATENATE(_xlfn.XLOOKUP(C883,Clientes[ID_Cliente],Clientes[Provincia]),", Argentina")</f>
        <v>San Luis, Argentina</v>
      </c>
      <c r="M883" s="20" t="str">
        <f t="array" ref="M883">_xlfn.XLOOKUP(F883,Metodos_De_Pago[ID_Metodo],Metodos_De_Pago[Metodo])</f>
        <v>Efectivo</v>
      </c>
      <c r="N883" s="20" t="str">
        <f t="shared" si="2"/>
        <v>2024 09</v>
      </c>
    </row>
    <row r="884" ht="22.5" customHeight="1">
      <c r="A884" s="12">
        <f>IFERROR(__xludf.DUMMYFUNCTION("""COMPUTED_VALUE"""),1072.0)</f>
        <v>1072</v>
      </c>
      <c r="B884" s="13">
        <f>IFERROR(__xludf.DUMMYFUNCTION("""COMPUTED_VALUE"""),45560.0)</f>
        <v>45560</v>
      </c>
      <c r="C884" s="12">
        <f>IFERROR(__xludf.DUMMYFUNCTION("""COMPUTED_VALUE"""),155.0)</f>
        <v>155</v>
      </c>
      <c r="D884" s="12">
        <f>IFERROR(__xludf.DUMMYFUNCTION("""COMPUTED_VALUE"""),28.0)</f>
        <v>28</v>
      </c>
      <c r="E884" s="12">
        <f>IFERROR(__xludf.DUMMYFUNCTION("""COMPUTED_VALUE"""),2.0)</f>
        <v>2</v>
      </c>
      <c r="F884" s="12">
        <f>IFERROR(__xludf.DUMMYFUNCTION("""COMPUTED_VALUE"""),4.0)</f>
        <v>4</v>
      </c>
      <c r="G884" s="15" t="str">
        <f>IFERROR(__xludf.DUMMYFUNCTION("""COMPUTED_VALUE"""),"Completa")</f>
        <v>Completa</v>
      </c>
      <c r="H884" s="16" t="str">
        <f t="array" ref="H884">_xlfn.XLOOKUP(D884,Productos[ID_Producto],Productos[Nombre_Producto])</f>
        <v>Jugos de frutas</v>
      </c>
      <c r="I884" s="17">
        <f t="array" ref="I884">_xlfn.XLOOKUP(D884,Productos[ID_Producto],Productos[Precio_Unitario])</f>
        <v>9.45</v>
      </c>
      <c r="J884" s="17">
        <f t="shared" si="1"/>
        <v>18.9</v>
      </c>
      <c r="K884" s="16" t="str">
        <f t="array" ref="K884">_xlfn.XLOOKUP(C884,Clientes[ID_Cliente],Clientes[Provincia])</f>
        <v>San Luis</v>
      </c>
      <c r="L884" s="16" t="str">
        <f t="array" ref="L884">CONCATENATE(_xlfn.XLOOKUP(C884,Clientes[ID_Cliente],Clientes[Provincia]),", Argentina")</f>
        <v>San Luis, Argentina</v>
      </c>
      <c r="M884" s="20" t="str">
        <f t="array" ref="M884">_xlfn.XLOOKUP(F884,Metodos_De_Pago[ID_Metodo],Metodos_De_Pago[Metodo])</f>
        <v>Mercado Pago</v>
      </c>
      <c r="N884" s="20" t="str">
        <f t="shared" si="2"/>
        <v>2024 09</v>
      </c>
    </row>
    <row r="885" ht="22.5" customHeight="1">
      <c r="A885" s="12">
        <f>IFERROR(__xludf.DUMMYFUNCTION("""COMPUTED_VALUE"""),1555.0)</f>
        <v>1555</v>
      </c>
      <c r="B885" s="13">
        <f>IFERROR(__xludf.DUMMYFUNCTION("""COMPUTED_VALUE"""),45560.0)</f>
        <v>45560</v>
      </c>
      <c r="C885" s="12">
        <f>IFERROR(__xludf.DUMMYFUNCTION("""COMPUTED_VALUE"""),9.0)</f>
        <v>9</v>
      </c>
      <c r="D885" s="12">
        <f>IFERROR(__xludf.DUMMYFUNCTION("""COMPUTED_VALUE"""),25.0)</f>
        <v>25</v>
      </c>
      <c r="E885" s="12">
        <f>IFERROR(__xludf.DUMMYFUNCTION("""COMPUTED_VALUE"""),2.0)</f>
        <v>2</v>
      </c>
      <c r="F885" s="12">
        <f>IFERROR(__xludf.DUMMYFUNCTION("""COMPUTED_VALUE"""),2.0)</f>
        <v>2</v>
      </c>
      <c r="G885" s="15" t="str">
        <f>IFERROR(__xludf.DUMMYFUNCTION("""COMPUTED_VALUE"""),"Completa")</f>
        <v>Completa</v>
      </c>
      <c r="H885" s="16" t="str">
        <f t="array" ref="H885">_xlfn.XLOOKUP(D885,Productos[ID_Producto],Productos[Nombre_Producto])</f>
        <v>Pizza congelada</v>
      </c>
      <c r="I885" s="17">
        <f t="array" ref="I885">_xlfn.XLOOKUP(D885,Productos[ID_Producto],Productos[Precio_Unitario])</f>
        <v>15.45</v>
      </c>
      <c r="J885" s="17">
        <f t="shared" si="1"/>
        <v>30.9</v>
      </c>
      <c r="K885" s="16" t="str">
        <f t="array" ref="K885">_xlfn.XLOOKUP(C885,Clientes[ID_Cliente],Clientes[Provincia])</f>
        <v>Córdoba</v>
      </c>
      <c r="L885" s="16" t="str">
        <f t="array" ref="L885">CONCATENATE(_xlfn.XLOOKUP(C885,Clientes[ID_Cliente],Clientes[Provincia]),", Argentina")</f>
        <v>Córdoba, Argentina</v>
      </c>
      <c r="M885" s="20" t="str">
        <f t="array" ref="M885">_xlfn.XLOOKUP(F885,Metodos_De_Pago[ID_Metodo],Metodos_De_Pago[Metodo])</f>
        <v>Tarjeta de Crédito</v>
      </c>
      <c r="N885" s="20" t="str">
        <f t="shared" si="2"/>
        <v>2024 09</v>
      </c>
    </row>
    <row r="886" ht="22.5" customHeight="1">
      <c r="A886" s="12">
        <f>IFERROR(__xludf.DUMMYFUNCTION("""COMPUTED_VALUE"""),2576.0)</f>
        <v>2576</v>
      </c>
      <c r="B886" s="13">
        <f>IFERROR(__xludf.DUMMYFUNCTION("""COMPUTED_VALUE"""),45560.0)</f>
        <v>45560</v>
      </c>
      <c r="C886" s="12">
        <f>IFERROR(__xludf.DUMMYFUNCTION("""COMPUTED_VALUE"""),214.0)</f>
        <v>214</v>
      </c>
      <c r="D886" s="12">
        <f>IFERROR(__xludf.DUMMYFUNCTION("""COMPUTED_VALUE"""),15.0)</f>
        <v>15</v>
      </c>
      <c r="E886" s="12">
        <f>IFERROR(__xludf.DUMMYFUNCTION("""COMPUTED_VALUE"""),2.0)</f>
        <v>2</v>
      </c>
      <c r="F886" s="12">
        <f>IFERROR(__xludf.DUMMYFUNCTION("""COMPUTED_VALUE"""),3.0)</f>
        <v>3</v>
      </c>
      <c r="G886" s="15" t="str">
        <f>IFERROR(__xludf.DUMMYFUNCTION("""COMPUTED_VALUE"""),"Pendiente")</f>
        <v>Pendiente</v>
      </c>
      <c r="H886" s="16" t="str">
        <f t="array" ref="H886">_xlfn.XLOOKUP(D886,Productos[ID_Producto],Productos[Nombre_Producto])</f>
        <v>Medialunas</v>
      </c>
      <c r="I886" s="17">
        <f t="array" ref="I886">_xlfn.XLOOKUP(D886,Productos[ID_Producto],Productos[Precio_Unitario])</f>
        <v>3.51</v>
      </c>
      <c r="J886" s="17">
        <f t="shared" si="1"/>
        <v>7.02</v>
      </c>
      <c r="K886" s="16" t="str">
        <f t="array" ref="K886">_xlfn.XLOOKUP(C886,Clientes[ID_Cliente],Clientes[Provincia])</f>
        <v>Neuquén</v>
      </c>
      <c r="L886" s="16" t="str">
        <f t="array" ref="L886">CONCATENATE(_xlfn.XLOOKUP(C886,Clientes[ID_Cliente],Clientes[Provincia]),", Argentina")</f>
        <v>Neuquén, Argentina</v>
      </c>
      <c r="M886" s="20" t="str">
        <f t="array" ref="M886">_xlfn.XLOOKUP(F886,Metodos_De_Pago[ID_Metodo],Metodos_De_Pago[Metodo])</f>
        <v>Tarjeta de Débito</v>
      </c>
      <c r="N886" s="20" t="str">
        <f t="shared" si="2"/>
        <v>2024 09</v>
      </c>
    </row>
    <row r="887" ht="22.5" customHeight="1">
      <c r="A887" s="12">
        <f>IFERROR(__xludf.DUMMYFUNCTION("""COMPUTED_VALUE"""),2650.0)</f>
        <v>2650</v>
      </c>
      <c r="B887" s="13">
        <f>IFERROR(__xludf.DUMMYFUNCTION("""COMPUTED_VALUE"""),45560.0)</f>
        <v>45560</v>
      </c>
      <c r="C887" s="12">
        <f>IFERROR(__xludf.DUMMYFUNCTION("""COMPUTED_VALUE"""),48.0)</f>
        <v>48</v>
      </c>
      <c r="D887" s="12">
        <f>IFERROR(__xludf.DUMMYFUNCTION("""COMPUTED_VALUE"""),26.0)</f>
        <v>26</v>
      </c>
      <c r="E887" s="12">
        <f>IFERROR(__xludf.DUMMYFUNCTION("""COMPUTED_VALUE"""),2.0)</f>
        <v>2</v>
      </c>
      <c r="F887" s="12">
        <f>IFERROR(__xludf.DUMMYFUNCTION("""COMPUTED_VALUE"""),2.0)</f>
        <v>2</v>
      </c>
      <c r="G887" s="15" t="str">
        <f>IFERROR(__xludf.DUMMYFUNCTION("""COMPUTED_VALUE"""),"Pendiente")</f>
        <v>Pendiente</v>
      </c>
      <c r="H887" s="16" t="str">
        <f t="array" ref="H887">_xlfn.XLOOKUP(D887,Productos[ID_Producto],Productos[Nombre_Producto])</f>
        <v>Hamburgesas congeladas</v>
      </c>
      <c r="I887" s="17">
        <f t="array" ref="I887">_xlfn.XLOOKUP(D887,Productos[ID_Producto],Productos[Precio_Unitario])</f>
        <v>9.54</v>
      </c>
      <c r="J887" s="17">
        <f t="shared" si="1"/>
        <v>19.08</v>
      </c>
      <c r="K887" s="16" t="str">
        <f t="array" ref="K887">_xlfn.XLOOKUP(C887,Clientes[ID_Cliente],Clientes[Provincia])</f>
        <v>Neuquén</v>
      </c>
      <c r="L887" s="16" t="str">
        <f t="array" ref="L887">CONCATENATE(_xlfn.XLOOKUP(C887,Clientes[ID_Cliente],Clientes[Provincia]),", Argentina")</f>
        <v>Neuquén, Argentina</v>
      </c>
      <c r="M887" s="20" t="str">
        <f t="array" ref="M887">_xlfn.XLOOKUP(F887,Metodos_De_Pago[ID_Metodo],Metodos_De_Pago[Metodo])</f>
        <v>Tarjeta de Crédito</v>
      </c>
      <c r="N887" s="20" t="str">
        <f t="shared" si="2"/>
        <v>2024 09</v>
      </c>
    </row>
    <row r="888" ht="22.5" customHeight="1">
      <c r="A888" s="12">
        <f>IFERROR(__xludf.DUMMYFUNCTION("""COMPUTED_VALUE"""),2903.0)</f>
        <v>2903</v>
      </c>
      <c r="B888" s="13">
        <f>IFERROR(__xludf.DUMMYFUNCTION("""COMPUTED_VALUE"""),45562.0)</f>
        <v>45562</v>
      </c>
      <c r="C888" s="12">
        <f>IFERROR(__xludf.DUMMYFUNCTION("""COMPUTED_VALUE"""),306.0)</f>
        <v>306</v>
      </c>
      <c r="D888" s="12">
        <f>IFERROR(__xludf.DUMMYFUNCTION("""COMPUTED_VALUE"""),6.0)</f>
        <v>6</v>
      </c>
      <c r="E888" s="12">
        <f>IFERROR(__xludf.DUMMYFUNCTION("""COMPUTED_VALUE"""),2.0)</f>
        <v>2</v>
      </c>
      <c r="F888" s="12">
        <f>IFERROR(__xludf.DUMMYFUNCTION("""COMPUTED_VALUE"""),2.0)</f>
        <v>2</v>
      </c>
      <c r="G888" s="15" t="str">
        <f>IFERROR(__xludf.DUMMYFUNCTION("""COMPUTED_VALUE"""),"Completa")</f>
        <v>Completa</v>
      </c>
      <c r="H888" s="16" t="str">
        <f t="array" ref="H888">_xlfn.XLOOKUP(D888,Productos[ID_Producto],Productos[Nombre_Producto])</f>
        <v>Asado</v>
      </c>
      <c r="I888" s="17">
        <f t="array" ref="I888">_xlfn.XLOOKUP(D888,Productos[ID_Producto],Productos[Precio_Unitario])</f>
        <v>28.56</v>
      </c>
      <c r="J888" s="17">
        <f t="shared" si="1"/>
        <v>57.12</v>
      </c>
      <c r="K888" s="16" t="str">
        <f t="array" ref="K888">_xlfn.XLOOKUP(C888,Clientes[ID_Cliente],Clientes[Provincia])</f>
        <v>San Luis</v>
      </c>
      <c r="L888" s="16" t="str">
        <f t="array" ref="L888">CONCATENATE(_xlfn.XLOOKUP(C888,Clientes[ID_Cliente],Clientes[Provincia]),", Argentina")</f>
        <v>San Luis, Argentina</v>
      </c>
      <c r="M888" s="20" t="str">
        <f t="array" ref="M888">_xlfn.XLOOKUP(F888,Metodos_De_Pago[ID_Metodo],Metodos_De_Pago[Metodo])</f>
        <v>Tarjeta de Crédito</v>
      </c>
      <c r="N888" s="20" t="str">
        <f t="shared" si="2"/>
        <v>2024 09</v>
      </c>
    </row>
    <row r="889" ht="22.5" customHeight="1">
      <c r="A889" s="12">
        <f>IFERROR(__xludf.DUMMYFUNCTION("""COMPUTED_VALUE"""),2185.0)</f>
        <v>2185</v>
      </c>
      <c r="B889" s="13">
        <f>IFERROR(__xludf.DUMMYFUNCTION("""COMPUTED_VALUE"""),45563.0)</f>
        <v>45563</v>
      </c>
      <c r="C889" s="12">
        <f>IFERROR(__xludf.DUMMYFUNCTION("""COMPUTED_VALUE"""),250.0)</f>
        <v>250</v>
      </c>
      <c r="D889" s="12">
        <f>IFERROR(__xludf.DUMMYFUNCTION("""COMPUTED_VALUE"""),10.0)</f>
        <v>10</v>
      </c>
      <c r="E889" s="12">
        <f>IFERROR(__xludf.DUMMYFUNCTION("""COMPUTED_VALUE"""),2.0)</f>
        <v>2</v>
      </c>
      <c r="F889" s="12">
        <f>IFERROR(__xludf.DUMMYFUNCTION("""COMPUTED_VALUE"""),1.0)</f>
        <v>1</v>
      </c>
      <c r="G889" s="15" t="str">
        <f>IFERROR(__xludf.DUMMYFUNCTION("""COMPUTED_VALUE"""),"Pendiente")</f>
        <v>Pendiente</v>
      </c>
      <c r="H889" s="16" t="str">
        <f t="array" ref="H889">_xlfn.XLOOKUP(D889,Productos[ID_Producto],Productos[Nombre_Producto])</f>
        <v>Costilla de cerdo</v>
      </c>
      <c r="I889" s="17">
        <f t="array" ref="I889">_xlfn.XLOOKUP(D889,Productos[ID_Producto],Productos[Precio_Unitario])</f>
        <v>14.25</v>
      </c>
      <c r="J889" s="17">
        <f t="shared" si="1"/>
        <v>28.5</v>
      </c>
      <c r="K889" s="16" t="str">
        <f t="array" ref="K889">_xlfn.XLOOKUP(C889,Clientes[ID_Cliente],Clientes[Provincia])</f>
        <v>Córdoba</v>
      </c>
      <c r="L889" s="16" t="str">
        <f t="array" ref="L889">CONCATENATE(_xlfn.XLOOKUP(C889,Clientes[ID_Cliente],Clientes[Provincia]),", Argentina")</f>
        <v>Córdoba, Argentina</v>
      </c>
      <c r="M889" s="20" t="str">
        <f t="array" ref="M889">_xlfn.XLOOKUP(F889,Metodos_De_Pago[ID_Metodo],Metodos_De_Pago[Metodo])</f>
        <v>Efectivo</v>
      </c>
      <c r="N889" s="20" t="str">
        <f t="shared" si="2"/>
        <v>2024 09</v>
      </c>
    </row>
    <row r="890" ht="22.5" customHeight="1">
      <c r="A890" s="12">
        <f>IFERROR(__xludf.DUMMYFUNCTION("""COMPUTED_VALUE"""),2470.0)</f>
        <v>2470</v>
      </c>
      <c r="B890" s="13">
        <f>IFERROR(__xludf.DUMMYFUNCTION("""COMPUTED_VALUE"""),45564.0)</f>
        <v>45564</v>
      </c>
      <c r="C890" s="12">
        <f>IFERROR(__xludf.DUMMYFUNCTION("""COMPUTED_VALUE"""),85.0)</f>
        <v>85</v>
      </c>
      <c r="D890" s="12">
        <f>IFERROR(__xludf.DUMMYFUNCTION("""COMPUTED_VALUE"""),24.0)</f>
        <v>24</v>
      </c>
      <c r="E890" s="12">
        <f>IFERROR(__xludf.DUMMYFUNCTION("""COMPUTED_VALUE"""),2.0)</f>
        <v>2</v>
      </c>
      <c r="F890" s="12">
        <f>IFERROR(__xludf.DUMMYFUNCTION("""COMPUTED_VALUE"""),4.0)</f>
        <v>4</v>
      </c>
      <c r="G890" s="15" t="str">
        <f>IFERROR(__xludf.DUMMYFUNCTION("""COMPUTED_VALUE"""),"Completa")</f>
        <v>Completa</v>
      </c>
      <c r="H890" s="16" t="str">
        <f t="array" ref="H890">_xlfn.XLOOKUP(D890,Productos[ID_Producto],Productos[Nombre_Producto])</f>
        <v>Empanadas</v>
      </c>
      <c r="I890" s="17">
        <f t="array" ref="I890">_xlfn.XLOOKUP(D890,Productos[ID_Producto],Productos[Precio_Unitario])</f>
        <v>13.54</v>
      </c>
      <c r="J890" s="17">
        <f t="shared" si="1"/>
        <v>27.08</v>
      </c>
      <c r="K890" s="16" t="str">
        <f t="array" ref="K890">_xlfn.XLOOKUP(C890,Clientes[ID_Cliente],Clientes[Provincia])</f>
        <v>San Luis</v>
      </c>
      <c r="L890" s="16" t="str">
        <f t="array" ref="L890">CONCATENATE(_xlfn.XLOOKUP(C890,Clientes[ID_Cliente],Clientes[Provincia]),", Argentina")</f>
        <v>San Luis, Argentina</v>
      </c>
      <c r="M890" s="20" t="str">
        <f t="array" ref="M890">_xlfn.XLOOKUP(F890,Metodos_De_Pago[ID_Metodo],Metodos_De_Pago[Metodo])</f>
        <v>Mercado Pago</v>
      </c>
      <c r="N890" s="20" t="str">
        <f t="shared" si="2"/>
        <v>2024 09</v>
      </c>
    </row>
    <row r="891" ht="22.5" customHeight="1">
      <c r="A891" s="12">
        <f>IFERROR(__xludf.DUMMYFUNCTION("""COMPUTED_VALUE"""),400.0)</f>
        <v>400</v>
      </c>
      <c r="B891" s="13">
        <f>IFERROR(__xludf.DUMMYFUNCTION("""COMPUTED_VALUE"""),45565.0)</f>
        <v>45565</v>
      </c>
      <c r="C891" s="12">
        <f>IFERROR(__xludf.DUMMYFUNCTION("""COMPUTED_VALUE"""),167.0)</f>
        <v>167</v>
      </c>
      <c r="D891" s="12">
        <f>IFERROR(__xludf.DUMMYFUNCTION("""COMPUTED_VALUE"""),35.0)</f>
        <v>35</v>
      </c>
      <c r="E891" s="12">
        <f>IFERROR(__xludf.DUMMYFUNCTION("""COMPUTED_VALUE"""),2.0)</f>
        <v>2</v>
      </c>
      <c r="F891" s="12">
        <f>IFERROR(__xludf.DUMMYFUNCTION("""COMPUTED_VALUE"""),1.0)</f>
        <v>1</v>
      </c>
      <c r="G891" s="15" t="str">
        <f>IFERROR(__xludf.DUMMYFUNCTION("""COMPUTED_VALUE"""),"Completa")</f>
        <v>Completa</v>
      </c>
      <c r="H891" s="16" t="str">
        <f t="array" ref="H891">_xlfn.XLOOKUP(D891,Productos[ID_Producto],Productos[Nombre_Producto])</f>
        <v>Arroz</v>
      </c>
      <c r="I891" s="17">
        <f t="array" ref="I891">_xlfn.XLOOKUP(D891,Productos[ID_Producto],Productos[Precio_Unitario])</f>
        <v>4.25</v>
      </c>
      <c r="J891" s="17">
        <f t="shared" si="1"/>
        <v>8.5</v>
      </c>
      <c r="K891" s="16" t="str">
        <f t="array" ref="K891">_xlfn.XLOOKUP(C891,Clientes[ID_Cliente],Clientes[Provincia])</f>
        <v>Buenos Aires</v>
      </c>
      <c r="L891" s="16" t="str">
        <f t="array" ref="L891">CONCATENATE(_xlfn.XLOOKUP(C891,Clientes[ID_Cliente],Clientes[Provincia]),", Argentina")</f>
        <v>Buenos Aires, Argentina</v>
      </c>
      <c r="M891" s="20" t="str">
        <f t="array" ref="M891">_xlfn.XLOOKUP(F891,Metodos_De_Pago[ID_Metodo],Metodos_De_Pago[Metodo])</f>
        <v>Efectivo</v>
      </c>
      <c r="N891" s="20" t="str">
        <f t="shared" si="2"/>
        <v>2024 09</v>
      </c>
    </row>
    <row r="892" ht="22.5" customHeight="1">
      <c r="A892" s="12">
        <f>IFERROR(__xludf.DUMMYFUNCTION("""COMPUTED_VALUE"""),2089.0)</f>
        <v>2089</v>
      </c>
      <c r="B892" s="13">
        <f>IFERROR(__xludf.DUMMYFUNCTION("""COMPUTED_VALUE"""),45565.0)</f>
        <v>45565</v>
      </c>
      <c r="C892" s="12">
        <f>IFERROR(__xludf.DUMMYFUNCTION("""COMPUTED_VALUE"""),221.0)</f>
        <v>221</v>
      </c>
      <c r="D892" s="12">
        <f>IFERROR(__xludf.DUMMYFUNCTION("""COMPUTED_VALUE"""),14.0)</f>
        <v>14</v>
      </c>
      <c r="E892" s="12">
        <f>IFERROR(__xludf.DUMMYFUNCTION("""COMPUTED_VALUE"""),2.0)</f>
        <v>2</v>
      </c>
      <c r="F892" s="12">
        <f>IFERROR(__xludf.DUMMYFUNCTION("""COMPUTED_VALUE"""),5.0)</f>
        <v>5</v>
      </c>
      <c r="G892" s="15" t="str">
        <f>IFERROR(__xludf.DUMMYFUNCTION("""COMPUTED_VALUE"""),"Pendiente")</f>
        <v>Pendiente</v>
      </c>
      <c r="H892" s="16" t="str">
        <f t="array" ref="H892">_xlfn.XLOOKUP(D892,Productos[ID_Producto],Productos[Nombre_Producto])</f>
        <v>Facturas</v>
      </c>
      <c r="I892" s="17">
        <f t="array" ref="I892">_xlfn.XLOOKUP(D892,Productos[ID_Producto],Productos[Precio_Unitario])</f>
        <v>12.36</v>
      </c>
      <c r="J892" s="17">
        <f t="shared" si="1"/>
        <v>24.72</v>
      </c>
      <c r="K892" s="16" t="str">
        <f t="array" ref="K892">_xlfn.XLOOKUP(C892,Clientes[ID_Cliente],Clientes[Provincia])</f>
        <v>Buenos Aires</v>
      </c>
      <c r="L892" s="16" t="str">
        <f t="array" ref="L892">CONCATENATE(_xlfn.XLOOKUP(C892,Clientes[ID_Cliente],Clientes[Provincia]),", Argentina")</f>
        <v>Buenos Aires, Argentina</v>
      </c>
      <c r="M892" s="20" t="str">
        <f t="array" ref="M892">_xlfn.XLOOKUP(F892,Metodos_De_Pago[ID_Metodo],Metodos_De_Pago[Metodo])</f>
        <v>Transferencia</v>
      </c>
      <c r="N892" s="20" t="str">
        <f t="shared" si="2"/>
        <v>2024 09</v>
      </c>
    </row>
    <row r="893" ht="22.5" customHeight="1">
      <c r="A893" s="12">
        <f>IFERROR(__xludf.DUMMYFUNCTION("""COMPUTED_VALUE"""),2482.0)</f>
        <v>2482</v>
      </c>
      <c r="B893" s="13">
        <f>IFERROR(__xludf.DUMMYFUNCTION("""COMPUTED_VALUE"""),45565.0)</f>
        <v>45565</v>
      </c>
      <c r="C893" s="12">
        <f>IFERROR(__xludf.DUMMYFUNCTION("""COMPUTED_VALUE"""),82.0)</f>
        <v>82</v>
      </c>
      <c r="D893" s="12">
        <f>IFERROR(__xludf.DUMMYFUNCTION("""COMPUTED_VALUE"""),4.0)</f>
        <v>4</v>
      </c>
      <c r="E893" s="12">
        <f>IFERROR(__xludf.DUMMYFUNCTION("""COMPUTED_VALUE"""),2.0)</f>
        <v>2</v>
      </c>
      <c r="F893" s="12">
        <f>IFERROR(__xludf.DUMMYFUNCTION("""COMPUTED_VALUE"""),5.0)</f>
        <v>5</v>
      </c>
      <c r="G893" s="15" t="str">
        <f>IFERROR(__xludf.DUMMYFUNCTION("""COMPUTED_VALUE"""),"Pendiente")</f>
        <v>Pendiente</v>
      </c>
      <c r="H893" s="16" t="str">
        <f t="array" ref="H893">_xlfn.XLOOKUP(D893,Productos[ID_Producto],Productos[Nombre_Producto])</f>
        <v>Queso rallado</v>
      </c>
      <c r="I893" s="17">
        <f t="array" ref="I893">_xlfn.XLOOKUP(D893,Productos[ID_Producto],Productos[Precio_Unitario])</f>
        <v>19.23</v>
      </c>
      <c r="J893" s="17">
        <f t="shared" si="1"/>
        <v>38.46</v>
      </c>
      <c r="K893" s="16" t="str">
        <f t="array" ref="K893">_xlfn.XLOOKUP(C893,Clientes[ID_Cliente],Clientes[Provincia])</f>
        <v>Buenos Aires</v>
      </c>
      <c r="L893" s="16" t="str">
        <f t="array" ref="L893">CONCATENATE(_xlfn.XLOOKUP(C893,Clientes[ID_Cliente],Clientes[Provincia]),", Argentina")</f>
        <v>Buenos Aires, Argentina</v>
      </c>
      <c r="M893" s="20" t="str">
        <f t="array" ref="M893">_xlfn.XLOOKUP(F893,Metodos_De_Pago[ID_Metodo],Metodos_De_Pago[Metodo])</f>
        <v>Transferencia</v>
      </c>
      <c r="N893" s="20" t="str">
        <f t="shared" si="2"/>
        <v>2024 09</v>
      </c>
    </row>
    <row r="894" ht="22.5" customHeight="1">
      <c r="A894" s="12">
        <f>IFERROR(__xludf.DUMMYFUNCTION("""COMPUTED_VALUE"""),714.0)</f>
        <v>714</v>
      </c>
      <c r="B894" s="13">
        <f>IFERROR(__xludf.DUMMYFUNCTION("""COMPUTED_VALUE"""),45566.0)</f>
        <v>45566</v>
      </c>
      <c r="C894" s="12">
        <f>IFERROR(__xludf.DUMMYFUNCTION("""COMPUTED_VALUE"""),237.0)</f>
        <v>237</v>
      </c>
      <c r="D894" s="12">
        <f>IFERROR(__xludf.DUMMYFUNCTION("""COMPUTED_VALUE"""),16.0)</f>
        <v>16</v>
      </c>
      <c r="E894" s="12">
        <f>IFERROR(__xludf.DUMMYFUNCTION("""COMPUTED_VALUE"""),2.0)</f>
        <v>2</v>
      </c>
      <c r="F894" s="12">
        <f>IFERROR(__xludf.DUMMYFUNCTION("""COMPUTED_VALUE"""),5.0)</f>
        <v>5</v>
      </c>
      <c r="G894" s="15" t="str">
        <f>IFERROR(__xludf.DUMMYFUNCTION("""COMPUTED_VALUE"""),"Completa")</f>
        <v>Completa</v>
      </c>
      <c r="H894" s="16" t="str">
        <f t="array" ref="H894">_xlfn.XLOOKUP(D894,Productos[ID_Producto],Productos[Nombre_Producto])</f>
        <v>Tortas</v>
      </c>
      <c r="I894" s="17">
        <f t="array" ref="I894">_xlfn.XLOOKUP(D894,Productos[ID_Producto],Productos[Precio_Unitario])</f>
        <v>15.23</v>
      </c>
      <c r="J894" s="17">
        <f t="shared" si="1"/>
        <v>30.46</v>
      </c>
      <c r="K894" s="16" t="str">
        <f t="array" ref="K894">_xlfn.XLOOKUP(C894,Clientes[ID_Cliente],Clientes[Provincia])</f>
        <v>Buenos Aires</v>
      </c>
      <c r="L894" s="16" t="str">
        <f t="array" ref="L894">CONCATENATE(_xlfn.XLOOKUP(C894,Clientes[ID_Cliente],Clientes[Provincia]),", Argentina")</f>
        <v>Buenos Aires, Argentina</v>
      </c>
      <c r="M894" s="20" t="str">
        <f t="array" ref="M894">_xlfn.XLOOKUP(F894,Metodos_De_Pago[ID_Metodo],Metodos_De_Pago[Metodo])</f>
        <v>Transferencia</v>
      </c>
      <c r="N894" s="20" t="str">
        <f t="shared" si="2"/>
        <v>2024 10</v>
      </c>
    </row>
    <row r="895" ht="22.5" customHeight="1">
      <c r="A895" s="12">
        <f>IFERROR(__xludf.DUMMYFUNCTION("""COMPUTED_VALUE"""),2617.0)</f>
        <v>2617</v>
      </c>
      <c r="B895" s="13">
        <f>IFERROR(__xludf.DUMMYFUNCTION("""COMPUTED_VALUE"""),45566.0)</f>
        <v>45566</v>
      </c>
      <c r="C895" s="12">
        <f>IFERROR(__xludf.DUMMYFUNCTION("""COMPUTED_VALUE"""),63.0)</f>
        <v>63</v>
      </c>
      <c r="D895" s="12">
        <f>IFERROR(__xludf.DUMMYFUNCTION("""COMPUTED_VALUE"""),35.0)</f>
        <v>35</v>
      </c>
      <c r="E895" s="12">
        <f>IFERROR(__xludf.DUMMYFUNCTION("""COMPUTED_VALUE"""),2.0)</f>
        <v>2</v>
      </c>
      <c r="F895" s="12">
        <f>IFERROR(__xludf.DUMMYFUNCTION("""COMPUTED_VALUE"""),5.0)</f>
        <v>5</v>
      </c>
      <c r="G895" s="15" t="str">
        <f>IFERROR(__xludf.DUMMYFUNCTION("""COMPUTED_VALUE"""),"Completa")</f>
        <v>Completa</v>
      </c>
      <c r="H895" s="16" t="str">
        <f t="array" ref="H895">_xlfn.XLOOKUP(D895,Productos[ID_Producto],Productos[Nombre_Producto])</f>
        <v>Arroz</v>
      </c>
      <c r="I895" s="17">
        <f t="array" ref="I895">_xlfn.XLOOKUP(D895,Productos[ID_Producto],Productos[Precio_Unitario])</f>
        <v>4.25</v>
      </c>
      <c r="J895" s="17">
        <f t="shared" si="1"/>
        <v>8.5</v>
      </c>
      <c r="K895" s="16" t="str">
        <f t="array" ref="K895">_xlfn.XLOOKUP(C895,Clientes[ID_Cliente],Clientes[Provincia])</f>
        <v>Buenos Aires</v>
      </c>
      <c r="L895" s="16" t="str">
        <f t="array" ref="L895">CONCATENATE(_xlfn.XLOOKUP(C895,Clientes[ID_Cliente],Clientes[Provincia]),", Argentina")</f>
        <v>Buenos Aires, Argentina</v>
      </c>
      <c r="M895" s="20" t="str">
        <f t="array" ref="M895">_xlfn.XLOOKUP(F895,Metodos_De_Pago[ID_Metodo],Metodos_De_Pago[Metodo])</f>
        <v>Transferencia</v>
      </c>
      <c r="N895" s="20" t="str">
        <f t="shared" si="2"/>
        <v>2024 10</v>
      </c>
    </row>
    <row r="896" ht="22.5" customHeight="1">
      <c r="A896" s="12">
        <f>IFERROR(__xludf.DUMMYFUNCTION("""COMPUTED_VALUE"""),289.0)</f>
        <v>289</v>
      </c>
      <c r="B896" s="13">
        <f>IFERROR(__xludf.DUMMYFUNCTION("""COMPUTED_VALUE"""),45568.0)</f>
        <v>45568</v>
      </c>
      <c r="C896" s="12">
        <f>IFERROR(__xludf.DUMMYFUNCTION("""COMPUTED_VALUE"""),225.0)</f>
        <v>225</v>
      </c>
      <c r="D896" s="12">
        <f>IFERROR(__xludf.DUMMYFUNCTION("""COMPUTED_VALUE"""),31.0)</f>
        <v>31</v>
      </c>
      <c r="E896" s="12">
        <f>IFERROR(__xludf.DUMMYFUNCTION("""COMPUTED_VALUE"""),2.0)</f>
        <v>2</v>
      </c>
      <c r="F896" s="12">
        <f>IFERROR(__xludf.DUMMYFUNCTION("""COMPUTED_VALUE"""),5.0)</f>
        <v>5</v>
      </c>
      <c r="G896" s="15" t="str">
        <f>IFERROR(__xludf.DUMMYFUNCTION("""COMPUTED_VALUE"""),"Completa")</f>
        <v>Completa</v>
      </c>
      <c r="H896" s="16" t="str">
        <f t="array" ref="H896">_xlfn.XLOOKUP(D896,Productos[ID_Producto],Productos[Nombre_Producto])</f>
        <v>Galletitas de agua</v>
      </c>
      <c r="I896" s="17">
        <f t="array" ref="I896">_xlfn.XLOOKUP(D896,Productos[ID_Producto],Productos[Precio_Unitario])</f>
        <v>5.24</v>
      </c>
      <c r="J896" s="17">
        <f t="shared" si="1"/>
        <v>10.48</v>
      </c>
      <c r="K896" s="16" t="str">
        <f t="array" ref="K896">_xlfn.XLOOKUP(C896,Clientes[ID_Cliente],Clientes[Provincia])</f>
        <v>Buenos Aires</v>
      </c>
      <c r="L896" s="16" t="str">
        <f t="array" ref="L896">CONCATENATE(_xlfn.XLOOKUP(C896,Clientes[ID_Cliente],Clientes[Provincia]),", Argentina")</f>
        <v>Buenos Aires, Argentina</v>
      </c>
      <c r="M896" s="20" t="str">
        <f t="array" ref="M896">_xlfn.XLOOKUP(F896,Metodos_De_Pago[ID_Metodo],Metodos_De_Pago[Metodo])</f>
        <v>Transferencia</v>
      </c>
      <c r="N896" s="20" t="str">
        <f t="shared" si="2"/>
        <v>2024 10</v>
      </c>
    </row>
    <row r="897" ht="22.5" customHeight="1">
      <c r="A897" s="12">
        <f>IFERROR(__xludf.DUMMYFUNCTION("""COMPUTED_VALUE"""),159.0)</f>
        <v>159</v>
      </c>
      <c r="B897" s="13">
        <f>IFERROR(__xludf.DUMMYFUNCTION("""COMPUTED_VALUE"""),45570.0)</f>
        <v>45570</v>
      </c>
      <c r="C897" s="12">
        <f>IFERROR(__xludf.DUMMYFUNCTION("""COMPUTED_VALUE"""),217.0)</f>
        <v>217</v>
      </c>
      <c r="D897" s="12">
        <f>IFERROR(__xludf.DUMMYFUNCTION("""COMPUTED_VALUE"""),26.0)</f>
        <v>26</v>
      </c>
      <c r="E897" s="12">
        <f>IFERROR(__xludf.DUMMYFUNCTION("""COMPUTED_VALUE"""),2.0)</f>
        <v>2</v>
      </c>
      <c r="F897" s="12">
        <f>IFERROR(__xludf.DUMMYFUNCTION("""COMPUTED_VALUE"""),1.0)</f>
        <v>1</v>
      </c>
      <c r="G897" s="15" t="str">
        <f>IFERROR(__xludf.DUMMYFUNCTION("""COMPUTED_VALUE"""),"Completa")</f>
        <v>Completa</v>
      </c>
      <c r="H897" s="16" t="str">
        <f t="array" ref="H897">_xlfn.XLOOKUP(D897,Productos[ID_Producto],Productos[Nombre_Producto])</f>
        <v>Hamburgesas congeladas</v>
      </c>
      <c r="I897" s="17">
        <f t="array" ref="I897">_xlfn.XLOOKUP(D897,Productos[ID_Producto],Productos[Precio_Unitario])</f>
        <v>9.54</v>
      </c>
      <c r="J897" s="17">
        <f t="shared" si="1"/>
        <v>19.08</v>
      </c>
      <c r="K897" s="16" t="str">
        <f t="array" ref="K897">_xlfn.XLOOKUP(C897,Clientes[ID_Cliente],Clientes[Provincia])</f>
        <v>Córdoba</v>
      </c>
      <c r="L897" s="16" t="str">
        <f t="array" ref="L897">CONCATENATE(_xlfn.XLOOKUP(C897,Clientes[ID_Cliente],Clientes[Provincia]),", Argentina")</f>
        <v>Córdoba, Argentina</v>
      </c>
      <c r="M897" s="20" t="str">
        <f t="array" ref="M897">_xlfn.XLOOKUP(F897,Metodos_De_Pago[ID_Metodo],Metodos_De_Pago[Metodo])</f>
        <v>Efectivo</v>
      </c>
      <c r="N897" s="20" t="str">
        <f t="shared" si="2"/>
        <v>2024 10</v>
      </c>
    </row>
    <row r="898" ht="22.5" customHeight="1">
      <c r="A898" s="12">
        <f>IFERROR(__xludf.DUMMYFUNCTION("""COMPUTED_VALUE"""),1138.0)</f>
        <v>1138</v>
      </c>
      <c r="B898" s="13">
        <f>IFERROR(__xludf.DUMMYFUNCTION("""COMPUTED_VALUE"""),45570.0)</f>
        <v>45570</v>
      </c>
      <c r="C898" s="12">
        <f>IFERROR(__xludf.DUMMYFUNCTION("""COMPUTED_VALUE"""),123.0)</f>
        <v>123</v>
      </c>
      <c r="D898" s="12">
        <f>IFERROR(__xludf.DUMMYFUNCTION("""COMPUTED_VALUE"""),22.0)</f>
        <v>22</v>
      </c>
      <c r="E898" s="12">
        <f>IFERROR(__xludf.DUMMYFUNCTION("""COMPUTED_VALUE"""),2.0)</f>
        <v>2</v>
      </c>
      <c r="F898" s="12">
        <f>IFERROR(__xludf.DUMMYFUNCTION("""COMPUTED_VALUE"""),2.0)</f>
        <v>2</v>
      </c>
      <c r="G898" s="15" t="str">
        <f>IFERROR(__xludf.DUMMYFUNCTION("""COMPUTED_VALUE"""),"Completa")</f>
        <v>Completa</v>
      </c>
      <c r="H898" s="16" t="str">
        <f t="array" ref="H898">_xlfn.XLOOKUP(D898,Productos[ID_Producto],Productos[Nombre_Producto])</f>
        <v>Cebolla</v>
      </c>
      <c r="I898" s="17">
        <f t="array" ref="I898">_xlfn.XLOOKUP(D898,Productos[ID_Producto],Productos[Precio_Unitario])</f>
        <v>4.21</v>
      </c>
      <c r="J898" s="17">
        <f t="shared" si="1"/>
        <v>8.42</v>
      </c>
      <c r="K898" s="16" t="str">
        <f t="array" ref="K898">_xlfn.XLOOKUP(C898,Clientes[ID_Cliente],Clientes[Provincia])</f>
        <v>Neuquén</v>
      </c>
      <c r="L898" s="16" t="str">
        <f t="array" ref="L898">CONCATENATE(_xlfn.XLOOKUP(C898,Clientes[ID_Cliente],Clientes[Provincia]),", Argentina")</f>
        <v>Neuquén, Argentina</v>
      </c>
      <c r="M898" s="20" t="str">
        <f t="array" ref="M898">_xlfn.XLOOKUP(F898,Metodos_De_Pago[ID_Metodo],Metodos_De_Pago[Metodo])</f>
        <v>Tarjeta de Crédito</v>
      </c>
      <c r="N898" s="20" t="str">
        <f t="shared" si="2"/>
        <v>2024 10</v>
      </c>
    </row>
    <row r="899" ht="22.5" customHeight="1">
      <c r="A899" s="12">
        <f>IFERROR(__xludf.DUMMYFUNCTION("""COMPUTED_VALUE"""),68.0)</f>
        <v>68</v>
      </c>
      <c r="B899" s="13">
        <f>IFERROR(__xludf.DUMMYFUNCTION("""COMPUTED_VALUE"""),45571.0)</f>
        <v>45571</v>
      </c>
      <c r="C899" s="12">
        <f>IFERROR(__xludf.DUMMYFUNCTION("""COMPUTED_VALUE"""),127.0)</f>
        <v>127</v>
      </c>
      <c r="D899" s="12">
        <f>IFERROR(__xludf.DUMMYFUNCTION("""COMPUTED_VALUE"""),20.0)</f>
        <v>20</v>
      </c>
      <c r="E899" s="12">
        <f>IFERROR(__xludf.DUMMYFUNCTION("""COMPUTED_VALUE"""),2.0)</f>
        <v>2</v>
      </c>
      <c r="F899" s="12">
        <f>IFERROR(__xludf.DUMMYFUNCTION("""COMPUTED_VALUE"""),5.0)</f>
        <v>5</v>
      </c>
      <c r="G899" s="15" t="str">
        <f>IFERROR(__xludf.DUMMYFUNCTION("""COMPUTED_VALUE"""),"Completa")</f>
        <v>Completa</v>
      </c>
      <c r="H899" s="16" t="str">
        <f t="array" ref="H899">_xlfn.XLOOKUP(D899,Productos[ID_Producto],Productos[Nombre_Producto])</f>
        <v>Lechugas</v>
      </c>
      <c r="I899" s="17">
        <f t="array" ref="I899">_xlfn.XLOOKUP(D899,Productos[ID_Producto],Productos[Precio_Unitario])</f>
        <v>4.25</v>
      </c>
      <c r="J899" s="17">
        <f t="shared" si="1"/>
        <v>8.5</v>
      </c>
      <c r="K899" s="16" t="str">
        <f t="array" ref="K899">_xlfn.XLOOKUP(C899,Clientes[ID_Cliente],Clientes[Provincia])</f>
        <v>Buenos Aires</v>
      </c>
      <c r="L899" s="16" t="str">
        <f t="array" ref="L899">CONCATENATE(_xlfn.XLOOKUP(C899,Clientes[ID_Cliente],Clientes[Provincia]),", Argentina")</f>
        <v>Buenos Aires, Argentina</v>
      </c>
      <c r="M899" s="20" t="str">
        <f t="array" ref="M899">_xlfn.XLOOKUP(F899,Metodos_De_Pago[ID_Metodo],Metodos_De_Pago[Metodo])</f>
        <v>Transferencia</v>
      </c>
      <c r="N899" s="20" t="str">
        <f t="shared" si="2"/>
        <v>2024 10</v>
      </c>
    </row>
    <row r="900" ht="22.5" customHeight="1">
      <c r="A900" s="12">
        <f>IFERROR(__xludf.DUMMYFUNCTION("""COMPUTED_VALUE"""),164.0)</f>
        <v>164</v>
      </c>
      <c r="B900" s="13">
        <f>IFERROR(__xludf.DUMMYFUNCTION("""COMPUTED_VALUE"""),45571.0)</f>
        <v>45571</v>
      </c>
      <c r="C900" s="12">
        <f>IFERROR(__xludf.DUMMYFUNCTION("""COMPUTED_VALUE"""),233.0)</f>
        <v>233</v>
      </c>
      <c r="D900" s="12">
        <f>IFERROR(__xludf.DUMMYFUNCTION("""COMPUTED_VALUE"""),18.0)</f>
        <v>18</v>
      </c>
      <c r="E900" s="12">
        <f>IFERROR(__xludf.DUMMYFUNCTION("""COMPUTED_VALUE"""),2.0)</f>
        <v>2</v>
      </c>
      <c r="F900" s="12">
        <f>IFERROR(__xludf.DUMMYFUNCTION("""COMPUTED_VALUE"""),4.0)</f>
        <v>4</v>
      </c>
      <c r="G900" s="15" t="str">
        <f>IFERROR(__xludf.DUMMYFUNCTION("""COMPUTED_VALUE"""),"Completa")</f>
        <v>Completa</v>
      </c>
      <c r="H900" s="16" t="str">
        <f t="array" ref="H900">_xlfn.XLOOKUP(D900,Productos[ID_Producto],Productos[Nombre_Producto])</f>
        <v>Bananas</v>
      </c>
      <c r="I900" s="17">
        <f t="array" ref="I900">_xlfn.XLOOKUP(D900,Productos[ID_Producto],Productos[Precio_Unitario])</f>
        <v>7.25</v>
      </c>
      <c r="J900" s="17">
        <f t="shared" si="1"/>
        <v>14.5</v>
      </c>
      <c r="K900" s="16" t="str">
        <f t="array" ref="K900">_xlfn.XLOOKUP(C900,Clientes[ID_Cliente],Clientes[Provincia])</f>
        <v>Córdoba</v>
      </c>
      <c r="L900" s="16" t="str">
        <f t="array" ref="L900">CONCATENATE(_xlfn.XLOOKUP(C900,Clientes[ID_Cliente],Clientes[Provincia]),", Argentina")</f>
        <v>Córdoba, Argentina</v>
      </c>
      <c r="M900" s="20" t="str">
        <f t="array" ref="M900">_xlfn.XLOOKUP(F900,Metodos_De_Pago[ID_Metodo],Metodos_De_Pago[Metodo])</f>
        <v>Mercado Pago</v>
      </c>
      <c r="N900" s="20" t="str">
        <f t="shared" si="2"/>
        <v>2024 10</v>
      </c>
    </row>
    <row r="901" ht="22.5" customHeight="1">
      <c r="A901" s="12">
        <f>IFERROR(__xludf.DUMMYFUNCTION("""COMPUTED_VALUE"""),1528.0)</f>
        <v>1528</v>
      </c>
      <c r="B901" s="13">
        <f>IFERROR(__xludf.DUMMYFUNCTION("""COMPUTED_VALUE"""),45571.0)</f>
        <v>45571</v>
      </c>
      <c r="C901" s="12">
        <f>IFERROR(__xludf.DUMMYFUNCTION("""COMPUTED_VALUE"""),90.0)</f>
        <v>90</v>
      </c>
      <c r="D901" s="12">
        <f>IFERROR(__xludf.DUMMYFUNCTION("""COMPUTED_VALUE"""),29.0)</f>
        <v>29</v>
      </c>
      <c r="E901" s="12">
        <f>IFERROR(__xludf.DUMMYFUNCTION("""COMPUTED_VALUE"""),2.0)</f>
        <v>2</v>
      </c>
      <c r="F901" s="12">
        <f>IFERROR(__xludf.DUMMYFUNCTION("""COMPUTED_VALUE"""),3.0)</f>
        <v>3</v>
      </c>
      <c r="G901" s="15" t="str">
        <f>IFERROR(__xludf.DUMMYFUNCTION("""COMPUTED_VALUE"""),"Pendiente")</f>
        <v>Pendiente</v>
      </c>
      <c r="H901" s="16" t="str">
        <f t="array" ref="H901">_xlfn.XLOOKUP(D901,Productos[ID_Producto],Productos[Nombre_Producto])</f>
        <v>Cerveza</v>
      </c>
      <c r="I901" s="17">
        <f t="array" ref="I901">_xlfn.XLOOKUP(D901,Productos[ID_Producto],Productos[Precio_Unitario])</f>
        <v>11.54</v>
      </c>
      <c r="J901" s="17">
        <f t="shared" si="1"/>
        <v>23.08</v>
      </c>
      <c r="K901" s="16" t="str">
        <f t="array" ref="K901">_xlfn.XLOOKUP(C901,Clientes[ID_Cliente],Clientes[Provincia])</f>
        <v>Buenos Aires</v>
      </c>
      <c r="L901" s="16" t="str">
        <f t="array" ref="L901">CONCATENATE(_xlfn.XLOOKUP(C901,Clientes[ID_Cliente],Clientes[Provincia]),", Argentina")</f>
        <v>Buenos Aires, Argentina</v>
      </c>
      <c r="M901" s="20" t="str">
        <f t="array" ref="M901">_xlfn.XLOOKUP(F901,Metodos_De_Pago[ID_Metodo],Metodos_De_Pago[Metodo])</f>
        <v>Tarjeta de Débito</v>
      </c>
      <c r="N901" s="20" t="str">
        <f t="shared" si="2"/>
        <v>2024 10</v>
      </c>
    </row>
    <row r="902" ht="22.5" customHeight="1">
      <c r="A902" s="12">
        <f>IFERROR(__xludf.DUMMYFUNCTION("""COMPUTED_VALUE"""),1012.0)</f>
        <v>1012</v>
      </c>
      <c r="B902" s="13">
        <f>IFERROR(__xludf.DUMMYFUNCTION("""COMPUTED_VALUE"""),45574.0)</f>
        <v>45574</v>
      </c>
      <c r="C902" s="12">
        <f>IFERROR(__xludf.DUMMYFUNCTION("""COMPUTED_VALUE"""),127.0)</f>
        <v>127</v>
      </c>
      <c r="D902" s="12">
        <f>IFERROR(__xludf.DUMMYFUNCTION("""COMPUTED_VALUE"""),1.0)</f>
        <v>1</v>
      </c>
      <c r="E902" s="12">
        <f>IFERROR(__xludf.DUMMYFUNCTION("""COMPUTED_VALUE"""),2.0)</f>
        <v>2</v>
      </c>
      <c r="F902" s="12">
        <f>IFERROR(__xludf.DUMMYFUNCTION("""COMPUTED_VALUE"""),4.0)</f>
        <v>4</v>
      </c>
      <c r="G902" s="15" t="str">
        <f>IFERROR(__xludf.DUMMYFUNCTION("""COMPUTED_VALUE"""),"Completa")</f>
        <v>Completa</v>
      </c>
      <c r="H902" s="16" t="str">
        <f t="array" ref="H902">_xlfn.XLOOKUP(D902,Productos[ID_Producto],Productos[Nombre_Producto])</f>
        <v>Leche</v>
      </c>
      <c r="I902" s="17">
        <f t="array" ref="I902">_xlfn.XLOOKUP(D902,Productos[ID_Producto],Productos[Precio_Unitario])</f>
        <v>12.24</v>
      </c>
      <c r="J902" s="17">
        <f t="shared" si="1"/>
        <v>24.48</v>
      </c>
      <c r="K902" s="16" t="str">
        <f t="array" ref="K902">_xlfn.XLOOKUP(C902,Clientes[ID_Cliente],Clientes[Provincia])</f>
        <v>Buenos Aires</v>
      </c>
      <c r="L902" s="16" t="str">
        <f t="array" ref="L902">CONCATENATE(_xlfn.XLOOKUP(C902,Clientes[ID_Cliente],Clientes[Provincia]),", Argentina")</f>
        <v>Buenos Aires, Argentina</v>
      </c>
      <c r="M902" s="20" t="str">
        <f t="array" ref="M902">_xlfn.XLOOKUP(F902,Metodos_De_Pago[ID_Metodo],Metodos_De_Pago[Metodo])</f>
        <v>Mercado Pago</v>
      </c>
      <c r="N902" s="20" t="str">
        <f t="shared" si="2"/>
        <v>2024 10</v>
      </c>
    </row>
    <row r="903" ht="22.5" customHeight="1">
      <c r="A903" s="12">
        <f>IFERROR(__xludf.DUMMYFUNCTION("""COMPUTED_VALUE"""),1512.0)</f>
        <v>1512</v>
      </c>
      <c r="B903" s="13">
        <f>IFERROR(__xludf.DUMMYFUNCTION("""COMPUTED_VALUE"""),45574.0)</f>
        <v>45574</v>
      </c>
      <c r="C903" s="12">
        <f>IFERROR(__xludf.DUMMYFUNCTION("""COMPUTED_VALUE"""),91.0)</f>
        <v>91</v>
      </c>
      <c r="D903" s="12">
        <f>IFERROR(__xludf.DUMMYFUNCTION("""COMPUTED_VALUE"""),11.0)</f>
        <v>11</v>
      </c>
      <c r="E903" s="12">
        <f>IFERROR(__xludf.DUMMYFUNCTION("""COMPUTED_VALUE"""),2.0)</f>
        <v>2</v>
      </c>
      <c r="F903" s="12">
        <f>IFERROR(__xludf.DUMMYFUNCTION("""COMPUTED_VALUE"""),5.0)</f>
        <v>5</v>
      </c>
      <c r="G903" s="15" t="str">
        <f>IFERROR(__xludf.DUMMYFUNCTION("""COMPUTED_VALUE"""),"Completa")</f>
        <v>Completa</v>
      </c>
      <c r="H903" s="16" t="str">
        <f t="array" ref="H903">_xlfn.XLOOKUP(D903,Productos[ID_Producto],Productos[Nombre_Producto])</f>
        <v>Salchicha</v>
      </c>
      <c r="I903" s="17">
        <f t="array" ref="I903">_xlfn.XLOOKUP(D903,Productos[ID_Producto],Productos[Precio_Unitario])</f>
        <v>11.23</v>
      </c>
      <c r="J903" s="17">
        <f t="shared" si="1"/>
        <v>22.46</v>
      </c>
      <c r="K903" s="16" t="str">
        <f t="array" ref="K903">_xlfn.XLOOKUP(C903,Clientes[ID_Cliente],Clientes[Provincia])</f>
        <v>Buenos Aires</v>
      </c>
      <c r="L903" s="16" t="str">
        <f t="array" ref="L903">CONCATENATE(_xlfn.XLOOKUP(C903,Clientes[ID_Cliente],Clientes[Provincia]),", Argentina")</f>
        <v>Buenos Aires, Argentina</v>
      </c>
      <c r="M903" s="20" t="str">
        <f t="array" ref="M903">_xlfn.XLOOKUP(F903,Metodos_De_Pago[ID_Metodo],Metodos_De_Pago[Metodo])</f>
        <v>Transferencia</v>
      </c>
      <c r="N903" s="20" t="str">
        <f t="shared" si="2"/>
        <v>2024 10</v>
      </c>
    </row>
    <row r="904" ht="22.5" customHeight="1">
      <c r="A904" s="12">
        <f>IFERROR(__xludf.DUMMYFUNCTION("""COMPUTED_VALUE"""),363.0)</f>
        <v>363</v>
      </c>
      <c r="B904" s="13">
        <f>IFERROR(__xludf.DUMMYFUNCTION("""COMPUTED_VALUE"""),45575.0)</f>
        <v>45575</v>
      </c>
      <c r="C904" s="12">
        <f>IFERROR(__xludf.DUMMYFUNCTION("""COMPUTED_VALUE"""),219.0)</f>
        <v>219</v>
      </c>
      <c r="D904" s="12">
        <f>IFERROR(__xludf.DUMMYFUNCTION("""COMPUTED_VALUE"""),23.0)</f>
        <v>23</v>
      </c>
      <c r="E904" s="12">
        <f>IFERROR(__xludf.DUMMYFUNCTION("""COMPUTED_VALUE"""),2.0)</f>
        <v>2</v>
      </c>
      <c r="F904" s="12">
        <f>IFERROR(__xludf.DUMMYFUNCTION("""COMPUTED_VALUE"""),2.0)</f>
        <v>2</v>
      </c>
      <c r="G904" s="15" t="str">
        <f>IFERROR(__xludf.DUMMYFUNCTION("""COMPUTED_VALUE"""),"Completa")</f>
        <v>Completa</v>
      </c>
      <c r="H904" s="16" t="str">
        <f t="array" ref="H904">_xlfn.XLOOKUP(D904,Productos[ID_Producto],Productos[Nombre_Producto])</f>
        <v>Papas fritas</v>
      </c>
      <c r="I904" s="17">
        <f t="array" ref="I904">_xlfn.XLOOKUP(D904,Productos[ID_Producto],Productos[Precio_Unitario])</f>
        <v>8.23</v>
      </c>
      <c r="J904" s="17">
        <f t="shared" si="1"/>
        <v>16.46</v>
      </c>
      <c r="K904" s="16" t="str">
        <f t="array" ref="K904">_xlfn.XLOOKUP(C904,Clientes[ID_Cliente],Clientes[Provincia])</f>
        <v>Neuquén</v>
      </c>
      <c r="L904" s="16" t="str">
        <f t="array" ref="L904">CONCATENATE(_xlfn.XLOOKUP(C904,Clientes[ID_Cliente],Clientes[Provincia]),", Argentina")</f>
        <v>Neuquén, Argentina</v>
      </c>
      <c r="M904" s="20" t="str">
        <f t="array" ref="M904">_xlfn.XLOOKUP(F904,Metodos_De_Pago[ID_Metodo],Metodos_De_Pago[Metodo])</f>
        <v>Tarjeta de Crédito</v>
      </c>
      <c r="N904" s="20" t="str">
        <f t="shared" si="2"/>
        <v>2024 10</v>
      </c>
    </row>
    <row r="905" ht="22.5" customHeight="1">
      <c r="A905" s="12">
        <f>IFERROR(__xludf.DUMMYFUNCTION("""COMPUTED_VALUE"""),430.0)</f>
        <v>430</v>
      </c>
      <c r="B905" s="13">
        <f>IFERROR(__xludf.DUMMYFUNCTION("""COMPUTED_VALUE"""),45575.0)</f>
        <v>45575</v>
      </c>
      <c r="C905" s="12">
        <f>IFERROR(__xludf.DUMMYFUNCTION("""COMPUTED_VALUE"""),26.0)</f>
        <v>26</v>
      </c>
      <c r="D905" s="12">
        <f>IFERROR(__xludf.DUMMYFUNCTION("""COMPUTED_VALUE"""),25.0)</f>
        <v>25</v>
      </c>
      <c r="E905" s="12">
        <f>IFERROR(__xludf.DUMMYFUNCTION("""COMPUTED_VALUE"""),2.0)</f>
        <v>2</v>
      </c>
      <c r="F905" s="12">
        <f>IFERROR(__xludf.DUMMYFUNCTION("""COMPUTED_VALUE"""),5.0)</f>
        <v>5</v>
      </c>
      <c r="G905" s="15" t="str">
        <f>IFERROR(__xludf.DUMMYFUNCTION("""COMPUTED_VALUE"""),"Completa")</f>
        <v>Completa</v>
      </c>
      <c r="H905" s="16" t="str">
        <f t="array" ref="H905">_xlfn.XLOOKUP(D905,Productos[ID_Producto],Productos[Nombre_Producto])</f>
        <v>Pizza congelada</v>
      </c>
      <c r="I905" s="17">
        <f t="array" ref="I905">_xlfn.XLOOKUP(D905,Productos[ID_Producto],Productos[Precio_Unitario])</f>
        <v>15.45</v>
      </c>
      <c r="J905" s="17">
        <f t="shared" si="1"/>
        <v>30.9</v>
      </c>
      <c r="K905" s="16" t="str">
        <f t="array" ref="K905">_xlfn.XLOOKUP(C905,Clientes[ID_Cliente],Clientes[Provincia])</f>
        <v>Córdoba</v>
      </c>
      <c r="L905" s="16" t="str">
        <f t="array" ref="L905">CONCATENATE(_xlfn.XLOOKUP(C905,Clientes[ID_Cliente],Clientes[Provincia]),", Argentina")</f>
        <v>Córdoba, Argentina</v>
      </c>
      <c r="M905" s="20" t="str">
        <f t="array" ref="M905">_xlfn.XLOOKUP(F905,Metodos_De_Pago[ID_Metodo],Metodos_De_Pago[Metodo])</f>
        <v>Transferencia</v>
      </c>
      <c r="N905" s="20" t="str">
        <f t="shared" si="2"/>
        <v>2024 10</v>
      </c>
    </row>
    <row r="906" ht="22.5" customHeight="1">
      <c r="A906" s="12">
        <f>IFERROR(__xludf.DUMMYFUNCTION("""COMPUTED_VALUE"""),36.0)</f>
        <v>36</v>
      </c>
      <c r="B906" s="13">
        <f>IFERROR(__xludf.DUMMYFUNCTION("""COMPUTED_VALUE"""),45576.0)</f>
        <v>45576</v>
      </c>
      <c r="C906" s="12">
        <f>IFERROR(__xludf.DUMMYFUNCTION("""COMPUTED_VALUE"""),77.0)</f>
        <v>77</v>
      </c>
      <c r="D906" s="12">
        <f>IFERROR(__xludf.DUMMYFUNCTION("""COMPUTED_VALUE"""),27.0)</f>
        <v>27</v>
      </c>
      <c r="E906" s="12">
        <f>IFERROR(__xludf.DUMMYFUNCTION("""COMPUTED_VALUE"""),2.0)</f>
        <v>2</v>
      </c>
      <c r="F906" s="12">
        <f>IFERROR(__xludf.DUMMYFUNCTION("""COMPUTED_VALUE"""),1.0)</f>
        <v>1</v>
      </c>
      <c r="G906" s="15" t="str">
        <f>IFERROR(__xludf.DUMMYFUNCTION("""COMPUTED_VALUE"""),"Completa")</f>
        <v>Completa</v>
      </c>
      <c r="H906" s="16" t="str">
        <f t="array" ref="H906">_xlfn.XLOOKUP(D906,Productos[ID_Producto],Productos[Nombre_Producto])</f>
        <v>Agua mineral</v>
      </c>
      <c r="I906" s="17">
        <f t="array" ref="I906">_xlfn.XLOOKUP(D906,Productos[ID_Producto],Productos[Precio_Unitario])</f>
        <v>6.21</v>
      </c>
      <c r="J906" s="17">
        <f t="shared" si="1"/>
        <v>12.42</v>
      </c>
      <c r="K906" s="16" t="str">
        <f t="array" ref="K906">_xlfn.XLOOKUP(C906,Clientes[ID_Cliente],Clientes[Provincia])</f>
        <v>Buenos Aires</v>
      </c>
      <c r="L906" s="16" t="str">
        <f t="array" ref="L906">CONCATENATE(_xlfn.XLOOKUP(C906,Clientes[ID_Cliente],Clientes[Provincia]),", Argentina")</f>
        <v>Buenos Aires, Argentina</v>
      </c>
      <c r="M906" s="20" t="str">
        <f t="array" ref="M906">_xlfn.XLOOKUP(F906,Metodos_De_Pago[ID_Metodo],Metodos_De_Pago[Metodo])</f>
        <v>Efectivo</v>
      </c>
      <c r="N906" s="20" t="str">
        <f t="shared" si="2"/>
        <v>2024 10</v>
      </c>
    </row>
    <row r="907" ht="22.5" customHeight="1">
      <c r="A907" s="12">
        <f>IFERROR(__xludf.DUMMYFUNCTION("""COMPUTED_VALUE"""),285.0)</f>
        <v>285</v>
      </c>
      <c r="B907" s="13">
        <f>IFERROR(__xludf.DUMMYFUNCTION("""COMPUTED_VALUE"""),45576.0)</f>
        <v>45576</v>
      </c>
      <c r="C907" s="12">
        <f>IFERROR(__xludf.DUMMYFUNCTION("""COMPUTED_VALUE"""),239.0)</f>
        <v>239</v>
      </c>
      <c r="D907" s="12">
        <f>IFERROR(__xludf.DUMMYFUNCTION("""COMPUTED_VALUE"""),15.0)</f>
        <v>15</v>
      </c>
      <c r="E907" s="12">
        <f>IFERROR(__xludf.DUMMYFUNCTION("""COMPUTED_VALUE"""),2.0)</f>
        <v>2</v>
      </c>
      <c r="F907" s="12">
        <f>IFERROR(__xludf.DUMMYFUNCTION("""COMPUTED_VALUE"""),1.0)</f>
        <v>1</v>
      </c>
      <c r="G907" s="15" t="str">
        <f>IFERROR(__xludf.DUMMYFUNCTION("""COMPUTED_VALUE"""),"Completa")</f>
        <v>Completa</v>
      </c>
      <c r="H907" s="16" t="str">
        <f t="array" ref="H907">_xlfn.XLOOKUP(D907,Productos[ID_Producto],Productos[Nombre_Producto])</f>
        <v>Medialunas</v>
      </c>
      <c r="I907" s="17">
        <f t="array" ref="I907">_xlfn.XLOOKUP(D907,Productos[ID_Producto],Productos[Precio_Unitario])</f>
        <v>3.51</v>
      </c>
      <c r="J907" s="17">
        <f t="shared" si="1"/>
        <v>7.02</v>
      </c>
      <c r="K907" s="16" t="str">
        <f t="array" ref="K907">_xlfn.XLOOKUP(C907,Clientes[ID_Cliente],Clientes[Provincia])</f>
        <v>Buenos Aires</v>
      </c>
      <c r="L907" s="16" t="str">
        <f t="array" ref="L907">CONCATENATE(_xlfn.XLOOKUP(C907,Clientes[ID_Cliente],Clientes[Provincia]),", Argentina")</f>
        <v>Buenos Aires, Argentina</v>
      </c>
      <c r="M907" s="20" t="str">
        <f t="array" ref="M907">_xlfn.XLOOKUP(F907,Metodos_De_Pago[ID_Metodo],Metodos_De_Pago[Metodo])</f>
        <v>Efectivo</v>
      </c>
      <c r="N907" s="20" t="str">
        <f t="shared" si="2"/>
        <v>2024 10</v>
      </c>
    </row>
    <row r="908" ht="22.5" customHeight="1">
      <c r="A908" s="12">
        <f>IFERROR(__xludf.DUMMYFUNCTION("""COMPUTED_VALUE"""),1701.0)</f>
        <v>1701</v>
      </c>
      <c r="B908" s="13">
        <f>IFERROR(__xludf.DUMMYFUNCTION("""COMPUTED_VALUE"""),45576.0)</f>
        <v>45576</v>
      </c>
      <c r="C908" s="12">
        <f>IFERROR(__xludf.DUMMYFUNCTION("""COMPUTED_VALUE"""),200.0)</f>
        <v>200</v>
      </c>
      <c r="D908" s="12">
        <f>IFERROR(__xludf.DUMMYFUNCTION("""COMPUTED_VALUE"""),3.0)</f>
        <v>3</v>
      </c>
      <c r="E908" s="12">
        <f>IFERROR(__xludf.DUMMYFUNCTION("""COMPUTED_VALUE"""),2.0)</f>
        <v>2</v>
      </c>
      <c r="F908" s="12">
        <f>IFERROR(__xludf.DUMMYFUNCTION("""COMPUTED_VALUE"""),5.0)</f>
        <v>5</v>
      </c>
      <c r="G908" s="15" t="str">
        <f>IFERROR(__xludf.DUMMYFUNCTION("""COMPUTED_VALUE"""),"Pendiente")</f>
        <v>Pendiente</v>
      </c>
      <c r="H908" s="16" t="str">
        <f t="array" ref="H908">_xlfn.XLOOKUP(D908,Productos[ID_Producto],Productos[Nombre_Producto])</f>
        <v>Queso cremoso</v>
      </c>
      <c r="I908" s="17">
        <f t="array" ref="I908">_xlfn.XLOOKUP(D908,Productos[ID_Producto],Productos[Precio_Unitario])</f>
        <v>17.23</v>
      </c>
      <c r="J908" s="17">
        <f t="shared" si="1"/>
        <v>34.46</v>
      </c>
      <c r="K908" s="16" t="str">
        <f t="array" ref="K908">_xlfn.XLOOKUP(C908,Clientes[ID_Cliente],Clientes[Provincia])</f>
        <v>Córdoba</v>
      </c>
      <c r="L908" s="16" t="str">
        <f t="array" ref="L908">CONCATENATE(_xlfn.XLOOKUP(C908,Clientes[ID_Cliente],Clientes[Provincia]),", Argentina")</f>
        <v>Córdoba, Argentina</v>
      </c>
      <c r="M908" s="20" t="str">
        <f t="array" ref="M908">_xlfn.XLOOKUP(F908,Metodos_De_Pago[ID_Metodo],Metodos_De_Pago[Metodo])</f>
        <v>Transferencia</v>
      </c>
      <c r="N908" s="20" t="str">
        <f t="shared" si="2"/>
        <v>2024 10</v>
      </c>
    </row>
    <row r="909" ht="22.5" customHeight="1">
      <c r="A909" s="12">
        <f>IFERROR(__xludf.DUMMYFUNCTION("""COMPUTED_VALUE"""),2710.0)</f>
        <v>2710</v>
      </c>
      <c r="B909" s="13">
        <f>IFERROR(__xludf.DUMMYFUNCTION("""COMPUTED_VALUE"""),45576.0)</f>
        <v>45576</v>
      </c>
      <c r="C909" s="12">
        <f>IFERROR(__xludf.DUMMYFUNCTION("""COMPUTED_VALUE"""),5.0)</f>
        <v>5</v>
      </c>
      <c r="D909" s="12">
        <f>IFERROR(__xludf.DUMMYFUNCTION("""COMPUTED_VALUE"""),8.0)</f>
        <v>8</v>
      </c>
      <c r="E909" s="12">
        <f>IFERROR(__xludf.DUMMYFUNCTION("""COMPUTED_VALUE"""),2.0)</f>
        <v>2</v>
      </c>
      <c r="F909" s="12">
        <f>IFERROR(__xludf.DUMMYFUNCTION("""COMPUTED_VALUE"""),5.0)</f>
        <v>5</v>
      </c>
      <c r="G909" s="15" t="str">
        <f>IFERROR(__xludf.DUMMYFUNCTION("""COMPUTED_VALUE"""),"Completa")</f>
        <v>Completa</v>
      </c>
      <c r="H909" s="16" t="str">
        <f t="array" ref="H909">_xlfn.XLOOKUP(D909,Productos[ID_Producto],Productos[Nombre_Producto])</f>
        <v>Milanesa</v>
      </c>
      <c r="I909" s="17">
        <f t="array" ref="I909">_xlfn.XLOOKUP(D909,Productos[ID_Producto],Productos[Precio_Unitario])</f>
        <v>16.21</v>
      </c>
      <c r="J909" s="17">
        <f t="shared" si="1"/>
        <v>32.42</v>
      </c>
      <c r="K909" s="16" t="str">
        <f t="array" ref="K909">_xlfn.XLOOKUP(C909,Clientes[ID_Cliente],Clientes[Provincia])</f>
        <v>Córdoba</v>
      </c>
      <c r="L909" s="16" t="str">
        <f t="array" ref="L909">CONCATENATE(_xlfn.XLOOKUP(C909,Clientes[ID_Cliente],Clientes[Provincia]),", Argentina")</f>
        <v>Córdoba, Argentina</v>
      </c>
      <c r="M909" s="20" t="str">
        <f t="array" ref="M909">_xlfn.XLOOKUP(F909,Metodos_De_Pago[ID_Metodo],Metodos_De_Pago[Metodo])</f>
        <v>Transferencia</v>
      </c>
      <c r="N909" s="20" t="str">
        <f t="shared" si="2"/>
        <v>2024 10</v>
      </c>
    </row>
    <row r="910" ht="22.5" customHeight="1">
      <c r="A910" s="12">
        <f>IFERROR(__xludf.DUMMYFUNCTION("""COMPUTED_VALUE"""),2387.0)</f>
        <v>2387</v>
      </c>
      <c r="B910" s="13">
        <f>IFERROR(__xludf.DUMMYFUNCTION("""COMPUTED_VALUE"""),45577.0)</f>
        <v>45577</v>
      </c>
      <c r="C910" s="12">
        <f>IFERROR(__xludf.DUMMYFUNCTION("""COMPUTED_VALUE"""),22.0)</f>
        <v>22</v>
      </c>
      <c r="D910" s="12">
        <f>IFERROR(__xludf.DUMMYFUNCTION("""COMPUTED_VALUE"""),32.0)</f>
        <v>32</v>
      </c>
      <c r="E910" s="12">
        <f>IFERROR(__xludf.DUMMYFUNCTION("""COMPUTED_VALUE"""),2.0)</f>
        <v>2</v>
      </c>
      <c r="F910" s="12">
        <f>IFERROR(__xludf.DUMMYFUNCTION("""COMPUTED_VALUE"""),4.0)</f>
        <v>4</v>
      </c>
      <c r="G910" s="15" t="str">
        <f>IFERROR(__xludf.DUMMYFUNCTION("""COMPUTED_VALUE"""),"Completa")</f>
        <v>Completa</v>
      </c>
      <c r="H910" s="16" t="str">
        <f t="array" ref="H910">_xlfn.XLOOKUP(D910,Productos[ID_Producto],Productos[Nombre_Producto])</f>
        <v>Galletitas de chocolate</v>
      </c>
      <c r="I910" s="17">
        <f t="array" ref="I910">_xlfn.XLOOKUP(D910,Productos[ID_Producto],Productos[Precio_Unitario])</f>
        <v>6.25</v>
      </c>
      <c r="J910" s="17">
        <f t="shared" si="1"/>
        <v>12.5</v>
      </c>
      <c r="K910" s="16" t="str">
        <f t="array" ref="K910">_xlfn.XLOOKUP(C910,Clientes[ID_Cliente],Clientes[Provincia])</f>
        <v>Córdoba</v>
      </c>
      <c r="L910" s="16" t="str">
        <f t="array" ref="L910">CONCATENATE(_xlfn.XLOOKUP(C910,Clientes[ID_Cliente],Clientes[Provincia]),", Argentina")</f>
        <v>Córdoba, Argentina</v>
      </c>
      <c r="M910" s="20" t="str">
        <f t="array" ref="M910">_xlfn.XLOOKUP(F910,Metodos_De_Pago[ID_Metodo],Metodos_De_Pago[Metodo])</f>
        <v>Mercado Pago</v>
      </c>
      <c r="N910" s="20" t="str">
        <f t="shared" si="2"/>
        <v>2024 10</v>
      </c>
    </row>
    <row r="911" ht="22.5" customHeight="1">
      <c r="A911" s="12">
        <f>IFERROR(__xludf.DUMMYFUNCTION("""COMPUTED_VALUE"""),856.0)</f>
        <v>856</v>
      </c>
      <c r="B911" s="13">
        <f>IFERROR(__xludf.DUMMYFUNCTION("""COMPUTED_VALUE"""),45579.0)</f>
        <v>45579</v>
      </c>
      <c r="C911" s="12">
        <f>IFERROR(__xludf.DUMMYFUNCTION("""COMPUTED_VALUE"""),27.0)</f>
        <v>27</v>
      </c>
      <c r="D911" s="12">
        <f>IFERROR(__xludf.DUMMYFUNCTION("""COMPUTED_VALUE"""),19.0)</f>
        <v>19</v>
      </c>
      <c r="E911" s="12">
        <f>IFERROR(__xludf.DUMMYFUNCTION("""COMPUTED_VALUE"""),2.0)</f>
        <v>2</v>
      </c>
      <c r="F911" s="12">
        <f>IFERROR(__xludf.DUMMYFUNCTION("""COMPUTED_VALUE"""),5.0)</f>
        <v>5</v>
      </c>
      <c r="G911" s="15" t="str">
        <f>IFERROR(__xludf.DUMMYFUNCTION("""COMPUTED_VALUE"""),"Completa")</f>
        <v>Completa</v>
      </c>
      <c r="H911" s="16" t="str">
        <f t="array" ref="H911">_xlfn.XLOOKUP(D911,Productos[ID_Producto],Productos[Nombre_Producto])</f>
        <v>Tomates</v>
      </c>
      <c r="I911" s="17">
        <f t="array" ref="I911">_xlfn.XLOOKUP(D911,Productos[ID_Producto],Productos[Precio_Unitario])</f>
        <v>6.54</v>
      </c>
      <c r="J911" s="17">
        <f t="shared" si="1"/>
        <v>13.08</v>
      </c>
      <c r="K911" s="16" t="str">
        <f t="array" ref="K911">_xlfn.XLOOKUP(C911,Clientes[ID_Cliente],Clientes[Provincia])</f>
        <v>Buenos Aires</v>
      </c>
      <c r="L911" s="16" t="str">
        <f t="array" ref="L911">CONCATENATE(_xlfn.XLOOKUP(C911,Clientes[ID_Cliente],Clientes[Provincia]),", Argentina")</f>
        <v>Buenos Aires, Argentina</v>
      </c>
      <c r="M911" s="20" t="str">
        <f t="array" ref="M911">_xlfn.XLOOKUP(F911,Metodos_De_Pago[ID_Metodo],Metodos_De_Pago[Metodo])</f>
        <v>Transferencia</v>
      </c>
      <c r="N911" s="20" t="str">
        <f t="shared" si="2"/>
        <v>2024 10</v>
      </c>
    </row>
    <row r="912" ht="22.5" customHeight="1">
      <c r="A912" s="12">
        <f>IFERROR(__xludf.DUMMYFUNCTION("""COMPUTED_VALUE"""),921.0)</f>
        <v>921</v>
      </c>
      <c r="B912" s="13">
        <f>IFERROR(__xludf.DUMMYFUNCTION("""COMPUTED_VALUE"""),45579.0)</f>
        <v>45579</v>
      </c>
      <c r="C912" s="12">
        <f>IFERROR(__xludf.DUMMYFUNCTION("""COMPUTED_VALUE"""),46.0)</f>
        <v>46</v>
      </c>
      <c r="D912" s="12">
        <f>IFERROR(__xludf.DUMMYFUNCTION("""COMPUTED_VALUE"""),21.0)</f>
        <v>21</v>
      </c>
      <c r="E912" s="12">
        <f>IFERROR(__xludf.DUMMYFUNCTION("""COMPUTED_VALUE"""),2.0)</f>
        <v>2</v>
      </c>
      <c r="F912" s="12">
        <f>IFERROR(__xludf.DUMMYFUNCTION("""COMPUTED_VALUE"""),5.0)</f>
        <v>5</v>
      </c>
      <c r="G912" s="15" t="str">
        <f>IFERROR(__xludf.DUMMYFUNCTION("""COMPUTED_VALUE"""),"Completa")</f>
        <v>Completa</v>
      </c>
      <c r="H912" s="16" t="str">
        <f t="array" ref="H912">_xlfn.XLOOKUP(D912,Productos[ID_Producto],Productos[Nombre_Producto])</f>
        <v>Zanahorias</v>
      </c>
      <c r="I912" s="17">
        <f t="array" ref="I912">_xlfn.XLOOKUP(D912,Productos[ID_Producto],Productos[Precio_Unitario])</f>
        <v>3.25</v>
      </c>
      <c r="J912" s="17">
        <f t="shared" si="1"/>
        <v>6.5</v>
      </c>
      <c r="K912" s="16" t="str">
        <f t="array" ref="K912">_xlfn.XLOOKUP(C912,Clientes[ID_Cliente],Clientes[Provincia])</f>
        <v>Córdoba</v>
      </c>
      <c r="L912" s="16" t="str">
        <f t="array" ref="L912">CONCATENATE(_xlfn.XLOOKUP(C912,Clientes[ID_Cliente],Clientes[Provincia]),", Argentina")</f>
        <v>Córdoba, Argentina</v>
      </c>
      <c r="M912" s="20" t="str">
        <f t="array" ref="M912">_xlfn.XLOOKUP(F912,Metodos_De_Pago[ID_Metodo],Metodos_De_Pago[Metodo])</f>
        <v>Transferencia</v>
      </c>
      <c r="N912" s="20" t="str">
        <f t="shared" si="2"/>
        <v>2024 10</v>
      </c>
    </row>
    <row r="913" ht="22.5" customHeight="1">
      <c r="A913" s="12">
        <f>IFERROR(__xludf.DUMMYFUNCTION("""COMPUTED_VALUE"""),1585.0)</f>
        <v>1585</v>
      </c>
      <c r="B913" s="13">
        <f>IFERROR(__xludf.DUMMYFUNCTION("""COMPUTED_VALUE"""),45579.0)</f>
        <v>45579</v>
      </c>
      <c r="C913" s="12">
        <f>IFERROR(__xludf.DUMMYFUNCTION("""COMPUTED_VALUE"""),297.0)</f>
        <v>297</v>
      </c>
      <c r="D913" s="12">
        <f>IFERROR(__xludf.DUMMYFUNCTION("""COMPUTED_VALUE"""),9.0)</f>
        <v>9</v>
      </c>
      <c r="E913" s="12">
        <f>IFERROR(__xludf.DUMMYFUNCTION("""COMPUTED_VALUE"""),2.0)</f>
        <v>2</v>
      </c>
      <c r="F913" s="12">
        <f>IFERROR(__xludf.DUMMYFUNCTION("""COMPUTED_VALUE"""),4.0)</f>
        <v>4</v>
      </c>
      <c r="G913" s="15" t="str">
        <f>IFERROR(__xludf.DUMMYFUNCTION("""COMPUTED_VALUE"""),"Completa")</f>
        <v>Completa</v>
      </c>
      <c r="H913" s="16" t="str">
        <f t="array" ref="H913">_xlfn.XLOOKUP(D913,Productos[ID_Producto],Productos[Nombre_Producto])</f>
        <v>Pollo</v>
      </c>
      <c r="I913" s="17">
        <f t="array" ref="I913">_xlfn.XLOOKUP(D913,Productos[ID_Producto],Productos[Precio_Unitario])</f>
        <v>18.56</v>
      </c>
      <c r="J913" s="17">
        <f t="shared" si="1"/>
        <v>37.12</v>
      </c>
      <c r="K913" s="16" t="str">
        <f t="array" ref="K913">_xlfn.XLOOKUP(C913,Clientes[ID_Cliente],Clientes[Provincia])</f>
        <v>Buenos Aires</v>
      </c>
      <c r="L913" s="16" t="str">
        <f t="array" ref="L913">CONCATENATE(_xlfn.XLOOKUP(C913,Clientes[ID_Cliente],Clientes[Provincia]),", Argentina")</f>
        <v>Buenos Aires, Argentina</v>
      </c>
      <c r="M913" s="20" t="str">
        <f t="array" ref="M913">_xlfn.XLOOKUP(F913,Metodos_De_Pago[ID_Metodo],Metodos_De_Pago[Metodo])</f>
        <v>Mercado Pago</v>
      </c>
      <c r="N913" s="20" t="str">
        <f t="shared" si="2"/>
        <v>2024 10</v>
      </c>
    </row>
    <row r="914" ht="22.5" customHeight="1">
      <c r="A914" s="12">
        <f>IFERROR(__xludf.DUMMYFUNCTION("""COMPUTED_VALUE"""),918.0)</f>
        <v>918</v>
      </c>
      <c r="B914" s="13">
        <f>IFERROR(__xludf.DUMMYFUNCTION("""COMPUTED_VALUE"""),45580.0)</f>
        <v>45580</v>
      </c>
      <c r="C914" s="12">
        <f>IFERROR(__xludf.DUMMYFUNCTION("""COMPUTED_VALUE"""),61.0)</f>
        <v>61</v>
      </c>
      <c r="D914" s="12">
        <f>IFERROR(__xludf.DUMMYFUNCTION("""COMPUTED_VALUE"""),11.0)</f>
        <v>11</v>
      </c>
      <c r="E914" s="12">
        <f>IFERROR(__xludf.DUMMYFUNCTION("""COMPUTED_VALUE"""),2.0)</f>
        <v>2</v>
      </c>
      <c r="F914" s="12">
        <f>IFERROR(__xludf.DUMMYFUNCTION("""COMPUTED_VALUE"""),1.0)</f>
        <v>1</v>
      </c>
      <c r="G914" s="15" t="str">
        <f>IFERROR(__xludf.DUMMYFUNCTION("""COMPUTED_VALUE"""),"Completa")</f>
        <v>Completa</v>
      </c>
      <c r="H914" s="16" t="str">
        <f t="array" ref="H914">_xlfn.XLOOKUP(D914,Productos[ID_Producto],Productos[Nombre_Producto])</f>
        <v>Salchicha</v>
      </c>
      <c r="I914" s="17">
        <f t="array" ref="I914">_xlfn.XLOOKUP(D914,Productos[ID_Producto],Productos[Precio_Unitario])</f>
        <v>11.23</v>
      </c>
      <c r="J914" s="17">
        <f t="shared" si="1"/>
        <v>22.46</v>
      </c>
      <c r="K914" s="16" t="str">
        <f t="array" ref="K914">_xlfn.XLOOKUP(C914,Clientes[ID_Cliente],Clientes[Provincia])</f>
        <v>Buenos Aires</v>
      </c>
      <c r="L914" s="16" t="str">
        <f t="array" ref="L914">CONCATENATE(_xlfn.XLOOKUP(C914,Clientes[ID_Cliente],Clientes[Provincia]),", Argentina")</f>
        <v>Buenos Aires, Argentina</v>
      </c>
      <c r="M914" s="20" t="str">
        <f t="array" ref="M914">_xlfn.XLOOKUP(F914,Metodos_De_Pago[ID_Metodo],Metodos_De_Pago[Metodo])</f>
        <v>Efectivo</v>
      </c>
      <c r="N914" s="20" t="str">
        <f t="shared" si="2"/>
        <v>2024 10</v>
      </c>
    </row>
    <row r="915" ht="22.5" customHeight="1">
      <c r="A915" s="12">
        <f>IFERROR(__xludf.DUMMYFUNCTION("""COMPUTED_VALUE"""),1469.0)</f>
        <v>1469</v>
      </c>
      <c r="B915" s="13">
        <f>IFERROR(__xludf.DUMMYFUNCTION("""COMPUTED_VALUE"""),45580.0)</f>
        <v>45580</v>
      </c>
      <c r="C915" s="12">
        <f>IFERROR(__xludf.DUMMYFUNCTION("""COMPUTED_VALUE"""),104.0)</f>
        <v>104</v>
      </c>
      <c r="D915" s="12">
        <f>IFERROR(__xludf.DUMMYFUNCTION("""COMPUTED_VALUE"""),25.0)</f>
        <v>25</v>
      </c>
      <c r="E915" s="12">
        <f>IFERROR(__xludf.DUMMYFUNCTION("""COMPUTED_VALUE"""),2.0)</f>
        <v>2</v>
      </c>
      <c r="F915" s="12">
        <f>IFERROR(__xludf.DUMMYFUNCTION("""COMPUTED_VALUE"""),3.0)</f>
        <v>3</v>
      </c>
      <c r="G915" s="15" t="str">
        <f>IFERROR(__xludf.DUMMYFUNCTION("""COMPUTED_VALUE"""),"Completa")</f>
        <v>Completa</v>
      </c>
      <c r="H915" s="16" t="str">
        <f t="array" ref="H915">_xlfn.XLOOKUP(D915,Productos[ID_Producto],Productos[Nombre_Producto])</f>
        <v>Pizza congelada</v>
      </c>
      <c r="I915" s="17">
        <f t="array" ref="I915">_xlfn.XLOOKUP(D915,Productos[ID_Producto],Productos[Precio_Unitario])</f>
        <v>15.45</v>
      </c>
      <c r="J915" s="17">
        <f t="shared" si="1"/>
        <v>30.9</v>
      </c>
      <c r="K915" s="16" t="str">
        <f t="array" ref="K915">_xlfn.XLOOKUP(C915,Clientes[ID_Cliente],Clientes[Provincia])</f>
        <v>Buenos Aires</v>
      </c>
      <c r="L915" s="16" t="str">
        <f t="array" ref="L915">CONCATENATE(_xlfn.XLOOKUP(C915,Clientes[ID_Cliente],Clientes[Provincia]),", Argentina")</f>
        <v>Buenos Aires, Argentina</v>
      </c>
      <c r="M915" s="20" t="str">
        <f t="array" ref="M915">_xlfn.XLOOKUP(F915,Metodos_De_Pago[ID_Metodo],Metodos_De_Pago[Metodo])</f>
        <v>Tarjeta de Débito</v>
      </c>
      <c r="N915" s="20" t="str">
        <f t="shared" si="2"/>
        <v>2024 10</v>
      </c>
    </row>
    <row r="916" ht="22.5" customHeight="1">
      <c r="A916" s="12">
        <f>IFERROR(__xludf.DUMMYFUNCTION("""COMPUTED_VALUE"""),2818.0)</f>
        <v>2818</v>
      </c>
      <c r="B916" s="13">
        <f>IFERROR(__xludf.DUMMYFUNCTION("""COMPUTED_VALUE"""),45580.0)</f>
        <v>45580</v>
      </c>
      <c r="C916" s="12">
        <f>IFERROR(__xludf.DUMMYFUNCTION("""COMPUTED_VALUE"""),310.0)</f>
        <v>310</v>
      </c>
      <c r="D916" s="12">
        <f>IFERROR(__xludf.DUMMYFUNCTION("""COMPUTED_VALUE"""),30.0)</f>
        <v>30</v>
      </c>
      <c r="E916" s="12">
        <f>IFERROR(__xludf.DUMMYFUNCTION("""COMPUTED_VALUE"""),2.0)</f>
        <v>2</v>
      </c>
      <c r="F916" s="12">
        <f>IFERROR(__xludf.DUMMYFUNCTION("""COMPUTED_VALUE"""),4.0)</f>
        <v>4</v>
      </c>
      <c r="G916" s="15" t="str">
        <f>IFERROR(__xludf.DUMMYFUNCTION("""COMPUTED_VALUE"""),"Completa")</f>
        <v>Completa</v>
      </c>
      <c r="H916" s="16" t="str">
        <f t="array" ref="H916">_xlfn.XLOOKUP(D916,Productos[ID_Producto],Productos[Nombre_Producto])</f>
        <v>Vino tinto</v>
      </c>
      <c r="I916" s="17">
        <f t="array" ref="I916">_xlfn.XLOOKUP(D916,Productos[ID_Producto],Productos[Precio_Unitario])</f>
        <v>13.54</v>
      </c>
      <c r="J916" s="17">
        <f t="shared" si="1"/>
        <v>27.08</v>
      </c>
      <c r="K916" s="16" t="str">
        <f t="array" ref="K916">_xlfn.XLOOKUP(C916,Clientes[ID_Cliente],Clientes[Provincia])</f>
        <v>Neuquén</v>
      </c>
      <c r="L916" s="16" t="str">
        <f t="array" ref="L916">CONCATENATE(_xlfn.XLOOKUP(C916,Clientes[ID_Cliente],Clientes[Provincia]),", Argentina")</f>
        <v>Neuquén, Argentina</v>
      </c>
      <c r="M916" s="20" t="str">
        <f t="array" ref="M916">_xlfn.XLOOKUP(F916,Metodos_De_Pago[ID_Metodo],Metodos_De_Pago[Metodo])</f>
        <v>Mercado Pago</v>
      </c>
      <c r="N916" s="20" t="str">
        <f t="shared" si="2"/>
        <v>2024 10</v>
      </c>
    </row>
    <row r="917" ht="22.5" customHeight="1">
      <c r="A917" s="12">
        <f>IFERROR(__xludf.DUMMYFUNCTION("""COMPUTED_VALUE"""),2847.0)</f>
        <v>2847</v>
      </c>
      <c r="B917" s="13">
        <f>IFERROR(__xludf.DUMMYFUNCTION("""COMPUTED_VALUE"""),45580.0)</f>
        <v>45580</v>
      </c>
      <c r="C917" s="12">
        <f>IFERROR(__xludf.DUMMYFUNCTION("""COMPUTED_VALUE"""),180.0)</f>
        <v>180</v>
      </c>
      <c r="D917" s="12">
        <f>IFERROR(__xludf.DUMMYFUNCTION("""COMPUTED_VALUE"""),15.0)</f>
        <v>15</v>
      </c>
      <c r="E917" s="12">
        <f>IFERROR(__xludf.DUMMYFUNCTION("""COMPUTED_VALUE"""),2.0)</f>
        <v>2</v>
      </c>
      <c r="F917" s="12">
        <f>IFERROR(__xludf.DUMMYFUNCTION("""COMPUTED_VALUE"""),5.0)</f>
        <v>5</v>
      </c>
      <c r="G917" s="15" t="str">
        <f>IFERROR(__xludf.DUMMYFUNCTION("""COMPUTED_VALUE"""),"Completa")</f>
        <v>Completa</v>
      </c>
      <c r="H917" s="16" t="str">
        <f t="array" ref="H917">_xlfn.XLOOKUP(D917,Productos[ID_Producto],Productos[Nombre_Producto])</f>
        <v>Medialunas</v>
      </c>
      <c r="I917" s="17">
        <f t="array" ref="I917">_xlfn.XLOOKUP(D917,Productos[ID_Producto],Productos[Precio_Unitario])</f>
        <v>3.51</v>
      </c>
      <c r="J917" s="17">
        <f t="shared" si="1"/>
        <v>7.02</v>
      </c>
      <c r="K917" s="16" t="str">
        <f t="array" ref="K917">_xlfn.XLOOKUP(C917,Clientes[ID_Cliente],Clientes[Provincia])</f>
        <v>Buenos Aires</v>
      </c>
      <c r="L917" s="16" t="str">
        <f t="array" ref="L917">CONCATENATE(_xlfn.XLOOKUP(C917,Clientes[ID_Cliente],Clientes[Provincia]),", Argentina")</f>
        <v>Buenos Aires, Argentina</v>
      </c>
      <c r="M917" s="20" t="str">
        <f t="array" ref="M917">_xlfn.XLOOKUP(F917,Metodos_De_Pago[ID_Metodo],Metodos_De_Pago[Metodo])</f>
        <v>Transferencia</v>
      </c>
      <c r="N917" s="20" t="str">
        <f t="shared" si="2"/>
        <v>2024 10</v>
      </c>
    </row>
    <row r="918" ht="22.5" customHeight="1">
      <c r="A918" s="12">
        <f>IFERROR(__xludf.DUMMYFUNCTION("""COMPUTED_VALUE"""),1277.0)</f>
        <v>1277</v>
      </c>
      <c r="B918" s="13">
        <f>IFERROR(__xludf.DUMMYFUNCTION("""COMPUTED_VALUE"""),45581.0)</f>
        <v>45581</v>
      </c>
      <c r="C918" s="12">
        <f>IFERROR(__xludf.DUMMYFUNCTION("""COMPUTED_VALUE"""),163.0)</f>
        <v>163</v>
      </c>
      <c r="D918" s="12">
        <f>IFERROR(__xludf.DUMMYFUNCTION("""COMPUTED_VALUE"""),2.0)</f>
        <v>2</v>
      </c>
      <c r="E918" s="12">
        <f>IFERROR(__xludf.DUMMYFUNCTION("""COMPUTED_VALUE"""),2.0)</f>
        <v>2</v>
      </c>
      <c r="F918" s="12">
        <f>IFERROR(__xludf.DUMMYFUNCTION("""COMPUTED_VALUE"""),4.0)</f>
        <v>4</v>
      </c>
      <c r="G918" s="15" t="str">
        <f>IFERROR(__xludf.DUMMYFUNCTION("""COMPUTED_VALUE"""),"Completa")</f>
        <v>Completa</v>
      </c>
      <c r="H918" s="16" t="str">
        <f t="array" ref="H918">_xlfn.XLOOKUP(D918,Productos[ID_Producto],Productos[Nombre_Producto])</f>
        <v>Yogur</v>
      </c>
      <c r="I918" s="17">
        <f t="array" ref="I918">_xlfn.XLOOKUP(D918,Productos[ID_Producto],Productos[Precio_Unitario])</f>
        <v>5.21</v>
      </c>
      <c r="J918" s="17">
        <f t="shared" si="1"/>
        <v>10.42</v>
      </c>
      <c r="K918" s="16" t="str">
        <f t="array" ref="K918">_xlfn.XLOOKUP(C918,Clientes[ID_Cliente],Clientes[Provincia])</f>
        <v>Buenos Aires</v>
      </c>
      <c r="L918" s="16" t="str">
        <f t="array" ref="L918">CONCATENATE(_xlfn.XLOOKUP(C918,Clientes[ID_Cliente],Clientes[Provincia]),", Argentina")</f>
        <v>Buenos Aires, Argentina</v>
      </c>
      <c r="M918" s="20" t="str">
        <f t="array" ref="M918">_xlfn.XLOOKUP(F918,Metodos_De_Pago[ID_Metodo],Metodos_De_Pago[Metodo])</f>
        <v>Mercado Pago</v>
      </c>
      <c r="N918" s="20" t="str">
        <f t="shared" si="2"/>
        <v>2024 10</v>
      </c>
    </row>
    <row r="919" ht="22.5" customHeight="1">
      <c r="A919" s="12">
        <f>IFERROR(__xludf.DUMMYFUNCTION("""COMPUTED_VALUE"""),1322.0)</f>
        <v>1322</v>
      </c>
      <c r="B919" s="13">
        <f>IFERROR(__xludf.DUMMYFUNCTION("""COMPUTED_VALUE"""),45581.0)</f>
        <v>45581</v>
      </c>
      <c r="C919" s="12">
        <f>IFERROR(__xludf.DUMMYFUNCTION("""COMPUTED_VALUE"""),60.0)</f>
        <v>60</v>
      </c>
      <c r="D919" s="12">
        <f>IFERROR(__xludf.DUMMYFUNCTION("""COMPUTED_VALUE"""),21.0)</f>
        <v>21</v>
      </c>
      <c r="E919" s="12">
        <f>IFERROR(__xludf.DUMMYFUNCTION("""COMPUTED_VALUE"""),2.0)</f>
        <v>2</v>
      </c>
      <c r="F919" s="12">
        <f>IFERROR(__xludf.DUMMYFUNCTION("""COMPUTED_VALUE"""),4.0)</f>
        <v>4</v>
      </c>
      <c r="G919" s="15" t="str">
        <f>IFERROR(__xludf.DUMMYFUNCTION("""COMPUTED_VALUE"""),"Pendiente")</f>
        <v>Pendiente</v>
      </c>
      <c r="H919" s="16" t="str">
        <f t="array" ref="H919">_xlfn.XLOOKUP(D919,Productos[ID_Producto],Productos[Nombre_Producto])</f>
        <v>Zanahorias</v>
      </c>
      <c r="I919" s="17">
        <f t="array" ref="I919">_xlfn.XLOOKUP(D919,Productos[ID_Producto],Productos[Precio_Unitario])</f>
        <v>3.25</v>
      </c>
      <c r="J919" s="17">
        <f t="shared" si="1"/>
        <v>6.5</v>
      </c>
      <c r="K919" s="16" t="str">
        <f t="array" ref="K919">_xlfn.XLOOKUP(C919,Clientes[ID_Cliente],Clientes[Provincia])</f>
        <v>Chaco</v>
      </c>
      <c r="L919" s="16" t="str">
        <f t="array" ref="L919">CONCATENATE(_xlfn.XLOOKUP(C919,Clientes[ID_Cliente],Clientes[Provincia]),", Argentina")</f>
        <v>Chaco, Argentina</v>
      </c>
      <c r="M919" s="20" t="str">
        <f t="array" ref="M919">_xlfn.XLOOKUP(F919,Metodos_De_Pago[ID_Metodo],Metodos_De_Pago[Metodo])</f>
        <v>Mercado Pago</v>
      </c>
      <c r="N919" s="20" t="str">
        <f t="shared" si="2"/>
        <v>2024 10</v>
      </c>
    </row>
    <row r="920" ht="22.5" customHeight="1">
      <c r="A920" s="12">
        <f>IFERROR(__xludf.DUMMYFUNCTION("""COMPUTED_VALUE"""),1596.0)</f>
        <v>1596</v>
      </c>
      <c r="B920" s="13">
        <f>IFERROR(__xludf.DUMMYFUNCTION("""COMPUTED_VALUE"""),45582.0)</f>
        <v>45582</v>
      </c>
      <c r="C920" s="12">
        <f>IFERROR(__xludf.DUMMYFUNCTION("""COMPUTED_VALUE"""),85.0)</f>
        <v>85</v>
      </c>
      <c r="D920" s="12">
        <f>IFERROR(__xludf.DUMMYFUNCTION("""COMPUTED_VALUE"""),26.0)</f>
        <v>26</v>
      </c>
      <c r="E920" s="12">
        <f>IFERROR(__xludf.DUMMYFUNCTION("""COMPUTED_VALUE"""),2.0)</f>
        <v>2</v>
      </c>
      <c r="F920" s="12">
        <f>IFERROR(__xludf.DUMMYFUNCTION("""COMPUTED_VALUE"""),5.0)</f>
        <v>5</v>
      </c>
      <c r="G920" s="15" t="str">
        <f>IFERROR(__xludf.DUMMYFUNCTION("""COMPUTED_VALUE"""),"Completa")</f>
        <v>Completa</v>
      </c>
      <c r="H920" s="16" t="str">
        <f t="array" ref="H920">_xlfn.XLOOKUP(D920,Productos[ID_Producto],Productos[Nombre_Producto])</f>
        <v>Hamburgesas congeladas</v>
      </c>
      <c r="I920" s="17">
        <f t="array" ref="I920">_xlfn.XLOOKUP(D920,Productos[ID_Producto],Productos[Precio_Unitario])</f>
        <v>9.54</v>
      </c>
      <c r="J920" s="17">
        <f t="shared" si="1"/>
        <v>19.08</v>
      </c>
      <c r="K920" s="16" t="str">
        <f t="array" ref="K920">_xlfn.XLOOKUP(C920,Clientes[ID_Cliente],Clientes[Provincia])</f>
        <v>San Luis</v>
      </c>
      <c r="L920" s="16" t="str">
        <f t="array" ref="L920">CONCATENATE(_xlfn.XLOOKUP(C920,Clientes[ID_Cliente],Clientes[Provincia]),", Argentina")</f>
        <v>San Luis, Argentina</v>
      </c>
      <c r="M920" s="20" t="str">
        <f t="array" ref="M920">_xlfn.XLOOKUP(F920,Metodos_De_Pago[ID_Metodo],Metodos_De_Pago[Metodo])</f>
        <v>Transferencia</v>
      </c>
      <c r="N920" s="20" t="str">
        <f t="shared" si="2"/>
        <v>2024 10</v>
      </c>
    </row>
    <row r="921" ht="22.5" customHeight="1">
      <c r="A921" s="12">
        <f>IFERROR(__xludf.DUMMYFUNCTION("""COMPUTED_VALUE"""),2171.0)</f>
        <v>2171</v>
      </c>
      <c r="B921" s="13">
        <f>IFERROR(__xludf.DUMMYFUNCTION("""COMPUTED_VALUE"""),45582.0)</f>
        <v>45582</v>
      </c>
      <c r="C921" s="12">
        <f>IFERROR(__xludf.DUMMYFUNCTION("""COMPUTED_VALUE"""),106.0)</f>
        <v>106</v>
      </c>
      <c r="D921" s="12">
        <f>IFERROR(__xludf.DUMMYFUNCTION("""COMPUTED_VALUE"""),30.0)</f>
        <v>30</v>
      </c>
      <c r="E921" s="12">
        <f>IFERROR(__xludf.DUMMYFUNCTION("""COMPUTED_VALUE"""),2.0)</f>
        <v>2</v>
      </c>
      <c r="F921" s="12">
        <f>IFERROR(__xludf.DUMMYFUNCTION("""COMPUTED_VALUE"""),3.0)</f>
        <v>3</v>
      </c>
      <c r="G921" s="15" t="str">
        <f>IFERROR(__xludf.DUMMYFUNCTION("""COMPUTED_VALUE"""),"Completa")</f>
        <v>Completa</v>
      </c>
      <c r="H921" s="16" t="str">
        <f t="array" ref="H921">_xlfn.XLOOKUP(D921,Productos[ID_Producto],Productos[Nombre_Producto])</f>
        <v>Vino tinto</v>
      </c>
      <c r="I921" s="17">
        <f t="array" ref="I921">_xlfn.XLOOKUP(D921,Productos[ID_Producto],Productos[Precio_Unitario])</f>
        <v>13.54</v>
      </c>
      <c r="J921" s="17">
        <f t="shared" si="1"/>
        <v>27.08</v>
      </c>
      <c r="K921" s="16" t="str">
        <f t="array" ref="K921">_xlfn.XLOOKUP(C921,Clientes[ID_Cliente],Clientes[Provincia])</f>
        <v>Chaco</v>
      </c>
      <c r="L921" s="16" t="str">
        <f t="array" ref="L921">CONCATENATE(_xlfn.XLOOKUP(C921,Clientes[ID_Cliente],Clientes[Provincia]),", Argentina")</f>
        <v>Chaco, Argentina</v>
      </c>
      <c r="M921" s="20" t="str">
        <f t="array" ref="M921">_xlfn.XLOOKUP(F921,Metodos_De_Pago[ID_Metodo],Metodos_De_Pago[Metodo])</f>
        <v>Tarjeta de Débito</v>
      </c>
      <c r="N921" s="20" t="str">
        <f t="shared" si="2"/>
        <v>2024 10</v>
      </c>
    </row>
    <row r="922" ht="22.5" customHeight="1">
      <c r="A922" s="12">
        <f>IFERROR(__xludf.DUMMYFUNCTION("""COMPUTED_VALUE"""),439.0)</f>
        <v>439</v>
      </c>
      <c r="B922" s="13">
        <f>IFERROR(__xludf.DUMMYFUNCTION("""COMPUTED_VALUE"""),45584.0)</f>
        <v>45584</v>
      </c>
      <c r="C922" s="12">
        <f>IFERROR(__xludf.DUMMYFUNCTION("""COMPUTED_VALUE"""),207.0)</f>
        <v>207</v>
      </c>
      <c r="D922" s="12">
        <f>IFERROR(__xludf.DUMMYFUNCTION("""COMPUTED_VALUE"""),36.0)</f>
        <v>36</v>
      </c>
      <c r="E922" s="12">
        <f>IFERROR(__xludf.DUMMYFUNCTION("""COMPUTED_VALUE"""),2.0)</f>
        <v>2</v>
      </c>
      <c r="F922" s="12">
        <f>IFERROR(__xludf.DUMMYFUNCTION("""COMPUTED_VALUE"""),2.0)</f>
        <v>2</v>
      </c>
      <c r="G922" s="15" t="str">
        <f>IFERROR(__xludf.DUMMYFUNCTION("""COMPUTED_VALUE"""),"Completa")</f>
        <v>Completa</v>
      </c>
      <c r="H922" s="16" t="str">
        <f t="array" ref="H922">_xlfn.XLOOKUP(D922,Productos[ID_Producto],Productos[Nombre_Producto])</f>
        <v>Lentejas</v>
      </c>
      <c r="I922" s="17">
        <f t="array" ref="I922">_xlfn.XLOOKUP(D922,Productos[ID_Producto],Productos[Precio_Unitario])</f>
        <v>3.25</v>
      </c>
      <c r="J922" s="17">
        <f t="shared" si="1"/>
        <v>6.5</v>
      </c>
      <c r="K922" s="16" t="str">
        <f t="array" ref="K922">_xlfn.XLOOKUP(C922,Clientes[ID_Cliente],Clientes[Provincia])</f>
        <v>Buenos Aires</v>
      </c>
      <c r="L922" s="16" t="str">
        <f t="array" ref="L922">CONCATENATE(_xlfn.XLOOKUP(C922,Clientes[ID_Cliente],Clientes[Provincia]),", Argentina")</f>
        <v>Buenos Aires, Argentina</v>
      </c>
      <c r="M922" s="20" t="str">
        <f t="array" ref="M922">_xlfn.XLOOKUP(F922,Metodos_De_Pago[ID_Metodo],Metodos_De_Pago[Metodo])</f>
        <v>Tarjeta de Crédito</v>
      </c>
      <c r="N922" s="20" t="str">
        <f t="shared" si="2"/>
        <v>2024 10</v>
      </c>
    </row>
    <row r="923" ht="22.5" customHeight="1">
      <c r="A923" s="12">
        <f>IFERROR(__xludf.DUMMYFUNCTION("""COMPUTED_VALUE"""),841.0)</f>
        <v>841</v>
      </c>
      <c r="B923" s="13">
        <f>IFERROR(__xludf.DUMMYFUNCTION("""COMPUTED_VALUE"""),45585.0)</f>
        <v>45585</v>
      </c>
      <c r="C923" s="12">
        <f>IFERROR(__xludf.DUMMYFUNCTION("""COMPUTED_VALUE"""),280.0)</f>
        <v>280</v>
      </c>
      <c r="D923" s="12">
        <f>IFERROR(__xludf.DUMMYFUNCTION("""COMPUTED_VALUE"""),11.0)</f>
        <v>11</v>
      </c>
      <c r="E923" s="12">
        <f>IFERROR(__xludf.DUMMYFUNCTION("""COMPUTED_VALUE"""),2.0)</f>
        <v>2</v>
      </c>
      <c r="F923" s="12">
        <f>IFERROR(__xludf.DUMMYFUNCTION("""COMPUTED_VALUE"""),5.0)</f>
        <v>5</v>
      </c>
      <c r="G923" s="15" t="str">
        <f>IFERROR(__xludf.DUMMYFUNCTION("""COMPUTED_VALUE"""),"Pendiente")</f>
        <v>Pendiente</v>
      </c>
      <c r="H923" s="16" t="str">
        <f t="array" ref="H923">_xlfn.XLOOKUP(D923,Productos[ID_Producto],Productos[Nombre_Producto])</f>
        <v>Salchicha</v>
      </c>
      <c r="I923" s="17">
        <f t="array" ref="I923">_xlfn.XLOOKUP(D923,Productos[ID_Producto],Productos[Precio_Unitario])</f>
        <v>11.23</v>
      </c>
      <c r="J923" s="17">
        <f t="shared" si="1"/>
        <v>22.46</v>
      </c>
      <c r="K923" s="16" t="str">
        <f t="array" ref="K923">_xlfn.XLOOKUP(C923,Clientes[ID_Cliente],Clientes[Provincia])</f>
        <v>Córdoba</v>
      </c>
      <c r="L923" s="16" t="str">
        <f t="array" ref="L923">CONCATENATE(_xlfn.XLOOKUP(C923,Clientes[ID_Cliente],Clientes[Provincia]),", Argentina")</f>
        <v>Córdoba, Argentina</v>
      </c>
      <c r="M923" s="20" t="str">
        <f t="array" ref="M923">_xlfn.XLOOKUP(F923,Metodos_De_Pago[ID_Metodo],Metodos_De_Pago[Metodo])</f>
        <v>Transferencia</v>
      </c>
      <c r="N923" s="20" t="str">
        <f t="shared" si="2"/>
        <v>2024 10</v>
      </c>
    </row>
    <row r="924" ht="22.5" customHeight="1">
      <c r="A924" s="12">
        <f>IFERROR(__xludf.DUMMYFUNCTION("""COMPUTED_VALUE"""),1391.0)</f>
        <v>1391</v>
      </c>
      <c r="B924" s="13">
        <f>IFERROR(__xludf.DUMMYFUNCTION("""COMPUTED_VALUE"""),45585.0)</f>
        <v>45585</v>
      </c>
      <c r="C924" s="12">
        <f>IFERROR(__xludf.DUMMYFUNCTION("""COMPUTED_VALUE"""),6.0)</f>
        <v>6</v>
      </c>
      <c r="D924" s="12">
        <f>IFERROR(__xludf.DUMMYFUNCTION("""COMPUTED_VALUE"""),22.0)</f>
        <v>22</v>
      </c>
      <c r="E924" s="12">
        <f>IFERROR(__xludf.DUMMYFUNCTION("""COMPUTED_VALUE"""),2.0)</f>
        <v>2</v>
      </c>
      <c r="F924" s="12">
        <f>IFERROR(__xludf.DUMMYFUNCTION("""COMPUTED_VALUE"""),1.0)</f>
        <v>1</v>
      </c>
      <c r="G924" s="15" t="str">
        <f>IFERROR(__xludf.DUMMYFUNCTION("""COMPUTED_VALUE"""),"Completa")</f>
        <v>Completa</v>
      </c>
      <c r="H924" s="16" t="str">
        <f t="array" ref="H924">_xlfn.XLOOKUP(D924,Productos[ID_Producto],Productos[Nombre_Producto])</f>
        <v>Cebolla</v>
      </c>
      <c r="I924" s="17">
        <f t="array" ref="I924">_xlfn.XLOOKUP(D924,Productos[ID_Producto],Productos[Precio_Unitario])</f>
        <v>4.21</v>
      </c>
      <c r="J924" s="17">
        <f t="shared" si="1"/>
        <v>8.42</v>
      </c>
      <c r="K924" s="16" t="str">
        <f t="array" ref="K924">_xlfn.XLOOKUP(C924,Clientes[ID_Cliente],Clientes[Provincia])</f>
        <v>Buenos Aires</v>
      </c>
      <c r="L924" s="16" t="str">
        <f t="array" ref="L924">CONCATENATE(_xlfn.XLOOKUP(C924,Clientes[ID_Cliente],Clientes[Provincia]),", Argentina")</f>
        <v>Buenos Aires, Argentina</v>
      </c>
      <c r="M924" s="20" t="str">
        <f t="array" ref="M924">_xlfn.XLOOKUP(F924,Metodos_De_Pago[ID_Metodo],Metodos_De_Pago[Metodo])</f>
        <v>Efectivo</v>
      </c>
      <c r="N924" s="20" t="str">
        <f t="shared" si="2"/>
        <v>2024 10</v>
      </c>
    </row>
    <row r="925" ht="22.5" customHeight="1">
      <c r="A925" s="12">
        <f>IFERROR(__xludf.DUMMYFUNCTION("""COMPUTED_VALUE"""),767.0)</f>
        <v>767</v>
      </c>
      <c r="B925" s="13">
        <f>IFERROR(__xludf.DUMMYFUNCTION("""COMPUTED_VALUE"""),45587.0)</f>
        <v>45587</v>
      </c>
      <c r="C925" s="12">
        <f>IFERROR(__xludf.DUMMYFUNCTION("""COMPUTED_VALUE"""),9.0)</f>
        <v>9</v>
      </c>
      <c r="D925" s="12">
        <f>IFERROR(__xludf.DUMMYFUNCTION("""COMPUTED_VALUE"""),32.0)</f>
        <v>32</v>
      </c>
      <c r="E925" s="12">
        <f>IFERROR(__xludf.DUMMYFUNCTION("""COMPUTED_VALUE"""),2.0)</f>
        <v>2</v>
      </c>
      <c r="F925" s="12">
        <f>IFERROR(__xludf.DUMMYFUNCTION("""COMPUTED_VALUE"""),4.0)</f>
        <v>4</v>
      </c>
      <c r="G925" s="15" t="str">
        <f>IFERROR(__xludf.DUMMYFUNCTION("""COMPUTED_VALUE"""),"Pendiente")</f>
        <v>Pendiente</v>
      </c>
      <c r="H925" s="16" t="str">
        <f t="array" ref="H925">_xlfn.XLOOKUP(D925,Productos[ID_Producto],Productos[Nombre_Producto])</f>
        <v>Galletitas de chocolate</v>
      </c>
      <c r="I925" s="17">
        <f t="array" ref="I925">_xlfn.XLOOKUP(D925,Productos[ID_Producto],Productos[Precio_Unitario])</f>
        <v>6.25</v>
      </c>
      <c r="J925" s="17">
        <f t="shared" si="1"/>
        <v>12.5</v>
      </c>
      <c r="K925" s="16" t="str">
        <f t="array" ref="K925">_xlfn.XLOOKUP(C925,Clientes[ID_Cliente],Clientes[Provincia])</f>
        <v>Córdoba</v>
      </c>
      <c r="L925" s="16" t="str">
        <f t="array" ref="L925">CONCATENATE(_xlfn.XLOOKUP(C925,Clientes[ID_Cliente],Clientes[Provincia]),", Argentina")</f>
        <v>Córdoba, Argentina</v>
      </c>
      <c r="M925" s="20" t="str">
        <f t="array" ref="M925">_xlfn.XLOOKUP(F925,Metodos_De_Pago[ID_Metodo],Metodos_De_Pago[Metodo])</f>
        <v>Mercado Pago</v>
      </c>
      <c r="N925" s="20" t="str">
        <f t="shared" si="2"/>
        <v>2024 10</v>
      </c>
    </row>
    <row r="926" ht="22.5" customHeight="1">
      <c r="A926" s="12">
        <f>IFERROR(__xludf.DUMMYFUNCTION("""COMPUTED_VALUE"""),1742.0)</f>
        <v>1742</v>
      </c>
      <c r="B926" s="13">
        <f>IFERROR(__xludf.DUMMYFUNCTION("""COMPUTED_VALUE"""),45588.0)</f>
        <v>45588</v>
      </c>
      <c r="C926" s="12">
        <f>IFERROR(__xludf.DUMMYFUNCTION("""COMPUTED_VALUE"""),175.0)</f>
        <v>175</v>
      </c>
      <c r="D926" s="12">
        <f>IFERROR(__xludf.DUMMYFUNCTION("""COMPUTED_VALUE"""),7.0)</f>
        <v>7</v>
      </c>
      <c r="E926" s="12">
        <f>IFERROR(__xludf.DUMMYFUNCTION("""COMPUTED_VALUE"""),2.0)</f>
        <v>2</v>
      </c>
      <c r="F926" s="12">
        <f>IFERROR(__xludf.DUMMYFUNCTION("""COMPUTED_VALUE"""),3.0)</f>
        <v>3</v>
      </c>
      <c r="G926" s="15" t="str">
        <f>IFERROR(__xludf.DUMMYFUNCTION("""COMPUTED_VALUE"""),"Completa")</f>
        <v>Completa</v>
      </c>
      <c r="H926" s="16" t="str">
        <f t="array" ref="H926">_xlfn.XLOOKUP(D926,Productos[ID_Producto],Productos[Nombre_Producto])</f>
        <v>Chorizo</v>
      </c>
      <c r="I926" s="17">
        <f t="array" ref="I926">_xlfn.XLOOKUP(D926,Productos[ID_Producto],Productos[Precio_Unitario])</f>
        <v>11.25</v>
      </c>
      <c r="J926" s="17">
        <f t="shared" si="1"/>
        <v>22.5</v>
      </c>
      <c r="K926" s="16" t="str">
        <f t="array" ref="K926">_xlfn.XLOOKUP(C926,Clientes[ID_Cliente],Clientes[Provincia])</f>
        <v>Buenos Aires</v>
      </c>
      <c r="L926" s="16" t="str">
        <f t="array" ref="L926">CONCATENATE(_xlfn.XLOOKUP(C926,Clientes[ID_Cliente],Clientes[Provincia]),", Argentina")</f>
        <v>Buenos Aires, Argentina</v>
      </c>
      <c r="M926" s="20" t="str">
        <f t="array" ref="M926">_xlfn.XLOOKUP(F926,Metodos_De_Pago[ID_Metodo],Metodos_De_Pago[Metodo])</f>
        <v>Tarjeta de Débito</v>
      </c>
      <c r="N926" s="20" t="str">
        <f t="shared" si="2"/>
        <v>2024 10</v>
      </c>
    </row>
    <row r="927" ht="22.5" customHeight="1">
      <c r="A927" s="12">
        <f>IFERROR(__xludf.DUMMYFUNCTION("""COMPUTED_VALUE"""),1491.0)</f>
        <v>1491</v>
      </c>
      <c r="B927" s="13">
        <f>IFERROR(__xludf.DUMMYFUNCTION("""COMPUTED_VALUE"""),45589.0)</f>
        <v>45589</v>
      </c>
      <c r="C927" s="12">
        <f>IFERROR(__xludf.DUMMYFUNCTION("""COMPUTED_VALUE"""),132.0)</f>
        <v>132</v>
      </c>
      <c r="D927" s="12">
        <f>IFERROR(__xludf.DUMMYFUNCTION("""COMPUTED_VALUE"""),35.0)</f>
        <v>35</v>
      </c>
      <c r="E927" s="12">
        <f>IFERROR(__xludf.DUMMYFUNCTION("""COMPUTED_VALUE"""),2.0)</f>
        <v>2</v>
      </c>
      <c r="F927" s="12">
        <f>IFERROR(__xludf.DUMMYFUNCTION("""COMPUTED_VALUE"""),2.0)</f>
        <v>2</v>
      </c>
      <c r="G927" s="15" t="str">
        <f>IFERROR(__xludf.DUMMYFUNCTION("""COMPUTED_VALUE"""),"Completa")</f>
        <v>Completa</v>
      </c>
      <c r="H927" s="16" t="str">
        <f t="array" ref="H927">_xlfn.XLOOKUP(D927,Productos[ID_Producto],Productos[Nombre_Producto])</f>
        <v>Arroz</v>
      </c>
      <c r="I927" s="17">
        <f t="array" ref="I927">_xlfn.XLOOKUP(D927,Productos[ID_Producto],Productos[Precio_Unitario])</f>
        <v>4.25</v>
      </c>
      <c r="J927" s="17">
        <f t="shared" si="1"/>
        <v>8.5</v>
      </c>
      <c r="K927" s="16" t="str">
        <f t="array" ref="K927">_xlfn.XLOOKUP(C927,Clientes[ID_Cliente],Clientes[Provincia])</f>
        <v>Buenos Aires</v>
      </c>
      <c r="L927" s="16" t="str">
        <f t="array" ref="L927">CONCATENATE(_xlfn.XLOOKUP(C927,Clientes[ID_Cliente],Clientes[Provincia]),", Argentina")</f>
        <v>Buenos Aires, Argentina</v>
      </c>
      <c r="M927" s="20" t="str">
        <f t="array" ref="M927">_xlfn.XLOOKUP(F927,Metodos_De_Pago[ID_Metodo],Metodos_De_Pago[Metodo])</f>
        <v>Tarjeta de Crédito</v>
      </c>
      <c r="N927" s="20" t="str">
        <f t="shared" si="2"/>
        <v>2024 10</v>
      </c>
    </row>
    <row r="928" ht="22.5" customHeight="1">
      <c r="A928" s="12">
        <f>IFERROR(__xludf.DUMMYFUNCTION("""COMPUTED_VALUE"""),235.0)</f>
        <v>235</v>
      </c>
      <c r="B928" s="13">
        <f>IFERROR(__xludf.DUMMYFUNCTION("""COMPUTED_VALUE"""),45590.0)</f>
        <v>45590</v>
      </c>
      <c r="C928" s="12">
        <f>IFERROR(__xludf.DUMMYFUNCTION("""COMPUTED_VALUE"""),177.0)</f>
        <v>177</v>
      </c>
      <c r="D928" s="12">
        <f>IFERROR(__xludf.DUMMYFUNCTION("""COMPUTED_VALUE"""),3.0)</f>
        <v>3</v>
      </c>
      <c r="E928" s="12">
        <f>IFERROR(__xludf.DUMMYFUNCTION("""COMPUTED_VALUE"""),2.0)</f>
        <v>2</v>
      </c>
      <c r="F928" s="12">
        <f>IFERROR(__xludf.DUMMYFUNCTION("""COMPUTED_VALUE"""),4.0)</f>
        <v>4</v>
      </c>
      <c r="G928" s="15" t="str">
        <f>IFERROR(__xludf.DUMMYFUNCTION("""COMPUTED_VALUE"""),"Pendiente")</f>
        <v>Pendiente</v>
      </c>
      <c r="H928" s="16" t="str">
        <f t="array" ref="H928">_xlfn.XLOOKUP(D928,Productos[ID_Producto],Productos[Nombre_Producto])</f>
        <v>Queso cremoso</v>
      </c>
      <c r="I928" s="17">
        <f t="array" ref="I928">_xlfn.XLOOKUP(D928,Productos[ID_Producto],Productos[Precio_Unitario])</f>
        <v>17.23</v>
      </c>
      <c r="J928" s="17">
        <f t="shared" si="1"/>
        <v>34.46</v>
      </c>
      <c r="K928" s="16" t="str">
        <f t="array" ref="K928">_xlfn.XLOOKUP(C928,Clientes[ID_Cliente],Clientes[Provincia])</f>
        <v>Chaco</v>
      </c>
      <c r="L928" s="16" t="str">
        <f t="array" ref="L928">CONCATENATE(_xlfn.XLOOKUP(C928,Clientes[ID_Cliente],Clientes[Provincia]),", Argentina")</f>
        <v>Chaco, Argentina</v>
      </c>
      <c r="M928" s="20" t="str">
        <f t="array" ref="M928">_xlfn.XLOOKUP(F928,Metodos_De_Pago[ID_Metodo],Metodos_De_Pago[Metodo])</f>
        <v>Mercado Pago</v>
      </c>
      <c r="N928" s="20" t="str">
        <f t="shared" si="2"/>
        <v>2024 10</v>
      </c>
    </row>
    <row r="929" ht="22.5" customHeight="1">
      <c r="A929" s="12">
        <f>IFERROR(__xludf.DUMMYFUNCTION("""COMPUTED_VALUE"""),1087.0)</f>
        <v>1087</v>
      </c>
      <c r="B929" s="13">
        <f>IFERROR(__xludf.DUMMYFUNCTION("""COMPUTED_VALUE"""),45590.0)</f>
        <v>45590</v>
      </c>
      <c r="C929" s="12">
        <f>IFERROR(__xludf.DUMMYFUNCTION("""COMPUTED_VALUE"""),170.0)</f>
        <v>170</v>
      </c>
      <c r="D929" s="12">
        <f>IFERROR(__xludf.DUMMYFUNCTION("""COMPUTED_VALUE"""),25.0)</f>
        <v>25</v>
      </c>
      <c r="E929" s="12">
        <f>IFERROR(__xludf.DUMMYFUNCTION("""COMPUTED_VALUE"""),2.0)</f>
        <v>2</v>
      </c>
      <c r="F929" s="12">
        <f>IFERROR(__xludf.DUMMYFUNCTION("""COMPUTED_VALUE"""),2.0)</f>
        <v>2</v>
      </c>
      <c r="G929" s="15" t="str">
        <f>IFERROR(__xludf.DUMMYFUNCTION("""COMPUTED_VALUE"""),"Completa")</f>
        <v>Completa</v>
      </c>
      <c r="H929" s="16" t="str">
        <f t="array" ref="H929">_xlfn.XLOOKUP(D929,Productos[ID_Producto],Productos[Nombre_Producto])</f>
        <v>Pizza congelada</v>
      </c>
      <c r="I929" s="17">
        <f t="array" ref="I929">_xlfn.XLOOKUP(D929,Productos[ID_Producto],Productos[Precio_Unitario])</f>
        <v>15.45</v>
      </c>
      <c r="J929" s="17">
        <f t="shared" si="1"/>
        <v>30.9</v>
      </c>
      <c r="K929" s="16" t="str">
        <f t="array" ref="K929">_xlfn.XLOOKUP(C929,Clientes[ID_Cliente],Clientes[Provincia])</f>
        <v>Córdoba</v>
      </c>
      <c r="L929" s="16" t="str">
        <f t="array" ref="L929">CONCATENATE(_xlfn.XLOOKUP(C929,Clientes[ID_Cliente],Clientes[Provincia]),", Argentina")</f>
        <v>Córdoba, Argentina</v>
      </c>
      <c r="M929" s="20" t="str">
        <f t="array" ref="M929">_xlfn.XLOOKUP(F929,Metodos_De_Pago[ID_Metodo],Metodos_De_Pago[Metodo])</f>
        <v>Tarjeta de Crédito</v>
      </c>
      <c r="N929" s="20" t="str">
        <f t="shared" si="2"/>
        <v>2024 10</v>
      </c>
    </row>
    <row r="930" ht="22.5" customHeight="1">
      <c r="A930" s="12">
        <f>IFERROR(__xludf.DUMMYFUNCTION("""COMPUTED_VALUE"""),2723.0)</f>
        <v>2723</v>
      </c>
      <c r="B930" s="13">
        <f>IFERROR(__xludf.DUMMYFUNCTION("""COMPUTED_VALUE"""),45591.0)</f>
        <v>45591</v>
      </c>
      <c r="C930" s="12">
        <f>IFERROR(__xludf.DUMMYFUNCTION("""COMPUTED_VALUE"""),321.0)</f>
        <v>321</v>
      </c>
      <c r="D930" s="12">
        <f>IFERROR(__xludf.DUMMYFUNCTION("""COMPUTED_VALUE"""),1.0)</f>
        <v>1</v>
      </c>
      <c r="E930" s="12">
        <f>IFERROR(__xludf.DUMMYFUNCTION("""COMPUTED_VALUE"""),2.0)</f>
        <v>2</v>
      </c>
      <c r="F930" s="12">
        <f>IFERROR(__xludf.DUMMYFUNCTION("""COMPUTED_VALUE"""),5.0)</f>
        <v>5</v>
      </c>
      <c r="G930" s="15" t="str">
        <f>IFERROR(__xludf.DUMMYFUNCTION("""COMPUTED_VALUE"""),"Completa")</f>
        <v>Completa</v>
      </c>
      <c r="H930" s="16" t="str">
        <f t="array" ref="H930">_xlfn.XLOOKUP(D930,Productos[ID_Producto],Productos[Nombre_Producto])</f>
        <v>Leche</v>
      </c>
      <c r="I930" s="17">
        <f t="array" ref="I930">_xlfn.XLOOKUP(D930,Productos[ID_Producto],Productos[Precio_Unitario])</f>
        <v>12.24</v>
      </c>
      <c r="J930" s="17">
        <f t="shared" si="1"/>
        <v>24.48</v>
      </c>
      <c r="K930" s="16" t="str">
        <f t="array" ref="K930">_xlfn.XLOOKUP(C930,Clientes[ID_Cliente],Clientes[Provincia])</f>
        <v>San Luis</v>
      </c>
      <c r="L930" s="16" t="str">
        <f t="array" ref="L930">CONCATENATE(_xlfn.XLOOKUP(C930,Clientes[ID_Cliente],Clientes[Provincia]),", Argentina")</f>
        <v>San Luis, Argentina</v>
      </c>
      <c r="M930" s="20" t="str">
        <f t="array" ref="M930">_xlfn.XLOOKUP(F930,Metodos_De_Pago[ID_Metodo],Metodos_De_Pago[Metodo])</f>
        <v>Transferencia</v>
      </c>
      <c r="N930" s="20" t="str">
        <f t="shared" si="2"/>
        <v>2024 10</v>
      </c>
    </row>
    <row r="931" ht="22.5" customHeight="1">
      <c r="A931" s="12">
        <f>IFERROR(__xludf.DUMMYFUNCTION("""COMPUTED_VALUE"""),33.0)</f>
        <v>33</v>
      </c>
      <c r="B931" s="13">
        <f>IFERROR(__xludf.DUMMYFUNCTION("""COMPUTED_VALUE"""),45592.0)</f>
        <v>45592</v>
      </c>
      <c r="C931" s="12">
        <f>IFERROR(__xludf.DUMMYFUNCTION("""COMPUTED_VALUE"""),65.0)</f>
        <v>65</v>
      </c>
      <c r="D931" s="12">
        <f>IFERROR(__xludf.DUMMYFUNCTION("""COMPUTED_VALUE"""),23.0)</f>
        <v>23</v>
      </c>
      <c r="E931" s="12">
        <f>IFERROR(__xludf.DUMMYFUNCTION("""COMPUTED_VALUE"""),2.0)</f>
        <v>2</v>
      </c>
      <c r="F931" s="12">
        <f>IFERROR(__xludf.DUMMYFUNCTION("""COMPUTED_VALUE"""),5.0)</f>
        <v>5</v>
      </c>
      <c r="G931" s="15" t="str">
        <f>IFERROR(__xludf.DUMMYFUNCTION("""COMPUTED_VALUE"""),"Completa")</f>
        <v>Completa</v>
      </c>
      <c r="H931" s="16" t="str">
        <f t="array" ref="H931">_xlfn.XLOOKUP(D931,Productos[ID_Producto],Productos[Nombre_Producto])</f>
        <v>Papas fritas</v>
      </c>
      <c r="I931" s="17">
        <f t="array" ref="I931">_xlfn.XLOOKUP(D931,Productos[ID_Producto],Productos[Precio_Unitario])</f>
        <v>8.23</v>
      </c>
      <c r="J931" s="17">
        <f t="shared" si="1"/>
        <v>16.46</v>
      </c>
      <c r="K931" s="16" t="str">
        <f t="array" ref="K931">_xlfn.XLOOKUP(C931,Clientes[ID_Cliente],Clientes[Provincia])</f>
        <v>Buenos Aires</v>
      </c>
      <c r="L931" s="16" t="str">
        <f t="array" ref="L931">CONCATENATE(_xlfn.XLOOKUP(C931,Clientes[ID_Cliente],Clientes[Provincia]),", Argentina")</f>
        <v>Buenos Aires, Argentina</v>
      </c>
      <c r="M931" s="20" t="str">
        <f t="array" ref="M931">_xlfn.XLOOKUP(F931,Metodos_De_Pago[ID_Metodo],Metodos_De_Pago[Metodo])</f>
        <v>Transferencia</v>
      </c>
      <c r="N931" s="20" t="str">
        <f t="shared" si="2"/>
        <v>2024 10</v>
      </c>
    </row>
    <row r="932" ht="22.5" customHeight="1">
      <c r="A932" s="12">
        <f>IFERROR(__xludf.DUMMYFUNCTION("""COMPUTED_VALUE"""),1293.0)</f>
        <v>1293</v>
      </c>
      <c r="B932" s="13">
        <f>IFERROR(__xludf.DUMMYFUNCTION("""COMPUTED_VALUE"""),45592.0)</f>
        <v>45592</v>
      </c>
      <c r="C932" s="12">
        <f>IFERROR(__xludf.DUMMYFUNCTION("""COMPUTED_VALUE"""),247.0)</f>
        <v>247</v>
      </c>
      <c r="D932" s="12">
        <f>IFERROR(__xludf.DUMMYFUNCTION("""COMPUTED_VALUE"""),4.0)</f>
        <v>4</v>
      </c>
      <c r="E932" s="12">
        <f>IFERROR(__xludf.DUMMYFUNCTION("""COMPUTED_VALUE"""),2.0)</f>
        <v>2</v>
      </c>
      <c r="F932" s="12">
        <f>IFERROR(__xludf.DUMMYFUNCTION("""COMPUTED_VALUE"""),4.0)</f>
        <v>4</v>
      </c>
      <c r="G932" s="15" t="str">
        <f>IFERROR(__xludf.DUMMYFUNCTION("""COMPUTED_VALUE"""),"Completa")</f>
        <v>Completa</v>
      </c>
      <c r="H932" s="16" t="str">
        <f t="array" ref="H932">_xlfn.XLOOKUP(D932,Productos[ID_Producto],Productos[Nombre_Producto])</f>
        <v>Queso rallado</v>
      </c>
      <c r="I932" s="17">
        <f t="array" ref="I932">_xlfn.XLOOKUP(D932,Productos[ID_Producto],Productos[Precio_Unitario])</f>
        <v>19.23</v>
      </c>
      <c r="J932" s="17">
        <f t="shared" si="1"/>
        <v>38.46</v>
      </c>
      <c r="K932" s="16" t="str">
        <f t="array" ref="K932">_xlfn.XLOOKUP(C932,Clientes[ID_Cliente],Clientes[Provincia])</f>
        <v>Buenos Aires</v>
      </c>
      <c r="L932" s="16" t="str">
        <f t="array" ref="L932">CONCATENATE(_xlfn.XLOOKUP(C932,Clientes[ID_Cliente],Clientes[Provincia]),", Argentina")</f>
        <v>Buenos Aires, Argentina</v>
      </c>
      <c r="M932" s="20" t="str">
        <f t="array" ref="M932">_xlfn.XLOOKUP(F932,Metodos_De_Pago[ID_Metodo],Metodos_De_Pago[Metodo])</f>
        <v>Mercado Pago</v>
      </c>
      <c r="N932" s="20" t="str">
        <f t="shared" si="2"/>
        <v>2024 10</v>
      </c>
    </row>
    <row r="933" ht="22.5" customHeight="1">
      <c r="A933" s="12">
        <f>IFERROR(__xludf.DUMMYFUNCTION("""COMPUTED_VALUE"""),1405.0)</f>
        <v>1405</v>
      </c>
      <c r="B933" s="13">
        <f>IFERROR(__xludf.DUMMYFUNCTION("""COMPUTED_VALUE"""),45592.0)</f>
        <v>45592</v>
      </c>
      <c r="C933" s="12">
        <f>IFERROR(__xludf.DUMMYFUNCTION("""COMPUTED_VALUE"""),187.0)</f>
        <v>187</v>
      </c>
      <c r="D933" s="12">
        <f>IFERROR(__xludf.DUMMYFUNCTION("""COMPUTED_VALUE"""),29.0)</f>
        <v>29</v>
      </c>
      <c r="E933" s="12">
        <f>IFERROR(__xludf.DUMMYFUNCTION("""COMPUTED_VALUE"""),2.0)</f>
        <v>2</v>
      </c>
      <c r="F933" s="12">
        <f>IFERROR(__xludf.DUMMYFUNCTION("""COMPUTED_VALUE"""),2.0)</f>
        <v>2</v>
      </c>
      <c r="G933" s="15" t="str">
        <f>IFERROR(__xludf.DUMMYFUNCTION("""COMPUTED_VALUE"""),"Completa")</f>
        <v>Completa</v>
      </c>
      <c r="H933" s="16" t="str">
        <f t="array" ref="H933">_xlfn.XLOOKUP(D933,Productos[ID_Producto],Productos[Nombre_Producto])</f>
        <v>Cerveza</v>
      </c>
      <c r="I933" s="17">
        <f t="array" ref="I933">_xlfn.XLOOKUP(D933,Productos[ID_Producto],Productos[Precio_Unitario])</f>
        <v>11.54</v>
      </c>
      <c r="J933" s="17">
        <f t="shared" si="1"/>
        <v>23.08</v>
      </c>
      <c r="K933" s="16" t="str">
        <f t="array" ref="K933">_xlfn.XLOOKUP(C933,Clientes[ID_Cliente],Clientes[Provincia])</f>
        <v>Buenos Aires</v>
      </c>
      <c r="L933" s="16" t="str">
        <f t="array" ref="L933">CONCATENATE(_xlfn.XLOOKUP(C933,Clientes[ID_Cliente],Clientes[Provincia]),", Argentina")</f>
        <v>Buenos Aires, Argentina</v>
      </c>
      <c r="M933" s="20" t="str">
        <f t="array" ref="M933">_xlfn.XLOOKUP(F933,Metodos_De_Pago[ID_Metodo],Metodos_De_Pago[Metodo])</f>
        <v>Tarjeta de Crédito</v>
      </c>
      <c r="N933" s="20" t="str">
        <f t="shared" si="2"/>
        <v>2024 10</v>
      </c>
    </row>
    <row r="934" ht="22.5" customHeight="1">
      <c r="A934" s="12">
        <f>IFERROR(__xludf.DUMMYFUNCTION("""COMPUTED_VALUE"""),331.0)</f>
        <v>331</v>
      </c>
      <c r="B934" s="13">
        <f>IFERROR(__xludf.DUMMYFUNCTION("""COMPUTED_VALUE"""),45594.0)</f>
        <v>45594</v>
      </c>
      <c r="C934" s="12">
        <f>IFERROR(__xludf.DUMMYFUNCTION("""COMPUTED_VALUE"""),157.0)</f>
        <v>157</v>
      </c>
      <c r="D934" s="12">
        <f>IFERROR(__xludf.DUMMYFUNCTION("""COMPUTED_VALUE"""),35.0)</f>
        <v>35</v>
      </c>
      <c r="E934" s="12">
        <f>IFERROR(__xludf.DUMMYFUNCTION("""COMPUTED_VALUE"""),2.0)</f>
        <v>2</v>
      </c>
      <c r="F934" s="12">
        <f>IFERROR(__xludf.DUMMYFUNCTION("""COMPUTED_VALUE"""),3.0)</f>
        <v>3</v>
      </c>
      <c r="G934" s="15" t="str">
        <f>IFERROR(__xludf.DUMMYFUNCTION("""COMPUTED_VALUE"""),"Completa")</f>
        <v>Completa</v>
      </c>
      <c r="H934" s="16" t="str">
        <f t="array" ref="H934">_xlfn.XLOOKUP(D934,Productos[ID_Producto],Productos[Nombre_Producto])</f>
        <v>Arroz</v>
      </c>
      <c r="I934" s="17">
        <f t="array" ref="I934">_xlfn.XLOOKUP(D934,Productos[ID_Producto],Productos[Precio_Unitario])</f>
        <v>4.25</v>
      </c>
      <c r="J934" s="17">
        <f t="shared" si="1"/>
        <v>8.5</v>
      </c>
      <c r="K934" s="16" t="str">
        <f t="array" ref="K934">_xlfn.XLOOKUP(C934,Clientes[ID_Cliente],Clientes[Provincia])</f>
        <v>Neuquén</v>
      </c>
      <c r="L934" s="16" t="str">
        <f t="array" ref="L934">CONCATENATE(_xlfn.XLOOKUP(C934,Clientes[ID_Cliente],Clientes[Provincia]),", Argentina")</f>
        <v>Neuquén, Argentina</v>
      </c>
      <c r="M934" s="20" t="str">
        <f t="array" ref="M934">_xlfn.XLOOKUP(F934,Metodos_De_Pago[ID_Metodo],Metodos_De_Pago[Metodo])</f>
        <v>Tarjeta de Débito</v>
      </c>
      <c r="N934" s="20" t="str">
        <f t="shared" si="2"/>
        <v>2024 10</v>
      </c>
    </row>
    <row r="935" ht="22.5" customHeight="1">
      <c r="A935" s="12">
        <f>IFERROR(__xludf.DUMMYFUNCTION("""COMPUTED_VALUE"""),758.0)</f>
        <v>758</v>
      </c>
      <c r="B935" s="13">
        <f>IFERROR(__xludf.DUMMYFUNCTION("""COMPUTED_VALUE"""),45594.0)</f>
        <v>45594</v>
      </c>
      <c r="C935" s="12">
        <f>IFERROR(__xludf.DUMMYFUNCTION("""COMPUTED_VALUE"""),168.0)</f>
        <v>168</v>
      </c>
      <c r="D935" s="12">
        <f>IFERROR(__xludf.DUMMYFUNCTION("""COMPUTED_VALUE"""),11.0)</f>
        <v>11</v>
      </c>
      <c r="E935" s="12">
        <f>IFERROR(__xludf.DUMMYFUNCTION("""COMPUTED_VALUE"""),2.0)</f>
        <v>2</v>
      </c>
      <c r="F935" s="12">
        <f>IFERROR(__xludf.DUMMYFUNCTION("""COMPUTED_VALUE"""),1.0)</f>
        <v>1</v>
      </c>
      <c r="G935" s="15" t="str">
        <f>IFERROR(__xludf.DUMMYFUNCTION("""COMPUTED_VALUE"""),"Completa")</f>
        <v>Completa</v>
      </c>
      <c r="H935" s="16" t="str">
        <f t="array" ref="H935">_xlfn.XLOOKUP(D935,Productos[ID_Producto],Productos[Nombre_Producto])</f>
        <v>Salchicha</v>
      </c>
      <c r="I935" s="17">
        <f t="array" ref="I935">_xlfn.XLOOKUP(D935,Productos[ID_Producto],Productos[Precio_Unitario])</f>
        <v>11.23</v>
      </c>
      <c r="J935" s="17">
        <f t="shared" si="1"/>
        <v>22.46</v>
      </c>
      <c r="K935" s="16" t="str">
        <f t="array" ref="K935">_xlfn.XLOOKUP(C935,Clientes[ID_Cliente],Clientes[Provincia])</f>
        <v>Córdoba</v>
      </c>
      <c r="L935" s="16" t="str">
        <f t="array" ref="L935">CONCATENATE(_xlfn.XLOOKUP(C935,Clientes[ID_Cliente],Clientes[Provincia]),", Argentina")</f>
        <v>Córdoba, Argentina</v>
      </c>
      <c r="M935" s="20" t="str">
        <f t="array" ref="M935">_xlfn.XLOOKUP(F935,Metodos_De_Pago[ID_Metodo],Metodos_De_Pago[Metodo])</f>
        <v>Efectivo</v>
      </c>
      <c r="N935" s="20" t="str">
        <f t="shared" si="2"/>
        <v>2024 10</v>
      </c>
    </row>
    <row r="936" ht="22.5" customHeight="1">
      <c r="A936" s="12">
        <f>IFERROR(__xludf.DUMMYFUNCTION("""COMPUTED_VALUE"""),1436.0)</f>
        <v>1436</v>
      </c>
      <c r="B936" s="13">
        <f>IFERROR(__xludf.DUMMYFUNCTION("""COMPUTED_VALUE"""),45596.0)</f>
        <v>45596</v>
      </c>
      <c r="C936" s="12">
        <f>IFERROR(__xludf.DUMMYFUNCTION("""COMPUTED_VALUE"""),165.0)</f>
        <v>165</v>
      </c>
      <c r="D936" s="12">
        <f>IFERROR(__xludf.DUMMYFUNCTION("""COMPUTED_VALUE"""),14.0)</f>
        <v>14</v>
      </c>
      <c r="E936" s="12">
        <f>IFERROR(__xludf.DUMMYFUNCTION("""COMPUTED_VALUE"""),2.0)</f>
        <v>2</v>
      </c>
      <c r="F936" s="12">
        <f>IFERROR(__xludf.DUMMYFUNCTION("""COMPUTED_VALUE"""),4.0)</f>
        <v>4</v>
      </c>
      <c r="G936" s="15" t="str">
        <f>IFERROR(__xludf.DUMMYFUNCTION("""COMPUTED_VALUE"""),"Completa")</f>
        <v>Completa</v>
      </c>
      <c r="H936" s="16" t="str">
        <f t="array" ref="H936">_xlfn.XLOOKUP(D936,Productos[ID_Producto],Productos[Nombre_Producto])</f>
        <v>Facturas</v>
      </c>
      <c r="I936" s="17">
        <f t="array" ref="I936">_xlfn.XLOOKUP(D936,Productos[ID_Producto],Productos[Precio_Unitario])</f>
        <v>12.36</v>
      </c>
      <c r="J936" s="17">
        <f t="shared" si="1"/>
        <v>24.72</v>
      </c>
      <c r="K936" s="16" t="str">
        <f t="array" ref="K936">_xlfn.XLOOKUP(C936,Clientes[ID_Cliente],Clientes[Provincia])</f>
        <v>Buenos Aires</v>
      </c>
      <c r="L936" s="16" t="str">
        <f t="array" ref="L936">CONCATENATE(_xlfn.XLOOKUP(C936,Clientes[ID_Cliente],Clientes[Provincia]),", Argentina")</f>
        <v>Buenos Aires, Argentina</v>
      </c>
      <c r="M936" s="20" t="str">
        <f t="array" ref="M936">_xlfn.XLOOKUP(F936,Metodos_De_Pago[ID_Metodo],Metodos_De_Pago[Metodo])</f>
        <v>Mercado Pago</v>
      </c>
      <c r="N936" s="20" t="str">
        <f t="shared" si="2"/>
        <v>2024 10</v>
      </c>
    </row>
    <row r="937" ht="22.5" customHeight="1">
      <c r="A937" s="12">
        <f>IFERROR(__xludf.DUMMYFUNCTION("""COMPUTED_VALUE"""),674.0)</f>
        <v>674</v>
      </c>
      <c r="B937" s="13">
        <f>IFERROR(__xludf.DUMMYFUNCTION("""COMPUTED_VALUE"""),45597.0)</f>
        <v>45597</v>
      </c>
      <c r="C937" s="12">
        <f>IFERROR(__xludf.DUMMYFUNCTION("""COMPUTED_VALUE"""),157.0)</f>
        <v>157</v>
      </c>
      <c r="D937" s="12">
        <f>IFERROR(__xludf.DUMMYFUNCTION("""COMPUTED_VALUE"""),31.0)</f>
        <v>31</v>
      </c>
      <c r="E937" s="12">
        <f>IFERROR(__xludf.DUMMYFUNCTION("""COMPUTED_VALUE"""),2.0)</f>
        <v>2</v>
      </c>
      <c r="F937" s="12">
        <f>IFERROR(__xludf.DUMMYFUNCTION("""COMPUTED_VALUE"""),3.0)</f>
        <v>3</v>
      </c>
      <c r="G937" s="15" t="str">
        <f>IFERROR(__xludf.DUMMYFUNCTION("""COMPUTED_VALUE"""),"Completa")</f>
        <v>Completa</v>
      </c>
      <c r="H937" s="16" t="str">
        <f t="array" ref="H937">_xlfn.XLOOKUP(D937,Productos[ID_Producto],Productos[Nombre_Producto])</f>
        <v>Galletitas de agua</v>
      </c>
      <c r="I937" s="17">
        <f t="array" ref="I937">_xlfn.XLOOKUP(D937,Productos[ID_Producto],Productos[Precio_Unitario])</f>
        <v>5.24</v>
      </c>
      <c r="J937" s="17">
        <f t="shared" si="1"/>
        <v>10.48</v>
      </c>
      <c r="K937" s="16" t="str">
        <f t="array" ref="K937">_xlfn.XLOOKUP(C937,Clientes[ID_Cliente],Clientes[Provincia])</f>
        <v>Neuquén</v>
      </c>
      <c r="L937" s="16" t="str">
        <f t="array" ref="L937">CONCATENATE(_xlfn.XLOOKUP(C937,Clientes[ID_Cliente],Clientes[Provincia]),", Argentina")</f>
        <v>Neuquén, Argentina</v>
      </c>
      <c r="M937" s="20" t="str">
        <f t="array" ref="M937">_xlfn.XLOOKUP(F937,Metodos_De_Pago[ID_Metodo],Metodos_De_Pago[Metodo])</f>
        <v>Tarjeta de Débito</v>
      </c>
      <c r="N937" s="20" t="str">
        <f t="shared" si="2"/>
        <v>2024 11</v>
      </c>
    </row>
    <row r="938" ht="22.5" customHeight="1">
      <c r="A938" s="12">
        <f>IFERROR(__xludf.DUMMYFUNCTION("""COMPUTED_VALUE"""),1445.0)</f>
        <v>1445</v>
      </c>
      <c r="B938" s="13">
        <f>IFERROR(__xludf.DUMMYFUNCTION("""COMPUTED_VALUE"""),45598.0)</f>
        <v>45598</v>
      </c>
      <c r="C938" s="12">
        <f>IFERROR(__xludf.DUMMYFUNCTION("""COMPUTED_VALUE"""),104.0)</f>
        <v>104</v>
      </c>
      <c r="D938" s="12">
        <f>IFERROR(__xludf.DUMMYFUNCTION("""COMPUTED_VALUE"""),12.0)</f>
        <v>12</v>
      </c>
      <c r="E938" s="12">
        <f>IFERROR(__xludf.DUMMYFUNCTION("""COMPUTED_VALUE"""),2.0)</f>
        <v>2</v>
      </c>
      <c r="F938" s="12">
        <f>IFERROR(__xludf.DUMMYFUNCTION("""COMPUTED_VALUE"""),5.0)</f>
        <v>5</v>
      </c>
      <c r="G938" s="15" t="str">
        <f>IFERROR(__xludf.DUMMYFUNCTION("""COMPUTED_VALUE"""),"Pendiente")</f>
        <v>Pendiente</v>
      </c>
      <c r="H938" s="16" t="str">
        <f t="array" ref="H938">_xlfn.XLOOKUP(D938,Productos[ID_Producto],Productos[Nombre_Producto])</f>
        <v>Pan francés</v>
      </c>
      <c r="I938" s="17">
        <f t="array" ref="I938">_xlfn.XLOOKUP(D938,Productos[ID_Producto],Productos[Precio_Unitario])</f>
        <v>8.12</v>
      </c>
      <c r="J938" s="17">
        <f t="shared" si="1"/>
        <v>16.24</v>
      </c>
      <c r="K938" s="16" t="str">
        <f t="array" ref="K938">_xlfn.XLOOKUP(C938,Clientes[ID_Cliente],Clientes[Provincia])</f>
        <v>Buenos Aires</v>
      </c>
      <c r="L938" s="16" t="str">
        <f t="array" ref="L938">CONCATENATE(_xlfn.XLOOKUP(C938,Clientes[ID_Cliente],Clientes[Provincia]),", Argentina")</f>
        <v>Buenos Aires, Argentina</v>
      </c>
      <c r="M938" s="20" t="str">
        <f t="array" ref="M938">_xlfn.XLOOKUP(F938,Metodos_De_Pago[ID_Metodo],Metodos_De_Pago[Metodo])</f>
        <v>Transferencia</v>
      </c>
      <c r="N938" s="20" t="str">
        <f t="shared" si="2"/>
        <v>2024 11</v>
      </c>
    </row>
    <row r="939" ht="22.5" customHeight="1">
      <c r="A939" s="12">
        <f>IFERROR(__xludf.DUMMYFUNCTION("""COMPUTED_VALUE"""),158.0)</f>
        <v>158</v>
      </c>
      <c r="B939" s="13">
        <f>IFERROR(__xludf.DUMMYFUNCTION("""COMPUTED_VALUE"""),45600.0)</f>
        <v>45600</v>
      </c>
      <c r="C939" s="12">
        <f>IFERROR(__xludf.DUMMYFUNCTION("""COMPUTED_VALUE"""),319.0)</f>
        <v>319</v>
      </c>
      <c r="D939" s="12">
        <f>IFERROR(__xludf.DUMMYFUNCTION("""COMPUTED_VALUE"""),26.0)</f>
        <v>26</v>
      </c>
      <c r="E939" s="12">
        <f>IFERROR(__xludf.DUMMYFUNCTION("""COMPUTED_VALUE"""),2.0)</f>
        <v>2</v>
      </c>
      <c r="F939" s="12">
        <f>IFERROR(__xludf.DUMMYFUNCTION("""COMPUTED_VALUE"""),5.0)</f>
        <v>5</v>
      </c>
      <c r="G939" s="15" t="str">
        <f>IFERROR(__xludf.DUMMYFUNCTION("""COMPUTED_VALUE"""),"Pendiente")</f>
        <v>Pendiente</v>
      </c>
      <c r="H939" s="16" t="str">
        <f t="array" ref="H939">_xlfn.XLOOKUP(D939,Productos[ID_Producto],Productos[Nombre_Producto])</f>
        <v>Hamburgesas congeladas</v>
      </c>
      <c r="I939" s="17">
        <f t="array" ref="I939">_xlfn.XLOOKUP(D939,Productos[ID_Producto],Productos[Precio_Unitario])</f>
        <v>9.54</v>
      </c>
      <c r="J939" s="17">
        <f t="shared" si="1"/>
        <v>19.08</v>
      </c>
      <c r="K939" s="16" t="str">
        <f t="array" ref="K939">_xlfn.XLOOKUP(C939,Clientes[ID_Cliente],Clientes[Provincia])</f>
        <v>Neuquén</v>
      </c>
      <c r="L939" s="16" t="str">
        <f t="array" ref="L939">CONCATENATE(_xlfn.XLOOKUP(C939,Clientes[ID_Cliente],Clientes[Provincia]),", Argentina")</f>
        <v>Neuquén, Argentina</v>
      </c>
      <c r="M939" s="20" t="str">
        <f t="array" ref="M939">_xlfn.XLOOKUP(F939,Metodos_De_Pago[ID_Metodo],Metodos_De_Pago[Metodo])</f>
        <v>Transferencia</v>
      </c>
      <c r="N939" s="20" t="str">
        <f t="shared" si="2"/>
        <v>2024 11</v>
      </c>
    </row>
    <row r="940" ht="22.5" customHeight="1">
      <c r="A940" s="12">
        <f>IFERROR(__xludf.DUMMYFUNCTION("""COMPUTED_VALUE"""),791.0)</f>
        <v>791</v>
      </c>
      <c r="B940" s="13">
        <f>IFERROR(__xludf.DUMMYFUNCTION("""COMPUTED_VALUE"""),45601.0)</f>
        <v>45601</v>
      </c>
      <c r="C940" s="12">
        <f>IFERROR(__xludf.DUMMYFUNCTION("""COMPUTED_VALUE"""),210.0)</f>
        <v>210</v>
      </c>
      <c r="D940" s="12">
        <f>IFERROR(__xludf.DUMMYFUNCTION("""COMPUTED_VALUE"""),32.0)</f>
        <v>32</v>
      </c>
      <c r="E940" s="12">
        <f>IFERROR(__xludf.DUMMYFUNCTION("""COMPUTED_VALUE"""),2.0)</f>
        <v>2</v>
      </c>
      <c r="F940" s="12">
        <f>IFERROR(__xludf.DUMMYFUNCTION("""COMPUTED_VALUE"""),4.0)</f>
        <v>4</v>
      </c>
      <c r="G940" s="15" t="str">
        <f>IFERROR(__xludf.DUMMYFUNCTION("""COMPUTED_VALUE"""),"Completa")</f>
        <v>Completa</v>
      </c>
      <c r="H940" s="16" t="str">
        <f t="array" ref="H940">_xlfn.XLOOKUP(D940,Productos[ID_Producto],Productos[Nombre_Producto])</f>
        <v>Galletitas de chocolate</v>
      </c>
      <c r="I940" s="17">
        <f t="array" ref="I940">_xlfn.XLOOKUP(D940,Productos[ID_Producto],Productos[Precio_Unitario])</f>
        <v>6.25</v>
      </c>
      <c r="J940" s="17">
        <f t="shared" si="1"/>
        <v>12.5</v>
      </c>
      <c r="K940" s="16" t="str">
        <f t="array" ref="K940">_xlfn.XLOOKUP(C940,Clientes[ID_Cliente],Clientes[Provincia])</f>
        <v>Córdoba</v>
      </c>
      <c r="L940" s="16" t="str">
        <f t="array" ref="L940">CONCATENATE(_xlfn.XLOOKUP(C940,Clientes[ID_Cliente],Clientes[Provincia]),", Argentina")</f>
        <v>Córdoba, Argentina</v>
      </c>
      <c r="M940" s="20" t="str">
        <f t="array" ref="M940">_xlfn.XLOOKUP(F940,Metodos_De_Pago[ID_Metodo],Metodos_De_Pago[Metodo])</f>
        <v>Mercado Pago</v>
      </c>
      <c r="N940" s="20" t="str">
        <f t="shared" si="2"/>
        <v>2024 11</v>
      </c>
    </row>
    <row r="941" ht="22.5" customHeight="1">
      <c r="A941" s="12">
        <f>IFERROR(__xludf.DUMMYFUNCTION("""COMPUTED_VALUE"""),2644.0)</f>
        <v>2644</v>
      </c>
      <c r="B941" s="13">
        <f>IFERROR(__xludf.DUMMYFUNCTION("""COMPUTED_VALUE"""),45601.0)</f>
        <v>45601</v>
      </c>
      <c r="C941" s="12">
        <f>IFERROR(__xludf.DUMMYFUNCTION("""COMPUTED_VALUE"""),69.0)</f>
        <v>69</v>
      </c>
      <c r="D941" s="12">
        <f>IFERROR(__xludf.DUMMYFUNCTION("""COMPUTED_VALUE"""),21.0)</f>
        <v>21</v>
      </c>
      <c r="E941" s="12">
        <f>IFERROR(__xludf.DUMMYFUNCTION("""COMPUTED_VALUE"""),2.0)</f>
        <v>2</v>
      </c>
      <c r="F941" s="12">
        <f>IFERROR(__xludf.DUMMYFUNCTION("""COMPUTED_VALUE"""),4.0)</f>
        <v>4</v>
      </c>
      <c r="G941" s="15" t="str">
        <f>IFERROR(__xludf.DUMMYFUNCTION("""COMPUTED_VALUE"""),"Completa")</f>
        <v>Completa</v>
      </c>
      <c r="H941" s="16" t="str">
        <f t="array" ref="H941">_xlfn.XLOOKUP(D941,Productos[ID_Producto],Productos[Nombre_Producto])</f>
        <v>Zanahorias</v>
      </c>
      <c r="I941" s="17">
        <f t="array" ref="I941">_xlfn.XLOOKUP(D941,Productos[ID_Producto],Productos[Precio_Unitario])</f>
        <v>3.25</v>
      </c>
      <c r="J941" s="17">
        <f t="shared" si="1"/>
        <v>6.5</v>
      </c>
      <c r="K941" s="16" t="str">
        <f t="array" ref="K941">_xlfn.XLOOKUP(C941,Clientes[ID_Cliente],Clientes[Provincia])</f>
        <v>San Luis</v>
      </c>
      <c r="L941" s="16" t="str">
        <f t="array" ref="L941">CONCATENATE(_xlfn.XLOOKUP(C941,Clientes[ID_Cliente],Clientes[Provincia]),", Argentina")</f>
        <v>San Luis, Argentina</v>
      </c>
      <c r="M941" s="20" t="str">
        <f t="array" ref="M941">_xlfn.XLOOKUP(F941,Metodos_De_Pago[ID_Metodo],Metodos_De_Pago[Metodo])</f>
        <v>Mercado Pago</v>
      </c>
      <c r="N941" s="20" t="str">
        <f t="shared" si="2"/>
        <v>2024 11</v>
      </c>
    </row>
    <row r="942" ht="22.5" customHeight="1">
      <c r="A942" s="12">
        <f>IFERROR(__xludf.DUMMYFUNCTION("""COMPUTED_VALUE"""),480.0)</f>
        <v>480</v>
      </c>
      <c r="B942" s="13">
        <f>IFERROR(__xludf.DUMMYFUNCTION("""COMPUTED_VALUE"""),45602.0)</f>
        <v>45602</v>
      </c>
      <c r="C942" s="12">
        <f>IFERROR(__xludf.DUMMYFUNCTION("""COMPUTED_VALUE"""),161.0)</f>
        <v>161</v>
      </c>
      <c r="D942" s="12">
        <f>IFERROR(__xludf.DUMMYFUNCTION("""COMPUTED_VALUE"""),12.0)</f>
        <v>12</v>
      </c>
      <c r="E942" s="12">
        <f>IFERROR(__xludf.DUMMYFUNCTION("""COMPUTED_VALUE"""),2.0)</f>
        <v>2</v>
      </c>
      <c r="F942" s="12">
        <f>IFERROR(__xludf.DUMMYFUNCTION("""COMPUTED_VALUE"""),2.0)</f>
        <v>2</v>
      </c>
      <c r="G942" s="15" t="str">
        <f>IFERROR(__xludf.DUMMYFUNCTION("""COMPUTED_VALUE"""),"Completa")</f>
        <v>Completa</v>
      </c>
      <c r="H942" s="16" t="str">
        <f t="array" ref="H942">_xlfn.XLOOKUP(D942,Productos[ID_Producto],Productos[Nombre_Producto])</f>
        <v>Pan francés</v>
      </c>
      <c r="I942" s="17">
        <f t="array" ref="I942">_xlfn.XLOOKUP(D942,Productos[ID_Producto],Productos[Precio_Unitario])</f>
        <v>8.12</v>
      </c>
      <c r="J942" s="17">
        <f t="shared" si="1"/>
        <v>16.24</v>
      </c>
      <c r="K942" s="16" t="str">
        <f t="array" ref="K942">_xlfn.XLOOKUP(C942,Clientes[ID_Cliente],Clientes[Provincia])</f>
        <v>Neuquén</v>
      </c>
      <c r="L942" s="16" t="str">
        <f t="array" ref="L942">CONCATENATE(_xlfn.XLOOKUP(C942,Clientes[ID_Cliente],Clientes[Provincia]),", Argentina")</f>
        <v>Neuquén, Argentina</v>
      </c>
      <c r="M942" s="20" t="str">
        <f t="array" ref="M942">_xlfn.XLOOKUP(F942,Metodos_De_Pago[ID_Metodo],Metodos_De_Pago[Metodo])</f>
        <v>Tarjeta de Crédito</v>
      </c>
      <c r="N942" s="20" t="str">
        <f t="shared" si="2"/>
        <v>2024 11</v>
      </c>
    </row>
    <row r="943" ht="22.5" customHeight="1">
      <c r="A943" s="12">
        <f>IFERROR(__xludf.DUMMYFUNCTION("""COMPUTED_VALUE"""),1645.0)</f>
        <v>1645</v>
      </c>
      <c r="B943" s="13">
        <f>IFERROR(__xludf.DUMMYFUNCTION("""COMPUTED_VALUE"""),45602.0)</f>
        <v>45602</v>
      </c>
      <c r="C943" s="12">
        <f>IFERROR(__xludf.DUMMYFUNCTION("""COMPUTED_VALUE"""),13.0)</f>
        <v>13</v>
      </c>
      <c r="D943" s="12">
        <f>IFERROR(__xludf.DUMMYFUNCTION("""COMPUTED_VALUE"""),12.0)</f>
        <v>12</v>
      </c>
      <c r="E943" s="12">
        <f>IFERROR(__xludf.DUMMYFUNCTION("""COMPUTED_VALUE"""),2.0)</f>
        <v>2</v>
      </c>
      <c r="F943" s="12">
        <f>IFERROR(__xludf.DUMMYFUNCTION("""COMPUTED_VALUE"""),5.0)</f>
        <v>5</v>
      </c>
      <c r="G943" s="15" t="str">
        <f>IFERROR(__xludf.DUMMYFUNCTION("""COMPUTED_VALUE"""),"Completa")</f>
        <v>Completa</v>
      </c>
      <c r="H943" s="16" t="str">
        <f t="array" ref="H943">_xlfn.XLOOKUP(D943,Productos[ID_Producto],Productos[Nombre_Producto])</f>
        <v>Pan francés</v>
      </c>
      <c r="I943" s="17">
        <f t="array" ref="I943">_xlfn.XLOOKUP(D943,Productos[ID_Producto],Productos[Precio_Unitario])</f>
        <v>8.12</v>
      </c>
      <c r="J943" s="17">
        <f t="shared" si="1"/>
        <v>16.24</v>
      </c>
      <c r="K943" s="16" t="str">
        <f t="array" ref="K943">_xlfn.XLOOKUP(C943,Clientes[ID_Cliente],Clientes[Provincia])</f>
        <v>Córdoba</v>
      </c>
      <c r="L943" s="16" t="str">
        <f t="array" ref="L943">CONCATENATE(_xlfn.XLOOKUP(C943,Clientes[ID_Cliente],Clientes[Provincia]),", Argentina")</f>
        <v>Córdoba, Argentina</v>
      </c>
      <c r="M943" s="20" t="str">
        <f t="array" ref="M943">_xlfn.XLOOKUP(F943,Metodos_De_Pago[ID_Metodo],Metodos_De_Pago[Metodo])</f>
        <v>Transferencia</v>
      </c>
      <c r="N943" s="20" t="str">
        <f t="shared" si="2"/>
        <v>2024 11</v>
      </c>
    </row>
    <row r="944" ht="22.5" customHeight="1">
      <c r="A944" s="12">
        <f>IFERROR(__xludf.DUMMYFUNCTION("""COMPUTED_VALUE"""),687.0)</f>
        <v>687</v>
      </c>
      <c r="B944" s="13">
        <f>IFERROR(__xludf.DUMMYFUNCTION("""COMPUTED_VALUE"""),45605.0)</f>
        <v>45605</v>
      </c>
      <c r="C944" s="12">
        <f>IFERROR(__xludf.DUMMYFUNCTION("""COMPUTED_VALUE"""),43.0)</f>
        <v>43</v>
      </c>
      <c r="D944" s="12">
        <f>IFERROR(__xludf.DUMMYFUNCTION("""COMPUTED_VALUE"""),30.0)</f>
        <v>30</v>
      </c>
      <c r="E944" s="12">
        <f>IFERROR(__xludf.DUMMYFUNCTION("""COMPUTED_VALUE"""),2.0)</f>
        <v>2</v>
      </c>
      <c r="F944" s="12">
        <f>IFERROR(__xludf.DUMMYFUNCTION("""COMPUTED_VALUE"""),1.0)</f>
        <v>1</v>
      </c>
      <c r="G944" s="15" t="str">
        <f>IFERROR(__xludf.DUMMYFUNCTION("""COMPUTED_VALUE"""),"Completa")</f>
        <v>Completa</v>
      </c>
      <c r="H944" s="16" t="str">
        <f t="array" ref="H944">_xlfn.XLOOKUP(D944,Productos[ID_Producto],Productos[Nombre_Producto])</f>
        <v>Vino tinto</v>
      </c>
      <c r="I944" s="17">
        <f t="array" ref="I944">_xlfn.XLOOKUP(D944,Productos[ID_Producto],Productos[Precio_Unitario])</f>
        <v>13.54</v>
      </c>
      <c r="J944" s="17">
        <f t="shared" si="1"/>
        <v>27.08</v>
      </c>
      <c r="K944" s="16" t="str">
        <f t="array" ref="K944">_xlfn.XLOOKUP(C944,Clientes[ID_Cliente],Clientes[Provincia])</f>
        <v>Neuquén</v>
      </c>
      <c r="L944" s="16" t="str">
        <f t="array" ref="L944">CONCATENATE(_xlfn.XLOOKUP(C944,Clientes[ID_Cliente],Clientes[Provincia]),", Argentina")</f>
        <v>Neuquén, Argentina</v>
      </c>
      <c r="M944" s="20" t="str">
        <f t="array" ref="M944">_xlfn.XLOOKUP(F944,Metodos_De_Pago[ID_Metodo],Metodos_De_Pago[Metodo])</f>
        <v>Efectivo</v>
      </c>
      <c r="N944" s="20" t="str">
        <f t="shared" si="2"/>
        <v>2024 11</v>
      </c>
    </row>
    <row r="945" ht="22.5" customHeight="1">
      <c r="A945" s="12">
        <f>IFERROR(__xludf.DUMMYFUNCTION("""COMPUTED_VALUE"""),2148.0)</f>
        <v>2148</v>
      </c>
      <c r="B945" s="13">
        <f>IFERROR(__xludf.DUMMYFUNCTION("""COMPUTED_VALUE"""),45605.0)</f>
        <v>45605</v>
      </c>
      <c r="C945" s="12">
        <f>IFERROR(__xludf.DUMMYFUNCTION("""COMPUTED_VALUE"""),43.0)</f>
        <v>43</v>
      </c>
      <c r="D945" s="12">
        <f>IFERROR(__xludf.DUMMYFUNCTION("""COMPUTED_VALUE"""),16.0)</f>
        <v>16</v>
      </c>
      <c r="E945" s="12">
        <f>IFERROR(__xludf.DUMMYFUNCTION("""COMPUTED_VALUE"""),2.0)</f>
        <v>2</v>
      </c>
      <c r="F945" s="12">
        <f>IFERROR(__xludf.DUMMYFUNCTION("""COMPUTED_VALUE"""),1.0)</f>
        <v>1</v>
      </c>
      <c r="G945" s="15" t="str">
        <f>IFERROR(__xludf.DUMMYFUNCTION("""COMPUTED_VALUE"""),"Completa")</f>
        <v>Completa</v>
      </c>
      <c r="H945" s="16" t="str">
        <f t="array" ref="H945">_xlfn.XLOOKUP(D945,Productos[ID_Producto],Productos[Nombre_Producto])</f>
        <v>Tortas</v>
      </c>
      <c r="I945" s="17">
        <f t="array" ref="I945">_xlfn.XLOOKUP(D945,Productos[ID_Producto],Productos[Precio_Unitario])</f>
        <v>15.23</v>
      </c>
      <c r="J945" s="17">
        <f t="shared" si="1"/>
        <v>30.46</v>
      </c>
      <c r="K945" s="16" t="str">
        <f t="array" ref="K945">_xlfn.XLOOKUP(C945,Clientes[ID_Cliente],Clientes[Provincia])</f>
        <v>Neuquén</v>
      </c>
      <c r="L945" s="16" t="str">
        <f t="array" ref="L945">CONCATENATE(_xlfn.XLOOKUP(C945,Clientes[ID_Cliente],Clientes[Provincia]),", Argentina")</f>
        <v>Neuquén, Argentina</v>
      </c>
      <c r="M945" s="20" t="str">
        <f t="array" ref="M945">_xlfn.XLOOKUP(F945,Metodos_De_Pago[ID_Metodo],Metodos_De_Pago[Metodo])</f>
        <v>Efectivo</v>
      </c>
      <c r="N945" s="20" t="str">
        <f t="shared" si="2"/>
        <v>2024 11</v>
      </c>
    </row>
    <row r="946" ht="22.5" customHeight="1">
      <c r="A946" s="12">
        <f>IFERROR(__xludf.DUMMYFUNCTION("""COMPUTED_VALUE"""),2696.0)</f>
        <v>2696</v>
      </c>
      <c r="B946" s="13">
        <f>IFERROR(__xludf.DUMMYFUNCTION("""COMPUTED_VALUE"""),45605.0)</f>
        <v>45605</v>
      </c>
      <c r="C946" s="12">
        <f>IFERROR(__xludf.DUMMYFUNCTION("""COMPUTED_VALUE"""),86.0)</f>
        <v>86</v>
      </c>
      <c r="D946" s="12">
        <f>IFERROR(__xludf.DUMMYFUNCTION("""COMPUTED_VALUE"""),5.0)</f>
        <v>5</v>
      </c>
      <c r="E946" s="12">
        <f>IFERROR(__xludf.DUMMYFUNCTION("""COMPUTED_VALUE"""),2.0)</f>
        <v>2</v>
      </c>
      <c r="F946" s="12">
        <f>IFERROR(__xludf.DUMMYFUNCTION("""COMPUTED_VALUE"""),5.0)</f>
        <v>5</v>
      </c>
      <c r="G946" s="15" t="str">
        <f>IFERROR(__xludf.DUMMYFUNCTION("""COMPUTED_VALUE"""),"Completa")</f>
        <v>Completa</v>
      </c>
      <c r="H946" s="16" t="str">
        <f t="array" ref="H946">_xlfn.XLOOKUP(D946,Productos[ID_Producto],Productos[Nombre_Producto])</f>
        <v>Manteca</v>
      </c>
      <c r="I946" s="17">
        <f t="array" ref="I946">_xlfn.XLOOKUP(D946,Productos[ID_Producto],Productos[Precio_Unitario])</f>
        <v>5.65</v>
      </c>
      <c r="J946" s="17">
        <f t="shared" si="1"/>
        <v>11.3</v>
      </c>
      <c r="K946" s="16" t="str">
        <f t="array" ref="K946">_xlfn.XLOOKUP(C946,Clientes[ID_Cliente],Clientes[Provincia])</f>
        <v>Neuquén</v>
      </c>
      <c r="L946" s="16" t="str">
        <f t="array" ref="L946">CONCATENATE(_xlfn.XLOOKUP(C946,Clientes[ID_Cliente],Clientes[Provincia]),", Argentina")</f>
        <v>Neuquén, Argentina</v>
      </c>
      <c r="M946" s="20" t="str">
        <f t="array" ref="M946">_xlfn.XLOOKUP(F946,Metodos_De_Pago[ID_Metodo],Metodos_De_Pago[Metodo])</f>
        <v>Transferencia</v>
      </c>
      <c r="N946" s="20" t="str">
        <f t="shared" si="2"/>
        <v>2024 11</v>
      </c>
    </row>
    <row r="947" ht="22.5" customHeight="1">
      <c r="A947" s="12">
        <f>IFERROR(__xludf.DUMMYFUNCTION("""COMPUTED_VALUE"""),709.0)</f>
        <v>709</v>
      </c>
      <c r="B947" s="13">
        <f>IFERROR(__xludf.DUMMYFUNCTION("""COMPUTED_VALUE"""),45606.0)</f>
        <v>45606</v>
      </c>
      <c r="C947" s="12">
        <f>IFERROR(__xludf.DUMMYFUNCTION("""COMPUTED_VALUE"""),20.0)</f>
        <v>20</v>
      </c>
      <c r="D947" s="12">
        <f>IFERROR(__xludf.DUMMYFUNCTION("""COMPUTED_VALUE"""),13.0)</f>
        <v>13</v>
      </c>
      <c r="E947" s="12">
        <f>IFERROR(__xludf.DUMMYFUNCTION("""COMPUTED_VALUE"""),2.0)</f>
        <v>2</v>
      </c>
      <c r="F947" s="12">
        <f>IFERROR(__xludf.DUMMYFUNCTION("""COMPUTED_VALUE"""),3.0)</f>
        <v>3</v>
      </c>
      <c r="G947" s="15" t="str">
        <f>IFERROR(__xludf.DUMMYFUNCTION("""COMPUTED_VALUE"""),"Completa")</f>
        <v>Completa</v>
      </c>
      <c r="H947" s="16" t="str">
        <f t="array" ref="H947">_xlfn.XLOOKUP(D947,Productos[ID_Producto],Productos[Nombre_Producto])</f>
        <v>Pan integral</v>
      </c>
      <c r="I947" s="17">
        <f t="array" ref="I947">_xlfn.XLOOKUP(D947,Productos[ID_Producto],Productos[Precio_Unitario])</f>
        <v>12.56</v>
      </c>
      <c r="J947" s="17">
        <f t="shared" si="1"/>
        <v>25.12</v>
      </c>
      <c r="K947" s="16" t="str">
        <f t="array" ref="K947">_xlfn.XLOOKUP(C947,Clientes[ID_Cliente],Clientes[Provincia])</f>
        <v>San Luis</v>
      </c>
      <c r="L947" s="16" t="str">
        <f t="array" ref="L947">CONCATENATE(_xlfn.XLOOKUP(C947,Clientes[ID_Cliente],Clientes[Provincia]),", Argentina")</f>
        <v>San Luis, Argentina</v>
      </c>
      <c r="M947" s="20" t="str">
        <f t="array" ref="M947">_xlfn.XLOOKUP(F947,Metodos_De_Pago[ID_Metodo],Metodos_De_Pago[Metodo])</f>
        <v>Tarjeta de Débito</v>
      </c>
      <c r="N947" s="20" t="str">
        <f t="shared" si="2"/>
        <v>2024 11</v>
      </c>
    </row>
    <row r="948" ht="22.5" customHeight="1">
      <c r="A948" s="12">
        <f>IFERROR(__xludf.DUMMYFUNCTION("""COMPUTED_VALUE"""),1032.0)</f>
        <v>1032</v>
      </c>
      <c r="B948" s="13">
        <f>IFERROR(__xludf.DUMMYFUNCTION("""COMPUTED_VALUE"""),45606.0)</f>
        <v>45606</v>
      </c>
      <c r="C948" s="12">
        <f>IFERROR(__xludf.DUMMYFUNCTION("""COMPUTED_VALUE"""),20.0)</f>
        <v>20</v>
      </c>
      <c r="D948" s="12">
        <f>IFERROR(__xludf.DUMMYFUNCTION("""COMPUTED_VALUE"""),8.0)</f>
        <v>8</v>
      </c>
      <c r="E948" s="12">
        <f>IFERROR(__xludf.DUMMYFUNCTION("""COMPUTED_VALUE"""),2.0)</f>
        <v>2</v>
      </c>
      <c r="F948" s="12">
        <f>IFERROR(__xludf.DUMMYFUNCTION("""COMPUTED_VALUE"""),5.0)</f>
        <v>5</v>
      </c>
      <c r="G948" s="15" t="str">
        <f>IFERROR(__xludf.DUMMYFUNCTION("""COMPUTED_VALUE"""),"Completa")</f>
        <v>Completa</v>
      </c>
      <c r="H948" s="16" t="str">
        <f t="array" ref="H948">_xlfn.XLOOKUP(D948,Productos[ID_Producto],Productos[Nombre_Producto])</f>
        <v>Milanesa</v>
      </c>
      <c r="I948" s="17">
        <f t="array" ref="I948">_xlfn.XLOOKUP(D948,Productos[ID_Producto],Productos[Precio_Unitario])</f>
        <v>16.21</v>
      </c>
      <c r="J948" s="17">
        <f t="shared" si="1"/>
        <v>32.42</v>
      </c>
      <c r="K948" s="16" t="str">
        <f t="array" ref="K948">_xlfn.XLOOKUP(C948,Clientes[ID_Cliente],Clientes[Provincia])</f>
        <v>San Luis</v>
      </c>
      <c r="L948" s="16" t="str">
        <f t="array" ref="L948">CONCATENATE(_xlfn.XLOOKUP(C948,Clientes[ID_Cliente],Clientes[Provincia]),", Argentina")</f>
        <v>San Luis, Argentina</v>
      </c>
      <c r="M948" s="20" t="str">
        <f t="array" ref="M948">_xlfn.XLOOKUP(F948,Metodos_De_Pago[ID_Metodo],Metodos_De_Pago[Metodo])</f>
        <v>Transferencia</v>
      </c>
      <c r="N948" s="20" t="str">
        <f t="shared" si="2"/>
        <v>2024 11</v>
      </c>
    </row>
    <row r="949" ht="22.5" customHeight="1">
      <c r="A949" s="12">
        <f>IFERROR(__xludf.DUMMYFUNCTION("""COMPUTED_VALUE"""),2468.0)</f>
        <v>2468</v>
      </c>
      <c r="B949" s="13">
        <f>IFERROR(__xludf.DUMMYFUNCTION("""COMPUTED_VALUE"""),45606.0)</f>
        <v>45606</v>
      </c>
      <c r="C949" s="12">
        <f>IFERROR(__xludf.DUMMYFUNCTION("""COMPUTED_VALUE"""),307.0)</f>
        <v>307</v>
      </c>
      <c r="D949" s="12">
        <f>IFERROR(__xludf.DUMMYFUNCTION("""COMPUTED_VALUE"""),32.0)</f>
        <v>32</v>
      </c>
      <c r="E949" s="12">
        <f>IFERROR(__xludf.DUMMYFUNCTION("""COMPUTED_VALUE"""),2.0)</f>
        <v>2</v>
      </c>
      <c r="F949" s="12">
        <f>IFERROR(__xludf.DUMMYFUNCTION("""COMPUTED_VALUE"""),3.0)</f>
        <v>3</v>
      </c>
      <c r="G949" s="15" t="str">
        <f>IFERROR(__xludf.DUMMYFUNCTION("""COMPUTED_VALUE"""),"Completa")</f>
        <v>Completa</v>
      </c>
      <c r="H949" s="16" t="str">
        <f t="array" ref="H949">_xlfn.XLOOKUP(D949,Productos[ID_Producto],Productos[Nombre_Producto])</f>
        <v>Galletitas de chocolate</v>
      </c>
      <c r="I949" s="17">
        <f t="array" ref="I949">_xlfn.XLOOKUP(D949,Productos[ID_Producto],Productos[Precio_Unitario])</f>
        <v>6.25</v>
      </c>
      <c r="J949" s="17">
        <f t="shared" si="1"/>
        <v>12.5</v>
      </c>
      <c r="K949" s="16" t="str">
        <f t="array" ref="K949">_xlfn.XLOOKUP(C949,Clientes[ID_Cliente],Clientes[Provincia])</f>
        <v>San Luis</v>
      </c>
      <c r="L949" s="16" t="str">
        <f t="array" ref="L949">CONCATENATE(_xlfn.XLOOKUP(C949,Clientes[ID_Cliente],Clientes[Provincia]),", Argentina")</f>
        <v>San Luis, Argentina</v>
      </c>
      <c r="M949" s="20" t="str">
        <f t="array" ref="M949">_xlfn.XLOOKUP(F949,Metodos_De_Pago[ID_Metodo],Metodos_De_Pago[Metodo])</f>
        <v>Tarjeta de Débito</v>
      </c>
      <c r="N949" s="20" t="str">
        <f t="shared" si="2"/>
        <v>2024 11</v>
      </c>
    </row>
    <row r="950" ht="22.5" customHeight="1">
      <c r="A950" s="12">
        <f>IFERROR(__xludf.DUMMYFUNCTION("""COMPUTED_VALUE"""),2621.0)</f>
        <v>2621</v>
      </c>
      <c r="B950" s="13">
        <f>IFERROR(__xludf.DUMMYFUNCTION("""COMPUTED_VALUE"""),45606.0)</f>
        <v>45606</v>
      </c>
      <c r="C950" s="12">
        <f>IFERROR(__xludf.DUMMYFUNCTION("""COMPUTED_VALUE"""),112.0)</f>
        <v>112</v>
      </c>
      <c r="D950" s="12">
        <f>IFERROR(__xludf.DUMMYFUNCTION("""COMPUTED_VALUE"""),23.0)</f>
        <v>23</v>
      </c>
      <c r="E950" s="12">
        <f>IFERROR(__xludf.DUMMYFUNCTION("""COMPUTED_VALUE"""),2.0)</f>
        <v>2</v>
      </c>
      <c r="F950" s="12">
        <f>IFERROR(__xludf.DUMMYFUNCTION("""COMPUTED_VALUE"""),5.0)</f>
        <v>5</v>
      </c>
      <c r="G950" s="15" t="str">
        <f>IFERROR(__xludf.DUMMYFUNCTION("""COMPUTED_VALUE"""),"Pendiente")</f>
        <v>Pendiente</v>
      </c>
      <c r="H950" s="16" t="str">
        <f t="array" ref="H950">_xlfn.XLOOKUP(D950,Productos[ID_Producto],Productos[Nombre_Producto])</f>
        <v>Papas fritas</v>
      </c>
      <c r="I950" s="17">
        <f t="array" ref="I950">_xlfn.XLOOKUP(D950,Productos[ID_Producto],Productos[Precio_Unitario])</f>
        <v>8.23</v>
      </c>
      <c r="J950" s="17">
        <f t="shared" si="1"/>
        <v>16.46</v>
      </c>
      <c r="K950" s="16" t="str">
        <f t="array" ref="K950">_xlfn.XLOOKUP(C950,Clientes[ID_Cliente],Clientes[Provincia])</f>
        <v>Chaco</v>
      </c>
      <c r="L950" s="16" t="str">
        <f t="array" ref="L950">CONCATENATE(_xlfn.XLOOKUP(C950,Clientes[ID_Cliente],Clientes[Provincia]),", Argentina")</f>
        <v>Chaco, Argentina</v>
      </c>
      <c r="M950" s="20" t="str">
        <f t="array" ref="M950">_xlfn.XLOOKUP(F950,Metodos_De_Pago[ID_Metodo],Metodos_De_Pago[Metodo])</f>
        <v>Transferencia</v>
      </c>
      <c r="N950" s="20" t="str">
        <f t="shared" si="2"/>
        <v>2024 11</v>
      </c>
    </row>
    <row r="951" ht="22.5" customHeight="1">
      <c r="A951" s="12">
        <f>IFERROR(__xludf.DUMMYFUNCTION("""COMPUTED_VALUE"""),672.0)</f>
        <v>672</v>
      </c>
      <c r="B951" s="13">
        <f>IFERROR(__xludf.DUMMYFUNCTION("""COMPUTED_VALUE"""),45608.0)</f>
        <v>45608</v>
      </c>
      <c r="C951" s="12">
        <f>IFERROR(__xludf.DUMMYFUNCTION("""COMPUTED_VALUE"""),63.0)</f>
        <v>63</v>
      </c>
      <c r="D951" s="12">
        <f>IFERROR(__xludf.DUMMYFUNCTION("""COMPUTED_VALUE"""),38.0)</f>
        <v>38</v>
      </c>
      <c r="E951" s="12">
        <f>IFERROR(__xludf.DUMMYFUNCTION("""COMPUTED_VALUE"""),2.0)</f>
        <v>2</v>
      </c>
      <c r="F951" s="12">
        <f>IFERROR(__xludf.DUMMYFUNCTION("""COMPUTED_VALUE"""),5.0)</f>
        <v>5</v>
      </c>
      <c r="G951" s="15" t="str">
        <f>IFERROR(__xludf.DUMMYFUNCTION("""COMPUTED_VALUE"""),"Pendiente")</f>
        <v>Pendiente</v>
      </c>
      <c r="H951" s="16" t="str">
        <f t="array" ref="H951">_xlfn.XLOOKUP(D951,Productos[ID_Producto],Productos[Nombre_Producto])</f>
        <v>Atún enlatado</v>
      </c>
      <c r="I951" s="17">
        <f t="array" ref="I951">_xlfn.XLOOKUP(D951,Productos[ID_Producto],Productos[Precio_Unitario])</f>
        <v>6.21</v>
      </c>
      <c r="J951" s="17">
        <f t="shared" si="1"/>
        <v>12.42</v>
      </c>
      <c r="K951" s="16" t="str">
        <f t="array" ref="K951">_xlfn.XLOOKUP(C951,Clientes[ID_Cliente],Clientes[Provincia])</f>
        <v>Buenos Aires</v>
      </c>
      <c r="L951" s="16" t="str">
        <f t="array" ref="L951">CONCATENATE(_xlfn.XLOOKUP(C951,Clientes[ID_Cliente],Clientes[Provincia]),", Argentina")</f>
        <v>Buenos Aires, Argentina</v>
      </c>
      <c r="M951" s="20" t="str">
        <f t="array" ref="M951">_xlfn.XLOOKUP(F951,Metodos_De_Pago[ID_Metodo],Metodos_De_Pago[Metodo])</f>
        <v>Transferencia</v>
      </c>
      <c r="N951" s="20" t="str">
        <f t="shared" si="2"/>
        <v>2024 11</v>
      </c>
    </row>
    <row r="952" ht="22.5" customHeight="1">
      <c r="A952" s="12">
        <f>IFERROR(__xludf.DUMMYFUNCTION("""COMPUTED_VALUE"""),793.0)</f>
        <v>793</v>
      </c>
      <c r="B952" s="13">
        <f>IFERROR(__xludf.DUMMYFUNCTION("""COMPUTED_VALUE"""),45609.0)</f>
        <v>45609</v>
      </c>
      <c r="C952" s="12">
        <f>IFERROR(__xludf.DUMMYFUNCTION("""COMPUTED_VALUE"""),175.0)</f>
        <v>175</v>
      </c>
      <c r="D952" s="12">
        <f>IFERROR(__xludf.DUMMYFUNCTION("""COMPUTED_VALUE"""),2.0)</f>
        <v>2</v>
      </c>
      <c r="E952" s="12">
        <f>IFERROR(__xludf.DUMMYFUNCTION("""COMPUTED_VALUE"""),2.0)</f>
        <v>2</v>
      </c>
      <c r="F952" s="12">
        <f>IFERROR(__xludf.DUMMYFUNCTION("""COMPUTED_VALUE"""),1.0)</f>
        <v>1</v>
      </c>
      <c r="G952" s="15" t="str">
        <f>IFERROR(__xludf.DUMMYFUNCTION("""COMPUTED_VALUE"""),"Completa")</f>
        <v>Completa</v>
      </c>
      <c r="H952" s="16" t="str">
        <f t="array" ref="H952">_xlfn.XLOOKUP(D952,Productos[ID_Producto],Productos[Nombre_Producto])</f>
        <v>Yogur</v>
      </c>
      <c r="I952" s="17">
        <f t="array" ref="I952">_xlfn.XLOOKUP(D952,Productos[ID_Producto],Productos[Precio_Unitario])</f>
        <v>5.21</v>
      </c>
      <c r="J952" s="17">
        <f t="shared" si="1"/>
        <v>10.42</v>
      </c>
      <c r="K952" s="16" t="str">
        <f t="array" ref="K952">_xlfn.XLOOKUP(C952,Clientes[ID_Cliente],Clientes[Provincia])</f>
        <v>Buenos Aires</v>
      </c>
      <c r="L952" s="16" t="str">
        <f t="array" ref="L952">CONCATENATE(_xlfn.XLOOKUP(C952,Clientes[ID_Cliente],Clientes[Provincia]),", Argentina")</f>
        <v>Buenos Aires, Argentina</v>
      </c>
      <c r="M952" s="20" t="str">
        <f t="array" ref="M952">_xlfn.XLOOKUP(F952,Metodos_De_Pago[ID_Metodo],Metodos_De_Pago[Metodo])</f>
        <v>Efectivo</v>
      </c>
      <c r="N952" s="20" t="str">
        <f t="shared" si="2"/>
        <v>2024 11</v>
      </c>
    </row>
    <row r="953" ht="22.5" customHeight="1">
      <c r="A953" s="12">
        <f>IFERROR(__xludf.DUMMYFUNCTION("""COMPUTED_VALUE"""),2262.0)</f>
        <v>2262</v>
      </c>
      <c r="B953" s="13">
        <f>IFERROR(__xludf.DUMMYFUNCTION("""COMPUTED_VALUE"""),45609.0)</f>
        <v>45609</v>
      </c>
      <c r="C953" s="12">
        <f>IFERROR(__xludf.DUMMYFUNCTION("""COMPUTED_VALUE"""),222.0)</f>
        <v>222</v>
      </c>
      <c r="D953" s="12">
        <f>IFERROR(__xludf.DUMMYFUNCTION("""COMPUTED_VALUE"""),19.0)</f>
        <v>19</v>
      </c>
      <c r="E953" s="12">
        <f>IFERROR(__xludf.DUMMYFUNCTION("""COMPUTED_VALUE"""),2.0)</f>
        <v>2</v>
      </c>
      <c r="F953" s="12">
        <f>IFERROR(__xludf.DUMMYFUNCTION("""COMPUTED_VALUE"""),4.0)</f>
        <v>4</v>
      </c>
      <c r="G953" s="15" t="str">
        <f>IFERROR(__xludf.DUMMYFUNCTION("""COMPUTED_VALUE"""),"Completa")</f>
        <v>Completa</v>
      </c>
      <c r="H953" s="16" t="str">
        <f t="array" ref="H953">_xlfn.XLOOKUP(D953,Productos[ID_Producto],Productos[Nombre_Producto])</f>
        <v>Tomates</v>
      </c>
      <c r="I953" s="17">
        <f t="array" ref="I953">_xlfn.XLOOKUP(D953,Productos[ID_Producto],Productos[Precio_Unitario])</f>
        <v>6.54</v>
      </c>
      <c r="J953" s="17">
        <f t="shared" si="1"/>
        <v>13.08</v>
      </c>
      <c r="K953" s="16" t="str">
        <f t="array" ref="K953">_xlfn.XLOOKUP(C953,Clientes[ID_Cliente],Clientes[Provincia])</f>
        <v>Córdoba</v>
      </c>
      <c r="L953" s="16" t="str">
        <f t="array" ref="L953">CONCATENATE(_xlfn.XLOOKUP(C953,Clientes[ID_Cliente],Clientes[Provincia]),", Argentina")</f>
        <v>Córdoba, Argentina</v>
      </c>
      <c r="M953" s="20" t="str">
        <f t="array" ref="M953">_xlfn.XLOOKUP(F953,Metodos_De_Pago[ID_Metodo],Metodos_De_Pago[Metodo])</f>
        <v>Mercado Pago</v>
      </c>
      <c r="N953" s="20" t="str">
        <f t="shared" si="2"/>
        <v>2024 11</v>
      </c>
    </row>
    <row r="954" ht="22.5" customHeight="1">
      <c r="A954" s="12">
        <f>IFERROR(__xludf.DUMMYFUNCTION("""COMPUTED_VALUE"""),2298.0)</f>
        <v>2298</v>
      </c>
      <c r="B954" s="13">
        <f>IFERROR(__xludf.DUMMYFUNCTION("""COMPUTED_VALUE"""),45609.0)</f>
        <v>45609</v>
      </c>
      <c r="C954" s="12">
        <f>IFERROR(__xludf.DUMMYFUNCTION("""COMPUTED_VALUE"""),140.0)</f>
        <v>140</v>
      </c>
      <c r="D954" s="12">
        <f>IFERROR(__xludf.DUMMYFUNCTION("""COMPUTED_VALUE"""),33.0)</f>
        <v>33</v>
      </c>
      <c r="E954" s="12">
        <f>IFERROR(__xludf.DUMMYFUNCTION("""COMPUTED_VALUE"""),2.0)</f>
        <v>2</v>
      </c>
      <c r="F954" s="12">
        <f>IFERROR(__xludf.DUMMYFUNCTION("""COMPUTED_VALUE"""),3.0)</f>
        <v>3</v>
      </c>
      <c r="G954" s="15" t="str">
        <f>IFERROR(__xludf.DUMMYFUNCTION("""COMPUTED_VALUE"""),"Completa")</f>
        <v>Completa</v>
      </c>
      <c r="H954" s="16" t="str">
        <f t="array" ref="H954">_xlfn.XLOOKUP(D954,Productos[ID_Producto],Productos[Nombre_Producto])</f>
        <v>Papas chips</v>
      </c>
      <c r="I954" s="17">
        <f t="array" ref="I954">_xlfn.XLOOKUP(D954,Productos[ID_Producto],Productos[Precio_Unitario])</f>
        <v>8.54</v>
      </c>
      <c r="J954" s="17">
        <f t="shared" si="1"/>
        <v>17.08</v>
      </c>
      <c r="K954" s="16" t="str">
        <f t="array" ref="K954">_xlfn.XLOOKUP(C954,Clientes[ID_Cliente],Clientes[Provincia])</f>
        <v>Chaco</v>
      </c>
      <c r="L954" s="16" t="str">
        <f t="array" ref="L954">CONCATENATE(_xlfn.XLOOKUP(C954,Clientes[ID_Cliente],Clientes[Provincia]),", Argentina")</f>
        <v>Chaco, Argentina</v>
      </c>
      <c r="M954" s="20" t="str">
        <f t="array" ref="M954">_xlfn.XLOOKUP(F954,Metodos_De_Pago[ID_Metodo],Metodos_De_Pago[Metodo])</f>
        <v>Tarjeta de Débito</v>
      </c>
      <c r="N954" s="20" t="str">
        <f t="shared" si="2"/>
        <v>2024 11</v>
      </c>
    </row>
    <row r="955" ht="22.5" customHeight="1">
      <c r="A955" s="12">
        <f>IFERROR(__xludf.DUMMYFUNCTION("""COMPUTED_VALUE"""),1772.0)</f>
        <v>1772</v>
      </c>
      <c r="B955" s="13">
        <f>IFERROR(__xludf.DUMMYFUNCTION("""COMPUTED_VALUE"""),45610.0)</f>
        <v>45610</v>
      </c>
      <c r="C955" s="12">
        <f>IFERROR(__xludf.DUMMYFUNCTION("""COMPUTED_VALUE"""),164.0)</f>
        <v>164</v>
      </c>
      <c r="D955" s="12">
        <f>IFERROR(__xludf.DUMMYFUNCTION("""COMPUTED_VALUE"""),24.0)</f>
        <v>24</v>
      </c>
      <c r="E955" s="12">
        <f>IFERROR(__xludf.DUMMYFUNCTION("""COMPUTED_VALUE"""),2.0)</f>
        <v>2</v>
      </c>
      <c r="F955" s="12">
        <f>IFERROR(__xludf.DUMMYFUNCTION("""COMPUTED_VALUE"""),4.0)</f>
        <v>4</v>
      </c>
      <c r="G955" s="15" t="str">
        <f>IFERROR(__xludf.DUMMYFUNCTION("""COMPUTED_VALUE"""),"Pendiente")</f>
        <v>Pendiente</v>
      </c>
      <c r="H955" s="16" t="str">
        <f t="array" ref="H955">_xlfn.XLOOKUP(D955,Productos[ID_Producto],Productos[Nombre_Producto])</f>
        <v>Empanadas</v>
      </c>
      <c r="I955" s="17">
        <f t="array" ref="I955">_xlfn.XLOOKUP(D955,Productos[ID_Producto],Productos[Precio_Unitario])</f>
        <v>13.54</v>
      </c>
      <c r="J955" s="17">
        <f t="shared" si="1"/>
        <v>27.08</v>
      </c>
      <c r="K955" s="16" t="str">
        <f t="array" ref="K955">_xlfn.XLOOKUP(C955,Clientes[ID_Cliente],Clientes[Provincia])</f>
        <v>Córdoba</v>
      </c>
      <c r="L955" s="16" t="str">
        <f t="array" ref="L955">CONCATENATE(_xlfn.XLOOKUP(C955,Clientes[ID_Cliente],Clientes[Provincia]),", Argentina")</f>
        <v>Córdoba, Argentina</v>
      </c>
      <c r="M955" s="20" t="str">
        <f t="array" ref="M955">_xlfn.XLOOKUP(F955,Metodos_De_Pago[ID_Metodo],Metodos_De_Pago[Metodo])</f>
        <v>Mercado Pago</v>
      </c>
      <c r="N955" s="20" t="str">
        <f t="shared" si="2"/>
        <v>2024 11</v>
      </c>
    </row>
    <row r="956" ht="22.5" customHeight="1">
      <c r="A956" s="12">
        <f>IFERROR(__xludf.DUMMYFUNCTION("""COMPUTED_VALUE"""),2004.0)</f>
        <v>2004</v>
      </c>
      <c r="B956" s="13">
        <f>IFERROR(__xludf.DUMMYFUNCTION("""COMPUTED_VALUE"""),45610.0)</f>
        <v>45610</v>
      </c>
      <c r="C956" s="12">
        <f>IFERROR(__xludf.DUMMYFUNCTION("""COMPUTED_VALUE"""),252.0)</f>
        <v>252</v>
      </c>
      <c r="D956" s="12">
        <f>IFERROR(__xludf.DUMMYFUNCTION("""COMPUTED_VALUE"""),7.0)</f>
        <v>7</v>
      </c>
      <c r="E956" s="12">
        <f>IFERROR(__xludf.DUMMYFUNCTION("""COMPUTED_VALUE"""),2.0)</f>
        <v>2</v>
      </c>
      <c r="F956" s="12">
        <f>IFERROR(__xludf.DUMMYFUNCTION("""COMPUTED_VALUE"""),5.0)</f>
        <v>5</v>
      </c>
      <c r="G956" s="15" t="str">
        <f>IFERROR(__xludf.DUMMYFUNCTION("""COMPUTED_VALUE"""),"Completa")</f>
        <v>Completa</v>
      </c>
      <c r="H956" s="16" t="str">
        <f t="array" ref="H956">_xlfn.XLOOKUP(D956,Productos[ID_Producto],Productos[Nombre_Producto])</f>
        <v>Chorizo</v>
      </c>
      <c r="I956" s="17">
        <f t="array" ref="I956">_xlfn.XLOOKUP(D956,Productos[ID_Producto],Productos[Precio_Unitario])</f>
        <v>11.25</v>
      </c>
      <c r="J956" s="17">
        <f t="shared" si="1"/>
        <v>22.5</v>
      </c>
      <c r="K956" s="16" t="str">
        <f t="array" ref="K956">_xlfn.XLOOKUP(C956,Clientes[ID_Cliente],Clientes[Provincia])</f>
        <v>Neuquén</v>
      </c>
      <c r="L956" s="16" t="str">
        <f t="array" ref="L956">CONCATENATE(_xlfn.XLOOKUP(C956,Clientes[ID_Cliente],Clientes[Provincia]),", Argentina")</f>
        <v>Neuquén, Argentina</v>
      </c>
      <c r="M956" s="20" t="str">
        <f t="array" ref="M956">_xlfn.XLOOKUP(F956,Metodos_De_Pago[ID_Metodo],Metodos_De_Pago[Metodo])</f>
        <v>Transferencia</v>
      </c>
      <c r="N956" s="20" t="str">
        <f t="shared" si="2"/>
        <v>2024 11</v>
      </c>
    </row>
    <row r="957" ht="22.5" customHeight="1">
      <c r="A957" s="12">
        <f>IFERROR(__xludf.DUMMYFUNCTION("""COMPUTED_VALUE"""),1883.0)</f>
        <v>1883</v>
      </c>
      <c r="B957" s="13">
        <f>IFERROR(__xludf.DUMMYFUNCTION("""COMPUTED_VALUE"""),45611.0)</f>
        <v>45611</v>
      </c>
      <c r="C957" s="12">
        <f>IFERROR(__xludf.DUMMYFUNCTION("""COMPUTED_VALUE"""),2.0)</f>
        <v>2</v>
      </c>
      <c r="D957" s="12">
        <f>IFERROR(__xludf.DUMMYFUNCTION("""COMPUTED_VALUE"""),6.0)</f>
        <v>6</v>
      </c>
      <c r="E957" s="12">
        <f>IFERROR(__xludf.DUMMYFUNCTION("""COMPUTED_VALUE"""),2.0)</f>
        <v>2</v>
      </c>
      <c r="F957" s="12">
        <f>IFERROR(__xludf.DUMMYFUNCTION("""COMPUTED_VALUE"""),1.0)</f>
        <v>1</v>
      </c>
      <c r="G957" s="15" t="str">
        <f>IFERROR(__xludf.DUMMYFUNCTION("""COMPUTED_VALUE"""),"Completa")</f>
        <v>Completa</v>
      </c>
      <c r="H957" s="16" t="str">
        <f t="array" ref="H957">_xlfn.XLOOKUP(D957,Productos[ID_Producto],Productos[Nombre_Producto])</f>
        <v>Asado</v>
      </c>
      <c r="I957" s="17">
        <f t="array" ref="I957">_xlfn.XLOOKUP(D957,Productos[ID_Producto],Productos[Precio_Unitario])</f>
        <v>28.56</v>
      </c>
      <c r="J957" s="17">
        <f t="shared" si="1"/>
        <v>57.12</v>
      </c>
      <c r="K957" s="16" t="str">
        <f t="array" ref="K957">_xlfn.XLOOKUP(C957,Clientes[ID_Cliente],Clientes[Provincia])</f>
        <v>Neuquén</v>
      </c>
      <c r="L957" s="16" t="str">
        <f t="array" ref="L957">CONCATENATE(_xlfn.XLOOKUP(C957,Clientes[ID_Cliente],Clientes[Provincia]),", Argentina")</f>
        <v>Neuquén, Argentina</v>
      </c>
      <c r="M957" s="20" t="str">
        <f t="array" ref="M957">_xlfn.XLOOKUP(F957,Metodos_De_Pago[ID_Metodo],Metodos_De_Pago[Metodo])</f>
        <v>Efectivo</v>
      </c>
      <c r="N957" s="20" t="str">
        <f t="shared" si="2"/>
        <v>2024 11</v>
      </c>
    </row>
    <row r="958" ht="22.5" customHeight="1">
      <c r="A958" s="12">
        <f>IFERROR(__xludf.DUMMYFUNCTION("""COMPUTED_VALUE"""),1497.0)</f>
        <v>1497</v>
      </c>
      <c r="B958" s="13">
        <f>IFERROR(__xludf.DUMMYFUNCTION("""COMPUTED_VALUE"""),45612.0)</f>
        <v>45612</v>
      </c>
      <c r="C958" s="12">
        <f>IFERROR(__xludf.DUMMYFUNCTION("""COMPUTED_VALUE"""),63.0)</f>
        <v>63</v>
      </c>
      <c r="D958" s="12">
        <f>IFERROR(__xludf.DUMMYFUNCTION("""COMPUTED_VALUE"""),37.0)</f>
        <v>37</v>
      </c>
      <c r="E958" s="12">
        <f>IFERROR(__xludf.DUMMYFUNCTION("""COMPUTED_VALUE"""),2.0)</f>
        <v>2</v>
      </c>
      <c r="F958" s="12">
        <f>IFERROR(__xludf.DUMMYFUNCTION("""COMPUTED_VALUE"""),4.0)</f>
        <v>4</v>
      </c>
      <c r="G958" s="15" t="str">
        <f>IFERROR(__xludf.DUMMYFUNCTION("""COMPUTED_VALUE"""),"Completa")</f>
        <v>Completa</v>
      </c>
      <c r="H958" s="16" t="str">
        <f t="array" ref="H958">_xlfn.XLOOKUP(D958,Productos[ID_Producto],Productos[Nombre_Producto])</f>
        <v>Garbanzos</v>
      </c>
      <c r="I958" s="17">
        <f t="array" ref="I958">_xlfn.XLOOKUP(D958,Productos[ID_Producto],Productos[Precio_Unitario])</f>
        <v>3.65</v>
      </c>
      <c r="J958" s="17">
        <f t="shared" si="1"/>
        <v>7.3</v>
      </c>
      <c r="K958" s="16" t="str">
        <f t="array" ref="K958">_xlfn.XLOOKUP(C958,Clientes[ID_Cliente],Clientes[Provincia])</f>
        <v>Buenos Aires</v>
      </c>
      <c r="L958" s="16" t="str">
        <f t="array" ref="L958">CONCATENATE(_xlfn.XLOOKUP(C958,Clientes[ID_Cliente],Clientes[Provincia]),", Argentina")</f>
        <v>Buenos Aires, Argentina</v>
      </c>
      <c r="M958" s="20" t="str">
        <f t="array" ref="M958">_xlfn.XLOOKUP(F958,Metodos_De_Pago[ID_Metodo],Metodos_De_Pago[Metodo])</f>
        <v>Mercado Pago</v>
      </c>
      <c r="N958" s="20" t="str">
        <f t="shared" si="2"/>
        <v>2024 11</v>
      </c>
    </row>
    <row r="959" ht="22.5" customHeight="1">
      <c r="A959" s="12">
        <f>IFERROR(__xludf.DUMMYFUNCTION("""COMPUTED_VALUE"""),253.0)</f>
        <v>253</v>
      </c>
      <c r="B959" s="13">
        <f>IFERROR(__xludf.DUMMYFUNCTION("""COMPUTED_VALUE"""),45614.0)</f>
        <v>45614</v>
      </c>
      <c r="C959" s="12">
        <f>IFERROR(__xludf.DUMMYFUNCTION("""COMPUTED_VALUE"""),14.0)</f>
        <v>14</v>
      </c>
      <c r="D959" s="12">
        <f>IFERROR(__xludf.DUMMYFUNCTION("""COMPUTED_VALUE"""),15.0)</f>
        <v>15</v>
      </c>
      <c r="E959" s="12">
        <f>IFERROR(__xludf.DUMMYFUNCTION("""COMPUTED_VALUE"""),2.0)</f>
        <v>2</v>
      </c>
      <c r="F959" s="12">
        <f>IFERROR(__xludf.DUMMYFUNCTION("""COMPUTED_VALUE"""),5.0)</f>
        <v>5</v>
      </c>
      <c r="G959" s="15" t="str">
        <f>IFERROR(__xludf.DUMMYFUNCTION("""COMPUTED_VALUE"""),"Completa")</f>
        <v>Completa</v>
      </c>
      <c r="H959" s="16" t="str">
        <f t="array" ref="H959">_xlfn.XLOOKUP(D959,Productos[ID_Producto],Productos[Nombre_Producto])</f>
        <v>Medialunas</v>
      </c>
      <c r="I959" s="17">
        <f t="array" ref="I959">_xlfn.XLOOKUP(D959,Productos[ID_Producto],Productos[Precio_Unitario])</f>
        <v>3.51</v>
      </c>
      <c r="J959" s="17">
        <f t="shared" si="1"/>
        <v>7.02</v>
      </c>
      <c r="K959" s="16" t="str">
        <f t="array" ref="K959">_xlfn.XLOOKUP(C959,Clientes[ID_Cliente],Clientes[Provincia])</f>
        <v>Buenos Aires</v>
      </c>
      <c r="L959" s="16" t="str">
        <f t="array" ref="L959">CONCATENATE(_xlfn.XLOOKUP(C959,Clientes[ID_Cliente],Clientes[Provincia]),", Argentina")</f>
        <v>Buenos Aires, Argentina</v>
      </c>
      <c r="M959" s="20" t="str">
        <f t="array" ref="M959">_xlfn.XLOOKUP(F959,Metodos_De_Pago[ID_Metodo],Metodos_De_Pago[Metodo])</f>
        <v>Transferencia</v>
      </c>
      <c r="N959" s="20" t="str">
        <f t="shared" si="2"/>
        <v>2024 11</v>
      </c>
    </row>
    <row r="960" ht="22.5" customHeight="1">
      <c r="A960" s="12">
        <f>IFERROR(__xludf.DUMMYFUNCTION("""COMPUTED_VALUE"""),443.0)</f>
        <v>443</v>
      </c>
      <c r="B960" s="13">
        <f>IFERROR(__xludf.DUMMYFUNCTION("""COMPUTED_VALUE"""),45614.0)</f>
        <v>45614</v>
      </c>
      <c r="C960" s="12">
        <f>IFERROR(__xludf.DUMMYFUNCTION("""COMPUTED_VALUE"""),263.0)</f>
        <v>263</v>
      </c>
      <c r="D960" s="12">
        <f>IFERROR(__xludf.DUMMYFUNCTION("""COMPUTED_VALUE"""),9.0)</f>
        <v>9</v>
      </c>
      <c r="E960" s="12">
        <f>IFERROR(__xludf.DUMMYFUNCTION("""COMPUTED_VALUE"""),2.0)</f>
        <v>2</v>
      </c>
      <c r="F960" s="12">
        <f>IFERROR(__xludf.DUMMYFUNCTION("""COMPUTED_VALUE"""),4.0)</f>
        <v>4</v>
      </c>
      <c r="G960" s="15" t="str">
        <f>IFERROR(__xludf.DUMMYFUNCTION("""COMPUTED_VALUE"""),"Completa")</f>
        <v>Completa</v>
      </c>
      <c r="H960" s="16" t="str">
        <f t="array" ref="H960">_xlfn.XLOOKUP(D960,Productos[ID_Producto],Productos[Nombre_Producto])</f>
        <v>Pollo</v>
      </c>
      <c r="I960" s="17">
        <f t="array" ref="I960">_xlfn.XLOOKUP(D960,Productos[ID_Producto],Productos[Precio_Unitario])</f>
        <v>18.56</v>
      </c>
      <c r="J960" s="17">
        <f t="shared" si="1"/>
        <v>37.12</v>
      </c>
      <c r="K960" s="16" t="str">
        <f t="array" ref="K960">_xlfn.XLOOKUP(C960,Clientes[ID_Cliente],Clientes[Provincia])</f>
        <v>Buenos Aires</v>
      </c>
      <c r="L960" s="16" t="str">
        <f t="array" ref="L960">CONCATENATE(_xlfn.XLOOKUP(C960,Clientes[ID_Cliente],Clientes[Provincia]),", Argentina")</f>
        <v>Buenos Aires, Argentina</v>
      </c>
      <c r="M960" s="20" t="str">
        <f t="array" ref="M960">_xlfn.XLOOKUP(F960,Metodos_De_Pago[ID_Metodo],Metodos_De_Pago[Metodo])</f>
        <v>Mercado Pago</v>
      </c>
      <c r="N960" s="20" t="str">
        <f t="shared" si="2"/>
        <v>2024 11</v>
      </c>
    </row>
    <row r="961" ht="22.5" customHeight="1">
      <c r="A961" s="12">
        <f>IFERROR(__xludf.DUMMYFUNCTION("""COMPUTED_VALUE"""),588.0)</f>
        <v>588</v>
      </c>
      <c r="B961" s="13">
        <f>IFERROR(__xludf.DUMMYFUNCTION("""COMPUTED_VALUE"""),45614.0)</f>
        <v>45614</v>
      </c>
      <c r="C961" s="12">
        <f>IFERROR(__xludf.DUMMYFUNCTION("""COMPUTED_VALUE"""),261.0)</f>
        <v>261</v>
      </c>
      <c r="D961" s="12">
        <f>IFERROR(__xludf.DUMMYFUNCTION("""COMPUTED_VALUE"""),25.0)</f>
        <v>25</v>
      </c>
      <c r="E961" s="12">
        <f>IFERROR(__xludf.DUMMYFUNCTION("""COMPUTED_VALUE"""),2.0)</f>
        <v>2</v>
      </c>
      <c r="F961" s="12">
        <f>IFERROR(__xludf.DUMMYFUNCTION("""COMPUTED_VALUE"""),3.0)</f>
        <v>3</v>
      </c>
      <c r="G961" s="15" t="str">
        <f>IFERROR(__xludf.DUMMYFUNCTION("""COMPUTED_VALUE"""),"Completa")</f>
        <v>Completa</v>
      </c>
      <c r="H961" s="16" t="str">
        <f t="array" ref="H961">_xlfn.XLOOKUP(D961,Productos[ID_Producto],Productos[Nombre_Producto])</f>
        <v>Pizza congelada</v>
      </c>
      <c r="I961" s="17">
        <f t="array" ref="I961">_xlfn.XLOOKUP(D961,Productos[ID_Producto],Productos[Precio_Unitario])</f>
        <v>15.45</v>
      </c>
      <c r="J961" s="17">
        <f t="shared" si="1"/>
        <v>30.9</v>
      </c>
      <c r="K961" s="16" t="str">
        <f t="array" ref="K961">_xlfn.XLOOKUP(C961,Clientes[ID_Cliente],Clientes[Provincia])</f>
        <v>Salta</v>
      </c>
      <c r="L961" s="16" t="str">
        <f t="array" ref="L961">CONCATENATE(_xlfn.XLOOKUP(C961,Clientes[ID_Cliente],Clientes[Provincia]),", Argentina")</f>
        <v>Salta, Argentina</v>
      </c>
      <c r="M961" s="20" t="str">
        <f t="array" ref="M961">_xlfn.XLOOKUP(F961,Metodos_De_Pago[ID_Metodo],Metodos_De_Pago[Metodo])</f>
        <v>Tarjeta de Débito</v>
      </c>
      <c r="N961" s="20" t="str">
        <f t="shared" si="2"/>
        <v>2024 11</v>
      </c>
    </row>
    <row r="962" ht="22.5" customHeight="1">
      <c r="A962" s="12">
        <f>IFERROR(__xludf.DUMMYFUNCTION("""COMPUTED_VALUE"""),2813.0)</f>
        <v>2813</v>
      </c>
      <c r="B962" s="13">
        <f>IFERROR(__xludf.DUMMYFUNCTION("""COMPUTED_VALUE"""),45615.0)</f>
        <v>45615</v>
      </c>
      <c r="C962" s="12">
        <f>IFERROR(__xludf.DUMMYFUNCTION("""COMPUTED_VALUE"""),264.0)</f>
        <v>264</v>
      </c>
      <c r="D962" s="12">
        <f>IFERROR(__xludf.DUMMYFUNCTION("""COMPUTED_VALUE"""),10.0)</f>
        <v>10</v>
      </c>
      <c r="E962" s="12">
        <f>IFERROR(__xludf.DUMMYFUNCTION("""COMPUTED_VALUE"""),2.0)</f>
        <v>2</v>
      </c>
      <c r="F962" s="12">
        <f>IFERROR(__xludf.DUMMYFUNCTION("""COMPUTED_VALUE"""),4.0)</f>
        <v>4</v>
      </c>
      <c r="G962" s="15" t="str">
        <f>IFERROR(__xludf.DUMMYFUNCTION("""COMPUTED_VALUE"""),"Completa")</f>
        <v>Completa</v>
      </c>
      <c r="H962" s="16" t="str">
        <f t="array" ref="H962">_xlfn.XLOOKUP(D962,Productos[ID_Producto],Productos[Nombre_Producto])</f>
        <v>Costilla de cerdo</v>
      </c>
      <c r="I962" s="17">
        <f t="array" ref="I962">_xlfn.XLOOKUP(D962,Productos[ID_Producto],Productos[Precio_Unitario])</f>
        <v>14.25</v>
      </c>
      <c r="J962" s="17">
        <f t="shared" si="1"/>
        <v>28.5</v>
      </c>
      <c r="K962" s="16" t="str">
        <f t="array" ref="K962">_xlfn.XLOOKUP(C962,Clientes[ID_Cliente],Clientes[Provincia])</f>
        <v>Buenos Aires</v>
      </c>
      <c r="L962" s="16" t="str">
        <f t="array" ref="L962">CONCATENATE(_xlfn.XLOOKUP(C962,Clientes[ID_Cliente],Clientes[Provincia]),", Argentina")</f>
        <v>Buenos Aires, Argentina</v>
      </c>
      <c r="M962" s="20" t="str">
        <f t="array" ref="M962">_xlfn.XLOOKUP(F962,Metodos_De_Pago[ID_Metodo],Metodos_De_Pago[Metodo])</f>
        <v>Mercado Pago</v>
      </c>
      <c r="N962" s="20" t="str">
        <f t="shared" si="2"/>
        <v>2024 11</v>
      </c>
    </row>
    <row r="963" ht="22.5" customHeight="1">
      <c r="A963" s="12">
        <f>IFERROR(__xludf.DUMMYFUNCTION("""COMPUTED_VALUE"""),731.0)</f>
        <v>731</v>
      </c>
      <c r="B963" s="13">
        <f>IFERROR(__xludf.DUMMYFUNCTION("""COMPUTED_VALUE"""),45616.0)</f>
        <v>45616</v>
      </c>
      <c r="C963" s="12">
        <f>IFERROR(__xludf.DUMMYFUNCTION("""COMPUTED_VALUE"""),314.0)</f>
        <v>314</v>
      </c>
      <c r="D963" s="12">
        <f>IFERROR(__xludf.DUMMYFUNCTION("""COMPUTED_VALUE"""),20.0)</f>
        <v>20</v>
      </c>
      <c r="E963" s="12">
        <f>IFERROR(__xludf.DUMMYFUNCTION("""COMPUTED_VALUE"""),2.0)</f>
        <v>2</v>
      </c>
      <c r="F963" s="12">
        <f>IFERROR(__xludf.DUMMYFUNCTION("""COMPUTED_VALUE"""),2.0)</f>
        <v>2</v>
      </c>
      <c r="G963" s="15" t="str">
        <f>IFERROR(__xludf.DUMMYFUNCTION("""COMPUTED_VALUE"""),"Completa")</f>
        <v>Completa</v>
      </c>
      <c r="H963" s="16" t="str">
        <f t="array" ref="H963">_xlfn.XLOOKUP(D963,Productos[ID_Producto],Productos[Nombre_Producto])</f>
        <v>Lechugas</v>
      </c>
      <c r="I963" s="17">
        <f t="array" ref="I963">_xlfn.XLOOKUP(D963,Productos[ID_Producto],Productos[Precio_Unitario])</f>
        <v>4.25</v>
      </c>
      <c r="J963" s="17">
        <f t="shared" si="1"/>
        <v>8.5</v>
      </c>
      <c r="K963" s="16" t="str">
        <f t="array" ref="K963">_xlfn.XLOOKUP(C963,Clientes[ID_Cliente],Clientes[Provincia])</f>
        <v>Neuquén</v>
      </c>
      <c r="L963" s="16" t="str">
        <f t="array" ref="L963">CONCATENATE(_xlfn.XLOOKUP(C963,Clientes[ID_Cliente],Clientes[Provincia]),", Argentina")</f>
        <v>Neuquén, Argentina</v>
      </c>
      <c r="M963" s="20" t="str">
        <f t="array" ref="M963">_xlfn.XLOOKUP(F963,Metodos_De_Pago[ID_Metodo],Metodos_De_Pago[Metodo])</f>
        <v>Tarjeta de Crédito</v>
      </c>
      <c r="N963" s="20" t="str">
        <f t="shared" si="2"/>
        <v>2024 11</v>
      </c>
    </row>
    <row r="964" ht="22.5" customHeight="1">
      <c r="A964" s="12">
        <f>IFERROR(__xludf.DUMMYFUNCTION("""COMPUTED_VALUE"""),2535.0)</f>
        <v>2535</v>
      </c>
      <c r="B964" s="13">
        <f>IFERROR(__xludf.DUMMYFUNCTION("""COMPUTED_VALUE"""),45616.0)</f>
        <v>45616</v>
      </c>
      <c r="C964" s="12">
        <f>IFERROR(__xludf.DUMMYFUNCTION("""COMPUTED_VALUE"""),118.0)</f>
        <v>118</v>
      </c>
      <c r="D964" s="12">
        <f>IFERROR(__xludf.DUMMYFUNCTION("""COMPUTED_VALUE"""),29.0)</f>
        <v>29</v>
      </c>
      <c r="E964" s="12">
        <f>IFERROR(__xludf.DUMMYFUNCTION("""COMPUTED_VALUE"""),2.0)</f>
        <v>2</v>
      </c>
      <c r="F964" s="12">
        <f>IFERROR(__xludf.DUMMYFUNCTION("""COMPUTED_VALUE"""),3.0)</f>
        <v>3</v>
      </c>
      <c r="G964" s="15" t="str">
        <f>IFERROR(__xludf.DUMMYFUNCTION("""COMPUTED_VALUE"""),"Completa")</f>
        <v>Completa</v>
      </c>
      <c r="H964" s="16" t="str">
        <f t="array" ref="H964">_xlfn.XLOOKUP(D964,Productos[ID_Producto],Productos[Nombre_Producto])</f>
        <v>Cerveza</v>
      </c>
      <c r="I964" s="17">
        <f t="array" ref="I964">_xlfn.XLOOKUP(D964,Productos[ID_Producto],Productos[Precio_Unitario])</f>
        <v>11.54</v>
      </c>
      <c r="J964" s="17">
        <f t="shared" si="1"/>
        <v>23.08</v>
      </c>
      <c r="K964" s="16" t="str">
        <f t="array" ref="K964">_xlfn.XLOOKUP(C964,Clientes[ID_Cliente],Clientes[Provincia])</f>
        <v>Córdoba</v>
      </c>
      <c r="L964" s="16" t="str">
        <f t="array" ref="L964">CONCATENATE(_xlfn.XLOOKUP(C964,Clientes[ID_Cliente],Clientes[Provincia]),", Argentina")</f>
        <v>Córdoba, Argentina</v>
      </c>
      <c r="M964" s="20" t="str">
        <f t="array" ref="M964">_xlfn.XLOOKUP(F964,Metodos_De_Pago[ID_Metodo],Metodos_De_Pago[Metodo])</f>
        <v>Tarjeta de Débito</v>
      </c>
      <c r="N964" s="20" t="str">
        <f t="shared" si="2"/>
        <v>2024 11</v>
      </c>
    </row>
    <row r="965" ht="22.5" customHeight="1">
      <c r="A965" s="12">
        <f>IFERROR(__xludf.DUMMYFUNCTION("""COMPUTED_VALUE"""),797.0)</f>
        <v>797</v>
      </c>
      <c r="B965" s="13">
        <f>IFERROR(__xludf.DUMMYFUNCTION("""COMPUTED_VALUE"""),45617.0)</f>
        <v>45617</v>
      </c>
      <c r="C965" s="12">
        <f>IFERROR(__xludf.DUMMYFUNCTION("""COMPUTED_VALUE"""),267.0)</f>
        <v>267</v>
      </c>
      <c r="D965" s="12">
        <f>IFERROR(__xludf.DUMMYFUNCTION("""COMPUTED_VALUE"""),1.0)</f>
        <v>1</v>
      </c>
      <c r="E965" s="12">
        <f>IFERROR(__xludf.DUMMYFUNCTION("""COMPUTED_VALUE"""),2.0)</f>
        <v>2</v>
      </c>
      <c r="F965" s="12">
        <f>IFERROR(__xludf.DUMMYFUNCTION("""COMPUTED_VALUE"""),5.0)</f>
        <v>5</v>
      </c>
      <c r="G965" s="15" t="str">
        <f>IFERROR(__xludf.DUMMYFUNCTION("""COMPUTED_VALUE"""),"Completa")</f>
        <v>Completa</v>
      </c>
      <c r="H965" s="16" t="str">
        <f t="array" ref="H965">_xlfn.XLOOKUP(D965,Productos[ID_Producto],Productos[Nombre_Producto])</f>
        <v>Leche</v>
      </c>
      <c r="I965" s="17">
        <f t="array" ref="I965">_xlfn.XLOOKUP(D965,Productos[ID_Producto],Productos[Precio_Unitario])</f>
        <v>12.24</v>
      </c>
      <c r="J965" s="17">
        <f t="shared" si="1"/>
        <v>24.48</v>
      </c>
      <c r="K965" s="16" t="str">
        <f t="array" ref="K965">_xlfn.XLOOKUP(C965,Clientes[ID_Cliente],Clientes[Provincia])</f>
        <v>Córdoba</v>
      </c>
      <c r="L965" s="16" t="str">
        <f t="array" ref="L965">CONCATENATE(_xlfn.XLOOKUP(C965,Clientes[ID_Cliente],Clientes[Provincia]),", Argentina")</f>
        <v>Córdoba, Argentina</v>
      </c>
      <c r="M965" s="20" t="str">
        <f t="array" ref="M965">_xlfn.XLOOKUP(F965,Metodos_De_Pago[ID_Metodo],Metodos_De_Pago[Metodo])</f>
        <v>Transferencia</v>
      </c>
      <c r="N965" s="20" t="str">
        <f t="shared" si="2"/>
        <v>2024 11</v>
      </c>
    </row>
    <row r="966" ht="22.5" customHeight="1">
      <c r="A966" s="12">
        <f>IFERROR(__xludf.DUMMYFUNCTION("""COMPUTED_VALUE"""),2347.0)</f>
        <v>2347</v>
      </c>
      <c r="B966" s="13">
        <f>IFERROR(__xludf.DUMMYFUNCTION("""COMPUTED_VALUE"""),45618.0)</f>
        <v>45618</v>
      </c>
      <c r="C966" s="12">
        <f>IFERROR(__xludf.DUMMYFUNCTION("""COMPUTED_VALUE"""),122.0)</f>
        <v>122</v>
      </c>
      <c r="D966" s="12">
        <f>IFERROR(__xludf.DUMMYFUNCTION("""COMPUTED_VALUE"""),23.0)</f>
        <v>23</v>
      </c>
      <c r="E966" s="12">
        <f>IFERROR(__xludf.DUMMYFUNCTION("""COMPUTED_VALUE"""),2.0)</f>
        <v>2</v>
      </c>
      <c r="F966" s="12">
        <f>IFERROR(__xludf.DUMMYFUNCTION("""COMPUTED_VALUE"""),5.0)</f>
        <v>5</v>
      </c>
      <c r="G966" s="15" t="str">
        <f>IFERROR(__xludf.DUMMYFUNCTION("""COMPUTED_VALUE"""),"Completa")</f>
        <v>Completa</v>
      </c>
      <c r="H966" s="16" t="str">
        <f t="array" ref="H966">_xlfn.XLOOKUP(D966,Productos[ID_Producto],Productos[Nombre_Producto])</f>
        <v>Papas fritas</v>
      </c>
      <c r="I966" s="17">
        <f t="array" ref="I966">_xlfn.XLOOKUP(D966,Productos[ID_Producto],Productos[Precio_Unitario])</f>
        <v>8.23</v>
      </c>
      <c r="J966" s="17">
        <f t="shared" si="1"/>
        <v>16.46</v>
      </c>
      <c r="K966" s="16" t="str">
        <f t="array" ref="K966">_xlfn.XLOOKUP(C966,Clientes[ID_Cliente],Clientes[Provincia])</f>
        <v>Córdoba</v>
      </c>
      <c r="L966" s="16" t="str">
        <f t="array" ref="L966">CONCATENATE(_xlfn.XLOOKUP(C966,Clientes[ID_Cliente],Clientes[Provincia]),", Argentina")</f>
        <v>Córdoba, Argentina</v>
      </c>
      <c r="M966" s="20" t="str">
        <f t="array" ref="M966">_xlfn.XLOOKUP(F966,Metodos_De_Pago[ID_Metodo],Metodos_De_Pago[Metodo])</f>
        <v>Transferencia</v>
      </c>
      <c r="N966" s="20" t="str">
        <f t="shared" si="2"/>
        <v>2024 11</v>
      </c>
    </row>
    <row r="967" ht="22.5" customHeight="1">
      <c r="A967" s="12">
        <f>IFERROR(__xludf.DUMMYFUNCTION("""COMPUTED_VALUE"""),1428.0)</f>
        <v>1428</v>
      </c>
      <c r="B967" s="13">
        <f>IFERROR(__xludf.DUMMYFUNCTION("""COMPUTED_VALUE"""),45619.0)</f>
        <v>45619</v>
      </c>
      <c r="C967" s="12">
        <f>IFERROR(__xludf.DUMMYFUNCTION("""COMPUTED_VALUE"""),266.0)</f>
        <v>266</v>
      </c>
      <c r="D967" s="12">
        <f>IFERROR(__xludf.DUMMYFUNCTION("""COMPUTED_VALUE"""),37.0)</f>
        <v>37</v>
      </c>
      <c r="E967" s="12">
        <f>IFERROR(__xludf.DUMMYFUNCTION("""COMPUTED_VALUE"""),2.0)</f>
        <v>2</v>
      </c>
      <c r="F967" s="12">
        <f>IFERROR(__xludf.DUMMYFUNCTION("""COMPUTED_VALUE"""),1.0)</f>
        <v>1</v>
      </c>
      <c r="G967" s="15" t="str">
        <f>IFERROR(__xludf.DUMMYFUNCTION("""COMPUTED_VALUE"""),"Completa")</f>
        <v>Completa</v>
      </c>
      <c r="H967" s="16" t="str">
        <f t="array" ref="H967">_xlfn.XLOOKUP(D967,Productos[ID_Producto],Productos[Nombre_Producto])</f>
        <v>Garbanzos</v>
      </c>
      <c r="I967" s="17">
        <f t="array" ref="I967">_xlfn.XLOOKUP(D967,Productos[ID_Producto],Productos[Precio_Unitario])</f>
        <v>3.65</v>
      </c>
      <c r="J967" s="17">
        <f t="shared" si="1"/>
        <v>7.3</v>
      </c>
      <c r="K967" s="16" t="str">
        <f t="array" ref="K967">_xlfn.XLOOKUP(C967,Clientes[ID_Cliente],Clientes[Provincia])</f>
        <v>Buenos Aires</v>
      </c>
      <c r="L967" s="16" t="str">
        <f t="array" ref="L967">CONCATENATE(_xlfn.XLOOKUP(C967,Clientes[ID_Cliente],Clientes[Provincia]),", Argentina")</f>
        <v>Buenos Aires, Argentina</v>
      </c>
      <c r="M967" s="20" t="str">
        <f t="array" ref="M967">_xlfn.XLOOKUP(F967,Metodos_De_Pago[ID_Metodo],Metodos_De_Pago[Metodo])</f>
        <v>Efectivo</v>
      </c>
      <c r="N967" s="20" t="str">
        <f t="shared" si="2"/>
        <v>2024 11</v>
      </c>
    </row>
    <row r="968" ht="22.5" customHeight="1">
      <c r="A968" s="12">
        <f>IFERROR(__xludf.DUMMYFUNCTION("""COMPUTED_VALUE"""),2307.0)</f>
        <v>2307</v>
      </c>
      <c r="B968" s="13">
        <f>IFERROR(__xludf.DUMMYFUNCTION("""COMPUTED_VALUE"""),45620.0)</f>
        <v>45620</v>
      </c>
      <c r="C968" s="12">
        <f>IFERROR(__xludf.DUMMYFUNCTION("""COMPUTED_VALUE"""),182.0)</f>
        <v>182</v>
      </c>
      <c r="D968" s="12">
        <f>IFERROR(__xludf.DUMMYFUNCTION("""COMPUTED_VALUE"""),19.0)</f>
        <v>19</v>
      </c>
      <c r="E968" s="12">
        <f>IFERROR(__xludf.DUMMYFUNCTION("""COMPUTED_VALUE"""),2.0)</f>
        <v>2</v>
      </c>
      <c r="F968" s="12">
        <f>IFERROR(__xludf.DUMMYFUNCTION("""COMPUTED_VALUE"""),1.0)</f>
        <v>1</v>
      </c>
      <c r="G968" s="15" t="str">
        <f>IFERROR(__xludf.DUMMYFUNCTION("""COMPUTED_VALUE"""),"Completa")</f>
        <v>Completa</v>
      </c>
      <c r="H968" s="16" t="str">
        <f t="array" ref="H968">_xlfn.XLOOKUP(D968,Productos[ID_Producto],Productos[Nombre_Producto])</f>
        <v>Tomates</v>
      </c>
      <c r="I968" s="17">
        <f t="array" ref="I968">_xlfn.XLOOKUP(D968,Productos[ID_Producto],Productos[Precio_Unitario])</f>
        <v>6.54</v>
      </c>
      <c r="J968" s="17">
        <f t="shared" si="1"/>
        <v>13.08</v>
      </c>
      <c r="K968" s="16" t="str">
        <f t="array" ref="K968">_xlfn.XLOOKUP(C968,Clientes[ID_Cliente],Clientes[Provincia])</f>
        <v>Córdoba</v>
      </c>
      <c r="L968" s="16" t="str">
        <f t="array" ref="L968">CONCATENATE(_xlfn.XLOOKUP(C968,Clientes[ID_Cliente],Clientes[Provincia]),", Argentina")</f>
        <v>Córdoba, Argentina</v>
      </c>
      <c r="M968" s="20" t="str">
        <f t="array" ref="M968">_xlfn.XLOOKUP(F968,Metodos_De_Pago[ID_Metodo],Metodos_De_Pago[Metodo])</f>
        <v>Efectivo</v>
      </c>
      <c r="N968" s="20" t="str">
        <f t="shared" si="2"/>
        <v>2024 11</v>
      </c>
    </row>
    <row r="969" ht="22.5" customHeight="1">
      <c r="A969" s="12">
        <f>IFERROR(__xludf.DUMMYFUNCTION("""COMPUTED_VALUE"""),2797.0)</f>
        <v>2797</v>
      </c>
      <c r="B969" s="13">
        <f>IFERROR(__xludf.DUMMYFUNCTION("""COMPUTED_VALUE"""),45621.0)</f>
        <v>45621</v>
      </c>
      <c r="C969" s="12">
        <f>IFERROR(__xludf.DUMMYFUNCTION("""COMPUTED_VALUE"""),10.0)</f>
        <v>10</v>
      </c>
      <c r="D969" s="12">
        <f>IFERROR(__xludf.DUMMYFUNCTION("""COMPUTED_VALUE"""),17.0)</f>
        <v>17</v>
      </c>
      <c r="E969" s="12">
        <f>IFERROR(__xludf.DUMMYFUNCTION("""COMPUTED_VALUE"""),2.0)</f>
        <v>2</v>
      </c>
      <c r="F969" s="12">
        <f>IFERROR(__xludf.DUMMYFUNCTION("""COMPUTED_VALUE"""),4.0)</f>
        <v>4</v>
      </c>
      <c r="G969" s="15" t="str">
        <f>IFERROR(__xludf.DUMMYFUNCTION("""COMPUTED_VALUE"""),"Completa")</f>
        <v>Completa</v>
      </c>
      <c r="H969" s="16" t="str">
        <f t="array" ref="H969">_xlfn.XLOOKUP(D969,Productos[ID_Producto],Productos[Nombre_Producto])</f>
        <v>Manzanas</v>
      </c>
      <c r="I969" s="17">
        <f t="array" ref="I969">_xlfn.XLOOKUP(D969,Productos[ID_Producto],Productos[Precio_Unitario])</f>
        <v>6.54</v>
      </c>
      <c r="J969" s="17">
        <f t="shared" si="1"/>
        <v>13.08</v>
      </c>
      <c r="K969" s="16" t="str">
        <f t="array" ref="K969">_xlfn.XLOOKUP(C969,Clientes[ID_Cliente],Clientes[Provincia])</f>
        <v>Buenos Aires</v>
      </c>
      <c r="L969" s="16" t="str">
        <f t="array" ref="L969">CONCATENATE(_xlfn.XLOOKUP(C969,Clientes[ID_Cliente],Clientes[Provincia]),", Argentina")</f>
        <v>Buenos Aires, Argentina</v>
      </c>
      <c r="M969" s="20" t="str">
        <f t="array" ref="M969">_xlfn.XLOOKUP(F969,Metodos_De_Pago[ID_Metodo],Metodos_De_Pago[Metodo])</f>
        <v>Mercado Pago</v>
      </c>
      <c r="N969" s="20" t="str">
        <f t="shared" si="2"/>
        <v>2024 11</v>
      </c>
    </row>
    <row r="970" ht="22.5" customHeight="1">
      <c r="A970" s="12">
        <f>IFERROR(__xludf.DUMMYFUNCTION("""COMPUTED_VALUE"""),1637.0)</f>
        <v>1637</v>
      </c>
      <c r="B970" s="13">
        <f>IFERROR(__xludf.DUMMYFUNCTION("""COMPUTED_VALUE"""),45622.0)</f>
        <v>45622</v>
      </c>
      <c r="C970" s="12">
        <f>IFERROR(__xludf.DUMMYFUNCTION("""COMPUTED_VALUE"""),293.0)</f>
        <v>293</v>
      </c>
      <c r="D970" s="12">
        <f>IFERROR(__xludf.DUMMYFUNCTION("""COMPUTED_VALUE"""),20.0)</f>
        <v>20</v>
      </c>
      <c r="E970" s="12">
        <f>IFERROR(__xludf.DUMMYFUNCTION("""COMPUTED_VALUE"""),2.0)</f>
        <v>2</v>
      </c>
      <c r="F970" s="12">
        <f>IFERROR(__xludf.DUMMYFUNCTION("""COMPUTED_VALUE"""),1.0)</f>
        <v>1</v>
      </c>
      <c r="G970" s="15" t="str">
        <f>IFERROR(__xludf.DUMMYFUNCTION("""COMPUTED_VALUE"""),"Completa")</f>
        <v>Completa</v>
      </c>
      <c r="H970" s="16" t="str">
        <f t="array" ref="H970">_xlfn.XLOOKUP(D970,Productos[ID_Producto],Productos[Nombre_Producto])</f>
        <v>Lechugas</v>
      </c>
      <c r="I970" s="17">
        <f t="array" ref="I970">_xlfn.XLOOKUP(D970,Productos[ID_Producto],Productos[Precio_Unitario])</f>
        <v>4.25</v>
      </c>
      <c r="J970" s="17">
        <f t="shared" si="1"/>
        <v>8.5</v>
      </c>
      <c r="K970" s="16" t="str">
        <f t="array" ref="K970">_xlfn.XLOOKUP(C970,Clientes[ID_Cliente],Clientes[Provincia])</f>
        <v>Neuquén</v>
      </c>
      <c r="L970" s="16" t="str">
        <f t="array" ref="L970">CONCATENATE(_xlfn.XLOOKUP(C970,Clientes[ID_Cliente],Clientes[Provincia]),", Argentina")</f>
        <v>Neuquén, Argentina</v>
      </c>
      <c r="M970" s="20" t="str">
        <f t="array" ref="M970">_xlfn.XLOOKUP(F970,Metodos_De_Pago[ID_Metodo],Metodos_De_Pago[Metodo])</f>
        <v>Efectivo</v>
      </c>
      <c r="N970" s="20" t="str">
        <f t="shared" si="2"/>
        <v>2024 11</v>
      </c>
    </row>
    <row r="971" ht="22.5" customHeight="1">
      <c r="A971" s="12">
        <f>IFERROR(__xludf.DUMMYFUNCTION("""COMPUTED_VALUE"""),2230.0)</f>
        <v>2230</v>
      </c>
      <c r="B971" s="13">
        <f>IFERROR(__xludf.DUMMYFUNCTION("""COMPUTED_VALUE"""),45623.0)</f>
        <v>45623</v>
      </c>
      <c r="C971" s="12">
        <f>IFERROR(__xludf.DUMMYFUNCTION("""COMPUTED_VALUE"""),24.0)</f>
        <v>24</v>
      </c>
      <c r="D971" s="12">
        <f>IFERROR(__xludf.DUMMYFUNCTION("""COMPUTED_VALUE"""),18.0)</f>
        <v>18</v>
      </c>
      <c r="E971" s="12">
        <f>IFERROR(__xludf.DUMMYFUNCTION("""COMPUTED_VALUE"""),2.0)</f>
        <v>2</v>
      </c>
      <c r="F971" s="12">
        <f>IFERROR(__xludf.DUMMYFUNCTION("""COMPUTED_VALUE"""),4.0)</f>
        <v>4</v>
      </c>
      <c r="G971" s="15" t="str">
        <f>IFERROR(__xludf.DUMMYFUNCTION("""COMPUTED_VALUE"""),"Completa")</f>
        <v>Completa</v>
      </c>
      <c r="H971" s="16" t="str">
        <f t="array" ref="H971">_xlfn.XLOOKUP(D971,Productos[ID_Producto],Productos[Nombre_Producto])</f>
        <v>Bananas</v>
      </c>
      <c r="I971" s="17">
        <f t="array" ref="I971">_xlfn.XLOOKUP(D971,Productos[ID_Producto],Productos[Precio_Unitario])</f>
        <v>7.25</v>
      </c>
      <c r="J971" s="17">
        <f t="shared" si="1"/>
        <v>14.5</v>
      </c>
      <c r="K971" s="16" t="str">
        <f t="array" ref="K971">_xlfn.XLOOKUP(C971,Clientes[ID_Cliente],Clientes[Provincia])</f>
        <v>San Luis</v>
      </c>
      <c r="L971" s="16" t="str">
        <f t="array" ref="L971">CONCATENATE(_xlfn.XLOOKUP(C971,Clientes[ID_Cliente],Clientes[Provincia]),", Argentina")</f>
        <v>San Luis, Argentina</v>
      </c>
      <c r="M971" s="20" t="str">
        <f t="array" ref="M971">_xlfn.XLOOKUP(F971,Metodos_De_Pago[ID_Metodo],Metodos_De_Pago[Metodo])</f>
        <v>Mercado Pago</v>
      </c>
      <c r="N971" s="20" t="str">
        <f t="shared" si="2"/>
        <v>2024 11</v>
      </c>
    </row>
    <row r="972" ht="22.5" customHeight="1">
      <c r="A972" s="12">
        <f>IFERROR(__xludf.DUMMYFUNCTION("""COMPUTED_VALUE"""),2825.0)</f>
        <v>2825</v>
      </c>
      <c r="B972" s="13">
        <f>IFERROR(__xludf.DUMMYFUNCTION("""COMPUTED_VALUE"""),45623.0)</f>
        <v>45623</v>
      </c>
      <c r="C972" s="12">
        <f>IFERROR(__xludf.DUMMYFUNCTION("""COMPUTED_VALUE"""),207.0)</f>
        <v>207</v>
      </c>
      <c r="D972" s="12">
        <f>IFERROR(__xludf.DUMMYFUNCTION("""COMPUTED_VALUE"""),30.0)</f>
        <v>30</v>
      </c>
      <c r="E972" s="12">
        <f>IFERROR(__xludf.DUMMYFUNCTION("""COMPUTED_VALUE"""),2.0)</f>
        <v>2</v>
      </c>
      <c r="F972" s="12">
        <f>IFERROR(__xludf.DUMMYFUNCTION("""COMPUTED_VALUE"""),4.0)</f>
        <v>4</v>
      </c>
      <c r="G972" s="15" t="str">
        <f>IFERROR(__xludf.DUMMYFUNCTION("""COMPUTED_VALUE"""),"Pendiente")</f>
        <v>Pendiente</v>
      </c>
      <c r="H972" s="16" t="str">
        <f t="array" ref="H972">_xlfn.XLOOKUP(D972,Productos[ID_Producto],Productos[Nombre_Producto])</f>
        <v>Vino tinto</v>
      </c>
      <c r="I972" s="17">
        <f t="array" ref="I972">_xlfn.XLOOKUP(D972,Productos[ID_Producto],Productos[Precio_Unitario])</f>
        <v>13.54</v>
      </c>
      <c r="J972" s="17">
        <f t="shared" si="1"/>
        <v>27.08</v>
      </c>
      <c r="K972" s="16" t="str">
        <f t="array" ref="K972">_xlfn.XLOOKUP(C972,Clientes[ID_Cliente],Clientes[Provincia])</f>
        <v>Buenos Aires</v>
      </c>
      <c r="L972" s="16" t="str">
        <f t="array" ref="L972">CONCATENATE(_xlfn.XLOOKUP(C972,Clientes[ID_Cliente],Clientes[Provincia]),", Argentina")</f>
        <v>Buenos Aires, Argentina</v>
      </c>
      <c r="M972" s="20" t="str">
        <f t="array" ref="M972">_xlfn.XLOOKUP(F972,Metodos_De_Pago[ID_Metodo],Metodos_De_Pago[Metodo])</f>
        <v>Mercado Pago</v>
      </c>
      <c r="N972" s="20" t="str">
        <f t="shared" si="2"/>
        <v>2024 11</v>
      </c>
    </row>
    <row r="973" ht="22.5" customHeight="1">
      <c r="A973" s="12">
        <f>IFERROR(__xludf.DUMMYFUNCTION("""COMPUTED_VALUE"""),221.0)</f>
        <v>221</v>
      </c>
      <c r="B973" s="13">
        <f>IFERROR(__xludf.DUMMYFUNCTION("""COMPUTED_VALUE"""),45624.0)</f>
        <v>45624</v>
      </c>
      <c r="C973" s="12">
        <f>IFERROR(__xludf.DUMMYFUNCTION("""COMPUTED_VALUE"""),31.0)</f>
        <v>31</v>
      </c>
      <c r="D973" s="12">
        <f>IFERROR(__xludf.DUMMYFUNCTION("""COMPUTED_VALUE"""),4.0)</f>
        <v>4</v>
      </c>
      <c r="E973" s="12">
        <f>IFERROR(__xludf.DUMMYFUNCTION("""COMPUTED_VALUE"""),2.0)</f>
        <v>2</v>
      </c>
      <c r="F973" s="12">
        <f>IFERROR(__xludf.DUMMYFUNCTION("""COMPUTED_VALUE"""),1.0)</f>
        <v>1</v>
      </c>
      <c r="G973" s="15" t="str">
        <f>IFERROR(__xludf.DUMMYFUNCTION("""COMPUTED_VALUE"""),"Completa")</f>
        <v>Completa</v>
      </c>
      <c r="H973" s="16" t="str">
        <f t="array" ref="H973">_xlfn.XLOOKUP(D973,Productos[ID_Producto],Productos[Nombre_Producto])</f>
        <v>Queso rallado</v>
      </c>
      <c r="I973" s="17">
        <f t="array" ref="I973">_xlfn.XLOOKUP(D973,Productos[ID_Producto],Productos[Precio_Unitario])</f>
        <v>19.23</v>
      </c>
      <c r="J973" s="17">
        <f t="shared" si="1"/>
        <v>38.46</v>
      </c>
      <c r="K973" s="16" t="str">
        <f t="array" ref="K973">_xlfn.XLOOKUP(C973,Clientes[ID_Cliente],Clientes[Provincia])</f>
        <v>Córdoba</v>
      </c>
      <c r="L973" s="16" t="str">
        <f t="array" ref="L973">CONCATENATE(_xlfn.XLOOKUP(C973,Clientes[ID_Cliente],Clientes[Provincia]),", Argentina")</f>
        <v>Córdoba, Argentina</v>
      </c>
      <c r="M973" s="20" t="str">
        <f t="array" ref="M973">_xlfn.XLOOKUP(F973,Metodos_De_Pago[ID_Metodo],Metodos_De_Pago[Metodo])</f>
        <v>Efectivo</v>
      </c>
      <c r="N973" s="20" t="str">
        <f t="shared" si="2"/>
        <v>2024 11</v>
      </c>
    </row>
    <row r="974" ht="22.5" customHeight="1">
      <c r="A974" s="12">
        <f>IFERROR(__xludf.DUMMYFUNCTION("""COMPUTED_VALUE"""),2410.0)</f>
        <v>2410</v>
      </c>
      <c r="B974" s="13">
        <f>IFERROR(__xludf.DUMMYFUNCTION("""COMPUTED_VALUE"""),45624.0)</f>
        <v>45624</v>
      </c>
      <c r="C974" s="12">
        <f>IFERROR(__xludf.DUMMYFUNCTION("""COMPUTED_VALUE"""),93.0)</f>
        <v>93</v>
      </c>
      <c r="D974" s="12">
        <f>IFERROR(__xludf.DUMMYFUNCTION("""COMPUTED_VALUE"""),35.0)</f>
        <v>35</v>
      </c>
      <c r="E974" s="12">
        <f>IFERROR(__xludf.DUMMYFUNCTION("""COMPUTED_VALUE"""),2.0)</f>
        <v>2</v>
      </c>
      <c r="F974" s="12">
        <f>IFERROR(__xludf.DUMMYFUNCTION("""COMPUTED_VALUE"""),1.0)</f>
        <v>1</v>
      </c>
      <c r="G974" s="15" t="str">
        <f>IFERROR(__xludf.DUMMYFUNCTION("""COMPUTED_VALUE"""),"Pendiente")</f>
        <v>Pendiente</v>
      </c>
      <c r="H974" s="16" t="str">
        <f t="array" ref="H974">_xlfn.XLOOKUP(D974,Productos[ID_Producto],Productos[Nombre_Producto])</f>
        <v>Arroz</v>
      </c>
      <c r="I974" s="17">
        <f t="array" ref="I974">_xlfn.XLOOKUP(D974,Productos[ID_Producto],Productos[Precio_Unitario])</f>
        <v>4.25</v>
      </c>
      <c r="J974" s="17">
        <f t="shared" si="1"/>
        <v>8.5</v>
      </c>
      <c r="K974" s="16" t="str">
        <f t="array" ref="K974">_xlfn.XLOOKUP(C974,Clientes[ID_Cliente],Clientes[Provincia])</f>
        <v>Buenos Aires</v>
      </c>
      <c r="L974" s="16" t="str">
        <f t="array" ref="L974">CONCATENATE(_xlfn.XLOOKUP(C974,Clientes[ID_Cliente],Clientes[Provincia]),", Argentina")</f>
        <v>Buenos Aires, Argentina</v>
      </c>
      <c r="M974" s="20" t="str">
        <f t="array" ref="M974">_xlfn.XLOOKUP(F974,Metodos_De_Pago[ID_Metodo],Metodos_De_Pago[Metodo])</f>
        <v>Efectivo</v>
      </c>
      <c r="N974" s="20" t="str">
        <f t="shared" si="2"/>
        <v>2024 11</v>
      </c>
    </row>
    <row r="975" ht="22.5" customHeight="1">
      <c r="A975" s="12">
        <f>IFERROR(__xludf.DUMMYFUNCTION("""COMPUTED_VALUE"""),2754.0)</f>
        <v>2754</v>
      </c>
      <c r="B975" s="13">
        <f>IFERROR(__xludf.DUMMYFUNCTION("""COMPUTED_VALUE"""),45625.0)</f>
        <v>45625</v>
      </c>
      <c r="C975" s="12">
        <f>IFERROR(__xludf.DUMMYFUNCTION("""COMPUTED_VALUE"""),95.0)</f>
        <v>95</v>
      </c>
      <c r="D975" s="12">
        <f>IFERROR(__xludf.DUMMYFUNCTION("""COMPUTED_VALUE"""),26.0)</f>
        <v>26</v>
      </c>
      <c r="E975" s="12">
        <f>IFERROR(__xludf.DUMMYFUNCTION("""COMPUTED_VALUE"""),2.0)</f>
        <v>2</v>
      </c>
      <c r="F975" s="12">
        <f>IFERROR(__xludf.DUMMYFUNCTION("""COMPUTED_VALUE"""),4.0)</f>
        <v>4</v>
      </c>
      <c r="G975" s="15" t="str">
        <f>IFERROR(__xludf.DUMMYFUNCTION("""COMPUTED_VALUE"""),"Completa")</f>
        <v>Completa</v>
      </c>
      <c r="H975" s="16" t="str">
        <f t="array" ref="H975">_xlfn.XLOOKUP(D975,Productos[ID_Producto],Productos[Nombre_Producto])</f>
        <v>Hamburgesas congeladas</v>
      </c>
      <c r="I975" s="17">
        <f t="array" ref="I975">_xlfn.XLOOKUP(D975,Productos[ID_Producto],Productos[Precio_Unitario])</f>
        <v>9.54</v>
      </c>
      <c r="J975" s="17">
        <f t="shared" si="1"/>
        <v>19.08</v>
      </c>
      <c r="K975" s="16" t="str">
        <f t="array" ref="K975">_xlfn.XLOOKUP(C975,Clientes[ID_Cliente],Clientes[Provincia])</f>
        <v>Buenos Aires</v>
      </c>
      <c r="L975" s="16" t="str">
        <f t="array" ref="L975">CONCATENATE(_xlfn.XLOOKUP(C975,Clientes[ID_Cliente],Clientes[Provincia]),", Argentina")</f>
        <v>Buenos Aires, Argentina</v>
      </c>
      <c r="M975" s="20" t="str">
        <f t="array" ref="M975">_xlfn.XLOOKUP(F975,Metodos_De_Pago[ID_Metodo],Metodos_De_Pago[Metodo])</f>
        <v>Mercado Pago</v>
      </c>
      <c r="N975" s="20" t="str">
        <f t="shared" si="2"/>
        <v>2024 11</v>
      </c>
    </row>
    <row r="976" ht="22.5" customHeight="1">
      <c r="A976" s="12">
        <f>IFERROR(__xludf.DUMMYFUNCTION("""COMPUTED_VALUE"""),2842.0)</f>
        <v>2842</v>
      </c>
      <c r="B976" s="13">
        <f>IFERROR(__xludf.DUMMYFUNCTION("""COMPUTED_VALUE"""),45625.0)</f>
        <v>45625</v>
      </c>
      <c r="C976" s="12">
        <f>IFERROR(__xludf.DUMMYFUNCTION("""COMPUTED_VALUE"""),185.0)</f>
        <v>185</v>
      </c>
      <c r="D976" s="12">
        <f>IFERROR(__xludf.DUMMYFUNCTION("""COMPUTED_VALUE"""),3.0)</f>
        <v>3</v>
      </c>
      <c r="E976" s="12">
        <f>IFERROR(__xludf.DUMMYFUNCTION("""COMPUTED_VALUE"""),2.0)</f>
        <v>2</v>
      </c>
      <c r="F976" s="12">
        <f>IFERROR(__xludf.DUMMYFUNCTION("""COMPUTED_VALUE"""),4.0)</f>
        <v>4</v>
      </c>
      <c r="G976" s="15" t="str">
        <f>IFERROR(__xludf.DUMMYFUNCTION("""COMPUTED_VALUE"""),"Completa")</f>
        <v>Completa</v>
      </c>
      <c r="H976" s="16" t="str">
        <f t="array" ref="H976">_xlfn.XLOOKUP(D976,Productos[ID_Producto],Productos[Nombre_Producto])</f>
        <v>Queso cremoso</v>
      </c>
      <c r="I976" s="17">
        <f t="array" ref="I976">_xlfn.XLOOKUP(D976,Productos[ID_Producto],Productos[Precio_Unitario])</f>
        <v>17.23</v>
      </c>
      <c r="J976" s="17">
        <f t="shared" si="1"/>
        <v>34.46</v>
      </c>
      <c r="K976" s="16" t="str">
        <f t="array" ref="K976">_xlfn.XLOOKUP(C976,Clientes[ID_Cliente],Clientes[Provincia])</f>
        <v>Córdoba</v>
      </c>
      <c r="L976" s="16" t="str">
        <f t="array" ref="L976">CONCATENATE(_xlfn.XLOOKUP(C976,Clientes[ID_Cliente],Clientes[Provincia]),", Argentina")</f>
        <v>Córdoba, Argentina</v>
      </c>
      <c r="M976" s="20" t="str">
        <f t="array" ref="M976">_xlfn.XLOOKUP(F976,Metodos_De_Pago[ID_Metodo],Metodos_De_Pago[Metodo])</f>
        <v>Mercado Pago</v>
      </c>
      <c r="N976" s="20" t="str">
        <f t="shared" si="2"/>
        <v>2024 11</v>
      </c>
    </row>
    <row r="977" ht="22.5" customHeight="1">
      <c r="A977" s="12">
        <f>IFERROR(__xludf.DUMMYFUNCTION("""COMPUTED_VALUE"""),2985.0)</f>
        <v>2985</v>
      </c>
      <c r="B977" s="13">
        <f>IFERROR(__xludf.DUMMYFUNCTION("""COMPUTED_VALUE"""),45625.0)</f>
        <v>45625</v>
      </c>
      <c r="C977" s="12">
        <f>IFERROR(__xludf.DUMMYFUNCTION("""COMPUTED_VALUE"""),186.0)</f>
        <v>186</v>
      </c>
      <c r="D977" s="12">
        <f>IFERROR(__xludf.DUMMYFUNCTION("""COMPUTED_VALUE"""),17.0)</f>
        <v>17</v>
      </c>
      <c r="E977" s="12">
        <f>IFERROR(__xludf.DUMMYFUNCTION("""COMPUTED_VALUE"""),2.0)</f>
        <v>2</v>
      </c>
      <c r="F977" s="12">
        <f>IFERROR(__xludf.DUMMYFUNCTION("""COMPUTED_VALUE"""),4.0)</f>
        <v>4</v>
      </c>
      <c r="G977" s="15" t="str">
        <f>IFERROR(__xludf.DUMMYFUNCTION("""COMPUTED_VALUE"""),"Completa")</f>
        <v>Completa</v>
      </c>
      <c r="H977" s="16" t="str">
        <f t="array" ref="H977">_xlfn.XLOOKUP(D977,Productos[ID_Producto],Productos[Nombre_Producto])</f>
        <v>Manzanas</v>
      </c>
      <c r="I977" s="17">
        <f t="array" ref="I977">_xlfn.XLOOKUP(D977,Productos[ID_Producto],Productos[Precio_Unitario])</f>
        <v>6.54</v>
      </c>
      <c r="J977" s="17">
        <f t="shared" si="1"/>
        <v>13.08</v>
      </c>
      <c r="K977" s="16" t="str">
        <f t="array" ref="K977">_xlfn.XLOOKUP(C977,Clientes[ID_Cliente],Clientes[Provincia])</f>
        <v>Neuquén</v>
      </c>
      <c r="L977" s="16" t="str">
        <f t="array" ref="L977">CONCATENATE(_xlfn.XLOOKUP(C977,Clientes[ID_Cliente],Clientes[Provincia]),", Argentina")</f>
        <v>Neuquén, Argentina</v>
      </c>
      <c r="M977" s="20" t="str">
        <f t="array" ref="M977">_xlfn.XLOOKUP(F977,Metodos_De_Pago[ID_Metodo],Metodos_De_Pago[Metodo])</f>
        <v>Mercado Pago</v>
      </c>
      <c r="N977" s="20" t="str">
        <f t="shared" si="2"/>
        <v>2024 11</v>
      </c>
    </row>
    <row r="978" ht="22.5" customHeight="1">
      <c r="A978" s="12">
        <f>IFERROR(__xludf.DUMMYFUNCTION("""COMPUTED_VALUE"""),2425.0)</f>
        <v>2425</v>
      </c>
      <c r="B978" s="13">
        <f>IFERROR(__xludf.DUMMYFUNCTION("""COMPUTED_VALUE"""),45626.0)</f>
        <v>45626</v>
      </c>
      <c r="C978" s="12">
        <f>IFERROR(__xludf.DUMMYFUNCTION("""COMPUTED_VALUE"""),132.0)</f>
        <v>132</v>
      </c>
      <c r="D978" s="12">
        <f>IFERROR(__xludf.DUMMYFUNCTION("""COMPUTED_VALUE"""),24.0)</f>
        <v>24</v>
      </c>
      <c r="E978" s="12">
        <f>IFERROR(__xludf.DUMMYFUNCTION("""COMPUTED_VALUE"""),2.0)</f>
        <v>2</v>
      </c>
      <c r="F978" s="12">
        <f>IFERROR(__xludf.DUMMYFUNCTION("""COMPUTED_VALUE"""),4.0)</f>
        <v>4</v>
      </c>
      <c r="G978" s="15" t="str">
        <f>IFERROR(__xludf.DUMMYFUNCTION("""COMPUTED_VALUE"""),"Completa")</f>
        <v>Completa</v>
      </c>
      <c r="H978" s="16" t="str">
        <f t="array" ref="H978">_xlfn.XLOOKUP(D978,Productos[ID_Producto],Productos[Nombre_Producto])</f>
        <v>Empanadas</v>
      </c>
      <c r="I978" s="17">
        <f t="array" ref="I978">_xlfn.XLOOKUP(D978,Productos[ID_Producto],Productos[Precio_Unitario])</f>
        <v>13.54</v>
      </c>
      <c r="J978" s="17">
        <f t="shared" si="1"/>
        <v>27.08</v>
      </c>
      <c r="K978" s="16" t="str">
        <f t="array" ref="K978">_xlfn.XLOOKUP(C978,Clientes[ID_Cliente],Clientes[Provincia])</f>
        <v>Buenos Aires</v>
      </c>
      <c r="L978" s="16" t="str">
        <f t="array" ref="L978">CONCATENATE(_xlfn.XLOOKUP(C978,Clientes[ID_Cliente],Clientes[Provincia]),", Argentina")</f>
        <v>Buenos Aires, Argentina</v>
      </c>
      <c r="M978" s="20" t="str">
        <f t="array" ref="M978">_xlfn.XLOOKUP(F978,Metodos_De_Pago[ID_Metodo],Metodos_De_Pago[Metodo])</f>
        <v>Mercado Pago</v>
      </c>
      <c r="N978" s="20" t="str">
        <f t="shared" si="2"/>
        <v>2024 11</v>
      </c>
    </row>
    <row r="979" ht="22.5" customHeight="1">
      <c r="A979" s="12">
        <f>IFERROR(__xludf.DUMMYFUNCTION("""COMPUTED_VALUE"""),151.0)</f>
        <v>151</v>
      </c>
      <c r="B979" s="13">
        <f>IFERROR(__xludf.DUMMYFUNCTION("""COMPUTED_VALUE"""),45627.0)</f>
        <v>45627</v>
      </c>
      <c r="C979" s="12">
        <f>IFERROR(__xludf.DUMMYFUNCTION("""COMPUTED_VALUE"""),317.0)</f>
        <v>317</v>
      </c>
      <c r="D979" s="12">
        <f>IFERROR(__xludf.DUMMYFUNCTION("""COMPUTED_VALUE"""),20.0)</f>
        <v>20</v>
      </c>
      <c r="E979" s="12">
        <f>IFERROR(__xludf.DUMMYFUNCTION("""COMPUTED_VALUE"""),2.0)</f>
        <v>2</v>
      </c>
      <c r="F979" s="12">
        <f>IFERROR(__xludf.DUMMYFUNCTION("""COMPUTED_VALUE"""),2.0)</f>
        <v>2</v>
      </c>
      <c r="G979" s="15" t="str">
        <f>IFERROR(__xludf.DUMMYFUNCTION("""COMPUTED_VALUE"""),"Completa")</f>
        <v>Completa</v>
      </c>
      <c r="H979" s="16" t="str">
        <f t="array" ref="H979">_xlfn.XLOOKUP(D979,Productos[ID_Producto],Productos[Nombre_Producto])</f>
        <v>Lechugas</v>
      </c>
      <c r="I979" s="17">
        <f t="array" ref="I979">_xlfn.XLOOKUP(D979,Productos[ID_Producto],Productos[Precio_Unitario])</f>
        <v>4.25</v>
      </c>
      <c r="J979" s="17">
        <f t="shared" si="1"/>
        <v>8.5</v>
      </c>
      <c r="K979" s="16" t="str">
        <f t="array" ref="K979">_xlfn.XLOOKUP(C979,Clientes[ID_Cliente],Clientes[Provincia])</f>
        <v>Chaco</v>
      </c>
      <c r="L979" s="16" t="str">
        <f t="array" ref="L979">CONCATENATE(_xlfn.XLOOKUP(C979,Clientes[ID_Cliente],Clientes[Provincia]),", Argentina")</f>
        <v>Chaco, Argentina</v>
      </c>
      <c r="M979" s="20" t="str">
        <f t="array" ref="M979">_xlfn.XLOOKUP(F979,Metodos_De_Pago[ID_Metodo],Metodos_De_Pago[Metodo])</f>
        <v>Tarjeta de Crédito</v>
      </c>
      <c r="N979" s="20" t="str">
        <f t="shared" si="2"/>
        <v>2024 12</v>
      </c>
    </row>
    <row r="980" ht="22.5" customHeight="1">
      <c r="A980" s="12">
        <f>IFERROR(__xludf.DUMMYFUNCTION("""COMPUTED_VALUE"""),1113.0)</f>
        <v>1113</v>
      </c>
      <c r="B980" s="13">
        <f>IFERROR(__xludf.DUMMYFUNCTION("""COMPUTED_VALUE"""),45627.0)</f>
        <v>45627</v>
      </c>
      <c r="C980" s="12">
        <f>IFERROR(__xludf.DUMMYFUNCTION("""COMPUTED_VALUE"""),4.0)</f>
        <v>4</v>
      </c>
      <c r="D980" s="12">
        <f>IFERROR(__xludf.DUMMYFUNCTION("""COMPUTED_VALUE"""),17.0)</f>
        <v>17</v>
      </c>
      <c r="E980" s="12">
        <f>IFERROR(__xludf.DUMMYFUNCTION("""COMPUTED_VALUE"""),2.0)</f>
        <v>2</v>
      </c>
      <c r="F980" s="12">
        <f>IFERROR(__xludf.DUMMYFUNCTION("""COMPUTED_VALUE"""),1.0)</f>
        <v>1</v>
      </c>
      <c r="G980" s="15" t="str">
        <f>IFERROR(__xludf.DUMMYFUNCTION("""COMPUTED_VALUE"""),"Completa")</f>
        <v>Completa</v>
      </c>
      <c r="H980" s="16" t="str">
        <f t="array" ref="H980">_xlfn.XLOOKUP(D980,Productos[ID_Producto],Productos[Nombre_Producto])</f>
        <v>Manzanas</v>
      </c>
      <c r="I980" s="17">
        <f t="array" ref="I980">_xlfn.XLOOKUP(D980,Productos[ID_Producto],Productos[Precio_Unitario])</f>
        <v>6.54</v>
      </c>
      <c r="J980" s="17">
        <f t="shared" si="1"/>
        <v>13.08</v>
      </c>
      <c r="K980" s="16" t="str">
        <f t="array" ref="K980">_xlfn.XLOOKUP(C980,Clientes[ID_Cliente],Clientes[Provincia])</f>
        <v>Buenos Aires</v>
      </c>
      <c r="L980" s="16" t="str">
        <f t="array" ref="L980">CONCATENATE(_xlfn.XLOOKUP(C980,Clientes[ID_Cliente],Clientes[Provincia]),", Argentina")</f>
        <v>Buenos Aires, Argentina</v>
      </c>
      <c r="M980" s="20" t="str">
        <f t="array" ref="M980">_xlfn.XLOOKUP(F980,Metodos_De_Pago[ID_Metodo],Metodos_De_Pago[Metodo])</f>
        <v>Efectivo</v>
      </c>
      <c r="N980" s="20" t="str">
        <f t="shared" si="2"/>
        <v>2024 12</v>
      </c>
    </row>
    <row r="981" ht="22.5" customHeight="1">
      <c r="A981" s="12">
        <f>IFERROR(__xludf.DUMMYFUNCTION("""COMPUTED_VALUE"""),1820.0)</f>
        <v>1820</v>
      </c>
      <c r="B981" s="13">
        <f>IFERROR(__xludf.DUMMYFUNCTION("""COMPUTED_VALUE"""),45627.0)</f>
        <v>45627</v>
      </c>
      <c r="C981" s="12">
        <f>IFERROR(__xludf.DUMMYFUNCTION("""COMPUTED_VALUE"""),170.0)</f>
        <v>170</v>
      </c>
      <c r="D981" s="12">
        <f>IFERROR(__xludf.DUMMYFUNCTION("""COMPUTED_VALUE"""),30.0)</f>
        <v>30</v>
      </c>
      <c r="E981" s="12">
        <f>IFERROR(__xludf.DUMMYFUNCTION("""COMPUTED_VALUE"""),2.0)</f>
        <v>2</v>
      </c>
      <c r="F981" s="12">
        <f>IFERROR(__xludf.DUMMYFUNCTION("""COMPUTED_VALUE"""),1.0)</f>
        <v>1</v>
      </c>
      <c r="G981" s="15" t="str">
        <f>IFERROR(__xludf.DUMMYFUNCTION("""COMPUTED_VALUE"""),"Completa")</f>
        <v>Completa</v>
      </c>
      <c r="H981" s="16" t="str">
        <f t="array" ref="H981">_xlfn.XLOOKUP(D981,Productos[ID_Producto],Productos[Nombre_Producto])</f>
        <v>Vino tinto</v>
      </c>
      <c r="I981" s="17">
        <f t="array" ref="I981">_xlfn.XLOOKUP(D981,Productos[ID_Producto],Productos[Precio_Unitario])</f>
        <v>13.54</v>
      </c>
      <c r="J981" s="17">
        <f t="shared" si="1"/>
        <v>27.08</v>
      </c>
      <c r="K981" s="16" t="str">
        <f t="array" ref="K981">_xlfn.XLOOKUP(C981,Clientes[ID_Cliente],Clientes[Provincia])</f>
        <v>Córdoba</v>
      </c>
      <c r="L981" s="16" t="str">
        <f t="array" ref="L981">CONCATENATE(_xlfn.XLOOKUP(C981,Clientes[ID_Cliente],Clientes[Provincia]),", Argentina")</f>
        <v>Córdoba, Argentina</v>
      </c>
      <c r="M981" s="20" t="str">
        <f t="array" ref="M981">_xlfn.XLOOKUP(F981,Metodos_De_Pago[ID_Metodo],Metodos_De_Pago[Metodo])</f>
        <v>Efectivo</v>
      </c>
      <c r="N981" s="20" t="str">
        <f t="shared" si="2"/>
        <v>2024 12</v>
      </c>
    </row>
    <row r="982" ht="22.5" customHeight="1">
      <c r="A982" s="12">
        <f>IFERROR(__xludf.DUMMYFUNCTION("""COMPUTED_VALUE"""),2912.0)</f>
        <v>2912</v>
      </c>
      <c r="B982" s="13">
        <f>IFERROR(__xludf.DUMMYFUNCTION("""COMPUTED_VALUE"""),45627.0)</f>
        <v>45627</v>
      </c>
      <c r="C982" s="12">
        <f>IFERROR(__xludf.DUMMYFUNCTION("""COMPUTED_VALUE"""),39.0)</f>
        <v>39</v>
      </c>
      <c r="D982" s="12">
        <f>IFERROR(__xludf.DUMMYFUNCTION("""COMPUTED_VALUE"""),26.0)</f>
        <v>26</v>
      </c>
      <c r="E982" s="12">
        <f>IFERROR(__xludf.DUMMYFUNCTION("""COMPUTED_VALUE"""),2.0)</f>
        <v>2</v>
      </c>
      <c r="F982" s="12">
        <f>IFERROR(__xludf.DUMMYFUNCTION("""COMPUTED_VALUE"""),5.0)</f>
        <v>5</v>
      </c>
      <c r="G982" s="15" t="str">
        <f>IFERROR(__xludf.DUMMYFUNCTION("""COMPUTED_VALUE"""),"Completa")</f>
        <v>Completa</v>
      </c>
      <c r="H982" s="16" t="str">
        <f t="array" ref="H982">_xlfn.XLOOKUP(D982,Productos[ID_Producto],Productos[Nombre_Producto])</f>
        <v>Hamburgesas congeladas</v>
      </c>
      <c r="I982" s="17">
        <f t="array" ref="I982">_xlfn.XLOOKUP(D982,Productos[ID_Producto],Productos[Precio_Unitario])</f>
        <v>9.54</v>
      </c>
      <c r="J982" s="17">
        <f t="shared" si="1"/>
        <v>19.08</v>
      </c>
      <c r="K982" s="16" t="str">
        <f t="array" ref="K982">_xlfn.XLOOKUP(C982,Clientes[ID_Cliente],Clientes[Provincia])</f>
        <v>Neuquén</v>
      </c>
      <c r="L982" s="16" t="str">
        <f t="array" ref="L982">CONCATENATE(_xlfn.XLOOKUP(C982,Clientes[ID_Cliente],Clientes[Provincia]),", Argentina")</f>
        <v>Neuquén, Argentina</v>
      </c>
      <c r="M982" s="20" t="str">
        <f t="array" ref="M982">_xlfn.XLOOKUP(F982,Metodos_De_Pago[ID_Metodo],Metodos_De_Pago[Metodo])</f>
        <v>Transferencia</v>
      </c>
      <c r="N982" s="20" t="str">
        <f t="shared" si="2"/>
        <v>2024 12</v>
      </c>
    </row>
    <row r="983" ht="22.5" customHeight="1">
      <c r="A983" s="12">
        <f>IFERROR(__xludf.DUMMYFUNCTION("""COMPUTED_VALUE"""),924.0)</f>
        <v>924</v>
      </c>
      <c r="B983" s="13">
        <f>IFERROR(__xludf.DUMMYFUNCTION("""COMPUTED_VALUE"""),45628.0)</f>
        <v>45628</v>
      </c>
      <c r="C983" s="12">
        <f>IFERROR(__xludf.DUMMYFUNCTION("""COMPUTED_VALUE"""),90.0)</f>
        <v>90</v>
      </c>
      <c r="D983" s="12">
        <f>IFERROR(__xludf.DUMMYFUNCTION("""COMPUTED_VALUE"""),1.0)</f>
        <v>1</v>
      </c>
      <c r="E983" s="12">
        <f>IFERROR(__xludf.DUMMYFUNCTION("""COMPUTED_VALUE"""),2.0)</f>
        <v>2</v>
      </c>
      <c r="F983" s="12">
        <f>IFERROR(__xludf.DUMMYFUNCTION("""COMPUTED_VALUE"""),3.0)</f>
        <v>3</v>
      </c>
      <c r="G983" s="15" t="str">
        <f>IFERROR(__xludf.DUMMYFUNCTION("""COMPUTED_VALUE"""),"Completa")</f>
        <v>Completa</v>
      </c>
      <c r="H983" s="16" t="str">
        <f t="array" ref="H983">_xlfn.XLOOKUP(D983,Productos[ID_Producto],Productos[Nombre_Producto])</f>
        <v>Leche</v>
      </c>
      <c r="I983" s="17">
        <f t="array" ref="I983">_xlfn.XLOOKUP(D983,Productos[ID_Producto],Productos[Precio_Unitario])</f>
        <v>12.24</v>
      </c>
      <c r="J983" s="17">
        <f t="shared" si="1"/>
        <v>24.48</v>
      </c>
      <c r="K983" s="16" t="str">
        <f t="array" ref="K983">_xlfn.XLOOKUP(C983,Clientes[ID_Cliente],Clientes[Provincia])</f>
        <v>Buenos Aires</v>
      </c>
      <c r="L983" s="16" t="str">
        <f t="array" ref="L983">CONCATENATE(_xlfn.XLOOKUP(C983,Clientes[ID_Cliente],Clientes[Provincia]),", Argentina")</f>
        <v>Buenos Aires, Argentina</v>
      </c>
      <c r="M983" s="20" t="str">
        <f t="array" ref="M983">_xlfn.XLOOKUP(F983,Metodos_De_Pago[ID_Metodo],Metodos_De_Pago[Metodo])</f>
        <v>Tarjeta de Débito</v>
      </c>
      <c r="N983" s="20" t="str">
        <f t="shared" si="2"/>
        <v>2024 12</v>
      </c>
    </row>
    <row r="984" ht="22.5" customHeight="1">
      <c r="A984" s="12">
        <f>IFERROR(__xludf.DUMMYFUNCTION("""COMPUTED_VALUE"""),1267.0)</f>
        <v>1267</v>
      </c>
      <c r="B984" s="13">
        <f>IFERROR(__xludf.DUMMYFUNCTION("""COMPUTED_VALUE"""),45628.0)</f>
        <v>45628</v>
      </c>
      <c r="C984" s="12">
        <f>IFERROR(__xludf.DUMMYFUNCTION("""COMPUTED_VALUE"""),130.0)</f>
        <v>130</v>
      </c>
      <c r="D984" s="12">
        <f>IFERROR(__xludf.DUMMYFUNCTION("""COMPUTED_VALUE"""),1.0)</f>
        <v>1</v>
      </c>
      <c r="E984" s="12">
        <f>IFERROR(__xludf.DUMMYFUNCTION("""COMPUTED_VALUE"""),2.0)</f>
        <v>2</v>
      </c>
      <c r="F984" s="12">
        <f>IFERROR(__xludf.DUMMYFUNCTION("""COMPUTED_VALUE"""),5.0)</f>
        <v>5</v>
      </c>
      <c r="G984" s="15" t="str">
        <f>IFERROR(__xludf.DUMMYFUNCTION("""COMPUTED_VALUE"""),"Completa")</f>
        <v>Completa</v>
      </c>
      <c r="H984" s="16" t="str">
        <f t="array" ref="H984">_xlfn.XLOOKUP(D984,Productos[ID_Producto],Productos[Nombre_Producto])</f>
        <v>Leche</v>
      </c>
      <c r="I984" s="17">
        <f t="array" ref="I984">_xlfn.XLOOKUP(D984,Productos[ID_Producto],Productos[Precio_Unitario])</f>
        <v>12.24</v>
      </c>
      <c r="J984" s="17">
        <f t="shared" si="1"/>
        <v>24.48</v>
      </c>
      <c r="K984" s="16" t="str">
        <f t="array" ref="K984">_xlfn.XLOOKUP(C984,Clientes[ID_Cliente],Clientes[Provincia])</f>
        <v>Buenos Aires</v>
      </c>
      <c r="L984" s="16" t="str">
        <f t="array" ref="L984">CONCATENATE(_xlfn.XLOOKUP(C984,Clientes[ID_Cliente],Clientes[Provincia]),", Argentina")</f>
        <v>Buenos Aires, Argentina</v>
      </c>
      <c r="M984" s="20" t="str">
        <f t="array" ref="M984">_xlfn.XLOOKUP(F984,Metodos_De_Pago[ID_Metodo],Metodos_De_Pago[Metodo])</f>
        <v>Transferencia</v>
      </c>
      <c r="N984" s="20" t="str">
        <f t="shared" si="2"/>
        <v>2024 12</v>
      </c>
    </row>
    <row r="985" ht="22.5" customHeight="1">
      <c r="A985" s="12">
        <f>IFERROR(__xludf.DUMMYFUNCTION("""COMPUTED_VALUE"""),3000.0)</f>
        <v>3000</v>
      </c>
      <c r="B985" s="13">
        <f>IFERROR(__xludf.DUMMYFUNCTION("""COMPUTED_VALUE"""),45628.0)</f>
        <v>45628</v>
      </c>
      <c r="C985" s="12">
        <f>IFERROR(__xludf.DUMMYFUNCTION("""COMPUTED_VALUE"""),266.0)</f>
        <v>266</v>
      </c>
      <c r="D985" s="12">
        <f>IFERROR(__xludf.DUMMYFUNCTION("""COMPUTED_VALUE"""),31.0)</f>
        <v>31</v>
      </c>
      <c r="E985" s="12">
        <f>IFERROR(__xludf.DUMMYFUNCTION("""COMPUTED_VALUE"""),2.0)</f>
        <v>2</v>
      </c>
      <c r="F985" s="12">
        <f>IFERROR(__xludf.DUMMYFUNCTION("""COMPUTED_VALUE"""),1.0)</f>
        <v>1</v>
      </c>
      <c r="G985" s="15" t="str">
        <f>IFERROR(__xludf.DUMMYFUNCTION("""COMPUTED_VALUE"""),"Pendiente")</f>
        <v>Pendiente</v>
      </c>
      <c r="H985" s="16" t="str">
        <f t="array" ref="H985">_xlfn.XLOOKUP(D985,Productos[ID_Producto],Productos[Nombre_Producto])</f>
        <v>Galletitas de agua</v>
      </c>
      <c r="I985" s="17">
        <f t="array" ref="I985">_xlfn.XLOOKUP(D985,Productos[ID_Producto],Productos[Precio_Unitario])</f>
        <v>5.24</v>
      </c>
      <c r="J985" s="17">
        <f t="shared" si="1"/>
        <v>10.48</v>
      </c>
      <c r="K985" s="16" t="str">
        <f t="array" ref="K985">_xlfn.XLOOKUP(C985,Clientes[ID_Cliente],Clientes[Provincia])</f>
        <v>Buenos Aires</v>
      </c>
      <c r="L985" s="16" t="str">
        <f t="array" ref="L985">CONCATENATE(_xlfn.XLOOKUP(C985,Clientes[ID_Cliente],Clientes[Provincia]),", Argentina")</f>
        <v>Buenos Aires, Argentina</v>
      </c>
      <c r="M985" s="20" t="str">
        <f t="array" ref="M985">_xlfn.XLOOKUP(F985,Metodos_De_Pago[ID_Metodo],Metodos_De_Pago[Metodo])</f>
        <v>Efectivo</v>
      </c>
      <c r="N985" s="20" t="str">
        <f t="shared" si="2"/>
        <v>2024 12</v>
      </c>
    </row>
    <row r="986" ht="22.5" customHeight="1">
      <c r="A986" s="12">
        <f>IFERROR(__xludf.DUMMYFUNCTION("""COMPUTED_VALUE"""),2817.0)</f>
        <v>2817</v>
      </c>
      <c r="B986" s="13">
        <f>IFERROR(__xludf.DUMMYFUNCTION("""COMPUTED_VALUE"""),45629.0)</f>
        <v>45629</v>
      </c>
      <c r="C986" s="12">
        <f>IFERROR(__xludf.DUMMYFUNCTION("""COMPUTED_VALUE"""),254.0)</f>
        <v>254</v>
      </c>
      <c r="D986" s="12">
        <f>IFERROR(__xludf.DUMMYFUNCTION("""COMPUTED_VALUE"""),18.0)</f>
        <v>18</v>
      </c>
      <c r="E986" s="12">
        <f>IFERROR(__xludf.DUMMYFUNCTION("""COMPUTED_VALUE"""),2.0)</f>
        <v>2</v>
      </c>
      <c r="F986" s="12">
        <f>IFERROR(__xludf.DUMMYFUNCTION("""COMPUTED_VALUE"""),1.0)</f>
        <v>1</v>
      </c>
      <c r="G986" s="15" t="str">
        <f>IFERROR(__xludf.DUMMYFUNCTION("""COMPUTED_VALUE"""),"Pendiente")</f>
        <v>Pendiente</v>
      </c>
      <c r="H986" s="16" t="str">
        <f t="array" ref="H986">_xlfn.XLOOKUP(D986,Productos[ID_Producto],Productos[Nombre_Producto])</f>
        <v>Bananas</v>
      </c>
      <c r="I986" s="17">
        <f t="array" ref="I986">_xlfn.XLOOKUP(D986,Productos[ID_Producto],Productos[Precio_Unitario])</f>
        <v>7.25</v>
      </c>
      <c r="J986" s="17">
        <f t="shared" si="1"/>
        <v>14.5</v>
      </c>
      <c r="K986" s="16" t="str">
        <f t="array" ref="K986">_xlfn.XLOOKUP(C986,Clientes[ID_Cliente],Clientes[Provincia])</f>
        <v>Neuquén</v>
      </c>
      <c r="L986" s="16" t="str">
        <f t="array" ref="L986">CONCATENATE(_xlfn.XLOOKUP(C986,Clientes[ID_Cliente],Clientes[Provincia]),", Argentina")</f>
        <v>Neuquén, Argentina</v>
      </c>
      <c r="M986" s="20" t="str">
        <f t="array" ref="M986">_xlfn.XLOOKUP(F986,Metodos_De_Pago[ID_Metodo],Metodos_De_Pago[Metodo])</f>
        <v>Efectivo</v>
      </c>
      <c r="N986" s="20" t="str">
        <f t="shared" si="2"/>
        <v>2024 12</v>
      </c>
    </row>
    <row r="987" ht="22.5" customHeight="1">
      <c r="A987" s="12">
        <f>IFERROR(__xludf.DUMMYFUNCTION("""COMPUTED_VALUE"""),1056.0)</f>
        <v>1056</v>
      </c>
      <c r="B987" s="13">
        <f>IFERROR(__xludf.DUMMYFUNCTION("""COMPUTED_VALUE"""),45630.0)</f>
        <v>45630</v>
      </c>
      <c r="C987" s="12">
        <f>IFERROR(__xludf.DUMMYFUNCTION("""COMPUTED_VALUE"""),46.0)</f>
        <v>46</v>
      </c>
      <c r="D987" s="12">
        <f>IFERROR(__xludf.DUMMYFUNCTION("""COMPUTED_VALUE"""),8.0)</f>
        <v>8</v>
      </c>
      <c r="E987" s="12">
        <f>IFERROR(__xludf.DUMMYFUNCTION("""COMPUTED_VALUE"""),2.0)</f>
        <v>2</v>
      </c>
      <c r="F987" s="12">
        <f>IFERROR(__xludf.DUMMYFUNCTION("""COMPUTED_VALUE"""),5.0)</f>
        <v>5</v>
      </c>
      <c r="G987" s="15" t="str">
        <f>IFERROR(__xludf.DUMMYFUNCTION("""COMPUTED_VALUE"""),"Completa")</f>
        <v>Completa</v>
      </c>
      <c r="H987" s="16" t="str">
        <f t="array" ref="H987">_xlfn.XLOOKUP(D987,Productos[ID_Producto],Productos[Nombre_Producto])</f>
        <v>Milanesa</v>
      </c>
      <c r="I987" s="17">
        <f t="array" ref="I987">_xlfn.XLOOKUP(D987,Productos[ID_Producto],Productos[Precio_Unitario])</f>
        <v>16.21</v>
      </c>
      <c r="J987" s="17">
        <f t="shared" si="1"/>
        <v>32.42</v>
      </c>
      <c r="K987" s="16" t="str">
        <f t="array" ref="K987">_xlfn.XLOOKUP(C987,Clientes[ID_Cliente],Clientes[Provincia])</f>
        <v>Córdoba</v>
      </c>
      <c r="L987" s="16" t="str">
        <f t="array" ref="L987">CONCATENATE(_xlfn.XLOOKUP(C987,Clientes[ID_Cliente],Clientes[Provincia]),", Argentina")</f>
        <v>Córdoba, Argentina</v>
      </c>
      <c r="M987" s="20" t="str">
        <f t="array" ref="M987">_xlfn.XLOOKUP(F987,Metodos_De_Pago[ID_Metodo],Metodos_De_Pago[Metodo])</f>
        <v>Transferencia</v>
      </c>
      <c r="N987" s="20" t="str">
        <f t="shared" si="2"/>
        <v>2024 12</v>
      </c>
    </row>
    <row r="988" ht="22.5" customHeight="1">
      <c r="A988" s="12">
        <f>IFERROR(__xludf.DUMMYFUNCTION("""COMPUTED_VALUE"""),2297.0)</f>
        <v>2297</v>
      </c>
      <c r="B988" s="13">
        <f>IFERROR(__xludf.DUMMYFUNCTION("""COMPUTED_VALUE"""),45630.0)</f>
        <v>45630</v>
      </c>
      <c r="C988" s="12">
        <f>IFERROR(__xludf.DUMMYFUNCTION("""COMPUTED_VALUE"""),69.0)</f>
        <v>69</v>
      </c>
      <c r="D988" s="12">
        <f>IFERROR(__xludf.DUMMYFUNCTION("""COMPUTED_VALUE"""),23.0)</f>
        <v>23</v>
      </c>
      <c r="E988" s="12">
        <f>IFERROR(__xludf.DUMMYFUNCTION("""COMPUTED_VALUE"""),2.0)</f>
        <v>2</v>
      </c>
      <c r="F988" s="12">
        <f>IFERROR(__xludf.DUMMYFUNCTION("""COMPUTED_VALUE"""),5.0)</f>
        <v>5</v>
      </c>
      <c r="G988" s="15" t="str">
        <f>IFERROR(__xludf.DUMMYFUNCTION("""COMPUTED_VALUE"""),"Completa")</f>
        <v>Completa</v>
      </c>
      <c r="H988" s="16" t="str">
        <f t="array" ref="H988">_xlfn.XLOOKUP(D988,Productos[ID_Producto],Productos[Nombre_Producto])</f>
        <v>Papas fritas</v>
      </c>
      <c r="I988" s="17">
        <f t="array" ref="I988">_xlfn.XLOOKUP(D988,Productos[ID_Producto],Productos[Precio_Unitario])</f>
        <v>8.23</v>
      </c>
      <c r="J988" s="17">
        <f t="shared" si="1"/>
        <v>16.46</v>
      </c>
      <c r="K988" s="16" t="str">
        <f t="array" ref="K988">_xlfn.XLOOKUP(C988,Clientes[ID_Cliente],Clientes[Provincia])</f>
        <v>San Luis</v>
      </c>
      <c r="L988" s="16" t="str">
        <f t="array" ref="L988">CONCATENATE(_xlfn.XLOOKUP(C988,Clientes[ID_Cliente],Clientes[Provincia]),", Argentina")</f>
        <v>San Luis, Argentina</v>
      </c>
      <c r="M988" s="20" t="str">
        <f t="array" ref="M988">_xlfn.XLOOKUP(F988,Metodos_De_Pago[ID_Metodo],Metodos_De_Pago[Metodo])</f>
        <v>Transferencia</v>
      </c>
      <c r="N988" s="20" t="str">
        <f t="shared" si="2"/>
        <v>2024 12</v>
      </c>
    </row>
    <row r="989" ht="22.5" customHeight="1">
      <c r="A989" s="12">
        <f>IFERROR(__xludf.DUMMYFUNCTION("""COMPUTED_VALUE"""),269.0)</f>
        <v>269</v>
      </c>
      <c r="B989" s="13">
        <f>IFERROR(__xludf.DUMMYFUNCTION("""COMPUTED_VALUE"""),45632.0)</f>
        <v>45632</v>
      </c>
      <c r="C989" s="12">
        <f>IFERROR(__xludf.DUMMYFUNCTION("""COMPUTED_VALUE"""),66.0)</f>
        <v>66</v>
      </c>
      <c r="D989" s="12">
        <f>IFERROR(__xludf.DUMMYFUNCTION("""COMPUTED_VALUE"""),15.0)</f>
        <v>15</v>
      </c>
      <c r="E989" s="12">
        <f>IFERROR(__xludf.DUMMYFUNCTION("""COMPUTED_VALUE"""),2.0)</f>
        <v>2</v>
      </c>
      <c r="F989" s="12">
        <f>IFERROR(__xludf.DUMMYFUNCTION("""COMPUTED_VALUE"""),1.0)</f>
        <v>1</v>
      </c>
      <c r="G989" s="15" t="str">
        <f>IFERROR(__xludf.DUMMYFUNCTION("""COMPUTED_VALUE"""),"Completa")</f>
        <v>Completa</v>
      </c>
      <c r="H989" s="16" t="str">
        <f t="array" ref="H989">_xlfn.XLOOKUP(D989,Productos[ID_Producto],Productos[Nombre_Producto])</f>
        <v>Medialunas</v>
      </c>
      <c r="I989" s="17">
        <f t="array" ref="I989">_xlfn.XLOOKUP(D989,Productos[ID_Producto],Productos[Precio_Unitario])</f>
        <v>3.51</v>
      </c>
      <c r="J989" s="17">
        <f t="shared" si="1"/>
        <v>7.02</v>
      </c>
      <c r="K989" s="16" t="str">
        <f t="array" ref="K989">_xlfn.XLOOKUP(C989,Clientes[ID_Cliente],Clientes[Provincia])</f>
        <v>Buenos Aires</v>
      </c>
      <c r="L989" s="16" t="str">
        <f t="array" ref="L989">CONCATENATE(_xlfn.XLOOKUP(C989,Clientes[ID_Cliente],Clientes[Provincia]),", Argentina")</f>
        <v>Buenos Aires, Argentina</v>
      </c>
      <c r="M989" s="20" t="str">
        <f t="array" ref="M989">_xlfn.XLOOKUP(F989,Metodos_De_Pago[ID_Metodo],Metodos_De_Pago[Metodo])</f>
        <v>Efectivo</v>
      </c>
      <c r="N989" s="20" t="str">
        <f t="shared" si="2"/>
        <v>2024 12</v>
      </c>
    </row>
    <row r="990" ht="22.5" customHeight="1">
      <c r="A990" s="12">
        <f>IFERROR(__xludf.DUMMYFUNCTION("""COMPUTED_VALUE"""),2517.0)</f>
        <v>2517</v>
      </c>
      <c r="B990" s="13">
        <f>IFERROR(__xludf.DUMMYFUNCTION("""COMPUTED_VALUE"""),45632.0)</f>
        <v>45632</v>
      </c>
      <c r="C990" s="12">
        <f>IFERROR(__xludf.DUMMYFUNCTION("""COMPUTED_VALUE"""),308.0)</f>
        <v>308</v>
      </c>
      <c r="D990" s="12">
        <f>IFERROR(__xludf.DUMMYFUNCTION("""COMPUTED_VALUE"""),3.0)</f>
        <v>3</v>
      </c>
      <c r="E990" s="12">
        <f>IFERROR(__xludf.DUMMYFUNCTION("""COMPUTED_VALUE"""),2.0)</f>
        <v>2</v>
      </c>
      <c r="F990" s="12">
        <f>IFERROR(__xludf.DUMMYFUNCTION("""COMPUTED_VALUE"""),4.0)</f>
        <v>4</v>
      </c>
      <c r="G990" s="15" t="str">
        <f>IFERROR(__xludf.DUMMYFUNCTION("""COMPUTED_VALUE"""),"Pendiente")</f>
        <v>Pendiente</v>
      </c>
      <c r="H990" s="16" t="str">
        <f t="array" ref="H990">_xlfn.XLOOKUP(D990,Productos[ID_Producto],Productos[Nombre_Producto])</f>
        <v>Queso cremoso</v>
      </c>
      <c r="I990" s="17">
        <f t="array" ref="I990">_xlfn.XLOOKUP(D990,Productos[ID_Producto],Productos[Precio_Unitario])</f>
        <v>17.23</v>
      </c>
      <c r="J990" s="17">
        <f t="shared" si="1"/>
        <v>34.46</v>
      </c>
      <c r="K990" s="16" t="str">
        <f t="array" ref="K990">_xlfn.XLOOKUP(C990,Clientes[ID_Cliente],Clientes[Provincia])</f>
        <v>Córdoba</v>
      </c>
      <c r="L990" s="16" t="str">
        <f t="array" ref="L990">CONCATENATE(_xlfn.XLOOKUP(C990,Clientes[ID_Cliente],Clientes[Provincia]),", Argentina")</f>
        <v>Córdoba, Argentina</v>
      </c>
      <c r="M990" s="20" t="str">
        <f t="array" ref="M990">_xlfn.XLOOKUP(F990,Metodos_De_Pago[ID_Metodo],Metodos_De_Pago[Metodo])</f>
        <v>Mercado Pago</v>
      </c>
      <c r="N990" s="20" t="str">
        <f t="shared" si="2"/>
        <v>2024 12</v>
      </c>
    </row>
    <row r="991" ht="22.5" customHeight="1">
      <c r="A991" s="12">
        <f>IFERROR(__xludf.DUMMYFUNCTION("""COMPUTED_VALUE"""),222.0)</f>
        <v>222</v>
      </c>
      <c r="B991" s="13">
        <f>IFERROR(__xludf.DUMMYFUNCTION("""COMPUTED_VALUE"""),45634.0)</f>
        <v>45634</v>
      </c>
      <c r="C991" s="12">
        <f>IFERROR(__xludf.DUMMYFUNCTION("""COMPUTED_VALUE"""),260.0)</f>
        <v>260</v>
      </c>
      <c r="D991" s="12">
        <f>IFERROR(__xludf.DUMMYFUNCTION("""COMPUTED_VALUE"""),11.0)</f>
        <v>11</v>
      </c>
      <c r="E991" s="12">
        <f>IFERROR(__xludf.DUMMYFUNCTION("""COMPUTED_VALUE"""),2.0)</f>
        <v>2</v>
      </c>
      <c r="F991" s="12">
        <f>IFERROR(__xludf.DUMMYFUNCTION("""COMPUTED_VALUE"""),4.0)</f>
        <v>4</v>
      </c>
      <c r="G991" s="15" t="str">
        <f>IFERROR(__xludf.DUMMYFUNCTION("""COMPUTED_VALUE"""),"Completa")</f>
        <v>Completa</v>
      </c>
      <c r="H991" s="16" t="str">
        <f t="array" ref="H991">_xlfn.XLOOKUP(D991,Productos[ID_Producto],Productos[Nombre_Producto])</f>
        <v>Salchicha</v>
      </c>
      <c r="I991" s="17">
        <f t="array" ref="I991">_xlfn.XLOOKUP(D991,Productos[ID_Producto],Productos[Precio_Unitario])</f>
        <v>11.23</v>
      </c>
      <c r="J991" s="17">
        <f t="shared" si="1"/>
        <v>22.46</v>
      </c>
      <c r="K991" s="16" t="str">
        <f t="array" ref="K991">_xlfn.XLOOKUP(C991,Clientes[ID_Cliente],Clientes[Provincia])</f>
        <v>Buenos Aires</v>
      </c>
      <c r="L991" s="16" t="str">
        <f t="array" ref="L991">CONCATENATE(_xlfn.XLOOKUP(C991,Clientes[ID_Cliente],Clientes[Provincia]),", Argentina")</f>
        <v>Buenos Aires, Argentina</v>
      </c>
      <c r="M991" s="20" t="str">
        <f t="array" ref="M991">_xlfn.XLOOKUP(F991,Metodos_De_Pago[ID_Metodo],Metodos_De_Pago[Metodo])</f>
        <v>Mercado Pago</v>
      </c>
      <c r="N991" s="20" t="str">
        <f t="shared" si="2"/>
        <v>2024 12</v>
      </c>
    </row>
    <row r="992" ht="22.5" customHeight="1">
      <c r="A992" s="12">
        <f>IFERROR(__xludf.DUMMYFUNCTION("""COMPUTED_VALUE"""),1468.0)</f>
        <v>1468</v>
      </c>
      <c r="B992" s="13">
        <f>IFERROR(__xludf.DUMMYFUNCTION("""COMPUTED_VALUE"""),45634.0)</f>
        <v>45634</v>
      </c>
      <c r="C992" s="12">
        <f>IFERROR(__xludf.DUMMYFUNCTION("""COMPUTED_VALUE"""),3.0)</f>
        <v>3</v>
      </c>
      <c r="D992" s="12">
        <f>IFERROR(__xludf.DUMMYFUNCTION("""COMPUTED_VALUE"""),38.0)</f>
        <v>38</v>
      </c>
      <c r="E992" s="12">
        <f>IFERROR(__xludf.DUMMYFUNCTION("""COMPUTED_VALUE"""),2.0)</f>
        <v>2</v>
      </c>
      <c r="F992" s="12">
        <f>IFERROR(__xludf.DUMMYFUNCTION("""COMPUTED_VALUE"""),3.0)</f>
        <v>3</v>
      </c>
      <c r="G992" s="15" t="str">
        <f>IFERROR(__xludf.DUMMYFUNCTION("""COMPUTED_VALUE"""),"Completa")</f>
        <v>Completa</v>
      </c>
      <c r="H992" s="16" t="str">
        <f t="array" ref="H992">_xlfn.XLOOKUP(D992,Productos[ID_Producto],Productos[Nombre_Producto])</f>
        <v>Atún enlatado</v>
      </c>
      <c r="I992" s="17">
        <f t="array" ref="I992">_xlfn.XLOOKUP(D992,Productos[ID_Producto],Productos[Precio_Unitario])</f>
        <v>6.21</v>
      </c>
      <c r="J992" s="17">
        <f t="shared" si="1"/>
        <v>12.42</v>
      </c>
      <c r="K992" s="16" t="str">
        <f t="array" ref="K992">_xlfn.XLOOKUP(C992,Clientes[ID_Cliente],Clientes[Provincia])</f>
        <v>Neuquén</v>
      </c>
      <c r="L992" s="16" t="str">
        <f t="array" ref="L992">CONCATENATE(_xlfn.XLOOKUP(C992,Clientes[ID_Cliente],Clientes[Provincia]),", Argentina")</f>
        <v>Neuquén, Argentina</v>
      </c>
      <c r="M992" s="20" t="str">
        <f t="array" ref="M992">_xlfn.XLOOKUP(F992,Metodos_De_Pago[ID_Metodo],Metodos_De_Pago[Metodo])</f>
        <v>Tarjeta de Débito</v>
      </c>
      <c r="N992" s="20" t="str">
        <f t="shared" si="2"/>
        <v>2024 12</v>
      </c>
    </row>
    <row r="993" ht="22.5" customHeight="1">
      <c r="A993" s="12">
        <f>IFERROR(__xludf.DUMMYFUNCTION("""COMPUTED_VALUE"""),2893.0)</f>
        <v>2893</v>
      </c>
      <c r="B993" s="13">
        <f>IFERROR(__xludf.DUMMYFUNCTION("""COMPUTED_VALUE"""),45634.0)</f>
        <v>45634</v>
      </c>
      <c r="C993" s="12">
        <f>IFERROR(__xludf.DUMMYFUNCTION("""COMPUTED_VALUE"""),221.0)</f>
        <v>221</v>
      </c>
      <c r="D993" s="12">
        <f>IFERROR(__xludf.DUMMYFUNCTION("""COMPUTED_VALUE"""),15.0)</f>
        <v>15</v>
      </c>
      <c r="E993" s="12">
        <f>IFERROR(__xludf.DUMMYFUNCTION("""COMPUTED_VALUE"""),2.0)</f>
        <v>2</v>
      </c>
      <c r="F993" s="12">
        <f>IFERROR(__xludf.DUMMYFUNCTION("""COMPUTED_VALUE"""),4.0)</f>
        <v>4</v>
      </c>
      <c r="G993" s="15" t="str">
        <f>IFERROR(__xludf.DUMMYFUNCTION("""COMPUTED_VALUE"""),"Completa")</f>
        <v>Completa</v>
      </c>
      <c r="H993" s="16" t="str">
        <f t="array" ref="H993">_xlfn.XLOOKUP(D993,Productos[ID_Producto],Productos[Nombre_Producto])</f>
        <v>Medialunas</v>
      </c>
      <c r="I993" s="17">
        <f t="array" ref="I993">_xlfn.XLOOKUP(D993,Productos[ID_Producto],Productos[Precio_Unitario])</f>
        <v>3.51</v>
      </c>
      <c r="J993" s="17">
        <f t="shared" si="1"/>
        <v>7.02</v>
      </c>
      <c r="K993" s="16" t="str">
        <f t="array" ref="K993">_xlfn.XLOOKUP(C993,Clientes[ID_Cliente],Clientes[Provincia])</f>
        <v>Buenos Aires</v>
      </c>
      <c r="L993" s="16" t="str">
        <f t="array" ref="L993">CONCATENATE(_xlfn.XLOOKUP(C993,Clientes[ID_Cliente],Clientes[Provincia]),", Argentina")</f>
        <v>Buenos Aires, Argentina</v>
      </c>
      <c r="M993" s="20" t="str">
        <f t="array" ref="M993">_xlfn.XLOOKUP(F993,Metodos_De_Pago[ID_Metodo],Metodos_De_Pago[Metodo])</f>
        <v>Mercado Pago</v>
      </c>
      <c r="N993" s="20" t="str">
        <f t="shared" si="2"/>
        <v>2024 12</v>
      </c>
    </row>
    <row r="994" ht="22.5" customHeight="1">
      <c r="A994" s="12">
        <f>IFERROR(__xludf.DUMMYFUNCTION("""COMPUTED_VALUE"""),1063.0)</f>
        <v>1063</v>
      </c>
      <c r="B994" s="13">
        <f>IFERROR(__xludf.DUMMYFUNCTION("""COMPUTED_VALUE"""),45635.0)</f>
        <v>45635</v>
      </c>
      <c r="C994" s="12">
        <f>IFERROR(__xludf.DUMMYFUNCTION("""COMPUTED_VALUE"""),115.0)</f>
        <v>115</v>
      </c>
      <c r="D994" s="12">
        <f>IFERROR(__xludf.DUMMYFUNCTION("""COMPUTED_VALUE"""),21.0)</f>
        <v>21</v>
      </c>
      <c r="E994" s="12">
        <f>IFERROR(__xludf.DUMMYFUNCTION("""COMPUTED_VALUE"""),2.0)</f>
        <v>2</v>
      </c>
      <c r="F994" s="12">
        <f>IFERROR(__xludf.DUMMYFUNCTION("""COMPUTED_VALUE"""),2.0)</f>
        <v>2</v>
      </c>
      <c r="G994" s="15" t="str">
        <f>IFERROR(__xludf.DUMMYFUNCTION("""COMPUTED_VALUE"""),"Completa")</f>
        <v>Completa</v>
      </c>
      <c r="H994" s="16" t="str">
        <f t="array" ref="H994">_xlfn.XLOOKUP(D994,Productos[ID_Producto],Productos[Nombre_Producto])</f>
        <v>Zanahorias</v>
      </c>
      <c r="I994" s="17">
        <f t="array" ref="I994">_xlfn.XLOOKUP(D994,Productos[ID_Producto],Productos[Precio_Unitario])</f>
        <v>3.25</v>
      </c>
      <c r="J994" s="17">
        <f t="shared" si="1"/>
        <v>6.5</v>
      </c>
      <c r="K994" s="16" t="str">
        <f t="array" ref="K994">_xlfn.XLOOKUP(C994,Clientes[ID_Cliente],Clientes[Provincia])</f>
        <v>San Luis</v>
      </c>
      <c r="L994" s="16" t="str">
        <f t="array" ref="L994">CONCATENATE(_xlfn.XLOOKUP(C994,Clientes[ID_Cliente],Clientes[Provincia]),", Argentina")</f>
        <v>San Luis, Argentina</v>
      </c>
      <c r="M994" s="20" t="str">
        <f t="array" ref="M994">_xlfn.XLOOKUP(F994,Metodos_De_Pago[ID_Metodo],Metodos_De_Pago[Metodo])</f>
        <v>Tarjeta de Crédito</v>
      </c>
      <c r="N994" s="20" t="str">
        <f t="shared" si="2"/>
        <v>2024 12</v>
      </c>
    </row>
    <row r="995" ht="22.5" customHeight="1">
      <c r="A995" s="12">
        <f>IFERROR(__xludf.DUMMYFUNCTION("""COMPUTED_VALUE"""),2551.0)</f>
        <v>2551</v>
      </c>
      <c r="B995" s="13">
        <f>IFERROR(__xludf.DUMMYFUNCTION("""COMPUTED_VALUE"""),45635.0)</f>
        <v>45635</v>
      </c>
      <c r="C995" s="12">
        <f>IFERROR(__xludf.DUMMYFUNCTION("""COMPUTED_VALUE"""),171.0)</f>
        <v>171</v>
      </c>
      <c r="D995" s="12">
        <f>IFERROR(__xludf.DUMMYFUNCTION("""COMPUTED_VALUE"""),9.0)</f>
        <v>9</v>
      </c>
      <c r="E995" s="12">
        <f>IFERROR(__xludf.DUMMYFUNCTION("""COMPUTED_VALUE"""),2.0)</f>
        <v>2</v>
      </c>
      <c r="F995" s="12">
        <f>IFERROR(__xludf.DUMMYFUNCTION("""COMPUTED_VALUE"""),1.0)</f>
        <v>1</v>
      </c>
      <c r="G995" s="15" t="str">
        <f>IFERROR(__xludf.DUMMYFUNCTION("""COMPUTED_VALUE"""),"Completa")</f>
        <v>Completa</v>
      </c>
      <c r="H995" s="16" t="str">
        <f t="array" ref="H995">_xlfn.XLOOKUP(D995,Productos[ID_Producto],Productos[Nombre_Producto])</f>
        <v>Pollo</v>
      </c>
      <c r="I995" s="17">
        <f t="array" ref="I995">_xlfn.XLOOKUP(D995,Productos[ID_Producto],Productos[Precio_Unitario])</f>
        <v>18.56</v>
      </c>
      <c r="J995" s="17">
        <f t="shared" si="1"/>
        <v>37.12</v>
      </c>
      <c r="K995" s="16" t="str">
        <f t="array" ref="K995">_xlfn.XLOOKUP(C995,Clientes[ID_Cliente],Clientes[Provincia])</f>
        <v>San Luis</v>
      </c>
      <c r="L995" s="16" t="str">
        <f t="array" ref="L995">CONCATENATE(_xlfn.XLOOKUP(C995,Clientes[ID_Cliente],Clientes[Provincia]),", Argentina")</f>
        <v>San Luis, Argentina</v>
      </c>
      <c r="M995" s="20" t="str">
        <f t="array" ref="M995">_xlfn.XLOOKUP(F995,Metodos_De_Pago[ID_Metodo],Metodos_De_Pago[Metodo])</f>
        <v>Efectivo</v>
      </c>
      <c r="N995" s="20" t="str">
        <f t="shared" si="2"/>
        <v>2024 12</v>
      </c>
    </row>
    <row r="996" ht="22.5" customHeight="1">
      <c r="A996" s="12">
        <f>IFERROR(__xludf.DUMMYFUNCTION("""COMPUTED_VALUE"""),1284.0)</f>
        <v>1284</v>
      </c>
      <c r="B996" s="13">
        <f>IFERROR(__xludf.DUMMYFUNCTION("""COMPUTED_VALUE"""),45636.0)</f>
        <v>45636</v>
      </c>
      <c r="C996" s="12">
        <f>IFERROR(__xludf.DUMMYFUNCTION("""COMPUTED_VALUE"""),147.0)</f>
        <v>147</v>
      </c>
      <c r="D996" s="12">
        <f>IFERROR(__xludf.DUMMYFUNCTION("""COMPUTED_VALUE"""),11.0)</f>
        <v>11</v>
      </c>
      <c r="E996" s="12">
        <f>IFERROR(__xludf.DUMMYFUNCTION("""COMPUTED_VALUE"""),2.0)</f>
        <v>2</v>
      </c>
      <c r="F996" s="12">
        <f>IFERROR(__xludf.DUMMYFUNCTION("""COMPUTED_VALUE"""),5.0)</f>
        <v>5</v>
      </c>
      <c r="G996" s="15" t="str">
        <f>IFERROR(__xludf.DUMMYFUNCTION("""COMPUTED_VALUE"""),"Pendiente")</f>
        <v>Pendiente</v>
      </c>
      <c r="H996" s="16" t="str">
        <f t="array" ref="H996">_xlfn.XLOOKUP(D996,Productos[ID_Producto],Productos[Nombre_Producto])</f>
        <v>Salchicha</v>
      </c>
      <c r="I996" s="17">
        <f t="array" ref="I996">_xlfn.XLOOKUP(D996,Productos[ID_Producto],Productos[Precio_Unitario])</f>
        <v>11.23</v>
      </c>
      <c r="J996" s="17">
        <f t="shared" si="1"/>
        <v>22.46</v>
      </c>
      <c r="K996" s="16" t="str">
        <f t="array" ref="K996">_xlfn.XLOOKUP(C996,Clientes[ID_Cliente],Clientes[Provincia])</f>
        <v>San Luis</v>
      </c>
      <c r="L996" s="16" t="str">
        <f t="array" ref="L996">CONCATENATE(_xlfn.XLOOKUP(C996,Clientes[ID_Cliente],Clientes[Provincia]),", Argentina")</f>
        <v>San Luis, Argentina</v>
      </c>
      <c r="M996" s="20" t="str">
        <f t="array" ref="M996">_xlfn.XLOOKUP(F996,Metodos_De_Pago[ID_Metodo],Metodos_De_Pago[Metodo])</f>
        <v>Transferencia</v>
      </c>
      <c r="N996" s="20" t="str">
        <f t="shared" si="2"/>
        <v>2024 12</v>
      </c>
    </row>
    <row r="997" ht="22.5" customHeight="1">
      <c r="A997" s="12">
        <f>IFERROR(__xludf.DUMMYFUNCTION("""COMPUTED_VALUE"""),2320.0)</f>
        <v>2320</v>
      </c>
      <c r="B997" s="13">
        <f>IFERROR(__xludf.DUMMYFUNCTION("""COMPUTED_VALUE"""),45636.0)</f>
        <v>45636</v>
      </c>
      <c r="C997" s="12">
        <f>IFERROR(__xludf.DUMMYFUNCTION("""COMPUTED_VALUE"""),317.0)</f>
        <v>317</v>
      </c>
      <c r="D997" s="12">
        <f>IFERROR(__xludf.DUMMYFUNCTION("""COMPUTED_VALUE"""),33.0)</f>
        <v>33</v>
      </c>
      <c r="E997" s="12">
        <f>IFERROR(__xludf.DUMMYFUNCTION("""COMPUTED_VALUE"""),2.0)</f>
        <v>2</v>
      </c>
      <c r="F997" s="12">
        <f>IFERROR(__xludf.DUMMYFUNCTION("""COMPUTED_VALUE"""),1.0)</f>
        <v>1</v>
      </c>
      <c r="G997" s="15" t="str">
        <f>IFERROR(__xludf.DUMMYFUNCTION("""COMPUTED_VALUE"""),"Completa")</f>
        <v>Completa</v>
      </c>
      <c r="H997" s="16" t="str">
        <f t="array" ref="H997">_xlfn.XLOOKUP(D997,Productos[ID_Producto],Productos[Nombre_Producto])</f>
        <v>Papas chips</v>
      </c>
      <c r="I997" s="17">
        <f t="array" ref="I997">_xlfn.XLOOKUP(D997,Productos[ID_Producto],Productos[Precio_Unitario])</f>
        <v>8.54</v>
      </c>
      <c r="J997" s="17">
        <f t="shared" si="1"/>
        <v>17.08</v>
      </c>
      <c r="K997" s="16" t="str">
        <f t="array" ref="K997">_xlfn.XLOOKUP(C997,Clientes[ID_Cliente],Clientes[Provincia])</f>
        <v>Chaco</v>
      </c>
      <c r="L997" s="16" t="str">
        <f t="array" ref="L997">CONCATENATE(_xlfn.XLOOKUP(C997,Clientes[ID_Cliente],Clientes[Provincia]),", Argentina")</f>
        <v>Chaco, Argentina</v>
      </c>
      <c r="M997" s="20" t="str">
        <f t="array" ref="M997">_xlfn.XLOOKUP(F997,Metodos_De_Pago[ID_Metodo],Metodos_De_Pago[Metodo])</f>
        <v>Efectivo</v>
      </c>
      <c r="N997" s="20" t="str">
        <f t="shared" si="2"/>
        <v>2024 12</v>
      </c>
    </row>
    <row r="998" ht="22.5" customHeight="1">
      <c r="A998" s="12">
        <f>IFERROR(__xludf.DUMMYFUNCTION("""COMPUTED_VALUE"""),2756.0)</f>
        <v>2756</v>
      </c>
      <c r="B998" s="13">
        <f>IFERROR(__xludf.DUMMYFUNCTION("""COMPUTED_VALUE"""),45637.0)</f>
        <v>45637</v>
      </c>
      <c r="C998" s="12">
        <f>IFERROR(__xludf.DUMMYFUNCTION("""COMPUTED_VALUE"""),207.0)</f>
        <v>207</v>
      </c>
      <c r="D998" s="12">
        <f>IFERROR(__xludf.DUMMYFUNCTION("""COMPUTED_VALUE"""),15.0)</f>
        <v>15</v>
      </c>
      <c r="E998" s="12">
        <f>IFERROR(__xludf.DUMMYFUNCTION("""COMPUTED_VALUE"""),2.0)</f>
        <v>2</v>
      </c>
      <c r="F998" s="12">
        <f>IFERROR(__xludf.DUMMYFUNCTION("""COMPUTED_VALUE"""),2.0)</f>
        <v>2</v>
      </c>
      <c r="G998" s="15" t="str">
        <f>IFERROR(__xludf.DUMMYFUNCTION("""COMPUTED_VALUE"""),"Completa")</f>
        <v>Completa</v>
      </c>
      <c r="H998" s="16" t="str">
        <f t="array" ref="H998">_xlfn.XLOOKUP(D998,Productos[ID_Producto],Productos[Nombre_Producto])</f>
        <v>Medialunas</v>
      </c>
      <c r="I998" s="17">
        <f t="array" ref="I998">_xlfn.XLOOKUP(D998,Productos[ID_Producto],Productos[Precio_Unitario])</f>
        <v>3.51</v>
      </c>
      <c r="J998" s="17">
        <f t="shared" si="1"/>
        <v>7.02</v>
      </c>
      <c r="K998" s="16" t="str">
        <f t="array" ref="K998">_xlfn.XLOOKUP(C998,Clientes[ID_Cliente],Clientes[Provincia])</f>
        <v>Buenos Aires</v>
      </c>
      <c r="L998" s="16" t="str">
        <f t="array" ref="L998">CONCATENATE(_xlfn.XLOOKUP(C998,Clientes[ID_Cliente],Clientes[Provincia]),", Argentina")</f>
        <v>Buenos Aires, Argentina</v>
      </c>
      <c r="M998" s="20" t="str">
        <f t="array" ref="M998">_xlfn.XLOOKUP(F998,Metodos_De_Pago[ID_Metodo],Metodos_De_Pago[Metodo])</f>
        <v>Tarjeta de Crédito</v>
      </c>
      <c r="N998" s="20" t="str">
        <f t="shared" si="2"/>
        <v>2024 12</v>
      </c>
    </row>
    <row r="999" ht="22.5" customHeight="1">
      <c r="A999" s="12">
        <f>IFERROR(__xludf.DUMMYFUNCTION("""COMPUTED_VALUE"""),325.0)</f>
        <v>325</v>
      </c>
      <c r="B999" s="13">
        <f>IFERROR(__xludf.DUMMYFUNCTION("""COMPUTED_VALUE"""),45638.0)</f>
        <v>45638</v>
      </c>
      <c r="C999" s="12">
        <f>IFERROR(__xludf.DUMMYFUNCTION("""COMPUTED_VALUE"""),323.0)</f>
        <v>323</v>
      </c>
      <c r="D999" s="12">
        <f>IFERROR(__xludf.DUMMYFUNCTION("""COMPUTED_VALUE"""),3.0)</f>
        <v>3</v>
      </c>
      <c r="E999" s="12">
        <f>IFERROR(__xludf.DUMMYFUNCTION("""COMPUTED_VALUE"""),2.0)</f>
        <v>2</v>
      </c>
      <c r="F999" s="12">
        <f>IFERROR(__xludf.DUMMYFUNCTION("""COMPUTED_VALUE"""),5.0)</f>
        <v>5</v>
      </c>
      <c r="G999" s="15" t="str">
        <f>IFERROR(__xludf.DUMMYFUNCTION("""COMPUTED_VALUE"""),"Completa")</f>
        <v>Completa</v>
      </c>
      <c r="H999" s="16" t="str">
        <f t="array" ref="H999">_xlfn.XLOOKUP(D999,Productos[ID_Producto],Productos[Nombre_Producto])</f>
        <v>Queso cremoso</v>
      </c>
      <c r="I999" s="17">
        <f t="array" ref="I999">_xlfn.XLOOKUP(D999,Productos[ID_Producto],Productos[Precio_Unitario])</f>
        <v>17.23</v>
      </c>
      <c r="J999" s="17">
        <f t="shared" si="1"/>
        <v>34.46</v>
      </c>
      <c r="K999" s="16" t="str">
        <f t="array" ref="K999">_xlfn.XLOOKUP(C999,Clientes[ID_Cliente],Clientes[Provincia])</f>
        <v>Córdoba</v>
      </c>
      <c r="L999" s="16" t="str">
        <f t="array" ref="L999">CONCATENATE(_xlfn.XLOOKUP(C999,Clientes[ID_Cliente],Clientes[Provincia]),", Argentina")</f>
        <v>Córdoba, Argentina</v>
      </c>
      <c r="M999" s="20" t="str">
        <f t="array" ref="M999">_xlfn.XLOOKUP(F999,Metodos_De_Pago[ID_Metodo],Metodos_De_Pago[Metodo])</f>
        <v>Transferencia</v>
      </c>
      <c r="N999" s="20" t="str">
        <f t="shared" si="2"/>
        <v>2024 12</v>
      </c>
    </row>
    <row r="1000" ht="22.5" customHeight="1">
      <c r="A1000" s="12">
        <f>IFERROR(__xludf.DUMMYFUNCTION("""COMPUTED_VALUE"""),2486.0)</f>
        <v>2486</v>
      </c>
      <c r="B1000" s="13">
        <f>IFERROR(__xludf.DUMMYFUNCTION("""COMPUTED_VALUE"""),45638.0)</f>
        <v>45638</v>
      </c>
      <c r="C1000" s="12">
        <f>IFERROR(__xludf.DUMMYFUNCTION("""COMPUTED_VALUE"""),81.0)</f>
        <v>81</v>
      </c>
      <c r="D1000" s="12">
        <f>IFERROR(__xludf.DUMMYFUNCTION("""COMPUTED_VALUE"""),6.0)</f>
        <v>6</v>
      </c>
      <c r="E1000" s="12">
        <f>IFERROR(__xludf.DUMMYFUNCTION("""COMPUTED_VALUE"""),2.0)</f>
        <v>2</v>
      </c>
      <c r="F1000" s="12">
        <f>IFERROR(__xludf.DUMMYFUNCTION("""COMPUTED_VALUE"""),1.0)</f>
        <v>1</v>
      </c>
      <c r="G1000" s="15" t="str">
        <f>IFERROR(__xludf.DUMMYFUNCTION("""COMPUTED_VALUE"""),"Completa")</f>
        <v>Completa</v>
      </c>
      <c r="H1000" s="16" t="str">
        <f t="array" ref="H1000">_xlfn.XLOOKUP(D1000,Productos[ID_Producto],Productos[Nombre_Producto])</f>
        <v>Asado</v>
      </c>
      <c r="I1000" s="17">
        <f t="array" ref="I1000">_xlfn.XLOOKUP(D1000,Productos[ID_Producto],Productos[Precio_Unitario])</f>
        <v>28.56</v>
      </c>
      <c r="J1000" s="17">
        <f t="shared" si="1"/>
        <v>57.12</v>
      </c>
      <c r="K1000" s="16" t="str">
        <f t="array" ref="K1000">_xlfn.XLOOKUP(C1000,Clientes[ID_Cliente],Clientes[Provincia])</f>
        <v>Buenos Aires</v>
      </c>
      <c r="L1000" s="16" t="str">
        <f t="array" ref="L1000">CONCATENATE(_xlfn.XLOOKUP(C1000,Clientes[ID_Cliente],Clientes[Provincia]),", Argentina")</f>
        <v>Buenos Aires, Argentina</v>
      </c>
      <c r="M1000" s="20" t="str">
        <f t="array" ref="M1000">_xlfn.XLOOKUP(F1000,Metodos_De_Pago[ID_Metodo],Metodos_De_Pago[Metodo])</f>
        <v>Efectivo</v>
      </c>
      <c r="N1000" s="20" t="str">
        <f t="shared" si="2"/>
        <v>2024 12</v>
      </c>
    </row>
    <row r="1001" ht="22.5" customHeight="1">
      <c r="A1001" s="12">
        <f>IFERROR(__xludf.DUMMYFUNCTION("""COMPUTED_VALUE"""),2675.0)</f>
        <v>2675</v>
      </c>
      <c r="B1001" s="13">
        <f>IFERROR(__xludf.DUMMYFUNCTION("""COMPUTED_VALUE"""),45638.0)</f>
        <v>45638</v>
      </c>
      <c r="C1001" s="12">
        <f>IFERROR(__xludf.DUMMYFUNCTION("""COMPUTED_VALUE"""),285.0)</f>
        <v>285</v>
      </c>
      <c r="D1001" s="12">
        <f>IFERROR(__xludf.DUMMYFUNCTION("""COMPUTED_VALUE"""),28.0)</f>
        <v>28</v>
      </c>
      <c r="E1001" s="12">
        <f>IFERROR(__xludf.DUMMYFUNCTION("""COMPUTED_VALUE"""),2.0)</f>
        <v>2</v>
      </c>
      <c r="F1001" s="12">
        <f>IFERROR(__xludf.DUMMYFUNCTION("""COMPUTED_VALUE"""),1.0)</f>
        <v>1</v>
      </c>
      <c r="G1001" s="15" t="str">
        <f>IFERROR(__xludf.DUMMYFUNCTION("""COMPUTED_VALUE"""),"Completa")</f>
        <v>Completa</v>
      </c>
      <c r="H1001" s="16" t="str">
        <f t="array" ref="H1001">_xlfn.XLOOKUP(D1001,Productos[ID_Producto],Productos[Nombre_Producto])</f>
        <v>Jugos de frutas</v>
      </c>
      <c r="I1001" s="17">
        <f t="array" ref="I1001">_xlfn.XLOOKUP(D1001,Productos[ID_Producto],Productos[Precio_Unitario])</f>
        <v>9.45</v>
      </c>
      <c r="J1001" s="17">
        <f t="shared" si="1"/>
        <v>18.9</v>
      </c>
      <c r="K1001" s="16" t="str">
        <f t="array" ref="K1001">_xlfn.XLOOKUP(C1001,Clientes[ID_Cliente],Clientes[Provincia])</f>
        <v>Neuquén</v>
      </c>
      <c r="L1001" s="16" t="str">
        <f t="array" ref="L1001">CONCATENATE(_xlfn.XLOOKUP(C1001,Clientes[ID_Cliente],Clientes[Provincia]),", Argentina")</f>
        <v>Neuquén, Argentina</v>
      </c>
      <c r="M1001" s="20" t="str">
        <f t="array" ref="M1001">_xlfn.XLOOKUP(F1001,Metodos_De_Pago[ID_Metodo],Metodos_De_Pago[Metodo])</f>
        <v>Efectivo</v>
      </c>
      <c r="N1001" s="20" t="str">
        <f t="shared" si="2"/>
        <v>2024 12</v>
      </c>
    </row>
    <row r="1002" ht="22.5" customHeight="1">
      <c r="A1002" s="12">
        <f>IFERROR(__xludf.DUMMYFUNCTION("""COMPUTED_VALUE"""),2401.0)</f>
        <v>2401</v>
      </c>
      <c r="B1002" s="13">
        <f>IFERROR(__xludf.DUMMYFUNCTION("""COMPUTED_VALUE"""),45639.0)</f>
        <v>45639</v>
      </c>
      <c r="C1002" s="12">
        <f>IFERROR(__xludf.DUMMYFUNCTION("""COMPUTED_VALUE"""),217.0)</f>
        <v>217</v>
      </c>
      <c r="D1002" s="12">
        <f>IFERROR(__xludf.DUMMYFUNCTION("""COMPUTED_VALUE"""),35.0)</f>
        <v>35</v>
      </c>
      <c r="E1002" s="12">
        <f>IFERROR(__xludf.DUMMYFUNCTION("""COMPUTED_VALUE"""),2.0)</f>
        <v>2</v>
      </c>
      <c r="F1002" s="12">
        <f>IFERROR(__xludf.DUMMYFUNCTION("""COMPUTED_VALUE"""),2.0)</f>
        <v>2</v>
      </c>
      <c r="G1002" s="15" t="str">
        <f>IFERROR(__xludf.DUMMYFUNCTION("""COMPUTED_VALUE"""),"Completa")</f>
        <v>Completa</v>
      </c>
      <c r="H1002" s="16" t="str">
        <f t="array" ref="H1002">_xlfn.XLOOKUP(D1002,Productos[ID_Producto],Productos[Nombre_Producto])</f>
        <v>Arroz</v>
      </c>
      <c r="I1002" s="17">
        <f t="array" ref="I1002">_xlfn.XLOOKUP(D1002,Productos[ID_Producto],Productos[Precio_Unitario])</f>
        <v>4.25</v>
      </c>
      <c r="J1002" s="17">
        <f t="shared" si="1"/>
        <v>8.5</v>
      </c>
      <c r="K1002" s="16" t="str">
        <f t="array" ref="K1002">_xlfn.XLOOKUP(C1002,Clientes[ID_Cliente],Clientes[Provincia])</f>
        <v>Córdoba</v>
      </c>
      <c r="L1002" s="16" t="str">
        <f t="array" ref="L1002">CONCATENATE(_xlfn.XLOOKUP(C1002,Clientes[ID_Cliente],Clientes[Provincia]),", Argentina")</f>
        <v>Córdoba, Argentina</v>
      </c>
      <c r="M1002" s="20" t="str">
        <f t="array" ref="M1002">_xlfn.XLOOKUP(F1002,Metodos_De_Pago[ID_Metodo],Metodos_De_Pago[Metodo])</f>
        <v>Tarjeta de Crédito</v>
      </c>
      <c r="N1002" s="20" t="str">
        <f t="shared" si="2"/>
        <v>2024 12</v>
      </c>
    </row>
    <row r="1003" ht="22.5" customHeight="1">
      <c r="A1003" s="12">
        <f>IFERROR(__xludf.DUMMYFUNCTION("""COMPUTED_VALUE"""),1706.0)</f>
        <v>1706</v>
      </c>
      <c r="B1003" s="13">
        <f>IFERROR(__xludf.DUMMYFUNCTION("""COMPUTED_VALUE"""),45640.0)</f>
        <v>45640</v>
      </c>
      <c r="C1003" s="12">
        <f>IFERROR(__xludf.DUMMYFUNCTION("""COMPUTED_VALUE"""),94.0)</f>
        <v>94</v>
      </c>
      <c r="D1003" s="12">
        <f>IFERROR(__xludf.DUMMYFUNCTION("""COMPUTED_VALUE"""),23.0)</f>
        <v>23</v>
      </c>
      <c r="E1003" s="12">
        <f>IFERROR(__xludf.DUMMYFUNCTION("""COMPUTED_VALUE"""),2.0)</f>
        <v>2</v>
      </c>
      <c r="F1003" s="12">
        <f>IFERROR(__xludf.DUMMYFUNCTION("""COMPUTED_VALUE"""),5.0)</f>
        <v>5</v>
      </c>
      <c r="G1003" s="15" t="str">
        <f>IFERROR(__xludf.DUMMYFUNCTION("""COMPUTED_VALUE"""),"Completa")</f>
        <v>Completa</v>
      </c>
      <c r="H1003" s="16" t="str">
        <f t="array" ref="H1003">_xlfn.XLOOKUP(D1003,Productos[ID_Producto],Productos[Nombre_Producto])</f>
        <v>Papas fritas</v>
      </c>
      <c r="I1003" s="17">
        <f t="array" ref="I1003">_xlfn.XLOOKUP(D1003,Productos[ID_Producto],Productos[Precio_Unitario])</f>
        <v>8.23</v>
      </c>
      <c r="J1003" s="17">
        <f t="shared" si="1"/>
        <v>16.46</v>
      </c>
      <c r="K1003" s="16" t="str">
        <f t="array" ref="K1003">_xlfn.XLOOKUP(C1003,Clientes[ID_Cliente],Clientes[Provincia])</f>
        <v>Córdoba</v>
      </c>
      <c r="L1003" s="16" t="str">
        <f t="array" ref="L1003">CONCATENATE(_xlfn.XLOOKUP(C1003,Clientes[ID_Cliente],Clientes[Provincia]),", Argentina")</f>
        <v>Córdoba, Argentina</v>
      </c>
      <c r="M1003" s="20" t="str">
        <f t="array" ref="M1003">_xlfn.XLOOKUP(F1003,Metodos_De_Pago[ID_Metodo],Metodos_De_Pago[Metodo])</f>
        <v>Transferencia</v>
      </c>
      <c r="N1003" s="20" t="str">
        <f t="shared" si="2"/>
        <v>2024 12</v>
      </c>
    </row>
    <row r="1004" ht="22.5" customHeight="1">
      <c r="A1004" s="12">
        <f>IFERROR(__xludf.DUMMYFUNCTION("""COMPUTED_VALUE"""),1047.0)</f>
        <v>1047</v>
      </c>
      <c r="B1004" s="13">
        <f>IFERROR(__xludf.DUMMYFUNCTION("""COMPUTED_VALUE"""),45643.0)</f>
        <v>45643</v>
      </c>
      <c r="C1004" s="12">
        <f>IFERROR(__xludf.DUMMYFUNCTION("""COMPUTED_VALUE"""),235.0)</f>
        <v>235</v>
      </c>
      <c r="D1004" s="12">
        <f>IFERROR(__xludf.DUMMYFUNCTION("""COMPUTED_VALUE"""),7.0)</f>
        <v>7</v>
      </c>
      <c r="E1004" s="12">
        <f>IFERROR(__xludf.DUMMYFUNCTION("""COMPUTED_VALUE"""),2.0)</f>
        <v>2</v>
      </c>
      <c r="F1004" s="12">
        <f>IFERROR(__xludf.DUMMYFUNCTION("""COMPUTED_VALUE"""),4.0)</f>
        <v>4</v>
      </c>
      <c r="G1004" s="15" t="str">
        <f>IFERROR(__xludf.DUMMYFUNCTION("""COMPUTED_VALUE"""),"Pendiente")</f>
        <v>Pendiente</v>
      </c>
      <c r="H1004" s="16" t="str">
        <f t="array" ref="H1004">_xlfn.XLOOKUP(D1004,Productos[ID_Producto],Productos[Nombre_Producto])</f>
        <v>Chorizo</v>
      </c>
      <c r="I1004" s="17">
        <f t="array" ref="I1004">_xlfn.XLOOKUP(D1004,Productos[ID_Producto],Productos[Precio_Unitario])</f>
        <v>11.25</v>
      </c>
      <c r="J1004" s="17">
        <f t="shared" si="1"/>
        <v>22.5</v>
      </c>
      <c r="K1004" s="16" t="str">
        <f t="array" ref="K1004">_xlfn.XLOOKUP(C1004,Clientes[ID_Cliente],Clientes[Provincia])</f>
        <v>Chaco</v>
      </c>
      <c r="L1004" s="16" t="str">
        <f t="array" ref="L1004">CONCATENATE(_xlfn.XLOOKUP(C1004,Clientes[ID_Cliente],Clientes[Provincia]),", Argentina")</f>
        <v>Chaco, Argentina</v>
      </c>
      <c r="M1004" s="20" t="str">
        <f t="array" ref="M1004">_xlfn.XLOOKUP(F1004,Metodos_De_Pago[ID_Metodo],Metodos_De_Pago[Metodo])</f>
        <v>Mercado Pago</v>
      </c>
      <c r="N1004" s="20" t="str">
        <f t="shared" si="2"/>
        <v>2024 12</v>
      </c>
    </row>
    <row r="1005" ht="22.5" customHeight="1">
      <c r="A1005" s="12">
        <f>IFERROR(__xludf.DUMMYFUNCTION("""COMPUTED_VALUE"""),2421.0)</f>
        <v>2421</v>
      </c>
      <c r="B1005" s="13">
        <f>IFERROR(__xludf.DUMMYFUNCTION("""COMPUTED_VALUE"""),45643.0)</f>
        <v>45643</v>
      </c>
      <c r="C1005" s="12">
        <f>IFERROR(__xludf.DUMMYFUNCTION("""COMPUTED_VALUE"""),268.0)</f>
        <v>268</v>
      </c>
      <c r="D1005" s="12">
        <f>IFERROR(__xludf.DUMMYFUNCTION("""COMPUTED_VALUE"""),36.0)</f>
        <v>36</v>
      </c>
      <c r="E1005" s="12">
        <f>IFERROR(__xludf.DUMMYFUNCTION("""COMPUTED_VALUE"""),2.0)</f>
        <v>2</v>
      </c>
      <c r="F1005" s="12">
        <f>IFERROR(__xludf.DUMMYFUNCTION("""COMPUTED_VALUE"""),4.0)</f>
        <v>4</v>
      </c>
      <c r="G1005" s="15" t="str">
        <f>IFERROR(__xludf.DUMMYFUNCTION("""COMPUTED_VALUE"""),"Completa")</f>
        <v>Completa</v>
      </c>
      <c r="H1005" s="16" t="str">
        <f t="array" ref="H1005">_xlfn.XLOOKUP(D1005,Productos[ID_Producto],Productos[Nombre_Producto])</f>
        <v>Lentejas</v>
      </c>
      <c r="I1005" s="17">
        <f t="array" ref="I1005">_xlfn.XLOOKUP(D1005,Productos[ID_Producto],Productos[Precio_Unitario])</f>
        <v>3.25</v>
      </c>
      <c r="J1005" s="17">
        <f t="shared" si="1"/>
        <v>6.5</v>
      </c>
      <c r="K1005" s="16" t="str">
        <f t="array" ref="K1005">_xlfn.XLOOKUP(C1005,Clientes[ID_Cliente],Clientes[Provincia])</f>
        <v>Salta</v>
      </c>
      <c r="L1005" s="16" t="str">
        <f t="array" ref="L1005">CONCATENATE(_xlfn.XLOOKUP(C1005,Clientes[ID_Cliente],Clientes[Provincia]),", Argentina")</f>
        <v>Salta, Argentina</v>
      </c>
      <c r="M1005" s="20" t="str">
        <f t="array" ref="M1005">_xlfn.XLOOKUP(F1005,Metodos_De_Pago[ID_Metodo],Metodos_De_Pago[Metodo])</f>
        <v>Mercado Pago</v>
      </c>
      <c r="N1005" s="20" t="str">
        <f t="shared" si="2"/>
        <v>2024 12</v>
      </c>
    </row>
    <row r="1006" ht="22.5" customHeight="1">
      <c r="A1006" s="12">
        <f>IFERROR(__xludf.DUMMYFUNCTION("""COMPUTED_VALUE"""),2419.0)</f>
        <v>2419</v>
      </c>
      <c r="B1006" s="13">
        <f>IFERROR(__xludf.DUMMYFUNCTION("""COMPUTED_VALUE"""),45644.0)</f>
        <v>45644</v>
      </c>
      <c r="C1006" s="12">
        <f>IFERROR(__xludf.DUMMYFUNCTION("""COMPUTED_VALUE"""),134.0)</f>
        <v>134</v>
      </c>
      <c r="D1006" s="12">
        <f>IFERROR(__xludf.DUMMYFUNCTION("""COMPUTED_VALUE"""),5.0)</f>
        <v>5</v>
      </c>
      <c r="E1006" s="12">
        <f>IFERROR(__xludf.DUMMYFUNCTION("""COMPUTED_VALUE"""),2.0)</f>
        <v>2</v>
      </c>
      <c r="F1006" s="12">
        <f>IFERROR(__xludf.DUMMYFUNCTION("""COMPUTED_VALUE"""),4.0)</f>
        <v>4</v>
      </c>
      <c r="G1006" s="15" t="str">
        <f>IFERROR(__xludf.DUMMYFUNCTION("""COMPUTED_VALUE"""),"Completa")</f>
        <v>Completa</v>
      </c>
      <c r="H1006" s="16" t="str">
        <f t="array" ref="H1006">_xlfn.XLOOKUP(D1006,Productos[ID_Producto],Productos[Nombre_Producto])</f>
        <v>Manteca</v>
      </c>
      <c r="I1006" s="17">
        <f t="array" ref="I1006">_xlfn.XLOOKUP(D1006,Productos[ID_Producto],Productos[Precio_Unitario])</f>
        <v>5.65</v>
      </c>
      <c r="J1006" s="17">
        <f t="shared" si="1"/>
        <v>11.3</v>
      </c>
      <c r="K1006" s="16" t="str">
        <f t="array" ref="K1006">_xlfn.XLOOKUP(C1006,Clientes[ID_Cliente],Clientes[Provincia])</f>
        <v>San Luis</v>
      </c>
      <c r="L1006" s="16" t="str">
        <f t="array" ref="L1006">CONCATENATE(_xlfn.XLOOKUP(C1006,Clientes[ID_Cliente],Clientes[Provincia]),", Argentina")</f>
        <v>San Luis, Argentina</v>
      </c>
      <c r="M1006" s="20" t="str">
        <f t="array" ref="M1006">_xlfn.XLOOKUP(F1006,Metodos_De_Pago[ID_Metodo],Metodos_De_Pago[Metodo])</f>
        <v>Mercado Pago</v>
      </c>
      <c r="N1006" s="20" t="str">
        <f t="shared" si="2"/>
        <v>2024 12</v>
      </c>
    </row>
    <row r="1007" ht="22.5" customHeight="1">
      <c r="A1007" s="12">
        <f>IFERROR(__xludf.DUMMYFUNCTION("""COMPUTED_VALUE"""),914.0)</f>
        <v>914</v>
      </c>
      <c r="B1007" s="13">
        <f>IFERROR(__xludf.DUMMYFUNCTION("""COMPUTED_VALUE"""),45645.0)</f>
        <v>45645</v>
      </c>
      <c r="C1007" s="12">
        <f>IFERROR(__xludf.DUMMYFUNCTION("""COMPUTED_VALUE"""),203.0)</f>
        <v>203</v>
      </c>
      <c r="D1007" s="12">
        <f>IFERROR(__xludf.DUMMYFUNCTION("""COMPUTED_VALUE"""),16.0)</f>
        <v>16</v>
      </c>
      <c r="E1007" s="12">
        <f>IFERROR(__xludf.DUMMYFUNCTION("""COMPUTED_VALUE"""),2.0)</f>
        <v>2</v>
      </c>
      <c r="F1007" s="12">
        <f>IFERROR(__xludf.DUMMYFUNCTION("""COMPUTED_VALUE"""),4.0)</f>
        <v>4</v>
      </c>
      <c r="G1007" s="15" t="str">
        <f>IFERROR(__xludf.DUMMYFUNCTION("""COMPUTED_VALUE"""),"Pendiente")</f>
        <v>Pendiente</v>
      </c>
      <c r="H1007" s="16" t="str">
        <f t="array" ref="H1007">_xlfn.XLOOKUP(D1007,Productos[ID_Producto],Productos[Nombre_Producto])</f>
        <v>Tortas</v>
      </c>
      <c r="I1007" s="17">
        <f t="array" ref="I1007">_xlfn.XLOOKUP(D1007,Productos[ID_Producto],Productos[Precio_Unitario])</f>
        <v>15.23</v>
      </c>
      <c r="J1007" s="17">
        <f t="shared" si="1"/>
        <v>30.46</v>
      </c>
      <c r="K1007" s="16" t="str">
        <f t="array" ref="K1007">_xlfn.XLOOKUP(C1007,Clientes[ID_Cliente],Clientes[Provincia])</f>
        <v>Buenos Aires</v>
      </c>
      <c r="L1007" s="16" t="str">
        <f t="array" ref="L1007">CONCATENATE(_xlfn.XLOOKUP(C1007,Clientes[ID_Cliente],Clientes[Provincia]),", Argentina")</f>
        <v>Buenos Aires, Argentina</v>
      </c>
      <c r="M1007" s="20" t="str">
        <f t="array" ref="M1007">_xlfn.XLOOKUP(F1007,Metodos_De_Pago[ID_Metodo],Metodos_De_Pago[Metodo])</f>
        <v>Mercado Pago</v>
      </c>
      <c r="N1007" s="20" t="str">
        <f t="shared" si="2"/>
        <v>2024 12</v>
      </c>
    </row>
    <row r="1008" ht="22.5" customHeight="1">
      <c r="A1008" s="12">
        <f>IFERROR(__xludf.DUMMYFUNCTION("""COMPUTED_VALUE"""),933.0)</f>
        <v>933</v>
      </c>
      <c r="B1008" s="13">
        <f>IFERROR(__xludf.DUMMYFUNCTION("""COMPUTED_VALUE"""),45648.0)</f>
        <v>45648</v>
      </c>
      <c r="C1008" s="12">
        <f>IFERROR(__xludf.DUMMYFUNCTION("""COMPUTED_VALUE"""),260.0)</f>
        <v>260</v>
      </c>
      <c r="D1008" s="12">
        <f>IFERROR(__xludf.DUMMYFUNCTION("""COMPUTED_VALUE"""),29.0)</f>
        <v>29</v>
      </c>
      <c r="E1008" s="12">
        <f>IFERROR(__xludf.DUMMYFUNCTION("""COMPUTED_VALUE"""),2.0)</f>
        <v>2</v>
      </c>
      <c r="F1008" s="12">
        <f>IFERROR(__xludf.DUMMYFUNCTION("""COMPUTED_VALUE"""),5.0)</f>
        <v>5</v>
      </c>
      <c r="G1008" s="15" t="str">
        <f>IFERROR(__xludf.DUMMYFUNCTION("""COMPUTED_VALUE"""),"Completa")</f>
        <v>Completa</v>
      </c>
      <c r="H1008" s="16" t="str">
        <f t="array" ref="H1008">_xlfn.XLOOKUP(D1008,Productos[ID_Producto],Productos[Nombre_Producto])</f>
        <v>Cerveza</v>
      </c>
      <c r="I1008" s="17">
        <f t="array" ref="I1008">_xlfn.XLOOKUP(D1008,Productos[ID_Producto],Productos[Precio_Unitario])</f>
        <v>11.54</v>
      </c>
      <c r="J1008" s="17">
        <f t="shared" si="1"/>
        <v>23.08</v>
      </c>
      <c r="K1008" s="16" t="str">
        <f t="array" ref="K1008">_xlfn.XLOOKUP(C1008,Clientes[ID_Cliente],Clientes[Provincia])</f>
        <v>Buenos Aires</v>
      </c>
      <c r="L1008" s="16" t="str">
        <f t="array" ref="L1008">CONCATENATE(_xlfn.XLOOKUP(C1008,Clientes[ID_Cliente],Clientes[Provincia]),", Argentina")</f>
        <v>Buenos Aires, Argentina</v>
      </c>
      <c r="M1008" s="20" t="str">
        <f t="array" ref="M1008">_xlfn.XLOOKUP(F1008,Metodos_De_Pago[ID_Metodo],Metodos_De_Pago[Metodo])</f>
        <v>Transferencia</v>
      </c>
      <c r="N1008" s="20" t="str">
        <f t="shared" si="2"/>
        <v>2024 12</v>
      </c>
    </row>
    <row r="1009" ht="22.5" customHeight="1">
      <c r="A1009" s="12">
        <f>IFERROR(__xludf.DUMMYFUNCTION("""COMPUTED_VALUE"""),387.0)</f>
        <v>387</v>
      </c>
      <c r="B1009" s="13">
        <f>IFERROR(__xludf.DUMMYFUNCTION("""COMPUTED_VALUE"""),45649.0)</f>
        <v>45649</v>
      </c>
      <c r="C1009" s="12">
        <f>IFERROR(__xludf.DUMMYFUNCTION("""COMPUTED_VALUE"""),180.0)</f>
        <v>180</v>
      </c>
      <c r="D1009" s="12">
        <f>IFERROR(__xludf.DUMMYFUNCTION("""COMPUTED_VALUE"""),17.0)</f>
        <v>17</v>
      </c>
      <c r="E1009" s="12">
        <f>IFERROR(__xludf.DUMMYFUNCTION("""COMPUTED_VALUE"""),2.0)</f>
        <v>2</v>
      </c>
      <c r="F1009" s="12">
        <f>IFERROR(__xludf.DUMMYFUNCTION("""COMPUTED_VALUE"""),3.0)</f>
        <v>3</v>
      </c>
      <c r="G1009" s="15" t="str">
        <f>IFERROR(__xludf.DUMMYFUNCTION("""COMPUTED_VALUE"""),"Completa")</f>
        <v>Completa</v>
      </c>
      <c r="H1009" s="16" t="str">
        <f t="array" ref="H1009">_xlfn.XLOOKUP(D1009,Productos[ID_Producto],Productos[Nombre_Producto])</f>
        <v>Manzanas</v>
      </c>
      <c r="I1009" s="17">
        <f t="array" ref="I1009">_xlfn.XLOOKUP(D1009,Productos[ID_Producto],Productos[Precio_Unitario])</f>
        <v>6.54</v>
      </c>
      <c r="J1009" s="17">
        <f t="shared" si="1"/>
        <v>13.08</v>
      </c>
      <c r="K1009" s="16" t="str">
        <f t="array" ref="K1009">_xlfn.XLOOKUP(C1009,Clientes[ID_Cliente],Clientes[Provincia])</f>
        <v>Buenos Aires</v>
      </c>
      <c r="L1009" s="16" t="str">
        <f t="array" ref="L1009">CONCATENATE(_xlfn.XLOOKUP(C1009,Clientes[ID_Cliente],Clientes[Provincia]),", Argentina")</f>
        <v>Buenos Aires, Argentina</v>
      </c>
      <c r="M1009" s="20" t="str">
        <f t="array" ref="M1009">_xlfn.XLOOKUP(F1009,Metodos_De_Pago[ID_Metodo],Metodos_De_Pago[Metodo])</f>
        <v>Tarjeta de Débito</v>
      </c>
      <c r="N1009" s="20" t="str">
        <f t="shared" si="2"/>
        <v>2024 12</v>
      </c>
    </row>
    <row r="1010" ht="22.5" customHeight="1">
      <c r="A1010" s="12">
        <f>IFERROR(__xludf.DUMMYFUNCTION("""COMPUTED_VALUE"""),456.0)</f>
        <v>456</v>
      </c>
      <c r="B1010" s="13">
        <f>IFERROR(__xludf.DUMMYFUNCTION("""COMPUTED_VALUE"""),45650.0)</f>
        <v>45650</v>
      </c>
      <c r="C1010" s="12">
        <f>IFERROR(__xludf.DUMMYFUNCTION("""COMPUTED_VALUE"""),105.0)</f>
        <v>105</v>
      </c>
      <c r="D1010" s="12">
        <f>IFERROR(__xludf.DUMMYFUNCTION("""COMPUTED_VALUE"""),4.0)</f>
        <v>4</v>
      </c>
      <c r="E1010" s="12">
        <f>IFERROR(__xludf.DUMMYFUNCTION("""COMPUTED_VALUE"""),2.0)</f>
        <v>2</v>
      </c>
      <c r="F1010" s="12">
        <f>IFERROR(__xludf.DUMMYFUNCTION("""COMPUTED_VALUE"""),3.0)</f>
        <v>3</v>
      </c>
      <c r="G1010" s="15" t="str">
        <f>IFERROR(__xludf.DUMMYFUNCTION("""COMPUTED_VALUE"""),"Completa")</f>
        <v>Completa</v>
      </c>
      <c r="H1010" s="16" t="str">
        <f t="array" ref="H1010">_xlfn.XLOOKUP(D1010,Productos[ID_Producto],Productos[Nombre_Producto])</f>
        <v>Queso rallado</v>
      </c>
      <c r="I1010" s="17">
        <f t="array" ref="I1010">_xlfn.XLOOKUP(D1010,Productos[ID_Producto],Productos[Precio_Unitario])</f>
        <v>19.23</v>
      </c>
      <c r="J1010" s="17">
        <f t="shared" si="1"/>
        <v>38.46</v>
      </c>
      <c r="K1010" s="16" t="str">
        <f t="array" ref="K1010">_xlfn.XLOOKUP(C1010,Clientes[ID_Cliente],Clientes[Provincia])</f>
        <v>Buenos Aires</v>
      </c>
      <c r="L1010" s="16" t="str">
        <f t="array" ref="L1010">CONCATENATE(_xlfn.XLOOKUP(C1010,Clientes[ID_Cliente],Clientes[Provincia]),", Argentina")</f>
        <v>Buenos Aires, Argentina</v>
      </c>
      <c r="M1010" s="20" t="str">
        <f t="array" ref="M1010">_xlfn.XLOOKUP(F1010,Metodos_De_Pago[ID_Metodo],Metodos_De_Pago[Metodo])</f>
        <v>Tarjeta de Débito</v>
      </c>
      <c r="N1010" s="20" t="str">
        <f t="shared" si="2"/>
        <v>2024 12</v>
      </c>
    </row>
    <row r="1011" ht="22.5" customHeight="1">
      <c r="A1011" s="12">
        <f>IFERROR(__xludf.DUMMYFUNCTION("""COMPUTED_VALUE"""),1065.0)</f>
        <v>1065</v>
      </c>
      <c r="B1011" s="13">
        <f>IFERROR(__xludf.DUMMYFUNCTION("""COMPUTED_VALUE"""),45650.0)</f>
        <v>45650</v>
      </c>
      <c r="C1011" s="12">
        <f>IFERROR(__xludf.DUMMYFUNCTION("""COMPUTED_VALUE"""),124.0)</f>
        <v>124</v>
      </c>
      <c r="D1011" s="12">
        <f>IFERROR(__xludf.DUMMYFUNCTION("""COMPUTED_VALUE"""),38.0)</f>
        <v>38</v>
      </c>
      <c r="E1011" s="12">
        <f>IFERROR(__xludf.DUMMYFUNCTION("""COMPUTED_VALUE"""),2.0)</f>
        <v>2</v>
      </c>
      <c r="F1011" s="12">
        <f>IFERROR(__xludf.DUMMYFUNCTION("""COMPUTED_VALUE"""),5.0)</f>
        <v>5</v>
      </c>
      <c r="G1011" s="15" t="str">
        <f>IFERROR(__xludf.DUMMYFUNCTION("""COMPUTED_VALUE"""),"Completa")</f>
        <v>Completa</v>
      </c>
      <c r="H1011" s="16" t="str">
        <f t="array" ref="H1011">_xlfn.XLOOKUP(D1011,Productos[ID_Producto],Productos[Nombre_Producto])</f>
        <v>Atún enlatado</v>
      </c>
      <c r="I1011" s="17">
        <f t="array" ref="I1011">_xlfn.XLOOKUP(D1011,Productos[ID_Producto],Productos[Precio_Unitario])</f>
        <v>6.21</v>
      </c>
      <c r="J1011" s="17">
        <f t="shared" si="1"/>
        <v>12.42</v>
      </c>
      <c r="K1011" s="16" t="str">
        <f t="array" ref="K1011">_xlfn.XLOOKUP(C1011,Clientes[ID_Cliente],Clientes[Provincia])</f>
        <v>Chaco</v>
      </c>
      <c r="L1011" s="16" t="str">
        <f t="array" ref="L1011">CONCATENATE(_xlfn.XLOOKUP(C1011,Clientes[ID_Cliente],Clientes[Provincia]),", Argentina")</f>
        <v>Chaco, Argentina</v>
      </c>
      <c r="M1011" s="20" t="str">
        <f t="array" ref="M1011">_xlfn.XLOOKUP(F1011,Metodos_De_Pago[ID_Metodo],Metodos_De_Pago[Metodo])</f>
        <v>Transferencia</v>
      </c>
      <c r="N1011" s="20" t="str">
        <f t="shared" si="2"/>
        <v>2024 12</v>
      </c>
    </row>
    <row r="1012" ht="22.5" customHeight="1">
      <c r="A1012" s="12">
        <f>IFERROR(__xludf.DUMMYFUNCTION("""COMPUTED_VALUE"""),2219.0)</f>
        <v>2219</v>
      </c>
      <c r="B1012" s="13">
        <f>IFERROR(__xludf.DUMMYFUNCTION("""COMPUTED_VALUE"""),45650.0)</f>
        <v>45650</v>
      </c>
      <c r="C1012" s="12">
        <f>IFERROR(__xludf.DUMMYFUNCTION("""COMPUTED_VALUE"""),79.0)</f>
        <v>79</v>
      </c>
      <c r="D1012" s="12">
        <f>IFERROR(__xludf.DUMMYFUNCTION("""COMPUTED_VALUE"""),38.0)</f>
        <v>38</v>
      </c>
      <c r="E1012" s="12">
        <f>IFERROR(__xludf.DUMMYFUNCTION("""COMPUTED_VALUE"""),2.0)</f>
        <v>2</v>
      </c>
      <c r="F1012" s="12">
        <f>IFERROR(__xludf.DUMMYFUNCTION("""COMPUTED_VALUE"""),4.0)</f>
        <v>4</v>
      </c>
      <c r="G1012" s="15" t="str">
        <f>IFERROR(__xludf.DUMMYFUNCTION("""COMPUTED_VALUE"""),"Pendiente")</f>
        <v>Pendiente</v>
      </c>
      <c r="H1012" s="16" t="str">
        <f t="array" ref="H1012">_xlfn.XLOOKUP(D1012,Productos[ID_Producto],Productos[Nombre_Producto])</f>
        <v>Atún enlatado</v>
      </c>
      <c r="I1012" s="17">
        <f t="array" ref="I1012">_xlfn.XLOOKUP(D1012,Productos[ID_Producto],Productos[Precio_Unitario])</f>
        <v>6.21</v>
      </c>
      <c r="J1012" s="17">
        <f t="shared" si="1"/>
        <v>12.42</v>
      </c>
      <c r="K1012" s="16" t="str">
        <f t="array" ref="K1012">_xlfn.XLOOKUP(C1012,Clientes[ID_Cliente],Clientes[Provincia])</f>
        <v>Neuquén</v>
      </c>
      <c r="L1012" s="16" t="str">
        <f t="array" ref="L1012">CONCATENATE(_xlfn.XLOOKUP(C1012,Clientes[ID_Cliente],Clientes[Provincia]),", Argentina")</f>
        <v>Neuquén, Argentina</v>
      </c>
      <c r="M1012" s="20" t="str">
        <f t="array" ref="M1012">_xlfn.XLOOKUP(F1012,Metodos_De_Pago[ID_Metodo],Metodos_De_Pago[Metodo])</f>
        <v>Mercado Pago</v>
      </c>
      <c r="N1012" s="20" t="str">
        <f t="shared" si="2"/>
        <v>2024 12</v>
      </c>
    </row>
    <row r="1013" ht="22.5" customHeight="1">
      <c r="A1013" s="12">
        <f>IFERROR(__xludf.DUMMYFUNCTION("""COMPUTED_VALUE"""),1506.0)</f>
        <v>1506</v>
      </c>
      <c r="B1013" s="13">
        <f>IFERROR(__xludf.DUMMYFUNCTION("""COMPUTED_VALUE"""),45651.0)</f>
        <v>45651</v>
      </c>
      <c r="C1013" s="12">
        <f>IFERROR(__xludf.DUMMYFUNCTION("""COMPUTED_VALUE"""),144.0)</f>
        <v>144</v>
      </c>
      <c r="D1013" s="12">
        <f>IFERROR(__xludf.DUMMYFUNCTION("""COMPUTED_VALUE"""),8.0)</f>
        <v>8</v>
      </c>
      <c r="E1013" s="12">
        <f>IFERROR(__xludf.DUMMYFUNCTION("""COMPUTED_VALUE"""),2.0)</f>
        <v>2</v>
      </c>
      <c r="F1013" s="12">
        <f>IFERROR(__xludf.DUMMYFUNCTION("""COMPUTED_VALUE"""),5.0)</f>
        <v>5</v>
      </c>
      <c r="G1013" s="15" t="str">
        <f>IFERROR(__xludf.DUMMYFUNCTION("""COMPUTED_VALUE"""),"Completa")</f>
        <v>Completa</v>
      </c>
      <c r="H1013" s="16" t="str">
        <f t="array" ref="H1013">_xlfn.XLOOKUP(D1013,Productos[ID_Producto],Productos[Nombre_Producto])</f>
        <v>Milanesa</v>
      </c>
      <c r="I1013" s="17">
        <f t="array" ref="I1013">_xlfn.XLOOKUP(D1013,Productos[ID_Producto],Productos[Precio_Unitario])</f>
        <v>16.21</v>
      </c>
      <c r="J1013" s="17">
        <f t="shared" si="1"/>
        <v>32.42</v>
      </c>
      <c r="K1013" s="16" t="str">
        <f t="array" ref="K1013">_xlfn.XLOOKUP(C1013,Clientes[ID_Cliente],Clientes[Provincia])</f>
        <v>Chaco</v>
      </c>
      <c r="L1013" s="16" t="str">
        <f t="array" ref="L1013">CONCATENATE(_xlfn.XLOOKUP(C1013,Clientes[ID_Cliente],Clientes[Provincia]),", Argentina")</f>
        <v>Chaco, Argentina</v>
      </c>
      <c r="M1013" s="20" t="str">
        <f t="array" ref="M1013">_xlfn.XLOOKUP(F1013,Metodos_De_Pago[ID_Metodo],Metodos_De_Pago[Metodo])</f>
        <v>Transferencia</v>
      </c>
      <c r="N1013" s="20" t="str">
        <f t="shared" si="2"/>
        <v>2024 12</v>
      </c>
    </row>
    <row r="1014" ht="22.5" customHeight="1">
      <c r="A1014" s="12">
        <f>IFERROR(__xludf.DUMMYFUNCTION("""COMPUTED_VALUE"""),1487.0)</f>
        <v>1487</v>
      </c>
      <c r="B1014" s="13">
        <f>IFERROR(__xludf.DUMMYFUNCTION("""COMPUTED_VALUE"""),45652.0)</f>
        <v>45652</v>
      </c>
      <c r="C1014" s="12">
        <f>IFERROR(__xludf.DUMMYFUNCTION("""COMPUTED_VALUE"""),79.0)</f>
        <v>79</v>
      </c>
      <c r="D1014" s="12">
        <f>IFERROR(__xludf.DUMMYFUNCTION("""COMPUTED_VALUE"""),11.0)</f>
        <v>11</v>
      </c>
      <c r="E1014" s="12">
        <f>IFERROR(__xludf.DUMMYFUNCTION("""COMPUTED_VALUE"""),2.0)</f>
        <v>2</v>
      </c>
      <c r="F1014" s="12">
        <f>IFERROR(__xludf.DUMMYFUNCTION("""COMPUTED_VALUE"""),1.0)</f>
        <v>1</v>
      </c>
      <c r="G1014" s="15" t="str">
        <f>IFERROR(__xludf.DUMMYFUNCTION("""COMPUTED_VALUE"""),"Pendiente")</f>
        <v>Pendiente</v>
      </c>
      <c r="H1014" s="16" t="str">
        <f t="array" ref="H1014">_xlfn.XLOOKUP(D1014,Productos[ID_Producto],Productos[Nombre_Producto])</f>
        <v>Salchicha</v>
      </c>
      <c r="I1014" s="17">
        <f t="array" ref="I1014">_xlfn.XLOOKUP(D1014,Productos[ID_Producto],Productos[Precio_Unitario])</f>
        <v>11.23</v>
      </c>
      <c r="J1014" s="17">
        <f t="shared" si="1"/>
        <v>22.46</v>
      </c>
      <c r="K1014" s="16" t="str">
        <f t="array" ref="K1014">_xlfn.XLOOKUP(C1014,Clientes[ID_Cliente],Clientes[Provincia])</f>
        <v>Neuquén</v>
      </c>
      <c r="L1014" s="16" t="str">
        <f t="array" ref="L1014">CONCATENATE(_xlfn.XLOOKUP(C1014,Clientes[ID_Cliente],Clientes[Provincia]),", Argentina")</f>
        <v>Neuquén, Argentina</v>
      </c>
      <c r="M1014" s="20" t="str">
        <f t="array" ref="M1014">_xlfn.XLOOKUP(F1014,Metodos_De_Pago[ID_Metodo],Metodos_De_Pago[Metodo])</f>
        <v>Efectivo</v>
      </c>
      <c r="N1014" s="20" t="str">
        <f t="shared" si="2"/>
        <v>2024 12</v>
      </c>
    </row>
    <row r="1015" ht="22.5" customHeight="1">
      <c r="A1015" s="12">
        <f>IFERROR(__xludf.DUMMYFUNCTION("""COMPUTED_VALUE"""),1202.0)</f>
        <v>1202</v>
      </c>
      <c r="B1015" s="13">
        <f>IFERROR(__xludf.DUMMYFUNCTION("""COMPUTED_VALUE"""),45654.0)</f>
        <v>45654</v>
      </c>
      <c r="C1015" s="12">
        <f>IFERROR(__xludf.DUMMYFUNCTION("""COMPUTED_VALUE"""),45.0)</f>
        <v>45</v>
      </c>
      <c r="D1015" s="12">
        <f>IFERROR(__xludf.DUMMYFUNCTION("""COMPUTED_VALUE"""),8.0)</f>
        <v>8</v>
      </c>
      <c r="E1015" s="12">
        <f>IFERROR(__xludf.DUMMYFUNCTION("""COMPUTED_VALUE"""),2.0)</f>
        <v>2</v>
      </c>
      <c r="F1015" s="12">
        <f>IFERROR(__xludf.DUMMYFUNCTION("""COMPUTED_VALUE"""),4.0)</f>
        <v>4</v>
      </c>
      <c r="G1015" s="15" t="str">
        <f>IFERROR(__xludf.DUMMYFUNCTION("""COMPUTED_VALUE"""),"Completa")</f>
        <v>Completa</v>
      </c>
      <c r="H1015" s="16" t="str">
        <f t="array" ref="H1015">_xlfn.XLOOKUP(D1015,Productos[ID_Producto],Productos[Nombre_Producto])</f>
        <v>Milanesa</v>
      </c>
      <c r="I1015" s="17">
        <f t="array" ref="I1015">_xlfn.XLOOKUP(D1015,Productos[ID_Producto],Productos[Precio_Unitario])</f>
        <v>16.21</v>
      </c>
      <c r="J1015" s="17">
        <f t="shared" si="1"/>
        <v>32.42</v>
      </c>
      <c r="K1015" s="16" t="str">
        <f t="array" ref="K1015">_xlfn.XLOOKUP(C1015,Clientes[ID_Cliente],Clientes[Provincia])</f>
        <v>Buenos Aires</v>
      </c>
      <c r="L1015" s="16" t="str">
        <f t="array" ref="L1015">CONCATENATE(_xlfn.XLOOKUP(C1015,Clientes[ID_Cliente],Clientes[Provincia]),", Argentina")</f>
        <v>Buenos Aires, Argentina</v>
      </c>
      <c r="M1015" s="20" t="str">
        <f t="array" ref="M1015">_xlfn.XLOOKUP(F1015,Metodos_De_Pago[ID_Metodo],Metodos_De_Pago[Metodo])</f>
        <v>Mercado Pago</v>
      </c>
      <c r="N1015" s="20" t="str">
        <f t="shared" si="2"/>
        <v>2024 12</v>
      </c>
    </row>
    <row r="1016" ht="22.5" customHeight="1">
      <c r="A1016" s="12">
        <f>IFERROR(__xludf.DUMMYFUNCTION("""COMPUTED_VALUE"""),1365.0)</f>
        <v>1365</v>
      </c>
      <c r="B1016" s="13">
        <f>IFERROR(__xludf.DUMMYFUNCTION("""COMPUTED_VALUE"""),45654.0)</f>
        <v>45654</v>
      </c>
      <c r="C1016" s="12">
        <f>IFERROR(__xludf.DUMMYFUNCTION("""COMPUTED_VALUE"""),176.0)</f>
        <v>176</v>
      </c>
      <c r="D1016" s="12">
        <f>IFERROR(__xludf.DUMMYFUNCTION("""COMPUTED_VALUE"""),31.0)</f>
        <v>31</v>
      </c>
      <c r="E1016" s="12">
        <f>IFERROR(__xludf.DUMMYFUNCTION("""COMPUTED_VALUE"""),2.0)</f>
        <v>2</v>
      </c>
      <c r="F1016" s="12">
        <f>IFERROR(__xludf.DUMMYFUNCTION("""COMPUTED_VALUE"""),4.0)</f>
        <v>4</v>
      </c>
      <c r="G1016" s="15" t="str">
        <f>IFERROR(__xludf.DUMMYFUNCTION("""COMPUTED_VALUE"""),"Completa")</f>
        <v>Completa</v>
      </c>
      <c r="H1016" s="16" t="str">
        <f t="array" ref="H1016">_xlfn.XLOOKUP(D1016,Productos[ID_Producto],Productos[Nombre_Producto])</f>
        <v>Galletitas de agua</v>
      </c>
      <c r="I1016" s="17">
        <f t="array" ref="I1016">_xlfn.XLOOKUP(D1016,Productos[ID_Producto],Productos[Precio_Unitario])</f>
        <v>5.24</v>
      </c>
      <c r="J1016" s="17">
        <f t="shared" si="1"/>
        <v>10.48</v>
      </c>
      <c r="K1016" s="16" t="str">
        <f t="array" ref="K1016">_xlfn.XLOOKUP(C1016,Clientes[ID_Cliente],Clientes[Provincia])</f>
        <v>Chaco</v>
      </c>
      <c r="L1016" s="16" t="str">
        <f t="array" ref="L1016">CONCATENATE(_xlfn.XLOOKUP(C1016,Clientes[ID_Cliente],Clientes[Provincia]),", Argentina")</f>
        <v>Chaco, Argentina</v>
      </c>
      <c r="M1016" s="20" t="str">
        <f t="array" ref="M1016">_xlfn.XLOOKUP(F1016,Metodos_De_Pago[ID_Metodo],Metodos_De_Pago[Metodo])</f>
        <v>Mercado Pago</v>
      </c>
      <c r="N1016" s="20" t="str">
        <f t="shared" si="2"/>
        <v>2024 12</v>
      </c>
    </row>
    <row r="1017" ht="22.5" customHeight="1">
      <c r="A1017" s="12">
        <f>IFERROR(__xludf.DUMMYFUNCTION("""COMPUTED_VALUE"""),2782.0)</f>
        <v>2782</v>
      </c>
      <c r="B1017" s="13">
        <f>IFERROR(__xludf.DUMMYFUNCTION("""COMPUTED_VALUE"""),45654.0)</f>
        <v>45654</v>
      </c>
      <c r="C1017" s="12">
        <f>IFERROR(__xludf.DUMMYFUNCTION("""COMPUTED_VALUE"""),119.0)</f>
        <v>119</v>
      </c>
      <c r="D1017" s="12">
        <f>IFERROR(__xludf.DUMMYFUNCTION("""COMPUTED_VALUE"""),27.0)</f>
        <v>27</v>
      </c>
      <c r="E1017" s="12">
        <f>IFERROR(__xludf.DUMMYFUNCTION("""COMPUTED_VALUE"""),2.0)</f>
        <v>2</v>
      </c>
      <c r="F1017" s="12">
        <f>IFERROR(__xludf.DUMMYFUNCTION("""COMPUTED_VALUE"""),4.0)</f>
        <v>4</v>
      </c>
      <c r="G1017" s="15" t="str">
        <f>IFERROR(__xludf.DUMMYFUNCTION("""COMPUTED_VALUE"""),"Completa")</f>
        <v>Completa</v>
      </c>
      <c r="H1017" s="16" t="str">
        <f t="array" ref="H1017">_xlfn.XLOOKUP(D1017,Productos[ID_Producto],Productos[Nombre_Producto])</f>
        <v>Agua mineral</v>
      </c>
      <c r="I1017" s="17">
        <f t="array" ref="I1017">_xlfn.XLOOKUP(D1017,Productos[ID_Producto],Productos[Precio_Unitario])</f>
        <v>6.21</v>
      </c>
      <c r="J1017" s="17">
        <f t="shared" si="1"/>
        <v>12.42</v>
      </c>
      <c r="K1017" s="16" t="str">
        <f t="array" ref="K1017">_xlfn.XLOOKUP(C1017,Clientes[ID_Cliente],Clientes[Provincia])</f>
        <v>Neuquén</v>
      </c>
      <c r="L1017" s="16" t="str">
        <f t="array" ref="L1017">CONCATENATE(_xlfn.XLOOKUP(C1017,Clientes[ID_Cliente],Clientes[Provincia]),", Argentina")</f>
        <v>Neuquén, Argentina</v>
      </c>
      <c r="M1017" s="20" t="str">
        <f t="array" ref="M1017">_xlfn.XLOOKUP(F1017,Metodos_De_Pago[ID_Metodo],Metodos_De_Pago[Metodo])</f>
        <v>Mercado Pago</v>
      </c>
      <c r="N1017" s="20" t="str">
        <f t="shared" si="2"/>
        <v>2024 12</v>
      </c>
    </row>
    <row r="1018" ht="22.5" customHeight="1">
      <c r="A1018" s="12">
        <f>IFERROR(__xludf.DUMMYFUNCTION("""COMPUTED_VALUE"""),721.0)</f>
        <v>721</v>
      </c>
      <c r="B1018" s="13">
        <f>IFERROR(__xludf.DUMMYFUNCTION("""COMPUTED_VALUE"""),45655.0)</f>
        <v>45655</v>
      </c>
      <c r="C1018" s="12">
        <f>IFERROR(__xludf.DUMMYFUNCTION("""COMPUTED_VALUE"""),148.0)</f>
        <v>148</v>
      </c>
      <c r="D1018" s="12">
        <f>IFERROR(__xludf.DUMMYFUNCTION("""COMPUTED_VALUE"""),16.0)</f>
        <v>16</v>
      </c>
      <c r="E1018" s="12">
        <f>IFERROR(__xludf.DUMMYFUNCTION("""COMPUTED_VALUE"""),2.0)</f>
        <v>2</v>
      </c>
      <c r="F1018" s="12">
        <f>IFERROR(__xludf.DUMMYFUNCTION("""COMPUTED_VALUE"""),2.0)</f>
        <v>2</v>
      </c>
      <c r="G1018" s="15" t="str">
        <f>IFERROR(__xludf.DUMMYFUNCTION("""COMPUTED_VALUE"""),"Completa")</f>
        <v>Completa</v>
      </c>
      <c r="H1018" s="16" t="str">
        <f t="array" ref="H1018">_xlfn.XLOOKUP(D1018,Productos[ID_Producto],Productos[Nombre_Producto])</f>
        <v>Tortas</v>
      </c>
      <c r="I1018" s="17">
        <f t="array" ref="I1018">_xlfn.XLOOKUP(D1018,Productos[ID_Producto],Productos[Precio_Unitario])</f>
        <v>15.23</v>
      </c>
      <c r="J1018" s="17">
        <f t="shared" si="1"/>
        <v>30.46</v>
      </c>
      <c r="K1018" s="16" t="str">
        <f t="array" ref="K1018">_xlfn.XLOOKUP(C1018,Clientes[ID_Cliente],Clientes[Provincia])</f>
        <v>Córdoba</v>
      </c>
      <c r="L1018" s="16" t="str">
        <f t="array" ref="L1018">CONCATENATE(_xlfn.XLOOKUP(C1018,Clientes[ID_Cliente],Clientes[Provincia]),", Argentina")</f>
        <v>Córdoba, Argentina</v>
      </c>
      <c r="M1018" s="20" t="str">
        <f t="array" ref="M1018">_xlfn.XLOOKUP(F1018,Metodos_De_Pago[ID_Metodo],Metodos_De_Pago[Metodo])</f>
        <v>Tarjeta de Crédito</v>
      </c>
      <c r="N1018" s="20" t="str">
        <f t="shared" si="2"/>
        <v>2024 12</v>
      </c>
    </row>
    <row r="1019" ht="22.5" customHeight="1">
      <c r="A1019" s="12">
        <f>IFERROR(__xludf.DUMMYFUNCTION("""COMPUTED_VALUE"""),2147.0)</f>
        <v>2147</v>
      </c>
      <c r="B1019" s="13">
        <f>IFERROR(__xludf.DUMMYFUNCTION("""COMPUTED_VALUE"""),45656.0)</f>
        <v>45656</v>
      </c>
      <c r="C1019" s="12">
        <f>IFERROR(__xludf.DUMMYFUNCTION("""COMPUTED_VALUE"""),231.0)</f>
        <v>231</v>
      </c>
      <c r="D1019" s="12">
        <f>IFERROR(__xludf.DUMMYFUNCTION("""COMPUTED_VALUE"""),22.0)</f>
        <v>22</v>
      </c>
      <c r="E1019" s="12">
        <f>IFERROR(__xludf.DUMMYFUNCTION("""COMPUTED_VALUE"""),2.0)</f>
        <v>2</v>
      </c>
      <c r="F1019" s="12">
        <f>IFERROR(__xludf.DUMMYFUNCTION("""COMPUTED_VALUE"""),1.0)</f>
        <v>1</v>
      </c>
      <c r="G1019" s="15" t="str">
        <f>IFERROR(__xludf.DUMMYFUNCTION("""COMPUTED_VALUE"""),"Pendiente")</f>
        <v>Pendiente</v>
      </c>
      <c r="H1019" s="16" t="str">
        <f t="array" ref="H1019">_xlfn.XLOOKUP(D1019,Productos[ID_Producto],Productos[Nombre_Producto])</f>
        <v>Cebolla</v>
      </c>
      <c r="I1019" s="17">
        <f t="array" ref="I1019">_xlfn.XLOOKUP(D1019,Productos[ID_Producto],Productos[Precio_Unitario])</f>
        <v>4.21</v>
      </c>
      <c r="J1019" s="17">
        <f t="shared" si="1"/>
        <v>8.42</v>
      </c>
      <c r="K1019" s="16" t="str">
        <f t="array" ref="K1019">_xlfn.XLOOKUP(C1019,Clientes[ID_Cliente],Clientes[Provincia])</f>
        <v>Neuquén</v>
      </c>
      <c r="L1019" s="16" t="str">
        <f t="array" ref="L1019">CONCATENATE(_xlfn.XLOOKUP(C1019,Clientes[ID_Cliente],Clientes[Provincia]),", Argentina")</f>
        <v>Neuquén, Argentina</v>
      </c>
      <c r="M1019" s="20" t="str">
        <f t="array" ref="M1019">_xlfn.XLOOKUP(F1019,Metodos_De_Pago[ID_Metodo],Metodos_De_Pago[Metodo])</f>
        <v>Efectivo</v>
      </c>
      <c r="N1019" s="20" t="str">
        <f t="shared" si="2"/>
        <v>2024 12</v>
      </c>
    </row>
    <row r="1020" ht="22.5" customHeight="1">
      <c r="A1020" s="12">
        <f>IFERROR(__xludf.DUMMYFUNCTION("""COMPUTED_VALUE"""),1317.0)</f>
        <v>1317</v>
      </c>
      <c r="B1020" s="13">
        <f>IFERROR(__xludf.DUMMYFUNCTION("""COMPUTED_VALUE"""),45322.0)</f>
        <v>45322</v>
      </c>
      <c r="C1020" s="12">
        <f>IFERROR(__xludf.DUMMYFUNCTION("""COMPUTED_VALUE"""),235.0)</f>
        <v>235</v>
      </c>
      <c r="D1020" s="12">
        <f>IFERROR(__xludf.DUMMYFUNCTION("""COMPUTED_VALUE"""),25.0)</f>
        <v>25</v>
      </c>
      <c r="E1020" s="12">
        <f>IFERROR(__xludf.DUMMYFUNCTION("""COMPUTED_VALUE"""),3.0)</f>
        <v>3</v>
      </c>
      <c r="F1020" s="12">
        <f>IFERROR(__xludf.DUMMYFUNCTION("""COMPUTED_VALUE"""),3.0)</f>
        <v>3</v>
      </c>
      <c r="G1020" s="15" t="str">
        <f>IFERROR(__xludf.DUMMYFUNCTION("""COMPUTED_VALUE"""),"Completa")</f>
        <v>Completa</v>
      </c>
      <c r="H1020" s="16" t="str">
        <f t="array" ref="H1020">_xlfn.XLOOKUP(D1020,Productos[ID_Producto],Productos[Nombre_Producto])</f>
        <v>Pizza congelada</v>
      </c>
      <c r="I1020" s="17">
        <f t="array" ref="I1020">_xlfn.XLOOKUP(D1020,Productos[ID_Producto],Productos[Precio_Unitario])</f>
        <v>15.45</v>
      </c>
      <c r="J1020" s="17">
        <f t="shared" si="1"/>
        <v>46.35</v>
      </c>
      <c r="K1020" s="16" t="str">
        <f t="array" ref="K1020">_xlfn.XLOOKUP(C1020,Clientes[ID_Cliente],Clientes[Provincia])</f>
        <v>Chaco</v>
      </c>
      <c r="L1020" s="16" t="str">
        <f t="array" ref="L1020">CONCATENATE(_xlfn.XLOOKUP(C1020,Clientes[ID_Cliente],Clientes[Provincia]),", Argentina")</f>
        <v>Chaco, Argentina</v>
      </c>
      <c r="M1020" s="20" t="str">
        <f t="array" ref="M1020">_xlfn.XLOOKUP(F1020,Metodos_De_Pago[ID_Metodo],Metodos_De_Pago[Metodo])</f>
        <v>Tarjeta de Débito</v>
      </c>
      <c r="N1020" s="20" t="str">
        <f t="shared" si="2"/>
        <v>2024 01</v>
      </c>
    </row>
    <row r="1021" ht="22.5" customHeight="1">
      <c r="A1021" s="12">
        <f>IFERROR(__xludf.DUMMYFUNCTION("""COMPUTED_VALUE"""),2436.0)</f>
        <v>2436</v>
      </c>
      <c r="B1021" s="13">
        <f>IFERROR(__xludf.DUMMYFUNCTION("""COMPUTED_VALUE"""),45322.0)</f>
        <v>45322</v>
      </c>
      <c r="C1021" s="12">
        <f>IFERROR(__xludf.DUMMYFUNCTION("""COMPUTED_VALUE"""),282.0)</f>
        <v>282</v>
      </c>
      <c r="D1021" s="12">
        <f>IFERROR(__xludf.DUMMYFUNCTION("""COMPUTED_VALUE"""),3.0)</f>
        <v>3</v>
      </c>
      <c r="E1021" s="12">
        <f>IFERROR(__xludf.DUMMYFUNCTION("""COMPUTED_VALUE"""),3.0)</f>
        <v>3</v>
      </c>
      <c r="F1021" s="12">
        <f>IFERROR(__xludf.DUMMYFUNCTION("""COMPUTED_VALUE"""),1.0)</f>
        <v>1</v>
      </c>
      <c r="G1021" s="15" t="str">
        <f>IFERROR(__xludf.DUMMYFUNCTION("""COMPUTED_VALUE"""),"Completa")</f>
        <v>Completa</v>
      </c>
      <c r="H1021" s="16" t="str">
        <f t="array" ref="H1021">_xlfn.XLOOKUP(D1021,Productos[ID_Producto],Productos[Nombre_Producto])</f>
        <v>Queso cremoso</v>
      </c>
      <c r="I1021" s="17">
        <f t="array" ref="I1021">_xlfn.XLOOKUP(D1021,Productos[ID_Producto],Productos[Precio_Unitario])</f>
        <v>17.23</v>
      </c>
      <c r="J1021" s="17">
        <f t="shared" si="1"/>
        <v>51.69</v>
      </c>
      <c r="K1021" s="16" t="str">
        <f t="array" ref="K1021">_xlfn.XLOOKUP(C1021,Clientes[ID_Cliente],Clientes[Provincia])</f>
        <v>Córdoba</v>
      </c>
      <c r="L1021" s="16" t="str">
        <f t="array" ref="L1021">CONCATENATE(_xlfn.XLOOKUP(C1021,Clientes[ID_Cliente],Clientes[Provincia]),", Argentina")</f>
        <v>Córdoba, Argentina</v>
      </c>
      <c r="M1021" s="20" t="str">
        <f t="array" ref="M1021">_xlfn.XLOOKUP(F1021,Metodos_De_Pago[ID_Metodo],Metodos_De_Pago[Metodo])</f>
        <v>Efectivo</v>
      </c>
      <c r="N1021" s="20" t="str">
        <f t="shared" si="2"/>
        <v>2024 01</v>
      </c>
    </row>
    <row r="1022" ht="22.5" customHeight="1">
      <c r="A1022" s="12">
        <f>IFERROR(__xludf.DUMMYFUNCTION("""COMPUTED_VALUE"""),448.0)</f>
        <v>448</v>
      </c>
      <c r="B1022" s="13">
        <f>IFERROR(__xludf.DUMMYFUNCTION("""COMPUTED_VALUE"""),45323.0)</f>
        <v>45323</v>
      </c>
      <c r="C1022" s="12">
        <f>IFERROR(__xludf.DUMMYFUNCTION("""COMPUTED_VALUE"""),5.0)</f>
        <v>5</v>
      </c>
      <c r="D1022" s="12">
        <f>IFERROR(__xludf.DUMMYFUNCTION("""COMPUTED_VALUE"""),19.0)</f>
        <v>19</v>
      </c>
      <c r="E1022" s="12">
        <f>IFERROR(__xludf.DUMMYFUNCTION("""COMPUTED_VALUE"""),3.0)</f>
        <v>3</v>
      </c>
      <c r="F1022" s="12">
        <f>IFERROR(__xludf.DUMMYFUNCTION("""COMPUTED_VALUE"""),4.0)</f>
        <v>4</v>
      </c>
      <c r="G1022" s="15" t="str">
        <f>IFERROR(__xludf.DUMMYFUNCTION("""COMPUTED_VALUE"""),"Pendiente")</f>
        <v>Pendiente</v>
      </c>
      <c r="H1022" s="16" t="str">
        <f t="array" ref="H1022">_xlfn.XLOOKUP(D1022,Productos[ID_Producto],Productos[Nombre_Producto])</f>
        <v>Tomates</v>
      </c>
      <c r="I1022" s="17">
        <f t="array" ref="I1022">_xlfn.XLOOKUP(D1022,Productos[ID_Producto],Productos[Precio_Unitario])</f>
        <v>6.54</v>
      </c>
      <c r="J1022" s="17">
        <f t="shared" si="1"/>
        <v>19.62</v>
      </c>
      <c r="K1022" s="16" t="str">
        <f t="array" ref="K1022">_xlfn.XLOOKUP(C1022,Clientes[ID_Cliente],Clientes[Provincia])</f>
        <v>Córdoba</v>
      </c>
      <c r="L1022" s="16" t="str">
        <f t="array" ref="L1022">CONCATENATE(_xlfn.XLOOKUP(C1022,Clientes[ID_Cliente],Clientes[Provincia]),", Argentina")</f>
        <v>Córdoba, Argentina</v>
      </c>
      <c r="M1022" s="20" t="str">
        <f t="array" ref="M1022">_xlfn.XLOOKUP(F1022,Metodos_De_Pago[ID_Metodo],Metodos_De_Pago[Metodo])</f>
        <v>Mercado Pago</v>
      </c>
      <c r="N1022" s="20" t="str">
        <f t="shared" si="2"/>
        <v>2024 02</v>
      </c>
    </row>
    <row r="1023" ht="22.5" customHeight="1">
      <c r="A1023" s="12">
        <f>IFERROR(__xludf.DUMMYFUNCTION("""COMPUTED_VALUE"""),349.0)</f>
        <v>349</v>
      </c>
      <c r="B1023" s="13">
        <f>IFERROR(__xludf.DUMMYFUNCTION("""COMPUTED_VALUE"""),45324.0)</f>
        <v>45324</v>
      </c>
      <c r="C1023" s="12">
        <f>IFERROR(__xludf.DUMMYFUNCTION("""COMPUTED_VALUE"""),203.0)</f>
        <v>203</v>
      </c>
      <c r="D1023" s="12">
        <f>IFERROR(__xludf.DUMMYFUNCTION("""COMPUTED_VALUE"""),2.0)</f>
        <v>2</v>
      </c>
      <c r="E1023" s="12">
        <f>IFERROR(__xludf.DUMMYFUNCTION("""COMPUTED_VALUE"""),3.0)</f>
        <v>3</v>
      </c>
      <c r="F1023" s="12">
        <f>IFERROR(__xludf.DUMMYFUNCTION("""COMPUTED_VALUE"""),4.0)</f>
        <v>4</v>
      </c>
      <c r="G1023" s="15" t="str">
        <f>IFERROR(__xludf.DUMMYFUNCTION("""COMPUTED_VALUE"""),"Completa")</f>
        <v>Completa</v>
      </c>
      <c r="H1023" s="16" t="str">
        <f t="array" ref="H1023">_xlfn.XLOOKUP(D1023,Productos[ID_Producto],Productos[Nombre_Producto])</f>
        <v>Yogur</v>
      </c>
      <c r="I1023" s="17">
        <f t="array" ref="I1023">_xlfn.XLOOKUP(D1023,Productos[ID_Producto],Productos[Precio_Unitario])</f>
        <v>5.21</v>
      </c>
      <c r="J1023" s="17">
        <f t="shared" si="1"/>
        <v>15.63</v>
      </c>
      <c r="K1023" s="16" t="str">
        <f t="array" ref="K1023">_xlfn.XLOOKUP(C1023,Clientes[ID_Cliente],Clientes[Provincia])</f>
        <v>Buenos Aires</v>
      </c>
      <c r="L1023" s="16" t="str">
        <f t="array" ref="L1023">CONCATENATE(_xlfn.XLOOKUP(C1023,Clientes[ID_Cliente],Clientes[Provincia]),", Argentina")</f>
        <v>Buenos Aires, Argentina</v>
      </c>
      <c r="M1023" s="20" t="str">
        <f t="array" ref="M1023">_xlfn.XLOOKUP(F1023,Metodos_De_Pago[ID_Metodo],Metodos_De_Pago[Metodo])</f>
        <v>Mercado Pago</v>
      </c>
      <c r="N1023" s="20" t="str">
        <f t="shared" si="2"/>
        <v>2024 02</v>
      </c>
    </row>
    <row r="1024" ht="22.5" customHeight="1">
      <c r="A1024" s="12">
        <f>IFERROR(__xludf.DUMMYFUNCTION("""COMPUTED_VALUE"""),262.0)</f>
        <v>262</v>
      </c>
      <c r="B1024" s="13">
        <f>IFERROR(__xludf.DUMMYFUNCTION("""COMPUTED_VALUE"""),45325.0)</f>
        <v>45325</v>
      </c>
      <c r="C1024" s="12">
        <f>IFERROR(__xludf.DUMMYFUNCTION("""COMPUTED_VALUE"""),156.0)</f>
        <v>156</v>
      </c>
      <c r="D1024" s="12">
        <f>IFERROR(__xludf.DUMMYFUNCTION("""COMPUTED_VALUE"""),33.0)</f>
        <v>33</v>
      </c>
      <c r="E1024" s="12">
        <f>IFERROR(__xludf.DUMMYFUNCTION("""COMPUTED_VALUE"""),3.0)</f>
        <v>3</v>
      </c>
      <c r="F1024" s="12">
        <f>IFERROR(__xludf.DUMMYFUNCTION("""COMPUTED_VALUE"""),4.0)</f>
        <v>4</v>
      </c>
      <c r="G1024" s="15" t="str">
        <f>IFERROR(__xludf.DUMMYFUNCTION("""COMPUTED_VALUE"""),"Pendiente")</f>
        <v>Pendiente</v>
      </c>
      <c r="H1024" s="16" t="str">
        <f t="array" ref="H1024">_xlfn.XLOOKUP(D1024,Productos[ID_Producto],Productos[Nombre_Producto])</f>
        <v>Papas chips</v>
      </c>
      <c r="I1024" s="17">
        <f t="array" ref="I1024">_xlfn.XLOOKUP(D1024,Productos[ID_Producto],Productos[Precio_Unitario])</f>
        <v>8.54</v>
      </c>
      <c r="J1024" s="17">
        <f t="shared" si="1"/>
        <v>25.62</v>
      </c>
      <c r="K1024" s="16" t="str">
        <f t="array" ref="K1024">_xlfn.XLOOKUP(C1024,Clientes[ID_Cliente],Clientes[Provincia])</f>
        <v>Neuquén</v>
      </c>
      <c r="L1024" s="16" t="str">
        <f t="array" ref="L1024">CONCATENATE(_xlfn.XLOOKUP(C1024,Clientes[ID_Cliente],Clientes[Provincia]),", Argentina")</f>
        <v>Neuquén, Argentina</v>
      </c>
      <c r="M1024" s="20" t="str">
        <f t="array" ref="M1024">_xlfn.XLOOKUP(F1024,Metodos_De_Pago[ID_Metodo],Metodos_De_Pago[Metodo])</f>
        <v>Mercado Pago</v>
      </c>
      <c r="N1024" s="20" t="str">
        <f t="shared" si="2"/>
        <v>2024 02</v>
      </c>
    </row>
    <row r="1025" ht="22.5" customHeight="1">
      <c r="A1025" s="12">
        <f>IFERROR(__xludf.DUMMYFUNCTION("""COMPUTED_VALUE"""),997.0)</f>
        <v>997</v>
      </c>
      <c r="B1025" s="13">
        <f>IFERROR(__xludf.DUMMYFUNCTION("""COMPUTED_VALUE"""),45325.0)</f>
        <v>45325</v>
      </c>
      <c r="C1025" s="12">
        <f>IFERROR(__xludf.DUMMYFUNCTION("""COMPUTED_VALUE"""),245.0)</f>
        <v>245</v>
      </c>
      <c r="D1025" s="12">
        <f>IFERROR(__xludf.DUMMYFUNCTION("""COMPUTED_VALUE"""),12.0)</f>
        <v>12</v>
      </c>
      <c r="E1025" s="12">
        <f>IFERROR(__xludf.DUMMYFUNCTION("""COMPUTED_VALUE"""),3.0)</f>
        <v>3</v>
      </c>
      <c r="F1025" s="12">
        <f>IFERROR(__xludf.DUMMYFUNCTION("""COMPUTED_VALUE"""),5.0)</f>
        <v>5</v>
      </c>
      <c r="G1025" s="15" t="str">
        <f>IFERROR(__xludf.DUMMYFUNCTION("""COMPUTED_VALUE"""),"Completa")</f>
        <v>Completa</v>
      </c>
      <c r="H1025" s="16" t="str">
        <f t="array" ref="H1025">_xlfn.XLOOKUP(D1025,Productos[ID_Producto],Productos[Nombre_Producto])</f>
        <v>Pan francés</v>
      </c>
      <c r="I1025" s="17">
        <f t="array" ref="I1025">_xlfn.XLOOKUP(D1025,Productos[ID_Producto],Productos[Precio_Unitario])</f>
        <v>8.12</v>
      </c>
      <c r="J1025" s="17">
        <f t="shared" si="1"/>
        <v>24.36</v>
      </c>
      <c r="K1025" s="16" t="str">
        <f t="array" ref="K1025">_xlfn.XLOOKUP(C1025,Clientes[ID_Cliente],Clientes[Provincia])</f>
        <v>Chaco</v>
      </c>
      <c r="L1025" s="16" t="str">
        <f t="array" ref="L1025">CONCATENATE(_xlfn.XLOOKUP(C1025,Clientes[ID_Cliente],Clientes[Provincia]),", Argentina")</f>
        <v>Chaco, Argentina</v>
      </c>
      <c r="M1025" s="20" t="str">
        <f t="array" ref="M1025">_xlfn.XLOOKUP(F1025,Metodos_De_Pago[ID_Metodo],Metodos_De_Pago[Metodo])</f>
        <v>Transferencia</v>
      </c>
      <c r="N1025" s="20" t="str">
        <f t="shared" si="2"/>
        <v>2024 02</v>
      </c>
    </row>
    <row r="1026" ht="22.5" customHeight="1">
      <c r="A1026" s="12">
        <f>IFERROR(__xludf.DUMMYFUNCTION("""COMPUTED_VALUE"""),546.0)</f>
        <v>546</v>
      </c>
      <c r="B1026" s="13">
        <f>IFERROR(__xludf.DUMMYFUNCTION("""COMPUTED_VALUE"""),45326.0)</f>
        <v>45326</v>
      </c>
      <c r="C1026" s="12">
        <f>IFERROR(__xludf.DUMMYFUNCTION("""COMPUTED_VALUE"""),66.0)</f>
        <v>66</v>
      </c>
      <c r="D1026" s="12">
        <f>IFERROR(__xludf.DUMMYFUNCTION("""COMPUTED_VALUE"""),19.0)</f>
        <v>19</v>
      </c>
      <c r="E1026" s="12">
        <f>IFERROR(__xludf.DUMMYFUNCTION("""COMPUTED_VALUE"""),3.0)</f>
        <v>3</v>
      </c>
      <c r="F1026" s="12">
        <f>IFERROR(__xludf.DUMMYFUNCTION("""COMPUTED_VALUE"""),4.0)</f>
        <v>4</v>
      </c>
      <c r="G1026" s="15" t="str">
        <f>IFERROR(__xludf.DUMMYFUNCTION("""COMPUTED_VALUE"""),"Completa")</f>
        <v>Completa</v>
      </c>
      <c r="H1026" s="16" t="str">
        <f t="array" ref="H1026">_xlfn.XLOOKUP(D1026,Productos[ID_Producto],Productos[Nombre_Producto])</f>
        <v>Tomates</v>
      </c>
      <c r="I1026" s="17">
        <f t="array" ref="I1026">_xlfn.XLOOKUP(D1026,Productos[ID_Producto],Productos[Precio_Unitario])</f>
        <v>6.54</v>
      </c>
      <c r="J1026" s="17">
        <f t="shared" si="1"/>
        <v>19.62</v>
      </c>
      <c r="K1026" s="16" t="str">
        <f t="array" ref="K1026">_xlfn.XLOOKUP(C1026,Clientes[ID_Cliente],Clientes[Provincia])</f>
        <v>Buenos Aires</v>
      </c>
      <c r="L1026" s="16" t="str">
        <f t="array" ref="L1026">CONCATENATE(_xlfn.XLOOKUP(C1026,Clientes[ID_Cliente],Clientes[Provincia]),", Argentina")</f>
        <v>Buenos Aires, Argentina</v>
      </c>
      <c r="M1026" s="20" t="str">
        <f t="array" ref="M1026">_xlfn.XLOOKUP(F1026,Metodos_De_Pago[ID_Metodo],Metodos_De_Pago[Metodo])</f>
        <v>Mercado Pago</v>
      </c>
      <c r="N1026" s="20" t="str">
        <f t="shared" si="2"/>
        <v>2024 02</v>
      </c>
    </row>
    <row r="1027" ht="22.5" customHeight="1">
      <c r="A1027" s="12">
        <f>IFERROR(__xludf.DUMMYFUNCTION("""COMPUTED_VALUE"""),2752.0)</f>
        <v>2752</v>
      </c>
      <c r="B1027" s="13">
        <f>IFERROR(__xludf.DUMMYFUNCTION("""COMPUTED_VALUE"""),45326.0)</f>
        <v>45326</v>
      </c>
      <c r="C1027" s="12">
        <f>IFERROR(__xludf.DUMMYFUNCTION("""COMPUTED_VALUE"""),125.0)</f>
        <v>125</v>
      </c>
      <c r="D1027" s="12">
        <f>IFERROR(__xludf.DUMMYFUNCTION("""COMPUTED_VALUE"""),35.0)</f>
        <v>35</v>
      </c>
      <c r="E1027" s="12">
        <f>IFERROR(__xludf.DUMMYFUNCTION("""COMPUTED_VALUE"""),3.0)</f>
        <v>3</v>
      </c>
      <c r="F1027" s="12">
        <f>IFERROR(__xludf.DUMMYFUNCTION("""COMPUTED_VALUE"""),4.0)</f>
        <v>4</v>
      </c>
      <c r="G1027" s="15" t="str">
        <f>IFERROR(__xludf.DUMMYFUNCTION("""COMPUTED_VALUE"""),"Completa")</f>
        <v>Completa</v>
      </c>
      <c r="H1027" s="16" t="str">
        <f t="array" ref="H1027">_xlfn.XLOOKUP(D1027,Productos[ID_Producto],Productos[Nombre_Producto])</f>
        <v>Arroz</v>
      </c>
      <c r="I1027" s="17">
        <f t="array" ref="I1027">_xlfn.XLOOKUP(D1027,Productos[ID_Producto],Productos[Precio_Unitario])</f>
        <v>4.25</v>
      </c>
      <c r="J1027" s="17">
        <f t="shared" si="1"/>
        <v>12.75</v>
      </c>
      <c r="K1027" s="16" t="str">
        <f t="array" ref="K1027">_xlfn.XLOOKUP(C1027,Clientes[ID_Cliente],Clientes[Provincia])</f>
        <v>Neuquén</v>
      </c>
      <c r="L1027" s="16" t="str">
        <f t="array" ref="L1027">CONCATENATE(_xlfn.XLOOKUP(C1027,Clientes[ID_Cliente],Clientes[Provincia]),", Argentina")</f>
        <v>Neuquén, Argentina</v>
      </c>
      <c r="M1027" s="20" t="str">
        <f t="array" ref="M1027">_xlfn.XLOOKUP(F1027,Metodos_De_Pago[ID_Metodo],Metodos_De_Pago[Metodo])</f>
        <v>Mercado Pago</v>
      </c>
      <c r="N1027" s="20" t="str">
        <f t="shared" si="2"/>
        <v>2024 02</v>
      </c>
    </row>
    <row r="1028" ht="22.5" customHeight="1">
      <c r="A1028" s="12">
        <f>IFERROR(__xludf.DUMMYFUNCTION("""COMPUTED_VALUE"""),1656.0)</f>
        <v>1656</v>
      </c>
      <c r="B1028" s="13">
        <f>IFERROR(__xludf.DUMMYFUNCTION("""COMPUTED_VALUE"""),45328.0)</f>
        <v>45328</v>
      </c>
      <c r="C1028" s="12">
        <f>IFERROR(__xludf.DUMMYFUNCTION("""COMPUTED_VALUE"""),283.0)</f>
        <v>283</v>
      </c>
      <c r="D1028" s="12">
        <f>IFERROR(__xludf.DUMMYFUNCTION("""COMPUTED_VALUE"""),1.0)</f>
        <v>1</v>
      </c>
      <c r="E1028" s="12">
        <f>IFERROR(__xludf.DUMMYFUNCTION("""COMPUTED_VALUE"""),3.0)</f>
        <v>3</v>
      </c>
      <c r="F1028" s="12">
        <f>IFERROR(__xludf.DUMMYFUNCTION("""COMPUTED_VALUE"""),4.0)</f>
        <v>4</v>
      </c>
      <c r="G1028" s="15" t="str">
        <f>IFERROR(__xludf.DUMMYFUNCTION("""COMPUTED_VALUE"""),"Completa")</f>
        <v>Completa</v>
      </c>
      <c r="H1028" s="16" t="str">
        <f t="array" ref="H1028">_xlfn.XLOOKUP(D1028,Productos[ID_Producto],Productos[Nombre_Producto])</f>
        <v>Leche</v>
      </c>
      <c r="I1028" s="17">
        <f t="array" ref="I1028">_xlfn.XLOOKUP(D1028,Productos[ID_Producto],Productos[Precio_Unitario])</f>
        <v>12.24</v>
      </c>
      <c r="J1028" s="17">
        <f t="shared" si="1"/>
        <v>36.72</v>
      </c>
      <c r="K1028" s="16" t="str">
        <f t="array" ref="K1028">_xlfn.XLOOKUP(C1028,Clientes[ID_Cliente],Clientes[Provincia])</f>
        <v>Buenos Aires</v>
      </c>
      <c r="L1028" s="16" t="str">
        <f t="array" ref="L1028">CONCATENATE(_xlfn.XLOOKUP(C1028,Clientes[ID_Cliente],Clientes[Provincia]),", Argentina")</f>
        <v>Buenos Aires, Argentina</v>
      </c>
      <c r="M1028" s="20" t="str">
        <f t="array" ref="M1028">_xlfn.XLOOKUP(F1028,Metodos_De_Pago[ID_Metodo],Metodos_De_Pago[Metodo])</f>
        <v>Mercado Pago</v>
      </c>
      <c r="N1028" s="20" t="str">
        <f t="shared" si="2"/>
        <v>2024 02</v>
      </c>
    </row>
    <row r="1029" ht="22.5" customHeight="1">
      <c r="A1029" s="12">
        <f>IFERROR(__xludf.DUMMYFUNCTION("""COMPUTED_VALUE"""),2126.0)</f>
        <v>2126</v>
      </c>
      <c r="B1029" s="13">
        <f>IFERROR(__xludf.DUMMYFUNCTION("""COMPUTED_VALUE"""),45328.0)</f>
        <v>45328</v>
      </c>
      <c r="C1029" s="12">
        <f>IFERROR(__xludf.DUMMYFUNCTION("""COMPUTED_VALUE"""),181.0)</f>
        <v>181</v>
      </c>
      <c r="D1029" s="12">
        <f>IFERROR(__xludf.DUMMYFUNCTION("""COMPUTED_VALUE"""),3.0)</f>
        <v>3</v>
      </c>
      <c r="E1029" s="12">
        <f>IFERROR(__xludf.DUMMYFUNCTION("""COMPUTED_VALUE"""),3.0)</f>
        <v>3</v>
      </c>
      <c r="F1029" s="12">
        <f>IFERROR(__xludf.DUMMYFUNCTION("""COMPUTED_VALUE"""),4.0)</f>
        <v>4</v>
      </c>
      <c r="G1029" s="15" t="str">
        <f>IFERROR(__xludf.DUMMYFUNCTION("""COMPUTED_VALUE"""),"Pendiente")</f>
        <v>Pendiente</v>
      </c>
      <c r="H1029" s="16" t="str">
        <f t="array" ref="H1029">_xlfn.XLOOKUP(D1029,Productos[ID_Producto],Productos[Nombre_Producto])</f>
        <v>Queso cremoso</v>
      </c>
      <c r="I1029" s="17">
        <f t="array" ref="I1029">_xlfn.XLOOKUP(D1029,Productos[ID_Producto],Productos[Precio_Unitario])</f>
        <v>17.23</v>
      </c>
      <c r="J1029" s="17">
        <f t="shared" si="1"/>
        <v>51.69</v>
      </c>
      <c r="K1029" s="16" t="str">
        <f t="array" ref="K1029">_xlfn.XLOOKUP(C1029,Clientes[ID_Cliente],Clientes[Provincia])</f>
        <v>Neuquén</v>
      </c>
      <c r="L1029" s="16" t="str">
        <f t="array" ref="L1029">CONCATENATE(_xlfn.XLOOKUP(C1029,Clientes[ID_Cliente],Clientes[Provincia]),", Argentina")</f>
        <v>Neuquén, Argentina</v>
      </c>
      <c r="M1029" s="20" t="str">
        <f t="array" ref="M1029">_xlfn.XLOOKUP(F1029,Metodos_De_Pago[ID_Metodo],Metodos_De_Pago[Metodo])</f>
        <v>Mercado Pago</v>
      </c>
      <c r="N1029" s="20" t="str">
        <f t="shared" si="2"/>
        <v>2024 02</v>
      </c>
    </row>
    <row r="1030" ht="22.5" customHeight="1">
      <c r="A1030" s="12">
        <f>IFERROR(__xludf.DUMMYFUNCTION("""COMPUTED_VALUE"""),1136.0)</f>
        <v>1136</v>
      </c>
      <c r="B1030" s="13">
        <f>IFERROR(__xludf.DUMMYFUNCTION("""COMPUTED_VALUE"""),45329.0)</f>
        <v>45329</v>
      </c>
      <c r="C1030" s="12">
        <f>IFERROR(__xludf.DUMMYFUNCTION("""COMPUTED_VALUE"""),187.0)</f>
        <v>187</v>
      </c>
      <c r="D1030" s="12">
        <f>IFERROR(__xludf.DUMMYFUNCTION("""COMPUTED_VALUE"""),23.0)</f>
        <v>23</v>
      </c>
      <c r="E1030" s="12">
        <f>IFERROR(__xludf.DUMMYFUNCTION("""COMPUTED_VALUE"""),3.0)</f>
        <v>3</v>
      </c>
      <c r="F1030" s="12">
        <f>IFERROR(__xludf.DUMMYFUNCTION("""COMPUTED_VALUE"""),3.0)</f>
        <v>3</v>
      </c>
      <c r="G1030" s="15" t="str">
        <f>IFERROR(__xludf.DUMMYFUNCTION("""COMPUTED_VALUE"""),"Completa")</f>
        <v>Completa</v>
      </c>
      <c r="H1030" s="16" t="str">
        <f t="array" ref="H1030">_xlfn.XLOOKUP(D1030,Productos[ID_Producto],Productos[Nombre_Producto])</f>
        <v>Papas fritas</v>
      </c>
      <c r="I1030" s="17">
        <f t="array" ref="I1030">_xlfn.XLOOKUP(D1030,Productos[ID_Producto],Productos[Precio_Unitario])</f>
        <v>8.23</v>
      </c>
      <c r="J1030" s="17">
        <f t="shared" si="1"/>
        <v>24.69</v>
      </c>
      <c r="K1030" s="16" t="str">
        <f t="array" ref="K1030">_xlfn.XLOOKUP(C1030,Clientes[ID_Cliente],Clientes[Provincia])</f>
        <v>Buenos Aires</v>
      </c>
      <c r="L1030" s="16" t="str">
        <f t="array" ref="L1030">CONCATENATE(_xlfn.XLOOKUP(C1030,Clientes[ID_Cliente],Clientes[Provincia]),", Argentina")</f>
        <v>Buenos Aires, Argentina</v>
      </c>
      <c r="M1030" s="20" t="str">
        <f t="array" ref="M1030">_xlfn.XLOOKUP(F1030,Metodos_De_Pago[ID_Metodo],Metodos_De_Pago[Metodo])</f>
        <v>Tarjeta de Débito</v>
      </c>
      <c r="N1030" s="20" t="str">
        <f t="shared" si="2"/>
        <v>2024 02</v>
      </c>
    </row>
    <row r="1031" ht="22.5" customHeight="1">
      <c r="A1031" s="12">
        <f>IFERROR(__xludf.DUMMYFUNCTION("""COMPUTED_VALUE"""),2127.0)</f>
        <v>2127</v>
      </c>
      <c r="B1031" s="13">
        <f>IFERROR(__xludf.DUMMYFUNCTION("""COMPUTED_VALUE"""),45329.0)</f>
        <v>45329</v>
      </c>
      <c r="C1031" s="12">
        <f>IFERROR(__xludf.DUMMYFUNCTION("""COMPUTED_VALUE"""),180.0)</f>
        <v>180</v>
      </c>
      <c r="D1031" s="12">
        <f>IFERROR(__xludf.DUMMYFUNCTION("""COMPUTED_VALUE"""),6.0)</f>
        <v>6</v>
      </c>
      <c r="E1031" s="12">
        <f>IFERROR(__xludf.DUMMYFUNCTION("""COMPUTED_VALUE"""),3.0)</f>
        <v>3</v>
      </c>
      <c r="F1031" s="12">
        <f>IFERROR(__xludf.DUMMYFUNCTION("""COMPUTED_VALUE"""),3.0)</f>
        <v>3</v>
      </c>
      <c r="G1031" s="15" t="str">
        <f>IFERROR(__xludf.DUMMYFUNCTION("""COMPUTED_VALUE"""),"Completa")</f>
        <v>Completa</v>
      </c>
      <c r="H1031" s="16" t="str">
        <f t="array" ref="H1031">_xlfn.XLOOKUP(D1031,Productos[ID_Producto],Productos[Nombre_Producto])</f>
        <v>Asado</v>
      </c>
      <c r="I1031" s="17">
        <f t="array" ref="I1031">_xlfn.XLOOKUP(D1031,Productos[ID_Producto],Productos[Precio_Unitario])</f>
        <v>28.56</v>
      </c>
      <c r="J1031" s="17">
        <f t="shared" si="1"/>
        <v>85.68</v>
      </c>
      <c r="K1031" s="16" t="str">
        <f t="array" ref="K1031">_xlfn.XLOOKUP(C1031,Clientes[ID_Cliente],Clientes[Provincia])</f>
        <v>Buenos Aires</v>
      </c>
      <c r="L1031" s="16" t="str">
        <f t="array" ref="L1031">CONCATENATE(_xlfn.XLOOKUP(C1031,Clientes[ID_Cliente],Clientes[Provincia]),", Argentina")</f>
        <v>Buenos Aires, Argentina</v>
      </c>
      <c r="M1031" s="20" t="str">
        <f t="array" ref="M1031">_xlfn.XLOOKUP(F1031,Metodos_De_Pago[ID_Metodo],Metodos_De_Pago[Metodo])</f>
        <v>Tarjeta de Débito</v>
      </c>
      <c r="N1031" s="20" t="str">
        <f t="shared" si="2"/>
        <v>2024 02</v>
      </c>
    </row>
    <row r="1032" ht="22.5" customHeight="1">
      <c r="A1032" s="12">
        <f>IFERROR(__xludf.DUMMYFUNCTION("""COMPUTED_VALUE"""),2935.0)</f>
        <v>2935</v>
      </c>
      <c r="B1032" s="13">
        <f>IFERROR(__xludf.DUMMYFUNCTION("""COMPUTED_VALUE"""),45329.0)</f>
        <v>45329</v>
      </c>
      <c r="C1032" s="12">
        <f>IFERROR(__xludf.DUMMYFUNCTION("""COMPUTED_VALUE"""),164.0)</f>
        <v>164</v>
      </c>
      <c r="D1032" s="12">
        <f>IFERROR(__xludf.DUMMYFUNCTION("""COMPUTED_VALUE"""),25.0)</f>
        <v>25</v>
      </c>
      <c r="E1032" s="12">
        <f>IFERROR(__xludf.DUMMYFUNCTION("""COMPUTED_VALUE"""),3.0)</f>
        <v>3</v>
      </c>
      <c r="F1032" s="12">
        <f>IFERROR(__xludf.DUMMYFUNCTION("""COMPUTED_VALUE"""),4.0)</f>
        <v>4</v>
      </c>
      <c r="G1032" s="15" t="str">
        <f>IFERROR(__xludf.DUMMYFUNCTION("""COMPUTED_VALUE"""),"Completa")</f>
        <v>Completa</v>
      </c>
      <c r="H1032" s="16" t="str">
        <f t="array" ref="H1032">_xlfn.XLOOKUP(D1032,Productos[ID_Producto],Productos[Nombre_Producto])</f>
        <v>Pizza congelada</v>
      </c>
      <c r="I1032" s="17">
        <f t="array" ref="I1032">_xlfn.XLOOKUP(D1032,Productos[ID_Producto],Productos[Precio_Unitario])</f>
        <v>15.45</v>
      </c>
      <c r="J1032" s="17">
        <f t="shared" si="1"/>
        <v>46.35</v>
      </c>
      <c r="K1032" s="16" t="str">
        <f t="array" ref="K1032">_xlfn.XLOOKUP(C1032,Clientes[ID_Cliente],Clientes[Provincia])</f>
        <v>Córdoba</v>
      </c>
      <c r="L1032" s="16" t="str">
        <f t="array" ref="L1032">CONCATENATE(_xlfn.XLOOKUP(C1032,Clientes[ID_Cliente],Clientes[Provincia]),", Argentina")</f>
        <v>Córdoba, Argentina</v>
      </c>
      <c r="M1032" s="20" t="str">
        <f t="array" ref="M1032">_xlfn.XLOOKUP(F1032,Metodos_De_Pago[ID_Metodo],Metodos_De_Pago[Metodo])</f>
        <v>Mercado Pago</v>
      </c>
      <c r="N1032" s="20" t="str">
        <f t="shared" si="2"/>
        <v>2024 02</v>
      </c>
    </row>
    <row r="1033" ht="22.5" customHeight="1">
      <c r="A1033" s="12">
        <f>IFERROR(__xludf.DUMMYFUNCTION("""COMPUTED_VALUE"""),1878.0)</f>
        <v>1878</v>
      </c>
      <c r="B1033" s="13">
        <f>IFERROR(__xludf.DUMMYFUNCTION("""COMPUTED_VALUE"""),45331.0)</f>
        <v>45331</v>
      </c>
      <c r="C1033" s="12">
        <f>IFERROR(__xludf.DUMMYFUNCTION("""COMPUTED_VALUE"""),214.0)</f>
        <v>214</v>
      </c>
      <c r="D1033" s="12">
        <f>IFERROR(__xludf.DUMMYFUNCTION("""COMPUTED_VALUE"""),17.0)</f>
        <v>17</v>
      </c>
      <c r="E1033" s="12">
        <f>IFERROR(__xludf.DUMMYFUNCTION("""COMPUTED_VALUE"""),3.0)</f>
        <v>3</v>
      </c>
      <c r="F1033" s="12">
        <f>IFERROR(__xludf.DUMMYFUNCTION("""COMPUTED_VALUE"""),4.0)</f>
        <v>4</v>
      </c>
      <c r="G1033" s="15" t="str">
        <f>IFERROR(__xludf.DUMMYFUNCTION("""COMPUTED_VALUE"""),"Completa")</f>
        <v>Completa</v>
      </c>
      <c r="H1033" s="16" t="str">
        <f t="array" ref="H1033">_xlfn.XLOOKUP(D1033,Productos[ID_Producto],Productos[Nombre_Producto])</f>
        <v>Manzanas</v>
      </c>
      <c r="I1033" s="17">
        <f t="array" ref="I1033">_xlfn.XLOOKUP(D1033,Productos[ID_Producto],Productos[Precio_Unitario])</f>
        <v>6.54</v>
      </c>
      <c r="J1033" s="17">
        <f t="shared" si="1"/>
        <v>19.62</v>
      </c>
      <c r="K1033" s="16" t="str">
        <f t="array" ref="K1033">_xlfn.XLOOKUP(C1033,Clientes[ID_Cliente],Clientes[Provincia])</f>
        <v>Neuquén</v>
      </c>
      <c r="L1033" s="16" t="str">
        <f t="array" ref="L1033">CONCATENATE(_xlfn.XLOOKUP(C1033,Clientes[ID_Cliente],Clientes[Provincia]),", Argentina")</f>
        <v>Neuquén, Argentina</v>
      </c>
      <c r="M1033" s="20" t="str">
        <f t="array" ref="M1033">_xlfn.XLOOKUP(F1033,Metodos_De_Pago[ID_Metodo],Metodos_De_Pago[Metodo])</f>
        <v>Mercado Pago</v>
      </c>
      <c r="N1033" s="20" t="str">
        <f t="shared" si="2"/>
        <v>2024 02</v>
      </c>
    </row>
    <row r="1034" ht="22.5" customHeight="1">
      <c r="A1034" s="12">
        <f>IFERROR(__xludf.DUMMYFUNCTION("""COMPUTED_VALUE"""),117.0)</f>
        <v>117</v>
      </c>
      <c r="B1034" s="13">
        <f>IFERROR(__xludf.DUMMYFUNCTION("""COMPUTED_VALUE"""),45332.0)</f>
        <v>45332</v>
      </c>
      <c r="C1034" s="12">
        <f>IFERROR(__xludf.DUMMYFUNCTION("""COMPUTED_VALUE"""),288.0)</f>
        <v>288</v>
      </c>
      <c r="D1034" s="12">
        <f>IFERROR(__xludf.DUMMYFUNCTION("""COMPUTED_VALUE"""),10.0)</f>
        <v>10</v>
      </c>
      <c r="E1034" s="12">
        <f>IFERROR(__xludf.DUMMYFUNCTION("""COMPUTED_VALUE"""),3.0)</f>
        <v>3</v>
      </c>
      <c r="F1034" s="12">
        <f>IFERROR(__xludf.DUMMYFUNCTION("""COMPUTED_VALUE"""),2.0)</f>
        <v>2</v>
      </c>
      <c r="G1034" s="15" t="str">
        <f>IFERROR(__xludf.DUMMYFUNCTION("""COMPUTED_VALUE"""),"Pendiente")</f>
        <v>Pendiente</v>
      </c>
      <c r="H1034" s="16" t="str">
        <f t="array" ref="H1034">_xlfn.XLOOKUP(D1034,Productos[ID_Producto],Productos[Nombre_Producto])</f>
        <v>Costilla de cerdo</v>
      </c>
      <c r="I1034" s="17">
        <f t="array" ref="I1034">_xlfn.XLOOKUP(D1034,Productos[ID_Producto],Productos[Precio_Unitario])</f>
        <v>14.25</v>
      </c>
      <c r="J1034" s="17">
        <f t="shared" si="1"/>
        <v>42.75</v>
      </c>
      <c r="K1034" s="16" t="str">
        <f t="array" ref="K1034">_xlfn.XLOOKUP(C1034,Clientes[ID_Cliente],Clientes[Provincia])</f>
        <v>Buenos Aires</v>
      </c>
      <c r="L1034" s="16" t="str">
        <f t="array" ref="L1034">CONCATENATE(_xlfn.XLOOKUP(C1034,Clientes[ID_Cliente],Clientes[Provincia]),", Argentina")</f>
        <v>Buenos Aires, Argentina</v>
      </c>
      <c r="M1034" s="20" t="str">
        <f t="array" ref="M1034">_xlfn.XLOOKUP(F1034,Metodos_De_Pago[ID_Metodo],Metodos_De_Pago[Metodo])</f>
        <v>Tarjeta de Crédito</v>
      </c>
      <c r="N1034" s="20" t="str">
        <f t="shared" si="2"/>
        <v>2024 02</v>
      </c>
    </row>
    <row r="1035" ht="22.5" customHeight="1">
      <c r="A1035" s="12">
        <f>IFERROR(__xludf.DUMMYFUNCTION("""COMPUTED_VALUE"""),1363.0)</f>
        <v>1363</v>
      </c>
      <c r="B1035" s="13">
        <f>IFERROR(__xludf.DUMMYFUNCTION("""COMPUTED_VALUE"""),45332.0)</f>
        <v>45332</v>
      </c>
      <c r="C1035" s="12">
        <f>IFERROR(__xludf.DUMMYFUNCTION("""COMPUTED_VALUE"""),314.0)</f>
        <v>314</v>
      </c>
      <c r="D1035" s="12">
        <f>IFERROR(__xludf.DUMMYFUNCTION("""COMPUTED_VALUE"""),28.0)</f>
        <v>28</v>
      </c>
      <c r="E1035" s="12">
        <f>IFERROR(__xludf.DUMMYFUNCTION("""COMPUTED_VALUE"""),3.0)</f>
        <v>3</v>
      </c>
      <c r="F1035" s="12">
        <f>IFERROR(__xludf.DUMMYFUNCTION("""COMPUTED_VALUE"""),3.0)</f>
        <v>3</v>
      </c>
      <c r="G1035" s="15" t="str">
        <f>IFERROR(__xludf.DUMMYFUNCTION("""COMPUTED_VALUE"""),"Pendiente")</f>
        <v>Pendiente</v>
      </c>
      <c r="H1035" s="16" t="str">
        <f t="array" ref="H1035">_xlfn.XLOOKUP(D1035,Productos[ID_Producto],Productos[Nombre_Producto])</f>
        <v>Jugos de frutas</v>
      </c>
      <c r="I1035" s="17">
        <f t="array" ref="I1035">_xlfn.XLOOKUP(D1035,Productos[ID_Producto],Productos[Precio_Unitario])</f>
        <v>9.45</v>
      </c>
      <c r="J1035" s="17">
        <f t="shared" si="1"/>
        <v>28.35</v>
      </c>
      <c r="K1035" s="16" t="str">
        <f t="array" ref="K1035">_xlfn.XLOOKUP(C1035,Clientes[ID_Cliente],Clientes[Provincia])</f>
        <v>Neuquén</v>
      </c>
      <c r="L1035" s="16" t="str">
        <f t="array" ref="L1035">CONCATENATE(_xlfn.XLOOKUP(C1035,Clientes[ID_Cliente],Clientes[Provincia]),", Argentina")</f>
        <v>Neuquén, Argentina</v>
      </c>
      <c r="M1035" s="20" t="str">
        <f t="array" ref="M1035">_xlfn.XLOOKUP(F1035,Metodos_De_Pago[ID_Metodo],Metodos_De_Pago[Metodo])</f>
        <v>Tarjeta de Débito</v>
      </c>
      <c r="N1035" s="20" t="str">
        <f t="shared" si="2"/>
        <v>2024 02</v>
      </c>
    </row>
    <row r="1036" ht="22.5" customHeight="1">
      <c r="A1036" s="12">
        <f>IFERROR(__xludf.DUMMYFUNCTION("""COMPUTED_VALUE"""),621.0)</f>
        <v>621</v>
      </c>
      <c r="B1036" s="13">
        <f>IFERROR(__xludf.DUMMYFUNCTION("""COMPUTED_VALUE"""),45333.0)</f>
        <v>45333</v>
      </c>
      <c r="C1036" s="12">
        <f>IFERROR(__xludf.DUMMYFUNCTION("""COMPUTED_VALUE"""),166.0)</f>
        <v>166</v>
      </c>
      <c r="D1036" s="12">
        <f>IFERROR(__xludf.DUMMYFUNCTION("""COMPUTED_VALUE"""),3.0)</f>
        <v>3</v>
      </c>
      <c r="E1036" s="12">
        <f>IFERROR(__xludf.DUMMYFUNCTION("""COMPUTED_VALUE"""),3.0)</f>
        <v>3</v>
      </c>
      <c r="F1036" s="12">
        <f>IFERROR(__xludf.DUMMYFUNCTION("""COMPUTED_VALUE"""),3.0)</f>
        <v>3</v>
      </c>
      <c r="G1036" s="15" t="str">
        <f>IFERROR(__xludf.DUMMYFUNCTION("""COMPUTED_VALUE"""),"Completa")</f>
        <v>Completa</v>
      </c>
      <c r="H1036" s="16" t="str">
        <f t="array" ref="H1036">_xlfn.XLOOKUP(D1036,Productos[ID_Producto],Productos[Nombre_Producto])</f>
        <v>Queso cremoso</v>
      </c>
      <c r="I1036" s="17">
        <f t="array" ref="I1036">_xlfn.XLOOKUP(D1036,Productos[ID_Producto],Productos[Precio_Unitario])</f>
        <v>17.23</v>
      </c>
      <c r="J1036" s="17">
        <f t="shared" si="1"/>
        <v>51.69</v>
      </c>
      <c r="K1036" s="16" t="str">
        <f t="array" ref="K1036">_xlfn.XLOOKUP(C1036,Clientes[ID_Cliente],Clientes[Provincia])</f>
        <v>Chaco</v>
      </c>
      <c r="L1036" s="16" t="str">
        <f t="array" ref="L1036">CONCATENATE(_xlfn.XLOOKUP(C1036,Clientes[ID_Cliente],Clientes[Provincia]),", Argentina")</f>
        <v>Chaco, Argentina</v>
      </c>
      <c r="M1036" s="20" t="str">
        <f t="array" ref="M1036">_xlfn.XLOOKUP(F1036,Metodos_De_Pago[ID_Metodo],Metodos_De_Pago[Metodo])</f>
        <v>Tarjeta de Débito</v>
      </c>
      <c r="N1036" s="20" t="str">
        <f t="shared" si="2"/>
        <v>2024 02</v>
      </c>
    </row>
    <row r="1037" ht="22.5" customHeight="1">
      <c r="A1037" s="12">
        <f>IFERROR(__xludf.DUMMYFUNCTION("""COMPUTED_VALUE"""),1680.0)</f>
        <v>1680</v>
      </c>
      <c r="B1037" s="13">
        <f>IFERROR(__xludf.DUMMYFUNCTION("""COMPUTED_VALUE"""),45333.0)</f>
        <v>45333</v>
      </c>
      <c r="C1037" s="12">
        <f>IFERROR(__xludf.DUMMYFUNCTION("""COMPUTED_VALUE"""),241.0)</f>
        <v>241</v>
      </c>
      <c r="D1037" s="12">
        <f>IFERROR(__xludf.DUMMYFUNCTION("""COMPUTED_VALUE"""),28.0)</f>
        <v>28</v>
      </c>
      <c r="E1037" s="12">
        <f>IFERROR(__xludf.DUMMYFUNCTION("""COMPUTED_VALUE"""),3.0)</f>
        <v>3</v>
      </c>
      <c r="F1037" s="12">
        <f>IFERROR(__xludf.DUMMYFUNCTION("""COMPUTED_VALUE"""),3.0)</f>
        <v>3</v>
      </c>
      <c r="G1037" s="15" t="str">
        <f>IFERROR(__xludf.DUMMYFUNCTION("""COMPUTED_VALUE"""),"Completa")</f>
        <v>Completa</v>
      </c>
      <c r="H1037" s="16" t="str">
        <f t="array" ref="H1037">_xlfn.XLOOKUP(D1037,Productos[ID_Producto],Productos[Nombre_Producto])</f>
        <v>Jugos de frutas</v>
      </c>
      <c r="I1037" s="17">
        <f t="array" ref="I1037">_xlfn.XLOOKUP(D1037,Productos[ID_Producto],Productos[Precio_Unitario])</f>
        <v>9.45</v>
      </c>
      <c r="J1037" s="17">
        <f t="shared" si="1"/>
        <v>28.35</v>
      </c>
      <c r="K1037" s="16" t="str">
        <f t="array" ref="K1037">_xlfn.XLOOKUP(C1037,Clientes[ID_Cliente],Clientes[Provincia])</f>
        <v>Buenos Aires</v>
      </c>
      <c r="L1037" s="16" t="str">
        <f t="array" ref="L1037">CONCATENATE(_xlfn.XLOOKUP(C1037,Clientes[ID_Cliente],Clientes[Provincia]),", Argentina")</f>
        <v>Buenos Aires, Argentina</v>
      </c>
      <c r="M1037" s="20" t="str">
        <f t="array" ref="M1037">_xlfn.XLOOKUP(F1037,Metodos_De_Pago[ID_Metodo],Metodos_De_Pago[Metodo])</f>
        <v>Tarjeta de Débito</v>
      </c>
      <c r="N1037" s="20" t="str">
        <f t="shared" si="2"/>
        <v>2024 02</v>
      </c>
    </row>
    <row r="1038" ht="22.5" customHeight="1">
      <c r="A1038" s="12">
        <f>IFERROR(__xludf.DUMMYFUNCTION("""COMPUTED_VALUE"""),1754.0)</f>
        <v>1754</v>
      </c>
      <c r="B1038" s="13">
        <f>IFERROR(__xludf.DUMMYFUNCTION("""COMPUTED_VALUE"""),45333.0)</f>
        <v>45333</v>
      </c>
      <c r="C1038" s="12">
        <f>IFERROR(__xludf.DUMMYFUNCTION("""COMPUTED_VALUE"""),212.0)</f>
        <v>212</v>
      </c>
      <c r="D1038" s="12">
        <f>IFERROR(__xludf.DUMMYFUNCTION("""COMPUTED_VALUE"""),27.0)</f>
        <v>27</v>
      </c>
      <c r="E1038" s="12">
        <f>IFERROR(__xludf.DUMMYFUNCTION("""COMPUTED_VALUE"""),3.0)</f>
        <v>3</v>
      </c>
      <c r="F1038" s="12">
        <f>IFERROR(__xludf.DUMMYFUNCTION("""COMPUTED_VALUE"""),5.0)</f>
        <v>5</v>
      </c>
      <c r="G1038" s="15" t="str">
        <f>IFERROR(__xludf.DUMMYFUNCTION("""COMPUTED_VALUE"""),"Completa")</f>
        <v>Completa</v>
      </c>
      <c r="H1038" s="16" t="str">
        <f t="array" ref="H1038">_xlfn.XLOOKUP(D1038,Productos[ID_Producto],Productos[Nombre_Producto])</f>
        <v>Agua mineral</v>
      </c>
      <c r="I1038" s="17">
        <f t="array" ref="I1038">_xlfn.XLOOKUP(D1038,Productos[ID_Producto],Productos[Precio_Unitario])</f>
        <v>6.21</v>
      </c>
      <c r="J1038" s="17">
        <f t="shared" si="1"/>
        <v>18.63</v>
      </c>
      <c r="K1038" s="16" t="str">
        <f t="array" ref="K1038">_xlfn.XLOOKUP(C1038,Clientes[ID_Cliente],Clientes[Provincia])</f>
        <v>Buenos Aires</v>
      </c>
      <c r="L1038" s="16" t="str">
        <f t="array" ref="L1038">CONCATENATE(_xlfn.XLOOKUP(C1038,Clientes[ID_Cliente],Clientes[Provincia]),", Argentina")</f>
        <v>Buenos Aires, Argentina</v>
      </c>
      <c r="M1038" s="20" t="str">
        <f t="array" ref="M1038">_xlfn.XLOOKUP(F1038,Metodos_De_Pago[ID_Metodo],Metodos_De_Pago[Metodo])</f>
        <v>Transferencia</v>
      </c>
      <c r="N1038" s="20" t="str">
        <f t="shared" si="2"/>
        <v>2024 02</v>
      </c>
    </row>
    <row r="1039" ht="22.5" customHeight="1">
      <c r="A1039" s="12">
        <f>IFERROR(__xludf.DUMMYFUNCTION("""COMPUTED_VALUE"""),2703.0)</f>
        <v>2703</v>
      </c>
      <c r="B1039" s="13">
        <f>IFERROR(__xludf.DUMMYFUNCTION("""COMPUTED_VALUE"""),45333.0)</f>
        <v>45333</v>
      </c>
      <c r="C1039" s="12">
        <f>IFERROR(__xludf.DUMMYFUNCTION("""COMPUTED_VALUE"""),255.0)</f>
        <v>255</v>
      </c>
      <c r="D1039" s="12">
        <f>IFERROR(__xludf.DUMMYFUNCTION("""COMPUTED_VALUE"""),29.0)</f>
        <v>29</v>
      </c>
      <c r="E1039" s="12">
        <f>IFERROR(__xludf.DUMMYFUNCTION("""COMPUTED_VALUE"""),3.0)</f>
        <v>3</v>
      </c>
      <c r="F1039" s="12">
        <f>IFERROR(__xludf.DUMMYFUNCTION("""COMPUTED_VALUE"""),1.0)</f>
        <v>1</v>
      </c>
      <c r="G1039" s="15" t="str">
        <f>IFERROR(__xludf.DUMMYFUNCTION("""COMPUTED_VALUE"""),"Pendiente")</f>
        <v>Pendiente</v>
      </c>
      <c r="H1039" s="16" t="str">
        <f t="array" ref="H1039">_xlfn.XLOOKUP(D1039,Productos[ID_Producto],Productos[Nombre_Producto])</f>
        <v>Cerveza</v>
      </c>
      <c r="I1039" s="17">
        <f t="array" ref="I1039">_xlfn.XLOOKUP(D1039,Productos[ID_Producto],Productos[Precio_Unitario])</f>
        <v>11.54</v>
      </c>
      <c r="J1039" s="17">
        <f t="shared" si="1"/>
        <v>34.62</v>
      </c>
      <c r="K1039" s="16" t="str">
        <f t="array" ref="K1039">_xlfn.XLOOKUP(C1039,Clientes[ID_Cliente],Clientes[Provincia])</f>
        <v>Buenos Aires</v>
      </c>
      <c r="L1039" s="16" t="str">
        <f t="array" ref="L1039">CONCATENATE(_xlfn.XLOOKUP(C1039,Clientes[ID_Cliente],Clientes[Provincia]),", Argentina")</f>
        <v>Buenos Aires, Argentina</v>
      </c>
      <c r="M1039" s="20" t="str">
        <f t="array" ref="M1039">_xlfn.XLOOKUP(F1039,Metodos_De_Pago[ID_Metodo],Metodos_De_Pago[Metodo])</f>
        <v>Efectivo</v>
      </c>
      <c r="N1039" s="20" t="str">
        <f t="shared" si="2"/>
        <v>2024 02</v>
      </c>
    </row>
    <row r="1040" ht="22.5" customHeight="1">
      <c r="A1040" s="12">
        <f>IFERROR(__xludf.DUMMYFUNCTION("""COMPUTED_VALUE"""),681.0)</f>
        <v>681</v>
      </c>
      <c r="B1040" s="13">
        <f>IFERROR(__xludf.DUMMYFUNCTION("""COMPUTED_VALUE"""),45335.0)</f>
        <v>45335</v>
      </c>
      <c r="C1040" s="12">
        <f>IFERROR(__xludf.DUMMYFUNCTION("""COMPUTED_VALUE"""),14.0)</f>
        <v>14</v>
      </c>
      <c r="D1040" s="12">
        <f>IFERROR(__xludf.DUMMYFUNCTION("""COMPUTED_VALUE"""),29.0)</f>
        <v>29</v>
      </c>
      <c r="E1040" s="12">
        <f>IFERROR(__xludf.DUMMYFUNCTION("""COMPUTED_VALUE"""),3.0)</f>
        <v>3</v>
      </c>
      <c r="F1040" s="12">
        <f>IFERROR(__xludf.DUMMYFUNCTION("""COMPUTED_VALUE"""),3.0)</f>
        <v>3</v>
      </c>
      <c r="G1040" s="15" t="str">
        <f>IFERROR(__xludf.DUMMYFUNCTION("""COMPUTED_VALUE"""),"Completa")</f>
        <v>Completa</v>
      </c>
      <c r="H1040" s="16" t="str">
        <f t="array" ref="H1040">_xlfn.XLOOKUP(D1040,Productos[ID_Producto],Productos[Nombre_Producto])</f>
        <v>Cerveza</v>
      </c>
      <c r="I1040" s="17">
        <f t="array" ref="I1040">_xlfn.XLOOKUP(D1040,Productos[ID_Producto],Productos[Precio_Unitario])</f>
        <v>11.54</v>
      </c>
      <c r="J1040" s="17">
        <f t="shared" si="1"/>
        <v>34.62</v>
      </c>
      <c r="K1040" s="16" t="str">
        <f t="array" ref="K1040">_xlfn.XLOOKUP(C1040,Clientes[ID_Cliente],Clientes[Provincia])</f>
        <v>Buenos Aires</v>
      </c>
      <c r="L1040" s="16" t="str">
        <f t="array" ref="L1040">CONCATENATE(_xlfn.XLOOKUP(C1040,Clientes[ID_Cliente],Clientes[Provincia]),", Argentina")</f>
        <v>Buenos Aires, Argentina</v>
      </c>
      <c r="M1040" s="20" t="str">
        <f t="array" ref="M1040">_xlfn.XLOOKUP(F1040,Metodos_De_Pago[ID_Metodo],Metodos_De_Pago[Metodo])</f>
        <v>Tarjeta de Débito</v>
      </c>
      <c r="N1040" s="20" t="str">
        <f t="shared" si="2"/>
        <v>2024 02</v>
      </c>
    </row>
    <row r="1041" ht="22.5" customHeight="1">
      <c r="A1041" s="12">
        <f>IFERROR(__xludf.DUMMYFUNCTION("""COMPUTED_VALUE"""),821.0)</f>
        <v>821</v>
      </c>
      <c r="B1041" s="13">
        <f>IFERROR(__xludf.DUMMYFUNCTION("""COMPUTED_VALUE"""),45335.0)</f>
        <v>45335</v>
      </c>
      <c r="C1041" s="12">
        <f>IFERROR(__xludf.DUMMYFUNCTION("""COMPUTED_VALUE"""),43.0)</f>
        <v>43</v>
      </c>
      <c r="D1041" s="12">
        <f>IFERROR(__xludf.DUMMYFUNCTION("""COMPUTED_VALUE"""),1.0)</f>
        <v>1</v>
      </c>
      <c r="E1041" s="12">
        <f>IFERROR(__xludf.DUMMYFUNCTION("""COMPUTED_VALUE"""),3.0)</f>
        <v>3</v>
      </c>
      <c r="F1041" s="12">
        <f>IFERROR(__xludf.DUMMYFUNCTION("""COMPUTED_VALUE"""),5.0)</f>
        <v>5</v>
      </c>
      <c r="G1041" s="15" t="str">
        <f>IFERROR(__xludf.DUMMYFUNCTION("""COMPUTED_VALUE"""),"Pendiente")</f>
        <v>Pendiente</v>
      </c>
      <c r="H1041" s="16" t="str">
        <f t="array" ref="H1041">_xlfn.XLOOKUP(D1041,Productos[ID_Producto],Productos[Nombre_Producto])</f>
        <v>Leche</v>
      </c>
      <c r="I1041" s="17">
        <f t="array" ref="I1041">_xlfn.XLOOKUP(D1041,Productos[ID_Producto],Productos[Precio_Unitario])</f>
        <v>12.24</v>
      </c>
      <c r="J1041" s="17">
        <f t="shared" si="1"/>
        <v>36.72</v>
      </c>
      <c r="K1041" s="16" t="str">
        <f t="array" ref="K1041">_xlfn.XLOOKUP(C1041,Clientes[ID_Cliente],Clientes[Provincia])</f>
        <v>Neuquén</v>
      </c>
      <c r="L1041" s="16" t="str">
        <f t="array" ref="L1041">CONCATENATE(_xlfn.XLOOKUP(C1041,Clientes[ID_Cliente],Clientes[Provincia]),", Argentina")</f>
        <v>Neuquén, Argentina</v>
      </c>
      <c r="M1041" s="20" t="str">
        <f t="array" ref="M1041">_xlfn.XLOOKUP(F1041,Metodos_De_Pago[ID_Metodo],Metodos_De_Pago[Metodo])</f>
        <v>Transferencia</v>
      </c>
      <c r="N1041" s="20" t="str">
        <f t="shared" si="2"/>
        <v>2024 02</v>
      </c>
    </row>
    <row r="1042" ht="22.5" customHeight="1">
      <c r="A1042" s="12">
        <f>IFERROR(__xludf.DUMMYFUNCTION("""COMPUTED_VALUE"""),2555.0)</f>
        <v>2555</v>
      </c>
      <c r="B1042" s="13">
        <f>IFERROR(__xludf.DUMMYFUNCTION("""COMPUTED_VALUE"""),45335.0)</f>
        <v>45335</v>
      </c>
      <c r="C1042" s="12">
        <f>IFERROR(__xludf.DUMMYFUNCTION("""COMPUTED_VALUE"""),130.0)</f>
        <v>130</v>
      </c>
      <c r="D1042" s="12">
        <f>IFERROR(__xludf.DUMMYFUNCTION("""COMPUTED_VALUE"""),33.0)</f>
        <v>33</v>
      </c>
      <c r="E1042" s="12">
        <f>IFERROR(__xludf.DUMMYFUNCTION("""COMPUTED_VALUE"""),3.0)</f>
        <v>3</v>
      </c>
      <c r="F1042" s="12">
        <f>IFERROR(__xludf.DUMMYFUNCTION("""COMPUTED_VALUE"""),5.0)</f>
        <v>5</v>
      </c>
      <c r="G1042" s="15" t="str">
        <f>IFERROR(__xludf.DUMMYFUNCTION("""COMPUTED_VALUE"""),"Completa")</f>
        <v>Completa</v>
      </c>
      <c r="H1042" s="16" t="str">
        <f t="array" ref="H1042">_xlfn.XLOOKUP(D1042,Productos[ID_Producto],Productos[Nombre_Producto])</f>
        <v>Papas chips</v>
      </c>
      <c r="I1042" s="17">
        <f t="array" ref="I1042">_xlfn.XLOOKUP(D1042,Productos[ID_Producto],Productos[Precio_Unitario])</f>
        <v>8.54</v>
      </c>
      <c r="J1042" s="17">
        <f t="shared" si="1"/>
        <v>25.62</v>
      </c>
      <c r="K1042" s="16" t="str">
        <f t="array" ref="K1042">_xlfn.XLOOKUP(C1042,Clientes[ID_Cliente],Clientes[Provincia])</f>
        <v>Buenos Aires</v>
      </c>
      <c r="L1042" s="16" t="str">
        <f t="array" ref="L1042">CONCATENATE(_xlfn.XLOOKUP(C1042,Clientes[ID_Cliente],Clientes[Provincia]),", Argentina")</f>
        <v>Buenos Aires, Argentina</v>
      </c>
      <c r="M1042" s="20" t="str">
        <f t="array" ref="M1042">_xlfn.XLOOKUP(F1042,Metodos_De_Pago[ID_Metodo],Metodos_De_Pago[Metodo])</f>
        <v>Transferencia</v>
      </c>
      <c r="N1042" s="20" t="str">
        <f t="shared" si="2"/>
        <v>2024 02</v>
      </c>
    </row>
    <row r="1043" ht="22.5" customHeight="1">
      <c r="A1043" s="12">
        <f>IFERROR(__xludf.DUMMYFUNCTION("""COMPUTED_VALUE"""),294.0)</f>
        <v>294</v>
      </c>
      <c r="B1043" s="13">
        <f>IFERROR(__xludf.DUMMYFUNCTION("""COMPUTED_VALUE"""),45337.0)</f>
        <v>45337</v>
      </c>
      <c r="C1043" s="12">
        <f>IFERROR(__xludf.DUMMYFUNCTION("""COMPUTED_VALUE"""),85.0)</f>
        <v>85</v>
      </c>
      <c r="D1043" s="12">
        <f>IFERROR(__xludf.DUMMYFUNCTION("""COMPUTED_VALUE"""),24.0)</f>
        <v>24</v>
      </c>
      <c r="E1043" s="12">
        <f>IFERROR(__xludf.DUMMYFUNCTION("""COMPUTED_VALUE"""),3.0)</f>
        <v>3</v>
      </c>
      <c r="F1043" s="12">
        <f>IFERROR(__xludf.DUMMYFUNCTION("""COMPUTED_VALUE"""),2.0)</f>
        <v>2</v>
      </c>
      <c r="G1043" s="15" t="str">
        <f>IFERROR(__xludf.DUMMYFUNCTION("""COMPUTED_VALUE"""),"Completa")</f>
        <v>Completa</v>
      </c>
      <c r="H1043" s="16" t="str">
        <f t="array" ref="H1043">_xlfn.XLOOKUP(D1043,Productos[ID_Producto],Productos[Nombre_Producto])</f>
        <v>Empanadas</v>
      </c>
      <c r="I1043" s="17">
        <f t="array" ref="I1043">_xlfn.XLOOKUP(D1043,Productos[ID_Producto],Productos[Precio_Unitario])</f>
        <v>13.54</v>
      </c>
      <c r="J1043" s="17">
        <f t="shared" si="1"/>
        <v>40.62</v>
      </c>
      <c r="K1043" s="16" t="str">
        <f t="array" ref="K1043">_xlfn.XLOOKUP(C1043,Clientes[ID_Cliente],Clientes[Provincia])</f>
        <v>San Luis</v>
      </c>
      <c r="L1043" s="16" t="str">
        <f t="array" ref="L1043">CONCATENATE(_xlfn.XLOOKUP(C1043,Clientes[ID_Cliente],Clientes[Provincia]),", Argentina")</f>
        <v>San Luis, Argentina</v>
      </c>
      <c r="M1043" s="20" t="str">
        <f t="array" ref="M1043">_xlfn.XLOOKUP(F1043,Metodos_De_Pago[ID_Metodo],Metodos_De_Pago[Metodo])</f>
        <v>Tarjeta de Crédito</v>
      </c>
      <c r="N1043" s="20" t="str">
        <f t="shared" si="2"/>
        <v>2024 02</v>
      </c>
    </row>
    <row r="1044" ht="22.5" customHeight="1">
      <c r="A1044" s="12">
        <f>IFERROR(__xludf.DUMMYFUNCTION("""COMPUTED_VALUE"""),696.0)</f>
        <v>696</v>
      </c>
      <c r="B1044" s="13">
        <f>IFERROR(__xludf.DUMMYFUNCTION("""COMPUTED_VALUE"""),45337.0)</f>
        <v>45337</v>
      </c>
      <c r="C1044" s="12">
        <f>IFERROR(__xludf.DUMMYFUNCTION("""COMPUTED_VALUE"""),76.0)</f>
        <v>76</v>
      </c>
      <c r="D1044" s="12">
        <f>IFERROR(__xludf.DUMMYFUNCTION("""COMPUTED_VALUE"""),13.0)</f>
        <v>13</v>
      </c>
      <c r="E1044" s="12">
        <f>IFERROR(__xludf.DUMMYFUNCTION("""COMPUTED_VALUE"""),3.0)</f>
        <v>3</v>
      </c>
      <c r="F1044" s="12">
        <f>IFERROR(__xludf.DUMMYFUNCTION("""COMPUTED_VALUE"""),1.0)</f>
        <v>1</v>
      </c>
      <c r="G1044" s="15" t="str">
        <f>IFERROR(__xludf.DUMMYFUNCTION("""COMPUTED_VALUE"""),"Completa")</f>
        <v>Completa</v>
      </c>
      <c r="H1044" s="16" t="str">
        <f t="array" ref="H1044">_xlfn.XLOOKUP(D1044,Productos[ID_Producto],Productos[Nombre_Producto])</f>
        <v>Pan integral</v>
      </c>
      <c r="I1044" s="17">
        <f t="array" ref="I1044">_xlfn.XLOOKUP(D1044,Productos[ID_Producto],Productos[Precio_Unitario])</f>
        <v>12.56</v>
      </c>
      <c r="J1044" s="17">
        <f t="shared" si="1"/>
        <v>37.68</v>
      </c>
      <c r="K1044" s="16" t="str">
        <f t="array" ref="K1044">_xlfn.XLOOKUP(C1044,Clientes[ID_Cliente],Clientes[Provincia])</f>
        <v>Córdoba</v>
      </c>
      <c r="L1044" s="16" t="str">
        <f t="array" ref="L1044">CONCATENATE(_xlfn.XLOOKUP(C1044,Clientes[ID_Cliente],Clientes[Provincia]),", Argentina")</f>
        <v>Córdoba, Argentina</v>
      </c>
      <c r="M1044" s="20" t="str">
        <f t="array" ref="M1044">_xlfn.XLOOKUP(F1044,Metodos_De_Pago[ID_Metodo],Metodos_De_Pago[Metodo])</f>
        <v>Efectivo</v>
      </c>
      <c r="N1044" s="20" t="str">
        <f t="shared" si="2"/>
        <v>2024 02</v>
      </c>
    </row>
    <row r="1045" ht="22.5" customHeight="1">
      <c r="A1045" s="12">
        <f>IFERROR(__xludf.DUMMYFUNCTION("""COMPUTED_VALUE"""),2238.0)</f>
        <v>2238</v>
      </c>
      <c r="B1045" s="13">
        <f>IFERROR(__xludf.DUMMYFUNCTION("""COMPUTED_VALUE"""),45337.0)</f>
        <v>45337</v>
      </c>
      <c r="C1045" s="12">
        <f>IFERROR(__xludf.DUMMYFUNCTION("""COMPUTED_VALUE"""),231.0)</f>
        <v>231</v>
      </c>
      <c r="D1045" s="12">
        <f>IFERROR(__xludf.DUMMYFUNCTION("""COMPUTED_VALUE"""),12.0)</f>
        <v>12</v>
      </c>
      <c r="E1045" s="12">
        <f>IFERROR(__xludf.DUMMYFUNCTION("""COMPUTED_VALUE"""),3.0)</f>
        <v>3</v>
      </c>
      <c r="F1045" s="12">
        <f>IFERROR(__xludf.DUMMYFUNCTION("""COMPUTED_VALUE"""),4.0)</f>
        <v>4</v>
      </c>
      <c r="G1045" s="15" t="str">
        <f>IFERROR(__xludf.DUMMYFUNCTION("""COMPUTED_VALUE"""),"Completa")</f>
        <v>Completa</v>
      </c>
      <c r="H1045" s="16" t="str">
        <f t="array" ref="H1045">_xlfn.XLOOKUP(D1045,Productos[ID_Producto],Productos[Nombre_Producto])</f>
        <v>Pan francés</v>
      </c>
      <c r="I1045" s="17">
        <f t="array" ref="I1045">_xlfn.XLOOKUP(D1045,Productos[ID_Producto],Productos[Precio_Unitario])</f>
        <v>8.12</v>
      </c>
      <c r="J1045" s="17">
        <f t="shared" si="1"/>
        <v>24.36</v>
      </c>
      <c r="K1045" s="16" t="str">
        <f t="array" ref="K1045">_xlfn.XLOOKUP(C1045,Clientes[ID_Cliente],Clientes[Provincia])</f>
        <v>Neuquén</v>
      </c>
      <c r="L1045" s="16" t="str">
        <f t="array" ref="L1045">CONCATENATE(_xlfn.XLOOKUP(C1045,Clientes[ID_Cliente],Clientes[Provincia]),", Argentina")</f>
        <v>Neuquén, Argentina</v>
      </c>
      <c r="M1045" s="20" t="str">
        <f t="array" ref="M1045">_xlfn.XLOOKUP(F1045,Metodos_De_Pago[ID_Metodo],Metodos_De_Pago[Metodo])</f>
        <v>Mercado Pago</v>
      </c>
      <c r="N1045" s="20" t="str">
        <f t="shared" si="2"/>
        <v>2024 02</v>
      </c>
    </row>
    <row r="1046" ht="22.5" customHeight="1">
      <c r="A1046" s="12">
        <f>IFERROR(__xludf.DUMMYFUNCTION("""COMPUTED_VALUE"""),481.0)</f>
        <v>481</v>
      </c>
      <c r="B1046" s="13">
        <f>IFERROR(__xludf.DUMMYFUNCTION("""COMPUTED_VALUE"""),45338.0)</f>
        <v>45338</v>
      </c>
      <c r="C1046" s="12">
        <f>IFERROR(__xludf.DUMMYFUNCTION("""COMPUTED_VALUE"""),109.0)</f>
        <v>109</v>
      </c>
      <c r="D1046" s="12">
        <f>IFERROR(__xludf.DUMMYFUNCTION("""COMPUTED_VALUE"""),19.0)</f>
        <v>19</v>
      </c>
      <c r="E1046" s="12">
        <f>IFERROR(__xludf.DUMMYFUNCTION("""COMPUTED_VALUE"""),3.0)</f>
        <v>3</v>
      </c>
      <c r="F1046" s="12">
        <f>IFERROR(__xludf.DUMMYFUNCTION("""COMPUTED_VALUE"""),3.0)</f>
        <v>3</v>
      </c>
      <c r="G1046" s="15" t="str">
        <f>IFERROR(__xludf.DUMMYFUNCTION("""COMPUTED_VALUE"""),"Completa")</f>
        <v>Completa</v>
      </c>
      <c r="H1046" s="16" t="str">
        <f t="array" ref="H1046">_xlfn.XLOOKUP(D1046,Productos[ID_Producto],Productos[Nombre_Producto])</f>
        <v>Tomates</v>
      </c>
      <c r="I1046" s="17">
        <f t="array" ref="I1046">_xlfn.XLOOKUP(D1046,Productos[ID_Producto],Productos[Precio_Unitario])</f>
        <v>6.54</v>
      </c>
      <c r="J1046" s="17">
        <f t="shared" si="1"/>
        <v>19.62</v>
      </c>
      <c r="K1046" s="16" t="str">
        <f t="array" ref="K1046">_xlfn.XLOOKUP(C1046,Clientes[ID_Cliente],Clientes[Provincia])</f>
        <v>San Luis</v>
      </c>
      <c r="L1046" s="16" t="str">
        <f t="array" ref="L1046">CONCATENATE(_xlfn.XLOOKUP(C1046,Clientes[ID_Cliente],Clientes[Provincia]),", Argentina")</f>
        <v>San Luis, Argentina</v>
      </c>
      <c r="M1046" s="20" t="str">
        <f t="array" ref="M1046">_xlfn.XLOOKUP(F1046,Metodos_De_Pago[ID_Metodo],Metodos_De_Pago[Metodo])</f>
        <v>Tarjeta de Débito</v>
      </c>
      <c r="N1046" s="20" t="str">
        <f t="shared" si="2"/>
        <v>2024 02</v>
      </c>
    </row>
    <row r="1047" ht="22.5" customHeight="1">
      <c r="A1047" s="12">
        <f>IFERROR(__xludf.DUMMYFUNCTION("""COMPUTED_VALUE"""),2323.0)</f>
        <v>2323</v>
      </c>
      <c r="B1047" s="13">
        <f>IFERROR(__xludf.DUMMYFUNCTION("""COMPUTED_VALUE"""),45338.0)</f>
        <v>45338</v>
      </c>
      <c r="C1047" s="12">
        <f>IFERROR(__xludf.DUMMYFUNCTION("""COMPUTED_VALUE"""),98.0)</f>
        <v>98</v>
      </c>
      <c r="D1047" s="12">
        <f>IFERROR(__xludf.DUMMYFUNCTION("""COMPUTED_VALUE"""),25.0)</f>
        <v>25</v>
      </c>
      <c r="E1047" s="12">
        <f>IFERROR(__xludf.DUMMYFUNCTION("""COMPUTED_VALUE"""),3.0)</f>
        <v>3</v>
      </c>
      <c r="F1047" s="12">
        <f>IFERROR(__xludf.DUMMYFUNCTION("""COMPUTED_VALUE"""),3.0)</f>
        <v>3</v>
      </c>
      <c r="G1047" s="15" t="str">
        <f>IFERROR(__xludf.DUMMYFUNCTION("""COMPUTED_VALUE"""),"Completa")</f>
        <v>Completa</v>
      </c>
      <c r="H1047" s="16" t="str">
        <f t="array" ref="H1047">_xlfn.XLOOKUP(D1047,Productos[ID_Producto],Productos[Nombre_Producto])</f>
        <v>Pizza congelada</v>
      </c>
      <c r="I1047" s="17">
        <f t="array" ref="I1047">_xlfn.XLOOKUP(D1047,Productos[ID_Producto],Productos[Precio_Unitario])</f>
        <v>15.45</v>
      </c>
      <c r="J1047" s="17">
        <f t="shared" si="1"/>
        <v>46.35</v>
      </c>
      <c r="K1047" s="16" t="str">
        <f t="array" ref="K1047">_xlfn.XLOOKUP(C1047,Clientes[ID_Cliente],Clientes[Provincia])</f>
        <v>Córdoba</v>
      </c>
      <c r="L1047" s="16" t="str">
        <f t="array" ref="L1047">CONCATENATE(_xlfn.XLOOKUP(C1047,Clientes[ID_Cliente],Clientes[Provincia]),", Argentina")</f>
        <v>Córdoba, Argentina</v>
      </c>
      <c r="M1047" s="20" t="str">
        <f t="array" ref="M1047">_xlfn.XLOOKUP(F1047,Metodos_De_Pago[ID_Metodo],Metodos_De_Pago[Metodo])</f>
        <v>Tarjeta de Débito</v>
      </c>
      <c r="N1047" s="20" t="str">
        <f t="shared" si="2"/>
        <v>2024 02</v>
      </c>
    </row>
    <row r="1048" ht="22.5" customHeight="1">
      <c r="A1048" s="12">
        <f>IFERROR(__xludf.DUMMYFUNCTION("""COMPUTED_VALUE"""),2937.0)</f>
        <v>2937</v>
      </c>
      <c r="B1048" s="13">
        <f>IFERROR(__xludf.DUMMYFUNCTION("""COMPUTED_VALUE"""),45338.0)</f>
        <v>45338</v>
      </c>
      <c r="C1048" s="12">
        <f>IFERROR(__xludf.DUMMYFUNCTION("""COMPUTED_VALUE"""),124.0)</f>
        <v>124</v>
      </c>
      <c r="D1048" s="12">
        <f>IFERROR(__xludf.DUMMYFUNCTION("""COMPUTED_VALUE"""),3.0)</f>
        <v>3</v>
      </c>
      <c r="E1048" s="12">
        <f>IFERROR(__xludf.DUMMYFUNCTION("""COMPUTED_VALUE"""),3.0)</f>
        <v>3</v>
      </c>
      <c r="F1048" s="12">
        <f>IFERROR(__xludf.DUMMYFUNCTION("""COMPUTED_VALUE"""),2.0)</f>
        <v>2</v>
      </c>
      <c r="G1048" s="15" t="str">
        <f>IFERROR(__xludf.DUMMYFUNCTION("""COMPUTED_VALUE"""),"Completa")</f>
        <v>Completa</v>
      </c>
      <c r="H1048" s="16" t="str">
        <f t="array" ref="H1048">_xlfn.XLOOKUP(D1048,Productos[ID_Producto],Productos[Nombre_Producto])</f>
        <v>Queso cremoso</v>
      </c>
      <c r="I1048" s="17">
        <f t="array" ref="I1048">_xlfn.XLOOKUP(D1048,Productos[ID_Producto],Productos[Precio_Unitario])</f>
        <v>17.23</v>
      </c>
      <c r="J1048" s="17">
        <f t="shared" si="1"/>
        <v>51.69</v>
      </c>
      <c r="K1048" s="16" t="str">
        <f t="array" ref="K1048">_xlfn.XLOOKUP(C1048,Clientes[ID_Cliente],Clientes[Provincia])</f>
        <v>Chaco</v>
      </c>
      <c r="L1048" s="16" t="str">
        <f t="array" ref="L1048">CONCATENATE(_xlfn.XLOOKUP(C1048,Clientes[ID_Cliente],Clientes[Provincia]),", Argentina")</f>
        <v>Chaco, Argentina</v>
      </c>
      <c r="M1048" s="20" t="str">
        <f t="array" ref="M1048">_xlfn.XLOOKUP(F1048,Metodos_De_Pago[ID_Metodo],Metodos_De_Pago[Metodo])</f>
        <v>Tarjeta de Crédito</v>
      </c>
      <c r="N1048" s="20" t="str">
        <f t="shared" si="2"/>
        <v>2024 02</v>
      </c>
    </row>
    <row r="1049" ht="22.5" customHeight="1">
      <c r="A1049" s="12">
        <f>IFERROR(__xludf.DUMMYFUNCTION("""COMPUTED_VALUE"""),2045.0)</f>
        <v>2045</v>
      </c>
      <c r="B1049" s="13">
        <f>IFERROR(__xludf.DUMMYFUNCTION("""COMPUTED_VALUE"""),45339.0)</f>
        <v>45339</v>
      </c>
      <c r="C1049" s="12">
        <f>IFERROR(__xludf.DUMMYFUNCTION("""COMPUTED_VALUE"""),97.0)</f>
        <v>97</v>
      </c>
      <c r="D1049" s="12">
        <f>IFERROR(__xludf.DUMMYFUNCTION("""COMPUTED_VALUE"""),8.0)</f>
        <v>8</v>
      </c>
      <c r="E1049" s="12">
        <f>IFERROR(__xludf.DUMMYFUNCTION("""COMPUTED_VALUE"""),3.0)</f>
        <v>3</v>
      </c>
      <c r="F1049" s="12">
        <f>IFERROR(__xludf.DUMMYFUNCTION("""COMPUTED_VALUE"""),4.0)</f>
        <v>4</v>
      </c>
      <c r="G1049" s="15" t="str">
        <f>IFERROR(__xludf.DUMMYFUNCTION("""COMPUTED_VALUE"""),"Completa")</f>
        <v>Completa</v>
      </c>
      <c r="H1049" s="16" t="str">
        <f t="array" ref="H1049">_xlfn.XLOOKUP(D1049,Productos[ID_Producto],Productos[Nombre_Producto])</f>
        <v>Milanesa</v>
      </c>
      <c r="I1049" s="17">
        <f t="array" ref="I1049">_xlfn.XLOOKUP(D1049,Productos[ID_Producto],Productos[Precio_Unitario])</f>
        <v>16.21</v>
      </c>
      <c r="J1049" s="17">
        <f t="shared" si="1"/>
        <v>48.63</v>
      </c>
      <c r="K1049" s="16" t="str">
        <f t="array" ref="K1049">_xlfn.XLOOKUP(C1049,Clientes[ID_Cliente],Clientes[Provincia])</f>
        <v>Buenos Aires</v>
      </c>
      <c r="L1049" s="16" t="str">
        <f t="array" ref="L1049">CONCATENATE(_xlfn.XLOOKUP(C1049,Clientes[ID_Cliente],Clientes[Provincia]),", Argentina")</f>
        <v>Buenos Aires, Argentina</v>
      </c>
      <c r="M1049" s="20" t="str">
        <f t="array" ref="M1049">_xlfn.XLOOKUP(F1049,Metodos_De_Pago[ID_Metodo],Metodos_De_Pago[Metodo])</f>
        <v>Mercado Pago</v>
      </c>
      <c r="N1049" s="20" t="str">
        <f t="shared" si="2"/>
        <v>2024 02</v>
      </c>
    </row>
    <row r="1050" ht="22.5" customHeight="1">
      <c r="A1050" s="12">
        <f>IFERROR(__xludf.DUMMYFUNCTION("""COMPUTED_VALUE"""),801.0)</f>
        <v>801</v>
      </c>
      <c r="B1050" s="13">
        <f>IFERROR(__xludf.DUMMYFUNCTION("""COMPUTED_VALUE"""),45340.0)</f>
        <v>45340</v>
      </c>
      <c r="C1050" s="12">
        <f>IFERROR(__xludf.DUMMYFUNCTION("""COMPUTED_VALUE"""),37.0)</f>
        <v>37</v>
      </c>
      <c r="D1050" s="12">
        <f>IFERROR(__xludf.DUMMYFUNCTION("""COMPUTED_VALUE"""),27.0)</f>
        <v>27</v>
      </c>
      <c r="E1050" s="12">
        <f>IFERROR(__xludf.DUMMYFUNCTION("""COMPUTED_VALUE"""),3.0)</f>
        <v>3</v>
      </c>
      <c r="F1050" s="12">
        <f>IFERROR(__xludf.DUMMYFUNCTION("""COMPUTED_VALUE"""),1.0)</f>
        <v>1</v>
      </c>
      <c r="G1050" s="15" t="str">
        <f>IFERROR(__xludf.DUMMYFUNCTION("""COMPUTED_VALUE"""),"Completa")</f>
        <v>Completa</v>
      </c>
      <c r="H1050" s="16" t="str">
        <f t="array" ref="H1050">_xlfn.XLOOKUP(D1050,Productos[ID_Producto],Productos[Nombre_Producto])</f>
        <v>Agua mineral</v>
      </c>
      <c r="I1050" s="17">
        <f t="array" ref="I1050">_xlfn.XLOOKUP(D1050,Productos[ID_Producto],Productos[Precio_Unitario])</f>
        <v>6.21</v>
      </c>
      <c r="J1050" s="17">
        <f t="shared" si="1"/>
        <v>18.63</v>
      </c>
      <c r="K1050" s="16" t="str">
        <f t="array" ref="K1050">_xlfn.XLOOKUP(C1050,Clientes[ID_Cliente],Clientes[Provincia])</f>
        <v>San Luis</v>
      </c>
      <c r="L1050" s="16" t="str">
        <f t="array" ref="L1050">CONCATENATE(_xlfn.XLOOKUP(C1050,Clientes[ID_Cliente],Clientes[Provincia]),", Argentina")</f>
        <v>San Luis, Argentina</v>
      </c>
      <c r="M1050" s="20" t="str">
        <f t="array" ref="M1050">_xlfn.XLOOKUP(F1050,Metodos_De_Pago[ID_Metodo],Metodos_De_Pago[Metodo])</f>
        <v>Efectivo</v>
      </c>
      <c r="N1050" s="20" t="str">
        <f t="shared" si="2"/>
        <v>2024 02</v>
      </c>
    </row>
    <row r="1051" ht="22.5" customHeight="1">
      <c r="A1051" s="12">
        <f>IFERROR(__xludf.DUMMYFUNCTION("""COMPUTED_VALUE"""),1722.0)</f>
        <v>1722</v>
      </c>
      <c r="B1051" s="13">
        <f>IFERROR(__xludf.DUMMYFUNCTION("""COMPUTED_VALUE"""),45341.0)</f>
        <v>45341</v>
      </c>
      <c r="C1051" s="12">
        <f>IFERROR(__xludf.DUMMYFUNCTION("""COMPUTED_VALUE"""),266.0)</f>
        <v>266</v>
      </c>
      <c r="D1051" s="12">
        <f>IFERROR(__xludf.DUMMYFUNCTION("""COMPUTED_VALUE"""),7.0)</f>
        <v>7</v>
      </c>
      <c r="E1051" s="12">
        <f>IFERROR(__xludf.DUMMYFUNCTION("""COMPUTED_VALUE"""),3.0)</f>
        <v>3</v>
      </c>
      <c r="F1051" s="12">
        <f>IFERROR(__xludf.DUMMYFUNCTION("""COMPUTED_VALUE"""),4.0)</f>
        <v>4</v>
      </c>
      <c r="G1051" s="15" t="str">
        <f>IFERROR(__xludf.DUMMYFUNCTION("""COMPUTED_VALUE"""),"Completa")</f>
        <v>Completa</v>
      </c>
      <c r="H1051" s="16" t="str">
        <f t="array" ref="H1051">_xlfn.XLOOKUP(D1051,Productos[ID_Producto],Productos[Nombre_Producto])</f>
        <v>Chorizo</v>
      </c>
      <c r="I1051" s="17">
        <f t="array" ref="I1051">_xlfn.XLOOKUP(D1051,Productos[ID_Producto],Productos[Precio_Unitario])</f>
        <v>11.25</v>
      </c>
      <c r="J1051" s="17">
        <f t="shared" si="1"/>
        <v>33.75</v>
      </c>
      <c r="K1051" s="16" t="str">
        <f t="array" ref="K1051">_xlfn.XLOOKUP(C1051,Clientes[ID_Cliente],Clientes[Provincia])</f>
        <v>Buenos Aires</v>
      </c>
      <c r="L1051" s="16" t="str">
        <f t="array" ref="L1051">CONCATENATE(_xlfn.XLOOKUP(C1051,Clientes[ID_Cliente],Clientes[Provincia]),", Argentina")</f>
        <v>Buenos Aires, Argentina</v>
      </c>
      <c r="M1051" s="20" t="str">
        <f t="array" ref="M1051">_xlfn.XLOOKUP(F1051,Metodos_De_Pago[ID_Metodo],Metodos_De_Pago[Metodo])</f>
        <v>Mercado Pago</v>
      </c>
      <c r="N1051" s="20" t="str">
        <f t="shared" si="2"/>
        <v>2024 02</v>
      </c>
    </row>
    <row r="1052" ht="22.5" customHeight="1">
      <c r="A1052" s="12">
        <f>IFERROR(__xludf.DUMMYFUNCTION("""COMPUTED_VALUE"""),1041.0)</f>
        <v>1041</v>
      </c>
      <c r="B1052" s="13">
        <f>IFERROR(__xludf.DUMMYFUNCTION("""COMPUTED_VALUE"""),45343.0)</f>
        <v>45343</v>
      </c>
      <c r="C1052" s="12">
        <f>IFERROR(__xludf.DUMMYFUNCTION("""COMPUTED_VALUE"""),312.0)</f>
        <v>312</v>
      </c>
      <c r="D1052" s="12">
        <f>IFERROR(__xludf.DUMMYFUNCTION("""COMPUTED_VALUE"""),9.0)</f>
        <v>9</v>
      </c>
      <c r="E1052" s="12">
        <f>IFERROR(__xludf.DUMMYFUNCTION("""COMPUTED_VALUE"""),3.0)</f>
        <v>3</v>
      </c>
      <c r="F1052" s="12">
        <f>IFERROR(__xludf.DUMMYFUNCTION("""COMPUTED_VALUE"""),3.0)</f>
        <v>3</v>
      </c>
      <c r="G1052" s="15" t="str">
        <f>IFERROR(__xludf.DUMMYFUNCTION("""COMPUTED_VALUE"""),"Completa")</f>
        <v>Completa</v>
      </c>
      <c r="H1052" s="16" t="str">
        <f t="array" ref="H1052">_xlfn.XLOOKUP(D1052,Productos[ID_Producto],Productos[Nombre_Producto])</f>
        <v>Pollo</v>
      </c>
      <c r="I1052" s="17">
        <f t="array" ref="I1052">_xlfn.XLOOKUP(D1052,Productos[ID_Producto],Productos[Precio_Unitario])</f>
        <v>18.56</v>
      </c>
      <c r="J1052" s="17">
        <f t="shared" si="1"/>
        <v>55.68</v>
      </c>
      <c r="K1052" s="16" t="str">
        <f t="array" ref="K1052">_xlfn.XLOOKUP(C1052,Clientes[ID_Cliente],Clientes[Provincia])</f>
        <v>San Luis</v>
      </c>
      <c r="L1052" s="16" t="str">
        <f t="array" ref="L1052">CONCATENATE(_xlfn.XLOOKUP(C1052,Clientes[ID_Cliente],Clientes[Provincia]),", Argentina")</f>
        <v>San Luis, Argentina</v>
      </c>
      <c r="M1052" s="20" t="str">
        <f t="array" ref="M1052">_xlfn.XLOOKUP(F1052,Metodos_De_Pago[ID_Metodo],Metodos_De_Pago[Metodo])</f>
        <v>Tarjeta de Débito</v>
      </c>
      <c r="N1052" s="20" t="str">
        <f t="shared" si="2"/>
        <v>2024 02</v>
      </c>
    </row>
    <row r="1053" ht="22.5" customHeight="1">
      <c r="A1053" s="12">
        <f>IFERROR(__xludf.DUMMYFUNCTION("""COMPUTED_VALUE"""),2560.0)</f>
        <v>2560</v>
      </c>
      <c r="B1053" s="13">
        <f>IFERROR(__xludf.DUMMYFUNCTION("""COMPUTED_VALUE"""),45343.0)</f>
        <v>45343</v>
      </c>
      <c r="C1053" s="12">
        <f>IFERROR(__xludf.DUMMYFUNCTION("""COMPUTED_VALUE"""),249.0)</f>
        <v>249</v>
      </c>
      <c r="D1053" s="12">
        <f>IFERROR(__xludf.DUMMYFUNCTION("""COMPUTED_VALUE"""),33.0)</f>
        <v>33</v>
      </c>
      <c r="E1053" s="12">
        <f>IFERROR(__xludf.DUMMYFUNCTION("""COMPUTED_VALUE"""),3.0)</f>
        <v>3</v>
      </c>
      <c r="F1053" s="12">
        <f>IFERROR(__xludf.DUMMYFUNCTION("""COMPUTED_VALUE"""),5.0)</f>
        <v>5</v>
      </c>
      <c r="G1053" s="15" t="str">
        <f>IFERROR(__xludf.DUMMYFUNCTION("""COMPUTED_VALUE"""),"Completa")</f>
        <v>Completa</v>
      </c>
      <c r="H1053" s="16" t="str">
        <f t="array" ref="H1053">_xlfn.XLOOKUP(D1053,Productos[ID_Producto],Productos[Nombre_Producto])</f>
        <v>Papas chips</v>
      </c>
      <c r="I1053" s="17">
        <f t="array" ref="I1053">_xlfn.XLOOKUP(D1053,Productos[ID_Producto],Productos[Precio_Unitario])</f>
        <v>8.54</v>
      </c>
      <c r="J1053" s="17">
        <f t="shared" si="1"/>
        <v>25.62</v>
      </c>
      <c r="K1053" s="16" t="str">
        <f t="array" ref="K1053">_xlfn.XLOOKUP(C1053,Clientes[ID_Cliente],Clientes[Provincia])</f>
        <v>Buenos Aires</v>
      </c>
      <c r="L1053" s="16" t="str">
        <f t="array" ref="L1053">CONCATENATE(_xlfn.XLOOKUP(C1053,Clientes[ID_Cliente],Clientes[Provincia]),", Argentina")</f>
        <v>Buenos Aires, Argentina</v>
      </c>
      <c r="M1053" s="20" t="str">
        <f t="array" ref="M1053">_xlfn.XLOOKUP(F1053,Metodos_De_Pago[ID_Metodo],Metodos_De_Pago[Metodo])</f>
        <v>Transferencia</v>
      </c>
      <c r="N1053" s="20" t="str">
        <f t="shared" si="2"/>
        <v>2024 02</v>
      </c>
    </row>
    <row r="1054" ht="22.5" customHeight="1">
      <c r="A1054" s="12">
        <f>IFERROR(__xludf.DUMMYFUNCTION("""COMPUTED_VALUE"""),407.0)</f>
        <v>407</v>
      </c>
      <c r="B1054" s="13">
        <f>IFERROR(__xludf.DUMMYFUNCTION("""COMPUTED_VALUE"""),45344.0)</f>
        <v>45344</v>
      </c>
      <c r="C1054" s="12">
        <f>IFERROR(__xludf.DUMMYFUNCTION("""COMPUTED_VALUE"""),32.0)</f>
        <v>32</v>
      </c>
      <c r="D1054" s="12">
        <f>IFERROR(__xludf.DUMMYFUNCTION("""COMPUTED_VALUE"""),5.0)</f>
        <v>5</v>
      </c>
      <c r="E1054" s="12">
        <f>IFERROR(__xludf.DUMMYFUNCTION("""COMPUTED_VALUE"""),3.0)</f>
        <v>3</v>
      </c>
      <c r="F1054" s="12">
        <f>IFERROR(__xludf.DUMMYFUNCTION("""COMPUTED_VALUE"""),3.0)</f>
        <v>3</v>
      </c>
      <c r="G1054" s="15" t="str">
        <f>IFERROR(__xludf.DUMMYFUNCTION("""COMPUTED_VALUE"""),"Completa")</f>
        <v>Completa</v>
      </c>
      <c r="H1054" s="16" t="str">
        <f t="array" ref="H1054">_xlfn.XLOOKUP(D1054,Productos[ID_Producto],Productos[Nombre_Producto])</f>
        <v>Manteca</v>
      </c>
      <c r="I1054" s="17">
        <f t="array" ref="I1054">_xlfn.XLOOKUP(D1054,Productos[ID_Producto],Productos[Precio_Unitario])</f>
        <v>5.65</v>
      </c>
      <c r="J1054" s="17">
        <f t="shared" si="1"/>
        <v>16.95</v>
      </c>
      <c r="K1054" s="16" t="str">
        <f t="array" ref="K1054">_xlfn.XLOOKUP(C1054,Clientes[ID_Cliente],Clientes[Provincia])</f>
        <v>San Luis</v>
      </c>
      <c r="L1054" s="16" t="str">
        <f t="array" ref="L1054">CONCATENATE(_xlfn.XLOOKUP(C1054,Clientes[ID_Cliente],Clientes[Provincia]),", Argentina")</f>
        <v>San Luis, Argentina</v>
      </c>
      <c r="M1054" s="20" t="str">
        <f t="array" ref="M1054">_xlfn.XLOOKUP(F1054,Metodos_De_Pago[ID_Metodo],Metodos_De_Pago[Metodo])</f>
        <v>Tarjeta de Débito</v>
      </c>
      <c r="N1054" s="20" t="str">
        <f t="shared" si="2"/>
        <v>2024 02</v>
      </c>
    </row>
    <row r="1055" ht="22.5" customHeight="1">
      <c r="A1055" s="12">
        <f>IFERROR(__xludf.DUMMYFUNCTION("""COMPUTED_VALUE"""),2527.0)</f>
        <v>2527</v>
      </c>
      <c r="B1055" s="13">
        <f>IFERROR(__xludf.DUMMYFUNCTION("""COMPUTED_VALUE"""),45344.0)</f>
        <v>45344</v>
      </c>
      <c r="C1055" s="12">
        <f>IFERROR(__xludf.DUMMYFUNCTION("""COMPUTED_VALUE"""),55.0)</f>
        <v>55</v>
      </c>
      <c r="D1055" s="12">
        <f>IFERROR(__xludf.DUMMYFUNCTION("""COMPUTED_VALUE"""),14.0)</f>
        <v>14</v>
      </c>
      <c r="E1055" s="12">
        <f>IFERROR(__xludf.DUMMYFUNCTION("""COMPUTED_VALUE"""),3.0)</f>
        <v>3</v>
      </c>
      <c r="F1055" s="12">
        <f>IFERROR(__xludf.DUMMYFUNCTION("""COMPUTED_VALUE"""),5.0)</f>
        <v>5</v>
      </c>
      <c r="G1055" s="15" t="str">
        <f>IFERROR(__xludf.DUMMYFUNCTION("""COMPUTED_VALUE"""),"Completa")</f>
        <v>Completa</v>
      </c>
      <c r="H1055" s="16" t="str">
        <f t="array" ref="H1055">_xlfn.XLOOKUP(D1055,Productos[ID_Producto],Productos[Nombre_Producto])</f>
        <v>Facturas</v>
      </c>
      <c r="I1055" s="17">
        <f t="array" ref="I1055">_xlfn.XLOOKUP(D1055,Productos[ID_Producto],Productos[Precio_Unitario])</f>
        <v>12.36</v>
      </c>
      <c r="J1055" s="17">
        <f t="shared" si="1"/>
        <v>37.08</v>
      </c>
      <c r="K1055" s="16" t="str">
        <f t="array" ref="K1055">_xlfn.XLOOKUP(C1055,Clientes[ID_Cliente],Clientes[Provincia])</f>
        <v>Neuquén</v>
      </c>
      <c r="L1055" s="16" t="str">
        <f t="array" ref="L1055">CONCATENATE(_xlfn.XLOOKUP(C1055,Clientes[ID_Cliente],Clientes[Provincia]),", Argentina")</f>
        <v>Neuquén, Argentina</v>
      </c>
      <c r="M1055" s="20" t="str">
        <f t="array" ref="M1055">_xlfn.XLOOKUP(F1055,Metodos_De_Pago[ID_Metodo],Metodos_De_Pago[Metodo])</f>
        <v>Transferencia</v>
      </c>
      <c r="N1055" s="20" t="str">
        <f t="shared" si="2"/>
        <v>2024 02</v>
      </c>
    </row>
    <row r="1056" ht="22.5" customHeight="1">
      <c r="A1056" s="12">
        <f>IFERROR(__xludf.DUMMYFUNCTION("""COMPUTED_VALUE"""),342.0)</f>
        <v>342</v>
      </c>
      <c r="B1056" s="13">
        <f>IFERROR(__xludf.DUMMYFUNCTION("""COMPUTED_VALUE"""),45346.0)</f>
        <v>45346</v>
      </c>
      <c r="C1056" s="12">
        <f>IFERROR(__xludf.DUMMYFUNCTION("""COMPUTED_VALUE"""),109.0)</f>
        <v>109</v>
      </c>
      <c r="D1056" s="12">
        <f>IFERROR(__xludf.DUMMYFUNCTION("""COMPUTED_VALUE"""),7.0)</f>
        <v>7</v>
      </c>
      <c r="E1056" s="12">
        <f>IFERROR(__xludf.DUMMYFUNCTION("""COMPUTED_VALUE"""),3.0)</f>
        <v>3</v>
      </c>
      <c r="F1056" s="12">
        <f>IFERROR(__xludf.DUMMYFUNCTION("""COMPUTED_VALUE"""),3.0)</f>
        <v>3</v>
      </c>
      <c r="G1056" s="15" t="str">
        <f>IFERROR(__xludf.DUMMYFUNCTION("""COMPUTED_VALUE"""),"Completa")</f>
        <v>Completa</v>
      </c>
      <c r="H1056" s="16" t="str">
        <f t="array" ref="H1056">_xlfn.XLOOKUP(D1056,Productos[ID_Producto],Productos[Nombre_Producto])</f>
        <v>Chorizo</v>
      </c>
      <c r="I1056" s="17">
        <f t="array" ref="I1056">_xlfn.XLOOKUP(D1056,Productos[ID_Producto],Productos[Precio_Unitario])</f>
        <v>11.25</v>
      </c>
      <c r="J1056" s="17">
        <f t="shared" si="1"/>
        <v>33.75</v>
      </c>
      <c r="K1056" s="16" t="str">
        <f t="array" ref="K1056">_xlfn.XLOOKUP(C1056,Clientes[ID_Cliente],Clientes[Provincia])</f>
        <v>San Luis</v>
      </c>
      <c r="L1056" s="16" t="str">
        <f t="array" ref="L1056">CONCATENATE(_xlfn.XLOOKUP(C1056,Clientes[ID_Cliente],Clientes[Provincia]),", Argentina")</f>
        <v>San Luis, Argentina</v>
      </c>
      <c r="M1056" s="20" t="str">
        <f t="array" ref="M1056">_xlfn.XLOOKUP(F1056,Metodos_De_Pago[ID_Metodo],Metodos_De_Pago[Metodo])</f>
        <v>Tarjeta de Débito</v>
      </c>
      <c r="N1056" s="20" t="str">
        <f t="shared" si="2"/>
        <v>2024 02</v>
      </c>
    </row>
    <row r="1057" ht="22.5" customHeight="1">
      <c r="A1057" s="12">
        <f>IFERROR(__xludf.DUMMYFUNCTION("""COMPUTED_VALUE"""),2439.0)</f>
        <v>2439</v>
      </c>
      <c r="B1057" s="13">
        <f>IFERROR(__xludf.DUMMYFUNCTION("""COMPUTED_VALUE"""),45346.0)</f>
        <v>45346</v>
      </c>
      <c r="C1057" s="12">
        <f>IFERROR(__xludf.DUMMYFUNCTION("""COMPUTED_VALUE"""),142.0)</f>
        <v>142</v>
      </c>
      <c r="D1057" s="12">
        <f>IFERROR(__xludf.DUMMYFUNCTION("""COMPUTED_VALUE"""),7.0)</f>
        <v>7</v>
      </c>
      <c r="E1057" s="12">
        <f>IFERROR(__xludf.DUMMYFUNCTION("""COMPUTED_VALUE"""),3.0)</f>
        <v>3</v>
      </c>
      <c r="F1057" s="12">
        <f>IFERROR(__xludf.DUMMYFUNCTION("""COMPUTED_VALUE"""),5.0)</f>
        <v>5</v>
      </c>
      <c r="G1057" s="15" t="str">
        <f>IFERROR(__xludf.DUMMYFUNCTION("""COMPUTED_VALUE"""),"Completa")</f>
        <v>Completa</v>
      </c>
      <c r="H1057" s="16" t="str">
        <f t="array" ref="H1057">_xlfn.XLOOKUP(D1057,Productos[ID_Producto],Productos[Nombre_Producto])</f>
        <v>Chorizo</v>
      </c>
      <c r="I1057" s="17">
        <f t="array" ref="I1057">_xlfn.XLOOKUP(D1057,Productos[ID_Producto],Productos[Precio_Unitario])</f>
        <v>11.25</v>
      </c>
      <c r="J1057" s="17">
        <f t="shared" si="1"/>
        <v>33.75</v>
      </c>
      <c r="K1057" s="16" t="str">
        <f t="array" ref="K1057">_xlfn.XLOOKUP(C1057,Clientes[ID_Cliente],Clientes[Provincia])</f>
        <v>San Luis</v>
      </c>
      <c r="L1057" s="16" t="str">
        <f t="array" ref="L1057">CONCATENATE(_xlfn.XLOOKUP(C1057,Clientes[ID_Cliente],Clientes[Provincia]),", Argentina")</f>
        <v>San Luis, Argentina</v>
      </c>
      <c r="M1057" s="20" t="str">
        <f t="array" ref="M1057">_xlfn.XLOOKUP(F1057,Metodos_De_Pago[ID_Metodo],Metodos_De_Pago[Metodo])</f>
        <v>Transferencia</v>
      </c>
      <c r="N1057" s="20" t="str">
        <f t="shared" si="2"/>
        <v>2024 02</v>
      </c>
    </row>
    <row r="1058" ht="22.5" customHeight="1">
      <c r="A1058" s="12">
        <f>IFERROR(__xludf.DUMMYFUNCTION("""COMPUTED_VALUE"""),2978.0)</f>
        <v>2978</v>
      </c>
      <c r="B1058" s="13">
        <f>IFERROR(__xludf.DUMMYFUNCTION("""COMPUTED_VALUE"""),45348.0)</f>
        <v>45348</v>
      </c>
      <c r="C1058" s="12">
        <f>IFERROR(__xludf.DUMMYFUNCTION("""COMPUTED_VALUE"""),108.0)</f>
        <v>108</v>
      </c>
      <c r="D1058" s="12">
        <f>IFERROR(__xludf.DUMMYFUNCTION("""COMPUTED_VALUE"""),3.0)</f>
        <v>3</v>
      </c>
      <c r="E1058" s="12">
        <f>IFERROR(__xludf.DUMMYFUNCTION("""COMPUTED_VALUE"""),3.0)</f>
        <v>3</v>
      </c>
      <c r="F1058" s="12">
        <f>IFERROR(__xludf.DUMMYFUNCTION("""COMPUTED_VALUE"""),1.0)</f>
        <v>1</v>
      </c>
      <c r="G1058" s="15" t="str">
        <f>IFERROR(__xludf.DUMMYFUNCTION("""COMPUTED_VALUE"""),"Completa")</f>
        <v>Completa</v>
      </c>
      <c r="H1058" s="16" t="str">
        <f t="array" ref="H1058">_xlfn.XLOOKUP(D1058,Productos[ID_Producto],Productos[Nombre_Producto])</f>
        <v>Queso cremoso</v>
      </c>
      <c r="I1058" s="17">
        <f t="array" ref="I1058">_xlfn.XLOOKUP(D1058,Productos[ID_Producto],Productos[Precio_Unitario])</f>
        <v>17.23</v>
      </c>
      <c r="J1058" s="17">
        <f t="shared" si="1"/>
        <v>51.69</v>
      </c>
      <c r="K1058" s="16" t="str">
        <f t="array" ref="K1058">_xlfn.XLOOKUP(C1058,Clientes[ID_Cliente],Clientes[Provincia])</f>
        <v>Neuquén</v>
      </c>
      <c r="L1058" s="16" t="str">
        <f t="array" ref="L1058">CONCATENATE(_xlfn.XLOOKUP(C1058,Clientes[ID_Cliente],Clientes[Provincia]),", Argentina")</f>
        <v>Neuquén, Argentina</v>
      </c>
      <c r="M1058" s="20" t="str">
        <f t="array" ref="M1058">_xlfn.XLOOKUP(F1058,Metodos_De_Pago[ID_Metodo],Metodos_De_Pago[Metodo])</f>
        <v>Efectivo</v>
      </c>
      <c r="N1058" s="20" t="str">
        <f t="shared" si="2"/>
        <v>2024 02</v>
      </c>
    </row>
    <row r="1059" ht="22.5" customHeight="1">
      <c r="A1059" s="12">
        <f>IFERROR(__xludf.DUMMYFUNCTION("""COMPUTED_VALUE"""),2442.0)</f>
        <v>2442</v>
      </c>
      <c r="B1059" s="13">
        <f>IFERROR(__xludf.DUMMYFUNCTION("""COMPUTED_VALUE"""),45349.0)</f>
        <v>45349</v>
      </c>
      <c r="C1059" s="12">
        <f>IFERROR(__xludf.DUMMYFUNCTION("""COMPUTED_VALUE"""),266.0)</f>
        <v>266</v>
      </c>
      <c r="D1059" s="12">
        <f>IFERROR(__xludf.DUMMYFUNCTION("""COMPUTED_VALUE"""),26.0)</f>
        <v>26</v>
      </c>
      <c r="E1059" s="12">
        <f>IFERROR(__xludf.DUMMYFUNCTION("""COMPUTED_VALUE"""),3.0)</f>
        <v>3</v>
      </c>
      <c r="F1059" s="12">
        <f>IFERROR(__xludf.DUMMYFUNCTION("""COMPUTED_VALUE"""),5.0)</f>
        <v>5</v>
      </c>
      <c r="G1059" s="15" t="str">
        <f>IFERROR(__xludf.DUMMYFUNCTION("""COMPUTED_VALUE"""),"Completa")</f>
        <v>Completa</v>
      </c>
      <c r="H1059" s="16" t="str">
        <f t="array" ref="H1059">_xlfn.XLOOKUP(D1059,Productos[ID_Producto],Productos[Nombre_Producto])</f>
        <v>Hamburgesas congeladas</v>
      </c>
      <c r="I1059" s="17">
        <f t="array" ref="I1059">_xlfn.XLOOKUP(D1059,Productos[ID_Producto],Productos[Precio_Unitario])</f>
        <v>9.54</v>
      </c>
      <c r="J1059" s="17">
        <f t="shared" si="1"/>
        <v>28.62</v>
      </c>
      <c r="K1059" s="16" t="str">
        <f t="array" ref="K1059">_xlfn.XLOOKUP(C1059,Clientes[ID_Cliente],Clientes[Provincia])</f>
        <v>Buenos Aires</v>
      </c>
      <c r="L1059" s="16" t="str">
        <f t="array" ref="L1059">CONCATENATE(_xlfn.XLOOKUP(C1059,Clientes[ID_Cliente],Clientes[Provincia]),", Argentina")</f>
        <v>Buenos Aires, Argentina</v>
      </c>
      <c r="M1059" s="20" t="str">
        <f t="array" ref="M1059">_xlfn.XLOOKUP(F1059,Metodos_De_Pago[ID_Metodo],Metodos_De_Pago[Metodo])</f>
        <v>Transferencia</v>
      </c>
      <c r="N1059" s="20" t="str">
        <f t="shared" si="2"/>
        <v>2024 02</v>
      </c>
    </row>
    <row r="1060" ht="22.5" customHeight="1">
      <c r="A1060" s="12">
        <f>IFERROR(__xludf.DUMMYFUNCTION("""COMPUTED_VALUE"""),3.0)</f>
        <v>3</v>
      </c>
      <c r="B1060" s="13">
        <f>IFERROR(__xludf.DUMMYFUNCTION("""COMPUTED_VALUE"""),45351.0)</f>
        <v>45351</v>
      </c>
      <c r="C1060" s="12">
        <f>IFERROR(__xludf.DUMMYFUNCTION("""COMPUTED_VALUE"""),31.0)</f>
        <v>31</v>
      </c>
      <c r="D1060" s="12">
        <f>IFERROR(__xludf.DUMMYFUNCTION("""COMPUTED_VALUE"""),21.0)</f>
        <v>21</v>
      </c>
      <c r="E1060" s="12">
        <f>IFERROR(__xludf.DUMMYFUNCTION("""COMPUTED_VALUE"""),3.0)</f>
        <v>3</v>
      </c>
      <c r="F1060" s="12">
        <f>IFERROR(__xludf.DUMMYFUNCTION("""COMPUTED_VALUE"""),3.0)</f>
        <v>3</v>
      </c>
      <c r="G1060" s="15" t="str">
        <f>IFERROR(__xludf.DUMMYFUNCTION("""COMPUTED_VALUE"""),"Completa")</f>
        <v>Completa</v>
      </c>
      <c r="H1060" s="16" t="str">
        <f t="array" ref="H1060">_xlfn.XLOOKUP(D1060,Productos[ID_Producto],Productos[Nombre_Producto])</f>
        <v>Zanahorias</v>
      </c>
      <c r="I1060" s="17">
        <f t="array" ref="I1060">_xlfn.XLOOKUP(D1060,Productos[ID_Producto],Productos[Precio_Unitario])</f>
        <v>3.25</v>
      </c>
      <c r="J1060" s="17">
        <f t="shared" si="1"/>
        <v>9.75</v>
      </c>
      <c r="K1060" s="16" t="str">
        <f t="array" ref="K1060">_xlfn.XLOOKUP(C1060,Clientes[ID_Cliente],Clientes[Provincia])</f>
        <v>Córdoba</v>
      </c>
      <c r="L1060" s="16" t="str">
        <f t="array" ref="L1060">CONCATENATE(_xlfn.XLOOKUP(C1060,Clientes[ID_Cliente],Clientes[Provincia]),", Argentina")</f>
        <v>Córdoba, Argentina</v>
      </c>
      <c r="M1060" s="20" t="str">
        <f t="array" ref="M1060">_xlfn.XLOOKUP(F1060,Metodos_De_Pago[ID_Metodo],Metodos_De_Pago[Metodo])</f>
        <v>Tarjeta de Débito</v>
      </c>
      <c r="N1060" s="20" t="str">
        <f t="shared" si="2"/>
        <v>2024 02</v>
      </c>
    </row>
    <row r="1061" ht="22.5" customHeight="1">
      <c r="A1061" s="12">
        <f>IFERROR(__xludf.DUMMYFUNCTION("""COMPUTED_VALUE"""),1907.0)</f>
        <v>1907</v>
      </c>
      <c r="B1061" s="13">
        <f>IFERROR(__xludf.DUMMYFUNCTION("""COMPUTED_VALUE"""),45351.0)</f>
        <v>45351</v>
      </c>
      <c r="C1061" s="12">
        <f>IFERROR(__xludf.DUMMYFUNCTION("""COMPUTED_VALUE"""),278.0)</f>
        <v>278</v>
      </c>
      <c r="D1061" s="12">
        <f>IFERROR(__xludf.DUMMYFUNCTION("""COMPUTED_VALUE"""),12.0)</f>
        <v>12</v>
      </c>
      <c r="E1061" s="12">
        <f>IFERROR(__xludf.DUMMYFUNCTION("""COMPUTED_VALUE"""),3.0)</f>
        <v>3</v>
      </c>
      <c r="F1061" s="12">
        <f>IFERROR(__xludf.DUMMYFUNCTION("""COMPUTED_VALUE"""),5.0)</f>
        <v>5</v>
      </c>
      <c r="G1061" s="15" t="str">
        <f>IFERROR(__xludf.DUMMYFUNCTION("""COMPUTED_VALUE"""),"Pendiente")</f>
        <v>Pendiente</v>
      </c>
      <c r="H1061" s="16" t="str">
        <f t="array" ref="H1061">_xlfn.XLOOKUP(D1061,Productos[ID_Producto],Productos[Nombre_Producto])</f>
        <v>Pan francés</v>
      </c>
      <c r="I1061" s="17">
        <f t="array" ref="I1061">_xlfn.XLOOKUP(D1061,Productos[ID_Producto],Productos[Precio_Unitario])</f>
        <v>8.12</v>
      </c>
      <c r="J1061" s="17">
        <f t="shared" si="1"/>
        <v>24.36</v>
      </c>
      <c r="K1061" s="16" t="str">
        <f t="array" ref="K1061">_xlfn.XLOOKUP(C1061,Clientes[ID_Cliente],Clientes[Provincia])</f>
        <v>Córdoba</v>
      </c>
      <c r="L1061" s="16" t="str">
        <f t="array" ref="L1061">CONCATENATE(_xlfn.XLOOKUP(C1061,Clientes[ID_Cliente],Clientes[Provincia]),", Argentina")</f>
        <v>Córdoba, Argentina</v>
      </c>
      <c r="M1061" s="20" t="str">
        <f t="array" ref="M1061">_xlfn.XLOOKUP(F1061,Metodos_De_Pago[ID_Metodo],Metodos_De_Pago[Metodo])</f>
        <v>Transferencia</v>
      </c>
      <c r="N1061" s="20" t="str">
        <f t="shared" si="2"/>
        <v>2024 02</v>
      </c>
    </row>
    <row r="1062" ht="22.5" customHeight="1">
      <c r="A1062" s="12">
        <f>IFERROR(__xludf.DUMMYFUNCTION("""COMPUTED_VALUE"""),66.0)</f>
        <v>66</v>
      </c>
      <c r="B1062" s="13">
        <f>IFERROR(__xludf.DUMMYFUNCTION("""COMPUTED_VALUE"""),45352.0)</f>
        <v>45352</v>
      </c>
      <c r="C1062" s="12">
        <f>IFERROR(__xludf.DUMMYFUNCTION("""COMPUTED_VALUE"""),97.0)</f>
        <v>97</v>
      </c>
      <c r="D1062" s="12">
        <f>IFERROR(__xludf.DUMMYFUNCTION("""COMPUTED_VALUE"""),27.0)</f>
        <v>27</v>
      </c>
      <c r="E1062" s="12">
        <f>IFERROR(__xludf.DUMMYFUNCTION("""COMPUTED_VALUE"""),3.0)</f>
        <v>3</v>
      </c>
      <c r="F1062" s="12">
        <f>IFERROR(__xludf.DUMMYFUNCTION("""COMPUTED_VALUE"""),5.0)</f>
        <v>5</v>
      </c>
      <c r="G1062" s="15" t="str">
        <f>IFERROR(__xludf.DUMMYFUNCTION("""COMPUTED_VALUE"""),"Completa")</f>
        <v>Completa</v>
      </c>
      <c r="H1062" s="16" t="str">
        <f t="array" ref="H1062">_xlfn.XLOOKUP(D1062,Productos[ID_Producto],Productos[Nombre_Producto])</f>
        <v>Agua mineral</v>
      </c>
      <c r="I1062" s="17">
        <f t="array" ref="I1062">_xlfn.XLOOKUP(D1062,Productos[ID_Producto],Productos[Precio_Unitario])</f>
        <v>6.21</v>
      </c>
      <c r="J1062" s="17">
        <f t="shared" si="1"/>
        <v>18.63</v>
      </c>
      <c r="K1062" s="16" t="str">
        <f t="array" ref="K1062">_xlfn.XLOOKUP(C1062,Clientes[ID_Cliente],Clientes[Provincia])</f>
        <v>Buenos Aires</v>
      </c>
      <c r="L1062" s="16" t="str">
        <f t="array" ref="L1062">CONCATENATE(_xlfn.XLOOKUP(C1062,Clientes[ID_Cliente],Clientes[Provincia]),", Argentina")</f>
        <v>Buenos Aires, Argentina</v>
      </c>
      <c r="M1062" s="20" t="str">
        <f t="array" ref="M1062">_xlfn.XLOOKUP(F1062,Metodos_De_Pago[ID_Metodo],Metodos_De_Pago[Metodo])</f>
        <v>Transferencia</v>
      </c>
      <c r="N1062" s="20" t="str">
        <f t="shared" si="2"/>
        <v>2024 03</v>
      </c>
    </row>
    <row r="1063" ht="22.5" customHeight="1">
      <c r="A1063" s="12">
        <f>IFERROR(__xludf.DUMMYFUNCTION("""COMPUTED_VALUE"""),183.0)</f>
        <v>183</v>
      </c>
      <c r="B1063" s="13">
        <f>IFERROR(__xludf.DUMMYFUNCTION("""COMPUTED_VALUE"""),45352.0)</f>
        <v>45352</v>
      </c>
      <c r="C1063" s="12">
        <f>IFERROR(__xludf.DUMMYFUNCTION("""COMPUTED_VALUE"""),31.0)</f>
        <v>31</v>
      </c>
      <c r="D1063" s="12">
        <f>IFERROR(__xludf.DUMMYFUNCTION("""COMPUTED_VALUE"""),38.0)</f>
        <v>38</v>
      </c>
      <c r="E1063" s="12">
        <f>IFERROR(__xludf.DUMMYFUNCTION("""COMPUTED_VALUE"""),3.0)</f>
        <v>3</v>
      </c>
      <c r="F1063" s="12">
        <f>IFERROR(__xludf.DUMMYFUNCTION("""COMPUTED_VALUE"""),3.0)</f>
        <v>3</v>
      </c>
      <c r="G1063" s="15" t="str">
        <f>IFERROR(__xludf.DUMMYFUNCTION("""COMPUTED_VALUE"""),"Completa")</f>
        <v>Completa</v>
      </c>
      <c r="H1063" s="16" t="str">
        <f t="array" ref="H1063">_xlfn.XLOOKUP(D1063,Productos[ID_Producto],Productos[Nombre_Producto])</f>
        <v>Atún enlatado</v>
      </c>
      <c r="I1063" s="17">
        <f t="array" ref="I1063">_xlfn.XLOOKUP(D1063,Productos[ID_Producto],Productos[Precio_Unitario])</f>
        <v>6.21</v>
      </c>
      <c r="J1063" s="17">
        <f t="shared" si="1"/>
        <v>18.63</v>
      </c>
      <c r="K1063" s="16" t="str">
        <f t="array" ref="K1063">_xlfn.XLOOKUP(C1063,Clientes[ID_Cliente],Clientes[Provincia])</f>
        <v>Córdoba</v>
      </c>
      <c r="L1063" s="16" t="str">
        <f t="array" ref="L1063">CONCATENATE(_xlfn.XLOOKUP(C1063,Clientes[ID_Cliente],Clientes[Provincia]),", Argentina")</f>
        <v>Córdoba, Argentina</v>
      </c>
      <c r="M1063" s="20" t="str">
        <f t="array" ref="M1063">_xlfn.XLOOKUP(F1063,Metodos_De_Pago[ID_Metodo],Metodos_De_Pago[Metodo])</f>
        <v>Tarjeta de Débito</v>
      </c>
      <c r="N1063" s="20" t="str">
        <f t="shared" si="2"/>
        <v>2024 03</v>
      </c>
    </row>
    <row r="1064" ht="22.5" customHeight="1">
      <c r="A1064" s="12">
        <f>IFERROR(__xludf.DUMMYFUNCTION("""COMPUTED_VALUE"""),1188.0)</f>
        <v>1188</v>
      </c>
      <c r="B1064" s="13">
        <f>IFERROR(__xludf.DUMMYFUNCTION("""COMPUTED_VALUE"""),45352.0)</f>
        <v>45352</v>
      </c>
      <c r="C1064" s="12">
        <f>IFERROR(__xludf.DUMMYFUNCTION("""COMPUTED_VALUE"""),255.0)</f>
        <v>255</v>
      </c>
      <c r="D1064" s="12">
        <f>IFERROR(__xludf.DUMMYFUNCTION("""COMPUTED_VALUE"""),27.0)</f>
        <v>27</v>
      </c>
      <c r="E1064" s="12">
        <f>IFERROR(__xludf.DUMMYFUNCTION("""COMPUTED_VALUE"""),3.0)</f>
        <v>3</v>
      </c>
      <c r="F1064" s="12">
        <f>IFERROR(__xludf.DUMMYFUNCTION("""COMPUTED_VALUE"""),5.0)</f>
        <v>5</v>
      </c>
      <c r="G1064" s="15" t="str">
        <f>IFERROR(__xludf.DUMMYFUNCTION("""COMPUTED_VALUE"""),"Pendiente")</f>
        <v>Pendiente</v>
      </c>
      <c r="H1064" s="16" t="str">
        <f t="array" ref="H1064">_xlfn.XLOOKUP(D1064,Productos[ID_Producto],Productos[Nombre_Producto])</f>
        <v>Agua mineral</v>
      </c>
      <c r="I1064" s="17">
        <f t="array" ref="I1064">_xlfn.XLOOKUP(D1064,Productos[ID_Producto],Productos[Precio_Unitario])</f>
        <v>6.21</v>
      </c>
      <c r="J1064" s="17">
        <f t="shared" si="1"/>
        <v>18.63</v>
      </c>
      <c r="K1064" s="16" t="str">
        <f t="array" ref="K1064">_xlfn.XLOOKUP(C1064,Clientes[ID_Cliente],Clientes[Provincia])</f>
        <v>Buenos Aires</v>
      </c>
      <c r="L1064" s="16" t="str">
        <f t="array" ref="L1064">CONCATENATE(_xlfn.XLOOKUP(C1064,Clientes[ID_Cliente],Clientes[Provincia]),", Argentina")</f>
        <v>Buenos Aires, Argentina</v>
      </c>
      <c r="M1064" s="20" t="str">
        <f t="array" ref="M1064">_xlfn.XLOOKUP(F1064,Metodos_De_Pago[ID_Metodo],Metodos_De_Pago[Metodo])</f>
        <v>Transferencia</v>
      </c>
      <c r="N1064" s="20" t="str">
        <f t="shared" si="2"/>
        <v>2024 03</v>
      </c>
    </row>
    <row r="1065" ht="22.5" customHeight="1">
      <c r="A1065" s="12">
        <f>IFERROR(__xludf.DUMMYFUNCTION("""COMPUTED_VALUE"""),2278.0)</f>
        <v>2278</v>
      </c>
      <c r="B1065" s="13">
        <f>IFERROR(__xludf.DUMMYFUNCTION("""COMPUTED_VALUE"""),45353.0)</f>
        <v>45353</v>
      </c>
      <c r="C1065" s="12">
        <f>IFERROR(__xludf.DUMMYFUNCTION("""COMPUTED_VALUE"""),163.0)</f>
        <v>163</v>
      </c>
      <c r="D1065" s="12">
        <f>IFERROR(__xludf.DUMMYFUNCTION("""COMPUTED_VALUE"""),5.0)</f>
        <v>5</v>
      </c>
      <c r="E1065" s="12">
        <f>IFERROR(__xludf.DUMMYFUNCTION("""COMPUTED_VALUE"""),3.0)</f>
        <v>3</v>
      </c>
      <c r="F1065" s="12">
        <f>IFERROR(__xludf.DUMMYFUNCTION("""COMPUTED_VALUE"""),5.0)</f>
        <v>5</v>
      </c>
      <c r="G1065" s="15" t="str">
        <f>IFERROR(__xludf.DUMMYFUNCTION("""COMPUTED_VALUE"""),"Completa")</f>
        <v>Completa</v>
      </c>
      <c r="H1065" s="16" t="str">
        <f t="array" ref="H1065">_xlfn.XLOOKUP(D1065,Productos[ID_Producto],Productos[Nombre_Producto])</f>
        <v>Manteca</v>
      </c>
      <c r="I1065" s="17">
        <f t="array" ref="I1065">_xlfn.XLOOKUP(D1065,Productos[ID_Producto],Productos[Precio_Unitario])</f>
        <v>5.65</v>
      </c>
      <c r="J1065" s="17">
        <f t="shared" si="1"/>
        <v>16.95</v>
      </c>
      <c r="K1065" s="16" t="str">
        <f t="array" ref="K1065">_xlfn.XLOOKUP(C1065,Clientes[ID_Cliente],Clientes[Provincia])</f>
        <v>Buenos Aires</v>
      </c>
      <c r="L1065" s="16" t="str">
        <f t="array" ref="L1065">CONCATENATE(_xlfn.XLOOKUP(C1065,Clientes[ID_Cliente],Clientes[Provincia]),", Argentina")</f>
        <v>Buenos Aires, Argentina</v>
      </c>
      <c r="M1065" s="20" t="str">
        <f t="array" ref="M1065">_xlfn.XLOOKUP(F1065,Metodos_De_Pago[ID_Metodo],Metodos_De_Pago[Metodo])</f>
        <v>Transferencia</v>
      </c>
      <c r="N1065" s="20" t="str">
        <f t="shared" si="2"/>
        <v>2024 03</v>
      </c>
    </row>
    <row r="1066" ht="22.5" customHeight="1">
      <c r="A1066" s="12">
        <f>IFERROR(__xludf.DUMMYFUNCTION("""COMPUTED_VALUE"""),610.0)</f>
        <v>610</v>
      </c>
      <c r="B1066" s="13">
        <f>IFERROR(__xludf.DUMMYFUNCTION("""COMPUTED_VALUE"""),45354.0)</f>
        <v>45354</v>
      </c>
      <c r="C1066" s="12">
        <f>IFERROR(__xludf.DUMMYFUNCTION("""COMPUTED_VALUE"""),197.0)</f>
        <v>197</v>
      </c>
      <c r="D1066" s="12">
        <f>IFERROR(__xludf.DUMMYFUNCTION("""COMPUTED_VALUE"""),38.0)</f>
        <v>38</v>
      </c>
      <c r="E1066" s="12">
        <f>IFERROR(__xludf.DUMMYFUNCTION("""COMPUTED_VALUE"""),3.0)</f>
        <v>3</v>
      </c>
      <c r="F1066" s="12">
        <f>IFERROR(__xludf.DUMMYFUNCTION("""COMPUTED_VALUE"""),4.0)</f>
        <v>4</v>
      </c>
      <c r="G1066" s="15" t="str">
        <f>IFERROR(__xludf.DUMMYFUNCTION("""COMPUTED_VALUE"""),"Pendiente")</f>
        <v>Pendiente</v>
      </c>
      <c r="H1066" s="16" t="str">
        <f t="array" ref="H1066">_xlfn.XLOOKUP(D1066,Productos[ID_Producto],Productos[Nombre_Producto])</f>
        <v>Atún enlatado</v>
      </c>
      <c r="I1066" s="17">
        <f t="array" ref="I1066">_xlfn.XLOOKUP(D1066,Productos[ID_Producto],Productos[Precio_Unitario])</f>
        <v>6.21</v>
      </c>
      <c r="J1066" s="17">
        <f t="shared" si="1"/>
        <v>18.63</v>
      </c>
      <c r="K1066" s="16" t="str">
        <f t="array" ref="K1066">_xlfn.XLOOKUP(C1066,Clientes[ID_Cliente],Clientes[Provincia])</f>
        <v>San Luis</v>
      </c>
      <c r="L1066" s="16" t="str">
        <f t="array" ref="L1066">CONCATENATE(_xlfn.XLOOKUP(C1066,Clientes[ID_Cliente],Clientes[Provincia]),", Argentina")</f>
        <v>San Luis, Argentina</v>
      </c>
      <c r="M1066" s="20" t="str">
        <f t="array" ref="M1066">_xlfn.XLOOKUP(F1066,Metodos_De_Pago[ID_Metodo],Metodos_De_Pago[Metodo])</f>
        <v>Mercado Pago</v>
      </c>
      <c r="N1066" s="20" t="str">
        <f t="shared" si="2"/>
        <v>2024 03</v>
      </c>
    </row>
    <row r="1067" ht="22.5" customHeight="1">
      <c r="A1067" s="12">
        <f>IFERROR(__xludf.DUMMYFUNCTION("""COMPUTED_VALUE"""),1164.0)</f>
        <v>1164</v>
      </c>
      <c r="B1067" s="13">
        <f>IFERROR(__xludf.DUMMYFUNCTION("""COMPUTED_VALUE"""),45354.0)</f>
        <v>45354</v>
      </c>
      <c r="C1067" s="12">
        <f>IFERROR(__xludf.DUMMYFUNCTION("""COMPUTED_VALUE"""),97.0)</f>
        <v>97</v>
      </c>
      <c r="D1067" s="12">
        <f>IFERROR(__xludf.DUMMYFUNCTION("""COMPUTED_VALUE"""),12.0)</f>
        <v>12</v>
      </c>
      <c r="E1067" s="12">
        <f>IFERROR(__xludf.DUMMYFUNCTION("""COMPUTED_VALUE"""),3.0)</f>
        <v>3</v>
      </c>
      <c r="F1067" s="12">
        <f>IFERROR(__xludf.DUMMYFUNCTION("""COMPUTED_VALUE"""),4.0)</f>
        <v>4</v>
      </c>
      <c r="G1067" s="15" t="str">
        <f>IFERROR(__xludf.DUMMYFUNCTION("""COMPUTED_VALUE"""),"Pendiente")</f>
        <v>Pendiente</v>
      </c>
      <c r="H1067" s="16" t="str">
        <f t="array" ref="H1067">_xlfn.XLOOKUP(D1067,Productos[ID_Producto],Productos[Nombre_Producto])</f>
        <v>Pan francés</v>
      </c>
      <c r="I1067" s="17">
        <f t="array" ref="I1067">_xlfn.XLOOKUP(D1067,Productos[ID_Producto],Productos[Precio_Unitario])</f>
        <v>8.12</v>
      </c>
      <c r="J1067" s="17">
        <f t="shared" si="1"/>
        <v>24.36</v>
      </c>
      <c r="K1067" s="16" t="str">
        <f t="array" ref="K1067">_xlfn.XLOOKUP(C1067,Clientes[ID_Cliente],Clientes[Provincia])</f>
        <v>Buenos Aires</v>
      </c>
      <c r="L1067" s="16" t="str">
        <f t="array" ref="L1067">CONCATENATE(_xlfn.XLOOKUP(C1067,Clientes[ID_Cliente],Clientes[Provincia]),", Argentina")</f>
        <v>Buenos Aires, Argentina</v>
      </c>
      <c r="M1067" s="20" t="str">
        <f t="array" ref="M1067">_xlfn.XLOOKUP(F1067,Metodos_De_Pago[ID_Metodo],Metodos_De_Pago[Metodo])</f>
        <v>Mercado Pago</v>
      </c>
      <c r="N1067" s="20" t="str">
        <f t="shared" si="2"/>
        <v>2024 03</v>
      </c>
    </row>
    <row r="1068" ht="22.5" customHeight="1">
      <c r="A1068" s="12">
        <f>IFERROR(__xludf.DUMMYFUNCTION("""COMPUTED_VALUE"""),298.0)</f>
        <v>298</v>
      </c>
      <c r="B1068" s="13">
        <f>IFERROR(__xludf.DUMMYFUNCTION("""COMPUTED_VALUE"""),45355.0)</f>
        <v>45355</v>
      </c>
      <c r="C1068" s="12">
        <f>IFERROR(__xludf.DUMMYFUNCTION("""COMPUTED_VALUE"""),158.0)</f>
        <v>158</v>
      </c>
      <c r="D1068" s="12">
        <f>IFERROR(__xludf.DUMMYFUNCTION("""COMPUTED_VALUE"""),1.0)</f>
        <v>1</v>
      </c>
      <c r="E1068" s="12">
        <f>IFERROR(__xludf.DUMMYFUNCTION("""COMPUTED_VALUE"""),3.0)</f>
        <v>3</v>
      </c>
      <c r="F1068" s="12">
        <f>IFERROR(__xludf.DUMMYFUNCTION("""COMPUTED_VALUE"""),4.0)</f>
        <v>4</v>
      </c>
      <c r="G1068" s="15" t="str">
        <f>IFERROR(__xludf.DUMMYFUNCTION("""COMPUTED_VALUE"""),"Completa")</f>
        <v>Completa</v>
      </c>
      <c r="H1068" s="16" t="str">
        <f t="array" ref="H1068">_xlfn.XLOOKUP(D1068,Productos[ID_Producto],Productos[Nombre_Producto])</f>
        <v>Leche</v>
      </c>
      <c r="I1068" s="17">
        <f t="array" ref="I1068">_xlfn.XLOOKUP(D1068,Productos[ID_Producto],Productos[Precio_Unitario])</f>
        <v>12.24</v>
      </c>
      <c r="J1068" s="17">
        <f t="shared" si="1"/>
        <v>36.72</v>
      </c>
      <c r="K1068" s="16" t="str">
        <f t="array" ref="K1068">_xlfn.XLOOKUP(C1068,Clientes[ID_Cliente],Clientes[Provincia])</f>
        <v>Buenos Aires</v>
      </c>
      <c r="L1068" s="16" t="str">
        <f t="array" ref="L1068">CONCATENATE(_xlfn.XLOOKUP(C1068,Clientes[ID_Cliente],Clientes[Provincia]),", Argentina")</f>
        <v>Buenos Aires, Argentina</v>
      </c>
      <c r="M1068" s="20" t="str">
        <f t="array" ref="M1068">_xlfn.XLOOKUP(F1068,Metodos_De_Pago[ID_Metodo],Metodos_De_Pago[Metodo])</f>
        <v>Mercado Pago</v>
      </c>
      <c r="N1068" s="20" t="str">
        <f t="shared" si="2"/>
        <v>2024 03</v>
      </c>
    </row>
    <row r="1069" ht="22.5" customHeight="1">
      <c r="A1069" s="12">
        <f>IFERROR(__xludf.DUMMYFUNCTION("""COMPUTED_VALUE"""),28.0)</f>
        <v>28</v>
      </c>
      <c r="B1069" s="13">
        <f>IFERROR(__xludf.DUMMYFUNCTION("""COMPUTED_VALUE"""),45357.0)</f>
        <v>45357</v>
      </c>
      <c r="C1069" s="12">
        <f>IFERROR(__xludf.DUMMYFUNCTION("""COMPUTED_VALUE"""),240.0)</f>
        <v>240</v>
      </c>
      <c r="D1069" s="12">
        <f>IFERROR(__xludf.DUMMYFUNCTION("""COMPUTED_VALUE"""),23.0)</f>
        <v>23</v>
      </c>
      <c r="E1069" s="12">
        <f>IFERROR(__xludf.DUMMYFUNCTION("""COMPUTED_VALUE"""),3.0)</f>
        <v>3</v>
      </c>
      <c r="F1069" s="12">
        <f>IFERROR(__xludf.DUMMYFUNCTION("""COMPUTED_VALUE"""),3.0)</f>
        <v>3</v>
      </c>
      <c r="G1069" s="15" t="str">
        <f>IFERROR(__xludf.DUMMYFUNCTION("""COMPUTED_VALUE"""),"Pendiente")</f>
        <v>Pendiente</v>
      </c>
      <c r="H1069" s="16" t="str">
        <f t="array" ref="H1069">_xlfn.XLOOKUP(D1069,Productos[ID_Producto],Productos[Nombre_Producto])</f>
        <v>Papas fritas</v>
      </c>
      <c r="I1069" s="17">
        <f t="array" ref="I1069">_xlfn.XLOOKUP(D1069,Productos[ID_Producto],Productos[Precio_Unitario])</f>
        <v>8.23</v>
      </c>
      <c r="J1069" s="17">
        <f t="shared" si="1"/>
        <v>24.69</v>
      </c>
      <c r="K1069" s="16" t="str">
        <f t="array" ref="K1069">_xlfn.XLOOKUP(C1069,Clientes[ID_Cliente],Clientes[Provincia])</f>
        <v>Buenos Aires</v>
      </c>
      <c r="L1069" s="16" t="str">
        <f t="array" ref="L1069">CONCATENATE(_xlfn.XLOOKUP(C1069,Clientes[ID_Cliente],Clientes[Provincia]),", Argentina")</f>
        <v>Buenos Aires, Argentina</v>
      </c>
      <c r="M1069" s="20" t="str">
        <f t="array" ref="M1069">_xlfn.XLOOKUP(F1069,Metodos_De_Pago[ID_Metodo],Metodos_De_Pago[Metodo])</f>
        <v>Tarjeta de Débito</v>
      </c>
      <c r="N1069" s="20" t="str">
        <f t="shared" si="2"/>
        <v>2024 03</v>
      </c>
    </row>
    <row r="1070" ht="22.5" customHeight="1">
      <c r="A1070" s="12">
        <f>IFERROR(__xludf.DUMMYFUNCTION("""COMPUTED_VALUE"""),916.0)</f>
        <v>916</v>
      </c>
      <c r="B1070" s="13">
        <f>IFERROR(__xludf.DUMMYFUNCTION("""COMPUTED_VALUE"""),45357.0)</f>
        <v>45357</v>
      </c>
      <c r="C1070" s="12">
        <f>IFERROR(__xludf.DUMMYFUNCTION("""COMPUTED_VALUE"""),307.0)</f>
        <v>307</v>
      </c>
      <c r="D1070" s="12">
        <f>IFERROR(__xludf.DUMMYFUNCTION("""COMPUTED_VALUE"""),17.0)</f>
        <v>17</v>
      </c>
      <c r="E1070" s="12">
        <f>IFERROR(__xludf.DUMMYFUNCTION("""COMPUTED_VALUE"""),3.0)</f>
        <v>3</v>
      </c>
      <c r="F1070" s="12">
        <f>IFERROR(__xludf.DUMMYFUNCTION("""COMPUTED_VALUE"""),3.0)</f>
        <v>3</v>
      </c>
      <c r="G1070" s="15" t="str">
        <f>IFERROR(__xludf.DUMMYFUNCTION("""COMPUTED_VALUE"""),"Pendiente")</f>
        <v>Pendiente</v>
      </c>
      <c r="H1070" s="16" t="str">
        <f t="array" ref="H1070">_xlfn.XLOOKUP(D1070,Productos[ID_Producto],Productos[Nombre_Producto])</f>
        <v>Manzanas</v>
      </c>
      <c r="I1070" s="17">
        <f t="array" ref="I1070">_xlfn.XLOOKUP(D1070,Productos[ID_Producto],Productos[Precio_Unitario])</f>
        <v>6.54</v>
      </c>
      <c r="J1070" s="17">
        <f t="shared" si="1"/>
        <v>19.62</v>
      </c>
      <c r="K1070" s="16" t="str">
        <f t="array" ref="K1070">_xlfn.XLOOKUP(C1070,Clientes[ID_Cliente],Clientes[Provincia])</f>
        <v>San Luis</v>
      </c>
      <c r="L1070" s="16" t="str">
        <f t="array" ref="L1070">CONCATENATE(_xlfn.XLOOKUP(C1070,Clientes[ID_Cliente],Clientes[Provincia]),", Argentina")</f>
        <v>San Luis, Argentina</v>
      </c>
      <c r="M1070" s="20" t="str">
        <f t="array" ref="M1070">_xlfn.XLOOKUP(F1070,Metodos_De_Pago[ID_Metodo],Metodos_De_Pago[Metodo])</f>
        <v>Tarjeta de Débito</v>
      </c>
      <c r="N1070" s="20" t="str">
        <f t="shared" si="2"/>
        <v>2024 03</v>
      </c>
    </row>
    <row r="1071" ht="22.5" customHeight="1">
      <c r="A1071" s="12">
        <f>IFERROR(__xludf.DUMMYFUNCTION("""COMPUTED_VALUE"""),210.0)</f>
        <v>210</v>
      </c>
      <c r="B1071" s="13">
        <f>IFERROR(__xludf.DUMMYFUNCTION("""COMPUTED_VALUE"""),45358.0)</f>
        <v>45358</v>
      </c>
      <c r="C1071" s="12">
        <f>IFERROR(__xludf.DUMMYFUNCTION("""COMPUTED_VALUE"""),215.0)</f>
        <v>215</v>
      </c>
      <c r="D1071" s="12">
        <f>IFERROR(__xludf.DUMMYFUNCTION("""COMPUTED_VALUE"""),35.0)</f>
        <v>35</v>
      </c>
      <c r="E1071" s="12">
        <f>IFERROR(__xludf.DUMMYFUNCTION("""COMPUTED_VALUE"""),3.0)</f>
        <v>3</v>
      </c>
      <c r="F1071" s="12">
        <f>IFERROR(__xludf.DUMMYFUNCTION("""COMPUTED_VALUE"""),4.0)</f>
        <v>4</v>
      </c>
      <c r="G1071" s="15" t="str">
        <f>IFERROR(__xludf.DUMMYFUNCTION("""COMPUTED_VALUE"""),"Completa")</f>
        <v>Completa</v>
      </c>
      <c r="H1071" s="16" t="str">
        <f t="array" ref="H1071">_xlfn.XLOOKUP(D1071,Productos[ID_Producto],Productos[Nombre_Producto])</f>
        <v>Arroz</v>
      </c>
      <c r="I1071" s="17">
        <f t="array" ref="I1071">_xlfn.XLOOKUP(D1071,Productos[ID_Producto],Productos[Precio_Unitario])</f>
        <v>4.25</v>
      </c>
      <c r="J1071" s="17">
        <f t="shared" si="1"/>
        <v>12.75</v>
      </c>
      <c r="K1071" s="16" t="str">
        <f t="array" ref="K1071">_xlfn.XLOOKUP(C1071,Clientes[ID_Cliente],Clientes[Provincia])</f>
        <v>Chaco</v>
      </c>
      <c r="L1071" s="16" t="str">
        <f t="array" ref="L1071">CONCATENATE(_xlfn.XLOOKUP(C1071,Clientes[ID_Cliente],Clientes[Provincia]),", Argentina")</f>
        <v>Chaco, Argentina</v>
      </c>
      <c r="M1071" s="20" t="str">
        <f t="array" ref="M1071">_xlfn.XLOOKUP(F1071,Metodos_De_Pago[ID_Metodo],Metodos_De_Pago[Metodo])</f>
        <v>Mercado Pago</v>
      </c>
      <c r="N1071" s="20" t="str">
        <f t="shared" si="2"/>
        <v>2024 03</v>
      </c>
    </row>
    <row r="1072" ht="22.5" customHeight="1">
      <c r="A1072" s="12">
        <f>IFERROR(__xludf.DUMMYFUNCTION("""COMPUTED_VALUE"""),820.0)</f>
        <v>820</v>
      </c>
      <c r="B1072" s="13">
        <f>IFERROR(__xludf.DUMMYFUNCTION("""COMPUTED_VALUE"""),45358.0)</f>
        <v>45358</v>
      </c>
      <c r="C1072" s="12">
        <f>IFERROR(__xludf.DUMMYFUNCTION("""COMPUTED_VALUE"""),148.0)</f>
        <v>148</v>
      </c>
      <c r="D1072" s="12">
        <f>IFERROR(__xludf.DUMMYFUNCTION("""COMPUTED_VALUE"""),7.0)</f>
        <v>7</v>
      </c>
      <c r="E1072" s="12">
        <f>IFERROR(__xludf.DUMMYFUNCTION("""COMPUTED_VALUE"""),3.0)</f>
        <v>3</v>
      </c>
      <c r="F1072" s="12">
        <f>IFERROR(__xludf.DUMMYFUNCTION("""COMPUTED_VALUE"""),5.0)</f>
        <v>5</v>
      </c>
      <c r="G1072" s="15" t="str">
        <f>IFERROR(__xludf.DUMMYFUNCTION("""COMPUTED_VALUE"""),"Completa")</f>
        <v>Completa</v>
      </c>
      <c r="H1072" s="16" t="str">
        <f t="array" ref="H1072">_xlfn.XLOOKUP(D1072,Productos[ID_Producto],Productos[Nombre_Producto])</f>
        <v>Chorizo</v>
      </c>
      <c r="I1072" s="17">
        <f t="array" ref="I1072">_xlfn.XLOOKUP(D1072,Productos[ID_Producto],Productos[Precio_Unitario])</f>
        <v>11.25</v>
      </c>
      <c r="J1072" s="17">
        <f t="shared" si="1"/>
        <v>33.75</v>
      </c>
      <c r="K1072" s="16" t="str">
        <f t="array" ref="K1072">_xlfn.XLOOKUP(C1072,Clientes[ID_Cliente],Clientes[Provincia])</f>
        <v>Córdoba</v>
      </c>
      <c r="L1072" s="16" t="str">
        <f t="array" ref="L1072">CONCATENATE(_xlfn.XLOOKUP(C1072,Clientes[ID_Cliente],Clientes[Provincia]),", Argentina")</f>
        <v>Córdoba, Argentina</v>
      </c>
      <c r="M1072" s="20" t="str">
        <f t="array" ref="M1072">_xlfn.XLOOKUP(F1072,Metodos_De_Pago[ID_Metodo],Metodos_De_Pago[Metodo])</f>
        <v>Transferencia</v>
      </c>
      <c r="N1072" s="20" t="str">
        <f t="shared" si="2"/>
        <v>2024 03</v>
      </c>
    </row>
    <row r="1073" ht="22.5" customHeight="1">
      <c r="A1073" s="12">
        <f>IFERROR(__xludf.DUMMYFUNCTION("""COMPUTED_VALUE"""),876.0)</f>
        <v>876</v>
      </c>
      <c r="B1073" s="13">
        <f>IFERROR(__xludf.DUMMYFUNCTION("""COMPUTED_VALUE"""),45359.0)</f>
        <v>45359</v>
      </c>
      <c r="C1073" s="12">
        <f>IFERROR(__xludf.DUMMYFUNCTION("""COMPUTED_VALUE"""),42.0)</f>
        <v>42</v>
      </c>
      <c r="D1073" s="12">
        <f>IFERROR(__xludf.DUMMYFUNCTION("""COMPUTED_VALUE"""),23.0)</f>
        <v>23</v>
      </c>
      <c r="E1073" s="12">
        <f>IFERROR(__xludf.DUMMYFUNCTION("""COMPUTED_VALUE"""),3.0)</f>
        <v>3</v>
      </c>
      <c r="F1073" s="12">
        <f>IFERROR(__xludf.DUMMYFUNCTION("""COMPUTED_VALUE"""),2.0)</f>
        <v>2</v>
      </c>
      <c r="G1073" s="15" t="str">
        <f>IFERROR(__xludf.DUMMYFUNCTION("""COMPUTED_VALUE"""),"Completa")</f>
        <v>Completa</v>
      </c>
      <c r="H1073" s="16" t="str">
        <f t="array" ref="H1073">_xlfn.XLOOKUP(D1073,Productos[ID_Producto],Productos[Nombre_Producto])</f>
        <v>Papas fritas</v>
      </c>
      <c r="I1073" s="17">
        <f t="array" ref="I1073">_xlfn.XLOOKUP(D1073,Productos[ID_Producto],Productos[Precio_Unitario])</f>
        <v>8.23</v>
      </c>
      <c r="J1073" s="17">
        <f t="shared" si="1"/>
        <v>24.69</v>
      </c>
      <c r="K1073" s="16" t="str">
        <f t="array" ref="K1073">_xlfn.XLOOKUP(C1073,Clientes[ID_Cliente],Clientes[Provincia])</f>
        <v>Neuquén</v>
      </c>
      <c r="L1073" s="16" t="str">
        <f t="array" ref="L1073">CONCATENATE(_xlfn.XLOOKUP(C1073,Clientes[ID_Cliente],Clientes[Provincia]),", Argentina")</f>
        <v>Neuquén, Argentina</v>
      </c>
      <c r="M1073" s="20" t="str">
        <f t="array" ref="M1073">_xlfn.XLOOKUP(F1073,Metodos_De_Pago[ID_Metodo],Metodos_De_Pago[Metodo])</f>
        <v>Tarjeta de Crédito</v>
      </c>
      <c r="N1073" s="20" t="str">
        <f t="shared" si="2"/>
        <v>2024 03</v>
      </c>
    </row>
    <row r="1074" ht="22.5" customHeight="1">
      <c r="A1074" s="12">
        <f>IFERROR(__xludf.DUMMYFUNCTION("""COMPUTED_VALUE"""),1634.0)</f>
        <v>1634</v>
      </c>
      <c r="B1074" s="13">
        <f>IFERROR(__xludf.DUMMYFUNCTION("""COMPUTED_VALUE"""),45360.0)</f>
        <v>45360</v>
      </c>
      <c r="C1074" s="12">
        <f>IFERROR(__xludf.DUMMYFUNCTION("""COMPUTED_VALUE"""),206.0)</f>
        <v>206</v>
      </c>
      <c r="D1074" s="12">
        <f>IFERROR(__xludf.DUMMYFUNCTION("""COMPUTED_VALUE"""),14.0)</f>
        <v>14</v>
      </c>
      <c r="E1074" s="12">
        <f>IFERROR(__xludf.DUMMYFUNCTION("""COMPUTED_VALUE"""),3.0)</f>
        <v>3</v>
      </c>
      <c r="F1074" s="12">
        <f>IFERROR(__xludf.DUMMYFUNCTION("""COMPUTED_VALUE"""),5.0)</f>
        <v>5</v>
      </c>
      <c r="G1074" s="15" t="str">
        <f>IFERROR(__xludf.DUMMYFUNCTION("""COMPUTED_VALUE"""),"Pendiente")</f>
        <v>Pendiente</v>
      </c>
      <c r="H1074" s="16" t="str">
        <f t="array" ref="H1074">_xlfn.XLOOKUP(D1074,Productos[ID_Producto],Productos[Nombre_Producto])</f>
        <v>Facturas</v>
      </c>
      <c r="I1074" s="17">
        <f t="array" ref="I1074">_xlfn.XLOOKUP(D1074,Productos[ID_Producto],Productos[Precio_Unitario])</f>
        <v>12.36</v>
      </c>
      <c r="J1074" s="17">
        <f t="shared" si="1"/>
        <v>37.08</v>
      </c>
      <c r="K1074" s="16" t="str">
        <f t="array" ref="K1074">_xlfn.XLOOKUP(C1074,Clientes[ID_Cliente],Clientes[Provincia])</f>
        <v>Chaco</v>
      </c>
      <c r="L1074" s="16" t="str">
        <f t="array" ref="L1074">CONCATENATE(_xlfn.XLOOKUP(C1074,Clientes[ID_Cliente],Clientes[Provincia]),", Argentina")</f>
        <v>Chaco, Argentina</v>
      </c>
      <c r="M1074" s="20" t="str">
        <f t="array" ref="M1074">_xlfn.XLOOKUP(F1074,Metodos_De_Pago[ID_Metodo],Metodos_De_Pago[Metodo])</f>
        <v>Transferencia</v>
      </c>
      <c r="N1074" s="20" t="str">
        <f t="shared" si="2"/>
        <v>2024 03</v>
      </c>
    </row>
    <row r="1075" ht="22.5" customHeight="1">
      <c r="A1075" s="12">
        <f>IFERROR(__xludf.DUMMYFUNCTION("""COMPUTED_VALUE"""),2132.0)</f>
        <v>2132</v>
      </c>
      <c r="B1075" s="13">
        <f>IFERROR(__xludf.DUMMYFUNCTION("""COMPUTED_VALUE"""),45362.0)</f>
        <v>45362</v>
      </c>
      <c r="C1075" s="12">
        <f>IFERROR(__xludf.DUMMYFUNCTION("""COMPUTED_VALUE"""),215.0)</f>
        <v>215</v>
      </c>
      <c r="D1075" s="12">
        <f>IFERROR(__xludf.DUMMYFUNCTION("""COMPUTED_VALUE"""),11.0)</f>
        <v>11</v>
      </c>
      <c r="E1075" s="12">
        <f>IFERROR(__xludf.DUMMYFUNCTION("""COMPUTED_VALUE"""),3.0)</f>
        <v>3</v>
      </c>
      <c r="F1075" s="12">
        <f>IFERROR(__xludf.DUMMYFUNCTION("""COMPUTED_VALUE"""),3.0)</f>
        <v>3</v>
      </c>
      <c r="G1075" s="15" t="str">
        <f>IFERROR(__xludf.DUMMYFUNCTION("""COMPUTED_VALUE"""),"Completa")</f>
        <v>Completa</v>
      </c>
      <c r="H1075" s="16" t="str">
        <f t="array" ref="H1075">_xlfn.XLOOKUP(D1075,Productos[ID_Producto],Productos[Nombre_Producto])</f>
        <v>Salchicha</v>
      </c>
      <c r="I1075" s="17">
        <f t="array" ref="I1075">_xlfn.XLOOKUP(D1075,Productos[ID_Producto],Productos[Precio_Unitario])</f>
        <v>11.23</v>
      </c>
      <c r="J1075" s="17">
        <f t="shared" si="1"/>
        <v>33.69</v>
      </c>
      <c r="K1075" s="16" t="str">
        <f t="array" ref="K1075">_xlfn.XLOOKUP(C1075,Clientes[ID_Cliente],Clientes[Provincia])</f>
        <v>Chaco</v>
      </c>
      <c r="L1075" s="16" t="str">
        <f t="array" ref="L1075">CONCATENATE(_xlfn.XLOOKUP(C1075,Clientes[ID_Cliente],Clientes[Provincia]),", Argentina")</f>
        <v>Chaco, Argentina</v>
      </c>
      <c r="M1075" s="20" t="str">
        <f t="array" ref="M1075">_xlfn.XLOOKUP(F1075,Metodos_De_Pago[ID_Metodo],Metodos_De_Pago[Metodo])</f>
        <v>Tarjeta de Débito</v>
      </c>
      <c r="N1075" s="20" t="str">
        <f t="shared" si="2"/>
        <v>2024 03</v>
      </c>
    </row>
    <row r="1076" ht="22.5" customHeight="1">
      <c r="A1076" s="12">
        <f>IFERROR(__xludf.DUMMYFUNCTION("""COMPUTED_VALUE"""),2260.0)</f>
        <v>2260</v>
      </c>
      <c r="B1076" s="13">
        <f>IFERROR(__xludf.DUMMYFUNCTION("""COMPUTED_VALUE"""),45364.0)</f>
        <v>45364</v>
      </c>
      <c r="C1076" s="12">
        <f>IFERROR(__xludf.DUMMYFUNCTION("""COMPUTED_VALUE"""),54.0)</f>
        <v>54</v>
      </c>
      <c r="D1076" s="12">
        <f>IFERROR(__xludf.DUMMYFUNCTION("""COMPUTED_VALUE"""),1.0)</f>
        <v>1</v>
      </c>
      <c r="E1076" s="12">
        <f>IFERROR(__xludf.DUMMYFUNCTION("""COMPUTED_VALUE"""),3.0)</f>
        <v>3</v>
      </c>
      <c r="F1076" s="12">
        <f>IFERROR(__xludf.DUMMYFUNCTION("""COMPUTED_VALUE"""),5.0)</f>
        <v>5</v>
      </c>
      <c r="G1076" s="15" t="str">
        <f>IFERROR(__xludf.DUMMYFUNCTION("""COMPUTED_VALUE"""),"Completa")</f>
        <v>Completa</v>
      </c>
      <c r="H1076" s="16" t="str">
        <f t="array" ref="H1076">_xlfn.XLOOKUP(D1076,Productos[ID_Producto],Productos[Nombre_Producto])</f>
        <v>Leche</v>
      </c>
      <c r="I1076" s="17">
        <f t="array" ref="I1076">_xlfn.XLOOKUP(D1076,Productos[ID_Producto],Productos[Precio_Unitario])</f>
        <v>12.24</v>
      </c>
      <c r="J1076" s="17">
        <f t="shared" si="1"/>
        <v>36.72</v>
      </c>
      <c r="K1076" s="16" t="str">
        <f t="array" ref="K1076">_xlfn.XLOOKUP(C1076,Clientes[ID_Cliente],Clientes[Provincia])</f>
        <v>Buenos Aires</v>
      </c>
      <c r="L1076" s="16" t="str">
        <f t="array" ref="L1076">CONCATENATE(_xlfn.XLOOKUP(C1076,Clientes[ID_Cliente],Clientes[Provincia]),", Argentina")</f>
        <v>Buenos Aires, Argentina</v>
      </c>
      <c r="M1076" s="20" t="str">
        <f t="array" ref="M1076">_xlfn.XLOOKUP(F1076,Metodos_De_Pago[ID_Metodo],Metodos_De_Pago[Metodo])</f>
        <v>Transferencia</v>
      </c>
      <c r="N1076" s="20" t="str">
        <f t="shared" si="2"/>
        <v>2024 03</v>
      </c>
    </row>
    <row r="1077" ht="22.5" customHeight="1">
      <c r="A1077" s="12">
        <f>IFERROR(__xludf.DUMMYFUNCTION("""COMPUTED_VALUE"""),225.0)</f>
        <v>225</v>
      </c>
      <c r="B1077" s="13">
        <f>IFERROR(__xludf.DUMMYFUNCTION("""COMPUTED_VALUE"""),45365.0)</f>
        <v>45365</v>
      </c>
      <c r="C1077" s="12">
        <f>IFERROR(__xludf.DUMMYFUNCTION("""COMPUTED_VALUE"""),104.0)</f>
        <v>104</v>
      </c>
      <c r="D1077" s="12">
        <f>IFERROR(__xludf.DUMMYFUNCTION("""COMPUTED_VALUE"""),38.0)</f>
        <v>38</v>
      </c>
      <c r="E1077" s="12">
        <f>IFERROR(__xludf.DUMMYFUNCTION("""COMPUTED_VALUE"""),3.0)</f>
        <v>3</v>
      </c>
      <c r="F1077" s="12">
        <f>IFERROR(__xludf.DUMMYFUNCTION("""COMPUTED_VALUE"""),4.0)</f>
        <v>4</v>
      </c>
      <c r="G1077" s="15" t="str">
        <f>IFERROR(__xludf.DUMMYFUNCTION("""COMPUTED_VALUE"""),"Pendiente")</f>
        <v>Pendiente</v>
      </c>
      <c r="H1077" s="16" t="str">
        <f t="array" ref="H1077">_xlfn.XLOOKUP(D1077,Productos[ID_Producto],Productos[Nombre_Producto])</f>
        <v>Atún enlatado</v>
      </c>
      <c r="I1077" s="17">
        <f t="array" ref="I1077">_xlfn.XLOOKUP(D1077,Productos[ID_Producto],Productos[Precio_Unitario])</f>
        <v>6.21</v>
      </c>
      <c r="J1077" s="17">
        <f t="shared" si="1"/>
        <v>18.63</v>
      </c>
      <c r="K1077" s="16" t="str">
        <f t="array" ref="K1077">_xlfn.XLOOKUP(C1077,Clientes[ID_Cliente],Clientes[Provincia])</f>
        <v>Buenos Aires</v>
      </c>
      <c r="L1077" s="16" t="str">
        <f t="array" ref="L1077">CONCATENATE(_xlfn.XLOOKUP(C1077,Clientes[ID_Cliente],Clientes[Provincia]),", Argentina")</f>
        <v>Buenos Aires, Argentina</v>
      </c>
      <c r="M1077" s="20" t="str">
        <f t="array" ref="M1077">_xlfn.XLOOKUP(F1077,Metodos_De_Pago[ID_Metodo],Metodos_De_Pago[Metodo])</f>
        <v>Mercado Pago</v>
      </c>
      <c r="N1077" s="20" t="str">
        <f t="shared" si="2"/>
        <v>2024 03</v>
      </c>
    </row>
    <row r="1078" ht="22.5" customHeight="1">
      <c r="A1078" s="12">
        <f>IFERROR(__xludf.DUMMYFUNCTION("""COMPUTED_VALUE"""),1033.0)</f>
        <v>1033</v>
      </c>
      <c r="B1078" s="13">
        <f>IFERROR(__xludf.DUMMYFUNCTION("""COMPUTED_VALUE"""),45365.0)</f>
        <v>45365</v>
      </c>
      <c r="C1078" s="12">
        <f>IFERROR(__xludf.DUMMYFUNCTION("""COMPUTED_VALUE"""),78.0)</f>
        <v>78</v>
      </c>
      <c r="D1078" s="12">
        <f>IFERROR(__xludf.DUMMYFUNCTION("""COMPUTED_VALUE"""),1.0)</f>
        <v>1</v>
      </c>
      <c r="E1078" s="12">
        <f>IFERROR(__xludf.DUMMYFUNCTION("""COMPUTED_VALUE"""),3.0)</f>
        <v>3</v>
      </c>
      <c r="F1078" s="12">
        <f>IFERROR(__xludf.DUMMYFUNCTION("""COMPUTED_VALUE"""),5.0)</f>
        <v>5</v>
      </c>
      <c r="G1078" s="15" t="str">
        <f>IFERROR(__xludf.DUMMYFUNCTION("""COMPUTED_VALUE"""),"Completa")</f>
        <v>Completa</v>
      </c>
      <c r="H1078" s="16" t="str">
        <f t="array" ref="H1078">_xlfn.XLOOKUP(D1078,Productos[ID_Producto],Productos[Nombre_Producto])</f>
        <v>Leche</v>
      </c>
      <c r="I1078" s="17">
        <f t="array" ref="I1078">_xlfn.XLOOKUP(D1078,Productos[ID_Producto],Productos[Precio_Unitario])</f>
        <v>12.24</v>
      </c>
      <c r="J1078" s="17">
        <f t="shared" si="1"/>
        <v>36.72</v>
      </c>
      <c r="K1078" s="16" t="str">
        <f t="array" ref="K1078">_xlfn.XLOOKUP(C1078,Clientes[ID_Cliente],Clientes[Provincia])</f>
        <v>Buenos Aires</v>
      </c>
      <c r="L1078" s="16" t="str">
        <f t="array" ref="L1078">CONCATENATE(_xlfn.XLOOKUP(C1078,Clientes[ID_Cliente],Clientes[Provincia]),", Argentina")</f>
        <v>Buenos Aires, Argentina</v>
      </c>
      <c r="M1078" s="20" t="str">
        <f t="array" ref="M1078">_xlfn.XLOOKUP(F1078,Metodos_De_Pago[ID_Metodo],Metodos_De_Pago[Metodo])</f>
        <v>Transferencia</v>
      </c>
      <c r="N1078" s="20" t="str">
        <f t="shared" si="2"/>
        <v>2024 03</v>
      </c>
    </row>
    <row r="1079" ht="22.5" customHeight="1">
      <c r="A1079" s="12">
        <f>IFERROR(__xludf.DUMMYFUNCTION("""COMPUTED_VALUE"""),2973.0)</f>
        <v>2973</v>
      </c>
      <c r="B1079" s="13">
        <f>IFERROR(__xludf.DUMMYFUNCTION("""COMPUTED_VALUE"""),45365.0)</f>
        <v>45365</v>
      </c>
      <c r="C1079" s="12">
        <f>IFERROR(__xludf.DUMMYFUNCTION("""COMPUTED_VALUE"""),134.0)</f>
        <v>134</v>
      </c>
      <c r="D1079" s="12">
        <f>IFERROR(__xludf.DUMMYFUNCTION("""COMPUTED_VALUE"""),7.0)</f>
        <v>7</v>
      </c>
      <c r="E1079" s="12">
        <f>IFERROR(__xludf.DUMMYFUNCTION("""COMPUTED_VALUE"""),3.0)</f>
        <v>3</v>
      </c>
      <c r="F1079" s="12">
        <f>IFERROR(__xludf.DUMMYFUNCTION("""COMPUTED_VALUE"""),3.0)</f>
        <v>3</v>
      </c>
      <c r="G1079" s="15" t="str">
        <f>IFERROR(__xludf.DUMMYFUNCTION("""COMPUTED_VALUE"""),"Completa")</f>
        <v>Completa</v>
      </c>
      <c r="H1079" s="16" t="str">
        <f t="array" ref="H1079">_xlfn.XLOOKUP(D1079,Productos[ID_Producto],Productos[Nombre_Producto])</f>
        <v>Chorizo</v>
      </c>
      <c r="I1079" s="17">
        <f t="array" ref="I1079">_xlfn.XLOOKUP(D1079,Productos[ID_Producto],Productos[Precio_Unitario])</f>
        <v>11.25</v>
      </c>
      <c r="J1079" s="17">
        <f t="shared" si="1"/>
        <v>33.75</v>
      </c>
      <c r="K1079" s="16" t="str">
        <f t="array" ref="K1079">_xlfn.XLOOKUP(C1079,Clientes[ID_Cliente],Clientes[Provincia])</f>
        <v>San Luis</v>
      </c>
      <c r="L1079" s="16" t="str">
        <f t="array" ref="L1079">CONCATENATE(_xlfn.XLOOKUP(C1079,Clientes[ID_Cliente],Clientes[Provincia]),", Argentina")</f>
        <v>San Luis, Argentina</v>
      </c>
      <c r="M1079" s="20" t="str">
        <f t="array" ref="M1079">_xlfn.XLOOKUP(F1079,Metodos_De_Pago[ID_Metodo],Metodos_De_Pago[Metodo])</f>
        <v>Tarjeta de Débito</v>
      </c>
      <c r="N1079" s="20" t="str">
        <f t="shared" si="2"/>
        <v>2024 03</v>
      </c>
    </row>
    <row r="1080" ht="22.5" customHeight="1">
      <c r="A1080" s="12">
        <f>IFERROR(__xludf.DUMMYFUNCTION("""COMPUTED_VALUE"""),1494.0)</f>
        <v>1494</v>
      </c>
      <c r="B1080" s="13">
        <f>IFERROR(__xludf.DUMMYFUNCTION("""COMPUTED_VALUE"""),45366.0)</f>
        <v>45366</v>
      </c>
      <c r="C1080" s="12">
        <f>IFERROR(__xludf.DUMMYFUNCTION("""COMPUTED_VALUE"""),157.0)</f>
        <v>157</v>
      </c>
      <c r="D1080" s="12">
        <f>IFERROR(__xludf.DUMMYFUNCTION("""COMPUTED_VALUE"""),23.0)</f>
        <v>23</v>
      </c>
      <c r="E1080" s="12">
        <f>IFERROR(__xludf.DUMMYFUNCTION("""COMPUTED_VALUE"""),3.0)</f>
        <v>3</v>
      </c>
      <c r="F1080" s="12">
        <f>IFERROR(__xludf.DUMMYFUNCTION("""COMPUTED_VALUE"""),1.0)</f>
        <v>1</v>
      </c>
      <c r="G1080" s="15" t="str">
        <f>IFERROR(__xludf.DUMMYFUNCTION("""COMPUTED_VALUE"""),"Completa")</f>
        <v>Completa</v>
      </c>
      <c r="H1080" s="16" t="str">
        <f t="array" ref="H1080">_xlfn.XLOOKUP(D1080,Productos[ID_Producto],Productos[Nombre_Producto])</f>
        <v>Papas fritas</v>
      </c>
      <c r="I1080" s="17">
        <f t="array" ref="I1080">_xlfn.XLOOKUP(D1080,Productos[ID_Producto],Productos[Precio_Unitario])</f>
        <v>8.23</v>
      </c>
      <c r="J1080" s="17">
        <f t="shared" si="1"/>
        <v>24.69</v>
      </c>
      <c r="K1080" s="16" t="str">
        <f t="array" ref="K1080">_xlfn.XLOOKUP(C1080,Clientes[ID_Cliente],Clientes[Provincia])</f>
        <v>Neuquén</v>
      </c>
      <c r="L1080" s="16" t="str">
        <f t="array" ref="L1080">CONCATENATE(_xlfn.XLOOKUP(C1080,Clientes[ID_Cliente],Clientes[Provincia]),", Argentina")</f>
        <v>Neuquén, Argentina</v>
      </c>
      <c r="M1080" s="20" t="str">
        <f t="array" ref="M1080">_xlfn.XLOOKUP(F1080,Metodos_De_Pago[ID_Metodo],Metodos_De_Pago[Metodo])</f>
        <v>Efectivo</v>
      </c>
      <c r="N1080" s="20" t="str">
        <f t="shared" si="2"/>
        <v>2024 03</v>
      </c>
    </row>
    <row r="1081" ht="22.5" customHeight="1">
      <c r="A1081" s="12">
        <f>IFERROR(__xludf.DUMMYFUNCTION("""COMPUTED_VALUE"""),1618.0)</f>
        <v>1618</v>
      </c>
      <c r="B1081" s="13">
        <f>IFERROR(__xludf.DUMMYFUNCTION("""COMPUTED_VALUE"""),45366.0)</f>
        <v>45366</v>
      </c>
      <c r="C1081" s="12">
        <f>IFERROR(__xludf.DUMMYFUNCTION("""COMPUTED_VALUE"""),14.0)</f>
        <v>14</v>
      </c>
      <c r="D1081" s="12">
        <f>IFERROR(__xludf.DUMMYFUNCTION("""COMPUTED_VALUE"""),18.0)</f>
        <v>18</v>
      </c>
      <c r="E1081" s="12">
        <f>IFERROR(__xludf.DUMMYFUNCTION("""COMPUTED_VALUE"""),3.0)</f>
        <v>3</v>
      </c>
      <c r="F1081" s="12">
        <f>IFERROR(__xludf.DUMMYFUNCTION("""COMPUTED_VALUE"""),5.0)</f>
        <v>5</v>
      </c>
      <c r="G1081" s="15" t="str">
        <f>IFERROR(__xludf.DUMMYFUNCTION("""COMPUTED_VALUE"""),"Pendiente")</f>
        <v>Pendiente</v>
      </c>
      <c r="H1081" s="16" t="str">
        <f t="array" ref="H1081">_xlfn.XLOOKUP(D1081,Productos[ID_Producto],Productos[Nombre_Producto])</f>
        <v>Bananas</v>
      </c>
      <c r="I1081" s="17">
        <f t="array" ref="I1081">_xlfn.XLOOKUP(D1081,Productos[ID_Producto],Productos[Precio_Unitario])</f>
        <v>7.25</v>
      </c>
      <c r="J1081" s="17">
        <f t="shared" si="1"/>
        <v>21.75</v>
      </c>
      <c r="K1081" s="16" t="str">
        <f t="array" ref="K1081">_xlfn.XLOOKUP(C1081,Clientes[ID_Cliente],Clientes[Provincia])</f>
        <v>Buenos Aires</v>
      </c>
      <c r="L1081" s="16" t="str">
        <f t="array" ref="L1081">CONCATENATE(_xlfn.XLOOKUP(C1081,Clientes[ID_Cliente],Clientes[Provincia]),", Argentina")</f>
        <v>Buenos Aires, Argentina</v>
      </c>
      <c r="M1081" s="20" t="str">
        <f t="array" ref="M1081">_xlfn.XLOOKUP(F1081,Metodos_De_Pago[ID_Metodo],Metodos_De_Pago[Metodo])</f>
        <v>Transferencia</v>
      </c>
      <c r="N1081" s="20" t="str">
        <f t="shared" si="2"/>
        <v>2024 03</v>
      </c>
    </row>
    <row r="1082" ht="22.5" customHeight="1">
      <c r="A1082" s="12">
        <f>IFERROR(__xludf.DUMMYFUNCTION("""COMPUTED_VALUE"""),1646.0)</f>
        <v>1646</v>
      </c>
      <c r="B1082" s="13">
        <f>IFERROR(__xludf.DUMMYFUNCTION("""COMPUTED_VALUE"""),45366.0)</f>
        <v>45366</v>
      </c>
      <c r="C1082" s="12">
        <f>IFERROR(__xludf.DUMMYFUNCTION("""COMPUTED_VALUE"""),143.0)</f>
        <v>143</v>
      </c>
      <c r="D1082" s="12">
        <f>IFERROR(__xludf.DUMMYFUNCTION("""COMPUTED_VALUE"""),8.0)</f>
        <v>8</v>
      </c>
      <c r="E1082" s="12">
        <f>IFERROR(__xludf.DUMMYFUNCTION("""COMPUTED_VALUE"""),3.0)</f>
        <v>3</v>
      </c>
      <c r="F1082" s="12">
        <f>IFERROR(__xludf.DUMMYFUNCTION("""COMPUTED_VALUE"""),3.0)</f>
        <v>3</v>
      </c>
      <c r="G1082" s="15" t="str">
        <f>IFERROR(__xludf.DUMMYFUNCTION("""COMPUTED_VALUE"""),"Completa")</f>
        <v>Completa</v>
      </c>
      <c r="H1082" s="16" t="str">
        <f t="array" ref="H1082">_xlfn.XLOOKUP(D1082,Productos[ID_Producto],Productos[Nombre_Producto])</f>
        <v>Milanesa</v>
      </c>
      <c r="I1082" s="17">
        <f t="array" ref="I1082">_xlfn.XLOOKUP(D1082,Productos[ID_Producto],Productos[Precio_Unitario])</f>
        <v>16.21</v>
      </c>
      <c r="J1082" s="17">
        <f t="shared" si="1"/>
        <v>48.63</v>
      </c>
      <c r="K1082" s="16" t="str">
        <f t="array" ref="K1082">_xlfn.XLOOKUP(C1082,Clientes[ID_Cliente],Clientes[Provincia])</f>
        <v>Buenos Aires</v>
      </c>
      <c r="L1082" s="16" t="str">
        <f t="array" ref="L1082">CONCATENATE(_xlfn.XLOOKUP(C1082,Clientes[ID_Cliente],Clientes[Provincia]),", Argentina")</f>
        <v>Buenos Aires, Argentina</v>
      </c>
      <c r="M1082" s="20" t="str">
        <f t="array" ref="M1082">_xlfn.XLOOKUP(F1082,Metodos_De_Pago[ID_Metodo],Metodos_De_Pago[Metodo])</f>
        <v>Tarjeta de Débito</v>
      </c>
      <c r="N1082" s="20" t="str">
        <f t="shared" si="2"/>
        <v>2024 03</v>
      </c>
    </row>
    <row r="1083" ht="22.5" customHeight="1">
      <c r="A1083" s="12">
        <f>IFERROR(__xludf.DUMMYFUNCTION("""COMPUTED_VALUE"""),1085.0)</f>
        <v>1085</v>
      </c>
      <c r="B1083" s="13">
        <f>IFERROR(__xludf.DUMMYFUNCTION("""COMPUTED_VALUE"""),45367.0)</f>
        <v>45367</v>
      </c>
      <c r="C1083" s="12">
        <f>IFERROR(__xludf.DUMMYFUNCTION("""COMPUTED_VALUE"""),232.0)</f>
        <v>232</v>
      </c>
      <c r="D1083" s="12">
        <f>IFERROR(__xludf.DUMMYFUNCTION("""COMPUTED_VALUE"""),20.0)</f>
        <v>20</v>
      </c>
      <c r="E1083" s="12">
        <f>IFERROR(__xludf.DUMMYFUNCTION("""COMPUTED_VALUE"""),3.0)</f>
        <v>3</v>
      </c>
      <c r="F1083" s="12">
        <f>IFERROR(__xludf.DUMMYFUNCTION("""COMPUTED_VALUE"""),3.0)</f>
        <v>3</v>
      </c>
      <c r="G1083" s="15" t="str">
        <f>IFERROR(__xludf.DUMMYFUNCTION("""COMPUTED_VALUE"""),"Completa")</f>
        <v>Completa</v>
      </c>
      <c r="H1083" s="16" t="str">
        <f t="array" ref="H1083">_xlfn.XLOOKUP(D1083,Productos[ID_Producto],Productos[Nombre_Producto])</f>
        <v>Lechugas</v>
      </c>
      <c r="I1083" s="17">
        <f t="array" ref="I1083">_xlfn.XLOOKUP(D1083,Productos[ID_Producto],Productos[Precio_Unitario])</f>
        <v>4.25</v>
      </c>
      <c r="J1083" s="17">
        <f t="shared" si="1"/>
        <v>12.75</v>
      </c>
      <c r="K1083" s="16" t="str">
        <f t="array" ref="K1083">_xlfn.XLOOKUP(C1083,Clientes[ID_Cliente],Clientes[Provincia])</f>
        <v>Buenos Aires</v>
      </c>
      <c r="L1083" s="16" t="str">
        <f t="array" ref="L1083">CONCATENATE(_xlfn.XLOOKUP(C1083,Clientes[ID_Cliente],Clientes[Provincia]),", Argentina")</f>
        <v>Buenos Aires, Argentina</v>
      </c>
      <c r="M1083" s="20" t="str">
        <f t="array" ref="M1083">_xlfn.XLOOKUP(F1083,Metodos_De_Pago[ID_Metodo],Metodos_De_Pago[Metodo])</f>
        <v>Tarjeta de Débito</v>
      </c>
      <c r="N1083" s="20" t="str">
        <f t="shared" si="2"/>
        <v>2024 03</v>
      </c>
    </row>
    <row r="1084" ht="22.5" customHeight="1">
      <c r="A1084" s="12">
        <f>IFERROR(__xludf.DUMMYFUNCTION("""COMPUTED_VALUE"""),18.0)</f>
        <v>18</v>
      </c>
      <c r="B1084" s="13">
        <f>IFERROR(__xludf.DUMMYFUNCTION("""COMPUTED_VALUE"""),45368.0)</f>
        <v>45368</v>
      </c>
      <c r="C1084" s="12">
        <f>IFERROR(__xludf.DUMMYFUNCTION("""COMPUTED_VALUE"""),179.0)</f>
        <v>179</v>
      </c>
      <c r="D1084" s="12">
        <f>IFERROR(__xludf.DUMMYFUNCTION("""COMPUTED_VALUE"""),10.0)</f>
        <v>10</v>
      </c>
      <c r="E1084" s="12">
        <f>IFERROR(__xludf.DUMMYFUNCTION("""COMPUTED_VALUE"""),3.0)</f>
        <v>3</v>
      </c>
      <c r="F1084" s="12">
        <f>IFERROR(__xludf.DUMMYFUNCTION("""COMPUTED_VALUE"""),4.0)</f>
        <v>4</v>
      </c>
      <c r="G1084" s="15" t="str">
        <f>IFERROR(__xludf.DUMMYFUNCTION("""COMPUTED_VALUE"""),"Completa")</f>
        <v>Completa</v>
      </c>
      <c r="H1084" s="16" t="str">
        <f t="array" ref="H1084">_xlfn.XLOOKUP(D1084,Productos[ID_Producto],Productos[Nombre_Producto])</f>
        <v>Costilla de cerdo</v>
      </c>
      <c r="I1084" s="17">
        <f t="array" ref="I1084">_xlfn.XLOOKUP(D1084,Productos[ID_Producto],Productos[Precio_Unitario])</f>
        <v>14.25</v>
      </c>
      <c r="J1084" s="17">
        <f t="shared" si="1"/>
        <v>42.75</v>
      </c>
      <c r="K1084" s="16" t="str">
        <f t="array" ref="K1084">_xlfn.XLOOKUP(C1084,Clientes[ID_Cliente],Clientes[Provincia])</f>
        <v>Buenos Aires</v>
      </c>
      <c r="L1084" s="16" t="str">
        <f t="array" ref="L1084">CONCATENATE(_xlfn.XLOOKUP(C1084,Clientes[ID_Cliente],Clientes[Provincia]),", Argentina")</f>
        <v>Buenos Aires, Argentina</v>
      </c>
      <c r="M1084" s="20" t="str">
        <f t="array" ref="M1084">_xlfn.XLOOKUP(F1084,Metodos_De_Pago[ID_Metodo],Metodos_De_Pago[Metodo])</f>
        <v>Mercado Pago</v>
      </c>
      <c r="N1084" s="20" t="str">
        <f t="shared" si="2"/>
        <v>2024 03</v>
      </c>
    </row>
    <row r="1085" ht="22.5" customHeight="1">
      <c r="A1085" s="12">
        <f>IFERROR(__xludf.DUMMYFUNCTION("""COMPUTED_VALUE"""),1121.0)</f>
        <v>1121</v>
      </c>
      <c r="B1085" s="13">
        <f>IFERROR(__xludf.DUMMYFUNCTION("""COMPUTED_VALUE"""),45368.0)</f>
        <v>45368</v>
      </c>
      <c r="C1085" s="12">
        <f>IFERROR(__xludf.DUMMYFUNCTION("""COMPUTED_VALUE"""),88.0)</f>
        <v>88</v>
      </c>
      <c r="D1085" s="12">
        <f>IFERROR(__xludf.DUMMYFUNCTION("""COMPUTED_VALUE"""),34.0)</f>
        <v>34</v>
      </c>
      <c r="E1085" s="12">
        <f>IFERROR(__xludf.DUMMYFUNCTION("""COMPUTED_VALUE"""),3.0)</f>
        <v>3</v>
      </c>
      <c r="F1085" s="12">
        <f>IFERROR(__xludf.DUMMYFUNCTION("""COMPUTED_VALUE"""),5.0)</f>
        <v>5</v>
      </c>
      <c r="G1085" s="15" t="str">
        <f>IFERROR(__xludf.DUMMYFUNCTION("""COMPUTED_VALUE"""),"Pendiente")</f>
        <v>Pendiente</v>
      </c>
      <c r="H1085" s="16" t="str">
        <f t="array" ref="H1085">_xlfn.XLOOKUP(D1085,Productos[ID_Producto],Productos[Nombre_Producto])</f>
        <v>Maníes</v>
      </c>
      <c r="I1085" s="17">
        <f t="array" ref="I1085">_xlfn.XLOOKUP(D1085,Productos[ID_Producto],Productos[Precio_Unitario])</f>
        <v>5.45</v>
      </c>
      <c r="J1085" s="17">
        <f t="shared" si="1"/>
        <v>16.35</v>
      </c>
      <c r="K1085" s="16" t="str">
        <f t="array" ref="K1085">_xlfn.XLOOKUP(C1085,Clientes[ID_Cliente],Clientes[Provincia])</f>
        <v>Neuquén</v>
      </c>
      <c r="L1085" s="16" t="str">
        <f t="array" ref="L1085">CONCATENATE(_xlfn.XLOOKUP(C1085,Clientes[ID_Cliente],Clientes[Provincia]),", Argentina")</f>
        <v>Neuquén, Argentina</v>
      </c>
      <c r="M1085" s="20" t="str">
        <f t="array" ref="M1085">_xlfn.XLOOKUP(F1085,Metodos_De_Pago[ID_Metodo],Metodos_De_Pago[Metodo])</f>
        <v>Transferencia</v>
      </c>
      <c r="N1085" s="20" t="str">
        <f t="shared" si="2"/>
        <v>2024 03</v>
      </c>
    </row>
    <row r="1086" ht="22.5" customHeight="1">
      <c r="A1086" s="12">
        <f>IFERROR(__xludf.DUMMYFUNCTION("""COMPUTED_VALUE"""),2091.0)</f>
        <v>2091</v>
      </c>
      <c r="B1086" s="13">
        <f>IFERROR(__xludf.DUMMYFUNCTION("""COMPUTED_VALUE"""),45368.0)</f>
        <v>45368</v>
      </c>
      <c r="C1086" s="12">
        <f>IFERROR(__xludf.DUMMYFUNCTION("""COMPUTED_VALUE"""),44.0)</f>
        <v>44</v>
      </c>
      <c r="D1086" s="12">
        <f>IFERROR(__xludf.DUMMYFUNCTION("""COMPUTED_VALUE"""),21.0)</f>
        <v>21</v>
      </c>
      <c r="E1086" s="12">
        <f>IFERROR(__xludf.DUMMYFUNCTION("""COMPUTED_VALUE"""),3.0)</f>
        <v>3</v>
      </c>
      <c r="F1086" s="12">
        <f>IFERROR(__xludf.DUMMYFUNCTION("""COMPUTED_VALUE"""),5.0)</f>
        <v>5</v>
      </c>
      <c r="G1086" s="15" t="str">
        <f>IFERROR(__xludf.DUMMYFUNCTION("""COMPUTED_VALUE"""),"Completa")</f>
        <v>Completa</v>
      </c>
      <c r="H1086" s="16" t="str">
        <f t="array" ref="H1086">_xlfn.XLOOKUP(D1086,Productos[ID_Producto],Productos[Nombre_Producto])</f>
        <v>Zanahorias</v>
      </c>
      <c r="I1086" s="17">
        <f t="array" ref="I1086">_xlfn.XLOOKUP(D1086,Productos[ID_Producto],Productos[Precio_Unitario])</f>
        <v>3.25</v>
      </c>
      <c r="J1086" s="17">
        <f t="shared" si="1"/>
        <v>9.75</v>
      </c>
      <c r="K1086" s="16" t="str">
        <f t="array" ref="K1086">_xlfn.XLOOKUP(C1086,Clientes[ID_Cliente],Clientes[Provincia])</f>
        <v>Buenos Aires</v>
      </c>
      <c r="L1086" s="16" t="str">
        <f t="array" ref="L1086">CONCATENATE(_xlfn.XLOOKUP(C1086,Clientes[ID_Cliente],Clientes[Provincia]),", Argentina")</f>
        <v>Buenos Aires, Argentina</v>
      </c>
      <c r="M1086" s="20" t="str">
        <f t="array" ref="M1086">_xlfn.XLOOKUP(F1086,Metodos_De_Pago[ID_Metodo],Metodos_De_Pago[Metodo])</f>
        <v>Transferencia</v>
      </c>
      <c r="N1086" s="20" t="str">
        <f t="shared" si="2"/>
        <v>2024 03</v>
      </c>
    </row>
    <row r="1087" ht="22.5" customHeight="1">
      <c r="A1087" s="12">
        <f>IFERROR(__xludf.DUMMYFUNCTION("""COMPUTED_VALUE"""),2478.0)</f>
        <v>2478</v>
      </c>
      <c r="B1087" s="13">
        <f>IFERROR(__xludf.DUMMYFUNCTION("""COMPUTED_VALUE"""),45368.0)</f>
        <v>45368</v>
      </c>
      <c r="C1087" s="12">
        <f>IFERROR(__xludf.DUMMYFUNCTION("""COMPUTED_VALUE"""),109.0)</f>
        <v>109</v>
      </c>
      <c r="D1087" s="12">
        <f>IFERROR(__xludf.DUMMYFUNCTION("""COMPUTED_VALUE"""),29.0)</f>
        <v>29</v>
      </c>
      <c r="E1087" s="12">
        <f>IFERROR(__xludf.DUMMYFUNCTION("""COMPUTED_VALUE"""),3.0)</f>
        <v>3</v>
      </c>
      <c r="F1087" s="12">
        <f>IFERROR(__xludf.DUMMYFUNCTION("""COMPUTED_VALUE"""),3.0)</f>
        <v>3</v>
      </c>
      <c r="G1087" s="15" t="str">
        <f>IFERROR(__xludf.DUMMYFUNCTION("""COMPUTED_VALUE"""),"Completa")</f>
        <v>Completa</v>
      </c>
      <c r="H1087" s="16" t="str">
        <f t="array" ref="H1087">_xlfn.XLOOKUP(D1087,Productos[ID_Producto],Productos[Nombre_Producto])</f>
        <v>Cerveza</v>
      </c>
      <c r="I1087" s="17">
        <f t="array" ref="I1087">_xlfn.XLOOKUP(D1087,Productos[ID_Producto],Productos[Precio_Unitario])</f>
        <v>11.54</v>
      </c>
      <c r="J1087" s="17">
        <f t="shared" si="1"/>
        <v>34.62</v>
      </c>
      <c r="K1087" s="16" t="str">
        <f t="array" ref="K1087">_xlfn.XLOOKUP(C1087,Clientes[ID_Cliente],Clientes[Provincia])</f>
        <v>San Luis</v>
      </c>
      <c r="L1087" s="16" t="str">
        <f t="array" ref="L1087">CONCATENATE(_xlfn.XLOOKUP(C1087,Clientes[ID_Cliente],Clientes[Provincia]),", Argentina")</f>
        <v>San Luis, Argentina</v>
      </c>
      <c r="M1087" s="20" t="str">
        <f t="array" ref="M1087">_xlfn.XLOOKUP(F1087,Metodos_De_Pago[ID_Metodo],Metodos_De_Pago[Metodo])</f>
        <v>Tarjeta de Débito</v>
      </c>
      <c r="N1087" s="20" t="str">
        <f t="shared" si="2"/>
        <v>2024 03</v>
      </c>
    </row>
    <row r="1088" ht="22.5" customHeight="1">
      <c r="A1088" s="12">
        <f>IFERROR(__xludf.DUMMYFUNCTION("""COMPUTED_VALUE"""),414.0)</f>
        <v>414</v>
      </c>
      <c r="B1088" s="13">
        <f>IFERROR(__xludf.DUMMYFUNCTION("""COMPUTED_VALUE"""),45369.0)</f>
        <v>45369</v>
      </c>
      <c r="C1088" s="12">
        <f>IFERROR(__xludf.DUMMYFUNCTION("""COMPUTED_VALUE"""),151.0)</f>
        <v>151</v>
      </c>
      <c r="D1088" s="12">
        <f>IFERROR(__xludf.DUMMYFUNCTION("""COMPUTED_VALUE"""),35.0)</f>
        <v>35</v>
      </c>
      <c r="E1088" s="12">
        <f>IFERROR(__xludf.DUMMYFUNCTION("""COMPUTED_VALUE"""),3.0)</f>
        <v>3</v>
      </c>
      <c r="F1088" s="12">
        <f>IFERROR(__xludf.DUMMYFUNCTION("""COMPUTED_VALUE"""),5.0)</f>
        <v>5</v>
      </c>
      <c r="G1088" s="15" t="str">
        <f>IFERROR(__xludf.DUMMYFUNCTION("""COMPUTED_VALUE"""),"Completa")</f>
        <v>Completa</v>
      </c>
      <c r="H1088" s="16" t="str">
        <f t="array" ref="H1088">_xlfn.XLOOKUP(D1088,Productos[ID_Producto],Productos[Nombre_Producto])</f>
        <v>Arroz</v>
      </c>
      <c r="I1088" s="17">
        <f t="array" ref="I1088">_xlfn.XLOOKUP(D1088,Productos[ID_Producto],Productos[Precio_Unitario])</f>
        <v>4.25</v>
      </c>
      <c r="J1088" s="17">
        <f t="shared" si="1"/>
        <v>12.75</v>
      </c>
      <c r="K1088" s="16" t="str">
        <f t="array" ref="K1088">_xlfn.XLOOKUP(C1088,Clientes[ID_Cliente],Clientes[Provincia])</f>
        <v>Buenos Aires</v>
      </c>
      <c r="L1088" s="16" t="str">
        <f t="array" ref="L1088">CONCATENATE(_xlfn.XLOOKUP(C1088,Clientes[ID_Cliente],Clientes[Provincia]),", Argentina")</f>
        <v>Buenos Aires, Argentina</v>
      </c>
      <c r="M1088" s="20" t="str">
        <f t="array" ref="M1088">_xlfn.XLOOKUP(F1088,Metodos_De_Pago[ID_Metodo],Metodos_De_Pago[Metodo])</f>
        <v>Transferencia</v>
      </c>
      <c r="N1088" s="20" t="str">
        <f t="shared" si="2"/>
        <v>2024 03</v>
      </c>
    </row>
    <row r="1089" ht="22.5" customHeight="1">
      <c r="A1089" s="12">
        <f>IFERROR(__xludf.DUMMYFUNCTION("""COMPUTED_VALUE"""),1156.0)</f>
        <v>1156</v>
      </c>
      <c r="B1089" s="13">
        <f>IFERROR(__xludf.DUMMYFUNCTION("""COMPUTED_VALUE"""),45369.0)</f>
        <v>45369</v>
      </c>
      <c r="C1089" s="12">
        <f>IFERROR(__xludf.DUMMYFUNCTION("""COMPUTED_VALUE"""),37.0)</f>
        <v>37</v>
      </c>
      <c r="D1089" s="12">
        <f>IFERROR(__xludf.DUMMYFUNCTION("""COMPUTED_VALUE"""),2.0)</f>
        <v>2</v>
      </c>
      <c r="E1089" s="12">
        <f>IFERROR(__xludf.DUMMYFUNCTION("""COMPUTED_VALUE"""),3.0)</f>
        <v>3</v>
      </c>
      <c r="F1089" s="12">
        <f>IFERROR(__xludf.DUMMYFUNCTION("""COMPUTED_VALUE"""),1.0)</f>
        <v>1</v>
      </c>
      <c r="G1089" s="15" t="str">
        <f>IFERROR(__xludf.DUMMYFUNCTION("""COMPUTED_VALUE"""),"Completa")</f>
        <v>Completa</v>
      </c>
      <c r="H1089" s="16" t="str">
        <f t="array" ref="H1089">_xlfn.XLOOKUP(D1089,Productos[ID_Producto],Productos[Nombre_Producto])</f>
        <v>Yogur</v>
      </c>
      <c r="I1089" s="17">
        <f t="array" ref="I1089">_xlfn.XLOOKUP(D1089,Productos[ID_Producto],Productos[Precio_Unitario])</f>
        <v>5.21</v>
      </c>
      <c r="J1089" s="17">
        <f t="shared" si="1"/>
        <v>15.63</v>
      </c>
      <c r="K1089" s="16" t="str">
        <f t="array" ref="K1089">_xlfn.XLOOKUP(C1089,Clientes[ID_Cliente],Clientes[Provincia])</f>
        <v>San Luis</v>
      </c>
      <c r="L1089" s="16" t="str">
        <f t="array" ref="L1089">CONCATENATE(_xlfn.XLOOKUP(C1089,Clientes[ID_Cliente],Clientes[Provincia]),", Argentina")</f>
        <v>San Luis, Argentina</v>
      </c>
      <c r="M1089" s="20" t="str">
        <f t="array" ref="M1089">_xlfn.XLOOKUP(F1089,Metodos_De_Pago[ID_Metodo],Metodos_De_Pago[Metodo])</f>
        <v>Efectivo</v>
      </c>
      <c r="N1089" s="20" t="str">
        <f t="shared" si="2"/>
        <v>2024 03</v>
      </c>
    </row>
    <row r="1090" ht="22.5" customHeight="1">
      <c r="A1090" s="12">
        <f>IFERROR(__xludf.DUMMYFUNCTION("""COMPUTED_VALUE"""),208.0)</f>
        <v>208</v>
      </c>
      <c r="B1090" s="13">
        <f>IFERROR(__xludf.DUMMYFUNCTION("""COMPUTED_VALUE"""),45370.0)</f>
        <v>45370</v>
      </c>
      <c r="C1090" s="12">
        <f>IFERROR(__xludf.DUMMYFUNCTION("""COMPUTED_VALUE"""),66.0)</f>
        <v>66</v>
      </c>
      <c r="D1090" s="12">
        <f>IFERROR(__xludf.DUMMYFUNCTION("""COMPUTED_VALUE"""),29.0)</f>
        <v>29</v>
      </c>
      <c r="E1090" s="12">
        <f>IFERROR(__xludf.DUMMYFUNCTION("""COMPUTED_VALUE"""),3.0)</f>
        <v>3</v>
      </c>
      <c r="F1090" s="12">
        <f>IFERROR(__xludf.DUMMYFUNCTION("""COMPUTED_VALUE"""),1.0)</f>
        <v>1</v>
      </c>
      <c r="G1090" s="15" t="str">
        <f>IFERROR(__xludf.DUMMYFUNCTION("""COMPUTED_VALUE"""),"Completa")</f>
        <v>Completa</v>
      </c>
      <c r="H1090" s="16" t="str">
        <f t="array" ref="H1090">_xlfn.XLOOKUP(D1090,Productos[ID_Producto],Productos[Nombre_Producto])</f>
        <v>Cerveza</v>
      </c>
      <c r="I1090" s="17">
        <f t="array" ref="I1090">_xlfn.XLOOKUP(D1090,Productos[ID_Producto],Productos[Precio_Unitario])</f>
        <v>11.54</v>
      </c>
      <c r="J1090" s="17">
        <f t="shared" si="1"/>
        <v>34.62</v>
      </c>
      <c r="K1090" s="16" t="str">
        <f t="array" ref="K1090">_xlfn.XLOOKUP(C1090,Clientes[ID_Cliente],Clientes[Provincia])</f>
        <v>Buenos Aires</v>
      </c>
      <c r="L1090" s="16" t="str">
        <f t="array" ref="L1090">CONCATENATE(_xlfn.XLOOKUP(C1090,Clientes[ID_Cliente],Clientes[Provincia]),", Argentina")</f>
        <v>Buenos Aires, Argentina</v>
      </c>
      <c r="M1090" s="20" t="str">
        <f t="array" ref="M1090">_xlfn.XLOOKUP(F1090,Metodos_De_Pago[ID_Metodo],Metodos_De_Pago[Metodo])</f>
        <v>Efectivo</v>
      </c>
      <c r="N1090" s="20" t="str">
        <f t="shared" si="2"/>
        <v>2024 03</v>
      </c>
    </row>
    <row r="1091" ht="22.5" customHeight="1">
      <c r="A1091" s="12">
        <f>IFERROR(__xludf.DUMMYFUNCTION("""COMPUTED_VALUE"""),968.0)</f>
        <v>968</v>
      </c>
      <c r="B1091" s="13">
        <f>IFERROR(__xludf.DUMMYFUNCTION("""COMPUTED_VALUE"""),45371.0)</f>
        <v>45371</v>
      </c>
      <c r="C1091" s="12">
        <f>IFERROR(__xludf.DUMMYFUNCTION("""COMPUTED_VALUE"""),3.0)</f>
        <v>3</v>
      </c>
      <c r="D1091" s="12">
        <f>IFERROR(__xludf.DUMMYFUNCTION("""COMPUTED_VALUE"""),23.0)</f>
        <v>23</v>
      </c>
      <c r="E1091" s="12">
        <f>IFERROR(__xludf.DUMMYFUNCTION("""COMPUTED_VALUE"""),3.0)</f>
        <v>3</v>
      </c>
      <c r="F1091" s="12">
        <f>IFERROR(__xludf.DUMMYFUNCTION("""COMPUTED_VALUE"""),4.0)</f>
        <v>4</v>
      </c>
      <c r="G1091" s="15" t="str">
        <f>IFERROR(__xludf.DUMMYFUNCTION("""COMPUTED_VALUE"""),"Completa")</f>
        <v>Completa</v>
      </c>
      <c r="H1091" s="16" t="str">
        <f t="array" ref="H1091">_xlfn.XLOOKUP(D1091,Productos[ID_Producto],Productos[Nombre_Producto])</f>
        <v>Papas fritas</v>
      </c>
      <c r="I1091" s="17">
        <f t="array" ref="I1091">_xlfn.XLOOKUP(D1091,Productos[ID_Producto],Productos[Precio_Unitario])</f>
        <v>8.23</v>
      </c>
      <c r="J1091" s="17">
        <f t="shared" si="1"/>
        <v>24.69</v>
      </c>
      <c r="K1091" s="16" t="str">
        <f t="array" ref="K1091">_xlfn.XLOOKUP(C1091,Clientes[ID_Cliente],Clientes[Provincia])</f>
        <v>Neuquén</v>
      </c>
      <c r="L1091" s="16" t="str">
        <f t="array" ref="L1091">CONCATENATE(_xlfn.XLOOKUP(C1091,Clientes[ID_Cliente],Clientes[Provincia]),", Argentina")</f>
        <v>Neuquén, Argentina</v>
      </c>
      <c r="M1091" s="20" t="str">
        <f t="array" ref="M1091">_xlfn.XLOOKUP(F1091,Metodos_De_Pago[ID_Metodo],Metodos_De_Pago[Metodo])</f>
        <v>Mercado Pago</v>
      </c>
      <c r="N1091" s="20" t="str">
        <f t="shared" si="2"/>
        <v>2024 03</v>
      </c>
    </row>
    <row r="1092" ht="22.5" customHeight="1">
      <c r="A1092" s="12">
        <f>IFERROR(__xludf.DUMMYFUNCTION("""COMPUTED_VALUE"""),2054.0)</f>
        <v>2054</v>
      </c>
      <c r="B1092" s="13">
        <f>IFERROR(__xludf.DUMMYFUNCTION("""COMPUTED_VALUE"""),45371.0)</f>
        <v>45371</v>
      </c>
      <c r="C1092" s="12">
        <f>IFERROR(__xludf.DUMMYFUNCTION("""COMPUTED_VALUE"""),209.0)</f>
        <v>209</v>
      </c>
      <c r="D1092" s="12">
        <f>IFERROR(__xludf.DUMMYFUNCTION("""COMPUTED_VALUE"""),37.0)</f>
        <v>37</v>
      </c>
      <c r="E1092" s="12">
        <f>IFERROR(__xludf.DUMMYFUNCTION("""COMPUTED_VALUE"""),3.0)</f>
        <v>3</v>
      </c>
      <c r="F1092" s="12">
        <f>IFERROR(__xludf.DUMMYFUNCTION("""COMPUTED_VALUE"""),5.0)</f>
        <v>5</v>
      </c>
      <c r="G1092" s="15" t="str">
        <f>IFERROR(__xludf.DUMMYFUNCTION("""COMPUTED_VALUE"""),"Completa")</f>
        <v>Completa</v>
      </c>
      <c r="H1092" s="16" t="str">
        <f t="array" ref="H1092">_xlfn.XLOOKUP(D1092,Productos[ID_Producto],Productos[Nombre_Producto])</f>
        <v>Garbanzos</v>
      </c>
      <c r="I1092" s="17">
        <f t="array" ref="I1092">_xlfn.XLOOKUP(D1092,Productos[ID_Producto],Productos[Precio_Unitario])</f>
        <v>3.65</v>
      </c>
      <c r="J1092" s="17">
        <f t="shared" si="1"/>
        <v>10.95</v>
      </c>
      <c r="K1092" s="16" t="str">
        <f t="array" ref="K1092">_xlfn.XLOOKUP(C1092,Clientes[ID_Cliente],Clientes[Provincia])</f>
        <v>Buenos Aires</v>
      </c>
      <c r="L1092" s="16" t="str">
        <f t="array" ref="L1092">CONCATENATE(_xlfn.XLOOKUP(C1092,Clientes[ID_Cliente],Clientes[Provincia]),", Argentina")</f>
        <v>Buenos Aires, Argentina</v>
      </c>
      <c r="M1092" s="20" t="str">
        <f t="array" ref="M1092">_xlfn.XLOOKUP(F1092,Metodos_De_Pago[ID_Metodo],Metodos_De_Pago[Metodo])</f>
        <v>Transferencia</v>
      </c>
      <c r="N1092" s="20" t="str">
        <f t="shared" si="2"/>
        <v>2024 03</v>
      </c>
    </row>
    <row r="1093" ht="22.5" customHeight="1">
      <c r="A1093" s="12">
        <f>IFERROR(__xludf.DUMMYFUNCTION("""COMPUTED_VALUE"""),1098.0)</f>
        <v>1098</v>
      </c>
      <c r="B1093" s="13">
        <f>IFERROR(__xludf.DUMMYFUNCTION("""COMPUTED_VALUE"""),45372.0)</f>
        <v>45372</v>
      </c>
      <c r="C1093" s="12">
        <f>IFERROR(__xludf.DUMMYFUNCTION("""COMPUTED_VALUE"""),178.0)</f>
        <v>178</v>
      </c>
      <c r="D1093" s="12">
        <f>IFERROR(__xludf.DUMMYFUNCTION("""COMPUTED_VALUE"""),25.0)</f>
        <v>25</v>
      </c>
      <c r="E1093" s="12">
        <f>IFERROR(__xludf.DUMMYFUNCTION("""COMPUTED_VALUE"""),3.0)</f>
        <v>3</v>
      </c>
      <c r="F1093" s="12">
        <f>IFERROR(__xludf.DUMMYFUNCTION("""COMPUTED_VALUE"""),4.0)</f>
        <v>4</v>
      </c>
      <c r="G1093" s="15" t="str">
        <f>IFERROR(__xludf.DUMMYFUNCTION("""COMPUTED_VALUE"""),"Completa")</f>
        <v>Completa</v>
      </c>
      <c r="H1093" s="16" t="str">
        <f t="array" ref="H1093">_xlfn.XLOOKUP(D1093,Productos[ID_Producto],Productos[Nombre_Producto])</f>
        <v>Pizza congelada</v>
      </c>
      <c r="I1093" s="17">
        <f t="array" ref="I1093">_xlfn.XLOOKUP(D1093,Productos[ID_Producto],Productos[Precio_Unitario])</f>
        <v>15.45</v>
      </c>
      <c r="J1093" s="17">
        <f t="shared" si="1"/>
        <v>46.35</v>
      </c>
      <c r="K1093" s="16" t="str">
        <f t="array" ref="K1093">_xlfn.XLOOKUP(C1093,Clientes[ID_Cliente],Clientes[Provincia])</f>
        <v>Neuquén</v>
      </c>
      <c r="L1093" s="16" t="str">
        <f t="array" ref="L1093">CONCATENATE(_xlfn.XLOOKUP(C1093,Clientes[ID_Cliente],Clientes[Provincia]),", Argentina")</f>
        <v>Neuquén, Argentina</v>
      </c>
      <c r="M1093" s="20" t="str">
        <f t="array" ref="M1093">_xlfn.XLOOKUP(F1093,Metodos_De_Pago[ID_Metodo],Metodos_De_Pago[Metodo])</f>
        <v>Mercado Pago</v>
      </c>
      <c r="N1093" s="20" t="str">
        <f t="shared" si="2"/>
        <v>2024 03</v>
      </c>
    </row>
    <row r="1094" ht="22.5" customHeight="1">
      <c r="A1094" s="12">
        <f>IFERROR(__xludf.DUMMYFUNCTION("""COMPUTED_VALUE"""),1028.0)</f>
        <v>1028</v>
      </c>
      <c r="B1094" s="13">
        <f>IFERROR(__xludf.DUMMYFUNCTION("""COMPUTED_VALUE"""),45373.0)</f>
        <v>45373</v>
      </c>
      <c r="C1094" s="12">
        <f>IFERROR(__xludf.DUMMYFUNCTION("""COMPUTED_VALUE"""),267.0)</f>
        <v>267</v>
      </c>
      <c r="D1094" s="12">
        <f>IFERROR(__xludf.DUMMYFUNCTION("""COMPUTED_VALUE"""),31.0)</f>
        <v>31</v>
      </c>
      <c r="E1094" s="12">
        <f>IFERROR(__xludf.DUMMYFUNCTION("""COMPUTED_VALUE"""),3.0)</f>
        <v>3</v>
      </c>
      <c r="F1094" s="12">
        <f>IFERROR(__xludf.DUMMYFUNCTION("""COMPUTED_VALUE"""),4.0)</f>
        <v>4</v>
      </c>
      <c r="G1094" s="15" t="str">
        <f>IFERROR(__xludf.DUMMYFUNCTION("""COMPUTED_VALUE"""),"Completa")</f>
        <v>Completa</v>
      </c>
      <c r="H1094" s="16" t="str">
        <f t="array" ref="H1094">_xlfn.XLOOKUP(D1094,Productos[ID_Producto],Productos[Nombre_Producto])</f>
        <v>Galletitas de agua</v>
      </c>
      <c r="I1094" s="17">
        <f t="array" ref="I1094">_xlfn.XLOOKUP(D1094,Productos[ID_Producto],Productos[Precio_Unitario])</f>
        <v>5.24</v>
      </c>
      <c r="J1094" s="17">
        <f t="shared" si="1"/>
        <v>15.72</v>
      </c>
      <c r="K1094" s="16" t="str">
        <f t="array" ref="K1094">_xlfn.XLOOKUP(C1094,Clientes[ID_Cliente],Clientes[Provincia])</f>
        <v>Córdoba</v>
      </c>
      <c r="L1094" s="16" t="str">
        <f t="array" ref="L1094">CONCATENATE(_xlfn.XLOOKUP(C1094,Clientes[ID_Cliente],Clientes[Provincia]),", Argentina")</f>
        <v>Córdoba, Argentina</v>
      </c>
      <c r="M1094" s="20" t="str">
        <f t="array" ref="M1094">_xlfn.XLOOKUP(F1094,Metodos_De_Pago[ID_Metodo],Metodos_De_Pago[Metodo])</f>
        <v>Mercado Pago</v>
      </c>
      <c r="N1094" s="20" t="str">
        <f t="shared" si="2"/>
        <v>2024 03</v>
      </c>
    </row>
    <row r="1095" ht="22.5" customHeight="1">
      <c r="A1095" s="12">
        <f>IFERROR(__xludf.DUMMYFUNCTION("""COMPUTED_VALUE"""),1809.0)</f>
        <v>1809</v>
      </c>
      <c r="B1095" s="13">
        <f>IFERROR(__xludf.DUMMYFUNCTION("""COMPUTED_VALUE"""),45373.0)</f>
        <v>45373</v>
      </c>
      <c r="C1095" s="12">
        <f>IFERROR(__xludf.DUMMYFUNCTION("""COMPUTED_VALUE"""),90.0)</f>
        <v>90</v>
      </c>
      <c r="D1095" s="12">
        <f>IFERROR(__xludf.DUMMYFUNCTION("""COMPUTED_VALUE"""),31.0)</f>
        <v>31</v>
      </c>
      <c r="E1095" s="12">
        <f>IFERROR(__xludf.DUMMYFUNCTION("""COMPUTED_VALUE"""),3.0)</f>
        <v>3</v>
      </c>
      <c r="F1095" s="12">
        <f>IFERROR(__xludf.DUMMYFUNCTION("""COMPUTED_VALUE"""),3.0)</f>
        <v>3</v>
      </c>
      <c r="G1095" s="15" t="str">
        <f>IFERROR(__xludf.DUMMYFUNCTION("""COMPUTED_VALUE"""),"Completa")</f>
        <v>Completa</v>
      </c>
      <c r="H1095" s="16" t="str">
        <f t="array" ref="H1095">_xlfn.XLOOKUP(D1095,Productos[ID_Producto],Productos[Nombre_Producto])</f>
        <v>Galletitas de agua</v>
      </c>
      <c r="I1095" s="17">
        <f t="array" ref="I1095">_xlfn.XLOOKUP(D1095,Productos[ID_Producto],Productos[Precio_Unitario])</f>
        <v>5.24</v>
      </c>
      <c r="J1095" s="17">
        <f t="shared" si="1"/>
        <v>15.72</v>
      </c>
      <c r="K1095" s="16" t="str">
        <f t="array" ref="K1095">_xlfn.XLOOKUP(C1095,Clientes[ID_Cliente],Clientes[Provincia])</f>
        <v>Buenos Aires</v>
      </c>
      <c r="L1095" s="16" t="str">
        <f t="array" ref="L1095">CONCATENATE(_xlfn.XLOOKUP(C1095,Clientes[ID_Cliente],Clientes[Provincia]),", Argentina")</f>
        <v>Buenos Aires, Argentina</v>
      </c>
      <c r="M1095" s="20" t="str">
        <f t="array" ref="M1095">_xlfn.XLOOKUP(F1095,Metodos_De_Pago[ID_Metodo],Metodos_De_Pago[Metodo])</f>
        <v>Tarjeta de Débito</v>
      </c>
      <c r="N1095" s="20" t="str">
        <f t="shared" si="2"/>
        <v>2024 03</v>
      </c>
    </row>
    <row r="1096" ht="22.5" customHeight="1">
      <c r="A1096" s="12">
        <f>IFERROR(__xludf.DUMMYFUNCTION("""COMPUTED_VALUE"""),2258.0)</f>
        <v>2258</v>
      </c>
      <c r="B1096" s="13">
        <f>IFERROR(__xludf.DUMMYFUNCTION("""COMPUTED_VALUE"""),45374.0)</f>
        <v>45374</v>
      </c>
      <c r="C1096" s="12">
        <f>IFERROR(__xludf.DUMMYFUNCTION("""COMPUTED_VALUE"""),17.0)</f>
        <v>17</v>
      </c>
      <c r="D1096" s="12">
        <f>IFERROR(__xludf.DUMMYFUNCTION("""COMPUTED_VALUE"""),33.0)</f>
        <v>33</v>
      </c>
      <c r="E1096" s="12">
        <f>IFERROR(__xludf.DUMMYFUNCTION("""COMPUTED_VALUE"""),3.0)</f>
        <v>3</v>
      </c>
      <c r="F1096" s="12">
        <f>IFERROR(__xludf.DUMMYFUNCTION("""COMPUTED_VALUE"""),4.0)</f>
        <v>4</v>
      </c>
      <c r="G1096" s="15" t="str">
        <f>IFERROR(__xludf.DUMMYFUNCTION("""COMPUTED_VALUE"""),"Completa")</f>
        <v>Completa</v>
      </c>
      <c r="H1096" s="16" t="str">
        <f t="array" ref="H1096">_xlfn.XLOOKUP(D1096,Productos[ID_Producto],Productos[Nombre_Producto])</f>
        <v>Papas chips</v>
      </c>
      <c r="I1096" s="17">
        <f t="array" ref="I1096">_xlfn.XLOOKUP(D1096,Productos[ID_Producto],Productos[Precio_Unitario])</f>
        <v>8.54</v>
      </c>
      <c r="J1096" s="17">
        <f t="shared" si="1"/>
        <v>25.62</v>
      </c>
      <c r="K1096" s="16" t="str">
        <f t="array" ref="K1096">_xlfn.XLOOKUP(C1096,Clientes[ID_Cliente],Clientes[Provincia])</f>
        <v>Buenos Aires</v>
      </c>
      <c r="L1096" s="16" t="str">
        <f t="array" ref="L1096">CONCATENATE(_xlfn.XLOOKUP(C1096,Clientes[ID_Cliente],Clientes[Provincia]),", Argentina")</f>
        <v>Buenos Aires, Argentina</v>
      </c>
      <c r="M1096" s="20" t="str">
        <f t="array" ref="M1096">_xlfn.XLOOKUP(F1096,Metodos_De_Pago[ID_Metodo],Metodos_De_Pago[Metodo])</f>
        <v>Mercado Pago</v>
      </c>
      <c r="N1096" s="20" t="str">
        <f t="shared" si="2"/>
        <v>2024 03</v>
      </c>
    </row>
    <row r="1097" ht="22.5" customHeight="1">
      <c r="A1097" s="12">
        <f>IFERROR(__xludf.DUMMYFUNCTION("""COMPUTED_VALUE"""),2467.0)</f>
        <v>2467</v>
      </c>
      <c r="B1097" s="13">
        <f>IFERROR(__xludf.DUMMYFUNCTION("""COMPUTED_VALUE"""),45374.0)</f>
        <v>45374</v>
      </c>
      <c r="C1097" s="12">
        <f>IFERROR(__xludf.DUMMYFUNCTION("""COMPUTED_VALUE"""),25.0)</f>
        <v>25</v>
      </c>
      <c r="D1097" s="12">
        <f>IFERROR(__xludf.DUMMYFUNCTION("""COMPUTED_VALUE"""),4.0)</f>
        <v>4</v>
      </c>
      <c r="E1097" s="12">
        <f>IFERROR(__xludf.DUMMYFUNCTION("""COMPUTED_VALUE"""),3.0)</f>
        <v>3</v>
      </c>
      <c r="F1097" s="12">
        <f>IFERROR(__xludf.DUMMYFUNCTION("""COMPUTED_VALUE"""),5.0)</f>
        <v>5</v>
      </c>
      <c r="G1097" s="15" t="str">
        <f>IFERROR(__xludf.DUMMYFUNCTION("""COMPUTED_VALUE"""),"Completa")</f>
        <v>Completa</v>
      </c>
      <c r="H1097" s="16" t="str">
        <f t="array" ref="H1097">_xlfn.XLOOKUP(D1097,Productos[ID_Producto],Productos[Nombre_Producto])</f>
        <v>Queso rallado</v>
      </c>
      <c r="I1097" s="17">
        <f t="array" ref="I1097">_xlfn.XLOOKUP(D1097,Productos[ID_Producto],Productos[Precio_Unitario])</f>
        <v>19.23</v>
      </c>
      <c r="J1097" s="17">
        <f t="shared" si="1"/>
        <v>57.69</v>
      </c>
      <c r="K1097" s="16" t="str">
        <f t="array" ref="K1097">_xlfn.XLOOKUP(C1097,Clientes[ID_Cliente],Clientes[Provincia])</f>
        <v>Neuquén</v>
      </c>
      <c r="L1097" s="16" t="str">
        <f t="array" ref="L1097">CONCATENATE(_xlfn.XLOOKUP(C1097,Clientes[ID_Cliente],Clientes[Provincia]),", Argentina")</f>
        <v>Neuquén, Argentina</v>
      </c>
      <c r="M1097" s="20" t="str">
        <f t="array" ref="M1097">_xlfn.XLOOKUP(F1097,Metodos_De_Pago[ID_Metodo],Metodos_De_Pago[Metodo])</f>
        <v>Transferencia</v>
      </c>
      <c r="N1097" s="20" t="str">
        <f t="shared" si="2"/>
        <v>2024 03</v>
      </c>
    </row>
    <row r="1098" ht="22.5" customHeight="1">
      <c r="A1098" s="12">
        <f>IFERROR(__xludf.DUMMYFUNCTION("""COMPUTED_VALUE"""),170.0)</f>
        <v>170</v>
      </c>
      <c r="B1098" s="13">
        <f>IFERROR(__xludf.DUMMYFUNCTION("""COMPUTED_VALUE"""),45376.0)</f>
        <v>45376</v>
      </c>
      <c r="C1098" s="12">
        <f>IFERROR(__xludf.DUMMYFUNCTION("""COMPUTED_VALUE"""),269.0)</f>
        <v>269</v>
      </c>
      <c r="D1098" s="12">
        <f>IFERROR(__xludf.DUMMYFUNCTION("""COMPUTED_VALUE"""),20.0)</f>
        <v>20</v>
      </c>
      <c r="E1098" s="12">
        <f>IFERROR(__xludf.DUMMYFUNCTION("""COMPUTED_VALUE"""),3.0)</f>
        <v>3</v>
      </c>
      <c r="F1098" s="12">
        <f>IFERROR(__xludf.DUMMYFUNCTION("""COMPUTED_VALUE"""),4.0)</f>
        <v>4</v>
      </c>
      <c r="G1098" s="15" t="str">
        <f>IFERROR(__xludf.DUMMYFUNCTION("""COMPUTED_VALUE"""),"Completa")</f>
        <v>Completa</v>
      </c>
      <c r="H1098" s="16" t="str">
        <f t="array" ref="H1098">_xlfn.XLOOKUP(D1098,Productos[ID_Producto],Productos[Nombre_Producto])</f>
        <v>Lechugas</v>
      </c>
      <c r="I1098" s="17">
        <f t="array" ref="I1098">_xlfn.XLOOKUP(D1098,Productos[ID_Producto],Productos[Precio_Unitario])</f>
        <v>4.25</v>
      </c>
      <c r="J1098" s="17">
        <f t="shared" si="1"/>
        <v>12.75</v>
      </c>
      <c r="K1098" s="16" t="str">
        <f t="array" ref="K1098">_xlfn.XLOOKUP(C1098,Clientes[ID_Cliente],Clientes[Provincia])</f>
        <v>Córdoba</v>
      </c>
      <c r="L1098" s="16" t="str">
        <f t="array" ref="L1098">CONCATENATE(_xlfn.XLOOKUP(C1098,Clientes[ID_Cliente],Clientes[Provincia]),", Argentina")</f>
        <v>Córdoba, Argentina</v>
      </c>
      <c r="M1098" s="20" t="str">
        <f t="array" ref="M1098">_xlfn.XLOOKUP(F1098,Metodos_De_Pago[ID_Metodo],Metodos_De_Pago[Metodo])</f>
        <v>Mercado Pago</v>
      </c>
      <c r="N1098" s="20" t="str">
        <f t="shared" si="2"/>
        <v>2024 03</v>
      </c>
    </row>
    <row r="1099" ht="22.5" customHeight="1">
      <c r="A1099" s="12">
        <f>IFERROR(__xludf.DUMMYFUNCTION("""COMPUTED_VALUE"""),1025.0)</f>
        <v>1025</v>
      </c>
      <c r="B1099" s="13">
        <f>IFERROR(__xludf.DUMMYFUNCTION("""COMPUTED_VALUE"""),45377.0)</f>
        <v>45377</v>
      </c>
      <c r="C1099" s="12">
        <f>IFERROR(__xludf.DUMMYFUNCTION("""COMPUTED_VALUE"""),288.0)</f>
        <v>288</v>
      </c>
      <c r="D1099" s="12">
        <f>IFERROR(__xludf.DUMMYFUNCTION("""COMPUTED_VALUE"""),15.0)</f>
        <v>15</v>
      </c>
      <c r="E1099" s="12">
        <f>IFERROR(__xludf.DUMMYFUNCTION("""COMPUTED_VALUE"""),3.0)</f>
        <v>3</v>
      </c>
      <c r="F1099" s="12">
        <f>IFERROR(__xludf.DUMMYFUNCTION("""COMPUTED_VALUE"""),5.0)</f>
        <v>5</v>
      </c>
      <c r="G1099" s="15" t="str">
        <f>IFERROR(__xludf.DUMMYFUNCTION("""COMPUTED_VALUE"""),"Pendiente")</f>
        <v>Pendiente</v>
      </c>
      <c r="H1099" s="16" t="str">
        <f t="array" ref="H1099">_xlfn.XLOOKUP(D1099,Productos[ID_Producto],Productos[Nombre_Producto])</f>
        <v>Medialunas</v>
      </c>
      <c r="I1099" s="17">
        <f t="array" ref="I1099">_xlfn.XLOOKUP(D1099,Productos[ID_Producto],Productos[Precio_Unitario])</f>
        <v>3.51</v>
      </c>
      <c r="J1099" s="17">
        <f t="shared" si="1"/>
        <v>10.53</v>
      </c>
      <c r="K1099" s="16" t="str">
        <f t="array" ref="K1099">_xlfn.XLOOKUP(C1099,Clientes[ID_Cliente],Clientes[Provincia])</f>
        <v>Buenos Aires</v>
      </c>
      <c r="L1099" s="16" t="str">
        <f t="array" ref="L1099">CONCATENATE(_xlfn.XLOOKUP(C1099,Clientes[ID_Cliente],Clientes[Provincia]),", Argentina")</f>
        <v>Buenos Aires, Argentina</v>
      </c>
      <c r="M1099" s="20" t="str">
        <f t="array" ref="M1099">_xlfn.XLOOKUP(F1099,Metodos_De_Pago[ID_Metodo],Metodos_De_Pago[Metodo])</f>
        <v>Transferencia</v>
      </c>
      <c r="N1099" s="20" t="str">
        <f t="shared" si="2"/>
        <v>2024 03</v>
      </c>
    </row>
    <row r="1100" ht="22.5" customHeight="1">
      <c r="A1100" s="12">
        <f>IFERROR(__xludf.DUMMYFUNCTION("""COMPUTED_VALUE"""),2048.0)</f>
        <v>2048</v>
      </c>
      <c r="B1100" s="13">
        <f>IFERROR(__xludf.DUMMYFUNCTION("""COMPUTED_VALUE"""),45378.0)</f>
        <v>45378</v>
      </c>
      <c r="C1100" s="12">
        <f>IFERROR(__xludf.DUMMYFUNCTION("""COMPUTED_VALUE"""),261.0)</f>
        <v>261</v>
      </c>
      <c r="D1100" s="12">
        <f>IFERROR(__xludf.DUMMYFUNCTION("""COMPUTED_VALUE"""),25.0)</f>
        <v>25</v>
      </c>
      <c r="E1100" s="12">
        <f>IFERROR(__xludf.DUMMYFUNCTION("""COMPUTED_VALUE"""),3.0)</f>
        <v>3</v>
      </c>
      <c r="F1100" s="12">
        <f>IFERROR(__xludf.DUMMYFUNCTION("""COMPUTED_VALUE"""),4.0)</f>
        <v>4</v>
      </c>
      <c r="G1100" s="15" t="str">
        <f>IFERROR(__xludf.DUMMYFUNCTION("""COMPUTED_VALUE"""),"Completa")</f>
        <v>Completa</v>
      </c>
      <c r="H1100" s="16" t="str">
        <f t="array" ref="H1100">_xlfn.XLOOKUP(D1100,Productos[ID_Producto],Productos[Nombre_Producto])</f>
        <v>Pizza congelada</v>
      </c>
      <c r="I1100" s="17">
        <f t="array" ref="I1100">_xlfn.XLOOKUP(D1100,Productos[ID_Producto],Productos[Precio_Unitario])</f>
        <v>15.45</v>
      </c>
      <c r="J1100" s="17">
        <f t="shared" si="1"/>
        <v>46.35</v>
      </c>
      <c r="K1100" s="16" t="str">
        <f t="array" ref="K1100">_xlfn.XLOOKUP(C1100,Clientes[ID_Cliente],Clientes[Provincia])</f>
        <v>Salta</v>
      </c>
      <c r="L1100" s="16" t="str">
        <f t="array" ref="L1100">CONCATENATE(_xlfn.XLOOKUP(C1100,Clientes[ID_Cliente],Clientes[Provincia]),", Argentina")</f>
        <v>Salta, Argentina</v>
      </c>
      <c r="M1100" s="20" t="str">
        <f t="array" ref="M1100">_xlfn.XLOOKUP(F1100,Metodos_De_Pago[ID_Metodo],Metodos_De_Pago[Metodo])</f>
        <v>Mercado Pago</v>
      </c>
      <c r="N1100" s="20" t="str">
        <f t="shared" si="2"/>
        <v>2024 03</v>
      </c>
    </row>
    <row r="1101" ht="22.5" customHeight="1">
      <c r="A1101" s="12">
        <f>IFERROR(__xludf.DUMMYFUNCTION("""COMPUTED_VALUE"""),2507.0)</f>
        <v>2507</v>
      </c>
      <c r="B1101" s="13">
        <f>IFERROR(__xludf.DUMMYFUNCTION("""COMPUTED_VALUE"""),45379.0)</f>
        <v>45379</v>
      </c>
      <c r="C1101" s="12">
        <f>IFERROR(__xludf.DUMMYFUNCTION("""COMPUTED_VALUE"""),243.0)</f>
        <v>243</v>
      </c>
      <c r="D1101" s="12">
        <f>IFERROR(__xludf.DUMMYFUNCTION("""COMPUTED_VALUE"""),33.0)</f>
        <v>33</v>
      </c>
      <c r="E1101" s="12">
        <f>IFERROR(__xludf.DUMMYFUNCTION("""COMPUTED_VALUE"""),3.0)</f>
        <v>3</v>
      </c>
      <c r="F1101" s="12">
        <f>IFERROR(__xludf.DUMMYFUNCTION("""COMPUTED_VALUE"""),4.0)</f>
        <v>4</v>
      </c>
      <c r="G1101" s="15" t="str">
        <f>IFERROR(__xludf.DUMMYFUNCTION("""COMPUTED_VALUE"""),"Completa")</f>
        <v>Completa</v>
      </c>
      <c r="H1101" s="16" t="str">
        <f t="array" ref="H1101">_xlfn.XLOOKUP(D1101,Productos[ID_Producto],Productos[Nombre_Producto])</f>
        <v>Papas chips</v>
      </c>
      <c r="I1101" s="17">
        <f t="array" ref="I1101">_xlfn.XLOOKUP(D1101,Productos[ID_Producto],Productos[Precio_Unitario])</f>
        <v>8.54</v>
      </c>
      <c r="J1101" s="17">
        <f t="shared" si="1"/>
        <v>25.62</v>
      </c>
      <c r="K1101" s="16" t="str">
        <f t="array" ref="K1101">_xlfn.XLOOKUP(C1101,Clientes[ID_Cliente],Clientes[Provincia])</f>
        <v>Buenos Aires</v>
      </c>
      <c r="L1101" s="16" t="str">
        <f t="array" ref="L1101">CONCATENATE(_xlfn.XLOOKUP(C1101,Clientes[ID_Cliente],Clientes[Provincia]),", Argentina")</f>
        <v>Buenos Aires, Argentina</v>
      </c>
      <c r="M1101" s="20" t="str">
        <f t="array" ref="M1101">_xlfn.XLOOKUP(F1101,Metodos_De_Pago[ID_Metodo],Metodos_De_Pago[Metodo])</f>
        <v>Mercado Pago</v>
      </c>
      <c r="N1101" s="20" t="str">
        <f t="shared" si="2"/>
        <v>2024 03</v>
      </c>
    </row>
    <row r="1102" ht="22.5" customHeight="1">
      <c r="A1102" s="12">
        <f>IFERROR(__xludf.DUMMYFUNCTION("""COMPUTED_VALUE"""),209.0)</f>
        <v>209</v>
      </c>
      <c r="B1102" s="13">
        <f>IFERROR(__xludf.DUMMYFUNCTION("""COMPUTED_VALUE"""),45382.0)</f>
        <v>45382</v>
      </c>
      <c r="C1102" s="12">
        <f>IFERROR(__xludf.DUMMYFUNCTION("""COMPUTED_VALUE"""),311.0)</f>
        <v>311</v>
      </c>
      <c r="D1102" s="12">
        <f>IFERROR(__xludf.DUMMYFUNCTION("""COMPUTED_VALUE"""),35.0)</f>
        <v>35</v>
      </c>
      <c r="E1102" s="12">
        <f>IFERROR(__xludf.DUMMYFUNCTION("""COMPUTED_VALUE"""),3.0)</f>
        <v>3</v>
      </c>
      <c r="F1102" s="12">
        <f>IFERROR(__xludf.DUMMYFUNCTION("""COMPUTED_VALUE"""),2.0)</f>
        <v>2</v>
      </c>
      <c r="G1102" s="15" t="str">
        <f>IFERROR(__xludf.DUMMYFUNCTION("""COMPUTED_VALUE"""),"Completa")</f>
        <v>Completa</v>
      </c>
      <c r="H1102" s="16" t="str">
        <f t="array" ref="H1102">_xlfn.XLOOKUP(D1102,Productos[ID_Producto],Productos[Nombre_Producto])</f>
        <v>Arroz</v>
      </c>
      <c r="I1102" s="17">
        <f t="array" ref="I1102">_xlfn.XLOOKUP(D1102,Productos[ID_Producto],Productos[Precio_Unitario])</f>
        <v>4.25</v>
      </c>
      <c r="J1102" s="17">
        <f t="shared" si="1"/>
        <v>12.75</v>
      </c>
      <c r="K1102" s="16" t="str">
        <f t="array" ref="K1102">_xlfn.XLOOKUP(C1102,Clientes[ID_Cliente],Clientes[Provincia])</f>
        <v>Buenos Aires</v>
      </c>
      <c r="L1102" s="16" t="str">
        <f t="array" ref="L1102">CONCATENATE(_xlfn.XLOOKUP(C1102,Clientes[ID_Cliente],Clientes[Provincia]),", Argentina")</f>
        <v>Buenos Aires, Argentina</v>
      </c>
      <c r="M1102" s="20" t="str">
        <f t="array" ref="M1102">_xlfn.XLOOKUP(F1102,Metodos_De_Pago[ID_Metodo],Metodos_De_Pago[Metodo])</f>
        <v>Tarjeta de Crédito</v>
      </c>
      <c r="N1102" s="20" t="str">
        <f t="shared" si="2"/>
        <v>2024 03</v>
      </c>
    </row>
    <row r="1103" ht="22.5" customHeight="1">
      <c r="A1103" s="12">
        <f>IFERROR(__xludf.DUMMYFUNCTION("""COMPUTED_VALUE"""),293.0)</f>
        <v>293</v>
      </c>
      <c r="B1103" s="13">
        <f>IFERROR(__xludf.DUMMYFUNCTION("""COMPUTED_VALUE"""),45382.0)</f>
        <v>45382</v>
      </c>
      <c r="C1103" s="12">
        <f>IFERROR(__xludf.DUMMYFUNCTION("""COMPUTED_VALUE"""),310.0)</f>
        <v>310</v>
      </c>
      <c r="D1103" s="12">
        <f>IFERROR(__xludf.DUMMYFUNCTION("""COMPUTED_VALUE"""),35.0)</f>
        <v>35</v>
      </c>
      <c r="E1103" s="12">
        <f>IFERROR(__xludf.DUMMYFUNCTION("""COMPUTED_VALUE"""),3.0)</f>
        <v>3</v>
      </c>
      <c r="F1103" s="12">
        <f>IFERROR(__xludf.DUMMYFUNCTION("""COMPUTED_VALUE"""),3.0)</f>
        <v>3</v>
      </c>
      <c r="G1103" s="15" t="str">
        <f>IFERROR(__xludf.DUMMYFUNCTION("""COMPUTED_VALUE"""),"Completa")</f>
        <v>Completa</v>
      </c>
      <c r="H1103" s="16" t="str">
        <f t="array" ref="H1103">_xlfn.XLOOKUP(D1103,Productos[ID_Producto],Productos[Nombre_Producto])</f>
        <v>Arroz</v>
      </c>
      <c r="I1103" s="17">
        <f t="array" ref="I1103">_xlfn.XLOOKUP(D1103,Productos[ID_Producto],Productos[Precio_Unitario])</f>
        <v>4.25</v>
      </c>
      <c r="J1103" s="17">
        <f t="shared" si="1"/>
        <v>12.75</v>
      </c>
      <c r="K1103" s="16" t="str">
        <f t="array" ref="K1103">_xlfn.XLOOKUP(C1103,Clientes[ID_Cliente],Clientes[Provincia])</f>
        <v>Neuquén</v>
      </c>
      <c r="L1103" s="16" t="str">
        <f t="array" ref="L1103">CONCATENATE(_xlfn.XLOOKUP(C1103,Clientes[ID_Cliente],Clientes[Provincia]),", Argentina")</f>
        <v>Neuquén, Argentina</v>
      </c>
      <c r="M1103" s="20" t="str">
        <f t="array" ref="M1103">_xlfn.XLOOKUP(F1103,Metodos_De_Pago[ID_Metodo],Metodos_De_Pago[Metodo])</f>
        <v>Tarjeta de Débito</v>
      </c>
      <c r="N1103" s="20" t="str">
        <f t="shared" si="2"/>
        <v>2024 03</v>
      </c>
    </row>
    <row r="1104" ht="22.5" customHeight="1">
      <c r="A1104" s="12">
        <f>IFERROR(__xludf.DUMMYFUNCTION("""COMPUTED_VALUE"""),1045.0)</f>
        <v>1045</v>
      </c>
      <c r="B1104" s="13">
        <f>IFERROR(__xludf.DUMMYFUNCTION("""COMPUTED_VALUE"""),45382.0)</f>
        <v>45382</v>
      </c>
      <c r="C1104" s="12">
        <f>IFERROR(__xludf.DUMMYFUNCTION("""COMPUTED_VALUE"""),258.0)</f>
        <v>258</v>
      </c>
      <c r="D1104" s="12">
        <f>IFERROR(__xludf.DUMMYFUNCTION("""COMPUTED_VALUE"""),32.0)</f>
        <v>32</v>
      </c>
      <c r="E1104" s="12">
        <f>IFERROR(__xludf.DUMMYFUNCTION("""COMPUTED_VALUE"""),3.0)</f>
        <v>3</v>
      </c>
      <c r="F1104" s="12">
        <f>IFERROR(__xludf.DUMMYFUNCTION("""COMPUTED_VALUE"""),4.0)</f>
        <v>4</v>
      </c>
      <c r="G1104" s="15" t="str">
        <f>IFERROR(__xludf.DUMMYFUNCTION("""COMPUTED_VALUE"""),"Completa")</f>
        <v>Completa</v>
      </c>
      <c r="H1104" s="16" t="str">
        <f t="array" ref="H1104">_xlfn.XLOOKUP(D1104,Productos[ID_Producto],Productos[Nombre_Producto])</f>
        <v>Galletitas de chocolate</v>
      </c>
      <c r="I1104" s="17">
        <f t="array" ref="I1104">_xlfn.XLOOKUP(D1104,Productos[ID_Producto],Productos[Precio_Unitario])</f>
        <v>6.25</v>
      </c>
      <c r="J1104" s="17">
        <f t="shared" si="1"/>
        <v>18.75</v>
      </c>
      <c r="K1104" s="16" t="str">
        <f t="array" ref="K1104">_xlfn.XLOOKUP(C1104,Clientes[ID_Cliente],Clientes[Provincia])</f>
        <v>Córdoba</v>
      </c>
      <c r="L1104" s="16" t="str">
        <f t="array" ref="L1104">CONCATENATE(_xlfn.XLOOKUP(C1104,Clientes[ID_Cliente],Clientes[Provincia]),", Argentina")</f>
        <v>Córdoba, Argentina</v>
      </c>
      <c r="M1104" s="20" t="str">
        <f t="array" ref="M1104">_xlfn.XLOOKUP(F1104,Metodos_De_Pago[ID_Metodo],Metodos_De_Pago[Metodo])</f>
        <v>Mercado Pago</v>
      </c>
      <c r="N1104" s="20" t="str">
        <f t="shared" si="2"/>
        <v>2024 03</v>
      </c>
    </row>
    <row r="1105" ht="22.5" customHeight="1">
      <c r="A1105" s="12">
        <f>IFERROR(__xludf.DUMMYFUNCTION("""COMPUTED_VALUE"""),2326.0)</f>
        <v>2326</v>
      </c>
      <c r="B1105" s="13">
        <f>IFERROR(__xludf.DUMMYFUNCTION("""COMPUTED_VALUE"""),45383.0)</f>
        <v>45383</v>
      </c>
      <c r="C1105" s="12">
        <f>IFERROR(__xludf.DUMMYFUNCTION("""COMPUTED_VALUE"""),201.0)</f>
        <v>201</v>
      </c>
      <c r="D1105" s="12">
        <f>IFERROR(__xludf.DUMMYFUNCTION("""COMPUTED_VALUE"""),26.0)</f>
        <v>26</v>
      </c>
      <c r="E1105" s="12">
        <f>IFERROR(__xludf.DUMMYFUNCTION("""COMPUTED_VALUE"""),3.0)</f>
        <v>3</v>
      </c>
      <c r="F1105" s="12">
        <f>IFERROR(__xludf.DUMMYFUNCTION("""COMPUTED_VALUE"""),5.0)</f>
        <v>5</v>
      </c>
      <c r="G1105" s="15" t="str">
        <f>IFERROR(__xludf.DUMMYFUNCTION("""COMPUTED_VALUE"""),"Completa")</f>
        <v>Completa</v>
      </c>
      <c r="H1105" s="16" t="str">
        <f t="array" ref="H1105">_xlfn.XLOOKUP(D1105,Productos[ID_Producto],Productos[Nombre_Producto])</f>
        <v>Hamburgesas congeladas</v>
      </c>
      <c r="I1105" s="17">
        <f t="array" ref="I1105">_xlfn.XLOOKUP(D1105,Productos[ID_Producto],Productos[Precio_Unitario])</f>
        <v>9.54</v>
      </c>
      <c r="J1105" s="17">
        <f t="shared" si="1"/>
        <v>28.62</v>
      </c>
      <c r="K1105" s="16" t="str">
        <f t="array" ref="K1105">_xlfn.XLOOKUP(C1105,Clientes[ID_Cliente],Clientes[Provincia])</f>
        <v>Neuquén</v>
      </c>
      <c r="L1105" s="16" t="str">
        <f t="array" ref="L1105">CONCATENATE(_xlfn.XLOOKUP(C1105,Clientes[ID_Cliente],Clientes[Provincia]),", Argentina")</f>
        <v>Neuquén, Argentina</v>
      </c>
      <c r="M1105" s="20" t="str">
        <f t="array" ref="M1105">_xlfn.XLOOKUP(F1105,Metodos_De_Pago[ID_Metodo],Metodos_De_Pago[Metodo])</f>
        <v>Transferencia</v>
      </c>
      <c r="N1105" s="20" t="str">
        <f t="shared" si="2"/>
        <v>2024 04</v>
      </c>
    </row>
    <row r="1106" ht="22.5" customHeight="1">
      <c r="A1106" s="12">
        <f>IFERROR(__xludf.DUMMYFUNCTION("""COMPUTED_VALUE"""),837.0)</f>
        <v>837</v>
      </c>
      <c r="B1106" s="13">
        <f>IFERROR(__xludf.DUMMYFUNCTION("""COMPUTED_VALUE"""),45384.0)</f>
        <v>45384</v>
      </c>
      <c r="C1106" s="12">
        <f>IFERROR(__xludf.DUMMYFUNCTION("""COMPUTED_VALUE"""),102.0)</f>
        <v>102</v>
      </c>
      <c r="D1106" s="12">
        <f>IFERROR(__xludf.DUMMYFUNCTION("""COMPUTED_VALUE"""),4.0)</f>
        <v>4</v>
      </c>
      <c r="E1106" s="12">
        <f>IFERROR(__xludf.DUMMYFUNCTION("""COMPUTED_VALUE"""),3.0)</f>
        <v>3</v>
      </c>
      <c r="F1106" s="12">
        <f>IFERROR(__xludf.DUMMYFUNCTION("""COMPUTED_VALUE"""),1.0)</f>
        <v>1</v>
      </c>
      <c r="G1106" s="15" t="str">
        <f>IFERROR(__xludf.DUMMYFUNCTION("""COMPUTED_VALUE"""),"Completa")</f>
        <v>Completa</v>
      </c>
      <c r="H1106" s="16" t="str">
        <f t="array" ref="H1106">_xlfn.XLOOKUP(D1106,Productos[ID_Producto],Productos[Nombre_Producto])</f>
        <v>Queso rallado</v>
      </c>
      <c r="I1106" s="17">
        <f t="array" ref="I1106">_xlfn.XLOOKUP(D1106,Productos[ID_Producto],Productos[Precio_Unitario])</f>
        <v>19.23</v>
      </c>
      <c r="J1106" s="17">
        <f t="shared" si="1"/>
        <v>57.69</v>
      </c>
      <c r="K1106" s="16" t="str">
        <f t="array" ref="K1106">_xlfn.XLOOKUP(C1106,Clientes[ID_Cliente],Clientes[Provincia])</f>
        <v>Neuquén</v>
      </c>
      <c r="L1106" s="16" t="str">
        <f t="array" ref="L1106">CONCATENATE(_xlfn.XLOOKUP(C1106,Clientes[ID_Cliente],Clientes[Provincia]),", Argentina")</f>
        <v>Neuquén, Argentina</v>
      </c>
      <c r="M1106" s="20" t="str">
        <f t="array" ref="M1106">_xlfn.XLOOKUP(F1106,Metodos_De_Pago[ID_Metodo],Metodos_De_Pago[Metodo])</f>
        <v>Efectivo</v>
      </c>
      <c r="N1106" s="20" t="str">
        <f t="shared" si="2"/>
        <v>2024 04</v>
      </c>
    </row>
    <row r="1107" ht="22.5" customHeight="1">
      <c r="A1107" s="12">
        <f>IFERROR(__xludf.DUMMYFUNCTION("""COMPUTED_VALUE"""),1224.0)</f>
        <v>1224</v>
      </c>
      <c r="B1107" s="13">
        <f>IFERROR(__xludf.DUMMYFUNCTION("""COMPUTED_VALUE"""),45384.0)</f>
        <v>45384</v>
      </c>
      <c r="C1107" s="12">
        <f>IFERROR(__xludf.DUMMYFUNCTION("""COMPUTED_VALUE"""),60.0)</f>
        <v>60</v>
      </c>
      <c r="D1107" s="12">
        <f>IFERROR(__xludf.DUMMYFUNCTION("""COMPUTED_VALUE"""),4.0)</f>
        <v>4</v>
      </c>
      <c r="E1107" s="12">
        <f>IFERROR(__xludf.DUMMYFUNCTION("""COMPUTED_VALUE"""),3.0)</f>
        <v>3</v>
      </c>
      <c r="F1107" s="12">
        <f>IFERROR(__xludf.DUMMYFUNCTION("""COMPUTED_VALUE"""),5.0)</f>
        <v>5</v>
      </c>
      <c r="G1107" s="15" t="str">
        <f>IFERROR(__xludf.DUMMYFUNCTION("""COMPUTED_VALUE"""),"Pendiente")</f>
        <v>Pendiente</v>
      </c>
      <c r="H1107" s="16" t="str">
        <f t="array" ref="H1107">_xlfn.XLOOKUP(D1107,Productos[ID_Producto],Productos[Nombre_Producto])</f>
        <v>Queso rallado</v>
      </c>
      <c r="I1107" s="17">
        <f t="array" ref="I1107">_xlfn.XLOOKUP(D1107,Productos[ID_Producto],Productos[Precio_Unitario])</f>
        <v>19.23</v>
      </c>
      <c r="J1107" s="17">
        <f t="shared" si="1"/>
        <v>57.69</v>
      </c>
      <c r="K1107" s="16" t="str">
        <f t="array" ref="K1107">_xlfn.XLOOKUP(C1107,Clientes[ID_Cliente],Clientes[Provincia])</f>
        <v>Chaco</v>
      </c>
      <c r="L1107" s="16" t="str">
        <f t="array" ref="L1107">CONCATENATE(_xlfn.XLOOKUP(C1107,Clientes[ID_Cliente],Clientes[Provincia]),", Argentina")</f>
        <v>Chaco, Argentina</v>
      </c>
      <c r="M1107" s="20" t="str">
        <f t="array" ref="M1107">_xlfn.XLOOKUP(F1107,Metodos_De_Pago[ID_Metodo],Metodos_De_Pago[Metodo])</f>
        <v>Transferencia</v>
      </c>
      <c r="N1107" s="20" t="str">
        <f t="shared" si="2"/>
        <v>2024 04</v>
      </c>
    </row>
    <row r="1108" ht="22.5" customHeight="1">
      <c r="A1108" s="12">
        <f>IFERROR(__xludf.DUMMYFUNCTION("""COMPUTED_VALUE"""),2465.0)</f>
        <v>2465</v>
      </c>
      <c r="B1108" s="13">
        <f>IFERROR(__xludf.DUMMYFUNCTION("""COMPUTED_VALUE"""),45384.0)</f>
        <v>45384</v>
      </c>
      <c r="C1108" s="12">
        <f>IFERROR(__xludf.DUMMYFUNCTION("""COMPUTED_VALUE"""),240.0)</f>
        <v>240</v>
      </c>
      <c r="D1108" s="12">
        <f>IFERROR(__xludf.DUMMYFUNCTION("""COMPUTED_VALUE"""),9.0)</f>
        <v>9</v>
      </c>
      <c r="E1108" s="12">
        <f>IFERROR(__xludf.DUMMYFUNCTION("""COMPUTED_VALUE"""),3.0)</f>
        <v>3</v>
      </c>
      <c r="F1108" s="12">
        <f>IFERROR(__xludf.DUMMYFUNCTION("""COMPUTED_VALUE"""),2.0)</f>
        <v>2</v>
      </c>
      <c r="G1108" s="15" t="str">
        <f>IFERROR(__xludf.DUMMYFUNCTION("""COMPUTED_VALUE"""),"Completa")</f>
        <v>Completa</v>
      </c>
      <c r="H1108" s="16" t="str">
        <f t="array" ref="H1108">_xlfn.XLOOKUP(D1108,Productos[ID_Producto],Productos[Nombre_Producto])</f>
        <v>Pollo</v>
      </c>
      <c r="I1108" s="17">
        <f t="array" ref="I1108">_xlfn.XLOOKUP(D1108,Productos[ID_Producto],Productos[Precio_Unitario])</f>
        <v>18.56</v>
      </c>
      <c r="J1108" s="17">
        <f t="shared" si="1"/>
        <v>55.68</v>
      </c>
      <c r="K1108" s="16" t="str">
        <f t="array" ref="K1108">_xlfn.XLOOKUP(C1108,Clientes[ID_Cliente],Clientes[Provincia])</f>
        <v>Buenos Aires</v>
      </c>
      <c r="L1108" s="16" t="str">
        <f t="array" ref="L1108">CONCATENATE(_xlfn.XLOOKUP(C1108,Clientes[ID_Cliente],Clientes[Provincia]),", Argentina")</f>
        <v>Buenos Aires, Argentina</v>
      </c>
      <c r="M1108" s="20" t="str">
        <f t="array" ref="M1108">_xlfn.XLOOKUP(F1108,Metodos_De_Pago[ID_Metodo],Metodos_De_Pago[Metodo])</f>
        <v>Tarjeta de Crédito</v>
      </c>
      <c r="N1108" s="20" t="str">
        <f t="shared" si="2"/>
        <v>2024 04</v>
      </c>
    </row>
    <row r="1109" ht="22.5" customHeight="1">
      <c r="A1109" s="12">
        <f>IFERROR(__xludf.DUMMYFUNCTION("""COMPUTED_VALUE"""),232.0)</f>
        <v>232</v>
      </c>
      <c r="B1109" s="13">
        <f>IFERROR(__xludf.DUMMYFUNCTION("""COMPUTED_VALUE"""),45385.0)</f>
        <v>45385</v>
      </c>
      <c r="C1109" s="12">
        <f>IFERROR(__xludf.DUMMYFUNCTION("""COMPUTED_VALUE"""),144.0)</f>
        <v>144</v>
      </c>
      <c r="D1109" s="12">
        <f>IFERROR(__xludf.DUMMYFUNCTION("""COMPUTED_VALUE"""),24.0)</f>
        <v>24</v>
      </c>
      <c r="E1109" s="12">
        <f>IFERROR(__xludf.DUMMYFUNCTION("""COMPUTED_VALUE"""),3.0)</f>
        <v>3</v>
      </c>
      <c r="F1109" s="12">
        <f>IFERROR(__xludf.DUMMYFUNCTION("""COMPUTED_VALUE"""),3.0)</f>
        <v>3</v>
      </c>
      <c r="G1109" s="15" t="str">
        <f>IFERROR(__xludf.DUMMYFUNCTION("""COMPUTED_VALUE"""),"Completa")</f>
        <v>Completa</v>
      </c>
      <c r="H1109" s="16" t="str">
        <f t="array" ref="H1109">_xlfn.XLOOKUP(D1109,Productos[ID_Producto],Productos[Nombre_Producto])</f>
        <v>Empanadas</v>
      </c>
      <c r="I1109" s="17">
        <f t="array" ref="I1109">_xlfn.XLOOKUP(D1109,Productos[ID_Producto],Productos[Precio_Unitario])</f>
        <v>13.54</v>
      </c>
      <c r="J1109" s="17">
        <f t="shared" si="1"/>
        <v>40.62</v>
      </c>
      <c r="K1109" s="16" t="str">
        <f t="array" ref="K1109">_xlfn.XLOOKUP(C1109,Clientes[ID_Cliente],Clientes[Provincia])</f>
        <v>Chaco</v>
      </c>
      <c r="L1109" s="16" t="str">
        <f t="array" ref="L1109">CONCATENATE(_xlfn.XLOOKUP(C1109,Clientes[ID_Cliente],Clientes[Provincia]),", Argentina")</f>
        <v>Chaco, Argentina</v>
      </c>
      <c r="M1109" s="20" t="str">
        <f t="array" ref="M1109">_xlfn.XLOOKUP(F1109,Metodos_De_Pago[ID_Metodo],Metodos_De_Pago[Metodo])</f>
        <v>Tarjeta de Débito</v>
      </c>
      <c r="N1109" s="20" t="str">
        <f t="shared" si="2"/>
        <v>2024 04</v>
      </c>
    </row>
    <row r="1110" ht="22.5" customHeight="1">
      <c r="A1110" s="12">
        <f>IFERROR(__xludf.DUMMYFUNCTION("""COMPUTED_VALUE"""),2641.0)</f>
        <v>2641</v>
      </c>
      <c r="B1110" s="13">
        <f>IFERROR(__xludf.DUMMYFUNCTION("""COMPUTED_VALUE"""),45385.0)</f>
        <v>45385</v>
      </c>
      <c r="C1110" s="12">
        <f>IFERROR(__xludf.DUMMYFUNCTION("""COMPUTED_VALUE"""),172.0)</f>
        <v>172</v>
      </c>
      <c r="D1110" s="12">
        <f>IFERROR(__xludf.DUMMYFUNCTION("""COMPUTED_VALUE"""),8.0)</f>
        <v>8</v>
      </c>
      <c r="E1110" s="12">
        <f>IFERROR(__xludf.DUMMYFUNCTION("""COMPUTED_VALUE"""),3.0)</f>
        <v>3</v>
      </c>
      <c r="F1110" s="12">
        <f>IFERROR(__xludf.DUMMYFUNCTION("""COMPUTED_VALUE"""),3.0)</f>
        <v>3</v>
      </c>
      <c r="G1110" s="15" t="str">
        <f>IFERROR(__xludf.DUMMYFUNCTION("""COMPUTED_VALUE"""),"Completa")</f>
        <v>Completa</v>
      </c>
      <c r="H1110" s="16" t="str">
        <f t="array" ref="H1110">_xlfn.XLOOKUP(D1110,Productos[ID_Producto],Productos[Nombre_Producto])</f>
        <v>Milanesa</v>
      </c>
      <c r="I1110" s="17">
        <f t="array" ref="I1110">_xlfn.XLOOKUP(D1110,Productos[ID_Producto],Productos[Precio_Unitario])</f>
        <v>16.21</v>
      </c>
      <c r="J1110" s="17">
        <f t="shared" si="1"/>
        <v>48.63</v>
      </c>
      <c r="K1110" s="16" t="str">
        <f t="array" ref="K1110">_xlfn.XLOOKUP(C1110,Clientes[ID_Cliente],Clientes[Provincia])</f>
        <v>Buenos Aires</v>
      </c>
      <c r="L1110" s="16" t="str">
        <f t="array" ref="L1110">CONCATENATE(_xlfn.XLOOKUP(C1110,Clientes[ID_Cliente],Clientes[Provincia]),", Argentina")</f>
        <v>Buenos Aires, Argentina</v>
      </c>
      <c r="M1110" s="20" t="str">
        <f t="array" ref="M1110">_xlfn.XLOOKUP(F1110,Metodos_De_Pago[ID_Metodo],Metodos_De_Pago[Metodo])</f>
        <v>Tarjeta de Débito</v>
      </c>
      <c r="N1110" s="20" t="str">
        <f t="shared" si="2"/>
        <v>2024 04</v>
      </c>
    </row>
    <row r="1111" ht="22.5" customHeight="1">
      <c r="A1111" s="12">
        <f>IFERROR(__xludf.DUMMYFUNCTION("""COMPUTED_VALUE"""),1175.0)</f>
        <v>1175</v>
      </c>
      <c r="B1111" s="13">
        <f>IFERROR(__xludf.DUMMYFUNCTION("""COMPUTED_VALUE"""),45386.0)</f>
        <v>45386</v>
      </c>
      <c r="C1111" s="12">
        <f>IFERROR(__xludf.DUMMYFUNCTION("""COMPUTED_VALUE"""),189.0)</f>
        <v>189</v>
      </c>
      <c r="D1111" s="12">
        <f>IFERROR(__xludf.DUMMYFUNCTION("""COMPUTED_VALUE"""),17.0)</f>
        <v>17</v>
      </c>
      <c r="E1111" s="12">
        <f>IFERROR(__xludf.DUMMYFUNCTION("""COMPUTED_VALUE"""),3.0)</f>
        <v>3</v>
      </c>
      <c r="F1111" s="12">
        <f>IFERROR(__xludf.DUMMYFUNCTION("""COMPUTED_VALUE"""),1.0)</f>
        <v>1</v>
      </c>
      <c r="G1111" s="15" t="str">
        <f>IFERROR(__xludf.DUMMYFUNCTION("""COMPUTED_VALUE"""),"Completa")</f>
        <v>Completa</v>
      </c>
      <c r="H1111" s="16" t="str">
        <f t="array" ref="H1111">_xlfn.XLOOKUP(D1111,Productos[ID_Producto],Productos[Nombre_Producto])</f>
        <v>Manzanas</v>
      </c>
      <c r="I1111" s="17">
        <f t="array" ref="I1111">_xlfn.XLOOKUP(D1111,Productos[ID_Producto],Productos[Precio_Unitario])</f>
        <v>6.54</v>
      </c>
      <c r="J1111" s="17">
        <f t="shared" si="1"/>
        <v>19.62</v>
      </c>
      <c r="K1111" s="16" t="str">
        <f t="array" ref="K1111">_xlfn.XLOOKUP(C1111,Clientes[ID_Cliente],Clientes[Provincia])</f>
        <v>Neuquén</v>
      </c>
      <c r="L1111" s="16" t="str">
        <f t="array" ref="L1111">CONCATENATE(_xlfn.XLOOKUP(C1111,Clientes[ID_Cliente],Clientes[Provincia]),", Argentina")</f>
        <v>Neuquén, Argentina</v>
      </c>
      <c r="M1111" s="20" t="str">
        <f t="array" ref="M1111">_xlfn.XLOOKUP(F1111,Metodos_De_Pago[ID_Metodo],Metodos_De_Pago[Metodo])</f>
        <v>Efectivo</v>
      </c>
      <c r="N1111" s="20" t="str">
        <f t="shared" si="2"/>
        <v>2024 04</v>
      </c>
    </row>
    <row r="1112" ht="22.5" customHeight="1">
      <c r="A1112" s="12">
        <f>IFERROR(__xludf.DUMMYFUNCTION("""COMPUTED_VALUE"""),2844.0)</f>
        <v>2844</v>
      </c>
      <c r="B1112" s="13">
        <f>IFERROR(__xludf.DUMMYFUNCTION("""COMPUTED_VALUE"""),45386.0)</f>
        <v>45386</v>
      </c>
      <c r="C1112" s="12">
        <f>IFERROR(__xludf.DUMMYFUNCTION("""COMPUTED_VALUE"""),213.0)</f>
        <v>213</v>
      </c>
      <c r="D1112" s="12">
        <f>IFERROR(__xludf.DUMMYFUNCTION("""COMPUTED_VALUE"""),22.0)</f>
        <v>22</v>
      </c>
      <c r="E1112" s="12">
        <f>IFERROR(__xludf.DUMMYFUNCTION("""COMPUTED_VALUE"""),3.0)</f>
        <v>3</v>
      </c>
      <c r="F1112" s="12">
        <f>IFERROR(__xludf.DUMMYFUNCTION("""COMPUTED_VALUE"""),5.0)</f>
        <v>5</v>
      </c>
      <c r="G1112" s="15" t="str">
        <f>IFERROR(__xludf.DUMMYFUNCTION("""COMPUTED_VALUE"""),"Completa")</f>
        <v>Completa</v>
      </c>
      <c r="H1112" s="16" t="str">
        <f t="array" ref="H1112">_xlfn.XLOOKUP(D1112,Productos[ID_Producto],Productos[Nombre_Producto])</f>
        <v>Cebolla</v>
      </c>
      <c r="I1112" s="17">
        <f t="array" ref="I1112">_xlfn.XLOOKUP(D1112,Productos[ID_Producto],Productos[Precio_Unitario])</f>
        <v>4.21</v>
      </c>
      <c r="J1112" s="17">
        <f t="shared" si="1"/>
        <v>12.63</v>
      </c>
      <c r="K1112" s="16" t="str">
        <f t="array" ref="K1112">_xlfn.XLOOKUP(C1112,Clientes[ID_Cliente],Clientes[Provincia])</f>
        <v>Córdoba</v>
      </c>
      <c r="L1112" s="16" t="str">
        <f t="array" ref="L1112">CONCATENATE(_xlfn.XLOOKUP(C1112,Clientes[ID_Cliente],Clientes[Provincia]),", Argentina")</f>
        <v>Córdoba, Argentina</v>
      </c>
      <c r="M1112" s="20" t="str">
        <f t="array" ref="M1112">_xlfn.XLOOKUP(F1112,Metodos_De_Pago[ID_Metodo],Metodos_De_Pago[Metodo])</f>
        <v>Transferencia</v>
      </c>
      <c r="N1112" s="20" t="str">
        <f t="shared" si="2"/>
        <v>2024 04</v>
      </c>
    </row>
    <row r="1113" ht="22.5" customHeight="1">
      <c r="A1113" s="12">
        <f>IFERROR(__xludf.DUMMYFUNCTION("""COMPUTED_VALUE"""),1195.0)</f>
        <v>1195</v>
      </c>
      <c r="B1113" s="13">
        <f>IFERROR(__xludf.DUMMYFUNCTION("""COMPUTED_VALUE"""),45387.0)</f>
        <v>45387</v>
      </c>
      <c r="C1113" s="12">
        <f>IFERROR(__xludf.DUMMYFUNCTION("""COMPUTED_VALUE"""),47.0)</f>
        <v>47</v>
      </c>
      <c r="D1113" s="12">
        <f>IFERROR(__xludf.DUMMYFUNCTION("""COMPUTED_VALUE"""),16.0)</f>
        <v>16</v>
      </c>
      <c r="E1113" s="12">
        <f>IFERROR(__xludf.DUMMYFUNCTION("""COMPUTED_VALUE"""),3.0)</f>
        <v>3</v>
      </c>
      <c r="F1113" s="12">
        <f>IFERROR(__xludf.DUMMYFUNCTION("""COMPUTED_VALUE"""),3.0)</f>
        <v>3</v>
      </c>
      <c r="G1113" s="15" t="str">
        <f>IFERROR(__xludf.DUMMYFUNCTION("""COMPUTED_VALUE"""),"Completa")</f>
        <v>Completa</v>
      </c>
      <c r="H1113" s="16" t="str">
        <f t="array" ref="H1113">_xlfn.XLOOKUP(D1113,Productos[ID_Producto],Productos[Nombre_Producto])</f>
        <v>Tortas</v>
      </c>
      <c r="I1113" s="17">
        <f t="array" ref="I1113">_xlfn.XLOOKUP(D1113,Productos[ID_Producto],Productos[Precio_Unitario])</f>
        <v>15.23</v>
      </c>
      <c r="J1113" s="17">
        <f t="shared" si="1"/>
        <v>45.69</v>
      </c>
      <c r="K1113" s="16" t="str">
        <f t="array" ref="K1113">_xlfn.XLOOKUP(C1113,Clientes[ID_Cliente],Clientes[Provincia])</f>
        <v>Buenos Aires</v>
      </c>
      <c r="L1113" s="16" t="str">
        <f t="array" ref="L1113">CONCATENATE(_xlfn.XLOOKUP(C1113,Clientes[ID_Cliente],Clientes[Provincia]),", Argentina")</f>
        <v>Buenos Aires, Argentina</v>
      </c>
      <c r="M1113" s="20" t="str">
        <f t="array" ref="M1113">_xlfn.XLOOKUP(F1113,Metodos_De_Pago[ID_Metodo],Metodos_De_Pago[Metodo])</f>
        <v>Tarjeta de Débito</v>
      </c>
      <c r="N1113" s="20" t="str">
        <f t="shared" si="2"/>
        <v>2024 04</v>
      </c>
    </row>
    <row r="1114" ht="22.5" customHeight="1">
      <c r="A1114" s="12">
        <f>IFERROR(__xludf.DUMMYFUNCTION("""COMPUTED_VALUE"""),2884.0)</f>
        <v>2884</v>
      </c>
      <c r="B1114" s="13">
        <f>IFERROR(__xludf.DUMMYFUNCTION("""COMPUTED_VALUE"""),45387.0)</f>
        <v>45387</v>
      </c>
      <c r="C1114" s="12">
        <f>IFERROR(__xludf.DUMMYFUNCTION("""COMPUTED_VALUE"""),307.0)</f>
        <v>307</v>
      </c>
      <c r="D1114" s="12">
        <f>IFERROR(__xludf.DUMMYFUNCTION("""COMPUTED_VALUE"""),32.0)</f>
        <v>32</v>
      </c>
      <c r="E1114" s="12">
        <f>IFERROR(__xludf.DUMMYFUNCTION("""COMPUTED_VALUE"""),3.0)</f>
        <v>3</v>
      </c>
      <c r="F1114" s="12">
        <f>IFERROR(__xludf.DUMMYFUNCTION("""COMPUTED_VALUE"""),1.0)</f>
        <v>1</v>
      </c>
      <c r="G1114" s="15" t="str">
        <f>IFERROR(__xludf.DUMMYFUNCTION("""COMPUTED_VALUE"""),"Completa")</f>
        <v>Completa</v>
      </c>
      <c r="H1114" s="16" t="str">
        <f t="array" ref="H1114">_xlfn.XLOOKUP(D1114,Productos[ID_Producto],Productos[Nombre_Producto])</f>
        <v>Galletitas de chocolate</v>
      </c>
      <c r="I1114" s="17">
        <f t="array" ref="I1114">_xlfn.XLOOKUP(D1114,Productos[ID_Producto],Productos[Precio_Unitario])</f>
        <v>6.25</v>
      </c>
      <c r="J1114" s="17">
        <f t="shared" si="1"/>
        <v>18.75</v>
      </c>
      <c r="K1114" s="16" t="str">
        <f t="array" ref="K1114">_xlfn.XLOOKUP(C1114,Clientes[ID_Cliente],Clientes[Provincia])</f>
        <v>San Luis</v>
      </c>
      <c r="L1114" s="16" t="str">
        <f t="array" ref="L1114">CONCATENATE(_xlfn.XLOOKUP(C1114,Clientes[ID_Cliente],Clientes[Provincia]),", Argentina")</f>
        <v>San Luis, Argentina</v>
      </c>
      <c r="M1114" s="20" t="str">
        <f t="array" ref="M1114">_xlfn.XLOOKUP(F1114,Metodos_De_Pago[ID_Metodo],Metodos_De_Pago[Metodo])</f>
        <v>Efectivo</v>
      </c>
      <c r="N1114" s="20" t="str">
        <f t="shared" si="2"/>
        <v>2024 04</v>
      </c>
    </row>
    <row r="1115" ht="22.5" customHeight="1">
      <c r="A1115" s="12">
        <f>IFERROR(__xludf.DUMMYFUNCTION("""COMPUTED_VALUE"""),1068.0)</f>
        <v>1068</v>
      </c>
      <c r="B1115" s="13">
        <f>IFERROR(__xludf.DUMMYFUNCTION("""COMPUTED_VALUE"""),45388.0)</f>
        <v>45388</v>
      </c>
      <c r="C1115" s="12">
        <f>IFERROR(__xludf.DUMMYFUNCTION("""COMPUTED_VALUE"""),318.0)</f>
        <v>318</v>
      </c>
      <c r="D1115" s="12">
        <f>IFERROR(__xludf.DUMMYFUNCTION("""COMPUTED_VALUE"""),6.0)</f>
        <v>6</v>
      </c>
      <c r="E1115" s="12">
        <f>IFERROR(__xludf.DUMMYFUNCTION("""COMPUTED_VALUE"""),3.0)</f>
        <v>3</v>
      </c>
      <c r="F1115" s="12">
        <f>IFERROR(__xludf.DUMMYFUNCTION("""COMPUTED_VALUE"""),5.0)</f>
        <v>5</v>
      </c>
      <c r="G1115" s="15" t="str">
        <f>IFERROR(__xludf.DUMMYFUNCTION("""COMPUTED_VALUE"""),"Completa")</f>
        <v>Completa</v>
      </c>
      <c r="H1115" s="16" t="str">
        <f t="array" ref="H1115">_xlfn.XLOOKUP(D1115,Productos[ID_Producto],Productos[Nombre_Producto])</f>
        <v>Asado</v>
      </c>
      <c r="I1115" s="17">
        <f t="array" ref="I1115">_xlfn.XLOOKUP(D1115,Productos[ID_Producto],Productos[Precio_Unitario])</f>
        <v>28.56</v>
      </c>
      <c r="J1115" s="17">
        <f t="shared" si="1"/>
        <v>85.68</v>
      </c>
      <c r="K1115" s="16" t="str">
        <f t="array" ref="K1115">_xlfn.XLOOKUP(C1115,Clientes[ID_Cliente],Clientes[Provincia])</f>
        <v>Buenos Aires</v>
      </c>
      <c r="L1115" s="16" t="str">
        <f t="array" ref="L1115">CONCATENATE(_xlfn.XLOOKUP(C1115,Clientes[ID_Cliente],Clientes[Provincia]),", Argentina")</f>
        <v>Buenos Aires, Argentina</v>
      </c>
      <c r="M1115" s="20" t="str">
        <f t="array" ref="M1115">_xlfn.XLOOKUP(F1115,Metodos_De_Pago[ID_Metodo],Metodos_De_Pago[Metodo])</f>
        <v>Transferencia</v>
      </c>
      <c r="N1115" s="20" t="str">
        <f t="shared" si="2"/>
        <v>2024 04</v>
      </c>
    </row>
    <row r="1116" ht="22.5" customHeight="1">
      <c r="A1116" s="12">
        <f>IFERROR(__xludf.DUMMYFUNCTION("""COMPUTED_VALUE"""),1960.0)</f>
        <v>1960</v>
      </c>
      <c r="B1116" s="13">
        <f>IFERROR(__xludf.DUMMYFUNCTION("""COMPUTED_VALUE"""),45388.0)</f>
        <v>45388</v>
      </c>
      <c r="C1116" s="12">
        <f>IFERROR(__xludf.DUMMYFUNCTION("""COMPUTED_VALUE"""),266.0)</f>
        <v>266</v>
      </c>
      <c r="D1116" s="12">
        <f>IFERROR(__xludf.DUMMYFUNCTION("""COMPUTED_VALUE"""),30.0)</f>
        <v>30</v>
      </c>
      <c r="E1116" s="12">
        <f>IFERROR(__xludf.DUMMYFUNCTION("""COMPUTED_VALUE"""),3.0)</f>
        <v>3</v>
      </c>
      <c r="F1116" s="12">
        <f>IFERROR(__xludf.DUMMYFUNCTION("""COMPUTED_VALUE"""),5.0)</f>
        <v>5</v>
      </c>
      <c r="G1116" s="15" t="str">
        <f>IFERROR(__xludf.DUMMYFUNCTION("""COMPUTED_VALUE"""),"Completa")</f>
        <v>Completa</v>
      </c>
      <c r="H1116" s="16" t="str">
        <f t="array" ref="H1116">_xlfn.XLOOKUP(D1116,Productos[ID_Producto],Productos[Nombre_Producto])</f>
        <v>Vino tinto</v>
      </c>
      <c r="I1116" s="17">
        <f t="array" ref="I1116">_xlfn.XLOOKUP(D1116,Productos[ID_Producto],Productos[Precio_Unitario])</f>
        <v>13.54</v>
      </c>
      <c r="J1116" s="17">
        <f t="shared" si="1"/>
        <v>40.62</v>
      </c>
      <c r="K1116" s="16" t="str">
        <f t="array" ref="K1116">_xlfn.XLOOKUP(C1116,Clientes[ID_Cliente],Clientes[Provincia])</f>
        <v>Buenos Aires</v>
      </c>
      <c r="L1116" s="16" t="str">
        <f t="array" ref="L1116">CONCATENATE(_xlfn.XLOOKUP(C1116,Clientes[ID_Cliente],Clientes[Provincia]),", Argentina")</f>
        <v>Buenos Aires, Argentina</v>
      </c>
      <c r="M1116" s="20" t="str">
        <f t="array" ref="M1116">_xlfn.XLOOKUP(F1116,Metodos_De_Pago[ID_Metodo],Metodos_De_Pago[Metodo])</f>
        <v>Transferencia</v>
      </c>
      <c r="N1116" s="20" t="str">
        <f t="shared" si="2"/>
        <v>2024 04</v>
      </c>
    </row>
    <row r="1117" ht="22.5" customHeight="1">
      <c r="A1117" s="12">
        <f>IFERROR(__xludf.DUMMYFUNCTION("""COMPUTED_VALUE"""),2731.0)</f>
        <v>2731</v>
      </c>
      <c r="B1117" s="13">
        <f>IFERROR(__xludf.DUMMYFUNCTION("""COMPUTED_VALUE"""),45389.0)</f>
        <v>45389</v>
      </c>
      <c r="C1117" s="12">
        <f>IFERROR(__xludf.DUMMYFUNCTION("""COMPUTED_VALUE"""),132.0)</f>
        <v>132</v>
      </c>
      <c r="D1117" s="12">
        <f>IFERROR(__xludf.DUMMYFUNCTION("""COMPUTED_VALUE"""),5.0)</f>
        <v>5</v>
      </c>
      <c r="E1117" s="12">
        <f>IFERROR(__xludf.DUMMYFUNCTION("""COMPUTED_VALUE"""),3.0)</f>
        <v>3</v>
      </c>
      <c r="F1117" s="12">
        <f>IFERROR(__xludf.DUMMYFUNCTION("""COMPUTED_VALUE"""),1.0)</f>
        <v>1</v>
      </c>
      <c r="G1117" s="15" t="str">
        <f>IFERROR(__xludf.DUMMYFUNCTION("""COMPUTED_VALUE"""),"Pendiente")</f>
        <v>Pendiente</v>
      </c>
      <c r="H1117" s="16" t="str">
        <f t="array" ref="H1117">_xlfn.XLOOKUP(D1117,Productos[ID_Producto],Productos[Nombre_Producto])</f>
        <v>Manteca</v>
      </c>
      <c r="I1117" s="17">
        <f t="array" ref="I1117">_xlfn.XLOOKUP(D1117,Productos[ID_Producto],Productos[Precio_Unitario])</f>
        <v>5.65</v>
      </c>
      <c r="J1117" s="17">
        <f t="shared" si="1"/>
        <v>16.95</v>
      </c>
      <c r="K1117" s="16" t="str">
        <f t="array" ref="K1117">_xlfn.XLOOKUP(C1117,Clientes[ID_Cliente],Clientes[Provincia])</f>
        <v>Buenos Aires</v>
      </c>
      <c r="L1117" s="16" t="str">
        <f t="array" ref="L1117">CONCATENATE(_xlfn.XLOOKUP(C1117,Clientes[ID_Cliente],Clientes[Provincia]),", Argentina")</f>
        <v>Buenos Aires, Argentina</v>
      </c>
      <c r="M1117" s="20" t="str">
        <f t="array" ref="M1117">_xlfn.XLOOKUP(F1117,Metodos_De_Pago[ID_Metodo],Metodos_De_Pago[Metodo])</f>
        <v>Efectivo</v>
      </c>
      <c r="N1117" s="20" t="str">
        <f t="shared" si="2"/>
        <v>2024 04</v>
      </c>
    </row>
    <row r="1118" ht="22.5" customHeight="1">
      <c r="A1118" s="12">
        <f>IFERROR(__xludf.DUMMYFUNCTION("""COMPUTED_VALUE"""),2341.0)</f>
        <v>2341</v>
      </c>
      <c r="B1118" s="13">
        <f>IFERROR(__xludf.DUMMYFUNCTION("""COMPUTED_VALUE"""),45391.0)</f>
        <v>45391</v>
      </c>
      <c r="C1118" s="12">
        <f>IFERROR(__xludf.DUMMYFUNCTION("""COMPUTED_VALUE"""),23.0)</f>
        <v>23</v>
      </c>
      <c r="D1118" s="12">
        <f>IFERROR(__xludf.DUMMYFUNCTION("""COMPUTED_VALUE"""),10.0)</f>
        <v>10</v>
      </c>
      <c r="E1118" s="12">
        <f>IFERROR(__xludf.DUMMYFUNCTION("""COMPUTED_VALUE"""),3.0)</f>
        <v>3</v>
      </c>
      <c r="F1118" s="12">
        <f>IFERROR(__xludf.DUMMYFUNCTION("""COMPUTED_VALUE"""),5.0)</f>
        <v>5</v>
      </c>
      <c r="G1118" s="15" t="str">
        <f>IFERROR(__xludf.DUMMYFUNCTION("""COMPUTED_VALUE"""),"Completa")</f>
        <v>Completa</v>
      </c>
      <c r="H1118" s="16" t="str">
        <f t="array" ref="H1118">_xlfn.XLOOKUP(D1118,Productos[ID_Producto],Productos[Nombre_Producto])</f>
        <v>Costilla de cerdo</v>
      </c>
      <c r="I1118" s="17">
        <f t="array" ref="I1118">_xlfn.XLOOKUP(D1118,Productos[ID_Producto],Productos[Precio_Unitario])</f>
        <v>14.25</v>
      </c>
      <c r="J1118" s="17">
        <f t="shared" si="1"/>
        <v>42.75</v>
      </c>
      <c r="K1118" s="16" t="str">
        <f t="array" ref="K1118">_xlfn.XLOOKUP(C1118,Clientes[ID_Cliente],Clientes[Provincia])</f>
        <v>Neuquén</v>
      </c>
      <c r="L1118" s="16" t="str">
        <f t="array" ref="L1118">CONCATENATE(_xlfn.XLOOKUP(C1118,Clientes[ID_Cliente],Clientes[Provincia]),", Argentina")</f>
        <v>Neuquén, Argentina</v>
      </c>
      <c r="M1118" s="20" t="str">
        <f t="array" ref="M1118">_xlfn.XLOOKUP(F1118,Metodos_De_Pago[ID_Metodo],Metodos_De_Pago[Metodo])</f>
        <v>Transferencia</v>
      </c>
      <c r="N1118" s="20" t="str">
        <f t="shared" si="2"/>
        <v>2024 04</v>
      </c>
    </row>
    <row r="1119" ht="22.5" customHeight="1">
      <c r="A1119" s="12">
        <f>IFERROR(__xludf.DUMMYFUNCTION("""COMPUTED_VALUE"""),532.0)</f>
        <v>532</v>
      </c>
      <c r="B1119" s="13">
        <f>IFERROR(__xludf.DUMMYFUNCTION("""COMPUTED_VALUE"""),45392.0)</f>
        <v>45392</v>
      </c>
      <c r="C1119" s="12">
        <f>IFERROR(__xludf.DUMMYFUNCTION("""COMPUTED_VALUE"""),233.0)</f>
        <v>233</v>
      </c>
      <c r="D1119" s="12">
        <f>IFERROR(__xludf.DUMMYFUNCTION("""COMPUTED_VALUE"""),1.0)</f>
        <v>1</v>
      </c>
      <c r="E1119" s="12">
        <f>IFERROR(__xludf.DUMMYFUNCTION("""COMPUTED_VALUE"""),3.0)</f>
        <v>3</v>
      </c>
      <c r="F1119" s="12">
        <f>IFERROR(__xludf.DUMMYFUNCTION("""COMPUTED_VALUE"""),1.0)</f>
        <v>1</v>
      </c>
      <c r="G1119" s="15" t="str">
        <f>IFERROR(__xludf.DUMMYFUNCTION("""COMPUTED_VALUE"""),"Completa")</f>
        <v>Completa</v>
      </c>
      <c r="H1119" s="16" t="str">
        <f t="array" ref="H1119">_xlfn.XLOOKUP(D1119,Productos[ID_Producto],Productos[Nombre_Producto])</f>
        <v>Leche</v>
      </c>
      <c r="I1119" s="17">
        <f t="array" ref="I1119">_xlfn.XLOOKUP(D1119,Productos[ID_Producto],Productos[Precio_Unitario])</f>
        <v>12.24</v>
      </c>
      <c r="J1119" s="17">
        <f t="shared" si="1"/>
        <v>36.72</v>
      </c>
      <c r="K1119" s="16" t="str">
        <f t="array" ref="K1119">_xlfn.XLOOKUP(C1119,Clientes[ID_Cliente],Clientes[Provincia])</f>
        <v>Córdoba</v>
      </c>
      <c r="L1119" s="16" t="str">
        <f t="array" ref="L1119">CONCATENATE(_xlfn.XLOOKUP(C1119,Clientes[ID_Cliente],Clientes[Provincia]),", Argentina")</f>
        <v>Córdoba, Argentina</v>
      </c>
      <c r="M1119" s="20" t="str">
        <f t="array" ref="M1119">_xlfn.XLOOKUP(F1119,Metodos_De_Pago[ID_Metodo],Metodos_De_Pago[Metodo])</f>
        <v>Efectivo</v>
      </c>
      <c r="N1119" s="20" t="str">
        <f t="shared" si="2"/>
        <v>2024 04</v>
      </c>
    </row>
    <row r="1120" ht="22.5" customHeight="1">
      <c r="A1120" s="12">
        <f>IFERROR(__xludf.DUMMYFUNCTION("""COMPUTED_VALUE"""),2490.0)</f>
        <v>2490</v>
      </c>
      <c r="B1120" s="13">
        <f>IFERROR(__xludf.DUMMYFUNCTION("""COMPUTED_VALUE"""),45392.0)</f>
        <v>45392</v>
      </c>
      <c r="C1120" s="12">
        <f>IFERROR(__xludf.DUMMYFUNCTION("""COMPUTED_VALUE"""),162.0)</f>
        <v>162</v>
      </c>
      <c r="D1120" s="12">
        <f>IFERROR(__xludf.DUMMYFUNCTION("""COMPUTED_VALUE"""),26.0)</f>
        <v>26</v>
      </c>
      <c r="E1120" s="12">
        <f>IFERROR(__xludf.DUMMYFUNCTION("""COMPUTED_VALUE"""),3.0)</f>
        <v>3</v>
      </c>
      <c r="F1120" s="12">
        <f>IFERROR(__xludf.DUMMYFUNCTION("""COMPUTED_VALUE"""),5.0)</f>
        <v>5</v>
      </c>
      <c r="G1120" s="15" t="str">
        <f>IFERROR(__xludf.DUMMYFUNCTION("""COMPUTED_VALUE"""),"Completa")</f>
        <v>Completa</v>
      </c>
      <c r="H1120" s="16" t="str">
        <f t="array" ref="H1120">_xlfn.XLOOKUP(D1120,Productos[ID_Producto],Productos[Nombre_Producto])</f>
        <v>Hamburgesas congeladas</v>
      </c>
      <c r="I1120" s="17">
        <f t="array" ref="I1120">_xlfn.XLOOKUP(D1120,Productos[ID_Producto],Productos[Precio_Unitario])</f>
        <v>9.54</v>
      </c>
      <c r="J1120" s="17">
        <f t="shared" si="1"/>
        <v>28.62</v>
      </c>
      <c r="K1120" s="16" t="str">
        <f t="array" ref="K1120">_xlfn.XLOOKUP(C1120,Clientes[ID_Cliente],Clientes[Provincia])</f>
        <v>Neuquén</v>
      </c>
      <c r="L1120" s="16" t="str">
        <f t="array" ref="L1120">CONCATENATE(_xlfn.XLOOKUP(C1120,Clientes[ID_Cliente],Clientes[Provincia]),", Argentina")</f>
        <v>Neuquén, Argentina</v>
      </c>
      <c r="M1120" s="20" t="str">
        <f t="array" ref="M1120">_xlfn.XLOOKUP(F1120,Metodos_De_Pago[ID_Metodo],Metodos_De_Pago[Metodo])</f>
        <v>Transferencia</v>
      </c>
      <c r="N1120" s="20" t="str">
        <f t="shared" si="2"/>
        <v>2024 04</v>
      </c>
    </row>
    <row r="1121" ht="22.5" customHeight="1">
      <c r="A1121" s="12">
        <f>IFERROR(__xludf.DUMMYFUNCTION("""COMPUTED_VALUE"""),677.0)</f>
        <v>677</v>
      </c>
      <c r="B1121" s="13">
        <f>IFERROR(__xludf.DUMMYFUNCTION("""COMPUTED_VALUE"""),45393.0)</f>
        <v>45393</v>
      </c>
      <c r="C1121" s="12">
        <f>IFERROR(__xludf.DUMMYFUNCTION("""COMPUTED_VALUE"""),291.0)</f>
        <v>291</v>
      </c>
      <c r="D1121" s="12">
        <f>IFERROR(__xludf.DUMMYFUNCTION("""COMPUTED_VALUE"""),10.0)</f>
        <v>10</v>
      </c>
      <c r="E1121" s="12">
        <f>IFERROR(__xludf.DUMMYFUNCTION("""COMPUTED_VALUE"""),3.0)</f>
        <v>3</v>
      </c>
      <c r="F1121" s="12">
        <f>IFERROR(__xludf.DUMMYFUNCTION("""COMPUTED_VALUE"""),5.0)</f>
        <v>5</v>
      </c>
      <c r="G1121" s="15" t="str">
        <f>IFERROR(__xludf.DUMMYFUNCTION("""COMPUTED_VALUE"""),"Completa")</f>
        <v>Completa</v>
      </c>
      <c r="H1121" s="16" t="str">
        <f t="array" ref="H1121">_xlfn.XLOOKUP(D1121,Productos[ID_Producto],Productos[Nombre_Producto])</f>
        <v>Costilla de cerdo</v>
      </c>
      <c r="I1121" s="17">
        <f t="array" ref="I1121">_xlfn.XLOOKUP(D1121,Productos[ID_Producto],Productos[Precio_Unitario])</f>
        <v>14.25</v>
      </c>
      <c r="J1121" s="17">
        <f t="shared" si="1"/>
        <v>42.75</v>
      </c>
      <c r="K1121" s="16" t="str">
        <f t="array" ref="K1121">_xlfn.XLOOKUP(C1121,Clientes[ID_Cliente],Clientes[Provincia])</f>
        <v>Chaco</v>
      </c>
      <c r="L1121" s="16" t="str">
        <f t="array" ref="L1121">CONCATENATE(_xlfn.XLOOKUP(C1121,Clientes[ID_Cliente],Clientes[Provincia]),", Argentina")</f>
        <v>Chaco, Argentina</v>
      </c>
      <c r="M1121" s="20" t="str">
        <f t="array" ref="M1121">_xlfn.XLOOKUP(F1121,Metodos_De_Pago[ID_Metodo],Metodos_De_Pago[Metodo])</f>
        <v>Transferencia</v>
      </c>
      <c r="N1121" s="20" t="str">
        <f t="shared" si="2"/>
        <v>2024 04</v>
      </c>
    </row>
    <row r="1122" ht="22.5" customHeight="1">
      <c r="A1122" s="12">
        <f>IFERROR(__xludf.DUMMYFUNCTION("""COMPUTED_VALUE"""),2561.0)</f>
        <v>2561</v>
      </c>
      <c r="B1122" s="13">
        <f>IFERROR(__xludf.DUMMYFUNCTION("""COMPUTED_VALUE"""),45393.0)</f>
        <v>45393</v>
      </c>
      <c r="C1122" s="12">
        <f>IFERROR(__xludf.DUMMYFUNCTION("""COMPUTED_VALUE"""),133.0)</f>
        <v>133</v>
      </c>
      <c r="D1122" s="12">
        <f>IFERROR(__xludf.DUMMYFUNCTION("""COMPUTED_VALUE"""),19.0)</f>
        <v>19</v>
      </c>
      <c r="E1122" s="12">
        <f>IFERROR(__xludf.DUMMYFUNCTION("""COMPUTED_VALUE"""),3.0)</f>
        <v>3</v>
      </c>
      <c r="F1122" s="12">
        <f>IFERROR(__xludf.DUMMYFUNCTION("""COMPUTED_VALUE"""),1.0)</f>
        <v>1</v>
      </c>
      <c r="G1122" s="15" t="str">
        <f>IFERROR(__xludf.DUMMYFUNCTION("""COMPUTED_VALUE"""),"Completa")</f>
        <v>Completa</v>
      </c>
      <c r="H1122" s="16" t="str">
        <f t="array" ref="H1122">_xlfn.XLOOKUP(D1122,Productos[ID_Producto],Productos[Nombre_Producto])</f>
        <v>Tomates</v>
      </c>
      <c r="I1122" s="17">
        <f t="array" ref="I1122">_xlfn.XLOOKUP(D1122,Productos[ID_Producto],Productos[Precio_Unitario])</f>
        <v>6.54</v>
      </c>
      <c r="J1122" s="17">
        <f t="shared" si="1"/>
        <v>19.62</v>
      </c>
      <c r="K1122" s="16" t="str">
        <f t="array" ref="K1122">_xlfn.XLOOKUP(C1122,Clientes[ID_Cliente],Clientes[Provincia])</f>
        <v>Buenos Aires</v>
      </c>
      <c r="L1122" s="16" t="str">
        <f t="array" ref="L1122">CONCATENATE(_xlfn.XLOOKUP(C1122,Clientes[ID_Cliente],Clientes[Provincia]),", Argentina")</f>
        <v>Buenos Aires, Argentina</v>
      </c>
      <c r="M1122" s="20" t="str">
        <f t="array" ref="M1122">_xlfn.XLOOKUP(F1122,Metodos_De_Pago[ID_Metodo],Metodos_De_Pago[Metodo])</f>
        <v>Efectivo</v>
      </c>
      <c r="N1122" s="20" t="str">
        <f t="shared" si="2"/>
        <v>2024 04</v>
      </c>
    </row>
    <row r="1123" ht="22.5" customHeight="1">
      <c r="A1123" s="12">
        <f>IFERROR(__xludf.DUMMYFUNCTION("""COMPUTED_VALUE"""),1299.0)</f>
        <v>1299</v>
      </c>
      <c r="B1123" s="13">
        <f>IFERROR(__xludf.DUMMYFUNCTION("""COMPUTED_VALUE"""),45394.0)</f>
        <v>45394</v>
      </c>
      <c r="C1123" s="12">
        <f>IFERROR(__xludf.DUMMYFUNCTION("""COMPUTED_VALUE"""),223.0)</f>
        <v>223</v>
      </c>
      <c r="D1123" s="12">
        <f>IFERROR(__xludf.DUMMYFUNCTION("""COMPUTED_VALUE"""),16.0)</f>
        <v>16</v>
      </c>
      <c r="E1123" s="12">
        <f>IFERROR(__xludf.DUMMYFUNCTION("""COMPUTED_VALUE"""),3.0)</f>
        <v>3</v>
      </c>
      <c r="F1123" s="12">
        <f>IFERROR(__xludf.DUMMYFUNCTION("""COMPUTED_VALUE"""),3.0)</f>
        <v>3</v>
      </c>
      <c r="G1123" s="15" t="str">
        <f>IFERROR(__xludf.DUMMYFUNCTION("""COMPUTED_VALUE"""),"Completa")</f>
        <v>Completa</v>
      </c>
      <c r="H1123" s="16" t="str">
        <f t="array" ref="H1123">_xlfn.XLOOKUP(D1123,Productos[ID_Producto],Productos[Nombre_Producto])</f>
        <v>Tortas</v>
      </c>
      <c r="I1123" s="17">
        <f t="array" ref="I1123">_xlfn.XLOOKUP(D1123,Productos[ID_Producto],Productos[Precio_Unitario])</f>
        <v>15.23</v>
      </c>
      <c r="J1123" s="17">
        <f t="shared" si="1"/>
        <v>45.69</v>
      </c>
      <c r="K1123" s="16" t="str">
        <f t="array" ref="K1123">_xlfn.XLOOKUP(C1123,Clientes[ID_Cliente],Clientes[Provincia])</f>
        <v>Buenos Aires</v>
      </c>
      <c r="L1123" s="16" t="str">
        <f t="array" ref="L1123">CONCATENATE(_xlfn.XLOOKUP(C1123,Clientes[ID_Cliente],Clientes[Provincia]),", Argentina")</f>
        <v>Buenos Aires, Argentina</v>
      </c>
      <c r="M1123" s="20" t="str">
        <f t="array" ref="M1123">_xlfn.XLOOKUP(F1123,Metodos_De_Pago[ID_Metodo],Metodos_De_Pago[Metodo])</f>
        <v>Tarjeta de Débito</v>
      </c>
      <c r="N1123" s="20" t="str">
        <f t="shared" si="2"/>
        <v>2024 04</v>
      </c>
    </row>
    <row r="1124" ht="22.5" customHeight="1">
      <c r="A1124" s="12">
        <f>IFERROR(__xludf.DUMMYFUNCTION("""COMPUTED_VALUE"""),328.0)</f>
        <v>328</v>
      </c>
      <c r="B1124" s="13">
        <f>IFERROR(__xludf.DUMMYFUNCTION("""COMPUTED_VALUE"""),45395.0)</f>
        <v>45395</v>
      </c>
      <c r="C1124" s="12">
        <f>IFERROR(__xludf.DUMMYFUNCTION("""COMPUTED_VALUE"""),167.0)</f>
        <v>167</v>
      </c>
      <c r="D1124" s="12">
        <f>IFERROR(__xludf.DUMMYFUNCTION("""COMPUTED_VALUE"""),23.0)</f>
        <v>23</v>
      </c>
      <c r="E1124" s="12">
        <f>IFERROR(__xludf.DUMMYFUNCTION("""COMPUTED_VALUE"""),3.0)</f>
        <v>3</v>
      </c>
      <c r="F1124" s="12">
        <f>IFERROR(__xludf.DUMMYFUNCTION("""COMPUTED_VALUE"""),3.0)</f>
        <v>3</v>
      </c>
      <c r="G1124" s="15" t="str">
        <f>IFERROR(__xludf.DUMMYFUNCTION("""COMPUTED_VALUE"""),"Pendiente")</f>
        <v>Pendiente</v>
      </c>
      <c r="H1124" s="16" t="str">
        <f t="array" ref="H1124">_xlfn.XLOOKUP(D1124,Productos[ID_Producto],Productos[Nombre_Producto])</f>
        <v>Papas fritas</v>
      </c>
      <c r="I1124" s="17">
        <f t="array" ref="I1124">_xlfn.XLOOKUP(D1124,Productos[ID_Producto],Productos[Precio_Unitario])</f>
        <v>8.23</v>
      </c>
      <c r="J1124" s="17">
        <f t="shared" si="1"/>
        <v>24.69</v>
      </c>
      <c r="K1124" s="16" t="str">
        <f t="array" ref="K1124">_xlfn.XLOOKUP(C1124,Clientes[ID_Cliente],Clientes[Provincia])</f>
        <v>Buenos Aires</v>
      </c>
      <c r="L1124" s="16" t="str">
        <f t="array" ref="L1124">CONCATENATE(_xlfn.XLOOKUP(C1124,Clientes[ID_Cliente],Clientes[Provincia]),", Argentina")</f>
        <v>Buenos Aires, Argentina</v>
      </c>
      <c r="M1124" s="20" t="str">
        <f t="array" ref="M1124">_xlfn.XLOOKUP(F1124,Metodos_De_Pago[ID_Metodo],Metodos_De_Pago[Metodo])</f>
        <v>Tarjeta de Débito</v>
      </c>
      <c r="N1124" s="20" t="str">
        <f t="shared" si="2"/>
        <v>2024 04</v>
      </c>
    </row>
    <row r="1125" ht="22.5" customHeight="1">
      <c r="A1125" s="12">
        <f>IFERROR(__xludf.DUMMYFUNCTION("""COMPUTED_VALUE"""),2159.0)</f>
        <v>2159</v>
      </c>
      <c r="B1125" s="13">
        <f>IFERROR(__xludf.DUMMYFUNCTION("""COMPUTED_VALUE"""),45395.0)</f>
        <v>45395</v>
      </c>
      <c r="C1125" s="12">
        <f>IFERROR(__xludf.DUMMYFUNCTION("""COMPUTED_VALUE"""),288.0)</f>
        <v>288</v>
      </c>
      <c r="D1125" s="12">
        <f>IFERROR(__xludf.DUMMYFUNCTION("""COMPUTED_VALUE"""),19.0)</f>
        <v>19</v>
      </c>
      <c r="E1125" s="12">
        <f>IFERROR(__xludf.DUMMYFUNCTION("""COMPUTED_VALUE"""),3.0)</f>
        <v>3</v>
      </c>
      <c r="F1125" s="12">
        <f>IFERROR(__xludf.DUMMYFUNCTION("""COMPUTED_VALUE"""),1.0)</f>
        <v>1</v>
      </c>
      <c r="G1125" s="15" t="str">
        <f>IFERROR(__xludf.DUMMYFUNCTION("""COMPUTED_VALUE"""),"Completa")</f>
        <v>Completa</v>
      </c>
      <c r="H1125" s="16" t="str">
        <f t="array" ref="H1125">_xlfn.XLOOKUP(D1125,Productos[ID_Producto],Productos[Nombre_Producto])</f>
        <v>Tomates</v>
      </c>
      <c r="I1125" s="17">
        <f t="array" ref="I1125">_xlfn.XLOOKUP(D1125,Productos[ID_Producto],Productos[Precio_Unitario])</f>
        <v>6.54</v>
      </c>
      <c r="J1125" s="17">
        <f t="shared" si="1"/>
        <v>19.62</v>
      </c>
      <c r="K1125" s="16" t="str">
        <f t="array" ref="K1125">_xlfn.XLOOKUP(C1125,Clientes[ID_Cliente],Clientes[Provincia])</f>
        <v>Buenos Aires</v>
      </c>
      <c r="L1125" s="16" t="str">
        <f t="array" ref="L1125">CONCATENATE(_xlfn.XLOOKUP(C1125,Clientes[ID_Cliente],Clientes[Provincia]),", Argentina")</f>
        <v>Buenos Aires, Argentina</v>
      </c>
      <c r="M1125" s="20" t="str">
        <f t="array" ref="M1125">_xlfn.XLOOKUP(F1125,Metodos_De_Pago[ID_Metodo],Metodos_De_Pago[Metodo])</f>
        <v>Efectivo</v>
      </c>
      <c r="N1125" s="20" t="str">
        <f t="shared" si="2"/>
        <v>2024 04</v>
      </c>
    </row>
    <row r="1126" ht="22.5" customHeight="1">
      <c r="A1126" s="12">
        <f>IFERROR(__xludf.DUMMYFUNCTION("""COMPUTED_VALUE"""),708.0)</f>
        <v>708</v>
      </c>
      <c r="B1126" s="13">
        <f>IFERROR(__xludf.DUMMYFUNCTION("""COMPUTED_VALUE"""),45396.0)</f>
        <v>45396</v>
      </c>
      <c r="C1126" s="12">
        <f>IFERROR(__xludf.DUMMYFUNCTION("""COMPUTED_VALUE"""),164.0)</f>
        <v>164</v>
      </c>
      <c r="D1126" s="12">
        <f>IFERROR(__xludf.DUMMYFUNCTION("""COMPUTED_VALUE"""),17.0)</f>
        <v>17</v>
      </c>
      <c r="E1126" s="12">
        <f>IFERROR(__xludf.DUMMYFUNCTION("""COMPUTED_VALUE"""),3.0)</f>
        <v>3</v>
      </c>
      <c r="F1126" s="12">
        <f>IFERROR(__xludf.DUMMYFUNCTION("""COMPUTED_VALUE"""),1.0)</f>
        <v>1</v>
      </c>
      <c r="G1126" s="15" t="str">
        <f>IFERROR(__xludf.DUMMYFUNCTION("""COMPUTED_VALUE"""),"Completa")</f>
        <v>Completa</v>
      </c>
      <c r="H1126" s="16" t="str">
        <f t="array" ref="H1126">_xlfn.XLOOKUP(D1126,Productos[ID_Producto],Productos[Nombre_Producto])</f>
        <v>Manzanas</v>
      </c>
      <c r="I1126" s="17">
        <f t="array" ref="I1126">_xlfn.XLOOKUP(D1126,Productos[ID_Producto],Productos[Precio_Unitario])</f>
        <v>6.54</v>
      </c>
      <c r="J1126" s="17">
        <f t="shared" si="1"/>
        <v>19.62</v>
      </c>
      <c r="K1126" s="16" t="str">
        <f t="array" ref="K1126">_xlfn.XLOOKUP(C1126,Clientes[ID_Cliente],Clientes[Provincia])</f>
        <v>Córdoba</v>
      </c>
      <c r="L1126" s="16" t="str">
        <f t="array" ref="L1126">CONCATENATE(_xlfn.XLOOKUP(C1126,Clientes[ID_Cliente],Clientes[Provincia]),", Argentina")</f>
        <v>Córdoba, Argentina</v>
      </c>
      <c r="M1126" s="20" t="str">
        <f t="array" ref="M1126">_xlfn.XLOOKUP(F1126,Metodos_De_Pago[ID_Metodo],Metodos_De_Pago[Metodo])</f>
        <v>Efectivo</v>
      </c>
      <c r="N1126" s="20" t="str">
        <f t="shared" si="2"/>
        <v>2024 04</v>
      </c>
    </row>
    <row r="1127" ht="22.5" customHeight="1">
      <c r="A1127" s="12">
        <f>IFERROR(__xludf.DUMMYFUNCTION("""COMPUTED_VALUE"""),82.0)</f>
        <v>82</v>
      </c>
      <c r="B1127" s="13">
        <f>IFERROR(__xludf.DUMMYFUNCTION("""COMPUTED_VALUE"""),45397.0)</f>
        <v>45397</v>
      </c>
      <c r="C1127" s="12">
        <f>IFERROR(__xludf.DUMMYFUNCTION("""COMPUTED_VALUE"""),246.0)</f>
        <v>246</v>
      </c>
      <c r="D1127" s="12">
        <f>IFERROR(__xludf.DUMMYFUNCTION("""COMPUTED_VALUE"""),27.0)</f>
        <v>27</v>
      </c>
      <c r="E1127" s="12">
        <f>IFERROR(__xludf.DUMMYFUNCTION("""COMPUTED_VALUE"""),3.0)</f>
        <v>3</v>
      </c>
      <c r="F1127" s="12">
        <f>IFERROR(__xludf.DUMMYFUNCTION("""COMPUTED_VALUE"""),4.0)</f>
        <v>4</v>
      </c>
      <c r="G1127" s="15" t="str">
        <f>IFERROR(__xludf.DUMMYFUNCTION("""COMPUTED_VALUE"""),"Completa")</f>
        <v>Completa</v>
      </c>
      <c r="H1127" s="16" t="str">
        <f t="array" ref="H1127">_xlfn.XLOOKUP(D1127,Productos[ID_Producto],Productos[Nombre_Producto])</f>
        <v>Agua mineral</v>
      </c>
      <c r="I1127" s="17">
        <f t="array" ref="I1127">_xlfn.XLOOKUP(D1127,Productos[ID_Producto],Productos[Precio_Unitario])</f>
        <v>6.21</v>
      </c>
      <c r="J1127" s="17">
        <f t="shared" si="1"/>
        <v>18.63</v>
      </c>
      <c r="K1127" s="16" t="str">
        <f t="array" ref="K1127">_xlfn.XLOOKUP(C1127,Clientes[ID_Cliente],Clientes[Provincia])</f>
        <v>Chaco</v>
      </c>
      <c r="L1127" s="16" t="str">
        <f t="array" ref="L1127">CONCATENATE(_xlfn.XLOOKUP(C1127,Clientes[ID_Cliente],Clientes[Provincia]),", Argentina")</f>
        <v>Chaco, Argentina</v>
      </c>
      <c r="M1127" s="20" t="str">
        <f t="array" ref="M1127">_xlfn.XLOOKUP(F1127,Metodos_De_Pago[ID_Metodo],Metodos_De_Pago[Metodo])</f>
        <v>Mercado Pago</v>
      </c>
      <c r="N1127" s="20" t="str">
        <f t="shared" si="2"/>
        <v>2024 04</v>
      </c>
    </row>
    <row r="1128" ht="22.5" customHeight="1">
      <c r="A1128" s="12">
        <f>IFERROR(__xludf.DUMMYFUNCTION("""COMPUTED_VALUE"""),1307.0)</f>
        <v>1307</v>
      </c>
      <c r="B1128" s="13">
        <f>IFERROR(__xludf.DUMMYFUNCTION("""COMPUTED_VALUE"""),45398.0)</f>
        <v>45398</v>
      </c>
      <c r="C1128" s="12">
        <f>IFERROR(__xludf.DUMMYFUNCTION("""COMPUTED_VALUE"""),46.0)</f>
        <v>46</v>
      </c>
      <c r="D1128" s="12">
        <f>IFERROR(__xludf.DUMMYFUNCTION("""COMPUTED_VALUE"""),1.0)</f>
        <v>1</v>
      </c>
      <c r="E1128" s="12">
        <f>IFERROR(__xludf.DUMMYFUNCTION("""COMPUTED_VALUE"""),3.0)</f>
        <v>3</v>
      </c>
      <c r="F1128" s="12">
        <f>IFERROR(__xludf.DUMMYFUNCTION("""COMPUTED_VALUE"""),5.0)</f>
        <v>5</v>
      </c>
      <c r="G1128" s="15" t="str">
        <f>IFERROR(__xludf.DUMMYFUNCTION("""COMPUTED_VALUE"""),"Completa")</f>
        <v>Completa</v>
      </c>
      <c r="H1128" s="16" t="str">
        <f t="array" ref="H1128">_xlfn.XLOOKUP(D1128,Productos[ID_Producto],Productos[Nombre_Producto])</f>
        <v>Leche</v>
      </c>
      <c r="I1128" s="17">
        <f t="array" ref="I1128">_xlfn.XLOOKUP(D1128,Productos[ID_Producto],Productos[Precio_Unitario])</f>
        <v>12.24</v>
      </c>
      <c r="J1128" s="17">
        <f t="shared" si="1"/>
        <v>36.72</v>
      </c>
      <c r="K1128" s="16" t="str">
        <f t="array" ref="K1128">_xlfn.XLOOKUP(C1128,Clientes[ID_Cliente],Clientes[Provincia])</f>
        <v>Córdoba</v>
      </c>
      <c r="L1128" s="16" t="str">
        <f t="array" ref="L1128">CONCATENATE(_xlfn.XLOOKUP(C1128,Clientes[ID_Cliente],Clientes[Provincia]),", Argentina")</f>
        <v>Córdoba, Argentina</v>
      </c>
      <c r="M1128" s="20" t="str">
        <f t="array" ref="M1128">_xlfn.XLOOKUP(F1128,Metodos_De_Pago[ID_Metodo],Metodos_De_Pago[Metodo])</f>
        <v>Transferencia</v>
      </c>
      <c r="N1128" s="20" t="str">
        <f t="shared" si="2"/>
        <v>2024 04</v>
      </c>
    </row>
    <row r="1129" ht="22.5" customHeight="1">
      <c r="A1129" s="12">
        <f>IFERROR(__xludf.DUMMYFUNCTION("""COMPUTED_VALUE"""),421.0)</f>
        <v>421</v>
      </c>
      <c r="B1129" s="13">
        <f>IFERROR(__xludf.DUMMYFUNCTION("""COMPUTED_VALUE"""),45400.0)</f>
        <v>45400</v>
      </c>
      <c r="C1129" s="12">
        <f>IFERROR(__xludf.DUMMYFUNCTION("""COMPUTED_VALUE"""),86.0)</f>
        <v>86</v>
      </c>
      <c r="D1129" s="12">
        <f>IFERROR(__xludf.DUMMYFUNCTION("""COMPUTED_VALUE"""),28.0)</f>
        <v>28</v>
      </c>
      <c r="E1129" s="12">
        <f>IFERROR(__xludf.DUMMYFUNCTION("""COMPUTED_VALUE"""),3.0)</f>
        <v>3</v>
      </c>
      <c r="F1129" s="12">
        <f>IFERROR(__xludf.DUMMYFUNCTION("""COMPUTED_VALUE"""),4.0)</f>
        <v>4</v>
      </c>
      <c r="G1129" s="15" t="str">
        <f>IFERROR(__xludf.DUMMYFUNCTION("""COMPUTED_VALUE"""),"Pendiente")</f>
        <v>Pendiente</v>
      </c>
      <c r="H1129" s="16" t="str">
        <f t="array" ref="H1129">_xlfn.XLOOKUP(D1129,Productos[ID_Producto],Productos[Nombre_Producto])</f>
        <v>Jugos de frutas</v>
      </c>
      <c r="I1129" s="17">
        <f t="array" ref="I1129">_xlfn.XLOOKUP(D1129,Productos[ID_Producto],Productos[Precio_Unitario])</f>
        <v>9.45</v>
      </c>
      <c r="J1129" s="17">
        <f t="shared" si="1"/>
        <v>28.35</v>
      </c>
      <c r="K1129" s="16" t="str">
        <f t="array" ref="K1129">_xlfn.XLOOKUP(C1129,Clientes[ID_Cliente],Clientes[Provincia])</f>
        <v>Neuquén</v>
      </c>
      <c r="L1129" s="16" t="str">
        <f t="array" ref="L1129">CONCATENATE(_xlfn.XLOOKUP(C1129,Clientes[ID_Cliente],Clientes[Provincia]),", Argentina")</f>
        <v>Neuquén, Argentina</v>
      </c>
      <c r="M1129" s="20" t="str">
        <f t="array" ref="M1129">_xlfn.XLOOKUP(F1129,Metodos_De_Pago[ID_Metodo],Metodos_De_Pago[Metodo])</f>
        <v>Mercado Pago</v>
      </c>
      <c r="N1129" s="20" t="str">
        <f t="shared" si="2"/>
        <v>2024 04</v>
      </c>
    </row>
    <row r="1130" ht="22.5" customHeight="1">
      <c r="A1130" s="12">
        <f>IFERROR(__xludf.DUMMYFUNCTION("""COMPUTED_VALUE"""),2661.0)</f>
        <v>2661</v>
      </c>
      <c r="B1130" s="13">
        <f>IFERROR(__xludf.DUMMYFUNCTION("""COMPUTED_VALUE"""),45400.0)</f>
        <v>45400</v>
      </c>
      <c r="C1130" s="12">
        <f>IFERROR(__xludf.DUMMYFUNCTION("""COMPUTED_VALUE"""),121.0)</f>
        <v>121</v>
      </c>
      <c r="D1130" s="12">
        <f>IFERROR(__xludf.DUMMYFUNCTION("""COMPUTED_VALUE"""),29.0)</f>
        <v>29</v>
      </c>
      <c r="E1130" s="12">
        <f>IFERROR(__xludf.DUMMYFUNCTION("""COMPUTED_VALUE"""),3.0)</f>
        <v>3</v>
      </c>
      <c r="F1130" s="12">
        <f>IFERROR(__xludf.DUMMYFUNCTION("""COMPUTED_VALUE"""),2.0)</f>
        <v>2</v>
      </c>
      <c r="G1130" s="15" t="str">
        <f>IFERROR(__xludf.DUMMYFUNCTION("""COMPUTED_VALUE"""),"Completa")</f>
        <v>Completa</v>
      </c>
      <c r="H1130" s="16" t="str">
        <f t="array" ref="H1130">_xlfn.XLOOKUP(D1130,Productos[ID_Producto],Productos[Nombre_Producto])</f>
        <v>Cerveza</v>
      </c>
      <c r="I1130" s="17">
        <f t="array" ref="I1130">_xlfn.XLOOKUP(D1130,Productos[ID_Producto],Productos[Precio_Unitario])</f>
        <v>11.54</v>
      </c>
      <c r="J1130" s="17">
        <f t="shared" si="1"/>
        <v>34.62</v>
      </c>
      <c r="K1130" s="16" t="str">
        <f t="array" ref="K1130">_xlfn.XLOOKUP(C1130,Clientes[ID_Cliente],Clientes[Provincia])</f>
        <v>San Luis</v>
      </c>
      <c r="L1130" s="16" t="str">
        <f t="array" ref="L1130">CONCATENATE(_xlfn.XLOOKUP(C1130,Clientes[ID_Cliente],Clientes[Provincia]),", Argentina")</f>
        <v>San Luis, Argentina</v>
      </c>
      <c r="M1130" s="20" t="str">
        <f t="array" ref="M1130">_xlfn.XLOOKUP(F1130,Metodos_De_Pago[ID_Metodo],Metodos_De_Pago[Metodo])</f>
        <v>Tarjeta de Crédito</v>
      </c>
      <c r="N1130" s="20" t="str">
        <f t="shared" si="2"/>
        <v>2024 04</v>
      </c>
    </row>
    <row r="1131" ht="22.5" customHeight="1">
      <c r="A1131" s="12">
        <f>IFERROR(__xludf.DUMMYFUNCTION("""COMPUTED_VALUE"""),2666.0)</f>
        <v>2666</v>
      </c>
      <c r="B1131" s="13">
        <f>IFERROR(__xludf.DUMMYFUNCTION("""COMPUTED_VALUE"""),45401.0)</f>
        <v>45401</v>
      </c>
      <c r="C1131" s="12">
        <f>IFERROR(__xludf.DUMMYFUNCTION("""COMPUTED_VALUE"""),12.0)</f>
        <v>12</v>
      </c>
      <c r="D1131" s="12">
        <f>IFERROR(__xludf.DUMMYFUNCTION("""COMPUTED_VALUE"""),36.0)</f>
        <v>36</v>
      </c>
      <c r="E1131" s="12">
        <f>IFERROR(__xludf.DUMMYFUNCTION("""COMPUTED_VALUE"""),3.0)</f>
        <v>3</v>
      </c>
      <c r="F1131" s="12">
        <f>IFERROR(__xludf.DUMMYFUNCTION("""COMPUTED_VALUE"""),3.0)</f>
        <v>3</v>
      </c>
      <c r="G1131" s="15" t="str">
        <f>IFERROR(__xludf.DUMMYFUNCTION("""COMPUTED_VALUE"""),"Completa")</f>
        <v>Completa</v>
      </c>
      <c r="H1131" s="16" t="str">
        <f t="array" ref="H1131">_xlfn.XLOOKUP(D1131,Productos[ID_Producto],Productos[Nombre_Producto])</f>
        <v>Lentejas</v>
      </c>
      <c r="I1131" s="17">
        <f t="array" ref="I1131">_xlfn.XLOOKUP(D1131,Productos[ID_Producto],Productos[Precio_Unitario])</f>
        <v>3.25</v>
      </c>
      <c r="J1131" s="17">
        <f t="shared" si="1"/>
        <v>9.75</v>
      </c>
      <c r="K1131" s="16" t="str">
        <f t="array" ref="K1131">_xlfn.XLOOKUP(C1131,Clientes[ID_Cliente],Clientes[Provincia])</f>
        <v>Neuquén</v>
      </c>
      <c r="L1131" s="16" t="str">
        <f t="array" ref="L1131">CONCATENATE(_xlfn.XLOOKUP(C1131,Clientes[ID_Cliente],Clientes[Provincia]),", Argentina")</f>
        <v>Neuquén, Argentina</v>
      </c>
      <c r="M1131" s="20" t="str">
        <f t="array" ref="M1131">_xlfn.XLOOKUP(F1131,Metodos_De_Pago[ID_Metodo],Metodos_De_Pago[Metodo])</f>
        <v>Tarjeta de Débito</v>
      </c>
      <c r="N1131" s="20" t="str">
        <f t="shared" si="2"/>
        <v>2024 04</v>
      </c>
    </row>
    <row r="1132" ht="22.5" customHeight="1">
      <c r="A1132" s="12">
        <f>IFERROR(__xludf.DUMMYFUNCTION("""COMPUTED_VALUE"""),800.0)</f>
        <v>800</v>
      </c>
      <c r="B1132" s="13">
        <f>IFERROR(__xludf.DUMMYFUNCTION("""COMPUTED_VALUE"""),45402.0)</f>
        <v>45402</v>
      </c>
      <c r="C1132" s="12">
        <f>IFERROR(__xludf.DUMMYFUNCTION("""COMPUTED_VALUE"""),56.0)</f>
        <v>56</v>
      </c>
      <c r="D1132" s="12">
        <f>IFERROR(__xludf.DUMMYFUNCTION("""COMPUTED_VALUE"""),29.0)</f>
        <v>29</v>
      </c>
      <c r="E1132" s="12">
        <f>IFERROR(__xludf.DUMMYFUNCTION("""COMPUTED_VALUE"""),3.0)</f>
        <v>3</v>
      </c>
      <c r="F1132" s="12">
        <f>IFERROR(__xludf.DUMMYFUNCTION("""COMPUTED_VALUE"""),3.0)</f>
        <v>3</v>
      </c>
      <c r="G1132" s="15" t="str">
        <f>IFERROR(__xludf.DUMMYFUNCTION("""COMPUTED_VALUE"""),"Completa")</f>
        <v>Completa</v>
      </c>
      <c r="H1132" s="16" t="str">
        <f t="array" ref="H1132">_xlfn.XLOOKUP(D1132,Productos[ID_Producto],Productos[Nombre_Producto])</f>
        <v>Cerveza</v>
      </c>
      <c r="I1132" s="17">
        <f t="array" ref="I1132">_xlfn.XLOOKUP(D1132,Productos[ID_Producto],Productos[Precio_Unitario])</f>
        <v>11.54</v>
      </c>
      <c r="J1132" s="17">
        <f t="shared" si="1"/>
        <v>34.62</v>
      </c>
      <c r="K1132" s="16" t="str">
        <f t="array" ref="K1132">_xlfn.XLOOKUP(C1132,Clientes[ID_Cliente],Clientes[Provincia])</f>
        <v>Córdoba</v>
      </c>
      <c r="L1132" s="16" t="str">
        <f t="array" ref="L1132">CONCATENATE(_xlfn.XLOOKUP(C1132,Clientes[ID_Cliente],Clientes[Provincia]),", Argentina")</f>
        <v>Córdoba, Argentina</v>
      </c>
      <c r="M1132" s="20" t="str">
        <f t="array" ref="M1132">_xlfn.XLOOKUP(F1132,Metodos_De_Pago[ID_Metodo],Metodos_De_Pago[Metodo])</f>
        <v>Tarjeta de Débito</v>
      </c>
      <c r="N1132" s="20" t="str">
        <f t="shared" si="2"/>
        <v>2024 04</v>
      </c>
    </row>
    <row r="1133" ht="22.5" customHeight="1">
      <c r="A1133" s="12">
        <f>IFERROR(__xludf.DUMMYFUNCTION("""COMPUTED_VALUE"""),1575.0)</f>
        <v>1575</v>
      </c>
      <c r="B1133" s="13">
        <f>IFERROR(__xludf.DUMMYFUNCTION("""COMPUTED_VALUE"""),45402.0)</f>
        <v>45402</v>
      </c>
      <c r="C1133" s="12">
        <f>IFERROR(__xludf.DUMMYFUNCTION("""COMPUTED_VALUE"""),66.0)</f>
        <v>66</v>
      </c>
      <c r="D1133" s="12">
        <f>IFERROR(__xludf.DUMMYFUNCTION("""COMPUTED_VALUE"""),4.0)</f>
        <v>4</v>
      </c>
      <c r="E1133" s="12">
        <f>IFERROR(__xludf.DUMMYFUNCTION("""COMPUTED_VALUE"""),3.0)</f>
        <v>3</v>
      </c>
      <c r="F1133" s="12">
        <f>IFERROR(__xludf.DUMMYFUNCTION("""COMPUTED_VALUE"""),4.0)</f>
        <v>4</v>
      </c>
      <c r="G1133" s="15" t="str">
        <f>IFERROR(__xludf.DUMMYFUNCTION("""COMPUTED_VALUE"""),"Completa")</f>
        <v>Completa</v>
      </c>
      <c r="H1133" s="16" t="str">
        <f t="array" ref="H1133">_xlfn.XLOOKUP(D1133,Productos[ID_Producto],Productos[Nombre_Producto])</f>
        <v>Queso rallado</v>
      </c>
      <c r="I1133" s="17">
        <f t="array" ref="I1133">_xlfn.XLOOKUP(D1133,Productos[ID_Producto],Productos[Precio_Unitario])</f>
        <v>19.23</v>
      </c>
      <c r="J1133" s="17">
        <f t="shared" si="1"/>
        <v>57.69</v>
      </c>
      <c r="K1133" s="16" t="str">
        <f t="array" ref="K1133">_xlfn.XLOOKUP(C1133,Clientes[ID_Cliente],Clientes[Provincia])</f>
        <v>Buenos Aires</v>
      </c>
      <c r="L1133" s="16" t="str">
        <f t="array" ref="L1133">CONCATENATE(_xlfn.XLOOKUP(C1133,Clientes[ID_Cliente],Clientes[Provincia]),", Argentina")</f>
        <v>Buenos Aires, Argentina</v>
      </c>
      <c r="M1133" s="20" t="str">
        <f t="array" ref="M1133">_xlfn.XLOOKUP(F1133,Metodos_De_Pago[ID_Metodo],Metodos_De_Pago[Metodo])</f>
        <v>Mercado Pago</v>
      </c>
      <c r="N1133" s="20" t="str">
        <f t="shared" si="2"/>
        <v>2024 04</v>
      </c>
    </row>
    <row r="1134" ht="22.5" customHeight="1">
      <c r="A1134" s="12">
        <f>IFERROR(__xludf.DUMMYFUNCTION("""COMPUTED_VALUE"""),259.0)</f>
        <v>259</v>
      </c>
      <c r="B1134" s="13">
        <f>IFERROR(__xludf.DUMMYFUNCTION("""COMPUTED_VALUE"""),45403.0)</f>
        <v>45403</v>
      </c>
      <c r="C1134" s="12">
        <f>IFERROR(__xludf.DUMMYFUNCTION("""COMPUTED_VALUE"""),288.0)</f>
        <v>288</v>
      </c>
      <c r="D1134" s="12">
        <f>IFERROR(__xludf.DUMMYFUNCTION("""COMPUTED_VALUE"""),32.0)</f>
        <v>32</v>
      </c>
      <c r="E1134" s="12">
        <f>IFERROR(__xludf.DUMMYFUNCTION("""COMPUTED_VALUE"""),3.0)</f>
        <v>3</v>
      </c>
      <c r="F1134" s="12">
        <f>IFERROR(__xludf.DUMMYFUNCTION("""COMPUTED_VALUE"""),2.0)</f>
        <v>2</v>
      </c>
      <c r="G1134" s="15" t="str">
        <f>IFERROR(__xludf.DUMMYFUNCTION("""COMPUTED_VALUE"""),"Completa")</f>
        <v>Completa</v>
      </c>
      <c r="H1134" s="16" t="str">
        <f t="array" ref="H1134">_xlfn.XLOOKUP(D1134,Productos[ID_Producto],Productos[Nombre_Producto])</f>
        <v>Galletitas de chocolate</v>
      </c>
      <c r="I1134" s="17">
        <f t="array" ref="I1134">_xlfn.XLOOKUP(D1134,Productos[ID_Producto],Productos[Precio_Unitario])</f>
        <v>6.25</v>
      </c>
      <c r="J1134" s="17">
        <f t="shared" si="1"/>
        <v>18.75</v>
      </c>
      <c r="K1134" s="16" t="str">
        <f t="array" ref="K1134">_xlfn.XLOOKUP(C1134,Clientes[ID_Cliente],Clientes[Provincia])</f>
        <v>Buenos Aires</v>
      </c>
      <c r="L1134" s="16" t="str">
        <f t="array" ref="L1134">CONCATENATE(_xlfn.XLOOKUP(C1134,Clientes[ID_Cliente],Clientes[Provincia]),", Argentina")</f>
        <v>Buenos Aires, Argentina</v>
      </c>
      <c r="M1134" s="20" t="str">
        <f t="array" ref="M1134">_xlfn.XLOOKUP(F1134,Metodos_De_Pago[ID_Metodo],Metodos_De_Pago[Metodo])</f>
        <v>Tarjeta de Crédito</v>
      </c>
      <c r="N1134" s="20" t="str">
        <f t="shared" si="2"/>
        <v>2024 04</v>
      </c>
    </row>
    <row r="1135" ht="22.5" customHeight="1">
      <c r="A1135" s="12">
        <f>IFERROR(__xludf.DUMMYFUNCTION("""COMPUTED_VALUE"""),2055.0)</f>
        <v>2055</v>
      </c>
      <c r="B1135" s="13">
        <f>IFERROR(__xludf.DUMMYFUNCTION("""COMPUTED_VALUE"""),45403.0)</f>
        <v>45403</v>
      </c>
      <c r="C1135" s="12">
        <f>IFERROR(__xludf.DUMMYFUNCTION("""COMPUTED_VALUE"""),186.0)</f>
        <v>186</v>
      </c>
      <c r="D1135" s="12">
        <f>IFERROR(__xludf.DUMMYFUNCTION("""COMPUTED_VALUE"""),5.0)</f>
        <v>5</v>
      </c>
      <c r="E1135" s="12">
        <f>IFERROR(__xludf.DUMMYFUNCTION("""COMPUTED_VALUE"""),3.0)</f>
        <v>3</v>
      </c>
      <c r="F1135" s="12">
        <f>IFERROR(__xludf.DUMMYFUNCTION("""COMPUTED_VALUE"""),5.0)</f>
        <v>5</v>
      </c>
      <c r="G1135" s="15" t="str">
        <f>IFERROR(__xludf.DUMMYFUNCTION("""COMPUTED_VALUE"""),"Completa")</f>
        <v>Completa</v>
      </c>
      <c r="H1135" s="16" t="str">
        <f t="array" ref="H1135">_xlfn.XLOOKUP(D1135,Productos[ID_Producto],Productos[Nombre_Producto])</f>
        <v>Manteca</v>
      </c>
      <c r="I1135" s="17">
        <f t="array" ref="I1135">_xlfn.XLOOKUP(D1135,Productos[ID_Producto],Productos[Precio_Unitario])</f>
        <v>5.65</v>
      </c>
      <c r="J1135" s="17">
        <f t="shared" si="1"/>
        <v>16.95</v>
      </c>
      <c r="K1135" s="16" t="str">
        <f t="array" ref="K1135">_xlfn.XLOOKUP(C1135,Clientes[ID_Cliente],Clientes[Provincia])</f>
        <v>Neuquén</v>
      </c>
      <c r="L1135" s="16" t="str">
        <f t="array" ref="L1135">CONCATENATE(_xlfn.XLOOKUP(C1135,Clientes[ID_Cliente],Clientes[Provincia]),", Argentina")</f>
        <v>Neuquén, Argentina</v>
      </c>
      <c r="M1135" s="20" t="str">
        <f t="array" ref="M1135">_xlfn.XLOOKUP(F1135,Metodos_De_Pago[ID_Metodo],Metodos_De_Pago[Metodo])</f>
        <v>Transferencia</v>
      </c>
      <c r="N1135" s="20" t="str">
        <f t="shared" si="2"/>
        <v>2024 04</v>
      </c>
    </row>
    <row r="1136" ht="22.5" customHeight="1">
      <c r="A1136" s="12">
        <f>IFERROR(__xludf.DUMMYFUNCTION("""COMPUTED_VALUE"""),2925.0)</f>
        <v>2925</v>
      </c>
      <c r="B1136" s="13">
        <f>IFERROR(__xludf.DUMMYFUNCTION("""COMPUTED_VALUE"""),45404.0)</f>
        <v>45404</v>
      </c>
      <c r="C1136" s="12">
        <f>IFERROR(__xludf.DUMMYFUNCTION("""COMPUTED_VALUE"""),209.0)</f>
        <v>209</v>
      </c>
      <c r="D1136" s="12">
        <f>IFERROR(__xludf.DUMMYFUNCTION("""COMPUTED_VALUE"""),18.0)</f>
        <v>18</v>
      </c>
      <c r="E1136" s="12">
        <f>IFERROR(__xludf.DUMMYFUNCTION("""COMPUTED_VALUE"""),3.0)</f>
        <v>3</v>
      </c>
      <c r="F1136" s="12">
        <f>IFERROR(__xludf.DUMMYFUNCTION("""COMPUTED_VALUE"""),2.0)</f>
        <v>2</v>
      </c>
      <c r="G1136" s="15" t="str">
        <f>IFERROR(__xludf.DUMMYFUNCTION("""COMPUTED_VALUE"""),"Completa")</f>
        <v>Completa</v>
      </c>
      <c r="H1136" s="16" t="str">
        <f t="array" ref="H1136">_xlfn.XLOOKUP(D1136,Productos[ID_Producto],Productos[Nombre_Producto])</f>
        <v>Bananas</v>
      </c>
      <c r="I1136" s="17">
        <f t="array" ref="I1136">_xlfn.XLOOKUP(D1136,Productos[ID_Producto],Productos[Precio_Unitario])</f>
        <v>7.25</v>
      </c>
      <c r="J1136" s="17">
        <f t="shared" si="1"/>
        <v>21.75</v>
      </c>
      <c r="K1136" s="16" t="str">
        <f t="array" ref="K1136">_xlfn.XLOOKUP(C1136,Clientes[ID_Cliente],Clientes[Provincia])</f>
        <v>Buenos Aires</v>
      </c>
      <c r="L1136" s="16" t="str">
        <f t="array" ref="L1136">CONCATENATE(_xlfn.XLOOKUP(C1136,Clientes[ID_Cliente],Clientes[Provincia]),", Argentina")</f>
        <v>Buenos Aires, Argentina</v>
      </c>
      <c r="M1136" s="20" t="str">
        <f t="array" ref="M1136">_xlfn.XLOOKUP(F1136,Metodos_De_Pago[ID_Metodo],Metodos_De_Pago[Metodo])</f>
        <v>Tarjeta de Crédito</v>
      </c>
      <c r="N1136" s="20" t="str">
        <f t="shared" si="2"/>
        <v>2024 04</v>
      </c>
    </row>
    <row r="1137" ht="22.5" customHeight="1">
      <c r="A1137" s="12">
        <f>IFERROR(__xludf.DUMMYFUNCTION("""COMPUTED_VALUE"""),952.0)</f>
        <v>952</v>
      </c>
      <c r="B1137" s="13">
        <f>IFERROR(__xludf.DUMMYFUNCTION("""COMPUTED_VALUE"""),45407.0)</f>
        <v>45407</v>
      </c>
      <c r="C1137" s="12">
        <f>IFERROR(__xludf.DUMMYFUNCTION("""COMPUTED_VALUE"""),207.0)</f>
        <v>207</v>
      </c>
      <c r="D1137" s="12">
        <f>IFERROR(__xludf.DUMMYFUNCTION("""COMPUTED_VALUE"""),7.0)</f>
        <v>7</v>
      </c>
      <c r="E1137" s="12">
        <f>IFERROR(__xludf.DUMMYFUNCTION("""COMPUTED_VALUE"""),3.0)</f>
        <v>3</v>
      </c>
      <c r="F1137" s="12">
        <f>IFERROR(__xludf.DUMMYFUNCTION("""COMPUTED_VALUE"""),3.0)</f>
        <v>3</v>
      </c>
      <c r="G1137" s="15" t="str">
        <f>IFERROR(__xludf.DUMMYFUNCTION("""COMPUTED_VALUE"""),"Completa")</f>
        <v>Completa</v>
      </c>
      <c r="H1137" s="16" t="str">
        <f t="array" ref="H1137">_xlfn.XLOOKUP(D1137,Productos[ID_Producto],Productos[Nombre_Producto])</f>
        <v>Chorizo</v>
      </c>
      <c r="I1137" s="17">
        <f t="array" ref="I1137">_xlfn.XLOOKUP(D1137,Productos[ID_Producto],Productos[Precio_Unitario])</f>
        <v>11.25</v>
      </c>
      <c r="J1137" s="17">
        <f t="shared" si="1"/>
        <v>33.75</v>
      </c>
      <c r="K1137" s="16" t="str">
        <f t="array" ref="K1137">_xlfn.XLOOKUP(C1137,Clientes[ID_Cliente],Clientes[Provincia])</f>
        <v>Buenos Aires</v>
      </c>
      <c r="L1137" s="16" t="str">
        <f t="array" ref="L1137">CONCATENATE(_xlfn.XLOOKUP(C1137,Clientes[ID_Cliente],Clientes[Provincia]),", Argentina")</f>
        <v>Buenos Aires, Argentina</v>
      </c>
      <c r="M1137" s="20" t="str">
        <f t="array" ref="M1137">_xlfn.XLOOKUP(F1137,Metodos_De_Pago[ID_Metodo],Metodos_De_Pago[Metodo])</f>
        <v>Tarjeta de Débito</v>
      </c>
      <c r="N1137" s="20" t="str">
        <f t="shared" si="2"/>
        <v>2024 04</v>
      </c>
    </row>
    <row r="1138" ht="22.5" customHeight="1">
      <c r="A1138" s="12">
        <f>IFERROR(__xludf.DUMMYFUNCTION("""COMPUTED_VALUE"""),1128.0)</f>
        <v>1128</v>
      </c>
      <c r="B1138" s="13">
        <f>IFERROR(__xludf.DUMMYFUNCTION("""COMPUTED_VALUE"""),45409.0)</f>
        <v>45409</v>
      </c>
      <c r="C1138" s="12">
        <f>IFERROR(__xludf.DUMMYFUNCTION("""COMPUTED_VALUE"""),59.0)</f>
        <v>59</v>
      </c>
      <c r="D1138" s="12">
        <f>IFERROR(__xludf.DUMMYFUNCTION("""COMPUTED_VALUE"""),20.0)</f>
        <v>20</v>
      </c>
      <c r="E1138" s="12">
        <f>IFERROR(__xludf.DUMMYFUNCTION("""COMPUTED_VALUE"""),3.0)</f>
        <v>3</v>
      </c>
      <c r="F1138" s="12">
        <f>IFERROR(__xludf.DUMMYFUNCTION("""COMPUTED_VALUE"""),5.0)</f>
        <v>5</v>
      </c>
      <c r="G1138" s="15" t="str">
        <f>IFERROR(__xludf.DUMMYFUNCTION("""COMPUTED_VALUE"""),"Completa")</f>
        <v>Completa</v>
      </c>
      <c r="H1138" s="16" t="str">
        <f t="array" ref="H1138">_xlfn.XLOOKUP(D1138,Productos[ID_Producto],Productos[Nombre_Producto])</f>
        <v>Lechugas</v>
      </c>
      <c r="I1138" s="17">
        <f t="array" ref="I1138">_xlfn.XLOOKUP(D1138,Productos[ID_Producto],Productos[Precio_Unitario])</f>
        <v>4.25</v>
      </c>
      <c r="J1138" s="17">
        <f t="shared" si="1"/>
        <v>12.75</v>
      </c>
      <c r="K1138" s="16" t="str">
        <f t="array" ref="K1138">_xlfn.XLOOKUP(C1138,Clientes[ID_Cliente],Clientes[Provincia])</f>
        <v>Córdoba</v>
      </c>
      <c r="L1138" s="16" t="str">
        <f t="array" ref="L1138">CONCATENATE(_xlfn.XLOOKUP(C1138,Clientes[ID_Cliente],Clientes[Provincia]),", Argentina")</f>
        <v>Córdoba, Argentina</v>
      </c>
      <c r="M1138" s="20" t="str">
        <f t="array" ref="M1138">_xlfn.XLOOKUP(F1138,Metodos_De_Pago[ID_Metodo],Metodos_De_Pago[Metodo])</f>
        <v>Transferencia</v>
      </c>
      <c r="N1138" s="20" t="str">
        <f t="shared" si="2"/>
        <v>2024 04</v>
      </c>
    </row>
    <row r="1139" ht="22.5" customHeight="1">
      <c r="A1139" s="12">
        <f>IFERROR(__xludf.DUMMYFUNCTION("""COMPUTED_VALUE"""),2999.0)</f>
        <v>2999</v>
      </c>
      <c r="B1139" s="13">
        <f>IFERROR(__xludf.DUMMYFUNCTION("""COMPUTED_VALUE"""),45411.0)</f>
        <v>45411</v>
      </c>
      <c r="C1139" s="12">
        <f>IFERROR(__xludf.DUMMYFUNCTION("""COMPUTED_VALUE"""),320.0)</f>
        <v>320</v>
      </c>
      <c r="D1139" s="12">
        <f>IFERROR(__xludf.DUMMYFUNCTION("""COMPUTED_VALUE"""),11.0)</f>
        <v>11</v>
      </c>
      <c r="E1139" s="12">
        <f>IFERROR(__xludf.DUMMYFUNCTION("""COMPUTED_VALUE"""),3.0)</f>
        <v>3</v>
      </c>
      <c r="F1139" s="12">
        <f>IFERROR(__xludf.DUMMYFUNCTION("""COMPUTED_VALUE"""),4.0)</f>
        <v>4</v>
      </c>
      <c r="G1139" s="15" t="str">
        <f>IFERROR(__xludf.DUMMYFUNCTION("""COMPUTED_VALUE"""),"Completa")</f>
        <v>Completa</v>
      </c>
      <c r="H1139" s="16" t="str">
        <f t="array" ref="H1139">_xlfn.XLOOKUP(D1139,Productos[ID_Producto],Productos[Nombre_Producto])</f>
        <v>Salchicha</v>
      </c>
      <c r="I1139" s="17">
        <f t="array" ref="I1139">_xlfn.XLOOKUP(D1139,Productos[ID_Producto],Productos[Precio_Unitario])</f>
        <v>11.23</v>
      </c>
      <c r="J1139" s="17">
        <f t="shared" si="1"/>
        <v>33.69</v>
      </c>
      <c r="K1139" s="16" t="str">
        <f t="array" ref="K1139">_xlfn.XLOOKUP(C1139,Clientes[ID_Cliente],Clientes[Provincia])</f>
        <v>Córdoba</v>
      </c>
      <c r="L1139" s="16" t="str">
        <f t="array" ref="L1139">CONCATENATE(_xlfn.XLOOKUP(C1139,Clientes[ID_Cliente],Clientes[Provincia]),", Argentina")</f>
        <v>Córdoba, Argentina</v>
      </c>
      <c r="M1139" s="20" t="str">
        <f t="array" ref="M1139">_xlfn.XLOOKUP(F1139,Metodos_De_Pago[ID_Metodo],Metodos_De_Pago[Metodo])</f>
        <v>Mercado Pago</v>
      </c>
      <c r="N1139" s="20" t="str">
        <f t="shared" si="2"/>
        <v>2024 04</v>
      </c>
    </row>
    <row r="1140" ht="22.5" customHeight="1">
      <c r="A1140" s="12">
        <f>IFERROR(__xludf.DUMMYFUNCTION("""COMPUTED_VALUE"""),1961.0)</f>
        <v>1961</v>
      </c>
      <c r="B1140" s="13">
        <f>IFERROR(__xludf.DUMMYFUNCTION("""COMPUTED_VALUE"""),45413.0)</f>
        <v>45413</v>
      </c>
      <c r="C1140" s="12">
        <f>IFERROR(__xludf.DUMMYFUNCTION("""COMPUTED_VALUE"""),177.0)</f>
        <v>177</v>
      </c>
      <c r="D1140" s="12">
        <f>IFERROR(__xludf.DUMMYFUNCTION("""COMPUTED_VALUE"""),35.0)</f>
        <v>35</v>
      </c>
      <c r="E1140" s="12">
        <f>IFERROR(__xludf.DUMMYFUNCTION("""COMPUTED_VALUE"""),3.0)</f>
        <v>3</v>
      </c>
      <c r="F1140" s="12">
        <f>IFERROR(__xludf.DUMMYFUNCTION("""COMPUTED_VALUE"""),5.0)</f>
        <v>5</v>
      </c>
      <c r="G1140" s="15" t="str">
        <f>IFERROR(__xludf.DUMMYFUNCTION("""COMPUTED_VALUE"""),"Completa")</f>
        <v>Completa</v>
      </c>
      <c r="H1140" s="16" t="str">
        <f t="array" ref="H1140">_xlfn.XLOOKUP(D1140,Productos[ID_Producto],Productos[Nombre_Producto])</f>
        <v>Arroz</v>
      </c>
      <c r="I1140" s="17">
        <f t="array" ref="I1140">_xlfn.XLOOKUP(D1140,Productos[ID_Producto],Productos[Precio_Unitario])</f>
        <v>4.25</v>
      </c>
      <c r="J1140" s="17">
        <f t="shared" si="1"/>
        <v>12.75</v>
      </c>
      <c r="K1140" s="16" t="str">
        <f t="array" ref="K1140">_xlfn.XLOOKUP(C1140,Clientes[ID_Cliente],Clientes[Provincia])</f>
        <v>Chaco</v>
      </c>
      <c r="L1140" s="16" t="str">
        <f t="array" ref="L1140">CONCATENATE(_xlfn.XLOOKUP(C1140,Clientes[ID_Cliente],Clientes[Provincia]),", Argentina")</f>
        <v>Chaco, Argentina</v>
      </c>
      <c r="M1140" s="20" t="str">
        <f t="array" ref="M1140">_xlfn.XLOOKUP(F1140,Metodos_De_Pago[ID_Metodo],Metodos_De_Pago[Metodo])</f>
        <v>Transferencia</v>
      </c>
      <c r="N1140" s="20" t="str">
        <f t="shared" si="2"/>
        <v>2024 05</v>
      </c>
    </row>
    <row r="1141" ht="22.5" customHeight="1">
      <c r="A1141" s="12">
        <f>IFERROR(__xludf.DUMMYFUNCTION("""COMPUTED_VALUE"""),1609.0)</f>
        <v>1609</v>
      </c>
      <c r="B1141" s="13">
        <f>IFERROR(__xludf.DUMMYFUNCTION("""COMPUTED_VALUE"""),45414.0)</f>
        <v>45414</v>
      </c>
      <c r="C1141" s="12">
        <f>IFERROR(__xludf.DUMMYFUNCTION("""COMPUTED_VALUE"""),286.0)</f>
        <v>286</v>
      </c>
      <c r="D1141" s="12">
        <f>IFERROR(__xludf.DUMMYFUNCTION("""COMPUTED_VALUE"""),15.0)</f>
        <v>15</v>
      </c>
      <c r="E1141" s="12">
        <f>IFERROR(__xludf.DUMMYFUNCTION("""COMPUTED_VALUE"""),3.0)</f>
        <v>3</v>
      </c>
      <c r="F1141" s="12">
        <f>IFERROR(__xludf.DUMMYFUNCTION("""COMPUTED_VALUE"""),2.0)</f>
        <v>2</v>
      </c>
      <c r="G1141" s="15" t="str">
        <f>IFERROR(__xludf.DUMMYFUNCTION("""COMPUTED_VALUE"""),"Completa")</f>
        <v>Completa</v>
      </c>
      <c r="H1141" s="16" t="str">
        <f t="array" ref="H1141">_xlfn.XLOOKUP(D1141,Productos[ID_Producto],Productos[Nombre_Producto])</f>
        <v>Medialunas</v>
      </c>
      <c r="I1141" s="17">
        <f t="array" ref="I1141">_xlfn.XLOOKUP(D1141,Productos[ID_Producto],Productos[Precio_Unitario])</f>
        <v>3.51</v>
      </c>
      <c r="J1141" s="17">
        <f t="shared" si="1"/>
        <v>10.53</v>
      </c>
      <c r="K1141" s="16" t="str">
        <f t="array" ref="K1141">_xlfn.XLOOKUP(C1141,Clientes[ID_Cliente],Clientes[Provincia])</f>
        <v>Córdoba</v>
      </c>
      <c r="L1141" s="16" t="str">
        <f t="array" ref="L1141">CONCATENATE(_xlfn.XLOOKUP(C1141,Clientes[ID_Cliente],Clientes[Provincia]),", Argentina")</f>
        <v>Córdoba, Argentina</v>
      </c>
      <c r="M1141" s="20" t="str">
        <f t="array" ref="M1141">_xlfn.XLOOKUP(F1141,Metodos_De_Pago[ID_Metodo],Metodos_De_Pago[Metodo])</f>
        <v>Tarjeta de Crédito</v>
      </c>
      <c r="N1141" s="20" t="str">
        <f t="shared" si="2"/>
        <v>2024 05</v>
      </c>
    </row>
    <row r="1142" ht="22.5" customHeight="1">
      <c r="A1142" s="12">
        <f>IFERROR(__xludf.DUMMYFUNCTION("""COMPUTED_VALUE"""),1774.0)</f>
        <v>1774</v>
      </c>
      <c r="B1142" s="13">
        <f>IFERROR(__xludf.DUMMYFUNCTION("""COMPUTED_VALUE"""),45415.0)</f>
        <v>45415</v>
      </c>
      <c r="C1142" s="12">
        <f>IFERROR(__xludf.DUMMYFUNCTION("""COMPUTED_VALUE"""),232.0)</f>
        <v>232</v>
      </c>
      <c r="D1142" s="12">
        <f>IFERROR(__xludf.DUMMYFUNCTION("""COMPUTED_VALUE"""),8.0)</f>
        <v>8</v>
      </c>
      <c r="E1142" s="12">
        <f>IFERROR(__xludf.DUMMYFUNCTION("""COMPUTED_VALUE"""),3.0)</f>
        <v>3</v>
      </c>
      <c r="F1142" s="12">
        <f>IFERROR(__xludf.DUMMYFUNCTION("""COMPUTED_VALUE"""),4.0)</f>
        <v>4</v>
      </c>
      <c r="G1142" s="15" t="str">
        <f>IFERROR(__xludf.DUMMYFUNCTION("""COMPUTED_VALUE"""),"Completa")</f>
        <v>Completa</v>
      </c>
      <c r="H1142" s="16" t="str">
        <f t="array" ref="H1142">_xlfn.XLOOKUP(D1142,Productos[ID_Producto],Productos[Nombre_Producto])</f>
        <v>Milanesa</v>
      </c>
      <c r="I1142" s="17">
        <f t="array" ref="I1142">_xlfn.XLOOKUP(D1142,Productos[ID_Producto],Productos[Precio_Unitario])</f>
        <v>16.21</v>
      </c>
      <c r="J1142" s="17">
        <f t="shared" si="1"/>
        <v>48.63</v>
      </c>
      <c r="K1142" s="16" t="str">
        <f t="array" ref="K1142">_xlfn.XLOOKUP(C1142,Clientes[ID_Cliente],Clientes[Provincia])</f>
        <v>Buenos Aires</v>
      </c>
      <c r="L1142" s="16" t="str">
        <f t="array" ref="L1142">CONCATENATE(_xlfn.XLOOKUP(C1142,Clientes[ID_Cliente],Clientes[Provincia]),", Argentina")</f>
        <v>Buenos Aires, Argentina</v>
      </c>
      <c r="M1142" s="20" t="str">
        <f t="array" ref="M1142">_xlfn.XLOOKUP(F1142,Metodos_De_Pago[ID_Metodo],Metodos_De_Pago[Metodo])</f>
        <v>Mercado Pago</v>
      </c>
      <c r="N1142" s="20" t="str">
        <f t="shared" si="2"/>
        <v>2024 05</v>
      </c>
    </row>
    <row r="1143" ht="22.5" customHeight="1">
      <c r="A1143" s="12">
        <f>IFERROR(__xludf.DUMMYFUNCTION("""COMPUTED_VALUE"""),2943.0)</f>
        <v>2943</v>
      </c>
      <c r="B1143" s="13">
        <f>IFERROR(__xludf.DUMMYFUNCTION("""COMPUTED_VALUE"""),45415.0)</f>
        <v>45415</v>
      </c>
      <c r="C1143" s="12">
        <f>IFERROR(__xludf.DUMMYFUNCTION("""COMPUTED_VALUE"""),181.0)</f>
        <v>181</v>
      </c>
      <c r="D1143" s="12">
        <f>IFERROR(__xludf.DUMMYFUNCTION("""COMPUTED_VALUE"""),17.0)</f>
        <v>17</v>
      </c>
      <c r="E1143" s="12">
        <f>IFERROR(__xludf.DUMMYFUNCTION("""COMPUTED_VALUE"""),3.0)</f>
        <v>3</v>
      </c>
      <c r="F1143" s="12">
        <f>IFERROR(__xludf.DUMMYFUNCTION("""COMPUTED_VALUE"""),1.0)</f>
        <v>1</v>
      </c>
      <c r="G1143" s="15" t="str">
        <f>IFERROR(__xludf.DUMMYFUNCTION("""COMPUTED_VALUE"""),"Completa")</f>
        <v>Completa</v>
      </c>
      <c r="H1143" s="16" t="str">
        <f t="array" ref="H1143">_xlfn.XLOOKUP(D1143,Productos[ID_Producto],Productos[Nombre_Producto])</f>
        <v>Manzanas</v>
      </c>
      <c r="I1143" s="17">
        <f t="array" ref="I1143">_xlfn.XLOOKUP(D1143,Productos[ID_Producto],Productos[Precio_Unitario])</f>
        <v>6.54</v>
      </c>
      <c r="J1143" s="17">
        <f t="shared" si="1"/>
        <v>19.62</v>
      </c>
      <c r="K1143" s="16" t="str">
        <f t="array" ref="K1143">_xlfn.XLOOKUP(C1143,Clientes[ID_Cliente],Clientes[Provincia])</f>
        <v>Neuquén</v>
      </c>
      <c r="L1143" s="16" t="str">
        <f t="array" ref="L1143">CONCATENATE(_xlfn.XLOOKUP(C1143,Clientes[ID_Cliente],Clientes[Provincia]),", Argentina")</f>
        <v>Neuquén, Argentina</v>
      </c>
      <c r="M1143" s="20" t="str">
        <f t="array" ref="M1143">_xlfn.XLOOKUP(F1143,Metodos_De_Pago[ID_Metodo],Metodos_De_Pago[Metodo])</f>
        <v>Efectivo</v>
      </c>
      <c r="N1143" s="20" t="str">
        <f t="shared" si="2"/>
        <v>2024 05</v>
      </c>
    </row>
    <row r="1144" ht="22.5" customHeight="1">
      <c r="A1144" s="12">
        <f>IFERROR(__xludf.DUMMYFUNCTION("""COMPUTED_VALUE"""),103.0)</f>
        <v>103</v>
      </c>
      <c r="B1144" s="13">
        <f>IFERROR(__xludf.DUMMYFUNCTION("""COMPUTED_VALUE"""),45416.0)</f>
        <v>45416</v>
      </c>
      <c r="C1144" s="12">
        <f>IFERROR(__xludf.DUMMYFUNCTION("""COMPUTED_VALUE"""),98.0)</f>
        <v>98</v>
      </c>
      <c r="D1144" s="12">
        <f>IFERROR(__xludf.DUMMYFUNCTION("""COMPUTED_VALUE"""),17.0)</f>
        <v>17</v>
      </c>
      <c r="E1144" s="12">
        <f>IFERROR(__xludf.DUMMYFUNCTION("""COMPUTED_VALUE"""),3.0)</f>
        <v>3</v>
      </c>
      <c r="F1144" s="12">
        <f>IFERROR(__xludf.DUMMYFUNCTION("""COMPUTED_VALUE"""),5.0)</f>
        <v>5</v>
      </c>
      <c r="G1144" s="15" t="str">
        <f>IFERROR(__xludf.DUMMYFUNCTION("""COMPUTED_VALUE"""),"Completa")</f>
        <v>Completa</v>
      </c>
      <c r="H1144" s="16" t="str">
        <f t="array" ref="H1144">_xlfn.XLOOKUP(D1144,Productos[ID_Producto],Productos[Nombre_Producto])</f>
        <v>Manzanas</v>
      </c>
      <c r="I1144" s="17">
        <f t="array" ref="I1144">_xlfn.XLOOKUP(D1144,Productos[ID_Producto],Productos[Precio_Unitario])</f>
        <v>6.54</v>
      </c>
      <c r="J1144" s="17">
        <f t="shared" si="1"/>
        <v>19.62</v>
      </c>
      <c r="K1144" s="16" t="str">
        <f t="array" ref="K1144">_xlfn.XLOOKUP(C1144,Clientes[ID_Cliente],Clientes[Provincia])</f>
        <v>Córdoba</v>
      </c>
      <c r="L1144" s="16" t="str">
        <f t="array" ref="L1144">CONCATENATE(_xlfn.XLOOKUP(C1144,Clientes[ID_Cliente],Clientes[Provincia]),", Argentina")</f>
        <v>Córdoba, Argentina</v>
      </c>
      <c r="M1144" s="20" t="str">
        <f t="array" ref="M1144">_xlfn.XLOOKUP(F1144,Metodos_De_Pago[ID_Metodo],Metodos_De_Pago[Metodo])</f>
        <v>Transferencia</v>
      </c>
      <c r="N1144" s="20" t="str">
        <f t="shared" si="2"/>
        <v>2024 05</v>
      </c>
    </row>
    <row r="1145" ht="22.5" customHeight="1">
      <c r="A1145" s="12">
        <f>IFERROR(__xludf.DUMMYFUNCTION("""COMPUTED_VALUE"""),2840.0)</f>
        <v>2840</v>
      </c>
      <c r="B1145" s="13">
        <f>IFERROR(__xludf.DUMMYFUNCTION("""COMPUTED_VALUE"""),45417.0)</f>
        <v>45417</v>
      </c>
      <c r="C1145" s="12">
        <f>IFERROR(__xludf.DUMMYFUNCTION("""COMPUTED_VALUE"""),289.0)</f>
        <v>289</v>
      </c>
      <c r="D1145" s="12">
        <f>IFERROR(__xludf.DUMMYFUNCTION("""COMPUTED_VALUE"""),35.0)</f>
        <v>35</v>
      </c>
      <c r="E1145" s="12">
        <f>IFERROR(__xludf.DUMMYFUNCTION("""COMPUTED_VALUE"""),3.0)</f>
        <v>3</v>
      </c>
      <c r="F1145" s="12">
        <f>IFERROR(__xludf.DUMMYFUNCTION("""COMPUTED_VALUE"""),4.0)</f>
        <v>4</v>
      </c>
      <c r="G1145" s="15" t="str">
        <f>IFERROR(__xludf.DUMMYFUNCTION("""COMPUTED_VALUE"""),"Completa")</f>
        <v>Completa</v>
      </c>
      <c r="H1145" s="16" t="str">
        <f t="array" ref="H1145">_xlfn.XLOOKUP(D1145,Productos[ID_Producto],Productos[Nombre_Producto])</f>
        <v>Arroz</v>
      </c>
      <c r="I1145" s="17">
        <f t="array" ref="I1145">_xlfn.XLOOKUP(D1145,Productos[ID_Producto],Productos[Precio_Unitario])</f>
        <v>4.25</v>
      </c>
      <c r="J1145" s="17">
        <f t="shared" si="1"/>
        <v>12.75</v>
      </c>
      <c r="K1145" s="16" t="str">
        <f t="array" ref="K1145">_xlfn.XLOOKUP(C1145,Clientes[ID_Cliente],Clientes[Provincia])</f>
        <v>San Luis</v>
      </c>
      <c r="L1145" s="16" t="str">
        <f t="array" ref="L1145">CONCATENATE(_xlfn.XLOOKUP(C1145,Clientes[ID_Cliente],Clientes[Provincia]),", Argentina")</f>
        <v>San Luis, Argentina</v>
      </c>
      <c r="M1145" s="20" t="str">
        <f t="array" ref="M1145">_xlfn.XLOOKUP(F1145,Metodos_De_Pago[ID_Metodo],Metodos_De_Pago[Metodo])</f>
        <v>Mercado Pago</v>
      </c>
      <c r="N1145" s="20" t="str">
        <f t="shared" si="2"/>
        <v>2024 05</v>
      </c>
    </row>
    <row r="1146" ht="22.5" customHeight="1">
      <c r="A1146" s="12">
        <f>IFERROR(__xludf.DUMMYFUNCTION("""COMPUTED_VALUE"""),614.0)</f>
        <v>614</v>
      </c>
      <c r="B1146" s="13">
        <f>IFERROR(__xludf.DUMMYFUNCTION("""COMPUTED_VALUE"""),45418.0)</f>
        <v>45418</v>
      </c>
      <c r="C1146" s="12">
        <f>IFERROR(__xludf.DUMMYFUNCTION("""COMPUTED_VALUE"""),245.0)</f>
        <v>245</v>
      </c>
      <c r="D1146" s="12">
        <f>IFERROR(__xludf.DUMMYFUNCTION("""COMPUTED_VALUE"""),34.0)</f>
        <v>34</v>
      </c>
      <c r="E1146" s="12">
        <f>IFERROR(__xludf.DUMMYFUNCTION("""COMPUTED_VALUE"""),3.0)</f>
        <v>3</v>
      </c>
      <c r="F1146" s="12">
        <f>IFERROR(__xludf.DUMMYFUNCTION("""COMPUTED_VALUE"""),5.0)</f>
        <v>5</v>
      </c>
      <c r="G1146" s="15" t="str">
        <f>IFERROR(__xludf.DUMMYFUNCTION("""COMPUTED_VALUE"""),"Completa")</f>
        <v>Completa</v>
      </c>
      <c r="H1146" s="16" t="str">
        <f t="array" ref="H1146">_xlfn.XLOOKUP(D1146,Productos[ID_Producto],Productos[Nombre_Producto])</f>
        <v>Maníes</v>
      </c>
      <c r="I1146" s="17">
        <f t="array" ref="I1146">_xlfn.XLOOKUP(D1146,Productos[ID_Producto],Productos[Precio_Unitario])</f>
        <v>5.45</v>
      </c>
      <c r="J1146" s="17">
        <f t="shared" si="1"/>
        <v>16.35</v>
      </c>
      <c r="K1146" s="16" t="str">
        <f t="array" ref="K1146">_xlfn.XLOOKUP(C1146,Clientes[ID_Cliente],Clientes[Provincia])</f>
        <v>Chaco</v>
      </c>
      <c r="L1146" s="16" t="str">
        <f t="array" ref="L1146">CONCATENATE(_xlfn.XLOOKUP(C1146,Clientes[ID_Cliente],Clientes[Provincia]),", Argentina")</f>
        <v>Chaco, Argentina</v>
      </c>
      <c r="M1146" s="20" t="str">
        <f t="array" ref="M1146">_xlfn.XLOOKUP(F1146,Metodos_De_Pago[ID_Metodo],Metodos_De_Pago[Metodo])</f>
        <v>Transferencia</v>
      </c>
      <c r="N1146" s="20" t="str">
        <f t="shared" si="2"/>
        <v>2024 05</v>
      </c>
    </row>
    <row r="1147" ht="22.5" customHeight="1">
      <c r="A1147" s="12">
        <f>IFERROR(__xludf.DUMMYFUNCTION("""COMPUTED_VALUE"""),140.0)</f>
        <v>140</v>
      </c>
      <c r="B1147" s="13">
        <f>IFERROR(__xludf.DUMMYFUNCTION("""COMPUTED_VALUE"""),45419.0)</f>
        <v>45419</v>
      </c>
      <c r="C1147" s="12">
        <f>IFERROR(__xludf.DUMMYFUNCTION("""COMPUTED_VALUE"""),220.0)</f>
        <v>220</v>
      </c>
      <c r="D1147" s="12">
        <f>IFERROR(__xludf.DUMMYFUNCTION("""COMPUTED_VALUE"""),29.0)</f>
        <v>29</v>
      </c>
      <c r="E1147" s="12">
        <f>IFERROR(__xludf.DUMMYFUNCTION("""COMPUTED_VALUE"""),3.0)</f>
        <v>3</v>
      </c>
      <c r="F1147" s="12">
        <f>IFERROR(__xludf.DUMMYFUNCTION("""COMPUTED_VALUE"""),5.0)</f>
        <v>5</v>
      </c>
      <c r="G1147" s="15" t="str">
        <f>IFERROR(__xludf.DUMMYFUNCTION("""COMPUTED_VALUE"""),"Completa")</f>
        <v>Completa</v>
      </c>
      <c r="H1147" s="16" t="str">
        <f t="array" ref="H1147">_xlfn.XLOOKUP(D1147,Productos[ID_Producto],Productos[Nombre_Producto])</f>
        <v>Cerveza</v>
      </c>
      <c r="I1147" s="17">
        <f t="array" ref="I1147">_xlfn.XLOOKUP(D1147,Productos[ID_Producto],Productos[Precio_Unitario])</f>
        <v>11.54</v>
      </c>
      <c r="J1147" s="17">
        <f t="shared" si="1"/>
        <v>34.62</v>
      </c>
      <c r="K1147" s="16" t="str">
        <f t="array" ref="K1147">_xlfn.XLOOKUP(C1147,Clientes[ID_Cliente],Clientes[Provincia])</f>
        <v>Córdoba</v>
      </c>
      <c r="L1147" s="16" t="str">
        <f t="array" ref="L1147">CONCATENATE(_xlfn.XLOOKUP(C1147,Clientes[ID_Cliente],Clientes[Provincia]),", Argentina")</f>
        <v>Córdoba, Argentina</v>
      </c>
      <c r="M1147" s="20" t="str">
        <f t="array" ref="M1147">_xlfn.XLOOKUP(F1147,Metodos_De_Pago[ID_Metodo],Metodos_De_Pago[Metodo])</f>
        <v>Transferencia</v>
      </c>
      <c r="N1147" s="20" t="str">
        <f t="shared" si="2"/>
        <v>2024 05</v>
      </c>
    </row>
    <row r="1148" ht="22.5" customHeight="1">
      <c r="A1148" s="12">
        <f>IFERROR(__xludf.DUMMYFUNCTION("""COMPUTED_VALUE"""),1734.0)</f>
        <v>1734</v>
      </c>
      <c r="B1148" s="13">
        <f>IFERROR(__xludf.DUMMYFUNCTION("""COMPUTED_VALUE"""),45419.0)</f>
        <v>45419</v>
      </c>
      <c r="C1148" s="12">
        <f>IFERROR(__xludf.DUMMYFUNCTION("""COMPUTED_VALUE"""),311.0)</f>
        <v>311</v>
      </c>
      <c r="D1148" s="12">
        <f>IFERROR(__xludf.DUMMYFUNCTION("""COMPUTED_VALUE"""),8.0)</f>
        <v>8</v>
      </c>
      <c r="E1148" s="12">
        <f>IFERROR(__xludf.DUMMYFUNCTION("""COMPUTED_VALUE"""),3.0)</f>
        <v>3</v>
      </c>
      <c r="F1148" s="12">
        <f>IFERROR(__xludf.DUMMYFUNCTION("""COMPUTED_VALUE"""),5.0)</f>
        <v>5</v>
      </c>
      <c r="G1148" s="15" t="str">
        <f>IFERROR(__xludf.DUMMYFUNCTION("""COMPUTED_VALUE"""),"Completa")</f>
        <v>Completa</v>
      </c>
      <c r="H1148" s="16" t="str">
        <f t="array" ref="H1148">_xlfn.XLOOKUP(D1148,Productos[ID_Producto],Productos[Nombre_Producto])</f>
        <v>Milanesa</v>
      </c>
      <c r="I1148" s="17">
        <f t="array" ref="I1148">_xlfn.XLOOKUP(D1148,Productos[ID_Producto],Productos[Precio_Unitario])</f>
        <v>16.21</v>
      </c>
      <c r="J1148" s="17">
        <f t="shared" si="1"/>
        <v>48.63</v>
      </c>
      <c r="K1148" s="16" t="str">
        <f t="array" ref="K1148">_xlfn.XLOOKUP(C1148,Clientes[ID_Cliente],Clientes[Provincia])</f>
        <v>Buenos Aires</v>
      </c>
      <c r="L1148" s="16" t="str">
        <f t="array" ref="L1148">CONCATENATE(_xlfn.XLOOKUP(C1148,Clientes[ID_Cliente],Clientes[Provincia]),", Argentina")</f>
        <v>Buenos Aires, Argentina</v>
      </c>
      <c r="M1148" s="20" t="str">
        <f t="array" ref="M1148">_xlfn.XLOOKUP(F1148,Metodos_De_Pago[ID_Metodo],Metodos_De_Pago[Metodo])</f>
        <v>Transferencia</v>
      </c>
      <c r="N1148" s="20" t="str">
        <f t="shared" si="2"/>
        <v>2024 05</v>
      </c>
    </row>
    <row r="1149" ht="22.5" customHeight="1">
      <c r="A1149" s="12">
        <f>IFERROR(__xludf.DUMMYFUNCTION("""COMPUTED_VALUE"""),90.0)</f>
        <v>90</v>
      </c>
      <c r="B1149" s="13">
        <f>IFERROR(__xludf.DUMMYFUNCTION("""COMPUTED_VALUE"""),45422.0)</f>
        <v>45422</v>
      </c>
      <c r="C1149" s="12">
        <f>IFERROR(__xludf.DUMMYFUNCTION("""COMPUTED_VALUE"""),161.0)</f>
        <v>161</v>
      </c>
      <c r="D1149" s="12">
        <f>IFERROR(__xludf.DUMMYFUNCTION("""COMPUTED_VALUE"""),16.0)</f>
        <v>16</v>
      </c>
      <c r="E1149" s="12">
        <f>IFERROR(__xludf.DUMMYFUNCTION("""COMPUTED_VALUE"""),3.0)</f>
        <v>3</v>
      </c>
      <c r="F1149" s="12">
        <f>IFERROR(__xludf.DUMMYFUNCTION("""COMPUTED_VALUE"""),5.0)</f>
        <v>5</v>
      </c>
      <c r="G1149" s="15" t="str">
        <f>IFERROR(__xludf.DUMMYFUNCTION("""COMPUTED_VALUE"""),"Completa")</f>
        <v>Completa</v>
      </c>
      <c r="H1149" s="16" t="str">
        <f t="array" ref="H1149">_xlfn.XLOOKUP(D1149,Productos[ID_Producto],Productos[Nombre_Producto])</f>
        <v>Tortas</v>
      </c>
      <c r="I1149" s="17">
        <f t="array" ref="I1149">_xlfn.XLOOKUP(D1149,Productos[ID_Producto],Productos[Precio_Unitario])</f>
        <v>15.23</v>
      </c>
      <c r="J1149" s="17">
        <f t="shared" si="1"/>
        <v>45.69</v>
      </c>
      <c r="K1149" s="16" t="str">
        <f t="array" ref="K1149">_xlfn.XLOOKUP(C1149,Clientes[ID_Cliente],Clientes[Provincia])</f>
        <v>Neuquén</v>
      </c>
      <c r="L1149" s="16" t="str">
        <f t="array" ref="L1149">CONCATENATE(_xlfn.XLOOKUP(C1149,Clientes[ID_Cliente],Clientes[Provincia]),", Argentina")</f>
        <v>Neuquén, Argentina</v>
      </c>
      <c r="M1149" s="20" t="str">
        <f t="array" ref="M1149">_xlfn.XLOOKUP(F1149,Metodos_De_Pago[ID_Metodo],Metodos_De_Pago[Metodo])</f>
        <v>Transferencia</v>
      </c>
      <c r="N1149" s="20" t="str">
        <f t="shared" si="2"/>
        <v>2024 05</v>
      </c>
    </row>
    <row r="1150" ht="22.5" customHeight="1">
      <c r="A1150" s="12">
        <f>IFERROR(__xludf.DUMMYFUNCTION("""COMPUTED_VALUE"""),1824.0)</f>
        <v>1824</v>
      </c>
      <c r="B1150" s="13">
        <f>IFERROR(__xludf.DUMMYFUNCTION("""COMPUTED_VALUE"""),45422.0)</f>
        <v>45422</v>
      </c>
      <c r="C1150" s="12">
        <f>IFERROR(__xludf.DUMMYFUNCTION("""COMPUTED_VALUE"""),73.0)</f>
        <v>73</v>
      </c>
      <c r="D1150" s="12">
        <f>IFERROR(__xludf.DUMMYFUNCTION("""COMPUTED_VALUE"""),26.0)</f>
        <v>26</v>
      </c>
      <c r="E1150" s="12">
        <f>IFERROR(__xludf.DUMMYFUNCTION("""COMPUTED_VALUE"""),3.0)</f>
        <v>3</v>
      </c>
      <c r="F1150" s="12">
        <f>IFERROR(__xludf.DUMMYFUNCTION("""COMPUTED_VALUE"""),1.0)</f>
        <v>1</v>
      </c>
      <c r="G1150" s="15" t="str">
        <f>IFERROR(__xludf.DUMMYFUNCTION("""COMPUTED_VALUE"""),"Completa")</f>
        <v>Completa</v>
      </c>
      <c r="H1150" s="16" t="str">
        <f t="array" ref="H1150">_xlfn.XLOOKUP(D1150,Productos[ID_Producto],Productos[Nombre_Producto])</f>
        <v>Hamburgesas congeladas</v>
      </c>
      <c r="I1150" s="17">
        <f t="array" ref="I1150">_xlfn.XLOOKUP(D1150,Productos[ID_Producto],Productos[Precio_Unitario])</f>
        <v>9.54</v>
      </c>
      <c r="J1150" s="17">
        <f t="shared" si="1"/>
        <v>28.62</v>
      </c>
      <c r="K1150" s="16" t="str">
        <f t="array" ref="K1150">_xlfn.XLOOKUP(C1150,Clientes[ID_Cliente],Clientes[Provincia])</f>
        <v>Córdoba</v>
      </c>
      <c r="L1150" s="16" t="str">
        <f t="array" ref="L1150">CONCATENATE(_xlfn.XLOOKUP(C1150,Clientes[ID_Cliente],Clientes[Provincia]),", Argentina")</f>
        <v>Córdoba, Argentina</v>
      </c>
      <c r="M1150" s="20" t="str">
        <f t="array" ref="M1150">_xlfn.XLOOKUP(F1150,Metodos_De_Pago[ID_Metodo],Metodos_De_Pago[Metodo])</f>
        <v>Efectivo</v>
      </c>
      <c r="N1150" s="20" t="str">
        <f t="shared" si="2"/>
        <v>2024 05</v>
      </c>
    </row>
    <row r="1151" ht="22.5" customHeight="1">
      <c r="A1151" s="12">
        <f>IFERROR(__xludf.DUMMYFUNCTION("""COMPUTED_VALUE"""),2005.0)</f>
        <v>2005</v>
      </c>
      <c r="B1151" s="13">
        <f>IFERROR(__xludf.DUMMYFUNCTION("""COMPUTED_VALUE"""),45422.0)</f>
        <v>45422</v>
      </c>
      <c r="C1151" s="12">
        <f>IFERROR(__xludf.DUMMYFUNCTION("""COMPUTED_VALUE"""),45.0)</f>
        <v>45</v>
      </c>
      <c r="D1151" s="12">
        <f>IFERROR(__xludf.DUMMYFUNCTION("""COMPUTED_VALUE"""),28.0)</f>
        <v>28</v>
      </c>
      <c r="E1151" s="12">
        <f>IFERROR(__xludf.DUMMYFUNCTION("""COMPUTED_VALUE"""),3.0)</f>
        <v>3</v>
      </c>
      <c r="F1151" s="12">
        <f>IFERROR(__xludf.DUMMYFUNCTION("""COMPUTED_VALUE"""),4.0)</f>
        <v>4</v>
      </c>
      <c r="G1151" s="15" t="str">
        <f>IFERROR(__xludf.DUMMYFUNCTION("""COMPUTED_VALUE"""),"Pendiente")</f>
        <v>Pendiente</v>
      </c>
      <c r="H1151" s="16" t="str">
        <f t="array" ref="H1151">_xlfn.XLOOKUP(D1151,Productos[ID_Producto],Productos[Nombre_Producto])</f>
        <v>Jugos de frutas</v>
      </c>
      <c r="I1151" s="17">
        <f t="array" ref="I1151">_xlfn.XLOOKUP(D1151,Productos[ID_Producto],Productos[Precio_Unitario])</f>
        <v>9.45</v>
      </c>
      <c r="J1151" s="17">
        <f t="shared" si="1"/>
        <v>28.35</v>
      </c>
      <c r="K1151" s="16" t="str">
        <f t="array" ref="K1151">_xlfn.XLOOKUP(C1151,Clientes[ID_Cliente],Clientes[Provincia])</f>
        <v>Buenos Aires</v>
      </c>
      <c r="L1151" s="16" t="str">
        <f t="array" ref="L1151">CONCATENATE(_xlfn.XLOOKUP(C1151,Clientes[ID_Cliente],Clientes[Provincia]),", Argentina")</f>
        <v>Buenos Aires, Argentina</v>
      </c>
      <c r="M1151" s="20" t="str">
        <f t="array" ref="M1151">_xlfn.XLOOKUP(F1151,Metodos_De_Pago[ID_Metodo],Metodos_De_Pago[Metodo])</f>
        <v>Mercado Pago</v>
      </c>
      <c r="N1151" s="20" t="str">
        <f t="shared" si="2"/>
        <v>2024 05</v>
      </c>
    </row>
    <row r="1152" ht="22.5" customHeight="1">
      <c r="A1152" s="12">
        <f>IFERROR(__xludf.DUMMYFUNCTION("""COMPUTED_VALUE"""),1050.0)</f>
        <v>1050</v>
      </c>
      <c r="B1152" s="13">
        <f>IFERROR(__xludf.DUMMYFUNCTION("""COMPUTED_VALUE"""),45423.0)</f>
        <v>45423</v>
      </c>
      <c r="C1152" s="12">
        <f>IFERROR(__xludf.DUMMYFUNCTION("""COMPUTED_VALUE"""),115.0)</f>
        <v>115</v>
      </c>
      <c r="D1152" s="12">
        <f>IFERROR(__xludf.DUMMYFUNCTION("""COMPUTED_VALUE"""),27.0)</f>
        <v>27</v>
      </c>
      <c r="E1152" s="12">
        <f>IFERROR(__xludf.DUMMYFUNCTION("""COMPUTED_VALUE"""),3.0)</f>
        <v>3</v>
      </c>
      <c r="F1152" s="12">
        <f>IFERROR(__xludf.DUMMYFUNCTION("""COMPUTED_VALUE"""),4.0)</f>
        <v>4</v>
      </c>
      <c r="G1152" s="15" t="str">
        <f>IFERROR(__xludf.DUMMYFUNCTION("""COMPUTED_VALUE"""),"Completa")</f>
        <v>Completa</v>
      </c>
      <c r="H1152" s="16" t="str">
        <f t="array" ref="H1152">_xlfn.XLOOKUP(D1152,Productos[ID_Producto],Productos[Nombre_Producto])</f>
        <v>Agua mineral</v>
      </c>
      <c r="I1152" s="17">
        <f t="array" ref="I1152">_xlfn.XLOOKUP(D1152,Productos[ID_Producto],Productos[Precio_Unitario])</f>
        <v>6.21</v>
      </c>
      <c r="J1152" s="17">
        <f t="shared" si="1"/>
        <v>18.63</v>
      </c>
      <c r="K1152" s="16" t="str">
        <f t="array" ref="K1152">_xlfn.XLOOKUP(C1152,Clientes[ID_Cliente],Clientes[Provincia])</f>
        <v>San Luis</v>
      </c>
      <c r="L1152" s="16" t="str">
        <f t="array" ref="L1152">CONCATENATE(_xlfn.XLOOKUP(C1152,Clientes[ID_Cliente],Clientes[Provincia]),", Argentina")</f>
        <v>San Luis, Argentina</v>
      </c>
      <c r="M1152" s="20" t="str">
        <f t="array" ref="M1152">_xlfn.XLOOKUP(F1152,Metodos_De_Pago[ID_Metodo],Metodos_De_Pago[Metodo])</f>
        <v>Mercado Pago</v>
      </c>
      <c r="N1152" s="20" t="str">
        <f t="shared" si="2"/>
        <v>2024 05</v>
      </c>
    </row>
    <row r="1153" ht="22.5" customHeight="1">
      <c r="A1153" s="12">
        <f>IFERROR(__xludf.DUMMYFUNCTION("""COMPUTED_VALUE"""),2567.0)</f>
        <v>2567</v>
      </c>
      <c r="B1153" s="13">
        <f>IFERROR(__xludf.DUMMYFUNCTION("""COMPUTED_VALUE"""),45423.0)</f>
        <v>45423</v>
      </c>
      <c r="C1153" s="12">
        <f>IFERROR(__xludf.DUMMYFUNCTION("""COMPUTED_VALUE"""),56.0)</f>
        <v>56</v>
      </c>
      <c r="D1153" s="12">
        <f>IFERROR(__xludf.DUMMYFUNCTION("""COMPUTED_VALUE"""),27.0)</f>
        <v>27</v>
      </c>
      <c r="E1153" s="12">
        <f>IFERROR(__xludf.DUMMYFUNCTION("""COMPUTED_VALUE"""),3.0)</f>
        <v>3</v>
      </c>
      <c r="F1153" s="12">
        <f>IFERROR(__xludf.DUMMYFUNCTION("""COMPUTED_VALUE"""),5.0)</f>
        <v>5</v>
      </c>
      <c r="G1153" s="15" t="str">
        <f>IFERROR(__xludf.DUMMYFUNCTION("""COMPUTED_VALUE"""),"Completa")</f>
        <v>Completa</v>
      </c>
      <c r="H1153" s="16" t="str">
        <f t="array" ref="H1153">_xlfn.XLOOKUP(D1153,Productos[ID_Producto],Productos[Nombre_Producto])</f>
        <v>Agua mineral</v>
      </c>
      <c r="I1153" s="17">
        <f t="array" ref="I1153">_xlfn.XLOOKUP(D1153,Productos[ID_Producto],Productos[Precio_Unitario])</f>
        <v>6.21</v>
      </c>
      <c r="J1153" s="17">
        <f t="shared" si="1"/>
        <v>18.63</v>
      </c>
      <c r="K1153" s="16" t="str">
        <f t="array" ref="K1153">_xlfn.XLOOKUP(C1153,Clientes[ID_Cliente],Clientes[Provincia])</f>
        <v>Córdoba</v>
      </c>
      <c r="L1153" s="16" t="str">
        <f t="array" ref="L1153">CONCATENATE(_xlfn.XLOOKUP(C1153,Clientes[ID_Cliente],Clientes[Provincia]),", Argentina")</f>
        <v>Córdoba, Argentina</v>
      </c>
      <c r="M1153" s="20" t="str">
        <f t="array" ref="M1153">_xlfn.XLOOKUP(F1153,Metodos_De_Pago[ID_Metodo],Metodos_De_Pago[Metodo])</f>
        <v>Transferencia</v>
      </c>
      <c r="N1153" s="20" t="str">
        <f t="shared" si="2"/>
        <v>2024 05</v>
      </c>
    </row>
    <row r="1154" ht="22.5" customHeight="1">
      <c r="A1154" s="12">
        <f>IFERROR(__xludf.DUMMYFUNCTION("""COMPUTED_VALUE"""),2892.0)</f>
        <v>2892</v>
      </c>
      <c r="B1154" s="13">
        <f>IFERROR(__xludf.DUMMYFUNCTION("""COMPUTED_VALUE"""),45423.0)</f>
        <v>45423</v>
      </c>
      <c r="C1154" s="12">
        <f>IFERROR(__xludf.DUMMYFUNCTION("""COMPUTED_VALUE"""),185.0)</f>
        <v>185</v>
      </c>
      <c r="D1154" s="12">
        <f>IFERROR(__xludf.DUMMYFUNCTION("""COMPUTED_VALUE"""),27.0)</f>
        <v>27</v>
      </c>
      <c r="E1154" s="12">
        <f>IFERROR(__xludf.DUMMYFUNCTION("""COMPUTED_VALUE"""),3.0)</f>
        <v>3</v>
      </c>
      <c r="F1154" s="12">
        <f>IFERROR(__xludf.DUMMYFUNCTION("""COMPUTED_VALUE"""),5.0)</f>
        <v>5</v>
      </c>
      <c r="G1154" s="15" t="str">
        <f>IFERROR(__xludf.DUMMYFUNCTION("""COMPUTED_VALUE"""),"Completa")</f>
        <v>Completa</v>
      </c>
      <c r="H1154" s="16" t="str">
        <f t="array" ref="H1154">_xlfn.XLOOKUP(D1154,Productos[ID_Producto],Productos[Nombre_Producto])</f>
        <v>Agua mineral</v>
      </c>
      <c r="I1154" s="17">
        <f t="array" ref="I1154">_xlfn.XLOOKUP(D1154,Productos[ID_Producto],Productos[Precio_Unitario])</f>
        <v>6.21</v>
      </c>
      <c r="J1154" s="17">
        <f t="shared" si="1"/>
        <v>18.63</v>
      </c>
      <c r="K1154" s="16" t="str">
        <f t="array" ref="K1154">_xlfn.XLOOKUP(C1154,Clientes[ID_Cliente],Clientes[Provincia])</f>
        <v>Córdoba</v>
      </c>
      <c r="L1154" s="16" t="str">
        <f t="array" ref="L1154">CONCATENATE(_xlfn.XLOOKUP(C1154,Clientes[ID_Cliente],Clientes[Provincia]),", Argentina")</f>
        <v>Córdoba, Argentina</v>
      </c>
      <c r="M1154" s="20" t="str">
        <f t="array" ref="M1154">_xlfn.XLOOKUP(F1154,Metodos_De_Pago[ID_Metodo],Metodos_De_Pago[Metodo])</f>
        <v>Transferencia</v>
      </c>
      <c r="N1154" s="20" t="str">
        <f t="shared" si="2"/>
        <v>2024 05</v>
      </c>
    </row>
    <row r="1155" ht="22.5" customHeight="1">
      <c r="A1155" s="12">
        <f>IFERROR(__xludf.DUMMYFUNCTION("""COMPUTED_VALUE"""),49.0)</f>
        <v>49</v>
      </c>
      <c r="B1155" s="13">
        <f>IFERROR(__xludf.DUMMYFUNCTION("""COMPUTED_VALUE"""),45424.0)</f>
        <v>45424</v>
      </c>
      <c r="C1155" s="12">
        <f>IFERROR(__xludf.DUMMYFUNCTION("""COMPUTED_VALUE"""),237.0)</f>
        <v>237</v>
      </c>
      <c r="D1155" s="12">
        <f>IFERROR(__xludf.DUMMYFUNCTION("""COMPUTED_VALUE"""),26.0)</f>
        <v>26</v>
      </c>
      <c r="E1155" s="12">
        <f>IFERROR(__xludf.DUMMYFUNCTION("""COMPUTED_VALUE"""),3.0)</f>
        <v>3</v>
      </c>
      <c r="F1155" s="12">
        <f>IFERROR(__xludf.DUMMYFUNCTION("""COMPUTED_VALUE"""),5.0)</f>
        <v>5</v>
      </c>
      <c r="G1155" s="15" t="str">
        <f>IFERROR(__xludf.DUMMYFUNCTION("""COMPUTED_VALUE"""),"Pendiente")</f>
        <v>Pendiente</v>
      </c>
      <c r="H1155" s="16" t="str">
        <f t="array" ref="H1155">_xlfn.XLOOKUP(D1155,Productos[ID_Producto],Productos[Nombre_Producto])</f>
        <v>Hamburgesas congeladas</v>
      </c>
      <c r="I1155" s="17">
        <f t="array" ref="I1155">_xlfn.XLOOKUP(D1155,Productos[ID_Producto],Productos[Precio_Unitario])</f>
        <v>9.54</v>
      </c>
      <c r="J1155" s="17">
        <f t="shared" si="1"/>
        <v>28.62</v>
      </c>
      <c r="K1155" s="16" t="str">
        <f t="array" ref="K1155">_xlfn.XLOOKUP(C1155,Clientes[ID_Cliente],Clientes[Provincia])</f>
        <v>Buenos Aires</v>
      </c>
      <c r="L1155" s="16" t="str">
        <f t="array" ref="L1155">CONCATENATE(_xlfn.XLOOKUP(C1155,Clientes[ID_Cliente],Clientes[Provincia]),", Argentina")</f>
        <v>Buenos Aires, Argentina</v>
      </c>
      <c r="M1155" s="20" t="str">
        <f t="array" ref="M1155">_xlfn.XLOOKUP(F1155,Metodos_De_Pago[ID_Metodo],Metodos_De_Pago[Metodo])</f>
        <v>Transferencia</v>
      </c>
      <c r="N1155" s="20" t="str">
        <f t="shared" si="2"/>
        <v>2024 05</v>
      </c>
    </row>
    <row r="1156" ht="22.5" customHeight="1">
      <c r="A1156" s="12">
        <f>IFERROR(__xludf.DUMMYFUNCTION("""COMPUTED_VALUE"""),350.0)</f>
        <v>350</v>
      </c>
      <c r="B1156" s="13">
        <f>IFERROR(__xludf.DUMMYFUNCTION("""COMPUTED_VALUE"""),45424.0)</f>
        <v>45424</v>
      </c>
      <c r="C1156" s="12">
        <f>IFERROR(__xludf.DUMMYFUNCTION("""COMPUTED_VALUE"""),98.0)</f>
        <v>98</v>
      </c>
      <c r="D1156" s="12">
        <f>IFERROR(__xludf.DUMMYFUNCTION("""COMPUTED_VALUE"""),34.0)</f>
        <v>34</v>
      </c>
      <c r="E1156" s="12">
        <f>IFERROR(__xludf.DUMMYFUNCTION("""COMPUTED_VALUE"""),3.0)</f>
        <v>3</v>
      </c>
      <c r="F1156" s="12">
        <f>IFERROR(__xludf.DUMMYFUNCTION("""COMPUTED_VALUE"""),1.0)</f>
        <v>1</v>
      </c>
      <c r="G1156" s="15" t="str">
        <f>IFERROR(__xludf.DUMMYFUNCTION("""COMPUTED_VALUE"""),"Completa")</f>
        <v>Completa</v>
      </c>
      <c r="H1156" s="16" t="str">
        <f t="array" ref="H1156">_xlfn.XLOOKUP(D1156,Productos[ID_Producto],Productos[Nombre_Producto])</f>
        <v>Maníes</v>
      </c>
      <c r="I1156" s="17">
        <f t="array" ref="I1156">_xlfn.XLOOKUP(D1156,Productos[ID_Producto],Productos[Precio_Unitario])</f>
        <v>5.45</v>
      </c>
      <c r="J1156" s="17">
        <f t="shared" si="1"/>
        <v>16.35</v>
      </c>
      <c r="K1156" s="16" t="str">
        <f t="array" ref="K1156">_xlfn.XLOOKUP(C1156,Clientes[ID_Cliente],Clientes[Provincia])</f>
        <v>Córdoba</v>
      </c>
      <c r="L1156" s="16" t="str">
        <f t="array" ref="L1156">CONCATENATE(_xlfn.XLOOKUP(C1156,Clientes[ID_Cliente],Clientes[Provincia]),", Argentina")</f>
        <v>Córdoba, Argentina</v>
      </c>
      <c r="M1156" s="20" t="str">
        <f t="array" ref="M1156">_xlfn.XLOOKUP(F1156,Metodos_De_Pago[ID_Metodo],Metodos_De_Pago[Metodo])</f>
        <v>Efectivo</v>
      </c>
      <c r="N1156" s="20" t="str">
        <f t="shared" si="2"/>
        <v>2024 05</v>
      </c>
    </row>
    <row r="1157" ht="22.5" customHeight="1">
      <c r="A1157" s="12">
        <f>IFERROR(__xludf.DUMMYFUNCTION("""COMPUTED_VALUE"""),1151.0)</f>
        <v>1151</v>
      </c>
      <c r="B1157" s="13">
        <f>IFERROR(__xludf.DUMMYFUNCTION("""COMPUTED_VALUE"""),45424.0)</f>
        <v>45424</v>
      </c>
      <c r="C1157" s="12">
        <f>IFERROR(__xludf.DUMMYFUNCTION("""COMPUTED_VALUE"""),59.0)</f>
        <v>59</v>
      </c>
      <c r="D1157" s="12">
        <f>IFERROR(__xludf.DUMMYFUNCTION("""COMPUTED_VALUE"""),5.0)</f>
        <v>5</v>
      </c>
      <c r="E1157" s="12">
        <f>IFERROR(__xludf.DUMMYFUNCTION("""COMPUTED_VALUE"""),3.0)</f>
        <v>3</v>
      </c>
      <c r="F1157" s="12">
        <f>IFERROR(__xludf.DUMMYFUNCTION("""COMPUTED_VALUE"""),5.0)</f>
        <v>5</v>
      </c>
      <c r="G1157" s="15" t="str">
        <f>IFERROR(__xludf.DUMMYFUNCTION("""COMPUTED_VALUE"""),"Completa")</f>
        <v>Completa</v>
      </c>
      <c r="H1157" s="16" t="str">
        <f t="array" ref="H1157">_xlfn.XLOOKUP(D1157,Productos[ID_Producto],Productos[Nombre_Producto])</f>
        <v>Manteca</v>
      </c>
      <c r="I1157" s="17">
        <f t="array" ref="I1157">_xlfn.XLOOKUP(D1157,Productos[ID_Producto],Productos[Precio_Unitario])</f>
        <v>5.65</v>
      </c>
      <c r="J1157" s="17">
        <f t="shared" si="1"/>
        <v>16.95</v>
      </c>
      <c r="K1157" s="16" t="str">
        <f t="array" ref="K1157">_xlfn.XLOOKUP(C1157,Clientes[ID_Cliente],Clientes[Provincia])</f>
        <v>Córdoba</v>
      </c>
      <c r="L1157" s="16" t="str">
        <f t="array" ref="L1157">CONCATENATE(_xlfn.XLOOKUP(C1157,Clientes[ID_Cliente],Clientes[Provincia]),", Argentina")</f>
        <v>Córdoba, Argentina</v>
      </c>
      <c r="M1157" s="20" t="str">
        <f t="array" ref="M1157">_xlfn.XLOOKUP(F1157,Metodos_De_Pago[ID_Metodo],Metodos_De_Pago[Metodo])</f>
        <v>Transferencia</v>
      </c>
      <c r="N1157" s="20" t="str">
        <f t="shared" si="2"/>
        <v>2024 05</v>
      </c>
    </row>
    <row r="1158" ht="22.5" customHeight="1">
      <c r="A1158" s="12">
        <f>IFERROR(__xludf.DUMMYFUNCTION("""COMPUTED_VALUE"""),684.0)</f>
        <v>684</v>
      </c>
      <c r="B1158" s="13">
        <f>IFERROR(__xludf.DUMMYFUNCTION("""COMPUTED_VALUE"""),45425.0)</f>
        <v>45425</v>
      </c>
      <c r="C1158" s="12">
        <f>IFERROR(__xludf.DUMMYFUNCTION("""COMPUTED_VALUE"""),180.0)</f>
        <v>180</v>
      </c>
      <c r="D1158" s="12">
        <f>IFERROR(__xludf.DUMMYFUNCTION("""COMPUTED_VALUE"""),26.0)</f>
        <v>26</v>
      </c>
      <c r="E1158" s="12">
        <f>IFERROR(__xludf.DUMMYFUNCTION("""COMPUTED_VALUE"""),3.0)</f>
        <v>3</v>
      </c>
      <c r="F1158" s="12">
        <f>IFERROR(__xludf.DUMMYFUNCTION("""COMPUTED_VALUE"""),3.0)</f>
        <v>3</v>
      </c>
      <c r="G1158" s="15" t="str">
        <f>IFERROR(__xludf.DUMMYFUNCTION("""COMPUTED_VALUE"""),"Completa")</f>
        <v>Completa</v>
      </c>
      <c r="H1158" s="16" t="str">
        <f t="array" ref="H1158">_xlfn.XLOOKUP(D1158,Productos[ID_Producto],Productos[Nombre_Producto])</f>
        <v>Hamburgesas congeladas</v>
      </c>
      <c r="I1158" s="17">
        <f t="array" ref="I1158">_xlfn.XLOOKUP(D1158,Productos[ID_Producto],Productos[Precio_Unitario])</f>
        <v>9.54</v>
      </c>
      <c r="J1158" s="17">
        <f t="shared" si="1"/>
        <v>28.62</v>
      </c>
      <c r="K1158" s="16" t="str">
        <f t="array" ref="K1158">_xlfn.XLOOKUP(C1158,Clientes[ID_Cliente],Clientes[Provincia])</f>
        <v>Buenos Aires</v>
      </c>
      <c r="L1158" s="16" t="str">
        <f t="array" ref="L1158">CONCATENATE(_xlfn.XLOOKUP(C1158,Clientes[ID_Cliente],Clientes[Provincia]),", Argentina")</f>
        <v>Buenos Aires, Argentina</v>
      </c>
      <c r="M1158" s="20" t="str">
        <f t="array" ref="M1158">_xlfn.XLOOKUP(F1158,Metodos_De_Pago[ID_Metodo],Metodos_De_Pago[Metodo])</f>
        <v>Tarjeta de Débito</v>
      </c>
      <c r="N1158" s="20" t="str">
        <f t="shared" si="2"/>
        <v>2024 05</v>
      </c>
    </row>
    <row r="1159" ht="22.5" customHeight="1">
      <c r="A1159" s="12">
        <f>IFERROR(__xludf.DUMMYFUNCTION("""COMPUTED_VALUE"""),1067.0)</f>
        <v>1067</v>
      </c>
      <c r="B1159" s="13">
        <f>IFERROR(__xludf.DUMMYFUNCTION("""COMPUTED_VALUE"""),45425.0)</f>
        <v>45425</v>
      </c>
      <c r="C1159" s="12">
        <f>IFERROR(__xludf.DUMMYFUNCTION("""COMPUTED_VALUE"""),271.0)</f>
        <v>271</v>
      </c>
      <c r="D1159" s="12">
        <f>IFERROR(__xludf.DUMMYFUNCTION("""COMPUTED_VALUE"""),27.0)</f>
        <v>27</v>
      </c>
      <c r="E1159" s="12">
        <f>IFERROR(__xludf.DUMMYFUNCTION("""COMPUTED_VALUE"""),3.0)</f>
        <v>3</v>
      </c>
      <c r="F1159" s="12">
        <f>IFERROR(__xludf.DUMMYFUNCTION("""COMPUTED_VALUE"""),5.0)</f>
        <v>5</v>
      </c>
      <c r="G1159" s="15" t="str">
        <f>IFERROR(__xludf.DUMMYFUNCTION("""COMPUTED_VALUE"""),"Completa")</f>
        <v>Completa</v>
      </c>
      <c r="H1159" s="16" t="str">
        <f t="array" ref="H1159">_xlfn.XLOOKUP(D1159,Productos[ID_Producto],Productos[Nombre_Producto])</f>
        <v>Agua mineral</v>
      </c>
      <c r="I1159" s="17">
        <f t="array" ref="I1159">_xlfn.XLOOKUP(D1159,Productos[ID_Producto],Productos[Precio_Unitario])</f>
        <v>6.21</v>
      </c>
      <c r="J1159" s="17">
        <f t="shared" si="1"/>
        <v>18.63</v>
      </c>
      <c r="K1159" s="16" t="str">
        <f t="array" ref="K1159">_xlfn.XLOOKUP(C1159,Clientes[ID_Cliente],Clientes[Provincia])</f>
        <v>Neuquén</v>
      </c>
      <c r="L1159" s="16" t="str">
        <f t="array" ref="L1159">CONCATENATE(_xlfn.XLOOKUP(C1159,Clientes[ID_Cliente],Clientes[Provincia]),", Argentina")</f>
        <v>Neuquén, Argentina</v>
      </c>
      <c r="M1159" s="20" t="str">
        <f t="array" ref="M1159">_xlfn.XLOOKUP(F1159,Metodos_De_Pago[ID_Metodo],Metodos_De_Pago[Metodo])</f>
        <v>Transferencia</v>
      </c>
      <c r="N1159" s="20" t="str">
        <f t="shared" si="2"/>
        <v>2024 05</v>
      </c>
    </row>
    <row r="1160" ht="22.5" customHeight="1">
      <c r="A1160" s="12">
        <f>IFERROR(__xludf.DUMMYFUNCTION("""COMPUTED_VALUE"""),1097.0)</f>
        <v>1097</v>
      </c>
      <c r="B1160" s="13">
        <f>IFERROR(__xludf.DUMMYFUNCTION("""COMPUTED_VALUE"""),45425.0)</f>
        <v>45425</v>
      </c>
      <c r="C1160" s="12">
        <f>IFERROR(__xludf.DUMMYFUNCTION("""COMPUTED_VALUE"""),102.0)</f>
        <v>102</v>
      </c>
      <c r="D1160" s="12">
        <f>IFERROR(__xludf.DUMMYFUNCTION("""COMPUTED_VALUE"""),31.0)</f>
        <v>31</v>
      </c>
      <c r="E1160" s="12">
        <f>IFERROR(__xludf.DUMMYFUNCTION("""COMPUTED_VALUE"""),3.0)</f>
        <v>3</v>
      </c>
      <c r="F1160" s="12">
        <f>IFERROR(__xludf.DUMMYFUNCTION("""COMPUTED_VALUE"""),5.0)</f>
        <v>5</v>
      </c>
      <c r="G1160" s="15" t="str">
        <f>IFERROR(__xludf.DUMMYFUNCTION("""COMPUTED_VALUE"""),"Completa")</f>
        <v>Completa</v>
      </c>
      <c r="H1160" s="16" t="str">
        <f t="array" ref="H1160">_xlfn.XLOOKUP(D1160,Productos[ID_Producto],Productos[Nombre_Producto])</f>
        <v>Galletitas de agua</v>
      </c>
      <c r="I1160" s="17">
        <f t="array" ref="I1160">_xlfn.XLOOKUP(D1160,Productos[ID_Producto],Productos[Precio_Unitario])</f>
        <v>5.24</v>
      </c>
      <c r="J1160" s="17">
        <f t="shared" si="1"/>
        <v>15.72</v>
      </c>
      <c r="K1160" s="16" t="str">
        <f t="array" ref="K1160">_xlfn.XLOOKUP(C1160,Clientes[ID_Cliente],Clientes[Provincia])</f>
        <v>Neuquén</v>
      </c>
      <c r="L1160" s="16" t="str">
        <f t="array" ref="L1160">CONCATENATE(_xlfn.XLOOKUP(C1160,Clientes[ID_Cliente],Clientes[Provincia]),", Argentina")</f>
        <v>Neuquén, Argentina</v>
      </c>
      <c r="M1160" s="20" t="str">
        <f t="array" ref="M1160">_xlfn.XLOOKUP(F1160,Metodos_De_Pago[ID_Metodo],Metodos_De_Pago[Metodo])</f>
        <v>Transferencia</v>
      </c>
      <c r="N1160" s="20" t="str">
        <f t="shared" si="2"/>
        <v>2024 05</v>
      </c>
    </row>
    <row r="1161" ht="22.5" customHeight="1">
      <c r="A1161" s="12">
        <f>IFERROR(__xludf.DUMMYFUNCTION("""COMPUTED_VALUE"""),1731.0)</f>
        <v>1731</v>
      </c>
      <c r="B1161" s="13">
        <f>IFERROR(__xludf.DUMMYFUNCTION("""COMPUTED_VALUE"""),45425.0)</f>
        <v>45425</v>
      </c>
      <c r="C1161" s="12">
        <f>IFERROR(__xludf.DUMMYFUNCTION("""COMPUTED_VALUE"""),231.0)</f>
        <v>231</v>
      </c>
      <c r="D1161" s="12">
        <f>IFERROR(__xludf.DUMMYFUNCTION("""COMPUTED_VALUE"""),30.0)</f>
        <v>30</v>
      </c>
      <c r="E1161" s="12">
        <f>IFERROR(__xludf.DUMMYFUNCTION("""COMPUTED_VALUE"""),3.0)</f>
        <v>3</v>
      </c>
      <c r="F1161" s="12">
        <f>IFERROR(__xludf.DUMMYFUNCTION("""COMPUTED_VALUE"""),5.0)</f>
        <v>5</v>
      </c>
      <c r="G1161" s="15" t="str">
        <f>IFERROR(__xludf.DUMMYFUNCTION("""COMPUTED_VALUE"""),"Pendiente")</f>
        <v>Pendiente</v>
      </c>
      <c r="H1161" s="16" t="str">
        <f t="array" ref="H1161">_xlfn.XLOOKUP(D1161,Productos[ID_Producto],Productos[Nombre_Producto])</f>
        <v>Vino tinto</v>
      </c>
      <c r="I1161" s="17">
        <f t="array" ref="I1161">_xlfn.XLOOKUP(D1161,Productos[ID_Producto],Productos[Precio_Unitario])</f>
        <v>13.54</v>
      </c>
      <c r="J1161" s="17">
        <f t="shared" si="1"/>
        <v>40.62</v>
      </c>
      <c r="K1161" s="16" t="str">
        <f t="array" ref="K1161">_xlfn.XLOOKUP(C1161,Clientes[ID_Cliente],Clientes[Provincia])</f>
        <v>Neuquén</v>
      </c>
      <c r="L1161" s="16" t="str">
        <f t="array" ref="L1161">CONCATENATE(_xlfn.XLOOKUP(C1161,Clientes[ID_Cliente],Clientes[Provincia]),", Argentina")</f>
        <v>Neuquén, Argentina</v>
      </c>
      <c r="M1161" s="20" t="str">
        <f t="array" ref="M1161">_xlfn.XLOOKUP(F1161,Metodos_De_Pago[ID_Metodo],Metodos_De_Pago[Metodo])</f>
        <v>Transferencia</v>
      </c>
      <c r="N1161" s="20" t="str">
        <f t="shared" si="2"/>
        <v>2024 05</v>
      </c>
    </row>
    <row r="1162" ht="22.5" customHeight="1">
      <c r="A1162" s="12">
        <f>IFERROR(__xludf.DUMMYFUNCTION("""COMPUTED_VALUE"""),1699.0)</f>
        <v>1699</v>
      </c>
      <c r="B1162" s="13">
        <f>IFERROR(__xludf.DUMMYFUNCTION("""COMPUTED_VALUE"""),45426.0)</f>
        <v>45426</v>
      </c>
      <c r="C1162" s="12">
        <f>IFERROR(__xludf.DUMMYFUNCTION("""COMPUTED_VALUE"""),24.0)</f>
        <v>24</v>
      </c>
      <c r="D1162" s="12">
        <f>IFERROR(__xludf.DUMMYFUNCTION("""COMPUTED_VALUE"""),32.0)</f>
        <v>32</v>
      </c>
      <c r="E1162" s="12">
        <f>IFERROR(__xludf.DUMMYFUNCTION("""COMPUTED_VALUE"""),3.0)</f>
        <v>3</v>
      </c>
      <c r="F1162" s="12">
        <f>IFERROR(__xludf.DUMMYFUNCTION("""COMPUTED_VALUE"""),5.0)</f>
        <v>5</v>
      </c>
      <c r="G1162" s="15" t="str">
        <f>IFERROR(__xludf.DUMMYFUNCTION("""COMPUTED_VALUE"""),"Completa")</f>
        <v>Completa</v>
      </c>
      <c r="H1162" s="16" t="str">
        <f t="array" ref="H1162">_xlfn.XLOOKUP(D1162,Productos[ID_Producto],Productos[Nombre_Producto])</f>
        <v>Galletitas de chocolate</v>
      </c>
      <c r="I1162" s="17">
        <f t="array" ref="I1162">_xlfn.XLOOKUP(D1162,Productos[ID_Producto],Productos[Precio_Unitario])</f>
        <v>6.25</v>
      </c>
      <c r="J1162" s="17">
        <f t="shared" si="1"/>
        <v>18.75</v>
      </c>
      <c r="K1162" s="16" t="str">
        <f t="array" ref="K1162">_xlfn.XLOOKUP(C1162,Clientes[ID_Cliente],Clientes[Provincia])</f>
        <v>San Luis</v>
      </c>
      <c r="L1162" s="16" t="str">
        <f t="array" ref="L1162">CONCATENATE(_xlfn.XLOOKUP(C1162,Clientes[ID_Cliente],Clientes[Provincia]),", Argentina")</f>
        <v>San Luis, Argentina</v>
      </c>
      <c r="M1162" s="20" t="str">
        <f t="array" ref="M1162">_xlfn.XLOOKUP(F1162,Metodos_De_Pago[ID_Metodo],Metodos_De_Pago[Metodo])</f>
        <v>Transferencia</v>
      </c>
      <c r="N1162" s="20" t="str">
        <f t="shared" si="2"/>
        <v>2024 05</v>
      </c>
    </row>
    <row r="1163" ht="22.5" customHeight="1">
      <c r="A1163" s="12">
        <f>IFERROR(__xludf.DUMMYFUNCTION("""COMPUTED_VALUE"""),2241.0)</f>
        <v>2241</v>
      </c>
      <c r="B1163" s="13">
        <f>IFERROR(__xludf.DUMMYFUNCTION("""COMPUTED_VALUE"""),45427.0)</f>
        <v>45427</v>
      </c>
      <c r="C1163" s="12">
        <f>IFERROR(__xludf.DUMMYFUNCTION("""COMPUTED_VALUE"""),25.0)</f>
        <v>25</v>
      </c>
      <c r="D1163" s="12">
        <f>IFERROR(__xludf.DUMMYFUNCTION("""COMPUTED_VALUE"""),9.0)</f>
        <v>9</v>
      </c>
      <c r="E1163" s="12">
        <f>IFERROR(__xludf.DUMMYFUNCTION("""COMPUTED_VALUE"""),3.0)</f>
        <v>3</v>
      </c>
      <c r="F1163" s="12">
        <f>IFERROR(__xludf.DUMMYFUNCTION("""COMPUTED_VALUE"""),4.0)</f>
        <v>4</v>
      </c>
      <c r="G1163" s="15" t="str">
        <f>IFERROR(__xludf.DUMMYFUNCTION("""COMPUTED_VALUE"""),"Completa")</f>
        <v>Completa</v>
      </c>
      <c r="H1163" s="16" t="str">
        <f t="array" ref="H1163">_xlfn.XLOOKUP(D1163,Productos[ID_Producto],Productos[Nombre_Producto])</f>
        <v>Pollo</v>
      </c>
      <c r="I1163" s="17">
        <f t="array" ref="I1163">_xlfn.XLOOKUP(D1163,Productos[ID_Producto],Productos[Precio_Unitario])</f>
        <v>18.56</v>
      </c>
      <c r="J1163" s="17">
        <f t="shared" si="1"/>
        <v>55.68</v>
      </c>
      <c r="K1163" s="16" t="str">
        <f t="array" ref="K1163">_xlfn.XLOOKUP(C1163,Clientes[ID_Cliente],Clientes[Provincia])</f>
        <v>Neuquén</v>
      </c>
      <c r="L1163" s="16" t="str">
        <f t="array" ref="L1163">CONCATENATE(_xlfn.XLOOKUP(C1163,Clientes[ID_Cliente],Clientes[Provincia]),", Argentina")</f>
        <v>Neuquén, Argentina</v>
      </c>
      <c r="M1163" s="20" t="str">
        <f t="array" ref="M1163">_xlfn.XLOOKUP(F1163,Metodos_De_Pago[ID_Metodo],Metodos_De_Pago[Metodo])</f>
        <v>Mercado Pago</v>
      </c>
      <c r="N1163" s="20" t="str">
        <f t="shared" si="2"/>
        <v>2024 05</v>
      </c>
    </row>
    <row r="1164" ht="22.5" customHeight="1">
      <c r="A1164" s="12">
        <f>IFERROR(__xludf.DUMMYFUNCTION("""COMPUTED_VALUE"""),655.0)</f>
        <v>655</v>
      </c>
      <c r="B1164" s="13">
        <f>IFERROR(__xludf.DUMMYFUNCTION("""COMPUTED_VALUE"""),45428.0)</f>
        <v>45428</v>
      </c>
      <c r="C1164" s="12">
        <f>IFERROR(__xludf.DUMMYFUNCTION("""COMPUTED_VALUE"""),24.0)</f>
        <v>24</v>
      </c>
      <c r="D1164" s="12">
        <f>IFERROR(__xludf.DUMMYFUNCTION("""COMPUTED_VALUE"""),20.0)</f>
        <v>20</v>
      </c>
      <c r="E1164" s="12">
        <f>IFERROR(__xludf.DUMMYFUNCTION("""COMPUTED_VALUE"""),3.0)</f>
        <v>3</v>
      </c>
      <c r="F1164" s="12">
        <f>IFERROR(__xludf.DUMMYFUNCTION("""COMPUTED_VALUE"""),5.0)</f>
        <v>5</v>
      </c>
      <c r="G1164" s="15" t="str">
        <f>IFERROR(__xludf.DUMMYFUNCTION("""COMPUTED_VALUE"""),"Completa")</f>
        <v>Completa</v>
      </c>
      <c r="H1164" s="16" t="str">
        <f t="array" ref="H1164">_xlfn.XLOOKUP(D1164,Productos[ID_Producto],Productos[Nombre_Producto])</f>
        <v>Lechugas</v>
      </c>
      <c r="I1164" s="17">
        <f t="array" ref="I1164">_xlfn.XLOOKUP(D1164,Productos[ID_Producto],Productos[Precio_Unitario])</f>
        <v>4.25</v>
      </c>
      <c r="J1164" s="17">
        <f t="shared" si="1"/>
        <v>12.75</v>
      </c>
      <c r="K1164" s="16" t="str">
        <f t="array" ref="K1164">_xlfn.XLOOKUP(C1164,Clientes[ID_Cliente],Clientes[Provincia])</f>
        <v>San Luis</v>
      </c>
      <c r="L1164" s="16" t="str">
        <f t="array" ref="L1164">CONCATENATE(_xlfn.XLOOKUP(C1164,Clientes[ID_Cliente],Clientes[Provincia]),", Argentina")</f>
        <v>San Luis, Argentina</v>
      </c>
      <c r="M1164" s="20" t="str">
        <f t="array" ref="M1164">_xlfn.XLOOKUP(F1164,Metodos_De_Pago[ID_Metodo],Metodos_De_Pago[Metodo])</f>
        <v>Transferencia</v>
      </c>
      <c r="N1164" s="20" t="str">
        <f t="shared" si="2"/>
        <v>2024 05</v>
      </c>
    </row>
    <row r="1165" ht="22.5" customHeight="1">
      <c r="A1165" s="12">
        <f>IFERROR(__xludf.DUMMYFUNCTION("""COMPUTED_VALUE"""),1665.0)</f>
        <v>1665</v>
      </c>
      <c r="B1165" s="13">
        <f>IFERROR(__xludf.DUMMYFUNCTION("""COMPUTED_VALUE"""),45428.0)</f>
        <v>45428</v>
      </c>
      <c r="C1165" s="12">
        <f>IFERROR(__xludf.DUMMYFUNCTION("""COMPUTED_VALUE"""),191.0)</f>
        <v>191</v>
      </c>
      <c r="D1165" s="12">
        <f>IFERROR(__xludf.DUMMYFUNCTION("""COMPUTED_VALUE"""),26.0)</f>
        <v>26</v>
      </c>
      <c r="E1165" s="12">
        <f>IFERROR(__xludf.DUMMYFUNCTION("""COMPUTED_VALUE"""),3.0)</f>
        <v>3</v>
      </c>
      <c r="F1165" s="12">
        <f>IFERROR(__xludf.DUMMYFUNCTION("""COMPUTED_VALUE"""),1.0)</f>
        <v>1</v>
      </c>
      <c r="G1165" s="15" t="str">
        <f>IFERROR(__xludf.DUMMYFUNCTION("""COMPUTED_VALUE"""),"Completa")</f>
        <v>Completa</v>
      </c>
      <c r="H1165" s="16" t="str">
        <f t="array" ref="H1165">_xlfn.XLOOKUP(D1165,Productos[ID_Producto],Productos[Nombre_Producto])</f>
        <v>Hamburgesas congeladas</v>
      </c>
      <c r="I1165" s="17">
        <f t="array" ref="I1165">_xlfn.XLOOKUP(D1165,Productos[ID_Producto],Productos[Precio_Unitario])</f>
        <v>9.54</v>
      </c>
      <c r="J1165" s="17">
        <f t="shared" si="1"/>
        <v>28.62</v>
      </c>
      <c r="K1165" s="16" t="str">
        <f t="array" ref="K1165">_xlfn.XLOOKUP(C1165,Clientes[ID_Cliente],Clientes[Provincia])</f>
        <v>Córdoba</v>
      </c>
      <c r="L1165" s="16" t="str">
        <f t="array" ref="L1165">CONCATENATE(_xlfn.XLOOKUP(C1165,Clientes[ID_Cliente],Clientes[Provincia]),", Argentina")</f>
        <v>Córdoba, Argentina</v>
      </c>
      <c r="M1165" s="20" t="str">
        <f t="array" ref="M1165">_xlfn.XLOOKUP(F1165,Metodos_De_Pago[ID_Metodo],Metodos_De_Pago[Metodo])</f>
        <v>Efectivo</v>
      </c>
      <c r="N1165" s="20" t="str">
        <f t="shared" si="2"/>
        <v>2024 05</v>
      </c>
    </row>
    <row r="1166" ht="22.5" customHeight="1">
      <c r="A1166" s="12">
        <f>IFERROR(__xludf.DUMMYFUNCTION("""COMPUTED_VALUE"""),1870.0)</f>
        <v>1870</v>
      </c>
      <c r="B1166" s="13">
        <f>IFERROR(__xludf.DUMMYFUNCTION("""COMPUTED_VALUE"""),45428.0)</f>
        <v>45428</v>
      </c>
      <c r="C1166" s="12">
        <f>IFERROR(__xludf.DUMMYFUNCTION("""COMPUTED_VALUE"""),307.0)</f>
        <v>307</v>
      </c>
      <c r="D1166" s="12">
        <f>IFERROR(__xludf.DUMMYFUNCTION("""COMPUTED_VALUE"""),29.0)</f>
        <v>29</v>
      </c>
      <c r="E1166" s="12">
        <f>IFERROR(__xludf.DUMMYFUNCTION("""COMPUTED_VALUE"""),3.0)</f>
        <v>3</v>
      </c>
      <c r="F1166" s="12">
        <f>IFERROR(__xludf.DUMMYFUNCTION("""COMPUTED_VALUE"""),1.0)</f>
        <v>1</v>
      </c>
      <c r="G1166" s="15" t="str">
        <f>IFERROR(__xludf.DUMMYFUNCTION("""COMPUTED_VALUE"""),"Completa")</f>
        <v>Completa</v>
      </c>
      <c r="H1166" s="16" t="str">
        <f t="array" ref="H1166">_xlfn.XLOOKUP(D1166,Productos[ID_Producto],Productos[Nombre_Producto])</f>
        <v>Cerveza</v>
      </c>
      <c r="I1166" s="17">
        <f t="array" ref="I1166">_xlfn.XLOOKUP(D1166,Productos[ID_Producto],Productos[Precio_Unitario])</f>
        <v>11.54</v>
      </c>
      <c r="J1166" s="17">
        <f t="shared" si="1"/>
        <v>34.62</v>
      </c>
      <c r="K1166" s="16" t="str">
        <f t="array" ref="K1166">_xlfn.XLOOKUP(C1166,Clientes[ID_Cliente],Clientes[Provincia])</f>
        <v>San Luis</v>
      </c>
      <c r="L1166" s="16" t="str">
        <f t="array" ref="L1166">CONCATENATE(_xlfn.XLOOKUP(C1166,Clientes[ID_Cliente],Clientes[Provincia]),", Argentina")</f>
        <v>San Luis, Argentina</v>
      </c>
      <c r="M1166" s="20" t="str">
        <f t="array" ref="M1166">_xlfn.XLOOKUP(F1166,Metodos_De_Pago[ID_Metodo],Metodos_De_Pago[Metodo])</f>
        <v>Efectivo</v>
      </c>
      <c r="N1166" s="20" t="str">
        <f t="shared" si="2"/>
        <v>2024 05</v>
      </c>
    </row>
    <row r="1167" ht="22.5" customHeight="1">
      <c r="A1167" s="12">
        <f>IFERROR(__xludf.DUMMYFUNCTION("""COMPUTED_VALUE"""),1431.0)</f>
        <v>1431</v>
      </c>
      <c r="B1167" s="13">
        <f>IFERROR(__xludf.DUMMYFUNCTION("""COMPUTED_VALUE"""),45430.0)</f>
        <v>45430</v>
      </c>
      <c r="C1167" s="12">
        <f>IFERROR(__xludf.DUMMYFUNCTION("""COMPUTED_VALUE"""),43.0)</f>
        <v>43</v>
      </c>
      <c r="D1167" s="12">
        <f>IFERROR(__xludf.DUMMYFUNCTION("""COMPUTED_VALUE"""),29.0)</f>
        <v>29</v>
      </c>
      <c r="E1167" s="12">
        <f>IFERROR(__xludf.DUMMYFUNCTION("""COMPUTED_VALUE"""),3.0)</f>
        <v>3</v>
      </c>
      <c r="F1167" s="12">
        <f>IFERROR(__xludf.DUMMYFUNCTION("""COMPUTED_VALUE"""),5.0)</f>
        <v>5</v>
      </c>
      <c r="G1167" s="15" t="str">
        <f>IFERROR(__xludf.DUMMYFUNCTION("""COMPUTED_VALUE"""),"Completa")</f>
        <v>Completa</v>
      </c>
      <c r="H1167" s="16" t="str">
        <f t="array" ref="H1167">_xlfn.XLOOKUP(D1167,Productos[ID_Producto],Productos[Nombre_Producto])</f>
        <v>Cerveza</v>
      </c>
      <c r="I1167" s="17">
        <f t="array" ref="I1167">_xlfn.XLOOKUP(D1167,Productos[ID_Producto],Productos[Precio_Unitario])</f>
        <v>11.54</v>
      </c>
      <c r="J1167" s="17">
        <f t="shared" si="1"/>
        <v>34.62</v>
      </c>
      <c r="K1167" s="16" t="str">
        <f t="array" ref="K1167">_xlfn.XLOOKUP(C1167,Clientes[ID_Cliente],Clientes[Provincia])</f>
        <v>Neuquén</v>
      </c>
      <c r="L1167" s="16" t="str">
        <f t="array" ref="L1167">CONCATENATE(_xlfn.XLOOKUP(C1167,Clientes[ID_Cliente],Clientes[Provincia]),", Argentina")</f>
        <v>Neuquén, Argentina</v>
      </c>
      <c r="M1167" s="20" t="str">
        <f t="array" ref="M1167">_xlfn.XLOOKUP(F1167,Metodos_De_Pago[ID_Metodo],Metodos_De_Pago[Metodo])</f>
        <v>Transferencia</v>
      </c>
      <c r="N1167" s="20" t="str">
        <f t="shared" si="2"/>
        <v>2024 05</v>
      </c>
    </row>
    <row r="1168" ht="22.5" customHeight="1">
      <c r="A1168" s="12">
        <f>IFERROR(__xludf.DUMMYFUNCTION("""COMPUTED_VALUE"""),1703.0)</f>
        <v>1703</v>
      </c>
      <c r="B1168" s="13">
        <f>IFERROR(__xludf.DUMMYFUNCTION("""COMPUTED_VALUE"""),45430.0)</f>
        <v>45430</v>
      </c>
      <c r="C1168" s="12">
        <f>IFERROR(__xludf.DUMMYFUNCTION("""COMPUTED_VALUE"""),150.0)</f>
        <v>150</v>
      </c>
      <c r="D1168" s="12">
        <f>IFERROR(__xludf.DUMMYFUNCTION("""COMPUTED_VALUE"""),37.0)</f>
        <v>37</v>
      </c>
      <c r="E1168" s="12">
        <f>IFERROR(__xludf.DUMMYFUNCTION("""COMPUTED_VALUE"""),3.0)</f>
        <v>3</v>
      </c>
      <c r="F1168" s="12">
        <f>IFERROR(__xludf.DUMMYFUNCTION("""COMPUTED_VALUE"""),4.0)</f>
        <v>4</v>
      </c>
      <c r="G1168" s="15" t="str">
        <f>IFERROR(__xludf.DUMMYFUNCTION("""COMPUTED_VALUE"""),"Completa")</f>
        <v>Completa</v>
      </c>
      <c r="H1168" s="16" t="str">
        <f t="array" ref="H1168">_xlfn.XLOOKUP(D1168,Productos[ID_Producto],Productos[Nombre_Producto])</f>
        <v>Garbanzos</v>
      </c>
      <c r="I1168" s="17">
        <f t="array" ref="I1168">_xlfn.XLOOKUP(D1168,Productos[ID_Producto],Productos[Precio_Unitario])</f>
        <v>3.65</v>
      </c>
      <c r="J1168" s="17">
        <f t="shared" si="1"/>
        <v>10.95</v>
      </c>
      <c r="K1168" s="16" t="str">
        <f t="array" ref="K1168">_xlfn.XLOOKUP(C1168,Clientes[ID_Cliente],Clientes[Provincia])</f>
        <v>Buenos Aires</v>
      </c>
      <c r="L1168" s="16" t="str">
        <f t="array" ref="L1168">CONCATENATE(_xlfn.XLOOKUP(C1168,Clientes[ID_Cliente],Clientes[Provincia]),", Argentina")</f>
        <v>Buenos Aires, Argentina</v>
      </c>
      <c r="M1168" s="20" t="str">
        <f t="array" ref="M1168">_xlfn.XLOOKUP(F1168,Metodos_De_Pago[ID_Metodo],Metodos_De_Pago[Metodo])</f>
        <v>Mercado Pago</v>
      </c>
      <c r="N1168" s="20" t="str">
        <f t="shared" si="2"/>
        <v>2024 05</v>
      </c>
    </row>
    <row r="1169" ht="22.5" customHeight="1">
      <c r="A1169" s="12">
        <f>IFERROR(__xludf.DUMMYFUNCTION("""COMPUTED_VALUE"""),180.0)</f>
        <v>180</v>
      </c>
      <c r="B1169" s="13">
        <f>IFERROR(__xludf.DUMMYFUNCTION("""COMPUTED_VALUE"""),45432.0)</f>
        <v>45432</v>
      </c>
      <c r="C1169" s="12">
        <f>IFERROR(__xludf.DUMMYFUNCTION("""COMPUTED_VALUE"""),58.0)</f>
        <v>58</v>
      </c>
      <c r="D1169" s="12">
        <f>IFERROR(__xludf.DUMMYFUNCTION("""COMPUTED_VALUE"""),25.0)</f>
        <v>25</v>
      </c>
      <c r="E1169" s="12">
        <f>IFERROR(__xludf.DUMMYFUNCTION("""COMPUTED_VALUE"""),3.0)</f>
        <v>3</v>
      </c>
      <c r="F1169" s="12">
        <f>IFERROR(__xludf.DUMMYFUNCTION("""COMPUTED_VALUE"""),3.0)</f>
        <v>3</v>
      </c>
      <c r="G1169" s="15" t="str">
        <f>IFERROR(__xludf.DUMMYFUNCTION("""COMPUTED_VALUE"""),"Pendiente")</f>
        <v>Pendiente</v>
      </c>
      <c r="H1169" s="16" t="str">
        <f t="array" ref="H1169">_xlfn.XLOOKUP(D1169,Productos[ID_Producto],Productos[Nombre_Producto])</f>
        <v>Pizza congelada</v>
      </c>
      <c r="I1169" s="17">
        <f t="array" ref="I1169">_xlfn.XLOOKUP(D1169,Productos[ID_Producto],Productos[Precio_Unitario])</f>
        <v>15.45</v>
      </c>
      <c r="J1169" s="17">
        <f t="shared" si="1"/>
        <v>46.35</v>
      </c>
      <c r="K1169" s="16" t="str">
        <f t="array" ref="K1169">_xlfn.XLOOKUP(C1169,Clientes[ID_Cliente],Clientes[Provincia])</f>
        <v>Buenos Aires</v>
      </c>
      <c r="L1169" s="16" t="str">
        <f t="array" ref="L1169">CONCATENATE(_xlfn.XLOOKUP(C1169,Clientes[ID_Cliente],Clientes[Provincia]),", Argentina")</f>
        <v>Buenos Aires, Argentina</v>
      </c>
      <c r="M1169" s="20" t="str">
        <f t="array" ref="M1169">_xlfn.XLOOKUP(F1169,Metodos_De_Pago[ID_Metodo],Metodos_De_Pago[Metodo])</f>
        <v>Tarjeta de Débito</v>
      </c>
      <c r="N1169" s="20" t="str">
        <f t="shared" si="2"/>
        <v>2024 05</v>
      </c>
    </row>
    <row r="1170" ht="22.5" customHeight="1">
      <c r="A1170" s="12">
        <f>IFERROR(__xludf.DUMMYFUNCTION("""COMPUTED_VALUE"""),1919.0)</f>
        <v>1919</v>
      </c>
      <c r="B1170" s="13">
        <f>IFERROR(__xludf.DUMMYFUNCTION("""COMPUTED_VALUE"""),45432.0)</f>
        <v>45432</v>
      </c>
      <c r="C1170" s="12">
        <f>IFERROR(__xludf.DUMMYFUNCTION("""COMPUTED_VALUE"""),67.0)</f>
        <v>67</v>
      </c>
      <c r="D1170" s="12">
        <f>IFERROR(__xludf.DUMMYFUNCTION("""COMPUTED_VALUE"""),36.0)</f>
        <v>36</v>
      </c>
      <c r="E1170" s="12">
        <f>IFERROR(__xludf.DUMMYFUNCTION("""COMPUTED_VALUE"""),3.0)</f>
        <v>3</v>
      </c>
      <c r="F1170" s="12">
        <f>IFERROR(__xludf.DUMMYFUNCTION("""COMPUTED_VALUE"""),4.0)</f>
        <v>4</v>
      </c>
      <c r="G1170" s="15" t="str">
        <f>IFERROR(__xludf.DUMMYFUNCTION("""COMPUTED_VALUE"""),"Pendiente")</f>
        <v>Pendiente</v>
      </c>
      <c r="H1170" s="16" t="str">
        <f t="array" ref="H1170">_xlfn.XLOOKUP(D1170,Productos[ID_Producto],Productos[Nombre_Producto])</f>
        <v>Lentejas</v>
      </c>
      <c r="I1170" s="17">
        <f t="array" ref="I1170">_xlfn.XLOOKUP(D1170,Productos[ID_Producto],Productos[Precio_Unitario])</f>
        <v>3.25</v>
      </c>
      <c r="J1170" s="17">
        <f t="shared" si="1"/>
        <v>9.75</v>
      </c>
      <c r="K1170" s="16" t="str">
        <f t="array" ref="K1170">_xlfn.XLOOKUP(C1170,Clientes[ID_Cliente],Clientes[Provincia])</f>
        <v>Chaco</v>
      </c>
      <c r="L1170" s="16" t="str">
        <f t="array" ref="L1170">CONCATENATE(_xlfn.XLOOKUP(C1170,Clientes[ID_Cliente],Clientes[Provincia]),", Argentina")</f>
        <v>Chaco, Argentina</v>
      </c>
      <c r="M1170" s="20" t="str">
        <f t="array" ref="M1170">_xlfn.XLOOKUP(F1170,Metodos_De_Pago[ID_Metodo],Metodos_De_Pago[Metodo])</f>
        <v>Mercado Pago</v>
      </c>
      <c r="N1170" s="20" t="str">
        <f t="shared" si="2"/>
        <v>2024 05</v>
      </c>
    </row>
    <row r="1171" ht="22.5" customHeight="1">
      <c r="A1171" s="12">
        <f>IFERROR(__xludf.DUMMYFUNCTION("""COMPUTED_VALUE"""),723.0)</f>
        <v>723</v>
      </c>
      <c r="B1171" s="13">
        <f>IFERROR(__xludf.DUMMYFUNCTION("""COMPUTED_VALUE"""),45433.0)</f>
        <v>45433</v>
      </c>
      <c r="C1171" s="12">
        <f>IFERROR(__xludf.DUMMYFUNCTION("""COMPUTED_VALUE"""),101.0)</f>
        <v>101</v>
      </c>
      <c r="D1171" s="12">
        <f>IFERROR(__xludf.DUMMYFUNCTION("""COMPUTED_VALUE"""),10.0)</f>
        <v>10</v>
      </c>
      <c r="E1171" s="12">
        <f>IFERROR(__xludf.DUMMYFUNCTION("""COMPUTED_VALUE"""),3.0)</f>
        <v>3</v>
      </c>
      <c r="F1171" s="12">
        <f>IFERROR(__xludf.DUMMYFUNCTION("""COMPUTED_VALUE"""),3.0)</f>
        <v>3</v>
      </c>
      <c r="G1171" s="15" t="str">
        <f>IFERROR(__xludf.DUMMYFUNCTION("""COMPUTED_VALUE"""),"Pendiente")</f>
        <v>Pendiente</v>
      </c>
      <c r="H1171" s="16" t="str">
        <f t="array" ref="H1171">_xlfn.XLOOKUP(D1171,Productos[ID_Producto],Productos[Nombre_Producto])</f>
        <v>Costilla de cerdo</v>
      </c>
      <c r="I1171" s="17">
        <f t="array" ref="I1171">_xlfn.XLOOKUP(D1171,Productos[ID_Producto],Productos[Precio_Unitario])</f>
        <v>14.25</v>
      </c>
      <c r="J1171" s="17">
        <f t="shared" si="1"/>
        <v>42.75</v>
      </c>
      <c r="K1171" s="16" t="str">
        <f t="array" ref="K1171">_xlfn.XLOOKUP(C1171,Clientes[ID_Cliente],Clientes[Provincia])</f>
        <v>Buenos Aires</v>
      </c>
      <c r="L1171" s="16" t="str">
        <f t="array" ref="L1171">CONCATENATE(_xlfn.XLOOKUP(C1171,Clientes[ID_Cliente],Clientes[Provincia]),", Argentina")</f>
        <v>Buenos Aires, Argentina</v>
      </c>
      <c r="M1171" s="20" t="str">
        <f t="array" ref="M1171">_xlfn.XLOOKUP(F1171,Metodos_De_Pago[ID_Metodo],Metodos_De_Pago[Metodo])</f>
        <v>Tarjeta de Débito</v>
      </c>
      <c r="N1171" s="20" t="str">
        <f t="shared" si="2"/>
        <v>2024 05</v>
      </c>
    </row>
    <row r="1172" ht="22.5" customHeight="1">
      <c r="A1172" s="12">
        <f>IFERROR(__xludf.DUMMYFUNCTION("""COMPUTED_VALUE"""),1248.0)</f>
        <v>1248</v>
      </c>
      <c r="B1172" s="13">
        <f>IFERROR(__xludf.DUMMYFUNCTION("""COMPUTED_VALUE"""),45433.0)</f>
        <v>45433</v>
      </c>
      <c r="C1172" s="12">
        <f>IFERROR(__xludf.DUMMYFUNCTION("""COMPUTED_VALUE"""),86.0)</f>
        <v>86</v>
      </c>
      <c r="D1172" s="12">
        <f>IFERROR(__xludf.DUMMYFUNCTION("""COMPUTED_VALUE"""),2.0)</f>
        <v>2</v>
      </c>
      <c r="E1172" s="12">
        <f>IFERROR(__xludf.DUMMYFUNCTION("""COMPUTED_VALUE"""),3.0)</f>
        <v>3</v>
      </c>
      <c r="F1172" s="12">
        <f>IFERROR(__xludf.DUMMYFUNCTION("""COMPUTED_VALUE"""),1.0)</f>
        <v>1</v>
      </c>
      <c r="G1172" s="15" t="str">
        <f>IFERROR(__xludf.DUMMYFUNCTION("""COMPUTED_VALUE"""),"Pendiente")</f>
        <v>Pendiente</v>
      </c>
      <c r="H1172" s="16" t="str">
        <f t="array" ref="H1172">_xlfn.XLOOKUP(D1172,Productos[ID_Producto],Productos[Nombre_Producto])</f>
        <v>Yogur</v>
      </c>
      <c r="I1172" s="17">
        <f t="array" ref="I1172">_xlfn.XLOOKUP(D1172,Productos[ID_Producto],Productos[Precio_Unitario])</f>
        <v>5.21</v>
      </c>
      <c r="J1172" s="17">
        <f t="shared" si="1"/>
        <v>15.63</v>
      </c>
      <c r="K1172" s="16" t="str">
        <f t="array" ref="K1172">_xlfn.XLOOKUP(C1172,Clientes[ID_Cliente],Clientes[Provincia])</f>
        <v>Neuquén</v>
      </c>
      <c r="L1172" s="16" t="str">
        <f t="array" ref="L1172">CONCATENATE(_xlfn.XLOOKUP(C1172,Clientes[ID_Cliente],Clientes[Provincia]),", Argentina")</f>
        <v>Neuquén, Argentina</v>
      </c>
      <c r="M1172" s="20" t="str">
        <f t="array" ref="M1172">_xlfn.XLOOKUP(F1172,Metodos_De_Pago[ID_Metodo],Metodos_De_Pago[Metodo])</f>
        <v>Efectivo</v>
      </c>
      <c r="N1172" s="20" t="str">
        <f t="shared" si="2"/>
        <v>2024 05</v>
      </c>
    </row>
    <row r="1173" ht="22.5" customHeight="1">
      <c r="A1173" s="12">
        <f>IFERROR(__xludf.DUMMYFUNCTION("""COMPUTED_VALUE"""),1398.0)</f>
        <v>1398</v>
      </c>
      <c r="B1173" s="13">
        <f>IFERROR(__xludf.DUMMYFUNCTION("""COMPUTED_VALUE"""),45433.0)</f>
        <v>45433</v>
      </c>
      <c r="C1173" s="12">
        <f>IFERROR(__xludf.DUMMYFUNCTION("""COMPUTED_VALUE"""),202.0)</f>
        <v>202</v>
      </c>
      <c r="D1173" s="12">
        <f>IFERROR(__xludf.DUMMYFUNCTION("""COMPUTED_VALUE"""),24.0)</f>
        <v>24</v>
      </c>
      <c r="E1173" s="12">
        <f>IFERROR(__xludf.DUMMYFUNCTION("""COMPUTED_VALUE"""),3.0)</f>
        <v>3</v>
      </c>
      <c r="F1173" s="12">
        <f>IFERROR(__xludf.DUMMYFUNCTION("""COMPUTED_VALUE"""),4.0)</f>
        <v>4</v>
      </c>
      <c r="G1173" s="15" t="str">
        <f>IFERROR(__xludf.DUMMYFUNCTION("""COMPUTED_VALUE"""),"Completa")</f>
        <v>Completa</v>
      </c>
      <c r="H1173" s="16" t="str">
        <f t="array" ref="H1173">_xlfn.XLOOKUP(D1173,Productos[ID_Producto],Productos[Nombre_Producto])</f>
        <v>Empanadas</v>
      </c>
      <c r="I1173" s="17">
        <f t="array" ref="I1173">_xlfn.XLOOKUP(D1173,Productos[ID_Producto],Productos[Precio_Unitario])</f>
        <v>13.54</v>
      </c>
      <c r="J1173" s="17">
        <f t="shared" si="1"/>
        <v>40.62</v>
      </c>
      <c r="K1173" s="16" t="str">
        <f t="array" ref="K1173">_xlfn.XLOOKUP(C1173,Clientes[ID_Cliente],Clientes[Provincia])</f>
        <v>Chaco</v>
      </c>
      <c r="L1173" s="16" t="str">
        <f t="array" ref="L1173">CONCATENATE(_xlfn.XLOOKUP(C1173,Clientes[ID_Cliente],Clientes[Provincia]),", Argentina")</f>
        <v>Chaco, Argentina</v>
      </c>
      <c r="M1173" s="20" t="str">
        <f t="array" ref="M1173">_xlfn.XLOOKUP(F1173,Metodos_De_Pago[ID_Metodo],Metodos_De_Pago[Metodo])</f>
        <v>Mercado Pago</v>
      </c>
      <c r="N1173" s="20" t="str">
        <f t="shared" si="2"/>
        <v>2024 05</v>
      </c>
    </row>
    <row r="1174" ht="22.5" customHeight="1">
      <c r="A1174" s="12">
        <f>IFERROR(__xludf.DUMMYFUNCTION("""COMPUTED_VALUE"""),141.0)</f>
        <v>141</v>
      </c>
      <c r="B1174" s="13">
        <f>IFERROR(__xludf.DUMMYFUNCTION("""COMPUTED_VALUE"""),45434.0)</f>
        <v>45434</v>
      </c>
      <c r="C1174" s="12">
        <f>IFERROR(__xludf.DUMMYFUNCTION("""COMPUTED_VALUE"""),115.0)</f>
        <v>115</v>
      </c>
      <c r="D1174" s="12">
        <f>IFERROR(__xludf.DUMMYFUNCTION("""COMPUTED_VALUE"""),5.0)</f>
        <v>5</v>
      </c>
      <c r="E1174" s="12">
        <f>IFERROR(__xludf.DUMMYFUNCTION("""COMPUTED_VALUE"""),3.0)</f>
        <v>3</v>
      </c>
      <c r="F1174" s="12">
        <f>IFERROR(__xludf.DUMMYFUNCTION("""COMPUTED_VALUE"""),5.0)</f>
        <v>5</v>
      </c>
      <c r="G1174" s="15" t="str">
        <f>IFERROR(__xludf.DUMMYFUNCTION("""COMPUTED_VALUE"""),"Pendiente")</f>
        <v>Pendiente</v>
      </c>
      <c r="H1174" s="16" t="str">
        <f t="array" ref="H1174">_xlfn.XLOOKUP(D1174,Productos[ID_Producto],Productos[Nombre_Producto])</f>
        <v>Manteca</v>
      </c>
      <c r="I1174" s="17">
        <f t="array" ref="I1174">_xlfn.XLOOKUP(D1174,Productos[ID_Producto],Productos[Precio_Unitario])</f>
        <v>5.65</v>
      </c>
      <c r="J1174" s="17">
        <f t="shared" si="1"/>
        <v>16.95</v>
      </c>
      <c r="K1174" s="16" t="str">
        <f t="array" ref="K1174">_xlfn.XLOOKUP(C1174,Clientes[ID_Cliente],Clientes[Provincia])</f>
        <v>San Luis</v>
      </c>
      <c r="L1174" s="16" t="str">
        <f t="array" ref="L1174">CONCATENATE(_xlfn.XLOOKUP(C1174,Clientes[ID_Cliente],Clientes[Provincia]),", Argentina")</f>
        <v>San Luis, Argentina</v>
      </c>
      <c r="M1174" s="20" t="str">
        <f t="array" ref="M1174">_xlfn.XLOOKUP(F1174,Metodos_De_Pago[ID_Metodo],Metodos_De_Pago[Metodo])</f>
        <v>Transferencia</v>
      </c>
      <c r="N1174" s="20" t="str">
        <f t="shared" si="2"/>
        <v>2024 05</v>
      </c>
    </row>
    <row r="1175" ht="22.5" customHeight="1">
      <c r="A1175" s="12">
        <f>IFERROR(__xludf.DUMMYFUNCTION("""COMPUTED_VALUE"""),1081.0)</f>
        <v>1081</v>
      </c>
      <c r="B1175" s="13">
        <f>IFERROR(__xludf.DUMMYFUNCTION("""COMPUTED_VALUE"""),45434.0)</f>
        <v>45434</v>
      </c>
      <c r="C1175" s="12">
        <f>IFERROR(__xludf.DUMMYFUNCTION("""COMPUTED_VALUE"""),249.0)</f>
        <v>249</v>
      </c>
      <c r="D1175" s="12">
        <f>IFERROR(__xludf.DUMMYFUNCTION("""COMPUTED_VALUE"""),21.0)</f>
        <v>21</v>
      </c>
      <c r="E1175" s="12">
        <f>IFERROR(__xludf.DUMMYFUNCTION("""COMPUTED_VALUE"""),3.0)</f>
        <v>3</v>
      </c>
      <c r="F1175" s="12">
        <f>IFERROR(__xludf.DUMMYFUNCTION("""COMPUTED_VALUE"""),4.0)</f>
        <v>4</v>
      </c>
      <c r="G1175" s="15" t="str">
        <f>IFERROR(__xludf.DUMMYFUNCTION("""COMPUTED_VALUE"""),"Completa")</f>
        <v>Completa</v>
      </c>
      <c r="H1175" s="16" t="str">
        <f t="array" ref="H1175">_xlfn.XLOOKUP(D1175,Productos[ID_Producto],Productos[Nombre_Producto])</f>
        <v>Zanahorias</v>
      </c>
      <c r="I1175" s="17">
        <f t="array" ref="I1175">_xlfn.XLOOKUP(D1175,Productos[ID_Producto],Productos[Precio_Unitario])</f>
        <v>3.25</v>
      </c>
      <c r="J1175" s="17">
        <f t="shared" si="1"/>
        <v>9.75</v>
      </c>
      <c r="K1175" s="16" t="str">
        <f t="array" ref="K1175">_xlfn.XLOOKUP(C1175,Clientes[ID_Cliente],Clientes[Provincia])</f>
        <v>Buenos Aires</v>
      </c>
      <c r="L1175" s="16" t="str">
        <f t="array" ref="L1175">CONCATENATE(_xlfn.XLOOKUP(C1175,Clientes[ID_Cliente],Clientes[Provincia]),", Argentina")</f>
        <v>Buenos Aires, Argentina</v>
      </c>
      <c r="M1175" s="20" t="str">
        <f t="array" ref="M1175">_xlfn.XLOOKUP(F1175,Metodos_De_Pago[ID_Metodo],Metodos_De_Pago[Metodo])</f>
        <v>Mercado Pago</v>
      </c>
      <c r="N1175" s="20" t="str">
        <f t="shared" si="2"/>
        <v>2024 05</v>
      </c>
    </row>
    <row r="1176" ht="22.5" customHeight="1">
      <c r="A1176" s="12">
        <f>IFERROR(__xludf.DUMMYFUNCTION("""COMPUTED_VALUE"""),1690.0)</f>
        <v>1690</v>
      </c>
      <c r="B1176" s="13">
        <f>IFERROR(__xludf.DUMMYFUNCTION("""COMPUTED_VALUE"""),45435.0)</f>
        <v>45435</v>
      </c>
      <c r="C1176" s="12">
        <f>IFERROR(__xludf.DUMMYFUNCTION("""COMPUTED_VALUE"""),94.0)</f>
        <v>94</v>
      </c>
      <c r="D1176" s="12">
        <f>IFERROR(__xludf.DUMMYFUNCTION("""COMPUTED_VALUE"""),24.0)</f>
        <v>24</v>
      </c>
      <c r="E1176" s="12">
        <f>IFERROR(__xludf.DUMMYFUNCTION("""COMPUTED_VALUE"""),3.0)</f>
        <v>3</v>
      </c>
      <c r="F1176" s="12">
        <f>IFERROR(__xludf.DUMMYFUNCTION("""COMPUTED_VALUE"""),5.0)</f>
        <v>5</v>
      </c>
      <c r="G1176" s="15" t="str">
        <f>IFERROR(__xludf.DUMMYFUNCTION("""COMPUTED_VALUE"""),"Completa")</f>
        <v>Completa</v>
      </c>
      <c r="H1176" s="16" t="str">
        <f t="array" ref="H1176">_xlfn.XLOOKUP(D1176,Productos[ID_Producto],Productos[Nombre_Producto])</f>
        <v>Empanadas</v>
      </c>
      <c r="I1176" s="17">
        <f t="array" ref="I1176">_xlfn.XLOOKUP(D1176,Productos[ID_Producto],Productos[Precio_Unitario])</f>
        <v>13.54</v>
      </c>
      <c r="J1176" s="17">
        <f t="shared" si="1"/>
        <v>40.62</v>
      </c>
      <c r="K1176" s="16" t="str">
        <f t="array" ref="K1176">_xlfn.XLOOKUP(C1176,Clientes[ID_Cliente],Clientes[Provincia])</f>
        <v>Córdoba</v>
      </c>
      <c r="L1176" s="16" t="str">
        <f t="array" ref="L1176">CONCATENATE(_xlfn.XLOOKUP(C1176,Clientes[ID_Cliente],Clientes[Provincia]),", Argentina")</f>
        <v>Córdoba, Argentina</v>
      </c>
      <c r="M1176" s="20" t="str">
        <f t="array" ref="M1176">_xlfn.XLOOKUP(F1176,Metodos_De_Pago[ID_Metodo],Metodos_De_Pago[Metodo])</f>
        <v>Transferencia</v>
      </c>
      <c r="N1176" s="20" t="str">
        <f t="shared" si="2"/>
        <v>2024 05</v>
      </c>
    </row>
    <row r="1177" ht="22.5" customHeight="1">
      <c r="A1177" s="12">
        <f>IFERROR(__xludf.DUMMYFUNCTION("""COMPUTED_VALUE"""),1906.0)</f>
        <v>1906</v>
      </c>
      <c r="B1177" s="13">
        <f>IFERROR(__xludf.DUMMYFUNCTION("""COMPUTED_VALUE"""),45435.0)</f>
        <v>45435</v>
      </c>
      <c r="C1177" s="12">
        <f>IFERROR(__xludf.DUMMYFUNCTION("""COMPUTED_VALUE"""),158.0)</f>
        <v>158</v>
      </c>
      <c r="D1177" s="12">
        <f>IFERROR(__xludf.DUMMYFUNCTION("""COMPUTED_VALUE"""),21.0)</f>
        <v>21</v>
      </c>
      <c r="E1177" s="12">
        <f>IFERROR(__xludf.DUMMYFUNCTION("""COMPUTED_VALUE"""),3.0)</f>
        <v>3</v>
      </c>
      <c r="F1177" s="12">
        <f>IFERROR(__xludf.DUMMYFUNCTION("""COMPUTED_VALUE"""),5.0)</f>
        <v>5</v>
      </c>
      <c r="G1177" s="15" t="str">
        <f>IFERROR(__xludf.DUMMYFUNCTION("""COMPUTED_VALUE"""),"Completa")</f>
        <v>Completa</v>
      </c>
      <c r="H1177" s="16" t="str">
        <f t="array" ref="H1177">_xlfn.XLOOKUP(D1177,Productos[ID_Producto],Productos[Nombre_Producto])</f>
        <v>Zanahorias</v>
      </c>
      <c r="I1177" s="17">
        <f t="array" ref="I1177">_xlfn.XLOOKUP(D1177,Productos[ID_Producto],Productos[Precio_Unitario])</f>
        <v>3.25</v>
      </c>
      <c r="J1177" s="17">
        <f t="shared" si="1"/>
        <v>9.75</v>
      </c>
      <c r="K1177" s="16" t="str">
        <f t="array" ref="K1177">_xlfn.XLOOKUP(C1177,Clientes[ID_Cliente],Clientes[Provincia])</f>
        <v>Buenos Aires</v>
      </c>
      <c r="L1177" s="16" t="str">
        <f t="array" ref="L1177">CONCATENATE(_xlfn.XLOOKUP(C1177,Clientes[ID_Cliente],Clientes[Provincia]),", Argentina")</f>
        <v>Buenos Aires, Argentina</v>
      </c>
      <c r="M1177" s="20" t="str">
        <f t="array" ref="M1177">_xlfn.XLOOKUP(F1177,Metodos_De_Pago[ID_Metodo],Metodos_De_Pago[Metodo])</f>
        <v>Transferencia</v>
      </c>
      <c r="N1177" s="20" t="str">
        <f t="shared" si="2"/>
        <v>2024 05</v>
      </c>
    </row>
    <row r="1178" ht="22.5" customHeight="1">
      <c r="A1178" s="12">
        <f>IFERROR(__xludf.DUMMYFUNCTION("""COMPUTED_VALUE"""),1437.0)</f>
        <v>1437</v>
      </c>
      <c r="B1178" s="13">
        <f>IFERROR(__xludf.DUMMYFUNCTION("""COMPUTED_VALUE"""),45436.0)</f>
        <v>45436</v>
      </c>
      <c r="C1178" s="12">
        <f>IFERROR(__xludf.DUMMYFUNCTION("""COMPUTED_VALUE"""),197.0)</f>
        <v>197</v>
      </c>
      <c r="D1178" s="12">
        <f>IFERROR(__xludf.DUMMYFUNCTION("""COMPUTED_VALUE"""),19.0)</f>
        <v>19</v>
      </c>
      <c r="E1178" s="12">
        <f>IFERROR(__xludf.DUMMYFUNCTION("""COMPUTED_VALUE"""),3.0)</f>
        <v>3</v>
      </c>
      <c r="F1178" s="12">
        <f>IFERROR(__xludf.DUMMYFUNCTION("""COMPUTED_VALUE"""),4.0)</f>
        <v>4</v>
      </c>
      <c r="G1178" s="15" t="str">
        <f>IFERROR(__xludf.DUMMYFUNCTION("""COMPUTED_VALUE"""),"Completa")</f>
        <v>Completa</v>
      </c>
      <c r="H1178" s="16" t="str">
        <f t="array" ref="H1178">_xlfn.XLOOKUP(D1178,Productos[ID_Producto],Productos[Nombre_Producto])</f>
        <v>Tomates</v>
      </c>
      <c r="I1178" s="17">
        <f t="array" ref="I1178">_xlfn.XLOOKUP(D1178,Productos[ID_Producto],Productos[Precio_Unitario])</f>
        <v>6.54</v>
      </c>
      <c r="J1178" s="17">
        <f t="shared" si="1"/>
        <v>19.62</v>
      </c>
      <c r="K1178" s="16" t="str">
        <f t="array" ref="K1178">_xlfn.XLOOKUP(C1178,Clientes[ID_Cliente],Clientes[Provincia])</f>
        <v>San Luis</v>
      </c>
      <c r="L1178" s="16" t="str">
        <f t="array" ref="L1178">CONCATENATE(_xlfn.XLOOKUP(C1178,Clientes[ID_Cliente],Clientes[Provincia]),", Argentina")</f>
        <v>San Luis, Argentina</v>
      </c>
      <c r="M1178" s="20" t="str">
        <f t="array" ref="M1178">_xlfn.XLOOKUP(F1178,Metodos_De_Pago[ID_Metodo],Metodos_De_Pago[Metodo])</f>
        <v>Mercado Pago</v>
      </c>
      <c r="N1178" s="20" t="str">
        <f t="shared" si="2"/>
        <v>2024 05</v>
      </c>
    </row>
    <row r="1179" ht="22.5" customHeight="1">
      <c r="A1179" s="12">
        <f>IFERROR(__xludf.DUMMYFUNCTION("""COMPUTED_VALUE"""),1513.0)</f>
        <v>1513</v>
      </c>
      <c r="B1179" s="13">
        <f>IFERROR(__xludf.DUMMYFUNCTION("""COMPUTED_VALUE"""),45436.0)</f>
        <v>45436</v>
      </c>
      <c r="C1179" s="12">
        <f>IFERROR(__xludf.DUMMYFUNCTION("""COMPUTED_VALUE"""),119.0)</f>
        <v>119</v>
      </c>
      <c r="D1179" s="12">
        <f>IFERROR(__xludf.DUMMYFUNCTION("""COMPUTED_VALUE"""),36.0)</f>
        <v>36</v>
      </c>
      <c r="E1179" s="12">
        <f>IFERROR(__xludf.DUMMYFUNCTION("""COMPUTED_VALUE"""),3.0)</f>
        <v>3</v>
      </c>
      <c r="F1179" s="12">
        <f>IFERROR(__xludf.DUMMYFUNCTION("""COMPUTED_VALUE"""),4.0)</f>
        <v>4</v>
      </c>
      <c r="G1179" s="15" t="str">
        <f>IFERROR(__xludf.DUMMYFUNCTION("""COMPUTED_VALUE"""),"Pendiente")</f>
        <v>Pendiente</v>
      </c>
      <c r="H1179" s="16" t="str">
        <f t="array" ref="H1179">_xlfn.XLOOKUP(D1179,Productos[ID_Producto],Productos[Nombre_Producto])</f>
        <v>Lentejas</v>
      </c>
      <c r="I1179" s="17">
        <f t="array" ref="I1179">_xlfn.XLOOKUP(D1179,Productos[ID_Producto],Productos[Precio_Unitario])</f>
        <v>3.25</v>
      </c>
      <c r="J1179" s="17">
        <f t="shared" si="1"/>
        <v>9.75</v>
      </c>
      <c r="K1179" s="16" t="str">
        <f t="array" ref="K1179">_xlfn.XLOOKUP(C1179,Clientes[ID_Cliente],Clientes[Provincia])</f>
        <v>Neuquén</v>
      </c>
      <c r="L1179" s="16" t="str">
        <f t="array" ref="L1179">CONCATENATE(_xlfn.XLOOKUP(C1179,Clientes[ID_Cliente],Clientes[Provincia]),", Argentina")</f>
        <v>Neuquén, Argentina</v>
      </c>
      <c r="M1179" s="20" t="str">
        <f t="array" ref="M1179">_xlfn.XLOOKUP(F1179,Metodos_De_Pago[ID_Metodo],Metodos_De_Pago[Metodo])</f>
        <v>Mercado Pago</v>
      </c>
      <c r="N1179" s="20" t="str">
        <f t="shared" si="2"/>
        <v>2024 05</v>
      </c>
    </row>
    <row r="1180" ht="22.5" customHeight="1">
      <c r="A1180" s="12">
        <f>IFERROR(__xludf.DUMMYFUNCTION("""COMPUTED_VALUE"""),1232.0)</f>
        <v>1232</v>
      </c>
      <c r="B1180" s="13">
        <f>IFERROR(__xludf.DUMMYFUNCTION("""COMPUTED_VALUE"""),45438.0)</f>
        <v>45438</v>
      </c>
      <c r="C1180" s="12">
        <f>IFERROR(__xludf.DUMMYFUNCTION("""COMPUTED_VALUE"""),241.0)</f>
        <v>241</v>
      </c>
      <c r="D1180" s="12">
        <f>IFERROR(__xludf.DUMMYFUNCTION("""COMPUTED_VALUE"""),5.0)</f>
        <v>5</v>
      </c>
      <c r="E1180" s="12">
        <f>IFERROR(__xludf.DUMMYFUNCTION("""COMPUTED_VALUE"""),3.0)</f>
        <v>3</v>
      </c>
      <c r="F1180" s="12">
        <f>IFERROR(__xludf.DUMMYFUNCTION("""COMPUTED_VALUE"""),3.0)</f>
        <v>3</v>
      </c>
      <c r="G1180" s="15" t="str">
        <f>IFERROR(__xludf.DUMMYFUNCTION("""COMPUTED_VALUE"""),"Cancelada")</f>
        <v>Cancelada</v>
      </c>
      <c r="H1180" s="16" t="str">
        <f t="array" ref="H1180">_xlfn.XLOOKUP(D1180,Productos[ID_Producto],Productos[Nombre_Producto])</f>
        <v>Manteca</v>
      </c>
      <c r="I1180" s="17">
        <f t="array" ref="I1180">_xlfn.XLOOKUP(D1180,Productos[ID_Producto],Productos[Precio_Unitario])</f>
        <v>5.65</v>
      </c>
      <c r="J1180" s="17">
        <f t="shared" si="1"/>
        <v>16.95</v>
      </c>
      <c r="K1180" s="16" t="str">
        <f t="array" ref="K1180">_xlfn.XLOOKUP(C1180,Clientes[ID_Cliente],Clientes[Provincia])</f>
        <v>Buenos Aires</v>
      </c>
      <c r="L1180" s="16" t="str">
        <f t="array" ref="L1180">CONCATENATE(_xlfn.XLOOKUP(C1180,Clientes[ID_Cliente],Clientes[Provincia]),", Argentina")</f>
        <v>Buenos Aires, Argentina</v>
      </c>
      <c r="M1180" s="20" t="str">
        <f t="array" ref="M1180">_xlfn.XLOOKUP(F1180,Metodos_De_Pago[ID_Metodo],Metodos_De_Pago[Metodo])</f>
        <v>Tarjeta de Débito</v>
      </c>
      <c r="N1180" s="20" t="str">
        <f t="shared" si="2"/>
        <v>2024 05</v>
      </c>
    </row>
    <row r="1181" ht="22.5" customHeight="1">
      <c r="A1181" s="12">
        <f>IFERROR(__xludf.DUMMYFUNCTION("""COMPUTED_VALUE"""),2086.0)</f>
        <v>2086</v>
      </c>
      <c r="B1181" s="13">
        <f>IFERROR(__xludf.DUMMYFUNCTION("""COMPUTED_VALUE"""),45438.0)</f>
        <v>45438</v>
      </c>
      <c r="C1181" s="12">
        <f>IFERROR(__xludf.DUMMYFUNCTION("""COMPUTED_VALUE"""),68.0)</f>
        <v>68</v>
      </c>
      <c r="D1181" s="12">
        <f>IFERROR(__xludf.DUMMYFUNCTION("""COMPUTED_VALUE"""),5.0)</f>
        <v>5</v>
      </c>
      <c r="E1181" s="12">
        <f>IFERROR(__xludf.DUMMYFUNCTION("""COMPUTED_VALUE"""),3.0)</f>
        <v>3</v>
      </c>
      <c r="F1181" s="12">
        <f>IFERROR(__xludf.DUMMYFUNCTION("""COMPUTED_VALUE"""),4.0)</f>
        <v>4</v>
      </c>
      <c r="G1181" s="15" t="str">
        <f>IFERROR(__xludf.DUMMYFUNCTION("""COMPUTED_VALUE"""),"Completa")</f>
        <v>Completa</v>
      </c>
      <c r="H1181" s="16" t="str">
        <f t="array" ref="H1181">_xlfn.XLOOKUP(D1181,Productos[ID_Producto],Productos[Nombre_Producto])</f>
        <v>Manteca</v>
      </c>
      <c r="I1181" s="17">
        <f t="array" ref="I1181">_xlfn.XLOOKUP(D1181,Productos[ID_Producto],Productos[Precio_Unitario])</f>
        <v>5.65</v>
      </c>
      <c r="J1181" s="17">
        <f t="shared" si="1"/>
        <v>16.95</v>
      </c>
      <c r="K1181" s="16" t="str">
        <f t="array" ref="K1181">_xlfn.XLOOKUP(C1181,Clientes[ID_Cliente],Clientes[Provincia])</f>
        <v>Neuquén</v>
      </c>
      <c r="L1181" s="16" t="str">
        <f t="array" ref="L1181">CONCATENATE(_xlfn.XLOOKUP(C1181,Clientes[ID_Cliente],Clientes[Provincia]),", Argentina")</f>
        <v>Neuquén, Argentina</v>
      </c>
      <c r="M1181" s="20" t="str">
        <f t="array" ref="M1181">_xlfn.XLOOKUP(F1181,Metodos_De_Pago[ID_Metodo],Metodos_De_Pago[Metodo])</f>
        <v>Mercado Pago</v>
      </c>
      <c r="N1181" s="20" t="str">
        <f t="shared" si="2"/>
        <v>2024 05</v>
      </c>
    </row>
    <row r="1182" ht="22.5" customHeight="1">
      <c r="A1182" s="12">
        <f>IFERROR(__xludf.DUMMYFUNCTION("""COMPUTED_VALUE"""),1481.0)</f>
        <v>1481</v>
      </c>
      <c r="B1182" s="13">
        <f>IFERROR(__xludf.DUMMYFUNCTION("""COMPUTED_VALUE"""),45439.0)</f>
        <v>45439</v>
      </c>
      <c r="C1182" s="12">
        <f>IFERROR(__xludf.DUMMYFUNCTION("""COMPUTED_VALUE"""),148.0)</f>
        <v>148</v>
      </c>
      <c r="D1182" s="12">
        <f>IFERROR(__xludf.DUMMYFUNCTION("""COMPUTED_VALUE"""),35.0)</f>
        <v>35</v>
      </c>
      <c r="E1182" s="12">
        <f>IFERROR(__xludf.DUMMYFUNCTION("""COMPUTED_VALUE"""),3.0)</f>
        <v>3</v>
      </c>
      <c r="F1182" s="12">
        <f>IFERROR(__xludf.DUMMYFUNCTION("""COMPUTED_VALUE"""),3.0)</f>
        <v>3</v>
      </c>
      <c r="G1182" s="15" t="str">
        <f>IFERROR(__xludf.DUMMYFUNCTION("""COMPUTED_VALUE"""),"Pendiente")</f>
        <v>Pendiente</v>
      </c>
      <c r="H1182" s="16" t="str">
        <f t="array" ref="H1182">_xlfn.XLOOKUP(D1182,Productos[ID_Producto],Productos[Nombre_Producto])</f>
        <v>Arroz</v>
      </c>
      <c r="I1182" s="17">
        <f t="array" ref="I1182">_xlfn.XLOOKUP(D1182,Productos[ID_Producto],Productos[Precio_Unitario])</f>
        <v>4.25</v>
      </c>
      <c r="J1182" s="17">
        <f t="shared" si="1"/>
        <v>12.75</v>
      </c>
      <c r="K1182" s="16" t="str">
        <f t="array" ref="K1182">_xlfn.XLOOKUP(C1182,Clientes[ID_Cliente],Clientes[Provincia])</f>
        <v>Córdoba</v>
      </c>
      <c r="L1182" s="16" t="str">
        <f t="array" ref="L1182">CONCATENATE(_xlfn.XLOOKUP(C1182,Clientes[ID_Cliente],Clientes[Provincia]),", Argentina")</f>
        <v>Córdoba, Argentina</v>
      </c>
      <c r="M1182" s="20" t="str">
        <f t="array" ref="M1182">_xlfn.XLOOKUP(F1182,Metodos_De_Pago[ID_Metodo],Metodos_De_Pago[Metodo])</f>
        <v>Tarjeta de Débito</v>
      </c>
      <c r="N1182" s="20" t="str">
        <f t="shared" si="2"/>
        <v>2024 05</v>
      </c>
    </row>
    <row r="1183" ht="22.5" customHeight="1">
      <c r="A1183" s="12">
        <f>IFERROR(__xludf.DUMMYFUNCTION("""COMPUTED_VALUE"""),1661.0)</f>
        <v>1661</v>
      </c>
      <c r="B1183" s="13">
        <f>IFERROR(__xludf.DUMMYFUNCTION("""COMPUTED_VALUE"""),45439.0)</f>
        <v>45439</v>
      </c>
      <c r="C1183" s="12">
        <f>IFERROR(__xludf.DUMMYFUNCTION("""COMPUTED_VALUE"""),146.0)</f>
        <v>146</v>
      </c>
      <c r="D1183" s="12">
        <f>IFERROR(__xludf.DUMMYFUNCTION("""COMPUTED_VALUE"""),8.0)</f>
        <v>8</v>
      </c>
      <c r="E1183" s="12">
        <f>IFERROR(__xludf.DUMMYFUNCTION("""COMPUTED_VALUE"""),3.0)</f>
        <v>3</v>
      </c>
      <c r="F1183" s="12">
        <f>IFERROR(__xludf.DUMMYFUNCTION("""COMPUTED_VALUE"""),1.0)</f>
        <v>1</v>
      </c>
      <c r="G1183" s="15" t="str">
        <f>IFERROR(__xludf.DUMMYFUNCTION("""COMPUTED_VALUE"""),"Completa")</f>
        <v>Completa</v>
      </c>
      <c r="H1183" s="16" t="str">
        <f t="array" ref="H1183">_xlfn.XLOOKUP(D1183,Productos[ID_Producto],Productos[Nombre_Producto])</f>
        <v>Milanesa</v>
      </c>
      <c r="I1183" s="17">
        <f t="array" ref="I1183">_xlfn.XLOOKUP(D1183,Productos[ID_Producto],Productos[Precio_Unitario])</f>
        <v>16.21</v>
      </c>
      <c r="J1183" s="17">
        <f t="shared" si="1"/>
        <v>48.63</v>
      </c>
      <c r="K1183" s="16" t="str">
        <f t="array" ref="K1183">_xlfn.XLOOKUP(C1183,Clientes[ID_Cliente],Clientes[Provincia])</f>
        <v>San Luis</v>
      </c>
      <c r="L1183" s="16" t="str">
        <f t="array" ref="L1183">CONCATENATE(_xlfn.XLOOKUP(C1183,Clientes[ID_Cliente],Clientes[Provincia]),", Argentina")</f>
        <v>San Luis, Argentina</v>
      </c>
      <c r="M1183" s="20" t="str">
        <f t="array" ref="M1183">_xlfn.XLOOKUP(F1183,Metodos_De_Pago[ID_Metodo],Metodos_De_Pago[Metodo])</f>
        <v>Efectivo</v>
      </c>
      <c r="N1183" s="20" t="str">
        <f t="shared" si="2"/>
        <v>2024 05</v>
      </c>
    </row>
    <row r="1184" ht="22.5" customHeight="1">
      <c r="A1184" s="12">
        <f>IFERROR(__xludf.DUMMYFUNCTION("""COMPUTED_VALUE"""),2123.0)</f>
        <v>2123</v>
      </c>
      <c r="B1184" s="13">
        <f>IFERROR(__xludf.DUMMYFUNCTION("""COMPUTED_VALUE"""),45439.0)</f>
        <v>45439</v>
      </c>
      <c r="C1184" s="12">
        <f>IFERROR(__xludf.DUMMYFUNCTION("""COMPUTED_VALUE"""),235.0)</f>
        <v>235</v>
      </c>
      <c r="D1184" s="12">
        <f>IFERROR(__xludf.DUMMYFUNCTION("""COMPUTED_VALUE"""),17.0)</f>
        <v>17</v>
      </c>
      <c r="E1184" s="12">
        <f>IFERROR(__xludf.DUMMYFUNCTION("""COMPUTED_VALUE"""),3.0)</f>
        <v>3</v>
      </c>
      <c r="F1184" s="12">
        <f>IFERROR(__xludf.DUMMYFUNCTION("""COMPUTED_VALUE"""),5.0)</f>
        <v>5</v>
      </c>
      <c r="G1184" s="15" t="str">
        <f>IFERROR(__xludf.DUMMYFUNCTION("""COMPUTED_VALUE"""),"Completa")</f>
        <v>Completa</v>
      </c>
      <c r="H1184" s="16" t="str">
        <f t="array" ref="H1184">_xlfn.XLOOKUP(D1184,Productos[ID_Producto],Productos[Nombre_Producto])</f>
        <v>Manzanas</v>
      </c>
      <c r="I1184" s="17">
        <f t="array" ref="I1184">_xlfn.XLOOKUP(D1184,Productos[ID_Producto],Productos[Precio_Unitario])</f>
        <v>6.54</v>
      </c>
      <c r="J1184" s="17">
        <f t="shared" si="1"/>
        <v>19.62</v>
      </c>
      <c r="K1184" s="16" t="str">
        <f t="array" ref="K1184">_xlfn.XLOOKUP(C1184,Clientes[ID_Cliente],Clientes[Provincia])</f>
        <v>Chaco</v>
      </c>
      <c r="L1184" s="16" t="str">
        <f t="array" ref="L1184">CONCATENATE(_xlfn.XLOOKUP(C1184,Clientes[ID_Cliente],Clientes[Provincia]),", Argentina")</f>
        <v>Chaco, Argentina</v>
      </c>
      <c r="M1184" s="20" t="str">
        <f t="array" ref="M1184">_xlfn.XLOOKUP(F1184,Metodos_De_Pago[ID_Metodo],Metodos_De_Pago[Metodo])</f>
        <v>Transferencia</v>
      </c>
      <c r="N1184" s="20" t="str">
        <f t="shared" si="2"/>
        <v>2024 05</v>
      </c>
    </row>
    <row r="1185" ht="22.5" customHeight="1">
      <c r="A1185" s="12">
        <f>IFERROR(__xludf.DUMMYFUNCTION("""COMPUTED_VALUE"""),2940.0)</f>
        <v>2940</v>
      </c>
      <c r="B1185" s="13">
        <f>IFERROR(__xludf.DUMMYFUNCTION("""COMPUTED_VALUE"""),45439.0)</f>
        <v>45439</v>
      </c>
      <c r="C1185" s="12">
        <f>IFERROR(__xludf.DUMMYFUNCTION("""COMPUTED_VALUE"""),56.0)</f>
        <v>56</v>
      </c>
      <c r="D1185" s="12">
        <f>IFERROR(__xludf.DUMMYFUNCTION("""COMPUTED_VALUE"""),9.0)</f>
        <v>9</v>
      </c>
      <c r="E1185" s="12">
        <f>IFERROR(__xludf.DUMMYFUNCTION("""COMPUTED_VALUE"""),3.0)</f>
        <v>3</v>
      </c>
      <c r="F1185" s="12">
        <f>IFERROR(__xludf.DUMMYFUNCTION("""COMPUTED_VALUE"""),5.0)</f>
        <v>5</v>
      </c>
      <c r="G1185" s="15" t="str">
        <f>IFERROR(__xludf.DUMMYFUNCTION("""COMPUTED_VALUE"""),"Pendiente")</f>
        <v>Pendiente</v>
      </c>
      <c r="H1185" s="16" t="str">
        <f t="array" ref="H1185">_xlfn.XLOOKUP(D1185,Productos[ID_Producto],Productos[Nombre_Producto])</f>
        <v>Pollo</v>
      </c>
      <c r="I1185" s="17">
        <f t="array" ref="I1185">_xlfn.XLOOKUP(D1185,Productos[ID_Producto],Productos[Precio_Unitario])</f>
        <v>18.56</v>
      </c>
      <c r="J1185" s="17">
        <f t="shared" si="1"/>
        <v>55.68</v>
      </c>
      <c r="K1185" s="16" t="str">
        <f t="array" ref="K1185">_xlfn.XLOOKUP(C1185,Clientes[ID_Cliente],Clientes[Provincia])</f>
        <v>Córdoba</v>
      </c>
      <c r="L1185" s="16" t="str">
        <f t="array" ref="L1185">CONCATENATE(_xlfn.XLOOKUP(C1185,Clientes[ID_Cliente],Clientes[Provincia]),", Argentina")</f>
        <v>Córdoba, Argentina</v>
      </c>
      <c r="M1185" s="20" t="str">
        <f t="array" ref="M1185">_xlfn.XLOOKUP(F1185,Metodos_De_Pago[ID_Metodo],Metodos_De_Pago[Metodo])</f>
        <v>Transferencia</v>
      </c>
      <c r="N1185" s="20" t="str">
        <f t="shared" si="2"/>
        <v>2024 05</v>
      </c>
    </row>
    <row r="1186" ht="22.5" customHeight="1">
      <c r="A1186" s="12">
        <f>IFERROR(__xludf.DUMMYFUNCTION("""COMPUTED_VALUE"""),1421.0)</f>
        <v>1421</v>
      </c>
      <c r="B1186" s="13">
        <f>IFERROR(__xludf.DUMMYFUNCTION("""COMPUTED_VALUE"""),45440.0)</f>
        <v>45440</v>
      </c>
      <c r="C1186" s="12">
        <f>IFERROR(__xludf.DUMMYFUNCTION("""COMPUTED_VALUE"""),89.0)</f>
        <v>89</v>
      </c>
      <c r="D1186" s="12">
        <f>IFERROR(__xludf.DUMMYFUNCTION("""COMPUTED_VALUE"""),17.0)</f>
        <v>17</v>
      </c>
      <c r="E1186" s="12">
        <f>IFERROR(__xludf.DUMMYFUNCTION("""COMPUTED_VALUE"""),3.0)</f>
        <v>3</v>
      </c>
      <c r="F1186" s="12">
        <f>IFERROR(__xludf.DUMMYFUNCTION("""COMPUTED_VALUE"""),3.0)</f>
        <v>3</v>
      </c>
      <c r="G1186" s="15" t="str">
        <f>IFERROR(__xludf.DUMMYFUNCTION("""COMPUTED_VALUE"""),"Pendiente")</f>
        <v>Pendiente</v>
      </c>
      <c r="H1186" s="16" t="str">
        <f t="array" ref="H1186">_xlfn.XLOOKUP(D1186,Productos[ID_Producto],Productos[Nombre_Producto])</f>
        <v>Manzanas</v>
      </c>
      <c r="I1186" s="17">
        <f t="array" ref="I1186">_xlfn.XLOOKUP(D1186,Productos[ID_Producto],Productos[Precio_Unitario])</f>
        <v>6.54</v>
      </c>
      <c r="J1186" s="17">
        <f t="shared" si="1"/>
        <v>19.62</v>
      </c>
      <c r="K1186" s="16" t="str">
        <f t="array" ref="K1186">_xlfn.XLOOKUP(C1186,Clientes[ID_Cliente],Clientes[Provincia])</f>
        <v>Neuquén</v>
      </c>
      <c r="L1186" s="16" t="str">
        <f t="array" ref="L1186">CONCATENATE(_xlfn.XLOOKUP(C1186,Clientes[ID_Cliente],Clientes[Provincia]),", Argentina")</f>
        <v>Neuquén, Argentina</v>
      </c>
      <c r="M1186" s="20" t="str">
        <f t="array" ref="M1186">_xlfn.XLOOKUP(F1186,Metodos_De_Pago[ID_Metodo],Metodos_De_Pago[Metodo])</f>
        <v>Tarjeta de Débito</v>
      </c>
      <c r="N1186" s="20" t="str">
        <f t="shared" si="2"/>
        <v>2024 05</v>
      </c>
    </row>
    <row r="1187" ht="22.5" customHeight="1">
      <c r="A1187" s="12">
        <f>IFERROR(__xludf.DUMMYFUNCTION("""COMPUTED_VALUE"""),1837.0)</f>
        <v>1837</v>
      </c>
      <c r="B1187" s="13">
        <f>IFERROR(__xludf.DUMMYFUNCTION("""COMPUTED_VALUE"""),45441.0)</f>
        <v>45441</v>
      </c>
      <c r="C1187" s="12">
        <f>IFERROR(__xludf.DUMMYFUNCTION("""COMPUTED_VALUE"""),26.0)</f>
        <v>26</v>
      </c>
      <c r="D1187" s="12">
        <f>IFERROR(__xludf.DUMMYFUNCTION("""COMPUTED_VALUE"""),17.0)</f>
        <v>17</v>
      </c>
      <c r="E1187" s="12">
        <f>IFERROR(__xludf.DUMMYFUNCTION("""COMPUTED_VALUE"""),3.0)</f>
        <v>3</v>
      </c>
      <c r="F1187" s="12">
        <f>IFERROR(__xludf.DUMMYFUNCTION("""COMPUTED_VALUE"""),1.0)</f>
        <v>1</v>
      </c>
      <c r="G1187" s="15" t="str">
        <f>IFERROR(__xludf.DUMMYFUNCTION("""COMPUTED_VALUE"""),"Completa")</f>
        <v>Completa</v>
      </c>
      <c r="H1187" s="16" t="str">
        <f t="array" ref="H1187">_xlfn.XLOOKUP(D1187,Productos[ID_Producto],Productos[Nombre_Producto])</f>
        <v>Manzanas</v>
      </c>
      <c r="I1187" s="17">
        <f t="array" ref="I1187">_xlfn.XLOOKUP(D1187,Productos[ID_Producto],Productos[Precio_Unitario])</f>
        <v>6.54</v>
      </c>
      <c r="J1187" s="17">
        <f t="shared" si="1"/>
        <v>19.62</v>
      </c>
      <c r="K1187" s="16" t="str">
        <f t="array" ref="K1187">_xlfn.XLOOKUP(C1187,Clientes[ID_Cliente],Clientes[Provincia])</f>
        <v>Córdoba</v>
      </c>
      <c r="L1187" s="16" t="str">
        <f t="array" ref="L1187">CONCATENATE(_xlfn.XLOOKUP(C1187,Clientes[ID_Cliente],Clientes[Provincia]),", Argentina")</f>
        <v>Córdoba, Argentina</v>
      </c>
      <c r="M1187" s="20" t="str">
        <f t="array" ref="M1187">_xlfn.XLOOKUP(F1187,Metodos_De_Pago[ID_Metodo],Metodos_De_Pago[Metodo])</f>
        <v>Efectivo</v>
      </c>
      <c r="N1187" s="20" t="str">
        <f t="shared" si="2"/>
        <v>2024 05</v>
      </c>
    </row>
    <row r="1188" ht="22.5" customHeight="1">
      <c r="A1188" s="12">
        <f>IFERROR(__xludf.DUMMYFUNCTION("""COMPUTED_VALUE"""),650.0)</f>
        <v>650</v>
      </c>
      <c r="B1188" s="13">
        <f>IFERROR(__xludf.DUMMYFUNCTION("""COMPUTED_VALUE"""),45443.0)</f>
        <v>45443</v>
      </c>
      <c r="C1188" s="12">
        <f>IFERROR(__xludf.DUMMYFUNCTION("""COMPUTED_VALUE"""),242.0)</f>
        <v>242</v>
      </c>
      <c r="D1188" s="12">
        <f>IFERROR(__xludf.DUMMYFUNCTION("""COMPUTED_VALUE"""),9.0)</f>
        <v>9</v>
      </c>
      <c r="E1188" s="12">
        <f>IFERROR(__xludf.DUMMYFUNCTION("""COMPUTED_VALUE"""),3.0)</f>
        <v>3</v>
      </c>
      <c r="F1188" s="12">
        <f>IFERROR(__xludf.DUMMYFUNCTION("""COMPUTED_VALUE"""),1.0)</f>
        <v>1</v>
      </c>
      <c r="G1188" s="15" t="str">
        <f>IFERROR(__xludf.DUMMYFUNCTION("""COMPUTED_VALUE"""),"Pendiente")</f>
        <v>Pendiente</v>
      </c>
      <c r="H1188" s="16" t="str">
        <f t="array" ref="H1188">_xlfn.XLOOKUP(D1188,Productos[ID_Producto],Productos[Nombre_Producto])</f>
        <v>Pollo</v>
      </c>
      <c r="I1188" s="17">
        <f t="array" ref="I1188">_xlfn.XLOOKUP(D1188,Productos[ID_Producto],Productos[Precio_Unitario])</f>
        <v>18.56</v>
      </c>
      <c r="J1188" s="17">
        <f t="shared" si="1"/>
        <v>55.68</v>
      </c>
      <c r="K1188" s="16" t="str">
        <f t="array" ref="K1188">_xlfn.XLOOKUP(C1188,Clientes[ID_Cliente],Clientes[Provincia])</f>
        <v>Chaco</v>
      </c>
      <c r="L1188" s="16" t="str">
        <f t="array" ref="L1188">CONCATENATE(_xlfn.XLOOKUP(C1188,Clientes[ID_Cliente],Clientes[Provincia]),", Argentina")</f>
        <v>Chaco, Argentina</v>
      </c>
      <c r="M1188" s="20" t="str">
        <f t="array" ref="M1188">_xlfn.XLOOKUP(F1188,Metodos_De_Pago[ID_Metodo],Metodos_De_Pago[Metodo])</f>
        <v>Efectivo</v>
      </c>
      <c r="N1188" s="20" t="str">
        <f t="shared" si="2"/>
        <v>2024 05</v>
      </c>
    </row>
    <row r="1189" ht="22.5" customHeight="1">
      <c r="A1189" s="12">
        <f>IFERROR(__xludf.DUMMYFUNCTION("""COMPUTED_VALUE"""),1205.0)</f>
        <v>1205</v>
      </c>
      <c r="B1189" s="13">
        <f>IFERROR(__xludf.DUMMYFUNCTION("""COMPUTED_VALUE"""),45443.0)</f>
        <v>45443</v>
      </c>
      <c r="C1189" s="12">
        <f>IFERROR(__xludf.DUMMYFUNCTION("""COMPUTED_VALUE"""),285.0)</f>
        <v>285</v>
      </c>
      <c r="D1189" s="12">
        <f>IFERROR(__xludf.DUMMYFUNCTION("""COMPUTED_VALUE"""),27.0)</f>
        <v>27</v>
      </c>
      <c r="E1189" s="12">
        <f>IFERROR(__xludf.DUMMYFUNCTION("""COMPUTED_VALUE"""),3.0)</f>
        <v>3</v>
      </c>
      <c r="F1189" s="12">
        <f>IFERROR(__xludf.DUMMYFUNCTION("""COMPUTED_VALUE"""),4.0)</f>
        <v>4</v>
      </c>
      <c r="G1189" s="15" t="str">
        <f>IFERROR(__xludf.DUMMYFUNCTION("""COMPUTED_VALUE"""),"Completa")</f>
        <v>Completa</v>
      </c>
      <c r="H1189" s="16" t="str">
        <f t="array" ref="H1189">_xlfn.XLOOKUP(D1189,Productos[ID_Producto],Productos[Nombre_Producto])</f>
        <v>Agua mineral</v>
      </c>
      <c r="I1189" s="17">
        <f t="array" ref="I1189">_xlfn.XLOOKUP(D1189,Productos[ID_Producto],Productos[Precio_Unitario])</f>
        <v>6.21</v>
      </c>
      <c r="J1189" s="17">
        <f t="shared" si="1"/>
        <v>18.63</v>
      </c>
      <c r="K1189" s="16" t="str">
        <f t="array" ref="K1189">_xlfn.XLOOKUP(C1189,Clientes[ID_Cliente],Clientes[Provincia])</f>
        <v>Neuquén</v>
      </c>
      <c r="L1189" s="16" t="str">
        <f t="array" ref="L1189">CONCATENATE(_xlfn.XLOOKUP(C1189,Clientes[ID_Cliente],Clientes[Provincia]),", Argentina")</f>
        <v>Neuquén, Argentina</v>
      </c>
      <c r="M1189" s="20" t="str">
        <f t="array" ref="M1189">_xlfn.XLOOKUP(F1189,Metodos_De_Pago[ID_Metodo],Metodos_De_Pago[Metodo])</f>
        <v>Mercado Pago</v>
      </c>
      <c r="N1189" s="20" t="str">
        <f t="shared" si="2"/>
        <v>2024 05</v>
      </c>
    </row>
    <row r="1190" ht="22.5" customHeight="1">
      <c r="A1190" s="12">
        <f>IFERROR(__xludf.DUMMYFUNCTION("""COMPUTED_VALUE"""),2315.0)</f>
        <v>2315</v>
      </c>
      <c r="B1190" s="13">
        <f>IFERROR(__xludf.DUMMYFUNCTION("""COMPUTED_VALUE"""),45443.0)</f>
        <v>45443</v>
      </c>
      <c r="C1190" s="12">
        <f>IFERROR(__xludf.DUMMYFUNCTION("""COMPUTED_VALUE"""),312.0)</f>
        <v>312</v>
      </c>
      <c r="D1190" s="12">
        <f>IFERROR(__xludf.DUMMYFUNCTION("""COMPUTED_VALUE"""),3.0)</f>
        <v>3</v>
      </c>
      <c r="E1190" s="12">
        <f>IFERROR(__xludf.DUMMYFUNCTION("""COMPUTED_VALUE"""),3.0)</f>
        <v>3</v>
      </c>
      <c r="F1190" s="12">
        <f>IFERROR(__xludf.DUMMYFUNCTION("""COMPUTED_VALUE"""),5.0)</f>
        <v>5</v>
      </c>
      <c r="G1190" s="15" t="str">
        <f>IFERROR(__xludf.DUMMYFUNCTION("""COMPUTED_VALUE"""),"Completa")</f>
        <v>Completa</v>
      </c>
      <c r="H1190" s="16" t="str">
        <f t="array" ref="H1190">_xlfn.XLOOKUP(D1190,Productos[ID_Producto],Productos[Nombre_Producto])</f>
        <v>Queso cremoso</v>
      </c>
      <c r="I1190" s="17">
        <f t="array" ref="I1190">_xlfn.XLOOKUP(D1190,Productos[ID_Producto],Productos[Precio_Unitario])</f>
        <v>17.23</v>
      </c>
      <c r="J1190" s="17">
        <f t="shared" si="1"/>
        <v>51.69</v>
      </c>
      <c r="K1190" s="16" t="str">
        <f t="array" ref="K1190">_xlfn.XLOOKUP(C1190,Clientes[ID_Cliente],Clientes[Provincia])</f>
        <v>San Luis</v>
      </c>
      <c r="L1190" s="16" t="str">
        <f t="array" ref="L1190">CONCATENATE(_xlfn.XLOOKUP(C1190,Clientes[ID_Cliente],Clientes[Provincia]),", Argentina")</f>
        <v>San Luis, Argentina</v>
      </c>
      <c r="M1190" s="20" t="str">
        <f t="array" ref="M1190">_xlfn.XLOOKUP(F1190,Metodos_De_Pago[ID_Metodo],Metodos_De_Pago[Metodo])</f>
        <v>Transferencia</v>
      </c>
      <c r="N1190" s="20" t="str">
        <f t="shared" si="2"/>
        <v>2024 05</v>
      </c>
    </row>
    <row r="1191" ht="22.5" customHeight="1">
      <c r="A1191" s="12">
        <f>IFERROR(__xludf.DUMMYFUNCTION("""COMPUTED_VALUE"""),2.0)</f>
        <v>2</v>
      </c>
      <c r="B1191" s="13">
        <f>IFERROR(__xludf.DUMMYFUNCTION("""COMPUTED_VALUE"""),45444.0)</f>
        <v>45444</v>
      </c>
      <c r="C1191" s="12">
        <f>IFERROR(__xludf.DUMMYFUNCTION("""COMPUTED_VALUE"""),37.0)</f>
        <v>37</v>
      </c>
      <c r="D1191" s="12">
        <f>IFERROR(__xludf.DUMMYFUNCTION("""COMPUTED_VALUE"""),15.0)</f>
        <v>15</v>
      </c>
      <c r="E1191" s="12">
        <f>IFERROR(__xludf.DUMMYFUNCTION("""COMPUTED_VALUE"""),3.0)</f>
        <v>3</v>
      </c>
      <c r="F1191" s="12">
        <f>IFERROR(__xludf.DUMMYFUNCTION("""COMPUTED_VALUE"""),1.0)</f>
        <v>1</v>
      </c>
      <c r="G1191" s="15" t="str">
        <f>IFERROR(__xludf.DUMMYFUNCTION("""COMPUTED_VALUE"""),"Completa")</f>
        <v>Completa</v>
      </c>
      <c r="H1191" s="16" t="str">
        <f t="array" ref="H1191">_xlfn.XLOOKUP(D1191,Productos[ID_Producto],Productos[Nombre_Producto])</f>
        <v>Medialunas</v>
      </c>
      <c r="I1191" s="17">
        <f t="array" ref="I1191">_xlfn.XLOOKUP(D1191,Productos[ID_Producto],Productos[Precio_Unitario])</f>
        <v>3.51</v>
      </c>
      <c r="J1191" s="17">
        <f t="shared" si="1"/>
        <v>10.53</v>
      </c>
      <c r="K1191" s="16" t="str">
        <f t="array" ref="K1191">_xlfn.XLOOKUP(C1191,Clientes[ID_Cliente],Clientes[Provincia])</f>
        <v>San Luis</v>
      </c>
      <c r="L1191" s="16" t="str">
        <f t="array" ref="L1191">CONCATENATE(_xlfn.XLOOKUP(C1191,Clientes[ID_Cliente],Clientes[Provincia]),", Argentina")</f>
        <v>San Luis, Argentina</v>
      </c>
      <c r="M1191" s="20" t="str">
        <f t="array" ref="M1191">_xlfn.XLOOKUP(F1191,Metodos_De_Pago[ID_Metodo],Metodos_De_Pago[Metodo])</f>
        <v>Efectivo</v>
      </c>
      <c r="N1191" s="20" t="str">
        <f t="shared" si="2"/>
        <v>2024 06</v>
      </c>
    </row>
    <row r="1192" ht="22.5" customHeight="1">
      <c r="A1192" s="12">
        <f>IFERROR(__xludf.DUMMYFUNCTION("""COMPUTED_VALUE"""),383.0)</f>
        <v>383</v>
      </c>
      <c r="B1192" s="13">
        <f>IFERROR(__xludf.DUMMYFUNCTION("""COMPUTED_VALUE"""),45444.0)</f>
        <v>45444</v>
      </c>
      <c r="C1192" s="12">
        <f>IFERROR(__xludf.DUMMYFUNCTION("""COMPUTED_VALUE"""),75.0)</f>
        <v>75</v>
      </c>
      <c r="D1192" s="12">
        <f>IFERROR(__xludf.DUMMYFUNCTION("""COMPUTED_VALUE"""),25.0)</f>
        <v>25</v>
      </c>
      <c r="E1192" s="12">
        <f>IFERROR(__xludf.DUMMYFUNCTION("""COMPUTED_VALUE"""),3.0)</f>
        <v>3</v>
      </c>
      <c r="F1192" s="12">
        <f>IFERROR(__xludf.DUMMYFUNCTION("""COMPUTED_VALUE"""),2.0)</f>
        <v>2</v>
      </c>
      <c r="G1192" s="15" t="str">
        <f>IFERROR(__xludf.DUMMYFUNCTION("""COMPUTED_VALUE"""),"Completa")</f>
        <v>Completa</v>
      </c>
      <c r="H1192" s="16" t="str">
        <f t="array" ref="H1192">_xlfn.XLOOKUP(D1192,Productos[ID_Producto],Productos[Nombre_Producto])</f>
        <v>Pizza congelada</v>
      </c>
      <c r="I1192" s="17">
        <f t="array" ref="I1192">_xlfn.XLOOKUP(D1192,Productos[ID_Producto],Productos[Precio_Unitario])</f>
        <v>15.45</v>
      </c>
      <c r="J1192" s="17">
        <f t="shared" si="1"/>
        <v>46.35</v>
      </c>
      <c r="K1192" s="16" t="str">
        <f t="array" ref="K1192">_xlfn.XLOOKUP(C1192,Clientes[ID_Cliente],Clientes[Provincia])</f>
        <v>Chaco</v>
      </c>
      <c r="L1192" s="16" t="str">
        <f t="array" ref="L1192">CONCATENATE(_xlfn.XLOOKUP(C1192,Clientes[ID_Cliente],Clientes[Provincia]),", Argentina")</f>
        <v>Chaco, Argentina</v>
      </c>
      <c r="M1192" s="20" t="str">
        <f t="array" ref="M1192">_xlfn.XLOOKUP(F1192,Metodos_De_Pago[ID_Metodo],Metodos_De_Pago[Metodo])</f>
        <v>Tarjeta de Crédito</v>
      </c>
      <c r="N1192" s="20" t="str">
        <f t="shared" si="2"/>
        <v>2024 06</v>
      </c>
    </row>
    <row r="1193" ht="22.5" customHeight="1">
      <c r="A1193" s="12">
        <f>IFERROR(__xludf.DUMMYFUNCTION("""COMPUTED_VALUE"""),2909.0)</f>
        <v>2909</v>
      </c>
      <c r="B1193" s="13">
        <f>IFERROR(__xludf.DUMMYFUNCTION("""COMPUTED_VALUE"""),45444.0)</f>
        <v>45444</v>
      </c>
      <c r="C1193" s="12">
        <f>IFERROR(__xludf.DUMMYFUNCTION("""COMPUTED_VALUE"""),277.0)</f>
        <v>277</v>
      </c>
      <c r="D1193" s="12">
        <f>IFERROR(__xludf.DUMMYFUNCTION("""COMPUTED_VALUE"""),24.0)</f>
        <v>24</v>
      </c>
      <c r="E1193" s="12">
        <f>IFERROR(__xludf.DUMMYFUNCTION("""COMPUTED_VALUE"""),3.0)</f>
        <v>3</v>
      </c>
      <c r="F1193" s="12">
        <f>IFERROR(__xludf.DUMMYFUNCTION("""COMPUTED_VALUE"""),3.0)</f>
        <v>3</v>
      </c>
      <c r="G1193" s="15" t="str">
        <f>IFERROR(__xludf.DUMMYFUNCTION("""COMPUTED_VALUE"""),"Completa")</f>
        <v>Completa</v>
      </c>
      <c r="H1193" s="16" t="str">
        <f t="array" ref="H1193">_xlfn.XLOOKUP(D1193,Productos[ID_Producto],Productos[Nombre_Producto])</f>
        <v>Empanadas</v>
      </c>
      <c r="I1193" s="17">
        <f t="array" ref="I1193">_xlfn.XLOOKUP(D1193,Productos[ID_Producto],Productos[Precio_Unitario])</f>
        <v>13.54</v>
      </c>
      <c r="J1193" s="17">
        <f t="shared" si="1"/>
        <v>40.62</v>
      </c>
      <c r="K1193" s="16" t="str">
        <f t="array" ref="K1193">_xlfn.XLOOKUP(C1193,Clientes[ID_Cliente],Clientes[Provincia])</f>
        <v>Neuquén</v>
      </c>
      <c r="L1193" s="16" t="str">
        <f t="array" ref="L1193">CONCATENATE(_xlfn.XLOOKUP(C1193,Clientes[ID_Cliente],Clientes[Provincia]),", Argentina")</f>
        <v>Neuquén, Argentina</v>
      </c>
      <c r="M1193" s="20" t="str">
        <f t="array" ref="M1193">_xlfn.XLOOKUP(F1193,Metodos_De_Pago[ID_Metodo],Metodos_De_Pago[Metodo])</f>
        <v>Tarjeta de Débito</v>
      </c>
      <c r="N1193" s="20" t="str">
        <f t="shared" si="2"/>
        <v>2024 06</v>
      </c>
    </row>
    <row r="1194" ht="22.5" customHeight="1">
      <c r="A1194" s="12">
        <f>IFERROR(__xludf.DUMMYFUNCTION("""COMPUTED_VALUE"""),45.0)</f>
        <v>45</v>
      </c>
      <c r="B1194" s="13">
        <f>IFERROR(__xludf.DUMMYFUNCTION("""COMPUTED_VALUE"""),45445.0)</f>
        <v>45445</v>
      </c>
      <c r="C1194" s="12">
        <f>IFERROR(__xludf.DUMMYFUNCTION("""COMPUTED_VALUE"""),11.0)</f>
        <v>11</v>
      </c>
      <c r="D1194" s="12">
        <f>IFERROR(__xludf.DUMMYFUNCTION("""COMPUTED_VALUE"""),30.0)</f>
        <v>30</v>
      </c>
      <c r="E1194" s="12">
        <f>IFERROR(__xludf.DUMMYFUNCTION("""COMPUTED_VALUE"""),3.0)</f>
        <v>3</v>
      </c>
      <c r="F1194" s="12">
        <f>IFERROR(__xludf.DUMMYFUNCTION("""COMPUTED_VALUE"""),5.0)</f>
        <v>5</v>
      </c>
      <c r="G1194" s="15" t="str">
        <f>IFERROR(__xludf.DUMMYFUNCTION("""COMPUTED_VALUE"""),"Completa")</f>
        <v>Completa</v>
      </c>
      <c r="H1194" s="16" t="str">
        <f t="array" ref="H1194">_xlfn.XLOOKUP(D1194,Productos[ID_Producto],Productos[Nombre_Producto])</f>
        <v>Vino tinto</v>
      </c>
      <c r="I1194" s="17">
        <f t="array" ref="I1194">_xlfn.XLOOKUP(D1194,Productos[ID_Producto],Productos[Precio_Unitario])</f>
        <v>13.54</v>
      </c>
      <c r="J1194" s="17">
        <f t="shared" si="1"/>
        <v>40.62</v>
      </c>
      <c r="K1194" s="16" t="str">
        <f t="array" ref="K1194">_xlfn.XLOOKUP(C1194,Clientes[ID_Cliente],Clientes[Provincia])</f>
        <v>Buenos Aires</v>
      </c>
      <c r="L1194" s="16" t="str">
        <f t="array" ref="L1194">CONCATENATE(_xlfn.XLOOKUP(C1194,Clientes[ID_Cliente],Clientes[Provincia]),", Argentina")</f>
        <v>Buenos Aires, Argentina</v>
      </c>
      <c r="M1194" s="20" t="str">
        <f t="array" ref="M1194">_xlfn.XLOOKUP(F1194,Metodos_De_Pago[ID_Metodo],Metodos_De_Pago[Metodo])</f>
        <v>Transferencia</v>
      </c>
      <c r="N1194" s="20" t="str">
        <f t="shared" si="2"/>
        <v>2024 06</v>
      </c>
    </row>
    <row r="1195" ht="22.5" customHeight="1">
      <c r="A1195" s="12">
        <f>IFERROR(__xludf.DUMMYFUNCTION("""COMPUTED_VALUE"""),1244.0)</f>
        <v>1244</v>
      </c>
      <c r="B1195" s="13">
        <f>IFERROR(__xludf.DUMMYFUNCTION("""COMPUTED_VALUE"""),45445.0)</f>
        <v>45445</v>
      </c>
      <c r="C1195" s="12">
        <f>IFERROR(__xludf.DUMMYFUNCTION("""COMPUTED_VALUE"""),200.0)</f>
        <v>200</v>
      </c>
      <c r="D1195" s="12">
        <f>IFERROR(__xludf.DUMMYFUNCTION("""COMPUTED_VALUE"""),6.0)</f>
        <v>6</v>
      </c>
      <c r="E1195" s="12">
        <f>IFERROR(__xludf.DUMMYFUNCTION("""COMPUTED_VALUE"""),3.0)</f>
        <v>3</v>
      </c>
      <c r="F1195" s="12">
        <f>IFERROR(__xludf.DUMMYFUNCTION("""COMPUTED_VALUE"""),2.0)</f>
        <v>2</v>
      </c>
      <c r="G1195" s="15" t="str">
        <f>IFERROR(__xludf.DUMMYFUNCTION("""COMPUTED_VALUE"""),"Completa")</f>
        <v>Completa</v>
      </c>
      <c r="H1195" s="16" t="str">
        <f t="array" ref="H1195">_xlfn.XLOOKUP(D1195,Productos[ID_Producto],Productos[Nombre_Producto])</f>
        <v>Asado</v>
      </c>
      <c r="I1195" s="17">
        <f t="array" ref="I1195">_xlfn.XLOOKUP(D1195,Productos[ID_Producto],Productos[Precio_Unitario])</f>
        <v>28.56</v>
      </c>
      <c r="J1195" s="17">
        <f t="shared" si="1"/>
        <v>85.68</v>
      </c>
      <c r="K1195" s="16" t="str">
        <f t="array" ref="K1195">_xlfn.XLOOKUP(C1195,Clientes[ID_Cliente],Clientes[Provincia])</f>
        <v>Córdoba</v>
      </c>
      <c r="L1195" s="16" t="str">
        <f t="array" ref="L1195">CONCATENATE(_xlfn.XLOOKUP(C1195,Clientes[ID_Cliente],Clientes[Provincia]),", Argentina")</f>
        <v>Córdoba, Argentina</v>
      </c>
      <c r="M1195" s="20" t="str">
        <f t="array" ref="M1195">_xlfn.XLOOKUP(F1195,Metodos_De_Pago[ID_Metodo],Metodos_De_Pago[Metodo])</f>
        <v>Tarjeta de Crédito</v>
      </c>
      <c r="N1195" s="20" t="str">
        <f t="shared" si="2"/>
        <v>2024 06</v>
      </c>
    </row>
    <row r="1196" ht="22.5" customHeight="1">
      <c r="A1196" s="12">
        <f>IFERROR(__xludf.DUMMYFUNCTION("""COMPUTED_VALUE"""),1590.0)</f>
        <v>1590</v>
      </c>
      <c r="B1196" s="13">
        <f>IFERROR(__xludf.DUMMYFUNCTION("""COMPUTED_VALUE"""),45445.0)</f>
        <v>45445</v>
      </c>
      <c r="C1196" s="12">
        <f>IFERROR(__xludf.DUMMYFUNCTION("""COMPUTED_VALUE"""),265.0)</f>
        <v>265</v>
      </c>
      <c r="D1196" s="12">
        <f>IFERROR(__xludf.DUMMYFUNCTION("""COMPUTED_VALUE"""),8.0)</f>
        <v>8</v>
      </c>
      <c r="E1196" s="12">
        <f>IFERROR(__xludf.DUMMYFUNCTION("""COMPUTED_VALUE"""),3.0)</f>
        <v>3</v>
      </c>
      <c r="F1196" s="12">
        <f>IFERROR(__xludf.DUMMYFUNCTION("""COMPUTED_VALUE"""),5.0)</f>
        <v>5</v>
      </c>
      <c r="G1196" s="15" t="str">
        <f>IFERROR(__xludf.DUMMYFUNCTION("""COMPUTED_VALUE"""),"Pendiente")</f>
        <v>Pendiente</v>
      </c>
      <c r="H1196" s="16" t="str">
        <f t="array" ref="H1196">_xlfn.XLOOKUP(D1196,Productos[ID_Producto],Productos[Nombre_Producto])</f>
        <v>Milanesa</v>
      </c>
      <c r="I1196" s="17">
        <f t="array" ref="I1196">_xlfn.XLOOKUP(D1196,Productos[ID_Producto],Productos[Precio_Unitario])</f>
        <v>16.21</v>
      </c>
      <c r="J1196" s="17">
        <f t="shared" si="1"/>
        <v>48.63</v>
      </c>
      <c r="K1196" s="16" t="str">
        <f t="array" ref="K1196">_xlfn.XLOOKUP(C1196,Clientes[ID_Cliente],Clientes[Provincia])</f>
        <v>Córdoba</v>
      </c>
      <c r="L1196" s="16" t="str">
        <f t="array" ref="L1196">CONCATENATE(_xlfn.XLOOKUP(C1196,Clientes[ID_Cliente],Clientes[Provincia]),", Argentina")</f>
        <v>Córdoba, Argentina</v>
      </c>
      <c r="M1196" s="20" t="str">
        <f t="array" ref="M1196">_xlfn.XLOOKUP(F1196,Metodos_De_Pago[ID_Metodo],Metodos_De_Pago[Metodo])</f>
        <v>Transferencia</v>
      </c>
      <c r="N1196" s="20" t="str">
        <f t="shared" si="2"/>
        <v>2024 06</v>
      </c>
    </row>
    <row r="1197" ht="22.5" customHeight="1">
      <c r="A1197" s="12">
        <f>IFERROR(__xludf.DUMMYFUNCTION("""COMPUTED_VALUE"""),2498.0)</f>
        <v>2498</v>
      </c>
      <c r="B1197" s="13">
        <f>IFERROR(__xludf.DUMMYFUNCTION("""COMPUTED_VALUE"""),45445.0)</f>
        <v>45445</v>
      </c>
      <c r="C1197" s="12">
        <f>IFERROR(__xludf.DUMMYFUNCTION("""COMPUTED_VALUE"""),144.0)</f>
        <v>144</v>
      </c>
      <c r="D1197" s="12">
        <f>IFERROR(__xludf.DUMMYFUNCTION("""COMPUTED_VALUE"""),28.0)</f>
        <v>28</v>
      </c>
      <c r="E1197" s="12">
        <f>IFERROR(__xludf.DUMMYFUNCTION("""COMPUTED_VALUE"""),3.0)</f>
        <v>3</v>
      </c>
      <c r="F1197" s="12">
        <f>IFERROR(__xludf.DUMMYFUNCTION("""COMPUTED_VALUE"""),1.0)</f>
        <v>1</v>
      </c>
      <c r="G1197" s="15" t="str">
        <f>IFERROR(__xludf.DUMMYFUNCTION("""COMPUTED_VALUE"""),"Completa")</f>
        <v>Completa</v>
      </c>
      <c r="H1197" s="16" t="str">
        <f t="array" ref="H1197">_xlfn.XLOOKUP(D1197,Productos[ID_Producto],Productos[Nombre_Producto])</f>
        <v>Jugos de frutas</v>
      </c>
      <c r="I1197" s="17">
        <f t="array" ref="I1197">_xlfn.XLOOKUP(D1197,Productos[ID_Producto],Productos[Precio_Unitario])</f>
        <v>9.45</v>
      </c>
      <c r="J1197" s="17">
        <f t="shared" si="1"/>
        <v>28.35</v>
      </c>
      <c r="K1197" s="16" t="str">
        <f t="array" ref="K1197">_xlfn.XLOOKUP(C1197,Clientes[ID_Cliente],Clientes[Provincia])</f>
        <v>Chaco</v>
      </c>
      <c r="L1197" s="16" t="str">
        <f t="array" ref="L1197">CONCATENATE(_xlfn.XLOOKUP(C1197,Clientes[ID_Cliente],Clientes[Provincia]),", Argentina")</f>
        <v>Chaco, Argentina</v>
      </c>
      <c r="M1197" s="20" t="str">
        <f t="array" ref="M1197">_xlfn.XLOOKUP(F1197,Metodos_De_Pago[ID_Metodo],Metodos_De_Pago[Metodo])</f>
        <v>Efectivo</v>
      </c>
      <c r="N1197" s="20" t="str">
        <f t="shared" si="2"/>
        <v>2024 06</v>
      </c>
    </row>
    <row r="1198" ht="22.5" customHeight="1">
      <c r="A1198" s="12">
        <f>IFERROR(__xludf.DUMMYFUNCTION("""COMPUTED_VALUE"""),2566.0)</f>
        <v>2566</v>
      </c>
      <c r="B1198" s="13">
        <f>IFERROR(__xludf.DUMMYFUNCTION("""COMPUTED_VALUE"""),45445.0)</f>
        <v>45445</v>
      </c>
      <c r="C1198" s="12">
        <f>IFERROR(__xludf.DUMMYFUNCTION("""COMPUTED_VALUE"""),158.0)</f>
        <v>158</v>
      </c>
      <c r="D1198" s="12">
        <f>IFERROR(__xludf.DUMMYFUNCTION("""COMPUTED_VALUE"""),8.0)</f>
        <v>8</v>
      </c>
      <c r="E1198" s="12">
        <f>IFERROR(__xludf.DUMMYFUNCTION("""COMPUTED_VALUE"""),3.0)</f>
        <v>3</v>
      </c>
      <c r="F1198" s="12">
        <f>IFERROR(__xludf.DUMMYFUNCTION("""COMPUTED_VALUE"""),5.0)</f>
        <v>5</v>
      </c>
      <c r="G1198" s="15" t="str">
        <f>IFERROR(__xludf.DUMMYFUNCTION("""COMPUTED_VALUE"""),"Completa")</f>
        <v>Completa</v>
      </c>
      <c r="H1198" s="16" t="str">
        <f t="array" ref="H1198">_xlfn.XLOOKUP(D1198,Productos[ID_Producto],Productos[Nombre_Producto])</f>
        <v>Milanesa</v>
      </c>
      <c r="I1198" s="17">
        <f t="array" ref="I1198">_xlfn.XLOOKUP(D1198,Productos[ID_Producto],Productos[Precio_Unitario])</f>
        <v>16.21</v>
      </c>
      <c r="J1198" s="17">
        <f t="shared" si="1"/>
        <v>48.63</v>
      </c>
      <c r="K1198" s="16" t="str">
        <f t="array" ref="K1198">_xlfn.XLOOKUP(C1198,Clientes[ID_Cliente],Clientes[Provincia])</f>
        <v>Buenos Aires</v>
      </c>
      <c r="L1198" s="16" t="str">
        <f t="array" ref="L1198">CONCATENATE(_xlfn.XLOOKUP(C1198,Clientes[ID_Cliente],Clientes[Provincia]),", Argentina")</f>
        <v>Buenos Aires, Argentina</v>
      </c>
      <c r="M1198" s="20" t="str">
        <f t="array" ref="M1198">_xlfn.XLOOKUP(F1198,Metodos_De_Pago[ID_Metodo],Metodos_De_Pago[Metodo])</f>
        <v>Transferencia</v>
      </c>
      <c r="N1198" s="20" t="str">
        <f t="shared" si="2"/>
        <v>2024 06</v>
      </c>
    </row>
    <row r="1199" ht="22.5" customHeight="1">
      <c r="A1199" s="12">
        <f>IFERROR(__xludf.DUMMYFUNCTION("""COMPUTED_VALUE"""),1681.0)</f>
        <v>1681</v>
      </c>
      <c r="B1199" s="13">
        <f>IFERROR(__xludf.DUMMYFUNCTION("""COMPUTED_VALUE"""),45446.0)</f>
        <v>45446</v>
      </c>
      <c r="C1199" s="12">
        <f>IFERROR(__xludf.DUMMYFUNCTION("""COMPUTED_VALUE"""),167.0)</f>
        <v>167</v>
      </c>
      <c r="D1199" s="12">
        <f>IFERROR(__xludf.DUMMYFUNCTION("""COMPUTED_VALUE"""),2.0)</f>
        <v>2</v>
      </c>
      <c r="E1199" s="12">
        <f>IFERROR(__xludf.DUMMYFUNCTION("""COMPUTED_VALUE"""),3.0)</f>
        <v>3</v>
      </c>
      <c r="F1199" s="12">
        <f>IFERROR(__xludf.DUMMYFUNCTION("""COMPUTED_VALUE"""),3.0)</f>
        <v>3</v>
      </c>
      <c r="G1199" s="15" t="str">
        <f>IFERROR(__xludf.DUMMYFUNCTION("""COMPUTED_VALUE"""),"Completa")</f>
        <v>Completa</v>
      </c>
      <c r="H1199" s="16" t="str">
        <f t="array" ref="H1199">_xlfn.XLOOKUP(D1199,Productos[ID_Producto],Productos[Nombre_Producto])</f>
        <v>Yogur</v>
      </c>
      <c r="I1199" s="17">
        <f t="array" ref="I1199">_xlfn.XLOOKUP(D1199,Productos[ID_Producto],Productos[Precio_Unitario])</f>
        <v>5.21</v>
      </c>
      <c r="J1199" s="17">
        <f t="shared" si="1"/>
        <v>15.63</v>
      </c>
      <c r="K1199" s="16" t="str">
        <f t="array" ref="K1199">_xlfn.XLOOKUP(C1199,Clientes[ID_Cliente],Clientes[Provincia])</f>
        <v>Buenos Aires</v>
      </c>
      <c r="L1199" s="16" t="str">
        <f t="array" ref="L1199">CONCATENATE(_xlfn.XLOOKUP(C1199,Clientes[ID_Cliente],Clientes[Provincia]),", Argentina")</f>
        <v>Buenos Aires, Argentina</v>
      </c>
      <c r="M1199" s="20" t="str">
        <f t="array" ref="M1199">_xlfn.XLOOKUP(F1199,Metodos_De_Pago[ID_Metodo],Metodos_De_Pago[Metodo])</f>
        <v>Tarjeta de Débito</v>
      </c>
      <c r="N1199" s="20" t="str">
        <f t="shared" si="2"/>
        <v>2024 06</v>
      </c>
    </row>
    <row r="1200" ht="22.5" customHeight="1">
      <c r="A1200" s="12">
        <f>IFERROR(__xludf.DUMMYFUNCTION("""COMPUTED_VALUE"""),1112.0)</f>
        <v>1112</v>
      </c>
      <c r="B1200" s="13">
        <f>IFERROR(__xludf.DUMMYFUNCTION("""COMPUTED_VALUE"""),45447.0)</f>
        <v>45447</v>
      </c>
      <c r="C1200" s="12">
        <f>IFERROR(__xludf.DUMMYFUNCTION("""COMPUTED_VALUE"""),171.0)</f>
        <v>171</v>
      </c>
      <c r="D1200" s="12">
        <f>IFERROR(__xludf.DUMMYFUNCTION("""COMPUTED_VALUE"""),37.0)</f>
        <v>37</v>
      </c>
      <c r="E1200" s="12">
        <f>IFERROR(__xludf.DUMMYFUNCTION("""COMPUTED_VALUE"""),3.0)</f>
        <v>3</v>
      </c>
      <c r="F1200" s="12">
        <f>IFERROR(__xludf.DUMMYFUNCTION("""COMPUTED_VALUE"""),5.0)</f>
        <v>5</v>
      </c>
      <c r="G1200" s="15" t="str">
        <f>IFERROR(__xludf.DUMMYFUNCTION("""COMPUTED_VALUE"""),"Completa")</f>
        <v>Completa</v>
      </c>
      <c r="H1200" s="16" t="str">
        <f t="array" ref="H1200">_xlfn.XLOOKUP(D1200,Productos[ID_Producto],Productos[Nombre_Producto])</f>
        <v>Garbanzos</v>
      </c>
      <c r="I1200" s="17">
        <f t="array" ref="I1200">_xlfn.XLOOKUP(D1200,Productos[ID_Producto],Productos[Precio_Unitario])</f>
        <v>3.65</v>
      </c>
      <c r="J1200" s="17">
        <f t="shared" si="1"/>
        <v>10.95</v>
      </c>
      <c r="K1200" s="16" t="str">
        <f t="array" ref="K1200">_xlfn.XLOOKUP(C1200,Clientes[ID_Cliente],Clientes[Provincia])</f>
        <v>San Luis</v>
      </c>
      <c r="L1200" s="16" t="str">
        <f t="array" ref="L1200">CONCATENATE(_xlfn.XLOOKUP(C1200,Clientes[ID_Cliente],Clientes[Provincia]),", Argentina")</f>
        <v>San Luis, Argentina</v>
      </c>
      <c r="M1200" s="20" t="str">
        <f t="array" ref="M1200">_xlfn.XLOOKUP(F1200,Metodos_De_Pago[ID_Metodo],Metodos_De_Pago[Metodo])</f>
        <v>Transferencia</v>
      </c>
      <c r="N1200" s="20" t="str">
        <f t="shared" si="2"/>
        <v>2024 06</v>
      </c>
    </row>
    <row r="1201" ht="22.5" customHeight="1">
      <c r="A1201" s="12">
        <f>IFERROR(__xludf.DUMMYFUNCTION("""COMPUTED_VALUE"""),2266.0)</f>
        <v>2266</v>
      </c>
      <c r="B1201" s="13">
        <f>IFERROR(__xludf.DUMMYFUNCTION("""COMPUTED_VALUE"""),45447.0)</f>
        <v>45447</v>
      </c>
      <c r="C1201" s="12">
        <f>IFERROR(__xludf.DUMMYFUNCTION("""COMPUTED_VALUE"""),108.0)</f>
        <v>108</v>
      </c>
      <c r="D1201" s="12">
        <f>IFERROR(__xludf.DUMMYFUNCTION("""COMPUTED_VALUE"""),5.0)</f>
        <v>5</v>
      </c>
      <c r="E1201" s="12">
        <f>IFERROR(__xludf.DUMMYFUNCTION("""COMPUTED_VALUE"""),3.0)</f>
        <v>3</v>
      </c>
      <c r="F1201" s="12">
        <f>IFERROR(__xludf.DUMMYFUNCTION("""COMPUTED_VALUE"""),4.0)</f>
        <v>4</v>
      </c>
      <c r="G1201" s="15" t="str">
        <f>IFERROR(__xludf.DUMMYFUNCTION("""COMPUTED_VALUE"""),"Completa")</f>
        <v>Completa</v>
      </c>
      <c r="H1201" s="16" t="str">
        <f t="array" ref="H1201">_xlfn.XLOOKUP(D1201,Productos[ID_Producto],Productos[Nombre_Producto])</f>
        <v>Manteca</v>
      </c>
      <c r="I1201" s="17">
        <f t="array" ref="I1201">_xlfn.XLOOKUP(D1201,Productos[ID_Producto],Productos[Precio_Unitario])</f>
        <v>5.65</v>
      </c>
      <c r="J1201" s="17">
        <f t="shared" si="1"/>
        <v>16.95</v>
      </c>
      <c r="K1201" s="16" t="str">
        <f t="array" ref="K1201">_xlfn.XLOOKUP(C1201,Clientes[ID_Cliente],Clientes[Provincia])</f>
        <v>Neuquén</v>
      </c>
      <c r="L1201" s="16" t="str">
        <f t="array" ref="L1201">CONCATENATE(_xlfn.XLOOKUP(C1201,Clientes[ID_Cliente],Clientes[Provincia]),", Argentina")</f>
        <v>Neuquén, Argentina</v>
      </c>
      <c r="M1201" s="20" t="str">
        <f t="array" ref="M1201">_xlfn.XLOOKUP(F1201,Metodos_De_Pago[ID_Metodo],Metodos_De_Pago[Metodo])</f>
        <v>Mercado Pago</v>
      </c>
      <c r="N1201" s="20" t="str">
        <f t="shared" si="2"/>
        <v>2024 06</v>
      </c>
    </row>
    <row r="1202" ht="22.5" customHeight="1">
      <c r="A1202" s="12">
        <f>IFERROR(__xludf.DUMMYFUNCTION("""COMPUTED_VALUE"""),2601.0)</f>
        <v>2601</v>
      </c>
      <c r="B1202" s="13">
        <f>IFERROR(__xludf.DUMMYFUNCTION("""COMPUTED_VALUE"""),45447.0)</f>
        <v>45447</v>
      </c>
      <c r="C1202" s="12">
        <f>IFERROR(__xludf.DUMMYFUNCTION("""COMPUTED_VALUE"""),218.0)</f>
        <v>218</v>
      </c>
      <c r="D1202" s="12">
        <f>IFERROR(__xludf.DUMMYFUNCTION("""COMPUTED_VALUE"""),32.0)</f>
        <v>32</v>
      </c>
      <c r="E1202" s="12">
        <f>IFERROR(__xludf.DUMMYFUNCTION("""COMPUTED_VALUE"""),3.0)</f>
        <v>3</v>
      </c>
      <c r="F1202" s="12">
        <f>IFERROR(__xludf.DUMMYFUNCTION("""COMPUTED_VALUE"""),5.0)</f>
        <v>5</v>
      </c>
      <c r="G1202" s="15" t="str">
        <f>IFERROR(__xludf.DUMMYFUNCTION("""COMPUTED_VALUE"""),"Completa")</f>
        <v>Completa</v>
      </c>
      <c r="H1202" s="16" t="str">
        <f t="array" ref="H1202">_xlfn.XLOOKUP(D1202,Productos[ID_Producto],Productos[Nombre_Producto])</f>
        <v>Galletitas de chocolate</v>
      </c>
      <c r="I1202" s="17">
        <f t="array" ref="I1202">_xlfn.XLOOKUP(D1202,Productos[ID_Producto],Productos[Precio_Unitario])</f>
        <v>6.25</v>
      </c>
      <c r="J1202" s="17">
        <f t="shared" si="1"/>
        <v>18.75</v>
      </c>
      <c r="K1202" s="16" t="str">
        <f t="array" ref="K1202">_xlfn.XLOOKUP(C1202,Clientes[ID_Cliente],Clientes[Provincia])</f>
        <v>Córdoba</v>
      </c>
      <c r="L1202" s="16" t="str">
        <f t="array" ref="L1202">CONCATENATE(_xlfn.XLOOKUP(C1202,Clientes[ID_Cliente],Clientes[Provincia]),", Argentina")</f>
        <v>Córdoba, Argentina</v>
      </c>
      <c r="M1202" s="20" t="str">
        <f t="array" ref="M1202">_xlfn.XLOOKUP(F1202,Metodos_De_Pago[ID_Metodo],Metodos_De_Pago[Metodo])</f>
        <v>Transferencia</v>
      </c>
      <c r="N1202" s="20" t="str">
        <f t="shared" si="2"/>
        <v>2024 06</v>
      </c>
    </row>
    <row r="1203" ht="22.5" customHeight="1">
      <c r="A1203" s="12">
        <f>IFERROR(__xludf.DUMMYFUNCTION("""COMPUTED_VALUE"""),985.0)</f>
        <v>985</v>
      </c>
      <c r="B1203" s="13">
        <f>IFERROR(__xludf.DUMMYFUNCTION("""COMPUTED_VALUE"""),45448.0)</f>
        <v>45448</v>
      </c>
      <c r="C1203" s="12">
        <f>IFERROR(__xludf.DUMMYFUNCTION("""COMPUTED_VALUE"""),29.0)</f>
        <v>29</v>
      </c>
      <c r="D1203" s="12">
        <f>IFERROR(__xludf.DUMMYFUNCTION("""COMPUTED_VALUE"""),12.0)</f>
        <v>12</v>
      </c>
      <c r="E1203" s="12">
        <f>IFERROR(__xludf.DUMMYFUNCTION("""COMPUTED_VALUE"""),3.0)</f>
        <v>3</v>
      </c>
      <c r="F1203" s="12">
        <f>IFERROR(__xludf.DUMMYFUNCTION("""COMPUTED_VALUE"""),3.0)</f>
        <v>3</v>
      </c>
      <c r="G1203" s="15" t="str">
        <f>IFERROR(__xludf.DUMMYFUNCTION("""COMPUTED_VALUE"""),"Completa")</f>
        <v>Completa</v>
      </c>
      <c r="H1203" s="16" t="str">
        <f t="array" ref="H1203">_xlfn.XLOOKUP(D1203,Productos[ID_Producto],Productos[Nombre_Producto])</f>
        <v>Pan francés</v>
      </c>
      <c r="I1203" s="17">
        <f t="array" ref="I1203">_xlfn.XLOOKUP(D1203,Productos[ID_Producto],Productos[Precio_Unitario])</f>
        <v>8.12</v>
      </c>
      <c r="J1203" s="17">
        <f t="shared" si="1"/>
        <v>24.36</v>
      </c>
      <c r="K1203" s="16" t="str">
        <f t="array" ref="K1203">_xlfn.XLOOKUP(C1203,Clientes[ID_Cliente],Clientes[Provincia])</f>
        <v>Chaco</v>
      </c>
      <c r="L1203" s="16" t="str">
        <f t="array" ref="L1203">CONCATENATE(_xlfn.XLOOKUP(C1203,Clientes[ID_Cliente],Clientes[Provincia]),", Argentina")</f>
        <v>Chaco, Argentina</v>
      </c>
      <c r="M1203" s="20" t="str">
        <f t="array" ref="M1203">_xlfn.XLOOKUP(F1203,Metodos_De_Pago[ID_Metodo],Metodos_De_Pago[Metodo])</f>
        <v>Tarjeta de Débito</v>
      </c>
      <c r="N1203" s="20" t="str">
        <f t="shared" si="2"/>
        <v>2024 06</v>
      </c>
    </row>
    <row r="1204" ht="22.5" customHeight="1">
      <c r="A1204" s="12">
        <f>IFERROR(__xludf.DUMMYFUNCTION("""COMPUTED_VALUE"""),1243.0)</f>
        <v>1243</v>
      </c>
      <c r="B1204" s="13">
        <f>IFERROR(__xludf.DUMMYFUNCTION("""COMPUTED_VALUE"""),45448.0)</f>
        <v>45448</v>
      </c>
      <c r="C1204" s="12">
        <f>IFERROR(__xludf.DUMMYFUNCTION("""COMPUTED_VALUE"""),307.0)</f>
        <v>307</v>
      </c>
      <c r="D1204" s="12">
        <f>IFERROR(__xludf.DUMMYFUNCTION("""COMPUTED_VALUE"""),35.0)</f>
        <v>35</v>
      </c>
      <c r="E1204" s="12">
        <f>IFERROR(__xludf.DUMMYFUNCTION("""COMPUTED_VALUE"""),3.0)</f>
        <v>3</v>
      </c>
      <c r="F1204" s="12">
        <f>IFERROR(__xludf.DUMMYFUNCTION("""COMPUTED_VALUE"""),5.0)</f>
        <v>5</v>
      </c>
      <c r="G1204" s="15" t="str">
        <f>IFERROR(__xludf.DUMMYFUNCTION("""COMPUTED_VALUE"""),"Completa")</f>
        <v>Completa</v>
      </c>
      <c r="H1204" s="16" t="str">
        <f t="array" ref="H1204">_xlfn.XLOOKUP(D1204,Productos[ID_Producto],Productos[Nombre_Producto])</f>
        <v>Arroz</v>
      </c>
      <c r="I1204" s="17">
        <f t="array" ref="I1204">_xlfn.XLOOKUP(D1204,Productos[ID_Producto],Productos[Precio_Unitario])</f>
        <v>4.25</v>
      </c>
      <c r="J1204" s="17">
        <f t="shared" si="1"/>
        <v>12.75</v>
      </c>
      <c r="K1204" s="16" t="str">
        <f t="array" ref="K1204">_xlfn.XLOOKUP(C1204,Clientes[ID_Cliente],Clientes[Provincia])</f>
        <v>San Luis</v>
      </c>
      <c r="L1204" s="16" t="str">
        <f t="array" ref="L1204">CONCATENATE(_xlfn.XLOOKUP(C1204,Clientes[ID_Cliente],Clientes[Provincia]),", Argentina")</f>
        <v>San Luis, Argentina</v>
      </c>
      <c r="M1204" s="20" t="str">
        <f t="array" ref="M1204">_xlfn.XLOOKUP(F1204,Metodos_De_Pago[ID_Metodo],Metodos_De_Pago[Metodo])</f>
        <v>Transferencia</v>
      </c>
      <c r="N1204" s="20" t="str">
        <f t="shared" si="2"/>
        <v>2024 06</v>
      </c>
    </row>
    <row r="1205" ht="22.5" customHeight="1">
      <c r="A1205" s="12">
        <f>IFERROR(__xludf.DUMMYFUNCTION("""COMPUTED_VALUE"""),300.0)</f>
        <v>300</v>
      </c>
      <c r="B1205" s="13">
        <f>IFERROR(__xludf.DUMMYFUNCTION("""COMPUTED_VALUE"""),45449.0)</f>
        <v>45449</v>
      </c>
      <c r="C1205" s="12">
        <f>IFERROR(__xludf.DUMMYFUNCTION("""COMPUTED_VALUE"""),258.0)</f>
        <v>258</v>
      </c>
      <c r="D1205" s="12">
        <f>IFERROR(__xludf.DUMMYFUNCTION("""COMPUTED_VALUE"""),2.0)</f>
        <v>2</v>
      </c>
      <c r="E1205" s="12">
        <f>IFERROR(__xludf.DUMMYFUNCTION("""COMPUTED_VALUE"""),3.0)</f>
        <v>3</v>
      </c>
      <c r="F1205" s="12">
        <f>IFERROR(__xludf.DUMMYFUNCTION("""COMPUTED_VALUE"""),3.0)</f>
        <v>3</v>
      </c>
      <c r="G1205" s="15" t="str">
        <f>IFERROR(__xludf.DUMMYFUNCTION("""COMPUTED_VALUE"""),"Completa")</f>
        <v>Completa</v>
      </c>
      <c r="H1205" s="16" t="str">
        <f t="array" ref="H1205">_xlfn.XLOOKUP(D1205,Productos[ID_Producto],Productos[Nombre_Producto])</f>
        <v>Yogur</v>
      </c>
      <c r="I1205" s="17">
        <f t="array" ref="I1205">_xlfn.XLOOKUP(D1205,Productos[ID_Producto],Productos[Precio_Unitario])</f>
        <v>5.21</v>
      </c>
      <c r="J1205" s="17">
        <f t="shared" si="1"/>
        <v>15.63</v>
      </c>
      <c r="K1205" s="16" t="str">
        <f t="array" ref="K1205">_xlfn.XLOOKUP(C1205,Clientes[ID_Cliente],Clientes[Provincia])</f>
        <v>Córdoba</v>
      </c>
      <c r="L1205" s="16" t="str">
        <f t="array" ref="L1205">CONCATENATE(_xlfn.XLOOKUP(C1205,Clientes[ID_Cliente],Clientes[Provincia]),", Argentina")</f>
        <v>Córdoba, Argentina</v>
      </c>
      <c r="M1205" s="20" t="str">
        <f t="array" ref="M1205">_xlfn.XLOOKUP(F1205,Metodos_De_Pago[ID_Metodo],Metodos_De_Pago[Metodo])</f>
        <v>Tarjeta de Débito</v>
      </c>
      <c r="N1205" s="20" t="str">
        <f t="shared" si="2"/>
        <v>2024 06</v>
      </c>
    </row>
    <row r="1206" ht="22.5" customHeight="1">
      <c r="A1206" s="12">
        <f>IFERROR(__xludf.DUMMYFUNCTION("""COMPUTED_VALUE"""),2218.0)</f>
        <v>2218</v>
      </c>
      <c r="B1206" s="13">
        <f>IFERROR(__xludf.DUMMYFUNCTION("""COMPUTED_VALUE"""),45449.0)</f>
        <v>45449</v>
      </c>
      <c r="C1206" s="12">
        <f>IFERROR(__xludf.DUMMYFUNCTION("""COMPUTED_VALUE"""),209.0)</f>
        <v>209</v>
      </c>
      <c r="D1206" s="12">
        <f>IFERROR(__xludf.DUMMYFUNCTION("""COMPUTED_VALUE"""),24.0)</f>
        <v>24</v>
      </c>
      <c r="E1206" s="12">
        <f>IFERROR(__xludf.DUMMYFUNCTION("""COMPUTED_VALUE"""),3.0)</f>
        <v>3</v>
      </c>
      <c r="F1206" s="12">
        <f>IFERROR(__xludf.DUMMYFUNCTION("""COMPUTED_VALUE"""),3.0)</f>
        <v>3</v>
      </c>
      <c r="G1206" s="15" t="str">
        <f>IFERROR(__xludf.DUMMYFUNCTION("""COMPUTED_VALUE"""),"Completa")</f>
        <v>Completa</v>
      </c>
      <c r="H1206" s="16" t="str">
        <f t="array" ref="H1206">_xlfn.XLOOKUP(D1206,Productos[ID_Producto],Productos[Nombre_Producto])</f>
        <v>Empanadas</v>
      </c>
      <c r="I1206" s="17">
        <f t="array" ref="I1206">_xlfn.XLOOKUP(D1206,Productos[ID_Producto],Productos[Precio_Unitario])</f>
        <v>13.54</v>
      </c>
      <c r="J1206" s="17">
        <f t="shared" si="1"/>
        <v>40.62</v>
      </c>
      <c r="K1206" s="16" t="str">
        <f t="array" ref="K1206">_xlfn.XLOOKUP(C1206,Clientes[ID_Cliente],Clientes[Provincia])</f>
        <v>Buenos Aires</v>
      </c>
      <c r="L1206" s="16" t="str">
        <f t="array" ref="L1206">CONCATENATE(_xlfn.XLOOKUP(C1206,Clientes[ID_Cliente],Clientes[Provincia]),", Argentina")</f>
        <v>Buenos Aires, Argentina</v>
      </c>
      <c r="M1206" s="20" t="str">
        <f t="array" ref="M1206">_xlfn.XLOOKUP(F1206,Metodos_De_Pago[ID_Metodo],Metodos_De_Pago[Metodo])</f>
        <v>Tarjeta de Débito</v>
      </c>
      <c r="N1206" s="20" t="str">
        <f t="shared" si="2"/>
        <v>2024 06</v>
      </c>
    </row>
    <row r="1207" ht="22.5" customHeight="1">
      <c r="A1207" s="12">
        <f>IFERROR(__xludf.DUMMYFUNCTION("""COMPUTED_VALUE"""),2022.0)</f>
        <v>2022</v>
      </c>
      <c r="B1207" s="13">
        <f>IFERROR(__xludf.DUMMYFUNCTION("""COMPUTED_VALUE"""),45450.0)</f>
        <v>45450</v>
      </c>
      <c r="C1207" s="12">
        <f>IFERROR(__xludf.DUMMYFUNCTION("""COMPUTED_VALUE"""),211.0)</f>
        <v>211</v>
      </c>
      <c r="D1207" s="12">
        <f>IFERROR(__xludf.DUMMYFUNCTION("""COMPUTED_VALUE"""),30.0)</f>
        <v>30</v>
      </c>
      <c r="E1207" s="12">
        <f>IFERROR(__xludf.DUMMYFUNCTION("""COMPUTED_VALUE"""),3.0)</f>
        <v>3</v>
      </c>
      <c r="F1207" s="12">
        <f>IFERROR(__xludf.DUMMYFUNCTION("""COMPUTED_VALUE"""),5.0)</f>
        <v>5</v>
      </c>
      <c r="G1207" s="15" t="str">
        <f>IFERROR(__xludf.DUMMYFUNCTION("""COMPUTED_VALUE"""),"Completa")</f>
        <v>Completa</v>
      </c>
      <c r="H1207" s="16" t="str">
        <f t="array" ref="H1207">_xlfn.XLOOKUP(D1207,Productos[ID_Producto],Productos[Nombre_Producto])</f>
        <v>Vino tinto</v>
      </c>
      <c r="I1207" s="17">
        <f t="array" ref="I1207">_xlfn.XLOOKUP(D1207,Productos[ID_Producto],Productos[Precio_Unitario])</f>
        <v>13.54</v>
      </c>
      <c r="J1207" s="17">
        <f t="shared" si="1"/>
        <v>40.62</v>
      </c>
      <c r="K1207" s="16" t="str">
        <f t="array" ref="K1207">_xlfn.XLOOKUP(C1207,Clientes[ID_Cliente],Clientes[Provincia])</f>
        <v>Córdoba</v>
      </c>
      <c r="L1207" s="16" t="str">
        <f t="array" ref="L1207">CONCATENATE(_xlfn.XLOOKUP(C1207,Clientes[ID_Cliente],Clientes[Provincia]),", Argentina")</f>
        <v>Córdoba, Argentina</v>
      </c>
      <c r="M1207" s="20" t="str">
        <f t="array" ref="M1207">_xlfn.XLOOKUP(F1207,Metodos_De_Pago[ID_Metodo],Metodos_De_Pago[Metodo])</f>
        <v>Transferencia</v>
      </c>
      <c r="N1207" s="20" t="str">
        <f t="shared" si="2"/>
        <v>2024 06</v>
      </c>
    </row>
    <row r="1208" ht="22.5" customHeight="1">
      <c r="A1208" s="12">
        <f>IFERROR(__xludf.DUMMYFUNCTION("""COMPUTED_VALUE"""),1780.0)</f>
        <v>1780</v>
      </c>
      <c r="B1208" s="13">
        <f>IFERROR(__xludf.DUMMYFUNCTION("""COMPUTED_VALUE"""),45452.0)</f>
        <v>45452</v>
      </c>
      <c r="C1208" s="12">
        <f>IFERROR(__xludf.DUMMYFUNCTION("""COMPUTED_VALUE"""),40.0)</f>
        <v>40</v>
      </c>
      <c r="D1208" s="12">
        <f>IFERROR(__xludf.DUMMYFUNCTION("""COMPUTED_VALUE"""),23.0)</f>
        <v>23</v>
      </c>
      <c r="E1208" s="12">
        <f>IFERROR(__xludf.DUMMYFUNCTION("""COMPUTED_VALUE"""),3.0)</f>
        <v>3</v>
      </c>
      <c r="F1208" s="12">
        <f>IFERROR(__xludf.DUMMYFUNCTION("""COMPUTED_VALUE"""),4.0)</f>
        <v>4</v>
      </c>
      <c r="G1208" s="15" t="str">
        <f>IFERROR(__xludf.DUMMYFUNCTION("""COMPUTED_VALUE"""),"Completa")</f>
        <v>Completa</v>
      </c>
      <c r="H1208" s="16" t="str">
        <f t="array" ref="H1208">_xlfn.XLOOKUP(D1208,Productos[ID_Producto],Productos[Nombre_Producto])</f>
        <v>Papas fritas</v>
      </c>
      <c r="I1208" s="17">
        <f t="array" ref="I1208">_xlfn.XLOOKUP(D1208,Productos[ID_Producto],Productos[Precio_Unitario])</f>
        <v>8.23</v>
      </c>
      <c r="J1208" s="17">
        <f t="shared" si="1"/>
        <v>24.69</v>
      </c>
      <c r="K1208" s="16" t="str">
        <f t="array" ref="K1208">_xlfn.XLOOKUP(C1208,Clientes[ID_Cliente],Clientes[Provincia])</f>
        <v>San Luis</v>
      </c>
      <c r="L1208" s="16" t="str">
        <f t="array" ref="L1208">CONCATENATE(_xlfn.XLOOKUP(C1208,Clientes[ID_Cliente],Clientes[Provincia]),", Argentina")</f>
        <v>San Luis, Argentina</v>
      </c>
      <c r="M1208" s="20" t="str">
        <f t="array" ref="M1208">_xlfn.XLOOKUP(F1208,Metodos_De_Pago[ID_Metodo],Metodos_De_Pago[Metodo])</f>
        <v>Mercado Pago</v>
      </c>
      <c r="N1208" s="20" t="str">
        <f t="shared" si="2"/>
        <v>2024 06</v>
      </c>
    </row>
    <row r="1209" ht="22.5" customHeight="1">
      <c r="A1209" s="12">
        <f>IFERROR(__xludf.DUMMYFUNCTION("""COMPUTED_VALUE"""),2186.0)</f>
        <v>2186</v>
      </c>
      <c r="B1209" s="13">
        <f>IFERROR(__xludf.DUMMYFUNCTION("""COMPUTED_VALUE"""),45452.0)</f>
        <v>45452</v>
      </c>
      <c r="C1209" s="12">
        <f>IFERROR(__xludf.DUMMYFUNCTION("""COMPUTED_VALUE"""),234.0)</f>
        <v>234</v>
      </c>
      <c r="D1209" s="12">
        <f>IFERROR(__xludf.DUMMYFUNCTION("""COMPUTED_VALUE"""),13.0)</f>
        <v>13</v>
      </c>
      <c r="E1209" s="12">
        <f>IFERROR(__xludf.DUMMYFUNCTION("""COMPUTED_VALUE"""),3.0)</f>
        <v>3</v>
      </c>
      <c r="F1209" s="12">
        <f>IFERROR(__xludf.DUMMYFUNCTION("""COMPUTED_VALUE"""),1.0)</f>
        <v>1</v>
      </c>
      <c r="G1209" s="15" t="str">
        <f>IFERROR(__xludf.DUMMYFUNCTION("""COMPUTED_VALUE"""),"Pendiente")</f>
        <v>Pendiente</v>
      </c>
      <c r="H1209" s="16" t="str">
        <f t="array" ref="H1209">_xlfn.XLOOKUP(D1209,Productos[ID_Producto],Productos[Nombre_Producto])</f>
        <v>Pan integral</v>
      </c>
      <c r="I1209" s="17">
        <f t="array" ref="I1209">_xlfn.XLOOKUP(D1209,Productos[ID_Producto],Productos[Precio_Unitario])</f>
        <v>12.56</v>
      </c>
      <c r="J1209" s="17">
        <f t="shared" si="1"/>
        <v>37.68</v>
      </c>
      <c r="K1209" s="16" t="str">
        <f t="array" ref="K1209">_xlfn.XLOOKUP(C1209,Clientes[ID_Cliente],Clientes[Provincia])</f>
        <v>Buenos Aires</v>
      </c>
      <c r="L1209" s="16" t="str">
        <f t="array" ref="L1209">CONCATENATE(_xlfn.XLOOKUP(C1209,Clientes[ID_Cliente],Clientes[Provincia]),", Argentina")</f>
        <v>Buenos Aires, Argentina</v>
      </c>
      <c r="M1209" s="20" t="str">
        <f t="array" ref="M1209">_xlfn.XLOOKUP(F1209,Metodos_De_Pago[ID_Metodo],Metodos_De_Pago[Metodo])</f>
        <v>Efectivo</v>
      </c>
      <c r="N1209" s="20" t="str">
        <f t="shared" si="2"/>
        <v>2024 06</v>
      </c>
    </row>
    <row r="1210" ht="22.5" customHeight="1">
      <c r="A1210" s="12">
        <f>IFERROR(__xludf.DUMMYFUNCTION("""COMPUTED_VALUE"""),2654.0)</f>
        <v>2654</v>
      </c>
      <c r="B1210" s="13">
        <f>IFERROR(__xludf.DUMMYFUNCTION("""COMPUTED_VALUE"""),45452.0)</f>
        <v>45452</v>
      </c>
      <c r="C1210" s="12">
        <f>IFERROR(__xludf.DUMMYFUNCTION("""COMPUTED_VALUE"""),224.0)</f>
        <v>224</v>
      </c>
      <c r="D1210" s="12">
        <f>IFERROR(__xludf.DUMMYFUNCTION("""COMPUTED_VALUE"""),14.0)</f>
        <v>14</v>
      </c>
      <c r="E1210" s="12">
        <f>IFERROR(__xludf.DUMMYFUNCTION("""COMPUTED_VALUE"""),3.0)</f>
        <v>3</v>
      </c>
      <c r="F1210" s="12">
        <f>IFERROR(__xludf.DUMMYFUNCTION("""COMPUTED_VALUE"""),2.0)</f>
        <v>2</v>
      </c>
      <c r="G1210" s="15" t="str">
        <f>IFERROR(__xludf.DUMMYFUNCTION("""COMPUTED_VALUE"""),"Pendiente")</f>
        <v>Pendiente</v>
      </c>
      <c r="H1210" s="16" t="str">
        <f t="array" ref="H1210">_xlfn.XLOOKUP(D1210,Productos[ID_Producto],Productos[Nombre_Producto])</f>
        <v>Facturas</v>
      </c>
      <c r="I1210" s="17">
        <f t="array" ref="I1210">_xlfn.XLOOKUP(D1210,Productos[ID_Producto],Productos[Precio_Unitario])</f>
        <v>12.36</v>
      </c>
      <c r="J1210" s="17">
        <f t="shared" si="1"/>
        <v>37.08</v>
      </c>
      <c r="K1210" s="16" t="str">
        <f t="array" ref="K1210">_xlfn.XLOOKUP(C1210,Clientes[ID_Cliente],Clientes[Provincia])</f>
        <v>San Luis</v>
      </c>
      <c r="L1210" s="16" t="str">
        <f t="array" ref="L1210">CONCATENATE(_xlfn.XLOOKUP(C1210,Clientes[ID_Cliente],Clientes[Provincia]),", Argentina")</f>
        <v>San Luis, Argentina</v>
      </c>
      <c r="M1210" s="20" t="str">
        <f t="array" ref="M1210">_xlfn.XLOOKUP(F1210,Metodos_De_Pago[ID_Metodo],Metodos_De_Pago[Metodo])</f>
        <v>Tarjeta de Crédito</v>
      </c>
      <c r="N1210" s="20" t="str">
        <f t="shared" si="2"/>
        <v>2024 06</v>
      </c>
    </row>
    <row r="1211" ht="22.5" customHeight="1">
      <c r="A1211" s="12">
        <f>IFERROR(__xludf.DUMMYFUNCTION("""COMPUTED_VALUE"""),683.0)</f>
        <v>683</v>
      </c>
      <c r="B1211" s="13">
        <f>IFERROR(__xludf.DUMMYFUNCTION("""COMPUTED_VALUE"""),45454.0)</f>
        <v>45454</v>
      </c>
      <c r="C1211" s="12">
        <f>IFERROR(__xludf.DUMMYFUNCTION("""COMPUTED_VALUE"""),200.0)</f>
        <v>200</v>
      </c>
      <c r="D1211" s="12">
        <f>IFERROR(__xludf.DUMMYFUNCTION("""COMPUTED_VALUE"""),35.0)</f>
        <v>35</v>
      </c>
      <c r="E1211" s="12">
        <f>IFERROR(__xludf.DUMMYFUNCTION("""COMPUTED_VALUE"""),3.0)</f>
        <v>3</v>
      </c>
      <c r="F1211" s="12">
        <f>IFERROR(__xludf.DUMMYFUNCTION("""COMPUTED_VALUE"""),4.0)</f>
        <v>4</v>
      </c>
      <c r="G1211" s="15" t="str">
        <f>IFERROR(__xludf.DUMMYFUNCTION("""COMPUTED_VALUE"""),"Completa")</f>
        <v>Completa</v>
      </c>
      <c r="H1211" s="16" t="str">
        <f t="array" ref="H1211">_xlfn.XLOOKUP(D1211,Productos[ID_Producto],Productos[Nombre_Producto])</f>
        <v>Arroz</v>
      </c>
      <c r="I1211" s="17">
        <f t="array" ref="I1211">_xlfn.XLOOKUP(D1211,Productos[ID_Producto],Productos[Precio_Unitario])</f>
        <v>4.25</v>
      </c>
      <c r="J1211" s="17">
        <f t="shared" si="1"/>
        <v>12.75</v>
      </c>
      <c r="K1211" s="16" t="str">
        <f t="array" ref="K1211">_xlfn.XLOOKUP(C1211,Clientes[ID_Cliente],Clientes[Provincia])</f>
        <v>Córdoba</v>
      </c>
      <c r="L1211" s="16" t="str">
        <f t="array" ref="L1211">CONCATENATE(_xlfn.XLOOKUP(C1211,Clientes[ID_Cliente],Clientes[Provincia]),", Argentina")</f>
        <v>Córdoba, Argentina</v>
      </c>
      <c r="M1211" s="20" t="str">
        <f t="array" ref="M1211">_xlfn.XLOOKUP(F1211,Metodos_De_Pago[ID_Metodo],Metodos_De_Pago[Metodo])</f>
        <v>Mercado Pago</v>
      </c>
      <c r="N1211" s="20" t="str">
        <f t="shared" si="2"/>
        <v>2024 06</v>
      </c>
    </row>
    <row r="1212" ht="22.5" customHeight="1">
      <c r="A1212" s="12">
        <f>IFERROR(__xludf.DUMMYFUNCTION("""COMPUTED_VALUE"""),1375.0)</f>
        <v>1375</v>
      </c>
      <c r="B1212" s="13">
        <f>IFERROR(__xludf.DUMMYFUNCTION("""COMPUTED_VALUE"""),45454.0)</f>
        <v>45454</v>
      </c>
      <c r="C1212" s="12">
        <f>IFERROR(__xludf.DUMMYFUNCTION("""COMPUTED_VALUE"""),49.0)</f>
        <v>49</v>
      </c>
      <c r="D1212" s="12">
        <f>IFERROR(__xludf.DUMMYFUNCTION("""COMPUTED_VALUE"""),4.0)</f>
        <v>4</v>
      </c>
      <c r="E1212" s="12">
        <f>IFERROR(__xludf.DUMMYFUNCTION("""COMPUTED_VALUE"""),3.0)</f>
        <v>3</v>
      </c>
      <c r="F1212" s="12">
        <f>IFERROR(__xludf.DUMMYFUNCTION("""COMPUTED_VALUE"""),4.0)</f>
        <v>4</v>
      </c>
      <c r="G1212" s="15" t="str">
        <f>IFERROR(__xludf.DUMMYFUNCTION("""COMPUTED_VALUE"""),"Completa")</f>
        <v>Completa</v>
      </c>
      <c r="H1212" s="16" t="str">
        <f t="array" ref="H1212">_xlfn.XLOOKUP(D1212,Productos[ID_Producto],Productos[Nombre_Producto])</f>
        <v>Queso rallado</v>
      </c>
      <c r="I1212" s="17">
        <f t="array" ref="I1212">_xlfn.XLOOKUP(D1212,Productos[ID_Producto],Productos[Precio_Unitario])</f>
        <v>19.23</v>
      </c>
      <c r="J1212" s="17">
        <f t="shared" si="1"/>
        <v>57.69</v>
      </c>
      <c r="K1212" s="16" t="str">
        <f t="array" ref="K1212">_xlfn.XLOOKUP(C1212,Clientes[ID_Cliente],Clientes[Provincia])</f>
        <v>Buenos Aires</v>
      </c>
      <c r="L1212" s="16" t="str">
        <f t="array" ref="L1212">CONCATENATE(_xlfn.XLOOKUP(C1212,Clientes[ID_Cliente],Clientes[Provincia]),", Argentina")</f>
        <v>Buenos Aires, Argentina</v>
      </c>
      <c r="M1212" s="20" t="str">
        <f t="array" ref="M1212">_xlfn.XLOOKUP(F1212,Metodos_De_Pago[ID_Metodo],Metodos_De_Pago[Metodo])</f>
        <v>Mercado Pago</v>
      </c>
      <c r="N1212" s="20" t="str">
        <f t="shared" si="2"/>
        <v>2024 06</v>
      </c>
    </row>
    <row r="1213" ht="22.5" customHeight="1">
      <c r="A1213" s="12">
        <f>IFERROR(__xludf.DUMMYFUNCTION("""COMPUTED_VALUE"""),2437.0)</f>
        <v>2437</v>
      </c>
      <c r="B1213" s="13">
        <f>IFERROR(__xludf.DUMMYFUNCTION("""COMPUTED_VALUE"""),45454.0)</f>
        <v>45454</v>
      </c>
      <c r="C1213" s="12">
        <f>IFERROR(__xludf.DUMMYFUNCTION("""COMPUTED_VALUE"""),139.0)</f>
        <v>139</v>
      </c>
      <c r="D1213" s="12">
        <f>IFERROR(__xludf.DUMMYFUNCTION("""COMPUTED_VALUE"""),28.0)</f>
        <v>28</v>
      </c>
      <c r="E1213" s="12">
        <f>IFERROR(__xludf.DUMMYFUNCTION("""COMPUTED_VALUE"""),3.0)</f>
        <v>3</v>
      </c>
      <c r="F1213" s="12">
        <f>IFERROR(__xludf.DUMMYFUNCTION("""COMPUTED_VALUE"""),5.0)</f>
        <v>5</v>
      </c>
      <c r="G1213" s="15" t="str">
        <f>IFERROR(__xludf.DUMMYFUNCTION("""COMPUTED_VALUE"""),"Completa")</f>
        <v>Completa</v>
      </c>
      <c r="H1213" s="16" t="str">
        <f t="array" ref="H1213">_xlfn.XLOOKUP(D1213,Productos[ID_Producto],Productos[Nombre_Producto])</f>
        <v>Jugos de frutas</v>
      </c>
      <c r="I1213" s="17">
        <f t="array" ref="I1213">_xlfn.XLOOKUP(D1213,Productos[ID_Producto],Productos[Precio_Unitario])</f>
        <v>9.45</v>
      </c>
      <c r="J1213" s="17">
        <f t="shared" si="1"/>
        <v>28.35</v>
      </c>
      <c r="K1213" s="16" t="str">
        <f t="array" ref="K1213">_xlfn.XLOOKUP(C1213,Clientes[ID_Cliente],Clientes[Provincia])</f>
        <v>Buenos Aires</v>
      </c>
      <c r="L1213" s="16" t="str">
        <f t="array" ref="L1213">CONCATENATE(_xlfn.XLOOKUP(C1213,Clientes[ID_Cliente],Clientes[Provincia]),", Argentina")</f>
        <v>Buenos Aires, Argentina</v>
      </c>
      <c r="M1213" s="20" t="str">
        <f t="array" ref="M1213">_xlfn.XLOOKUP(F1213,Metodos_De_Pago[ID_Metodo],Metodos_De_Pago[Metodo])</f>
        <v>Transferencia</v>
      </c>
      <c r="N1213" s="20" t="str">
        <f t="shared" si="2"/>
        <v>2024 06</v>
      </c>
    </row>
    <row r="1214" ht="22.5" customHeight="1">
      <c r="A1214" s="12">
        <f>IFERROR(__xludf.DUMMYFUNCTION("""COMPUTED_VALUE"""),1323.0)</f>
        <v>1323</v>
      </c>
      <c r="B1214" s="13">
        <f>IFERROR(__xludf.DUMMYFUNCTION("""COMPUTED_VALUE"""),45455.0)</f>
        <v>45455</v>
      </c>
      <c r="C1214" s="12">
        <f>IFERROR(__xludf.DUMMYFUNCTION("""COMPUTED_VALUE"""),106.0)</f>
        <v>106</v>
      </c>
      <c r="D1214" s="12">
        <f>IFERROR(__xludf.DUMMYFUNCTION("""COMPUTED_VALUE"""),16.0)</f>
        <v>16</v>
      </c>
      <c r="E1214" s="12">
        <f>IFERROR(__xludf.DUMMYFUNCTION("""COMPUTED_VALUE"""),3.0)</f>
        <v>3</v>
      </c>
      <c r="F1214" s="12">
        <f>IFERROR(__xludf.DUMMYFUNCTION("""COMPUTED_VALUE"""),5.0)</f>
        <v>5</v>
      </c>
      <c r="G1214" s="15" t="str">
        <f>IFERROR(__xludf.DUMMYFUNCTION("""COMPUTED_VALUE"""),"Completa")</f>
        <v>Completa</v>
      </c>
      <c r="H1214" s="16" t="str">
        <f t="array" ref="H1214">_xlfn.XLOOKUP(D1214,Productos[ID_Producto],Productos[Nombre_Producto])</f>
        <v>Tortas</v>
      </c>
      <c r="I1214" s="17">
        <f t="array" ref="I1214">_xlfn.XLOOKUP(D1214,Productos[ID_Producto],Productos[Precio_Unitario])</f>
        <v>15.23</v>
      </c>
      <c r="J1214" s="17">
        <f t="shared" si="1"/>
        <v>45.69</v>
      </c>
      <c r="K1214" s="16" t="str">
        <f t="array" ref="K1214">_xlfn.XLOOKUP(C1214,Clientes[ID_Cliente],Clientes[Provincia])</f>
        <v>Chaco</v>
      </c>
      <c r="L1214" s="16" t="str">
        <f t="array" ref="L1214">CONCATENATE(_xlfn.XLOOKUP(C1214,Clientes[ID_Cliente],Clientes[Provincia]),", Argentina")</f>
        <v>Chaco, Argentina</v>
      </c>
      <c r="M1214" s="20" t="str">
        <f t="array" ref="M1214">_xlfn.XLOOKUP(F1214,Metodos_De_Pago[ID_Metodo],Metodos_De_Pago[Metodo])</f>
        <v>Transferencia</v>
      </c>
      <c r="N1214" s="20" t="str">
        <f t="shared" si="2"/>
        <v>2024 06</v>
      </c>
    </row>
    <row r="1215" ht="22.5" customHeight="1">
      <c r="A1215" s="12">
        <f>IFERROR(__xludf.DUMMYFUNCTION("""COMPUTED_VALUE"""),1673.0)</f>
        <v>1673</v>
      </c>
      <c r="B1215" s="13">
        <f>IFERROR(__xludf.DUMMYFUNCTION("""COMPUTED_VALUE"""),45455.0)</f>
        <v>45455</v>
      </c>
      <c r="C1215" s="12">
        <f>IFERROR(__xludf.DUMMYFUNCTION("""COMPUTED_VALUE"""),140.0)</f>
        <v>140</v>
      </c>
      <c r="D1215" s="12">
        <f>IFERROR(__xludf.DUMMYFUNCTION("""COMPUTED_VALUE"""),3.0)</f>
        <v>3</v>
      </c>
      <c r="E1215" s="12">
        <f>IFERROR(__xludf.DUMMYFUNCTION("""COMPUTED_VALUE"""),3.0)</f>
        <v>3</v>
      </c>
      <c r="F1215" s="12">
        <f>IFERROR(__xludf.DUMMYFUNCTION("""COMPUTED_VALUE"""),2.0)</f>
        <v>2</v>
      </c>
      <c r="G1215" s="15" t="str">
        <f>IFERROR(__xludf.DUMMYFUNCTION("""COMPUTED_VALUE"""),"Completa")</f>
        <v>Completa</v>
      </c>
      <c r="H1215" s="16" t="str">
        <f t="array" ref="H1215">_xlfn.XLOOKUP(D1215,Productos[ID_Producto],Productos[Nombre_Producto])</f>
        <v>Queso cremoso</v>
      </c>
      <c r="I1215" s="17">
        <f t="array" ref="I1215">_xlfn.XLOOKUP(D1215,Productos[ID_Producto],Productos[Precio_Unitario])</f>
        <v>17.23</v>
      </c>
      <c r="J1215" s="17">
        <f t="shared" si="1"/>
        <v>51.69</v>
      </c>
      <c r="K1215" s="16" t="str">
        <f t="array" ref="K1215">_xlfn.XLOOKUP(C1215,Clientes[ID_Cliente],Clientes[Provincia])</f>
        <v>Chaco</v>
      </c>
      <c r="L1215" s="16" t="str">
        <f t="array" ref="L1215">CONCATENATE(_xlfn.XLOOKUP(C1215,Clientes[ID_Cliente],Clientes[Provincia]),", Argentina")</f>
        <v>Chaco, Argentina</v>
      </c>
      <c r="M1215" s="20" t="str">
        <f t="array" ref="M1215">_xlfn.XLOOKUP(F1215,Metodos_De_Pago[ID_Metodo],Metodos_De_Pago[Metodo])</f>
        <v>Tarjeta de Crédito</v>
      </c>
      <c r="N1215" s="20" t="str">
        <f t="shared" si="2"/>
        <v>2024 06</v>
      </c>
    </row>
    <row r="1216" ht="22.5" customHeight="1">
      <c r="A1216" s="12">
        <f>IFERROR(__xludf.DUMMYFUNCTION("""COMPUTED_VALUE"""),1741.0)</f>
        <v>1741</v>
      </c>
      <c r="B1216" s="13">
        <f>IFERROR(__xludf.DUMMYFUNCTION("""COMPUTED_VALUE"""),45455.0)</f>
        <v>45455</v>
      </c>
      <c r="C1216" s="12">
        <f>IFERROR(__xludf.DUMMYFUNCTION("""COMPUTED_VALUE"""),61.0)</f>
        <v>61</v>
      </c>
      <c r="D1216" s="12">
        <f>IFERROR(__xludf.DUMMYFUNCTION("""COMPUTED_VALUE"""),20.0)</f>
        <v>20</v>
      </c>
      <c r="E1216" s="12">
        <f>IFERROR(__xludf.DUMMYFUNCTION("""COMPUTED_VALUE"""),3.0)</f>
        <v>3</v>
      </c>
      <c r="F1216" s="12">
        <f>IFERROR(__xludf.DUMMYFUNCTION("""COMPUTED_VALUE"""),1.0)</f>
        <v>1</v>
      </c>
      <c r="G1216" s="15" t="str">
        <f>IFERROR(__xludf.DUMMYFUNCTION("""COMPUTED_VALUE"""),"Completa")</f>
        <v>Completa</v>
      </c>
      <c r="H1216" s="16" t="str">
        <f t="array" ref="H1216">_xlfn.XLOOKUP(D1216,Productos[ID_Producto],Productos[Nombre_Producto])</f>
        <v>Lechugas</v>
      </c>
      <c r="I1216" s="17">
        <f t="array" ref="I1216">_xlfn.XLOOKUP(D1216,Productos[ID_Producto],Productos[Precio_Unitario])</f>
        <v>4.25</v>
      </c>
      <c r="J1216" s="17">
        <f t="shared" si="1"/>
        <v>12.75</v>
      </c>
      <c r="K1216" s="16" t="str">
        <f t="array" ref="K1216">_xlfn.XLOOKUP(C1216,Clientes[ID_Cliente],Clientes[Provincia])</f>
        <v>Buenos Aires</v>
      </c>
      <c r="L1216" s="16" t="str">
        <f t="array" ref="L1216">CONCATENATE(_xlfn.XLOOKUP(C1216,Clientes[ID_Cliente],Clientes[Provincia]),", Argentina")</f>
        <v>Buenos Aires, Argentina</v>
      </c>
      <c r="M1216" s="20" t="str">
        <f t="array" ref="M1216">_xlfn.XLOOKUP(F1216,Metodos_De_Pago[ID_Metodo],Metodos_De_Pago[Metodo])</f>
        <v>Efectivo</v>
      </c>
      <c r="N1216" s="20" t="str">
        <f t="shared" si="2"/>
        <v>2024 06</v>
      </c>
    </row>
    <row r="1217" ht="22.5" customHeight="1">
      <c r="A1217" s="12">
        <f>IFERROR(__xludf.DUMMYFUNCTION("""COMPUTED_VALUE"""),2990.0)</f>
        <v>2990</v>
      </c>
      <c r="B1217" s="13">
        <f>IFERROR(__xludf.DUMMYFUNCTION("""COMPUTED_VALUE"""),45455.0)</f>
        <v>45455</v>
      </c>
      <c r="C1217" s="12">
        <f>IFERROR(__xludf.DUMMYFUNCTION("""COMPUTED_VALUE"""),297.0)</f>
        <v>297</v>
      </c>
      <c r="D1217" s="12">
        <f>IFERROR(__xludf.DUMMYFUNCTION("""COMPUTED_VALUE"""),31.0)</f>
        <v>31</v>
      </c>
      <c r="E1217" s="12">
        <f>IFERROR(__xludf.DUMMYFUNCTION("""COMPUTED_VALUE"""),3.0)</f>
        <v>3</v>
      </c>
      <c r="F1217" s="12">
        <f>IFERROR(__xludf.DUMMYFUNCTION("""COMPUTED_VALUE"""),5.0)</f>
        <v>5</v>
      </c>
      <c r="G1217" s="15" t="str">
        <f>IFERROR(__xludf.DUMMYFUNCTION("""COMPUTED_VALUE"""),"Pendiente")</f>
        <v>Pendiente</v>
      </c>
      <c r="H1217" s="16" t="str">
        <f t="array" ref="H1217">_xlfn.XLOOKUP(D1217,Productos[ID_Producto],Productos[Nombre_Producto])</f>
        <v>Galletitas de agua</v>
      </c>
      <c r="I1217" s="17">
        <f t="array" ref="I1217">_xlfn.XLOOKUP(D1217,Productos[ID_Producto],Productos[Precio_Unitario])</f>
        <v>5.24</v>
      </c>
      <c r="J1217" s="17">
        <f t="shared" si="1"/>
        <v>15.72</v>
      </c>
      <c r="K1217" s="16" t="str">
        <f t="array" ref="K1217">_xlfn.XLOOKUP(C1217,Clientes[ID_Cliente],Clientes[Provincia])</f>
        <v>Buenos Aires</v>
      </c>
      <c r="L1217" s="16" t="str">
        <f t="array" ref="L1217">CONCATENATE(_xlfn.XLOOKUP(C1217,Clientes[ID_Cliente],Clientes[Provincia]),", Argentina")</f>
        <v>Buenos Aires, Argentina</v>
      </c>
      <c r="M1217" s="20" t="str">
        <f t="array" ref="M1217">_xlfn.XLOOKUP(F1217,Metodos_De_Pago[ID_Metodo],Metodos_De_Pago[Metodo])</f>
        <v>Transferencia</v>
      </c>
      <c r="N1217" s="20" t="str">
        <f t="shared" si="2"/>
        <v>2024 06</v>
      </c>
    </row>
    <row r="1218" ht="22.5" customHeight="1">
      <c r="A1218" s="12">
        <f>IFERROR(__xludf.DUMMYFUNCTION("""COMPUTED_VALUE"""),863.0)</f>
        <v>863</v>
      </c>
      <c r="B1218" s="13">
        <f>IFERROR(__xludf.DUMMYFUNCTION("""COMPUTED_VALUE"""),45456.0)</f>
        <v>45456</v>
      </c>
      <c r="C1218" s="12">
        <f>IFERROR(__xludf.DUMMYFUNCTION("""COMPUTED_VALUE"""),186.0)</f>
        <v>186</v>
      </c>
      <c r="D1218" s="12">
        <f>IFERROR(__xludf.DUMMYFUNCTION("""COMPUTED_VALUE"""),32.0)</f>
        <v>32</v>
      </c>
      <c r="E1218" s="12">
        <f>IFERROR(__xludf.DUMMYFUNCTION("""COMPUTED_VALUE"""),3.0)</f>
        <v>3</v>
      </c>
      <c r="F1218" s="12">
        <f>IFERROR(__xludf.DUMMYFUNCTION("""COMPUTED_VALUE"""),5.0)</f>
        <v>5</v>
      </c>
      <c r="G1218" s="15" t="str">
        <f>IFERROR(__xludf.DUMMYFUNCTION("""COMPUTED_VALUE"""),"Completa")</f>
        <v>Completa</v>
      </c>
      <c r="H1218" s="16" t="str">
        <f t="array" ref="H1218">_xlfn.XLOOKUP(D1218,Productos[ID_Producto],Productos[Nombre_Producto])</f>
        <v>Galletitas de chocolate</v>
      </c>
      <c r="I1218" s="17">
        <f t="array" ref="I1218">_xlfn.XLOOKUP(D1218,Productos[ID_Producto],Productos[Precio_Unitario])</f>
        <v>6.25</v>
      </c>
      <c r="J1218" s="17">
        <f t="shared" si="1"/>
        <v>18.75</v>
      </c>
      <c r="K1218" s="16" t="str">
        <f t="array" ref="K1218">_xlfn.XLOOKUP(C1218,Clientes[ID_Cliente],Clientes[Provincia])</f>
        <v>Neuquén</v>
      </c>
      <c r="L1218" s="16" t="str">
        <f t="array" ref="L1218">CONCATENATE(_xlfn.XLOOKUP(C1218,Clientes[ID_Cliente],Clientes[Provincia]),", Argentina")</f>
        <v>Neuquén, Argentina</v>
      </c>
      <c r="M1218" s="20" t="str">
        <f t="array" ref="M1218">_xlfn.XLOOKUP(F1218,Metodos_De_Pago[ID_Metodo],Metodos_De_Pago[Metodo])</f>
        <v>Transferencia</v>
      </c>
      <c r="N1218" s="20" t="str">
        <f t="shared" si="2"/>
        <v>2024 06</v>
      </c>
    </row>
    <row r="1219" ht="22.5" customHeight="1">
      <c r="A1219" s="12">
        <f>IFERROR(__xludf.DUMMYFUNCTION("""COMPUTED_VALUE"""),309.0)</f>
        <v>309</v>
      </c>
      <c r="B1219" s="13">
        <f>IFERROR(__xludf.DUMMYFUNCTION("""COMPUTED_VALUE"""),45457.0)</f>
        <v>45457</v>
      </c>
      <c r="C1219" s="12">
        <f>IFERROR(__xludf.DUMMYFUNCTION("""COMPUTED_VALUE"""),148.0)</f>
        <v>148</v>
      </c>
      <c r="D1219" s="12">
        <f>IFERROR(__xludf.DUMMYFUNCTION("""COMPUTED_VALUE"""),33.0)</f>
        <v>33</v>
      </c>
      <c r="E1219" s="12">
        <f>IFERROR(__xludf.DUMMYFUNCTION("""COMPUTED_VALUE"""),3.0)</f>
        <v>3</v>
      </c>
      <c r="F1219" s="12">
        <f>IFERROR(__xludf.DUMMYFUNCTION("""COMPUTED_VALUE"""),5.0)</f>
        <v>5</v>
      </c>
      <c r="G1219" s="15" t="str">
        <f>IFERROR(__xludf.DUMMYFUNCTION("""COMPUTED_VALUE"""),"Completa")</f>
        <v>Completa</v>
      </c>
      <c r="H1219" s="16" t="str">
        <f t="array" ref="H1219">_xlfn.XLOOKUP(D1219,Productos[ID_Producto],Productos[Nombre_Producto])</f>
        <v>Papas chips</v>
      </c>
      <c r="I1219" s="17">
        <f t="array" ref="I1219">_xlfn.XLOOKUP(D1219,Productos[ID_Producto],Productos[Precio_Unitario])</f>
        <v>8.54</v>
      </c>
      <c r="J1219" s="17">
        <f t="shared" si="1"/>
        <v>25.62</v>
      </c>
      <c r="K1219" s="16" t="str">
        <f t="array" ref="K1219">_xlfn.XLOOKUP(C1219,Clientes[ID_Cliente],Clientes[Provincia])</f>
        <v>Córdoba</v>
      </c>
      <c r="L1219" s="16" t="str">
        <f t="array" ref="L1219">CONCATENATE(_xlfn.XLOOKUP(C1219,Clientes[ID_Cliente],Clientes[Provincia]),", Argentina")</f>
        <v>Córdoba, Argentina</v>
      </c>
      <c r="M1219" s="20" t="str">
        <f t="array" ref="M1219">_xlfn.XLOOKUP(F1219,Metodos_De_Pago[ID_Metodo],Metodos_De_Pago[Metodo])</f>
        <v>Transferencia</v>
      </c>
      <c r="N1219" s="20" t="str">
        <f t="shared" si="2"/>
        <v>2024 06</v>
      </c>
    </row>
    <row r="1220" ht="22.5" customHeight="1">
      <c r="A1220" s="12">
        <f>IFERROR(__xludf.DUMMYFUNCTION("""COMPUTED_VALUE"""),1543.0)</f>
        <v>1543</v>
      </c>
      <c r="B1220" s="13">
        <f>IFERROR(__xludf.DUMMYFUNCTION("""COMPUTED_VALUE"""),45457.0)</f>
        <v>45457</v>
      </c>
      <c r="C1220" s="12">
        <f>IFERROR(__xludf.DUMMYFUNCTION("""COMPUTED_VALUE"""),130.0)</f>
        <v>130</v>
      </c>
      <c r="D1220" s="12">
        <f>IFERROR(__xludf.DUMMYFUNCTION("""COMPUTED_VALUE"""),37.0)</f>
        <v>37</v>
      </c>
      <c r="E1220" s="12">
        <f>IFERROR(__xludf.DUMMYFUNCTION("""COMPUTED_VALUE"""),3.0)</f>
        <v>3</v>
      </c>
      <c r="F1220" s="12">
        <f>IFERROR(__xludf.DUMMYFUNCTION("""COMPUTED_VALUE"""),2.0)</f>
        <v>2</v>
      </c>
      <c r="G1220" s="15" t="str">
        <f>IFERROR(__xludf.DUMMYFUNCTION("""COMPUTED_VALUE"""),"Completa")</f>
        <v>Completa</v>
      </c>
      <c r="H1220" s="16" t="str">
        <f t="array" ref="H1220">_xlfn.XLOOKUP(D1220,Productos[ID_Producto],Productos[Nombre_Producto])</f>
        <v>Garbanzos</v>
      </c>
      <c r="I1220" s="17">
        <f t="array" ref="I1220">_xlfn.XLOOKUP(D1220,Productos[ID_Producto],Productos[Precio_Unitario])</f>
        <v>3.65</v>
      </c>
      <c r="J1220" s="17">
        <f t="shared" si="1"/>
        <v>10.95</v>
      </c>
      <c r="K1220" s="16" t="str">
        <f t="array" ref="K1220">_xlfn.XLOOKUP(C1220,Clientes[ID_Cliente],Clientes[Provincia])</f>
        <v>Buenos Aires</v>
      </c>
      <c r="L1220" s="16" t="str">
        <f t="array" ref="L1220">CONCATENATE(_xlfn.XLOOKUP(C1220,Clientes[ID_Cliente],Clientes[Provincia]),", Argentina")</f>
        <v>Buenos Aires, Argentina</v>
      </c>
      <c r="M1220" s="20" t="str">
        <f t="array" ref="M1220">_xlfn.XLOOKUP(F1220,Metodos_De_Pago[ID_Metodo],Metodos_De_Pago[Metodo])</f>
        <v>Tarjeta de Crédito</v>
      </c>
      <c r="N1220" s="20" t="str">
        <f t="shared" si="2"/>
        <v>2024 06</v>
      </c>
    </row>
    <row r="1221" ht="22.5" customHeight="1">
      <c r="A1221" s="12">
        <f>IFERROR(__xludf.DUMMYFUNCTION("""COMPUTED_VALUE"""),96.0)</f>
        <v>96</v>
      </c>
      <c r="B1221" s="13">
        <f>IFERROR(__xludf.DUMMYFUNCTION("""COMPUTED_VALUE"""),45458.0)</f>
        <v>45458</v>
      </c>
      <c r="C1221" s="12">
        <f>IFERROR(__xludf.DUMMYFUNCTION("""COMPUTED_VALUE"""),93.0)</f>
        <v>93</v>
      </c>
      <c r="D1221" s="12">
        <f>IFERROR(__xludf.DUMMYFUNCTION("""COMPUTED_VALUE"""),14.0)</f>
        <v>14</v>
      </c>
      <c r="E1221" s="12">
        <f>IFERROR(__xludf.DUMMYFUNCTION("""COMPUTED_VALUE"""),3.0)</f>
        <v>3</v>
      </c>
      <c r="F1221" s="12">
        <f>IFERROR(__xludf.DUMMYFUNCTION("""COMPUTED_VALUE"""),5.0)</f>
        <v>5</v>
      </c>
      <c r="G1221" s="15" t="str">
        <f>IFERROR(__xludf.DUMMYFUNCTION("""COMPUTED_VALUE"""),"Completa")</f>
        <v>Completa</v>
      </c>
      <c r="H1221" s="16" t="str">
        <f t="array" ref="H1221">_xlfn.XLOOKUP(D1221,Productos[ID_Producto],Productos[Nombre_Producto])</f>
        <v>Facturas</v>
      </c>
      <c r="I1221" s="17">
        <f t="array" ref="I1221">_xlfn.XLOOKUP(D1221,Productos[ID_Producto],Productos[Precio_Unitario])</f>
        <v>12.36</v>
      </c>
      <c r="J1221" s="17">
        <f t="shared" si="1"/>
        <v>37.08</v>
      </c>
      <c r="K1221" s="16" t="str">
        <f t="array" ref="K1221">_xlfn.XLOOKUP(C1221,Clientes[ID_Cliente],Clientes[Provincia])</f>
        <v>Buenos Aires</v>
      </c>
      <c r="L1221" s="16" t="str">
        <f t="array" ref="L1221">CONCATENATE(_xlfn.XLOOKUP(C1221,Clientes[ID_Cliente],Clientes[Provincia]),", Argentina")</f>
        <v>Buenos Aires, Argentina</v>
      </c>
      <c r="M1221" s="20" t="str">
        <f t="array" ref="M1221">_xlfn.XLOOKUP(F1221,Metodos_De_Pago[ID_Metodo],Metodos_De_Pago[Metodo])</f>
        <v>Transferencia</v>
      </c>
      <c r="N1221" s="20" t="str">
        <f t="shared" si="2"/>
        <v>2024 06</v>
      </c>
    </row>
    <row r="1222" ht="22.5" customHeight="1">
      <c r="A1222" s="12">
        <f>IFERROR(__xludf.DUMMYFUNCTION("""COMPUTED_VALUE"""),243.0)</f>
        <v>243</v>
      </c>
      <c r="B1222" s="13">
        <f>IFERROR(__xludf.DUMMYFUNCTION("""COMPUTED_VALUE"""),45458.0)</f>
        <v>45458</v>
      </c>
      <c r="C1222" s="12">
        <f>IFERROR(__xludf.DUMMYFUNCTION("""COMPUTED_VALUE"""),54.0)</f>
        <v>54</v>
      </c>
      <c r="D1222" s="12">
        <f>IFERROR(__xludf.DUMMYFUNCTION("""COMPUTED_VALUE"""),32.0)</f>
        <v>32</v>
      </c>
      <c r="E1222" s="12">
        <f>IFERROR(__xludf.DUMMYFUNCTION("""COMPUTED_VALUE"""),3.0)</f>
        <v>3</v>
      </c>
      <c r="F1222" s="12">
        <f>IFERROR(__xludf.DUMMYFUNCTION("""COMPUTED_VALUE"""),4.0)</f>
        <v>4</v>
      </c>
      <c r="G1222" s="15" t="str">
        <f>IFERROR(__xludf.DUMMYFUNCTION("""COMPUTED_VALUE"""),"Completa")</f>
        <v>Completa</v>
      </c>
      <c r="H1222" s="16" t="str">
        <f t="array" ref="H1222">_xlfn.XLOOKUP(D1222,Productos[ID_Producto],Productos[Nombre_Producto])</f>
        <v>Galletitas de chocolate</v>
      </c>
      <c r="I1222" s="17">
        <f t="array" ref="I1222">_xlfn.XLOOKUP(D1222,Productos[ID_Producto],Productos[Precio_Unitario])</f>
        <v>6.25</v>
      </c>
      <c r="J1222" s="17">
        <f t="shared" si="1"/>
        <v>18.75</v>
      </c>
      <c r="K1222" s="16" t="str">
        <f t="array" ref="K1222">_xlfn.XLOOKUP(C1222,Clientes[ID_Cliente],Clientes[Provincia])</f>
        <v>Buenos Aires</v>
      </c>
      <c r="L1222" s="16" t="str">
        <f t="array" ref="L1222">CONCATENATE(_xlfn.XLOOKUP(C1222,Clientes[ID_Cliente],Clientes[Provincia]),", Argentina")</f>
        <v>Buenos Aires, Argentina</v>
      </c>
      <c r="M1222" s="20" t="str">
        <f t="array" ref="M1222">_xlfn.XLOOKUP(F1222,Metodos_De_Pago[ID_Metodo],Metodos_De_Pago[Metodo])</f>
        <v>Mercado Pago</v>
      </c>
      <c r="N1222" s="20" t="str">
        <f t="shared" si="2"/>
        <v>2024 06</v>
      </c>
    </row>
    <row r="1223" ht="22.5" customHeight="1">
      <c r="A1223" s="12">
        <f>IFERROR(__xludf.DUMMYFUNCTION("""COMPUTED_VALUE"""),510.0)</f>
        <v>510</v>
      </c>
      <c r="B1223" s="13">
        <f>IFERROR(__xludf.DUMMYFUNCTION("""COMPUTED_VALUE"""),45458.0)</f>
        <v>45458</v>
      </c>
      <c r="C1223" s="12">
        <f>IFERROR(__xludf.DUMMYFUNCTION("""COMPUTED_VALUE"""),250.0)</f>
        <v>250</v>
      </c>
      <c r="D1223" s="12">
        <f>IFERROR(__xludf.DUMMYFUNCTION("""COMPUTED_VALUE"""),10.0)</f>
        <v>10</v>
      </c>
      <c r="E1223" s="12">
        <f>IFERROR(__xludf.DUMMYFUNCTION("""COMPUTED_VALUE"""),3.0)</f>
        <v>3</v>
      </c>
      <c r="F1223" s="12">
        <f>IFERROR(__xludf.DUMMYFUNCTION("""COMPUTED_VALUE"""),4.0)</f>
        <v>4</v>
      </c>
      <c r="G1223" s="15" t="str">
        <f>IFERROR(__xludf.DUMMYFUNCTION("""COMPUTED_VALUE"""),"Completa")</f>
        <v>Completa</v>
      </c>
      <c r="H1223" s="16" t="str">
        <f t="array" ref="H1223">_xlfn.XLOOKUP(D1223,Productos[ID_Producto],Productos[Nombre_Producto])</f>
        <v>Costilla de cerdo</v>
      </c>
      <c r="I1223" s="17">
        <f t="array" ref="I1223">_xlfn.XLOOKUP(D1223,Productos[ID_Producto],Productos[Precio_Unitario])</f>
        <v>14.25</v>
      </c>
      <c r="J1223" s="17">
        <f t="shared" si="1"/>
        <v>42.75</v>
      </c>
      <c r="K1223" s="16" t="str">
        <f t="array" ref="K1223">_xlfn.XLOOKUP(C1223,Clientes[ID_Cliente],Clientes[Provincia])</f>
        <v>Córdoba</v>
      </c>
      <c r="L1223" s="16" t="str">
        <f t="array" ref="L1223">CONCATENATE(_xlfn.XLOOKUP(C1223,Clientes[ID_Cliente],Clientes[Provincia]),", Argentina")</f>
        <v>Córdoba, Argentina</v>
      </c>
      <c r="M1223" s="20" t="str">
        <f t="array" ref="M1223">_xlfn.XLOOKUP(F1223,Metodos_De_Pago[ID_Metodo],Metodos_De_Pago[Metodo])</f>
        <v>Mercado Pago</v>
      </c>
      <c r="N1223" s="20" t="str">
        <f t="shared" si="2"/>
        <v>2024 06</v>
      </c>
    </row>
    <row r="1224" ht="22.5" customHeight="1">
      <c r="A1224" s="12">
        <f>IFERROR(__xludf.DUMMYFUNCTION("""COMPUTED_VALUE"""),2511.0)</f>
        <v>2511</v>
      </c>
      <c r="B1224" s="13">
        <f>IFERROR(__xludf.DUMMYFUNCTION("""COMPUTED_VALUE"""),45458.0)</f>
        <v>45458</v>
      </c>
      <c r="C1224" s="12">
        <f>IFERROR(__xludf.DUMMYFUNCTION("""COMPUTED_VALUE"""),259.0)</f>
        <v>259</v>
      </c>
      <c r="D1224" s="12">
        <f>IFERROR(__xludf.DUMMYFUNCTION("""COMPUTED_VALUE"""),37.0)</f>
        <v>37</v>
      </c>
      <c r="E1224" s="12">
        <f>IFERROR(__xludf.DUMMYFUNCTION("""COMPUTED_VALUE"""),3.0)</f>
        <v>3</v>
      </c>
      <c r="F1224" s="12">
        <f>IFERROR(__xludf.DUMMYFUNCTION("""COMPUTED_VALUE"""),3.0)</f>
        <v>3</v>
      </c>
      <c r="G1224" s="15" t="str">
        <f>IFERROR(__xludf.DUMMYFUNCTION("""COMPUTED_VALUE"""),"Pendiente")</f>
        <v>Pendiente</v>
      </c>
      <c r="H1224" s="16" t="str">
        <f t="array" ref="H1224">_xlfn.XLOOKUP(D1224,Productos[ID_Producto],Productos[Nombre_Producto])</f>
        <v>Garbanzos</v>
      </c>
      <c r="I1224" s="17">
        <f t="array" ref="I1224">_xlfn.XLOOKUP(D1224,Productos[ID_Producto],Productos[Precio_Unitario])</f>
        <v>3.65</v>
      </c>
      <c r="J1224" s="17">
        <f t="shared" si="1"/>
        <v>10.95</v>
      </c>
      <c r="K1224" s="16" t="str">
        <f t="array" ref="K1224">_xlfn.XLOOKUP(C1224,Clientes[ID_Cliente],Clientes[Provincia])</f>
        <v>San Luis</v>
      </c>
      <c r="L1224" s="16" t="str">
        <f t="array" ref="L1224">CONCATENATE(_xlfn.XLOOKUP(C1224,Clientes[ID_Cliente],Clientes[Provincia]),", Argentina")</f>
        <v>San Luis, Argentina</v>
      </c>
      <c r="M1224" s="20" t="str">
        <f t="array" ref="M1224">_xlfn.XLOOKUP(F1224,Metodos_De_Pago[ID_Metodo],Metodos_De_Pago[Metodo])</f>
        <v>Tarjeta de Débito</v>
      </c>
      <c r="N1224" s="20" t="str">
        <f t="shared" si="2"/>
        <v>2024 06</v>
      </c>
    </row>
    <row r="1225" ht="22.5" customHeight="1">
      <c r="A1225" s="12">
        <f>IFERROR(__xludf.DUMMYFUNCTION("""COMPUTED_VALUE"""),660.0)</f>
        <v>660</v>
      </c>
      <c r="B1225" s="13">
        <f>IFERROR(__xludf.DUMMYFUNCTION("""COMPUTED_VALUE"""),45459.0)</f>
        <v>45459</v>
      </c>
      <c r="C1225" s="12">
        <f>IFERROR(__xludf.DUMMYFUNCTION("""COMPUTED_VALUE"""),205.0)</f>
        <v>205</v>
      </c>
      <c r="D1225" s="12">
        <f>IFERROR(__xludf.DUMMYFUNCTION("""COMPUTED_VALUE"""),3.0)</f>
        <v>3</v>
      </c>
      <c r="E1225" s="12">
        <f>IFERROR(__xludf.DUMMYFUNCTION("""COMPUTED_VALUE"""),3.0)</f>
        <v>3</v>
      </c>
      <c r="F1225" s="12">
        <f>IFERROR(__xludf.DUMMYFUNCTION("""COMPUTED_VALUE"""),5.0)</f>
        <v>5</v>
      </c>
      <c r="G1225" s="15" t="str">
        <f>IFERROR(__xludf.DUMMYFUNCTION("""COMPUTED_VALUE"""),"Completa")</f>
        <v>Completa</v>
      </c>
      <c r="H1225" s="16" t="str">
        <f t="array" ref="H1225">_xlfn.XLOOKUP(D1225,Productos[ID_Producto],Productos[Nombre_Producto])</f>
        <v>Queso cremoso</v>
      </c>
      <c r="I1225" s="17">
        <f t="array" ref="I1225">_xlfn.XLOOKUP(D1225,Productos[ID_Producto],Productos[Precio_Unitario])</f>
        <v>17.23</v>
      </c>
      <c r="J1225" s="17">
        <f t="shared" si="1"/>
        <v>51.69</v>
      </c>
      <c r="K1225" s="16" t="str">
        <f t="array" ref="K1225">_xlfn.XLOOKUP(C1225,Clientes[ID_Cliente],Clientes[Provincia])</f>
        <v>Neuquén</v>
      </c>
      <c r="L1225" s="16" t="str">
        <f t="array" ref="L1225">CONCATENATE(_xlfn.XLOOKUP(C1225,Clientes[ID_Cliente],Clientes[Provincia]),", Argentina")</f>
        <v>Neuquén, Argentina</v>
      </c>
      <c r="M1225" s="20" t="str">
        <f t="array" ref="M1225">_xlfn.XLOOKUP(F1225,Metodos_De_Pago[ID_Metodo],Metodos_De_Pago[Metodo])</f>
        <v>Transferencia</v>
      </c>
      <c r="N1225" s="20" t="str">
        <f t="shared" si="2"/>
        <v>2024 06</v>
      </c>
    </row>
    <row r="1226" ht="22.5" customHeight="1">
      <c r="A1226" s="12">
        <f>IFERROR(__xludf.DUMMYFUNCTION("""COMPUTED_VALUE"""),733.0)</f>
        <v>733</v>
      </c>
      <c r="B1226" s="13">
        <f>IFERROR(__xludf.DUMMYFUNCTION("""COMPUTED_VALUE"""),45459.0)</f>
        <v>45459</v>
      </c>
      <c r="C1226" s="12">
        <f>IFERROR(__xludf.DUMMYFUNCTION("""COMPUTED_VALUE"""),111.0)</f>
        <v>111</v>
      </c>
      <c r="D1226" s="12">
        <f>IFERROR(__xludf.DUMMYFUNCTION("""COMPUTED_VALUE"""),29.0)</f>
        <v>29</v>
      </c>
      <c r="E1226" s="12">
        <f>IFERROR(__xludf.DUMMYFUNCTION("""COMPUTED_VALUE"""),3.0)</f>
        <v>3</v>
      </c>
      <c r="F1226" s="12">
        <f>IFERROR(__xludf.DUMMYFUNCTION("""COMPUTED_VALUE"""),3.0)</f>
        <v>3</v>
      </c>
      <c r="G1226" s="15" t="str">
        <f>IFERROR(__xludf.DUMMYFUNCTION("""COMPUTED_VALUE"""),"Completa")</f>
        <v>Completa</v>
      </c>
      <c r="H1226" s="16" t="str">
        <f t="array" ref="H1226">_xlfn.XLOOKUP(D1226,Productos[ID_Producto],Productos[Nombre_Producto])</f>
        <v>Cerveza</v>
      </c>
      <c r="I1226" s="17">
        <f t="array" ref="I1226">_xlfn.XLOOKUP(D1226,Productos[ID_Producto],Productos[Precio_Unitario])</f>
        <v>11.54</v>
      </c>
      <c r="J1226" s="17">
        <f t="shared" si="1"/>
        <v>34.62</v>
      </c>
      <c r="K1226" s="16" t="str">
        <f t="array" ref="K1226">_xlfn.XLOOKUP(C1226,Clientes[ID_Cliente],Clientes[Provincia])</f>
        <v>San Luis</v>
      </c>
      <c r="L1226" s="16" t="str">
        <f t="array" ref="L1226">CONCATENATE(_xlfn.XLOOKUP(C1226,Clientes[ID_Cliente],Clientes[Provincia]),", Argentina")</f>
        <v>San Luis, Argentina</v>
      </c>
      <c r="M1226" s="20" t="str">
        <f t="array" ref="M1226">_xlfn.XLOOKUP(F1226,Metodos_De_Pago[ID_Metodo],Metodos_De_Pago[Metodo])</f>
        <v>Tarjeta de Débito</v>
      </c>
      <c r="N1226" s="20" t="str">
        <f t="shared" si="2"/>
        <v>2024 06</v>
      </c>
    </row>
    <row r="1227" ht="22.5" customHeight="1">
      <c r="A1227" s="12">
        <f>IFERROR(__xludf.DUMMYFUNCTION("""COMPUTED_VALUE"""),1404.0)</f>
        <v>1404</v>
      </c>
      <c r="B1227" s="13">
        <f>IFERROR(__xludf.DUMMYFUNCTION("""COMPUTED_VALUE"""),45459.0)</f>
        <v>45459</v>
      </c>
      <c r="C1227" s="12">
        <f>IFERROR(__xludf.DUMMYFUNCTION("""COMPUTED_VALUE"""),57.0)</f>
        <v>57</v>
      </c>
      <c r="D1227" s="12">
        <f>IFERROR(__xludf.DUMMYFUNCTION("""COMPUTED_VALUE"""),19.0)</f>
        <v>19</v>
      </c>
      <c r="E1227" s="12">
        <f>IFERROR(__xludf.DUMMYFUNCTION("""COMPUTED_VALUE"""),3.0)</f>
        <v>3</v>
      </c>
      <c r="F1227" s="12">
        <f>IFERROR(__xludf.DUMMYFUNCTION("""COMPUTED_VALUE"""),3.0)</f>
        <v>3</v>
      </c>
      <c r="G1227" s="15" t="str">
        <f>IFERROR(__xludf.DUMMYFUNCTION("""COMPUTED_VALUE"""),"Completa")</f>
        <v>Completa</v>
      </c>
      <c r="H1227" s="16" t="str">
        <f t="array" ref="H1227">_xlfn.XLOOKUP(D1227,Productos[ID_Producto],Productos[Nombre_Producto])</f>
        <v>Tomates</v>
      </c>
      <c r="I1227" s="17">
        <f t="array" ref="I1227">_xlfn.XLOOKUP(D1227,Productos[ID_Producto],Productos[Precio_Unitario])</f>
        <v>6.54</v>
      </c>
      <c r="J1227" s="17">
        <f t="shared" si="1"/>
        <v>19.62</v>
      </c>
      <c r="K1227" s="16" t="str">
        <f t="array" ref="K1227">_xlfn.XLOOKUP(C1227,Clientes[ID_Cliente],Clientes[Provincia])</f>
        <v>Córdoba</v>
      </c>
      <c r="L1227" s="16" t="str">
        <f t="array" ref="L1227">CONCATENATE(_xlfn.XLOOKUP(C1227,Clientes[ID_Cliente],Clientes[Provincia]),", Argentina")</f>
        <v>Córdoba, Argentina</v>
      </c>
      <c r="M1227" s="20" t="str">
        <f t="array" ref="M1227">_xlfn.XLOOKUP(F1227,Metodos_De_Pago[ID_Metodo],Metodos_De_Pago[Metodo])</f>
        <v>Tarjeta de Débito</v>
      </c>
      <c r="N1227" s="20" t="str">
        <f t="shared" si="2"/>
        <v>2024 06</v>
      </c>
    </row>
    <row r="1228" ht="22.5" customHeight="1">
      <c r="A1228" s="12">
        <f>IFERROR(__xludf.DUMMYFUNCTION("""COMPUTED_VALUE"""),1688.0)</f>
        <v>1688</v>
      </c>
      <c r="B1228" s="13">
        <f>IFERROR(__xludf.DUMMYFUNCTION("""COMPUTED_VALUE"""),45459.0)</f>
        <v>45459</v>
      </c>
      <c r="C1228" s="12">
        <f>IFERROR(__xludf.DUMMYFUNCTION("""COMPUTED_VALUE"""),297.0)</f>
        <v>297</v>
      </c>
      <c r="D1228" s="12">
        <f>IFERROR(__xludf.DUMMYFUNCTION("""COMPUTED_VALUE"""),12.0)</f>
        <v>12</v>
      </c>
      <c r="E1228" s="12">
        <f>IFERROR(__xludf.DUMMYFUNCTION("""COMPUTED_VALUE"""),3.0)</f>
        <v>3</v>
      </c>
      <c r="F1228" s="12">
        <f>IFERROR(__xludf.DUMMYFUNCTION("""COMPUTED_VALUE"""),5.0)</f>
        <v>5</v>
      </c>
      <c r="G1228" s="15" t="str">
        <f>IFERROR(__xludf.DUMMYFUNCTION("""COMPUTED_VALUE"""),"Completa")</f>
        <v>Completa</v>
      </c>
      <c r="H1228" s="16" t="str">
        <f t="array" ref="H1228">_xlfn.XLOOKUP(D1228,Productos[ID_Producto],Productos[Nombre_Producto])</f>
        <v>Pan francés</v>
      </c>
      <c r="I1228" s="17">
        <f t="array" ref="I1228">_xlfn.XLOOKUP(D1228,Productos[ID_Producto],Productos[Precio_Unitario])</f>
        <v>8.12</v>
      </c>
      <c r="J1228" s="17">
        <f t="shared" si="1"/>
        <v>24.36</v>
      </c>
      <c r="K1228" s="16" t="str">
        <f t="array" ref="K1228">_xlfn.XLOOKUP(C1228,Clientes[ID_Cliente],Clientes[Provincia])</f>
        <v>Buenos Aires</v>
      </c>
      <c r="L1228" s="16" t="str">
        <f t="array" ref="L1228">CONCATENATE(_xlfn.XLOOKUP(C1228,Clientes[ID_Cliente],Clientes[Provincia]),", Argentina")</f>
        <v>Buenos Aires, Argentina</v>
      </c>
      <c r="M1228" s="20" t="str">
        <f t="array" ref="M1228">_xlfn.XLOOKUP(F1228,Metodos_De_Pago[ID_Metodo],Metodos_De_Pago[Metodo])</f>
        <v>Transferencia</v>
      </c>
      <c r="N1228" s="20" t="str">
        <f t="shared" si="2"/>
        <v>2024 06</v>
      </c>
    </row>
    <row r="1229" ht="22.5" customHeight="1">
      <c r="A1229" s="12">
        <f>IFERROR(__xludf.DUMMYFUNCTION("""COMPUTED_VALUE"""),1124.0)</f>
        <v>1124</v>
      </c>
      <c r="B1229" s="13">
        <f>IFERROR(__xludf.DUMMYFUNCTION("""COMPUTED_VALUE"""),45462.0)</f>
        <v>45462</v>
      </c>
      <c r="C1229" s="12">
        <f>IFERROR(__xludf.DUMMYFUNCTION("""COMPUTED_VALUE"""),232.0)</f>
        <v>232</v>
      </c>
      <c r="D1229" s="12">
        <f>IFERROR(__xludf.DUMMYFUNCTION("""COMPUTED_VALUE"""),7.0)</f>
        <v>7</v>
      </c>
      <c r="E1229" s="12">
        <f>IFERROR(__xludf.DUMMYFUNCTION("""COMPUTED_VALUE"""),3.0)</f>
        <v>3</v>
      </c>
      <c r="F1229" s="12">
        <f>IFERROR(__xludf.DUMMYFUNCTION("""COMPUTED_VALUE"""),3.0)</f>
        <v>3</v>
      </c>
      <c r="G1229" s="15" t="str">
        <f>IFERROR(__xludf.DUMMYFUNCTION("""COMPUTED_VALUE"""),"Completa")</f>
        <v>Completa</v>
      </c>
      <c r="H1229" s="16" t="str">
        <f t="array" ref="H1229">_xlfn.XLOOKUP(D1229,Productos[ID_Producto],Productos[Nombre_Producto])</f>
        <v>Chorizo</v>
      </c>
      <c r="I1229" s="17">
        <f t="array" ref="I1229">_xlfn.XLOOKUP(D1229,Productos[ID_Producto],Productos[Precio_Unitario])</f>
        <v>11.25</v>
      </c>
      <c r="J1229" s="17">
        <f t="shared" si="1"/>
        <v>33.75</v>
      </c>
      <c r="K1229" s="16" t="str">
        <f t="array" ref="K1229">_xlfn.XLOOKUP(C1229,Clientes[ID_Cliente],Clientes[Provincia])</f>
        <v>Buenos Aires</v>
      </c>
      <c r="L1229" s="16" t="str">
        <f t="array" ref="L1229">CONCATENATE(_xlfn.XLOOKUP(C1229,Clientes[ID_Cliente],Clientes[Provincia]),", Argentina")</f>
        <v>Buenos Aires, Argentina</v>
      </c>
      <c r="M1229" s="20" t="str">
        <f t="array" ref="M1229">_xlfn.XLOOKUP(F1229,Metodos_De_Pago[ID_Metodo],Metodos_De_Pago[Metodo])</f>
        <v>Tarjeta de Débito</v>
      </c>
      <c r="N1229" s="20" t="str">
        <f t="shared" si="2"/>
        <v>2024 06</v>
      </c>
    </row>
    <row r="1230" ht="22.5" customHeight="1">
      <c r="A1230" s="12">
        <f>IFERROR(__xludf.DUMMYFUNCTION("""COMPUTED_VALUE"""),330.0)</f>
        <v>330</v>
      </c>
      <c r="B1230" s="13">
        <f>IFERROR(__xludf.DUMMYFUNCTION("""COMPUTED_VALUE"""),45463.0)</f>
        <v>45463</v>
      </c>
      <c r="C1230" s="12">
        <f>IFERROR(__xludf.DUMMYFUNCTION("""COMPUTED_VALUE"""),63.0)</f>
        <v>63</v>
      </c>
      <c r="D1230" s="12">
        <f>IFERROR(__xludf.DUMMYFUNCTION("""COMPUTED_VALUE"""),13.0)</f>
        <v>13</v>
      </c>
      <c r="E1230" s="12">
        <f>IFERROR(__xludf.DUMMYFUNCTION("""COMPUTED_VALUE"""),3.0)</f>
        <v>3</v>
      </c>
      <c r="F1230" s="12">
        <f>IFERROR(__xludf.DUMMYFUNCTION("""COMPUTED_VALUE"""),1.0)</f>
        <v>1</v>
      </c>
      <c r="G1230" s="15" t="str">
        <f>IFERROR(__xludf.DUMMYFUNCTION("""COMPUTED_VALUE"""),"Completa")</f>
        <v>Completa</v>
      </c>
      <c r="H1230" s="16" t="str">
        <f t="array" ref="H1230">_xlfn.XLOOKUP(D1230,Productos[ID_Producto],Productos[Nombre_Producto])</f>
        <v>Pan integral</v>
      </c>
      <c r="I1230" s="17">
        <f t="array" ref="I1230">_xlfn.XLOOKUP(D1230,Productos[ID_Producto],Productos[Precio_Unitario])</f>
        <v>12.56</v>
      </c>
      <c r="J1230" s="17">
        <f t="shared" si="1"/>
        <v>37.68</v>
      </c>
      <c r="K1230" s="16" t="str">
        <f t="array" ref="K1230">_xlfn.XLOOKUP(C1230,Clientes[ID_Cliente],Clientes[Provincia])</f>
        <v>Buenos Aires</v>
      </c>
      <c r="L1230" s="16" t="str">
        <f t="array" ref="L1230">CONCATENATE(_xlfn.XLOOKUP(C1230,Clientes[ID_Cliente],Clientes[Provincia]),", Argentina")</f>
        <v>Buenos Aires, Argentina</v>
      </c>
      <c r="M1230" s="20" t="str">
        <f t="array" ref="M1230">_xlfn.XLOOKUP(F1230,Metodos_De_Pago[ID_Metodo],Metodos_De_Pago[Metodo])</f>
        <v>Efectivo</v>
      </c>
      <c r="N1230" s="20" t="str">
        <f t="shared" si="2"/>
        <v>2024 06</v>
      </c>
    </row>
    <row r="1231" ht="22.5" customHeight="1">
      <c r="A1231" s="12">
        <f>IFERROR(__xludf.DUMMYFUNCTION("""COMPUTED_VALUE"""),2354.0)</f>
        <v>2354</v>
      </c>
      <c r="B1231" s="13">
        <f>IFERROR(__xludf.DUMMYFUNCTION("""COMPUTED_VALUE"""),45463.0)</f>
        <v>45463</v>
      </c>
      <c r="C1231" s="12">
        <f>IFERROR(__xludf.DUMMYFUNCTION("""COMPUTED_VALUE"""),20.0)</f>
        <v>20</v>
      </c>
      <c r="D1231" s="12">
        <f>IFERROR(__xludf.DUMMYFUNCTION("""COMPUTED_VALUE"""),15.0)</f>
        <v>15</v>
      </c>
      <c r="E1231" s="12">
        <f>IFERROR(__xludf.DUMMYFUNCTION("""COMPUTED_VALUE"""),3.0)</f>
        <v>3</v>
      </c>
      <c r="F1231" s="12">
        <f>IFERROR(__xludf.DUMMYFUNCTION("""COMPUTED_VALUE"""),5.0)</f>
        <v>5</v>
      </c>
      <c r="G1231" s="15" t="str">
        <f>IFERROR(__xludf.DUMMYFUNCTION("""COMPUTED_VALUE"""),"Completa")</f>
        <v>Completa</v>
      </c>
      <c r="H1231" s="16" t="str">
        <f t="array" ref="H1231">_xlfn.XLOOKUP(D1231,Productos[ID_Producto],Productos[Nombre_Producto])</f>
        <v>Medialunas</v>
      </c>
      <c r="I1231" s="17">
        <f t="array" ref="I1231">_xlfn.XLOOKUP(D1231,Productos[ID_Producto],Productos[Precio_Unitario])</f>
        <v>3.51</v>
      </c>
      <c r="J1231" s="17">
        <f t="shared" si="1"/>
        <v>10.53</v>
      </c>
      <c r="K1231" s="16" t="str">
        <f t="array" ref="K1231">_xlfn.XLOOKUP(C1231,Clientes[ID_Cliente],Clientes[Provincia])</f>
        <v>San Luis</v>
      </c>
      <c r="L1231" s="16" t="str">
        <f t="array" ref="L1231">CONCATENATE(_xlfn.XLOOKUP(C1231,Clientes[ID_Cliente],Clientes[Provincia]),", Argentina")</f>
        <v>San Luis, Argentina</v>
      </c>
      <c r="M1231" s="20" t="str">
        <f t="array" ref="M1231">_xlfn.XLOOKUP(F1231,Metodos_De_Pago[ID_Metodo],Metodos_De_Pago[Metodo])</f>
        <v>Transferencia</v>
      </c>
      <c r="N1231" s="20" t="str">
        <f t="shared" si="2"/>
        <v>2024 06</v>
      </c>
    </row>
    <row r="1232" ht="22.5" customHeight="1">
      <c r="A1232" s="12">
        <f>IFERROR(__xludf.DUMMYFUNCTION("""COMPUTED_VALUE"""),1945.0)</f>
        <v>1945</v>
      </c>
      <c r="B1232" s="13">
        <f>IFERROR(__xludf.DUMMYFUNCTION("""COMPUTED_VALUE"""),45464.0)</f>
        <v>45464</v>
      </c>
      <c r="C1232" s="12">
        <f>IFERROR(__xludf.DUMMYFUNCTION("""COMPUTED_VALUE"""),190.0)</f>
        <v>190</v>
      </c>
      <c r="D1232" s="12">
        <f>IFERROR(__xludf.DUMMYFUNCTION("""COMPUTED_VALUE"""),35.0)</f>
        <v>35</v>
      </c>
      <c r="E1232" s="12">
        <f>IFERROR(__xludf.DUMMYFUNCTION("""COMPUTED_VALUE"""),3.0)</f>
        <v>3</v>
      </c>
      <c r="F1232" s="12">
        <f>IFERROR(__xludf.DUMMYFUNCTION("""COMPUTED_VALUE"""),1.0)</f>
        <v>1</v>
      </c>
      <c r="G1232" s="15" t="str">
        <f>IFERROR(__xludf.DUMMYFUNCTION("""COMPUTED_VALUE"""),"Completa")</f>
        <v>Completa</v>
      </c>
      <c r="H1232" s="16" t="str">
        <f t="array" ref="H1232">_xlfn.XLOOKUP(D1232,Productos[ID_Producto],Productos[Nombre_Producto])</f>
        <v>Arroz</v>
      </c>
      <c r="I1232" s="17">
        <f t="array" ref="I1232">_xlfn.XLOOKUP(D1232,Productos[ID_Producto],Productos[Precio_Unitario])</f>
        <v>4.25</v>
      </c>
      <c r="J1232" s="17">
        <f t="shared" si="1"/>
        <v>12.75</v>
      </c>
      <c r="K1232" s="16" t="str">
        <f t="array" ref="K1232">_xlfn.XLOOKUP(C1232,Clientes[ID_Cliente],Clientes[Provincia])</f>
        <v>Chaco</v>
      </c>
      <c r="L1232" s="16" t="str">
        <f t="array" ref="L1232">CONCATENATE(_xlfn.XLOOKUP(C1232,Clientes[ID_Cliente],Clientes[Provincia]),", Argentina")</f>
        <v>Chaco, Argentina</v>
      </c>
      <c r="M1232" s="20" t="str">
        <f t="array" ref="M1232">_xlfn.XLOOKUP(F1232,Metodos_De_Pago[ID_Metodo],Metodos_De_Pago[Metodo])</f>
        <v>Efectivo</v>
      </c>
      <c r="N1232" s="20" t="str">
        <f t="shared" si="2"/>
        <v>2024 06</v>
      </c>
    </row>
    <row r="1233" ht="22.5" customHeight="1">
      <c r="A1233" s="12">
        <f>IFERROR(__xludf.DUMMYFUNCTION("""COMPUTED_VALUE"""),1117.0)</f>
        <v>1117</v>
      </c>
      <c r="B1233" s="13">
        <f>IFERROR(__xludf.DUMMYFUNCTION("""COMPUTED_VALUE"""),45466.0)</f>
        <v>45466</v>
      </c>
      <c r="C1233" s="12">
        <f>IFERROR(__xludf.DUMMYFUNCTION("""COMPUTED_VALUE"""),292.0)</f>
        <v>292</v>
      </c>
      <c r="D1233" s="12">
        <f>IFERROR(__xludf.DUMMYFUNCTION("""COMPUTED_VALUE"""),38.0)</f>
        <v>38</v>
      </c>
      <c r="E1233" s="12">
        <f>IFERROR(__xludf.DUMMYFUNCTION("""COMPUTED_VALUE"""),3.0)</f>
        <v>3</v>
      </c>
      <c r="F1233" s="12">
        <f>IFERROR(__xludf.DUMMYFUNCTION("""COMPUTED_VALUE"""),5.0)</f>
        <v>5</v>
      </c>
      <c r="G1233" s="15" t="str">
        <f>IFERROR(__xludf.DUMMYFUNCTION("""COMPUTED_VALUE"""),"Completa")</f>
        <v>Completa</v>
      </c>
      <c r="H1233" s="16" t="str">
        <f t="array" ref="H1233">_xlfn.XLOOKUP(D1233,Productos[ID_Producto],Productos[Nombre_Producto])</f>
        <v>Atún enlatado</v>
      </c>
      <c r="I1233" s="17">
        <f t="array" ref="I1233">_xlfn.XLOOKUP(D1233,Productos[ID_Producto],Productos[Precio_Unitario])</f>
        <v>6.21</v>
      </c>
      <c r="J1233" s="17">
        <f t="shared" si="1"/>
        <v>18.63</v>
      </c>
      <c r="K1233" s="16" t="str">
        <f t="array" ref="K1233">_xlfn.XLOOKUP(C1233,Clientes[ID_Cliente],Clientes[Provincia])</f>
        <v>Neuquén</v>
      </c>
      <c r="L1233" s="16" t="str">
        <f t="array" ref="L1233">CONCATENATE(_xlfn.XLOOKUP(C1233,Clientes[ID_Cliente],Clientes[Provincia]),", Argentina")</f>
        <v>Neuquén, Argentina</v>
      </c>
      <c r="M1233" s="20" t="str">
        <f t="array" ref="M1233">_xlfn.XLOOKUP(F1233,Metodos_De_Pago[ID_Metodo],Metodos_De_Pago[Metodo])</f>
        <v>Transferencia</v>
      </c>
      <c r="N1233" s="20" t="str">
        <f t="shared" si="2"/>
        <v>2024 06</v>
      </c>
    </row>
    <row r="1234" ht="22.5" customHeight="1">
      <c r="A1234" s="12">
        <f>IFERROR(__xludf.DUMMYFUNCTION("""COMPUTED_VALUE"""),1348.0)</f>
        <v>1348</v>
      </c>
      <c r="B1234" s="13">
        <f>IFERROR(__xludf.DUMMYFUNCTION("""COMPUTED_VALUE"""),45466.0)</f>
        <v>45466</v>
      </c>
      <c r="C1234" s="12">
        <f>IFERROR(__xludf.DUMMYFUNCTION("""COMPUTED_VALUE"""),151.0)</f>
        <v>151</v>
      </c>
      <c r="D1234" s="12">
        <f>IFERROR(__xludf.DUMMYFUNCTION("""COMPUTED_VALUE"""),20.0)</f>
        <v>20</v>
      </c>
      <c r="E1234" s="12">
        <f>IFERROR(__xludf.DUMMYFUNCTION("""COMPUTED_VALUE"""),3.0)</f>
        <v>3</v>
      </c>
      <c r="F1234" s="12">
        <f>IFERROR(__xludf.DUMMYFUNCTION("""COMPUTED_VALUE"""),4.0)</f>
        <v>4</v>
      </c>
      <c r="G1234" s="15" t="str">
        <f>IFERROR(__xludf.DUMMYFUNCTION("""COMPUTED_VALUE"""),"Completa")</f>
        <v>Completa</v>
      </c>
      <c r="H1234" s="16" t="str">
        <f t="array" ref="H1234">_xlfn.XLOOKUP(D1234,Productos[ID_Producto],Productos[Nombre_Producto])</f>
        <v>Lechugas</v>
      </c>
      <c r="I1234" s="17">
        <f t="array" ref="I1234">_xlfn.XLOOKUP(D1234,Productos[ID_Producto],Productos[Precio_Unitario])</f>
        <v>4.25</v>
      </c>
      <c r="J1234" s="17">
        <f t="shared" si="1"/>
        <v>12.75</v>
      </c>
      <c r="K1234" s="16" t="str">
        <f t="array" ref="K1234">_xlfn.XLOOKUP(C1234,Clientes[ID_Cliente],Clientes[Provincia])</f>
        <v>Buenos Aires</v>
      </c>
      <c r="L1234" s="16" t="str">
        <f t="array" ref="L1234">CONCATENATE(_xlfn.XLOOKUP(C1234,Clientes[ID_Cliente],Clientes[Provincia]),", Argentina")</f>
        <v>Buenos Aires, Argentina</v>
      </c>
      <c r="M1234" s="20" t="str">
        <f t="array" ref="M1234">_xlfn.XLOOKUP(F1234,Metodos_De_Pago[ID_Metodo],Metodos_De_Pago[Metodo])</f>
        <v>Mercado Pago</v>
      </c>
      <c r="N1234" s="20" t="str">
        <f t="shared" si="2"/>
        <v>2024 06</v>
      </c>
    </row>
    <row r="1235" ht="22.5" customHeight="1">
      <c r="A1235" s="12">
        <f>IFERROR(__xludf.DUMMYFUNCTION("""COMPUTED_VALUE"""),1901.0)</f>
        <v>1901</v>
      </c>
      <c r="B1235" s="13">
        <f>IFERROR(__xludf.DUMMYFUNCTION("""COMPUTED_VALUE"""),45467.0)</f>
        <v>45467</v>
      </c>
      <c r="C1235" s="12">
        <f>IFERROR(__xludf.DUMMYFUNCTION("""COMPUTED_VALUE"""),53.0)</f>
        <v>53</v>
      </c>
      <c r="D1235" s="12">
        <f>IFERROR(__xludf.DUMMYFUNCTION("""COMPUTED_VALUE"""),1.0)</f>
        <v>1</v>
      </c>
      <c r="E1235" s="12">
        <f>IFERROR(__xludf.DUMMYFUNCTION("""COMPUTED_VALUE"""),3.0)</f>
        <v>3</v>
      </c>
      <c r="F1235" s="12">
        <f>IFERROR(__xludf.DUMMYFUNCTION("""COMPUTED_VALUE"""),3.0)</f>
        <v>3</v>
      </c>
      <c r="G1235" s="15" t="str">
        <f>IFERROR(__xludf.DUMMYFUNCTION("""COMPUTED_VALUE"""),"Completa")</f>
        <v>Completa</v>
      </c>
      <c r="H1235" s="16" t="str">
        <f t="array" ref="H1235">_xlfn.XLOOKUP(D1235,Productos[ID_Producto],Productos[Nombre_Producto])</f>
        <v>Leche</v>
      </c>
      <c r="I1235" s="17">
        <f t="array" ref="I1235">_xlfn.XLOOKUP(D1235,Productos[ID_Producto],Productos[Precio_Unitario])</f>
        <v>12.24</v>
      </c>
      <c r="J1235" s="17">
        <f t="shared" si="1"/>
        <v>36.72</v>
      </c>
      <c r="K1235" s="16" t="str">
        <f t="array" ref="K1235">_xlfn.XLOOKUP(C1235,Clientes[ID_Cliente],Clientes[Provincia])</f>
        <v>Córdoba</v>
      </c>
      <c r="L1235" s="16" t="str">
        <f t="array" ref="L1235">CONCATENATE(_xlfn.XLOOKUP(C1235,Clientes[ID_Cliente],Clientes[Provincia]),", Argentina")</f>
        <v>Córdoba, Argentina</v>
      </c>
      <c r="M1235" s="20" t="str">
        <f t="array" ref="M1235">_xlfn.XLOOKUP(F1235,Metodos_De_Pago[ID_Metodo],Metodos_De_Pago[Metodo])</f>
        <v>Tarjeta de Débito</v>
      </c>
      <c r="N1235" s="20" t="str">
        <f t="shared" si="2"/>
        <v>2024 06</v>
      </c>
    </row>
    <row r="1236" ht="22.5" customHeight="1">
      <c r="A1236" s="12">
        <f>IFERROR(__xludf.DUMMYFUNCTION("""COMPUTED_VALUE"""),73.0)</f>
        <v>73</v>
      </c>
      <c r="B1236" s="13">
        <f>IFERROR(__xludf.DUMMYFUNCTION("""COMPUTED_VALUE"""),45468.0)</f>
        <v>45468</v>
      </c>
      <c r="C1236" s="12">
        <f>IFERROR(__xludf.DUMMYFUNCTION("""COMPUTED_VALUE"""),143.0)</f>
        <v>143</v>
      </c>
      <c r="D1236" s="12">
        <f>IFERROR(__xludf.DUMMYFUNCTION("""COMPUTED_VALUE"""),26.0)</f>
        <v>26</v>
      </c>
      <c r="E1236" s="12">
        <f>IFERROR(__xludf.DUMMYFUNCTION("""COMPUTED_VALUE"""),3.0)</f>
        <v>3</v>
      </c>
      <c r="F1236" s="12">
        <f>IFERROR(__xludf.DUMMYFUNCTION("""COMPUTED_VALUE"""),1.0)</f>
        <v>1</v>
      </c>
      <c r="G1236" s="15" t="str">
        <f>IFERROR(__xludf.DUMMYFUNCTION("""COMPUTED_VALUE"""),"Completa")</f>
        <v>Completa</v>
      </c>
      <c r="H1236" s="16" t="str">
        <f t="array" ref="H1236">_xlfn.XLOOKUP(D1236,Productos[ID_Producto],Productos[Nombre_Producto])</f>
        <v>Hamburgesas congeladas</v>
      </c>
      <c r="I1236" s="17">
        <f t="array" ref="I1236">_xlfn.XLOOKUP(D1236,Productos[ID_Producto],Productos[Precio_Unitario])</f>
        <v>9.54</v>
      </c>
      <c r="J1236" s="17">
        <f t="shared" si="1"/>
        <v>28.62</v>
      </c>
      <c r="K1236" s="16" t="str">
        <f t="array" ref="K1236">_xlfn.XLOOKUP(C1236,Clientes[ID_Cliente],Clientes[Provincia])</f>
        <v>Buenos Aires</v>
      </c>
      <c r="L1236" s="16" t="str">
        <f t="array" ref="L1236">CONCATENATE(_xlfn.XLOOKUP(C1236,Clientes[ID_Cliente],Clientes[Provincia]),", Argentina")</f>
        <v>Buenos Aires, Argentina</v>
      </c>
      <c r="M1236" s="20" t="str">
        <f t="array" ref="M1236">_xlfn.XLOOKUP(F1236,Metodos_De_Pago[ID_Metodo],Metodos_De_Pago[Metodo])</f>
        <v>Efectivo</v>
      </c>
      <c r="N1236" s="20" t="str">
        <f t="shared" si="2"/>
        <v>2024 06</v>
      </c>
    </row>
    <row r="1237" ht="22.5" customHeight="1">
      <c r="A1237" s="12">
        <f>IFERROR(__xludf.DUMMYFUNCTION("""COMPUTED_VALUE"""),2931.0)</f>
        <v>2931</v>
      </c>
      <c r="B1237" s="13">
        <f>IFERROR(__xludf.DUMMYFUNCTION("""COMPUTED_VALUE"""),45468.0)</f>
        <v>45468</v>
      </c>
      <c r="C1237" s="12">
        <f>IFERROR(__xludf.DUMMYFUNCTION("""COMPUTED_VALUE"""),41.0)</f>
        <v>41</v>
      </c>
      <c r="D1237" s="12">
        <f>IFERROR(__xludf.DUMMYFUNCTION("""COMPUTED_VALUE"""),29.0)</f>
        <v>29</v>
      </c>
      <c r="E1237" s="12">
        <f>IFERROR(__xludf.DUMMYFUNCTION("""COMPUTED_VALUE"""),3.0)</f>
        <v>3</v>
      </c>
      <c r="F1237" s="12">
        <f>IFERROR(__xludf.DUMMYFUNCTION("""COMPUTED_VALUE"""),1.0)</f>
        <v>1</v>
      </c>
      <c r="G1237" s="15" t="str">
        <f>IFERROR(__xludf.DUMMYFUNCTION("""COMPUTED_VALUE"""),"Completa")</f>
        <v>Completa</v>
      </c>
      <c r="H1237" s="16" t="str">
        <f t="array" ref="H1237">_xlfn.XLOOKUP(D1237,Productos[ID_Producto],Productos[Nombre_Producto])</f>
        <v>Cerveza</v>
      </c>
      <c r="I1237" s="17">
        <f t="array" ref="I1237">_xlfn.XLOOKUP(D1237,Productos[ID_Producto],Productos[Precio_Unitario])</f>
        <v>11.54</v>
      </c>
      <c r="J1237" s="17">
        <f t="shared" si="1"/>
        <v>34.62</v>
      </c>
      <c r="K1237" s="16" t="str">
        <f t="array" ref="K1237">_xlfn.XLOOKUP(C1237,Clientes[ID_Cliente],Clientes[Provincia])</f>
        <v>Neuquén</v>
      </c>
      <c r="L1237" s="16" t="str">
        <f t="array" ref="L1237">CONCATENATE(_xlfn.XLOOKUP(C1237,Clientes[ID_Cliente],Clientes[Provincia]),", Argentina")</f>
        <v>Neuquén, Argentina</v>
      </c>
      <c r="M1237" s="20" t="str">
        <f t="array" ref="M1237">_xlfn.XLOOKUP(F1237,Metodos_De_Pago[ID_Metodo],Metodos_De_Pago[Metodo])</f>
        <v>Efectivo</v>
      </c>
      <c r="N1237" s="20" t="str">
        <f t="shared" si="2"/>
        <v>2024 06</v>
      </c>
    </row>
    <row r="1238" ht="22.5" customHeight="1">
      <c r="A1238" s="12">
        <f>IFERROR(__xludf.DUMMYFUNCTION("""COMPUTED_VALUE"""),460.0)</f>
        <v>460</v>
      </c>
      <c r="B1238" s="13">
        <f>IFERROR(__xludf.DUMMYFUNCTION("""COMPUTED_VALUE"""),45470.0)</f>
        <v>45470</v>
      </c>
      <c r="C1238" s="12">
        <f>IFERROR(__xludf.DUMMYFUNCTION("""COMPUTED_VALUE"""),166.0)</f>
        <v>166</v>
      </c>
      <c r="D1238" s="12">
        <f>IFERROR(__xludf.DUMMYFUNCTION("""COMPUTED_VALUE"""),27.0)</f>
        <v>27</v>
      </c>
      <c r="E1238" s="12">
        <f>IFERROR(__xludf.DUMMYFUNCTION("""COMPUTED_VALUE"""),3.0)</f>
        <v>3</v>
      </c>
      <c r="F1238" s="12">
        <f>IFERROR(__xludf.DUMMYFUNCTION("""COMPUTED_VALUE"""),1.0)</f>
        <v>1</v>
      </c>
      <c r="G1238" s="15" t="str">
        <f>IFERROR(__xludf.DUMMYFUNCTION("""COMPUTED_VALUE"""),"Completa")</f>
        <v>Completa</v>
      </c>
      <c r="H1238" s="16" t="str">
        <f t="array" ref="H1238">_xlfn.XLOOKUP(D1238,Productos[ID_Producto],Productos[Nombre_Producto])</f>
        <v>Agua mineral</v>
      </c>
      <c r="I1238" s="17">
        <f t="array" ref="I1238">_xlfn.XLOOKUP(D1238,Productos[ID_Producto],Productos[Precio_Unitario])</f>
        <v>6.21</v>
      </c>
      <c r="J1238" s="17">
        <f t="shared" si="1"/>
        <v>18.63</v>
      </c>
      <c r="K1238" s="16" t="str">
        <f t="array" ref="K1238">_xlfn.XLOOKUP(C1238,Clientes[ID_Cliente],Clientes[Provincia])</f>
        <v>Chaco</v>
      </c>
      <c r="L1238" s="16" t="str">
        <f t="array" ref="L1238">CONCATENATE(_xlfn.XLOOKUP(C1238,Clientes[ID_Cliente],Clientes[Provincia]),", Argentina")</f>
        <v>Chaco, Argentina</v>
      </c>
      <c r="M1238" s="20" t="str">
        <f t="array" ref="M1238">_xlfn.XLOOKUP(F1238,Metodos_De_Pago[ID_Metodo],Metodos_De_Pago[Metodo])</f>
        <v>Efectivo</v>
      </c>
      <c r="N1238" s="20" t="str">
        <f t="shared" si="2"/>
        <v>2024 06</v>
      </c>
    </row>
    <row r="1239" ht="22.5" customHeight="1">
      <c r="A1239" s="12">
        <f>IFERROR(__xludf.DUMMYFUNCTION("""COMPUTED_VALUE"""),1658.0)</f>
        <v>1658</v>
      </c>
      <c r="B1239" s="13">
        <f>IFERROR(__xludf.DUMMYFUNCTION("""COMPUTED_VALUE"""),45472.0)</f>
        <v>45472</v>
      </c>
      <c r="C1239" s="12">
        <f>IFERROR(__xludf.DUMMYFUNCTION("""COMPUTED_VALUE"""),193.0)</f>
        <v>193</v>
      </c>
      <c r="D1239" s="12">
        <f>IFERROR(__xludf.DUMMYFUNCTION("""COMPUTED_VALUE"""),1.0)</f>
        <v>1</v>
      </c>
      <c r="E1239" s="12">
        <f>IFERROR(__xludf.DUMMYFUNCTION("""COMPUTED_VALUE"""),3.0)</f>
        <v>3</v>
      </c>
      <c r="F1239" s="12">
        <f>IFERROR(__xludf.DUMMYFUNCTION("""COMPUTED_VALUE"""),1.0)</f>
        <v>1</v>
      </c>
      <c r="G1239" s="15" t="str">
        <f>IFERROR(__xludf.DUMMYFUNCTION("""COMPUTED_VALUE"""),"Completa")</f>
        <v>Completa</v>
      </c>
      <c r="H1239" s="16" t="str">
        <f t="array" ref="H1239">_xlfn.XLOOKUP(D1239,Productos[ID_Producto],Productos[Nombre_Producto])</f>
        <v>Leche</v>
      </c>
      <c r="I1239" s="17">
        <f t="array" ref="I1239">_xlfn.XLOOKUP(D1239,Productos[ID_Producto],Productos[Precio_Unitario])</f>
        <v>12.24</v>
      </c>
      <c r="J1239" s="17">
        <f t="shared" si="1"/>
        <v>36.72</v>
      </c>
      <c r="K1239" s="16" t="str">
        <f t="array" ref="K1239">_xlfn.XLOOKUP(C1239,Clientes[ID_Cliente],Clientes[Provincia])</f>
        <v>Buenos Aires</v>
      </c>
      <c r="L1239" s="16" t="str">
        <f t="array" ref="L1239">CONCATENATE(_xlfn.XLOOKUP(C1239,Clientes[ID_Cliente],Clientes[Provincia]),", Argentina")</f>
        <v>Buenos Aires, Argentina</v>
      </c>
      <c r="M1239" s="20" t="str">
        <f t="array" ref="M1239">_xlfn.XLOOKUP(F1239,Metodos_De_Pago[ID_Metodo],Metodos_De_Pago[Metodo])</f>
        <v>Efectivo</v>
      </c>
      <c r="N1239" s="20" t="str">
        <f t="shared" si="2"/>
        <v>2024 06</v>
      </c>
    </row>
    <row r="1240" ht="22.5" customHeight="1">
      <c r="A1240" s="12">
        <f>IFERROR(__xludf.DUMMYFUNCTION("""COMPUTED_VALUE"""),1849.0)</f>
        <v>1849</v>
      </c>
      <c r="B1240" s="13">
        <f>IFERROR(__xludf.DUMMYFUNCTION("""COMPUTED_VALUE"""),45472.0)</f>
        <v>45472</v>
      </c>
      <c r="C1240" s="12">
        <f>IFERROR(__xludf.DUMMYFUNCTION("""COMPUTED_VALUE"""),30.0)</f>
        <v>30</v>
      </c>
      <c r="D1240" s="12">
        <f>IFERROR(__xludf.DUMMYFUNCTION("""COMPUTED_VALUE"""),30.0)</f>
        <v>30</v>
      </c>
      <c r="E1240" s="12">
        <f>IFERROR(__xludf.DUMMYFUNCTION("""COMPUTED_VALUE"""),3.0)</f>
        <v>3</v>
      </c>
      <c r="F1240" s="12">
        <f>IFERROR(__xludf.DUMMYFUNCTION("""COMPUTED_VALUE"""),4.0)</f>
        <v>4</v>
      </c>
      <c r="G1240" s="15" t="str">
        <f>IFERROR(__xludf.DUMMYFUNCTION("""COMPUTED_VALUE"""),"Pendiente")</f>
        <v>Pendiente</v>
      </c>
      <c r="H1240" s="16" t="str">
        <f t="array" ref="H1240">_xlfn.XLOOKUP(D1240,Productos[ID_Producto],Productos[Nombre_Producto])</f>
        <v>Vino tinto</v>
      </c>
      <c r="I1240" s="17">
        <f t="array" ref="I1240">_xlfn.XLOOKUP(D1240,Productos[ID_Producto],Productos[Precio_Unitario])</f>
        <v>13.54</v>
      </c>
      <c r="J1240" s="17">
        <f t="shared" si="1"/>
        <v>40.62</v>
      </c>
      <c r="K1240" s="16" t="str">
        <f t="array" ref="K1240">_xlfn.XLOOKUP(C1240,Clientes[ID_Cliente],Clientes[Provincia])</f>
        <v>Buenos Aires</v>
      </c>
      <c r="L1240" s="16" t="str">
        <f t="array" ref="L1240">CONCATENATE(_xlfn.XLOOKUP(C1240,Clientes[ID_Cliente],Clientes[Provincia]),", Argentina")</f>
        <v>Buenos Aires, Argentina</v>
      </c>
      <c r="M1240" s="20" t="str">
        <f t="array" ref="M1240">_xlfn.XLOOKUP(F1240,Metodos_De_Pago[ID_Metodo],Metodos_De_Pago[Metodo])</f>
        <v>Mercado Pago</v>
      </c>
      <c r="N1240" s="20" t="str">
        <f t="shared" si="2"/>
        <v>2024 06</v>
      </c>
    </row>
    <row r="1241" ht="22.5" customHeight="1">
      <c r="A1241" s="12">
        <f>IFERROR(__xludf.DUMMYFUNCTION("""COMPUTED_VALUE"""),2396.0)</f>
        <v>2396</v>
      </c>
      <c r="B1241" s="13">
        <f>IFERROR(__xludf.DUMMYFUNCTION("""COMPUTED_VALUE"""),45473.0)</f>
        <v>45473</v>
      </c>
      <c r="C1241" s="12">
        <f>IFERROR(__xludf.DUMMYFUNCTION("""COMPUTED_VALUE"""),176.0)</f>
        <v>176</v>
      </c>
      <c r="D1241" s="12">
        <f>IFERROR(__xludf.DUMMYFUNCTION("""COMPUTED_VALUE"""),2.0)</f>
        <v>2</v>
      </c>
      <c r="E1241" s="12">
        <f>IFERROR(__xludf.DUMMYFUNCTION("""COMPUTED_VALUE"""),3.0)</f>
        <v>3</v>
      </c>
      <c r="F1241" s="12">
        <f>IFERROR(__xludf.DUMMYFUNCTION("""COMPUTED_VALUE"""),2.0)</f>
        <v>2</v>
      </c>
      <c r="G1241" s="15" t="str">
        <f>IFERROR(__xludf.DUMMYFUNCTION("""COMPUTED_VALUE"""),"Completa")</f>
        <v>Completa</v>
      </c>
      <c r="H1241" s="16" t="str">
        <f t="array" ref="H1241">_xlfn.XLOOKUP(D1241,Productos[ID_Producto],Productos[Nombre_Producto])</f>
        <v>Yogur</v>
      </c>
      <c r="I1241" s="17">
        <f t="array" ref="I1241">_xlfn.XLOOKUP(D1241,Productos[ID_Producto],Productos[Precio_Unitario])</f>
        <v>5.21</v>
      </c>
      <c r="J1241" s="17">
        <f t="shared" si="1"/>
        <v>15.63</v>
      </c>
      <c r="K1241" s="16" t="str">
        <f t="array" ref="K1241">_xlfn.XLOOKUP(C1241,Clientes[ID_Cliente],Clientes[Provincia])</f>
        <v>Chaco</v>
      </c>
      <c r="L1241" s="16" t="str">
        <f t="array" ref="L1241">CONCATENATE(_xlfn.XLOOKUP(C1241,Clientes[ID_Cliente],Clientes[Provincia]),", Argentina")</f>
        <v>Chaco, Argentina</v>
      </c>
      <c r="M1241" s="20" t="str">
        <f t="array" ref="M1241">_xlfn.XLOOKUP(F1241,Metodos_De_Pago[ID_Metodo],Metodos_De_Pago[Metodo])</f>
        <v>Tarjeta de Crédito</v>
      </c>
      <c r="N1241" s="20" t="str">
        <f t="shared" si="2"/>
        <v>2024 06</v>
      </c>
    </row>
    <row r="1242" ht="22.5" customHeight="1">
      <c r="A1242" s="12">
        <f>IFERROR(__xludf.DUMMYFUNCTION("""COMPUTED_VALUE"""),201.0)</f>
        <v>201</v>
      </c>
      <c r="B1242" s="13">
        <f>IFERROR(__xludf.DUMMYFUNCTION("""COMPUTED_VALUE"""),45475.0)</f>
        <v>45475</v>
      </c>
      <c r="C1242" s="12">
        <f>IFERROR(__xludf.DUMMYFUNCTION("""COMPUTED_VALUE"""),141.0)</f>
        <v>141</v>
      </c>
      <c r="D1242" s="12">
        <f>IFERROR(__xludf.DUMMYFUNCTION("""COMPUTED_VALUE"""),14.0)</f>
        <v>14</v>
      </c>
      <c r="E1242" s="12">
        <f>IFERROR(__xludf.DUMMYFUNCTION("""COMPUTED_VALUE"""),3.0)</f>
        <v>3</v>
      </c>
      <c r="F1242" s="12">
        <f>IFERROR(__xludf.DUMMYFUNCTION("""COMPUTED_VALUE"""),4.0)</f>
        <v>4</v>
      </c>
      <c r="G1242" s="15" t="str">
        <f>IFERROR(__xludf.DUMMYFUNCTION("""COMPUTED_VALUE"""),"Completa")</f>
        <v>Completa</v>
      </c>
      <c r="H1242" s="16" t="str">
        <f t="array" ref="H1242">_xlfn.XLOOKUP(D1242,Productos[ID_Producto],Productos[Nombre_Producto])</f>
        <v>Facturas</v>
      </c>
      <c r="I1242" s="17">
        <f t="array" ref="I1242">_xlfn.XLOOKUP(D1242,Productos[ID_Producto],Productos[Precio_Unitario])</f>
        <v>12.36</v>
      </c>
      <c r="J1242" s="17">
        <f t="shared" si="1"/>
        <v>37.08</v>
      </c>
      <c r="K1242" s="16" t="str">
        <f t="array" ref="K1242">_xlfn.XLOOKUP(C1242,Clientes[ID_Cliente],Clientes[Provincia])</f>
        <v>Chaco</v>
      </c>
      <c r="L1242" s="16" t="str">
        <f t="array" ref="L1242">CONCATENATE(_xlfn.XLOOKUP(C1242,Clientes[ID_Cliente],Clientes[Provincia]),", Argentina")</f>
        <v>Chaco, Argentina</v>
      </c>
      <c r="M1242" s="20" t="str">
        <f t="array" ref="M1242">_xlfn.XLOOKUP(F1242,Metodos_De_Pago[ID_Metodo],Metodos_De_Pago[Metodo])</f>
        <v>Mercado Pago</v>
      </c>
      <c r="N1242" s="20" t="str">
        <f t="shared" si="2"/>
        <v>2024 07</v>
      </c>
    </row>
    <row r="1243" ht="22.5" customHeight="1">
      <c r="A1243" s="12">
        <f>IFERROR(__xludf.DUMMYFUNCTION("""COMPUTED_VALUE"""),474.0)</f>
        <v>474</v>
      </c>
      <c r="B1243" s="13">
        <f>IFERROR(__xludf.DUMMYFUNCTION("""COMPUTED_VALUE"""),45475.0)</f>
        <v>45475</v>
      </c>
      <c r="C1243" s="12">
        <f>IFERROR(__xludf.DUMMYFUNCTION("""COMPUTED_VALUE"""),25.0)</f>
        <v>25</v>
      </c>
      <c r="D1243" s="12">
        <f>IFERROR(__xludf.DUMMYFUNCTION("""COMPUTED_VALUE"""),18.0)</f>
        <v>18</v>
      </c>
      <c r="E1243" s="12">
        <f>IFERROR(__xludf.DUMMYFUNCTION("""COMPUTED_VALUE"""),3.0)</f>
        <v>3</v>
      </c>
      <c r="F1243" s="12">
        <f>IFERROR(__xludf.DUMMYFUNCTION("""COMPUTED_VALUE"""),4.0)</f>
        <v>4</v>
      </c>
      <c r="G1243" s="15" t="str">
        <f>IFERROR(__xludf.DUMMYFUNCTION("""COMPUTED_VALUE"""),"Completa")</f>
        <v>Completa</v>
      </c>
      <c r="H1243" s="16" t="str">
        <f t="array" ref="H1243">_xlfn.XLOOKUP(D1243,Productos[ID_Producto],Productos[Nombre_Producto])</f>
        <v>Bananas</v>
      </c>
      <c r="I1243" s="17">
        <f t="array" ref="I1243">_xlfn.XLOOKUP(D1243,Productos[ID_Producto],Productos[Precio_Unitario])</f>
        <v>7.25</v>
      </c>
      <c r="J1243" s="17">
        <f t="shared" si="1"/>
        <v>21.75</v>
      </c>
      <c r="K1243" s="16" t="str">
        <f t="array" ref="K1243">_xlfn.XLOOKUP(C1243,Clientes[ID_Cliente],Clientes[Provincia])</f>
        <v>Neuquén</v>
      </c>
      <c r="L1243" s="16" t="str">
        <f t="array" ref="L1243">CONCATENATE(_xlfn.XLOOKUP(C1243,Clientes[ID_Cliente],Clientes[Provincia]),", Argentina")</f>
        <v>Neuquén, Argentina</v>
      </c>
      <c r="M1243" s="20" t="str">
        <f t="array" ref="M1243">_xlfn.XLOOKUP(F1243,Metodos_De_Pago[ID_Metodo],Metodos_De_Pago[Metodo])</f>
        <v>Mercado Pago</v>
      </c>
      <c r="N1243" s="20" t="str">
        <f t="shared" si="2"/>
        <v>2024 07</v>
      </c>
    </row>
    <row r="1244" ht="22.5" customHeight="1">
      <c r="A1244" s="12">
        <f>IFERROR(__xludf.DUMMYFUNCTION("""COMPUTED_VALUE"""),2224.0)</f>
        <v>2224</v>
      </c>
      <c r="B1244" s="13">
        <f>IFERROR(__xludf.DUMMYFUNCTION("""COMPUTED_VALUE"""),45475.0)</f>
        <v>45475</v>
      </c>
      <c r="C1244" s="12">
        <f>IFERROR(__xludf.DUMMYFUNCTION("""COMPUTED_VALUE"""),286.0)</f>
        <v>286</v>
      </c>
      <c r="D1244" s="12">
        <f>IFERROR(__xludf.DUMMYFUNCTION("""COMPUTED_VALUE"""),28.0)</f>
        <v>28</v>
      </c>
      <c r="E1244" s="12">
        <f>IFERROR(__xludf.DUMMYFUNCTION("""COMPUTED_VALUE"""),3.0)</f>
        <v>3</v>
      </c>
      <c r="F1244" s="12">
        <f>IFERROR(__xludf.DUMMYFUNCTION("""COMPUTED_VALUE"""),4.0)</f>
        <v>4</v>
      </c>
      <c r="G1244" s="15" t="str">
        <f>IFERROR(__xludf.DUMMYFUNCTION("""COMPUTED_VALUE"""),"Pendiente")</f>
        <v>Pendiente</v>
      </c>
      <c r="H1244" s="16" t="str">
        <f t="array" ref="H1244">_xlfn.XLOOKUP(D1244,Productos[ID_Producto],Productos[Nombre_Producto])</f>
        <v>Jugos de frutas</v>
      </c>
      <c r="I1244" s="17">
        <f t="array" ref="I1244">_xlfn.XLOOKUP(D1244,Productos[ID_Producto],Productos[Precio_Unitario])</f>
        <v>9.45</v>
      </c>
      <c r="J1244" s="17">
        <f t="shared" si="1"/>
        <v>28.35</v>
      </c>
      <c r="K1244" s="16" t="str">
        <f t="array" ref="K1244">_xlfn.XLOOKUP(C1244,Clientes[ID_Cliente],Clientes[Provincia])</f>
        <v>Córdoba</v>
      </c>
      <c r="L1244" s="16" t="str">
        <f t="array" ref="L1244">CONCATENATE(_xlfn.XLOOKUP(C1244,Clientes[ID_Cliente],Clientes[Provincia]),", Argentina")</f>
        <v>Córdoba, Argentina</v>
      </c>
      <c r="M1244" s="20" t="str">
        <f t="array" ref="M1244">_xlfn.XLOOKUP(F1244,Metodos_De_Pago[ID_Metodo],Metodos_De_Pago[Metodo])</f>
        <v>Mercado Pago</v>
      </c>
      <c r="N1244" s="20" t="str">
        <f t="shared" si="2"/>
        <v>2024 07</v>
      </c>
    </row>
    <row r="1245" ht="22.5" customHeight="1">
      <c r="A1245" s="12">
        <f>IFERROR(__xludf.DUMMYFUNCTION("""COMPUTED_VALUE"""),2503.0)</f>
        <v>2503</v>
      </c>
      <c r="B1245" s="13">
        <f>IFERROR(__xludf.DUMMYFUNCTION("""COMPUTED_VALUE"""),45476.0)</f>
        <v>45476</v>
      </c>
      <c r="C1245" s="12">
        <f>IFERROR(__xludf.DUMMYFUNCTION("""COMPUTED_VALUE"""),205.0)</f>
        <v>205</v>
      </c>
      <c r="D1245" s="12">
        <f>IFERROR(__xludf.DUMMYFUNCTION("""COMPUTED_VALUE"""),1.0)</f>
        <v>1</v>
      </c>
      <c r="E1245" s="12">
        <f>IFERROR(__xludf.DUMMYFUNCTION("""COMPUTED_VALUE"""),3.0)</f>
        <v>3</v>
      </c>
      <c r="F1245" s="12">
        <f>IFERROR(__xludf.DUMMYFUNCTION("""COMPUTED_VALUE"""),3.0)</f>
        <v>3</v>
      </c>
      <c r="G1245" s="15" t="str">
        <f>IFERROR(__xludf.DUMMYFUNCTION("""COMPUTED_VALUE"""),"Completa")</f>
        <v>Completa</v>
      </c>
      <c r="H1245" s="16" t="str">
        <f t="array" ref="H1245">_xlfn.XLOOKUP(D1245,Productos[ID_Producto],Productos[Nombre_Producto])</f>
        <v>Leche</v>
      </c>
      <c r="I1245" s="17">
        <f t="array" ref="I1245">_xlfn.XLOOKUP(D1245,Productos[ID_Producto],Productos[Precio_Unitario])</f>
        <v>12.24</v>
      </c>
      <c r="J1245" s="17">
        <f t="shared" si="1"/>
        <v>36.72</v>
      </c>
      <c r="K1245" s="16" t="str">
        <f t="array" ref="K1245">_xlfn.XLOOKUP(C1245,Clientes[ID_Cliente],Clientes[Provincia])</f>
        <v>Neuquén</v>
      </c>
      <c r="L1245" s="16" t="str">
        <f t="array" ref="L1245">CONCATENATE(_xlfn.XLOOKUP(C1245,Clientes[ID_Cliente],Clientes[Provincia]),", Argentina")</f>
        <v>Neuquén, Argentina</v>
      </c>
      <c r="M1245" s="20" t="str">
        <f t="array" ref="M1245">_xlfn.XLOOKUP(F1245,Metodos_De_Pago[ID_Metodo],Metodos_De_Pago[Metodo])</f>
        <v>Tarjeta de Débito</v>
      </c>
      <c r="N1245" s="20" t="str">
        <f t="shared" si="2"/>
        <v>2024 07</v>
      </c>
    </row>
    <row r="1246" ht="22.5" customHeight="1">
      <c r="A1246" s="12">
        <f>IFERROR(__xludf.DUMMYFUNCTION("""COMPUTED_VALUE"""),2574.0)</f>
        <v>2574</v>
      </c>
      <c r="B1246" s="13">
        <f>IFERROR(__xludf.DUMMYFUNCTION("""COMPUTED_VALUE"""),45476.0)</f>
        <v>45476</v>
      </c>
      <c r="C1246" s="12">
        <f>IFERROR(__xludf.DUMMYFUNCTION("""COMPUTED_VALUE"""),62.0)</f>
        <v>62</v>
      </c>
      <c r="D1246" s="12">
        <f>IFERROR(__xludf.DUMMYFUNCTION("""COMPUTED_VALUE"""),2.0)</f>
        <v>2</v>
      </c>
      <c r="E1246" s="12">
        <f>IFERROR(__xludf.DUMMYFUNCTION("""COMPUTED_VALUE"""),3.0)</f>
        <v>3</v>
      </c>
      <c r="F1246" s="12">
        <f>IFERROR(__xludf.DUMMYFUNCTION("""COMPUTED_VALUE"""),5.0)</f>
        <v>5</v>
      </c>
      <c r="G1246" s="15" t="str">
        <f>IFERROR(__xludf.DUMMYFUNCTION("""COMPUTED_VALUE"""),"Pendiente")</f>
        <v>Pendiente</v>
      </c>
      <c r="H1246" s="16" t="str">
        <f t="array" ref="H1246">_xlfn.XLOOKUP(D1246,Productos[ID_Producto],Productos[Nombre_Producto])</f>
        <v>Yogur</v>
      </c>
      <c r="I1246" s="17">
        <f t="array" ref="I1246">_xlfn.XLOOKUP(D1246,Productos[ID_Producto],Productos[Precio_Unitario])</f>
        <v>5.21</v>
      </c>
      <c r="J1246" s="17">
        <f t="shared" si="1"/>
        <v>15.63</v>
      </c>
      <c r="K1246" s="16" t="str">
        <f t="array" ref="K1246">_xlfn.XLOOKUP(C1246,Clientes[ID_Cliente],Clientes[Provincia])</f>
        <v>Chaco</v>
      </c>
      <c r="L1246" s="16" t="str">
        <f t="array" ref="L1246">CONCATENATE(_xlfn.XLOOKUP(C1246,Clientes[ID_Cliente],Clientes[Provincia]),", Argentina")</f>
        <v>Chaco, Argentina</v>
      </c>
      <c r="M1246" s="20" t="str">
        <f t="array" ref="M1246">_xlfn.XLOOKUP(F1246,Metodos_De_Pago[ID_Metodo],Metodos_De_Pago[Metodo])</f>
        <v>Transferencia</v>
      </c>
      <c r="N1246" s="20" t="str">
        <f t="shared" si="2"/>
        <v>2024 07</v>
      </c>
    </row>
    <row r="1247" ht="22.5" customHeight="1">
      <c r="A1247" s="12">
        <f>IFERROR(__xludf.DUMMYFUNCTION("""COMPUTED_VALUE"""),288.0)</f>
        <v>288</v>
      </c>
      <c r="B1247" s="13">
        <f>IFERROR(__xludf.DUMMYFUNCTION("""COMPUTED_VALUE"""),45477.0)</f>
        <v>45477</v>
      </c>
      <c r="C1247" s="12">
        <f>IFERROR(__xludf.DUMMYFUNCTION("""COMPUTED_VALUE"""),88.0)</f>
        <v>88</v>
      </c>
      <c r="D1247" s="12">
        <f>IFERROR(__xludf.DUMMYFUNCTION("""COMPUTED_VALUE"""),32.0)</f>
        <v>32</v>
      </c>
      <c r="E1247" s="12">
        <f>IFERROR(__xludf.DUMMYFUNCTION("""COMPUTED_VALUE"""),3.0)</f>
        <v>3</v>
      </c>
      <c r="F1247" s="12">
        <f>IFERROR(__xludf.DUMMYFUNCTION("""COMPUTED_VALUE"""),4.0)</f>
        <v>4</v>
      </c>
      <c r="G1247" s="15" t="str">
        <f>IFERROR(__xludf.DUMMYFUNCTION("""COMPUTED_VALUE"""),"Completa")</f>
        <v>Completa</v>
      </c>
      <c r="H1247" s="16" t="str">
        <f t="array" ref="H1247">_xlfn.XLOOKUP(D1247,Productos[ID_Producto],Productos[Nombre_Producto])</f>
        <v>Galletitas de chocolate</v>
      </c>
      <c r="I1247" s="17">
        <f t="array" ref="I1247">_xlfn.XLOOKUP(D1247,Productos[ID_Producto],Productos[Precio_Unitario])</f>
        <v>6.25</v>
      </c>
      <c r="J1247" s="17">
        <f t="shared" si="1"/>
        <v>18.75</v>
      </c>
      <c r="K1247" s="16" t="str">
        <f t="array" ref="K1247">_xlfn.XLOOKUP(C1247,Clientes[ID_Cliente],Clientes[Provincia])</f>
        <v>Neuquén</v>
      </c>
      <c r="L1247" s="16" t="str">
        <f t="array" ref="L1247">CONCATENATE(_xlfn.XLOOKUP(C1247,Clientes[ID_Cliente],Clientes[Provincia]),", Argentina")</f>
        <v>Neuquén, Argentina</v>
      </c>
      <c r="M1247" s="20" t="str">
        <f t="array" ref="M1247">_xlfn.XLOOKUP(F1247,Metodos_De_Pago[ID_Metodo],Metodos_De_Pago[Metodo])</f>
        <v>Mercado Pago</v>
      </c>
      <c r="N1247" s="20" t="str">
        <f t="shared" si="2"/>
        <v>2024 07</v>
      </c>
    </row>
    <row r="1248" ht="22.5" customHeight="1">
      <c r="A1248" s="12">
        <f>IFERROR(__xludf.DUMMYFUNCTION("""COMPUTED_VALUE"""),700.0)</f>
        <v>700</v>
      </c>
      <c r="B1248" s="13">
        <f>IFERROR(__xludf.DUMMYFUNCTION("""COMPUTED_VALUE"""),45477.0)</f>
        <v>45477</v>
      </c>
      <c r="C1248" s="12">
        <f>IFERROR(__xludf.DUMMYFUNCTION("""COMPUTED_VALUE"""),134.0)</f>
        <v>134</v>
      </c>
      <c r="D1248" s="12">
        <f>IFERROR(__xludf.DUMMYFUNCTION("""COMPUTED_VALUE"""),8.0)</f>
        <v>8</v>
      </c>
      <c r="E1248" s="12">
        <f>IFERROR(__xludf.DUMMYFUNCTION("""COMPUTED_VALUE"""),3.0)</f>
        <v>3</v>
      </c>
      <c r="F1248" s="12">
        <f>IFERROR(__xludf.DUMMYFUNCTION("""COMPUTED_VALUE"""),1.0)</f>
        <v>1</v>
      </c>
      <c r="G1248" s="15" t="str">
        <f>IFERROR(__xludf.DUMMYFUNCTION("""COMPUTED_VALUE"""),"Completa")</f>
        <v>Completa</v>
      </c>
      <c r="H1248" s="16" t="str">
        <f t="array" ref="H1248">_xlfn.XLOOKUP(D1248,Productos[ID_Producto],Productos[Nombre_Producto])</f>
        <v>Milanesa</v>
      </c>
      <c r="I1248" s="17">
        <f t="array" ref="I1248">_xlfn.XLOOKUP(D1248,Productos[ID_Producto],Productos[Precio_Unitario])</f>
        <v>16.21</v>
      </c>
      <c r="J1248" s="17">
        <f t="shared" si="1"/>
        <v>48.63</v>
      </c>
      <c r="K1248" s="16" t="str">
        <f t="array" ref="K1248">_xlfn.XLOOKUP(C1248,Clientes[ID_Cliente],Clientes[Provincia])</f>
        <v>San Luis</v>
      </c>
      <c r="L1248" s="16" t="str">
        <f t="array" ref="L1248">CONCATENATE(_xlfn.XLOOKUP(C1248,Clientes[ID_Cliente],Clientes[Provincia]),", Argentina")</f>
        <v>San Luis, Argentina</v>
      </c>
      <c r="M1248" s="20" t="str">
        <f t="array" ref="M1248">_xlfn.XLOOKUP(F1248,Metodos_De_Pago[ID_Metodo],Metodos_De_Pago[Metodo])</f>
        <v>Efectivo</v>
      </c>
      <c r="N1248" s="20" t="str">
        <f t="shared" si="2"/>
        <v>2024 07</v>
      </c>
    </row>
    <row r="1249" ht="22.5" customHeight="1">
      <c r="A1249" s="12">
        <f>IFERROR(__xludf.DUMMYFUNCTION("""COMPUTED_VALUE"""),1839.0)</f>
        <v>1839</v>
      </c>
      <c r="B1249" s="13">
        <f>IFERROR(__xludf.DUMMYFUNCTION("""COMPUTED_VALUE"""),45478.0)</f>
        <v>45478</v>
      </c>
      <c r="C1249" s="12">
        <f>IFERROR(__xludf.DUMMYFUNCTION("""COMPUTED_VALUE"""),197.0)</f>
        <v>197</v>
      </c>
      <c r="D1249" s="12">
        <f>IFERROR(__xludf.DUMMYFUNCTION("""COMPUTED_VALUE"""),23.0)</f>
        <v>23</v>
      </c>
      <c r="E1249" s="12">
        <f>IFERROR(__xludf.DUMMYFUNCTION("""COMPUTED_VALUE"""),3.0)</f>
        <v>3</v>
      </c>
      <c r="F1249" s="12">
        <f>IFERROR(__xludf.DUMMYFUNCTION("""COMPUTED_VALUE"""),2.0)</f>
        <v>2</v>
      </c>
      <c r="G1249" s="15" t="str">
        <f>IFERROR(__xludf.DUMMYFUNCTION("""COMPUTED_VALUE"""),"Completa")</f>
        <v>Completa</v>
      </c>
      <c r="H1249" s="16" t="str">
        <f t="array" ref="H1249">_xlfn.XLOOKUP(D1249,Productos[ID_Producto],Productos[Nombre_Producto])</f>
        <v>Papas fritas</v>
      </c>
      <c r="I1249" s="17">
        <f t="array" ref="I1249">_xlfn.XLOOKUP(D1249,Productos[ID_Producto],Productos[Precio_Unitario])</f>
        <v>8.23</v>
      </c>
      <c r="J1249" s="17">
        <f t="shared" si="1"/>
        <v>24.69</v>
      </c>
      <c r="K1249" s="16" t="str">
        <f t="array" ref="K1249">_xlfn.XLOOKUP(C1249,Clientes[ID_Cliente],Clientes[Provincia])</f>
        <v>San Luis</v>
      </c>
      <c r="L1249" s="16" t="str">
        <f t="array" ref="L1249">CONCATENATE(_xlfn.XLOOKUP(C1249,Clientes[ID_Cliente],Clientes[Provincia]),", Argentina")</f>
        <v>San Luis, Argentina</v>
      </c>
      <c r="M1249" s="20" t="str">
        <f t="array" ref="M1249">_xlfn.XLOOKUP(F1249,Metodos_De_Pago[ID_Metodo],Metodos_De_Pago[Metodo])</f>
        <v>Tarjeta de Crédito</v>
      </c>
      <c r="N1249" s="20" t="str">
        <f t="shared" si="2"/>
        <v>2024 07</v>
      </c>
    </row>
    <row r="1250" ht="22.5" customHeight="1">
      <c r="A1250" s="12">
        <f>IFERROR(__xludf.DUMMYFUNCTION("""COMPUTED_VALUE"""),2624.0)</f>
        <v>2624</v>
      </c>
      <c r="B1250" s="13">
        <f>IFERROR(__xludf.DUMMYFUNCTION("""COMPUTED_VALUE"""),45478.0)</f>
        <v>45478</v>
      </c>
      <c r="C1250" s="12">
        <f>IFERROR(__xludf.DUMMYFUNCTION("""COMPUTED_VALUE"""),52.0)</f>
        <v>52</v>
      </c>
      <c r="D1250" s="12">
        <f>IFERROR(__xludf.DUMMYFUNCTION("""COMPUTED_VALUE"""),3.0)</f>
        <v>3</v>
      </c>
      <c r="E1250" s="12">
        <f>IFERROR(__xludf.DUMMYFUNCTION("""COMPUTED_VALUE"""),3.0)</f>
        <v>3</v>
      </c>
      <c r="F1250" s="12">
        <f>IFERROR(__xludf.DUMMYFUNCTION("""COMPUTED_VALUE"""),3.0)</f>
        <v>3</v>
      </c>
      <c r="G1250" s="15" t="str">
        <f>IFERROR(__xludf.DUMMYFUNCTION("""COMPUTED_VALUE"""),"Completa")</f>
        <v>Completa</v>
      </c>
      <c r="H1250" s="16" t="str">
        <f t="array" ref="H1250">_xlfn.XLOOKUP(D1250,Productos[ID_Producto],Productos[Nombre_Producto])</f>
        <v>Queso cremoso</v>
      </c>
      <c r="I1250" s="17">
        <f t="array" ref="I1250">_xlfn.XLOOKUP(D1250,Productos[ID_Producto],Productos[Precio_Unitario])</f>
        <v>17.23</v>
      </c>
      <c r="J1250" s="17">
        <f t="shared" si="1"/>
        <v>51.69</v>
      </c>
      <c r="K1250" s="16" t="str">
        <f t="array" ref="K1250">_xlfn.XLOOKUP(C1250,Clientes[ID_Cliente],Clientes[Provincia])</f>
        <v>Neuquén</v>
      </c>
      <c r="L1250" s="16" t="str">
        <f t="array" ref="L1250">CONCATENATE(_xlfn.XLOOKUP(C1250,Clientes[ID_Cliente],Clientes[Provincia]),", Argentina")</f>
        <v>Neuquén, Argentina</v>
      </c>
      <c r="M1250" s="20" t="str">
        <f t="array" ref="M1250">_xlfn.XLOOKUP(F1250,Metodos_De_Pago[ID_Metodo],Metodos_De_Pago[Metodo])</f>
        <v>Tarjeta de Débito</v>
      </c>
      <c r="N1250" s="20" t="str">
        <f t="shared" si="2"/>
        <v>2024 07</v>
      </c>
    </row>
    <row r="1251" ht="22.5" customHeight="1">
      <c r="A1251" s="12">
        <f>IFERROR(__xludf.DUMMYFUNCTION("""COMPUTED_VALUE"""),2872.0)</f>
        <v>2872</v>
      </c>
      <c r="B1251" s="13">
        <f>IFERROR(__xludf.DUMMYFUNCTION("""COMPUTED_VALUE"""),45478.0)</f>
        <v>45478</v>
      </c>
      <c r="C1251" s="12">
        <f>IFERROR(__xludf.DUMMYFUNCTION("""COMPUTED_VALUE"""),277.0)</f>
        <v>277</v>
      </c>
      <c r="D1251" s="12">
        <f>IFERROR(__xludf.DUMMYFUNCTION("""COMPUTED_VALUE"""),27.0)</f>
        <v>27</v>
      </c>
      <c r="E1251" s="12">
        <f>IFERROR(__xludf.DUMMYFUNCTION("""COMPUTED_VALUE"""),3.0)</f>
        <v>3</v>
      </c>
      <c r="F1251" s="12">
        <f>IFERROR(__xludf.DUMMYFUNCTION("""COMPUTED_VALUE"""),4.0)</f>
        <v>4</v>
      </c>
      <c r="G1251" s="15" t="str">
        <f>IFERROR(__xludf.DUMMYFUNCTION("""COMPUTED_VALUE"""),"Pendiente")</f>
        <v>Pendiente</v>
      </c>
      <c r="H1251" s="16" t="str">
        <f t="array" ref="H1251">_xlfn.XLOOKUP(D1251,Productos[ID_Producto],Productos[Nombre_Producto])</f>
        <v>Agua mineral</v>
      </c>
      <c r="I1251" s="17">
        <f t="array" ref="I1251">_xlfn.XLOOKUP(D1251,Productos[ID_Producto],Productos[Precio_Unitario])</f>
        <v>6.21</v>
      </c>
      <c r="J1251" s="17">
        <f t="shared" si="1"/>
        <v>18.63</v>
      </c>
      <c r="K1251" s="16" t="str">
        <f t="array" ref="K1251">_xlfn.XLOOKUP(C1251,Clientes[ID_Cliente],Clientes[Provincia])</f>
        <v>Neuquén</v>
      </c>
      <c r="L1251" s="16" t="str">
        <f t="array" ref="L1251">CONCATENATE(_xlfn.XLOOKUP(C1251,Clientes[ID_Cliente],Clientes[Provincia]),", Argentina")</f>
        <v>Neuquén, Argentina</v>
      </c>
      <c r="M1251" s="20" t="str">
        <f t="array" ref="M1251">_xlfn.XLOOKUP(F1251,Metodos_De_Pago[ID_Metodo],Metodos_De_Pago[Metodo])</f>
        <v>Mercado Pago</v>
      </c>
      <c r="N1251" s="20" t="str">
        <f t="shared" si="2"/>
        <v>2024 07</v>
      </c>
    </row>
    <row r="1252" ht="22.5" customHeight="1">
      <c r="A1252" s="12">
        <f>IFERROR(__xludf.DUMMYFUNCTION("""COMPUTED_VALUE"""),1338.0)</f>
        <v>1338</v>
      </c>
      <c r="B1252" s="13">
        <f>IFERROR(__xludf.DUMMYFUNCTION("""COMPUTED_VALUE"""),45479.0)</f>
        <v>45479</v>
      </c>
      <c r="C1252" s="12">
        <f>IFERROR(__xludf.DUMMYFUNCTION("""COMPUTED_VALUE"""),60.0)</f>
        <v>60</v>
      </c>
      <c r="D1252" s="12">
        <f>IFERROR(__xludf.DUMMYFUNCTION("""COMPUTED_VALUE"""),4.0)</f>
        <v>4</v>
      </c>
      <c r="E1252" s="12">
        <f>IFERROR(__xludf.DUMMYFUNCTION("""COMPUTED_VALUE"""),3.0)</f>
        <v>3</v>
      </c>
      <c r="F1252" s="12">
        <f>IFERROR(__xludf.DUMMYFUNCTION("""COMPUTED_VALUE"""),4.0)</f>
        <v>4</v>
      </c>
      <c r="G1252" s="15" t="str">
        <f>IFERROR(__xludf.DUMMYFUNCTION("""COMPUTED_VALUE"""),"Completa")</f>
        <v>Completa</v>
      </c>
      <c r="H1252" s="16" t="str">
        <f t="array" ref="H1252">_xlfn.XLOOKUP(D1252,Productos[ID_Producto],Productos[Nombre_Producto])</f>
        <v>Queso rallado</v>
      </c>
      <c r="I1252" s="17">
        <f t="array" ref="I1252">_xlfn.XLOOKUP(D1252,Productos[ID_Producto],Productos[Precio_Unitario])</f>
        <v>19.23</v>
      </c>
      <c r="J1252" s="17">
        <f t="shared" si="1"/>
        <v>57.69</v>
      </c>
      <c r="K1252" s="16" t="str">
        <f t="array" ref="K1252">_xlfn.XLOOKUP(C1252,Clientes[ID_Cliente],Clientes[Provincia])</f>
        <v>Chaco</v>
      </c>
      <c r="L1252" s="16" t="str">
        <f t="array" ref="L1252">CONCATENATE(_xlfn.XLOOKUP(C1252,Clientes[ID_Cliente],Clientes[Provincia]),", Argentina")</f>
        <v>Chaco, Argentina</v>
      </c>
      <c r="M1252" s="20" t="str">
        <f t="array" ref="M1252">_xlfn.XLOOKUP(F1252,Metodos_De_Pago[ID_Metodo],Metodos_De_Pago[Metodo])</f>
        <v>Mercado Pago</v>
      </c>
      <c r="N1252" s="20" t="str">
        <f t="shared" si="2"/>
        <v>2024 07</v>
      </c>
    </row>
    <row r="1253" ht="22.5" customHeight="1">
      <c r="A1253" s="12">
        <f>IFERROR(__xludf.DUMMYFUNCTION("""COMPUTED_VALUE"""),1626.0)</f>
        <v>1626</v>
      </c>
      <c r="B1253" s="13">
        <f>IFERROR(__xludf.DUMMYFUNCTION("""COMPUTED_VALUE"""),45479.0)</f>
        <v>45479</v>
      </c>
      <c r="C1253" s="12">
        <f>IFERROR(__xludf.DUMMYFUNCTION("""COMPUTED_VALUE"""),171.0)</f>
        <v>171</v>
      </c>
      <c r="D1253" s="12">
        <f>IFERROR(__xludf.DUMMYFUNCTION("""COMPUTED_VALUE"""),36.0)</f>
        <v>36</v>
      </c>
      <c r="E1253" s="12">
        <f>IFERROR(__xludf.DUMMYFUNCTION("""COMPUTED_VALUE"""),3.0)</f>
        <v>3</v>
      </c>
      <c r="F1253" s="12">
        <f>IFERROR(__xludf.DUMMYFUNCTION("""COMPUTED_VALUE"""),1.0)</f>
        <v>1</v>
      </c>
      <c r="G1253" s="15" t="str">
        <f>IFERROR(__xludf.DUMMYFUNCTION("""COMPUTED_VALUE"""),"Completa")</f>
        <v>Completa</v>
      </c>
      <c r="H1253" s="16" t="str">
        <f t="array" ref="H1253">_xlfn.XLOOKUP(D1253,Productos[ID_Producto],Productos[Nombre_Producto])</f>
        <v>Lentejas</v>
      </c>
      <c r="I1253" s="17">
        <f t="array" ref="I1253">_xlfn.XLOOKUP(D1253,Productos[ID_Producto],Productos[Precio_Unitario])</f>
        <v>3.25</v>
      </c>
      <c r="J1253" s="17">
        <f t="shared" si="1"/>
        <v>9.75</v>
      </c>
      <c r="K1253" s="16" t="str">
        <f t="array" ref="K1253">_xlfn.XLOOKUP(C1253,Clientes[ID_Cliente],Clientes[Provincia])</f>
        <v>San Luis</v>
      </c>
      <c r="L1253" s="16" t="str">
        <f t="array" ref="L1253">CONCATENATE(_xlfn.XLOOKUP(C1253,Clientes[ID_Cliente],Clientes[Provincia]),", Argentina")</f>
        <v>San Luis, Argentina</v>
      </c>
      <c r="M1253" s="20" t="str">
        <f t="array" ref="M1253">_xlfn.XLOOKUP(F1253,Metodos_De_Pago[ID_Metodo],Metodos_De_Pago[Metodo])</f>
        <v>Efectivo</v>
      </c>
      <c r="N1253" s="20" t="str">
        <f t="shared" si="2"/>
        <v>2024 07</v>
      </c>
    </row>
    <row r="1254" ht="22.5" customHeight="1">
      <c r="A1254" s="12">
        <f>IFERROR(__xludf.DUMMYFUNCTION("""COMPUTED_VALUE"""),1309.0)</f>
        <v>1309</v>
      </c>
      <c r="B1254" s="13">
        <f>IFERROR(__xludf.DUMMYFUNCTION("""COMPUTED_VALUE"""),45480.0)</f>
        <v>45480</v>
      </c>
      <c r="C1254" s="12">
        <f>IFERROR(__xludf.DUMMYFUNCTION("""COMPUTED_VALUE"""),4.0)</f>
        <v>4</v>
      </c>
      <c r="D1254" s="12">
        <f>IFERROR(__xludf.DUMMYFUNCTION("""COMPUTED_VALUE"""),24.0)</f>
        <v>24</v>
      </c>
      <c r="E1254" s="12">
        <f>IFERROR(__xludf.DUMMYFUNCTION("""COMPUTED_VALUE"""),3.0)</f>
        <v>3</v>
      </c>
      <c r="F1254" s="12">
        <f>IFERROR(__xludf.DUMMYFUNCTION("""COMPUTED_VALUE"""),5.0)</f>
        <v>5</v>
      </c>
      <c r="G1254" s="15" t="str">
        <f>IFERROR(__xludf.DUMMYFUNCTION("""COMPUTED_VALUE"""),"Pendiente")</f>
        <v>Pendiente</v>
      </c>
      <c r="H1254" s="16" t="str">
        <f t="array" ref="H1254">_xlfn.XLOOKUP(D1254,Productos[ID_Producto],Productos[Nombre_Producto])</f>
        <v>Empanadas</v>
      </c>
      <c r="I1254" s="17">
        <f t="array" ref="I1254">_xlfn.XLOOKUP(D1254,Productos[ID_Producto],Productos[Precio_Unitario])</f>
        <v>13.54</v>
      </c>
      <c r="J1254" s="17">
        <f t="shared" si="1"/>
        <v>40.62</v>
      </c>
      <c r="K1254" s="16" t="str">
        <f t="array" ref="K1254">_xlfn.XLOOKUP(C1254,Clientes[ID_Cliente],Clientes[Provincia])</f>
        <v>Buenos Aires</v>
      </c>
      <c r="L1254" s="16" t="str">
        <f t="array" ref="L1254">CONCATENATE(_xlfn.XLOOKUP(C1254,Clientes[ID_Cliente],Clientes[Provincia]),", Argentina")</f>
        <v>Buenos Aires, Argentina</v>
      </c>
      <c r="M1254" s="20" t="str">
        <f t="array" ref="M1254">_xlfn.XLOOKUP(F1254,Metodos_De_Pago[ID_Metodo],Metodos_De_Pago[Metodo])</f>
        <v>Transferencia</v>
      </c>
      <c r="N1254" s="20" t="str">
        <f t="shared" si="2"/>
        <v>2024 07</v>
      </c>
    </row>
    <row r="1255" ht="22.5" customHeight="1">
      <c r="A1255" s="12">
        <f>IFERROR(__xludf.DUMMYFUNCTION("""COMPUTED_VALUE"""),372.0)</f>
        <v>372</v>
      </c>
      <c r="B1255" s="13">
        <f>IFERROR(__xludf.DUMMYFUNCTION("""COMPUTED_VALUE"""),45482.0)</f>
        <v>45482</v>
      </c>
      <c r="C1255" s="12">
        <f>IFERROR(__xludf.DUMMYFUNCTION("""COMPUTED_VALUE"""),15.0)</f>
        <v>15</v>
      </c>
      <c r="D1255" s="12">
        <f>IFERROR(__xludf.DUMMYFUNCTION("""COMPUTED_VALUE"""),1.0)</f>
        <v>1</v>
      </c>
      <c r="E1255" s="12">
        <f>IFERROR(__xludf.DUMMYFUNCTION("""COMPUTED_VALUE"""),3.0)</f>
        <v>3</v>
      </c>
      <c r="F1255" s="12">
        <f>IFERROR(__xludf.DUMMYFUNCTION("""COMPUTED_VALUE"""),5.0)</f>
        <v>5</v>
      </c>
      <c r="G1255" s="15" t="str">
        <f>IFERROR(__xludf.DUMMYFUNCTION("""COMPUTED_VALUE"""),"Completa")</f>
        <v>Completa</v>
      </c>
      <c r="H1255" s="16" t="str">
        <f t="array" ref="H1255">_xlfn.XLOOKUP(D1255,Productos[ID_Producto],Productos[Nombre_Producto])</f>
        <v>Leche</v>
      </c>
      <c r="I1255" s="17">
        <f t="array" ref="I1255">_xlfn.XLOOKUP(D1255,Productos[ID_Producto],Productos[Precio_Unitario])</f>
        <v>12.24</v>
      </c>
      <c r="J1255" s="17">
        <f t="shared" si="1"/>
        <v>36.72</v>
      </c>
      <c r="K1255" s="16" t="str">
        <f t="array" ref="K1255">_xlfn.XLOOKUP(C1255,Clientes[ID_Cliente],Clientes[Provincia])</f>
        <v>Buenos Aires</v>
      </c>
      <c r="L1255" s="16" t="str">
        <f t="array" ref="L1255">CONCATENATE(_xlfn.XLOOKUP(C1255,Clientes[ID_Cliente],Clientes[Provincia]),", Argentina")</f>
        <v>Buenos Aires, Argentina</v>
      </c>
      <c r="M1255" s="20" t="str">
        <f t="array" ref="M1255">_xlfn.XLOOKUP(F1255,Metodos_De_Pago[ID_Metodo],Metodos_De_Pago[Metodo])</f>
        <v>Transferencia</v>
      </c>
      <c r="N1255" s="20" t="str">
        <f t="shared" si="2"/>
        <v>2024 07</v>
      </c>
    </row>
    <row r="1256" ht="22.5" customHeight="1">
      <c r="A1256" s="12">
        <f>IFERROR(__xludf.DUMMYFUNCTION("""COMPUTED_VALUE"""),557.0)</f>
        <v>557</v>
      </c>
      <c r="B1256" s="13">
        <f>IFERROR(__xludf.DUMMYFUNCTION("""COMPUTED_VALUE"""),45482.0)</f>
        <v>45482</v>
      </c>
      <c r="C1256" s="12">
        <f>IFERROR(__xludf.DUMMYFUNCTION("""COMPUTED_VALUE"""),208.0)</f>
        <v>208</v>
      </c>
      <c r="D1256" s="12">
        <f>IFERROR(__xludf.DUMMYFUNCTION("""COMPUTED_VALUE"""),8.0)</f>
        <v>8</v>
      </c>
      <c r="E1256" s="12">
        <f>IFERROR(__xludf.DUMMYFUNCTION("""COMPUTED_VALUE"""),3.0)</f>
        <v>3</v>
      </c>
      <c r="F1256" s="12">
        <f>IFERROR(__xludf.DUMMYFUNCTION("""COMPUTED_VALUE"""),5.0)</f>
        <v>5</v>
      </c>
      <c r="G1256" s="15" t="str">
        <f>IFERROR(__xludf.DUMMYFUNCTION("""COMPUTED_VALUE"""),"Completa")</f>
        <v>Completa</v>
      </c>
      <c r="H1256" s="16" t="str">
        <f t="array" ref="H1256">_xlfn.XLOOKUP(D1256,Productos[ID_Producto],Productos[Nombre_Producto])</f>
        <v>Milanesa</v>
      </c>
      <c r="I1256" s="17">
        <f t="array" ref="I1256">_xlfn.XLOOKUP(D1256,Productos[ID_Producto],Productos[Precio_Unitario])</f>
        <v>16.21</v>
      </c>
      <c r="J1256" s="17">
        <f t="shared" si="1"/>
        <v>48.63</v>
      </c>
      <c r="K1256" s="16" t="str">
        <f t="array" ref="K1256">_xlfn.XLOOKUP(C1256,Clientes[ID_Cliente],Clientes[Provincia])</f>
        <v>Buenos Aires</v>
      </c>
      <c r="L1256" s="16" t="str">
        <f t="array" ref="L1256">CONCATENATE(_xlfn.XLOOKUP(C1256,Clientes[ID_Cliente],Clientes[Provincia]),", Argentina")</f>
        <v>Buenos Aires, Argentina</v>
      </c>
      <c r="M1256" s="20" t="str">
        <f t="array" ref="M1256">_xlfn.XLOOKUP(F1256,Metodos_De_Pago[ID_Metodo],Metodos_De_Pago[Metodo])</f>
        <v>Transferencia</v>
      </c>
      <c r="N1256" s="20" t="str">
        <f t="shared" si="2"/>
        <v>2024 07</v>
      </c>
    </row>
    <row r="1257" ht="22.5" customHeight="1">
      <c r="A1257" s="12">
        <f>IFERROR(__xludf.DUMMYFUNCTION("""COMPUTED_VALUE"""),2536.0)</f>
        <v>2536</v>
      </c>
      <c r="B1257" s="13">
        <f>IFERROR(__xludf.DUMMYFUNCTION("""COMPUTED_VALUE"""),45482.0)</f>
        <v>45482</v>
      </c>
      <c r="C1257" s="12">
        <f>IFERROR(__xludf.DUMMYFUNCTION("""COMPUTED_VALUE"""),194.0)</f>
        <v>194</v>
      </c>
      <c r="D1257" s="12">
        <f>IFERROR(__xludf.DUMMYFUNCTION("""COMPUTED_VALUE"""),29.0)</f>
        <v>29</v>
      </c>
      <c r="E1257" s="12">
        <f>IFERROR(__xludf.DUMMYFUNCTION("""COMPUTED_VALUE"""),3.0)</f>
        <v>3</v>
      </c>
      <c r="F1257" s="12">
        <f>IFERROR(__xludf.DUMMYFUNCTION("""COMPUTED_VALUE"""),3.0)</f>
        <v>3</v>
      </c>
      <c r="G1257" s="15" t="str">
        <f>IFERROR(__xludf.DUMMYFUNCTION("""COMPUTED_VALUE"""),"Completa")</f>
        <v>Completa</v>
      </c>
      <c r="H1257" s="16" t="str">
        <f t="array" ref="H1257">_xlfn.XLOOKUP(D1257,Productos[ID_Producto],Productos[Nombre_Producto])</f>
        <v>Cerveza</v>
      </c>
      <c r="I1257" s="17">
        <f t="array" ref="I1257">_xlfn.XLOOKUP(D1257,Productos[ID_Producto],Productos[Precio_Unitario])</f>
        <v>11.54</v>
      </c>
      <c r="J1257" s="17">
        <f t="shared" si="1"/>
        <v>34.62</v>
      </c>
      <c r="K1257" s="16" t="str">
        <f t="array" ref="K1257">_xlfn.XLOOKUP(C1257,Clientes[ID_Cliente],Clientes[Provincia])</f>
        <v>Buenos Aires</v>
      </c>
      <c r="L1257" s="16" t="str">
        <f t="array" ref="L1257">CONCATENATE(_xlfn.XLOOKUP(C1257,Clientes[ID_Cliente],Clientes[Provincia]),", Argentina")</f>
        <v>Buenos Aires, Argentina</v>
      </c>
      <c r="M1257" s="20" t="str">
        <f t="array" ref="M1257">_xlfn.XLOOKUP(F1257,Metodos_De_Pago[ID_Metodo],Metodos_De_Pago[Metodo])</f>
        <v>Tarjeta de Débito</v>
      </c>
      <c r="N1257" s="20" t="str">
        <f t="shared" si="2"/>
        <v>2024 07</v>
      </c>
    </row>
    <row r="1258" ht="22.5" customHeight="1">
      <c r="A1258" s="12">
        <f>IFERROR(__xludf.DUMMYFUNCTION("""COMPUTED_VALUE"""),2788.0)</f>
        <v>2788</v>
      </c>
      <c r="B1258" s="13">
        <f>IFERROR(__xludf.DUMMYFUNCTION("""COMPUTED_VALUE"""),45482.0)</f>
        <v>45482</v>
      </c>
      <c r="C1258" s="12">
        <f>IFERROR(__xludf.DUMMYFUNCTION("""COMPUTED_VALUE"""),18.0)</f>
        <v>18</v>
      </c>
      <c r="D1258" s="12">
        <f>IFERROR(__xludf.DUMMYFUNCTION("""COMPUTED_VALUE"""),25.0)</f>
        <v>25</v>
      </c>
      <c r="E1258" s="12">
        <f>IFERROR(__xludf.DUMMYFUNCTION("""COMPUTED_VALUE"""),3.0)</f>
        <v>3</v>
      </c>
      <c r="F1258" s="12">
        <f>IFERROR(__xludf.DUMMYFUNCTION("""COMPUTED_VALUE"""),4.0)</f>
        <v>4</v>
      </c>
      <c r="G1258" s="15" t="str">
        <f>IFERROR(__xludf.DUMMYFUNCTION("""COMPUTED_VALUE"""),"Completa")</f>
        <v>Completa</v>
      </c>
      <c r="H1258" s="16" t="str">
        <f t="array" ref="H1258">_xlfn.XLOOKUP(D1258,Productos[ID_Producto],Productos[Nombre_Producto])</f>
        <v>Pizza congelada</v>
      </c>
      <c r="I1258" s="17">
        <f t="array" ref="I1258">_xlfn.XLOOKUP(D1258,Productos[ID_Producto],Productos[Precio_Unitario])</f>
        <v>15.45</v>
      </c>
      <c r="J1258" s="17">
        <f t="shared" si="1"/>
        <v>46.35</v>
      </c>
      <c r="K1258" s="16" t="str">
        <f t="array" ref="K1258">_xlfn.XLOOKUP(C1258,Clientes[ID_Cliente],Clientes[Provincia])</f>
        <v>Córdoba</v>
      </c>
      <c r="L1258" s="16" t="str">
        <f t="array" ref="L1258">CONCATENATE(_xlfn.XLOOKUP(C1258,Clientes[ID_Cliente],Clientes[Provincia]),", Argentina")</f>
        <v>Córdoba, Argentina</v>
      </c>
      <c r="M1258" s="20" t="str">
        <f t="array" ref="M1258">_xlfn.XLOOKUP(F1258,Metodos_De_Pago[ID_Metodo],Metodos_De_Pago[Metodo])</f>
        <v>Mercado Pago</v>
      </c>
      <c r="N1258" s="20" t="str">
        <f t="shared" si="2"/>
        <v>2024 07</v>
      </c>
    </row>
    <row r="1259" ht="22.5" customHeight="1">
      <c r="A1259" s="12">
        <f>IFERROR(__xludf.DUMMYFUNCTION("""COMPUTED_VALUE"""),2414.0)</f>
        <v>2414</v>
      </c>
      <c r="B1259" s="13">
        <f>IFERROR(__xludf.DUMMYFUNCTION("""COMPUTED_VALUE"""),45483.0)</f>
        <v>45483</v>
      </c>
      <c r="C1259" s="12">
        <f>IFERROR(__xludf.DUMMYFUNCTION("""COMPUTED_VALUE"""),97.0)</f>
        <v>97</v>
      </c>
      <c r="D1259" s="12">
        <f>IFERROR(__xludf.DUMMYFUNCTION("""COMPUTED_VALUE"""),19.0)</f>
        <v>19</v>
      </c>
      <c r="E1259" s="12">
        <f>IFERROR(__xludf.DUMMYFUNCTION("""COMPUTED_VALUE"""),3.0)</f>
        <v>3</v>
      </c>
      <c r="F1259" s="12">
        <f>IFERROR(__xludf.DUMMYFUNCTION("""COMPUTED_VALUE"""),2.0)</f>
        <v>2</v>
      </c>
      <c r="G1259" s="15" t="str">
        <f>IFERROR(__xludf.DUMMYFUNCTION("""COMPUTED_VALUE"""),"Completa")</f>
        <v>Completa</v>
      </c>
      <c r="H1259" s="16" t="str">
        <f t="array" ref="H1259">_xlfn.XLOOKUP(D1259,Productos[ID_Producto],Productos[Nombre_Producto])</f>
        <v>Tomates</v>
      </c>
      <c r="I1259" s="17">
        <f t="array" ref="I1259">_xlfn.XLOOKUP(D1259,Productos[ID_Producto],Productos[Precio_Unitario])</f>
        <v>6.54</v>
      </c>
      <c r="J1259" s="17">
        <f t="shared" si="1"/>
        <v>19.62</v>
      </c>
      <c r="K1259" s="16" t="str">
        <f t="array" ref="K1259">_xlfn.XLOOKUP(C1259,Clientes[ID_Cliente],Clientes[Provincia])</f>
        <v>Buenos Aires</v>
      </c>
      <c r="L1259" s="16" t="str">
        <f t="array" ref="L1259">CONCATENATE(_xlfn.XLOOKUP(C1259,Clientes[ID_Cliente],Clientes[Provincia]),", Argentina")</f>
        <v>Buenos Aires, Argentina</v>
      </c>
      <c r="M1259" s="20" t="str">
        <f t="array" ref="M1259">_xlfn.XLOOKUP(F1259,Metodos_De_Pago[ID_Metodo],Metodos_De_Pago[Metodo])</f>
        <v>Tarjeta de Crédito</v>
      </c>
      <c r="N1259" s="20" t="str">
        <f t="shared" si="2"/>
        <v>2024 07</v>
      </c>
    </row>
    <row r="1260" ht="22.5" customHeight="1">
      <c r="A1260" s="12">
        <f>IFERROR(__xludf.DUMMYFUNCTION("""COMPUTED_VALUE"""),2857.0)</f>
        <v>2857</v>
      </c>
      <c r="B1260" s="13">
        <f>IFERROR(__xludf.DUMMYFUNCTION("""COMPUTED_VALUE"""),45483.0)</f>
        <v>45483</v>
      </c>
      <c r="C1260" s="12">
        <f>IFERROR(__xludf.DUMMYFUNCTION("""COMPUTED_VALUE"""),111.0)</f>
        <v>111</v>
      </c>
      <c r="D1260" s="12">
        <f>IFERROR(__xludf.DUMMYFUNCTION("""COMPUTED_VALUE"""),25.0)</f>
        <v>25</v>
      </c>
      <c r="E1260" s="12">
        <f>IFERROR(__xludf.DUMMYFUNCTION("""COMPUTED_VALUE"""),3.0)</f>
        <v>3</v>
      </c>
      <c r="F1260" s="12">
        <f>IFERROR(__xludf.DUMMYFUNCTION("""COMPUTED_VALUE"""),5.0)</f>
        <v>5</v>
      </c>
      <c r="G1260" s="15" t="str">
        <f>IFERROR(__xludf.DUMMYFUNCTION("""COMPUTED_VALUE"""),"Completa")</f>
        <v>Completa</v>
      </c>
      <c r="H1260" s="16" t="str">
        <f t="array" ref="H1260">_xlfn.XLOOKUP(D1260,Productos[ID_Producto],Productos[Nombre_Producto])</f>
        <v>Pizza congelada</v>
      </c>
      <c r="I1260" s="17">
        <f t="array" ref="I1260">_xlfn.XLOOKUP(D1260,Productos[ID_Producto],Productos[Precio_Unitario])</f>
        <v>15.45</v>
      </c>
      <c r="J1260" s="17">
        <f t="shared" si="1"/>
        <v>46.35</v>
      </c>
      <c r="K1260" s="16" t="str">
        <f t="array" ref="K1260">_xlfn.XLOOKUP(C1260,Clientes[ID_Cliente],Clientes[Provincia])</f>
        <v>San Luis</v>
      </c>
      <c r="L1260" s="16" t="str">
        <f t="array" ref="L1260">CONCATENATE(_xlfn.XLOOKUP(C1260,Clientes[ID_Cliente],Clientes[Provincia]),", Argentina")</f>
        <v>San Luis, Argentina</v>
      </c>
      <c r="M1260" s="20" t="str">
        <f t="array" ref="M1260">_xlfn.XLOOKUP(F1260,Metodos_De_Pago[ID_Metodo],Metodos_De_Pago[Metodo])</f>
        <v>Transferencia</v>
      </c>
      <c r="N1260" s="20" t="str">
        <f t="shared" si="2"/>
        <v>2024 07</v>
      </c>
    </row>
    <row r="1261" ht="22.5" customHeight="1">
      <c r="A1261" s="12">
        <f>IFERROR(__xludf.DUMMYFUNCTION("""COMPUTED_VALUE"""),848.0)</f>
        <v>848</v>
      </c>
      <c r="B1261" s="13">
        <f>IFERROR(__xludf.DUMMYFUNCTION("""COMPUTED_VALUE"""),45484.0)</f>
        <v>45484</v>
      </c>
      <c r="C1261" s="12">
        <f>IFERROR(__xludf.DUMMYFUNCTION("""COMPUTED_VALUE"""),227.0)</f>
        <v>227</v>
      </c>
      <c r="D1261" s="12">
        <f>IFERROR(__xludf.DUMMYFUNCTION("""COMPUTED_VALUE"""),1.0)</f>
        <v>1</v>
      </c>
      <c r="E1261" s="12">
        <f>IFERROR(__xludf.DUMMYFUNCTION("""COMPUTED_VALUE"""),3.0)</f>
        <v>3</v>
      </c>
      <c r="F1261" s="12">
        <f>IFERROR(__xludf.DUMMYFUNCTION("""COMPUTED_VALUE"""),3.0)</f>
        <v>3</v>
      </c>
      <c r="G1261" s="15" t="str">
        <f>IFERROR(__xludf.DUMMYFUNCTION("""COMPUTED_VALUE"""),"Pendiente")</f>
        <v>Pendiente</v>
      </c>
      <c r="H1261" s="16" t="str">
        <f t="array" ref="H1261">_xlfn.XLOOKUP(D1261,Productos[ID_Producto],Productos[Nombre_Producto])</f>
        <v>Leche</v>
      </c>
      <c r="I1261" s="17">
        <f t="array" ref="I1261">_xlfn.XLOOKUP(D1261,Productos[ID_Producto],Productos[Precio_Unitario])</f>
        <v>12.24</v>
      </c>
      <c r="J1261" s="17">
        <f t="shared" si="1"/>
        <v>36.72</v>
      </c>
      <c r="K1261" s="16" t="str">
        <f t="array" ref="K1261">_xlfn.XLOOKUP(C1261,Clientes[ID_Cliente],Clientes[Provincia])</f>
        <v>Buenos Aires</v>
      </c>
      <c r="L1261" s="16" t="str">
        <f t="array" ref="L1261">CONCATENATE(_xlfn.XLOOKUP(C1261,Clientes[ID_Cliente],Clientes[Provincia]),", Argentina")</f>
        <v>Buenos Aires, Argentina</v>
      </c>
      <c r="M1261" s="20" t="str">
        <f t="array" ref="M1261">_xlfn.XLOOKUP(F1261,Metodos_De_Pago[ID_Metodo],Metodos_De_Pago[Metodo])</f>
        <v>Tarjeta de Débito</v>
      </c>
      <c r="N1261" s="20" t="str">
        <f t="shared" si="2"/>
        <v>2024 07</v>
      </c>
    </row>
    <row r="1262" ht="22.5" customHeight="1">
      <c r="A1262" s="12">
        <f>IFERROR(__xludf.DUMMYFUNCTION("""COMPUTED_VALUE"""),1388.0)</f>
        <v>1388</v>
      </c>
      <c r="B1262" s="13">
        <f>IFERROR(__xludf.DUMMYFUNCTION("""COMPUTED_VALUE"""),45484.0)</f>
        <v>45484</v>
      </c>
      <c r="C1262" s="12">
        <f>IFERROR(__xludf.DUMMYFUNCTION("""COMPUTED_VALUE"""),79.0)</f>
        <v>79</v>
      </c>
      <c r="D1262" s="12">
        <f>IFERROR(__xludf.DUMMYFUNCTION("""COMPUTED_VALUE"""),5.0)</f>
        <v>5</v>
      </c>
      <c r="E1262" s="12">
        <f>IFERROR(__xludf.DUMMYFUNCTION("""COMPUTED_VALUE"""),3.0)</f>
        <v>3</v>
      </c>
      <c r="F1262" s="12">
        <f>IFERROR(__xludf.DUMMYFUNCTION("""COMPUTED_VALUE"""),4.0)</f>
        <v>4</v>
      </c>
      <c r="G1262" s="15" t="str">
        <f>IFERROR(__xludf.DUMMYFUNCTION("""COMPUTED_VALUE"""),"Completa")</f>
        <v>Completa</v>
      </c>
      <c r="H1262" s="16" t="str">
        <f t="array" ref="H1262">_xlfn.XLOOKUP(D1262,Productos[ID_Producto],Productos[Nombre_Producto])</f>
        <v>Manteca</v>
      </c>
      <c r="I1262" s="17">
        <f t="array" ref="I1262">_xlfn.XLOOKUP(D1262,Productos[ID_Producto],Productos[Precio_Unitario])</f>
        <v>5.65</v>
      </c>
      <c r="J1262" s="17">
        <f t="shared" si="1"/>
        <v>16.95</v>
      </c>
      <c r="K1262" s="16" t="str">
        <f t="array" ref="K1262">_xlfn.XLOOKUP(C1262,Clientes[ID_Cliente],Clientes[Provincia])</f>
        <v>Neuquén</v>
      </c>
      <c r="L1262" s="16" t="str">
        <f t="array" ref="L1262">CONCATENATE(_xlfn.XLOOKUP(C1262,Clientes[ID_Cliente],Clientes[Provincia]),", Argentina")</f>
        <v>Neuquén, Argentina</v>
      </c>
      <c r="M1262" s="20" t="str">
        <f t="array" ref="M1262">_xlfn.XLOOKUP(F1262,Metodos_De_Pago[ID_Metodo],Metodos_De_Pago[Metodo])</f>
        <v>Mercado Pago</v>
      </c>
      <c r="N1262" s="20" t="str">
        <f t="shared" si="2"/>
        <v>2024 07</v>
      </c>
    </row>
    <row r="1263" ht="22.5" customHeight="1">
      <c r="A1263" s="12">
        <f>IFERROR(__xludf.DUMMYFUNCTION("""COMPUTED_VALUE"""),2290.0)</f>
        <v>2290</v>
      </c>
      <c r="B1263" s="13">
        <f>IFERROR(__xludf.DUMMYFUNCTION("""COMPUTED_VALUE"""),45484.0)</f>
        <v>45484</v>
      </c>
      <c r="C1263" s="12">
        <f>IFERROR(__xludf.DUMMYFUNCTION("""COMPUTED_VALUE"""),216.0)</f>
        <v>216</v>
      </c>
      <c r="D1263" s="12">
        <f>IFERROR(__xludf.DUMMYFUNCTION("""COMPUTED_VALUE"""),19.0)</f>
        <v>19</v>
      </c>
      <c r="E1263" s="12">
        <f>IFERROR(__xludf.DUMMYFUNCTION("""COMPUTED_VALUE"""),3.0)</f>
        <v>3</v>
      </c>
      <c r="F1263" s="12">
        <f>IFERROR(__xludf.DUMMYFUNCTION("""COMPUTED_VALUE"""),5.0)</f>
        <v>5</v>
      </c>
      <c r="G1263" s="15" t="str">
        <f>IFERROR(__xludf.DUMMYFUNCTION("""COMPUTED_VALUE"""),"Pendiente")</f>
        <v>Pendiente</v>
      </c>
      <c r="H1263" s="16" t="str">
        <f t="array" ref="H1263">_xlfn.XLOOKUP(D1263,Productos[ID_Producto],Productos[Nombre_Producto])</f>
        <v>Tomates</v>
      </c>
      <c r="I1263" s="17">
        <f t="array" ref="I1263">_xlfn.XLOOKUP(D1263,Productos[ID_Producto],Productos[Precio_Unitario])</f>
        <v>6.54</v>
      </c>
      <c r="J1263" s="17">
        <f t="shared" si="1"/>
        <v>19.62</v>
      </c>
      <c r="K1263" s="16" t="str">
        <f t="array" ref="K1263">_xlfn.XLOOKUP(C1263,Clientes[ID_Cliente],Clientes[Provincia])</f>
        <v>Córdoba</v>
      </c>
      <c r="L1263" s="16" t="str">
        <f t="array" ref="L1263">CONCATENATE(_xlfn.XLOOKUP(C1263,Clientes[ID_Cliente],Clientes[Provincia]),", Argentina")</f>
        <v>Córdoba, Argentina</v>
      </c>
      <c r="M1263" s="20" t="str">
        <f t="array" ref="M1263">_xlfn.XLOOKUP(F1263,Metodos_De_Pago[ID_Metodo],Metodos_De_Pago[Metodo])</f>
        <v>Transferencia</v>
      </c>
      <c r="N1263" s="20" t="str">
        <f t="shared" si="2"/>
        <v>2024 07</v>
      </c>
    </row>
    <row r="1264" ht="22.5" customHeight="1">
      <c r="A1264" s="12">
        <f>IFERROR(__xludf.DUMMYFUNCTION("""COMPUTED_VALUE"""),2496.0)</f>
        <v>2496</v>
      </c>
      <c r="B1264" s="13">
        <f>IFERROR(__xludf.DUMMYFUNCTION("""COMPUTED_VALUE"""),45484.0)</f>
        <v>45484</v>
      </c>
      <c r="C1264" s="12">
        <f>IFERROR(__xludf.DUMMYFUNCTION("""COMPUTED_VALUE"""),262.0)</f>
        <v>262</v>
      </c>
      <c r="D1264" s="12">
        <f>IFERROR(__xludf.DUMMYFUNCTION("""COMPUTED_VALUE"""),5.0)</f>
        <v>5</v>
      </c>
      <c r="E1264" s="12">
        <f>IFERROR(__xludf.DUMMYFUNCTION("""COMPUTED_VALUE"""),3.0)</f>
        <v>3</v>
      </c>
      <c r="F1264" s="12">
        <f>IFERROR(__xludf.DUMMYFUNCTION("""COMPUTED_VALUE"""),4.0)</f>
        <v>4</v>
      </c>
      <c r="G1264" s="15" t="str">
        <f>IFERROR(__xludf.DUMMYFUNCTION("""COMPUTED_VALUE"""),"Completa")</f>
        <v>Completa</v>
      </c>
      <c r="H1264" s="16" t="str">
        <f t="array" ref="H1264">_xlfn.XLOOKUP(D1264,Productos[ID_Producto],Productos[Nombre_Producto])</f>
        <v>Manteca</v>
      </c>
      <c r="I1264" s="17">
        <f t="array" ref="I1264">_xlfn.XLOOKUP(D1264,Productos[ID_Producto],Productos[Precio_Unitario])</f>
        <v>5.65</v>
      </c>
      <c r="J1264" s="17">
        <f t="shared" si="1"/>
        <v>16.95</v>
      </c>
      <c r="K1264" s="16" t="str">
        <f t="array" ref="K1264">_xlfn.XLOOKUP(C1264,Clientes[ID_Cliente],Clientes[Provincia])</f>
        <v>Buenos Aires</v>
      </c>
      <c r="L1264" s="16" t="str">
        <f t="array" ref="L1264">CONCATENATE(_xlfn.XLOOKUP(C1264,Clientes[ID_Cliente],Clientes[Provincia]),", Argentina")</f>
        <v>Buenos Aires, Argentina</v>
      </c>
      <c r="M1264" s="20" t="str">
        <f t="array" ref="M1264">_xlfn.XLOOKUP(F1264,Metodos_De_Pago[ID_Metodo],Metodos_De_Pago[Metodo])</f>
        <v>Mercado Pago</v>
      </c>
      <c r="N1264" s="20" t="str">
        <f t="shared" si="2"/>
        <v>2024 07</v>
      </c>
    </row>
    <row r="1265" ht="22.5" customHeight="1">
      <c r="A1265" s="12">
        <f>IFERROR(__xludf.DUMMYFUNCTION("""COMPUTED_VALUE"""),1476.0)</f>
        <v>1476</v>
      </c>
      <c r="B1265" s="13">
        <f>IFERROR(__xludf.DUMMYFUNCTION("""COMPUTED_VALUE"""),45485.0)</f>
        <v>45485</v>
      </c>
      <c r="C1265" s="12">
        <f>IFERROR(__xludf.DUMMYFUNCTION("""COMPUTED_VALUE"""),12.0)</f>
        <v>12</v>
      </c>
      <c r="D1265" s="12">
        <f>IFERROR(__xludf.DUMMYFUNCTION("""COMPUTED_VALUE"""),26.0)</f>
        <v>26</v>
      </c>
      <c r="E1265" s="12">
        <f>IFERROR(__xludf.DUMMYFUNCTION("""COMPUTED_VALUE"""),3.0)</f>
        <v>3</v>
      </c>
      <c r="F1265" s="12">
        <f>IFERROR(__xludf.DUMMYFUNCTION("""COMPUTED_VALUE"""),1.0)</f>
        <v>1</v>
      </c>
      <c r="G1265" s="15" t="str">
        <f>IFERROR(__xludf.DUMMYFUNCTION("""COMPUTED_VALUE"""),"Completa")</f>
        <v>Completa</v>
      </c>
      <c r="H1265" s="16" t="str">
        <f t="array" ref="H1265">_xlfn.XLOOKUP(D1265,Productos[ID_Producto],Productos[Nombre_Producto])</f>
        <v>Hamburgesas congeladas</v>
      </c>
      <c r="I1265" s="17">
        <f t="array" ref="I1265">_xlfn.XLOOKUP(D1265,Productos[ID_Producto],Productos[Precio_Unitario])</f>
        <v>9.54</v>
      </c>
      <c r="J1265" s="17">
        <f t="shared" si="1"/>
        <v>28.62</v>
      </c>
      <c r="K1265" s="16" t="str">
        <f t="array" ref="K1265">_xlfn.XLOOKUP(C1265,Clientes[ID_Cliente],Clientes[Provincia])</f>
        <v>Neuquén</v>
      </c>
      <c r="L1265" s="16" t="str">
        <f t="array" ref="L1265">CONCATENATE(_xlfn.XLOOKUP(C1265,Clientes[ID_Cliente],Clientes[Provincia]),", Argentina")</f>
        <v>Neuquén, Argentina</v>
      </c>
      <c r="M1265" s="20" t="str">
        <f t="array" ref="M1265">_xlfn.XLOOKUP(F1265,Metodos_De_Pago[ID_Metodo],Metodos_De_Pago[Metodo])</f>
        <v>Efectivo</v>
      </c>
      <c r="N1265" s="20" t="str">
        <f t="shared" si="2"/>
        <v>2024 07</v>
      </c>
    </row>
    <row r="1266" ht="22.5" customHeight="1">
      <c r="A1266" s="12">
        <f>IFERROR(__xludf.DUMMYFUNCTION("""COMPUTED_VALUE"""),246.0)</f>
        <v>246</v>
      </c>
      <c r="B1266" s="13">
        <f>IFERROR(__xludf.DUMMYFUNCTION("""COMPUTED_VALUE"""),45487.0)</f>
        <v>45487</v>
      </c>
      <c r="C1266" s="12">
        <f>IFERROR(__xludf.DUMMYFUNCTION("""COMPUTED_VALUE"""),171.0)</f>
        <v>171</v>
      </c>
      <c r="D1266" s="12">
        <f>IFERROR(__xludf.DUMMYFUNCTION("""COMPUTED_VALUE"""),26.0)</f>
        <v>26</v>
      </c>
      <c r="E1266" s="12">
        <f>IFERROR(__xludf.DUMMYFUNCTION("""COMPUTED_VALUE"""),3.0)</f>
        <v>3</v>
      </c>
      <c r="F1266" s="12">
        <f>IFERROR(__xludf.DUMMYFUNCTION("""COMPUTED_VALUE"""),2.0)</f>
        <v>2</v>
      </c>
      <c r="G1266" s="15" t="str">
        <f>IFERROR(__xludf.DUMMYFUNCTION("""COMPUTED_VALUE"""),"Completa")</f>
        <v>Completa</v>
      </c>
      <c r="H1266" s="16" t="str">
        <f t="array" ref="H1266">_xlfn.XLOOKUP(D1266,Productos[ID_Producto],Productos[Nombre_Producto])</f>
        <v>Hamburgesas congeladas</v>
      </c>
      <c r="I1266" s="17">
        <f t="array" ref="I1266">_xlfn.XLOOKUP(D1266,Productos[ID_Producto],Productos[Precio_Unitario])</f>
        <v>9.54</v>
      </c>
      <c r="J1266" s="17">
        <f t="shared" si="1"/>
        <v>28.62</v>
      </c>
      <c r="K1266" s="16" t="str">
        <f t="array" ref="K1266">_xlfn.XLOOKUP(C1266,Clientes[ID_Cliente],Clientes[Provincia])</f>
        <v>San Luis</v>
      </c>
      <c r="L1266" s="16" t="str">
        <f t="array" ref="L1266">CONCATENATE(_xlfn.XLOOKUP(C1266,Clientes[ID_Cliente],Clientes[Provincia]),", Argentina")</f>
        <v>San Luis, Argentina</v>
      </c>
      <c r="M1266" s="20" t="str">
        <f t="array" ref="M1266">_xlfn.XLOOKUP(F1266,Metodos_De_Pago[ID_Metodo],Metodos_De_Pago[Metodo])</f>
        <v>Tarjeta de Crédito</v>
      </c>
      <c r="N1266" s="20" t="str">
        <f t="shared" si="2"/>
        <v>2024 07</v>
      </c>
    </row>
    <row r="1267" ht="22.5" customHeight="1">
      <c r="A1267" s="12">
        <f>IFERROR(__xludf.DUMMYFUNCTION("""COMPUTED_VALUE"""),391.0)</f>
        <v>391</v>
      </c>
      <c r="B1267" s="13">
        <f>IFERROR(__xludf.DUMMYFUNCTION("""COMPUTED_VALUE"""),45487.0)</f>
        <v>45487</v>
      </c>
      <c r="C1267" s="12">
        <f>IFERROR(__xludf.DUMMYFUNCTION("""COMPUTED_VALUE"""),34.0)</f>
        <v>34</v>
      </c>
      <c r="D1267" s="12">
        <f>IFERROR(__xludf.DUMMYFUNCTION("""COMPUTED_VALUE"""),16.0)</f>
        <v>16</v>
      </c>
      <c r="E1267" s="12">
        <f>IFERROR(__xludf.DUMMYFUNCTION("""COMPUTED_VALUE"""),3.0)</f>
        <v>3</v>
      </c>
      <c r="F1267" s="12">
        <f>IFERROR(__xludf.DUMMYFUNCTION("""COMPUTED_VALUE"""),5.0)</f>
        <v>5</v>
      </c>
      <c r="G1267" s="15" t="str">
        <f>IFERROR(__xludf.DUMMYFUNCTION("""COMPUTED_VALUE"""),"Completa")</f>
        <v>Completa</v>
      </c>
      <c r="H1267" s="16" t="str">
        <f t="array" ref="H1267">_xlfn.XLOOKUP(D1267,Productos[ID_Producto],Productos[Nombre_Producto])</f>
        <v>Tortas</v>
      </c>
      <c r="I1267" s="17">
        <f t="array" ref="I1267">_xlfn.XLOOKUP(D1267,Productos[ID_Producto],Productos[Precio_Unitario])</f>
        <v>15.23</v>
      </c>
      <c r="J1267" s="17">
        <f t="shared" si="1"/>
        <v>45.69</v>
      </c>
      <c r="K1267" s="16" t="str">
        <f t="array" ref="K1267">_xlfn.XLOOKUP(C1267,Clientes[ID_Cliente],Clientes[Provincia])</f>
        <v>San Luis</v>
      </c>
      <c r="L1267" s="16" t="str">
        <f t="array" ref="L1267">CONCATENATE(_xlfn.XLOOKUP(C1267,Clientes[ID_Cliente],Clientes[Provincia]),", Argentina")</f>
        <v>San Luis, Argentina</v>
      </c>
      <c r="M1267" s="20" t="str">
        <f t="array" ref="M1267">_xlfn.XLOOKUP(F1267,Metodos_De_Pago[ID_Metodo],Metodos_De_Pago[Metodo])</f>
        <v>Transferencia</v>
      </c>
      <c r="N1267" s="20" t="str">
        <f t="shared" si="2"/>
        <v>2024 07</v>
      </c>
    </row>
    <row r="1268" ht="22.5" customHeight="1">
      <c r="A1268" s="12">
        <f>IFERROR(__xludf.DUMMYFUNCTION("""COMPUTED_VALUE"""),2577.0)</f>
        <v>2577</v>
      </c>
      <c r="B1268" s="13">
        <f>IFERROR(__xludf.DUMMYFUNCTION("""COMPUTED_VALUE"""),45488.0)</f>
        <v>45488</v>
      </c>
      <c r="C1268" s="12">
        <f>IFERROR(__xludf.DUMMYFUNCTION("""COMPUTED_VALUE"""),240.0)</f>
        <v>240</v>
      </c>
      <c r="D1268" s="12">
        <f>IFERROR(__xludf.DUMMYFUNCTION("""COMPUTED_VALUE"""),11.0)</f>
        <v>11</v>
      </c>
      <c r="E1268" s="12">
        <f>IFERROR(__xludf.DUMMYFUNCTION("""COMPUTED_VALUE"""),3.0)</f>
        <v>3</v>
      </c>
      <c r="F1268" s="12">
        <f>IFERROR(__xludf.DUMMYFUNCTION("""COMPUTED_VALUE"""),2.0)</f>
        <v>2</v>
      </c>
      <c r="G1268" s="15" t="str">
        <f>IFERROR(__xludf.DUMMYFUNCTION("""COMPUTED_VALUE"""),"Completa")</f>
        <v>Completa</v>
      </c>
      <c r="H1268" s="16" t="str">
        <f t="array" ref="H1268">_xlfn.XLOOKUP(D1268,Productos[ID_Producto],Productos[Nombre_Producto])</f>
        <v>Salchicha</v>
      </c>
      <c r="I1268" s="17">
        <f t="array" ref="I1268">_xlfn.XLOOKUP(D1268,Productos[ID_Producto],Productos[Precio_Unitario])</f>
        <v>11.23</v>
      </c>
      <c r="J1268" s="17">
        <f t="shared" si="1"/>
        <v>33.69</v>
      </c>
      <c r="K1268" s="16" t="str">
        <f t="array" ref="K1268">_xlfn.XLOOKUP(C1268,Clientes[ID_Cliente],Clientes[Provincia])</f>
        <v>Buenos Aires</v>
      </c>
      <c r="L1268" s="16" t="str">
        <f t="array" ref="L1268">CONCATENATE(_xlfn.XLOOKUP(C1268,Clientes[ID_Cliente],Clientes[Provincia]),", Argentina")</f>
        <v>Buenos Aires, Argentina</v>
      </c>
      <c r="M1268" s="20" t="str">
        <f t="array" ref="M1268">_xlfn.XLOOKUP(F1268,Metodos_De_Pago[ID_Metodo],Metodos_De_Pago[Metodo])</f>
        <v>Tarjeta de Crédito</v>
      </c>
      <c r="N1268" s="20" t="str">
        <f t="shared" si="2"/>
        <v>2024 07</v>
      </c>
    </row>
    <row r="1269" ht="22.5" customHeight="1">
      <c r="A1269" s="12">
        <f>IFERROR(__xludf.DUMMYFUNCTION("""COMPUTED_VALUE"""),2158.0)</f>
        <v>2158</v>
      </c>
      <c r="B1269" s="13">
        <f>IFERROR(__xludf.DUMMYFUNCTION("""COMPUTED_VALUE"""),45489.0)</f>
        <v>45489</v>
      </c>
      <c r="C1269" s="12">
        <f>IFERROR(__xludf.DUMMYFUNCTION("""COMPUTED_VALUE"""),148.0)</f>
        <v>148</v>
      </c>
      <c r="D1269" s="12">
        <f>IFERROR(__xludf.DUMMYFUNCTION("""COMPUTED_VALUE"""),38.0)</f>
        <v>38</v>
      </c>
      <c r="E1269" s="12">
        <f>IFERROR(__xludf.DUMMYFUNCTION("""COMPUTED_VALUE"""),3.0)</f>
        <v>3</v>
      </c>
      <c r="F1269" s="12">
        <f>IFERROR(__xludf.DUMMYFUNCTION("""COMPUTED_VALUE"""),4.0)</f>
        <v>4</v>
      </c>
      <c r="G1269" s="15" t="str">
        <f>IFERROR(__xludf.DUMMYFUNCTION("""COMPUTED_VALUE"""),"Pendiente")</f>
        <v>Pendiente</v>
      </c>
      <c r="H1269" s="16" t="str">
        <f t="array" ref="H1269">_xlfn.XLOOKUP(D1269,Productos[ID_Producto],Productos[Nombre_Producto])</f>
        <v>Atún enlatado</v>
      </c>
      <c r="I1269" s="17">
        <f t="array" ref="I1269">_xlfn.XLOOKUP(D1269,Productos[ID_Producto],Productos[Precio_Unitario])</f>
        <v>6.21</v>
      </c>
      <c r="J1269" s="17">
        <f t="shared" si="1"/>
        <v>18.63</v>
      </c>
      <c r="K1269" s="16" t="str">
        <f t="array" ref="K1269">_xlfn.XLOOKUP(C1269,Clientes[ID_Cliente],Clientes[Provincia])</f>
        <v>Córdoba</v>
      </c>
      <c r="L1269" s="16" t="str">
        <f t="array" ref="L1269">CONCATENATE(_xlfn.XLOOKUP(C1269,Clientes[ID_Cliente],Clientes[Provincia]),", Argentina")</f>
        <v>Córdoba, Argentina</v>
      </c>
      <c r="M1269" s="20" t="str">
        <f t="array" ref="M1269">_xlfn.XLOOKUP(F1269,Metodos_De_Pago[ID_Metodo],Metodos_De_Pago[Metodo])</f>
        <v>Mercado Pago</v>
      </c>
      <c r="N1269" s="20" t="str">
        <f t="shared" si="2"/>
        <v>2024 07</v>
      </c>
    </row>
    <row r="1270" ht="22.5" customHeight="1">
      <c r="A1270" s="12">
        <f>IFERROR(__xludf.DUMMYFUNCTION("""COMPUTED_VALUE"""),1093.0)</f>
        <v>1093</v>
      </c>
      <c r="B1270" s="13">
        <f>IFERROR(__xludf.DUMMYFUNCTION("""COMPUTED_VALUE"""),45490.0)</f>
        <v>45490</v>
      </c>
      <c r="C1270" s="12">
        <f>IFERROR(__xludf.DUMMYFUNCTION("""COMPUTED_VALUE"""),52.0)</f>
        <v>52</v>
      </c>
      <c r="D1270" s="12">
        <f>IFERROR(__xludf.DUMMYFUNCTION("""COMPUTED_VALUE"""),36.0)</f>
        <v>36</v>
      </c>
      <c r="E1270" s="12">
        <f>IFERROR(__xludf.DUMMYFUNCTION("""COMPUTED_VALUE"""),3.0)</f>
        <v>3</v>
      </c>
      <c r="F1270" s="12">
        <f>IFERROR(__xludf.DUMMYFUNCTION("""COMPUTED_VALUE"""),1.0)</f>
        <v>1</v>
      </c>
      <c r="G1270" s="15" t="str">
        <f>IFERROR(__xludf.DUMMYFUNCTION("""COMPUTED_VALUE"""),"Completa")</f>
        <v>Completa</v>
      </c>
      <c r="H1270" s="16" t="str">
        <f t="array" ref="H1270">_xlfn.XLOOKUP(D1270,Productos[ID_Producto],Productos[Nombre_Producto])</f>
        <v>Lentejas</v>
      </c>
      <c r="I1270" s="17">
        <f t="array" ref="I1270">_xlfn.XLOOKUP(D1270,Productos[ID_Producto],Productos[Precio_Unitario])</f>
        <v>3.25</v>
      </c>
      <c r="J1270" s="17">
        <f t="shared" si="1"/>
        <v>9.75</v>
      </c>
      <c r="K1270" s="16" t="str">
        <f t="array" ref="K1270">_xlfn.XLOOKUP(C1270,Clientes[ID_Cliente],Clientes[Provincia])</f>
        <v>Neuquén</v>
      </c>
      <c r="L1270" s="16" t="str">
        <f t="array" ref="L1270">CONCATENATE(_xlfn.XLOOKUP(C1270,Clientes[ID_Cliente],Clientes[Provincia]),", Argentina")</f>
        <v>Neuquén, Argentina</v>
      </c>
      <c r="M1270" s="20" t="str">
        <f t="array" ref="M1270">_xlfn.XLOOKUP(F1270,Metodos_De_Pago[ID_Metodo],Metodos_De_Pago[Metodo])</f>
        <v>Efectivo</v>
      </c>
      <c r="N1270" s="20" t="str">
        <f t="shared" si="2"/>
        <v>2024 07</v>
      </c>
    </row>
    <row r="1271" ht="22.5" customHeight="1">
      <c r="A1271" s="12">
        <f>IFERROR(__xludf.DUMMYFUNCTION("""COMPUTED_VALUE"""),519.0)</f>
        <v>519</v>
      </c>
      <c r="B1271" s="13">
        <f>IFERROR(__xludf.DUMMYFUNCTION("""COMPUTED_VALUE"""),45491.0)</f>
        <v>45491</v>
      </c>
      <c r="C1271" s="12">
        <f>IFERROR(__xludf.DUMMYFUNCTION("""COMPUTED_VALUE"""),174.0)</f>
        <v>174</v>
      </c>
      <c r="D1271" s="12">
        <f>IFERROR(__xludf.DUMMYFUNCTION("""COMPUTED_VALUE"""),38.0)</f>
        <v>38</v>
      </c>
      <c r="E1271" s="12">
        <f>IFERROR(__xludf.DUMMYFUNCTION("""COMPUTED_VALUE"""),3.0)</f>
        <v>3</v>
      </c>
      <c r="F1271" s="12">
        <f>IFERROR(__xludf.DUMMYFUNCTION("""COMPUTED_VALUE"""),1.0)</f>
        <v>1</v>
      </c>
      <c r="G1271" s="15" t="str">
        <f>IFERROR(__xludf.DUMMYFUNCTION("""COMPUTED_VALUE"""),"Completa")</f>
        <v>Completa</v>
      </c>
      <c r="H1271" s="16" t="str">
        <f t="array" ref="H1271">_xlfn.XLOOKUP(D1271,Productos[ID_Producto],Productos[Nombre_Producto])</f>
        <v>Atún enlatado</v>
      </c>
      <c r="I1271" s="17">
        <f t="array" ref="I1271">_xlfn.XLOOKUP(D1271,Productos[ID_Producto],Productos[Precio_Unitario])</f>
        <v>6.21</v>
      </c>
      <c r="J1271" s="17">
        <f t="shared" si="1"/>
        <v>18.63</v>
      </c>
      <c r="K1271" s="16" t="str">
        <f t="array" ref="K1271">_xlfn.XLOOKUP(C1271,Clientes[ID_Cliente],Clientes[Provincia])</f>
        <v>Neuquén</v>
      </c>
      <c r="L1271" s="16" t="str">
        <f t="array" ref="L1271">CONCATENATE(_xlfn.XLOOKUP(C1271,Clientes[ID_Cliente],Clientes[Provincia]),", Argentina")</f>
        <v>Neuquén, Argentina</v>
      </c>
      <c r="M1271" s="20" t="str">
        <f t="array" ref="M1271">_xlfn.XLOOKUP(F1271,Metodos_De_Pago[ID_Metodo],Metodos_De_Pago[Metodo])</f>
        <v>Efectivo</v>
      </c>
      <c r="N1271" s="20" t="str">
        <f t="shared" si="2"/>
        <v>2024 07</v>
      </c>
    </row>
    <row r="1272" ht="22.5" customHeight="1">
      <c r="A1272" s="12">
        <f>IFERROR(__xludf.DUMMYFUNCTION("""COMPUTED_VALUE"""),549.0)</f>
        <v>549</v>
      </c>
      <c r="B1272" s="13">
        <f>IFERROR(__xludf.DUMMYFUNCTION("""COMPUTED_VALUE"""),45491.0)</f>
        <v>45491</v>
      </c>
      <c r="C1272" s="12">
        <f>IFERROR(__xludf.DUMMYFUNCTION("""COMPUTED_VALUE"""),211.0)</f>
        <v>211</v>
      </c>
      <c r="D1272" s="12">
        <f>IFERROR(__xludf.DUMMYFUNCTION("""COMPUTED_VALUE"""),4.0)</f>
        <v>4</v>
      </c>
      <c r="E1272" s="12">
        <f>IFERROR(__xludf.DUMMYFUNCTION("""COMPUTED_VALUE"""),3.0)</f>
        <v>3</v>
      </c>
      <c r="F1272" s="12">
        <f>IFERROR(__xludf.DUMMYFUNCTION("""COMPUTED_VALUE"""),5.0)</f>
        <v>5</v>
      </c>
      <c r="G1272" s="15" t="str">
        <f>IFERROR(__xludf.DUMMYFUNCTION("""COMPUTED_VALUE"""),"Pendiente")</f>
        <v>Pendiente</v>
      </c>
      <c r="H1272" s="16" t="str">
        <f t="array" ref="H1272">_xlfn.XLOOKUP(D1272,Productos[ID_Producto],Productos[Nombre_Producto])</f>
        <v>Queso rallado</v>
      </c>
      <c r="I1272" s="17">
        <f t="array" ref="I1272">_xlfn.XLOOKUP(D1272,Productos[ID_Producto],Productos[Precio_Unitario])</f>
        <v>19.23</v>
      </c>
      <c r="J1272" s="17">
        <f t="shared" si="1"/>
        <v>57.69</v>
      </c>
      <c r="K1272" s="16" t="str">
        <f t="array" ref="K1272">_xlfn.XLOOKUP(C1272,Clientes[ID_Cliente],Clientes[Provincia])</f>
        <v>Córdoba</v>
      </c>
      <c r="L1272" s="16" t="str">
        <f t="array" ref="L1272">CONCATENATE(_xlfn.XLOOKUP(C1272,Clientes[ID_Cliente],Clientes[Provincia]),", Argentina")</f>
        <v>Córdoba, Argentina</v>
      </c>
      <c r="M1272" s="20" t="str">
        <f t="array" ref="M1272">_xlfn.XLOOKUP(F1272,Metodos_De_Pago[ID_Metodo],Metodos_De_Pago[Metodo])</f>
        <v>Transferencia</v>
      </c>
      <c r="N1272" s="20" t="str">
        <f t="shared" si="2"/>
        <v>2024 07</v>
      </c>
    </row>
    <row r="1273" ht="22.5" customHeight="1">
      <c r="A1273" s="12">
        <f>IFERROR(__xludf.DUMMYFUNCTION("""COMPUTED_VALUE"""),2412.0)</f>
        <v>2412</v>
      </c>
      <c r="B1273" s="13">
        <f>IFERROR(__xludf.DUMMYFUNCTION("""COMPUTED_VALUE"""),45491.0)</f>
        <v>45491</v>
      </c>
      <c r="C1273" s="12">
        <f>IFERROR(__xludf.DUMMYFUNCTION("""COMPUTED_VALUE"""),5.0)</f>
        <v>5</v>
      </c>
      <c r="D1273" s="12">
        <f>IFERROR(__xludf.DUMMYFUNCTION("""COMPUTED_VALUE"""),36.0)</f>
        <v>36</v>
      </c>
      <c r="E1273" s="12">
        <f>IFERROR(__xludf.DUMMYFUNCTION("""COMPUTED_VALUE"""),3.0)</f>
        <v>3</v>
      </c>
      <c r="F1273" s="12">
        <f>IFERROR(__xludf.DUMMYFUNCTION("""COMPUTED_VALUE"""),1.0)</f>
        <v>1</v>
      </c>
      <c r="G1273" s="15" t="str">
        <f>IFERROR(__xludf.DUMMYFUNCTION("""COMPUTED_VALUE"""),"Completa")</f>
        <v>Completa</v>
      </c>
      <c r="H1273" s="16" t="str">
        <f t="array" ref="H1273">_xlfn.XLOOKUP(D1273,Productos[ID_Producto],Productos[Nombre_Producto])</f>
        <v>Lentejas</v>
      </c>
      <c r="I1273" s="17">
        <f t="array" ref="I1273">_xlfn.XLOOKUP(D1273,Productos[ID_Producto],Productos[Precio_Unitario])</f>
        <v>3.25</v>
      </c>
      <c r="J1273" s="17">
        <f t="shared" si="1"/>
        <v>9.75</v>
      </c>
      <c r="K1273" s="16" t="str">
        <f t="array" ref="K1273">_xlfn.XLOOKUP(C1273,Clientes[ID_Cliente],Clientes[Provincia])</f>
        <v>Córdoba</v>
      </c>
      <c r="L1273" s="16" t="str">
        <f t="array" ref="L1273">CONCATENATE(_xlfn.XLOOKUP(C1273,Clientes[ID_Cliente],Clientes[Provincia]),", Argentina")</f>
        <v>Córdoba, Argentina</v>
      </c>
      <c r="M1273" s="20" t="str">
        <f t="array" ref="M1273">_xlfn.XLOOKUP(F1273,Metodos_De_Pago[ID_Metodo],Metodos_De_Pago[Metodo])</f>
        <v>Efectivo</v>
      </c>
      <c r="N1273" s="20" t="str">
        <f t="shared" si="2"/>
        <v>2024 07</v>
      </c>
    </row>
    <row r="1274" ht="22.5" customHeight="1">
      <c r="A1274" s="12">
        <f>IFERROR(__xludf.DUMMYFUNCTION("""COMPUTED_VALUE"""),2902.0)</f>
        <v>2902</v>
      </c>
      <c r="B1274" s="13">
        <f>IFERROR(__xludf.DUMMYFUNCTION("""COMPUTED_VALUE"""),45491.0)</f>
        <v>45491</v>
      </c>
      <c r="C1274" s="12">
        <f>IFERROR(__xludf.DUMMYFUNCTION("""COMPUTED_VALUE"""),325.0)</f>
        <v>325</v>
      </c>
      <c r="D1274" s="12">
        <f>IFERROR(__xludf.DUMMYFUNCTION("""COMPUTED_VALUE"""),32.0)</f>
        <v>32</v>
      </c>
      <c r="E1274" s="12">
        <f>IFERROR(__xludf.DUMMYFUNCTION("""COMPUTED_VALUE"""),3.0)</f>
        <v>3</v>
      </c>
      <c r="F1274" s="12">
        <f>IFERROR(__xludf.DUMMYFUNCTION("""COMPUTED_VALUE"""),5.0)</f>
        <v>5</v>
      </c>
      <c r="G1274" s="15" t="str">
        <f>IFERROR(__xludf.DUMMYFUNCTION("""COMPUTED_VALUE"""),"Completa")</f>
        <v>Completa</v>
      </c>
      <c r="H1274" s="16" t="str">
        <f t="array" ref="H1274">_xlfn.XLOOKUP(D1274,Productos[ID_Producto],Productos[Nombre_Producto])</f>
        <v>Galletitas de chocolate</v>
      </c>
      <c r="I1274" s="17">
        <f t="array" ref="I1274">_xlfn.XLOOKUP(D1274,Productos[ID_Producto],Productos[Precio_Unitario])</f>
        <v>6.25</v>
      </c>
      <c r="J1274" s="17">
        <f t="shared" si="1"/>
        <v>18.75</v>
      </c>
      <c r="K1274" s="16" t="str">
        <f t="array" ref="K1274">_xlfn.XLOOKUP(C1274,Clientes[ID_Cliente],Clientes[Provincia])</f>
        <v>Chaco</v>
      </c>
      <c r="L1274" s="16" t="str">
        <f t="array" ref="L1274">CONCATENATE(_xlfn.XLOOKUP(C1274,Clientes[ID_Cliente],Clientes[Provincia]),", Argentina")</f>
        <v>Chaco, Argentina</v>
      </c>
      <c r="M1274" s="20" t="str">
        <f t="array" ref="M1274">_xlfn.XLOOKUP(F1274,Metodos_De_Pago[ID_Metodo],Metodos_De_Pago[Metodo])</f>
        <v>Transferencia</v>
      </c>
      <c r="N1274" s="20" t="str">
        <f t="shared" si="2"/>
        <v>2024 07</v>
      </c>
    </row>
    <row r="1275" ht="22.5" customHeight="1">
      <c r="A1275" s="12">
        <f>IFERROR(__xludf.DUMMYFUNCTION("""COMPUTED_VALUE"""),2474.0)</f>
        <v>2474</v>
      </c>
      <c r="B1275" s="13">
        <f>IFERROR(__xludf.DUMMYFUNCTION("""COMPUTED_VALUE"""),45492.0)</f>
        <v>45492</v>
      </c>
      <c r="C1275" s="12">
        <f>IFERROR(__xludf.DUMMYFUNCTION("""COMPUTED_VALUE"""),188.0)</f>
        <v>188</v>
      </c>
      <c r="D1275" s="12">
        <f>IFERROR(__xludf.DUMMYFUNCTION("""COMPUTED_VALUE"""),19.0)</f>
        <v>19</v>
      </c>
      <c r="E1275" s="12">
        <f>IFERROR(__xludf.DUMMYFUNCTION("""COMPUTED_VALUE"""),3.0)</f>
        <v>3</v>
      </c>
      <c r="F1275" s="12">
        <f>IFERROR(__xludf.DUMMYFUNCTION("""COMPUTED_VALUE"""),4.0)</f>
        <v>4</v>
      </c>
      <c r="G1275" s="15" t="str">
        <f>IFERROR(__xludf.DUMMYFUNCTION("""COMPUTED_VALUE"""),"Pendiente")</f>
        <v>Pendiente</v>
      </c>
      <c r="H1275" s="16" t="str">
        <f t="array" ref="H1275">_xlfn.XLOOKUP(D1275,Productos[ID_Producto],Productos[Nombre_Producto])</f>
        <v>Tomates</v>
      </c>
      <c r="I1275" s="17">
        <f t="array" ref="I1275">_xlfn.XLOOKUP(D1275,Productos[ID_Producto],Productos[Precio_Unitario])</f>
        <v>6.54</v>
      </c>
      <c r="J1275" s="17">
        <f t="shared" si="1"/>
        <v>19.62</v>
      </c>
      <c r="K1275" s="16" t="str">
        <f t="array" ref="K1275">_xlfn.XLOOKUP(C1275,Clientes[ID_Cliente],Clientes[Provincia])</f>
        <v>San Luis</v>
      </c>
      <c r="L1275" s="16" t="str">
        <f t="array" ref="L1275">CONCATENATE(_xlfn.XLOOKUP(C1275,Clientes[ID_Cliente],Clientes[Provincia]),", Argentina")</f>
        <v>San Luis, Argentina</v>
      </c>
      <c r="M1275" s="20" t="str">
        <f t="array" ref="M1275">_xlfn.XLOOKUP(F1275,Metodos_De_Pago[ID_Metodo],Metodos_De_Pago[Metodo])</f>
        <v>Mercado Pago</v>
      </c>
      <c r="N1275" s="20" t="str">
        <f t="shared" si="2"/>
        <v>2024 07</v>
      </c>
    </row>
    <row r="1276" ht="22.5" customHeight="1">
      <c r="A1276" s="12">
        <f>IFERROR(__xludf.DUMMYFUNCTION("""COMPUTED_VALUE"""),500.0)</f>
        <v>500</v>
      </c>
      <c r="B1276" s="13">
        <f>IFERROR(__xludf.DUMMYFUNCTION("""COMPUTED_VALUE"""),45493.0)</f>
        <v>45493</v>
      </c>
      <c r="C1276" s="12">
        <f>IFERROR(__xludf.DUMMYFUNCTION("""COMPUTED_VALUE"""),175.0)</f>
        <v>175</v>
      </c>
      <c r="D1276" s="12">
        <f>IFERROR(__xludf.DUMMYFUNCTION("""COMPUTED_VALUE"""),35.0)</f>
        <v>35</v>
      </c>
      <c r="E1276" s="12">
        <f>IFERROR(__xludf.DUMMYFUNCTION("""COMPUTED_VALUE"""),3.0)</f>
        <v>3</v>
      </c>
      <c r="F1276" s="12">
        <f>IFERROR(__xludf.DUMMYFUNCTION("""COMPUTED_VALUE"""),5.0)</f>
        <v>5</v>
      </c>
      <c r="G1276" s="15" t="str">
        <f>IFERROR(__xludf.DUMMYFUNCTION("""COMPUTED_VALUE"""),"Pendiente")</f>
        <v>Pendiente</v>
      </c>
      <c r="H1276" s="16" t="str">
        <f t="array" ref="H1276">_xlfn.XLOOKUP(D1276,Productos[ID_Producto],Productos[Nombre_Producto])</f>
        <v>Arroz</v>
      </c>
      <c r="I1276" s="17">
        <f t="array" ref="I1276">_xlfn.XLOOKUP(D1276,Productos[ID_Producto],Productos[Precio_Unitario])</f>
        <v>4.25</v>
      </c>
      <c r="J1276" s="17">
        <f t="shared" si="1"/>
        <v>12.75</v>
      </c>
      <c r="K1276" s="16" t="str">
        <f t="array" ref="K1276">_xlfn.XLOOKUP(C1276,Clientes[ID_Cliente],Clientes[Provincia])</f>
        <v>Buenos Aires</v>
      </c>
      <c r="L1276" s="16" t="str">
        <f t="array" ref="L1276">CONCATENATE(_xlfn.XLOOKUP(C1276,Clientes[ID_Cliente],Clientes[Provincia]),", Argentina")</f>
        <v>Buenos Aires, Argentina</v>
      </c>
      <c r="M1276" s="20" t="str">
        <f t="array" ref="M1276">_xlfn.XLOOKUP(F1276,Metodos_De_Pago[ID_Metodo],Metodos_De_Pago[Metodo])</f>
        <v>Transferencia</v>
      </c>
      <c r="N1276" s="20" t="str">
        <f t="shared" si="2"/>
        <v>2024 07</v>
      </c>
    </row>
    <row r="1277" ht="22.5" customHeight="1">
      <c r="A1277" s="12">
        <f>IFERROR(__xludf.DUMMYFUNCTION("""COMPUTED_VALUE"""),367.0)</f>
        <v>367</v>
      </c>
      <c r="B1277" s="13">
        <f>IFERROR(__xludf.DUMMYFUNCTION("""COMPUTED_VALUE"""),45494.0)</f>
        <v>45494</v>
      </c>
      <c r="C1277" s="12">
        <f>IFERROR(__xludf.DUMMYFUNCTION("""COMPUTED_VALUE"""),163.0)</f>
        <v>163</v>
      </c>
      <c r="D1277" s="12">
        <f>IFERROR(__xludf.DUMMYFUNCTION("""COMPUTED_VALUE"""),6.0)</f>
        <v>6</v>
      </c>
      <c r="E1277" s="12">
        <f>IFERROR(__xludf.DUMMYFUNCTION("""COMPUTED_VALUE"""),3.0)</f>
        <v>3</v>
      </c>
      <c r="F1277" s="12">
        <f>IFERROR(__xludf.DUMMYFUNCTION("""COMPUTED_VALUE"""),4.0)</f>
        <v>4</v>
      </c>
      <c r="G1277" s="15" t="str">
        <f>IFERROR(__xludf.DUMMYFUNCTION("""COMPUTED_VALUE"""),"Completa")</f>
        <v>Completa</v>
      </c>
      <c r="H1277" s="16" t="str">
        <f t="array" ref="H1277">_xlfn.XLOOKUP(D1277,Productos[ID_Producto],Productos[Nombre_Producto])</f>
        <v>Asado</v>
      </c>
      <c r="I1277" s="17">
        <f t="array" ref="I1277">_xlfn.XLOOKUP(D1277,Productos[ID_Producto],Productos[Precio_Unitario])</f>
        <v>28.56</v>
      </c>
      <c r="J1277" s="17">
        <f t="shared" si="1"/>
        <v>85.68</v>
      </c>
      <c r="K1277" s="16" t="str">
        <f t="array" ref="K1277">_xlfn.XLOOKUP(C1277,Clientes[ID_Cliente],Clientes[Provincia])</f>
        <v>Buenos Aires</v>
      </c>
      <c r="L1277" s="16" t="str">
        <f t="array" ref="L1277">CONCATENATE(_xlfn.XLOOKUP(C1277,Clientes[ID_Cliente],Clientes[Provincia]),", Argentina")</f>
        <v>Buenos Aires, Argentina</v>
      </c>
      <c r="M1277" s="20" t="str">
        <f t="array" ref="M1277">_xlfn.XLOOKUP(F1277,Metodos_De_Pago[ID_Metodo],Metodos_De_Pago[Metodo])</f>
        <v>Mercado Pago</v>
      </c>
      <c r="N1277" s="20" t="str">
        <f t="shared" si="2"/>
        <v>2024 07</v>
      </c>
    </row>
    <row r="1278" ht="22.5" customHeight="1">
      <c r="A1278" s="12">
        <f>IFERROR(__xludf.DUMMYFUNCTION("""COMPUTED_VALUE"""),666.0)</f>
        <v>666</v>
      </c>
      <c r="B1278" s="13">
        <f>IFERROR(__xludf.DUMMYFUNCTION("""COMPUTED_VALUE"""),45494.0)</f>
        <v>45494</v>
      </c>
      <c r="C1278" s="12">
        <f>IFERROR(__xludf.DUMMYFUNCTION("""COMPUTED_VALUE"""),20.0)</f>
        <v>20</v>
      </c>
      <c r="D1278" s="12">
        <f>IFERROR(__xludf.DUMMYFUNCTION("""COMPUTED_VALUE"""),10.0)</f>
        <v>10</v>
      </c>
      <c r="E1278" s="12">
        <f>IFERROR(__xludf.DUMMYFUNCTION("""COMPUTED_VALUE"""),3.0)</f>
        <v>3</v>
      </c>
      <c r="F1278" s="12">
        <f>IFERROR(__xludf.DUMMYFUNCTION("""COMPUTED_VALUE"""),3.0)</f>
        <v>3</v>
      </c>
      <c r="G1278" s="15" t="str">
        <f>IFERROR(__xludf.DUMMYFUNCTION("""COMPUTED_VALUE"""),"Completa")</f>
        <v>Completa</v>
      </c>
      <c r="H1278" s="16" t="str">
        <f t="array" ref="H1278">_xlfn.XLOOKUP(D1278,Productos[ID_Producto],Productos[Nombre_Producto])</f>
        <v>Costilla de cerdo</v>
      </c>
      <c r="I1278" s="17">
        <f t="array" ref="I1278">_xlfn.XLOOKUP(D1278,Productos[ID_Producto],Productos[Precio_Unitario])</f>
        <v>14.25</v>
      </c>
      <c r="J1278" s="17">
        <f t="shared" si="1"/>
        <v>42.75</v>
      </c>
      <c r="K1278" s="16" t="str">
        <f t="array" ref="K1278">_xlfn.XLOOKUP(C1278,Clientes[ID_Cliente],Clientes[Provincia])</f>
        <v>San Luis</v>
      </c>
      <c r="L1278" s="16" t="str">
        <f t="array" ref="L1278">CONCATENATE(_xlfn.XLOOKUP(C1278,Clientes[ID_Cliente],Clientes[Provincia]),", Argentina")</f>
        <v>San Luis, Argentina</v>
      </c>
      <c r="M1278" s="20" t="str">
        <f t="array" ref="M1278">_xlfn.XLOOKUP(F1278,Metodos_De_Pago[ID_Metodo],Metodos_De_Pago[Metodo])</f>
        <v>Tarjeta de Débito</v>
      </c>
      <c r="N1278" s="20" t="str">
        <f t="shared" si="2"/>
        <v>2024 07</v>
      </c>
    </row>
    <row r="1279" ht="22.5" customHeight="1">
      <c r="A1279" s="12">
        <f>IFERROR(__xludf.DUMMYFUNCTION("""COMPUTED_VALUE"""),1034.0)</f>
        <v>1034</v>
      </c>
      <c r="B1279" s="13">
        <f>IFERROR(__xludf.DUMMYFUNCTION("""COMPUTED_VALUE"""),45495.0)</f>
        <v>45495</v>
      </c>
      <c r="C1279" s="12">
        <f>IFERROR(__xludf.DUMMYFUNCTION("""COMPUTED_VALUE"""),125.0)</f>
        <v>125</v>
      </c>
      <c r="D1279" s="12">
        <f>IFERROR(__xludf.DUMMYFUNCTION("""COMPUTED_VALUE"""),26.0)</f>
        <v>26</v>
      </c>
      <c r="E1279" s="12">
        <f>IFERROR(__xludf.DUMMYFUNCTION("""COMPUTED_VALUE"""),3.0)</f>
        <v>3</v>
      </c>
      <c r="F1279" s="12">
        <f>IFERROR(__xludf.DUMMYFUNCTION("""COMPUTED_VALUE"""),1.0)</f>
        <v>1</v>
      </c>
      <c r="G1279" s="15" t="str">
        <f>IFERROR(__xludf.DUMMYFUNCTION("""COMPUTED_VALUE"""),"Pendiente")</f>
        <v>Pendiente</v>
      </c>
      <c r="H1279" s="16" t="str">
        <f t="array" ref="H1279">_xlfn.XLOOKUP(D1279,Productos[ID_Producto],Productos[Nombre_Producto])</f>
        <v>Hamburgesas congeladas</v>
      </c>
      <c r="I1279" s="17">
        <f t="array" ref="I1279">_xlfn.XLOOKUP(D1279,Productos[ID_Producto],Productos[Precio_Unitario])</f>
        <v>9.54</v>
      </c>
      <c r="J1279" s="17">
        <f t="shared" si="1"/>
        <v>28.62</v>
      </c>
      <c r="K1279" s="16" t="str">
        <f t="array" ref="K1279">_xlfn.XLOOKUP(C1279,Clientes[ID_Cliente],Clientes[Provincia])</f>
        <v>Neuquén</v>
      </c>
      <c r="L1279" s="16" t="str">
        <f t="array" ref="L1279">CONCATENATE(_xlfn.XLOOKUP(C1279,Clientes[ID_Cliente],Clientes[Provincia]),", Argentina")</f>
        <v>Neuquén, Argentina</v>
      </c>
      <c r="M1279" s="20" t="str">
        <f t="array" ref="M1279">_xlfn.XLOOKUP(F1279,Metodos_De_Pago[ID_Metodo],Metodos_De_Pago[Metodo])</f>
        <v>Efectivo</v>
      </c>
      <c r="N1279" s="20" t="str">
        <f t="shared" si="2"/>
        <v>2024 07</v>
      </c>
    </row>
    <row r="1280" ht="22.5" customHeight="1">
      <c r="A1280" s="12">
        <f>IFERROR(__xludf.DUMMYFUNCTION("""COMPUTED_VALUE"""),953.0)</f>
        <v>953</v>
      </c>
      <c r="B1280" s="13">
        <f>IFERROR(__xludf.DUMMYFUNCTION("""COMPUTED_VALUE"""),45497.0)</f>
        <v>45497</v>
      </c>
      <c r="C1280" s="12">
        <f>IFERROR(__xludf.DUMMYFUNCTION("""COMPUTED_VALUE"""),134.0)</f>
        <v>134</v>
      </c>
      <c r="D1280" s="12">
        <f>IFERROR(__xludf.DUMMYFUNCTION("""COMPUTED_VALUE"""),33.0)</f>
        <v>33</v>
      </c>
      <c r="E1280" s="12">
        <f>IFERROR(__xludf.DUMMYFUNCTION("""COMPUTED_VALUE"""),3.0)</f>
        <v>3</v>
      </c>
      <c r="F1280" s="12">
        <f>IFERROR(__xludf.DUMMYFUNCTION("""COMPUTED_VALUE"""),3.0)</f>
        <v>3</v>
      </c>
      <c r="G1280" s="15" t="str">
        <f>IFERROR(__xludf.DUMMYFUNCTION("""COMPUTED_VALUE"""),"Completa")</f>
        <v>Completa</v>
      </c>
      <c r="H1280" s="16" t="str">
        <f t="array" ref="H1280">_xlfn.XLOOKUP(D1280,Productos[ID_Producto],Productos[Nombre_Producto])</f>
        <v>Papas chips</v>
      </c>
      <c r="I1280" s="17">
        <f t="array" ref="I1280">_xlfn.XLOOKUP(D1280,Productos[ID_Producto],Productos[Precio_Unitario])</f>
        <v>8.54</v>
      </c>
      <c r="J1280" s="17">
        <f t="shared" si="1"/>
        <v>25.62</v>
      </c>
      <c r="K1280" s="16" t="str">
        <f t="array" ref="K1280">_xlfn.XLOOKUP(C1280,Clientes[ID_Cliente],Clientes[Provincia])</f>
        <v>San Luis</v>
      </c>
      <c r="L1280" s="16" t="str">
        <f t="array" ref="L1280">CONCATENATE(_xlfn.XLOOKUP(C1280,Clientes[ID_Cliente],Clientes[Provincia]),", Argentina")</f>
        <v>San Luis, Argentina</v>
      </c>
      <c r="M1280" s="20" t="str">
        <f t="array" ref="M1280">_xlfn.XLOOKUP(F1280,Metodos_De_Pago[ID_Metodo],Metodos_De_Pago[Metodo])</f>
        <v>Tarjeta de Débito</v>
      </c>
      <c r="N1280" s="20" t="str">
        <f t="shared" si="2"/>
        <v>2024 07</v>
      </c>
    </row>
    <row r="1281" ht="22.5" customHeight="1">
      <c r="A1281" s="12">
        <f>IFERROR(__xludf.DUMMYFUNCTION("""COMPUTED_VALUE"""),1314.0)</f>
        <v>1314</v>
      </c>
      <c r="B1281" s="13">
        <f>IFERROR(__xludf.DUMMYFUNCTION("""COMPUTED_VALUE"""),45497.0)</f>
        <v>45497</v>
      </c>
      <c r="C1281" s="12">
        <f>IFERROR(__xludf.DUMMYFUNCTION("""COMPUTED_VALUE"""),290.0)</f>
        <v>290</v>
      </c>
      <c r="D1281" s="12">
        <f>IFERROR(__xludf.DUMMYFUNCTION("""COMPUTED_VALUE"""),6.0)</f>
        <v>6</v>
      </c>
      <c r="E1281" s="12">
        <f>IFERROR(__xludf.DUMMYFUNCTION("""COMPUTED_VALUE"""),3.0)</f>
        <v>3</v>
      </c>
      <c r="F1281" s="12">
        <f>IFERROR(__xludf.DUMMYFUNCTION("""COMPUTED_VALUE"""),2.0)</f>
        <v>2</v>
      </c>
      <c r="G1281" s="15" t="str">
        <f>IFERROR(__xludf.DUMMYFUNCTION("""COMPUTED_VALUE"""),"Completa")</f>
        <v>Completa</v>
      </c>
      <c r="H1281" s="16" t="str">
        <f t="array" ref="H1281">_xlfn.XLOOKUP(D1281,Productos[ID_Producto],Productos[Nombre_Producto])</f>
        <v>Asado</v>
      </c>
      <c r="I1281" s="17">
        <f t="array" ref="I1281">_xlfn.XLOOKUP(D1281,Productos[ID_Producto],Productos[Precio_Unitario])</f>
        <v>28.56</v>
      </c>
      <c r="J1281" s="17">
        <f t="shared" si="1"/>
        <v>85.68</v>
      </c>
      <c r="K1281" s="16" t="str">
        <f t="array" ref="K1281">_xlfn.XLOOKUP(C1281,Clientes[ID_Cliente],Clientes[Provincia])</f>
        <v>Buenos Aires</v>
      </c>
      <c r="L1281" s="16" t="str">
        <f t="array" ref="L1281">CONCATENATE(_xlfn.XLOOKUP(C1281,Clientes[ID_Cliente],Clientes[Provincia]),", Argentina")</f>
        <v>Buenos Aires, Argentina</v>
      </c>
      <c r="M1281" s="20" t="str">
        <f t="array" ref="M1281">_xlfn.XLOOKUP(F1281,Metodos_De_Pago[ID_Metodo],Metodos_De_Pago[Metodo])</f>
        <v>Tarjeta de Crédito</v>
      </c>
      <c r="N1281" s="20" t="str">
        <f t="shared" si="2"/>
        <v>2024 07</v>
      </c>
    </row>
    <row r="1282" ht="22.5" customHeight="1">
      <c r="A1282" s="12">
        <f>IFERROR(__xludf.DUMMYFUNCTION("""COMPUTED_VALUE"""),2277.0)</f>
        <v>2277</v>
      </c>
      <c r="B1282" s="13">
        <f>IFERROR(__xludf.DUMMYFUNCTION("""COMPUTED_VALUE"""),45497.0)</f>
        <v>45497</v>
      </c>
      <c r="C1282" s="12">
        <f>IFERROR(__xludf.DUMMYFUNCTION("""COMPUTED_VALUE"""),144.0)</f>
        <v>144</v>
      </c>
      <c r="D1282" s="12">
        <f>IFERROR(__xludf.DUMMYFUNCTION("""COMPUTED_VALUE"""),36.0)</f>
        <v>36</v>
      </c>
      <c r="E1282" s="12">
        <f>IFERROR(__xludf.DUMMYFUNCTION("""COMPUTED_VALUE"""),3.0)</f>
        <v>3</v>
      </c>
      <c r="F1282" s="12">
        <f>IFERROR(__xludf.DUMMYFUNCTION("""COMPUTED_VALUE"""),2.0)</f>
        <v>2</v>
      </c>
      <c r="G1282" s="15" t="str">
        <f>IFERROR(__xludf.DUMMYFUNCTION("""COMPUTED_VALUE"""),"Completa")</f>
        <v>Completa</v>
      </c>
      <c r="H1282" s="16" t="str">
        <f t="array" ref="H1282">_xlfn.XLOOKUP(D1282,Productos[ID_Producto],Productos[Nombre_Producto])</f>
        <v>Lentejas</v>
      </c>
      <c r="I1282" s="17">
        <f t="array" ref="I1282">_xlfn.XLOOKUP(D1282,Productos[ID_Producto],Productos[Precio_Unitario])</f>
        <v>3.25</v>
      </c>
      <c r="J1282" s="17">
        <f t="shared" si="1"/>
        <v>9.75</v>
      </c>
      <c r="K1282" s="16" t="str">
        <f t="array" ref="K1282">_xlfn.XLOOKUP(C1282,Clientes[ID_Cliente],Clientes[Provincia])</f>
        <v>Chaco</v>
      </c>
      <c r="L1282" s="16" t="str">
        <f t="array" ref="L1282">CONCATENATE(_xlfn.XLOOKUP(C1282,Clientes[ID_Cliente],Clientes[Provincia]),", Argentina")</f>
        <v>Chaco, Argentina</v>
      </c>
      <c r="M1282" s="20" t="str">
        <f t="array" ref="M1282">_xlfn.XLOOKUP(F1282,Metodos_De_Pago[ID_Metodo],Metodos_De_Pago[Metodo])</f>
        <v>Tarjeta de Crédito</v>
      </c>
      <c r="N1282" s="20" t="str">
        <f t="shared" si="2"/>
        <v>2024 07</v>
      </c>
    </row>
    <row r="1283" ht="22.5" customHeight="1">
      <c r="A1283" s="12">
        <f>IFERROR(__xludf.DUMMYFUNCTION("""COMPUTED_VALUE"""),2725.0)</f>
        <v>2725</v>
      </c>
      <c r="B1283" s="13">
        <f>IFERROR(__xludf.DUMMYFUNCTION("""COMPUTED_VALUE"""),45497.0)</f>
        <v>45497</v>
      </c>
      <c r="C1283" s="12">
        <f>IFERROR(__xludf.DUMMYFUNCTION("""COMPUTED_VALUE"""),256.0)</f>
        <v>256</v>
      </c>
      <c r="D1283" s="12">
        <f>IFERROR(__xludf.DUMMYFUNCTION("""COMPUTED_VALUE"""),6.0)</f>
        <v>6</v>
      </c>
      <c r="E1283" s="12">
        <f>IFERROR(__xludf.DUMMYFUNCTION("""COMPUTED_VALUE"""),3.0)</f>
        <v>3</v>
      </c>
      <c r="F1283" s="12">
        <f>IFERROR(__xludf.DUMMYFUNCTION("""COMPUTED_VALUE"""),1.0)</f>
        <v>1</v>
      </c>
      <c r="G1283" s="15" t="str">
        <f>IFERROR(__xludf.DUMMYFUNCTION("""COMPUTED_VALUE"""),"Completa")</f>
        <v>Completa</v>
      </c>
      <c r="H1283" s="16" t="str">
        <f t="array" ref="H1283">_xlfn.XLOOKUP(D1283,Productos[ID_Producto],Productos[Nombre_Producto])</f>
        <v>Asado</v>
      </c>
      <c r="I1283" s="17">
        <f t="array" ref="I1283">_xlfn.XLOOKUP(D1283,Productos[ID_Producto],Productos[Precio_Unitario])</f>
        <v>28.56</v>
      </c>
      <c r="J1283" s="17">
        <f t="shared" si="1"/>
        <v>85.68</v>
      </c>
      <c r="K1283" s="16" t="str">
        <f t="array" ref="K1283">_xlfn.XLOOKUP(C1283,Clientes[ID_Cliente],Clientes[Provincia])</f>
        <v>Buenos Aires</v>
      </c>
      <c r="L1283" s="16" t="str">
        <f t="array" ref="L1283">CONCATENATE(_xlfn.XLOOKUP(C1283,Clientes[ID_Cliente],Clientes[Provincia]),", Argentina")</f>
        <v>Buenos Aires, Argentina</v>
      </c>
      <c r="M1283" s="20" t="str">
        <f t="array" ref="M1283">_xlfn.XLOOKUP(F1283,Metodos_De_Pago[ID_Metodo],Metodos_De_Pago[Metodo])</f>
        <v>Efectivo</v>
      </c>
      <c r="N1283" s="20" t="str">
        <f t="shared" si="2"/>
        <v>2024 07</v>
      </c>
    </row>
    <row r="1284" ht="22.5" customHeight="1">
      <c r="A1284" s="12">
        <f>IFERROR(__xludf.DUMMYFUNCTION("""COMPUTED_VALUE"""),1353.0)</f>
        <v>1353</v>
      </c>
      <c r="B1284" s="13">
        <f>IFERROR(__xludf.DUMMYFUNCTION("""COMPUTED_VALUE"""),45498.0)</f>
        <v>45498</v>
      </c>
      <c r="C1284" s="12">
        <f>IFERROR(__xludf.DUMMYFUNCTION("""COMPUTED_VALUE"""),317.0)</f>
        <v>317</v>
      </c>
      <c r="D1284" s="12">
        <f>IFERROR(__xludf.DUMMYFUNCTION("""COMPUTED_VALUE"""),34.0)</f>
        <v>34</v>
      </c>
      <c r="E1284" s="12">
        <f>IFERROR(__xludf.DUMMYFUNCTION("""COMPUTED_VALUE"""),3.0)</f>
        <v>3</v>
      </c>
      <c r="F1284" s="12">
        <f>IFERROR(__xludf.DUMMYFUNCTION("""COMPUTED_VALUE"""),1.0)</f>
        <v>1</v>
      </c>
      <c r="G1284" s="15" t="str">
        <f>IFERROR(__xludf.DUMMYFUNCTION("""COMPUTED_VALUE"""),"Completa")</f>
        <v>Completa</v>
      </c>
      <c r="H1284" s="16" t="str">
        <f t="array" ref="H1284">_xlfn.XLOOKUP(D1284,Productos[ID_Producto],Productos[Nombre_Producto])</f>
        <v>Maníes</v>
      </c>
      <c r="I1284" s="17">
        <f t="array" ref="I1284">_xlfn.XLOOKUP(D1284,Productos[ID_Producto],Productos[Precio_Unitario])</f>
        <v>5.45</v>
      </c>
      <c r="J1284" s="17">
        <f t="shared" si="1"/>
        <v>16.35</v>
      </c>
      <c r="K1284" s="16" t="str">
        <f t="array" ref="K1284">_xlfn.XLOOKUP(C1284,Clientes[ID_Cliente],Clientes[Provincia])</f>
        <v>Chaco</v>
      </c>
      <c r="L1284" s="16" t="str">
        <f t="array" ref="L1284">CONCATENATE(_xlfn.XLOOKUP(C1284,Clientes[ID_Cliente],Clientes[Provincia]),", Argentina")</f>
        <v>Chaco, Argentina</v>
      </c>
      <c r="M1284" s="20" t="str">
        <f t="array" ref="M1284">_xlfn.XLOOKUP(F1284,Metodos_De_Pago[ID_Metodo],Metodos_De_Pago[Metodo])</f>
        <v>Efectivo</v>
      </c>
      <c r="N1284" s="20" t="str">
        <f t="shared" si="2"/>
        <v>2024 07</v>
      </c>
    </row>
    <row r="1285" ht="22.5" customHeight="1">
      <c r="A1285" s="12">
        <f>IFERROR(__xludf.DUMMYFUNCTION("""COMPUTED_VALUE"""),1744.0)</f>
        <v>1744</v>
      </c>
      <c r="B1285" s="13">
        <f>IFERROR(__xludf.DUMMYFUNCTION("""COMPUTED_VALUE"""),45498.0)</f>
        <v>45498</v>
      </c>
      <c r="C1285" s="12">
        <f>IFERROR(__xludf.DUMMYFUNCTION("""COMPUTED_VALUE"""),314.0)</f>
        <v>314</v>
      </c>
      <c r="D1285" s="12">
        <f>IFERROR(__xludf.DUMMYFUNCTION("""COMPUTED_VALUE"""),34.0)</f>
        <v>34</v>
      </c>
      <c r="E1285" s="12">
        <f>IFERROR(__xludf.DUMMYFUNCTION("""COMPUTED_VALUE"""),3.0)</f>
        <v>3</v>
      </c>
      <c r="F1285" s="12">
        <f>IFERROR(__xludf.DUMMYFUNCTION("""COMPUTED_VALUE"""),5.0)</f>
        <v>5</v>
      </c>
      <c r="G1285" s="15" t="str">
        <f>IFERROR(__xludf.DUMMYFUNCTION("""COMPUTED_VALUE"""),"Completa")</f>
        <v>Completa</v>
      </c>
      <c r="H1285" s="16" t="str">
        <f t="array" ref="H1285">_xlfn.XLOOKUP(D1285,Productos[ID_Producto],Productos[Nombre_Producto])</f>
        <v>Maníes</v>
      </c>
      <c r="I1285" s="17">
        <f t="array" ref="I1285">_xlfn.XLOOKUP(D1285,Productos[ID_Producto],Productos[Precio_Unitario])</f>
        <v>5.45</v>
      </c>
      <c r="J1285" s="17">
        <f t="shared" si="1"/>
        <v>16.35</v>
      </c>
      <c r="K1285" s="16" t="str">
        <f t="array" ref="K1285">_xlfn.XLOOKUP(C1285,Clientes[ID_Cliente],Clientes[Provincia])</f>
        <v>Neuquén</v>
      </c>
      <c r="L1285" s="16" t="str">
        <f t="array" ref="L1285">CONCATENATE(_xlfn.XLOOKUP(C1285,Clientes[ID_Cliente],Clientes[Provincia]),", Argentina")</f>
        <v>Neuquén, Argentina</v>
      </c>
      <c r="M1285" s="20" t="str">
        <f t="array" ref="M1285">_xlfn.XLOOKUP(F1285,Metodos_De_Pago[ID_Metodo],Metodos_De_Pago[Metodo])</f>
        <v>Transferencia</v>
      </c>
      <c r="N1285" s="20" t="str">
        <f t="shared" si="2"/>
        <v>2024 07</v>
      </c>
    </row>
    <row r="1286" ht="22.5" customHeight="1">
      <c r="A1286" s="12">
        <f>IFERROR(__xludf.DUMMYFUNCTION("""COMPUTED_VALUE"""),323.0)</f>
        <v>323</v>
      </c>
      <c r="B1286" s="13">
        <f>IFERROR(__xludf.DUMMYFUNCTION("""COMPUTED_VALUE"""),45499.0)</f>
        <v>45499</v>
      </c>
      <c r="C1286" s="12">
        <f>IFERROR(__xludf.DUMMYFUNCTION("""COMPUTED_VALUE"""),295.0)</f>
        <v>295</v>
      </c>
      <c r="D1286" s="12">
        <f>IFERROR(__xludf.DUMMYFUNCTION("""COMPUTED_VALUE"""),22.0)</f>
        <v>22</v>
      </c>
      <c r="E1286" s="12">
        <f>IFERROR(__xludf.DUMMYFUNCTION("""COMPUTED_VALUE"""),3.0)</f>
        <v>3</v>
      </c>
      <c r="F1286" s="12">
        <f>IFERROR(__xludf.DUMMYFUNCTION("""COMPUTED_VALUE"""),2.0)</f>
        <v>2</v>
      </c>
      <c r="G1286" s="15" t="str">
        <f>IFERROR(__xludf.DUMMYFUNCTION("""COMPUTED_VALUE"""),"Completa")</f>
        <v>Completa</v>
      </c>
      <c r="H1286" s="16" t="str">
        <f t="array" ref="H1286">_xlfn.XLOOKUP(D1286,Productos[ID_Producto],Productos[Nombre_Producto])</f>
        <v>Cebolla</v>
      </c>
      <c r="I1286" s="17">
        <f t="array" ref="I1286">_xlfn.XLOOKUP(D1286,Productos[ID_Producto],Productos[Precio_Unitario])</f>
        <v>4.21</v>
      </c>
      <c r="J1286" s="17">
        <f t="shared" si="1"/>
        <v>12.63</v>
      </c>
      <c r="K1286" s="16" t="str">
        <f t="array" ref="K1286">_xlfn.XLOOKUP(C1286,Clientes[ID_Cliente],Clientes[Provincia])</f>
        <v>San Luis</v>
      </c>
      <c r="L1286" s="16" t="str">
        <f t="array" ref="L1286">CONCATENATE(_xlfn.XLOOKUP(C1286,Clientes[ID_Cliente],Clientes[Provincia]),", Argentina")</f>
        <v>San Luis, Argentina</v>
      </c>
      <c r="M1286" s="20" t="str">
        <f t="array" ref="M1286">_xlfn.XLOOKUP(F1286,Metodos_De_Pago[ID_Metodo],Metodos_De_Pago[Metodo])</f>
        <v>Tarjeta de Crédito</v>
      </c>
      <c r="N1286" s="20" t="str">
        <f t="shared" si="2"/>
        <v>2024 07</v>
      </c>
    </row>
    <row r="1287" ht="22.5" customHeight="1">
      <c r="A1287" s="12">
        <f>IFERROR(__xludf.DUMMYFUNCTION("""COMPUTED_VALUE"""),515.0)</f>
        <v>515</v>
      </c>
      <c r="B1287" s="13">
        <f>IFERROR(__xludf.DUMMYFUNCTION("""COMPUTED_VALUE"""),45499.0)</f>
        <v>45499</v>
      </c>
      <c r="C1287" s="12">
        <f>IFERROR(__xludf.DUMMYFUNCTION("""COMPUTED_VALUE"""),35.0)</f>
        <v>35</v>
      </c>
      <c r="D1287" s="12">
        <f>IFERROR(__xludf.DUMMYFUNCTION("""COMPUTED_VALUE"""),13.0)</f>
        <v>13</v>
      </c>
      <c r="E1287" s="12">
        <f>IFERROR(__xludf.DUMMYFUNCTION("""COMPUTED_VALUE"""),3.0)</f>
        <v>3</v>
      </c>
      <c r="F1287" s="12">
        <f>IFERROR(__xludf.DUMMYFUNCTION("""COMPUTED_VALUE"""),4.0)</f>
        <v>4</v>
      </c>
      <c r="G1287" s="15" t="str">
        <f>IFERROR(__xludf.DUMMYFUNCTION("""COMPUTED_VALUE"""),"Completa")</f>
        <v>Completa</v>
      </c>
      <c r="H1287" s="16" t="str">
        <f t="array" ref="H1287">_xlfn.XLOOKUP(D1287,Productos[ID_Producto],Productos[Nombre_Producto])</f>
        <v>Pan integral</v>
      </c>
      <c r="I1287" s="17">
        <f t="array" ref="I1287">_xlfn.XLOOKUP(D1287,Productos[ID_Producto],Productos[Precio_Unitario])</f>
        <v>12.56</v>
      </c>
      <c r="J1287" s="17">
        <f t="shared" si="1"/>
        <v>37.68</v>
      </c>
      <c r="K1287" s="16" t="str">
        <f t="array" ref="K1287">_xlfn.XLOOKUP(C1287,Clientes[ID_Cliente],Clientes[Provincia])</f>
        <v>Salta</v>
      </c>
      <c r="L1287" s="16" t="str">
        <f t="array" ref="L1287">CONCATENATE(_xlfn.XLOOKUP(C1287,Clientes[ID_Cliente],Clientes[Provincia]),", Argentina")</f>
        <v>Salta, Argentina</v>
      </c>
      <c r="M1287" s="20" t="str">
        <f t="array" ref="M1287">_xlfn.XLOOKUP(F1287,Metodos_De_Pago[ID_Metodo],Metodos_De_Pago[Metodo])</f>
        <v>Mercado Pago</v>
      </c>
      <c r="N1287" s="20" t="str">
        <f t="shared" si="2"/>
        <v>2024 07</v>
      </c>
    </row>
    <row r="1288" ht="22.5" customHeight="1">
      <c r="A1288" s="12">
        <f>IFERROR(__xludf.DUMMYFUNCTION("""COMPUTED_VALUE"""),689.0)</f>
        <v>689</v>
      </c>
      <c r="B1288" s="13">
        <f>IFERROR(__xludf.DUMMYFUNCTION("""COMPUTED_VALUE"""),45499.0)</f>
        <v>45499</v>
      </c>
      <c r="C1288" s="12">
        <f>IFERROR(__xludf.DUMMYFUNCTION("""COMPUTED_VALUE"""),187.0)</f>
        <v>187</v>
      </c>
      <c r="D1288" s="12">
        <f>IFERROR(__xludf.DUMMYFUNCTION("""COMPUTED_VALUE"""),33.0)</f>
        <v>33</v>
      </c>
      <c r="E1288" s="12">
        <f>IFERROR(__xludf.DUMMYFUNCTION("""COMPUTED_VALUE"""),3.0)</f>
        <v>3</v>
      </c>
      <c r="F1288" s="12">
        <f>IFERROR(__xludf.DUMMYFUNCTION("""COMPUTED_VALUE"""),1.0)</f>
        <v>1</v>
      </c>
      <c r="G1288" s="15" t="str">
        <f>IFERROR(__xludf.DUMMYFUNCTION("""COMPUTED_VALUE"""),"Completa")</f>
        <v>Completa</v>
      </c>
      <c r="H1288" s="16" t="str">
        <f t="array" ref="H1288">_xlfn.XLOOKUP(D1288,Productos[ID_Producto],Productos[Nombre_Producto])</f>
        <v>Papas chips</v>
      </c>
      <c r="I1288" s="17">
        <f t="array" ref="I1288">_xlfn.XLOOKUP(D1288,Productos[ID_Producto],Productos[Precio_Unitario])</f>
        <v>8.54</v>
      </c>
      <c r="J1288" s="17">
        <f t="shared" si="1"/>
        <v>25.62</v>
      </c>
      <c r="K1288" s="16" t="str">
        <f t="array" ref="K1288">_xlfn.XLOOKUP(C1288,Clientes[ID_Cliente],Clientes[Provincia])</f>
        <v>Buenos Aires</v>
      </c>
      <c r="L1288" s="16" t="str">
        <f t="array" ref="L1288">CONCATENATE(_xlfn.XLOOKUP(C1288,Clientes[ID_Cliente],Clientes[Provincia]),", Argentina")</f>
        <v>Buenos Aires, Argentina</v>
      </c>
      <c r="M1288" s="20" t="str">
        <f t="array" ref="M1288">_xlfn.XLOOKUP(F1288,Metodos_De_Pago[ID_Metodo],Metodos_De_Pago[Metodo])</f>
        <v>Efectivo</v>
      </c>
      <c r="N1288" s="20" t="str">
        <f t="shared" si="2"/>
        <v>2024 07</v>
      </c>
    </row>
    <row r="1289" ht="22.5" customHeight="1">
      <c r="A1289" s="12">
        <f>IFERROR(__xludf.DUMMYFUNCTION("""COMPUTED_VALUE"""),2779.0)</f>
        <v>2779</v>
      </c>
      <c r="B1289" s="13">
        <f>IFERROR(__xludf.DUMMYFUNCTION("""COMPUTED_VALUE"""),45499.0)</f>
        <v>45499</v>
      </c>
      <c r="C1289" s="12">
        <f>IFERROR(__xludf.DUMMYFUNCTION("""COMPUTED_VALUE"""),237.0)</f>
        <v>237</v>
      </c>
      <c r="D1289" s="12">
        <f>IFERROR(__xludf.DUMMYFUNCTION("""COMPUTED_VALUE"""),26.0)</f>
        <v>26</v>
      </c>
      <c r="E1289" s="12">
        <f>IFERROR(__xludf.DUMMYFUNCTION("""COMPUTED_VALUE"""),3.0)</f>
        <v>3</v>
      </c>
      <c r="F1289" s="12">
        <f>IFERROR(__xludf.DUMMYFUNCTION("""COMPUTED_VALUE"""),5.0)</f>
        <v>5</v>
      </c>
      <c r="G1289" s="15" t="str">
        <f>IFERROR(__xludf.DUMMYFUNCTION("""COMPUTED_VALUE"""),"Completa")</f>
        <v>Completa</v>
      </c>
      <c r="H1289" s="16" t="str">
        <f t="array" ref="H1289">_xlfn.XLOOKUP(D1289,Productos[ID_Producto],Productos[Nombre_Producto])</f>
        <v>Hamburgesas congeladas</v>
      </c>
      <c r="I1289" s="17">
        <f t="array" ref="I1289">_xlfn.XLOOKUP(D1289,Productos[ID_Producto],Productos[Precio_Unitario])</f>
        <v>9.54</v>
      </c>
      <c r="J1289" s="17">
        <f t="shared" si="1"/>
        <v>28.62</v>
      </c>
      <c r="K1289" s="16" t="str">
        <f t="array" ref="K1289">_xlfn.XLOOKUP(C1289,Clientes[ID_Cliente],Clientes[Provincia])</f>
        <v>Buenos Aires</v>
      </c>
      <c r="L1289" s="16" t="str">
        <f t="array" ref="L1289">CONCATENATE(_xlfn.XLOOKUP(C1289,Clientes[ID_Cliente],Clientes[Provincia]),", Argentina")</f>
        <v>Buenos Aires, Argentina</v>
      </c>
      <c r="M1289" s="20" t="str">
        <f t="array" ref="M1289">_xlfn.XLOOKUP(F1289,Metodos_De_Pago[ID_Metodo],Metodos_De_Pago[Metodo])</f>
        <v>Transferencia</v>
      </c>
      <c r="N1289" s="20" t="str">
        <f t="shared" si="2"/>
        <v>2024 07</v>
      </c>
    </row>
    <row r="1290" ht="22.5" customHeight="1">
      <c r="A1290" s="12">
        <f>IFERROR(__xludf.DUMMYFUNCTION("""COMPUTED_VALUE"""),2293.0)</f>
        <v>2293</v>
      </c>
      <c r="B1290" s="13">
        <f>IFERROR(__xludf.DUMMYFUNCTION("""COMPUTED_VALUE"""),45500.0)</f>
        <v>45500</v>
      </c>
      <c r="C1290" s="12">
        <f>IFERROR(__xludf.DUMMYFUNCTION("""COMPUTED_VALUE"""),300.0)</f>
        <v>300</v>
      </c>
      <c r="D1290" s="12">
        <f>IFERROR(__xludf.DUMMYFUNCTION("""COMPUTED_VALUE"""),6.0)</f>
        <v>6</v>
      </c>
      <c r="E1290" s="12">
        <f>IFERROR(__xludf.DUMMYFUNCTION("""COMPUTED_VALUE"""),3.0)</f>
        <v>3</v>
      </c>
      <c r="F1290" s="12">
        <f>IFERROR(__xludf.DUMMYFUNCTION("""COMPUTED_VALUE"""),4.0)</f>
        <v>4</v>
      </c>
      <c r="G1290" s="15" t="str">
        <f>IFERROR(__xludf.DUMMYFUNCTION("""COMPUTED_VALUE"""),"Completa")</f>
        <v>Completa</v>
      </c>
      <c r="H1290" s="16" t="str">
        <f t="array" ref="H1290">_xlfn.XLOOKUP(D1290,Productos[ID_Producto],Productos[Nombre_Producto])</f>
        <v>Asado</v>
      </c>
      <c r="I1290" s="17">
        <f t="array" ref="I1290">_xlfn.XLOOKUP(D1290,Productos[ID_Producto],Productos[Precio_Unitario])</f>
        <v>28.56</v>
      </c>
      <c r="J1290" s="17">
        <f t="shared" si="1"/>
        <v>85.68</v>
      </c>
      <c r="K1290" s="16" t="str">
        <f t="array" ref="K1290">_xlfn.XLOOKUP(C1290,Clientes[ID_Cliente],Clientes[Provincia])</f>
        <v>Chaco</v>
      </c>
      <c r="L1290" s="16" t="str">
        <f t="array" ref="L1290">CONCATENATE(_xlfn.XLOOKUP(C1290,Clientes[ID_Cliente],Clientes[Provincia]),", Argentina")</f>
        <v>Chaco, Argentina</v>
      </c>
      <c r="M1290" s="20" t="str">
        <f t="array" ref="M1290">_xlfn.XLOOKUP(F1290,Metodos_De_Pago[ID_Metodo],Metodos_De_Pago[Metodo])</f>
        <v>Mercado Pago</v>
      </c>
      <c r="N1290" s="20" t="str">
        <f t="shared" si="2"/>
        <v>2024 07</v>
      </c>
    </row>
    <row r="1291" ht="22.5" customHeight="1">
      <c r="A1291" s="12">
        <f>IFERROR(__xludf.DUMMYFUNCTION("""COMPUTED_VALUE"""),838.0)</f>
        <v>838</v>
      </c>
      <c r="B1291" s="13">
        <f>IFERROR(__xludf.DUMMYFUNCTION("""COMPUTED_VALUE"""),45501.0)</f>
        <v>45501</v>
      </c>
      <c r="C1291" s="12">
        <f>IFERROR(__xludf.DUMMYFUNCTION("""COMPUTED_VALUE"""),304.0)</f>
        <v>304</v>
      </c>
      <c r="D1291" s="12">
        <f>IFERROR(__xludf.DUMMYFUNCTION("""COMPUTED_VALUE"""),38.0)</f>
        <v>38</v>
      </c>
      <c r="E1291" s="12">
        <f>IFERROR(__xludf.DUMMYFUNCTION("""COMPUTED_VALUE"""),3.0)</f>
        <v>3</v>
      </c>
      <c r="F1291" s="12">
        <f>IFERROR(__xludf.DUMMYFUNCTION("""COMPUTED_VALUE"""),1.0)</f>
        <v>1</v>
      </c>
      <c r="G1291" s="15" t="str">
        <f>IFERROR(__xludf.DUMMYFUNCTION("""COMPUTED_VALUE"""),"Completa")</f>
        <v>Completa</v>
      </c>
      <c r="H1291" s="16" t="str">
        <f t="array" ref="H1291">_xlfn.XLOOKUP(D1291,Productos[ID_Producto],Productos[Nombre_Producto])</f>
        <v>Atún enlatado</v>
      </c>
      <c r="I1291" s="17">
        <f t="array" ref="I1291">_xlfn.XLOOKUP(D1291,Productos[ID_Producto],Productos[Precio_Unitario])</f>
        <v>6.21</v>
      </c>
      <c r="J1291" s="17">
        <f t="shared" si="1"/>
        <v>18.63</v>
      </c>
      <c r="K1291" s="16" t="str">
        <f t="array" ref="K1291">_xlfn.XLOOKUP(C1291,Clientes[ID_Cliente],Clientes[Provincia])</f>
        <v>San Luis</v>
      </c>
      <c r="L1291" s="16" t="str">
        <f t="array" ref="L1291">CONCATENATE(_xlfn.XLOOKUP(C1291,Clientes[ID_Cliente],Clientes[Provincia]),", Argentina")</f>
        <v>San Luis, Argentina</v>
      </c>
      <c r="M1291" s="20" t="str">
        <f t="array" ref="M1291">_xlfn.XLOOKUP(F1291,Metodos_De_Pago[ID_Metodo],Metodos_De_Pago[Metodo])</f>
        <v>Efectivo</v>
      </c>
      <c r="N1291" s="20" t="str">
        <f t="shared" si="2"/>
        <v>2024 07</v>
      </c>
    </row>
    <row r="1292" ht="22.5" customHeight="1">
      <c r="A1292" s="12">
        <f>IFERROR(__xludf.DUMMYFUNCTION("""COMPUTED_VALUE"""),1515.0)</f>
        <v>1515</v>
      </c>
      <c r="B1292" s="13">
        <f>IFERROR(__xludf.DUMMYFUNCTION("""COMPUTED_VALUE"""),45502.0)</f>
        <v>45502</v>
      </c>
      <c r="C1292" s="12">
        <f>IFERROR(__xludf.DUMMYFUNCTION("""COMPUTED_VALUE"""),22.0)</f>
        <v>22</v>
      </c>
      <c r="D1292" s="12">
        <f>IFERROR(__xludf.DUMMYFUNCTION("""COMPUTED_VALUE"""),3.0)</f>
        <v>3</v>
      </c>
      <c r="E1292" s="12">
        <f>IFERROR(__xludf.DUMMYFUNCTION("""COMPUTED_VALUE"""),3.0)</f>
        <v>3</v>
      </c>
      <c r="F1292" s="12">
        <f>IFERROR(__xludf.DUMMYFUNCTION("""COMPUTED_VALUE"""),1.0)</f>
        <v>1</v>
      </c>
      <c r="G1292" s="15" t="str">
        <f>IFERROR(__xludf.DUMMYFUNCTION("""COMPUTED_VALUE"""),"Completa")</f>
        <v>Completa</v>
      </c>
      <c r="H1292" s="16" t="str">
        <f t="array" ref="H1292">_xlfn.XLOOKUP(D1292,Productos[ID_Producto],Productos[Nombre_Producto])</f>
        <v>Queso cremoso</v>
      </c>
      <c r="I1292" s="17">
        <f t="array" ref="I1292">_xlfn.XLOOKUP(D1292,Productos[ID_Producto],Productos[Precio_Unitario])</f>
        <v>17.23</v>
      </c>
      <c r="J1292" s="17">
        <f t="shared" si="1"/>
        <v>51.69</v>
      </c>
      <c r="K1292" s="16" t="str">
        <f t="array" ref="K1292">_xlfn.XLOOKUP(C1292,Clientes[ID_Cliente],Clientes[Provincia])</f>
        <v>Córdoba</v>
      </c>
      <c r="L1292" s="16" t="str">
        <f t="array" ref="L1292">CONCATENATE(_xlfn.XLOOKUP(C1292,Clientes[ID_Cliente],Clientes[Provincia]),", Argentina")</f>
        <v>Córdoba, Argentina</v>
      </c>
      <c r="M1292" s="20" t="str">
        <f t="array" ref="M1292">_xlfn.XLOOKUP(F1292,Metodos_De_Pago[ID_Metodo],Metodos_De_Pago[Metodo])</f>
        <v>Efectivo</v>
      </c>
      <c r="N1292" s="20" t="str">
        <f t="shared" si="2"/>
        <v>2024 07</v>
      </c>
    </row>
    <row r="1293" ht="22.5" customHeight="1">
      <c r="A1293" s="12">
        <f>IFERROR(__xludf.DUMMYFUNCTION("""COMPUTED_VALUE"""),2994.0)</f>
        <v>2994</v>
      </c>
      <c r="B1293" s="13">
        <f>IFERROR(__xludf.DUMMYFUNCTION("""COMPUTED_VALUE"""),45502.0)</f>
        <v>45502</v>
      </c>
      <c r="C1293" s="12">
        <f>IFERROR(__xludf.DUMMYFUNCTION("""COMPUTED_VALUE"""),162.0)</f>
        <v>162</v>
      </c>
      <c r="D1293" s="12">
        <f>IFERROR(__xludf.DUMMYFUNCTION("""COMPUTED_VALUE"""),17.0)</f>
        <v>17</v>
      </c>
      <c r="E1293" s="12">
        <f>IFERROR(__xludf.DUMMYFUNCTION("""COMPUTED_VALUE"""),3.0)</f>
        <v>3</v>
      </c>
      <c r="F1293" s="12">
        <f>IFERROR(__xludf.DUMMYFUNCTION("""COMPUTED_VALUE"""),3.0)</f>
        <v>3</v>
      </c>
      <c r="G1293" s="15" t="str">
        <f>IFERROR(__xludf.DUMMYFUNCTION("""COMPUTED_VALUE"""),"Completa")</f>
        <v>Completa</v>
      </c>
      <c r="H1293" s="16" t="str">
        <f t="array" ref="H1293">_xlfn.XLOOKUP(D1293,Productos[ID_Producto],Productos[Nombre_Producto])</f>
        <v>Manzanas</v>
      </c>
      <c r="I1293" s="17">
        <f t="array" ref="I1293">_xlfn.XLOOKUP(D1293,Productos[ID_Producto],Productos[Precio_Unitario])</f>
        <v>6.54</v>
      </c>
      <c r="J1293" s="17">
        <f t="shared" si="1"/>
        <v>19.62</v>
      </c>
      <c r="K1293" s="16" t="str">
        <f t="array" ref="K1293">_xlfn.XLOOKUP(C1293,Clientes[ID_Cliente],Clientes[Provincia])</f>
        <v>Neuquén</v>
      </c>
      <c r="L1293" s="16" t="str">
        <f t="array" ref="L1293">CONCATENATE(_xlfn.XLOOKUP(C1293,Clientes[ID_Cliente],Clientes[Provincia]),", Argentina")</f>
        <v>Neuquén, Argentina</v>
      </c>
      <c r="M1293" s="20" t="str">
        <f t="array" ref="M1293">_xlfn.XLOOKUP(F1293,Metodos_De_Pago[ID_Metodo],Metodos_De_Pago[Metodo])</f>
        <v>Tarjeta de Débito</v>
      </c>
      <c r="N1293" s="20" t="str">
        <f t="shared" si="2"/>
        <v>2024 07</v>
      </c>
    </row>
    <row r="1294" ht="22.5" customHeight="1">
      <c r="A1294" s="12">
        <f>IFERROR(__xludf.DUMMYFUNCTION("""COMPUTED_VALUE"""),1938.0)</f>
        <v>1938</v>
      </c>
      <c r="B1294" s="13">
        <f>IFERROR(__xludf.DUMMYFUNCTION("""COMPUTED_VALUE"""),45503.0)</f>
        <v>45503</v>
      </c>
      <c r="C1294" s="12">
        <f>IFERROR(__xludf.DUMMYFUNCTION("""COMPUTED_VALUE"""),125.0)</f>
        <v>125</v>
      </c>
      <c r="D1294" s="12">
        <f>IFERROR(__xludf.DUMMYFUNCTION("""COMPUTED_VALUE"""),16.0)</f>
        <v>16</v>
      </c>
      <c r="E1294" s="12">
        <f>IFERROR(__xludf.DUMMYFUNCTION("""COMPUTED_VALUE"""),3.0)</f>
        <v>3</v>
      </c>
      <c r="F1294" s="12">
        <f>IFERROR(__xludf.DUMMYFUNCTION("""COMPUTED_VALUE"""),4.0)</f>
        <v>4</v>
      </c>
      <c r="G1294" s="15" t="str">
        <f>IFERROR(__xludf.DUMMYFUNCTION("""COMPUTED_VALUE"""),"Completa")</f>
        <v>Completa</v>
      </c>
      <c r="H1294" s="16" t="str">
        <f t="array" ref="H1294">_xlfn.XLOOKUP(D1294,Productos[ID_Producto],Productos[Nombre_Producto])</f>
        <v>Tortas</v>
      </c>
      <c r="I1294" s="17">
        <f t="array" ref="I1294">_xlfn.XLOOKUP(D1294,Productos[ID_Producto],Productos[Precio_Unitario])</f>
        <v>15.23</v>
      </c>
      <c r="J1294" s="17">
        <f t="shared" si="1"/>
        <v>45.69</v>
      </c>
      <c r="K1294" s="16" t="str">
        <f t="array" ref="K1294">_xlfn.XLOOKUP(C1294,Clientes[ID_Cliente],Clientes[Provincia])</f>
        <v>Neuquén</v>
      </c>
      <c r="L1294" s="16" t="str">
        <f t="array" ref="L1294">CONCATENATE(_xlfn.XLOOKUP(C1294,Clientes[ID_Cliente],Clientes[Provincia]),", Argentina")</f>
        <v>Neuquén, Argentina</v>
      </c>
      <c r="M1294" s="20" t="str">
        <f t="array" ref="M1294">_xlfn.XLOOKUP(F1294,Metodos_De_Pago[ID_Metodo],Metodos_De_Pago[Metodo])</f>
        <v>Mercado Pago</v>
      </c>
      <c r="N1294" s="20" t="str">
        <f t="shared" si="2"/>
        <v>2024 07</v>
      </c>
    </row>
    <row r="1295" ht="22.5" customHeight="1">
      <c r="A1295" s="12">
        <f>IFERROR(__xludf.DUMMYFUNCTION("""COMPUTED_VALUE"""),1316.0)</f>
        <v>1316</v>
      </c>
      <c r="B1295" s="13">
        <f>IFERROR(__xludf.DUMMYFUNCTION("""COMPUTED_VALUE"""),45504.0)</f>
        <v>45504</v>
      </c>
      <c r="C1295" s="12">
        <f>IFERROR(__xludf.DUMMYFUNCTION("""COMPUTED_VALUE"""),251.0)</f>
        <v>251</v>
      </c>
      <c r="D1295" s="12">
        <f>IFERROR(__xludf.DUMMYFUNCTION("""COMPUTED_VALUE"""),2.0)</f>
        <v>2</v>
      </c>
      <c r="E1295" s="12">
        <f>IFERROR(__xludf.DUMMYFUNCTION("""COMPUTED_VALUE"""),3.0)</f>
        <v>3</v>
      </c>
      <c r="F1295" s="12">
        <f>IFERROR(__xludf.DUMMYFUNCTION("""COMPUTED_VALUE"""),4.0)</f>
        <v>4</v>
      </c>
      <c r="G1295" s="15" t="str">
        <f>IFERROR(__xludf.DUMMYFUNCTION("""COMPUTED_VALUE"""),"Pendiente")</f>
        <v>Pendiente</v>
      </c>
      <c r="H1295" s="16" t="str">
        <f t="array" ref="H1295">_xlfn.XLOOKUP(D1295,Productos[ID_Producto],Productos[Nombre_Producto])</f>
        <v>Yogur</v>
      </c>
      <c r="I1295" s="17">
        <f t="array" ref="I1295">_xlfn.XLOOKUP(D1295,Productos[ID_Producto],Productos[Precio_Unitario])</f>
        <v>5.21</v>
      </c>
      <c r="J1295" s="17">
        <f t="shared" si="1"/>
        <v>15.63</v>
      </c>
      <c r="K1295" s="16" t="str">
        <f t="array" ref="K1295">_xlfn.XLOOKUP(C1295,Clientes[ID_Cliente],Clientes[Provincia])</f>
        <v>Córdoba</v>
      </c>
      <c r="L1295" s="16" t="str">
        <f t="array" ref="L1295">CONCATENATE(_xlfn.XLOOKUP(C1295,Clientes[ID_Cliente],Clientes[Provincia]),", Argentina")</f>
        <v>Córdoba, Argentina</v>
      </c>
      <c r="M1295" s="20" t="str">
        <f t="array" ref="M1295">_xlfn.XLOOKUP(F1295,Metodos_De_Pago[ID_Metodo],Metodos_De_Pago[Metodo])</f>
        <v>Mercado Pago</v>
      </c>
      <c r="N1295" s="20" t="str">
        <f t="shared" si="2"/>
        <v>2024 07</v>
      </c>
    </row>
    <row r="1296" ht="22.5" customHeight="1">
      <c r="A1296" s="12">
        <f>IFERROR(__xludf.DUMMYFUNCTION("""COMPUTED_VALUE"""),1090.0)</f>
        <v>1090</v>
      </c>
      <c r="B1296" s="13">
        <f>IFERROR(__xludf.DUMMYFUNCTION("""COMPUTED_VALUE"""),45505.0)</f>
        <v>45505</v>
      </c>
      <c r="C1296" s="12">
        <f>IFERROR(__xludf.DUMMYFUNCTION("""COMPUTED_VALUE"""),43.0)</f>
        <v>43</v>
      </c>
      <c r="D1296" s="12">
        <f>IFERROR(__xludf.DUMMYFUNCTION("""COMPUTED_VALUE"""),3.0)</f>
        <v>3</v>
      </c>
      <c r="E1296" s="12">
        <f>IFERROR(__xludf.DUMMYFUNCTION("""COMPUTED_VALUE"""),3.0)</f>
        <v>3</v>
      </c>
      <c r="F1296" s="12">
        <f>IFERROR(__xludf.DUMMYFUNCTION("""COMPUTED_VALUE"""),4.0)</f>
        <v>4</v>
      </c>
      <c r="G1296" s="15" t="str">
        <f>IFERROR(__xludf.DUMMYFUNCTION("""COMPUTED_VALUE"""),"Pendiente")</f>
        <v>Pendiente</v>
      </c>
      <c r="H1296" s="16" t="str">
        <f t="array" ref="H1296">_xlfn.XLOOKUP(D1296,Productos[ID_Producto],Productos[Nombre_Producto])</f>
        <v>Queso cremoso</v>
      </c>
      <c r="I1296" s="17">
        <f t="array" ref="I1296">_xlfn.XLOOKUP(D1296,Productos[ID_Producto],Productos[Precio_Unitario])</f>
        <v>17.23</v>
      </c>
      <c r="J1296" s="17">
        <f t="shared" si="1"/>
        <v>51.69</v>
      </c>
      <c r="K1296" s="16" t="str">
        <f t="array" ref="K1296">_xlfn.XLOOKUP(C1296,Clientes[ID_Cliente],Clientes[Provincia])</f>
        <v>Neuquén</v>
      </c>
      <c r="L1296" s="16" t="str">
        <f t="array" ref="L1296">CONCATENATE(_xlfn.XLOOKUP(C1296,Clientes[ID_Cliente],Clientes[Provincia]),", Argentina")</f>
        <v>Neuquén, Argentina</v>
      </c>
      <c r="M1296" s="20" t="str">
        <f t="array" ref="M1296">_xlfn.XLOOKUP(F1296,Metodos_De_Pago[ID_Metodo],Metodos_De_Pago[Metodo])</f>
        <v>Mercado Pago</v>
      </c>
      <c r="N1296" s="20" t="str">
        <f t="shared" si="2"/>
        <v>2024 08</v>
      </c>
    </row>
    <row r="1297" ht="22.5" customHeight="1">
      <c r="A1297" s="12">
        <f>IFERROR(__xludf.DUMMYFUNCTION("""COMPUTED_VALUE"""),1973.0)</f>
        <v>1973</v>
      </c>
      <c r="B1297" s="13">
        <f>IFERROR(__xludf.DUMMYFUNCTION("""COMPUTED_VALUE"""),45505.0)</f>
        <v>45505</v>
      </c>
      <c r="C1297" s="12">
        <f>IFERROR(__xludf.DUMMYFUNCTION("""COMPUTED_VALUE"""),80.0)</f>
        <v>80</v>
      </c>
      <c r="D1297" s="12">
        <f>IFERROR(__xludf.DUMMYFUNCTION("""COMPUTED_VALUE"""),20.0)</f>
        <v>20</v>
      </c>
      <c r="E1297" s="12">
        <f>IFERROR(__xludf.DUMMYFUNCTION("""COMPUTED_VALUE"""),3.0)</f>
        <v>3</v>
      </c>
      <c r="F1297" s="12">
        <f>IFERROR(__xludf.DUMMYFUNCTION("""COMPUTED_VALUE"""),3.0)</f>
        <v>3</v>
      </c>
      <c r="G1297" s="15" t="str">
        <f>IFERROR(__xludf.DUMMYFUNCTION("""COMPUTED_VALUE"""),"Completa")</f>
        <v>Completa</v>
      </c>
      <c r="H1297" s="16" t="str">
        <f t="array" ref="H1297">_xlfn.XLOOKUP(D1297,Productos[ID_Producto],Productos[Nombre_Producto])</f>
        <v>Lechugas</v>
      </c>
      <c r="I1297" s="17">
        <f t="array" ref="I1297">_xlfn.XLOOKUP(D1297,Productos[ID_Producto],Productos[Precio_Unitario])</f>
        <v>4.25</v>
      </c>
      <c r="J1297" s="17">
        <f t="shared" si="1"/>
        <v>12.75</v>
      </c>
      <c r="K1297" s="16" t="str">
        <f t="array" ref="K1297">_xlfn.XLOOKUP(C1297,Clientes[ID_Cliente],Clientes[Provincia])</f>
        <v>Chaco</v>
      </c>
      <c r="L1297" s="16" t="str">
        <f t="array" ref="L1297">CONCATENATE(_xlfn.XLOOKUP(C1297,Clientes[ID_Cliente],Clientes[Provincia]),", Argentina")</f>
        <v>Chaco, Argentina</v>
      </c>
      <c r="M1297" s="20" t="str">
        <f t="array" ref="M1297">_xlfn.XLOOKUP(F1297,Metodos_De_Pago[ID_Metodo],Metodos_De_Pago[Metodo])</f>
        <v>Tarjeta de Débito</v>
      </c>
      <c r="N1297" s="20" t="str">
        <f t="shared" si="2"/>
        <v>2024 08</v>
      </c>
    </row>
    <row r="1298" ht="22.5" customHeight="1">
      <c r="A1298" s="12">
        <f>IFERROR(__xludf.DUMMYFUNCTION("""COMPUTED_VALUE"""),2285.0)</f>
        <v>2285</v>
      </c>
      <c r="B1298" s="13">
        <f>IFERROR(__xludf.DUMMYFUNCTION("""COMPUTED_VALUE"""),45505.0)</f>
        <v>45505</v>
      </c>
      <c r="C1298" s="12">
        <f>IFERROR(__xludf.DUMMYFUNCTION("""COMPUTED_VALUE"""),78.0)</f>
        <v>78</v>
      </c>
      <c r="D1298" s="12">
        <f>IFERROR(__xludf.DUMMYFUNCTION("""COMPUTED_VALUE"""),4.0)</f>
        <v>4</v>
      </c>
      <c r="E1298" s="12">
        <f>IFERROR(__xludf.DUMMYFUNCTION("""COMPUTED_VALUE"""),3.0)</f>
        <v>3</v>
      </c>
      <c r="F1298" s="12">
        <f>IFERROR(__xludf.DUMMYFUNCTION("""COMPUTED_VALUE"""),4.0)</f>
        <v>4</v>
      </c>
      <c r="G1298" s="15" t="str">
        <f>IFERROR(__xludf.DUMMYFUNCTION("""COMPUTED_VALUE"""),"Pendiente")</f>
        <v>Pendiente</v>
      </c>
      <c r="H1298" s="16" t="str">
        <f t="array" ref="H1298">_xlfn.XLOOKUP(D1298,Productos[ID_Producto],Productos[Nombre_Producto])</f>
        <v>Queso rallado</v>
      </c>
      <c r="I1298" s="17">
        <f t="array" ref="I1298">_xlfn.XLOOKUP(D1298,Productos[ID_Producto],Productos[Precio_Unitario])</f>
        <v>19.23</v>
      </c>
      <c r="J1298" s="17">
        <f t="shared" si="1"/>
        <v>57.69</v>
      </c>
      <c r="K1298" s="16" t="str">
        <f t="array" ref="K1298">_xlfn.XLOOKUP(C1298,Clientes[ID_Cliente],Clientes[Provincia])</f>
        <v>Buenos Aires</v>
      </c>
      <c r="L1298" s="16" t="str">
        <f t="array" ref="L1298">CONCATENATE(_xlfn.XLOOKUP(C1298,Clientes[ID_Cliente],Clientes[Provincia]),", Argentina")</f>
        <v>Buenos Aires, Argentina</v>
      </c>
      <c r="M1298" s="20" t="str">
        <f t="array" ref="M1298">_xlfn.XLOOKUP(F1298,Metodos_De_Pago[ID_Metodo],Metodos_De_Pago[Metodo])</f>
        <v>Mercado Pago</v>
      </c>
      <c r="N1298" s="20" t="str">
        <f t="shared" si="2"/>
        <v>2024 08</v>
      </c>
    </row>
    <row r="1299" ht="22.5" customHeight="1">
      <c r="A1299" s="12">
        <f>IFERROR(__xludf.DUMMYFUNCTION("""COMPUTED_VALUE"""),486.0)</f>
        <v>486</v>
      </c>
      <c r="B1299" s="13">
        <f>IFERROR(__xludf.DUMMYFUNCTION("""COMPUTED_VALUE"""),45509.0)</f>
        <v>45509</v>
      </c>
      <c r="C1299" s="12">
        <f>IFERROR(__xludf.DUMMYFUNCTION("""COMPUTED_VALUE"""),151.0)</f>
        <v>151</v>
      </c>
      <c r="D1299" s="12">
        <f>IFERROR(__xludf.DUMMYFUNCTION("""COMPUTED_VALUE"""),35.0)</f>
        <v>35</v>
      </c>
      <c r="E1299" s="12">
        <f>IFERROR(__xludf.DUMMYFUNCTION("""COMPUTED_VALUE"""),3.0)</f>
        <v>3</v>
      </c>
      <c r="F1299" s="12">
        <f>IFERROR(__xludf.DUMMYFUNCTION("""COMPUTED_VALUE"""),5.0)</f>
        <v>5</v>
      </c>
      <c r="G1299" s="15" t="str">
        <f>IFERROR(__xludf.DUMMYFUNCTION("""COMPUTED_VALUE"""),"Completa")</f>
        <v>Completa</v>
      </c>
      <c r="H1299" s="16" t="str">
        <f t="array" ref="H1299">_xlfn.XLOOKUP(D1299,Productos[ID_Producto],Productos[Nombre_Producto])</f>
        <v>Arroz</v>
      </c>
      <c r="I1299" s="17">
        <f t="array" ref="I1299">_xlfn.XLOOKUP(D1299,Productos[ID_Producto],Productos[Precio_Unitario])</f>
        <v>4.25</v>
      </c>
      <c r="J1299" s="17">
        <f t="shared" si="1"/>
        <v>12.75</v>
      </c>
      <c r="K1299" s="16" t="str">
        <f t="array" ref="K1299">_xlfn.XLOOKUP(C1299,Clientes[ID_Cliente],Clientes[Provincia])</f>
        <v>Buenos Aires</v>
      </c>
      <c r="L1299" s="16" t="str">
        <f t="array" ref="L1299">CONCATENATE(_xlfn.XLOOKUP(C1299,Clientes[ID_Cliente],Clientes[Provincia]),", Argentina")</f>
        <v>Buenos Aires, Argentina</v>
      </c>
      <c r="M1299" s="20" t="str">
        <f t="array" ref="M1299">_xlfn.XLOOKUP(F1299,Metodos_De_Pago[ID_Metodo],Metodos_De_Pago[Metodo])</f>
        <v>Transferencia</v>
      </c>
      <c r="N1299" s="20" t="str">
        <f t="shared" si="2"/>
        <v>2024 08</v>
      </c>
    </row>
    <row r="1300" ht="22.5" customHeight="1">
      <c r="A1300" s="12">
        <f>IFERROR(__xludf.DUMMYFUNCTION("""COMPUTED_VALUE"""),1432.0)</f>
        <v>1432</v>
      </c>
      <c r="B1300" s="13">
        <f>IFERROR(__xludf.DUMMYFUNCTION("""COMPUTED_VALUE"""),45509.0)</f>
        <v>45509</v>
      </c>
      <c r="C1300" s="12">
        <f>IFERROR(__xludf.DUMMYFUNCTION("""COMPUTED_VALUE"""),309.0)</f>
        <v>309</v>
      </c>
      <c r="D1300" s="12">
        <f>IFERROR(__xludf.DUMMYFUNCTION("""COMPUTED_VALUE"""),36.0)</f>
        <v>36</v>
      </c>
      <c r="E1300" s="12">
        <f>IFERROR(__xludf.DUMMYFUNCTION("""COMPUTED_VALUE"""),3.0)</f>
        <v>3</v>
      </c>
      <c r="F1300" s="12">
        <f>IFERROR(__xludf.DUMMYFUNCTION("""COMPUTED_VALUE"""),4.0)</f>
        <v>4</v>
      </c>
      <c r="G1300" s="15" t="str">
        <f>IFERROR(__xludf.DUMMYFUNCTION("""COMPUTED_VALUE"""),"Completa")</f>
        <v>Completa</v>
      </c>
      <c r="H1300" s="16" t="str">
        <f t="array" ref="H1300">_xlfn.XLOOKUP(D1300,Productos[ID_Producto],Productos[Nombre_Producto])</f>
        <v>Lentejas</v>
      </c>
      <c r="I1300" s="17">
        <f t="array" ref="I1300">_xlfn.XLOOKUP(D1300,Productos[ID_Producto],Productos[Precio_Unitario])</f>
        <v>3.25</v>
      </c>
      <c r="J1300" s="17">
        <f t="shared" si="1"/>
        <v>9.75</v>
      </c>
      <c r="K1300" s="16" t="str">
        <f t="array" ref="K1300">_xlfn.XLOOKUP(C1300,Clientes[ID_Cliente],Clientes[Provincia])</f>
        <v>Córdoba</v>
      </c>
      <c r="L1300" s="16" t="str">
        <f t="array" ref="L1300">CONCATENATE(_xlfn.XLOOKUP(C1300,Clientes[ID_Cliente],Clientes[Provincia]),", Argentina")</f>
        <v>Córdoba, Argentina</v>
      </c>
      <c r="M1300" s="20" t="str">
        <f t="array" ref="M1300">_xlfn.XLOOKUP(F1300,Metodos_De_Pago[ID_Metodo],Metodos_De_Pago[Metodo])</f>
        <v>Mercado Pago</v>
      </c>
      <c r="N1300" s="20" t="str">
        <f t="shared" si="2"/>
        <v>2024 08</v>
      </c>
    </row>
    <row r="1301" ht="22.5" customHeight="1">
      <c r="A1301" s="12">
        <f>IFERROR(__xludf.DUMMYFUNCTION("""COMPUTED_VALUE"""),2618.0)</f>
        <v>2618</v>
      </c>
      <c r="B1301" s="13">
        <f>IFERROR(__xludf.DUMMYFUNCTION("""COMPUTED_VALUE"""),45509.0)</f>
        <v>45509</v>
      </c>
      <c r="C1301" s="12">
        <f>IFERROR(__xludf.DUMMYFUNCTION("""COMPUTED_VALUE"""),145.0)</f>
        <v>145</v>
      </c>
      <c r="D1301" s="12">
        <f>IFERROR(__xludf.DUMMYFUNCTION("""COMPUTED_VALUE"""),1.0)</f>
        <v>1</v>
      </c>
      <c r="E1301" s="12">
        <f>IFERROR(__xludf.DUMMYFUNCTION("""COMPUTED_VALUE"""),3.0)</f>
        <v>3</v>
      </c>
      <c r="F1301" s="12">
        <f>IFERROR(__xludf.DUMMYFUNCTION("""COMPUTED_VALUE"""),3.0)</f>
        <v>3</v>
      </c>
      <c r="G1301" s="15" t="str">
        <f>IFERROR(__xludf.DUMMYFUNCTION("""COMPUTED_VALUE"""),"Completa")</f>
        <v>Completa</v>
      </c>
      <c r="H1301" s="16" t="str">
        <f t="array" ref="H1301">_xlfn.XLOOKUP(D1301,Productos[ID_Producto],Productos[Nombre_Producto])</f>
        <v>Leche</v>
      </c>
      <c r="I1301" s="17">
        <f t="array" ref="I1301">_xlfn.XLOOKUP(D1301,Productos[ID_Producto],Productos[Precio_Unitario])</f>
        <v>12.24</v>
      </c>
      <c r="J1301" s="17">
        <f t="shared" si="1"/>
        <v>36.72</v>
      </c>
      <c r="K1301" s="16" t="str">
        <f t="array" ref="K1301">_xlfn.XLOOKUP(C1301,Clientes[ID_Cliente],Clientes[Provincia])</f>
        <v>Buenos Aires</v>
      </c>
      <c r="L1301" s="16" t="str">
        <f t="array" ref="L1301">CONCATENATE(_xlfn.XLOOKUP(C1301,Clientes[ID_Cliente],Clientes[Provincia]),", Argentina")</f>
        <v>Buenos Aires, Argentina</v>
      </c>
      <c r="M1301" s="20" t="str">
        <f t="array" ref="M1301">_xlfn.XLOOKUP(F1301,Metodos_De_Pago[ID_Metodo],Metodos_De_Pago[Metodo])</f>
        <v>Tarjeta de Débito</v>
      </c>
      <c r="N1301" s="20" t="str">
        <f t="shared" si="2"/>
        <v>2024 08</v>
      </c>
    </row>
    <row r="1302" ht="22.5" customHeight="1">
      <c r="A1302" s="12">
        <f>IFERROR(__xludf.DUMMYFUNCTION("""COMPUTED_VALUE"""),2212.0)</f>
        <v>2212</v>
      </c>
      <c r="B1302" s="13">
        <f>IFERROR(__xludf.DUMMYFUNCTION("""COMPUTED_VALUE"""),45511.0)</f>
        <v>45511</v>
      </c>
      <c r="C1302" s="12">
        <f>IFERROR(__xludf.DUMMYFUNCTION("""COMPUTED_VALUE"""),99.0)</f>
        <v>99</v>
      </c>
      <c r="D1302" s="12">
        <f>IFERROR(__xludf.DUMMYFUNCTION("""COMPUTED_VALUE"""),23.0)</f>
        <v>23</v>
      </c>
      <c r="E1302" s="12">
        <f>IFERROR(__xludf.DUMMYFUNCTION("""COMPUTED_VALUE"""),3.0)</f>
        <v>3</v>
      </c>
      <c r="F1302" s="12">
        <f>IFERROR(__xludf.DUMMYFUNCTION("""COMPUTED_VALUE"""),1.0)</f>
        <v>1</v>
      </c>
      <c r="G1302" s="15" t="str">
        <f>IFERROR(__xludf.DUMMYFUNCTION("""COMPUTED_VALUE"""),"Completa")</f>
        <v>Completa</v>
      </c>
      <c r="H1302" s="16" t="str">
        <f t="array" ref="H1302">_xlfn.XLOOKUP(D1302,Productos[ID_Producto],Productos[Nombre_Producto])</f>
        <v>Papas fritas</v>
      </c>
      <c r="I1302" s="17">
        <f t="array" ref="I1302">_xlfn.XLOOKUP(D1302,Productos[ID_Producto],Productos[Precio_Unitario])</f>
        <v>8.23</v>
      </c>
      <c r="J1302" s="17">
        <f t="shared" si="1"/>
        <v>24.69</v>
      </c>
      <c r="K1302" s="16" t="str">
        <f t="array" ref="K1302">_xlfn.XLOOKUP(C1302,Clientes[ID_Cliente],Clientes[Provincia])</f>
        <v>Buenos Aires</v>
      </c>
      <c r="L1302" s="16" t="str">
        <f t="array" ref="L1302">CONCATENATE(_xlfn.XLOOKUP(C1302,Clientes[ID_Cliente],Clientes[Provincia]),", Argentina")</f>
        <v>Buenos Aires, Argentina</v>
      </c>
      <c r="M1302" s="20" t="str">
        <f t="array" ref="M1302">_xlfn.XLOOKUP(F1302,Metodos_De_Pago[ID_Metodo],Metodos_De_Pago[Metodo])</f>
        <v>Efectivo</v>
      </c>
      <c r="N1302" s="20" t="str">
        <f t="shared" si="2"/>
        <v>2024 08</v>
      </c>
    </row>
    <row r="1303" ht="22.5" customHeight="1">
      <c r="A1303" s="12">
        <f>IFERROR(__xludf.DUMMYFUNCTION("""COMPUTED_VALUE"""),2784.0)</f>
        <v>2784</v>
      </c>
      <c r="B1303" s="13">
        <f>IFERROR(__xludf.DUMMYFUNCTION("""COMPUTED_VALUE"""),45511.0)</f>
        <v>45511</v>
      </c>
      <c r="C1303" s="12">
        <f>IFERROR(__xludf.DUMMYFUNCTION("""COMPUTED_VALUE"""),44.0)</f>
        <v>44</v>
      </c>
      <c r="D1303" s="12">
        <f>IFERROR(__xludf.DUMMYFUNCTION("""COMPUTED_VALUE"""),35.0)</f>
        <v>35</v>
      </c>
      <c r="E1303" s="12">
        <f>IFERROR(__xludf.DUMMYFUNCTION("""COMPUTED_VALUE"""),3.0)</f>
        <v>3</v>
      </c>
      <c r="F1303" s="12">
        <f>IFERROR(__xludf.DUMMYFUNCTION("""COMPUTED_VALUE"""),5.0)</f>
        <v>5</v>
      </c>
      <c r="G1303" s="15" t="str">
        <f>IFERROR(__xludf.DUMMYFUNCTION("""COMPUTED_VALUE"""),"Completa")</f>
        <v>Completa</v>
      </c>
      <c r="H1303" s="16" t="str">
        <f t="array" ref="H1303">_xlfn.XLOOKUP(D1303,Productos[ID_Producto],Productos[Nombre_Producto])</f>
        <v>Arroz</v>
      </c>
      <c r="I1303" s="17">
        <f t="array" ref="I1303">_xlfn.XLOOKUP(D1303,Productos[ID_Producto],Productos[Precio_Unitario])</f>
        <v>4.25</v>
      </c>
      <c r="J1303" s="17">
        <f t="shared" si="1"/>
        <v>12.75</v>
      </c>
      <c r="K1303" s="16" t="str">
        <f t="array" ref="K1303">_xlfn.XLOOKUP(C1303,Clientes[ID_Cliente],Clientes[Provincia])</f>
        <v>Buenos Aires</v>
      </c>
      <c r="L1303" s="16" t="str">
        <f t="array" ref="L1303">CONCATENATE(_xlfn.XLOOKUP(C1303,Clientes[ID_Cliente],Clientes[Provincia]),", Argentina")</f>
        <v>Buenos Aires, Argentina</v>
      </c>
      <c r="M1303" s="20" t="str">
        <f t="array" ref="M1303">_xlfn.XLOOKUP(F1303,Metodos_De_Pago[ID_Metodo],Metodos_De_Pago[Metodo])</f>
        <v>Transferencia</v>
      </c>
      <c r="N1303" s="20" t="str">
        <f t="shared" si="2"/>
        <v>2024 08</v>
      </c>
    </row>
    <row r="1304" ht="22.5" customHeight="1">
      <c r="A1304" s="12">
        <f>IFERROR(__xludf.DUMMYFUNCTION("""COMPUTED_VALUE"""),1865.0)</f>
        <v>1865</v>
      </c>
      <c r="B1304" s="13">
        <f>IFERROR(__xludf.DUMMYFUNCTION("""COMPUTED_VALUE"""),45514.0)</f>
        <v>45514</v>
      </c>
      <c r="C1304" s="12">
        <f>IFERROR(__xludf.DUMMYFUNCTION("""COMPUTED_VALUE"""),247.0)</f>
        <v>247</v>
      </c>
      <c r="D1304" s="12">
        <f>IFERROR(__xludf.DUMMYFUNCTION("""COMPUTED_VALUE"""),9.0)</f>
        <v>9</v>
      </c>
      <c r="E1304" s="12">
        <f>IFERROR(__xludf.DUMMYFUNCTION("""COMPUTED_VALUE"""),3.0)</f>
        <v>3</v>
      </c>
      <c r="F1304" s="12">
        <f>IFERROR(__xludf.DUMMYFUNCTION("""COMPUTED_VALUE"""),1.0)</f>
        <v>1</v>
      </c>
      <c r="G1304" s="15" t="str">
        <f>IFERROR(__xludf.DUMMYFUNCTION("""COMPUTED_VALUE"""),"Completa")</f>
        <v>Completa</v>
      </c>
      <c r="H1304" s="16" t="str">
        <f t="array" ref="H1304">_xlfn.XLOOKUP(D1304,Productos[ID_Producto],Productos[Nombre_Producto])</f>
        <v>Pollo</v>
      </c>
      <c r="I1304" s="17">
        <f t="array" ref="I1304">_xlfn.XLOOKUP(D1304,Productos[ID_Producto],Productos[Precio_Unitario])</f>
        <v>18.56</v>
      </c>
      <c r="J1304" s="17">
        <f t="shared" si="1"/>
        <v>55.68</v>
      </c>
      <c r="K1304" s="16" t="str">
        <f t="array" ref="K1304">_xlfn.XLOOKUP(C1304,Clientes[ID_Cliente],Clientes[Provincia])</f>
        <v>Buenos Aires</v>
      </c>
      <c r="L1304" s="16" t="str">
        <f t="array" ref="L1304">CONCATENATE(_xlfn.XLOOKUP(C1304,Clientes[ID_Cliente],Clientes[Provincia]),", Argentina")</f>
        <v>Buenos Aires, Argentina</v>
      </c>
      <c r="M1304" s="20" t="str">
        <f t="array" ref="M1304">_xlfn.XLOOKUP(F1304,Metodos_De_Pago[ID_Metodo],Metodos_De_Pago[Metodo])</f>
        <v>Efectivo</v>
      </c>
      <c r="N1304" s="20" t="str">
        <f t="shared" si="2"/>
        <v>2024 08</v>
      </c>
    </row>
    <row r="1305" ht="22.5" customHeight="1">
      <c r="A1305" s="12">
        <f>IFERROR(__xludf.DUMMYFUNCTION("""COMPUTED_VALUE"""),852.0)</f>
        <v>852</v>
      </c>
      <c r="B1305" s="13">
        <f>IFERROR(__xludf.DUMMYFUNCTION("""COMPUTED_VALUE"""),45515.0)</f>
        <v>45515</v>
      </c>
      <c r="C1305" s="12">
        <f>IFERROR(__xludf.DUMMYFUNCTION("""COMPUTED_VALUE"""),139.0)</f>
        <v>139</v>
      </c>
      <c r="D1305" s="12">
        <f>IFERROR(__xludf.DUMMYFUNCTION("""COMPUTED_VALUE"""),26.0)</f>
        <v>26</v>
      </c>
      <c r="E1305" s="12">
        <f>IFERROR(__xludf.DUMMYFUNCTION("""COMPUTED_VALUE"""),3.0)</f>
        <v>3</v>
      </c>
      <c r="F1305" s="12">
        <f>IFERROR(__xludf.DUMMYFUNCTION("""COMPUTED_VALUE"""),5.0)</f>
        <v>5</v>
      </c>
      <c r="G1305" s="15" t="str">
        <f>IFERROR(__xludf.DUMMYFUNCTION("""COMPUTED_VALUE"""),"Completa")</f>
        <v>Completa</v>
      </c>
      <c r="H1305" s="16" t="str">
        <f t="array" ref="H1305">_xlfn.XLOOKUP(D1305,Productos[ID_Producto],Productos[Nombre_Producto])</f>
        <v>Hamburgesas congeladas</v>
      </c>
      <c r="I1305" s="17">
        <f t="array" ref="I1305">_xlfn.XLOOKUP(D1305,Productos[ID_Producto],Productos[Precio_Unitario])</f>
        <v>9.54</v>
      </c>
      <c r="J1305" s="17">
        <f t="shared" si="1"/>
        <v>28.62</v>
      </c>
      <c r="K1305" s="16" t="str">
        <f t="array" ref="K1305">_xlfn.XLOOKUP(C1305,Clientes[ID_Cliente],Clientes[Provincia])</f>
        <v>Buenos Aires</v>
      </c>
      <c r="L1305" s="16" t="str">
        <f t="array" ref="L1305">CONCATENATE(_xlfn.XLOOKUP(C1305,Clientes[ID_Cliente],Clientes[Provincia]),", Argentina")</f>
        <v>Buenos Aires, Argentina</v>
      </c>
      <c r="M1305" s="20" t="str">
        <f t="array" ref="M1305">_xlfn.XLOOKUP(F1305,Metodos_De_Pago[ID_Metodo],Metodos_De_Pago[Metodo])</f>
        <v>Transferencia</v>
      </c>
      <c r="N1305" s="20" t="str">
        <f t="shared" si="2"/>
        <v>2024 08</v>
      </c>
    </row>
    <row r="1306" ht="22.5" customHeight="1">
      <c r="A1306" s="12">
        <f>IFERROR(__xludf.DUMMYFUNCTION("""COMPUTED_VALUE"""),1059.0)</f>
        <v>1059</v>
      </c>
      <c r="B1306" s="13">
        <f>IFERROR(__xludf.DUMMYFUNCTION("""COMPUTED_VALUE"""),45515.0)</f>
        <v>45515</v>
      </c>
      <c r="C1306" s="12">
        <f>IFERROR(__xludf.DUMMYFUNCTION("""COMPUTED_VALUE"""),24.0)</f>
        <v>24</v>
      </c>
      <c r="D1306" s="12">
        <f>IFERROR(__xludf.DUMMYFUNCTION("""COMPUTED_VALUE"""),29.0)</f>
        <v>29</v>
      </c>
      <c r="E1306" s="12">
        <f>IFERROR(__xludf.DUMMYFUNCTION("""COMPUTED_VALUE"""),3.0)</f>
        <v>3</v>
      </c>
      <c r="F1306" s="12">
        <f>IFERROR(__xludf.DUMMYFUNCTION("""COMPUTED_VALUE"""),1.0)</f>
        <v>1</v>
      </c>
      <c r="G1306" s="15" t="str">
        <f>IFERROR(__xludf.DUMMYFUNCTION("""COMPUTED_VALUE"""),"Completa")</f>
        <v>Completa</v>
      </c>
      <c r="H1306" s="16" t="str">
        <f t="array" ref="H1306">_xlfn.XLOOKUP(D1306,Productos[ID_Producto],Productos[Nombre_Producto])</f>
        <v>Cerveza</v>
      </c>
      <c r="I1306" s="17">
        <f t="array" ref="I1306">_xlfn.XLOOKUP(D1306,Productos[ID_Producto],Productos[Precio_Unitario])</f>
        <v>11.54</v>
      </c>
      <c r="J1306" s="17">
        <f t="shared" si="1"/>
        <v>34.62</v>
      </c>
      <c r="K1306" s="16" t="str">
        <f t="array" ref="K1306">_xlfn.XLOOKUP(C1306,Clientes[ID_Cliente],Clientes[Provincia])</f>
        <v>San Luis</v>
      </c>
      <c r="L1306" s="16" t="str">
        <f t="array" ref="L1306">CONCATENATE(_xlfn.XLOOKUP(C1306,Clientes[ID_Cliente],Clientes[Provincia]),", Argentina")</f>
        <v>San Luis, Argentina</v>
      </c>
      <c r="M1306" s="20" t="str">
        <f t="array" ref="M1306">_xlfn.XLOOKUP(F1306,Metodos_De_Pago[ID_Metodo],Metodos_De_Pago[Metodo])</f>
        <v>Efectivo</v>
      </c>
      <c r="N1306" s="20" t="str">
        <f t="shared" si="2"/>
        <v>2024 08</v>
      </c>
    </row>
    <row r="1307" ht="22.5" customHeight="1">
      <c r="A1307" s="12">
        <f>IFERROR(__xludf.DUMMYFUNCTION("""COMPUTED_VALUE"""),2172.0)</f>
        <v>2172</v>
      </c>
      <c r="B1307" s="13">
        <f>IFERROR(__xludf.DUMMYFUNCTION("""COMPUTED_VALUE"""),45515.0)</f>
        <v>45515</v>
      </c>
      <c r="C1307" s="12">
        <f>IFERROR(__xludf.DUMMYFUNCTION("""COMPUTED_VALUE"""),238.0)</f>
        <v>238</v>
      </c>
      <c r="D1307" s="12">
        <f>IFERROR(__xludf.DUMMYFUNCTION("""COMPUTED_VALUE"""),12.0)</f>
        <v>12</v>
      </c>
      <c r="E1307" s="12">
        <f>IFERROR(__xludf.DUMMYFUNCTION("""COMPUTED_VALUE"""),3.0)</f>
        <v>3</v>
      </c>
      <c r="F1307" s="12">
        <f>IFERROR(__xludf.DUMMYFUNCTION("""COMPUTED_VALUE"""),3.0)</f>
        <v>3</v>
      </c>
      <c r="G1307" s="15" t="str">
        <f>IFERROR(__xludf.DUMMYFUNCTION("""COMPUTED_VALUE"""),"Completa")</f>
        <v>Completa</v>
      </c>
      <c r="H1307" s="16" t="str">
        <f t="array" ref="H1307">_xlfn.XLOOKUP(D1307,Productos[ID_Producto],Productos[Nombre_Producto])</f>
        <v>Pan francés</v>
      </c>
      <c r="I1307" s="17">
        <f t="array" ref="I1307">_xlfn.XLOOKUP(D1307,Productos[ID_Producto],Productos[Precio_Unitario])</f>
        <v>8.12</v>
      </c>
      <c r="J1307" s="17">
        <f t="shared" si="1"/>
        <v>24.36</v>
      </c>
      <c r="K1307" s="16" t="str">
        <f t="array" ref="K1307">_xlfn.XLOOKUP(C1307,Clientes[ID_Cliente],Clientes[Provincia])</f>
        <v>Buenos Aires</v>
      </c>
      <c r="L1307" s="16" t="str">
        <f t="array" ref="L1307">CONCATENATE(_xlfn.XLOOKUP(C1307,Clientes[ID_Cliente],Clientes[Provincia]),", Argentina")</f>
        <v>Buenos Aires, Argentina</v>
      </c>
      <c r="M1307" s="20" t="str">
        <f t="array" ref="M1307">_xlfn.XLOOKUP(F1307,Metodos_De_Pago[ID_Metodo],Metodos_De_Pago[Metodo])</f>
        <v>Tarjeta de Débito</v>
      </c>
      <c r="N1307" s="20" t="str">
        <f t="shared" si="2"/>
        <v>2024 08</v>
      </c>
    </row>
    <row r="1308" ht="22.5" customHeight="1">
      <c r="A1308" s="12">
        <f>IFERROR(__xludf.DUMMYFUNCTION("""COMPUTED_VALUE"""),1979.0)</f>
        <v>1979</v>
      </c>
      <c r="B1308" s="13">
        <f>IFERROR(__xludf.DUMMYFUNCTION("""COMPUTED_VALUE"""),45517.0)</f>
        <v>45517</v>
      </c>
      <c r="C1308" s="12">
        <f>IFERROR(__xludf.DUMMYFUNCTION("""COMPUTED_VALUE"""),185.0)</f>
        <v>185</v>
      </c>
      <c r="D1308" s="12">
        <f>IFERROR(__xludf.DUMMYFUNCTION("""COMPUTED_VALUE"""),21.0)</f>
        <v>21</v>
      </c>
      <c r="E1308" s="12">
        <f>IFERROR(__xludf.DUMMYFUNCTION("""COMPUTED_VALUE"""),3.0)</f>
        <v>3</v>
      </c>
      <c r="F1308" s="12">
        <f>IFERROR(__xludf.DUMMYFUNCTION("""COMPUTED_VALUE"""),5.0)</f>
        <v>5</v>
      </c>
      <c r="G1308" s="15" t="str">
        <f>IFERROR(__xludf.DUMMYFUNCTION("""COMPUTED_VALUE"""),"Completa")</f>
        <v>Completa</v>
      </c>
      <c r="H1308" s="16" t="str">
        <f t="array" ref="H1308">_xlfn.XLOOKUP(D1308,Productos[ID_Producto],Productos[Nombre_Producto])</f>
        <v>Zanahorias</v>
      </c>
      <c r="I1308" s="17">
        <f t="array" ref="I1308">_xlfn.XLOOKUP(D1308,Productos[ID_Producto],Productos[Precio_Unitario])</f>
        <v>3.25</v>
      </c>
      <c r="J1308" s="17">
        <f t="shared" si="1"/>
        <v>9.75</v>
      </c>
      <c r="K1308" s="16" t="str">
        <f t="array" ref="K1308">_xlfn.XLOOKUP(C1308,Clientes[ID_Cliente],Clientes[Provincia])</f>
        <v>Córdoba</v>
      </c>
      <c r="L1308" s="16" t="str">
        <f t="array" ref="L1308">CONCATENATE(_xlfn.XLOOKUP(C1308,Clientes[ID_Cliente],Clientes[Provincia]),", Argentina")</f>
        <v>Córdoba, Argentina</v>
      </c>
      <c r="M1308" s="20" t="str">
        <f t="array" ref="M1308">_xlfn.XLOOKUP(F1308,Metodos_De_Pago[ID_Metodo],Metodos_De_Pago[Metodo])</f>
        <v>Transferencia</v>
      </c>
      <c r="N1308" s="20" t="str">
        <f t="shared" si="2"/>
        <v>2024 08</v>
      </c>
    </row>
    <row r="1309" ht="22.5" customHeight="1">
      <c r="A1309" s="12">
        <f>IFERROR(__xludf.DUMMYFUNCTION("""COMPUTED_VALUE"""),2911.0)</f>
        <v>2911</v>
      </c>
      <c r="B1309" s="13">
        <f>IFERROR(__xludf.DUMMYFUNCTION("""COMPUTED_VALUE"""),45517.0)</f>
        <v>45517</v>
      </c>
      <c r="C1309" s="12">
        <f>IFERROR(__xludf.DUMMYFUNCTION("""COMPUTED_VALUE"""),140.0)</f>
        <v>140</v>
      </c>
      <c r="D1309" s="12">
        <f>IFERROR(__xludf.DUMMYFUNCTION("""COMPUTED_VALUE"""),22.0)</f>
        <v>22</v>
      </c>
      <c r="E1309" s="12">
        <f>IFERROR(__xludf.DUMMYFUNCTION("""COMPUTED_VALUE"""),3.0)</f>
        <v>3</v>
      </c>
      <c r="F1309" s="12">
        <f>IFERROR(__xludf.DUMMYFUNCTION("""COMPUTED_VALUE"""),1.0)</f>
        <v>1</v>
      </c>
      <c r="G1309" s="15" t="str">
        <f>IFERROR(__xludf.DUMMYFUNCTION("""COMPUTED_VALUE"""),"Completa")</f>
        <v>Completa</v>
      </c>
      <c r="H1309" s="16" t="str">
        <f t="array" ref="H1309">_xlfn.XLOOKUP(D1309,Productos[ID_Producto],Productos[Nombre_Producto])</f>
        <v>Cebolla</v>
      </c>
      <c r="I1309" s="17">
        <f t="array" ref="I1309">_xlfn.XLOOKUP(D1309,Productos[ID_Producto],Productos[Precio_Unitario])</f>
        <v>4.21</v>
      </c>
      <c r="J1309" s="17">
        <f t="shared" si="1"/>
        <v>12.63</v>
      </c>
      <c r="K1309" s="16" t="str">
        <f t="array" ref="K1309">_xlfn.XLOOKUP(C1309,Clientes[ID_Cliente],Clientes[Provincia])</f>
        <v>Chaco</v>
      </c>
      <c r="L1309" s="16" t="str">
        <f t="array" ref="L1309">CONCATENATE(_xlfn.XLOOKUP(C1309,Clientes[ID_Cliente],Clientes[Provincia]),", Argentina")</f>
        <v>Chaco, Argentina</v>
      </c>
      <c r="M1309" s="20" t="str">
        <f t="array" ref="M1309">_xlfn.XLOOKUP(F1309,Metodos_De_Pago[ID_Metodo],Metodos_De_Pago[Metodo])</f>
        <v>Efectivo</v>
      </c>
      <c r="N1309" s="20" t="str">
        <f t="shared" si="2"/>
        <v>2024 08</v>
      </c>
    </row>
    <row r="1310" ht="22.5" customHeight="1">
      <c r="A1310" s="12">
        <f>IFERROR(__xludf.DUMMYFUNCTION("""COMPUTED_VALUE"""),17.0)</f>
        <v>17</v>
      </c>
      <c r="B1310" s="13">
        <f>IFERROR(__xludf.DUMMYFUNCTION("""COMPUTED_VALUE"""),45518.0)</f>
        <v>45518</v>
      </c>
      <c r="C1310" s="12">
        <f>IFERROR(__xludf.DUMMYFUNCTION("""COMPUTED_VALUE"""),51.0)</f>
        <v>51</v>
      </c>
      <c r="D1310" s="12">
        <f>IFERROR(__xludf.DUMMYFUNCTION("""COMPUTED_VALUE"""),31.0)</f>
        <v>31</v>
      </c>
      <c r="E1310" s="12">
        <f>IFERROR(__xludf.DUMMYFUNCTION("""COMPUTED_VALUE"""),3.0)</f>
        <v>3</v>
      </c>
      <c r="F1310" s="12">
        <f>IFERROR(__xludf.DUMMYFUNCTION("""COMPUTED_VALUE"""),2.0)</f>
        <v>2</v>
      </c>
      <c r="G1310" s="15" t="str">
        <f>IFERROR(__xludf.DUMMYFUNCTION("""COMPUTED_VALUE"""),"Completa")</f>
        <v>Completa</v>
      </c>
      <c r="H1310" s="16" t="str">
        <f t="array" ref="H1310">_xlfn.XLOOKUP(D1310,Productos[ID_Producto],Productos[Nombre_Producto])</f>
        <v>Galletitas de agua</v>
      </c>
      <c r="I1310" s="17">
        <f t="array" ref="I1310">_xlfn.XLOOKUP(D1310,Productos[ID_Producto],Productos[Precio_Unitario])</f>
        <v>5.24</v>
      </c>
      <c r="J1310" s="17">
        <f t="shared" si="1"/>
        <v>15.72</v>
      </c>
      <c r="K1310" s="16" t="str">
        <f t="array" ref="K1310">_xlfn.XLOOKUP(C1310,Clientes[ID_Cliente],Clientes[Provincia])</f>
        <v>San Luis</v>
      </c>
      <c r="L1310" s="16" t="str">
        <f t="array" ref="L1310">CONCATENATE(_xlfn.XLOOKUP(C1310,Clientes[ID_Cliente],Clientes[Provincia]),", Argentina")</f>
        <v>San Luis, Argentina</v>
      </c>
      <c r="M1310" s="20" t="str">
        <f t="array" ref="M1310">_xlfn.XLOOKUP(F1310,Metodos_De_Pago[ID_Metodo],Metodos_De_Pago[Metodo])</f>
        <v>Tarjeta de Crédito</v>
      </c>
      <c r="N1310" s="20" t="str">
        <f t="shared" si="2"/>
        <v>2024 08</v>
      </c>
    </row>
    <row r="1311" ht="22.5" customHeight="1">
      <c r="A1311" s="12">
        <f>IFERROR(__xludf.DUMMYFUNCTION("""COMPUTED_VALUE"""),1723.0)</f>
        <v>1723</v>
      </c>
      <c r="B1311" s="13">
        <f>IFERROR(__xludf.DUMMYFUNCTION("""COMPUTED_VALUE"""),45518.0)</f>
        <v>45518</v>
      </c>
      <c r="C1311" s="12">
        <f>IFERROR(__xludf.DUMMYFUNCTION("""COMPUTED_VALUE"""),320.0)</f>
        <v>320</v>
      </c>
      <c r="D1311" s="12">
        <f>IFERROR(__xludf.DUMMYFUNCTION("""COMPUTED_VALUE"""),20.0)</f>
        <v>20</v>
      </c>
      <c r="E1311" s="12">
        <f>IFERROR(__xludf.DUMMYFUNCTION("""COMPUTED_VALUE"""),3.0)</f>
        <v>3</v>
      </c>
      <c r="F1311" s="12">
        <f>IFERROR(__xludf.DUMMYFUNCTION("""COMPUTED_VALUE"""),3.0)</f>
        <v>3</v>
      </c>
      <c r="G1311" s="15" t="str">
        <f>IFERROR(__xludf.DUMMYFUNCTION("""COMPUTED_VALUE"""),"Completa")</f>
        <v>Completa</v>
      </c>
      <c r="H1311" s="16" t="str">
        <f t="array" ref="H1311">_xlfn.XLOOKUP(D1311,Productos[ID_Producto],Productos[Nombre_Producto])</f>
        <v>Lechugas</v>
      </c>
      <c r="I1311" s="17">
        <f t="array" ref="I1311">_xlfn.XLOOKUP(D1311,Productos[ID_Producto],Productos[Precio_Unitario])</f>
        <v>4.25</v>
      </c>
      <c r="J1311" s="17">
        <f t="shared" si="1"/>
        <v>12.75</v>
      </c>
      <c r="K1311" s="16" t="str">
        <f t="array" ref="K1311">_xlfn.XLOOKUP(C1311,Clientes[ID_Cliente],Clientes[Provincia])</f>
        <v>Córdoba</v>
      </c>
      <c r="L1311" s="16" t="str">
        <f t="array" ref="L1311">CONCATENATE(_xlfn.XLOOKUP(C1311,Clientes[ID_Cliente],Clientes[Provincia]),", Argentina")</f>
        <v>Córdoba, Argentina</v>
      </c>
      <c r="M1311" s="20" t="str">
        <f t="array" ref="M1311">_xlfn.XLOOKUP(F1311,Metodos_De_Pago[ID_Metodo],Metodos_De_Pago[Metodo])</f>
        <v>Tarjeta de Débito</v>
      </c>
      <c r="N1311" s="20" t="str">
        <f t="shared" si="2"/>
        <v>2024 08</v>
      </c>
    </row>
    <row r="1312" ht="22.5" customHeight="1">
      <c r="A1312" s="12">
        <f>IFERROR(__xludf.DUMMYFUNCTION("""COMPUTED_VALUE"""),2382.0)</f>
        <v>2382</v>
      </c>
      <c r="B1312" s="13">
        <f>IFERROR(__xludf.DUMMYFUNCTION("""COMPUTED_VALUE"""),45518.0)</f>
        <v>45518</v>
      </c>
      <c r="C1312" s="12">
        <f>IFERROR(__xludf.DUMMYFUNCTION("""COMPUTED_VALUE"""),326.0)</f>
        <v>326</v>
      </c>
      <c r="D1312" s="12">
        <f>IFERROR(__xludf.DUMMYFUNCTION("""COMPUTED_VALUE"""),22.0)</f>
        <v>22</v>
      </c>
      <c r="E1312" s="12">
        <f>IFERROR(__xludf.DUMMYFUNCTION("""COMPUTED_VALUE"""),3.0)</f>
        <v>3</v>
      </c>
      <c r="F1312" s="12">
        <f>IFERROR(__xludf.DUMMYFUNCTION("""COMPUTED_VALUE"""),1.0)</f>
        <v>1</v>
      </c>
      <c r="G1312" s="15" t="str">
        <f>IFERROR(__xludf.DUMMYFUNCTION("""COMPUTED_VALUE"""),"Completa")</f>
        <v>Completa</v>
      </c>
      <c r="H1312" s="16" t="str">
        <f t="array" ref="H1312">_xlfn.XLOOKUP(D1312,Productos[ID_Producto],Productos[Nombre_Producto])</f>
        <v>Cebolla</v>
      </c>
      <c r="I1312" s="17">
        <f t="array" ref="I1312">_xlfn.XLOOKUP(D1312,Productos[ID_Producto],Productos[Precio_Unitario])</f>
        <v>4.21</v>
      </c>
      <c r="J1312" s="17">
        <f t="shared" si="1"/>
        <v>12.63</v>
      </c>
      <c r="K1312" s="16" t="str">
        <f t="array" ref="K1312">_xlfn.XLOOKUP(C1312,Clientes[ID_Cliente],Clientes[Provincia])</f>
        <v>San Luis</v>
      </c>
      <c r="L1312" s="16" t="str">
        <f t="array" ref="L1312">CONCATENATE(_xlfn.XLOOKUP(C1312,Clientes[ID_Cliente],Clientes[Provincia]),", Argentina")</f>
        <v>San Luis, Argentina</v>
      </c>
      <c r="M1312" s="20" t="str">
        <f t="array" ref="M1312">_xlfn.XLOOKUP(F1312,Metodos_De_Pago[ID_Metodo],Metodos_De_Pago[Metodo])</f>
        <v>Efectivo</v>
      </c>
      <c r="N1312" s="20" t="str">
        <f t="shared" si="2"/>
        <v>2024 08</v>
      </c>
    </row>
    <row r="1313" ht="22.5" customHeight="1">
      <c r="A1313" s="12">
        <f>IFERROR(__xludf.DUMMYFUNCTION("""COMPUTED_VALUE"""),388.0)</f>
        <v>388</v>
      </c>
      <c r="B1313" s="13">
        <f>IFERROR(__xludf.DUMMYFUNCTION("""COMPUTED_VALUE"""),45520.0)</f>
        <v>45520</v>
      </c>
      <c r="C1313" s="12">
        <f>IFERROR(__xludf.DUMMYFUNCTION("""COMPUTED_VALUE"""),222.0)</f>
        <v>222</v>
      </c>
      <c r="D1313" s="12">
        <f>IFERROR(__xludf.DUMMYFUNCTION("""COMPUTED_VALUE"""),31.0)</f>
        <v>31</v>
      </c>
      <c r="E1313" s="12">
        <f>IFERROR(__xludf.DUMMYFUNCTION("""COMPUTED_VALUE"""),3.0)</f>
        <v>3</v>
      </c>
      <c r="F1313" s="12">
        <f>IFERROR(__xludf.DUMMYFUNCTION("""COMPUTED_VALUE"""),5.0)</f>
        <v>5</v>
      </c>
      <c r="G1313" s="15" t="str">
        <f>IFERROR(__xludf.DUMMYFUNCTION("""COMPUTED_VALUE"""),"Completa")</f>
        <v>Completa</v>
      </c>
      <c r="H1313" s="16" t="str">
        <f t="array" ref="H1313">_xlfn.XLOOKUP(D1313,Productos[ID_Producto],Productos[Nombre_Producto])</f>
        <v>Galletitas de agua</v>
      </c>
      <c r="I1313" s="17">
        <f t="array" ref="I1313">_xlfn.XLOOKUP(D1313,Productos[ID_Producto],Productos[Precio_Unitario])</f>
        <v>5.24</v>
      </c>
      <c r="J1313" s="17">
        <f t="shared" si="1"/>
        <v>15.72</v>
      </c>
      <c r="K1313" s="16" t="str">
        <f t="array" ref="K1313">_xlfn.XLOOKUP(C1313,Clientes[ID_Cliente],Clientes[Provincia])</f>
        <v>Córdoba</v>
      </c>
      <c r="L1313" s="16" t="str">
        <f t="array" ref="L1313">CONCATENATE(_xlfn.XLOOKUP(C1313,Clientes[ID_Cliente],Clientes[Provincia]),", Argentina")</f>
        <v>Córdoba, Argentina</v>
      </c>
      <c r="M1313" s="20" t="str">
        <f t="array" ref="M1313">_xlfn.XLOOKUP(F1313,Metodos_De_Pago[ID_Metodo],Metodos_De_Pago[Metodo])</f>
        <v>Transferencia</v>
      </c>
      <c r="N1313" s="20" t="str">
        <f t="shared" si="2"/>
        <v>2024 08</v>
      </c>
    </row>
    <row r="1314" ht="22.5" customHeight="1">
      <c r="A1314" s="12">
        <f>IFERROR(__xludf.DUMMYFUNCTION("""COMPUTED_VALUE"""),1339.0)</f>
        <v>1339</v>
      </c>
      <c r="B1314" s="13">
        <f>IFERROR(__xludf.DUMMYFUNCTION("""COMPUTED_VALUE"""),45521.0)</f>
        <v>45521</v>
      </c>
      <c r="C1314" s="12">
        <f>IFERROR(__xludf.DUMMYFUNCTION("""COMPUTED_VALUE"""),279.0)</f>
        <v>279</v>
      </c>
      <c r="D1314" s="12">
        <f>IFERROR(__xludf.DUMMYFUNCTION("""COMPUTED_VALUE"""),2.0)</f>
        <v>2</v>
      </c>
      <c r="E1314" s="12">
        <f>IFERROR(__xludf.DUMMYFUNCTION("""COMPUTED_VALUE"""),3.0)</f>
        <v>3</v>
      </c>
      <c r="F1314" s="12">
        <f>IFERROR(__xludf.DUMMYFUNCTION("""COMPUTED_VALUE"""),5.0)</f>
        <v>5</v>
      </c>
      <c r="G1314" s="15" t="str">
        <f>IFERROR(__xludf.DUMMYFUNCTION("""COMPUTED_VALUE"""),"Completa")</f>
        <v>Completa</v>
      </c>
      <c r="H1314" s="16" t="str">
        <f t="array" ref="H1314">_xlfn.XLOOKUP(D1314,Productos[ID_Producto],Productos[Nombre_Producto])</f>
        <v>Yogur</v>
      </c>
      <c r="I1314" s="17">
        <f t="array" ref="I1314">_xlfn.XLOOKUP(D1314,Productos[ID_Producto],Productos[Precio_Unitario])</f>
        <v>5.21</v>
      </c>
      <c r="J1314" s="17">
        <f t="shared" si="1"/>
        <v>15.63</v>
      </c>
      <c r="K1314" s="16" t="str">
        <f t="array" ref="K1314">_xlfn.XLOOKUP(C1314,Clientes[ID_Cliente],Clientes[Provincia])</f>
        <v>Córdoba</v>
      </c>
      <c r="L1314" s="16" t="str">
        <f t="array" ref="L1314">CONCATENATE(_xlfn.XLOOKUP(C1314,Clientes[ID_Cliente],Clientes[Provincia]),", Argentina")</f>
        <v>Córdoba, Argentina</v>
      </c>
      <c r="M1314" s="20" t="str">
        <f t="array" ref="M1314">_xlfn.XLOOKUP(F1314,Metodos_De_Pago[ID_Metodo],Metodos_De_Pago[Metodo])</f>
        <v>Transferencia</v>
      </c>
      <c r="N1314" s="20" t="str">
        <f t="shared" si="2"/>
        <v>2024 08</v>
      </c>
    </row>
    <row r="1315" ht="22.5" customHeight="1">
      <c r="A1315" s="12">
        <f>IFERROR(__xludf.DUMMYFUNCTION("""COMPUTED_VALUE"""),69.0)</f>
        <v>69</v>
      </c>
      <c r="B1315" s="13">
        <f>IFERROR(__xludf.DUMMYFUNCTION("""COMPUTED_VALUE"""),45522.0)</f>
        <v>45522</v>
      </c>
      <c r="C1315" s="12">
        <f>IFERROR(__xludf.DUMMYFUNCTION("""COMPUTED_VALUE"""),4.0)</f>
        <v>4</v>
      </c>
      <c r="D1315" s="12">
        <f>IFERROR(__xludf.DUMMYFUNCTION("""COMPUTED_VALUE"""),38.0)</f>
        <v>38</v>
      </c>
      <c r="E1315" s="12">
        <f>IFERROR(__xludf.DUMMYFUNCTION("""COMPUTED_VALUE"""),3.0)</f>
        <v>3</v>
      </c>
      <c r="F1315" s="12">
        <f>IFERROR(__xludf.DUMMYFUNCTION("""COMPUTED_VALUE"""),3.0)</f>
        <v>3</v>
      </c>
      <c r="G1315" s="15" t="str">
        <f>IFERROR(__xludf.DUMMYFUNCTION("""COMPUTED_VALUE"""),"Completa")</f>
        <v>Completa</v>
      </c>
      <c r="H1315" s="16" t="str">
        <f t="array" ref="H1315">_xlfn.XLOOKUP(D1315,Productos[ID_Producto],Productos[Nombre_Producto])</f>
        <v>Atún enlatado</v>
      </c>
      <c r="I1315" s="17">
        <f t="array" ref="I1315">_xlfn.XLOOKUP(D1315,Productos[ID_Producto],Productos[Precio_Unitario])</f>
        <v>6.21</v>
      </c>
      <c r="J1315" s="17">
        <f t="shared" si="1"/>
        <v>18.63</v>
      </c>
      <c r="K1315" s="16" t="str">
        <f t="array" ref="K1315">_xlfn.XLOOKUP(C1315,Clientes[ID_Cliente],Clientes[Provincia])</f>
        <v>Buenos Aires</v>
      </c>
      <c r="L1315" s="16" t="str">
        <f t="array" ref="L1315">CONCATENATE(_xlfn.XLOOKUP(C1315,Clientes[ID_Cliente],Clientes[Provincia]),", Argentina")</f>
        <v>Buenos Aires, Argentina</v>
      </c>
      <c r="M1315" s="20" t="str">
        <f t="array" ref="M1315">_xlfn.XLOOKUP(F1315,Metodos_De_Pago[ID_Metodo],Metodos_De_Pago[Metodo])</f>
        <v>Tarjeta de Débito</v>
      </c>
      <c r="N1315" s="20" t="str">
        <f t="shared" si="2"/>
        <v>2024 08</v>
      </c>
    </row>
    <row r="1316" ht="22.5" customHeight="1">
      <c r="A1316" s="12">
        <f>IFERROR(__xludf.DUMMYFUNCTION("""COMPUTED_VALUE"""),673.0)</f>
        <v>673</v>
      </c>
      <c r="B1316" s="13">
        <f>IFERROR(__xludf.DUMMYFUNCTION("""COMPUTED_VALUE"""),45522.0)</f>
        <v>45522</v>
      </c>
      <c r="C1316" s="12">
        <f>IFERROR(__xludf.DUMMYFUNCTION("""COMPUTED_VALUE"""),257.0)</f>
        <v>257</v>
      </c>
      <c r="D1316" s="12">
        <f>IFERROR(__xludf.DUMMYFUNCTION("""COMPUTED_VALUE"""),12.0)</f>
        <v>12</v>
      </c>
      <c r="E1316" s="12">
        <f>IFERROR(__xludf.DUMMYFUNCTION("""COMPUTED_VALUE"""),3.0)</f>
        <v>3</v>
      </c>
      <c r="F1316" s="12">
        <f>IFERROR(__xludf.DUMMYFUNCTION("""COMPUTED_VALUE"""),4.0)</f>
        <v>4</v>
      </c>
      <c r="G1316" s="15" t="str">
        <f>IFERROR(__xludf.DUMMYFUNCTION("""COMPUTED_VALUE"""),"Completa")</f>
        <v>Completa</v>
      </c>
      <c r="H1316" s="16" t="str">
        <f t="array" ref="H1316">_xlfn.XLOOKUP(D1316,Productos[ID_Producto],Productos[Nombre_Producto])</f>
        <v>Pan francés</v>
      </c>
      <c r="I1316" s="17">
        <f t="array" ref="I1316">_xlfn.XLOOKUP(D1316,Productos[ID_Producto],Productos[Precio_Unitario])</f>
        <v>8.12</v>
      </c>
      <c r="J1316" s="17">
        <f t="shared" si="1"/>
        <v>24.36</v>
      </c>
      <c r="K1316" s="16" t="str">
        <f t="array" ref="K1316">_xlfn.XLOOKUP(C1316,Clientes[ID_Cliente],Clientes[Provincia])</f>
        <v>Chaco</v>
      </c>
      <c r="L1316" s="16" t="str">
        <f t="array" ref="L1316">CONCATENATE(_xlfn.XLOOKUP(C1316,Clientes[ID_Cliente],Clientes[Provincia]),", Argentina")</f>
        <v>Chaco, Argentina</v>
      </c>
      <c r="M1316" s="20" t="str">
        <f t="array" ref="M1316">_xlfn.XLOOKUP(F1316,Metodos_De_Pago[ID_Metodo],Metodos_De_Pago[Metodo])</f>
        <v>Mercado Pago</v>
      </c>
      <c r="N1316" s="20" t="str">
        <f t="shared" si="2"/>
        <v>2024 08</v>
      </c>
    </row>
    <row r="1317" ht="22.5" customHeight="1">
      <c r="A1317" s="12">
        <f>IFERROR(__xludf.DUMMYFUNCTION("""COMPUTED_VALUE"""),816.0)</f>
        <v>816</v>
      </c>
      <c r="B1317" s="13">
        <f>IFERROR(__xludf.DUMMYFUNCTION("""COMPUTED_VALUE"""),45522.0)</f>
        <v>45522</v>
      </c>
      <c r="C1317" s="12">
        <f>IFERROR(__xludf.DUMMYFUNCTION("""COMPUTED_VALUE"""),111.0)</f>
        <v>111</v>
      </c>
      <c r="D1317" s="12">
        <f>IFERROR(__xludf.DUMMYFUNCTION("""COMPUTED_VALUE"""),8.0)</f>
        <v>8</v>
      </c>
      <c r="E1317" s="12">
        <f>IFERROR(__xludf.DUMMYFUNCTION("""COMPUTED_VALUE"""),3.0)</f>
        <v>3</v>
      </c>
      <c r="F1317" s="12">
        <f>IFERROR(__xludf.DUMMYFUNCTION("""COMPUTED_VALUE"""),3.0)</f>
        <v>3</v>
      </c>
      <c r="G1317" s="15" t="str">
        <f>IFERROR(__xludf.DUMMYFUNCTION("""COMPUTED_VALUE"""),"Pendiente")</f>
        <v>Pendiente</v>
      </c>
      <c r="H1317" s="16" t="str">
        <f t="array" ref="H1317">_xlfn.XLOOKUP(D1317,Productos[ID_Producto],Productos[Nombre_Producto])</f>
        <v>Milanesa</v>
      </c>
      <c r="I1317" s="17">
        <f t="array" ref="I1317">_xlfn.XLOOKUP(D1317,Productos[ID_Producto],Productos[Precio_Unitario])</f>
        <v>16.21</v>
      </c>
      <c r="J1317" s="17">
        <f t="shared" si="1"/>
        <v>48.63</v>
      </c>
      <c r="K1317" s="16" t="str">
        <f t="array" ref="K1317">_xlfn.XLOOKUP(C1317,Clientes[ID_Cliente],Clientes[Provincia])</f>
        <v>San Luis</v>
      </c>
      <c r="L1317" s="16" t="str">
        <f t="array" ref="L1317">CONCATENATE(_xlfn.XLOOKUP(C1317,Clientes[ID_Cliente],Clientes[Provincia]),", Argentina")</f>
        <v>San Luis, Argentina</v>
      </c>
      <c r="M1317" s="20" t="str">
        <f t="array" ref="M1317">_xlfn.XLOOKUP(F1317,Metodos_De_Pago[ID_Metodo],Metodos_De_Pago[Metodo])</f>
        <v>Tarjeta de Débito</v>
      </c>
      <c r="N1317" s="20" t="str">
        <f t="shared" si="2"/>
        <v>2024 08</v>
      </c>
    </row>
    <row r="1318" ht="22.5" customHeight="1">
      <c r="A1318" s="12">
        <f>IFERROR(__xludf.DUMMYFUNCTION("""COMPUTED_VALUE"""),829.0)</f>
        <v>829</v>
      </c>
      <c r="B1318" s="13">
        <f>IFERROR(__xludf.DUMMYFUNCTION("""COMPUTED_VALUE"""),45522.0)</f>
        <v>45522</v>
      </c>
      <c r="C1318" s="12">
        <f>IFERROR(__xludf.DUMMYFUNCTION("""COMPUTED_VALUE"""),234.0)</f>
        <v>234</v>
      </c>
      <c r="D1318" s="12">
        <f>IFERROR(__xludf.DUMMYFUNCTION("""COMPUTED_VALUE"""),20.0)</f>
        <v>20</v>
      </c>
      <c r="E1318" s="12">
        <f>IFERROR(__xludf.DUMMYFUNCTION("""COMPUTED_VALUE"""),3.0)</f>
        <v>3</v>
      </c>
      <c r="F1318" s="12">
        <f>IFERROR(__xludf.DUMMYFUNCTION("""COMPUTED_VALUE"""),4.0)</f>
        <v>4</v>
      </c>
      <c r="G1318" s="15" t="str">
        <f>IFERROR(__xludf.DUMMYFUNCTION("""COMPUTED_VALUE"""),"Completa")</f>
        <v>Completa</v>
      </c>
      <c r="H1318" s="16" t="str">
        <f t="array" ref="H1318">_xlfn.XLOOKUP(D1318,Productos[ID_Producto],Productos[Nombre_Producto])</f>
        <v>Lechugas</v>
      </c>
      <c r="I1318" s="17">
        <f t="array" ref="I1318">_xlfn.XLOOKUP(D1318,Productos[ID_Producto],Productos[Precio_Unitario])</f>
        <v>4.25</v>
      </c>
      <c r="J1318" s="17">
        <f t="shared" si="1"/>
        <v>12.75</v>
      </c>
      <c r="K1318" s="16" t="str">
        <f t="array" ref="K1318">_xlfn.XLOOKUP(C1318,Clientes[ID_Cliente],Clientes[Provincia])</f>
        <v>Buenos Aires</v>
      </c>
      <c r="L1318" s="16" t="str">
        <f t="array" ref="L1318">CONCATENATE(_xlfn.XLOOKUP(C1318,Clientes[ID_Cliente],Clientes[Provincia]),", Argentina")</f>
        <v>Buenos Aires, Argentina</v>
      </c>
      <c r="M1318" s="20" t="str">
        <f t="array" ref="M1318">_xlfn.XLOOKUP(F1318,Metodos_De_Pago[ID_Metodo],Metodos_De_Pago[Metodo])</f>
        <v>Mercado Pago</v>
      </c>
      <c r="N1318" s="20" t="str">
        <f t="shared" si="2"/>
        <v>2024 08</v>
      </c>
    </row>
    <row r="1319" ht="22.5" customHeight="1">
      <c r="A1319" s="12">
        <f>IFERROR(__xludf.DUMMYFUNCTION("""COMPUTED_VALUE"""),2021.0)</f>
        <v>2021</v>
      </c>
      <c r="B1319" s="13">
        <f>IFERROR(__xludf.DUMMYFUNCTION("""COMPUTED_VALUE"""),45522.0)</f>
        <v>45522</v>
      </c>
      <c r="C1319" s="12">
        <f>IFERROR(__xludf.DUMMYFUNCTION("""COMPUTED_VALUE"""),240.0)</f>
        <v>240</v>
      </c>
      <c r="D1319" s="12">
        <f>IFERROR(__xludf.DUMMYFUNCTION("""COMPUTED_VALUE"""),37.0)</f>
        <v>37</v>
      </c>
      <c r="E1319" s="12">
        <f>IFERROR(__xludf.DUMMYFUNCTION("""COMPUTED_VALUE"""),3.0)</f>
        <v>3</v>
      </c>
      <c r="F1319" s="12">
        <f>IFERROR(__xludf.DUMMYFUNCTION("""COMPUTED_VALUE"""),2.0)</f>
        <v>2</v>
      </c>
      <c r="G1319" s="15" t="str">
        <f>IFERROR(__xludf.DUMMYFUNCTION("""COMPUTED_VALUE"""),"Completa")</f>
        <v>Completa</v>
      </c>
      <c r="H1319" s="16" t="str">
        <f t="array" ref="H1319">_xlfn.XLOOKUP(D1319,Productos[ID_Producto],Productos[Nombre_Producto])</f>
        <v>Garbanzos</v>
      </c>
      <c r="I1319" s="17">
        <f t="array" ref="I1319">_xlfn.XLOOKUP(D1319,Productos[ID_Producto],Productos[Precio_Unitario])</f>
        <v>3.65</v>
      </c>
      <c r="J1319" s="17">
        <f t="shared" si="1"/>
        <v>10.95</v>
      </c>
      <c r="K1319" s="16" t="str">
        <f t="array" ref="K1319">_xlfn.XLOOKUP(C1319,Clientes[ID_Cliente],Clientes[Provincia])</f>
        <v>Buenos Aires</v>
      </c>
      <c r="L1319" s="16" t="str">
        <f t="array" ref="L1319">CONCATENATE(_xlfn.XLOOKUP(C1319,Clientes[ID_Cliente],Clientes[Provincia]),", Argentina")</f>
        <v>Buenos Aires, Argentina</v>
      </c>
      <c r="M1319" s="20" t="str">
        <f t="array" ref="M1319">_xlfn.XLOOKUP(F1319,Metodos_De_Pago[ID_Metodo],Metodos_De_Pago[Metodo])</f>
        <v>Tarjeta de Crédito</v>
      </c>
      <c r="N1319" s="20" t="str">
        <f t="shared" si="2"/>
        <v>2024 08</v>
      </c>
    </row>
    <row r="1320" ht="22.5" customHeight="1">
      <c r="A1320" s="12">
        <f>IFERROR(__xludf.DUMMYFUNCTION("""COMPUTED_VALUE"""),633.0)</f>
        <v>633</v>
      </c>
      <c r="B1320" s="13">
        <f>IFERROR(__xludf.DUMMYFUNCTION("""COMPUTED_VALUE"""),45523.0)</f>
        <v>45523</v>
      </c>
      <c r="C1320" s="12">
        <f>IFERROR(__xludf.DUMMYFUNCTION("""COMPUTED_VALUE"""),121.0)</f>
        <v>121</v>
      </c>
      <c r="D1320" s="12">
        <f>IFERROR(__xludf.DUMMYFUNCTION("""COMPUTED_VALUE"""),28.0)</f>
        <v>28</v>
      </c>
      <c r="E1320" s="12">
        <f>IFERROR(__xludf.DUMMYFUNCTION("""COMPUTED_VALUE"""),3.0)</f>
        <v>3</v>
      </c>
      <c r="F1320" s="12">
        <f>IFERROR(__xludf.DUMMYFUNCTION("""COMPUTED_VALUE"""),4.0)</f>
        <v>4</v>
      </c>
      <c r="G1320" s="15" t="str">
        <f>IFERROR(__xludf.DUMMYFUNCTION("""COMPUTED_VALUE"""),"Completa")</f>
        <v>Completa</v>
      </c>
      <c r="H1320" s="16" t="str">
        <f t="array" ref="H1320">_xlfn.XLOOKUP(D1320,Productos[ID_Producto],Productos[Nombre_Producto])</f>
        <v>Jugos de frutas</v>
      </c>
      <c r="I1320" s="17">
        <f t="array" ref="I1320">_xlfn.XLOOKUP(D1320,Productos[ID_Producto],Productos[Precio_Unitario])</f>
        <v>9.45</v>
      </c>
      <c r="J1320" s="17">
        <f t="shared" si="1"/>
        <v>28.35</v>
      </c>
      <c r="K1320" s="16" t="str">
        <f t="array" ref="K1320">_xlfn.XLOOKUP(C1320,Clientes[ID_Cliente],Clientes[Provincia])</f>
        <v>San Luis</v>
      </c>
      <c r="L1320" s="16" t="str">
        <f t="array" ref="L1320">CONCATENATE(_xlfn.XLOOKUP(C1320,Clientes[ID_Cliente],Clientes[Provincia]),", Argentina")</f>
        <v>San Luis, Argentina</v>
      </c>
      <c r="M1320" s="20" t="str">
        <f t="array" ref="M1320">_xlfn.XLOOKUP(F1320,Metodos_De_Pago[ID_Metodo],Metodos_De_Pago[Metodo])</f>
        <v>Mercado Pago</v>
      </c>
      <c r="N1320" s="20" t="str">
        <f t="shared" si="2"/>
        <v>2024 08</v>
      </c>
    </row>
    <row r="1321" ht="22.5" customHeight="1">
      <c r="A1321" s="12">
        <f>IFERROR(__xludf.DUMMYFUNCTION("""COMPUTED_VALUE"""),1880.0)</f>
        <v>1880</v>
      </c>
      <c r="B1321" s="13">
        <f>IFERROR(__xludf.DUMMYFUNCTION("""COMPUTED_VALUE"""),45523.0)</f>
        <v>45523</v>
      </c>
      <c r="C1321" s="12">
        <f>IFERROR(__xludf.DUMMYFUNCTION("""COMPUTED_VALUE"""),269.0)</f>
        <v>269</v>
      </c>
      <c r="D1321" s="12">
        <f>IFERROR(__xludf.DUMMYFUNCTION("""COMPUTED_VALUE"""),29.0)</f>
        <v>29</v>
      </c>
      <c r="E1321" s="12">
        <f>IFERROR(__xludf.DUMMYFUNCTION("""COMPUTED_VALUE"""),3.0)</f>
        <v>3</v>
      </c>
      <c r="F1321" s="12">
        <f>IFERROR(__xludf.DUMMYFUNCTION("""COMPUTED_VALUE"""),3.0)</f>
        <v>3</v>
      </c>
      <c r="G1321" s="15" t="str">
        <f>IFERROR(__xludf.DUMMYFUNCTION("""COMPUTED_VALUE"""),"Completa")</f>
        <v>Completa</v>
      </c>
      <c r="H1321" s="16" t="str">
        <f t="array" ref="H1321">_xlfn.XLOOKUP(D1321,Productos[ID_Producto],Productos[Nombre_Producto])</f>
        <v>Cerveza</v>
      </c>
      <c r="I1321" s="17">
        <f t="array" ref="I1321">_xlfn.XLOOKUP(D1321,Productos[ID_Producto],Productos[Precio_Unitario])</f>
        <v>11.54</v>
      </c>
      <c r="J1321" s="17">
        <f t="shared" si="1"/>
        <v>34.62</v>
      </c>
      <c r="K1321" s="16" t="str">
        <f t="array" ref="K1321">_xlfn.XLOOKUP(C1321,Clientes[ID_Cliente],Clientes[Provincia])</f>
        <v>Córdoba</v>
      </c>
      <c r="L1321" s="16" t="str">
        <f t="array" ref="L1321">CONCATENATE(_xlfn.XLOOKUP(C1321,Clientes[ID_Cliente],Clientes[Provincia]),", Argentina")</f>
        <v>Córdoba, Argentina</v>
      </c>
      <c r="M1321" s="20" t="str">
        <f t="array" ref="M1321">_xlfn.XLOOKUP(F1321,Metodos_De_Pago[ID_Metodo],Metodos_De_Pago[Metodo])</f>
        <v>Tarjeta de Débito</v>
      </c>
      <c r="N1321" s="20" t="str">
        <f t="shared" si="2"/>
        <v>2024 08</v>
      </c>
    </row>
    <row r="1322" ht="22.5" customHeight="1">
      <c r="A1322" s="12">
        <f>IFERROR(__xludf.DUMMYFUNCTION("""COMPUTED_VALUE"""),583.0)</f>
        <v>583</v>
      </c>
      <c r="B1322" s="13">
        <f>IFERROR(__xludf.DUMMYFUNCTION("""COMPUTED_VALUE"""),45525.0)</f>
        <v>45525</v>
      </c>
      <c r="C1322" s="12">
        <f>IFERROR(__xludf.DUMMYFUNCTION("""COMPUTED_VALUE"""),7.0)</f>
        <v>7</v>
      </c>
      <c r="D1322" s="12">
        <f>IFERROR(__xludf.DUMMYFUNCTION("""COMPUTED_VALUE"""),27.0)</f>
        <v>27</v>
      </c>
      <c r="E1322" s="12">
        <f>IFERROR(__xludf.DUMMYFUNCTION("""COMPUTED_VALUE"""),3.0)</f>
        <v>3</v>
      </c>
      <c r="F1322" s="12">
        <f>IFERROR(__xludf.DUMMYFUNCTION("""COMPUTED_VALUE"""),4.0)</f>
        <v>4</v>
      </c>
      <c r="G1322" s="15" t="str">
        <f>IFERROR(__xludf.DUMMYFUNCTION("""COMPUTED_VALUE"""),"Pendiente")</f>
        <v>Pendiente</v>
      </c>
      <c r="H1322" s="16" t="str">
        <f t="array" ref="H1322">_xlfn.XLOOKUP(D1322,Productos[ID_Producto],Productos[Nombre_Producto])</f>
        <v>Agua mineral</v>
      </c>
      <c r="I1322" s="17">
        <f t="array" ref="I1322">_xlfn.XLOOKUP(D1322,Productos[ID_Producto],Productos[Precio_Unitario])</f>
        <v>6.21</v>
      </c>
      <c r="J1322" s="17">
        <f t="shared" si="1"/>
        <v>18.63</v>
      </c>
      <c r="K1322" s="16" t="str">
        <f t="array" ref="K1322">_xlfn.XLOOKUP(C1322,Clientes[ID_Cliente],Clientes[Provincia])</f>
        <v>San Luis</v>
      </c>
      <c r="L1322" s="16" t="str">
        <f t="array" ref="L1322">CONCATENATE(_xlfn.XLOOKUP(C1322,Clientes[ID_Cliente],Clientes[Provincia]),", Argentina")</f>
        <v>San Luis, Argentina</v>
      </c>
      <c r="M1322" s="20" t="str">
        <f t="array" ref="M1322">_xlfn.XLOOKUP(F1322,Metodos_De_Pago[ID_Metodo],Metodos_De_Pago[Metodo])</f>
        <v>Mercado Pago</v>
      </c>
      <c r="N1322" s="20" t="str">
        <f t="shared" si="2"/>
        <v>2024 08</v>
      </c>
    </row>
    <row r="1323" ht="22.5" customHeight="1">
      <c r="A1323" s="12">
        <f>IFERROR(__xludf.DUMMYFUNCTION("""COMPUTED_VALUE"""),716.0)</f>
        <v>716</v>
      </c>
      <c r="B1323" s="13">
        <f>IFERROR(__xludf.DUMMYFUNCTION("""COMPUTED_VALUE"""),45525.0)</f>
        <v>45525</v>
      </c>
      <c r="C1323" s="12">
        <f>IFERROR(__xludf.DUMMYFUNCTION("""COMPUTED_VALUE"""),289.0)</f>
        <v>289</v>
      </c>
      <c r="D1323" s="12">
        <f>IFERROR(__xludf.DUMMYFUNCTION("""COMPUTED_VALUE"""),29.0)</f>
        <v>29</v>
      </c>
      <c r="E1323" s="12">
        <f>IFERROR(__xludf.DUMMYFUNCTION("""COMPUTED_VALUE"""),3.0)</f>
        <v>3</v>
      </c>
      <c r="F1323" s="12">
        <f>IFERROR(__xludf.DUMMYFUNCTION("""COMPUTED_VALUE"""),1.0)</f>
        <v>1</v>
      </c>
      <c r="G1323" s="15" t="str">
        <f>IFERROR(__xludf.DUMMYFUNCTION("""COMPUTED_VALUE"""),"Completa")</f>
        <v>Completa</v>
      </c>
      <c r="H1323" s="16" t="str">
        <f t="array" ref="H1323">_xlfn.XLOOKUP(D1323,Productos[ID_Producto],Productos[Nombre_Producto])</f>
        <v>Cerveza</v>
      </c>
      <c r="I1323" s="17">
        <f t="array" ref="I1323">_xlfn.XLOOKUP(D1323,Productos[ID_Producto],Productos[Precio_Unitario])</f>
        <v>11.54</v>
      </c>
      <c r="J1323" s="17">
        <f t="shared" si="1"/>
        <v>34.62</v>
      </c>
      <c r="K1323" s="16" t="str">
        <f t="array" ref="K1323">_xlfn.XLOOKUP(C1323,Clientes[ID_Cliente],Clientes[Provincia])</f>
        <v>San Luis</v>
      </c>
      <c r="L1323" s="16" t="str">
        <f t="array" ref="L1323">CONCATENATE(_xlfn.XLOOKUP(C1323,Clientes[ID_Cliente],Clientes[Provincia]),", Argentina")</f>
        <v>San Luis, Argentina</v>
      </c>
      <c r="M1323" s="20" t="str">
        <f t="array" ref="M1323">_xlfn.XLOOKUP(F1323,Metodos_De_Pago[ID_Metodo],Metodos_De_Pago[Metodo])</f>
        <v>Efectivo</v>
      </c>
      <c r="N1323" s="20" t="str">
        <f t="shared" si="2"/>
        <v>2024 08</v>
      </c>
    </row>
    <row r="1324" ht="22.5" customHeight="1">
      <c r="A1324" s="12">
        <f>IFERROR(__xludf.DUMMYFUNCTION("""COMPUTED_VALUE"""),994.0)</f>
        <v>994</v>
      </c>
      <c r="B1324" s="13">
        <f>IFERROR(__xludf.DUMMYFUNCTION("""COMPUTED_VALUE"""),45525.0)</f>
        <v>45525</v>
      </c>
      <c r="C1324" s="12">
        <f>IFERROR(__xludf.DUMMYFUNCTION("""COMPUTED_VALUE"""),102.0)</f>
        <v>102</v>
      </c>
      <c r="D1324" s="12">
        <f>IFERROR(__xludf.DUMMYFUNCTION("""COMPUTED_VALUE"""),24.0)</f>
        <v>24</v>
      </c>
      <c r="E1324" s="12">
        <f>IFERROR(__xludf.DUMMYFUNCTION("""COMPUTED_VALUE"""),3.0)</f>
        <v>3</v>
      </c>
      <c r="F1324" s="12">
        <f>IFERROR(__xludf.DUMMYFUNCTION("""COMPUTED_VALUE"""),3.0)</f>
        <v>3</v>
      </c>
      <c r="G1324" s="15" t="str">
        <f>IFERROR(__xludf.DUMMYFUNCTION("""COMPUTED_VALUE"""),"Completa")</f>
        <v>Completa</v>
      </c>
      <c r="H1324" s="16" t="str">
        <f t="array" ref="H1324">_xlfn.XLOOKUP(D1324,Productos[ID_Producto],Productos[Nombre_Producto])</f>
        <v>Empanadas</v>
      </c>
      <c r="I1324" s="17">
        <f t="array" ref="I1324">_xlfn.XLOOKUP(D1324,Productos[ID_Producto],Productos[Precio_Unitario])</f>
        <v>13.54</v>
      </c>
      <c r="J1324" s="17">
        <f t="shared" si="1"/>
        <v>40.62</v>
      </c>
      <c r="K1324" s="16" t="str">
        <f t="array" ref="K1324">_xlfn.XLOOKUP(C1324,Clientes[ID_Cliente],Clientes[Provincia])</f>
        <v>Neuquén</v>
      </c>
      <c r="L1324" s="16" t="str">
        <f t="array" ref="L1324">CONCATENATE(_xlfn.XLOOKUP(C1324,Clientes[ID_Cliente],Clientes[Provincia]),", Argentina")</f>
        <v>Neuquén, Argentina</v>
      </c>
      <c r="M1324" s="20" t="str">
        <f t="array" ref="M1324">_xlfn.XLOOKUP(F1324,Metodos_De_Pago[ID_Metodo],Metodos_De_Pago[Metodo])</f>
        <v>Tarjeta de Débito</v>
      </c>
      <c r="N1324" s="20" t="str">
        <f t="shared" si="2"/>
        <v>2024 08</v>
      </c>
    </row>
    <row r="1325" ht="22.5" customHeight="1">
      <c r="A1325" s="12">
        <f>IFERROR(__xludf.DUMMYFUNCTION("""COMPUTED_VALUE"""),2381.0)</f>
        <v>2381</v>
      </c>
      <c r="B1325" s="13">
        <f>IFERROR(__xludf.DUMMYFUNCTION("""COMPUTED_VALUE"""),45525.0)</f>
        <v>45525</v>
      </c>
      <c r="C1325" s="12">
        <f>IFERROR(__xludf.DUMMYFUNCTION("""COMPUTED_VALUE"""),79.0)</f>
        <v>79</v>
      </c>
      <c r="D1325" s="12">
        <f>IFERROR(__xludf.DUMMYFUNCTION("""COMPUTED_VALUE"""),5.0)</f>
        <v>5</v>
      </c>
      <c r="E1325" s="12">
        <f>IFERROR(__xludf.DUMMYFUNCTION("""COMPUTED_VALUE"""),3.0)</f>
        <v>3</v>
      </c>
      <c r="F1325" s="12">
        <f>IFERROR(__xludf.DUMMYFUNCTION("""COMPUTED_VALUE"""),4.0)</f>
        <v>4</v>
      </c>
      <c r="G1325" s="15" t="str">
        <f>IFERROR(__xludf.DUMMYFUNCTION("""COMPUTED_VALUE"""),"Completa")</f>
        <v>Completa</v>
      </c>
      <c r="H1325" s="16" t="str">
        <f t="array" ref="H1325">_xlfn.XLOOKUP(D1325,Productos[ID_Producto],Productos[Nombre_Producto])</f>
        <v>Manteca</v>
      </c>
      <c r="I1325" s="17">
        <f t="array" ref="I1325">_xlfn.XLOOKUP(D1325,Productos[ID_Producto],Productos[Precio_Unitario])</f>
        <v>5.65</v>
      </c>
      <c r="J1325" s="17">
        <f t="shared" si="1"/>
        <v>16.95</v>
      </c>
      <c r="K1325" s="16" t="str">
        <f t="array" ref="K1325">_xlfn.XLOOKUP(C1325,Clientes[ID_Cliente],Clientes[Provincia])</f>
        <v>Neuquén</v>
      </c>
      <c r="L1325" s="16" t="str">
        <f t="array" ref="L1325">CONCATENATE(_xlfn.XLOOKUP(C1325,Clientes[ID_Cliente],Clientes[Provincia]),", Argentina")</f>
        <v>Neuquén, Argentina</v>
      </c>
      <c r="M1325" s="20" t="str">
        <f t="array" ref="M1325">_xlfn.XLOOKUP(F1325,Metodos_De_Pago[ID_Metodo],Metodos_De_Pago[Metodo])</f>
        <v>Mercado Pago</v>
      </c>
      <c r="N1325" s="20" t="str">
        <f t="shared" si="2"/>
        <v>2024 08</v>
      </c>
    </row>
    <row r="1326" ht="22.5" customHeight="1">
      <c r="A1326" s="12">
        <f>IFERROR(__xludf.DUMMYFUNCTION("""COMPUTED_VALUE"""),2934.0)</f>
        <v>2934</v>
      </c>
      <c r="B1326" s="13">
        <f>IFERROR(__xludf.DUMMYFUNCTION("""COMPUTED_VALUE"""),45525.0)</f>
        <v>45525</v>
      </c>
      <c r="C1326" s="12">
        <f>IFERROR(__xludf.DUMMYFUNCTION("""COMPUTED_VALUE"""),36.0)</f>
        <v>36</v>
      </c>
      <c r="D1326" s="12">
        <f>IFERROR(__xludf.DUMMYFUNCTION("""COMPUTED_VALUE"""),31.0)</f>
        <v>31</v>
      </c>
      <c r="E1326" s="12">
        <f>IFERROR(__xludf.DUMMYFUNCTION("""COMPUTED_VALUE"""),3.0)</f>
        <v>3</v>
      </c>
      <c r="F1326" s="12">
        <f>IFERROR(__xludf.DUMMYFUNCTION("""COMPUTED_VALUE"""),3.0)</f>
        <v>3</v>
      </c>
      <c r="G1326" s="15" t="str">
        <f>IFERROR(__xludf.DUMMYFUNCTION("""COMPUTED_VALUE"""),"Pendiente")</f>
        <v>Pendiente</v>
      </c>
      <c r="H1326" s="16" t="str">
        <f t="array" ref="H1326">_xlfn.XLOOKUP(D1326,Productos[ID_Producto],Productos[Nombre_Producto])</f>
        <v>Galletitas de agua</v>
      </c>
      <c r="I1326" s="17">
        <f t="array" ref="I1326">_xlfn.XLOOKUP(D1326,Productos[ID_Producto],Productos[Precio_Unitario])</f>
        <v>5.24</v>
      </c>
      <c r="J1326" s="17">
        <f t="shared" si="1"/>
        <v>15.72</v>
      </c>
      <c r="K1326" s="16" t="str">
        <f t="array" ref="K1326">_xlfn.XLOOKUP(C1326,Clientes[ID_Cliente],Clientes[Provincia])</f>
        <v>Buenos Aires</v>
      </c>
      <c r="L1326" s="16" t="str">
        <f t="array" ref="L1326">CONCATENATE(_xlfn.XLOOKUP(C1326,Clientes[ID_Cliente],Clientes[Provincia]),", Argentina")</f>
        <v>Buenos Aires, Argentina</v>
      </c>
      <c r="M1326" s="20" t="str">
        <f t="array" ref="M1326">_xlfn.XLOOKUP(F1326,Metodos_De_Pago[ID_Metodo],Metodos_De_Pago[Metodo])</f>
        <v>Tarjeta de Débito</v>
      </c>
      <c r="N1326" s="20" t="str">
        <f t="shared" si="2"/>
        <v>2024 08</v>
      </c>
    </row>
    <row r="1327" ht="22.5" customHeight="1">
      <c r="A1327" s="12">
        <f>IFERROR(__xludf.DUMMYFUNCTION("""COMPUTED_VALUE"""),2980.0)</f>
        <v>2980</v>
      </c>
      <c r="B1327" s="13">
        <f>IFERROR(__xludf.DUMMYFUNCTION("""COMPUTED_VALUE"""),45526.0)</f>
        <v>45526</v>
      </c>
      <c r="C1327" s="12">
        <f>IFERROR(__xludf.DUMMYFUNCTION("""COMPUTED_VALUE"""),301.0)</f>
        <v>301</v>
      </c>
      <c r="D1327" s="12">
        <f>IFERROR(__xludf.DUMMYFUNCTION("""COMPUTED_VALUE"""),14.0)</f>
        <v>14</v>
      </c>
      <c r="E1327" s="12">
        <f>IFERROR(__xludf.DUMMYFUNCTION("""COMPUTED_VALUE"""),3.0)</f>
        <v>3</v>
      </c>
      <c r="F1327" s="12">
        <f>IFERROR(__xludf.DUMMYFUNCTION("""COMPUTED_VALUE"""),1.0)</f>
        <v>1</v>
      </c>
      <c r="G1327" s="15" t="str">
        <f>IFERROR(__xludf.DUMMYFUNCTION("""COMPUTED_VALUE"""),"Completa")</f>
        <v>Completa</v>
      </c>
      <c r="H1327" s="16" t="str">
        <f t="array" ref="H1327">_xlfn.XLOOKUP(D1327,Productos[ID_Producto],Productos[Nombre_Producto])</f>
        <v>Facturas</v>
      </c>
      <c r="I1327" s="17">
        <f t="array" ref="I1327">_xlfn.XLOOKUP(D1327,Productos[ID_Producto],Productos[Precio_Unitario])</f>
        <v>12.36</v>
      </c>
      <c r="J1327" s="17">
        <f t="shared" si="1"/>
        <v>37.08</v>
      </c>
      <c r="K1327" s="16" t="str">
        <f t="array" ref="K1327">_xlfn.XLOOKUP(C1327,Clientes[ID_Cliente],Clientes[Provincia])</f>
        <v>San Luis</v>
      </c>
      <c r="L1327" s="16" t="str">
        <f t="array" ref="L1327">CONCATENATE(_xlfn.XLOOKUP(C1327,Clientes[ID_Cliente],Clientes[Provincia]),", Argentina")</f>
        <v>San Luis, Argentina</v>
      </c>
      <c r="M1327" s="20" t="str">
        <f t="array" ref="M1327">_xlfn.XLOOKUP(F1327,Metodos_De_Pago[ID_Metodo],Metodos_De_Pago[Metodo])</f>
        <v>Efectivo</v>
      </c>
      <c r="N1327" s="20" t="str">
        <f t="shared" si="2"/>
        <v>2024 08</v>
      </c>
    </row>
    <row r="1328" ht="22.5" customHeight="1">
      <c r="A1328" s="12">
        <f>IFERROR(__xludf.DUMMYFUNCTION("""COMPUTED_VALUE"""),136.0)</f>
        <v>136</v>
      </c>
      <c r="B1328" s="13">
        <f>IFERROR(__xludf.DUMMYFUNCTION("""COMPUTED_VALUE"""),45527.0)</f>
        <v>45527</v>
      </c>
      <c r="C1328" s="12">
        <f>IFERROR(__xludf.DUMMYFUNCTION("""COMPUTED_VALUE"""),258.0)</f>
        <v>258</v>
      </c>
      <c r="D1328" s="12">
        <f>IFERROR(__xludf.DUMMYFUNCTION("""COMPUTED_VALUE"""),26.0)</f>
        <v>26</v>
      </c>
      <c r="E1328" s="12">
        <f>IFERROR(__xludf.DUMMYFUNCTION("""COMPUTED_VALUE"""),3.0)</f>
        <v>3</v>
      </c>
      <c r="F1328" s="12">
        <f>IFERROR(__xludf.DUMMYFUNCTION("""COMPUTED_VALUE"""),4.0)</f>
        <v>4</v>
      </c>
      <c r="G1328" s="15" t="str">
        <f>IFERROR(__xludf.DUMMYFUNCTION("""COMPUTED_VALUE"""),"Completa")</f>
        <v>Completa</v>
      </c>
      <c r="H1328" s="16" t="str">
        <f t="array" ref="H1328">_xlfn.XLOOKUP(D1328,Productos[ID_Producto],Productos[Nombre_Producto])</f>
        <v>Hamburgesas congeladas</v>
      </c>
      <c r="I1328" s="17">
        <f t="array" ref="I1328">_xlfn.XLOOKUP(D1328,Productos[ID_Producto],Productos[Precio_Unitario])</f>
        <v>9.54</v>
      </c>
      <c r="J1328" s="17">
        <f t="shared" si="1"/>
        <v>28.62</v>
      </c>
      <c r="K1328" s="16" t="str">
        <f t="array" ref="K1328">_xlfn.XLOOKUP(C1328,Clientes[ID_Cliente],Clientes[Provincia])</f>
        <v>Córdoba</v>
      </c>
      <c r="L1328" s="16" t="str">
        <f t="array" ref="L1328">CONCATENATE(_xlfn.XLOOKUP(C1328,Clientes[ID_Cliente],Clientes[Provincia]),", Argentina")</f>
        <v>Córdoba, Argentina</v>
      </c>
      <c r="M1328" s="20" t="str">
        <f t="array" ref="M1328">_xlfn.XLOOKUP(F1328,Metodos_De_Pago[ID_Metodo],Metodos_De_Pago[Metodo])</f>
        <v>Mercado Pago</v>
      </c>
      <c r="N1328" s="20" t="str">
        <f t="shared" si="2"/>
        <v>2024 08</v>
      </c>
    </row>
    <row r="1329" ht="22.5" customHeight="1">
      <c r="A1329" s="12">
        <f>IFERROR(__xludf.DUMMYFUNCTION("""COMPUTED_VALUE"""),1591.0)</f>
        <v>1591</v>
      </c>
      <c r="B1329" s="13">
        <f>IFERROR(__xludf.DUMMYFUNCTION("""COMPUTED_VALUE"""),45527.0)</f>
        <v>45527</v>
      </c>
      <c r="C1329" s="12">
        <f>IFERROR(__xludf.DUMMYFUNCTION("""COMPUTED_VALUE"""),311.0)</f>
        <v>311</v>
      </c>
      <c r="D1329" s="12">
        <f>IFERROR(__xludf.DUMMYFUNCTION("""COMPUTED_VALUE"""),20.0)</f>
        <v>20</v>
      </c>
      <c r="E1329" s="12">
        <f>IFERROR(__xludf.DUMMYFUNCTION("""COMPUTED_VALUE"""),3.0)</f>
        <v>3</v>
      </c>
      <c r="F1329" s="12">
        <f>IFERROR(__xludf.DUMMYFUNCTION("""COMPUTED_VALUE"""),4.0)</f>
        <v>4</v>
      </c>
      <c r="G1329" s="15" t="str">
        <f>IFERROR(__xludf.DUMMYFUNCTION("""COMPUTED_VALUE"""),"Pendiente")</f>
        <v>Pendiente</v>
      </c>
      <c r="H1329" s="16" t="str">
        <f t="array" ref="H1329">_xlfn.XLOOKUP(D1329,Productos[ID_Producto],Productos[Nombre_Producto])</f>
        <v>Lechugas</v>
      </c>
      <c r="I1329" s="17">
        <f t="array" ref="I1329">_xlfn.XLOOKUP(D1329,Productos[ID_Producto],Productos[Precio_Unitario])</f>
        <v>4.25</v>
      </c>
      <c r="J1329" s="17">
        <f t="shared" si="1"/>
        <v>12.75</v>
      </c>
      <c r="K1329" s="16" t="str">
        <f t="array" ref="K1329">_xlfn.XLOOKUP(C1329,Clientes[ID_Cliente],Clientes[Provincia])</f>
        <v>Buenos Aires</v>
      </c>
      <c r="L1329" s="16" t="str">
        <f t="array" ref="L1329">CONCATENATE(_xlfn.XLOOKUP(C1329,Clientes[ID_Cliente],Clientes[Provincia]),", Argentina")</f>
        <v>Buenos Aires, Argentina</v>
      </c>
      <c r="M1329" s="20" t="str">
        <f t="array" ref="M1329">_xlfn.XLOOKUP(F1329,Metodos_De_Pago[ID_Metodo],Metodos_De_Pago[Metodo])</f>
        <v>Mercado Pago</v>
      </c>
      <c r="N1329" s="20" t="str">
        <f t="shared" si="2"/>
        <v>2024 08</v>
      </c>
    </row>
    <row r="1330" ht="22.5" customHeight="1">
      <c r="A1330" s="12">
        <f>IFERROR(__xludf.DUMMYFUNCTION("""COMPUTED_VALUE"""),1640.0)</f>
        <v>1640</v>
      </c>
      <c r="B1330" s="13">
        <f>IFERROR(__xludf.DUMMYFUNCTION("""COMPUTED_VALUE"""),45527.0)</f>
        <v>45527</v>
      </c>
      <c r="C1330" s="12">
        <f>IFERROR(__xludf.DUMMYFUNCTION("""COMPUTED_VALUE"""),128.0)</f>
        <v>128</v>
      </c>
      <c r="D1330" s="12">
        <f>IFERROR(__xludf.DUMMYFUNCTION("""COMPUTED_VALUE"""),34.0)</f>
        <v>34</v>
      </c>
      <c r="E1330" s="12">
        <f>IFERROR(__xludf.DUMMYFUNCTION("""COMPUTED_VALUE"""),3.0)</f>
        <v>3</v>
      </c>
      <c r="F1330" s="12">
        <f>IFERROR(__xludf.DUMMYFUNCTION("""COMPUTED_VALUE"""),5.0)</f>
        <v>5</v>
      </c>
      <c r="G1330" s="15" t="str">
        <f>IFERROR(__xludf.DUMMYFUNCTION("""COMPUTED_VALUE"""),"Completa")</f>
        <v>Completa</v>
      </c>
      <c r="H1330" s="16" t="str">
        <f t="array" ref="H1330">_xlfn.XLOOKUP(D1330,Productos[ID_Producto],Productos[Nombre_Producto])</f>
        <v>Maníes</v>
      </c>
      <c r="I1330" s="17">
        <f t="array" ref="I1330">_xlfn.XLOOKUP(D1330,Productos[ID_Producto],Productos[Precio_Unitario])</f>
        <v>5.45</v>
      </c>
      <c r="J1330" s="17">
        <f t="shared" si="1"/>
        <v>16.35</v>
      </c>
      <c r="K1330" s="16" t="str">
        <f t="array" ref="K1330">_xlfn.XLOOKUP(C1330,Clientes[ID_Cliente],Clientes[Provincia])</f>
        <v>Buenos Aires</v>
      </c>
      <c r="L1330" s="16" t="str">
        <f t="array" ref="L1330">CONCATENATE(_xlfn.XLOOKUP(C1330,Clientes[ID_Cliente],Clientes[Provincia]),", Argentina")</f>
        <v>Buenos Aires, Argentina</v>
      </c>
      <c r="M1330" s="20" t="str">
        <f t="array" ref="M1330">_xlfn.XLOOKUP(F1330,Metodos_De_Pago[ID_Metodo],Metodos_De_Pago[Metodo])</f>
        <v>Transferencia</v>
      </c>
      <c r="N1330" s="20" t="str">
        <f t="shared" si="2"/>
        <v>2024 08</v>
      </c>
    </row>
    <row r="1331" ht="22.5" customHeight="1">
      <c r="A1331" s="12">
        <f>IFERROR(__xludf.DUMMYFUNCTION("""COMPUTED_VALUE"""),2870.0)</f>
        <v>2870</v>
      </c>
      <c r="B1331" s="13">
        <f>IFERROR(__xludf.DUMMYFUNCTION("""COMPUTED_VALUE"""),45527.0)</f>
        <v>45527</v>
      </c>
      <c r="C1331" s="12">
        <f>IFERROR(__xludf.DUMMYFUNCTION("""COMPUTED_VALUE"""),149.0)</f>
        <v>149</v>
      </c>
      <c r="D1331" s="12">
        <f>IFERROR(__xludf.DUMMYFUNCTION("""COMPUTED_VALUE"""),18.0)</f>
        <v>18</v>
      </c>
      <c r="E1331" s="12">
        <f>IFERROR(__xludf.DUMMYFUNCTION("""COMPUTED_VALUE"""),3.0)</f>
        <v>3</v>
      </c>
      <c r="F1331" s="12">
        <f>IFERROR(__xludf.DUMMYFUNCTION("""COMPUTED_VALUE"""),2.0)</f>
        <v>2</v>
      </c>
      <c r="G1331" s="15" t="str">
        <f>IFERROR(__xludf.DUMMYFUNCTION("""COMPUTED_VALUE"""),"Completa")</f>
        <v>Completa</v>
      </c>
      <c r="H1331" s="16" t="str">
        <f t="array" ref="H1331">_xlfn.XLOOKUP(D1331,Productos[ID_Producto],Productos[Nombre_Producto])</f>
        <v>Bananas</v>
      </c>
      <c r="I1331" s="17">
        <f t="array" ref="I1331">_xlfn.XLOOKUP(D1331,Productos[ID_Producto],Productos[Precio_Unitario])</f>
        <v>7.25</v>
      </c>
      <c r="J1331" s="17">
        <f t="shared" si="1"/>
        <v>21.75</v>
      </c>
      <c r="K1331" s="16" t="str">
        <f t="array" ref="K1331">_xlfn.XLOOKUP(C1331,Clientes[ID_Cliente],Clientes[Provincia])</f>
        <v>San Luis</v>
      </c>
      <c r="L1331" s="16" t="str">
        <f t="array" ref="L1331">CONCATENATE(_xlfn.XLOOKUP(C1331,Clientes[ID_Cliente],Clientes[Provincia]),", Argentina")</f>
        <v>San Luis, Argentina</v>
      </c>
      <c r="M1331" s="20" t="str">
        <f t="array" ref="M1331">_xlfn.XLOOKUP(F1331,Metodos_De_Pago[ID_Metodo],Metodos_De_Pago[Metodo])</f>
        <v>Tarjeta de Crédito</v>
      </c>
      <c r="N1331" s="20" t="str">
        <f t="shared" si="2"/>
        <v>2024 08</v>
      </c>
    </row>
    <row r="1332" ht="22.5" customHeight="1">
      <c r="A1332" s="12">
        <f>IFERROR(__xludf.DUMMYFUNCTION("""COMPUTED_VALUE"""),639.0)</f>
        <v>639</v>
      </c>
      <c r="B1332" s="13">
        <f>IFERROR(__xludf.DUMMYFUNCTION("""COMPUTED_VALUE"""),45529.0)</f>
        <v>45529</v>
      </c>
      <c r="C1332" s="12">
        <f>IFERROR(__xludf.DUMMYFUNCTION("""COMPUTED_VALUE"""),279.0)</f>
        <v>279</v>
      </c>
      <c r="D1332" s="12">
        <f>IFERROR(__xludf.DUMMYFUNCTION("""COMPUTED_VALUE"""),29.0)</f>
        <v>29</v>
      </c>
      <c r="E1332" s="12">
        <f>IFERROR(__xludf.DUMMYFUNCTION("""COMPUTED_VALUE"""),3.0)</f>
        <v>3</v>
      </c>
      <c r="F1332" s="12">
        <f>IFERROR(__xludf.DUMMYFUNCTION("""COMPUTED_VALUE"""),1.0)</f>
        <v>1</v>
      </c>
      <c r="G1332" s="15" t="str">
        <f>IFERROR(__xludf.DUMMYFUNCTION("""COMPUTED_VALUE"""),"Completa")</f>
        <v>Completa</v>
      </c>
      <c r="H1332" s="16" t="str">
        <f t="array" ref="H1332">_xlfn.XLOOKUP(D1332,Productos[ID_Producto],Productos[Nombre_Producto])</f>
        <v>Cerveza</v>
      </c>
      <c r="I1332" s="17">
        <f t="array" ref="I1332">_xlfn.XLOOKUP(D1332,Productos[ID_Producto],Productos[Precio_Unitario])</f>
        <v>11.54</v>
      </c>
      <c r="J1332" s="17">
        <f t="shared" si="1"/>
        <v>34.62</v>
      </c>
      <c r="K1332" s="16" t="str">
        <f t="array" ref="K1332">_xlfn.XLOOKUP(C1332,Clientes[ID_Cliente],Clientes[Provincia])</f>
        <v>Córdoba</v>
      </c>
      <c r="L1332" s="16" t="str">
        <f t="array" ref="L1332">CONCATENATE(_xlfn.XLOOKUP(C1332,Clientes[ID_Cliente],Clientes[Provincia]),", Argentina")</f>
        <v>Córdoba, Argentina</v>
      </c>
      <c r="M1332" s="20" t="str">
        <f t="array" ref="M1332">_xlfn.XLOOKUP(F1332,Metodos_De_Pago[ID_Metodo],Metodos_De_Pago[Metodo])</f>
        <v>Efectivo</v>
      </c>
      <c r="N1332" s="20" t="str">
        <f t="shared" si="2"/>
        <v>2024 08</v>
      </c>
    </row>
    <row r="1333" ht="22.5" customHeight="1">
      <c r="A1333" s="12">
        <f>IFERROR(__xludf.DUMMYFUNCTION("""COMPUTED_VALUE"""),1245.0)</f>
        <v>1245</v>
      </c>
      <c r="B1333" s="13">
        <f>IFERROR(__xludf.DUMMYFUNCTION("""COMPUTED_VALUE"""),45529.0)</f>
        <v>45529</v>
      </c>
      <c r="C1333" s="12">
        <f>IFERROR(__xludf.DUMMYFUNCTION("""COMPUTED_VALUE"""),316.0)</f>
        <v>316</v>
      </c>
      <c r="D1333" s="12">
        <f>IFERROR(__xludf.DUMMYFUNCTION("""COMPUTED_VALUE"""),29.0)</f>
        <v>29</v>
      </c>
      <c r="E1333" s="12">
        <f>IFERROR(__xludf.DUMMYFUNCTION("""COMPUTED_VALUE"""),3.0)</f>
        <v>3</v>
      </c>
      <c r="F1333" s="12">
        <f>IFERROR(__xludf.DUMMYFUNCTION("""COMPUTED_VALUE"""),3.0)</f>
        <v>3</v>
      </c>
      <c r="G1333" s="15" t="str">
        <f>IFERROR(__xludf.DUMMYFUNCTION("""COMPUTED_VALUE"""),"Completa")</f>
        <v>Completa</v>
      </c>
      <c r="H1333" s="16" t="str">
        <f t="array" ref="H1333">_xlfn.XLOOKUP(D1333,Productos[ID_Producto],Productos[Nombre_Producto])</f>
        <v>Cerveza</v>
      </c>
      <c r="I1333" s="17">
        <f t="array" ref="I1333">_xlfn.XLOOKUP(D1333,Productos[ID_Producto],Productos[Precio_Unitario])</f>
        <v>11.54</v>
      </c>
      <c r="J1333" s="17">
        <f t="shared" si="1"/>
        <v>34.62</v>
      </c>
      <c r="K1333" s="16" t="str">
        <f t="array" ref="K1333">_xlfn.XLOOKUP(C1333,Clientes[ID_Cliente],Clientes[Provincia])</f>
        <v>Córdoba</v>
      </c>
      <c r="L1333" s="16" t="str">
        <f t="array" ref="L1333">CONCATENATE(_xlfn.XLOOKUP(C1333,Clientes[ID_Cliente],Clientes[Provincia]),", Argentina")</f>
        <v>Córdoba, Argentina</v>
      </c>
      <c r="M1333" s="20" t="str">
        <f t="array" ref="M1333">_xlfn.XLOOKUP(F1333,Metodos_De_Pago[ID_Metodo],Metodos_De_Pago[Metodo])</f>
        <v>Tarjeta de Débito</v>
      </c>
      <c r="N1333" s="20" t="str">
        <f t="shared" si="2"/>
        <v>2024 08</v>
      </c>
    </row>
    <row r="1334" ht="22.5" customHeight="1">
      <c r="A1334" s="12">
        <f>IFERROR(__xludf.DUMMYFUNCTION("""COMPUTED_VALUE"""),1381.0)</f>
        <v>1381</v>
      </c>
      <c r="B1334" s="13">
        <f>IFERROR(__xludf.DUMMYFUNCTION("""COMPUTED_VALUE"""),45529.0)</f>
        <v>45529</v>
      </c>
      <c r="C1334" s="12">
        <f>IFERROR(__xludf.DUMMYFUNCTION("""COMPUTED_VALUE"""),161.0)</f>
        <v>161</v>
      </c>
      <c r="D1334" s="12">
        <f>IFERROR(__xludf.DUMMYFUNCTION("""COMPUTED_VALUE"""),20.0)</f>
        <v>20</v>
      </c>
      <c r="E1334" s="12">
        <f>IFERROR(__xludf.DUMMYFUNCTION("""COMPUTED_VALUE"""),3.0)</f>
        <v>3</v>
      </c>
      <c r="F1334" s="12">
        <f>IFERROR(__xludf.DUMMYFUNCTION("""COMPUTED_VALUE"""),2.0)</f>
        <v>2</v>
      </c>
      <c r="G1334" s="15" t="str">
        <f>IFERROR(__xludf.DUMMYFUNCTION("""COMPUTED_VALUE"""),"Completa")</f>
        <v>Completa</v>
      </c>
      <c r="H1334" s="16" t="str">
        <f t="array" ref="H1334">_xlfn.XLOOKUP(D1334,Productos[ID_Producto],Productos[Nombre_Producto])</f>
        <v>Lechugas</v>
      </c>
      <c r="I1334" s="17">
        <f t="array" ref="I1334">_xlfn.XLOOKUP(D1334,Productos[ID_Producto],Productos[Precio_Unitario])</f>
        <v>4.25</v>
      </c>
      <c r="J1334" s="17">
        <f t="shared" si="1"/>
        <v>12.75</v>
      </c>
      <c r="K1334" s="16" t="str">
        <f t="array" ref="K1334">_xlfn.XLOOKUP(C1334,Clientes[ID_Cliente],Clientes[Provincia])</f>
        <v>Neuquén</v>
      </c>
      <c r="L1334" s="16" t="str">
        <f t="array" ref="L1334">CONCATENATE(_xlfn.XLOOKUP(C1334,Clientes[ID_Cliente],Clientes[Provincia]),", Argentina")</f>
        <v>Neuquén, Argentina</v>
      </c>
      <c r="M1334" s="20" t="str">
        <f t="array" ref="M1334">_xlfn.XLOOKUP(F1334,Metodos_De_Pago[ID_Metodo],Metodos_De_Pago[Metodo])</f>
        <v>Tarjeta de Crédito</v>
      </c>
      <c r="N1334" s="20" t="str">
        <f t="shared" si="2"/>
        <v>2024 08</v>
      </c>
    </row>
    <row r="1335" ht="22.5" customHeight="1">
      <c r="A1335" s="12">
        <f>IFERROR(__xludf.DUMMYFUNCTION("""COMPUTED_VALUE"""),2424.0)</f>
        <v>2424</v>
      </c>
      <c r="B1335" s="13">
        <f>IFERROR(__xludf.DUMMYFUNCTION("""COMPUTED_VALUE"""),45529.0)</f>
        <v>45529</v>
      </c>
      <c r="C1335" s="12">
        <f>IFERROR(__xludf.DUMMYFUNCTION("""COMPUTED_VALUE"""),61.0)</f>
        <v>61</v>
      </c>
      <c r="D1335" s="12">
        <f>IFERROR(__xludf.DUMMYFUNCTION("""COMPUTED_VALUE"""),14.0)</f>
        <v>14</v>
      </c>
      <c r="E1335" s="12">
        <f>IFERROR(__xludf.DUMMYFUNCTION("""COMPUTED_VALUE"""),3.0)</f>
        <v>3</v>
      </c>
      <c r="F1335" s="12">
        <f>IFERROR(__xludf.DUMMYFUNCTION("""COMPUTED_VALUE"""),3.0)</f>
        <v>3</v>
      </c>
      <c r="G1335" s="15" t="str">
        <f>IFERROR(__xludf.DUMMYFUNCTION("""COMPUTED_VALUE"""),"Completa")</f>
        <v>Completa</v>
      </c>
      <c r="H1335" s="16" t="str">
        <f t="array" ref="H1335">_xlfn.XLOOKUP(D1335,Productos[ID_Producto],Productos[Nombre_Producto])</f>
        <v>Facturas</v>
      </c>
      <c r="I1335" s="17">
        <f t="array" ref="I1335">_xlfn.XLOOKUP(D1335,Productos[ID_Producto],Productos[Precio_Unitario])</f>
        <v>12.36</v>
      </c>
      <c r="J1335" s="17">
        <f t="shared" si="1"/>
        <v>37.08</v>
      </c>
      <c r="K1335" s="16" t="str">
        <f t="array" ref="K1335">_xlfn.XLOOKUP(C1335,Clientes[ID_Cliente],Clientes[Provincia])</f>
        <v>Buenos Aires</v>
      </c>
      <c r="L1335" s="16" t="str">
        <f t="array" ref="L1335">CONCATENATE(_xlfn.XLOOKUP(C1335,Clientes[ID_Cliente],Clientes[Provincia]),", Argentina")</f>
        <v>Buenos Aires, Argentina</v>
      </c>
      <c r="M1335" s="20" t="str">
        <f t="array" ref="M1335">_xlfn.XLOOKUP(F1335,Metodos_De_Pago[ID_Metodo],Metodos_De_Pago[Metodo])</f>
        <v>Tarjeta de Débito</v>
      </c>
      <c r="N1335" s="20" t="str">
        <f t="shared" si="2"/>
        <v>2024 08</v>
      </c>
    </row>
    <row r="1336" ht="22.5" customHeight="1">
      <c r="A1336" s="12">
        <f>IFERROR(__xludf.DUMMYFUNCTION("""COMPUTED_VALUE"""),508.0)</f>
        <v>508</v>
      </c>
      <c r="B1336" s="13">
        <f>IFERROR(__xludf.DUMMYFUNCTION("""COMPUTED_VALUE"""),45530.0)</f>
        <v>45530</v>
      </c>
      <c r="C1336" s="12">
        <f>IFERROR(__xludf.DUMMYFUNCTION("""COMPUTED_VALUE"""),14.0)</f>
        <v>14</v>
      </c>
      <c r="D1336" s="12">
        <f>IFERROR(__xludf.DUMMYFUNCTION("""COMPUTED_VALUE"""),32.0)</f>
        <v>32</v>
      </c>
      <c r="E1336" s="12">
        <f>IFERROR(__xludf.DUMMYFUNCTION("""COMPUTED_VALUE"""),3.0)</f>
        <v>3</v>
      </c>
      <c r="F1336" s="12">
        <f>IFERROR(__xludf.DUMMYFUNCTION("""COMPUTED_VALUE"""),4.0)</f>
        <v>4</v>
      </c>
      <c r="G1336" s="15" t="str">
        <f>IFERROR(__xludf.DUMMYFUNCTION("""COMPUTED_VALUE"""),"Completa")</f>
        <v>Completa</v>
      </c>
      <c r="H1336" s="16" t="str">
        <f t="array" ref="H1336">_xlfn.XLOOKUP(D1336,Productos[ID_Producto],Productos[Nombre_Producto])</f>
        <v>Galletitas de chocolate</v>
      </c>
      <c r="I1336" s="17">
        <f t="array" ref="I1336">_xlfn.XLOOKUP(D1336,Productos[ID_Producto],Productos[Precio_Unitario])</f>
        <v>6.25</v>
      </c>
      <c r="J1336" s="17">
        <f t="shared" si="1"/>
        <v>18.75</v>
      </c>
      <c r="K1336" s="16" t="str">
        <f t="array" ref="K1336">_xlfn.XLOOKUP(C1336,Clientes[ID_Cliente],Clientes[Provincia])</f>
        <v>Buenos Aires</v>
      </c>
      <c r="L1336" s="16" t="str">
        <f t="array" ref="L1336">CONCATENATE(_xlfn.XLOOKUP(C1336,Clientes[ID_Cliente],Clientes[Provincia]),", Argentina")</f>
        <v>Buenos Aires, Argentina</v>
      </c>
      <c r="M1336" s="20" t="str">
        <f t="array" ref="M1336">_xlfn.XLOOKUP(F1336,Metodos_De_Pago[ID_Metodo],Metodos_De_Pago[Metodo])</f>
        <v>Mercado Pago</v>
      </c>
      <c r="N1336" s="20" t="str">
        <f t="shared" si="2"/>
        <v>2024 08</v>
      </c>
    </row>
    <row r="1337" ht="22.5" customHeight="1">
      <c r="A1337" s="12">
        <f>IFERROR(__xludf.DUMMYFUNCTION("""COMPUTED_VALUE"""),1419.0)</f>
        <v>1419</v>
      </c>
      <c r="B1337" s="13">
        <f>IFERROR(__xludf.DUMMYFUNCTION("""COMPUTED_VALUE"""),45530.0)</f>
        <v>45530</v>
      </c>
      <c r="C1337" s="12">
        <f>IFERROR(__xludf.DUMMYFUNCTION("""COMPUTED_VALUE"""),278.0)</f>
        <v>278</v>
      </c>
      <c r="D1337" s="12">
        <f>IFERROR(__xludf.DUMMYFUNCTION("""COMPUTED_VALUE"""),22.0)</f>
        <v>22</v>
      </c>
      <c r="E1337" s="12">
        <f>IFERROR(__xludf.DUMMYFUNCTION("""COMPUTED_VALUE"""),3.0)</f>
        <v>3</v>
      </c>
      <c r="F1337" s="12">
        <f>IFERROR(__xludf.DUMMYFUNCTION("""COMPUTED_VALUE"""),1.0)</f>
        <v>1</v>
      </c>
      <c r="G1337" s="15" t="str">
        <f>IFERROR(__xludf.DUMMYFUNCTION("""COMPUTED_VALUE"""),"Completa")</f>
        <v>Completa</v>
      </c>
      <c r="H1337" s="16" t="str">
        <f t="array" ref="H1337">_xlfn.XLOOKUP(D1337,Productos[ID_Producto],Productos[Nombre_Producto])</f>
        <v>Cebolla</v>
      </c>
      <c r="I1337" s="17">
        <f t="array" ref="I1337">_xlfn.XLOOKUP(D1337,Productos[ID_Producto],Productos[Precio_Unitario])</f>
        <v>4.21</v>
      </c>
      <c r="J1337" s="17">
        <f t="shared" si="1"/>
        <v>12.63</v>
      </c>
      <c r="K1337" s="16" t="str">
        <f t="array" ref="K1337">_xlfn.XLOOKUP(C1337,Clientes[ID_Cliente],Clientes[Provincia])</f>
        <v>Córdoba</v>
      </c>
      <c r="L1337" s="16" t="str">
        <f t="array" ref="L1337">CONCATENATE(_xlfn.XLOOKUP(C1337,Clientes[ID_Cliente],Clientes[Provincia]),", Argentina")</f>
        <v>Córdoba, Argentina</v>
      </c>
      <c r="M1337" s="20" t="str">
        <f t="array" ref="M1337">_xlfn.XLOOKUP(F1337,Metodos_De_Pago[ID_Metodo],Metodos_De_Pago[Metodo])</f>
        <v>Efectivo</v>
      </c>
      <c r="N1337" s="20" t="str">
        <f t="shared" si="2"/>
        <v>2024 08</v>
      </c>
    </row>
    <row r="1338" ht="22.5" customHeight="1">
      <c r="A1338" s="12">
        <f>IFERROR(__xludf.DUMMYFUNCTION("""COMPUTED_VALUE"""),1486.0)</f>
        <v>1486</v>
      </c>
      <c r="B1338" s="13">
        <f>IFERROR(__xludf.DUMMYFUNCTION("""COMPUTED_VALUE"""),45530.0)</f>
        <v>45530</v>
      </c>
      <c r="C1338" s="12">
        <f>IFERROR(__xludf.DUMMYFUNCTION("""COMPUTED_VALUE"""),313.0)</f>
        <v>313</v>
      </c>
      <c r="D1338" s="12">
        <f>IFERROR(__xludf.DUMMYFUNCTION("""COMPUTED_VALUE"""),5.0)</f>
        <v>5</v>
      </c>
      <c r="E1338" s="12">
        <f>IFERROR(__xludf.DUMMYFUNCTION("""COMPUTED_VALUE"""),3.0)</f>
        <v>3</v>
      </c>
      <c r="F1338" s="12">
        <f>IFERROR(__xludf.DUMMYFUNCTION("""COMPUTED_VALUE"""),1.0)</f>
        <v>1</v>
      </c>
      <c r="G1338" s="15" t="str">
        <f>IFERROR(__xludf.DUMMYFUNCTION("""COMPUTED_VALUE"""),"Completa")</f>
        <v>Completa</v>
      </c>
      <c r="H1338" s="16" t="str">
        <f t="array" ref="H1338">_xlfn.XLOOKUP(D1338,Productos[ID_Producto],Productos[Nombre_Producto])</f>
        <v>Manteca</v>
      </c>
      <c r="I1338" s="17">
        <f t="array" ref="I1338">_xlfn.XLOOKUP(D1338,Productos[ID_Producto],Productos[Precio_Unitario])</f>
        <v>5.65</v>
      </c>
      <c r="J1338" s="17">
        <f t="shared" si="1"/>
        <v>16.95</v>
      </c>
      <c r="K1338" s="16" t="str">
        <f t="array" ref="K1338">_xlfn.XLOOKUP(C1338,Clientes[ID_Cliente],Clientes[Provincia])</f>
        <v>San Luis</v>
      </c>
      <c r="L1338" s="16" t="str">
        <f t="array" ref="L1338">CONCATENATE(_xlfn.XLOOKUP(C1338,Clientes[ID_Cliente],Clientes[Provincia]),", Argentina")</f>
        <v>San Luis, Argentina</v>
      </c>
      <c r="M1338" s="20" t="str">
        <f t="array" ref="M1338">_xlfn.XLOOKUP(F1338,Metodos_De_Pago[ID_Metodo],Metodos_De_Pago[Metodo])</f>
        <v>Efectivo</v>
      </c>
      <c r="N1338" s="20" t="str">
        <f t="shared" si="2"/>
        <v>2024 08</v>
      </c>
    </row>
    <row r="1339" ht="22.5" customHeight="1">
      <c r="A1339" s="12">
        <f>IFERROR(__xludf.DUMMYFUNCTION("""COMPUTED_VALUE"""),2166.0)</f>
        <v>2166</v>
      </c>
      <c r="B1339" s="13">
        <f>IFERROR(__xludf.DUMMYFUNCTION("""COMPUTED_VALUE"""),45530.0)</f>
        <v>45530</v>
      </c>
      <c r="C1339" s="12">
        <f>IFERROR(__xludf.DUMMYFUNCTION("""COMPUTED_VALUE"""),153.0)</f>
        <v>153</v>
      </c>
      <c r="D1339" s="12">
        <f>IFERROR(__xludf.DUMMYFUNCTION("""COMPUTED_VALUE"""),36.0)</f>
        <v>36</v>
      </c>
      <c r="E1339" s="12">
        <f>IFERROR(__xludf.DUMMYFUNCTION("""COMPUTED_VALUE"""),3.0)</f>
        <v>3</v>
      </c>
      <c r="F1339" s="12">
        <f>IFERROR(__xludf.DUMMYFUNCTION("""COMPUTED_VALUE"""),5.0)</f>
        <v>5</v>
      </c>
      <c r="G1339" s="15" t="str">
        <f>IFERROR(__xludf.DUMMYFUNCTION("""COMPUTED_VALUE"""),"Completa")</f>
        <v>Completa</v>
      </c>
      <c r="H1339" s="16" t="str">
        <f t="array" ref="H1339">_xlfn.XLOOKUP(D1339,Productos[ID_Producto],Productos[Nombre_Producto])</f>
        <v>Lentejas</v>
      </c>
      <c r="I1339" s="17">
        <f t="array" ref="I1339">_xlfn.XLOOKUP(D1339,Productos[ID_Producto],Productos[Precio_Unitario])</f>
        <v>3.25</v>
      </c>
      <c r="J1339" s="17">
        <f t="shared" si="1"/>
        <v>9.75</v>
      </c>
      <c r="K1339" s="16" t="str">
        <f t="array" ref="K1339">_xlfn.XLOOKUP(C1339,Clientes[ID_Cliente],Clientes[Provincia])</f>
        <v>San Luis</v>
      </c>
      <c r="L1339" s="16" t="str">
        <f t="array" ref="L1339">CONCATENATE(_xlfn.XLOOKUP(C1339,Clientes[ID_Cliente],Clientes[Provincia]),", Argentina")</f>
        <v>San Luis, Argentina</v>
      </c>
      <c r="M1339" s="20" t="str">
        <f t="array" ref="M1339">_xlfn.XLOOKUP(F1339,Metodos_De_Pago[ID_Metodo],Metodos_De_Pago[Metodo])</f>
        <v>Transferencia</v>
      </c>
      <c r="N1339" s="20" t="str">
        <f t="shared" si="2"/>
        <v>2024 08</v>
      </c>
    </row>
    <row r="1340" ht="22.5" customHeight="1">
      <c r="A1340" s="12">
        <f>IFERROR(__xludf.DUMMYFUNCTION("""COMPUTED_VALUE"""),888.0)</f>
        <v>888</v>
      </c>
      <c r="B1340" s="13">
        <f>IFERROR(__xludf.DUMMYFUNCTION("""COMPUTED_VALUE"""),45531.0)</f>
        <v>45531</v>
      </c>
      <c r="C1340" s="12">
        <f>IFERROR(__xludf.DUMMYFUNCTION("""COMPUTED_VALUE"""),90.0)</f>
        <v>90</v>
      </c>
      <c r="D1340" s="12">
        <f>IFERROR(__xludf.DUMMYFUNCTION("""COMPUTED_VALUE"""),6.0)</f>
        <v>6</v>
      </c>
      <c r="E1340" s="12">
        <f>IFERROR(__xludf.DUMMYFUNCTION("""COMPUTED_VALUE"""),3.0)</f>
        <v>3</v>
      </c>
      <c r="F1340" s="12">
        <f>IFERROR(__xludf.DUMMYFUNCTION("""COMPUTED_VALUE"""),3.0)</f>
        <v>3</v>
      </c>
      <c r="G1340" s="15" t="str">
        <f>IFERROR(__xludf.DUMMYFUNCTION("""COMPUTED_VALUE"""),"Completa")</f>
        <v>Completa</v>
      </c>
      <c r="H1340" s="16" t="str">
        <f t="array" ref="H1340">_xlfn.XLOOKUP(D1340,Productos[ID_Producto],Productos[Nombre_Producto])</f>
        <v>Asado</v>
      </c>
      <c r="I1340" s="17">
        <f t="array" ref="I1340">_xlfn.XLOOKUP(D1340,Productos[ID_Producto],Productos[Precio_Unitario])</f>
        <v>28.56</v>
      </c>
      <c r="J1340" s="17">
        <f t="shared" si="1"/>
        <v>85.68</v>
      </c>
      <c r="K1340" s="16" t="str">
        <f t="array" ref="K1340">_xlfn.XLOOKUP(C1340,Clientes[ID_Cliente],Clientes[Provincia])</f>
        <v>Buenos Aires</v>
      </c>
      <c r="L1340" s="16" t="str">
        <f t="array" ref="L1340">CONCATENATE(_xlfn.XLOOKUP(C1340,Clientes[ID_Cliente],Clientes[Provincia]),", Argentina")</f>
        <v>Buenos Aires, Argentina</v>
      </c>
      <c r="M1340" s="20" t="str">
        <f t="array" ref="M1340">_xlfn.XLOOKUP(F1340,Metodos_De_Pago[ID_Metodo],Metodos_De_Pago[Metodo])</f>
        <v>Tarjeta de Débito</v>
      </c>
      <c r="N1340" s="20" t="str">
        <f t="shared" si="2"/>
        <v>2024 08</v>
      </c>
    </row>
    <row r="1341" ht="22.5" customHeight="1">
      <c r="A1341" s="12">
        <f>IFERROR(__xludf.DUMMYFUNCTION("""COMPUTED_VALUE"""),1053.0)</f>
        <v>1053</v>
      </c>
      <c r="B1341" s="13">
        <f>IFERROR(__xludf.DUMMYFUNCTION("""COMPUTED_VALUE"""),45532.0)</f>
        <v>45532</v>
      </c>
      <c r="C1341" s="12">
        <f>IFERROR(__xludf.DUMMYFUNCTION("""COMPUTED_VALUE"""),23.0)</f>
        <v>23</v>
      </c>
      <c r="D1341" s="12">
        <f>IFERROR(__xludf.DUMMYFUNCTION("""COMPUTED_VALUE"""),2.0)</f>
        <v>2</v>
      </c>
      <c r="E1341" s="12">
        <f>IFERROR(__xludf.DUMMYFUNCTION("""COMPUTED_VALUE"""),3.0)</f>
        <v>3</v>
      </c>
      <c r="F1341" s="12">
        <f>IFERROR(__xludf.DUMMYFUNCTION("""COMPUTED_VALUE"""),1.0)</f>
        <v>1</v>
      </c>
      <c r="G1341" s="15" t="str">
        <f>IFERROR(__xludf.DUMMYFUNCTION("""COMPUTED_VALUE"""),"Completa")</f>
        <v>Completa</v>
      </c>
      <c r="H1341" s="16" t="str">
        <f t="array" ref="H1341">_xlfn.XLOOKUP(D1341,Productos[ID_Producto],Productos[Nombre_Producto])</f>
        <v>Yogur</v>
      </c>
      <c r="I1341" s="17">
        <f t="array" ref="I1341">_xlfn.XLOOKUP(D1341,Productos[ID_Producto],Productos[Precio_Unitario])</f>
        <v>5.21</v>
      </c>
      <c r="J1341" s="17">
        <f t="shared" si="1"/>
        <v>15.63</v>
      </c>
      <c r="K1341" s="16" t="str">
        <f t="array" ref="K1341">_xlfn.XLOOKUP(C1341,Clientes[ID_Cliente],Clientes[Provincia])</f>
        <v>Neuquén</v>
      </c>
      <c r="L1341" s="16" t="str">
        <f t="array" ref="L1341">CONCATENATE(_xlfn.XLOOKUP(C1341,Clientes[ID_Cliente],Clientes[Provincia]),", Argentina")</f>
        <v>Neuquén, Argentina</v>
      </c>
      <c r="M1341" s="20" t="str">
        <f t="array" ref="M1341">_xlfn.XLOOKUP(F1341,Metodos_De_Pago[ID_Metodo],Metodos_De_Pago[Metodo])</f>
        <v>Efectivo</v>
      </c>
      <c r="N1341" s="20" t="str">
        <f t="shared" si="2"/>
        <v>2024 08</v>
      </c>
    </row>
    <row r="1342" ht="22.5" customHeight="1">
      <c r="A1342" s="12">
        <f>IFERROR(__xludf.DUMMYFUNCTION("""COMPUTED_VALUE"""),670.0)</f>
        <v>670</v>
      </c>
      <c r="B1342" s="13">
        <f>IFERROR(__xludf.DUMMYFUNCTION("""COMPUTED_VALUE"""),45533.0)</f>
        <v>45533</v>
      </c>
      <c r="C1342" s="12">
        <f>IFERROR(__xludf.DUMMYFUNCTION("""COMPUTED_VALUE"""),80.0)</f>
        <v>80</v>
      </c>
      <c r="D1342" s="12">
        <f>IFERROR(__xludf.DUMMYFUNCTION("""COMPUTED_VALUE"""),7.0)</f>
        <v>7</v>
      </c>
      <c r="E1342" s="12">
        <f>IFERROR(__xludf.DUMMYFUNCTION("""COMPUTED_VALUE"""),3.0)</f>
        <v>3</v>
      </c>
      <c r="F1342" s="12">
        <f>IFERROR(__xludf.DUMMYFUNCTION("""COMPUTED_VALUE"""),2.0)</f>
        <v>2</v>
      </c>
      <c r="G1342" s="15" t="str">
        <f>IFERROR(__xludf.DUMMYFUNCTION("""COMPUTED_VALUE"""),"Completa")</f>
        <v>Completa</v>
      </c>
      <c r="H1342" s="16" t="str">
        <f t="array" ref="H1342">_xlfn.XLOOKUP(D1342,Productos[ID_Producto],Productos[Nombre_Producto])</f>
        <v>Chorizo</v>
      </c>
      <c r="I1342" s="17">
        <f t="array" ref="I1342">_xlfn.XLOOKUP(D1342,Productos[ID_Producto],Productos[Precio_Unitario])</f>
        <v>11.25</v>
      </c>
      <c r="J1342" s="17">
        <f t="shared" si="1"/>
        <v>33.75</v>
      </c>
      <c r="K1342" s="16" t="str">
        <f t="array" ref="K1342">_xlfn.XLOOKUP(C1342,Clientes[ID_Cliente],Clientes[Provincia])</f>
        <v>Chaco</v>
      </c>
      <c r="L1342" s="16" t="str">
        <f t="array" ref="L1342">CONCATENATE(_xlfn.XLOOKUP(C1342,Clientes[ID_Cliente],Clientes[Provincia]),", Argentina")</f>
        <v>Chaco, Argentina</v>
      </c>
      <c r="M1342" s="20" t="str">
        <f t="array" ref="M1342">_xlfn.XLOOKUP(F1342,Metodos_De_Pago[ID_Metodo],Metodos_De_Pago[Metodo])</f>
        <v>Tarjeta de Crédito</v>
      </c>
      <c r="N1342" s="20" t="str">
        <f t="shared" si="2"/>
        <v>2024 08</v>
      </c>
    </row>
    <row r="1343" ht="22.5" customHeight="1">
      <c r="A1343" s="12">
        <f>IFERROR(__xludf.DUMMYFUNCTION("""COMPUTED_VALUE"""),729.0)</f>
        <v>729</v>
      </c>
      <c r="B1343" s="13">
        <f>IFERROR(__xludf.DUMMYFUNCTION("""COMPUTED_VALUE"""),45533.0)</f>
        <v>45533</v>
      </c>
      <c r="C1343" s="12">
        <f>IFERROR(__xludf.DUMMYFUNCTION("""COMPUTED_VALUE"""),288.0)</f>
        <v>288</v>
      </c>
      <c r="D1343" s="12">
        <f>IFERROR(__xludf.DUMMYFUNCTION("""COMPUTED_VALUE"""),11.0)</f>
        <v>11</v>
      </c>
      <c r="E1343" s="12">
        <f>IFERROR(__xludf.DUMMYFUNCTION("""COMPUTED_VALUE"""),3.0)</f>
        <v>3</v>
      </c>
      <c r="F1343" s="12">
        <f>IFERROR(__xludf.DUMMYFUNCTION("""COMPUTED_VALUE"""),1.0)</f>
        <v>1</v>
      </c>
      <c r="G1343" s="15" t="str">
        <f>IFERROR(__xludf.DUMMYFUNCTION("""COMPUTED_VALUE"""),"Completa")</f>
        <v>Completa</v>
      </c>
      <c r="H1343" s="16" t="str">
        <f t="array" ref="H1343">_xlfn.XLOOKUP(D1343,Productos[ID_Producto],Productos[Nombre_Producto])</f>
        <v>Salchicha</v>
      </c>
      <c r="I1343" s="17">
        <f t="array" ref="I1343">_xlfn.XLOOKUP(D1343,Productos[ID_Producto],Productos[Precio_Unitario])</f>
        <v>11.23</v>
      </c>
      <c r="J1343" s="17">
        <f t="shared" si="1"/>
        <v>33.69</v>
      </c>
      <c r="K1343" s="16" t="str">
        <f t="array" ref="K1343">_xlfn.XLOOKUP(C1343,Clientes[ID_Cliente],Clientes[Provincia])</f>
        <v>Buenos Aires</v>
      </c>
      <c r="L1343" s="16" t="str">
        <f t="array" ref="L1343">CONCATENATE(_xlfn.XLOOKUP(C1343,Clientes[ID_Cliente],Clientes[Provincia]),", Argentina")</f>
        <v>Buenos Aires, Argentina</v>
      </c>
      <c r="M1343" s="20" t="str">
        <f t="array" ref="M1343">_xlfn.XLOOKUP(F1343,Metodos_De_Pago[ID_Metodo],Metodos_De_Pago[Metodo])</f>
        <v>Efectivo</v>
      </c>
      <c r="N1343" s="20" t="str">
        <f t="shared" si="2"/>
        <v>2024 08</v>
      </c>
    </row>
    <row r="1344" ht="22.5" customHeight="1">
      <c r="A1344" s="12">
        <f>IFERROR(__xludf.DUMMYFUNCTION("""COMPUTED_VALUE"""),2429.0)</f>
        <v>2429</v>
      </c>
      <c r="B1344" s="13">
        <f>IFERROR(__xludf.DUMMYFUNCTION("""COMPUTED_VALUE"""),45533.0)</f>
        <v>45533</v>
      </c>
      <c r="C1344" s="12">
        <f>IFERROR(__xludf.DUMMYFUNCTION("""COMPUTED_VALUE"""),89.0)</f>
        <v>89</v>
      </c>
      <c r="D1344" s="12">
        <f>IFERROR(__xludf.DUMMYFUNCTION("""COMPUTED_VALUE"""),23.0)</f>
        <v>23</v>
      </c>
      <c r="E1344" s="12">
        <f>IFERROR(__xludf.DUMMYFUNCTION("""COMPUTED_VALUE"""),3.0)</f>
        <v>3</v>
      </c>
      <c r="F1344" s="12">
        <f>IFERROR(__xludf.DUMMYFUNCTION("""COMPUTED_VALUE"""),1.0)</f>
        <v>1</v>
      </c>
      <c r="G1344" s="15" t="str">
        <f>IFERROR(__xludf.DUMMYFUNCTION("""COMPUTED_VALUE"""),"Completa")</f>
        <v>Completa</v>
      </c>
      <c r="H1344" s="16" t="str">
        <f t="array" ref="H1344">_xlfn.XLOOKUP(D1344,Productos[ID_Producto],Productos[Nombre_Producto])</f>
        <v>Papas fritas</v>
      </c>
      <c r="I1344" s="17">
        <f t="array" ref="I1344">_xlfn.XLOOKUP(D1344,Productos[ID_Producto],Productos[Precio_Unitario])</f>
        <v>8.23</v>
      </c>
      <c r="J1344" s="17">
        <f t="shared" si="1"/>
        <v>24.69</v>
      </c>
      <c r="K1344" s="16" t="str">
        <f t="array" ref="K1344">_xlfn.XLOOKUP(C1344,Clientes[ID_Cliente],Clientes[Provincia])</f>
        <v>Neuquén</v>
      </c>
      <c r="L1344" s="16" t="str">
        <f t="array" ref="L1344">CONCATENATE(_xlfn.XLOOKUP(C1344,Clientes[ID_Cliente],Clientes[Provincia]),", Argentina")</f>
        <v>Neuquén, Argentina</v>
      </c>
      <c r="M1344" s="20" t="str">
        <f t="array" ref="M1344">_xlfn.XLOOKUP(F1344,Metodos_De_Pago[ID_Metodo],Metodos_De_Pago[Metodo])</f>
        <v>Efectivo</v>
      </c>
      <c r="N1344" s="20" t="str">
        <f t="shared" si="2"/>
        <v>2024 08</v>
      </c>
    </row>
    <row r="1345" ht="22.5" customHeight="1">
      <c r="A1345" s="12">
        <f>IFERROR(__xludf.DUMMYFUNCTION("""COMPUTED_VALUE"""),2862.0)</f>
        <v>2862</v>
      </c>
      <c r="B1345" s="13">
        <f>IFERROR(__xludf.DUMMYFUNCTION("""COMPUTED_VALUE"""),45533.0)</f>
        <v>45533</v>
      </c>
      <c r="C1345" s="12">
        <f>IFERROR(__xludf.DUMMYFUNCTION("""COMPUTED_VALUE"""),233.0)</f>
        <v>233</v>
      </c>
      <c r="D1345" s="12">
        <f>IFERROR(__xludf.DUMMYFUNCTION("""COMPUTED_VALUE"""),25.0)</f>
        <v>25</v>
      </c>
      <c r="E1345" s="12">
        <f>IFERROR(__xludf.DUMMYFUNCTION("""COMPUTED_VALUE"""),3.0)</f>
        <v>3</v>
      </c>
      <c r="F1345" s="12">
        <f>IFERROR(__xludf.DUMMYFUNCTION("""COMPUTED_VALUE"""),4.0)</f>
        <v>4</v>
      </c>
      <c r="G1345" s="15" t="str">
        <f>IFERROR(__xludf.DUMMYFUNCTION("""COMPUTED_VALUE"""),"Pendiente")</f>
        <v>Pendiente</v>
      </c>
      <c r="H1345" s="16" t="str">
        <f t="array" ref="H1345">_xlfn.XLOOKUP(D1345,Productos[ID_Producto],Productos[Nombre_Producto])</f>
        <v>Pizza congelada</v>
      </c>
      <c r="I1345" s="17">
        <f t="array" ref="I1345">_xlfn.XLOOKUP(D1345,Productos[ID_Producto],Productos[Precio_Unitario])</f>
        <v>15.45</v>
      </c>
      <c r="J1345" s="17">
        <f t="shared" si="1"/>
        <v>46.35</v>
      </c>
      <c r="K1345" s="16" t="str">
        <f t="array" ref="K1345">_xlfn.XLOOKUP(C1345,Clientes[ID_Cliente],Clientes[Provincia])</f>
        <v>Córdoba</v>
      </c>
      <c r="L1345" s="16" t="str">
        <f t="array" ref="L1345">CONCATENATE(_xlfn.XLOOKUP(C1345,Clientes[ID_Cliente],Clientes[Provincia]),", Argentina")</f>
        <v>Córdoba, Argentina</v>
      </c>
      <c r="M1345" s="20" t="str">
        <f t="array" ref="M1345">_xlfn.XLOOKUP(F1345,Metodos_De_Pago[ID_Metodo],Metodos_De_Pago[Metodo])</f>
        <v>Mercado Pago</v>
      </c>
      <c r="N1345" s="20" t="str">
        <f t="shared" si="2"/>
        <v>2024 08</v>
      </c>
    </row>
    <row r="1346" ht="22.5" customHeight="1">
      <c r="A1346" s="12">
        <f>IFERROR(__xludf.DUMMYFUNCTION("""COMPUTED_VALUE"""),324.0)</f>
        <v>324</v>
      </c>
      <c r="B1346" s="13">
        <f>IFERROR(__xludf.DUMMYFUNCTION("""COMPUTED_VALUE"""),45534.0)</f>
        <v>45534</v>
      </c>
      <c r="C1346" s="12">
        <f>IFERROR(__xludf.DUMMYFUNCTION("""COMPUTED_VALUE"""),206.0)</f>
        <v>206</v>
      </c>
      <c r="D1346" s="12">
        <f>IFERROR(__xludf.DUMMYFUNCTION("""COMPUTED_VALUE"""),3.0)</f>
        <v>3</v>
      </c>
      <c r="E1346" s="12">
        <f>IFERROR(__xludf.DUMMYFUNCTION("""COMPUTED_VALUE"""),3.0)</f>
        <v>3</v>
      </c>
      <c r="F1346" s="12">
        <f>IFERROR(__xludf.DUMMYFUNCTION("""COMPUTED_VALUE"""),4.0)</f>
        <v>4</v>
      </c>
      <c r="G1346" s="15" t="str">
        <f>IFERROR(__xludf.DUMMYFUNCTION("""COMPUTED_VALUE"""),"Completa")</f>
        <v>Completa</v>
      </c>
      <c r="H1346" s="16" t="str">
        <f t="array" ref="H1346">_xlfn.XLOOKUP(D1346,Productos[ID_Producto],Productos[Nombre_Producto])</f>
        <v>Queso cremoso</v>
      </c>
      <c r="I1346" s="17">
        <f t="array" ref="I1346">_xlfn.XLOOKUP(D1346,Productos[ID_Producto],Productos[Precio_Unitario])</f>
        <v>17.23</v>
      </c>
      <c r="J1346" s="17">
        <f t="shared" si="1"/>
        <v>51.69</v>
      </c>
      <c r="K1346" s="16" t="str">
        <f t="array" ref="K1346">_xlfn.XLOOKUP(C1346,Clientes[ID_Cliente],Clientes[Provincia])</f>
        <v>Chaco</v>
      </c>
      <c r="L1346" s="16" t="str">
        <f t="array" ref="L1346">CONCATENATE(_xlfn.XLOOKUP(C1346,Clientes[ID_Cliente],Clientes[Provincia]),", Argentina")</f>
        <v>Chaco, Argentina</v>
      </c>
      <c r="M1346" s="20" t="str">
        <f t="array" ref="M1346">_xlfn.XLOOKUP(F1346,Metodos_De_Pago[ID_Metodo],Metodos_De_Pago[Metodo])</f>
        <v>Mercado Pago</v>
      </c>
      <c r="N1346" s="20" t="str">
        <f t="shared" si="2"/>
        <v>2024 08</v>
      </c>
    </row>
    <row r="1347" ht="22.5" customHeight="1">
      <c r="A1347" s="12">
        <f>IFERROR(__xludf.DUMMYFUNCTION("""COMPUTED_VALUE"""),1956.0)</f>
        <v>1956</v>
      </c>
      <c r="B1347" s="13">
        <f>IFERROR(__xludf.DUMMYFUNCTION("""COMPUTED_VALUE"""),45534.0)</f>
        <v>45534</v>
      </c>
      <c r="C1347" s="12">
        <f>IFERROR(__xludf.DUMMYFUNCTION("""COMPUTED_VALUE"""),1.0)</f>
        <v>1</v>
      </c>
      <c r="D1347" s="12">
        <f>IFERROR(__xludf.DUMMYFUNCTION("""COMPUTED_VALUE"""),36.0)</f>
        <v>36</v>
      </c>
      <c r="E1347" s="12">
        <f>IFERROR(__xludf.DUMMYFUNCTION("""COMPUTED_VALUE"""),3.0)</f>
        <v>3</v>
      </c>
      <c r="F1347" s="12">
        <f>IFERROR(__xludf.DUMMYFUNCTION("""COMPUTED_VALUE"""),3.0)</f>
        <v>3</v>
      </c>
      <c r="G1347" s="15" t="str">
        <f>IFERROR(__xludf.DUMMYFUNCTION("""COMPUTED_VALUE"""),"Completa")</f>
        <v>Completa</v>
      </c>
      <c r="H1347" s="16" t="str">
        <f t="array" ref="H1347">_xlfn.XLOOKUP(D1347,Productos[ID_Producto],Productos[Nombre_Producto])</f>
        <v>Lentejas</v>
      </c>
      <c r="I1347" s="17">
        <f t="array" ref="I1347">_xlfn.XLOOKUP(D1347,Productos[ID_Producto],Productos[Precio_Unitario])</f>
        <v>3.25</v>
      </c>
      <c r="J1347" s="17">
        <f t="shared" si="1"/>
        <v>9.75</v>
      </c>
      <c r="K1347" s="16" t="str">
        <f t="array" ref="K1347">_xlfn.XLOOKUP(C1347,Clientes[ID_Cliente],Clientes[Provincia])</f>
        <v>Neuquén</v>
      </c>
      <c r="L1347" s="16" t="str">
        <f t="array" ref="L1347">CONCATENATE(_xlfn.XLOOKUP(C1347,Clientes[ID_Cliente],Clientes[Provincia]),", Argentina")</f>
        <v>Neuquén, Argentina</v>
      </c>
      <c r="M1347" s="20" t="str">
        <f t="array" ref="M1347">_xlfn.XLOOKUP(F1347,Metodos_De_Pago[ID_Metodo],Metodos_De_Pago[Metodo])</f>
        <v>Tarjeta de Débito</v>
      </c>
      <c r="N1347" s="20" t="str">
        <f t="shared" si="2"/>
        <v>2024 08</v>
      </c>
    </row>
    <row r="1348" ht="22.5" customHeight="1">
      <c r="A1348" s="12">
        <f>IFERROR(__xludf.DUMMYFUNCTION("""COMPUTED_VALUE"""),2713.0)</f>
        <v>2713</v>
      </c>
      <c r="B1348" s="13">
        <f>IFERROR(__xludf.DUMMYFUNCTION("""COMPUTED_VALUE"""),45535.0)</f>
        <v>45535</v>
      </c>
      <c r="C1348" s="12">
        <f>IFERROR(__xludf.DUMMYFUNCTION("""COMPUTED_VALUE"""),176.0)</f>
        <v>176</v>
      </c>
      <c r="D1348" s="12">
        <f>IFERROR(__xludf.DUMMYFUNCTION("""COMPUTED_VALUE"""),34.0)</f>
        <v>34</v>
      </c>
      <c r="E1348" s="12">
        <f>IFERROR(__xludf.DUMMYFUNCTION("""COMPUTED_VALUE"""),3.0)</f>
        <v>3</v>
      </c>
      <c r="F1348" s="12">
        <f>IFERROR(__xludf.DUMMYFUNCTION("""COMPUTED_VALUE"""),3.0)</f>
        <v>3</v>
      </c>
      <c r="G1348" s="15" t="str">
        <f>IFERROR(__xludf.DUMMYFUNCTION("""COMPUTED_VALUE"""),"Completa")</f>
        <v>Completa</v>
      </c>
      <c r="H1348" s="16" t="str">
        <f t="array" ref="H1348">_xlfn.XLOOKUP(D1348,Productos[ID_Producto],Productos[Nombre_Producto])</f>
        <v>Maníes</v>
      </c>
      <c r="I1348" s="17">
        <f t="array" ref="I1348">_xlfn.XLOOKUP(D1348,Productos[ID_Producto],Productos[Precio_Unitario])</f>
        <v>5.45</v>
      </c>
      <c r="J1348" s="17">
        <f t="shared" si="1"/>
        <v>16.35</v>
      </c>
      <c r="K1348" s="16" t="str">
        <f t="array" ref="K1348">_xlfn.XLOOKUP(C1348,Clientes[ID_Cliente],Clientes[Provincia])</f>
        <v>Chaco</v>
      </c>
      <c r="L1348" s="16" t="str">
        <f t="array" ref="L1348">CONCATENATE(_xlfn.XLOOKUP(C1348,Clientes[ID_Cliente],Clientes[Provincia]),", Argentina")</f>
        <v>Chaco, Argentina</v>
      </c>
      <c r="M1348" s="20" t="str">
        <f t="array" ref="M1348">_xlfn.XLOOKUP(F1348,Metodos_De_Pago[ID_Metodo],Metodos_De_Pago[Metodo])</f>
        <v>Tarjeta de Débito</v>
      </c>
      <c r="N1348" s="20" t="str">
        <f t="shared" si="2"/>
        <v>2024 08</v>
      </c>
    </row>
    <row r="1349" ht="22.5" customHeight="1">
      <c r="A1349" s="12">
        <f>IFERROR(__xludf.DUMMYFUNCTION("""COMPUTED_VALUE"""),493.0)</f>
        <v>493</v>
      </c>
      <c r="B1349" s="13">
        <f>IFERROR(__xludf.DUMMYFUNCTION("""COMPUTED_VALUE"""),45536.0)</f>
        <v>45536</v>
      </c>
      <c r="C1349" s="12">
        <f>IFERROR(__xludf.DUMMYFUNCTION("""COMPUTED_VALUE"""),273.0)</f>
        <v>273</v>
      </c>
      <c r="D1349" s="12">
        <f>IFERROR(__xludf.DUMMYFUNCTION("""COMPUTED_VALUE"""),8.0)</f>
        <v>8</v>
      </c>
      <c r="E1349" s="12">
        <f>IFERROR(__xludf.DUMMYFUNCTION("""COMPUTED_VALUE"""),3.0)</f>
        <v>3</v>
      </c>
      <c r="F1349" s="12">
        <f>IFERROR(__xludf.DUMMYFUNCTION("""COMPUTED_VALUE"""),5.0)</f>
        <v>5</v>
      </c>
      <c r="G1349" s="15" t="str">
        <f>IFERROR(__xludf.DUMMYFUNCTION("""COMPUTED_VALUE"""),"Pendiente")</f>
        <v>Pendiente</v>
      </c>
      <c r="H1349" s="16" t="str">
        <f t="array" ref="H1349">_xlfn.XLOOKUP(D1349,Productos[ID_Producto],Productos[Nombre_Producto])</f>
        <v>Milanesa</v>
      </c>
      <c r="I1349" s="17">
        <f t="array" ref="I1349">_xlfn.XLOOKUP(D1349,Productos[ID_Producto],Productos[Precio_Unitario])</f>
        <v>16.21</v>
      </c>
      <c r="J1349" s="17">
        <f t="shared" si="1"/>
        <v>48.63</v>
      </c>
      <c r="K1349" s="16" t="str">
        <f t="array" ref="K1349">_xlfn.XLOOKUP(C1349,Clientes[ID_Cliente],Clientes[Provincia])</f>
        <v>San Luis</v>
      </c>
      <c r="L1349" s="16" t="str">
        <f t="array" ref="L1349">CONCATENATE(_xlfn.XLOOKUP(C1349,Clientes[ID_Cliente],Clientes[Provincia]),", Argentina")</f>
        <v>San Luis, Argentina</v>
      </c>
      <c r="M1349" s="20" t="str">
        <f t="array" ref="M1349">_xlfn.XLOOKUP(F1349,Metodos_De_Pago[ID_Metodo],Metodos_De_Pago[Metodo])</f>
        <v>Transferencia</v>
      </c>
      <c r="N1349" s="20" t="str">
        <f t="shared" si="2"/>
        <v>2024 09</v>
      </c>
    </row>
    <row r="1350" ht="22.5" customHeight="1">
      <c r="A1350" s="12">
        <f>IFERROR(__xludf.DUMMYFUNCTION("""COMPUTED_VALUE"""),1763.0)</f>
        <v>1763</v>
      </c>
      <c r="B1350" s="13">
        <f>IFERROR(__xludf.DUMMYFUNCTION("""COMPUTED_VALUE"""),45536.0)</f>
        <v>45536</v>
      </c>
      <c r="C1350" s="12">
        <f>IFERROR(__xludf.DUMMYFUNCTION("""COMPUTED_VALUE"""),182.0)</f>
        <v>182</v>
      </c>
      <c r="D1350" s="12">
        <f>IFERROR(__xludf.DUMMYFUNCTION("""COMPUTED_VALUE"""),35.0)</f>
        <v>35</v>
      </c>
      <c r="E1350" s="12">
        <f>IFERROR(__xludf.DUMMYFUNCTION("""COMPUTED_VALUE"""),3.0)</f>
        <v>3</v>
      </c>
      <c r="F1350" s="12">
        <f>IFERROR(__xludf.DUMMYFUNCTION("""COMPUTED_VALUE"""),2.0)</f>
        <v>2</v>
      </c>
      <c r="G1350" s="15" t="str">
        <f>IFERROR(__xludf.DUMMYFUNCTION("""COMPUTED_VALUE"""),"Completa")</f>
        <v>Completa</v>
      </c>
      <c r="H1350" s="16" t="str">
        <f t="array" ref="H1350">_xlfn.XLOOKUP(D1350,Productos[ID_Producto],Productos[Nombre_Producto])</f>
        <v>Arroz</v>
      </c>
      <c r="I1350" s="17">
        <f t="array" ref="I1350">_xlfn.XLOOKUP(D1350,Productos[ID_Producto],Productos[Precio_Unitario])</f>
        <v>4.25</v>
      </c>
      <c r="J1350" s="17">
        <f t="shared" si="1"/>
        <v>12.75</v>
      </c>
      <c r="K1350" s="16" t="str">
        <f t="array" ref="K1350">_xlfn.XLOOKUP(C1350,Clientes[ID_Cliente],Clientes[Provincia])</f>
        <v>Córdoba</v>
      </c>
      <c r="L1350" s="16" t="str">
        <f t="array" ref="L1350">CONCATENATE(_xlfn.XLOOKUP(C1350,Clientes[ID_Cliente],Clientes[Provincia]),", Argentina")</f>
        <v>Córdoba, Argentina</v>
      </c>
      <c r="M1350" s="20" t="str">
        <f t="array" ref="M1350">_xlfn.XLOOKUP(F1350,Metodos_De_Pago[ID_Metodo],Metodos_De_Pago[Metodo])</f>
        <v>Tarjeta de Crédito</v>
      </c>
      <c r="N1350" s="20" t="str">
        <f t="shared" si="2"/>
        <v>2024 09</v>
      </c>
    </row>
    <row r="1351" ht="22.5" customHeight="1">
      <c r="A1351" s="12">
        <f>IFERROR(__xludf.DUMMYFUNCTION("""COMPUTED_VALUE"""),2745.0)</f>
        <v>2745</v>
      </c>
      <c r="B1351" s="13">
        <f>IFERROR(__xludf.DUMMYFUNCTION("""COMPUTED_VALUE"""),45536.0)</f>
        <v>45536</v>
      </c>
      <c r="C1351" s="12">
        <f>IFERROR(__xludf.DUMMYFUNCTION("""COMPUTED_VALUE"""),114.0)</f>
        <v>114</v>
      </c>
      <c r="D1351" s="12">
        <f>IFERROR(__xludf.DUMMYFUNCTION("""COMPUTED_VALUE"""),9.0)</f>
        <v>9</v>
      </c>
      <c r="E1351" s="12">
        <f>IFERROR(__xludf.DUMMYFUNCTION("""COMPUTED_VALUE"""),3.0)</f>
        <v>3</v>
      </c>
      <c r="F1351" s="12">
        <f>IFERROR(__xludf.DUMMYFUNCTION("""COMPUTED_VALUE"""),2.0)</f>
        <v>2</v>
      </c>
      <c r="G1351" s="15" t="str">
        <f>IFERROR(__xludf.DUMMYFUNCTION("""COMPUTED_VALUE"""),"Completa")</f>
        <v>Completa</v>
      </c>
      <c r="H1351" s="16" t="str">
        <f t="array" ref="H1351">_xlfn.XLOOKUP(D1351,Productos[ID_Producto],Productos[Nombre_Producto])</f>
        <v>Pollo</v>
      </c>
      <c r="I1351" s="17">
        <f t="array" ref="I1351">_xlfn.XLOOKUP(D1351,Productos[ID_Producto],Productos[Precio_Unitario])</f>
        <v>18.56</v>
      </c>
      <c r="J1351" s="17">
        <f t="shared" si="1"/>
        <v>55.68</v>
      </c>
      <c r="K1351" s="16" t="str">
        <f t="array" ref="K1351">_xlfn.XLOOKUP(C1351,Clientes[ID_Cliente],Clientes[Provincia])</f>
        <v>Córdoba</v>
      </c>
      <c r="L1351" s="16" t="str">
        <f t="array" ref="L1351">CONCATENATE(_xlfn.XLOOKUP(C1351,Clientes[ID_Cliente],Clientes[Provincia]),", Argentina")</f>
        <v>Córdoba, Argentina</v>
      </c>
      <c r="M1351" s="20" t="str">
        <f t="array" ref="M1351">_xlfn.XLOOKUP(F1351,Metodos_De_Pago[ID_Metodo],Metodos_De_Pago[Metodo])</f>
        <v>Tarjeta de Crédito</v>
      </c>
      <c r="N1351" s="20" t="str">
        <f t="shared" si="2"/>
        <v>2024 09</v>
      </c>
    </row>
    <row r="1352" ht="22.5" customHeight="1">
      <c r="A1352" s="12">
        <f>IFERROR(__xludf.DUMMYFUNCTION("""COMPUTED_VALUE"""),518.0)</f>
        <v>518</v>
      </c>
      <c r="B1352" s="13">
        <f>IFERROR(__xludf.DUMMYFUNCTION("""COMPUTED_VALUE"""),45537.0)</f>
        <v>45537</v>
      </c>
      <c r="C1352" s="12">
        <f>IFERROR(__xludf.DUMMYFUNCTION("""COMPUTED_VALUE"""),314.0)</f>
        <v>314</v>
      </c>
      <c r="D1352" s="12">
        <f>IFERROR(__xludf.DUMMYFUNCTION("""COMPUTED_VALUE"""),16.0)</f>
        <v>16</v>
      </c>
      <c r="E1352" s="12">
        <f>IFERROR(__xludf.DUMMYFUNCTION("""COMPUTED_VALUE"""),3.0)</f>
        <v>3</v>
      </c>
      <c r="F1352" s="12">
        <f>IFERROR(__xludf.DUMMYFUNCTION("""COMPUTED_VALUE"""),2.0)</f>
        <v>2</v>
      </c>
      <c r="G1352" s="15" t="str">
        <f>IFERROR(__xludf.DUMMYFUNCTION("""COMPUTED_VALUE"""),"Pendiente")</f>
        <v>Pendiente</v>
      </c>
      <c r="H1352" s="16" t="str">
        <f t="array" ref="H1352">_xlfn.XLOOKUP(D1352,Productos[ID_Producto],Productos[Nombre_Producto])</f>
        <v>Tortas</v>
      </c>
      <c r="I1352" s="17">
        <f t="array" ref="I1352">_xlfn.XLOOKUP(D1352,Productos[ID_Producto],Productos[Precio_Unitario])</f>
        <v>15.23</v>
      </c>
      <c r="J1352" s="17">
        <f t="shared" si="1"/>
        <v>45.69</v>
      </c>
      <c r="K1352" s="16" t="str">
        <f t="array" ref="K1352">_xlfn.XLOOKUP(C1352,Clientes[ID_Cliente],Clientes[Provincia])</f>
        <v>Neuquén</v>
      </c>
      <c r="L1352" s="16" t="str">
        <f t="array" ref="L1352">CONCATENATE(_xlfn.XLOOKUP(C1352,Clientes[ID_Cliente],Clientes[Provincia]),", Argentina")</f>
        <v>Neuquén, Argentina</v>
      </c>
      <c r="M1352" s="20" t="str">
        <f t="array" ref="M1352">_xlfn.XLOOKUP(F1352,Metodos_De_Pago[ID_Metodo],Metodos_De_Pago[Metodo])</f>
        <v>Tarjeta de Crédito</v>
      </c>
      <c r="N1352" s="20" t="str">
        <f t="shared" si="2"/>
        <v>2024 09</v>
      </c>
    </row>
    <row r="1353" ht="22.5" customHeight="1">
      <c r="A1353" s="12">
        <f>IFERROR(__xludf.DUMMYFUNCTION("""COMPUTED_VALUE"""),2252.0)</f>
        <v>2252</v>
      </c>
      <c r="B1353" s="13">
        <f>IFERROR(__xludf.DUMMYFUNCTION("""COMPUTED_VALUE"""),45538.0)</f>
        <v>45538</v>
      </c>
      <c r="C1353" s="12">
        <f>IFERROR(__xludf.DUMMYFUNCTION("""COMPUTED_VALUE"""),206.0)</f>
        <v>206</v>
      </c>
      <c r="D1353" s="12">
        <f>IFERROR(__xludf.DUMMYFUNCTION("""COMPUTED_VALUE"""),31.0)</f>
        <v>31</v>
      </c>
      <c r="E1353" s="12">
        <f>IFERROR(__xludf.DUMMYFUNCTION("""COMPUTED_VALUE"""),3.0)</f>
        <v>3</v>
      </c>
      <c r="F1353" s="12">
        <f>IFERROR(__xludf.DUMMYFUNCTION("""COMPUTED_VALUE"""),4.0)</f>
        <v>4</v>
      </c>
      <c r="G1353" s="15" t="str">
        <f>IFERROR(__xludf.DUMMYFUNCTION("""COMPUTED_VALUE"""),"Completa")</f>
        <v>Completa</v>
      </c>
      <c r="H1353" s="16" t="str">
        <f t="array" ref="H1353">_xlfn.XLOOKUP(D1353,Productos[ID_Producto],Productos[Nombre_Producto])</f>
        <v>Galletitas de agua</v>
      </c>
      <c r="I1353" s="17">
        <f t="array" ref="I1353">_xlfn.XLOOKUP(D1353,Productos[ID_Producto],Productos[Precio_Unitario])</f>
        <v>5.24</v>
      </c>
      <c r="J1353" s="17">
        <f t="shared" si="1"/>
        <v>15.72</v>
      </c>
      <c r="K1353" s="16" t="str">
        <f t="array" ref="K1353">_xlfn.XLOOKUP(C1353,Clientes[ID_Cliente],Clientes[Provincia])</f>
        <v>Chaco</v>
      </c>
      <c r="L1353" s="16" t="str">
        <f t="array" ref="L1353">CONCATENATE(_xlfn.XLOOKUP(C1353,Clientes[ID_Cliente],Clientes[Provincia]),", Argentina")</f>
        <v>Chaco, Argentina</v>
      </c>
      <c r="M1353" s="20" t="str">
        <f t="array" ref="M1353">_xlfn.XLOOKUP(F1353,Metodos_De_Pago[ID_Metodo],Metodos_De_Pago[Metodo])</f>
        <v>Mercado Pago</v>
      </c>
      <c r="N1353" s="20" t="str">
        <f t="shared" si="2"/>
        <v>2024 09</v>
      </c>
    </row>
    <row r="1354" ht="22.5" customHeight="1">
      <c r="A1354" s="12">
        <f>IFERROR(__xludf.DUMMYFUNCTION("""COMPUTED_VALUE"""),205.0)</f>
        <v>205</v>
      </c>
      <c r="B1354" s="13">
        <f>IFERROR(__xludf.DUMMYFUNCTION("""COMPUTED_VALUE"""),45539.0)</f>
        <v>45539</v>
      </c>
      <c r="C1354" s="12">
        <f>IFERROR(__xludf.DUMMYFUNCTION("""COMPUTED_VALUE"""),303.0)</f>
        <v>303</v>
      </c>
      <c r="D1354" s="12">
        <f>IFERROR(__xludf.DUMMYFUNCTION("""COMPUTED_VALUE"""),2.0)</f>
        <v>2</v>
      </c>
      <c r="E1354" s="12">
        <f>IFERROR(__xludf.DUMMYFUNCTION("""COMPUTED_VALUE"""),3.0)</f>
        <v>3</v>
      </c>
      <c r="F1354" s="12">
        <f>IFERROR(__xludf.DUMMYFUNCTION("""COMPUTED_VALUE"""),5.0)</f>
        <v>5</v>
      </c>
      <c r="G1354" s="15" t="str">
        <f>IFERROR(__xludf.DUMMYFUNCTION("""COMPUTED_VALUE"""),"Completa")</f>
        <v>Completa</v>
      </c>
      <c r="H1354" s="16" t="str">
        <f t="array" ref="H1354">_xlfn.XLOOKUP(D1354,Productos[ID_Producto],Productos[Nombre_Producto])</f>
        <v>Yogur</v>
      </c>
      <c r="I1354" s="17">
        <f t="array" ref="I1354">_xlfn.XLOOKUP(D1354,Productos[ID_Producto],Productos[Precio_Unitario])</f>
        <v>5.21</v>
      </c>
      <c r="J1354" s="17">
        <f t="shared" si="1"/>
        <v>15.63</v>
      </c>
      <c r="K1354" s="16" t="str">
        <f t="array" ref="K1354">_xlfn.XLOOKUP(C1354,Clientes[ID_Cliente],Clientes[Provincia])</f>
        <v>Córdoba</v>
      </c>
      <c r="L1354" s="16" t="str">
        <f t="array" ref="L1354">CONCATENATE(_xlfn.XLOOKUP(C1354,Clientes[ID_Cliente],Clientes[Provincia]),", Argentina")</f>
        <v>Córdoba, Argentina</v>
      </c>
      <c r="M1354" s="20" t="str">
        <f t="array" ref="M1354">_xlfn.XLOOKUP(F1354,Metodos_De_Pago[ID_Metodo],Metodos_De_Pago[Metodo])</f>
        <v>Transferencia</v>
      </c>
      <c r="N1354" s="20" t="str">
        <f t="shared" si="2"/>
        <v>2024 09</v>
      </c>
    </row>
    <row r="1355" ht="22.5" customHeight="1">
      <c r="A1355" s="12">
        <f>IFERROR(__xludf.DUMMYFUNCTION("""COMPUTED_VALUE"""),535.0)</f>
        <v>535</v>
      </c>
      <c r="B1355" s="13">
        <f>IFERROR(__xludf.DUMMYFUNCTION("""COMPUTED_VALUE"""),45539.0)</f>
        <v>45539</v>
      </c>
      <c r="C1355" s="12">
        <f>IFERROR(__xludf.DUMMYFUNCTION("""COMPUTED_VALUE"""),167.0)</f>
        <v>167</v>
      </c>
      <c r="D1355" s="12">
        <f>IFERROR(__xludf.DUMMYFUNCTION("""COMPUTED_VALUE"""),14.0)</f>
        <v>14</v>
      </c>
      <c r="E1355" s="12">
        <f>IFERROR(__xludf.DUMMYFUNCTION("""COMPUTED_VALUE"""),3.0)</f>
        <v>3</v>
      </c>
      <c r="F1355" s="12">
        <f>IFERROR(__xludf.DUMMYFUNCTION("""COMPUTED_VALUE"""),1.0)</f>
        <v>1</v>
      </c>
      <c r="G1355" s="15" t="str">
        <f>IFERROR(__xludf.DUMMYFUNCTION("""COMPUTED_VALUE"""),"Completa")</f>
        <v>Completa</v>
      </c>
      <c r="H1355" s="16" t="str">
        <f t="array" ref="H1355">_xlfn.XLOOKUP(D1355,Productos[ID_Producto],Productos[Nombre_Producto])</f>
        <v>Facturas</v>
      </c>
      <c r="I1355" s="17">
        <f t="array" ref="I1355">_xlfn.XLOOKUP(D1355,Productos[ID_Producto],Productos[Precio_Unitario])</f>
        <v>12.36</v>
      </c>
      <c r="J1355" s="17">
        <f t="shared" si="1"/>
        <v>37.08</v>
      </c>
      <c r="K1355" s="16" t="str">
        <f t="array" ref="K1355">_xlfn.XLOOKUP(C1355,Clientes[ID_Cliente],Clientes[Provincia])</f>
        <v>Buenos Aires</v>
      </c>
      <c r="L1355" s="16" t="str">
        <f t="array" ref="L1355">CONCATENATE(_xlfn.XLOOKUP(C1355,Clientes[ID_Cliente],Clientes[Provincia]),", Argentina")</f>
        <v>Buenos Aires, Argentina</v>
      </c>
      <c r="M1355" s="20" t="str">
        <f t="array" ref="M1355">_xlfn.XLOOKUP(F1355,Metodos_De_Pago[ID_Metodo],Metodos_De_Pago[Metodo])</f>
        <v>Efectivo</v>
      </c>
      <c r="N1355" s="20" t="str">
        <f t="shared" si="2"/>
        <v>2024 09</v>
      </c>
    </row>
    <row r="1356" ht="22.5" customHeight="1">
      <c r="A1356" s="12">
        <f>IFERROR(__xludf.DUMMYFUNCTION("""COMPUTED_VALUE"""),1430.0)</f>
        <v>1430</v>
      </c>
      <c r="B1356" s="13">
        <f>IFERROR(__xludf.DUMMYFUNCTION("""COMPUTED_VALUE"""),45539.0)</f>
        <v>45539</v>
      </c>
      <c r="C1356" s="12">
        <f>IFERROR(__xludf.DUMMYFUNCTION("""COMPUTED_VALUE"""),302.0)</f>
        <v>302</v>
      </c>
      <c r="D1356" s="12">
        <f>IFERROR(__xludf.DUMMYFUNCTION("""COMPUTED_VALUE"""),19.0)</f>
        <v>19</v>
      </c>
      <c r="E1356" s="12">
        <f>IFERROR(__xludf.DUMMYFUNCTION("""COMPUTED_VALUE"""),3.0)</f>
        <v>3</v>
      </c>
      <c r="F1356" s="12">
        <f>IFERROR(__xludf.DUMMYFUNCTION("""COMPUTED_VALUE"""),1.0)</f>
        <v>1</v>
      </c>
      <c r="G1356" s="15" t="str">
        <f>IFERROR(__xludf.DUMMYFUNCTION("""COMPUTED_VALUE"""),"Completa")</f>
        <v>Completa</v>
      </c>
      <c r="H1356" s="16" t="str">
        <f t="array" ref="H1356">_xlfn.XLOOKUP(D1356,Productos[ID_Producto],Productos[Nombre_Producto])</f>
        <v>Tomates</v>
      </c>
      <c r="I1356" s="17">
        <f t="array" ref="I1356">_xlfn.XLOOKUP(D1356,Productos[ID_Producto],Productos[Precio_Unitario])</f>
        <v>6.54</v>
      </c>
      <c r="J1356" s="17">
        <f t="shared" si="1"/>
        <v>19.62</v>
      </c>
      <c r="K1356" s="16" t="str">
        <f t="array" ref="K1356">_xlfn.XLOOKUP(C1356,Clientes[ID_Cliente],Clientes[Provincia])</f>
        <v>Neuquén</v>
      </c>
      <c r="L1356" s="16" t="str">
        <f t="array" ref="L1356">CONCATENATE(_xlfn.XLOOKUP(C1356,Clientes[ID_Cliente],Clientes[Provincia]),", Argentina")</f>
        <v>Neuquén, Argentina</v>
      </c>
      <c r="M1356" s="20" t="str">
        <f t="array" ref="M1356">_xlfn.XLOOKUP(F1356,Metodos_De_Pago[ID_Metodo],Metodos_De_Pago[Metodo])</f>
        <v>Efectivo</v>
      </c>
      <c r="N1356" s="20" t="str">
        <f t="shared" si="2"/>
        <v>2024 09</v>
      </c>
    </row>
    <row r="1357" ht="22.5" customHeight="1">
      <c r="A1357" s="12">
        <f>IFERROR(__xludf.DUMMYFUNCTION("""COMPUTED_VALUE"""),320.0)</f>
        <v>320</v>
      </c>
      <c r="B1357" s="13">
        <f>IFERROR(__xludf.DUMMYFUNCTION("""COMPUTED_VALUE"""),45541.0)</f>
        <v>45541</v>
      </c>
      <c r="C1357" s="12">
        <f>IFERROR(__xludf.DUMMYFUNCTION("""COMPUTED_VALUE"""),93.0)</f>
        <v>93</v>
      </c>
      <c r="D1357" s="12">
        <f>IFERROR(__xludf.DUMMYFUNCTION("""COMPUTED_VALUE"""),38.0)</f>
        <v>38</v>
      </c>
      <c r="E1357" s="12">
        <f>IFERROR(__xludf.DUMMYFUNCTION("""COMPUTED_VALUE"""),3.0)</f>
        <v>3</v>
      </c>
      <c r="F1357" s="12">
        <f>IFERROR(__xludf.DUMMYFUNCTION("""COMPUTED_VALUE"""),3.0)</f>
        <v>3</v>
      </c>
      <c r="G1357" s="15" t="str">
        <f>IFERROR(__xludf.DUMMYFUNCTION("""COMPUTED_VALUE"""),"Completa")</f>
        <v>Completa</v>
      </c>
      <c r="H1357" s="16" t="str">
        <f t="array" ref="H1357">_xlfn.XLOOKUP(D1357,Productos[ID_Producto],Productos[Nombre_Producto])</f>
        <v>Atún enlatado</v>
      </c>
      <c r="I1357" s="17">
        <f t="array" ref="I1357">_xlfn.XLOOKUP(D1357,Productos[ID_Producto],Productos[Precio_Unitario])</f>
        <v>6.21</v>
      </c>
      <c r="J1357" s="17">
        <f t="shared" si="1"/>
        <v>18.63</v>
      </c>
      <c r="K1357" s="16" t="str">
        <f t="array" ref="K1357">_xlfn.XLOOKUP(C1357,Clientes[ID_Cliente],Clientes[Provincia])</f>
        <v>Buenos Aires</v>
      </c>
      <c r="L1357" s="16" t="str">
        <f t="array" ref="L1357">CONCATENATE(_xlfn.XLOOKUP(C1357,Clientes[ID_Cliente],Clientes[Provincia]),", Argentina")</f>
        <v>Buenos Aires, Argentina</v>
      </c>
      <c r="M1357" s="20" t="str">
        <f t="array" ref="M1357">_xlfn.XLOOKUP(F1357,Metodos_De_Pago[ID_Metodo],Metodos_De_Pago[Metodo])</f>
        <v>Tarjeta de Débito</v>
      </c>
      <c r="N1357" s="20" t="str">
        <f t="shared" si="2"/>
        <v>2024 09</v>
      </c>
    </row>
    <row r="1358" ht="22.5" customHeight="1">
      <c r="A1358" s="12">
        <f>IFERROR(__xludf.DUMMYFUNCTION("""COMPUTED_VALUE"""),252.0)</f>
        <v>252</v>
      </c>
      <c r="B1358" s="13">
        <f>IFERROR(__xludf.DUMMYFUNCTION("""COMPUTED_VALUE"""),45542.0)</f>
        <v>45542</v>
      </c>
      <c r="C1358" s="12">
        <f>IFERROR(__xludf.DUMMYFUNCTION("""COMPUTED_VALUE"""),222.0)</f>
        <v>222</v>
      </c>
      <c r="D1358" s="12">
        <f>IFERROR(__xludf.DUMMYFUNCTION("""COMPUTED_VALUE"""),23.0)</f>
        <v>23</v>
      </c>
      <c r="E1358" s="12">
        <f>IFERROR(__xludf.DUMMYFUNCTION("""COMPUTED_VALUE"""),3.0)</f>
        <v>3</v>
      </c>
      <c r="F1358" s="12">
        <f>IFERROR(__xludf.DUMMYFUNCTION("""COMPUTED_VALUE"""),3.0)</f>
        <v>3</v>
      </c>
      <c r="G1358" s="15" t="str">
        <f>IFERROR(__xludf.DUMMYFUNCTION("""COMPUTED_VALUE"""),"Completa")</f>
        <v>Completa</v>
      </c>
      <c r="H1358" s="16" t="str">
        <f t="array" ref="H1358">_xlfn.XLOOKUP(D1358,Productos[ID_Producto],Productos[Nombre_Producto])</f>
        <v>Papas fritas</v>
      </c>
      <c r="I1358" s="17">
        <f t="array" ref="I1358">_xlfn.XLOOKUP(D1358,Productos[ID_Producto],Productos[Precio_Unitario])</f>
        <v>8.23</v>
      </c>
      <c r="J1358" s="17">
        <f t="shared" si="1"/>
        <v>24.69</v>
      </c>
      <c r="K1358" s="16" t="str">
        <f t="array" ref="K1358">_xlfn.XLOOKUP(C1358,Clientes[ID_Cliente],Clientes[Provincia])</f>
        <v>Córdoba</v>
      </c>
      <c r="L1358" s="16" t="str">
        <f t="array" ref="L1358">CONCATENATE(_xlfn.XLOOKUP(C1358,Clientes[ID_Cliente],Clientes[Provincia]),", Argentina")</f>
        <v>Córdoba, Argentina</v>
      </c>
      <c r="M1358" s="20" t="str">
        <f t="array" ref="M1358">_xlfn.XLOOKUP(F1358,Metodos_De_Pago[ID_Metodo],Metodos_De_Pago[Metodo])</f>
        <v>Tarjeta de Débito</v>
      </c>
      <c r="N1358" s="20" t="str">
        <f t="shared" si="2"/>
        <v>2024 09</v>
      </c>
    </row>
    <row r="1359" ht="22.5" customHeight="1">
      <c r="A1359" s="12">
        <f>IFERROR(__xludf.DUMMYFUNCTION("""COMPUTED_VALUE"""),811.0)</f>
        <v>811</v>
      </c>
      <c r="B1359" s="13">
        <f>IFERROR(__xludf.DUMMYFUNCTION("""COMPUTED_VALUE"""),45542.0)</f>
        <v>45542</v>
      </c>
      <c r="C1359" s="12">
        <f>IFERROR(__xludf.DUMMYFUNCTION("""COMPUTED_VALUE"""),52.0)</f>
        <v>52</v>
      </c>
      <c r="D1359" s="12">
        <f>IFERROR(__xludf.DUMMYFUNCTION("""COMPUTED_VALUE"""),13.0)</f>
        <v>13</v>
      </c>
      <c r="E1359" s="12">
        <f>IFERROR(__xludf.DUMMYFUNCTION("""COMPUTED_VALUE"""),3.0)</f>
        <v>3</v>
      </c>
      <c r="F1359" s="12">
        <f>IFERROR(__xludf.DUMMYFUNCTION("""COMPUTED_VALUE"""),5.0)</f>
        <v>5</v>
      </c>
      <c r="G1359" s="15" t="str">
        <f>IFERROR(__xludf.DUMMYFUNCTION("""COMPUTED_VALUE"""),"Completa")</f>
        <v>Completa</v>
      </c>
      <c r="H1359" s="16" t="str">
        <f t="array" ref="H1359">_xlfn.XLOOKUP(D1359,Productos[ID_Producto],Productos[Nombre_Producto])</f>
        <v>Pan integral</v>
      </c>
      <c r="I1359" s="17">
        <f t="array" ref="I1359">_xlfn.XLOOKUP(D1359,Productos[ID_Producto],Productos[Precio_Unitario])</f>
        <v>12.56</v>
      </c>
      <c r="J1359" s="17">
        <f t="shared" si="1"/>
        <v>37.68</v>
      </c>
      <c r="K1359" s="16" t="str">
        <f t="array" ref="K1359">_xlfn.XLOOKUP(C1359,Clientes[ID_Cliente],Clientes[Provincia])</f>
        <v>Neuquén</v>
      </c>
      <c r="L1359" s="16" t="str">
        <f t="array" ref="L1359">CONCATENATE(_xlfn.XLOOKUP(C1359,Clientes[ID_Cliente],Clientes[Provincia]),", Argentina")</f>
        <v>Neuquén, Argentina</v>
      </c>
      <c r="M1359" s="20" t="str">
        <f t="array" ref="M1359">_xlfn.XLOOKUP(F1359,Metodos_De_Pago[ID_Metodo],Metodos_De_Pago[Metodo])</f>
        <v>Transferencia</v>
      </c>
      <c r="N1359" s="20" t="str">
        <f t="shared" si="2"/>
        <v>2024 09</v>
      </c>
    </row>
    <row r="1360" ht="22.5" customHeight="1">
      <c r="A1360" s="12">
        <f>IFERROR(__xludf.DUMMYFUNCTION("""COMPUTED_VALUE"""),927.0)</f>
        <v>927</v>
      </c>
      <c r="B1360" s="13">
        <f>IFERROR(__xludf.DUMMYFUNCTION("""COMPUTED_VALUE"""),45542.0)</f>
        <v>45542</v>
      </c>
      <c r="C1360" s="12">
        <f>IFERROR(__xludf.DUMMYFUNCTION("""COMPUTED_VALUE"""),242.0)</f>
        <v>242</v>
      </c>
      <c r="D1360" s="12">
        <f>IFERROR(__xludf.DUMMYFUNCTION("""COMPUTED_VALUE"""),21.0)</f>
        <v>21</v>
      </c>
      <c r="E1360" s="12">
        <f>IFERROR(__xludf.DUMMYFUNCTION("""COMPUTED_VALUE"""),3.0)</f>
        <v>3</v>
      </c>
      <c r="F1360" s="12">
        <f>IFERROR(__xludf.DUMMYFUNCTION("""COMPUTED_VALUE"""),4.0)</f>
        <v>4</v>
      </c>
      <c r="G1360" s="15" t="str">
        <f>IFERROR(__xludf.DUMMYFUNCTION("""COMPUTED_VALUE"""),"Completa")</f>
        <v>Completa</v>
      </c>
      <c r="H1360" s="16" t="str">
        <f t="array" ref="H1360">_xlfn.XLOOKUP(D1360,Productos[ID_Producto],Productos[Nombre_Producto])</f>
        <v>Zanahorias</v>
      </c>
      <c r="I1360" s="17">
        <f t="array" ref="I1360">_xlfn.XLOOKUP(D1360,Productos[ID_Producto],Productos[Precio_Unitario])</f>
        <v>3.25</v>
      </c>
      <c r="J1360" s="17">
        <f t="shared" si="1"/>
        <v>9.75</v>
      </c>
      <c r="K1360" s="16" t="str">
        <f t="array" ref="K1360">_xlfn.XLOOKUP(C1360,Clientes[ID_Cliente],Clientes[Provincia])</f>
        <v>Chaco</v>
      </c>
      <c r="L1360" s="16" t="str">
        <f t="array" ref="L1360">CONCATENATE(_xlfn.XLOOKUP(C1360,Clientes[ID_Cliente],Clientes[Provincia]),", Argentina")</f>
        <v>Chaco, Argentina</v>
      </c>
      <c r="M1360" s="20" t="str">
        <f t="array" ref="M1360">_xlfn.XLOOKUP(F1360,Metodos_De_Pago[ID_Metodo],Metodos_De_Pago[Metodo])</f>
        <v>Mercado Pago</v>
      </c>
      <c r="N1360" s="20" t="str">
        <f t="shared" si="2"/>
        <v>2024 09</v>
      </c>
    </row>
    <row r="1361" ht="22.5" customHeight="1">
      <c r="A1361" s="12">
        <f>IFERROR(__xludf.DUMMYFUNCTION("""COMPUTED_VALUE"""),442.0)</f>
        <v>442</v>
      </c>
      <c r="B1361" s="13">
        <f>IFERROR(__xludf.DUMMYFUNCTION("""COMPUTED_VALUE"""),45543.0)</f>
        <v>45543</v>
      </c>
      <c r="C1361" s="12">
        <f>IFERROR(__xludf.DUMMYFUNCTION("""COMPUTED_VALUE"""),48.0)</f>
        <v>48</v>
      </c>
      <c r="D1361" s="12">
        <f>IFERROR(__xludf.DUMMYFUNCTION("""COMPUTED_VALUE"""),34.0)</f>
        <v>34</v>
      </c>
      <c r="E1361" s="12">
        <f>IFERROR(__xludf.DUMMYFUNCTION("""COMPUTED_VALUE"""),3.0)</f>
        <v>3</v>
      </c>
      <c r="F1361" s="12">
        <f>IFERROR(__xludf.DUMMYFUNCTION("""COMPUTED_VALUE"""),5.0)</f>
        <v>5</v>
      </c>
      <c r="G1361" s="15" t="str">
        <f>IFERROR(__xludf.DUMMYFUNCTION("""COMPUTED_VALUE"""),"Completa")</f>
        <v>Completa</v>
      </c>
      <c r="H1361" s="16" t="str">
        <f t="array" ref="H1361">_xlfn.XLOOKUP(D1361,Productos[ID_Producto],Productos[Nombre_Producto])</f>
        <v>Maníes</v>
      </c>
      <c r="I1361" s="17">
        <f t="array" ref="I1361">_xlfn.XLOOKUP(D1361,Productos[ID_Producto],Productos[Precio_Unitario])</f>
        <v>5.45</v>
      </c>
      <c r="J1361" s="17">
        <f t="shared" si="1"/>
        <v>16.35</v>
      </c>
      <c r="K1361" s="16" t="str">
        <f t="array" ref="K1361">_xlfn.XLOOKUP(C1361,Clientes[ID_Cliente],Clientes[Provincia])</f>
        <v>Neuquén</v>
      </c>
      <c r="L1361" s="16" t="str">
        <f t="array" ref="L1361">CONCATENATE(_xlfn.XLOOKUP(C1361,Clientes[ID_Cliente],Clientes[Provincia]),", Argentina")</f>
        <v>Neuquén, Argentina</v>
      </c>
      <c r="M1361" s="20" t="str">
        <f t="array" ref="M1361">_xlfn.XLOOKUP(F1361,Metodos_De_Pago[ID_Metodo],Metodos_De_Pago[Metodo])</f>
        <v>Transferencia</v>
      </c>
      <c r="N1361" s="20" t="str">
        <f t="shared" si="2"/>
        <v>2024 09</v>
      </c>
    </row>
    <row r="1362" ht="22.5" customHeight="1">
      <c r="A1362" s="12">
        <f>IFERROR(__xludf.DUMMYFUNCTION("""COMPUTED_VALUE"""),1252.0)</f>
        <v>1252</v>
      </c>
      <c r="B1362" s="13">
        <f>IFERROR(__xludf.DUMMYFUNCTION("""COMPUTED_VALUE"""),45543.0)</f>
        <v>45543</v>
      </c>
      <c r="C1362" s="12">
        <f>IFERROR(__xludf.DUMMYFUNCTION("""COMPUTED_VALUE"""),50.0)</f>
        <v>50</v>
      </c>
      <c r="D1362" s="12">
        <f>IFERROR(__xludf.DUMMYFUNCTION("""COMPUTED_VALUE"""),36.0)</f>
        <v>36</v>
      </c>
      <c r="E1362" s="12">
        <f>IFERROR(__xludf.DUMMYFUNCTION("""COMPUTED_VALUE"""),3.0)</f>
        <v>3</v>
      </c>
      <c r="F1362" s="12">
        <f>IFERROR(__xludf.DUMMYFUNCTION("""COMPUTED_VALUE"""),5.0)</f>
        <v>5</v>
      </c>
      <c r="G1362" s="15" t="str">
        <f>IFERROR(__xludf.DUMMYFUNCTION("""COMPUTED_VALUE"""),"Pendiente")</f>
        <v>Pendiente</v>
      </c>
      <c r="H1362" s="16" t="str">
        <f t="array" ref="H1362">_xlfn.XLOOKUP(D1362,Productos[ID_Producto],Productos[Nombre_Producto])</f>
        <v>Lentejas</v>
      </c>
      <c r="I1362" s="17">
        <f t="array" ref="I1362">_xlfn.XLOOKUP(D1362,Productos[ID_Producto],Productos[Precio_Unitario])</f>
        <v>3.25</v>
      </c>
      <c r="J1362" s="17">
        <f t="shared" si="1"/>
        <v>9.75</v>
      </c>
      <c r="K1362" s="16" t="str">
        <f t="array" ref="K1362">_xlfn.XLOOKUP(C1362,Clientes[ID_Cliente],Clientes[Provincia])</f>
        <v>Buenos Aires</v>
      </c>
      <c r="L1362" s="16" t="str">
        <f t="array" ref="L1362">CONCATENATE(_xlfn.XLOOKUP(C1362,Clientes[ID_Cliente],Clientes[Provincia]),", Argentina")</f>
        <v>Buenos Aires, Argentina</v>
      </c>
      <c r="M1362" s="20" t="str">
        <f t="array" ref="M1362">_xlfn.XLOOKUP(F1362,Metodos_De_Pago[ID_Metodo],Metodos_De_Pago[Metodo])</f>
        <v>Transferencia</v>
      </c>
      <c r="N1362" s="20" t="str">
        <f t="shared" si="2"/>
        <v>2024 09</v>
      </c>
    </row>
    <row r="1363" ht="22.5" customHeight="1">
      <c r="A1363" s="12">
        <f>IFERROR(__xludf.DUMMYFUNCTION("""COMPUTED_VALUE"""),582.0)</f>
        <v>582</v>
      </c>
      <c r="B1363" s="13">
        <f>IFERROR(__xludf.DUMMYFUNCTION("""COMPUTED_VALUE"""),45544.0)</f>
        <v>45544</v>
      </c>
      <c r="C1363" s="12">
        <f>IFERROR(__xludf.DUMMYFUNCTION("""COMPUTED_VALUE"""),266.0)</f>
        <v>266</v>
      </c>
      <c r="D1363" s="12">
        <f>IFERROR(__xludf.DUMMYFUNCTION("""COMPUTED_VALUE"""),21.0)</f>
        <v>21</v>
      </c>
      <c r="E1363" s="12">
        <f>IFERROR(__xludf.DUMMYFUNCTION("""COMPUTED_VALUE"""),3.0)</f>
        <v>3</v>
      </c>
      <c r="F1363" s="12">
        <f>IFERROR(__xludf.DUMMYFUNCTION("""COMPUTED_VALUE"""),5.0)</f>
        <v>5</v>
      </c>
      <c r="G1363" s="15" t="str">
        <f>IFERROR(__xludf.DUMMYFUNCTION("""COMPUTED_VALUE"""),"Completa")</f>
        <v>Completa</v>
      </c>
      <c r="H1363" s="16" t="str">
        <f t="array" ref="H1363">_xlfn.XLOOKUP(D1363,Productos[ID_Producto],Productos[Nombre_Producto])</f>
        <v>Zanahorias</v>
      </c>
      <c r="I1363" s="17">
        <f t="array" ref="I1363">_xlfn.XLOOKUP(D1363,Productos[ID_Producto],Productos[Precio_Unitario])</f>
        <v>3.25</v>
      </c>
      <c r="J1363" s="17">
        <f t="shared" si="1"/>
        <v>9.75</v>
      </c>
      <c r="K1363" s="16" t="str">
        <f t="array" ref="K1363">_xlfn.XLOOKUP(C1363,Clientes[ID_Cliente],Clientes[Provincia])</f>
        <v>Buenos Aires</v>
      </c>
      <c r="L1363" s="16" t="str">
        <f t="array" ref="L1363">CONCATENATE(_xlfn.XLOOKUP(C1363,Clientes[ID_Cliente],Clientes[Provincia]),", Argentina")</f>
        <v>Buenos Aires, Argentina</v>
      </c>
      <c r="M1363" s="20" t="str">
        <f t="array" ref="M1363">_xlfn.XLOOKUP(F1363,Metodos_De_Pago[ID_Metodo],Metodos_De_Pago[Metodo])</f>
        <v>Transferencia</v>
      </c>
      <c r="N1363" s="20" t="str">
        <f t="shared" si="2"/>
        <v>2024 09</v>
      </c>
    </row>
    <row r="1364" ht="22.5" customHeight="1">
      <c r="A1364" s="12">
        <f>IFERROR(__xludf.DUMMYFUNCTION("""COMPUTED_VALUE"""),2744.0)</f>
        <v>2744</v>
      </c>
      <c r="B1364" s="13">
        <f>IFERROR(__xludf.DUMMYFUNCTION("""COMPUTED_VALUE"""),45545.0)</f>
        <v>45545</v>
      </c>
      <c r="C1364" s="12">
        <f>IFERROR(__xludf.DUMMYFUNCTION("""COMPUTED_VALUE"""),301.0)</f>
        <v>301</v>
      </c>
      <c r="D1364" s="12">
        <f>IFERROR(__xludf.DUMMYFUNCTION("""COMPUTED_VALUE"""),36.0)</f>
        <v>36</v>
      </c>
      <c r="E1364" s="12">
        <f>IFERROR(__xludf.DUMMYFUNCTION("""COMPUTED_VALUE"""),3.0)</f>
        <v>3</v>
      </c>
      <c r="F1364" s="12">
        <f>IFERROR(__xludf.DUMMYFUNCTION("""COMPUTED_VALUE"""),4.0)</f>
        <v>4</v>
      </c>
      <c r="G1364" s="15" t="str">
        <f>IFERROR(__xludf.DUMMYFUNCTION("""COMPUTED_VALUE"""),"Completa")</f>
        <v>Completa</v>
      </c>
      <c r="H1364" s="16" t="str">
        <f t="array" ref="H1364">_xlfn.XLOOKUP(D1364,Productos[ID_Producto],Productos[Nombre_Producto])</f>
        <v>Lentejas</v>
      </c>
      <c r="I1364" s="17">
        <f t="array" ref="I1364">_xlfn.XLOOKUP(D1364,Productos[ID_Producto],Productos[Precio_Unitario])</f>
        <v>3.25</v>
      </c>
      <c r="J1364" s="17">
        <f t="shared" si="1"/>
        <v>9.75</v>
      </c>
      <c r="K1364" s="16" t="str">
        <f t="array" ref="K1364">_xlfn.XLOOKUP(C1364,Clientes[ID_Cliente],Clientes[Provincia])</f>
        <v>San Luis</v>
      </c>
      <c r="L1364" s="16" t="str">
        <f t="array" ref="L1364">CONCATENATE(_xlfn.XLOOKUP(C1364,Clientes[ID_Cliente],Clientes[Provincia]),", Argentina")</f>
        <v>San Luis, Argentina</v>
      </c>
      <c r="M1364" s="20" t="str">
        <f t="array" ref="M1364">_xlfn.XLOOKUP(F1364,Metodos_De_Pago[ID_Metodo],Metodos_De_Pago[Metodo])</f>
        <v>Mercado Pago</v>
      </c>
      <c r="N1364" s="20" t="str">
        <f t="shared" si="2"/>
        <v>2024 09</v>
      </c>
    </row>
    <row r="1365" ht="22.5" customHeight="1">
      <c r="A1365" s="12">
        <f>IFERROR(__xludf.DUMMYFUNCTION("""COMPUTED_VALUE"""),2220.0)</f>
        <v>2220</v>
      </c>
      <c r="B1365" s="13">
        <f>IFERROR(__xludf.DUMMYFUNCTION("""COMPUTED_VALUE"""),45546.0)</f>
        <v>45546</v>
      </c>
      <c r="C1365" s="12">
        <f>IFERROR(__xludf.DUMMYFUNCTION("""COMPUTED_VALUE"""),317.0)</f>
        <v>317</v>
      </c>
      <c r="D1365" s="12">
        <f>IFERROR(__xludf.DUMMYFUNCTION("""COMPUTED_VALUE"""),26.0)</f>
        <v>26</v>
      </c>
      <c r="E1365" s="12">
        <f>IFERROR(__xludf.DUMMYFUNCTION("""COMPUTED_VALUE"""),3.0)</f>
        <v>3</v>
      </c>
      <c r="F1365" s="12">
        <f>IFERROR(__xludf.DUMMYFUNCTION("""COMPUTED_VALUE"""),5.0)</f>
        <v>5</v>
      </c>
      <c r="G1365" s="15" t="str">
        <f>IFERROR(__xludf.DUMMYFUNCTION("""COMPUTED_VALUE"""),"Completa")</f>
        <v>Completa</v>
      </c>
      <c r="H1365" s="16" t="str">
        <f t="array" ref="H1365">_xlfn.XLOOKUP(D1365,Productos[ID_Producto],Productos[Nombre_Producto])</f>
        <v>Hamburgesas congeladas</v>
      </c>
      <c r="I1365" s="17">
        <f t="array" ref="I1365">_xlfn.XLOOKUP(D1365,Productos[ID_Producto],Productos[Precio_Unitario])</f>
        <v>9.54</v>
      </c>
      <c r="J1365" s="17">
        <f t="shared" si="1"/>
        <v>28.62</v>
      </c>
      <c r="K1365" s="16" t="str">
        <f t="array" ref="K1365">_xlfn.XLOOKUP(C1365,Clientes[ID_Cliente],Clientes[Provincia])</f>
        <v>Chaco</v>
      </c>
      <c r="L1365" s="16" t="str">
        <f t="array" ref="L1365">CONCATENATE(_xlfn.XLOOKUP(C1365,Clientes[ID_Cliente],Clientes[Provincia]),", Argentina")</f>
        <v>Chaco, Argentina</v>
      </c>
      <c r="M1365" s="20" t="str">
        <f t="array" ref="M1365">_xlfn.XLOOKUP(F1365,Metodos_De_Pago[ID_Metodo],Metodos_De_Pago[Metodo])</f>
        <v>Transferencia</v>
      </c>
      <c r="N1365" s="20" t="str">
        <f t="shared" si="2"/>
        <v>2024 09</v>
      </c>
    </row>
    <row r="1366" ht="22.5" customHeight="1">
      <c r="A1366" s="12">
        <f>IFERROR(__xludf.DUMMYFUNCTION("""COMPUTED_VALUE"""),2489.0)</f>
        <v>2489</v>
      </c>
      <c r="B1366" s="13">
        <f>IFERROR(__xludf.DUMMYFUNCTION("""COMPUTED_VALUE"""),45546.0)</f>
        <v>45546</v>
      </c>
      <c r="C1366" s="12">
        <f>IFERROR(__xludf.DUMMYFUNCTION("""COMPUTED_VALUE"""),266.0)</f>
        <v>266</v>
      </c>
      <c r="D1366" s="12">
        <f>IFERROR(__xludf.DUMMYFUNCTION("""COMPUTED_VALUE"""),34.0)</f>
        <v>34</v>
      </c>
      <c r="E1366" s="12">
        <f>IFERROR(__xludf.DUMMYFUNCTION("""COMPUTED_VALUE"""),3.0)</f>
        <v>3</v>
      </c>
      <c r="F1366" s="12">
        <f>IFERROR(__xludf.DUMMYFUNCTION("""COMPUTED_VALUE"""),5.0)</f>
        <v>5</v>
      </c>
      <c r="G1366" s="15" t="str">
        <f>IFERROR(__xludf.DUMMYFUNCTION("""COMPUTED_VALUE"""),"Completa")</f>
        <v>Completa</v>
      </c>
      <c r="H1366" s="16" t="str">
        <f t="array" ref="H1366">_xlfn.XLOOKUP(D1366,Productos[ID_Producto],Productos[Nombre_Producto])</f>
        <v>Maníes</v>
      </c>
      <c r="I1366" s="17">
        <f t="array" ref="I1366">_xlfn.XLOOKUP(D1366,Productos[ID_Producto],Productos[Precio_Unitario])</f>
        <v>5.45</v>
      </c>
      <c r="J1366" s="17">
        <f t="shared" si="1"/>
        <v>16.35</v>
      </c>
      <c r="K1366" s="16" t="str">
        <f t="array" ref="K1366">_xlfn.XLOOKUP(C1366,Clientes[ID_Cliente],Clientes[Provincia])</f>
        <v>Buenos Aires</v>
      </c>
      <c r="L1366" s="16" t="str">
        <f t="array" ref="L1366">CONCATENATE(_xlfn.XLOOKUP(C1366,Clientes[ID_Cliente],Clientes[Provincia]),", Argentina")</f>
        <v>Buenos Aires, Argentina</v>
      </c>
      <c r="M1366" s="20" t="str">
        <f t="array" ref="M1366">_xlfn.XLOOKUP(F1366,Metodos_De_Pago[ID_Metodo],Metodos_De_Pago[Metodo])</f>
        <v>Transferencia</v>
      </c>
      <c r="N1366" s="20" t="str">
        <f t="shared" si="2"/>
        <v>2024 09</v>
      </c>
    </row>
    <row r="1367" ht="22.5" customHeight="1">
      <c r="A1367" s="12">
        <f>IFERROR(__xludf.DUMMYFUNCTION("""COMPUTED_VALUE"""),958.0)</f>
        <v>958</v>
      </c>
      <c r="B1367" s="13">
        <f>IFERROR(__xludf.DUMMYFUNCTION("""COMPUTED_VALUE"""),45547.0)</f>
        <v>45547</v>
      </c>
      <c r="C1367" s="12">
        <f>IFERROR(__xludf.DUMMYFUNCTION("""COMPUTED_VALUE"""),80.0)</f>
        <v>80</v>
      </c>
      <c r="D1367" s="12">
        <f>IFERROR(__xludf.DUMMYFUNCTION("""COMPUTED_VALUE"""),11.0)</f>
        <v>11</v>
      </c>
      <c r="E1367" s="12">
        <f>IFERROR(__xludf.DUMMYFUNCTION("""COMPUTED_VALUE"""),3.0)</f>
        <v>3</v>
      </c>
      <c r="F1367" s="12">
        <f>IFERROR(__xludf.DUMMYFUNCTION("""COMPUTED_VALUE"""),3.0)</f>
        <v>3</v>
      </c>
      <c r="G1367" s="15" t="str">
        <f>IFERROR(__xludf.DUMMYFUNCTION("""COMPUTED_VALUE"""),"Completa")</f>
        <v>Completa</v>
      </c>
      <c r="H1367" s="16" t="str">
        <f t="array" ref="H1367">_xlfn.XLOOKUP(D1367,Productos[ID_Producto],Productos[Nombre_Producto])</f>
        <v>Salchicha</v>
      </c>
      <c r="I1367" s="17">
        <f t="array" ref="I1367">_xlfn.XLOOKUP(D1367,Productos[ID_Producto],Productos[Precio_Unitario])</f>
        <v>11.23</v>
      </c>
      <c r="J1367" s="17">
        <f t="shared" si="1"/>
        <v>33.69</v>
      </c>
      <c r="K1367" s="16" t="str">
        <f t="array" ref="K1367">_xlfn.XLOOKUP(C1367,Clientes[ID_Cliente],Clientes[Provincia])</f>
        <v>Chaco</v>
      </c>
      <c r="L1367" s="16" t="str">
        <f t="array" ref="L1367">CONCATENATE(_xlfn.XLOOKUP(C1367,Clientes[ID_Cliente],Clientes[Provincia]),", Argentina")</f>
        <v>Chaco, Argentina</v>
      </c>
      <c r="M1367" s="20" t="str">
        <f t="array" ref="M1367">_xlfn.XLOOKUP(F1367,Metodos_De_Pago[ID_Metodo],Metodos_De_Pago[Metodo])</f>
        <v>Tarjeta de Débito</v>
      </c>
      <c r="N1367" s="20" t="str">
        <f t="shared" si="2"/>
        <v>2024 09</v>
      </c>
    </row>
    <row r="1368" ht="22.5" customHeight="1">
      <c r="A1368" s="12">
        <f>IFERROR(__xludf.DUMMYFUNCTION("""COMPUTED_VALUE"""),2944.0)</f>
        <v>2944</v>
      </c>
      <c r="B1368" s="13">
        <f>IFERROR(__xludf.DUMMYFUNCTION("""COMPUTED_VALUE"""),45549.0)</f>
        <v>45549</v>
      </c>
      <c r="C1368" s="12">
        <f>IFERROR(__xludf.DUMMYFUNCTION("""COMPUTED_VALUE"""),22.0)</f>
        <v>22</v>
      </c>
      <c r="D1368" s="12">
        <f>IFERROR(__xludf.DUMMYFUNCTION("""COMPUTED_VALUE"""),21.0)</f>
        <v>21</v>
      </c>
      <c r="E1368" s="12">
        <f>IFERROR(__xludf.DUMMYFUNCTION("""COMPUTED_VALUE"""),3.0)</f>
        <v>3</v>
      </c>
      <c r="F1368" s="12">
        <f>IFERROR(__xludf.DUMMYFUNCTION("""COMPUTED_VALUE"""),5.0)</f>
        <v>5</v>
      </c>
      <c r="G1368" s="15" t="str">
        <f>IFERROR(__xludf.DUMMYFUNCTION("""COMPUTED_VALUE"""),"Pendiente")</f>
        <v>Pendiente</v>
      </c>
      <c r="H1368" s="16" t="str">
        <f t="array" ref="H1368">_xlfn.XLOOKUP(D1368,Productos[ID_Producto],Productos[Nombre_Producto])</f>
        <v>Zanahorias</v>
      </c>
      <c r="I1368" s="17">
        <f t="array" ref="I1368">_xlfn.XLOOKUP(D1368,Productos[ID_Producto],Productos[Precio_Unitario])</f>
        <v>3.25</v>
      </c>
      <c r="J1368" s="17">
        <f t="shared" si="1"/>
        <v>9.75</v>
      </c>
      <c r="K1368" s="16" t="str">
        <f t="array" ref="K1368">_xlfn.XLOOKUP(C1368,Clientes[ID_Cliente],Clientes[Provincia])</f>
        <v>Córdoba</v>
      </c>
      <c r="L1368" s="16" t="str">
        <f t="array" ref="L1368">CONCATENATE(_xlfn.XLOOKUP(C1368,Clientes[ID_Cliente],Clientes[Provincia]),", Argentina")</f>
        <v>Córdoba, Argentina</v>
      </c>
      <c r="M1368" s="20" t="str">
        <f t="array" ref="M1368">_xlfn.XLOOKUP(F1368,Metodos_De_Pago[ID_Metodo],Metodos_De_Pago[Metodo])</f>
        <v>Transferencia</v>
      </c>
      <c r="N1368" s="20" t="str">
        <f t="shared" si="2"/>
        <v>2024 09</v>
      </c>
    </row>
    <row r="1369" ht="22.5" customHeight="1">
      <c r="A1369" s="12">
        <f>IFERROR(__xludf.DUMMYFUNCTION("""COMPUTED_VALUE"""),2013.0)</f>
        <v>2013</v>
      </c>
      <c r="B1369" s="13">
        <f>IFERROR(__xludf.DUMMYFUNCTION("""COMPUTED_VALUE"""),45552.0)</f>
        <v>45552</v>
      </c>
      <c r="C1369" s="12">
        <f>IFERROR(__xludf.DUMMYFUNCTION("""COMPUTED_VALUE"""),84.0)</f>
        <v>84</v>
      </c>
      <c r="D1369" s="12">
        <f>IFERROR(__xludf.DUMMYFUNCTION("""COMPUTED_VALUE"""),2.0)</f>
        <v>2</v>
      </c>
      <c r="E1369" s="12">
        <f>IFERROR(__xludf.DUMMYFUNCTION("""COMPUTED_VALUE"""),3.0)</f>
        <v>3</v>
      </c>
      <c r="F1369" s="12">
        <f>IFERROR(__xludf.DUMMYFUNCTION("""COMPUTED_VALUE"""),3.0)</f>
        <v>3</v>
      </c>
      <c r="G1369" s="15" t="str">
        <f>IFERROR(__xludf.DUMMYFUNCTION("""COMPUTED_VALUE"""),"Completa")</f>
        <v>Completa</v>
      </c>
      <c r="H1369" s="16" t="str">
        <f t="array" ref="H1369">_xlfn.XLOOKUP(D1369,Productos[ID_Producto],Productos[Nombre_Producto])</f>
        <v>Yogur</v>
      </c>
      <c r="I1369" s="17">
        <f t="array" ref="I1369">_xlfn.XLOOKUP(D1369,Productos[ID_Producto],Productos[Precio_Unitario])</f>
        <v>5.21</v>
      </c>
      <c r="J1369" s="17">
        <f t="shared" si="1"/>
        <v>15.63</v>
      </c>
      <c r="K1369" s="16" t="str">
        <f t="array" ref="K1369">_xlfn.XLOOKUP(C1369,Clientes[ID_Cliente],Clientes[Provincia])</f>
        <v>Buenos Aires</v>
      </c>
      <c r="L1369" s="16" t="str">
        <f t="array" ref="L1369">CONCATENATE(_xlfn.XLOOKUP(C1369,Clientes[ID_Cliente],Clientes[Provincia]),", Argentina")</f>
        <v>Buenos Aires, Argentina</v>
      </c>
      <c r="M1369" s="20" t="str">
        <f t="array" ref="M1369">_xlfn.XLOOKUP(F1369,Metodos_De_Pago[ID_Metodo],Metodos_De_Pago[Metodo])</f>
        <v>Tarjeta de Débito</v>
      </c>
      <c r="N1369" s="20" t="str">
        <f t="shared" si="2"/>
        <v>2024 09</v>
      </c>
    </row>
    <row r="1370" ht="22.5" customHeight="1">
      <c r="A1370" s="12">
        <f>IFERROR(__xludf.DUMMYFUNCTION("""COMPUTED_VALUE"""),165.0)</f>
        <v>165</v>
      </c>
      <c r="B1370" s="13">
        <f>IFERROR(__xludf.DUMMYFUNCTION("""COMPUTED_VALUE"""),45553.0)</f>
        <v>45553</v>
      </c>
      <c r="C1370" s="12">
        <f>IFERROR(__xludf.DUMMYFUNCTION("""COMPUTED_VALUE"""),173.0)</f>
        <v>173</v>
      </c>
      <c r="D1370" s="12">
        <f>IFERROR(__xludf.DUMMYFUNCTION("""COMPUTED_VALUE"""),8.0)</f>
        <v>8</v>
      </c>
      <c r="E1370" s="12">
        <f>IFERROR(__xludf.DUMMYFUNCTION("""COMPUTED_VALUE"""),3.0)</f>
        <v>3</v>
      </c>
      <c r="F1370" s="12">
        <f>IFERROR(__xludf.DUMMYFUNCTION("""COMPUTED_VALUE"""),4.0)</f>
        <v>4</v>
      </c>
      <c r="G1370" s="15" t="str">
        <f>IFERROR(__xludf.DUMMYFUNCTION("""COMPUTED_VALUE"""),"Completa")</f>
        <v>Completa</v>
      </c>
      <c r="H1370" s="16" t="str">
        <f t="array" ref="H1370">_xlfn.XLOOKUP(D1370,Productos[ID_Producto],Productos[Nombre_Producto])</f>
        <v>Milanesa</v>
      </c>
      <c r="I1370" s="17">
        <f t="array" ref="I1370">_xlfn.XLOOKUP(D1370,Productos[ID_Producto],Productos[Precio_Unitario])</f>
        <v>16.21</v>
      </c>
      <c r="J1370" s="17">
        <f t="shared" si="1"/>
        <v>48.63</v>
      </c>
      <c r="K1370" s="16" t="str">
        <f t="array" ref="K1370">_xlfn.XLOOKUP(C1370,Clientes[ID_Cliente],Clientes[Provincia])</f>
        <v>Neuquén</v>
      </c>
      <c r="L1370" s="16" t="str">
        <f t="array" ref="L1370">CONCATENATE(_xlfn.XLOOKUP(C1370,Clientes[ID_Cliente],Clientes[Provincia]),", Argentina")</f>
        <v>Neuquén, Argentina</v>
      </c>
      <c r="M1370" s="20" t="str">
        <f t="array" ref="M1370">_xlfn.XLOOKUP(F1370,Metodos_De_Pago[ID_Metodo],Metodos_De_Pago[Metodo])</f>
        <v>Mercado Pago</v>
      </c>
      <c r="N1370" s="20" t="str">
        <f t="shared" si="2"/>
        <v>2024 09</v>
      </c>
    </row>
    <row r="1371" ht="22.5" customHeight="1">
      <c r="A1371" s="12">
        <f>IFERROR(__xludf.DUMMYFUNCTION("""COMPUTED_VALUE"""),373.0)</f>
        <v>373</v>
      </c>
      <c r="B1371" s="13">
        <f>IFERROR(__xludf.DUMMYFUNCTION("""COMPUTED_VALUE"""),45554.0)</f>
        <v>45554</v>
      </c>
      <c r="C1371" s="12">
        <f>IFERROR(__xludf.DUMMYFUNCTION("""COMPUTED_VALUE"""),41.0)</f>
        <v>41</v>
      </c>
      <c r="D1371" s="12">
        <f>IFERROR(__xludf.DUMMYFUNCTION("""COMPUTED_VALUE"""),26.0)</f>
        <v>26</v>
      </c>
      <c r="E1371" s="12">
        <f>IFERROR(__xludf.DUMMYFUNCTION("""COMPUTED_VALUE"""),3.0)</f>
        <v>3</v>
      </c>
      <c r="F1371" s="12">
        <f>IFERROR(__xludf.DUMMYFUNCTION("""COMPUTED_VALUE"""),4.0)</f>
        <v>4</v>
      </c>
      <c r="G1371" s="15" t="str">
        <f>IFERROR(__xludf.DUMMYFUNCTION("""COMPUTED_VALUE"""),"Completa")</f>
        <v>Completa</v>
      </c>
      <c r="H1371" s="16" t="str">
        <f t="array" ref="H1371">_xlfn.XLOOKUP(D1371,Productos[ID_Producto],Productos[Nombre_Producto])</f>
        <v>Hamburgesas congeladas</v>
      </c>
      <c r="I1371" s="17">
        <f t="array" ref="I1371">_xlfn.XLOOKUP(D1371,Productos[ID_Producto],Productos[Precio_Unitario])</f>
        <v>9.54</v>
      </c>
      <c r="J1371" s="17">
        <f t="shared" si="1"/>
        <v>28.62</v>
      </c>
      <c r="K1371" s="16" t="str">
        <f t="array" ref="K1371">_xlfn.XLOOKUP(C1371,Clientes[ID_Cliente],Clientes[Provincia])</f>
        <v>Neuquén</v>
      </c>
      <c r="L1371" s="16" t="str">
        <f t="array" ref="L1371">CONCATENATE(_xlfn.XLOOKUP(C1371,Clientes[ID_Cliente],Clientes[Provincia]),", Argentina")</f>
        <v>Neuquén, Argentina</v>
      </c>
      <c r="M1371" s="20" t="str">
        <f t="array" ref="M1371">_xlfn.XLOOKUP(F1371,Metodos_De_Pago[ID_Metodo],Metodos_De_Pago[Metodo])</f>
        <v>Mercado Pago</v>
      </c>
      <c r="N1371" s="20" t="str">
        <f t="shared" si="2"/>
        <v>2024 09</v>
      </c>
    </row>
    <row r="1372" ht="22.5" customHeight="1">
      <c r="A1372" s="12">
        <f>IFERROR(__xludf.DUMMYFUNCTION("""COMPUTED_VALUE"""),1599.0)</f>
        <v>1599</v>
      </c>
      <c r="B1372" s="13">
        <f>IFERROR(__xludf.DUMMYFUNCTION("""COMPUTED_VALUE"""),45554.0)</f>
        <v>45554</v>
      </c>
      <c r="C1372" s="12">
        <f>IFERROR(__xludf.DUMMYFUNCTION("""COMPUTED_VALUE"""),144.0)</f>
        <v>144</v>
      </c>
      <c r="D1372" s="12">
        <f>IFERROR(__xludf.DUMMYFUNCTION("""COMPUTED_VALUE"""),5.0)</f>
        <v>5</v>
      </c>
      <c r="E1372" s="12">
        <f>IFERROR(__xludf.DUMMYFUNCTION("""COMPUTED_VALUE"""),3.0)</f>
        <v>3</v>
      </c>
      <c r="F1372" s="12">
        <f>IFERROR(__xludf.DUMMYFUNCTION("""COMPUTED_VALUE"""),3.0)</f>
        <v>3</v>
      </c>
      <c r="G1372" s="15" t="str">
        <f>IFERROR(__xludf.DUMMYFUNCTION("""COMPUTED_VALUE"""),"Completa")</f>
        <v>Completa</v>
      </c>
      <c r="H1372" s="16" t="str">
        <f t="array" ref="H1372">_xlfn.XLOOKUP(D1372,Productos[ID_Producto],Productos[Nombre_Producto])</f>
        <v>Manteca</v>
      </c>
      <c r="I1372" s="17">
        <f t="array" ref="I1372">_xlfn.XLOOKUP(D1372,Productos[ID_Producto],Productos[Precio_Unitario])</f>
        <v>5.65</v>
      </c>
      <c r="J1372" s="17">
        <f t="shared" si="1"/>
        <v>16.95</v>
      </c>
      <c r="K1372" s="16" t="str">
        <f t="array" ref="K1372">_xlfn.XLOOKUP(C1372,Clientes[ID_Cliente],Clientes[Provincia])</f>
        <v>Chaco</v>
      </c>
      <c r="L1372" s="16" t="str">
        <f t="array" ref="L1372">CONCATENATE(_xlfn.XLOOKUP(C1372,Clientes[ID_Cliente],Clientes[Provincia]),", Argentina")</f>
        <v>Chaco, Argentina</v>
      </c>
      <c r="M1372" s="20" t="str">
        <f t="array" ref="M1372">_xlfn.XLOOKUP(F1372,Metodos_De_Pago[ID_Metodo],Metodos_De_Pago[Metodo])</f>
        <v>Tarjeta de Débito</v>
      </c>
      <c r="N1372" s="20" t="str">
        <f t="shared" si="2"/>
        <v>2024 09</v>
      </c>
    </row>
    <row r="1373" ht="22.5" customHeight="1">
      <c r="A1373" s="12">
        <f>IFERROR(__xludf.DUMMYFUNCTION("""COMPUTED_VALUE"""),720.0)</f>
        <v>720</v>
      </c>
      <c r="B1373" s="13">
        <f>IFERROR(__xludf.DUMMYFUNCTION("""COMPUTED_VALUE"""),45556.0)</f>
        <v>45556</v>
      </c>
      <c r="C1373" s="12">
        <f>IFERROR(__xludf.DUMMYFUNCTION("""COMPUTED_VALUE"""),180.0)</f>
        <v>180</v>
      </c>
      <c r="D1373" s="12">
        <f>IFERROR(__xludf.DUMMYFUNCTION("""COMPUTED_VALUE"""),10.0)</f>
        <v>10</v>
      </c>
      <c r="E1373" s="12">
        <f>IFERROR(__xludf.DUMMYFUNCTION("""COMPUTED_VALUE"""),3.0)</f>
        <v>3</v>
      </c>
      <c r="F1373" s="12">
        <f>IFERROR(__xludf.DUMMYFUNCTION("""COMPUTED_VALUE"""),3.0)</f>
        <v>3</v>
      </c>
      <c r="G1373" s="15" t="str">
        <f>IFERROR(__xludf.DUMMYFUNCTION("""COMPUTED_VALUE"""),"Completa")</f>
        <v>Completa</v>
      </c>
      <c r="H1373" s="16" t="str">
        <f t="array" ref="H1373">_xlfn.XLOOKUP(D1373,Productos[ID_Producto],Productos[Nombre_Producto])</f>
        <v>Costilla de cerdo</v>
      </c>
      <c r="I1373" s="17">
        <f t="array" ref="I1373">_xlfn.XLOOKUP(D1373,Productos[ID_Producto],Productos[Precio_Unitario])</f>
        <v>14.25</v>
      </c>
      <c r="J1373" s="17">
        <f t="shared" si="1"/>
        <v>42.75</v>
      </c>
      <c r="K1373" s="16" t="str">
        <f t="array" ref="K1373">_xlfn.XLOOKUP(C1373,Clientes[ID_Cliente],Clientes[Provincia])</f>
        <v>Buenos Aires</v>
      </c>
      <c r="L1373" s="16" t="str">
        <f t="array" ref="L1373">CONCATENATE(_xlfn.XLOOKUP(C1373,Clientes[ID_Cliente],Clientes[Provincia]),", Argentina")</f>
        <v>Buenos Aires, Argentina</v>
      </c>
      <c r="M1373" s="20" t="str">
        <f t="array" ref="M1373">_xlfn.XLOOKUP(F1373,Metodos_De_Pago[ID_Metodo],Metodos_De_Pago[Metodo])</f>
        <v>Tarjeta de Débito</v>
      </c>
      <c r="N1373" s="20" t="str">
        <f t="shared" si="2"/>
        <v>2024 09</v>
      </c>
    </row>
    <row r="1374" ht="22.5" customHeight="1">
      <c r="A1374" s="12">
        <f>IFERROR(__xludf.DUMMYFUNCTION("""COMPUTED_VALUE"""),1197.0)</f>
        <v>1197</v>
      </c>
      <c r="B1374" s="13">
        <f>IFERROR(__xludf.DUMMYFUNCTION("""COMPUTED_VALUE"""),45556.0)</f>
        <v>45556</v>
      </c>
      <c r="C1374" s="12">
        <f>IFERROR(__xludf.DUMMYFUNCTION("""COMPUTED_VALUE"""),323.0)</f>
        <v>323</v>
      </c>
      <c r="D1374" s="12">
        <f>IFERROR(__xludf.DUMMYFUNCTION("""COMPUTED_VALUE"""),2.0)</f>
        <v>2</v>
      </c>
      <c r="E1374" s="12">
        <f>IFERROR(__xludf.DUMMYFUNCTION("""COMPUTED_VALUE"""),3.0)</f>
        <v>3</v>
      </c>
      <c r="F1374" s="12">
        <f>IFERROR(__xludf.DUMMYFUNCTION("""COMPUTED_VALUE"""),4.0)</f>
        <v>4</v>
      </c>
      <c r="G1374" s="15" t="str">
        <f>IFERROR(__xludf.DUMMYFUNCTION("""COMPUTED_VALUE"""),"Completa")</f>
        <v>Completa</v>
      </c>
      <c r="H1374" s="16" t="str">
        <f t="array" ref="H1374">_xlfn.XLOOKUP(D1374,Productos[ID_Producto],Productos[Nombre_Producto])</f>
        <v>Yogur</v>
      </c>
      <c r="I1374" s="17">
        <f t="array" ref="I1374">_xlfn.XLOOKUP(D1374,Productos[ID_Producto],Productos[Precio_Unitario])</f>
        <v>5.21</v>
      </c>
      <c r="J1374" s="17">
        <f t="shared" si="1"/>
        <v>15.63</v>
      </c>
      <c r="K1374" s="16" t="str">
        <f t="array" ref="K1374">_xlfn.XLOOKUP(C1374,Clientes[ID_Cliente],Clientes[Provincia])</f>
        <v>Córdoba</v>
      </c>
      <c r="L1374" s="16" t="str">
        <f t="array" ref="L1374">CONCATENATE(_xlfn.XLOOKUP(C1374,Clientes[ID_Cliente],Clientes[Provincia]),", Argentina")</f>
        <v>Córdoba, Argentina</v>
      </c>
      <c r="M1374" s="20" t="str">
        <f t="array" ref="M1374">_xlfn.XLOOKUP(F1374,Metodos_De_Pago[ID_Metodo],Metodos_De_Pago[Metodo])</f>
        <v>Mercado Pago</v>
      </c>
      <c r="N1374" s="20" t="str">
        <f t="shared" si="2"/>
        <v>2024 09</v>
      </c>
    </row>
    <row r="1375" ht="22.5" customHeight="1">
      <c r="A1375" s="12">
        <f>IFERROR(__xludf.DUMMYFUNCTION("""COMPUTED_VALUE"""),1302.0)</f>
        <v>1302</v>
      </c>
      <c r="B1375" s="13">
        <f>IFERROR(__xludf.DUMMYFUNCTION("""COMPUTED_VALUE"""),45556.0)</f>
        <v>45556</v>
      </c>
      <c r="C1375" s="12">
        <f>IFERROR(__xludf.DUMMYFUNCTION("""COMPUTED_VALUE"""),241.0)</f>
        <v>241</v>
      </c>
      <c r="D1375" s="12">
        <f>IFERROR(__xludf.DUMMYFUNCTION("""COMPUTED_VALUE"""),34.0)</f>
        <v>34</v>
      </c>
      <c r="E1375" s="12">
        <f>IFERROR(__xludf.DUMMYFUNCTION("""COMPUTED_VALUE"""),3.0)</f>
        <v>3</v>
      </c>
      <c r="F1375" s="12">
        <f>IFERROR(__xludf.DUMMYFUNCTION("""COMPUTED_VALUE"""),1.0)</f>
        <v>1</v>
      </c>
      <c r="G1375" s="15" t="str">
        <f>IFERROR(__xludf.DUMMYFUNCTION("""COMPUTED_VALUE"""),"Completa")</f>
        <v>Completa</v>
      </c>
      <c r="H1375" s="16" t="str">
        <f t="array" ref="H1375">_xlfn.XLOOKUP(D1375,Productos[ID_Producto],Productos[Nombre_Producto])</f>
        <v>Maníes</v>
      </c>
      <c r="I1375" s="17">
        <f t="array" ref="I1375">_xlfn.XLOOKUP(D1375,Productos[ID_Producto],Productos[Precio_Unitario])</f>
        <v>5.45</v>
      </c>
      <c r="J1375" s="17">
        <f t="shared" si="1"/>
        <v>16.35</v>
      </c>
      <c r="K1375" s="16" t="str">
        <f t="array" ref="K1375">_xlfn.XLOOKUP(C1375,Clientes[ID_Cliente],Clientes[Provincia])</f>
        <v>Buenos Aires</v>
      </c>
      <c r="L1375" s="16" t="str">
        <f t="array" ref="L1375">CONCATENATE(_xlfn.XLOOKUP(C1375,Clientes[ID_Cliente],Clientes[Provincia]),", Argentina")</f>
        <v>Buenos Aires, Argentina</v>
      </c>
      <c r="M1375" s="20" t="str">
        <f t="array" ref="M1375">_xlfn.XLOOKUP(F1375,Metodos_De_Pago[ID_Metodo],Metodos_De_Pago[Metodo])</f>
        <v>Efectivo</v>
      </c>
      <c r="N1375" s="20" t="str">
        <f t="shared" si="2"/>
        <v>2024 09</v>
      </c>
    </row>
    <row r="1376" ht="22.5" customHeight="1">
      <c r="A1376" s="12">
        <f>IFERROR(__xludf.DUMMYFUNCTION("""COMPUTED_VALUE"""),2738.0)</f>
        <v>2738</v>
      </c>
      <c r="B1376" s="13">
        <f>IFERROR(__xludf.DUMMYFUNCTION("""COMPUTED_VALUE"""),45556.0)</f>
        <v>45556</v>
      </c>
      <c r="C1376" s="12">
        <f>IFERROR(__xludf.DUMMYFUNCTION("""COMPUTED_VALUE"""),70.0)</f>
        <v>70</v>
      </c>
      <c r="D1376" s="12">
        <f>IFERROR(__xludf.DUMMYFUNCTION("""COMPUTED_VALUE"""),37.0)</f>
        <v>37</v>
      </c>
      <c r="E1376" s="12">
        <f>IFERROR(__xludf.DUMMYFUNCTION("""COMPUTED_VALUE"""),3.0)</f>
        <v>3</v>
      </c>
      <c r="F1376" s="12">
        <f>IFERROR(__xludf.DUMMYFUNCTION("""COMPUTED_VALUE"""),3.0)</f>
        <v>3</v>
      </c>
      <c r="G1376" s="15" t="str">
        <f>IFERROR(__xludf.DUMMYFUNCTION("""COMPUTED_VALUE"""),"Completa")</f>
        <v>Completa</v>
      </c>
      <c r="H1376" s="16" t="str">
        <f t="array" ref="H1376">_xlfn.XLOOKUP(D1376,Productos[ID_Producto],Productos[Nombre_Producto])</f>
        <v>Garbanzos</v>
      </c>
      <c r="I1376" s="17">
        <f t="array" ref="I1376">_xlfn.XLOOKUP(D1376,Productos[ID_Producto],Productos[Precio_Unitario])</f>
        <v>3.65</v>
      </c>
      <c r="J1376" s="17">
        <f t="shared" si="1"/>
        <v>10.95</v>
      </c>
      <c r="K1376" s="16" t="str">
        <f t="array" ref="K1376">_xlfn.XLOOKUP(C1376,Clientes[ID_Cliente],Clientes[Provincia])</f>
        <v>Córdoba</v>
      </c>
      <c r="L1376" s="16" t="str">
        <f t="array" ref="L1376">CONCATENATE(_xlfn.XLOOKUP(C1376,Clientes[ID_Cliente],Clientes[Provincia]),", Argentina")</f>
        <v>Córdoba, Argentina</v>
      </c>
      <c r="M1376" s="20" t="str">
        <f t="array" ref="M1376">_xlfn.XLOOKUP(F1376,Metodos_De_Pago[ID_Metodo],Metodos_De_Pago[Metodo])</f>
        <v>Tarjeta de Débito</v>
      </c>
      <c r="N1376" s="20" t="str">
        <f t="shared" si="2"/>
        <v>2024 09</v>
      </c>
    </row>
    <row r="1377" ht="22.5" customHeight="1">
      <c r="A1377" s="12">
        <f>IFERROR(__xludf.DUMMYFUNCTION("""COMPUTED_VALUE"""),2972.0)</f>
        <v>2972</v>
      </c>
      <c r="B1377" s="13">
        <f>IFERROR(__xludf.DUMMYFUNCTION("""COMPUTED_VALUE"""),45556.0)</f>
        <v>45556</v>
      </c>
      <c r="C1377" s="12">
        <f>IFERROR(__xludf.DUMMYFUNCTION("""COMPUTED_VALUE"""),74.0)</f>
        <v>74</v>
      </c>
      <c r="D1377" s="12">
        <f>IFERROR(__xludf.DUMMYFUNCTION("""COMPUTED_VALUE"""),32.0)</f>
        <v>32</v>
      </c>
      <c r="E1377" s="12">
        <f>IFERROR(__xludf.DUMMYFUNCTION("""COMPUTED_VALUE"""),3.0)</f>
        <v>3</v>
      </c>
      <c r="F1377" s="12">
        <f>IFERROR(__xludf.DUMMYFUNCTION("""COMPUTED_VALUE"""),1.0)</f>
        <v>1</v>
      </c>
      <c r="G1377" s="15" t="str">
        <f>IFERROR(__xludf.DUMMYFUNCTION("""COMPUTED_VALUE"""),"Completa")</f>
        <v>Completa</v>
      </c>
      <c r="H1377" s="16" t="str">
        <f t="array" ref="H1377">_xlfn.XLOOKUP(D1377,Productos[ID_Producto],Productos[Nombre_Producto])</f>
        <v>Galletitas de chocolate</v>
      </c>
      <c r="I1377" s="17">
        <f t="array" ref="I1377">_xlfn.XLOOKUP(D1377,Productos[ID_Producto],Productos[Precio_Unitario])</f>
        <v>6.25</v>
      </c>
      <c r="J1377" s="17">
        <f t="shared" si="1"/>
        <v>18.75</v>
      </c>
      <c r="K1377" s="16" t="str">
        <f t="array" ref="K1377">_xlfn.XLOOKUP(C1377,Clientes[ID_Cliente],Clientes[Provincia])</f>
        <v>Neuquén</v>
      </c>
      <c r="L1377" s="16" t="str">
        <f t="array" ref="L1377">CONCATENATE(_xlfn.XLOOKUP(C1377,Clientes[ID_Cliente],Clientes[Provincia]),", Argentina")</f>
        <v>Neuquén, Argentina</v>
      </c>
      <c r="M1377" s="20" t="str">
        <f t="array" ref="M1377">_xlfn.XLOOKUP(F1377,Metodos_De_Pago[ID_Metodo],Metodos_De_Pago[Metodo])</f>
        <v>Efectivo</v>
      </c>
      <c r="N1377" s="20" t="str">
        <f t="shared" si="2"/>
        <v>2024 09</v>
      </c>
    </row>
    <row r="1378" ht="22.5" customHeight="1">
      <c r="A1378" s="12">
        <f>IFERROR(__xludf.DUMMYFUNCTION("""COMPUTED_VALUE"""),2365.0)</f>
        <v>2365</v>
      </c>
      <c r="B1378" s="13">
        <f>IFERROR(__xludf.DUMMYFUNCTION("""COMPUTED_VALUE"""),45557.0)</f>
        <v>45557</v>
      </c>
      <c r="C1378" s="12">
        <f>IFERROR(__xludf.DUMMYFUNCTION("""COMPUTED_VALUE"""),95.0)</f>
        <v>95</v>
      </c>
      <c r="D1378" s="12">
        <f>IFERROR(__xludf.DUMMYFUNCTION("""COMPUTED_VALUE"""),37.0)</f>
        <v>37</v>
      </c>
      <c r="E1378" s="12">
        <f>IFERROR(__xludf.DUMMYFUNCTION("""COMPUTED_VALUE"""),3.0)</f>
        <v>3</v>
      </c>
      <c r="F1378" s="12">
        <f>IFERROR(__xludf.DUMMYFUNCTION("""COMPUTED_VALUE"""),4.0)</f>
        <v>4</v>
      </c>
      <c r="G1378" s="15" t="str">
        <f>IFERROR(__xludf.DUMMYFUNCTION("""COMPUTED_VALUE"""),"Completa")</f>
        <v>Completa</v>
      </c>
      <c r="H1378" s="16" t="str">
        <f t="array" ref="H1378">_xlfn.XLOOKUP(D1378,Productos[ID_Producto],Productos[Nombre_Producto])</f>
        <v>Garbanzos</v>
      </c>
      <c r="I1378" s="17">
        <f t="array" ref="I1378">_xlfn.XLOOKUP(D1378,Productos[ID_Producto],Productos[Precio_Unitario])</f>
        <v>3.65</v>
      </c>
      <c r="J1378" s="17">
        <f t="shared" si="1"/>
        <v>10.95</v>
      </c>
      <c r="K1378" s="16" t="str">
        <f t="array" ref="K1378">_xlfn.XLOOKUP(C1378,Clientes[ID_Cliente],Clientes[Provincia])</f>
        <v>Buenos Aires</v>
      </c>
      <c r="L1378" s="16" t="str">
        <f t="array" ref="L1378">CONCATENATE(_xlfn.XLOOKUP(C1378,Clientes[ID_Cliente],Clientes[Provincia]),", Argentina")</f>
        <v>Buenos Aires, Argentina</v>
      </c>
      <c r="M1378" s="20" t="str">
        <f t="array" ref="M1378">_xlfn.XLOOKUP(F1378,Metodos_De_Pago[ID_Metodo],Metodos_De_Pago[Metodo])</f>
        <v>Mercado Pago</v>
      </c>
      <c r="N1378" s="20" t="str">
        <f t="shared" si="2"/>
        <v>2024 09</v>
      </c>
    </row>
    <row r="1379" ht="22.5" customHeight="1">
      <c r="A1379" s="12">
        <f>IFERROR(__xludf.DUMMYFUNCTION("""COMPUTED_VALUE"""),2457.0)</f>
        <v>2457</v>
      </c>
      <c r="B1379" s="13">
        <f>IFERROR(__xludf.DUMMYFUNCTION("""COMPUTED_VALUE"""),45557.0)</f>
        <v>45557</v>
      </c>
      <c r="C1379" s="12">
        <f>IFERROR(__xludf.DUMMYFUNCTION("""COMPUTED_VALUE"""),234.0)</f>
        <v>234</v>
      </c>
      <c r="D1379" s="12">
        <f>IFERROR(__xludf.DUMMYFUNCTION("""COMPUTED_VALUE"""),3.0)</f>
        <v>3</v>
      </c>
      <c r="E1379" s="12">
        <f>IFERROR(__xludf.DUMMYFUNCTION("""COMPUTED_VALUE"""),3.0)</f>
        <v>3</v>
      </c>
      <c r="F1379" s="12">
        <f>IFERROR(__xludf.DUMMYFUNCTION("""COMPUTED_VALUE"""),4.0)</f>
        <v>4</v>
      </c>
      <c r="G1379" s="15" t="str">
        <f>IFERROR(__xludf.DUMMYFUNCTION("""COMPUTED_VALUE"""),"Completa")</f>
        <v>Completa</v>
      </c>
      <c r="H1379" s="16" t="str">
        <f t="array" ref="H1379">_xlfn.XLOOKUP(D1379,Productos[ID_Producto],Productos[Nombre_Producto])</f>
        <v>Queso cremoso</v>
      </c>
      <c r="I1379" s="17">
        <f t="array" ref="I1379">_xlfn.XLOOKUP(D1379,Productos[ID_Producto],Productos[Precio_Unitario])</f>
        <v>17.23</v>
      </c>
      <c r="J1379" s="17">
        <f t="shared" si="1"/>
        <v>51.69</v>
      </c>
      <c r="K1379" s="16" t="str">
        <f t="array" ref="K1379">_xlfn.XLOOKUP(C1379,Clientes[ID_Cliente],Clientes[Provincia])</f>
        <v>Buenos Aires</v>
      </c>
      <c r="L1379" s="16" t="str">
        <f t="array" ref="L1379">CONCATENATE(_xlfn.XLOOKUP(C1379,Clientes[ID_Cliente],Clientes[Provincia]),", Argentina")</f>
        <v>Buenos Aires, Argentina</v>
      </c>
      <c r="M1379" s="20" t="str">
        <f t="array" ref="M1379">_xlfn.XLOOKUP(F1379,Metodos_De_Pago[ID_Metodo],Metodos_De_Pago[Metodo])</f>
        <v>Mercado Pago</v>
      </c>
      <c r="N1379" s="20" t="str">
        <f t="shared" si="2"/>
        <v>2024 09</v>
      </c>
    </row>
    <row r="1380" ht="22.5" customHeight="1">
      <c r="A1380" s="12">
        <f>IFERROR(__xludf.DUMMYFUNCTION("""COMPUTED_VALUE"""),568.0)</f>
        <v>568</v>
      </c>
      <c r="B1380" s="13">
        <f>IFERROR(__xludf.DUMMYFUNCTION("""COMPUTED_VALUE"""),45558.0)</f>
        <v>45558</v>
      </c>
      <c r="C1380" s="12">
        <f>IFERROR(__xludf.DUMMYFUNCTION("""COMPUTED_VALUE"""),230.0)</f>
        <v>230</v>
      </c>
      <c r="D1380" s="12">
        <f>IFERROR(__xludf.DUMMYFUNCTION("""COMPUTED_VALUE"""),31.0)</f>
        <v>31</v>
      </c>
      <c r="E1380" s="12">
        <f>IFERROR(__xludf.DUMMYFUNCTION("""COMPUTED_VALUE"""),3.0)</f>
        <v>3</v>
      </c>
      <c r="F1380" s="12">
        <f>IFERROR(__xludf.DUMMYFUNCTION("""COMPUTED_VALUE"""),1.0)</f>
        <v>1</v>
      </c>
      <c r="G1380" s="15" t="str">
        <f>IFERROR(__xludf.DUMMYFUNCTION("""COMPUTED_VALUE"""),"Completa")</f>
        <v>Completa</v>
      </c>
      <c r="H1380" s="16" t="str">
        <f t="array" ref="H1380">_xlfn.XLOOKUP(D1380,Productos[ID_Producto],Productos[Nombre_Producto])</f>
        <v>Galletitas de agua</v>
      </c>
      <c r="I1380" s="17">
        <f t="array" ref="I1380">_xlfn.XLOOKUP(D1380,Productos[ID_Producto],Productos[Precio_Unitario])</f>
        <v>5.24</v>
      </c>
      <c r="J1380" s="17">
        <f t="shared" si="1"/>
        <v>15.72</v>
      </c>
      <c r="K1380" s="16" t="str">
        <f t="array" ref="K1380">_xlfn.XLOOKUP(C1380,Clientes[ID_Cliente],Clientes[Provincia])</f>
        <v>Córdoba</v>
      </c>
      <c r="L1380" s="16" t="str">
        <f t="array" ref="L1380">CONCATENATE(_xlfn.XLOOKUP(C1380,Clientes[ID_Cliente],Clientes[Provincia]),", Argentina")</f>
        <v>Córdoba, Argentina</v>
      </c>
      <c r="M1380" s="20" t="str">
        <f t="array" ref="M1380">_xlfn.XLOOKUP(F1380,Metodos_De_Pago[ID_Metodo],Metodos_De_Pago[Metodo])</f>
        <v>Efectivo</v>
      </c>
      <c r="N1380" s="20" t="str">
        <f t="shared" si="2"/>
        <v>2024 09</v>
      </c>
    </row>
    <row r="1381" ht="22.5" customHeight="1">
      <c r="A1381" s="12">
        <f>IFERROR(__xludf.DUMMYFUNCTION("""COMPUTED_VALUE"""),1340.0)</f>
        <v>1340</v>
      </c>
      <c r="B1381" s="13">
        <f>IFERROR(__xludf.DUMMYFUNCTION("""COMPUTED_VALUE"""),45558.0)</f>
        <v>45558</v>
      </c>
      <c r="C1381" s="12">
        <f>IFERROR(__xludf.DUMMYFUNCTION("""COMPUTED_VALUE"""),8.0)</f>
        <v>8</v>
      </c>
      <c r="D1381" s="12">
        <f>IFERROR(__xludf.DUMMYFUNCTION("""COMPUTED_VALUE"""),3.0)</f>
        <v>3</v>
      </c>
      <c r="E1381" s="12">
        <f>IFERROR(__xludf.DUMMYFUNCTION("""COMPUTED_VALUE"""),3.0)</f>
        <v>3</v>
      </c>
      <c r="F1381" s="12">
        <f>IFERROR(__xludf.DUMMYFUNCTION("""COMPUTED_VALUE"""),5.0)</f>
        <v>5</v>
      </c>
      <c r="G1381" s="15" t="str">
        <f>IFERROR(__xludf.DUMMYFUNCTION("""COMPUTED_VALUE"""),"Completa")</f>
        <v>Completa</v>
      </c>
      <c r="H1381" s="16" t="str">
        <f t="array" ref="H1381">_xlfn.XLOOKUP(D1381,Productos[ID_Producto],Productos[Nombre_Producto])</f>
        <v>Queso cremoso</v>
      </c>
      <c r="I1381" s="17">
        <f t="array" ref="I1381">_xlfn.XLOOKUP(D1381,Productos[ID_Producto],Productos[Precio_Unitario])</f>
        <v>17.23</v>
      </c>
      <c r="J1381" s="17">
        <f t="shared" si="1"/>
        <v>51.69</v>
      </c>
      <c r="K1381" s="16" t="str">
        <f t="array" ref="K1381">_xlfn.XLOOKUP(C1381,Clientes[ID_Cliente],Clientes[Provincia])</f>
        <v>Buenos Aires</v>
      </c>
      <c r="L1381" s="16" t="str">
        <f t="array" ref="L1381">CONCATENATE(_xlfn.XLOOKUP(C1381,Clientes[ID_Cliente],Clientes[Provincia]),", Argentina")</f>
        <v>Buenos Aires, Argentina</v>
      </c>
      <c r="M1381" s="20" t="str">
        <f t="array" ref="M1381">_xlfn.XLOOKUP(F1381,Metodos_De_Pago[ID_Metodo],Metodos_De_Pago[Metodo])</f>
        <v>Transferencia</v>
      </c>
      <c r="N1381" s="20" t="str">
        <f t="shared" si="2"/>
        <v>2024 09</v>
      </c>
    </row>
    <row r="1382" ht="22.5" customHeight="1">
      <c r="A1382" s="12">
        <f>IFERROR(__xludf.DUMMYFUNCTION("""COMPUTED_VALUE"""),25.0)</f>
        <v>25</v>
      </c>
      <c r="B1382" s="13">
        <f>IFERROR(__xludf.DUMMYFUNCTION("""COMPUTED_VALUE"""),45559.0)</f>
        <v>45559</v>
      </c>
      <c r="C1382" s="12">
        <f>IFERROR(__xludf.DUMMYFUNCTION("""COMPUTED_VALUE"""),275.0)</f>
        <v>275</v>
      </c>
      <c r="D1382" s="12">
        <f>IFERROR(__xludf.DUMMYFUNCTION("""COMPUTED_VALUE"""),34.0)</f>
        <v>34</v>
      </c>
      <c r="E1382" s="12">
        <f>IFERROR(__xludf.DUMMYFUNCTION("""COMPUTED_VALUE"""),3.0)</f>
        <v>3</v>
      </c>
      <c r="F1382" s="12">
        <f>IFERROR(__xludf.DUMMYFUNCTION("""COMPUTED_VALUE"""),3.0)</f>
        <v>3</v>
      </c>
      <c r="G1382" s="15" t="str">
        <f>IFERROR(__xludf.DUMMYFUNCTION("""COMPUTED_VALUE"""),"Completa")</f>
        <v>Completa</v>
      </c>
      <c r="H1382" s="16" t="str">
        <f t="array" ref="H1382">_xlfn.XLOOKUP(D1382,Productos[ID_Producto],Productos[Nombre_Producto])</f>
        <v>Maníes</v>
      </c>
      <c r="I1382" s="17">
        <f t="array" ref="I1382">_xlfn.XLOOKUP(D1382,Productos[ID_Producto],Productos[Precio_Unitario])</f>
        <v>5.45</v>
      </c>
      <c r="J1382" s="17">
        <f t="shared" si="1"/>
        <v>16.35</v>
      </c>
      <c r="K1382" s="16" t="str">
        <f t="array" ref="K1382">_xlfn.XLOOKUP(C1382,Clientes[ID_Cliente],Clientes[Provincia])</f>
        <v>Buenos Aires</v>
      </c>
      <c r="L1382" s="16" t="str">
        <f t="array" ref="L1382">CONCATENATE(_xlfn.XLOOKUP(C1382,Clientes[ID_Cliente],Clientes[Provincia]),", Argentina")</f>
        <v>Buenos Aires, Argentina</v>
      </c>
      <c r="M1382" s="20" t="str">
        <f t="array" ref="M1382">_xlfn.XLOOKUP(F1382,Metodos_De_Pago[ID_Metodo],Metodos_De_Pago[Metodo])</f>
        <v>Tarjeta de Débito</v>
      </c>
      <c r="N1382" s="20" t="str">
        <f t="shared" si="2"/>
        <v>2024 09</v>
      </c>
    </row>
    <row r="1383" ht="22.5" customHeight="1">
      <c r="A1383" s="12">
        <f>IFERROR(__xludf.DUMMYFUNCTION("""COMPUTED_VALUE"""),1949.0)</f>
        <v>1949</v>
      </c>
      <c r="B1383" s="13">
        <f>IFERROR(__xludf.DUMMYFUNCTION("""COMPUTED_VALUE"""),45560.0)</f>
        <v>45560</v>
      </c>
      <c r="C1383" s="12">
        <f>IFERROR(__xludf.DUMMYFUNCTION("""COMPUTED_VALUE"""),223.0)</f>
        <v>223</v>
      </c>
      <c r="D1383" s="12">
        <f>IFERROR(__xludf.DUMMYFUNCTION("""COMPUTED_VALUE"""),1.0)</f>
        <v>1</v>
      </c>
      <c r="E1383" s="12">
        <f>IFERROR(__xludf.DUMMYFUNCTION("""COMPUTED_VALUE"""),3.0)</f>
        <v>3</v>
      </c>
      <c r="F1383" s="12">
        <f>IFERROR(__xludf.DUMMYFUNCTION("""COMPUTED_VALUE"""),1.0)</f>
        <v>1</v>
      </c>
      <c r="G1383" s="15" t="str">
        <f>IFERROR(__xludf.DUMMYFUNCTION("""COMPUTED_VALUE"""),"Completa")</f>
        <v>Completa</v>
      </c>
      <c r="H1383" s="16" t="str">
        <f t="array" ref="H1383">_xlfn.XLOOKUP(D1383,Productos[ID_Producto],Productos[Nombre_Producto])</f>
        <v>Leche</v>
      </c>
      <c r="I1383" s="17">
        <f t="array" ref="I1383">_xlfn.XLOOKUP(D1383,Productos[ID_Producto],Productos[Precio_Unitario])</f>
        <v>12.24</v>
      </c>
      <c r="J1383" s="17">
        <f t="shared" si="1"/>
        <v>36.72</v>
      </c>
      <c r="K1383" s="16" t="str">
        <f t="array" ref="K1383">_xlfn.XLOOKUP(C1383,Clientes[ID_Cliente],Clientes[Provincia])</f>
        <v>Buenos Aires</v>
      </c>
      <c r="L1383" s="16" t="str">
        <f t="array" ref="L1383">CONCATENATE(_xlfn.XLOOKUP(C1383,Clientes[ID_Cliente],Clientes[Provincia]),", Argentina")</f>
        <v>Buenos Aires, Argentina</v>
      </c>
      <c r="M1383" s="20" t="str">
        <f t="array" ref="M1383">_xlfn.XLOOKUP(F1383,Metodos_De_Pago[ID_Metodo],Metodos_De_Pago[Metodo])</f>
        <v>Efectivo</v>
      </c>
      <c r="N1383" s="20" t="str">
        <f t="shared" si="2"/>
        <v>2024 09</v>
      </c>
    </row>
    <row r="1384" ht="22.5" customHeight="1">
      <c r="A1384" s="12">
        <f>IFERROR(__xludf.DUMMYFUNCTION("""COMPUTED_VALUE"""),604.0)</f>
        <v>604</v>
      </c>
      <c r="B1384" s="13">
        <f>IFERROR(__xludf.DUMMYFUNCTION("""COMPUTED_VALUE"""),45561.0)</f>
        <v>45561</v>
      </c>
      <c r="C1384" s="12">
        <f>IFERROR(__xludf.DUMMYFUNCTION("""COMPUTED_VALUE"""),321.0)</f>
        <v>321</v>
      </c>
      <c r="D1384" s="12">
        <f>IFERROR(__xludf.DUMMYFUNCTION("""COMPUTED_VALUE"""),6.0)</f>
        <v>6</v>
      </c>
      <c r="E1384" s="12">
        <f>IFERROR(__xludf.DUMMYFUNCTION("""COMPUTED_VALUE"""),3.0)</f>
        <v>3</v>
      </c>
      <c r="F1384" s="12">
        <f>IFERROR(__xludf.DUMMYFUNCTION("""COMPUTED_VALUE"""),4.0)</f>
        <v>4</v>
      </c>
      <c r="G1384" s="15" t="str">
        <f>IFERROR(__xludf.DUMMYFUNCTION("""COMPUTED_VALUE"""),"Completa")</f>
        <v>Completa</v>
      </c>
      <c r="H1384" s="16" t="str">
        <f t="array" ref="H1384">_xlfn.XLOOKUP(D1384,Productos[ID_Producto],Productos[Nombre_Producto])</f>
        <v>Asado</v>
      </c>
      <c r="I1384" s="17">
        <f t="array" ref="I1384">_xlfn.XLOOKUP(D1384,Productos[ID_Producto],Productos[Precio_Unitario])</f>
        <v>28.56</v>
      </c>
      <c r="J1384" s="17">
        <f t="shared" si="1"/>
        <v>85.68</v>
      </c>
      <c r="K1384" s="16" t="str">
        <f t="array" ref="K1384">_xlfn.XLOOKUP(C1384,Clientes[ID_Cliente],Clientes[Provincia])</f>
        <v>San Luis</v>
      </c>
      <c r="L1384" s="16" t="str">
        <f t="array" ref="L1384">CONCATENATE(_xlfn.XLOOKUP(C1384,Clientes[ID_Cliente],Clientes[Provincia]),", Argentina")</f>
        <v>San Luis, Argentina</v>
      </c>
      <c r="M1384" s="20" t="str">
        <f t="array" ref="M1384">_xlfn.XLOOKUP(F1384,Metodos_De_Pago[ID_Metodo],Metodos_De_Pago[Metodo])</f>
        <v>Mercado Pago</v>
      </c>
      <c r="N1384" s="20" t="str">
        <f t="shared" si="2"/>
        <v>2024 09</v>
      </c>
    </row>
    <row r="1385" ht="22.5" customHeight="1">
      <c r="A1385" s="12">
        <f>IFERROR(__xludf.DUMMYFUNCTION("""COMPUTED_VALUE"""),150.0)</f>
        <v>150</v>
      </c>
      <c r="B1385" s="13">
        <f>IFERROR(__xludf.DUMMYFUNCTION("""COMPUTED_VALUE"""),45562.0)</f>
        <v>45562</v>
      </c>
      <c r="C1385" s="12">
        <f>IFERROR(__xludf.DUMMYFUNCTION("""COMPUTED_VALUE"""),133.0)</f>
        <v>133</v>
      </c>
      <c r="D1385" s="12">
        <f>IFERROR(__xludf.DUMMYFUNCTION("""COMPUTED_VALUE"""),6.0)</f>
        <v>6</v>
      </c>
      <c r="E1385" s="12">
        <f>IFERROR(__xludf.DUMMYFUNCTION("""COMPUTED_VALUE"""),3.0)</f>
        <v>3</v>
      </c>
      <c r="F1385" s="12">
        <f>IFERROR(__xludf.DUMMYFUNCTION("""COMPUTED_VALUE"""),4.0)</f>
        <v>4</v>
      </c>
      <c r="G1385" s="15" t="str">
        <f>IFERROR(__xludf.DUMMYFUNCTION("""COMPUTED_VALUE"""),"Completa")</f>
        <v>Completa</v>
      </c>
      <c r="H1385" s="16" t="str">
        <f t="array" ref="H1385">_xlfn.XLOOKUP(D1385,Productos[ID_Producto],Productos[Nombre_Producto])</f>
        <v>Asado</v>
      </c>
      <c r="I1385" s="17">
        <f t="array" ref="I1385">_xlfn.XLOOKUP(D1385,Productos[ID_Producto],Productos[Precio_Unitario])</f>
        <v>28.56</v>
      </c>
      <c r="J1385" s="17">
        <f t="shared" si="1"/>
        <v>85.68</v>
      </c>
      <c r="K1385" s="16" t="str">
        <f t="array" ref="K1385">_xlfn.XLOOKUP(C1385,Clientes[ID_Cliente],Clientes[Provincia])</f>
        <v>Buenos Aires</v>
      </c>
      <c r="L1385" s="16" t="str">
        <f t="array" ref="L1385">CONCATENATE(_xlfn.XLOOKUP(C1385,Clientes[ID_Cliente],Clientes[Provincia]),", Argentina")</f>
        <v>Buenos Aires, Argentina</v>
      </c>
      <c r="M1385" s="20" t="str">
        <f t="array" ref="M1385">_xlfn.XLOOKUP(F1385,Metodos_De_Pago[ID_Metodo],Metodos_De_Pago[Metodo])</f>
        <v>Mercado Pago</v>
      </c>
      <c r="N1385" s="20" t="str">
        <f t="shared" si="2"/>
        <v>2024 09</v>
      </c>
    </row>
    <row r="1386" ht="22.5" customHeight="1">
      <c r="A1386" s="12">
        <f>IFERROR(__xludf.DUMMYFUNCTION("""COMPUTED_VALUE"""),451.0)</f>
        <v>451</v>
      </c>
      <c r="B1386" s="13">
        <f>IFERROR(__xludf.DUMMYFUNCTION("""COMPUTED_VALUE"""),45562.0)</f>
        <v>45562</v>
      </c>
      <c r="C1386" s="12">
        <f>IFERROR(__xludf.DUMMYFUNCTION("""COMPUTED_VALUE"""),290.0)</f>
        <v>290</v>
      </c>
      <c r="D1386" s="12">
        <f>IFERROR(__xludf.DUMMYFUNCTION("""COMPUTED_VALUE"""),7.0)</f>
        <v>7</v>
      </c>
      <c r="E1386" s="12">
        <f>IFERROR(__xludf.DUMMYFUNCTION("""COMPUTED_VALUE"""),3.0)</f>
        <v>3</v>
      </c>
      <c r="F1386" s="12">
        <f>IFERROR(__xludf.DUMMYFUNCTION("""COMPUTED_VALUE"""),4.0)</f>
        <v>4</v>
      </c>
      <c r="G1386" s="15" t="str">
        <f>IFERROR(__xludf.DUMMYFUNCTION("""COMPUTED_VALUE"""),"Completa")</f>
        <v>Completa</v>
      </c>
      <c r="H1386" s="16" t="str">
        <f t="array" ref="H1386">_xlfn.XLOOKUP(D1386,Productos[ID_Producto],Productos[Nombre_Producto])</f>
        <v>Chorizo</v>
      </c>
      <c r="I1386" s="17">
        <f t="array" ref="I1386">_xlfn.XLOOKUP(D1386,Productos[ID_Producto],Productos[Precio_Unitario])</f>
        <v>11.25</v>
      </c>
      <c r="J1386" s="17">
        <f t="shared" si="1"/>
        <v>33.75</v>
      </c>
      <c r="K1386" s="16" t="str">
        <f t="array" ref="K1386">_xlfn.XLOOKUP(C1386,Clientes[ID_Cliente],Clientes[Provincia])</f>
        <v>Buenos Aires</v>
      </c>
      <c r="L1386" s="16" t="str">
        <f t="array" ref="L1386">CONCATENATE(_xlfn.XLOOKUP(C1386,Clientes[ID_Cliente],Clientes[Provincia]),", Argentina")</f>
        <v>Buenos Aires, Argentina</v>
      </c>
      <c r="M1386" s="20" t="str">
        <f t="array" ref="M1386">_xlfn.XLOOKUP(F1386,Metodos_De_Pago[ID_Metodo],Metodos_De_Pago[Metodo])</f>
        <v>Mercado Pago</v>
      </c>
      <c r="N1386" s="20" t="str">
        <f t="shared" si="2"/>
        <v>2024 09</v>
      </c>
    </row>
    <row r="1387" ht="22.5" customHeight="1">
      <c r="A1387" s="12">
        <f>IFERROR(__xludf.DUMMYFUNCTION("""COMPUTED_VALUE"""),1523.0)</f>
        <v>1523</v>
      </c>
      <c r="B1387" s="13">
        <f>IFERROR(__xludf.DUMMYFUNCTION("""COMPUTED_VALUE"""),45562.0)</f>
        <v>45562</v>
      </c>
      <c r="C1387" s="12">
        <f>IFERROR(__xludf.DUMMYFUNCTION("""COMPUTED_VALUE"""),79.0)</f>
        <v>79</v>
      </c>
      <c r="D1387" s="12">
        <f>IFERROR(__xludf.DUMMYFUNCTION("""COMPUTED_VALUE"""),30.0)</f>
        <v>30</v>
      </c>
      <c r="E1387" s="12">
        <f>IFERROR(__xludf.DUMMYFUNCTION("""COMPUTED_VALUE"""),3.0)</f>
        <v>3</v>
      </c>
      <c r="F1387" s="12">
        <f>IFERROR(__xludf.DUMMYFUNCTION("""COMPUTED_VALUE"""),4.0)</f>
        <v>4</v>
      </c>
      <c r="G1387" s="15" t="str">
        <f>IFERROR(__xludf.DUMMYFUNCTION("""COMPUTED_VALUE"""),"Completa")</f>
        <v>Completa</v>
      </c>
      <c r="H1387" s="16" t="str">
        <f t="array" ref="H1387">_xlfn.XLOOKUP(D1387,Productos[ID_Producto],Productos[Nombre_Producto])</f>
        <v>Vino tinto</v>
      </c>
      <c r="I1387" s="17">
        <f t="array" ref="I1387">_xlfn.XLOOKUP(D1387,Productos[ID_Producto],Productos[Precio_Unitario])</f>
        <v>13.54</v>
      </c>
      <c r="J1387" s="17">
        <f t="shared" si="1"/>
        <v>40.62</v>
      </c>
      <c r="K1387" s="16" t="str">
        <f t="array" ref="K1387">_xlfn.XLOOKUP(C1387,Clientes[ID_Cliente],Clientes[Provincia])</f>
        <v>Neuquén</v>
      </c>
      <c r="L1387" s="16" t="str">
        <f t="array" ref="L1387">CONCATENATE(_xlfn.XLOOKUP(C1387,Clientes[ID_Cliente],Clientes[Provincia]),", Argentina")</f>
        <v>Neuquén, Argentina</v>
      </c>
      <c r="M1387" s="20" t="str">
        <f t="array" ref="M1387">_xlfn.XLOOKUP(F1387,Metodos_De_Pago[ID_Metodo],Metodos_De_Pago[Metodo])</f>
        <v>Mercado Pago</v>
      </c>
      <c r="N1387" s="20" t="str">
        <f t="shared" si="2"/>
        <v>2024 09</v>
      </c>
    </row>
    <row r="1388" ht="22.5" customHeight="1">
      <c r="A1388" s="12">
        <f>IFERROR(__xludf.DUMMYFUNCTION("""COMPUTED_VALUE"""),2026.0)</f>
        <v>2026</v>
      </c>
      <c r="B1388" s="13">
        <f>IFERROR(__xludf.DUMMYFUNCTION("""COMPUTED_VALUE"""),45563.0)</f>
        <v>45563</v>
      </c>
      <c r="C1388" s="12">
        <f>IFERROR(__xludf.DUMMYFUNCTION("""COMPUTED_VALUE"""),48.0)</f>
        <v>48</v>
      </c>
      <c r="D1388" s="12">
        <f>IFERROR(__xludf.DUMMYFUNCTION("""COMPUTED_VALUE"""),17.0)</f>
        <v>17</v>
      </c>
      <c r="E1388" s="12">
        <f>IFERROR(__xludf.DUMMYFUNCTION("""COMPUTED_VALUE"""),3.0)</f>
        <v>3</v>
      </c>
      <c r="F1388" s="12">
        <f>IFERROR(__xludf.DUMMYFUNCTION("""COMPUTED_VALUE"""),4.0)</f>
        <v>4</v>
      </c>
      <c r="G1388" s="15" t="str">
        <f>IFERROR(__xludf.DUMMYFUNCTION("""COMPUTED_VALUE"""),"Pendiente")</f>
        <v>Pendiente</v>
      </c>
      <c r="H1388" s="16" t="str">
        <f t="array" ref="H1388">_xlfn.XLOOKUP(D1388,Productos[ID_Producto],Productos[Nombre_Producto])</f>
        <v>Manzanas</v>
      </c>
      <c r="I1388" s="17">
        <f t="array" ref="I1388">_xlfn.XLOOKUP(D1388,Productos[ID_Producto],Productos[Precio_Unitario])</f>
        <v>6.54</v>
      </c>
      <c r="J1388" s="17">
        <f t="shared" si="1"/>
        <v>19.62</v>
      </c>
      <c r="K1388" s="16" t="str">
        <f t="array" ref="K1388">_xlfn.XLOOKUP(C1388,Clientes[ID_Cliente],Clientes[Provincia])</f>
        <v>Neuquén</v>
      </c>
      <c r="L1388" s="16" t="str">
        <f t="array" ref="L1388">CONCATENATE(_xlfn.XLOOKUP(C1388,Clientes[ID_Cliente],Clientes[Provincia]),", Argentina")</f>
        <v>Neuquén, Argentina</v>
      </c>
      <c r="M1388" s="20" t="str">
        <f t="array" ref="M1388">_xlfn.XLOOKUP(F1388,Metodos_De_Pago[ID_Metodo],Metodos_De_Pago[Metodo])</f>
        <v>Mercado Pago</v>
      </c>
      <c r="N1388" s="20" t="str">
        <f t="shared" si="2"/>
        <v>2024 09</v>
      </c>
    </row>
    <row r="1389" ht="22.5" customHeight="1">
      <c r="A1389" s="12">
        <f>IFERROR(__xludf.DUMMYFUNCTION("""COMPUTED_VALUE"""),1199.0)</f>
        <v>1199</v>
      </c>
      <c r="B1389" s="13">
        <f>IFERROR(__xludf.DUMMYFUNCTION("""COMPUTED_VALUE"""),45564.0)</f>
        <v>45564</v>
      </c>
      <c r="C1389" s="12">
        <f>IFERROR(__xludf.DUMMYFUNCTION("""COMPUTED_VALUE"""),38.0)</f>
        <v>38</v>
      </c>
      <c r="D1389" s="12">
        <f>IFERROR(__xludf.DUMMYFUNCTION("""COMPUTED_VALUE"""),38.0)</f>
        <v>38</v>
      </c>
      <c r="E1389" s="12">
        <f>IFERROR(__xludf.DUMMYFUNCTION("""COMPUTED_VALUE"""),3.0)</f>
        <v>3</v>
      </c>
      <c r="F1389" s="12">
        <f>IFERROR(__xludf.DUMMYFUNCTION("""COMPUTED_VALUE"""),4.0)</f>
        <v>4</v>
      </c>
      <c r="G1389" s="15" t="str">
        <f>IFERROR(__xludf.DUMMYFUNCTION("""COMPUTED_VALUE"""),"Completa")</f>
        <v>Completa</v>
      </c>
      <c r="H1389" s="16" t="str">
        <f t="array" ref="H1389">_xlfn.XLOOKUP(D1389,Productos[ID_Producto],Productos[Nombre_Producto])</f>
        <v>Atún enlatado</v>
      </c>
      <c r="I1389" s="17">
        <f t="array" ref="I1389">_xlfn.XLOOKUP(D1389,Productos[ID_Producto],Productos[Precio_Unitario])</f>
        <v>6.21</v>
      </c>
      <c r="J1389" s="17">
        <f t="shared" si="1"/>
        <v>18.63</v>
      </c>
      <c r="K1389" s="16" t="str">
        <f t="array" ref="K1389">_xlfn.XLOOKUP(C1389,Clientes[ID_Cliente],Clientes[Provincia])</f>
        <v>Neuquén</v>
      </c>
      <c r="L1389" s="16" t="str">
        <f t="array" ref="L1389">CONCATENATE(_xlfn.XLOOKUP(C1389,Clientes[ID_Cliente],Clientes[Provincia]),", Argentina")</f>
        <v>Neuquén, Argentina</v>
      </c>
      <c r="M1389" s="20" t="str">
        <f t="array" ref="M1389">_xlfn.XLOOKUP(F1389,Metodos_De_Pago[ID_Metodo],Metodos_De_Pago[Metodo])</f>
        <v>Mercado Pago</v>
      </c>
      <c r="N1389" s="20" t="str">
        <f t="shared" si="2"/>
        <v>2024 09</v>
      </c>
    </row>
    <row r="1390" ht="22.5" customHeight="1">
      <c r="A1390" s="12">
        <f>IFERROR(__xludf.DUMMYFUNCTION("""COMPUTED_VALUE"""),1288.0)</f>
        <v>1288</v>
      </c>
      <c r="B1390" s="13">
        <f>IFERROR(__xludf.DUMMYFUNCTION("""COMPUTED_VALUE"""),45564.0)</f>
        <v>45564</v>
      </c>
      <c r="C1390" s="12">
        <f>IFERROR(__xludf.DUMMYFUNCTION("""COMPUTED_VALUE"""),53.0)</f>
        <v>53</v>
      </c>
      <c r="D1390" s="12">
        <f>IFERROR(__xludf.DUMMYFUNCTION("""COMPUTED_VALUE"""),32.0)</f>
        <v>32</v>
      </c>
      <c r="E1390" s="12">
        <f>IFERROR(__xludf.DUMMYFUNCTION("""COMPUTED_VALUE"""),3.0)</f>
        <v>3</v>
      </c>
      <c r="F1390" s="12">
        <f>IFERROR(__xludf.DUMMYFUNCTION("""COMPUTED_VALUE"""),2.0)</f>
        <v>2</v>
      </c>
      <c r="G1390" s="15" t="str">
        <f>IFERROR(__xludf.DUMMYFUNCTION("""COMPUTED_VALUE"""),"Completa")</f>
        <v>Completa</v>
      </c>
      <c r="H1390" s="16" t="str">
        <f t="array" ref="H1390">_xlfn.XLOOKUP(D1390,Productos[ID_Producto],Productos[Nombre_Producto])</f>
        <v>Galletitas de chocolate</v>
      </c>
      <c r="I1390" s="17">
        <f t="array" ref="I1390">_xlfn.XLOOKUP(D1390,Productos[ID_Producto],Productos[Precio_Unitario])</f>
        <v>6.25</v>
      </c>
      <c r="J1390" s="17">
        <f t="shared" si="1"/>
        <v>18.75</v>
      </c>
      <c r="K1390" s="16" t="str">
        <f t="array" ref="K1390">_xlfn.XLOOKUP(C1390,Clientes[ID_Cliente],Clientes[Provincia])</f>
        <v>Córdoba</v>
      </c>
      <c r="L1390" s="16" t="str">
        <f t="array" ref="L1390">CONCATENATE(_xlfn.XLOOKUP(C1390,Clientes[ID_Cliente],Clientes[Provincia]),", Argentina")</f>
        <v>Córdoba, Argentina</v>
      </c>
      <c r="M1390" s="20" t="str">
        <f t="array" ref="M1390">_xlfn.XLOOKUP(F1390,Metodos_De_Pago[ID_Metodo],Metodos_De_Pago[Metodo])</f>
        <v>Tarjeta de Crédito</v>
      </c>
      <c r="N1390" s="20" t="str">
        <f t="shared" si="2"/>
        <v>2024 09</v>
      </c>
    </row>
    <row r="1391" ht="22.5" customHeight="1">
      <c r="A1391" s="12">
        <f>IFERROR(__xludf.DUMMYFUNCTION("""COMPUTED_VALUE"""),2065.0)</f>
        <v>2065</v>
      </c>
      <c r="B1391" s="13">
        <f>IFERROR(__xludf.DUMMYFUNCTION("""COMPUTED_VALUE"""),45564.0)</f>
        <v>45564</v>
      </c>
      <c r="C1391" s="12">
        <f>IFERROR(__xludf.DUMMYFUNCTION("""COMPUTED_VALUE"""),202.0)</f>
        <v>202</v>
      </c>
      <c r="D1391" s="12">
        <f>IFERROR(__xludf.DUMMYFUNCTION("""COMPUTED_VALUE"""),16.0)</f>
        <v>16</v>
      </c>
      <c r="E1391" s="12">
        <f>IFERROR(__xludf.DUMMYFUNCTION("""COMPUTED_VALUE"""),3.0)</f>
        <v>3</v>
      </c>
      <c r="F1391" s="12">
        <f>IFERROR(__xludf.DUMMYFUNCTION("""COMPUTED_VALUE"""),5.0)</f>
        <v>5</v>
      </c>
      <c r="G1391" s="15" t="str">
        <f>IFERROR(__xludf.DUMMYFUNCTION("""COMPUTED_VALUE"""),"Completa")</f>
        <v>Completa</v>
      </c>
      <c r="H1391" s="16" t="str">
        <f t="array" ref="H1391">_xlfn.XLOOKUP(D1391,Productos[ID_Producto],Productos[Nombre_Producto])</f>
        <v>Tortas</v>
      </c>
      <c r="I1391" s="17">
        <f t="array" ref="I1391">_xlfn.XLOOKUP(D1391,Productos[ID_Producto],Productos[Precio_Unitario])</f>
        <v>15.23</v>
      </c>
      <c r="J1391" s="17">
        <f t="shared" si="1"/>
        <v>45.69</v>
      </c>
      <c r="K1391" s="16" t="str">
        <f t="array" ref="K1391">_xlfn.XLOOKUP(C1391,Clientes[ID_Cliente],Clientes[Provincia])</f>
        <v>Chaco</v>
      </c>
      <c r="L1391" s="16" t="str">
        <f t="array" ref="L1391">CONCATENATE(_xlfn.XLOOKUP(C1391,Clientes[ID_Cliente],Clientes[Provincia]),", Argentina")</f>
        <v>Chaco, Argentina</v>
      </c>
      <c r="M1391" s="20" t="str">
        <f t="array" ref="M1391">_xlfn.XLOOKUP(F1391,Metodos_De_Pago[ID_Metodo],Metodos_De_Pago[Metodo])</f>
        <v>Transferencia</v>
      </c>
      <c r="N1391" s="20" t="str">
        <f t="shared" si="2"/>
        <v>2024 09</v>
      </c>
    </row>
    <row r="1392" ht="22.5" customHeight="1">
      <c r="A1392" s="12">
        <f>IFERROR(__xludf.DUMMYFUNCTION("""COMPUTED_VALUE"""),2772.0)</f>
        <v>2772</v>
      </c>
      <c r="B1392" s="13">
        <f>IFERROR(__xludf.DUMMYFUNCTION("""COMPUTED_VALUE"""),45564.0)</f>
        <v>45564</v>
      </c>
      <c r="C1392" s="12">
        <f>IFERROR(__xludf.DUMMYFUNCTION("""COMPUTED_VALUE"""),56.0)</f>
        <v>56</v>
      </c>
      <c r="D1392" s="12">
        <f>IFERROR(__xludf.DUMMYFUNCTION("""COMPUTED_VALUE"""),33.0)</f>
        <v>33</v>
      </c>
      <c r="E1392" s="12">
        <f>IFERROR(__xludf.DUMMYFUNCTION("""COMPUTED_VALUE"""),3.0)</f>
        <v>3</v>
      </c>
      <c r="F1392" s="12">
        <f>IFERROR(__xludf.DUMMYFUNCTION("""COMPUTED_VALUE"""),5.0)</f>
        <v>5</v>
      </c>
      <c r="G1392" s="15" t="str">
        <f>IFERROR(__xludf.DUMMYFUNCTION("""COMPUTED_VALUE"""),"Pendiente")</f>
        <v>Pendiente</v>
      </c>
      <c r="H1392" s="16" t="str">
        <f t="array" ref="H1392">_xlfn.XLOOKUP(D1392,Productos[ID_Producto],Productos[Nombre_Producto])</f>
        <v>Papas chips</v>
      </c>
      <c r="I1392" s="17">
        <f t="array" ref="I1392">_xlfn.XLOOKUP(D1392,Productos[ID_Producto],Productos[Precio_Unitario])</f>
        <v>8.54</v>
      </c>
      <c r="J1392" s="17">
        <f t="shared" si="1"/>
        <v>25.62</v>
      </c>
      <c r="K1392" s="16" t="str">
        <f t="array" ref="K1392">_xlfn.XLOOKUP(C1392,Clientes[ID_Cliente],Clientes[Provincia])</f>
        <v>Córdoba</v>
      </c>
      <c r="L1392" s="16" t="str">
        <f t="array" ref="L1392">CONCATENATE(_xlfn.XLOOKUP(C1392,Clientes[ID_Cliente],Clientes[Provincia]),", Argentina")</f>
        <v>Córdoba, Argentina</v>
      </c>
      <c r="M1392" s="20" t="str">
        <f t="array" ref="M1392">_xlfn.XLOOKUP(F1392,Metodos_De_Pago[ID_Metodo],Metodos_De_Pago[Metodo])</f>
        <v>Transferencia</v>
      </c>
      <c r="N1392" s="20" t="str">
        <f t="shared" si="2"/>
        <v>2024 09</v>
      </c>
    </row>
    <row r="1393" ht="22.5" customHeight="1">
      <c r="A1393" s="12">
        <f>IFERROR(__xludf.DUMMYFUNCTION("""COMPUTED_VALUE"""),171.0)</f>
        <v>171</v>
      </c>
      <c r="B1393" s="13">
        <f>IFERROR(__xludf.DUMMYFUNCTION("""COMPUTED_VALUE"""),45565.0)</f>
        <v>45565</v>
      </c>
      <c r="C1393" s="12">
        <f>IFERROR(__xludf.DUMMYFUNCTION("""COMPUTED_VALUE"""),50.0)</f>
        <v>50</v>
      </c>
      <c r="D1393" s="12">
        <f>IFERROR(__xludf.DUMMYFUNCTION("""COMPUTED_VALUE"""),27.0)</f>
        <v>27</v>
      </c>
      <c r="E1393" s="12">
        <f>IFERROR(__xludf.DUMMYFUNCTION("""COMPUTED_VALUE"""),3.0)</f>
        <v>3</v>
      </c>
      <c r="F1393" s="12">
        <f>IFERROR(__xludf.DUMMYFUNCTION("""COMPUTED_VALUE"""),5.0)</f>
        <v>5</v>
      </c>
      <c r="G1393" s="15" t="str">
        <f>IFERROR(__xludf.DUMMYFUNCTION("""COMPUTED_VALUE"""),"Completa")</f>
        <v>Completa</v>
      </c>
      <c r="H1393" s="16" t="str">
        <f t="array" ref="H1393">_xlfn.XLOOKUP(D1393,Productos[ID_Producto],Productos[Nombre_Producto])</f>
        <v>Agua mineral</v>
      </c>
      <c r="I1393" s="17">
        <f t="array" ref="I1393">_xlfn.XLOOKUP(D1393,Productos[ID_Producto],Productos[Precio_Unitario])</f>
        <v>6.21</v>
      </c>
      <c r="J1393" s="17">
        <f t="shared" si="1"/>
        <v>18.63</v>
      </c>
      <c r="K1393" s="16" t="str">
        <f t="array" ref="K1393">_xlfn.XLOOKUP(C1393,Clientes[ID_Cliente],Clientes[Provincia])</f>
        <v>Buenos Aires</v>
      </c>
      <c r="L1393" s="16" t="str">
        <f t="array" ref="L1393">CONCATENATE(_xlfn.XLOOKUP(C1393,Clientes[ID_Cliente],Clientes[Provincia]),", Argentina")</f>
        <v>Buenos Aires, Argentina</v>
      </c>
      <c r="M1393" s="20" t="str">
        <f t="array" ref="M1393">_xlfn.XLOOKUP(F1393,Metodos_De_Pago[ID_Metodo],Metodos_De_Pago[Metodo])</f>
        <v>Transferencia</v>
      </c>
      <c r="N1393" s="20" t="str">
        <f t="shared" si="2"/>
        <v>2024 09</v>
      </c>
    </row>
    <row r="1394" ht="22.5" customHeight="1">
      <c r="A1394" s="12">
        <f>IFERROR(__xludf.DUMMYFUNCTION("""COMPUTED_VALUE"""),618.0)</f>
        <v>618</v>
      </c>
      <c r="B1394" s="13">
        <f>IFERROR(__xludf.DUMMYFUNCTION("""COMPUTED_VALUE"""),45565.0)</f>
        <v>45565</v>
      </c>
      <c r="C1394" s="12">
        <f>IFERROR(__xludf.DUMMYFUNCTION("""COMPUTED_VALUE"""),31.0)</f>
        <v>31</v>
      </c>
      <c r="D1394" s="12">
        <f>IFERROR(__xludf.DUMMYFUNCTION("""COMPUTED_VALUE"""),37.0)</f>
        <v>37</v>
      </c>
      <c r="E1394" s="12">
        <f>IFERROR(__xludf.DUMMYFUNCTION("""COMPUTED_VALUE"""),3.0)</f>
        <v>3</v>
      </c>
      <c r="F1394" s="12">
        <f>IFERROR(__xludf.DUMMYFUNCTION("""COMPUTED_VALUE"""),5.0)</f>
        <v>5</v>
      </c>
      <c r="G1394" s="15" t="str">
        <f>IFERROR(__xludf.DUMMYFUNCTION("""COMPUTED_VALUE"""),"Completa")</f>
        <v>Completa</v>
      </c>
      <c r="H1394" s="16" t="str">
        <f t="array" ref="H1394">_xlfn.XLOOKUP(D1394,Productos[ID_Producto],Productos[Nombre_Producto])</f>
        <v>Garbanzos</v>
      </c>
      <c r="I1394" s="17">
        <f t="array" ref="I1394">_xlfn.XLOOKUP(D1394,Productos[ID_Producto],Productos[Precio_Unitario])</f>
        <v>3.65</v>
      </c>
      <c r="J1394" s="17">
        <f t="shared" si="1"/>
        <v>10.95</v>
      </c>
      <c r="K1394" s="16" t="str">
        <f t="array" ref="K1394">_xlfn.XLOOKUP(C1394,Clientes[ID_Cliente],Clientes[Provincia])</f>
        <v>Córdoba</v>
      </c>
      <c r="L1394" s="16" t="str">
        <f t="array" ref="L1394">CONCATENATE(_xlfn.XLOOKUP(C1394,Clientes[ID_Cliente],Clientes[Provincia]),", Argentina")</f>
        <v>Córdoba, Argentina</v>
      </c>
      <c r="M1394" s="20" t="str">
        <f t="array" ref="M1394">_xlfn.XLOOKUP(F1394,Metodos_De_Pago[ID_Metodo],Metodos_De_Pago[Metodo])</f>
        <v>Transferencia</v>
      </c>
      <c r="N1394" s="20" t="str">
        <f t="shared" si="2"/>
        <v>2024 09</v>
      </c>
    </row>
    <row r="1395" ht="22.5" customHeight="1">
      <c r="A1395" s="12">
        <f>IFERROR(__xludf.DUMMYFUNCTION("""COMPUTED_VALUE"""),904.0)</f>
        <v>904</v>
      </c>
      <c r="B1395" s="13">
        <f>IFERROR(__xludf.DUMMYFUNCTION("""COMPUTED_VALUE"""),45565.0)</f>
        <v>45565</v>
      </c>
      <c r="C1395" s="12">
        <f>IFERROR(__xludf.DUMMYFUNCTION("""COMPUTED_VALUE"""),76.0)</f>
        <v>76</v>
      </c>
      <c r="D1395" s="12">
        <f>IFERROR(__xludf.DUMMYFUNCTION("""COMPUTED_VALUE"""),16.0)</f>
        <v>16</v>
      </c>
      <c r="E1395" s="12">
        <f>IFERROR(__xludf.DUMMYFUNCTION("""COMPUTED_VALUE"""),3.0)</f>
        <v>3</v>
      </c>
      <c r="F1395" s="12">
        <f>IFERROR(__xludf.DUMMYFUNCTION("""COMPUTED_VALUE"""),3.0)</f>
        <v>3</v>
      </c>
      <c r="G1395" s="15" t="str">
        <f>IFERROR(__xludf.DUMMYFUNCTION("""COMPUTED_VALUE"""),"Completa")</f>
        <v>Completa</v>
      </c>
      <c r="H1395" s="16" t="str">
        <f t="array" ref="H1395">_xlfn.XLOOKUP(D1395,Productos[ID_Producto],Productos[Nombre_Producto])</f>
        <v>Tortas</v>
      </c>
      <c r="I1395" s="17">
        <f t="array" ref="I1395">_xlfn.XLOOKUP(D1395,Productos[ID_Producto],Productos[Precio_Unitario])</f>
        <v>15.23</v>
      </c>
      <c r="J1395" s="17">
        <f t="shared" si="1"/>
        <v>45.69</v>
      </c>
      <c r="K1395" s="16" t="str">
        <f t="array" ref="K1395">_xlfn.XLOOKUP(C1395,Clientes[ID_Cliente],Clientes[Provincia])</f>
        <v>Córdoba</v>
      </c>
      <c r="L1395" s="16" t="str">
        <f t="array" ref="L1395">CONCATENATE(_xlfn.XLOOKUP(C1395,Clientes[ID_Cliente],Clientes[Provincia]),", Argentina")</f>
        <v>Córdoba, Argentina</v>
      </c>
      <c r="M1395" s="20" t="str">
        <f t="array" ref="M1395">_xlfn.XLOOKUP(F1395,Metodos_De_Pago[ID_Metodo],Metodos_De_Pago[Metodo])</f>
        <v>Tarjeta de Débito</v>
      </c>
      <c r="N1395" s="20" t="str">
        <f t="shared" si="2"/>
        <v>2024 09</v>
      </c>
    </row>
    <row r="1396" ht="22.5" customHeight="1">
      <c r="A1396" s="12">
        <f>IFERROR(__xludf.DUMMYFUNCTION("""COMPUTED_VALUE"""),2613.0)</f>
        <v>2613</v>
      </c>
      <c r="B1396" s="13">
        <f>IFERROR(__xludf.DUMMYFUNCTION("""COMPUTED_VALUE"""),45565.0)</f>
        <v>45565</v>
      </c>
      <c r="C1396" s="12">
        <f>IFERROR(__xludf.DUMMYFUNCTION("""COMPUTED_VALUE"""),251.0)</f>
        <v>251</v>
      </c>
      <c r="D1396" s="12">
        <f>IFERROR(__xludf.DUMMYFUNCTION("""COMPUTED_VALUE"""),26.0)</f>
        <v>26</v>
      </c>
      <c r="E1396" s="12">
        <f>IFERROR(__xludf.DUMMYFUNCTION("""COMPUTED_VALUE"""),3.0)</f>
        <v>3</v>
      </c>
      <c r="F1396" s="12">
        <f>IFERROR(__xludf.DUMMYFUNCTION("""COMPUTED_VALUE"""),1.0)</f>
        <v>1</v>
      </c>
      <c r="G1396" s="15" t="str">
        <f>IFERROR(__xludf.DUMMYFUNCTION("""COMPUTED_VALUE"""),"Pendiente")</f>
        <v>Pendiente</v>
      </c>
      <c r="H1396" s="16" t="str">
        <f t="array" ref="H1396">_xlfn.XLOOKUP(D1396,Productos[ID_Producto],Productos[Nombre_Producto])</f>
        <v>Hamburgesas congeladas</v>
      </c>
      <c r="I1396" s="17">
        <f t="array" ref="I1396">_xlfn.XLOOKUP(D1396,Productos[ID_Producto],Productos[Precio_Unitario])</f>
        <v>9.54</v>
      </c>
      <c r="J1396" s="17">
        <f t="shared" si="1"/>
        <v>28.62</v>
      </c>
      <c r="K1396" s="16" t="str">
        <f t="array" ref="K1396">_xlfn.XLOOKUP(C1396,Clientes[ID_Cliente],Clientes[Provincia])</f>
        <v>Córdoba</v>
      </c>
      <c r="L1396" s="16" t="str">
        <f t="array" ref="L1396">CONCATENATE(_xlfn.XLOOKUP(C1396,Clientes[ID_Cliente],Clientes[Provincia]),", Argentina")</f>
        <v>Córdoba, Argentina</v>
      </c>
      <c r="M1396" s="20" t="str">
        <f t="array" ref="M1396">_xlfn.XLOOKUP(F1396,Metodos_De_Pago[ID_Metodo],Metodos_De_Pago[Metodo])</f>
        <v>Efectivo</v>
      </c>
      <c r="N1396" s="20" t="str">
        <f t="shared" si="2"/>
        <v>2024 09</v>
      </c>
    </row>
    <row r="1397" ht="22.5" customHeight="1">
      <c r="A1397" s="12">
        <f>IFERROR(__xludf.DUMMYFUNCTION("""COMPUTED_VALUE"""),2876.0)</f>
        <v>2876</v>
      </c>
      <c r="B1397" s="13">
        <f>IFERROR(__xludf.DUMMYFUNCTION("""COMPUTED_VALUE"""),45565.0)</f>
        <v>45565</v>
      </c>
      <c r="C1397" s="12">
        <f>IFERROR(__xludf.DUMMYFUNCTION("""COMPUTED_VALUE"""),162.0)</f>
        <v>162</v>
      </c>
      <c r="D1397" s="12">
        <f>IFERROR(__xludf.DUMMYFUNCTION("""COMPUTED_VALUE"""),13.0)</f>
        <v>13</v>
      </c>
      <c r="E1397" s="12">
        <f>IFERROR(__xludf.DUMMYFUNCTION("""COMPUTED_VALUE"""),3.0)</f>
        <v>3</v>
      </c>
      <c r="F1397" s="12">
        <f>IFERROR(__xludf.DUMMYFUNCTION("""COMPUTED_VALUE"""),1.0)</f>
        <v>1</v>
      </c>
      <c r="G1397" s="15" t="str">
        <f>IFERROR(__xludf.DUMMYFUNCTION("""COMPUTED_VALUE"""),"Completa")</f>
        <v>Completa</v>
      </c>
      <c r="H1397" s="16" t="str">
        <f t="array" ref="H1397">_xlfn.XLOOKUP(D1397,Productos[ID_Producto],Productos[Nombre_Producto])</f>
        <v>Pan integral</v>
      </c>
      <c r="I1397" s="17">
        <f t="array" ref="I1397">_xlfn.XLOOKUP(D1397,Productos[ID_Producto],Productos[Precio_Unitario])</f>
        <v>12.56</v>
      </c>
      <c r="J1397" s="17">
        <f t="shared" si="1"/>
        <v>37.68</v>
      </c>
      <c r="K1397" s="16" t="str">
        <f t="array" ref="K1397">_xlfn.XLOOKUP(C1397,Clientes[ID_Cliente],Clientes[Provincia])</f>
        <v>Neuquén</v>
      </c>
      <c r="L1397" s="16" t="str">
        <f t="array" ref="L1397">CONCATENATE(_xlfn.XLOOKUP(C1397,Clientes[ID_Cliente],Clientes[Provincia]),", Argentina")</f>
        <v>Neuquén, Argentina</v>
      </c>
      <c r="M1397" s="20" t="str">
        <f t="array" ref="M1397">_xlfn.XLOOKUP(F1397,Metodos_De_Pago[ID_Metodo],Metodos_De_Pago[Metodo])</f>
        <v>Efectivo</v>
      </c>
      <c r="N1397" s="20" t="str">
        <f t="shared" si="2"/>
        <v>2024 09</v>
      </c>
    </row>
    <row r="1398" ht="22.5" customHeight="1">
      <c r="A1398" s="12">
        <f>IFERROR(__xludf.DUMMYFUNCTION("""COMPUTED_VALUE"""),753.0)</f>
        <v>753</v>
      </c>
      <c r="B1398" s="13">
        <f>IFERROR(__xludf.DUMMYFUNCTION("""COMPUTED_VALUE"""),45566.0)</f>
        <v>45566</v>
      </c>
      <c r="C1398" s="12">
        <f>IFERROR(__xludf.DUMMYFUNCTION("""COMPUTED_VALUE"""),99.0)</f>
        <v>99</v>
      </c>
      <c r="D1398" s="12">
        <f>IFERROR(__xludf.DUMMYFUNCTION("""COMPUTED_VALUE"""),11.0)</f>
        <v>11</v>
      </c>
      <c r="E1398" s="12">
        <f>IFERROR(__xludf.DUMMYFUNCTION("""COMPUTED_VALUE"""),3.0)</f>
        <v>3</v>
      </c>
      <c r="F1398" s="12">
        <f>IFERROR(__xludf.DUMMYFUNCTION("""COMPUTED_VALUE"""),2.0)</f>
        <v>2</v>
      </c>
      <c r="G1398" s="15" t="str">
        <f>IFERROR(__xludf.DUMMYFUNCTION("""COMPUTED_VALUE"""),"Completa")</f>
        <v>Completa</v>
      </c>
      <c r="H1398" s="16" t="str">
        <f t="array" ref="H1398">_xlfn.XLOOKUP(D1398,Productos[ID_Producto],Productos[Nombre_Producto])</f>
        <v>Salchicha</v>
      </c>
      <c r="I1398" s="17">
        <f t="array" ref="I1398">_xlfn.XLOOKUP(D1398,Productos[ID_Producto],Productos[Precio_Unitario])</f>
        <v>11.23</v>
      </c>
      <c r="J1398" s="17">
        <f t="shared" si="1"/>
        <v>33.69</v>
      </c>
      <c r="K1398" s="16" t="str">
        <f t="array" ref="K1398">_xlfn.XLOOKUP(C1398,Clientes[ID_Cliente],Clientes[Provincia])</f>
        <v>Buenos Aires</v>
      </c>
      <c r="L1398" s="16" t="str">
        <f t="array" ref="L1398">CONCATENATE(_xlfn.XLOOKUP(C1398,Clientes[ID_Cliente],Clientes[Provincia]),", Argentina")</f>
        <v>Buenos Aires, Argentina</v>
      </c>
      <c r="M1398" s="20" t="str">
        <f t="array" ref="M1398">_xlfn.XLOOKUP(F1398,Metodos_De_Pago[ID_Metodo],Metodos_De_Pago[Metodo])</f>
        <v>Tarjeta de Crédito</v>
      </c>
      <c r="N1398" s="20" t="str">
        <f t="shared" si="2"/>
        <v>2024 10</v>
      </c>
    </row>
    <row r="1399" ht="22.5" customHeight="1">
      <c r="A1399" s="12">
        <f>IFERROR(__xludf.DUMMYFUNCTION("""COMPUTED_VALUE"""),2246.0)</f>
        <v>2246</v>
      </c>
      <c r="B1399" s="13">
        <f>IFERROR(__xludf.DUMMYFUNCTION("""COMPUTED_VALUE"""),45568.0)</f>
        <v>45568</v>
      </c>
      <c r="C1399" s="12">
        <f>IFERROR(__xludf.DUMMYFUNCTION("""COMPUTED_VALUE"""),59.0)</f>
        <v>59</v>
      </c>
      <c r="D1399" s="12">
        <f>IFERROR(__xludf.DUMMYFUNCTION("""COMPUTED_VALUE"""),22.0)</f>
        <v>22</v>
      </c>
      <c r="E1399" s="12">
        <f>IFERROR(__xludf.DUMMYFUNCTION("""COMPUTED_VALUE"""),3.0)</f>
        <v>3</v>
      </c>
      <c r="F1399" s="12">
        <f>IFERROR(__xludf.DUMMYFUNCTION("""COMPUTED_VALUE"""),2.0)</f>
        <v>2</v>
      </c>
      <c r="G1399" s="15" t="str">
        <f>IFERROR(__xludf.DUMMYFUNCTION("""COMPUTED_VALUE"""),"Completa")</f>
        <v>Completa</v>
      </c>
      <c r="H1399" s="16" t="str">
        <f t="array" ref="H1399">_xlfn.XLOOKUP(D1399,Productos[ID_Producto],Productos[Nombre_Producto])</f>
        <v>Cebolla</v>
      </c>
      <c r="I1399" s="17">
        <f t="array" ref="I1399">_xlfn.XLOOKUP(D1399,Productos[ID_Producto],Productos[Precio_Unitario])</f>
        <v>4.21</v>
      </c>
      <c r="J1399" s="17">
        <f t="shared" si="1"/>
        <v>12.63</v>
      </c>
      <c r="K1399" s="16" t="str">
        <f t="array" ref="K1399">_xlfn.XLOOKUP(C1399,Clientes[ID_Cliente],Clientes[Provincia])</f>
        <v>Córdoba</v>
      </c>
      <c r="L1399" s="16" t="str">
        <f t="array" ref="L1399">CONCATENATE(_xlfn.XLOOKUP(C1399,Clientes[ID_Cliente],Clientes[Provincia]),", Argentina")</f>
        <v>Córdoba, Argentina</v>
      </c>
      <c r="M1399" s="20" t="str">
        <f t="array" ref="M1399">_xlfn.XLOOKUP(F1399,Metodos_De_Pago[ID_Metodo],Metodos_De_Pago[Metodo])</f>
        <v>Tarjeta de Crédito</v>
      </c>
      <c r="N1399" s="20" t="str">
        <f t="shared" si="2"/>
        <v>2024 10</v>
      </c>
    </row>
    <row r="1400" ht="22.5" customHeight="1">
      <c r="A1400" s="12">
        <f>IFERROR(__xludf.DUMMYFUNCTION("""COMPUTED_VALUE"""),2616.0)</f>
        <v>2616</v>
      </c>
      <c r="B1400" s="13">
        <f>IFERROR(__xludf.DUMMYFUNCTION("""COMPUTED_VALUE"""),45568.0)</f>
        <v>45568</v>
      </c>
      <c r="C1400" s="12">
        <f>IFERROR(__xludf.DUMMYFUNCTION("""COMPUTED_VALUE"""),272.0)</f>
        <v>272</v>
      </c>
      <c r="D1400" s="12">
        <f>IFERROR(__xludf.DUMMYFUNCTION("""COMPUTED_VALUE"""),9.0)</f>
        <v>9</v>
      </c>
      <c r="E1400" s="12">
        <f>IFERROR(__xludf.DUMMYFUNCTION("""COMPUTED_VALUE"""),3.0)</f>
        <v>3</v>
      </c>
      <c r="F1400" s="12">
        <f>IFERROR(__xludf.DUMMYFUNCTION("""COMPUTED_VALUE"""),1.0)</f>
        <v>1</v>
      </c>
      <c r="G1400" s="15" t="str">
        <f>IFERROR(__xludf.DUMMYFUNCTION("""COMPUTED_VALUE"""),"Pendiente")</f>
        <v>Pendiente</v>
      </c>
      <c r="H1400" s="16" t="str">
        <f t="array" ref="H1400">_xlfn.XLOOKUP(D1400,Productos[ID_Producto],Productos[Nombre_Producto])</f>
        <v>Pollo</v>
      </c>
      <c r="I1400" s="17">
        <f t="array" ref="I1400">_xlfn.XLOOKUP(D1400,Productos[ID_Producto],Productos[Precio_Unitario])</f>
        <v>18.56</v>
      </c>
      <c r="J1400" s="17">
        <f t="shared" si="1"/>
        <v>55.68</v>
      </c>
      <c r="K1400" s="16" t="str">
        <f t="array" ref="K1400">_xlfn.XLOOKUP(C1400,Clientes[ID_Cliente],Clientes[Provincia])</f>
        <v>Buenos Aires</v>
      </c>
      <c r="L1400" s="16" t="str">
        <f t="array" ref="L1400">CONCATENATE(_xlfn.XLOOKUP(C1400,Clientes[ID_Cliente],Clientes[Provincia]),", Argentina")</f>
        <v>Buenos Aires, Argentina</v>
      </c>
      <c r="M1400" s="20" t="str">
        <f t="array" ref="M1400">_xlfn.XLOOKUP(F1400,Metodos_De_Pago[ID_Metodo],Metodos_De_Pago[Metodo])</f>
        <v>Efectivo</v>
      </c>
      <c r="N1400" s="20" t="str">
        <f t="shared" si="2"/>
        <v>2024 10</v>
      </c>
    </row>
    <row r="1401" ht="22.5" customHeight="1">
      <c r="A1401" s="12">
        <f>IFERROR(__xludf.DUMMYFUNCTION("""COMPUTED_VALUE"""),664.0)</f>
        <v>664</v>
      </c>
      <c r="B1401" s="13">
        <f>IFERROR(__xludf.DUMMYFUNCTION("""COMPUTED_VALUE"""),45569.0)</f>
        <v>45569</v>
      </c>
      <c r="C1401" s="12">
        <f>IFERROR(__xludf.DUMMYFUNCTION("""COMPUTED_VALUE"""),264.0)</f>
        <v>264</v>
      </c>
      <c r="D1401" s="12">
        <f>IFERROR(__xludf.DUMMYFUNCTION("""COMPUTED_VALUE"""),33.0)</f>
        <v>33</v>
      </c>
      <c r="E1401" s="12">
        <f>IFERROR(__xludf.DUMMYFUNCTION("""COMPUTED_VALUE"""),3.0)</f>
        <v>3</v>
      </c>
      <c r="F1401" s="12">
        <f>IFERROR(__xludf.DUMMYFUNCTION("""COMPUTED_VALUE"""),5.0)</f>
        <v>5</v>
      </c>
      <c r="G1401" s="15" t="str">
        <f>IFERROR(__xludf.DUMMYFUNCTION("""COMPUTED_VALUE"""),"Completa")</f>
        <v>Completa</v>
      </c>
      <c r="H1401" s="16" t="str">
        <f t="array" ref="H1401">_xlfn.XLOOKUP(D1401,Productos[ID_Producto],Productos[Nombre_Producto])</f>
        <v>Papas chips</v>
      </c>
      <c r="I1401" s="17">
        <f t="array" ref="I1401">_xlfn.XLOOKUP(D1401,Productos[ID_Producto],Productos[Precio_Unitario])</f>
        <v>8.54</v>
      </c>
      <c r="J1401" s="17">
        <f t="shared" si="1"/>
        <v>25.62</v>
      </c>
      <c r="K1401" s="16" t="str">
        <f t="array" ref="K1401">_xlfn.XLOOKUP(C1401,Clientes[ID_Cliente],Clientes[Provincia])</f>
        <v>Buenos Aires</v>
      </c>
      <c r="L1401" s="16" t="str">
        <f t="array" ref="L1401">CONCATENATE(_xlfn.XLOOKUP(C1401,Clientes[ID_Cliente],Clientes[Provincia]),", Argentina")</f>
        <v>Buenos Aires, Argentina</v>
      </c>
      <c r="M1401" s="20" t="str">
        <f t="array" ref="M1401">_xlfn.XLOOKUP(F1401,Metodos_De_Pago[ID_Metodo],Metodos_De_Pago[Metodo])</f>
        <v>Transferencia</v>
      </c>
      <c r="N1401" s="20" t="str">
        <f t="shared" si="2"/>
        <v>2024 10</v>
      </c>
    </row>
    <row r="1402" ht="22.5" customHeight="1">
      <c r="A1402" s="12">
        <f>IFERROR(__xludf.DUMMYFUNCTION("""COMPUTED_VALUE"""),2037.0)</f>
        <v>2037</v>
      </c>
      <c r="B1402" s="13">
        <f>IFERROR(__xludf.DUMMYFUNCTION("""COMPUTED_VALUE"""),45569.0)</f>
        <v>45569</v>
      </c>
      <c r="C1402" s="12">
        <f>IFERROR(__xludf.DUMMYFUNCTION("""COMPUTED_VALUE"""),296.0)</f>
        <v>296</v>
      </c>
      <c r="D1402" s="12">
        <f>IFERROR(__xludf.DUMMYFUNCTION("""COMPUTED_VALUE"""),32.0)</f>
        <v>32</v>
      </c>
      <c r="E1402" s="12">
        <f>IFERROR(__xludf.DUMMYFUNCTION("""COMPUTED_VALUE"""),3.0)</f>
        <v>3</v>
      </c>
      <c r="F1402" s="12">
        <f>IFERROR(__xludf.DUMMYFUNCTION("""COMPUTED_VALUE"""),4.0)</f>
        <v>4</v>
      </c>
      <c r="G1402" s="15" t="str">
        <f>IFERROR(__xludf.DUMMYFUNCTION("""COMPUTED_VALUE"""),"Completa")</f>
        <v>Completa</v>
      </c>
      <c r="H1402" s="16" t="str">
        <f t="array" ref="H1402">_xlfn.XLOOKUP(D1402,Productos[ID_Producto],Productos[Nombre_Producto])</f>
        <v>Galletitas de chocolate</v>
      </c>
      <c r="I1402" s="17">
        <f t="array" ref="I1402">_xlfn.XLOOKUP(D1402,Productos[ID_Producto],Productos[Precio_Unitario])</f>
        <v>6.25</v>
      </c>
      <c r="J1402" s="17">
        <f t="shared" si="1"/>
        <v>18.75</v>
      </c>
      <c r="K1402" s="16" t="str">
        <f t="array" ref="K1402">_xlfn.XLOOKUP(C1402,Clientes[ID_Cliente],Clientes[Provincia])</f>
        <v>Buenos Aires</v>
      </c>
      <c r="L1402" s="16" t="str">
        <f t="array" ref="L1402">CONCATENATE(_xlfn.XLOOKUP(C1402,Clientes[ID_Cliente],Clientes[Provincia]),", Argentina")</f>
        <v>Buenos Aires, Argentina</v>
      </c>
      <c r="M1402" s="20" t="str">
        <f t="array" ref="M1402">_xlfn.XLOOKUP(F1402,Metodos_De_Pago[ID_Metodo],Metodos_De_Pago[Metodo])</f>
        <v>Mercado Pago</v>
      </c>
      <c r="N1402" s="20" t="str">
        <f t="shared" si="2"/>
        <v>2024 10</v>
      </c>
    </row>
    <row r="1403" ht="22.5" customHeight="1">
      <c r="A1403" s="12">
        <f>IFERROR(__xludf.DUMMYFUNCTION("""COMPUTED_VALUE"""),1227.0)</f>
        <v>1227</v>
      </c>
      <c r="B1403" s="13">
        <f>IFERROR(__xludf.DUMMYFUNCTION("""COMPUTED_VALUE"""),45570.0)</f>
        <v>45570</v>
      </c>
      <c r="C1403" s="12">
        <f>IFERROR(__xludf.DUMMYFUNCTION("""COMPUTED_VALUE"""),290.0)</f>
        <v>290</v>
      </c>
      <c r="D1403" s="12">
        <f>IFERROR(__xludf.DUMMYFUNCTION("""COMPUTED_VALUE"""),27.0)</f>
        <v>27</v>
      </c>
      <c r="E1403" s="12">
        <f>IFERROR(__xludf.DUMMYFUNCTION("""COMPUTED_VALUE"""),3.0)</f>
        <v>3</v>
      </c>
      <c r="F1403" s="12">
        <f>IFERROR(__xludf.DUMMYFUNCTION("""COMPUTED_VALUE"""),1.0)</f>
        <v>1</v>
      </c>
      <c r="G1403" s="15" t="str">
        <f>IFERROR(__xludf.DUMMYFUNCTION("""COMPUTED_VALUE"""),"Completa")</f>
        <v>Completa</v>
      </c>
      <c r="H1403" s="16" t="str">
        <f t="array" ref="H1403">_xlfn.XLOOKUP(D1403,Productos[ID_Producto],Productos[Nombre_Producto])</f>
        <v>Agua mineral</v>
      </c>
      <c r="I1403" s="17">
        <f t="array" ref="I1403">_xlfn.XLOOKUP(D1403,Productos[ID_Producto],Productos[Precio_Unitario])</f>
        <v>6.21</v>
      </c>
      <c r="J1403" s="17">
        <f t="shared" si="1"/>
        <v>18.63</v>
      </c>
      <c r="K1403" s="16" t="str">
        <f t="array" ref="K1403">_xlfn.XLOOKUP(C1403,Clientes[ID_Cliente],Clientes[Provincia])</f>
        <v>Buenos Aires</v>
      </c>
      <c r="L1403" s="16" t="str">
        <f t="array" ref="L1403">CONCATENATE(_xlfn.XLOOKUP(C1403,Clientes[ID_Cliente],Clientes[Provincia]),", Argentina")</f>
        <v>Buenos Aires, Argentina</v>
      </c>
      <c r="M1403" s="20" t="str">
        <f t="array" ref="M1403">_xlfn.XLOOKUP(F1403,Metodos_De_Pago[ID_Metodo],Metodos_De_Pago[Metodo])</f>
        <v>Efectivo</v>
      </c>
      <c r="N1403" s="20" t="str">
        <f t="shared" si="2"/>
        <v>2024 10</v>
      </c>
    </row>
    <row r="1404" ht="22.5" customHeight="1">
      <c r="A1404" s="12">
        <f>IFERROR(__xludf.DUMMYFUNCTION("""COMPUTED_VALUE"""),2491.0)</f>
        <v>2491</v>
      </c>
      <c r="B1404" s="13">
        <f>IFERROR(__xludf.DUMMYFUNCTION("""COMPUTED_VALUE"""),45571.0)</f>
        <v>45571</v>
      </c>
      <c r="C1404" s="12">
        <f>IFERROR(__xludf.DUMMYFUNCTION("""COMPUTED_VALUE"""),91.0)</f>
        <v>91</v>
      </c>
      <c r="D1404" s="12">
        <f>IFERROR(__xludf.DUMMYFUNCTION("""COMPUTED_VALUE"""),5.0)</f>
        <v>5</v>
      </c>
      <c r="E1404" s="12">
        <f>IFERROR(__xludf.DUMMYFUNCTION("""COMPUTED_VALUE"""),3.0)</f>
        <v>3</v>
      </c>
      <c r="F1404" s="12">
        <f>IFERROR(__xludf.DUMMYFUNCTION("""COMPUTED_VALUE"""),4.0)</f>
        <v>4</v>
      </c>
      <c r="G1404" s="15" t="str">
        <f>IFERROR(__xludf.DUMMYFUNCTION("""COMPUTED_VALUE"""),"Pendiente")</f>
        <v>Pendiente</v>
      </c>
      <c r="H1404" s="16" t="str">
        <f t="array" ref="H1404">_xlfn.XLOOKUP(D1404,Productos[ID_Producto],Productos[Nombre_Producto])</f>
        <v>Manteca</v>
      </c>
      <c r="I1404" s="17">
        <f t="array" ref="I1404">_xlfn.XLOOKUP(D1404,Productos[ID_Producto],Productos[Precio_Unitario])</f>
        <v>5.65</v>
      </c>
      <c r="J1404" s="17">
        <f t="shared" si="1"/>
        <v>16.95</v>
      </c>
      <c r="K1404" s="16" t="str">
        <f t="array" ref="K1404">_xlfn.XLOOKUP(C1404,Clientes[ID_Cliente],Clientes[Provincia])</f>
        <v>Buenos Aires</v>
      </c>
      <c r="L1404" s="16" t="str">
        <f t="array" ref="L1404">CONCATENATE(_xlfn.XLOOKUP(C1404,Clientes[ID_Cliente],Clientes[Provincia]),", Argentina")</f>
        <v>Buenos Aires, Argentina</v>
      </c>
      <c r="M1404" s="20" t="str">
        <f t="array" ref="M1404">_xlfn.XLOOKUP(F1404,Metodos_De_Pago[ID_Metodo],Metodos_De_Pago[Metodo])</f>
        <v>Mercado Pago</v>
      </c>
      <c r="N1404" s="20" t="str">
        <f t="shared" si="2"/>
        <v>2024 10</v>
      </c>
    </row>
    <row r="1405" ht="22.5" customHeight="1">
      <c r="A1405" s="12">
        <f>IFERROR(__xludf.DUMMYFUNCTION("""COMPUTED_VALUE"""),1603.0)</f>
        <v>1603</v>
      </c>
      <c r="B1405" s="13">
        <f>IFERROR(__xludf.DUMMYFUNCTION("""COMPUTED_VALUE"""),45572.0)</f>
        <v>45572</v>
      </c>
      <c r="C1405" s="12">
        <f>IFERROR(__xludf.DUMMYFUNCTION("""COMPUTED_VALUE"""),50.0)</f>
        <v>50</v>
      </c>
      <c r="D1405" s="12">
        <f>IFERROR(__xludf.DUMMYFUNCTION("""COMPUTED_VALUE"""),22.0)</f>
        <v>22</v>
      </c>
      <c r="E1405" s="12">
        <f>IFERROR(__xludf.DUMMYFUNCTION("""COMPUTED_VALUE"""),3.0)</f>
        <v>3</v>
      </c>
      <c r="F1405" s="12">
        <f>IFERROR(__xludf.DUMMYFUNCTION("""COMPUTED_VALUE"""),4.0)</f>
        <v>4</v>
      </c>
      <c r="G1405" s="15" t="str">
        <f>IFERROR(__xludf.DUMMYFUNCTION("""COMPUTED_VALUE"""),"Completa")</f>
        <v>Completa</v>
      </c>
      <c r="H1405" s="16" t="str">
        <f t="array" ref="H1405">_xlfn.XLOOKUP(D1405,Productos[ID_Producto],Productos[Nombre_Producto])</f>
        <v>Cebolla</v>
      </c>
      <c r="I1405" s="17">
        <f t="array" ref="I1405">_xlfn.XLOOKUP(D1405,Productos[ID_Producto],Productos[Precio_Unitario])</f>
        <v>4.21</v>
      </c>
      <c r="J1405" s="17">
        <f t="shared" si="1"/>
        <v>12.63</v>
      </c>
      <c r="K1405" s="16" t="str">
        <f t="array" ref="K1405">_xlfn.XLOOKUP(C1405,Clientes[ID_Cliente],Clientes[Provincia])</f>
        <v>Buenos Aires</v>
      </c>
      <c r="L1405" s="16" t="str">
        <f t="array" ref="L1405">CONCATENATE(_xlfn.XLOOKUP(C1405,Clientes[ID_Cliente],Clientes[Provincia]),", Argentina")</f>
        <v>Buenos Aires, Argentina</v>
      </c>
      <c r="M1405" s="20" t="str">
        <f t="array" ref="M1405">_xlfn.XLOOKUP(F1405,Metodos_De_Pago[ID_Metodo],Metodos_De_Pago[Metodo])</f>
        <v>Mercado Pago</v>
      </c>
      <c r="N1405" s="20" t="str">
        <f t="shared" si="2"/>
        <v>2024 10</v>
      </c>
    </row>
    <row r="1406" ht="22.5" customHeight="1">
      <c r="A1406" s="12">
        <f>IFERROR(__xludf.DUMMYFUNCTION("""COMPUTED_VALUE"""),1684.0)</f>
        <v>1684</v>
      </c>
      <c r="B1406" s="13">
        <f>IFERROR(__xludf.DUMMYFUNCTION("""COMPUTED_VALUE"""),45574.0)</f>
        <v>45574</v>
      </c>
      <c r="C1406" s="12">
        <f>IFERROR(__xludf.DUMMYFUNCTION("""COMPUTED_VALUE"""),174.0)</f>
        <v>174</v>
      </c>
      <c r="D1406" s="12">
        <f>IFERROR(__xludf.DUMMYFUNCTION("""COMPUTED_VALUE"""),8.0)</f>
        <v>8</v>
      </c>
      <c r="E1406" s="12">
        <f>IFERROR(__xludf.DUMMYFUNCTION("""COMPUTED_VALUE"""),3.0)</f>
        <v>3</v>
      </c>
      <c r="F1406" s="12">
        <f>IFERROR(__xludf.DUMMYFUNCTION("""COMPUTED_VALUE"""),5.0)</f>
        <v>5</v>
      </c>
      <c r="G1406" s="15" t="str">
        <f>IFERROR(__xludf.DUMMYFUNCTION("""COMPUTED_VALUE"""),"Completa")</f>
        <v>Completa</v>
      </c>
      <c r="H1406" s="16" t="str">
        <f t="array" ref="H1406">_xlfn.XLOOKUP(D1406,Productos[ID_Producto],Productos[Nombre_Producto])</f>
        <v>Milanesa</v>
      </c>
      <c r="I1406" s="17">
        <f t="array" ref="I1406">_xlfn.XLOOKUP(D1406,Productos[ID_Producto],Productos[Precio_Unitario])</f>
        <v>16.21</v>
      </c>
      <c r="J1406" s="17">
        <f t="shared" si="1"/>
        <v>48.63</v>
      </c>
      <c r="K1406" s="16" t="str">
        <f t="array" ref="K1406">_xlfn.XLOOKUP(C1406,Clientes[ID_Cliente],Clientes[Provincia])</f>
        <v>Neuquén</v>
      </c>
      <c r="L1406" s="16" t="str">
        <f t="array" ref="L1406">CONCATENATE(_xlfn.XLOOKUP(C1406,Clientes[ID_Cliente],Clientes[Provincia]),", Argentina")</f>
        <v>Neuquén, Argentina</v>
      </c>
      <c r="M1406" s="20" t="str">
        <f t="array" ref="M1406">_xlfn.XLOOKUP(F1406,Metodos_De_Pago[ID_Metodo],Metodos_De_Pago[Metodo])</f>
        <v>Transferencia</v>
      </c>
      <c r="N1406" s="20" t="str">
        <f t="shared" si="2"/>
        <v>2024 10</v>
      </c>
    </row>
    <row r="1407" ht="22.5" customHeight="1">
      <c r="A1407" s="12">
        <f>IFERROR(__xludf.DUMMYFUNCTION("""COMPUTED_VALUE"""),740.0)</f>
        <v>740</v>
      </c>
      <c r="B1407" s="13">
        <f>IFERROR(__xludf.DUMMYFUNCTION("""COMPUTED_VALUE"""),45575.0)</f>
        <v>45575</v>
      </c>
      <c r="C1407" s="12">
        <f>IFERROR(__xludf.DUMMYFUNCTION("""COMPUTED_VALUE"""),62.0)</f>
        <v>62</v>
      </c>
      <c r="D1407" s="12">
        <f>IFERROR(__xludf.DUMMYFUNCTION("""COMPUTED_VALUE"""),17.0)</f>
        <v>17</v>
      </c>
      <c r="E1407" s="12">
        <f>IFERROR(__xludf.DUMMYFUNCTION("""COMPUTED_VALUE"""),3.0)</f>
        <v>3</v>
      </c>
      <c r="F1407" s="12">
        <f>IFERROR(__xludf.DUMMYFUNCTION("""COMPUTED_VALUE"""),3.0)</f>
        <v>3</v>
      </c>
      <c r="G1407" s="15" t="str">
        <f>IFERROR(__xludf.DUMMYFUNCTION("""COMPUTED_VALUE"""),"Completa")</f>
        <v>Completa</v>
      </c>
      <c r="H1407" s="16" t="str">
        <f t="array" ref="H1407">_xlfn.XLOOKUP(D1407,Productos[ID_Producto],Productos[Nombre_Producto])</f>
        <v>Manzanas</v>
      </c>
      <c r="I1407" s="17">
        <f t="array" ref="I1407">_xlfn.XLOOKUP(D1407,Productos[ID_Producto],Productos[Precio_Unitario])</f>
        <v>6.54</v>
      </c>
      <c r="J1407" s="17">
        <f t="shared" si="1"/>
        <v>19.62</v>
      </c>
      <c r="K1407" s="16" t="str">
        <f t="array" ref="K1407">_xlfn.XLOOKUP(C1407,Clientes[ID_Cliente],Clientes[Provincia])</f>
        <v>Chaco</v>
      </c>
      <c r="L1407" s="16" t="str">
        <f t="array" ref="L1407">CONCATENATE(_xlfn.XLOOKUP(C1407,Clientes[ID_Cliente],Clientes[Provincia]),", Argentina")</f>
        <v>Chaco, Argentina</v>
      </c>
      <c r="M1407" s="20" t="str">
        <f t="array" ref="M1407">_xlfn.XLOOKUP(F1407,Metodos_De_Pago[ID_Metodo],Metodos_De_Pago[Metodo])</f>
        <v>Tarjeta de Débito</v>
      </c>
      <c r="N1407" s="20" t="str">
        <f t="shared" si="2"/>
        <v>2024 10</v>
      </c>
    </row>
    <row r="1408" ht="22.5" customHeight="1">
      <c r="A1408" s="12">
        <f>IFERROR(__xludf.DUMMYFUNCTION("""COMPUTED_VALUE"""),2776.0)</f>
        <v>2776</v>
      </c>
      <c r="B1408" s="13">
        <f>IFERROR(__xludf.DUMMYFUNCTION("""COMPUTED_VALUE"""),45575.0)</f>
        <v>45575</v>
      </c>
      <c r="C1408" s="12">
        <f>IFERROR(__xludf.DUMMYFUNCTION("""COMPUTED_VALUE"""),10.0)</f>
        <v>10</v>
      </c>
      <c r="D1408" s="12">
        <f>IFERROR(__xludf.DUMMYFUNCTION("""COMPUTED_VALUE"""),33.0)</f>
        <v>33</v>
      </c>
      <c r="E1408" s="12">
        <f>IFERROR(__xludf.DUMMYFUNCTION("""COMPUTED_VALUE"""),3.0)</f>
        <v>3</v>
      </c>
      <c r="F1408" s="12">
        <f>IFERROR(__xludf.DUMMYFUNCTION("""COMPUTED_VALUE"""),3.0)</f>
        <v>3</v>
      </c>
      <c r="G1408" s="15" t="str">
        <f>IFERROR(__xludf.DUMMYFUNCTION("""COMPUTED_VALUE"""),"Pendiente")</f>
        <v>Pendiente</v>
      </c>
      <c r="H1408" s="16" t="str">
        <f t="array" ref="H1408">_xlfn.XLOOKUP(D1408,Productos[ID_Producto],Productos[Nombre_Producto])</f>
        <v>Papas chips</v>
      </c>
      <c r="I1408" s="17">
        <f t="array" ref="I1408">_xlfn.XLOOKUP(D1408,Productos[ID_Producto],Productos[Precio_Unitario])</f>
        <v>8.54</v>
      </c>
      <c r="J1408" s="17">
        <f t="shared" si="1"/>
        <v>25.62</v>
      </c>
      <c r="K1408" s="16" t="str">
        <f t="array" ref="K1408">_xlfn.XLOOKUP(C1408,Clientes[ID_Cliente],Clientes[Provincia])</f>
        <v>Buenos Aires</v>
      </c>
      <c r="L1408" s="16" t="str">
        <f t="array" ref="L1408">CONCATENATE(_xlfn.XLOOKUP(C1408,Clientes[ID_Cliente],Clientes[Provincia]),", Argentina")</f>
        <v>Buenos Aires, Argentina</v>
      </c>
      <c r="M1408" s="20" t="str">
        <f t="array" ref="M1408">_xlfn.XLOOKUP(F1408,Metodos_De_Pago[ID_Metodo],Metodos_De_Pago[Metodo])</f>
        <v>Tarjeta de Débito</v>
      </c>
      <c r="N1408" s="20" t="str">
        <f t="shared" si="2"/>
        <v>2024 10</v>
      </c>
    </row>
    <row r="1409" ht="22.5" customHeight="1">
      <c r="A1409" s="12">
        <f>IFERROR(__xludf.DUMMYFUNCTION("""COMPUTED_VALUE"""),1152.0)</f>
        <v>1152</v>
      </c>
      <c r="B1409" s="13">
        <f>IFERROR(__xludf.DUMMYFUNCTION("""COMPUTED_VALUE"""),45576.0)</f>
        <v>45576</v>
      </c>
      <c r="C1409" s="12">
        <f>IFERROR(__xludf.DUMMYFUNCTION("""COMPUTED_VALUE"""),111.0)</f>
        <v>111</v>
      </c>
      <c r="D1409" s="12">
        <f>IFERROR(__xludf.DUMMYFUNCTION("""COMPUTED_VALUE"""),6.0)</f>
        <v>6</v>
      </c>
      <c r="E1409" s="12">
        <f>IFERROR(__xludf.DUMMYFUNCTION("""COMPUTED_VALUE"""),3.0)</f>
        <v>3</v>
      </c>
      <c r="F1409" s="12">
        <f>IFERROR(__xludf.DUMMYFUNCTION("""COMPUTED_VALUE"""),4.0)</f>
        <v>4</v>
      </c>
      <c r="G1409" s="15" t="str">
        <f>IFERROR(__xludf.DUMMYFUNCTION("""COMPUTED_VALUE"""),"Completa")</f>
        <v>Completa</v>
      </c>
      <c r="H1409" s="16" t="str">
        <f t="array" ref="H1409">_xlfn.XLOOKUP(D1409,Productos[ID_Producto],Productos[Nombre_Producto])</f>
        <v>Asado</v>
      </c>
      <c r="I1409" s="17">
        <f t="array" ref="I1409">_xlfn.XLOOKUP(D1409,Productos[ID_Producto],Productos[Precio_Unitario])</f>
        <v>28.56</v>
      </c>
      <c r="J1409" s="17">
        <f t="shared" si="1"/>
        <v>85.68</v>
      </c>
      <c r="K1409" s="16" t="str">
        <f t="array" ref="K1409">_xlfn.XLOOKUP(C1409,Clientes[ID_Cliente],Clientes[Provincia])</f>
        <v>San Luis</v>
      </c>
      <c r="L1409" s="16" t="str">
        <f t="array" ref="L1409">CONCATENATE(_xlfn.XLOOKUP(C1409,Clientes[ID_Cliente],Clientes[Provincia]),", Argentina")</f>
        <v>San Luis, Argentina</v>
      </c>
      <c r="M1409" s="20" t="str">
        <f t="array" ref="M1409">_xlfn.XLOOKUP(F1409,Metodos_De_Pago[ID_Metodo],Metodos_De_Pago[Metodo])</f>
        <v>Mercado Pago</v>
      </c>
      <c r="N1409" s="20" t="str">
        <f t="shared" si="2"/>
        <v>2024 10</v>
      </c>
    </row>
    <row r="1410" ht="22.5" customHeight="1">
      <c r="A1410" s="12">
        <f>IFERROR(__xludf.DUMMYFUNCTION("""COMPUTED_VALUE"""),1726.0)</f>
        <v>1726</v>
      </c>
      <c r="B1410" s="13">
        <f>IFERROR(__xludf.DUMMYFUNCTION("""COMPUTED_VALUE"""),45576.0)</f>
        <v>45576</v>
      </c>
      <c r="C1410" s="12">
        <f>IFERROR(__xludf.DUMMYFUNCTION("""COMPUTED_VALUE"""),241.0)</f>
        <v>241</v>
      </c>
      <c r="D1410" s="12">
        <f>IFERROR(__xludf.DUMMYFUNCTION("""COMPUTED_VALUE"""),28.0)</f>
        <v>28</v>
      </c>
      <c r="E1410" s="12">
        <f>IFERROR(__xludf.DUMMYFUNCTION("""COMPUTED_VALUE"""),3.0)</f>
        <v>3</v>
      </c>
      <c r="F1410" s="12">
        <f>IFERROR(__xludf.DUMMYFUNCTION("""COMPUTED_VALUE"""),4.0)</f>
        <v>4</v>
      </c>
      <c r="G1410" s="15" t="str">
        <f>IFERROR(__xludf.DUMMYFUNCTION("""COMPUTED_VALUE"""),"Completa")</f>
        <v>Completa</v>
      </c>
      <c r="H1410" s="16" t="str">
        <f t="array" ref="H1410">_xlfn.XLOOKUP(D1410,Productos[ID_Producto],Productos[Nombre_Producto])</f>
        <v>Jugos de frutas</v>
      </c>
      <c r="I1410" s="17">
        <f t="array" ref="I1410">_xlfn.XLOOKUP(D1410,Productos[ID_Producto],Productos[Precio_Unitario])</f>
        <v>9.45</v>
      </c>
      <c r="J1410" s="17">
        <f t="shared" si="1"/>
        <v>28.35</v>
      </c>
      <c r="K1410" s="16" t="str">
        <f t="array" ref="K1410">_xlfn.XLOOKUP(C1410,Clientes[ID_Cliente],Clientes[Provincia])</f>
        <v>Buenos Aires</v>
      </c>
      <c r="L1410" s="16" t="str">
        <f t="array" ref="L1410">CONCATENATE(_xlfn.XLOOKUP(C1410,Clientes[ID_Cliente],Clientes[Provincia]),", Argentina")</f>
        <v>Buenos Aires, Argentina</v>
      </c>
      <c r="M1410" s="20" t="str">
        <f t="array" ref="M1410">_xlfn.XLOOKUP(F1410,Metodos_De_Pago[ID_Metodo],Metodos_De_Pago[Metodo])</f>
        <v>Mercado Pago</v>
      </c>
      <c r="N1410" s="20" t="str">
        <f t="shared" si="2"/>
        <v>2024 10</v>
      </c>
    </row>
    <row r="1411" ht="22.5" customHeight="1">
      <c r="A1411" s="12">
        <f>IFERROR(__xludf.DUMMYFUNCTION("""COMPUTED_VALUE"""),310.0)</f>
        <v>310</v>
      </c>
      <c r="B1411" s="13">
        <f>IFERROR(__xludf.DUMMYFUNCTION("""COMPUTED_VALUE"""),45577.0)</f>
        <v>45577</v>
      </c>
      <c r="C1411" s="12">
        <f>IFERROR(__xludf.DUMMYFUNCTION("""COMPUTED_VALUE"""),152.0)</f>
        <v>152</v>
      </c>
      <c r="D1411" s="12">
        <f>IFERROR(__xludf.DUMMYFUNCTION("""COMPUTED_VALUE"""),25.0)</f>
        <v>25</v>
      </c>
      <c r="E1411" s="12">
        <f>IFERROR(__xludf.DUMMYFUNCTION("""COMPUTED_VALUE"""),3.0)</f>
        <v>3</v>
      </c>
      <c r="F1411" s="12">
        <f>IFERROR(__xludf.DUMMYFUNCTION("""COMPUTED_VALUE"""),5.0)</f>
        <v>5</v>
      </c>
      <c r="G1411" s="15" t="str">
        <f>IFERROR(__xludf.DUMMYFUNCTION("""COMPUTED_VALUE"""),"Completa")</f>
        <v>Completa</v>
      </c>
      <c r="H1411" s="16" t="str">
        <f t="array" ref="H1411">_xlfn.XLOOKUP(D1411,Productos[ID_Producto],Productos[Nombre_Producto])</f>
        <v>Pizza congelada</v>
      </c>
      <c r="I1411" s="17">
        <f t="array" ref="I1411">_xlfn.XLOOKUP(D1411,Productos[ID_Producto],Productos[Precio_Unitario])</f>
        <v>15.45</v>
      </c>
      <c r="J1411" s="17">
        <f t="shared" si="1"/>
        <v>46.35</v>
      </c>
      <c r="K1411" s="16" t="str">
        <f t="array" ref="K1411">_xlfn.XLOOKUP(C1411,Clientes[ID_Cliente],Clientes[Provincia])</f>
        <v>Salta</v>
      </c>
      <c r="L1411" s="16" t="str">
        <f t="array" ref="L1411">CONCATENATE(_xlfn.XLOOKUP(C1411,Clientes[ID_Cliente],Clientes[Provincia]),", Argentina")</f>
        <v>Salta, Argentina</v>
      </c>
      <c r="M1411" s="20" t="str">
        <f t="array" ref="M1411">_xlfn.XLOOKUP(F1411,Metodos_De_Pago[ID_Metodo],Metodos_De_Pago[Metodo])</f>
        <v>Transferencia</v>
      </c>
      <c r="N1411" s="20" t="str">
        <f t="shared" si="2"/>
        <v>2024 10</v>
      </c>
    </row>
    <row r="1412" ht="22.5" customHeight="1">
      <c r="A1412" s="12">
        <f>IFERROR(__xludf.DUMMYFUNCTION("""COMPUTED_VALUE"""),1018.0)</f>
        <v>1018</v>
      </c>
      <c r="B1412" s="13">
        <f>IFERROR(__xludf.DUMMYFUNCTION("""COMPUTED_VALUE"""),45581.0)</f>
        <v>45581</v>
      </c>
      <c r="C1412" s="12">
        <f>IFERROR(__xludf.DUMMYFUNCTION("""COMPUTED_VALUE"""),291.0)</f>
        <v>291</v>
      </c>
      <c r="D1412" s="12">
        <f>IFERROR(__xludf.DUMMYFUNCTION("""COMPUTED_VALUE"""),14.0)</f>
        <v>14</v>
      </c>
      <c r="E1412" s="12">
        <f>IFERROR(__xludf.DUMMYFUNCTION("""COMPUTED_VALUE"""),3.0)</f>
        <v>3</v>
      </c>
      <c r="F1412" s="12">
        <f>IFERROR(__xludf.DUMMYFUNCTION("""COMPUTED_VALUE"""),4.0)</f>
        <v>4</v>
      </c>
      <c r="G1412" s="15" t="str">
        <f>IFERROR(__xludf.DUMMYFUNCTION("""COMPUTED_VALUE"""),"Completa")</f>
        <v>Completa</v>
      </c>
      <c r="H1412" s="16" t="str">
        <f t="array" ref="H1412">_xlfn.XLOOKUP(D1412,Productos[ID_Producto],Productos[Nombre_Producto])</f>
        <v>Facturas</v>
      </c>
      <c r="I1412" s="17">
        <f t="array" ref="I1412">_xlfn.XLOOKUP(D1412,Productos[ID_Producto],Productos[Precio_Unitario])</f>
        <v>12.36</v>
      </c>
      <c r="J1412" s="17">
        <f t="shared" si="1"/>
        <v>37.08</v>
      </c>
      <c r="K1412" s="16" t="str">
        <f t="array" ref="K1412">_xlfn.XLOOKUP(C1412,Clientes[ID_Cliente],Clientes[Provincia])</f>
        <v>Chaco</v>
      </c>
      <c r="L1412" s="16" t="str">
        <f t="array" ref="L1412">CONCATENATE(_xlfn.XLOOKUP(C1412,Clientes[ID_Cliente],Clientes[Provincia]),", Argentina")</f>
        <v>Chaco, Argentina</v>
      </c>
      <c r="M1412" s="20" t="str">
        <f t="array" ref="M1412">_xlfn.XLOOKUP(F1412,Metodos_De_Pago[ID_Metodo],Metodos_De_Pago[Metodo])</f>
        <v>Mercado Pago</v>
      </c>
      <c r="N1412" s="20" t="str">
        <f t="shared" si="2"/>
        <v>2024 10</v>
      </c>
    </row>
    <row r="1413" ht="22.5" customHeight="1">
      <c r="A1413" s="12">
        <f>IFERROR(__xludf.DUMMYFUNCTION("""COMPUTED_VALUE"""),1222.0)</f>
        <v>1222</v>
      </c>
      <c r="B1413" s="13">
        <f>IFERROR(__xludf.DUMMYFUNCTION("""COMPUTED_VALUE"""),45581.0)</f>
        <v>45581</v>
      </c>
      <c r="C1413" s="12">
        <f>IFERROR(__xludf.DUMMYFUNCTION("""COMPUTED_VALUE"""),82.0)</f>
        <v>82</v>
      </c>
      <c r="D1413" s="12">
        <f>IFERROR(__xludf.DUMMYFUNCTION("""COMPUTED_VALUE"""),27.0)</f>
        <v>27</v>
      </c>
      <c r="E1413" s="12">
        <f>IFERROR(__xludf.DUMMYFUNCTION("""COMPUTED_VALUE"""),3.0)</f>
        <v>3</v>
      </c>
      <c r="F1413" s="12">
        <f>IFERROR(__xludf.DUMMYFUNCTION("""COMPUTED_VALUE"""),4.0)</f>
        <v>4</v>
      </c>
      <c r="G1413" s="15" t="str">
        <f>IFERROR(__xludf.DUMMYFUNCTION("""COMPUTED_VALUE"""),"Pendiente")</f>
        <v>Pendiente</v>
      </c>
      <c r="H1413" s="16" t="str">
        <f t="array" ref="H1413">_xlfn.XLOOKUP(D1413,Productos[ID_Producto],Productos[Nombre_Producto])</f>
        <v>Agua mineral</v>
      </c>
      <c r="I1413" s="17">
        <f t="array" ref="I1413">_xlfn.XLOOKUP(D1413,Productos[ID_Producto],Productos[Precio_Unitario])</f>
        <v>6.21</v>
      </c>
      <c r="J1413" s="17">
        <f t="shared" si="1"/>
        <v>18.63</v>
      </c>
      <c r="K1413" s="16" t="str">
        <f t="array" ref="K1413">_xlfn.XLOOKUP(C1413,Clientes[ID_Cliente],Clientes[Provincia])</f>
        <v>Buenos Aires</v>
      </c>
      <c r="L1413" s="16" t="str">
        <f t="array" ref="L1413">CONCATENATE(_xlfn.XLOOKUP(C1413,Clientes[ID_Cliente],Clientes[Provincia]),", Argentina")</f>
        <v>Buenos Aires, Argentina</v>
      </c>
      <c r="M1413" s="20" t="str">
        <f t="array" ref="M1413">_xlfn.XLOOKUP(F1413,Metodos_De_Pago[ID_Metodo],Metodos_De_Pago[Metodo])</f>
        <v>Mercado Pago</v>
      </c>
      <c r="N1413" s="20" t="str">
        <f t="shared" si="2"/>
        <v>2024 10</v>
      </c>
    </row>
    <row r="1414" ht="22.5" customHeight="1">
      <c r="A1414" s="12">
        <f>IFERROR(__xludf.DUMMYFUNCTION("""COMPUTED_VALUE"""),1446.0)</f>
        <v>1446</v>
      </c>
      <c r="B1414" s="13">
        <f>IFERROR(__xludf.DUMMYFUNCTION("""COMPUTED_VALUE"""),45581.0)</f>
        <v>45581</v>
      </c>
      <c r="C1414" s="12">
        <f>IFERROR(__xludf.DUMMYFUNCTION("""COMPUTED_VALUE"""),9.0)</f>
        <v>9</v>
      </c>
      <c r="D1414" s="12">
        <f>IFERROR(__xludf.DUMMYFUNCTION("""COMPUTED_VALUE"""),20.0)</f>
        <v>20</v>
      </c>
      <c r="E1414" s="12">
        <f>IFERROR(__xludf.DUMMYFUNCTION("""COMPUTED_VALUE"""),3.0)</f>
        <v>3</v>
      </c>
      <c r="F1414" s="12">
        <f>IFERROR(__xludf.DUMMYFUNCTION("""COMPUTED_VALUE"""),4.0)</f>
        <v>4</v>
      </c>
      <c r="G1414" s="15" t="str">
        <f>IFERROR(__xludf.DUMMYFUNCTION("""COMPUTED_VALUE"""),"Pendiente")</f>
        <v>Pendiente</v>
      </c>
      <c r="H1414" s="16" t="str">
        <f t="array" ref="H1414">_xlfn.XLOOKUP(D1414,Productos[ID_Producto],Productos[Nombre_Producto])</f>
        <v>Lechugas</v>
      </c>
      <c r="I1414" s="17">
        <f t="array" ref="I1414">_xlfn.XLOOKUP(D1414,Productos[ID_Producto],Productos[Precio_Unitario])</f>
        <v>4.25</v>
      </c>
      <c r="J1414" s="17">
        <f t="shared" si="1"/>
        <v>12.75</v>
      </c>
      <c r="K1414" s="16" t="str">
        <f t="array" ref="K1414">_xlfn.XLOOKUP(C1414,Clientes[ID_Cliente],Clientes[Provincia])</f>
        <v>Córdoba</v>
      </c>
      <c r="L1414" s="16" t="str">
        <f t="array" ref="L1414">CONCATENATE(_xlfn.XLOOKUP(C1414,Clientes[ID_Cliente],Clientes[Provincia]),", Argentina")</f>
        <v>Córdoba, Argentina</v>
      </c>
      <c r="M1414" s="20" t="str">
        <f t="array" ref="M1414">_xlfn.XLOOKUP(F1414,Metodos_De_Pago[ID_Metodo],Metodos_De_Pago[Metodo])</f>
        <v>Mercado Pago</v>
      </c>
      <c r="N1414" s="20" t="str">
        <f t="shared" si="2"/>
        <v>2024 10</v>
      </c>
    </row>
    <row r="1415" ht="22.5" customHeight="1">
      <c r="A1415" s="12">
        <f>IFERROR(__xludf.DUMMYFUNCTION("""COMPUTED_VALUE"""),326.0)</f>
        <v>326</v>
      </c>
      <c r="B1415" s="13">
        <f>IFERROR(__xludf.DUMMYFUNCTION("""COMPUTED_VALUE"""),45582.0)</f>
        <v>45582</v>
      </c>
      <c r="C1415" s="12">
        <f>IFERROR(__xludf.DUMMYFUNCTION("""COMPUTED_VALUE"""),132.0)</f>
        <v>132</v>
      </c>
      <c r="D1415" s="12">
        <f>IFERROR(__xludf.DUMMYFUNCTION("""COMPUTED_VALUE"""),32.0)</f>
        <v>32</v>
      </c>
      <c r="E1415" s="12">
        <f>IFERROR(__xludf.DUMMYFUNCTION("""COMPUTED_VALUE"""),3.0)</f>
        <v>3</v>
      </c>
      <c r="F1415" s="12">
        <f>IFERROR(__xludf.DUMMYFUNCTION("""COMPUTED_VALUE"""),2.0)</f>
        <v>2</v>
      </c>
      <c r="G1415" s="15" t="str">
        <f>IFERROR(__xludf.DUMMYFUNCTION("""COMPUTED_VALUE"""),"Pendiente")</f>
        <v>Pendiente</v>
      </c>
      <c r="H1415" s="16" t="str">
        <f t="array" ref="H1415">_xlfn.XLOOKUP(D1415,Productos[ID_Producto],Productos[Nombre_Producto])</f>
        <v>Galletitas de chocolate</v>
      </c>
      <c r="I1415" s="17">
        <f t="array" ref="I1415">_xlfn.XLOOKUP(D1415,Productos[ID_Producto],Productos[Precio_Unitario])</f>
        <v>6.25</v>
      </c>
      <c r="J1415" s="17">
        <f t="shared" si="1"/>
        <v>18.75</v>
      </c>
      <c r="K1415" s="16" t="str">
        <f t="array" ref="K1415">_xlfn.XLOOKUP(C1415,Clientes[ID_Cliente],Clientes[Provincia])</f>
        <v>Buenos Aires</v>
      </c>
      <c r="L1415" s="16" t="str">
        <f t="array" ref="L1415">CONCATENATE(_xlfn.XLOOKUP(C1415,Clientes[ID_Cliente],Clientes[Provincia]),", Argentina")</f>
        <v>Buenos Aires, Argentina</v>
      </c>
      <c r="M1415" s="20" t="str">
        <f t="array" ref="M1415">_xlfn.XLOOKUP(F1415,Metodos_De_Pago[ID_Metodo],Metodos_De_Pago[Metodo])</f>
        <v>Tarjeta de Crédito</v>
      </c>
      <c r="N1415" s="20" t="str">
        <f t="shared" si="2"/>
        <v>2024 10</v>
      </c>
    </row>
    <row r="1416" ht="22.5" customHeight="1">
      <c r="A1416" s="12">
        <f>IFERROR(__xludf.DUMMYFUNCTION("""COMPUTED_VALUE"""),435.0)</f>
        <v>435</v>
      </c>
      <c r="B1416" s="13">
        <f>IFERROR(__xludf.DUMMYFUNCTION("""COMPUTED_VALUE"""),45582.0)</f>
        <v>45582</v>
      </c>
      <c r="C1416" s="12">
        <f>IFERROR(__xludf.DUMMYFUNCTION("""COMPUTED_VALUE"""),70.0)</f>
        <v>70</v>
      </c>
      <c r="D1416" s="12">
        <f>IFERROR(__xludf.DUMMYFUNCTION("""COMPUTED_VALUE"""),31.0)</f>
        <v>31</v>
      </c>
      <c r="E1416" s="12">
        <f>IFERROR(__xludf.DUMMYFUNCTION("""COMPUTED_VALUE"""),3.0)</f>
        <v>3</v>
      </c>
      <c r="F1416" s="12">
        <f>IFERROR(__xludf.DUMMYFUNCTION("""COMPUTED_VALUE"""),5.0)</f>
        <v>5</v>
      </c>
      <c r="G1416" s="15" t="str">
        <f>IFERROR(__xludf.DUMMYFUNCTION("""COMPUTED_VALUE"""),"Completa")</f>
        <v>Completa</v>
      </c>
      <c r="H1416" s="16" t="str">
        <f t="array" ref="H1416">_xlfn.XLOOKUP(D1416,Productos[ID_Producto],Productos[Nombre_Producto])</f>
        <v>Galletitas de agua</v>
      </c>
      <c r="I1416" s="17">
        <f t="array" ref="I1416">_xlfn.XLOOKUP(D1416,Productos[ID_Producto],Productos[Precio_Unitario])</f>
        <v>5.24</v>
      </c>
      <c r="J1416" s="17">
        <f t="shared" si="1"/>
        <v>15.72</v>
      </c>
      <c r="K1416" s="16" t="str">
        <f t="array" ref="K1416">_xlfn.XLOOKUP(C1416,Clientes[ID_Cliente],Clientes[Provincia])</f>
        <v>Córdoba</v>
      </c>
      <c r="L1416" s="16" t="str">
        <f t="array" ref="L1416">CONCATENATE(_xlfn.XLOOKUP(C1416,Clientes[ID_Cliente],Clientes[Provincia]),", Argentina")</f>
        <v>Córdoba, Argentina</v>
      </c>
      <c r="M1416" s="20" t="str">
        <f t="array" ref="M1416">_xlfn.XLOOKUP(F1416,Metodos_De_Pago[ID_Metodo],Metodos_De_Pago[Metodo])</f>
        <v>Transferencia</v>
      </c>
      <c r="N1416" s="20" t="str">
        <f t="shared" si="2"/>
        <v>2024 10</v>
      </c>
    </row>
    <row r="1417" ht="22.5" customHeight="1">
      <c r="A1417" s="12">
        <f>IFERROR(__xludf.DUMMYFUNCTION("""COMPUTED_VALUE"""),1209.0)</f>
        <v>1209</v>
      </c>
      <c r="B1417" s="13">
        <f>IFERROR(__xludf.DUMMYFUNCTION("""COMPUTED_VALUE"""),45582.0)</f>
        <v>45582</v>
      </c>
      <c r="C1417" s="12">
        <f>IFERROR(__xludf.DUMMYFUNCTION("""COMPUTED_VALUE"""),19.0)</f>
        <v>19</v>
      </c>
      <c r="D1417" s="12">
        <f>IFERROR(__xludf.DUMMYFUNCTION("""COMPUTED_VALUE"""),28.0)</f>
        <v>28</v>
      </c>
      <c r="E1417" s="12">
        <f>IFERROR(__xludf.DUMMYFUNCTION("""COMPUTED_VALUE"""),3.0)</f>
        <v>3</v>
      </c>
      <c r="F1417" s="12">
        <f>IFERROR(__xludf.DUMMYFUNCTION("""COMPUTED_VALUE"""),4.0)</f>
        <v>4</v>
      </c>
      <c r="G1417" s="15" t="str">
        <f>IFERROR(__xludf.DUMMYFUNCTION("""COMPUTED_VALUE"""),"Completa")</f>
        <v>Completa</v>
      </c>
      <c r="H1417" s="16" t="str">
        <f t="array" ref="H1417">_xlfn.XLOOKUP(D1417,Productos[ID_Producto],Productos[Nombre_Producto])</f>
        <v>Jugos de frutas</v>
      </c>
      <c r="I1417" s="17">
        <f t="array" ref="I1417">_xlfn.XLOOKUP(D1417,Productos[ID_Producto],Productos[Precio_Unitario])</f>
        <v>9.45</v>
      </c>
      <c r="J1417" s="17">
        <f t="shared" si="1"/>
        <v>28.35</v>
      </c>
      <c r="K1417" s="16" t="str">
        <f t="array" ref="K1417">_xlfn.XLOOKUP(C1417,Clientes[ID_Cliente],Clientes[Provincia])</f>
        <v>Córdoba</v>
      </c>
      <c r="L1417" s="16" t="str">
        <f t="array" ref="L1417">CONCATENATE(_xlfn.XLOOKUP(C1417,Clientes[ID_Cliente],Clientes[Provincia]),", Argentina")</f>
        <v>Córdoba, Argentina</v>
      </c>
      <c r="M1417" s="20" t="str">
        <f t="array" ref="M1417">_xlfn.XLOOKUP(F1417,Metodos_De_Pago[ID_Metodo],Metodos_De_Pago[Metodo])</f>
        <v>Mercado Pago</v>
      </c>
      <c r="N1417" s="20" t="str">
        <f t="shared" si="2"/>
        <v>2024 10</v>
      </c>
    </row>
    <row r="1418" ht="22.5" customHeight="1">
      <c r="A1418" s="12">
        <f>IFERROR(__xludf.DUMMYFUNCTION("""COMPUTED_VALUE"""),2231.0)</f>
        <v>2231</v>
      </c>
      <c r="B1418" s="13">
        <f>IFERROR(__xludf.DUMMYFUNCTION("""COMPUTED_VALUE"""),45582.0)</f>
        <v>45582</v>
      </c>
      <c r="C1418" s="12">
        <f>IFERROR(__xludf.DUMMYFUNCTION("""COMPUTED_VALUE"""),6.0)</f>
        <v>6</v>
      </c>
      <c r="D1418" s="12">
        <f>IFERROR(__xludf.DUMMYFUNCTION("""COMPUTED_VALUE"""),19.0)</f>
        <v>19</v>
      </c>
      <c r="E1418" s="12">
        <f>IFERROR(__xludf.DUMMYFUNCTION("""COMPUTED_VALUE"""),3.0)</f>
        <v>3</v>
      </c>
      <c r="F1418" s="12">
        <f>IFERROR(__xludf.DUMMYFUNCTION("""COMPUTED_VALUE"""),3.0)</f>
        <v>3</v>
      </c>
      <c r="G1418" s="15" t="str">
        <f>IFERROR(__xludf.DUMMYFUNCTION("""COMPUTED_VALUE"""),"Completa")</f>
        <v>Completa</v>
      </c>
      <c r="H1418" s="16" t="str">
        <f t="array" ref="H1418">_xlfn.XLOOKUP(D1418,Productos[ID_Producto],Productos[Nombre_Producto])</f>
        <v>Tomates</v>
      </c>
      <c r="I1418" s="17">
        <f t="array" ref="I1418">_xlfn.XLOOKUP(D1418,Productos[ID_Producto],Productos[Precio_Unitario])</f>
        <v>6.54</v>
      </c>
      <c r="J1418" s="17">
        <f t="shared" si="1"/>
        <v>19.62</v>
      </c>
      <c r="K1418" s="16" t="str">
        <f t="array" ref="K1418">_xlfn.XLOOKUP(C1418,Clientes[ID_Cliente],Clientes[Provincia])</f>
        <v>Buenos Aires</v>
      </c>
      <c r="L1418" s="16" t="str">
        <f t="array" ref="L1418">CONCATENATE(_xlfn.XLOOKUP(C1418,Clientes[ID_Cliente],Clientes[Provincia]),", Argentina")</f>
        <v>Buenos Aires, Argentina</v>
      </c>
      <c r="M1418" s="20" t="str">
        <f t="array" ref="M1418">_xlfn.XLOOKUP(F1418,Metodos_De_Pago[ID_Metodo],Metodos_De_Pago[Metodo])</f>
        <v>Tarjeta de Débito</v>
      </c>
      <c r="N1418" s="20" t="str">
        <f t="shared" si="2"/>
        <v>2024 10</v>
      </c>
    </row>
    <row r="1419" ht="22.5" customHeight="1">
      <c r="A1419" s="12">
        <f>IFERROR(__xludf.DUMMYFUNCTION("""COMPUTED_VALUE"""),955.0)</f>
        <v>955</v>
      </c>
      <c r="B1419" s="13">
        <f>IFERROR(__xludf.DUMMYFUNCTION("""COMPUTED_VALUE"""),45583.0)</f>
        <v>45583</v>
      </c>
      <c r="C1419" s="12">
        <f>IFERROR(__xludf.DUMMYFUNCTION("""COMPUTED_VALUE"""),196.0)</f>
        <v>196</v>
      </c>
      <c r="D1419" s="12">
        <f>IFERROR(__xludf.DUMMYFUNCTION("""COMPUTED_VALUE"""),6.0)</f>
        <v>6</v>
      </c>
      <c r="E1419" s="12">
        <f>IFERROR(__xludf.DUMMYFUNCTION("""COMPUTED_VALUE"""),3.0)</f>
        <v>3</v>
      </c>
      <c r="F1419" s="12">
        <f>IFERROR(__xludf.DUMMYFUNCTION("""COMPUTED_VALUE"""),4.0)</f>
        <v>4</v>
      </c>
      <c r="G1419" s="15" t="str">
        <f>IFERROR(__xludf.DUMMYFUNCTION("""COMPUTED_VALUE"""),"Completa")</f>
        <v>Completa</v>
      </c>
      <c r="H1419" s="16" t="str">
        <f t="array" ref="H1419">_xlfn.XLOOKUP(D1419,Productos[ID_Producto],Productos[Nombre_Producto])</f>
        <v>Asado</v>
      </c>
      <c r="I1419" s="17">
        <f t="array" ref="I1419">_xlfn.XLOOKUP(D1419,Productos[ID_Producto],Productos[Precio_Unitario])</f>
        <v>28.56</v>
      </c>
      <c r="J1419" s="17">
        <f t="shared" si="1"/>
        <v>85.68</v>
      </c>
      <c r="K1419" s="16" t="str">
        <f t="array" ref="K1419">_xlfn.XLOOKUP(C1419,Clientes[ID_Cliente],Clientes[Provincia])</f>
        <v>San Luis</v>
      </c>
      <c r="L1419" s="16" t="str">
        <f t="array" ref="L1419">CONCATENATE(_xlfn.XLOOKUP(C1419,Clientes[ID_Cliente],Clientes[Provincia]),", Argentina")</f>
        <v>San Luis, Argentina</v>
      </c>
      <c r="M1419" s="20" t="str">
        <f t="array" ref="M1419">_xlfn.XLOOKUP(F1419,Metodos_De_Pago[ID_Metodo],Metodos_De_Pago[Metodo])</f>
        <v>Mercado Pago</v>
      </c>
      <c r="N1419" s="20" t="str">
        <f t="shared" si="2"/>
        <v>2024 10</v>
      </c>
    </row>
    <row r="1420" ht="22.5" customHeight="1">
      <c r="A1420" s="12">
        <f>IFERROR(__xludf.DUMMYFUNCTION("""COMPUTED_VALUE"""),978.0)</f>
        <v>978</v>
      </c>
      <c r="B1420" s="13">
        <f>IFERROR(__xludf.DUMMYFUNCTION("""COMPUTED_VALUE"""),45584.0)</f>
        <v>45584</v>
      </c>
      <c r="C1420" s="12">
        <f>IFERROR(__xludf.DUMMYFUNCTION("""COMPUTED_VALUE"""),116.0)</f>
        <v>116</v>
      </c>
      <c r="D1420" s="12">
        <f>IFERROR(__xludf.DUMMYFUNCTION("""COMPUTED_VALUE"""),19.0)</f>
        <v>19</v>
      </c>
      <c r="E1420" s="12">
        <f>IFERROR(__xludf.DUMMYFUNCTION("""COMPUTED_VALUE"""),3.0)</f>
        <v>3</v>
      </c>
      <c r="F1420" s="12">
        <f>IFERROR(__xludf.DUMMYFUNCTION("""COMPUTED_VALUE"""),5.0)</f>
        <v>5</v>
      </c>
      <c r="G1420" s="15" t="str">
        <f>IFERROR(__xludf.DUMMYFUNCTION("""COMPUTED_VALUE"""),"Completa")</f>
        <v>Completa</v>
      </c>
      <c r="H1420" s="16" t="str">
        <f t="array" ref="H1420">_xlfn.XLOOKUP(D1420,Productos[ID_Producto],Productos[Nombre_Producto])</f>
        <v>Tomates</v>
      </c>
      <c r="I1420" s="17">
        <f t="array" ref="I1420">_xlfn.XLOOKUP(D1420,Productos[ID_Producto],Productos[Precio_Unitario])</f>
        <v>6.54</v>
      </c>
      <c r="J1420" s="17">
        <f t="shared" si="1"/>
        <v>19.62</v>
      </c>
      <c r="K1420" s="16" t="str">
        <f t="array" ref="K1420">_xlfn.XLOOKUP(C1420,Clientes[ID_Cliente],Clientes[Provincia])</f>
        <v>Buenos Aires</v>
      </c>
      <c r="L1420" s="16" t="str">
        <f t="array" ref="L1420">CONCATENATE(_xlfn.XLOOKUP(C1420,Clientes[ID_Cliente],Clientes[Provincia]),", Argentina")</f>
        <v>Buenos Aires, Argentina</v>
      </c>
      <c r="M1420" s="20" t="str">
        <f t="array" ref="M1420">_xlfn.XLOOKUP(F1420,Metodos_De_Pago[ID_Metodo],Metodos_De_Pago[Metodo])</f>
        <v>Transferencia</v>
      </c>
      <c r="N1420" s="20" t="str">
        <f t="shared" si="2"/>
        <v>2024 10</v>
      </c>
    </row>
    <row r="1421" ht="22.5" customHeight="1">
      <c r="A1421" s="12">
        <f>IFERROR(__xludf.DUMMYFUNCTION("""COMPUTED_VALUE"""),1062.0)</f>
        <v>1062</v>
      </c>
      <c r="B1421" s="13">
        <f>IFERROR(__xludf.DUMMYFUNCTION("""COMPUTED_VALUE"""),45584.0)</f>
        <v>45584</v>
      </c>
      <c r="C1421" s="12">
        <f>IFERROR(__xludf.DUMMYFUNCTION("""COMPUTED_VALUE"""),141.0)</f>
        <v>141</v>
      </c>
      <c r="D1421" s="12">
        <f>IFERROR(__xludf.DUMMYFUNCTION("""COMPUTED_VALUE"""),34.0)</f>
        <v>34</v>
      </c>
      <c r="E1421" s="12">
        <f>IFERROR(__xludf.DUMMYFUNCTION("""COMPUTED_VALUE"""),3.0)</f>
        <v>3</v>
      </c>
      <c r="F1421" s="12">
        <f>IFERROR(__xludf.DUMMYFUNCTION("""COMPUTED_VALUE"""),5.0)</f>
        <v>5</v>
      </c>
      <c r="G1421" s="15" t="str">
        <f>IFERROR(__xludf.DUMMYFUNCTION("""COMPUTED_VALUE"""),"Pendiente")</f>
        <v>Pendiente</v>
      </c>
      <c r="H1421" s="16" t="str">
        <f t="array" ref="H1421">_xlfn.XLOOKUP(D1421,Productos[ID_Producto],Productos[Nombre_Producto])</f>
        <v>Maníes</v>
      </c>
      <c r="I1421" s="17">
        <f t="array" ref="I1421">_xlfn.XLOOKUP(D1421,Productos[ID_Producto],Productos[Precio_Unitario])</f>
        <v>5.45</v>
      </c>
      <c r="J1421" s="17">
        <f t="shared" si="1"/>
        <v>16.35</v>
      </c>
      <c r="K1421" s="16" t="str">
        <f t="array" ref="K1421">_xlfn.XLOOKUP(C1421,Clientes[ID_Cliente],Clientes[Provincia])</f>
        <v>Chaco</v>
      </c>
      <c r="L1421" s="16" t="str">
        <f t="array" ref="L1421">CONCATENATE(_xlfn.XLOOKUP(C1421,Clientes[ID_Cliente],Clientes[Provincia]),", Argentina")</f>
        <v>Chaco, Argentina</v>
      </c>
      <c r="M1421" s="20" t="str">
        <f t="array" ref="M1421">_xlfn.XLOOKUP(F1421,Metodos_De_Pago[ID_Metodo],Metodos_De_Pago[Metodo])</f>
        <v>Transferencia</v>
      </c>
      <c r="N1421" s="20" t="str">
        <f t="shared" si="2"/>
        <v>2024 10</v>
      </c>
    </row>
    <row r="1422" ht="22.5" customHeight="1">
      <c r="A1422" s="12">
        <f>IFERROR(__xludf.DUMMYFUNCTION("""COMPUTED_VALUE"""),1719.0)</f>
        <v>1719</v>
      </c>
      <c r="B1422" s="13">
        <f>IFERROR(__xludf.DUMMYFUNCTION("""COMPUTED_VALUE"""),45584.0)</f>
        <v>45584</v>
      </c>
      <c r="C1422" s="12">
        <f>IFERROR(__xludf.DUMMYFUNCTION("""COMPUTED_VALUE"""),1.0)</f>
        <v>1</v>
      </c>
      <c r="D1422" s="12">
        <f>IFERROR(__xludf.DUMMYFUNCTION("""COMPUTED_VALUE"""),11.0)</f>
        <v>11</v>
      </c>
      <c r="E1422" s="12">
        <f>IFERROR(__xludf.DUMMYFUNCTION("""COMPUTED_VALUE"""),3.0)</f>
        <v>3</v>
      </c>
      <c r="F1422" s="12">
        <f>IFERROR(__xludf.DUMMYFUNCTION("""COMPUTED_VALUE"""),5.0)</f>
        <v>5</v>
      </c>
      <c r="G1422" s="15" t="str">
        <f>IFERROR(__xludf.DUMMYFUNCTION("""COMPUTED_VALUE"""),"Completa")</f>
        <v>Completa</v>
      </c>
      <c r="H1422" s="16" t="str">
        <f t="array" ref="H1422">_xlfn.XLOOKUP(D1422,Productos[ID_Producto],Productos[Nombre_Producto])</f>
        <v>Salchicha</v>
      </c>
      <c r="I1422" s="17">
        <f t="array" ref="I1422">_xlfn.XLOOKUP(D1422,Productos[ID_Producto],Productos[Precio_Unitario])</f>
        <v>11.23</v>
      </c>
      <c r="J1422" s="17">
        <f t="shared" si="1"/>
        <v>33.69</v>
      </c>
      <c r="K1422" s="16" t="str">
        <f t="array" ref="K1422">_xlfn.XLOOKUP(C1422,Clientes[ID_Cliente],Clientes[Provincia])</f>
        <v>Neuquén</v>
      </c>
      <c r="L1422" s="16" t="str">
        <f t="array" ref="L1422">CONCATENATE(_xlfn.XLOOKUP(C1422,Clientes[ID_Cliente],Clientes[Provincia]),", Argentina")</f>
        <v>Neuquén, Argentina</v>
      </c>
      <c r="M1422" s="20" t="str">
        <f t="array" ref="M1422">_xlfn.XLOOKUP(F1422,Metodos_De_Pago[ID_Metodo],Metodos_De_Pago[Metodo])</f>
        <v>Transferencia</v>
      </c>
      <c r="N1422" s="20" t="str">
        <f t="shared" si="2"/>
        <v>2024 10</v>
      </c>
    </row>
    <row r="1423" ht="22.5" customHeight="1">
      <c r="A1423" s="12">
        <f>IFERROR(__xludf.DUMMYFUNCTION("""COMPUTED_VALUE"""),2371.0)</f>
        <v>2371</v>
      </c>
      <c r="B1423" s="13">
        <f>IFERROR(__xludf.DUMMYFUNCTION("""COMPUTED_VALUE"""),45584.0)</f>
        <v>45584</v>
      </c>
      <c r="C1423" s="12">
        <f>IFERROR(__xludf.DUMMYFUNCTION("""COMPUTED_VALUE"""),264.0)</f>
        <v>264</v>
      </c>
      <c r="D1423" s="12">
        <f>IFERROR(__xludf.DUMMYFUNCTION("""COMPUTED_VALUE"""),6.0)</f>
        <v>6</v>
      </c>
      <c r="E1423" s="12">
        <f>IFERROR(__xludf.DUMMYFUNCTION("""COMPUTED_VALUE"""),3.0)</f>
        <v>3</v>
      </c>
      <c r="F1423" s="12">
        <f>IFERROR(__xludf.DUMMYFUNCTION("""COMPUTED_VALUE"""),3.0)</f>
        <v>3</v>
      </c>
      <c r="G1423" s="15" t="str">
        <f>IFERROR(__xludf.DUMMYFUNCTION("""COMPUTED_VALUE"""),"Completa")</f>
        <v>Completa</v>
      </c>
      <c r="H1423" s="16" t="str">
        <f t="array" ref="H1423">_xlfn.XLOOKUP(D1423,Productos[ID_Producto],Productos[Nombre_Producto])</f>
        <v>Asado</v>
      </c>
      <c r="I1423" s="17">
        <f t="array" ref="I1423">_xlfn.XLOOKUP(D1423,Productos[ID_Producto],Productos[Precio_Unitario])</f>
        <v>28.56</v>
      </c>
      <c r="J1423" s="17">
        <f t="shared" si="1"/>
        <v>85.68</v>
      </c>
      <c r="K1423" s="16" t="str">
        <f t="array" ref="K1423">_xlfn.XLOOKUP(C1423,Clientes[ID_Cliente],Clientes[Provincia])</f>
        <v>Buenos Aires</v>
      </c>
      <c r="L1423" s="16" t="str">
        <f t="array" ref="L1423">CONCATENATE(_xlfn.XLOOKUP(C1423,Clientes[ID_Cliente],Clientes[Provincia]),", Argentina")</f>
        <v>Buenos Aires, Argentina</v>
      </c>
      <c r="M1423" s="20" t="str">
        <f t="array" ref="M1423">_xlfn.XLOOKUP(F1423,Metodos_De_Pago[ID_Metodo],Metodos_De_Pago[Metodo])</f>
        <v>Tarjeta de Débito</v>
      </c>
      <c r="N1423" s="20" t="str">
        <f t="shared" si="2"/>
        <v>2024 10</v>
      </c>
    </row>
    <row r="1424" ht="22.5" customHeight="1">
      <c r="A1424" s="12">
        <f>IFERROR(__xludf.DUMMYFUNCTION("""COMPUTED_VALUE"""),752.0)</f>
        <v>752</v>
      </c>
      <c r="B1424" s="13">
        <f>IFERROR(__xludf.DUMMYFUNCTION("""COMPUTED_VALUE"""),45585.0)</f>
        <v>45585</v>
      </c>
      <c r="C1424" s="12">
        <f>IFERROR(__xludf.DUMMYFUNCTION("""COMPUTED_VALUE"""),48.0)</f>
        <v>48</v>
      </c>
      <c r="D1424" s="12">
        <f>IFERROR(__xludf.DUMMYFUNCTION("""COMPUTED_VALUE"""),24.0)</f>
        <v>24</v>
      </c>
      <c r="E1424" s="12">
        <f>IFERROR(__xludf.DUMMYFUNCTION("""COMPUTED_VALUE"""),3.0)</f>
        <v>3</v>
      </c>
      <c r="F1424" s="12">
        <f>IFERROR(__xludf.DUMMYFUNCTION("""COMPUTED_VALUE"""),4.0)</f>
        <v>4</v>
      </c>
      <c r="G1424" s="15" t="str">
        <f>IFERROR(__xludf.DUMMYFUNCTION("""COMPUTED_VALUE"""),"Completa")</f>
        <v>Completa</v>
      </c>
      <c r="H1424" s="16" t="str">
        <f t="array" ref="H1424">_xlfn.XLOOKUP(D1424,Productos[ID_Producto],Productos[Nombre_Producto])</f>
        <v>Empanadas</v>
      </c>
      <c r="I1424" s="17">
        <f t="array" ref="I1424">_xlfn.XLOOKUP(D1424,Productos[ID_Producto],Productos[Precio_Unitario])</f>
        <v>13.54</v>
      </c>
      <c r="J1424" s="17">
        <f t="shared" si="1"/>
        <v>40.62</v>
      </c>
      <c r="K1424" s="16" t="str">
        <f t="array" ref="K1424">_xlfn.XLOOKUP(C1424,Clientes[ID_Cliente],Clientes[Provincia])</f>
        <v>Neuquén</v>
      </c>
      <c r="L1424" s="16" t="str">
        <f t="array" ref="L1424">CONCATENATE(_xlfn.XLOOKUP(C1424,Clientes[ID_Cliente],Clientes[Provincia]),", Argentina")</f>
        <v>Neuquén, Argentina</v>
      </c>
      <c r="M1424" s="20" t="str">
        <f t="array" ref="M1424">_xlfn.XLOOKUP(F1424,Metodos_De_Pago[ID_Metodo],Metodos_De_Pago[Metodo])</f>
        <v>Mercado Pago</v>
      </c>
      <c r="N1424" s="20" t="str">
        <f t="shared" si="2"/>
        <v>2024 10</v>
      </c>
    </row>
    <row r="1425" ht="22.5" customHeight="1">
      <c r="A1425" s="12">
        <f>IFERROR(__xludf.DUMMYFUNCTION("""COMPUTED_VALUE"""),1718.0)</f>
        <v>1718</v>
      </c>
      <c r="B1425" s="13">
        <f>IFERROR(__xludf.DUMMYFUNCTION("""COMPUTED_VALUE"""),45585.0)</f>
        <v>45585</v>
      </c>
      <c r="C1425" s="12">
        <f>IFERROR(__xludf.DUMMYFUNCTION("""COMPUTED_VALUE"""),224.0)</f>
        <v>224</v>
      </c>
      <c r="D1425" s="12">
        <f>IFERROR(__xludf.DUMMYFUNCTION("""COMPUTED_VALUE"""),3.0)</f>
        <v>3</v>
      </c>
      <c r="E1425" s="12">
        <f>IFERROR(__xludf.DUMMYFUNCTION("""COMPUTED_VALUE"""),3.0)</f>
        <v>3</v>
      </c>
      <c r="F1425" s="12">
        <f>IFERROR(__xludf.DUMMYFUNCTION("""COMPUTED_VALUE"""),1.0)</f>
        <v>1</v>
      </c>
      <c r="G1425" s="15" t="str">
        <f>IFERROR(__xludf.DUMMYFUNCTION("""COMPUTED_VALUE"""),"Completa")</f>
        <v>Completa</v>
      </c>
      <c r="H1425" s="16" t="str">
        <f t="array" ref="H1425">_xlfn.XLOOKUP(D1425,Productos[ID_Producto],Productos[Nombre_Producto])</f>
        <v>Queso cremoso</v>
      </c>
      <c r="I1425" s="17">
        <f t="array" ref="I1425">_xlfn.XLOOKUP(D1425,Productos[ID_Producto],Productos[Precio_Unitario])</f>
        <v>17.23</v>
      </c>
      <c r="J1425" s="17">
        <f t="shared" si="1"/>
        <v>51.69</v>
      </c>
      <c r="K1425" s="16" t="str">
        <f t="array" ref="K1425">_xlfn.XLOOKUP(C1425,Clientes[ID_Cliente],Clientes[Provincia])</f>
        <v>San Luis</v>
      </c>
      <c r="L1425" s="16" t="str">
        <f t="array" ref="L1425">CONCATENATE(_xlfn.XLOOKUP(C1425,Clientes[ID_Cliente],Clientes[Provincia]),", Argentina")</f>
        <v>San Luis, Argentina</v>
      </c>
      <c r="M1425" s="20" t="str">
        <f t="array" ref="M1425">_xlfn.XLOOKUP(F1425,Metodos_De_Pago[ID_Metodo],Metodos_De_Pago[Metodo])</f>
        <v>Efectivo</v>
      </c>
      <c r="N1425" s="20" t="str">
        <f t="shared" si="2"/>
        <v>2024 10</v>
      </c>
    </row>
    <row r="1426" ht="22.5" customHeight="1">
      <c r="A1426" s="12">
        <f>IFERROR(__xludf.DUMMYFUNCTION("""COMPUTED_VALUE"""),2279.0)</f>
        <v>2279</v>
      </c>
      <c r="B1426" s="13">
        <f>IFERROR(__xludf.DUMMYFUNCTION("""COMPUTED_VALUE"""),45587.0)</f>
        <v>45587</v>
      </c>
      <c r="C1426" s="12">
        <f>IFERROR(__xludf.DUMMYFUNCTION("""COMPUTED_VALUE"""),219.0)</f>
        <v>219</v>
      </c>
      <c r="D1426" s="12">
        <f>IFERROR(__xludf.DUMMYFUNCTION("""COMPUTED_VALUE"""),28.0)</f>
        <v>28</v>
      </c>
      <c r="E1426" s="12">
        <f>IFERROR(__xludf.DUMMYFUNCTION("""COMPUTED_VALUE"""),3.0)</f>
        <v>3</v>
      </c>
      <c r="F1426" s="12">
        <f>IFERROR(__xludf.DUMMYFUNCTION("""COMPUTED_VALUE"""),3.0)</f>
        <v>3</v>
      </c>
      <c r="G1426" s="15" t="str">
        <f>IFERROR(__xludf.DUMMYFUNCTION("""COMPUTED_VALUE"""),"Completa")</f>
        <v>Completa</v>
      </c>
      <c r="H1426" s="16" t="str">
        <f t="array" ref="H1426">_xlfn.XLOOKUP(D1426,Productos[ID_Producto],Productos[Nombre_Producto])</f>
        <v>Jugos de frutas</v>
      </c>
      <c r="I1426" s="17">
        <f t="array" ref="I1426">_xlfn.XLOOKUP(D1426,Productos[ID_Producto],Productos[Precio_Unitario])</f>
        <v>9.45</v>
      </c>
      <c r="J1426" s="17">
        <f t="shared" si="1"/>
        <v>28.35</v>
      </c>
      <c r="K1426" s="16" t="str">
        <f t="array" ref="K1426">_xlfn.XLOOKUP(C1426,Clientes[ID_Cliente],Clientes[Provincia])</f>
        <v>Neuquén</v>
      </c>
      <c r="L1426" s="16" t="str">
        <f t="array" ref="L1426">CONCATENATE(_xlfn.XLOOKUP(C1426,Clientes[ID_Cliente],Clientes[Provincia]),", Argentina")</f>
        <v>Neuquén, Argentina</v>
      </c>
      <c r="M1426" s="20" t="str">
        <f t="array" ref="M1426">_xlfn.XLOOKUP(F1426,Metodos_De_Pago[ID_Metodo],Metodos_De_Pago[Metodo])</f>
        <v>Tarjeta de Débito</v>
      </c>
      <c r="N1426" s="20" t="str">
        <f t="shared" si="2"/>
        <v>2024 10</v>
      </c>
    </row>
    <row r="1427" ht="22.5" customHeight="1">
      <c r="A1427" s="12">
        <f>IFERROR(__xludf.DUMMYFUNCTION("""COMPUTED_VALUE"""),2504.0)</f>
        <v>2504</v>
      </c>
      <c r="B1427" s="13">
        <f>IFERROR(__xludf.DUMMYFUNCTION("""COMPUTED_VALUE"""),45589.0)</f>
        <v>45589</v>
      </c>
      <c r="C1427" s="12">
        <f>IFERROR(__xludf.DUMMYFUNCTION("""COMPUTED_VALUE"""),161.0)</f>
        <v>161</v>
      </c>
      <c r="D1427" s="12">
        <f>IFERROR(__xludf.DUMMYFUNCTION("""COMPUTED_VALUE"""),22.0)</f>
        <v>22</v>
      </c>
      <c r="E1427" s="12">
        <f>IFERROR(__xludf.DUMMYFUNCTION("""COMPUTED_VALUE"""),3.0)</f>
        <v>3</v>
      </c>
      <c r="F1427" s="12">
        <f>IFERROR(__xludf.DUMMYFUNCTION("""COMPUTED_VALUE"""),1.0)</f>
        <v>1</v>
      </c>
      <c r="G1427" s="15" t="str">
        <f>IFERROR(__xludf.DUMMYFUNCTION("""COMPUTED_VALUE"""),"Completa")</f>
        <v>Completa</v>
      </c>
      <c r="H1427" s="16" t="str">
        <f t="array" ref="H1427">_xlfn.XLOOKUP(D1427,Productos[ID_Producto],Productos[Nombre_Producto])</f>
        <v>Cebolla</v>
      </c>
      <c r="I1427" s="17">
        <f t="array" ref="I1427">_xlfn.XLOOKUP(D1427,Productos[ID_Producto],Productos[Precio_Unitario])</f>
        <v>4.21</v>
      </c>
      <c r="J1427" s="17">
        <f t="shared" si="1"/>
        <v>12.63</v>
      </c>
      <c r="K1427" s="16" t="str">
        <f t="array" ref="K1427">_xlfn.XLOOKUP(C1427,Clientes[ID_Cliente],Clientes[Provincia])</f>
        <v>Neuquén</v>
      </c>
      <c r="L1427" s="16" t="str">
        <f t="array" ref="L1427">CONCATENATE(_xlfn.XLOOKUP(C1427,Clientes[ID_Cliente],Clientes[Provincia]),", Argentina")</f>
        <v>Neuquén, Argentina</v>
      </c>
      <c r="M1427" s="20" t="str">
        <f t="array" ref="M1427">_xlfn.XLOOKUP(F1427,Metodos_De_Pago[ID_Metodo],Metodos_De_Pago[Metodo])</f>
        <v>Efectivo</v>
      </c>
      <c r="N1427" s="20" t="str">
        <f t="shared" si="2"/>
        <v>2024 10</v>
      </c>
    </row>
    <row r="1428" ht="22.5" customHeight="1">
      <c r="A1428" s="12">
        <f>IFERROR(__xludf.DUMMYFUNCTION("""COMPUTED_VALUE"""),242.0)</f>
        <v>242</v>
      </c>
      <c r="B1428" s="13">
        <f>IFERROR(__xludf.DUMMYFUNCTION("""COMPUTED_VALUE"""),45590.0)</f>
        <v>45590</v>
      </c>
      <c r="C1428" s="12">
        <f>IFERROR(__xludf.DUMMYFUNCTION("""COMPUTED_VALUE"""),152.0)</f>
        <v>152</v>
      </c>
      <c r="D1428" s="12">
        <f>IFERROR(__xludf.DUMMYFUNCTION("""COMPUTED_VALUE"""),1.0)</f>
        <v>1</v>
      </c>
      <c r="E1428" s="12">
        <f>IFERROR(__xludf.DUMMYFUNCTION("""COMPUTED_VALUE"""),3.0)</f>
        <v>3</v>
      </c>
      <c r="F1428" s="12">
        <f>IFERROR(__xludf.DUMMYFUNCTION("""COMPUTED_VALUE"""),1.0)</f>
        <v>1</v>
      </c>
      <c r="G1428" s="15" t="str">
        <f>IFERROR(__xludf.DUMMYFUNCTION("""COMPUTED_VALUE"""),"Completa")</f>
        <v>Completa</v>
      </c>
      <c r="H1428" s="16" t="str">
        <f t="array" ref="H1428">_xlfn.XLOOKUP(D1428,Productos[ID_Producto],Productos[Nombre_Producto])</f>
        <v>Leche</v>
      </c>
      <c r="I1428" s="17">
        <f t="array" ref="I1428">_xlfn.XLOOKUP(D1428,Productos[ID_Producto],Productos[Precio_Unitario])</f>
        <v>12.24</v>
      </c>
      <c r="J1428" s="17">
        <f t="shared" si="1"/>
        <v>36.72</v>
      </c>
      <c r="K1428" s="16" t="str">
        <f t="array" ref="K1428">_xlfn.XLOOKUP(C1428,Clientes[ID_Cliente],Clientes[Provincia])</f>
        <v>Salta</v>
      </c>
      <c r="L1428" s="16" t="str">
        <f t="array" ref="L1428">CONCATENATE(_xlfn.XLOOKUP(C1428,Clientes[ID_Cliente],Clientes[Provincia]),", Argentina")</f>
        <v>Salta, Argentina</v>
      </c>
      <c r="M1428" s="20" t="str">
        <f t="array" ref="M1428">_xlfn.XLOOKUP(F1428,Metodos_De_Pago[ID_Metodo],Metodos_De_Pago[Metodo])</f>
        <v>Efectivo</v>
      </c>
      <c r="N1428" s="20" t="str">
        <f t="shared" si="2"/>
        <v>2024 10</v>
      </c>
    </row>
    <row r="1429" ht="22.5" customHeight="1">
      <c r="A1429" s="12">
        <f>IFERROR(__xludf.DUMMYFUNCTION("""COMPUTED_VALUE"""),613.0)</f>
        <v>613</v>
      </c>
      <c r="B1429" s="13">
        <f>IFERROR(__xludf.DUMMYFUNCTION("""COMPUTED_VALUE"""),45590.0)</f>
        <v>45590</v>
      </c>
      <c r="C1429" s="12">
        <f>IFERROR(__xludf.DUMMYFUNCTION("""COMPUTED_VALUE"""),325.0)</f>
        <v>325</v>
      </c>
      <c r="D1429" s="12">
        <f>IFERROR(__xludf.DUMMYFUNCTION("""COMPUTED_VALUE"""),27.0)</f>
        <v>27</v>
      </c>
      <c r="E1429" s="12">
        <f>IFERROR(__xludf.DUMMYFUNCTION("""COMPUTED_VALUE"""),3.0)</f>
        <v>3</v>
      </c>
      <c r="F1429" s="12">
        <f>IFERROR(__xludf.DUMMYFUNCTION("""COMPUTED_VALUE"""),4.0)</f>
        <v>4</v>
      </c>
      <c r="G1429" s="15" t="str">
        <f>IFERROR(__xludf.DUMMYFUNCTION("""COMPUTED_VALUE"""),"Completa")</f>
        <v>Completa</v>
      </c>
      <c r="H1429" s="16" t="str">
        <f t="array" ref="H1429">_xlfn.XLOOKUP(D1429,Productos[ID_Producto],Productos[Nombre_Producto])</f>
        <v>Agua mineral</v>
      </c>
      <c r="I1429" s="17">
        <f t="array" ref="I1429">_xlfn.XLOOKUP(D1429,Productos[ID_Producto],Productos[Precio_Unitario])</f>
        <v>6.21</v>
      </c>
      <c r="J1429" s="17">
        <f t="shared" si="1"/>
        <v>18.63</v>
      </c>
      <c r="K1429" s="16" t="str">
        <f t="array" ref="K1429">_xlfn.XLOOKUP(C1429,Clientes[ID_Cliente],Clientes[Provincia])</f>
        <v>Chaco</v>
      </c>
      <c r="L1429" s="16" t="str">
        <f t="array" ref="L1429">CONCATENATE(_xlfn.XLOOKUP(C1429,Clientes[ID_Cliente],Clientes[Provincia]),", Argentina")</f>
        <v>Chaco, Argentina</v>
      </c>
      <c r="M1429" s="20" t="str">
        <f t="array" ref="M1429">_xlfn.XLOOKUP(F1429,Metodos_De_Pago[ID_Metodo],Metodos_De_Pago[Metodo])</f>
        <v>Mercado Pago</v>
      </c>
      <c r="N1429" s="20" t="str">
        <f t="shared" si="2"/>
        <v>2024 10</v>
      </c>
    </row>
    <row r="1430" ht="22.5" customHeight="1">
      <c r="A1430" s="12">
        <f>IFERROR(__xludf.DUMMYFUNCTION("""COMPUTED_VALUE"""),1327.0)</f>
        <v>1327</v>
      </c>
      <c r="B1430" s="13">
        <f>IFERROR(__xludf.DUMMYFUNCTION("""COMPUTED_VALUE"""),45591.0)</f>
        <v>45591</v>
      </c>
      <c r="C1430" s="12">
        <f>IFERROR(__xludf.DUMMYFUNCTION("""COMPUTED_VALUE"""),205.0)</f>
        <v>205</v>
      </c>
      <c r="D1430" s="12">
        <f>IFERROR(__xludf.DUMMYFUNCTION("""COMPUTED_VALUE"""),23.0)</f>
        <v>23</v>
      </c>
      <c r="E1430" s="12">
        <f>IFERROR(__xludf.DUMMYFUNCTION("""COMPUTED_VALUE"""),3.0)</f>
        <v>3</v>
      </c>
      <c r="F1430" s="12">
        <f>IFERROR(__xludf.DUMMYFUNCTION("""COMPUTED_VALUE"""),2.0)</f>
        <v>2</v>
      </c>
      <c r="G1430" s="15" t="str">
        <f>IFERROR(__xludf.DUMMYFUNCTION("""COMPUTED_VALUE"""),"Pendiente")</f>
        <v>Pendiente</v>
      </c>
      <c r="H1430" s="16" t="str">
        <f t="array" ref="H1430">_xlfn.XLOOKUP(D1430,Productos[ID_Producto],Productos[Nombre_Producto])</f>
        <v>Papas fritas</v>
      </c>
      <c r="I1430" s="17">
        <f t="array" ref="I1430">_xlfn.XLOOKUP(D1430,Productos[ID_Producto],Productos[Precio_Unitario])</f>
        <v>8.23</v>
      </c>
      <c r="J1430" s="17">
        <f t="shared" si="1"/>
        <v>24.69</v>
      </c>
      <c r="K1430" s="16" t="str">
        <f t="array" ref="K1430">_xlfn.XLOOKUP(C1430,Clientes[ID_Cliente],Clientes[Provincia])</f>
        <v>Neuquén</v>
      </c>
      <c r="L1430" s="16" t="str">
        <f t="array" ref="L1430">CONCATENATE(_xlfn.XLOOKUP(C1430,Clientes[ID_Cliente],Clientes[Provincia]),", Argentina")</f>
        <v>Neuquén, Argentina</v>
      </c>
      <c r="M1430" s="20" t="str">
        <f t="array" ref="M1430">_xlfn.XLOOKUP(F1430,Metodos_De_Pago[ID_Metodo],Metodos_De_Pago[Metodo])</f>
        <v>Tarjeta de Crédito</v>
      </c>
      <c r="N1430" s="20" t="str">
        <f t="shared" si="2"/>
        <v>2024 10</v>
      </c>
    </row>
    <row r="1431" ht="22.5" customHeight="1">
      <c r="A1431" s="12">
        <f>IFERROR(__xludf.DUMMYFUNCTION("""COMPUTED_VALUE"""),314.0)</f>
        <v>314</v>
      </c>
      <c r="B1431" s="13">
        <f>IFERROR(__xludf.DUMMYFUNCTION("""COMPUTED_VALUE"""),45592.0)</f>
        <v>45592</v>
      </c>
      <c r="C1431" s="12">
        <f>IFERROR(__xludf.DUMMYFUNCTION("""COMPUTED_VALUE"""),122.0)</f>
        <v>122</v>
      </c>
      <c r="D1431" s="12">
        <f>IFERROR(__xludf.DUMMYFUNCTION("""COMPUTED_VALUE"""),8.0)</f>
        <v>8</v>
      </c>
      <c r="E1431" s="12">
        <f>IFERROR(__xludf.DUMMYFUNCTION("""COMPUTED_VALUE"""),3.0)</f>
        <v>3</v>
      </c>
      <c r="F1431" s="12">
        <f>IFERROR(__xludf.DUMMYFUNCTION("""COMPUTED_VALUE"""),4.0)</f>
        <v>4</v>
      </c>
      <c r="G1431" s="15" t="str">
        <f>IFERROR(__xludf.DUMMYFUNCTION("""COMPUTED_VALUE"""),"Completa")</f>
        <v>Completa</v>
      </c>
      <c r="H1431" s="16" t="str">
        <f t="array" ref="H1431">_xlfn.XLOOKUP(D1431,Productos[ID_Producto],Productos[Nombre_Producto])</f>
        <v>Milanesa</v>
      </c>
      <c r="I1431" s="17">
        <f t="array" ref="I1431">_xlfn.XLOOKUP(D1431,Productos[ID_Producto],Productos[Precio_Unitario])</f>
        <v>16.21</v>
      </c>
      <c r="J1431" s="17">
        <f t="shared" si="1"/>
        <v>48.63</v>
      </c>
      <c r="K1431" s="16" t="str">
        <f t="array" ref="K1431">_xlfn.XLOOKUP(C1431,Clientes[ID_Cliente],Clientes[Provincia])</f>
        <v>Córdoba</v>
      </c>
      <c r="L1431" s="16" t="str">
        <f t="array" ref="L1431">CONCATENATE(_xlfn.XLOOKUP(C1431,Clientes[ID_Cliente],Clientes[Provincia]),", Argentina")</f>
        <v>Córdoba, Argentina</v>
      </c>
      <c r="M1431" s="20" t="str">
        <f t="array" ref="M1431">_xlfn.XLOOKUP(F1431,Metodos_De_Pago[ID_Metodo],Metodos_De_Pago[Metodo])</f>
        <v>Mercado Pago</v>
      </c>
      <c r="N1431" s="20" t="str">
        <f t="shared" si="2"/>
        <v>2024 10</v>
      </c>
    </row>
    <row r="1432" ht="22.5" customHeight="1">
      <c r="A1432" s="12">
        <f>IFERROR(__xludf.DUMMYFUNCTION("""COMPUTED_VALUE"""),2866.0)</f>
        <v>2866</v>
      </c>
      <c r="B1432" s="13">
        <f>IFERROR(__xludf.DUMMYFUNCTION("""COMPUTED_VALUE"""),45593.0)</f>
        <v>45593</v>
      </c>
      <c r="C1432" s="12">
        <f>IFERROR(__xludf.DUMMYFUNCTION("""COMPUTED_VALUE"""),6.0)</f>
        <v>6</v>
      </c>
      <c r="D1432" s="12">
        <f>IFERROR(__xludf.DUMMYFUNCTION("""COMPUTED_VALUE"""),2.0)</f>
        <v>2</v>
      </c>
      <c r="E1432" s="12">
        <f>IFERROR(__xludf.DUMMYFUNCTION("""COMPUTED_VALUE"""),3.0)</f>
        <v>3</v>
      </c>
      <c r="F1432" s="12">
        <f>IFERROR(__xludf.DUMMYFUNCTION("""COMPUTED_VALUE"""),5.0)</f>
        <v>5</v>
      </c>
      <c r="G1432" s="15" t="str">
        <f>IFERROR(__xludf.DUMMYFUNCTION("""COMPUTED_VALUE"""),"Completa")</f>
        <v>Completa</v>
      </c>
      <c r="H1432" s="16" t="str">
        <f t="array" ref="H1432">_xlfn.XLOOKUP(D1432,Productos[ID_Producto],Productos[Nombre_Producto])</f>
        <v>Yogur</v>
      </c>
      <c r="I1432" s="17">
        <f t="array" ref="I1432">_xlfn.XLOOKUP(D1432,Productos[ID_Producto],Productos[Precio_Unitario])</f>
        <v>5.21</v>
      </c>
      <c r="J1432" s="17">
        <f t="shared" si="1"/>
        <v>15.63</v>
      </c>
      <c r="K1432" s="16" t="str">
        <f t="array" ref="K1432">_xlfn.XLOOKUP(C1432,Clientes[ID_Cliente],Clientes[Provincia])</f>
        <v>Buenos Aires</v>
      </c>
      <c r="L1432" s="16" t="str">
        <f t="array" ref="L1432">CONCATENATE(_xlfn.XLOOKUP(C1432,Clientes[ID_Cliente],Clientes[Provincia]),", Argentina")</f>
        <v>Buenos Aires, Argentina</v>
      </c>
      <c r="M1432" s="20" t="str">
        <f t="array" ref="M1432">_xlfn.XLOOKUP(F1432,Metodos_De_Pago[ID_Metodo],Metodos_De_Pago[Metodo])</f>
        <v>Transferencia</v>
      </c>
      <c r="N1432" s="20" t="str">
        <f t="shared" si="2"/>
        <v>2024 10</v>
      </c>
    </row>
    <row r="1433" ht="22.5" customHeight="1">
      <c r="A1433" s="12">
        <f>IFERROR(__xludf.DUMMYFUNCTION("""COMPUTED_VALUE"""),2897.0)</f>
        <v>2897</v>
      </c>
      <c r="B1433" s="13">
        <f>IFERROR(__xludf.DUMMYFUNCTION("""COMPUTED_VALUE"""),45593.0)</f>
        <v>45593</v>
      </c>
      <c r="C1433" s="12">
        <f>IFERROR(__xludf.DUMMYFUNCTION("""COMPUTED_VALUE"""),36.0)</f>
        <v>36</v>
      </c>
      <c r="D1433" s="12">
        <f>IFERROR(__xludf.DUMMYFUNCTION("""COMPUTED_VALUE"""),3.0)</f>
        <v>3</v>
      </c>
      <c r="E1433" s="12">
        <f>IFERROR(__xludf.DUMMYFUNCTION("""COMPUTED_VALUE"""),3.0)</f>
        <v>3</v>
      </c>
      <c r="F1433" s="12">
        <f>IFERROR(__xludf.DUMMYFUNCTION("""COMPUTED_VALUE"""),4.0)</f>
        <v>4</v>
      </c>
      <c r="G1433" s="15" t="str">
        <f>IFERROR(__xludf.DUMMYFUNCTION("""COMPUTED_VALUE"""),"Completa")</f>
        <v>Completa</v>
      </c>
      <c r="H1433" s="16" t="str">
        <f t="array" ref="H1433">_xlfn.XLOOKUP(D1433,Productos[ID_Producto],Productos[Nombre_Producto])</f>
        <v>Queso cremoso</v>
      </c>
      <c r="I1433" s="17">
        <f t="array" ref="I1433">_xlfn.XLOOKUP(D1433,Productos[ID_Producto],Productos[Precio_Unitario])</f>
        <v>17.23</v>
      </c>
      <c r="J1433" s="17">
        <f t="shared" si="1"/>
        <v>51.69</v>
      </c>
      <c r="K1433" s="16" t="str">
        <f t="array" ref="K1433">_xlfn.XLOOKUP(C1433,Clientes[ID_Cliente],Clientes[Provincia])</f>
        <v>Buenos Aires</v>
      </c>
      <c r="L1433" s="16" t="str">
        <f t="array" ref="L1433">CONCATENATE(_xlfn.XLOOKUP(C1433,Clientes[ID_Cliente],Clientes[Provincia]),", Argentina")</f>
        <v>Buenos Aires, Argentina</v>
      </c>
      <c r="M1433" s="20" t="str">
        <f t="array" ref="M1433">_xlfn.XLOOKUP(F1433,Metodos_De_Pago[ID_Metodo],Metodos_De_Pago[Metodo])</f>
        <v>Mercado Pago</v>
      </c>
      <c r="N1433" s="20" t="str">
        <f t="shared" si="2"/>
        <v>2024 10</v>
      </c>
    </row>
    <row r="1434" ht="22.5" customHeight="1">
      <c r="A1434" s="12">
        <f>IFERROR(__xludf.DUMMYFUNCTION("""COMPUTED_VALUE"""),668.0)</f>
        <v>668</v>
      </c>
      <c r="B1434" s="13">
        <f>IFERROR(__xludf.DUMMYFUNCTION("""COMPUTED_VALUE"""),45594.0)</f>
        <v>45594</v>
      </c>
      <c r="C1434" s="12">
        <f>IFERROR(__xludf.DUMMYFUNCTION("""COMPUTED_VALUE"""),160.0)</f>
        <v>160</v>
      </c>
      <c r="D1434" s="12">
        <f>IFERROR(__xludf.DUMMYFUNCTION("""COMPUTED_VALUE"""),9.0)</f>
        <v>9</v>
      </c>
      <c r="E1434" s="12">
        <f>IFERROR(__xludf.DUMMYFUNCTION("""COMPUTED_VALUE"""),3.0)</f>
        <v>3</v>
      </c>
      <c r="F1434" s="12">
        <f>IFERROR(__xludf.DUMMYFUNCTION("""COMPUTED_VALUE"""),5.0)</f>
        <v>5</v>
      </c>
      <c r="G1434" s="15" t="str">
        <f>IFERROR(__xludf.DUMMYFUNCTION("""COMPUTED_VALUE"""),"Completa")</f>
        <v>Completa</v>
      </c>
      <c r="H1434" s="16" t="str">
        <f t="array" ref="H1434">_xlfn.XLOOKUP(D1434,Productos[ID_Producto],Productos[Nombre_Producto])</f>
        <v>Pollo</v>
      </c>
      <c r="I1434" s="17">
        <f t="array" ref="I1434">_xlfn.XLOOKUP(D1434,Productos[ID_Producto],Productos[Precio_Unitario])</f>
        <v>18.56</v>
      </c>
      <c r="J1434" s="17">
        <f t="shared" si="1"/>
        <v>55.68</v>
      </c>
      <c r="K1434" s="16" t="str">
        <f t="array" ref="K1434">_xlfn.XLOOKUP(C1434,Clientes[ID_Cliente],Clientes[Provincia])</f>
        <v>Córdoba</v>
      </c>
      <c r="L1434" s="16" t="str">
        <f t="array" ref="L1434">CONCATENATE(_xlfn.XLOOKUP(C1434,Clientes[ID_Cliente],Clientes[Provincia]),", Argentina")</f>
        <v>Córdoba, Argentina</v>
      </c>
      <c r="M1434" s="20" t="str">
        <f t="array" ref="M1434">_xlfn.XLOOKUP(F1434,Metodos_De_Pago[ID_Metodo],Metodos_De_Pago[Metodo])</f>
        <v>Transferencia</v>
      </c>
      <c r="N1434" s="20" t="str">
        <f t="shared" si="2"/>
        <v>2024 10</v>
      </c>
    </row>
    <row r="1435" ht="22.5" customHeight="1">
      <c r="A1435" s="12">
        <f>IFERROR(__xludf.DUMMYFUNCTION("""COMPUTED_VALUE"""),1882.0)</f>
        <v>1882</v>
      </c>
      <c r="B1435" s="13">
        <f>IFERROR(__xludf.DUMMYFUNCTION("""COMPUTED_VALUE"""),45594.0)</f>
        <v>45594</v>
      </c>
      <c r="C1435" s="12">
        <f>IFERROR(__xludf.DUMMYFUNCTION("""COMPUTED_VALUE"""),7.0)</f>
        <v>7</v>
      </c>
      <c r="D1435" s="12">
        <f>IFERROR(__xludf.DUMMYFUNCTION("""COMPUTED_VALUE"""),32.0)</f>
        <v>32</v>
      </c>
      <c r="E1435" s="12">
        <f>IFERROR(__xludf.DUMMYFUNCTION("""COMPUTED_VALUE"""),3.0)</f>
        <v>3</v>
      </c>
      <c r="F1435" s="12">
        <f>IFERROR(__xludf.DUMMYFUNCTION("""COMPUTED_VALUE"""),4.0)</f>
        <v>4</v>
      </c>
      <c r="G1435" s="15" t="str">
        <f>IFERROR(__xludf.DUMMYFUNCTION("""COMPUTED_VALUE"""),"Completa")</f>
        <v>Completa</v>
      </c>
      <c r="H1435" s="16" t="str">
        <f t="array" ref="H1435">_xlfn.XLOOKUP(D1435,Productos[ID_Producto],Productos[Nombre_Producto])</f>
        <v>Galletitas de chocolate</v>
      </c>
      <c r="I1435" s="17">
        <f t="array" ref="I1435">_xlfn.XLOOKUP(D1435,Productos[ID_Producto],Productos[Precio_Unitario])</f>
        <v>6.25</v>
      </c>
      <c r="J1435" s="17">
        <f t="shared" si="1"/>
        <v>18.75</v>
      </c>
      <c r="K1435" s="16" t="str">
        <f t="array" ref="K1435">_xlfn.XLOOKUP(C1435,Clientes[ID_Cliente],Clientes[Provincia])</f>
        <v>San Luis</v>
      </c>
      <c r="L1435" s="16" t="str">
        <f t="array" ref="L1435">CONCATENATE(_xlfn.XLOOKUP(C1435,Clientes[ID_Cliente],Clientes[Provincia]),", Argentina")</f>
        <v>San Luis, Argentina</v>
      </c>
      <c r="M1435" s="20" t="str">
        <f t="array" ref="M1435">_xlfn.XLOOKUP(F1435,Metodos_De_Pago[ID_Metodo],Metodos_De_Pago[Metodo])</f>
        <v>Mercado Pago</v>
      </c>
      <c r="N1435" s="20" t="str">
        <f t="shared" si="2"/>
        <v>2024 10</v>
      </c>
    </row>
    <row r="1436" ht="22.5" customHeight="1">
      <c r="A1436" s="12">
        <f>IFERROR(__xludf.DUMMYFUNCTION("""COMPUTED_VALUE"""),2242.0)</f>
        <v>2242</v>
      </c>
      <c r="B1436" s="13">
        <f>IFERROR(__xludf.DUMMYFUNCTION("""COMPUTED_VALUE"""),45594.0)</f>
        <v>45594</v>
      </c>
      <c r="C1436" s="12">
        <f>IFERROR(__xludf.DUMMYFUNCTION("""COMPUTED_VALUE"""),134.0)</f>
        <v>134</v>
      </c>
      <c r="D1436" s="12">
        <f>IFERROR(__xludf.DUMMYFUNCTION("""COMPUTED_VALUE"""),12.0)</f>
        <v>12</v>
      </c>
      <c r="E1436" s="12">
        <f>IFERROR(__xludf.DUMMYFUNCTION("""COMPUTED_VALUE"""),3.0)</f>
        <v>3</v>
      </c>
      <c r="F1436" s="12">
        <f>IFERROR(__xludf.DUMMYFUNCTION("""COMPUTED_VALUE"""),4.0)</f>
        <v>4</v>
      </c>
      <c r="G1436" s="15" t="str">
        <f>IFERROR(__xludf.DUMMYFUNCTION("""COMPUTED_VALUE"""),"Pendiente")</f>
        <v>Pendiente</v>
      </c>
      <c r="H1436" s="16" t="str">
        <f t="array" ref="H1436">_xlfn.XLOOKUP(D1436,Productos[ID_Producto],Productos[Nombre_Producto])</f>
        <v>Pan francés</v>
      </c>
      <c r="I1436" s="17">
        <f t="array" ref="I1436">_xlfn.XLOOKUP(D1436,Productos[ID_Producto],Productos[Precio_Unitario])</f>
        <v>8.12</v>
      </c>
      <c r="J1436" s="17">
        <f t="shared" si="1"/>
        <v>24.36</v>
      </c>
      <c r="K1436" s="16" t="str">
        <f t="array" ref="K1436">_xlfn.XLOOKUP(C1436,Clientes[ID_Cliente],Clientes[Provincia])</f>
        <v>San Luis</v>
      </c>
      <c r="L1436" s="16" t="str">
        <f t="array" ref="L1436">CONCATENATE(_xlfn.XLOOKUP(C1436,Clientes[ID_Cliente],Clientes[Provincia]),", Argentina")</f>
        <v>San Luis, Argentina</v>
      </c>
      <c r="M1436" s="20" t="str">
        <f t="array" ref="M1436">_xlfn.XLOOKUP(F1436,Metodos_De_Pago[ID_Metodo],Metodos_De_Pago[Metodo])</f>
        <v>Mercado Pago</v>
      </c>
      <c r="N1436" s="20" t="str">
        <f t="shared" si="2"/>
        <v>2024 10</v>
      </c>
    </row>
    <row r="1437" ht="22.5" customHeight="1">
      <c r="A1437" s="12">
        <f>IFERROR(__xludf.DUMMYFUNCTION("""COMPUTED_VALUE"""),2383.0)</f>
        <v>2383</v>
      </c>
      <c r="B1437" s="13">
        <f>IFERROR(__xludf.DUMMYFUNCTION("""COMPUTED_VALUE"""),45595.0)</f>
        <v>45595</v>
      </c>
      <c r="C1437" s="12">
        <f>IFERROR(__xludf.DUMMYFUNCTION("""COMPUTED_VALUE"""),237.0)</f>
        <v>237</v>
      </c>
      <c r="D1437" s="12">
        <f>IFERROR(__xludf.DUMMYFUNCTION("""COMPUTED_VALUE"""),14.0)</f>
        <v>14</v>
      </c>
      <c r="E1437" s="12">
        <f>IFERROR(__xludf.DUMMYFUNCTION("""COMPUTED_VALUE"""),3.0)</f>
        <v>3</v>
      </c>
      <c r="F1437" s="12">
        <f>IFERROR(__xludf.DUMMYFUNCTION("""COMPUTED_VALUE"""),4.0)</f>
        <v>4</v>
      </c>
      <c r="G1437" s="15" t="str">
        <f>IFERROR(__xludf.DUMMYFUNCTION("""COMPUTED_VALUE"""),"Completa")</f>
        <v>Completa</v>
      </c>
      <c r="H1437" s="16" t="str">
        <f t="array" ref="H1437">_xlfn.XLOOKUP(D1437,Productos[ID_Producto],Productos[Nombre_Producto])</f>
        <v>Facturas</v>
      </c>
      <c r="I1437" s="17">
        <f t="array" ref="I1437">_xlfn.XLOOKUP(D1437,Productos[ID_Producto],Productos[Precio_Unitario])</f>
        <v>12.36</v>
      </c>
      <c r="J1437" s="17">
        <f t="shared" si="1"/>
        <v>37.08</v>
      </c>
      <c r="K1437" s="16" t="str">
        <f t="array" ref="K1437">_xlfn.XLOOKUP(C1437,Clientes[ID_Cliente],Clientes[Provincia])</f>
        <v>Buenos Aires</v>
      </c>
      <c r="L1437" s="16" t="str">
        <f t="array" ref="L1437">CONCATENATE(_xlfn.XLOOKUP(C1437,Clientes[ID_Cliente],Clientes[Provincia]),", Argentina")</f>
        <v>Buenos Aires, Argentina</v>
      </c>
      <c r="M1437" s="20" t="str">
        <f t="array" ref="M1437">_xlfn.XLOOKUP(F1437,Metodos_De_Pago[ID_Metodo],Metodos_De_Pago[Metodo])</f>
        <v>Mercado Pago</v>
      </c>
      <c r="N1437" s="20" t="str">
        <f t="shared" si="2"/>
        <v>2024 10</v>
      </c>
    </row>
    <row r="1438" ht="22.5" customHeight="1">
      <c r="A1438" s="12">
        <f>IFERROR(__xludf.DUMMYFUNCTION("""COMPUTED_VALUE"""),1510.0)</f>
        <v>1510</v>
      </c>
      <c r="B1438" s="13">
        <f>IFERROR(__xludf.DUMMYFUNCTION("""COMPUTED_VALUE"""),45597.0)</f>
        <v>45597</v>
      </c>
      <c r="C1438" s="12">
        <f>IFERROR(__xludf.DUMMYFUNCTION("""COMPUTED_VALUE"""),34.0)</f>
        <v>34</v>
      </c>
      <c r="D1438" s="12">
        <f>IFERROR(__xludf.DUMMYFUNCTION("""COMPUTED_VALUE"""),1.0)</f>
        <v>1</v>
      </c>
      <c r="E1438" s="12">
        <f>IFERROR(__xludf.DUMMYFUNCTION("""COMPUTED_VALUE"""),3.0)</f>
        <v>3</v>
      </c>
      <c r="F1438" s="12">
        <f>IFERROR(__xludf.DUMMYFUNCTION("""COMPUTED_VALUE"""),2.0)</f>
        <v>2</v>
      </c>
      <c r="G1438" s="15" t="str">
        <f>IFERROR(__xludf.DUMMYFUNCTION("""COMPUTED_VALUE"""),"Completa")</f>
        <v>Completa</v>
      </c>
      <c r="H1438" s="16" t="str">
        <f t="array" ref="H1438">_xlfn.XLOOKUP(D1438,Productos[ID_Producto],Productos[Nombre_Producto])</f>
        <v>Leche</v>
      </c>
      <c r="I1438" s="17">
        <f t="array" ref="I1438">_xlfn.XLOOKUP(D1438,Productos[ID_Producto],Productos[Precio_Unitario])</f>
        <v>12.24</v>
      </c>
      <c r="J1438" s="17">
        <f t="shared" si="1"/>
        <v>36.72</v>
      </c>
      <c r="K1438" s="16" t="str">
        <f t="array" ref="K1438">_xlfn.XLOOKUP(C1438,Clientes[ID_Cliente],Clientes[Provincia])</f>
        <v>San Luis</v>
      </c>
      <c r="L1438" s="16" t="str">
        <f t="array" ref="L1438">CONCATENATE(_xlfn.XLOOKUP(C1438,Clientes[ID_Cliente],Clientes[Provincia]),", Argentina")</f>
        <v>San Luis, Argentina</v>
      </c>
      <c r="M1438" s="20" t="str">
        <f t="array" ref="M1438">_xlfn.XLOOKUP(F1438,Metodos_De_Pago[ID_Metodo],Metodos_De_Pago[Metodo])</f>
        <v>Tarjeta de Crédito</v>
      </c>
      <c r="N1438" s="20" t="str">
        <f t="shared" si="2"/>
        <v>2024 11</v>
      </c>
    </row>
    <row r="1439" ht="22.5" customHeight="1">
      <c r="A1439" s="12">
        <f>IFERROR(__xludf.DUMMYFUNCTION("""COMPUTED_VALUE"""),1978.0)</f>
        <v>1978</v>
      </c>
      <c r="B1439" s="13">
        <f>IFERROR(__xludf.DUMMYFUNCTION("""COMPUTED_VALUE"""),45597.0)</f>
        <v>45597</v>
      </c>
      <c r="C1439" s="12">
        <f>IFERROR(__xludf.DUMMYFUNCTION("""COMPUTED_VALUE"""),210.0)</f>
        <v>210</v>
      </c>
      <c r="D1439" s="12">
        <f>IFERROR(__xludf.DUMMYFUNCTION("""COMPUTED_VALUE"""),21.0)</f>
        <v>21</v>
      </c>
      <c r="E1439" s="12">
        <f>IFERROR(__xludf.DUMMYFUNCTION("""COMPUTED_VALUE"""),3.0)</f>
        <v>3</v>
      </c>
      <c r="F1439" s="12">
        <f>IFERROR(__xludf.DUMMYFUNCTION("""COMPUTED_VALUE"""),4.0)</f>
        <v>4</v>
      </c>
      <c r="G1439" s="15" t="str">
        <f>IFERROR(__xludf.DUMMYFUNCTION("""COMPUTED_VALUE"""),"Completa")</f>
        <v>Completa</v>
      </c>
      <c r="H1439" s="16" t="str">
        <f t="array" ref="H1439">_xlfn.XLOOKUP(D1439,Productos[ID_Producto],Productos[Nombre_Producto])</f>
        <v>Zanahorias</v>
      </c>
      <c r="I1439" s="17">
        <f t="array" ref="I1439">_xlfn.XLOOKUP(D1439,Productos[ID_Producto],Productos[Precio_Unitario])</f>
        <v>3.25</v>
      </c>
      <c r="J1439" s="17">
        <f t="shared" si="1"/>
        <v>9.75</v>
      </c>
      <c r="K1439" s="16" t="str">
        <f t="array" ref="K1439">_xlfn.XLOOKUP(C1439,Clientes[ID_Cliente],Clientes[Provincia])</f>
        <v>Córdoba</v>
      </c>
      <c r="L1439" s="16" t="str">
        <f t="array" ref="L1439">CONCATENATE(_xlfn.XLOOKUP(C1439,Clientes[ID_Cliente],Clientes[Provincia]),", Argentina")</f>
        <v>Córdoba, Argentina</v>
      </c>
      <c r="M1439" s="20" t="str">
        <f t="array" ref="M1439">_xlfn.XLOOKUP(F1439,Metodos_De_Pago[ID_Metodo],Metodos_De_Pago[Metodo])</f>
        <v>Mercado Pago</v>
      </c>
      <c r="N1439" s="20" t="str">
        <f t="shared" si="2"/>
        <v>2024 11</v>
      </c>
    </row>
    <row r="1440" ht="22.5" customHeight="1">
      <c r="A1440" s="12">
        <f>IFERROR(__xludf.DUMMYFUNCTION("""COMPUTED_VALUE"""),2987.0)</f>
        <v>2987</v>
      </c>
      <c r="B1440" s="13">
        <f>IFERROR(__xludf.DUMMYFUNCTION("""COMPUTED_VALUE"""),45598.0)</f>
        <v>45598</v>
      </c>
      <c r="C1440" s="12">
        <f>IFERROR(__xludf.DUMMYFUNCTION("""COMPUTED_VALUE"""),2.0)</f>
        <v>2</v>
      </c>
      <c r="D1440" s="12">
        <f>IFERROR(__xludf.DUMMYFUNCTION("""COMPUTED_VALUE"""),12.0)</f>
        <v>12</v>
      </c>
      <c r="E1440" s="12">
        <f>IFERROR(__xludf.DUMMYFUNCTION("""COMPUTED_VALUE"""),3.0)</f>
        <v>3</v>
      </c>
      <c r="F1440" s="12">
        <f>IFERROR(__xludf.DUMMYFUNCTION("""COMPUTED_VALUE"""),5.0)</f>
        <v>5</v>
      </c>
      <c r="G1440" s="15" t="str">
        <f>IFERROR(__xludf.DUMMYFUNCTION("""COMPUTED_VALUE"""),"Completa")</f>
        <v>Completa</v>
      </c>
      <c r="H1440" s="16" t="str">
        <f t="array" ref="H1440">_xlfn.XLOOKUP(D1440,Productos[ID_Producto],Productos[Nombre_Producto])</f>
        <v>Pan francés</v>
      </c>
      <c r="I1440" s="17">
        <f t="array" ref="I1440">_xlfn.XLOOKUP(D1440,Productos[ID_Producto],Productos[Precio_Unitario])</f>
        <v>8.12</v>
      </c>
      <c r="J1440" s="17">
        <f t="shared" si="1"/>
        <v>24.36</v>
      </c>
      <c r="K1440" s="16" t="str">
        <f t="array" ref="K1440">_xlfn.XLOOKUP(C1440,Clientes[ID_Cliente],Clientes[Provincia])</f>
        <v>Neuquén</v>
      </c>
      <c r="L1440" s="16" t="str">
        <f t="array" ref="L1440">CONCATENATE(_xlfn.XLOOKUP(C1440,Clientes[ID_Cliente],Clientes[Provincia]),", Argentina")</f>
        <v>Neuquén, Argentina</v>
      </c>
      <c r="M1440" s="20" t="str">
        <f t="array" ref="M1440">_xlfn.XLOOKUP(F1440,Metodos_De_Pago[ID_Metodo],Metodos_De_Pago[Metodo])</f>
        <v>Transferencia</v>
      </c>
      <c r="N1440" s="20" t="str">
        <f t="shared" si="2"/>
        <v>2024 11</v>
      </c>
    </row>
    <row r="1441" ht="22.5" customHeight="1">
      <c r="A1441" s="12">
        <f>IFERROR(__xludf.DUMMYFUNCTION("""COMPUTED_VALUE"""),2753.0)</f>
        <v>2753</v>
      </c>
      <c r="B1441" s="13">
        <f>IFERROR(__xludf.DUMMYFUNCTION("""COMPUTED_VALUE"""),45599.0)</f>
        <v>45599</v>
      </c>
      <c r="C1441" s="12">
        <f>IFERROR(__xludf.DUMMYFUNCTION("""COMPUTED_VALUE"""),319.0)</f>
        <v>319</v>
      </c>
      <c r="D1441" s="12">
        <f>IFERROR(__xludf.DUMMYFUNCTION("""COMPUTED_VALUE"""),5.0)</f>
        <v>5</v>
      </c>
      <c r="E1441" s="12">
        <f>IFERROR(__xludf.DUMMYFUNCTION("""COMPUTED_VALUE"""),3.0)</f>
        <v>3</v>
      </c>
      <c r="F1441" s="12">
        <f>IFERROR(__xludf.DUMMYFUNCTION("""COMPUTED_VALUE"""),4.0)</f>
        <v>4</v>
      </c>
      <c r="G1441" s="15" t="str">
        <f>IFERROR(__xludf.DUMMYFUNCTION("""COMPUTED_VALUE"""),"Completa")</f>
        <v>Completa</v>
      </c>
      <c r="H1441" s="16" t="str">
        <f t="array" ref="H1441">_xlfn.XLOOKUP(D1441,Productos[ID_Producto],Productos[Nombre_Producto])</f>
        <v>Manteca</v>
      </c>
      <c r="I1441" s="17">
        <f t="array" ref="I1441">_xlfn.XLOOKUP(D1441,Productos[ID_Producto],Productos[Precio_Unitario])</f>
        <v>5.65</v>
      </c>
      <c r="J1441" s="17">
        <f t="shared" si="1"/>
        <v>16.95</v>
      </c>
      <c r="K1441" s="16" t="str">
        <f t="array" ref="K1441">_xlfn.XLOOKUP(C1441,Clientes[ID_Cliente],Clientes[Provincia])</f>
        <v>Neuquén</v>
      </c>
      <c r="L1441" s="16" t="str">
        <f t="array" ref="L1441">CONCATENATE(_xlfn.XLOOKUP(C1441,Clientes[ID_Cliente],Clientes[Provincia]),", Argentina")</f>
        <v>Neuquén, Argentina</v>
      </c>
      <c r="M1441" s="20" t="str">
        <f t="array" ref="M1441">_xlfn.XLOOKUP(F1441,Metodos_De_Pago[ID_Metodo],Metodos_De_Pago[Metodo])</f>
        <v>Mercado Pago</v>
      </c>
      <c r="N1441" s="20" t="str">
        <f t="shared" si="2"/>
        <v>2024 11</v>
      </c>
    </row>
    <row r="1442" ht="22.5" customHeight="1">
      <c r="A1442" s="12">
        <f>IFERROR(__xludf.DUMMYFUNCTION("""COMPUTED_VALUE"""),544.0)</f>
        <v>544</v>
      </c>
      <c r="B1442" s="13">
        <f>IFERROR(__xludf.DUMMYFUNCTION("""COMPUTED_VALUE"""),45600.0)</f>
        <v>45600</v>
      </c>
      <c r="C1442" s="12">
        <f>IFERROR(__xludf.DUMMYFUNCTION("""COMPUTED_VALUE"""),252.0)</f>
        <v>252</v>
      </c>
      <c r="D1442" s="12">
        <f>IFERROR(__xludf.DUMMYFUNCTION("""COMPUTED_VALUE"""),26.0)</f>
        <v>26</v>
      </c>
      <c r="E1442" s="12">
        <f>IFERROR(__xludf.DUMMYFUNCTION("""COMPUTED_VALUE"""),3.0)</f>
        <v>3</v>
      </c>
      <c r="F1442" s="12">
        <f>IFERROR(__xludf.DUMMYFUNCTION("""COMPUTED_VALUE"""),4.0)</f>
        <v>4</v>
      </c>
      <c r="G1442" s="15" t="str">
        <f>IFERROR(__xludf.DUMMYFUNCTION("""COMPUTED_VALUE"""),"Completa")</f>
        <v>Completa</v>
      </c>
      <c r="H1442" s="16" t="str">
        <f t="array" ref="H1442">_xlfn.XLOOKUP(D1442,Productos[ID_Producto],Productos[Nombre_Producto])</f>
        <v>Hamburgesas congeladas</v>
      </c>
      <c r="I1442" s="17">
        <f t="array" ref="I1442">_xlfn.XLOOKUP(D1442,Productos[ID_Producto],Productos[Precio_Unitario])</f>
        <v>9.54</v>
      </c>
      <c r="J1442" s="17">
        <f t="shared" si="1"/>
        <v>28.62</v>
      </c>
      <c r="K1442" s="16" t="str">
        <f t="array" ref="K1442">_xlfn.XLOOKUP(C1442,Clientes[ID_Cliente],Clientes[Provincia])</f>
        <v>Neuquén</v>
      </c>
      <c r="L1442" s="16" t="str">
        <f t="array" ref="L1442">CONCATENATE(_xlfn.XLOOKUP(C1442,Clientes[ID_Cliente],Clientes[Provincia]),", Argentina")</f>
        <v>Neuquén, Argentina</v>
      </c>
      <c r="M1442" s="20" t="str">
        <f t="array" ref="M1442">_xlfn.XLOOKUP(F1442,Metodos_De_Pago[ID_Metodo],Metodos_De_Pago[Metodo])</f>
        <v>Mercado Pago</v>
      </c>
      <c r="N1442" s="20" t="str">
        <f t="shared" si="2"/>
        <v>2024 11</v>
      </c>
    </row>
    <row r="1443" ht="22.5" customHeight="1">
      <c r="A1443" s="12">
        <f>IFERROR(__xludf.DUMMYFUNCTION("""COMPUTED_VALUE"""),982.0)</f>
        <v>982</v>
      </c>
      <c r="B1443" s="13">
        <f>IFERROR(__xludf.DUMMYFUNCTION("""COMPUTED_VALUE"""),45600.0)</f>
        <v>45600</v>
      </c>
      <c r="C1443" s="12">
        <f>IFERROR(__xludf.DUMMYFUNCTION("""COMPUTED_VALUE"""),245.0)</f>
        <v>245</v>
      </c>
      <c r="D1443" s="12">
        <f>IFERROR(__xludf.DUMMYFUNCTION("""COMPUTED_VALUE"""),19.0)</f>
        <v>19</v>
      </c>
      <c r="E1443" s="12">
        <f>IFERROR(__xludf.DUMMYFUNCTION("""COMPUTED_VALUE"""),3.0)</f>
        <v>3</v>
      </c>
      <c r="F1443" s="12">
        <f>IFERROR(__xludf.DUMMYFUNCTION("""COMPUTED_VALUE"""),4.0)</f>
        <v>4</v>
      </c>
      <c r="G1443" s="15" t="str">
        <f>IFERROR(__xludf.DUMMYFUNCTION("""COMPUTED_VALUE"""),"Completa")</f>
        <v>Completa</v>
      </c>
      <c r="H1443" s="16" t="str">
        <f t="array" ref="H1443">_xlfn.XLOOKUP(D1443,Productos[ID_Producto],Productos[Nombre_Producto])</f>
        <v>Tomates</v>
      </c>
      <c r="I1443" s="17">
        <f t="array" ref="I1443">_xlfn.XLOOKUP(D1443,Productos[ID_Producto],Productos[Precio_Unitario])</f>
        <v>6.54</v>
      </c>
      <c r="J1443" s="17">
        <f t="shared" si="1"/>
        <v>19.62</v>
      </c>
      <c r="K1443" s="16" t="str">
        <f t="array" ref="K1443">_xlfn.XLOOKUP(C1443,Clientes[ID_Cliente],Clientes[Provincia])</f>
        <v>Chaco</v>
      </c>
      <c r="L1443" s="16" t="str">
        <f t="array" ref="L1443">CONCATENATE(_xlfn.XLOOKUP(C1443,Clientes[ID_Cliente],Clientes[Provincia]),", Argentina")</f>
        <v>Chaco, Argentina</v>
      </c>
      <c r="M1443" s="20" t="str">
        <f t="array" ref="M1443">_xlfn.XLOOKUP(F1443,Metodos_De_Pago[ID_Metodo],Metodos_De_Pago[Metodo])</f>
        <v>Mercado Pago</v>
      </c>
      <c r="N1443" s="20" t="str">
        <f t="shared" si="2"/>
        <v>2024 11</v>
      </c>
    </row>
    <row r="1444" ht="22.5" customHeight="1">
      <c r="A1444" s="12">
        <f>IFERROR(__xludf.DUMMYFUNCTION("""COMPUTED_VALUE"""),1490.0)</f>
        <v>1490</v>
      </c>
      <c r="B1444" s="13">
        <f>IFERROR(__xludf.DUMMYFUNCTION("""COMPUTED_VALUE"""),45600.0)</f>
        <v>45600</v>
      </c>
      <c r="C1444" s="12">
        <f>IFERROR(__xludf.DUMMYFUNCTION("""COMPUTED_VALUE"""),255.0)</f>
        <v>255</v>
      </c>
      <c r="D1444" s="12">
        <f>IFERROR(__xludf.DUMMYFUNCTION("""COMPUTED_VALUE"""),7.0)</f>
        <v>7</v>
      </c>
      <c r="E1444" s="12">
        <f>IFERROR(__xludf.DUMMYFUNCTION("""COMPUTED_VALUE"""),3.0)</f>
        <v>3</v>
      </c>
      <c r="F1444" s="12">
        <f>IFERROR(__xludf.DUMMYFUNCTION("""COMPUTED_VALUE"""),3.0)</f>
        <v>3</v>
      </c>
      <c r="G1444" s="15" t="str">
        <f>IFERROR(__xludf.DUMMYFUNCTION("""COMPUTED_VALUE"""),"Completa")</f>
        <v>Completa</v>
      </c>
      <c r="H1444" s="16" t="str">
        <f t="array" ref="H1444">_xlfn.XLOOKUP(D1444,Productos[ID_Producto],Productos[Nombre_Producto])</f>
        <v>Chorizo</v>
      </c>
      <c r="I1444" s="17">
        <f t="array" ref="I1444">_xlfn.XLOOKUP(D1444,Productos[ID_Producto],Productos[Precio_Unitario])</f>
        <v>11.25</v>
      </c>
      <c r="J1444" s="17">
        <f t="shared" si="1"/>
        <v>33.75</v>
      </c>
      <c r="K1444" s="16" t="str">
        <f t="array" ref="K1444">_xlfn.XLOOKUP(C1444,Clientes[ID_Cliente],Clientes[Provincia])</f>
        <v>Buenos Aires</v>
      </c>
      <c r="L1444" s="16" t="str">
        <f t="array" ref="L1444">CONCATENATE(_xlfn.XLOOKUP(C1444,Clientes[ID_Cliente],Clientes[Provincia]),", Argentina")</f>
        <v>Buenos Aires, Argentina</v>
      </c>
      <c r="M1444" s="20" t="str">
        <f t="array" ref="M1444">_xlfn.XLOOKUP(F1444,Metodos_De_Pago[ID_Metodo],Metodos_De_Pago[Metodo])</f>
        <v>Tarjeta de Débito</v>
      </c>
      <c r="N1444" s="20" t="str">
        <f t="shared" si="2"/>
        <v>2024 11</v>
      </c>
    </row>
    <row r="1445" ht="22.5" customHeight="1">
      <c r="A1445" s="12">
        <f>IFERROR(__xludf.DUMMYFUNCTION("""COMPUTED_VALUE"""),1364.0)</f>
        <v>1364</v>
      </c>
      <c r="B1445" s="13">
        <f>IFERROR(__xludf.DUMMYFUNCTION("""COMPUTED_VALUE"""),45601.0)</f>
        <v>45601</v>
      </c>
      <c r="C1445" s="12">
        <f>IFERROR(__xludf.DUMMYFUNCTION("""COMPUTED_VALUE"""),65.0)</f>
        <v>65</v>
      </c>
      <c r="D1445" s="12">
        <f>IFERROR(__xludf.DUMMYFUNCTION("""COMPUTED_VALUE"""),33.0)</f>
        <v>33</v>
      </c>
      <c r="E1445" s="12">
        <f>IFERROR(__xludf.DUMMYFUNCTION("""COMPUTED_VALUE"""),3.0)</f>
        <v>3</v>
      </c>
      <c r="F1445" s="12">
        <f>IFERROR(__xludf.DUMMYFUNCTION("""COMPUTED_VALUE"""),1.0)</f>
        <v>1</v>
      </c>
      <c r="G1445" s="15" t="str">
        <f>IFERROR(__xludf.DUMMYFUNCTION("""COMPUTED_VALUE"""),"Completa")</f>
        <v>Completa</v>
      </c>
      <c r="H1445" s="16" t="str">
        <f t="array" ref="H1445">_xlfn.XLOOKUP(D1445,Productos[ID_Producto],Productos[Nombre_Producto])</f>
        <v>Papas chips</v>
      </c>
      <c r="I1445" s="17">
        <f t="array" ref="I1445">_xlfn.XLOOKUP(D1445,Productos[ID_Producto],Productos[Precio_Unitario])</f>
        <v>8.54</v>
      </c>
      <c r="J1445" s="17">
        <f t="shared" si="1"/>
        <v>25.62</v>
      </c>
      <c r="K1445" s="16" t="str">
        <f t="array" ref="K1445">_xlfn.XLOOKUP(C1445,Clientes[ID_Cliente],Clientes[Provincia])</f>
        <v>Buenos Aires</v>
      </c>
      <c r="L1445" s="16" t="str">
        <f t="array" ref="L1445">CONCATENATE(_xlfn.XLOOKUP(C1445,Clientes[ID_Cliente],Clientes[Provincia]),", Argentina")</f>
        <v>Buenos Aires, Argentina</v>
      </c>
      <c r="M1445" s="20" t="str">
        <f t="array" ref="M1445">_xlfn.XLOOKUP(F1445,Metodos_De_Pago[ID_Metodo],Metodos_De_Pago[Metodo])</f>
        <v>Efectivo</v>
      </c>
      <c r="N1445" s="20" t="str">
        <f t="shared" si="2"/>
        <v>2024 11</v>
      </c>
    </row>
    <row r="1446" ht="22.5" customHeight="1">
      <c r="A1446" s="12">
        <f>IFERROR(__xludf.DUMMYFUNCTION("""COMPUTED_VALUE"""),2445.0)</f>
        <v>2445</v>
      </c>
      <c r="B1446" s="13">
        <f>IFERROR(__xludf.DUMMYFUNCTION("""COMPUTED_VALUE"""),45601.0)</f>
        <v>45601</v>
      </c>
      <c r="C1446" s="12">
        <f>IFERROR(__xludf.DUMMYFUNCTION("""COMPUTED_VALUE"""),56.0)</f>
        <v>56</v>
      </c>
      <c r="D1446" s="12">
        <f>IFERROR(__xludf.DUMMYFUNCTION("""COMPUTED_VALUE"""),14.0)</f>
        <v>14</v>
      </c>
      <c r="E1446" s="12">
        <f>IFERROR(__xludf.DUMMYFUNCTION("""COMPUTED_VALUE"""),3.0)</f>
        <v>3</v>
      </c>
      <c r="F1446" s="12">
        <f>IFERROR(__xludf.DUMMYFUNCTION("""COMPUTED_VALUE"""),4.0)</f>
        <v>4</v>
      </c>
      <c r="G1446" s="15" t="str">
        <f>IFERROR(__xludf.DUMMYFUNCTION("""COMPUTED_VALUE"""),"Completa")</f>
        <v>Completa</v>
      </c>
      <c r="H1446" s="16" t="str">
        <f t="array" ref="H1446">_xlfn.XLOOKUP(D1446,Productos[ID_Producto],Productos[Nombre_Producto])</f>
        <v>Facturas</v>
      </c>
      <c r="I1446" s="17">
        <f t="array" ref="I1446">_xlfn.XLOOKUP(D1446,Productos[ID_Producto],Productos[Precio_Unitario])</f>
        <v>12.36</v>
      </c>
      <c r="J1446" s="17">
        <f t="shared" si="1"/>
        <v>37.08</v>
      </c>
      <c r="K1446" s="16" t="str">
        <f t="array" ref="K1446">_xlfn.XLOOKUP(C1446,Clientes[ID_Cliente],Clientes[Provincia])</f>
        <v>Córdoba</v>
      </c>
      <c r="L1446" s="16" t="str">
        <f t="array" ref="L1446">CONCATENATE(_xlfn.XLOOKUP(C1446,Clientes[ID_Cliente],Clientes[Provincia]),", Argentina")</f>
        <v>Córdoba, Argentina</v>
      </c>
      <c r="M1446" s="20" t="str">
        <f t="array" ref="M1446">_xlfn.XLOOKUP(F1446,Metodos_De_Pago[ID_Metodo],Metodos_De_Pago[Metodo])</f>
        <v>Mercado Pago</v>
      </c>
      <c r="N1446" s="20" t="str">
        <f t="shared" si="2"/>
        <v>2024 11</v>
      </c>
    </row>
    <row r="1447" ht="22.5" customHeight="1">
      <c r="A1447" s="12">
        <f>IFERROR(__xludf.DUMMYFUNCTION("""COMPUTED_VALUE"""),2859.0)</f>
        <v>2859</v>
      </c>
      <c r="B1447" s="13">
        <f>IFERROR(__xludf.DUMMYFUNCTION("""COMPUTED_VALUE"""),45601.0)</f>
        <v>45601</v>
      </c>
      <c r="C1447" s="12">
        <f>IFERROR(__xludf.DUMMYFUNCTION("""COMPUTED_VALUE"""),280.0)</f>
        <v>280</v>
      </c>
      <c r="D1447" s="12">
        <f>IFERROR(__xludf.DUMMYFUNCTION("""COMPUTED_VALUE"""),16.0)</f>
        <v>16</v>
      </c>
      <c r="E1447" s="12">
        <f>IFERROR(__xludf.DUMMYFUNCTION("""COMPUTED_VALUE"""),3.0)</f>
        <v>3</v>
      </c>
      <c r="F1447" s="12">
        <f>IFERROR(__xludf.DUMMYFUNCTION("""COMPUTED_VALUE"""),5.0)</f>
        <v>5</v>
      </c>
      <c r="G1447" s="15" t="str">
        <f>IFERROR(__xludf.DUMMYFUNCTION("""COMPUTED_VALUE"""),"Completa")</f>
        <v>Completa</v>
      </c>
      <c r="H1447" s="16" t="str">
        <f t="array" ref="H1447">_xlfn.XLOOKUP(D1447,Productos[ID_Producto],Productos[Nombre_Producto])</f>
        <v>Tortas</v>
      </c>
      <c r="I1447" s="17">
        <f t="array" ref="I1447">_xlfn.XLOOKUP(D1447,Productos[ID_Producto],Productos[Precio_Unitario])</f>
        <v>15.23</v>
      </c>
      <c r="J1447" s="17">
        <f t="shared" si="1"/>
        <v>45.69</v>
      </c>
      <c r="K1447" s="16" t="str">
        <f t="array" ref="K1447">_xlfn.XLOOKUP(C1447,Clientes[ID_Cliente],Clientes[Provincia])</f>
        <v>Córdoba</v>
      </c>
      <c r="L1447" s="16" t="str">
        <f t="array" ref="L1447">CONCATENATE(_xlfn.XLOOKUP(C1447,Clientes[ID_Cliente],Clientes[Provincia]),", Argentina")</f>
        <v>Córdoba, Argentina</v>
      </c>
      <c r="M1447" s="20" t="str">
        <f t="array" ref="M1447">_xlfn.XLOOKUP(F1447,Metodos_De_Pago[ID_Metodo],Metodos_De_Pago[Metodo])</f>
        <v>Transferencia</v>
      </c>
      <c r="N1447" s="20" t="str">
        <f t="shared" si="2"/>
        <v>2024 11</v>
      </c>
    </row>
    <row r="1448" ht="22.5" customHeight="1">
      <c r="A1448" s="12">
        <f>IFERROR(__xludf.DUMMYFUNCTION("""COMPUTED_VALUE"""),1818.0)</f>
        <v>1818</v>
      </c>
      <c r="B1448" s="13">
        <f>IFERROR(__xludf.DUMMYFUNCTION("""COMPUTED_VALUE"""),45602.0)</f>
        <v>45602</v>
      </c>
      <c r="C1448" s="12">
        <f>IFERROR(__xludf.DUMMYFUNCTION("""COMPUTED_VALUE"""),279.0)</f>
        <v>279</v>
      </c>
      <c r="D1448" s="12">
        <f>IFERROR(__xludf.DUMMYFUNCTION("""COMPUTED_VALUE"""),22.0)</f>
        <v>22</v>
      </c>
      <c r="E1448" s="12">
        <f>IFERROR(__xludf.DUMMYFUNCTION("""COMPUTED_VALUE"""),3.0)</f>
        <v>3</v>
      </c>
      <c r="F1448" s="12">
        <f>IFERROR(__xludf.DUMMYFUNCTION("""COMPUTED_VALUE"""),4.0)</f>
        <v>4</v>
      </c>
      <c r="G1448" s="15" t="str">
        <f>IFERROR(__xludf.DUMMYFUNCTION("""COMPUTED_VALUE"""),"Completa")</f>
        <v>Completa</v>
      </c>
      <c r="H1448" s="16" t="str">
        <f t="array" ref="H1448">_xlfn.XLOOKUP(D1448,Productos[ID_Producto],Productos[Nombre_Producto])</f>
        <v>Cebolla</v>
      </c>
      <c r="I1448" s="17">
        <f t="array" ref="I1448">_xlfn.XLOOKUP(D1448,Productos[ID_Producto],Productos[Precio_Unitario])</f>
        <v>4.21</v>
      </c>
      <c r="J1448" s="17">
        <f t="shared" si="1"/>
        <v>12.63</v>
      </c>
      <c r="K1448" s="16" t="str">
        <f t="array" ref="K1448">_xlfn.XLOOKUP(C1448,Clientes[ID_Cliente],Clientes[Provincia])</f>
        <v>Córdoba</v>
      </c>
      <c r="L1448" s="16" t="str">
        <f t="array" ref="L1448">CONCATENATE(_xlfn.XLOOKUP(C1448,Clientes[ID_Cliente],Clientes[Provincia]),", Argentina")</f>
        <v>Córdoba, Argentina</v>
      </c>
      <c r="M1448" s="20" t="str">
        <f t="array" ref="M1448">_xlfn.XLOOKUP(F1448,Metodos_De_Pago[ID_Metodo],Metodos_De_Pago[Metodo])</f>
        <v>Mercado Pago</v>
      </c>
      <c r="N1448" s="20" t="str">
        <f t="shared" si="2"/>
        <v>2024 11</v>
      </c>
    </row>
    <row r="1449" ht="22.5" customHeight="1">
      <c r="A1449" s="12">
        <f>IFERROR(__xludf.DUMMYFUNCTION("""COMPUTED_VALUE"""),2631.0)</f>
        <v>2631</v>
      </c>
      <c r="B1449" s="13">
        <f>IFERROR(__xludf.DUMMYFUNCTION("""COMPUTED_VALUE"""),45602.0)</f>
        <v>45602</v>
      </c>
      <c r="C1449" s="12">
        <f>IFERROR(__xludf.DUMMYFUNCTION("""COMPUTED_VALUE"""),27.0)</f>
        <v>27</v>
      </c>
      <c r="D1449" s="12">
        <f>IFERROR(__xludf.DUMMYFUNCTION("""COMPUTED_VALUE"""),22.0)</f>
        <v>22</v>
      </c>
      <c r="E1449" s="12">
        <f>IFERROR(__xludf.DUMMYFUNCTION("""COMPUTED_VALUE"""),3.0)</f>
        <v>3</v>
      </c>
      <c r="F1449" s="12">
        <f>IFERROR(__xludf.DUMMYFUNCTION("""COMPUTED_VALUE"""),4.0)</f>
        <v>4</v>
      </c>
      <c r="G1449" s="15" t="str">
        <f>IFERROR(__xludf.DUMMYFUNCTION("""COMPUTED_VALUE"""),"Completa")</f>
        <v>Completa</v>
      </c>
      <c r="H1449" s="16" t="str">
        <f t="array" ref="H1449">_xlfn.XLOOKUP(D1449,Productos[ID_Producto],Productos[Nombre_Producto])</f>
        <v>Cebolla</v>
      </c>
      <c r="I1449" s="17">
        <f t="array" ref="I1449">_xlfn.XLOOKUP(D1449,Productos[ID_Producto],Productos[Precio_Unitario])</f>
        <v>4.21</v>
      </c>
      <c r="J1449" s="17">
        <f t="shared" si="1"/>
        <v>12.63</v>
      </c>
      <c r="K1449" s="16" t="str">
        <f t="array" ref="K1449">_xlfn.XLOOKUP(C1449,Clientes[ID_Cliente],Clientes[Provincia])</f>
        <v>Buenos Aires</v>
      </c>
      <c r="L1449" s="16" t="str">
        <f t="array" ref="L1449">CONCATENATE(_xlfn.XLOOKUP(C1449,Clientes[ID_Cliente],Clientes[Provincia]),", Argentina")</f>
        <v>Buenos Aires, Argentina</v>
      </c>
      <c r="M1449" s="20" t="str">
        <f t="array" ref="M1449">_xlfn.XLOOKUP(F1449,Metodos_De_Pago[ID_Metodo],Metodos_De_Pago[Metodo])</f>
        <v>Mercado Pago</v>
      </c>
      <c r="N1449" s="20" t="str">
        <f t="shared" si="2"/>
        <v>2024 11</v>
      </c>
    </row>
    <row r="1450" ht="22.5" customHeight="1">
      <c r="A1450" s="12">
        <f>IFERROR(__xludf.DUMMYFUNCTION("""COMPUTED_VALUE"""),2983.0)</f>
        <v>2983</v>
      </c>
      <c r="B1450" s="13">
        <f>IFERROR(__xludf.DUMMYFUNCTION("""COMPUTED_VALUE"""),45602.0)</f>
        <v>45602</v>
      </c>
      <c r="C1450" s="12">
        <f>IFERROR(__xludf.DUMMYFUNCTION("""COMPUTED_VALUE"""),234.0)</f>
        <v>234</v>
      </c>
      <c r="D1450" s="12">
        <f>IFERROR(__xludf.DUMMYFUNCTION("""COMPUTED_VALUE"""),20.0)</f>
        <v>20</v>
      </c>
      <c r="E1450" s="12">
        <f>IFERROR(__xludf.DUMMYFUNCTION("""COMPUTED_VALUE"""),3.0)</f>
        <v>3</v>
      </c>
      <c r="F1450" s="12">
        <f>IFERROR(__xludf.DUMMYFUNCTION("""COMPUTED_VALUE"""),3.0)</f>
        <v>3</v>
      </c>
      <c r="G1450" s="15" t="str">
        <f>IFERROR(__xludf.DUMMYFUNCTION("""COMPUTED_VALUE"""),"Completa")</f>
        <v>Completa</v>
      </c>
      <c r="H1450" s="16" t="str">
        <f t="array" ref="H1450">_xlfn.XLOOKUP(D1450,Productos[ID_Producto],Productos[Nombre_Producto])</f>
        <v>Lechugas</v>
      </c>
      <c r="I1450" s="17">
        <f t="array" ref="I1450">_xlfn.XLOOKUP(D1450,Productos[ID_Producto],Productos[Precio_Unitario])</f>
        <v>4.25</v>
      </c>
      <c r="J1450" s="17">
        <f t="shared" si="1"/>
        <v>12.75</v>
      </c>
      <c r="K1450" s="16" t="str">
        <f t="array" ref="K1450">_xlfn.XLOOKUP(C1450,Clientes[ID_Cliente],Clientes[Provincia])</f>
        <v>Buenos Aires</v>
      </c>
      <c r="L1450" s="16" t="str">
        <f t="array" ref="L1450">CONCATENATE(_xlfn.XLOOKUP(C1450,Clientes[ID_Cliente],Clientes[Provincia]),", Argentina")</f>
        <v>Buenos Aires, Argentina</v>
      </c>
      <c r="M1450" s="20" t="str">
        <f t="array" ref="M1450">_xlfn.XLOOKUP(F1450,Metodos_De_Pago[ID_Metodo],Metodos_De_Pago[Metodo])</f>
        <v>Tarjeta de Débito</v>
      </c>
      <c r="N1450" s="20" t="str">
        <f t="shared" si="2"/>
        <v>2024 11</v>
      </c>
    </row>
    <row r="1451" ht="22.5" customHeight="1">
      <c r="A1451" s="12">
        <f>IFERROR(__xludf.DUMMYFUNCTION("""COMPUTED_VALUE"""),509.0)</f>
        <v>509</v>
      </c>
      <c r="B1451" s="13">
        <f>IFERROR(__xludf.DUMMYFUNCTION("""COMPUTED_VALUE"""),45603.0)</f>
        <v>45603</v>
      </c>
      <c r="C1451" s="12">
        <f>IFERROR(__xludf.DUMMYFUNCTION("""COMPUTED_VALUE"""),136.0)</f>
        <v>136</v>
      </c>
      <c r="D1451" s="12">
        <f>IFERROR(__xludf.DUMMYFUNCTION("""COMPUTED_VALUE"""),38.0)</f>
        <v>38</v>
      </c>
      <c r="E1451" s="12">
        <f>IFERROR(__xludf.DUMMYFUNCTION("""COMPUTED_VALUE"""),3.0)</f>
        <v>3</v>
      </c>
      <c r="F1451" s="12">
        <f>IFERROR(__xludf.DUMMYFUNCTION("""COMPUTED_VALUE"""),5.0)</f>
        <v>5</v>
      </c>
      <c r="G1451" s="15" t="str">
        <f>IFERROR(__xludf.DUMMYFUNCTION("""COMPUTED_VALUE"""),"Completa")</f>
        <v>Completa</v>
      </c>
      <c r="H1451" s="16" t="str">
        <f t="array" ref="H1451">_xlfn.XLOOKUP(D1451,Productos[ID_Producto],Productos[Nombre_Producto])</f>
        <v>Atún enlatado</v>
      </c>
      <c r="I1451" s="17">
        <f t="array" ref="I1451">_xlfn.XLOOKUP(D1451,Productos[ID_Producto],Productos[Precio_Unitario])</f>
        <v>6.21</v>
      </c>
      <c r="J1451" s="17">
        <f t="shared" si="1"/>
        <v>18.63</v>
      </c>
      <c r="K1451" s="16" t="str">
        <f t="array" ref="K1451">_xlfn.XLOOKUP(C1451,Clientes[ID_Cliente],Clientes[Provincia])</f>
        <v>Neuquén</v>
      </c>
      <c r="L1451" s="16" t="str">
        <f t="array" ref="L1451">CONCATENATE(_xlfn.XLOOKUP(C1451,Clientes[ID_Cliente],Clientes[Provincia]),", Argentina")</f>
        <v>Neuquén, Argentina</v>
      </c>
      <c r="M1451" s="20" t="str">
        <f t="array" ref="M1451">_xlfn.XLOOKUP(F1451,Metodos_De_Pago[ID_Metodo],Metodos_De_Pago[Metodo])</f>
        <v>Transferencia</v>
      </c>
      <c r="N1451" s="20" t="str">
        <f t="shared" si="2"/>
        <v>2024 11</v>
      </c>
    </row>
    <row r="1452" ht="22.5" customHeight="1">
      <c r="A1452" s="12">
        <f>IFERROR(__xludf.DUMMYFUNCTION("""COMPUTED_VALUE"""),2031.0)</f>
        <v>2031</v>
      </c>
      <c r="B1452" s="13">
        <f>IFERROR(__xludf.DUMMYFUNCTION("""COMPUTED_VALUE"""),45603.0)</f>
        <v>45603</v>
      </c>
      <c r="C1452" s="12">
        <f>IFERROR(__xludf.DUMMYFUNCTION("""COMPUTED_VALUE"""),190.0)</f>
        <v>190</v>
      </c>
      <c r="D1452" s="12">
        <f>IFERROR(__xludf.DUMMYFUNCTION("""COMPUTED_VALUE"""),33.0)</f>
        <v>33</v>
      </c>
      <c r="E1452" s="12">
        <f>IFERROR(__xludf.DUMMYFUNCTION("""COMPUTED_VALUE"""),3.0)</f>
        <v>3</v>
      </c>
      <c r="F1452" s="12">
        <f>IFERROR(__xludf.DUMMYFUNCTION("""COMPUTED_VALUE"""),5.0)</f>
        <v>5</v>
      </c>
      <c r="G1452" s="15" t="str">
        <f>IFERROR(__xludf.DUMMYFUNCTION("""COMPUTED_VALUE"""),"Completa")</f>
        <v>Completa</v>
      </c>
      <c r="H1452" s="16" t="str">
        <f t="array" ref="H1452">_xlfn.XLOOKUP(D1452,Productos[ID_Producto],Productos[Nombre_Producto])</f>
        <v>Papas chips</v>
      </c>
      <c r="I1452" s="17">
        <f t="array" ref="I1452">_xlfn.XLOOKUP(D1452,Productos[ID_Producto],Productos[Precio_Unitario])</f>
        <v>8.54</v>
      </c>
      <c r="J1452" s="17">
        <f t="shared" si="1"/>
        <v>25.62</v>
      </c>
      <c r="K1452" s="16" t="str">
        <f t="array" ref="K1452">_xlfn.XLOOKUP(C1452,Clientes[ID_Cliente],Clientes[Provincia])</f>
        <v>Chaco</v>
      </c>
      <c r="L1452" s="16" t="str">
        <f t="array" ref="L1452">CONCATENATE(_xlfn.XLOOKUP(C1452,Clientes[ID_Cliente],Clientes[Provincia]),", Argentina")</f>
        <v>Chaco, Argentina</v>
      </c>
      <c r="M1452" s="20" t="str">
        <f t="array" ref="M1452">_xlfn.XLOOKUP(F1452,Metodos_De_Pago[ID_Metodo],Metodos_De_Pago[Metodo])</f>
        <v>Transferencia</v>
      </c>
      <c r="N1452" s="20" t="str">
        <f t="shared" si="2"/>
        <v>2024 11</v>
      </c>
    </row>
    <row r="1453" ht="22.5" customHeight="1">
      <c r="A1453" s="12">
        <f>IFERROR(__xludf.DUMMYFUNCTION("""COMPUTED_VALUE"""),250.0)</f>
        <v>250</v>
      </c>
      <c r="B1453" s="13">
        <f>IFERROR(__xludf.DUMMYFUNCTION("""COMPUTED_VALUE"""),45604.0)</f>
        <v>45604</v>
      </c>
      <c r="C1453" s="12">
        <f>IFERROR(__xludf.DUMMYFUNCTION("""COMPUTED_VALUE"""),313.0)</f>
        <v>313</v>
      </c>
      <c r="D1453" s="12">
        <f>IFERROR(__xludf.DUMMYFUNCTION("""COMPUTED_VALUE"""),24.0)</f>
        <v>24</v>
      </c>
      <c r="E1453" s="12">
        <f>IFERROR(__xludf.DUMMYFUNCTION("""COMPUTED_VALUE"""),3.0)</f>
        <v>3</v>
      </c>
      <c r="F1453" s="12">
        <f>IFERROR(__xludf.DUMMYFUNCTION("""COMPUTED_VALUE"""),5.0)</f>
        <v>5</v>
      </c>
      <c r="G1453" s="15" t="str">
        <f>IFERROR(__xludf.DUMMYFUNCTION("""COMPUTED_VALUE"""),"Pendiente")</f>
        <v>Pendiente</v>
      </c>
      <c r="H1453" s="16" t="str">
        <f t="array" ref="H1453">_xlfn.XLOOKUP(D1453,Productos[ID_Producto],Productos[Nombre_Producto])</f>
        <v>Empanadas</v>
      </c>
      <c r="I1453" s="17">
        <f t="array" ref="I1453">_xlfn.XLOOKUP(D1453,Productos[ID_Producto],Productos[Precio_Unitario])</f>
        <v>13.54</v>
      </c>
      <c r="J1453" s="17">
        <f t="shared" si="1"/>
        <v>40.62</v>
      </c>
      <c r="K1453" s="16" t="str">
        <f t="array" ref="K1453">_xlfn.XLOOKUP(C1453,Clientes[ID_Cliente],Clientes[Provincia])</f>
        <v>San Luis</v>
      </c>
      <c r="L1453" s="16" t="str">
        <f t="array" ref="L1453">CONCATENATE(_xlfn.XLOOKUP(C1453,Clientes[ID_Cliente],Clientes[Provincia]),", Argentina")</f>
        <v>San Luis, Argentina</v>
      </c>
      <c r="M1453" s="20" t="str">
        <f t="array" ref="M1453">_xlfn.XLOOKUP(F1453,Metodos_De_Pago[ID_Metodo],Metodos_De_Pago[Metodo])</f>
        <v>Transferencia</v>
      </c>
      <c r="N1453" s="20" t="str">
        <f t="shared" si="2"/>
        <v>2024 11</v>
      </c>
    </row>
    <row r="1454" ht="22.5" customHeight="1">
      <c r="A1454" s="12">
        <f>IFERROR(__xludf.DUMMYFUNCTION("""COMPUTED_VALUE"""),278.0)</f>
        <v>278</v>
      </c>
      <c r="B1454" s="13">
        <f>IFERROR(__xludf.DUMMYFUNCTION("""COMPUTED_VALUE"""),45604.0)</f>
        <v>45604</v>
      </c>
      <c r="C1454" s="12">
        <f>IFERROR(__xludf.DUMMYFUNCTION("""COMPUTED_VALUE"""),180.0)</f>
        <v>180</v>
      </c>
      <c r="D1454" s="12">
        <f>IFERROR(__xludf.DUMMYFUNCTION("""COMPUTED_VALUE"""),19.0)</f>
        <v>19</v>
      </c>
      <c r="E1454" s="12">
        <f>IFERROR(__xludf.DUMMYFUNCTION("""COMPUTED_VALUE"""),3.0)</f>
        <v>3</v>
      </c>
      <c r="F1454" s="12">
        <f>IFERROR(__xludf.DUMMYFUNCTION("""COMPUTED_VALUE"""),1.0)</f>
        <v>1</v>
      </c>
      <c r="G1454" s="15" t="str">
        <f>IFERROR(__xludf.DUMMYFUNCTION("""COMPUTED_VALUE"""),"Completa")</f>
        <v>Completa</v>
      </c>
      <c r="H1454" s="16" t="str">
        <f t="array" ref="H1454">_xlfn.XLOOKUP(D1454,Productos[ID_Producto],Productos[Nombre_Producto])</f>
        <v>Tomates</v>
      </c>
      <c r="I1454" s="17">
        <f t="array" ref="I1454">_xlfn.XLOOKUP(D1454,Productos[ID_Producto],Productos[Precio_Unitario])</f>
        <v>6.54</v>
      </c>
      <c r="J1454" s="17">
        <f t="shared" si="1"/>
        <v>19.62</v>
      </c>
      <c r="K1454" s="16" t="str">
        <f t="array" ref="K1454">_xlfn.XLOOKUP(C1454,Clientes[ID_Cliente],Clientes[Provincia])</f>
        <v>Buenos Aires</v>
      </c>
      <c r="L1454" s="16" t="str">
        <f t="array" ref="L1454">CONCATENATE(_xlfn.XLOOKUP(C1454,Clientes[ID_Cliente],Clientes[Provincia]),", Argentina")</f>
        <v>Buenos Aires, Argentina</v>
      </c>
      <c r="M1454" s="20" t="str">
        <f t="array" ref="M1454">_xlfn.XLOOKUP(F1454,Metodos_De_Pago[ID_Metodo],Metodos_De_Pago[Metodo])</f>
        <v>Efectivo</v>
      </c>
      <c r="N1454" s="20" t="str">
        <f t="shared" si="2"/>
        <v>2024 11</v>
      </c>
    </row>
    <row r="1455" ht="22.5" customHeight="1">
      <c r="A1455" s="12">
        <f>IFERROR(__xludf.DUMMYFUNCTION("""COMPUTED_VALUE"""),2124.0)</f>
        <v>2124</v>
      </c>
      <c r="B1455" s="13">
        <f>IFERROR(__xludf.DUMMYFUNCTION("""COMPUTED_VALUE"""),45604.0)</f>
        <v>45604</v>
      </c>
      <c r="C1455" s="12">
        <f>IFERROR(__xludf.DUMMYFUNCTION("""COMPUTED_VALUE"""),70.0)</f>
        <v>70</v>
      </c>
      <c r="D1455" s="12">
        <f>IFERROR(__xludf.DUMMYFUNCTION("""COMPUTED_VALUE"""),10.0)</f>
        <v>10</v>
      </c>
      <c r="E1455" s="12">
        <f>IFERROR(__xludf.DUMMYFUNCTION("""COMPUTED_VALUE"""),3.0)</f>
        <v>3</v>
      </c>
      <c r="F1455" s="12">
        <f>IFERROR(__xludf.DUMMYFUNCTION("""COMPUTED_VALUE"""),4.0)</f>
        <v>4</v>
      </c>
      <c r="G1455" s="15" t="str">
        <f>IFERROR(__xludf.DUMMYFUNCTION("""COMPUTED_VALUE"""),"Completa")</f>
        <v>Completa</v>
      </c>
      <c r="H1455" s="16" t="str">
        <f t="array" ref="H1455">_xlfn.XLOOKUP(D1455,Productos[ID_Producto],Productos[Nombre_Producto])</f>
        <v>Costilla de cerdo</v>
      </c>
      <c r="I1455" s="17">
        <f t="array" ref="I1455">_xlfn.XLOOKUP(D1455,Productos[ID_Producto],Productos[Precio_Unitario])</f>
        <v>14.25</v>
      </c>
      <c r="J1455" s="17">
        <f t="shared" si="1"/>
        <v>42.75</v>
      </c>
      <c r="K1455" s="16" t="str">
        <f t="array" ref="K1455">_xlfn.XLOOKUP(C1455,Clientes[ID_Cliente],Clientes[Provincia])</f>
        <v>Córdoba</v>
      </c>
      <c r="L1455" s="16" t="str">
        <f t="array" ref="L1455">CONCATENATE(_xlfn.XLOOKUP(C1455,Clientes[ID_Cliente],Clientes[Provincia]),", Argentina")</f>
        <v>Córdoba, Argentina</v>
      </c>
      <c r="M1455" s="20" t="str">
        <f t="array" ref="M1455">_xlfn.XLOOKUP(F1455,Metodos_De_Pago[ID_Metodo],Metodos_De_Pago[Metodo])</f>
        <v>Mercado Pago</v>
      </c>
      <c r="N1455" s="20" t="str">
        <f t="shared" si="2"/>
        <v>2024 11</v>
      </c>
    </row>
    <row r="1456" ht="22.5" customHeight="1">
      <c r="A1456" s="12">
        <f>IFERROR(__xludf.DUMMYFUNCTION("""COMPUTED_VALUE"""),446.0)</f>
        <v>446</v>
      </c>
      <c r="B1456" s="13">
        <f>IFERROR(__xludf.DUMMYFUNCTION("""COMPUTED_VALUE"""),45605.0)</f>
        <v>45605</v>
      </c>
      <c r="C1456" s="12">
        <f>IFERROR(__xludf.DUMMYFUNCTION("""COMPUTED_VALUE"""),234.0)</f>
        <v>234</v>
      </c>
      <c r="D1456" s="12">
        <f>IFERROR(__xludf.DUMMYFUNCTION("""COMPUTED_VALUE"""),25.0)</f>
        <v>25</v>
      </c>
      <c r="E1456" s="12">
        <f>IFERROR(__xludf.DUMMYFUNCTION("""COMPUTED_VALUE"""),3.0)</f>
        <v>3</v>
      </c>
      <c r="F1456" s="12">
        <f>IFERROR(__xludf.DUMMYFUNCTION("""COMPUTED_VALUE"""),1.0)</f>
        <v>1</v>
      </c>
      <c r="G1456" s="15" t="str">
        <f>IFERROR(__xludf.DUMMYFUNCTION("""COMPUTED_VALUE"""),"Completa")</f>
        <v>Completa</v>
      </c>
      <c r="H1456" s="16" t="str">
        <f t="array" ref="H1456">_xlfn.XLOOKUP(D1456,Productos[ID_Producto],Productos[Nombre_Producto])</f>
        <v>Pizza congelada</v>
      </c>
      <c r="I1456" s="17">
        <f t="array" ref="I1456">_xlfn.XLOOKUP(D1456,Productos[ID_Producto],Productos[Precio_Unitario])</f>
        <v>15.45</v>
      </c>
      <c r="J1456" s="17">
        <f t="shared" si="1"/>
        <v>46.35</v>
      </c>
      <c r="K1456" s="16" t="str">
        <f t="array" ref="K1456">_xlfn.XLOOKUP(C1456,Clientes[ID_Cliente],Clientes[Provincia])</f>
        <v>Buenos Aires</v>
      </c>
      <c r="L1456" s="16" t="str">
        <f t="array" ref="L1456">CONCATENATE(_xlfn.XLOOKUP(C1456,Clientes[ID_Cliente],Clientes[Provincia]),", Argentina")</f>
        <v>Buenos Aires, Argentina</v>
      </c>
      <c r="M1456" s="20" t="str">
        <f t="array" ref="M1456">_xlfn.XLOOKUP(F1456,Metodos_De_Pago[ID_Metodo],Metodos_De_Pago[Metodo])</f>
        <v>Efectivo</v>
      </c>
      <c r="N1456" s="20" t="str">
        <f t="shared" si="2"/>
        <v>2024 11</v>
      </c>
    </row>
    <row r="1457" ht="22.5" customHeight="1">
      <c r="A1457" s="12">
        <f>IFERROR(__xludf.DUMMYFUNCTION("""COMPUTED_VALUE"""),835.0)</f>
        <v>835</v>
      </c>
      <c r="B1457" s="13">
        <f>IFERROR(__xludf.DUMMYFUNCTION("""COMPUTED_VALUE"""),45605.0)</f>
        <v>45605</v>
      </c>
      <c r="C1457" s="12">
        <f>IFERROR(__xludf.DUMMYFUNCTION("""COMPUTED_VALUE"""),224.0)</f>
        <v>224</v>
      </c>
      <c r="D1457" s="12">
        <f>IFERROR(__xludf.DUMMYFUNCTION("""COMPUTED_VALUE"""),1.0)</f>
        <v>1</v>
      </c>
      <c r="E1457" s="12">
        <f>IFERROR(__xludf.DUMMYFUNCTION("""COMPUTED_VALUE"""),3.0)</f>
        <v>3</v>
      </c>
      <c r="F1457" s="12">
        <f>IFERROR(__xludf.DUMMYFUNCTION("""COMPUTED_VALUE"""),5.0)</f>
        <v>5</v>
      </c>
      <c r="G1457" s="15" t="str">
        <f>IFERROR(__xludf.DUMMYFUNCTION("""COMPUTED_VALUE"""),"Completa")</f>
        <v>Completa</v>
      </c>
      <c r="H1457" s="16" t="str">
        <f t="array" ref="H1457">_xlfn.XLOOKUP(D1457,Productos[ID_Producto],Productos[Nombre_Producto])</f>
        <v>Leche</v>
      </c>
      <c r="I1457" s="17">
        <f t="array" ref="I1457">_xlfn.XLOOKUP(D1457,Productos[ID_Producto],Productos[Precio_Unitario])</f>
        <v>12.24</v>
      </c>
      <c r="J1457" s="17">
        <f t="shared" si="1"/>
        <v>36.72</v>
      </c>
      <c r="K1457" s="16" t="str">
        <f t="array" ref="K1457">_xlfn.XLOOKUP(C1457,Clientes[ID_Cliente],Clientes[Provincia])</f>
        <v>San Luis</v>
      </c>
      <c r="L1457" s="16" t="str">
        <f t="array" ref="L1457">CONCATENATE(_xlfn.XLOOKUP(C1457,Clientes[ID_Cliente],Clientes[Provincia]),", Argentina")</f>
        <v>San Luis, Argentina</v>
      </c>
      <c r="M1457" s="20" t="str">
        <f t="array" ref="M1457">_xlfn.XLOOKUP(F1457,Metodos_De_Pago[ID_Metodo],Metodos_De_Pago[Metodo])</f>
        <v>Transferencia</v>
      </c>
      <c r="N1457" s="20" t="str">
        <f t="shared" si="2"/>
        <v>2024 11</v>
      </c>
    </row>
    <row r="1458" ht="22.5" customHeight="1">
      <c r="A1458" s="12">
        <f>IFERROR(__xludf.DUMMYFUNCTION("""COMPUTED_VALUE"""),2296.0)</f>
        <v>2296</v>
      </c>
      <c r="B1458" s="13">
        <f>IFERROR(__xludf.DUMMYFUNCTION("""COMPUTED_VALUE"""),45605.0)</f>
        <v>45605</v>
      </c>
      <c r="C1458" s="12">
        <f>IFERROR(__xludf.DUMMYFUNCTION("""COMPUTED_VALUE"""),254.0)</f>
        <v>254</v>
      </c>
      <c r="D1458" s="12">
        <f>IFERROR(__xludf.DUMMYFUNCTION("""COMPUTED_VALUE"""),13.0)</f>
        <v>13</v>
      </c>
      <c r="E1458" s="12">
        <f>IFERROR(__xludf.DUMMYFUNCTION("""COMPUTED_VALUE"""),3.0)</f>
        <v>3</v>
      </c>
      <c r="F1458" s="12">
        <f>IFERROR(__xludf.DUMMYFUNCTION("""COMPUTED_VALUE"""),5.0)</f>
        <v>5</v>
      </c>
      <c r="G1458" s="15" t="str">
        <f>IFERROR(__xludf.DUMMYFUNCTION("""COMPUTED_VALUE"""),"Completa")</f>
        <v>Completa</v>
      </c>
      <c r="H1458" s="16" t="str">
        <f t="array" ref="H1458">_xlfn.XLOOKUP(D1458,Productos[ID_Producto],Productos[Nombre_Producto])</f>
        <v>Pan integral</v>
      </c>
      <c r="I1458" s="17">
        <f t="array" ref="I1458">_xlfn.XLOOKUP(D1458,Productos[ID_Producto],Productos[Precio_Unitario])</f>
        <v>12.56</v>
      </c>
      <c r="J1458" s="17">
        <f t="shared" si="1"/>
        <v>37.68</v>
      </c>
      <c r="K1458" s="16" t="str">
        <f t="array" ref="K1458">_xlfn.XLOOKUP(C1458,Clientes[ID_Cliente],Clientes[Provincia])</f>
        <v>Neuquén</v>
      </c>
      <c r="L1458" s="16" t="str">
        <f t="array" ref="L1458">CONCATENATE(_xlfn.XLOOKUP(C1458,Clientes[ID_Cliente],Clientes[Provincia]),", Argentina")</f>
        <v>Neuquén, Argentina</v>
      </c>
      <c r="M1458" s="20" t="str">
        <f t="array" ref="M1458">_xlfn.XLOOKUP(F1458,Metodos_De_Pago[ID_Metodo],Metodos_De_Pago[Metodo])</f>
        <v>Transferencia</v>
      </c>
      <c r="N1458" s="20" t="str">
        <f t="shared" si="2"/>
        <v>2024 11</v>
      </c>
    </row>
    <row r="1459" ht="22.5" customHeight="1">
      <c r="A1459" s="12">
        <f>IFERROR(__xludf.DUMMYFUNCTION("""COMPUTED_VALUE"""),1231.0)</f>
        <v>1231</v>
      </c>
      <c r="B1459" s="13">
        <f>IFERROR(__xludf.DUMMYFUNCTION("""COMPUTED_VALUE"""),45606.0)</f>
        <v>45606</v>
      </c>
      <c r="C1459" s="12">
        <f>IFERROR(__xludf.DUMMYFUNCTION("""COMPUTED_VALUE"""),242.0)</f>
        <v>242</v>
      </c>
      <c r="D1459" s="12">
        <f>IFERROR(__xludf.DUMMYFUNCTION("""COMPUTED_VALUE"""),16.0)</f>
        <v>16</v>
      </c>
      <c r="E1459" s="12">
        <f>IFERROR(__xludf.DUMMYFUNCTION("""COMPUTED_VALUE"""),3.0)</f>
        <v>3</v>
      </c>
      <c r="F1459" s="12">
        <f>IFERROR(__xludf.DUMMYFUNCTION("""COMPUTED_VALUE"""),4.0)</f>
        <v>4</v>
      </c>
      <c r="G1459" s="15" t="str">
        <f>IFERROR(__xludf.DUMMYFUNCTION("""COMPUTED_VALUE"""),"Cancelada")</f>
        <v>Cancelada</v>
      </c>
      <c r="H1459" s="16" t="str">
        <f t="array" ref="H1459">_xlfn.XLOOKUP(D1459,Productos[ID_Producto],Productos[Nombre_Producto])</f>
        <v>Tortas</v>
      </c>
      <c r="I1459" s="17">
        <f t="array" ref="I1459">_xlfn.XLOOKUP(D1459,Productos[ID_Producto],Productos[Precio_Unitario])</f>
        <v>15.23</v>
      </c>
      <c r="J1459" s="17">
        <f t="shared" si="1"/>
        <v>45.69</v>
      </c>
      <c r="K1459" s="16" t="str">
        <f t="array" ref="K1459">_xlfn.XLOOKUP(C1459,Clientes[ID_Cliente],Clientes[Provincia])</f>
        <v>Chaco</v>
      </c>
      <c r="L1459" s="16" t="str">
        <f t="array" ref="L1459">CONCATENATE(_xlfn.XLOOKUP(C1459,Clientes[ID_Cliente],Clientes[Provincia]),", Argentina")</f>
        <v>Chaco, Argentina</v>
      </c>
      <c r="M1459" s="20" t="str">
        <f t="array" ref="M1459">_xlfn.XLOOKUP(F1459,Metodos_De_Pago[ID_Metodo],Metodos_De_Pago[Metodo])</f>
        <v>Mercado Pago</v>
      </c>
      <c r="N1459" s="20" t="str">
        <f t="shared" si="2"/>
        <v>2024 11</v>
      </c>
    </row>
    <row r="1460" ht="22.5" customHeight="1">
      <c r="A1460" s="12">
        <f>IFERROR(__xludf.DUMMYFUNCTION("""COMPUTED_VALUE"""),2101.0)</f>
        <v>2101</v>
      </c>
      <c r="B1460" s="13">
        <f>IFERROR(__xludf.DUMMYFUNCTION("""COMPUTED_VALUE"""),45606.0)</f>
        <v>45606</v>
      </c>
      <c r="C1460" s="12">
        <f>IFERROR(__xludf.DUMMYFUNCTION("""COMPUTED_VALUE"""),260.0)</f>
        <v>260</v>
      </c>
      <c r="D1460" s="12">
        <f>IFERROR(__xludf.DUMMYFUNCTION("""COMPUTED_VALUE"""),6.0)</f>
        <v>6</v>
      </c>
      <c r="E1460" s="12">
        <f>IFERROR(__xludf.DUMMYFUNCTION("""COMPUTED_VALUE"""),3.0)</f>
        <v>3</v>
      </c>
      <c r="F1460" s="12">
        <f>IFERROR(__xludf.DUMMYFUNCTION("""COMPUTED_VALUE"""),1.0)</f>
        <v>1</v>
      </c>
      <c r="G1460" s="15" t="str">
        <f>IFERROR(__xludf.DUMMYFUNCTION("""COMPUTED_VALUE"""),"Pendiente")</f>
        <v>Pendiente</v>
      </c>
      <c r="H1460" s="16" t="str">
        <f t="array" ref="H1460">_xlfn.XLOOKUP(D1460,Productos[ID_Producto],Productos[Nombre_Producto])</f>
        <v>Asado</v>
      </c>
      <c r="I1460" s="17">
        <f t="array" ref="I1460">_xlfn.XLOOKUP(D1460,Productos[ID_Producto],Productos[Precio_Unitario])</f>
        <v>28.56</v>
      </c>
      <c r="J1460" s="17">
        <f t="shared" si="1"/>
        <v>85.68</v>
      </c>
      <c r="K1460" s="16" t="str">
        <f t="array" ref="K1460">_xlfn.XLOOKUP(C1460,Clientes[ID_Cliente],Clientes[Provincia])</f>
        <v>Buenos Aires</v>
      </c>
      <c r="L1460" s="16" t="str">
        <f t="array" ref="L1460">CONCATENATE(_xlfn.XLOOKUP(C1460,Clientes[ID_Cliente],Clientes[Provincia]),", Argentina")</f>
        <v>Buenos Aires, Argentina</v>
      </c>
      <c r="M1460" s="20" t="str">
        <f t="array" ref="M1460">_xlfn.XLOOKUP(F1460,Metodos_De_Pago[ID_Metodo],Metodos_De_Pago[Metodo])</f>
        <v>Efectivo</v>
      </c>
      <c r="N1460" s="20" t="str">
        <f t="shared" si="2"/>
        <v>2024 11</v>
      </c>
    </row>
    <row r="1461" ht="22.5" customHeight="1">
      <c r="A1461" s="12">
        <f>IFERROR(__xludf.DUMMYFUNCTION("""COMPUTED_VALUE"""),2195.0)</f>
        <v>2195</v>
      </c>
      <c r="B1461" s="13">
        <f>IFERROR(__xludf.DUMMYFUNCTION("""COMPUTED_VALUE"""),45606.0)</f>
        <v>45606</v>
      </c>
      <c r="C1461" s="12">
        <f>IFERROR(__xludf.DUMMYFUNCTION("""COMPUTED_VALUE"""),197.0)</f>
        <v>197</v>
      </c>
      <c r="D1461" s="12">
        <f>IFERROR(__xludf.DUMMYFUNCTION("""COMPUTED_VALUE"""),35.0)</f>
        <v>35</v>
      </c>
      <c r="E1461" s="12">
        <f>IFERROR(__xludf.DUMMYFUNCTION("""COMPUTED_VALUE"""),3.0)</f>
        <v>3</v>
      </c>
      <c r="F1461" s="12">
        <f>IFERROR(__xludf.DUMMYFUNCTION("""COMPUTED_VALUE"""),1.0)</f>
        <v>1</v>
      </c>
      <c r="G1461" s="15" t="str">
        <f>IFERROR(__xludf.DUMMYFUNCTION("""COMPUTED_VALUE"""),"Pendiente")</f>
        <v>Pendiente</v>
      </c>
      <c r="H1461" s="16" t="str">
        <f t="array" ref="H1461">_xlfn.XLOOKUP(D1461,Productos[ID_Producto],Productos[Nombre_Producto])</f>
        <v>Arroz</v>
      </c>
      <c r="I1461" s="17">
        <f t="array" ref="I1461">_xlfn.XLOOKUP(D1461,Productos[ID_Producto],Productos[Precio_Unitario])</f>
        <v>4.25</v>
      </c>
      <c r="J1461" s="17">
        <f t="shared" si="1"/>
        <v>12.75</v>
      </c>
      <c r="K1461" s="16" t="str">
        <f t="array" ref="K1461">_xlfn.XLOOKUP(C1461,Clientes[ID_Cliente],Clientes[Provincia])</f>
        <v>San Luis</v>
      </c>
      <c r="L1461" s="16" t="str">
        <f t="array" ref="L1461">CONCATENATE(_xlfn.XLOOKUP(C1461,Clientes[ID_Cliente],Clientes[Provincia]),", Argentina")</f>
        <v>San Luis, Argentina</v>
      </c>
      <c r="M1461" s="20" t="str">
        <f t="array" ref="M1461">_xlfn.XLOOKUP(F1461,Metodos_De_Pago[ID_Metodo],Metodos_De_Pago[Metodo])</f>
        <v>Efectivo</v>
      </c>
      <c r="N1461" s="20" t="str">
        <f t="shared" si="2"/>
        <v>2024 11</v>
      </c>
    </row>
    <row r="1462" ht="22.5" customHeight="1">
      <c r="A1462" s="12">
        <f>IFERROR(__xludf.DUMMYFUNCTION("""COMPUTED_VALUE"""),2759.0)</f>
        <v>2759</v>
      </c>
      <c r="B1462" s="13">
        <f>IFERROR(__xludf.DUMMYFUNCTION("""COMPUTED_VALUE"""),45606.0)</f>
        <v>45606</v>
      </c>
      <c r="C1462" s="12">
        <f>IFERROR(__xludf.DUMMYFUNCTION("""COMPUTED_VALUE"""),170.0)</f>
        <v>170</v>
      </c>
      <c r="D1462" s="12">
        <f>IFERROR(__xludf.DUMMYFUNCTION("""COMPUTED_VALUE"""),15.0)</f>
        <v>15</v>
      </c>
      <c r="E1462" s="12">
        <f>IFERROR(__xludf.DUMMYFUNCTION("""COMPUTED_VALUE"""),3.0)</f>
        <v>3</v>
      </c>
      <c r="F1462" s="12">
        <f>IFERROR(__xludf.DUMMYFUNCTION("""COMPUTED_VALUE"""),1.0)</f>
        <v>1</v>
      </c>
      <c r="G1462" s="15" t="str">
        <f>IFERROR(__xludf.DUMMYFUNCTION("""COMPUTED_VALUE"""),"Completa")</f>
        <v>Completa</v>
      </c>
      <c r="H1462" s="16" t="str">
        <f t="array" ref="H1462">_xlfn.XLOOKUP(D1462,Productos[ID_Producto],Productos[Nombre_Producto])</f>
        <v>Medialunas</v>
      </c>
      <c r="I1462" s="17">
        <f t="array" ref="I1462">_xlfn.XLOOKUP(D1462,Productos[ID_Producto],Productos[Precio_Unitario])</f>
        <v>3.51</v>
      </c>
      <c r="J1462" s="17">
        <f t="shared" si="1"/>
        <v>10.53</v>
      </c>
      <c r="K1462" s="16" t="str">
        <f t="array" ref="K1462">_xlfn.XLOOKUP(C1462,Clientes[ID_Cliente],Clientes[Provincia])</f>
        <v>Córdoba</v>
      </c>
      <c r="L1462" s="16" t="str">
        <f t="array" ref="L1462">CONCATENATE(_xlfn.XLOOKUP(C1462,Clientes[ID_Cliente],Clientes[Provincia]),", Argentina")</f>
        <v>Córdoba, Argentina</v>
      </c>
      <c r="M1462" s="20" t="str">
        <f t="array" ref="M1462">_xlfn.XLOOKUP(F1462,Metodos_De_Pago[ID_Metodo],Metodos_De_Pago[Metodo])</f>
        <v>Efectivo</v>
      </c>
      <c r="N1462" s="20" t="str">
        <f t="shared" si="2"/>
        <v>2024 11</v>
      </c>
    </row>
    <row r="1463" ht="22.5" customHeight="1">
      <c r="A1463" s="12">
        <f>IFERROR(__xludf.DUMMYFUNCTION("""COMPUTED_VALUE"""),891.0)</f>
        <v>891</v>
      </c>
      <c r="B1463" s="13">
        <f>IFERROR(__xludf.DUMMYFUNCTION("""COMPUTED_VALUE"""),45607.0)</f>
        <v>45607</v>
      </c>
      <c r="C1463" s="12">
        <f>IFERROR(__xludf.DUMMYFUNCTION("""COMPUTED_VALUE"""),79.0)</f>
        <v>79</v>
      </c>
      <c r="D1463" s="12">
        <f>IFERROR(__xludf.DUMMYFUNCTION("""COMPUTED_VALUE"""),32.0)</f>
        <v>32</v>
      </c>
      <c r="E1463" s="12">
        <f>IFERROR(__xludf.DUMMYFUNCTION("""COMPUTED_VALUE"""),3.0)</f>
        <v>3</v>
      </c>
      <c r="F1463" s="12">
        <f>IFERROR(__xludf.DUMMYFUNCTION("""COMPUTED_VALUE"""),4.0)</f>
        <v>4</v>
      </c>
      <c r="G1463" s="15" t="str">
        <f>IFERROR(__xludf.DUMMYFUNCTION("""COMPUTED_VALUE"""),"Completa")</f>
        <v>Completa</v>
      </c>
      <c r="H1463" s="16" t="str">
        <f t="array" ref="H1463">_xlfn.XLOOKUP(D1463,Productos[ID_Producto],Productos[Nombre_Producto])</f>
        <v>Galletitas de chocolate</v>
      </c>
      <c r="I1463" s="17">
        <f t="array" ref="I1463">_xlfn.XLOOKUP(D1463,Productos[ID_Producto],Productos[Precio_Unitario])</f>
        <v>6.25</v>
      </c>
      <c r="J1463" s="17">
        <f t="shared" si="1"/>
        <v>18.75</v>
      </c>
      <c r="K1463" s="16" t="str">
        <f t="array" ref="K1463">_xlfn.XLOOKUP(C1463,Clientes[ID_Cliente],Clientes[Provincia])</f>
        <v>Neuquén</v>
      </c>
      <c r="L1463" s="16" t="str">
        <f t="array" ref="L1463">CONCATENATE(_xlfn.XLOOKUP(C1463,Clientes[ID_Cliente],Clientes[Provincia]),", Argentina")</f>
        <v>Neuquén, Argentina</v>
      </c>
      <c r="M1463" s="20" t="str">
        <f t="array" ref="M1463">_xlfn.XLOOKUP(F1463,Metodos_De_Pago[ID_Metodo],Metodos_De_Pago[Metodo])</f>
        <v>Mercado Pago</v>
      </c>
      <c r="N1463" s="20" t="str">
        <f t="shared" si="2"/>
        <v>2024 11</v>
      </c>
    </row>
    <row r="1464" ht="22.5" customHeight="1">
      <c r="A1464" s="12">
        <f>IFERROR(__xludf.DUMMYFUNCTION("""COMPUTED_VALUE"""),1480.0)</f>
        <v>1480</v>
      </c>
      <c r="B1464" s="13">
        <f>IFERROR(__xludf.DUMMYFUNCTION("""COMPUTED_VALUE"""),45607.0)</f>
        <v>45607</v>
      </c>
      <c r="C1464" s="12">
        <f>IFERROR(__xludf.DUMMYFUNCTION("""COMPUTED_VALUE"""),113.0)</f>
        <v>113</v>
      </c>
      <c r="D1464" s="12">
        <f>IFERROR(__xludf.DUMMYFUNCTION("""COMPUTED_VALUE"""),17.0)</f>
        <v>17</v>
      </c>
      <c r="E1464" s="12">
        <f>IFERROR(__xludf.DUMMYFUNCTION("""COMPUTED_VALUE"""),3.0)</f>
        <v>3</v>
      </c>
      <c r="F1464" s="12">
        <f>IFERROR(__xludf.DUMMYFUNCTION("""COMPUTED_VALUE"""),1.0)</f>
        <v>1</v>
      </c>
      <c r="G1464" s="15" t="str">
        <f>IFERROR(__xludf.DUMMYFUNCTION("""COMPUTED_VALUE"""),"Completa")</f>
        <v>Completa</v>
      </c>
      <c r="H1464" s="16" t="str">
        <f t="array" ref="H1464">_xlfn.XLOOKUP(D1464,Productos[ID_Producto],Productos[Nombre_Producto])</f>
        <v>Manzanas</v>
      </c>
      <c r="I1464" s="17">
        <f t="array" ref="I1464">_xlfn.XLOOKUP(D1464,Productos[ID_Producto],Productos[Precio_Unitario])</f>
        <v>6.54</v>
      </c>
      <c r="J1464" s="17">
        <f t="shared" si="1"/>
        <v>19.62</v>
      </c>
      <c r="K1464" s="16" t="str">
        <f t="array" ref="K1464">_xlfn.XLOOKUP(C1464,Clientes[ID_Cliente],Clientes[Provincia])</f>
        <v>Buenos Aires</v>
      </c>
      <c r="L1464" s="16" t="str">
        <f t="array" ref="L1464">CONCATENATE(_xlfn.XLOOKUP(C1464,Clientes[ID_Cliente],Clientes[Provincia]),", Argentina")</f>
        <v>Buenos Aires, Argentina</v>
      </c>
      <c r="M1464" s="20" t="str">
        <f t="array" ref="M1464">_xlfn.XLOOKUP(F1464,Metodos_De_Pago[ID_Metodo],Metodos_De_Pago[Metodo])</f>
        <v>Efectivo</v>
      </c>
      <c r="N1464" s="20" t="str">
        <f t="shared" si="2"/>
        <v>2024 11</v>
      </c>
    </row>
    <row r="1465" ht="22.5" customHeight="1">
      <c r="A1465" s="12">
        <f>IFERROR(__xludf.DUMMYFUNCTION("""COMPUTED_VALUE"""),2686.0)</f>
        <v>2686</v>
      </c>
      <c r="B1465" s="13">
        <f>IFERROR(__xludf.DUMMYFUNCTION("""COMPUTED_VALUE"""),45608.0)</f>
        <v>45608</v>
      </c>
      <c r="C1465" s="12">
        <f>IFERROR(__xludf.DUMMYFUNCTION("""COMPUTED_VALUE"""),44.0)</f>
        <v>44</v>
      </c>
      <c r="D1465" s="12">
        <f>IFERROR(__xludf.DUMMYFUNCTION("""COMPUTED_VALUE"""),15.0)</f>
        <v>15</v>
      </c>
      <c r="E1465" s="12">
        <f>IFERROR(__xludf.DUMMYFUNCTION("""COMPUTED_VALUE"""),3.0)</f>
        <v>3</v>
      </c>
      <c r="F1465" s="12">
        <f>IFERROR(__xludf.DUMMYFUNCTION("""COMPUTED_VALUE"""),5.0)</f>
        <v>5</v>
      </c>
      <c r="G1465" s="15" t="str">
        <f>IFERROR(__xludf.DUMMYFUNCTION("""COMPUTED_VALUE"""),"Completa")</f>
        <v>Completa</v>
      </c>
      <c r="H1465" s="16" t="str">
        <f t="array" ref="H1465">_xlfn.XLOOKUP(D1465,Productos[ID_Producto],Productos[Nombre_Producto])</f>
        <v>Medialunas</v>
      </c>
      <c r="I1465" s="17">
        <f t="array" ref="I1465">_xlfn.XLOOKUP(D1465,Productos[ID_Producto],Productos[Precio_Unitario])</f>
        <v>3.51</v>
      </c>
      <c r="J1465" s="17">
        <f t="shared" si="1"/>
        <v>10.53</v>
      </c>
      <c r="K1465" s="16" t="str">
        <f t="array" ref="K1465">_xlfn.XLOOKUP(C1465,Clientes[ID_Cliente],Clientes[Provincia])</f>
        <v>Buenos Aires</v>
      </c>
      <c r="L1465" s="16" t="str">
        <f t="array" ref="L1465">CONCATENATE(_xlfn.XLOOKUP(C1465,Clientes[ID_Cliente],Clientes[Provincia]),", Argentina")</f>
        <v>Buenos Aires, Argentina</v>
      </c>
      <c r="M1465" s="20" t="str">
        <f t="array" ref="M1465">_xlfn.XLOOKUP(F1465,Metodos_De_Pago[ID_Metodo],Metodos_De_Pago[Metodo])</f>
        <v>Transferencia</v>
      </c>
      <c r="N1465" s="20" t="str">
        <f t="shared" si="2"/>
        <v>2024 11</v>
      </c>
    </row>
    <row r="1466" ht="22.5" customHeight="1">
      <c r="A1466" s="12">
        <f>IFERROR(__xludf.DUMMYFUNCTION("""COMPUTED_VALUE"""),1075.0)</f>
        <v>1075</v>
      </c>
      <c r="B1466" s="13">
        <f>IFERROR(__xludf.DUMMYFUNCTION("""COMPUTED_VALUE"""),45609.0)</f>
        <v>45609</v>
      </c>
      <c r="C1466" s="12">
        <f>IFERROR(__xludf.DUMMYFUNCTION("""COMPUTED_VALUE"""),207.0)</f>
        <v>207</v>
      </c>
      <c r="D1466" s="12">
        <f>IFERROR(__xludf.DUMMYFUNCTION("""COMPUTED_VALUE"""),18.0)</f>
        <v>18</v>
      </c>
      <c r="E1466" s="12">
        <f>IFERROR(__xludf.DUMMYFUNCTION("""COMPUTED_VALUE"""),3.0)</f>
        <v>3</v>
      </c>
      <c r="F1466" s="12">
        <f>IFERROR(__xludf.DUMMYFUNCTION("""COMPUTED_VALUE"""),5.0)</f>
        <v>5</v>
      </c>
      <c r="G1466" s="15" t="str">
        <f>IFERROR(__xludf.DUMMYFUNCTION("""COMPUTED_VALUE"""),"Completa")</f>
        <v>Completa</v>
      </c>
      <c r="H1466" s="16" t="str">
        <f t="array" ref="H1466">_xlfn.XLOOKUP(D1466,Productos[ID_Producto],Productos[Nombre_Producto])</f>
        <v>Bananas</v>
      </c>
      <c r="I1466" s="17">
        <f t="array" ref="I1466">_xlfn.XLOOKUP(D1466,Productos[ID_Producto],Productos[Precio_Unitario])</f>
        <v>7.25</v>
      </c>
      <c r="J1466" s="17">
        <f t="shared" si="1"/>
        <v>21.75</v>
      </c>
      <c r="K1466" s="16" t="str">
        <f t="array" ref="K1466">_xlfn.XLOOKUP(C1466,Clientes[ID_Cliente],Clientes[Provincia])</f>
        <v>Buenos Aires</v>
      </c>
      <c r="L1466" s="16" t="str">
        <f t="array" ref="L1466">CONCATENATE(_xlfn.XLOOKUP(C1466,Clientes[ID_Cliente],Clientes[Provincia]),", Argentina")</f>
        <v>Buenos Aires, Argentina</v>
      </c>
      <c r="M1466" s="20" t="str">
        <f t="array" ref="M1466">_xlfn.XLOOKUP(F1466,Metodos_De_Pago[ID_Metodo],Metodos_De_Pago[Metodo])</f>
        <v>Transferencia</v>
      </c>
      <c r="N1466" s="20" t="str">
        <f t="shared" si="2"/>
        <v>2024 11</v>
      </c>
    </row>
    <row r="1467" ht="22.5" customHeight="1">
      <c r="A1467" s="12">
        <f>IFERROR(__xludf.DUMMYFUNCTION("""COMPUTED_VALUE"""),2541.0)</f>
        <v>2541</v>
      </c>
      <c r="B1467" s="13">
        <f>IFERROR(__xludf.DUMMYFUNCTION("""COMPUTED_VALUE"""),45610.0)</f>
        <v>45610</v>
      </c>
      <c r="C1467" s="12">
        <f>IFERROR(__xludf.DUMMYFUNCTION("""COMPUTED_VALUE"""),3.0)</f>
        <v>3</v>
      </c>
      <c r="D1467" s="12">
        <f>IFERROR(__xludf.DUMMYFUNCTION("""COMPUTED_VALUE"""),38.0)</f>
        <v>38</v>
      </c>
      <c r="E1467" s="12">
        <f>IFERROR(__xludf.DUMMYFUNCTION("""COMPUTED_VALUE"""),3.0)</f>
        <v>3</v>
      </c>
      <c r="F1467" s="12">
        <f>IFERROR(__xludf.DUMMYFUNCTION("""COMPUTED_VALUE"""),1.0)</f>
        <v>1</v>
      </c>
      <c r="G1467" s="15" t="str">
        <f>IFERROR(__xludf.DUMMYFUNCTION("""COMPUTED_VALUE"""),"Completa")</f>
        <v>Completa</v>
      </c>
      <c r="H1467" s="16" t="str">
        <f t="array" ref="H1467">_xlfn.XLOOKUP(D1467,Productos[ID_Producto],Productos[Nombre_Producto])</f>
        <v>Atún enlatado</v>
      </c>
      <c r="I1467" s="17">
        <f t="array" ref="I1467">_xlfn.XLOOKUP(D1467,Productos[ID_Producto],Productos[Precio_Unitario])</f>
        <v>6.21</v>
      </c>
      <c r="J1467" s="17">
        <f t="shared" si="1"/>
        <v>18.63</v>
      </c>
      <c r="K1467" s="16" t="str">
        <f t="array" ref="K1467">_xlfn.XLOOKUP(C1467,Clientes[ID_Cliente],Clientes[Provincia])</f>
        <v>Neuquén</v>
      </c>
      <c r="L1467" s="16" t="str">
        <f t="array" ref="L1467">CONCATENATE(_xlfn.XLOOKUP(C1467,Clientes[ID_Cliente],Clientes[Provincia]),", Argentina")</f>
        <v>Neuquén, Argentina</v>
      </c>
      <c r="M1467" s="20" t="str">
        <f t="array" ref="M1467">_xlfn.XLOOKUP(F1467,Metodos_De_Pago[ID_Metodo],Metodos_De_Pago[Metodo])</f>
        <v>Efectivo</v>
      </c>
      <c r="N1467" s="20" t="str">
        <f t="shared" si="2"/>
        <v>2024 11</v>
      </c>
    </row>
    <row r="1468" ht="22.5" customHeight="1">
      <c r="A1468" s="12">
        <f>IFERROR(__xludf.DUMMYFUNCTION("""COMPUTED_VALUE"""),2807.0)</f>
        <v>2807</v>
      </c>
      <c r="B1468" s="13">
        <f>IFERROR(__xludf.DUMMYFUNCTION("""COMPUTED_VALUE"""),45610.0)</f>
        <v>45610</v>
      </c>
      <c r="C1468" s="12">
        <f>IFERROR(__xludf.DUMMYFUNCTION("""COMPUTED_VALUE"""),26.0)</f>
        <v>26</v>
      </c>
      <c r="D1468" s="12">
        <f>IFERROR(__xludf.DUMMYFUNCTION("""COMPUTED_VALUE"""),7.0)</f>
        <v>7</v>
      </c>
      <c r="E1468" s="12">
        <f>IFERROR(__xludf.DUMMYFUNCTION("""COMPUTED_VALUE"""),3.0)</f>
        <v>3</v>
      </c>
      <c r="F1468" s="12">
        <f>IFERROR(__xludf.DUMMYFUNCTION("""COMPUTED_VALUE"""),1.0)</f>
        <v>1</v>
      </c>
      <c r="G1468" s="15" t="str">
        <f>IFERROR(__xludf.DUMMYFUNCTION("""COMPUTED_VALUE"""),"Pendiente")</f>
        <v>Pendiente</v>
      </c>
      <c r="H1468" s="16" t="str">
        <f t="array" ref="H1468">_xlfn.XLOOKUP(D1468,Productos[ID_Producto],Productos[Nombre_Producto])</f>
        <v>Chorizo</v>
      </c>
      <c r="I1468" s="17">
        <f t="array" ref="I1468">_xlfn.XLOOKUP(D1468,Productos[ID_Producto],Productos[Precio_Unitario])</f>
        <v>11.25</v>
      </c>
      <c r="J1468" s="17">
        <f t="shared" si="1"/>
        <v>33.75</v>
      </c>
      <c r="K1468" s="16" t="str">
        <f t="array" ref="K1468">_xlfn.XLOOKUP(C1468,Clientes[ID_Cliente],Clientes[Provincia])</f>
        <v>Córdoba</v>
      </c>
      <c r="L1468" s="16" t="str">
        <f t="array" ref="L1468">CONCATENATE(_xlfn.XLOOKUP(C1468,Clientes[ID_Cliente],Clientes[Provincia]),", Argentina")</f>
        <v>Córdoba, Argentina</v>
      </c>
      <c r="M1468" s="20" t="str">
        <f t="array" ref="M1468">_xlfn.XLOOKUP(F1468,Metodos_De_Pago[ID_Metodo],Metodos_De_Pago[Metodo])</f>
        <v>Efectivo</v>
      </c>
      <c r="N1468" s="20" t="str">
        <f t="shared" si="2"/>
        <v>2024 11</v>
      </c>
    </row>
    <row r="1469" ht="22.5" customHeight="1">
      <c r="A1469" s="12">
        <f>IFERROR(__xludf.DUMMYFUNCTION("""COMPUTED_VALUE"""),2888.0)</f>
        <v>2888</v>
      </c>
      <c r="B1469" s="13">
        <f>IFERROR(__xludf.DUMMYFUNCTION("""COMPUTED_VALUE"""),45612.0)</f>
        <v>45612</v>
      </c>
      <c r="C1469" s="12">
        <f>IFERROR(__xludf.DUMMYFUNCTION("""COMPUTED_VALUE"""),83.0)</f>
        <v>83</v>
      </c>
      <c r="D1469" s="12">
        <f>IFERROR(__xludf.DUMMYFUNCTION("""COMPUTED_VALUE"""),28.0)</f>
        <v>28</v>
      </c>
      <c r="E1469" s="12">
        <f>IFERROR(__xludf.DUMMYFUNCTION("""COMPUTED_VALUE"""),3.0)</f>
        <v>3</v>
      </c>
      <c r="F1469" s="12">
        <f>IFERROR(__xludf.DUMMYFUNCTION("""COMPUTED_VALUE"""),3.0)</f>
        <v>3</v>
      </c>
      <c r="G1469" s="15" t="str">
        <f>IFERROR(__xludf.DUMMYFUNCTION("""COMPUTED_VALUE"""),"Completa")</f>
        <v>Completa</v>
      </c>
      <c r="H1469" s="16" t="str">
        <f t="array" ref="H1469">_xlfn.XLOOKUP(D1469,Productos[ID_Producto],Productos[Nombre_Producto])</f>
        <v>Jugos de frutas</v>
      </c>
      <c r="I1469" s="17">
        <f t="array" ref="I1469">_xlfn.XLOOKUP(D1469,Productos[ID_Producto],Productos[Precio_Unitario])</f>
        <v>9.45</v>
      </c>
      <c r="J1469" s="17">
        <f t="shared" si="1"/>
        <v>28.35</v>
      </c>
      <c r="K1469" s="16" t="str">
        <f t="array" ref="K1469">_xlfn.XLOOKUP(C1469,Clientes[ID_Cliente],Clientes[Provincia])</f>
        <v>Buenos Aires</v>
      </c>
      <c r="L1469" s="16" t="str">
        <f t="array" ref="L1469">CONCATENATE(_xlfn.XLOOKUP(C1469,Clientes[ID_Cliente],Clientes[Provincia]),", Argentina")</f>
        <v>Buenos Aires, Argentina</v>
      </c>
      <c r="M1469" s="20" t="str">
        <f t="array" ref="M1469">_xlfn.XLOOKUP(F1469,Metodos_De_Pago[ID_Metodo],Metodos_De_Pago[Metodo])</f>
        <v>Tarjeta de Débito</v>
      </c>
      <c r="N1469" s="20" t="str">
        <f t="shared" si="2"/>
        <v>2024 11</v>
      </c>
    </row>
    <row r="1470" ht="22.5" customHeight="1">
      <c r="A1470" s="12">
        <f>IFERROR(__xludf.DUMMYFUNCTION("""COMPUTED_VALUE"""),1948.0)</f>
        <v>1948</v>
      </c>
      <c r="B1470" s="13">
        <f>IFERROR(__xludf.DUMMYFUNCTION("""COMPUTED_VALUE"""),45614.0)</f>
        <v>45614</v>
      </c>
      <c r="C1470" s="12">
        <f>IFERROR(__xludf.DUMMYFUNCTION("""COMPUTED_VALUE"""),5.0)</f>
        <v>5</v>
      </c>
      <c r="D1470" s="12">
        <f>IFERROR(__xludf.DUMMYFUNCTION("""COMPUTED_VALUE"""),19.0)</f>
        <v>19</v>
      </c>
      <c r="E1470" s="12">
        <f>IFERROR(__xludf.DUMMYFUNCTION("""COMPUTED_VALUE"""),3.0)</f>
        <v>3</v>
      </c>
      <c r="F1470" s="12">
        <f>IFERROR(__xludf.DUMMYFUNCTION("""COMPUTED_VALUE"""),4.0)</f>
        <v>4</v>
      </c>
      <c r="G1470" s="15" t="str">
        <f>IFERROR(__xludf.DUMMYFUNCTION("""COMPUTED_VALUE"""),"Completa")</f>
        <v>Completa</v>
      </c>
      <c r="H1470" s="16" t="str">
        <f t="array" ref="H1470">_xlfn.XLOOKUP(D1470,Productos[ID_Producto],Productos[Nombre_Producto])</f>
        <v>Tomates</v>
      </c>
      <c r="I1470" s="17">
        <f t="array" ref="I1470">_xlfn.XLOOKUP(D1470,Productos[ID_Producto],Productos[Precio_Unitario])</f>
        <v>6.54</v>
      </c>
      <c r="J1470" s="17">
        <f t="shared" si="1"/>
        <v>19.62</v>
      </c>
      <c r="K1470" s="16" t="str">
        <f t="array" ref="K1470">_xlfn.XLOOKUP(C1470,Clientes[ID_Cliente],Clientes[Provincia])</f>
        <v>Córdoba</v>
      </c>
      <c r="L1470" s="16" t="str">
        <f t="array" ref="L1470">CONCATENATE(_xlfn.XLOOKUP(C1470,Clientes[ID_Cliente],Clientes[Provincia]),", Argentina")</f>
        <v>Córdoba, Argentina</v>
      </c>
      <c r="M1470" s="20" t="str">
        <f t="array" ref="M1470">_xlfn.XLOOKUP(F1470,Metodos_De_Pago[ID_Metodo],Metodos_De_Pago[Metodo])</f>
        <v>Mercado Pago</v>
      </c>
      <c r="N1470" s="20" t="str">
        <f t="shared" si="2"/>
        <v>2024 11</v>
      </c>
    </row>
    <row r="1471" ht="22.5" customHeight="1">
      <c r="A1471" s="12">
        <f>IFERROR(__xludf.DUMMYFUNCTION("""COMPUTED_VALUE"""),2006.0)</f>
        <v>2006</v>
      </c>
      <c r="B1471" s="13">
        <f>IFERROR(__xludf.DUMMYFUNCTION("""COMPUTED_VALUE"""),45615.0)</f>
        <v>45615</v>
      </c>
      <c r="C1471" s="12">
        <f>IFERROR(__xludf.DUMMYFUNCTION("""COMPUTED_VALUE"""),152.0)</f>
        <v>152</v>
      </c>
      <c r="D1471" s="12">
        <f>IFERROR(__xludf.DUMMYFUNCTION("""COMPUTED_VALUE"""),33.0)</f>
        <v>33</v>
      </c>
      <c r="E1471" s="12">
        <f>IFERROR(__xludf.DUMMYFUNCTION("""COMPUTED_VALUE"""),3.0)</f>
        <v>3</v>
      </c>
      <c r="F1471" s="12">
        <f>IFERROR(__xludf.DUMMYFUNCTION("""COMPUTED_VALUE"""),4.0)</f>
        <v>4</v>
      </c>
      <c r="G1471" s="15" t="str">
        <f>IFERROR(__xludf.DUMMYFUNCTION("""COMPUTED_VALUE"""),"Completa")</f>
        <v>Completa</v>
      </c>
      <c r="H1471" s="16" t="str">
        <f t="array" ref="H1471">_xlfn.XLOOKUP(D1471,Productos[ID_Producto],Productos[Nombre_Producto])</f>
        <v>Papas chips</v>
      </c>
      <c r="I1471" s="17">
        <f t="array" ref="I1471">_xlfn.XLOOKUP(D1471,Productos[ID_Producto],Productos[Precio_Unitario])</f>
        <v>8.54</v>
      </c>
      <c r="J1471" s="17">
        <f t="shared" si="1"/>
        <v>25.62</v>
      </c>
      <c r="K1471" s="16" t="str">
        <f t="array" ref="K1471">_xlfn.XLOOKUP(C1471,Clientes[ID_Cliente],Clientes[Provincia])</f>
        <v>Salta</v>
      </c>
      <c r="L1471" s="16" t="str">
        <f t="array" ref="L1471">CONCATENATE(_xlfn.XLOOKUP(C1471,Clientes[ID_Cliente],Clientes[Provincia]),", Argentina")</f>
        <v>Salta, Argentina</v>
      </c>
      <c r="M1471" s="20" t="str">
        <f t="array" ref="M1471">_xlfn.XLOOKUP(F1471,Metodos_De_Pago[ID_Metodo],Metodos_De_Pago[Metodo])</f>
        <v>Mercado Pago</v>
      </c>
      <c r="N1471" s="20" t="str">
        <f t="shared" si="2"/>
        <v>2024 11</v>
      </c>
    </row>
    <row r="1472" ht="22.5" customHeight="1">
      <c r="A1472" s="12">
        <f>IFERROR(__xludf.DUMMYFUNCTION("""COMPUTED_VALUE"""),907.0)</f>
        <v>907</v>
      </c>
      <c r="B1472" s="13">
        <f>IFERROR(__xludf.DUMMYFUNCTION("""COMPUTED_VALUE"""),45616.0)</f>
        <v>45616</v>
      </c>
      <c r="C1472" s="12">
        <f>IFERROR(__xludf.DUMMYFUNCTION("""COMPUTED_VALUE"""),68.0)</f>
        <v>68</v>
      </c>
      <c r="D1472" s="12">
        <f>IFERROR(__xludf.DUMMYFUNCTION("""COMPUTED_VALUE"""),35.0)</f>
        <v>35</v>
      </c>
      <c r="E1472" s="12">
        <f>IFERROR(__xludf.DUMMYFUNCTION("""COMPUTED_VALUE"""),3.0)</f>
        <v>3</v>
      </c>
      <c r="F1472" s="12">
        <f>IFERROR(__xludf.DUMMYFUNCTION("""COMPUTED_VALUE"""),4.0)</f>
        <v>4</v>
      </c>
      <c r="G1472" s="15" t="str">
        <f>IFERROR(__xludf.DUMMYFUNCTION("""COMPUTED_VALUE"""),"Completa")</f>
        <v>Completa</v>
      </c>
      <c r="H1472" s="16" t="str">
        <f t="array" ref="H1472">_xlfn.XLOOKUP(D1472,Productos[ID_Producto],Productos[Nombre_Producto])</f>
        <v>Arroz</v>
      </c>
      <c r="I1472" s="17">
        <f t="array" ref="I1472">_xlfn.XLOOKUP(D1472,Productos[ID_Producto],Productos[Precio_Unitario])</f>
        <v>4.25</v>
      </c>
      <c r="J1472" s="17">
        <f t="shared" si="1"/>
        <v>12.75</v>
      </c>
      <c r="K1472" s="16" t="str">
        <f t="array" ref="K1472">_xlfn.XLOOKUP(C1472,Clientes[ID_Cliente],Clientes[Provincia])</f>
        <v>Neuquén</v>
      </c>
      <c r="L1472" s="16" t="str">
        <f t="array" ref="L1472">CONCATENATE(_xlfn.XLOOKUP(C1472,Clientes[ID_Cliente],Clientes[Provincia]),", Argentina")</f>
        <v>Neuquén, Argentina</v>
      </c>
      <c r="M1472" s="20" t="str">
        <f t="array" ref="M1472">_xlfn.XLOOKUP(F1472,Metodos_De_Pago[ID_Metodo],Metodos_De_Pago[Metodo])</f>
        <v>Mercado Pago</v>
      </c>
      <c r="N1472" s="20" t="str">
        <f t="shared" si="2"/>
        <v>2024 11</v>
      </c>
    </row>
    <row r="1473" ht="22.5" customHeight="1">
      <c r="A1473" s="12">
        <f>IFERROR(__xludf.DUMMYFUNCTION("""COMPUTED_VALUE"""),2000.0)</f>
        <v>2000</v>
      </c>
      <c r="B1473" s="13">
        <f>IFERROR(__xludf.DUMMYFUNCTION("""COMPUTED_VALUE"""),45616.0)</f>
        <v>45616</v>
      </c>
      <c r="C1473" s="12">
        <f>IFERROR(__xludf.DUMMYFUNCTION("""COMPUTED_VALUE"""),151.0)</f>
        <v>151</v>
      </c>
      <c r="D1473" s="12">
        <f>IFERROR(__xludf.DUMMYFUNCTION("""COMPUTED_VALUE"""),9.0)</f>
        <v>9</v>
      </c>
      <c r="E1473" s="12">
        <f>IFERROR(__xludf.DUMMYFUNCTION("""COMPUTED_VALUE"""),3.0)</f>
        <v>3</v>
      </c>
      <c r="F1473" s="12">
        <f>IFERROR(__xludf.DUMMYFUNCTION("""COMPUTED_VALUE"""),3.0)</f>
        <v>3</v>
      </c>
      <c r="G1473" s="15" t="str">
        <f>IFERROR(__xludf.DUMMYFUNCTION("""COMPUTED_VALUE"""),"Completa")</f>
        <v>Completa</v>
      </c>
      <c r="H1473" s="16" t="str">
        <f t="array" ref="H1473">_xlfn.XLOOKUP(D1473,Productos[ID_Producto],Productos[Nombre_Producto])</f>
        <v>Pollo</v>
      </c>
      <c r="I1473" s="17">
        <f t="array" ref="I1473">_xlfn.XLOOKUP(D1473,Productos[ID_Producto],Productos[Precio_Unitario])</f>
        <v>18.56</v>
      </c>
      <c r="J1473" s="17">
        <f t="shared" si="1"/>
        <v>55.68</v>
      </c>
      <c r="K1473" s="16" t="str">
        <f t="array" ref="K1473">_xlfn.XLOOKUP(C1473,Clientes[ID_Cliente],Clientes[Provincia])</f>
        <v>Buenos Aires</v>
      </c>
      <c r="L1473" s="16" t="str">
        <f t="array" ref="L1473">CONCATENATE(_xlfn.XLOOKUP(C1473,Clientes[ID_Cliente],Clientes[Provincia]),", Argentina")</f>
        <v>Buenos Aires, Argentina</v>
      </c>
      <c r="M1473" s="20" t="str">
        <f t="array" ref="M1473">_xlfn.XLOOKUP(F1473,Metodos_De_Pago[ID_Metodo],Metodos_De_Pago[Metodo])</f>
        <v>Tarjeta de Débito</v>
      </c>
      <c r="N1473" s="20" t="str">
        <f t="shared" si="2"/>
        <v>2024 11</v>
      </c>
    </row>
    <row r="1474" ht="22.5" customHeight="1">
      <c r="A1474" s="12">
        <f>IFERROR(__xludf.DUMMYFUNCTION("""COMPUTED_VALUE"""),885.0)</f>
        <v>885</v>
      </c>
      <c r="B1474" s="13">
        <f>IFERROR(__xludf.DUMMYFUNCTION("""COMPUTED_VALUE"""),45617.0)</f>
        <v>45617</v>
      </c>
      <c r="C1474" s="12">
        <f>IFERROR(__xludf.DUMMYFUNCTION("""COMPUTED_VALUE"""),72.0)</f>
        <v>72</v>
      </c>
      <c r="D1474" s="12">
        <f>IFERROR(__xludf.DUMMYFUNCTION("""COMPUTED_VALUE"""),26.0)</f>
        <v>26</v>
      </c>
      <c r="E1474" s="12">
        <f>IFERROR(__xludf.DUMMYFUNCTION("""COMPUTED_VALUE"""),3.0)</f>
        <v>3</v>
      </c>
      <c r="F1474" s="12">
        <f>IFERROR(__xludf.DUMMYFUNCTION("""COMPUTED_VALUE"""),5.0)</f>
        <v>5</v>
      </c>
      <c r="G1474" s="15" t="str">
        <f>IFERROR(__xludf.DUMMYFUNCTION("""COMPUTED_VALUE"""),"Completa")</f>
        <v>Completa</v>
      </c>
      <c r="H1474" s="16" t="str">
        <f t="array" ref="H1474">_xlfn.XLOOKUP(D1474,Productos[ID_Producto],Productos[Nombre_Producto])</f>
        <v>Hamburgesas congeladas</v>
      </c>
      <c r="I1474" s="17">
        <f t="array" ref="I1474">_xlfn.XLOOKUP(D1474,Productos[ID_Producto],Productos[Precio_Unitario])</f>
        <v>9.54</v>
      </c>
      <c r="J1474" s="17">
        <f t="shared" si="1"/>
        <v>28.62</v>
      </c>
      <c r="K1474" s="16" t="str">
        <f t="array" ref="K1474">_xlfn.XLOOKUP(C1474,Clientes[ID_Cliente],Clientes[Provincia])</f>
        <v>Córdoba</v>
      </c>
      <c r="L1474" s="16" t="str">
        <f t="array" ref="L1474">CONCATENATE(_xlfn.XLOOKUP(C1474,Clientes[ID_Cliente],Clientes[Provincia]),", Argentina")</f>
        <v>Córdoba, Argentina</v>
      </c>
      <c r="M1474" s="20" t="str">
        <f t="array" ref="M1474">_xlfn.XLOOKUP(F1474,Metodos_De_Pago[ID_Metodo],Metodos_De_Pago[Metodo])</f>
        <v>Transferencia</v>
      </c>
      <c r="N1474" s="20" t="str">
        <f t="shared" si="2"/>
        <v>2024 11</v>
      </c>
    </row>
    <row r="1475" ht="22.5" customHeight="1">
      <c r="A1475" s="12">
        <f>IFERROR(__xludf.DUMMYFUNCTION("""COMPUTED_VALUE"""),127.0)</f>
        <v>127</v>
      </c>
      <c r="B1475" s="13">
        <f>IFERROR(__xludf.DUMMYFUNCTION("""COMPUTED_VALUE"""),45619.0)</f>
        <v>45619</v>
      </c>
      <c r="C1475" s="12">
        <f>IFERROR(__xludf.DUMMYFUNCTION("""COMPUTED_VALUE"""),95.0)</f>
        <v>95</v>
      </c>
      <c r="D1475" s="12">
        <f>IFERROR(__xludf.DUMMYFUNCTION("""COMPUTED_VALUE"""),1.0)</f>
        <v>1</v>
      </c>
      <c r="E1475" s="12">
        <f>IFERROR(__xludf.DUMMYFUNCTION("""COMPUTED_VALUE"""),3.0)</f>
        <v>3</v>
      </c>
      <c r="F1475" s="12">
        <f>IFERROR(__xludf.DUMMYFUNCTION("""COMPUTED_VALUE"""),5.0)</f>
        <v>5</v>
      </c>
      <c r="G1475" s="15" t="str">
        <f>IFERROR(__xludf.DUMMYFUNCTION("""COMPUTED_VALUE"""),"Pendiente")</f>
        <v>Pendiente</v>
      </c>
      <c r="H1475" s="16" t="str">
        <f t="array" ref="H1475">_xlfn.XLOOKUP(D1475,Productos[ID_Producto],Productos[Nombre_Producto])</f>
        <v>Leche</v>
      </c>
      <c r="I1475" s="17">
        <f t="array" ref="I1475">_xlfn.XLOOKUP(D1475,Productos[ID_Producto],Productos[Precio_Unitario])</f>
        <v>12.24</v>
      </c>
      <c r="J1475" s="17">
        <f t="shared" si="1"/>
        <v>36.72</v>
      </c>
      <c r="K1475" s="16" t="str">
        <f t="array" ref="K1475">_xlfn.XLOOKUP(C1475,Clientes[ID_Cliente],Clientes[Provincia])</f>
        <v>Buenos Aires</v>
      </c>
      <c r="L1475" s="16" t="str">
        <f t="array" ref="L1475">CONCATENATE(_xlfn.XLOOKUP(C1475,Clientes[ID_Cliente],Clientes[Provincia]),", Argentina")</f>
        <v>Buenos Aires, Argentina</v>
      </c>
      <c r="M1475" s="20" t="str">
        <f t="array" ref="M1475">_xlfn.XLOOKUP(F1475,Metodos_De_Pago[ID_Metodo],Metodos_De_Pago[Metodo])</f>
        <v>Transferencia</v>
      </c>
      <c r="N1475" s="20" t="str">
        <f t="shared" si="2"/>
        <v>2024 11</v>
      </c>
    </row>
    <row r="1476" ht="22.5" customHeight="1">
      <c r="A1476" s="12">
        <f>IFERROR(__xludf.DUMMYFUNCTION("""COMPUTED_VALUE"""),231.0)</f>
        <v>231</v>
      </c>
      <c r="B1476" s="13">
        <f>IFERROR(__xludf.DUMMYFUNCTION("""COMPUTED_VALUE"""),45619.0)</f>
        <v>45619</v>
      </c>
      <c r="C1476" s="12">
        <f>IFERROR(__xludf.DUMMYFUNCTION("""COMPUTED_VALUE"""),39.0)</f>
        <v>39</v>
      </c>
      <c r="D1476" s="12">
        <f>IFERROR(__xludf.DUMMYFUNCTION("""COMPUTED_VALUE"""),31.0)</f>
        <v>31</v>
      </c>
      <c r="E1476" s="12">
        <f>IFERROR(__xludf.DUMMYFUNCTION("""COMPUTED_VALUE"""),3.0)</f>
        <v>3</v>
      </c>
      <c r="F1476" s="12">
        <f>IFERROR(__xludf.DUMMYFUNCTION("""COMPUTED_VALUE"""),1.0)</f>
        <v>1</v>
      </c>
      <c r="G1476" s="15" t="str">
        <f>IFERROR(__xludf.DUMMYFUNCTION("""COMPUTED_VALUE"""),"Pendiente")</f>
        <v>Pendiente</v>
      </c>
      <c r="H1476" s="16" t="str">
        <f t="array" ref="H1476">_xlfn.XLOOKUP(D1476,Productos[ID_Producto],Productos[Nombre_Producto])</f>
        <v>Galletitas de agua</v>
      </c>
      <c r="I1476" s="17">
        <f t="array" ref="I1476">_xlfn.XLOOKUP(D1476,Productos[ID_Producto],Productos[Precio_Unitario])</f>
        <v>5.24</v>
      </c>
      <c r="J1476" s="17">
        <f t="shared" si="1"/>
        <v>15.72</v>
      </c>
      <c r="K1476" s="16" t="str">
        <f t="array" ref="K1476">_xlfn.XLOOKUP(C1476,Clientes[ID_Cliente],Clientes[Provincia])</f>
        <v>Neuquén</v>
      </c>
      <c r="L1476" s="16" t="str">
        <f t="array" ref="L1476">CONCATENATE(_xlfn.XLOOKUP(C1476,Clientes[ID_Cliente],Clientes[Provincia]),", Argentina")</f>
        <v>Neuquén, Argentina</v>
      </c>
      <c r="M1476" s="20" t="str">
        <f t="array" ref="M1476">_xlfn.XLOOKUP(F1476,Metodos_De_Pago[ID_Metodo],Metodos_De_Pago[Metodo])</f>
        <v>Efectivo</v>
      </c>
      <c r="N1476" s="20" t="str">
        <f t="shared" si="2"/>
        <v>2024 11</v>
      </c>
    </row>
    <row r="1477" ht="22.5" customHeight="1">
      <c r="A1477" s="12">
        <f>IFERROR(__xludf.DUMMYFUNCTION("""COMPUTED_VALUE"""),1378.0)</f>
        <v>1378</v>
      </c>
      <c r="B1477" s="13">
        <f>IFERROR(__xludf.DUMMYFUNCTION("""COMPUTED_VALUE"""),45619.0)</f>
        <v>45619</v>
      </c>
      <c r="C1477" s="12">
        <f>IFERROR(__xludf.DUMMYFUNCTION("""COMPUTED_VALUE"""),95.0)</f>
        <v>95</v>
      </c>
      <c r="D1477" s="12">
        <f>IFERROR(__xludf.DUMMYFUNCTION("""COMPUTED_VALUE"""),5.0)</f>
        <v>5</v>
      </c>
      <c r="E1477" s="12">
        <f>IFERROR(__xludf.DUMMYFUNCTION("""COMPUTED_VALUE"""),3.0)</f>
        <v>3</v>
      </c>
      <c r="F1477" s="12">
        <f>IFERROR(__xludf.DUMMYFUNCTION("""COMPUTED_VALUE"""),5.0)</f>
        <v>5</v>
      </c>
      <c r="G1477" s="15" t="str">
        <f>IFERROR(__xludf.DUMMYFUNCTION("""COMPUTED_VALUE"""),"Completa")</f>
        <v>Completa</v>
      </c>
      <c r="H1477" s="16" t="str">
        <f t="array" ref="H1477">_xlfn.XLOOKUP(D1477,Productos[ID_Producto],Productos[Nombre_Producto])</f>
        <v>Manteca</v>
      </c>
      <c r="I1477" s="17">
        <f t="array" ref="I1477">_xlfn.XLOOKUP(D1477,Productos[ID_Producto],Productos[Precio_Unitario])</f>
        <v>5.65</v>
      </c>
      <c r="J1477" s="17">
        <f t="shared" si="1"/>
        <v>16.95</v>
      </c>
      <c r="K1477" s="16" t="str">
        <f t="array" ref="K1477">_xlfn.XLOOKUP(C1477,Clientes[ID_Cliente],Clientes[Provincia])</f>
        <v>Buenos Aires</v>
      </c>
      <c r="L1477" s="16" t="str">
        <f t="array" ref="L1477">CONCATENATE(_xlfn.XLOOKUP(C1477,Clientes[ID_Cliente],Clientes[Provincia]),", Argentina")</f>
        <v>Buenos Aires, Argentina</v>
      </c>
      <c r="M1477" s="20" t="str">
        <f t="array" ref="M1477">_xlfn.XLOOKUP(F1477,Metodos_De_Pago[ID_Metodo],Metodos_De_Pago[Metodo])</f>
        <v>Transferencia</v>
      </c>
      <c r="N1477" s="20" t="str">
        <f t="shared" si="2"/>
        <v>2024 11</v>
      </c>
    </row>
    <row r="1478" ht="22.5" customHeight="1">
      <c r="A1478" s="12">
        <f>IFERROR(__xludf.DUMMYFUNCTION("""COMPUTED_VALUE"""),1578.0)</f>
        <v>1578</v>
      </c>
      <c r="B1478" s="13">
        <f>IFERROR(__xludf.DUMMYFUNCTION("""COMPUTED_VALUE"""),45619.0)</f>
        <v>45619</v>
      </c>
      <c r="C1478" s="12">
        <f>IFERROR(__xludf.DUMMYFUNCTION("""COMPUTED_VALUE"""),283.0)</f>
        <v>283</v>
      </c>
      <c r="D1478" s="12">
        <f>IFERROR(__xludf.DUMMYFUNCTION("""COMPUTED_VALUE"""),27.0)</f>
        <v>27</v>
      </c>
      <c r="E1478" s="12">
        <f>IFERROR(__xludf.DUMMYFUNCTION("""COMPUTED_VALUE"""),3.0)</f>
        <v>3</v>
      </c>
      <c r="F1478" s="12">
        <f>IFERROR(__xludf.DUMMYFUNCTION("""COMPUTED_VALUE"""),3.0)</f>
        <v>3</v>
      </c>
      <c r="G1478" s="15" t="str">
        <f>IFERROR(__xludf.DUMMYFUNCTION("""COMPUTED_VALUE"""),"Completa")</f>
        <v>Completa</v>
      </c>
      <c r="H1478" s="16" t="str">
        <f t="array" ref="H1478">_xlfn.XLOOKUP(D1478,Productos[ID_Producto],Productos[Nombre_Producto])</f>
        <v>Agua mineral</v>
      </c>
      <c r="I1478" s="17">
        <f t="array" ref="I1478">_xlfn.XLOOKUP(D1478,Productos[ID_Producto],Productos[Precio_Unitario])</f>
        <v>6.21</v>
      </c>
      <c r="J1478" s="17">
        <f t="shared" si="1"/>
        <v>18.63</v>
      </c>
      <c r="K1478" s="16" t="str">
        <f t="array" ref="K1478">_xlfn.XLOOKUP(C1478,Clientes[ID_Cliente],Clientes[Provincia])</f>
        <v>Buenos Aires</v>
      </c>
      <c r="L1478" s="16" t="str">
        <f t="array" ref="L1478">CONCATENATE(_xlfn.XLOOKUP(C1478,Clientes[ID_Cliente],Clientes[Provincia]),", Argentina")</f>
        <v>Buenos Aires, Argentina</v>
      </c>
      <c r="M1478" s="20" t="str">
        <f t="array" ref="M1478">_xlfn.XLOOKUP(F1478,Metodos_De_Pago[ID_Metodo],Metodos_De_Pago[Metodo])</f>
        <v>Tarjeta de Débito</v>
      </c>
      <c r="N1478" s="20" t="str">
        <f t="shared" si="2"/>
        <v>2024 11</v>
      </c>
    </row>
    <row r="1479" ht="22.5" customHeight="1">
      <c r="A1479" s="12">
        <f>IFERROR(__xludf.DUMMYFUNCTION("""COMPUTED_VALUE"""),1150.0)</f>
        <v>1150</v>
      </c>
      <c r="B1479" s="13">
        <f>IFERROR(__xludf.DUMMYFUNCTION("""COMPUTED_VALUE"""),45621.0)</f>
        <v>45621</v>
      </c>
      <c r="C1479" s="12">
        <f>IFERROR(__xludf.DUMMYFUNCTION("""COMPUTED_VALUE"""),274.0)</f>
        <v>274</v>
      </c>
      <c r="D1479" s="12">
        <f>IFERROR(__xludf.DUMMYFUNCTION("""COMPUTED_VALUE"""),12.0)</f>
        <v>12</v>
      </c>
      <c r="E1479" s="12">
        <f>IFERROR(__xludf.DUMMYFUNCTION("""COMPUTED_VALUE"""),3.0)</f>
        <v>3</v>
      </c>
      <c r="F1479" s="12">
        <f>IFERROR(__xludf.DUMMYFUNCTION("""COMPUTED_VALUE"""),5.0)</f>
        <v>5</v>
      </c>
      <c r="G1479" s="15" t="str">
        <f>IFERROR(__xludf.DUMMYFUNCTION("""COMPUTED_VALUE"""),"Pendiente")</f>
        <v>Pendiente</v>
      </c>
      <c r="H1479" s="16" t="str">
        <f t="array" ref="H1479">_xlfn.XLOOKUP(D1479,Productos[ID_Producto],Productos[Nombre_Producto])</f>
        <v>Pan francés</v>
      </c>
      <c r="I1479" s="17">
        <f t="array" ref="I1479">_xlfn.XLOOKUP(D1479,Productos[ID_Producto],Productos[Precio_Unitario])</f>
        <v>8.12</v>
      </c>
      <c r="J1479" s="17">
        <f t="shared" si="1"/>
        <v>24.36</v>
      </c>
      <c r="K1479" s="16" t="str">
        <f t="array" ref="K1479">_xlfn.XLOOKUP(C1479,Clientes[ID_Cliente],Clientes[Provincia])</f>
        <v>Buenos Aires</v>
      </c>
      <c r="L1479" s="16" t="str">
        <f t="array" ref="L1479">CONCATENATE(_xlfn.XLOOKUP(C1479,Clientes[ID_Cliente],Clientes[Provincia]),", Argentina")</f>
        <v>Buenos Aires, Argentina</v>
      </c>
      <c r="M1479" s="20" t="str">
        <f t="array" ref="M1479">_xlfn.XLOOKUP(F1479,Metodos_De_Pago[ID_Metodo],Metodos_De_Pago[Metodo])</f>
        <v>Transferencia</v>
      </c>
      <c r="N1479" s="20" t="str">
        <f t="shared" si="2"/>
        <v>2024 11</v>
      </c>
    </row>
    <row r="1480" ht="22.5" customHeight="1">
      <c r="A1480" s="12">
        <f>IFERROR(__xludf.DUMMYFUNCTION("""COMPUTED_VALUE"""),1105.0)</f>
        <v>1105</v>
      </c>
      <c r="B1480" s="13">
        <f>IFERROR(__xludf.DUMMYFUNCTION("""COMPUTED_VALUE"""),45622.0)</f>
        <v>45622</v>
      </c>
      <c r="C1480" s="12">
        <f>IFERROR(__xludf.DUMMYFUNCTION("""COMPUTED_VALUE"""),247.0)</f>
        <v>247</v>
      </c>
      <c r="D1480" s="12">
        <f>IFERROR(__xludf.DUMMYFUNCTION("""COMPUTED_VALUE"""),26.0)</f>
        <v>26</v>
      </c>
      <c r="E1480" s="12">
        <f>IFERROR(__xludf.DUMMYFUNCTION("""COMPUTED_VALUE"""),3.0)</f>
        <v>3</v>
      </c>
      <c r="F1480" s="12">
        <f>IFERROR(__xludf.DUMMYFUNCTION("""COMPUTED_VALUE"""),1.0)</f>
        <v>1</v>
      </c>
      <c r="G1480" s="15" t="str">
        <f>IFERROR(__xludf.DUMMYFUNCTION("""COMPUTED_VALUE"""),"Completa")</f>
        <v>Completa</v>
      </c>
      <c r="H1480" s="16" t="str">
        <f t="array" ref="H1480">_xlfn.XLOOKUP(D1480,Productos[ID_Producto],Productos[Nombre_Producto])</f>
        <v>Hamburgesas congeladas</v>
      </c>
      <c r="I1480" s="17">
        <f t="array" ref="I1480">_xlfn.XLOOKUP(D1480,Productos[ID_Producto],Productos[Precio_Unitario])</f>
        <v>9.54</v>
      </c>
      <c r="J1480" s="17">
        <f t="shared" si="1"/>
        <v>28.62</v>
      </c>
      <c r="K1480" s="16" t="str">
        <f t="array" ref="K1480">_xlfn.XLOOKUP(C1480,Clientes[ID_Cliente],Clientes[Provincia])</f>
        <v>Buenos Aires</v>
      </c>
      <c r="L1480" s="16" t="str">
        <f t="array" ref="L1480">CONCATENATE(_xlfn.XLOOKUP(C1480,Clientes[ID_Cliente],Clientes[Provincia]),", Argentina")</f>
        <v>Buenos Aires, Argentina</v>
      </c>
      <c r="M1480" s="20" t="str">
        <f t="array" ref="M1480">_xlfn.XLOOKUP(F1480,Metodos_De_Pago[ID_Metodo],Metodos_De_Pago[Metodo])</f>
        <v>Efectivo</v>
      </c>
      <c r="N1480" s="20" t="str">
        <f t="shared" si="2"/>
        <v>2024 11</v>
      </c>
    </row>
    <row r="1481" ht="22.5" customHeight="1">
      <c r="A1481" s="12">
        <f>IFERROR(__xludf.DUMMYFUNCTION("""COMPUTED_VALUE"""),2871.0)</f>
        <v>2871</v>
      </c>
      <c r="B1481" s="13">
        <f>IFERROR(__xludf.DUMMYFUNCTION("""COMPUTED_VALUE"""),45622.0)</f>
        <v>45622</v>
      </c>
      <c r="C1481" s="12">
        <f>IFERROR(__xludf.DUMMYFUNCTION("""COMPUTED_VALUE"""),219.0)</f>
        <v>219</v>
      </c>
      <c r="D1481" s="12">
        <f>IFERROR(__xludf.DUMMYFUNCTION("""COMPUTED_VALUE"""),5.0)</f>
        <v>5</v>
      </c>
      <c r="E1481" s="12">
        <f>IFERROR(__xludf.DUMMYFUNCTION("""COMPUTED_VALUE"""),3.0)</f>
        <v>3</v>
      </c>
      <c r="F1481" s="12">
        <f>IFERROR(__xludf.DUMMYFUNCTION("""COMPUTED_VALUE"""),3.0)</f>
        <v>3</v>
      </c>
      <c r="G1481" s="15" t="str">
        <f>IFERROR(__xludf.DUMMYFUNCTION("""COMPUTED_VALUE"""),"Completa")</f>
        <v>Completa</v>
      </c>
      <c r="H1481" s="16" t="str">
        <f t="array" ref="H1481">_xlfn.XLOOKUP(D1481,Productos[ID_Producto],Productos[Nombre_Producto])</f>
        <v>Manteca</v>
      </c>
      <c r="I1481" s="17">
        <f t="array" ref="I1481">_xlfn.XLOOKUP(D1481,Productos[ID_Producto],Productos[Precio_Unitario])</f>
        <v>5.65</v>
      </c>
      <c r="J1481" s="17">
        <f t="shared" si="1"/>
        <v>16.95</v>
      </c>
      <c r="K1481" s="16" t="str">
        <f t="array" ref="K1481">_xlfn.XLOOKUP(C1481,Clientes[ID_Cliente],Clientes[Provincia])</f>
        <v>Neuquén</v>
      </c>
      <c r="L1481" s="16" t="str">
        <f t="array" ref="L1481">CONCATENATE(_xlfn.XLOOKUP(C1481,Clientes[ID_Cliente],Clientes[Provincia]),", Argentina")</f>
        <v>Neuquén, Argentina</v>
      </c>
      <c r="M1481" s="20" t="str">
        <f t="array" ref="M1481">_xlfn.XLOOKUP(F1481,Metodos_De_Pago[ID_Metodo],Metodos_De_Pago[Metodo])</f>
        <v>Tarjeta de Débito</v>
      </c>
      <c r="N1481" s="20" t="str">
        <f t="shared" si="2"/>
        <v>2024 11</v>
      </c>
    </row>
    <row r="1482" ht="22.5" customHeight="1">
      <c r="A1482" s="12">
        <f>IFERROR(__xludf.DUMMYFUNCTION("""COMPUTED_VALUE"""),942.0)</f>
        <v>942</v>
      </c>
      <c r="B1482" s="13">
        <f>IFERROR(__xludf.DUMMYFUNCTION("""COMPUTED_VALUE"""),45624.0)</f>
        <v>45624</v>
      </c>
      <c r="C1482" s="12">
        <f>IFERROR(__xludf.DUMMYFUNCTION("""COMPUTED_VALUE"""),5.0)</f>
        <v>5</v>
      </c>
      <c r="D1482" s="12">
        <f>IFERROR(__xludf.DUMMYFUNCTION("""COMPUTED_VALUE"""),34.0)</f>
        <v>34</v>
      </c>
      <c r="E1482" s="12">
        <f>IFERROR(__xludf.DUMMYFUNCTION("""COMPUTED_VALUE"""),3.0)</f>
        <v>3</v>
      </c>
      <c r="F1482" s="12">
        <f>IFERROR(__xludf.DUMMYFUNCTION("""COMPUTED_VALUE"""),3.0)</f>
        <v>3</v>
      </c>
      <c r="G1482" s="15" t="str">
        <f>IFERROR(__xludf.DUMMYFUNCTION("""COMPUTED_VALUE"""),"Completa")</f>
        <v>Completa</v>
      </c>
      <c r="H1482" s="16" t="str">
        <f t="array" ref="H1482">_xlfn.XLOOKUP(D1482,Productos[ID_Producto],Productos[Nombre_Producto])</f>
        <v>Maníes</v>
      </c>
      <c r="I1482" s="17">
        <f t="array" ref="I1482">_xlfn.XLOOKUP(D1482,Productos[ID_Producto],Productos[Precio_Unitario])</f>
        <v>5.45</v>
      </c>
      <c r="J1482" s="17">
        <f t="shared" si="1"/>
        <v>16.35</v>
      </c>
      <c r="K1482" s="16" t="str">
        <f t="array" ref="K1482">_xlfn.XLOOKUP(C1482,Clientes[ID_Cliente],Clientes[Provincia])</f>
        <v>Córdoba</v>
      </c>
      <c r="L1482" s="16" t="str">
        <f t="array" ref="L1482">CONCATENATE(_xlfn.XLOOKUP(C1482,Clientes[ID_Cliente],Clientes[Provincia]),", Argentina")</f>
        <v>Córdoba, Argentina</v>
      </c>
      <c r="M1482" s="20" t="str">
        <f t="array" ref="M1482">_xlfn.XLOOKUP(F1482,Metodos_De_Pago[ID_Metodo],Metodos_De_Pago[Metodo])</f>
        <v>Tarjeta de Débito</v>
      </c>
      <c r="N1482" s="20" t="str">
        <f t="shared" si="2"/>
        <v>2024 11</v>
      </c>
    </row>
    <row r="1483" ht="22.5" customHeight="1">
      <c r="A1483" s="12">
        <f>IFERROR(__xludf.DUMMYFUNCTION("""COMPUTED_VALUE"""),2369.0)</f>
        <v>2369</v>
      </c>
      <c r="B1483" s="13">
        <f>IFERROR(__xludf.DUMMYFUNCTION("""COMPUTED_VALUE"""),45624.0)</f>
        <v>45624</v>
      </c>
      <c r="C1483" s="12">
        <f>IFERROR(__xludf.DUMMYFUNCTION("""COMPUTED_VALUE"""),283.0)</f>
        <v>283</v>
      </c>
      <c r="D1483" s="12">
        <f>IFERROR(__xludf.DUMMYFUNCTION("""COMPUTED_VALUE"""),34.0)</f>
        <v>34</v>
      </c>
      <c r="E1483" s="12">
        <f>IFERROR(__xludf.DUMMYFUNCTION("""COMPUTED_VALUE"""),3.0)</f>
        <v>3</v>
      </c>
      <c r="F1483" s="12">
        <f>IFERROR(__xludf.DUMMYFUNCTION("""COMPUTED_VALUE"""),4.0)</f>
        <v>4</v>
      </c>
      <c r="G1483" s="15" t="str">
        <f>IFERROR(__xludf.DUMMYFUNCTION("""COMPUTED_VALUE"""),"Completa")</f>
        <v>Completa</v>
      </c>
      <c r="H1483" s="16" t="str">
        <f t="array" ref="H1483">_xlfn.XLOOKUP(D1483,Productos[ID_Producto],Productos[Nombre_Producto])</f>
        <v>Maníes</v>
      </c>
      <c r="I1483" s="17">
        <f t="array" ref="I1483">_xlfn.XLOOKUP(D1483,Productos[ID_Producto],Productos[Precio_Unitario])</f>
        <v>5.45</v>
      </c>
      <c r="J1483" s="17">
        <f t="shared" si="1"/>
        <v>16.35</v>
      </c>
      <c r="K1483" s="16" t="str">
        <f t="array" ref="K1483">_xlfn.XLOOKUP(C1483,Clientes[ID_Cliente],Clientes[Provincia])</f>
        <v>Buenos Aires</v>
      </c>
      <c r="L1483" s="16" t="str">
        <f t="array" ref="L1483">CONCATENATE(_xlfn.XLOOKUP(C1483,Clientes[ID_Cliente],Clientes[Provincia]),", Argentina")</f>
        <v>Buenos Aires, Argentina</v>
      </c>
      <c r="M1483" s="20" t="str">
        <f t="array" ref="M1483">_xlfn.XLOOKUP(F1483,Metodos_De_Pago[ID_Metodo],Metodos_De_Pago[Metodo])</f>
        <v>Mercado Pago</v>
      </c>
      <c r="N1483" s="20" t="str">
        <f t="shared" si="2"/>
        <v>2024 11</v>
      </c>
    </row>
    <row r="1484" ht="22.5" customHeight="1">
      <c r="A1484" s="12">
        <f>IFERROR(__xludf.DUMMYFUNCTION("""COMPUTED_VALUE"""),2353.0)</f>
        <v>2353</v>
      </c>
      <c r="B1484" s="13">
        <f>IFERROR(__xludf.DUMMYFUNCTION("""COMPUTED_VALUE"""),45626.0)</f>
        <v>45626</v>
      </c>
      <c r="C1484" s="12">
        <f>IFERROR(__xludf.DUMMYFUNCTION("""COMPUTED_VALUE"""),39.0)</f>
        <v>39</v>
      </c>
      <c r="D1484" s="12">
        <f>IFERROR(__xludf.DUMMYFUNCTION("""COMPUTED_VALUE"""),33.0)</f>
        <v>33</v>
      </c>
      <c r="E1484" s="12">
        <f>IFERROR(__xludf.DUMMYFUNCTION("""COMPUTED_VALUE"""),3.0)</f>
        <v>3</v>
      </c>
      <c r="F1484" s="12">
        <f>IFERROR(__xludf.DUMMYFUNCTION("""COMPUTED_VALUE"""),2.0)</f>
        <v>2</v>
      </c>
      <c r="G1484" s="15" t="str">
        <f>IFERROR(__xludf.DUMMYFUNCTION("""COMPUTED_VALUE"""),"Completa")</f>
        <v>Completa</v>
      </c>
      <c r="H1484" s="16" t="str">
        <f t="array" ref="H1484">_xlfn.XLOOKUP(D1484,Productos[ID_Producto],Productos[Nombre_Producto])</f>
        <v>Papas chips</v>
      </c>
      <c r="I1484" s="17">
        <f t="array" ref="I1484">_xlfn.XLOOKUP(D1484,Productos[ID_Producto],Productos[Precio_Unitario])</f>
        <v>8.54</v>
      </c>
      <c r="J1484" s="17">
        <f t="shared" si="1"/>
        <v>25.62</v>
      </c>
      <c r="K1484" s="16" t="str">
        <f t="array" ref="K1484">_xlfn.XLOOKUP(C1484,Clientes[ID_Cliente],Clientes[Provincia])</f>
        <v>Neuquén</v>
      </c>
      <c r="L1484" s="16" t="str">
        <f t="array" ref="L1484">CONCATENATE(_xlfn.XLOOKUP(C1484,Clientes[ID_Cliente],Clientes[Provincia]),", Argentina")</f>
        <v>Neuquén, Argentina</v>
      </c>
      <c r="M1484" s="20" t="str">
        <f t="array" ref="M1484">_xlfn.XLOOKUP(F1484,Metodos_De_Pago[ID_Metodo],Metodos_De_Pago[Metodo])</f>
        <v>Tarjeta de Crédito</v>
      </c>
      <c r="N1484" s="20" t="str">
        <f t="shared" si="2"/>
        <v>2024 11</v>
      </c>
    </row>
    <row r="1485" ht="22.5" customHeight="1">
      <c r="A1485" s="12">
        <f>IFERROR(__xludf.DUMMYFUNCTION("""COMPUTED_VALUE"""),2984.0)</f>
        <v>2984</v>
      </c>
      <c r="B1485" s="13">
        <f>IFERROR(__xludf.DUMMYFUNCTION("""COMPUTED_VALUE"""),45626.0)</f>
        <v>45626</v>
      </c>
      <c r="C1485" s="12">
        <f>IFERROR(__xludf.DUMMYFUNCTION("""COMPUTED_VALUE"""),95.0)</f>
        <v>95</v>
      </c>
      <c r="D1485" s="12">
        <f>IFERROR(__xludf.DUMMYFUNCTION("""COMPUTED_VALUE"""),36.0)</f>
        <v>36</v>
      </c>
      <c r="E1485" s="12">
        <f>IFERROR(__xludf.DUMMYFUNCTION("""COMPUTED_VALUE"""),3.0)</f>
        <v>3</v>
      </c>
      <c r="F1485" s="12">
        <f>IFERROR(__xludf.DUMMYFUNCTION("""COMPUTED_VALUE"""),5.0)</f>
        <v>5</v>
      </c>
      <c r="G1485" s="15" t="str">
        <f>IFERROR(__xludf.DUMMYFUNCTION("""COMPUTED_VALUE"""),"Completa")</f>
        <v>Completa</v>
      </c>
      <c r="H1485" s="16" t="str">
        <f t="array" ref="H1485">_xlfn.XLOOKUP(D1485,Productos[ID_Producto],Productos[Nombre_Producto])</f>
        <v>Lentejas</v>
      </c>
      <c r="I1485" s="17">
        <f t="array" ref="I1485">_xlfn.XLOOKUP(D1485,Productos[ID_Producto],Productos[Precio_Unitario])</f>
        <v>3.25</v>
      </c>
      <c r="J1485" s="17">
        <f t="shared" si="1"/>
        <v>9.75</v>
      </c>
      <c r="K1485" s="16" t="str">
        <f t="array" ref="K1485">_xlfn.XLOOKUP(C1485,Clientes[ID_Cliente],Clientes[Provincia])</f>
        <v>Buenos Aires</v>
      </c>
      <c r="L1485" s="16" t="str">
        <f t="array" ref="L1485">CONCATENATE(_xlfn.XLOOKUP(C1485,Clientes[ID_Cliente],Clientes[Provincia]),", Argentina")</f>
        <v>Buenos Aires, Argentina</v>
      </c>
      <c r="M1485" s="20" t="str">
        <f t="array" ref="M1485">_xlfn.XLOOKUP(F1485,Metodos_De_Pago[ID_Metodo],Metodos_De_Pago[Metodo])</f>
        <v>Transferencia</v>
      </c>
      <c r="N1485" s="20" t="str">
        <f t="shared" si="2"/>
        <v>2024 11</v>
      </c>
    </row>
    <row r="1486" ht="22.5" customHeight="1">
      <c r="A1486" s="12">
        <f>IFERROR(__xludf.DUMMYFUNCTION("""COMPUTED_VALUE"""),404.0)</f>
        <v>404</v>
      </c>
      <c r="B1486" s="13">
        <f>IFERROR(__xludf.DUMMYFUNCTION("""COMPUTED_VALUE"""),45627.0)</f>
        <v>45627</v>
      </c>
      <c r="C1486" s="12">
        <f>IFERROR(__xludf.DUMMYFUNCTION("""COMPUTED_VALUE"""),72.0)</f>
        <v>72</v>
      </c>
      <c r="D1486" s="12">
        <f>IFERROR(__xludf.DUMMYFUNCTION("""COMPUTED_VALUE"""),29.0)</f>
        <v>29</v>
      </c>
      <c r="E1486" s="12">
        <f>IFERROR(__xludf.DUMMYFUNCTION("""COMPUTED_VALUE"""),3.0)</f>
        <v>3</v>
      </c>
      <c r="F1486" s="12">
        <f>IFERROR(__xludf.DUMMYFUNCTION("""COMPUTED_VALUE"""),1.0)</f>
        <v>1</v>
      </c>
      <c r="G1486" s="15" t="str">
        <f>IFERROR(__xludf.DUMMYFUNCTION("""COMPUTED_VALUE"""),"Pendiente")</f>
        <v>Pendiente</v>
      </c>
      <c r="H1486" s="16" t="str">
        <f t="array" ref="H1486">_xlfn.XLOOKUP(D1486,Productos[ID_Producto],Productos[Nombre_Producto])</f>
        <v>Cerveza</v>
      </c>
      <c r="I1486" s="17">
        <f t="array" ref="I1486">_xlfn.XLOOKUP(D1486,Productos[ID_Producto],Productos[Precio_Unitario])</f>
        <v>11.54</v>
      </c>
      <c r="J1486" s="17">
        <f t="shared" si="1"/>
        <v>34.62</v>
      </c>
      <c r="K1486" s="16" t="str">
        <f t="array" ref="K1486">_xlfn.XLOOKUP(C1486,Clientes[ID_Cliente],Clientes[Provincia])</f>
        <v>Córdoba</v>
      </c>
      <c r="L1486" s="16" t="str">
        <f t="array" ref="L1486">CONCATENATE(_xlfn.XLOOKUP(C1486,Clientes[ID_Cliente],Clientes[Provincia]),", Argentina")</f>
        <v>Córdoba, Argentina</v>
      </c>
      <c r="M1486" s="20" t="str">
        <f t="array" ref="M1486">_xlfn.XLOOKUP(F1486,Metodos_De_Pago[ID_Metodo],Metodos_De_Pago[Metodo])</f>
        <v>Efectivo</v>
      </c>
      <c r="N1486" s="20" t="str">
        <f t="shared" si="2"/>
        <v>2024 12</v>
      </c>
    </row>
    <row r="1487" ht="22.5" customHeight="1">
      <c r="A1487" s="12">
        <f>IFERROR(__xludf.DUMMYFUNCTION("""COMPUTED_VALUE"""),1383.0)</f>
        <v>1383</v>
      </c>
      <c r="B1487" s="13">
        <f>IFERROR(__xludf.DUMMYFUNCTION("""COMPUTED_VALUE"""),45627.0)</f>
        <v>45627</v>
      </c>
      <c r="C1487" s="12">
        <f>IFERROR(__xludf.DUMMYFUNCTION("""COMPUTED_VALUE"""),185.0)</f>
        <v>185</v>
      </c>
      <c r="D1487" s="12">
        <f>IFERROR(__xludf.DUMMYFUNCTION("""COMPUTED_VALUE"""),10.0)</f>
        <v>10</v>
      </c>
      <c r="E1487" s="12">
        <f>IFERROR(__xludf.DUMMYFUNCTION("""COMPUTED_VALUE"""),3.0)</f>
        <v>3</v>
      </c>
      <c r="F1487" s="12">
        <f>IFERROR(__xludf.DUMMYFUNCTION("""COMPUTED_VALUE"""),4.0)</f>
        <v>4</v>
      </c>
      <c r="G1487" s="15" t="str">
        <f>IFERROR(__xludf.DUMMYFUNCTION("""COMPUTED_VALUE"""),"Completa")</f>
        <v>Completa</v>
      </c>
      <c r="H1487" s="16" t="str">
        <f t="array" ref="H1487">_xlfn.XLOOKUP(D1487,Productos[ID_Producto],Productos[Nombre_Producto])</f>
        <v>Costilla de cerdo</v>
      </c>
      <c r="I1487" s="17">
        <f t="array" ref="I1487">_xlfn.XLOOKUP(D1487,Productos[ID_Producto],Productos[Precio_Unitario])</f>
        <v>14.25</v>
      </c>
      <c r="J1487" s="17">
        <f t="shared" si="1"/>
        <v>42.75</v>
      </c>
      <c r="K1487" s="16" t="str">
        <f t="array" ref="K1487">_xlfn.XLOOKUP(C1487,Clientes[ID_Cliente],Clientes[Provincia])</f>
        <v>Córdoba</v>
      </c>
      <c r="L1487" s="16" t="str">
        <f t="array" ref="L1487">CONCATENATE(_xlfn.XLOOKUP(C1487,Clientes[ID_Cliente],Clientes[Provincia]),", Argentina")</f>
        <v>Córdoba, Argentina</v>
      </c>
      <c r="M1487" s="20" t="str">
        <f t="array" ref="M1487">_xlfn.XLOOKUP(F1487,Metodos_De_Pago[ID_Metodo],Metodos_De_Pago[Metodo])</f>
        <v>Mercado Pago</v>
      </c>
      <c r="N1487" s="20" t="str">
        <f t="shared" si="2"/>
        <v>2024 12</v>
      </c>
    </row>
    <row r="1488" ht="22.5" customHeight="1">
      <c r="A1488" s="12">
        <f>IFERROR(__xludf.DUMMYFUNCTION("""COMPUTED_VALUE"""),2039.0)</f>
        <v>2039</v>
      </c>
      <c r="B1488" s="13">
        <f>IFERROR(__xludf.DUMMYFUNCTION("""COMPUTED_VALUE"""),45627.0)</f>
        <v>45627</v>
      </c>
      <c r="C1488" s="12">
        <f>IFERROR(__xludf.DUMMYFUNCTION("""COMPUTED_VALUE"""),88.0)</f>
        <v>88</v>
      </c>
      <c r="D1488" s="12">
        <f>IFERROR(__xludf.DUMMYFUNCTION("""COMPUTED_VALUE"""),12.0)</f>
        <v>12</v>
      </c>
      <c r="E1488" s="12">
        <f>IFERROR(__xludf.DUMMYFUNCTION("""COMPUTED_VALUE"""),3.0)</f>
        <v>3</v>
      </c>
      <c r="F1488" s="12">
        <f>IFERROR(__xludf.DUMMYFUNCTION("""COMPUTED_VALUE"""),1.0)</f>
        <v>1</v>
      </c>
      <c r="G1488" s="15" t="str">
        <f>IFERROR(__xludf.DUMMYFUNCTION("""COMPUTED_VALUE"""),"Completa")</f>
        <v>Completa</v>
      </c>
      <c r="H1488" s="16" t="str">
        <f t="array" ref="H1488">_xlfn.XLOOKUP(D1488,Productos[ID_Producto],Productos[Nombre_Producto])</f>
        <v>Pan francés</v>
      </c>
      <c r="I1488" s="17">
        <f t="array" ref="I1488">_xlfn.XLOOKUP(D1488,Productos[ID_Producto],Productos[Precio_Unitario])</f>
        <v>8.12</v>
      </c>
      <c r="J1488" s="17">
        <f t="shared" si="1"/>
        <v>24.36</v>
      </c>
      <c r="K1488" s="16" t="str">
        <f t="array" ref="K1488">_xlfn.XLOOKUP(C1488,Clientes[ID_Cliente],Clientes[Provincia])</f>
        <v>Neuquén</v>
      </c>
      <c r="L1488" s="16" t="str">
        <f t="array" ref="L1488">CONCATENATE(_xlfn.XLOOKUP(C1488,Clientes[ID_Cliente],Clientes[Provincia]),", Argentina")</f>
        <v>Neuquén, Argentina</v>
      </c>
      <c r="M1488" s="20" t="str">
        <f t="array" ref="M1488">_xlfn.XLOOKUP(F1488,Metodos_De_Pago[ID_Metodo],Metodos_De_Pago[Metodo])</f>
        <v>Efectivo</v>
      </c>
      <c r="N1488" s="20" t="str">
        <f t="shared" si="2"/>
        <v>2024 12</v>
      </c>
    </row>
    <row r="1489" ht="22.5" customHeight="1">
      <c r="A1489" s="12">
        <f>IFERROR(__xludf.DUMMYFUNCTION("""COMPUTED_VALUE"""),1273.0)</f>
        <v>1273</v>
      </c>
      <c r="B1489" s="13">
        <f>IFERROR(__xludf.DUMMYFUNCTION("""COMPUTED_VALUE"""),45628.0)</f>
        <v>45628</v>
      </c>
      <c r="C1489" s="12">
        <f>IFERROR(__xludf.DUMMYFUNCTION("""COMPUTED_VALUE"""),289.0)</f>
        <v>289</v>
      </c>
      <c r="D1489" s="12">
        <f>IFERROR(__xludf.DUMMYFUNCTION("""COMPUTED_VALUE"""),29.0)</f>
        <v>29</v>
      </c>
      <c r="E1489" s="12">
        <f>IFERROR(__xludf.DUMMYFUNCTION("""COMPUTED_VALUE"""),3.0)</f>
        <v>3</v>
      </c>
      <c r="F1489" s="12">
        <f>IFERROR(__xludf.DUMMYFUNCTION("""COMPUTED_VALUE"""),1.0)</f>
        <v>1</v>
      </c>
      <c r="G1489" s="15" t="str">
        <f>IFERROR(__xludf.DUMMYFUNCTION("""COMPUTED_VALUE"""),"Completa")</f>
        <v>Completa</v>
      </c>
      <c r="H1489" s="16" t="str">
        <f t="array" ref="H1489">_xlfn.XLOOKUP(D1489,Productos[ID_Producto],Productos[Nombre_Producto])</f>
        <v>Cerveza</v>
      </c>
      <c r="I1489" s="17">
        <f t="array" ref="I1489">_xlfn.XLOOKUP(D1489,Productos[ID_Producto],Productos[Precio_Unitario])</f>
        <v>11.54</v>
      </c>
      <c r="J1489" s="17">
        <f t="shared" si="1"/>
        <v>34.62</v>
      </c>
      <c r="K1489" s="16" t="str">
        <f t="array" ref="K1489">_xlfn.XLOOKUP(C1489,Clientes[ID_Cliente],Clientes[Provincia])</f>
        <v>San Luis</v>
      </c>
      <c r="L1489" s="16" t="str">
        <f t="array" ref="L1489">CONCATENATE(_xlfn.XLOOKUP(C1489,Clientes[ID_Cliente],Clientes[Provincia]),", Argentina")</f>
        <v>San Luis, Argentina</v>
      </c>
      <c r="M1489" s="20" t="str">
        <f t="array" ref="M1489">_xlfn.XLOOKUP(F1489,Metodos_De_Pago[ID_Metodo],Metodos_De_Pago[Metodo])</f>
        <v>Efectivo</v>
      </c>
      <c r="N1489" s="20" t="str">
        <f t="shared" si="2"/>
        <v>2024 12</v>
      </c>
    </row>
    <row r="1490" ht="22.5" customHeight="1">
      <c r="A1490" s="12">
        <f>IFERROR(__xludf.DUMMYFUNCTION("""COMPUTED_VALUE"""),1292.0)</f>
        <v>1292</v>
      </c>
      <c r="B1490" s="13">
        <f>IFERROR(__xludf.DUMMYFUNCTION("""COMPUTED_VALUE"""),45629.0)</f>
        <v>45629</v>
      </c>
      <c r="C1490" s="12">
        <f>IFERROR(__xludf.DUMMYFUNCTION("""COMPUTED_VALUE"""),287.0)</f>
        <v>287</v>
      </c>
      <c r="D1490" s="12">
        <f>IFERROR(__xludf.DUMMYFUNCTION("""COMPUTED_VALUE"""),24.0)</f>
        <v>24</v>
      </c>
      <c r="E1490" s="12">
        <f>IFERROR(__xludf.DUMMYFUNCTION("""COMPUTED_VALUE"""),3.0)</f>
        <v>3</v>
      </c>
      <c r="F1490" s="12">
        <f>IFERROR(__xludf.DUMMYFUNCTION("""COMPUTED_VALUE"""),4.0)</f>
        <v>4</v>
      </c>
      <c r="G1490" s="15" t="str">
        <f>IFERROR(__xludf.DUMMYFUNCTION("""COMPUTED_VALUE"""),"Completa")</f>
        <v>Completa</v>
      </c>
      <c r="H1490" s="16" t="str">
        <f t="array" ref="H1490">_xlfn.XLOOKUP(D1490,Productos[ID_Producto],Productos[Nombre_Producto])</f>
        <v>Empanadas</v>
      </c>
      <c r="I1490" s="17">
        <f t="array" ref="I1490">_xlfn.XLOOKUP(D1490,Productos[ID_Producto],Productos[Precio_Unitario])</f>
        <v>13.54</v>
      </c>
      <c r="J1490" s="17">
        <f t="shared" si="1"/>
        <v>40.62</v>
      </c>
      <c r="K1490" s="16" t="str">
        <f t="array" ref="K1490">_xlfn.XLOOKUP(C1490,Clientes[ID_Cliente],Clientes[Provincia])</f>
        <v>Chaco</v>
      </c>
      <c r="L1490" s="16" t="str">
        <f t="array" ref="L1490">CONCATENATE(_xlfn.XLOOKUP(C1490,Clientes[ID_Cliente],Clientes[Provincia]),", Argentina")</f>
        <v>Chaco, Argentina</v>
      </c>
      <c r="M1490" s="20" t="str">
        <f t="array" ref="M1490">_xlfn.XLOOKUP(F1490,Metodos_De_Pago[ID_Metodo],Metodos_De_Pago[Metodo])</f>
        <v>Mercado Pago</v>
      </c>
      <c r="N1490" s="20" t="str">
        <f t="shared" si="2"/>
        <v>2024 12</v>
      </c>
    </row>
    <row r="1491" ht="22.5" customHeight="1">
      <c r="A1491" s="12">
        <f>IFERROR(__xludf.DUMMYFUNCTION("""COMPUTED_VALUE"""),2028.0)</f>
        <v>2028</v>
      </c>
      <c r="B1491" s="13">
        <f>IFERROR(__xludf.DUMMYFUNCTION("""COMPUTED_VALUE"""),45629.0)</f>
        <v>45629</v>
      </c>
      <c r="C1491" s="12">
        <f>IFERROR(__xludf.DUMMYFUNCTION("""COMPUTED_VALUE"""),226.0)</f>
        <v>226</v>
      </c>
      <c r="D1491" s="12">
        <f>IFERROR(__xludf.DUMMYFUNCTION("""COMPUTED_VALUE"""),16.0)</f>
        <v>16</v>
      </c>
      <c r="E1491" s="12">
        <f>IFERROR(__xludf.DUMMYFUNCTION("""COMPUTED_VALUE"""),3.0)</f>
        <v>3</v>
      </c>
      <c r="F1491" s="12">
        <f>IFERROR(__xludf.DUMMYFUNCTION("""COMPUTED_VALUE"""),3.0)</f>
        <v>3</v>
      </c>
      <c r="G1491" s="15" t="str">
        <f>IFERROR(__xludf.DUMMYFUNCTION("""COMPUTED_VALUE"""),"Completa")</f>
        <v>Completa</v>
      </c>
      <c r="H1491" s="16" t="str">
        <f t="array" ref="H1491">_xlfn.XLOOKUP(D1491,Productos[ID_Producto],Productos[Nombre_Producto])</f>
        <v>Tortas</v>
      </c>
      <c r="I1491" s="17">
        <f t="array" ref="I1491">_xlfn.XLOOKUP(D1491,Productos[ID_Producto],Productos[Precio_Unitario])</f>
        <v>15.23</v>
      </c>
      <c r="J1491" s="17">
        <f t="shared" si="1"/>
        <v>45.69</v>
      </c>
      <c r="K1491" s="16" t="str">
        <f t="array" ref="K1491">_xlfn.XLOOKUP(C1491,Clientes[ID_Cliente],Clientes[Provincia])</f>
        <v>Neuquén</v>
      </c>
      <c r="L1491" s="16" t="str">
        <f t="array" ref="L1491">CONCATENATE(_xlfn.XLOOKUP(C1491,Clientes[ID_Cliente],Clientes[Provincia]),", Argentina")</f>
        <v>Neuquén, Argentina</v>
      </c>
      <c r="M1491" s="20" t="str">
        <f t="array" ref="M1491">_xlfn.XLOOKUP(F1491,Metodos_De_Pago[ID_Metodo],Metodos_De_Pago[Metodo])</f>
        <v>Tarjeta de Débito</v>
      </c>
      <c r="N1491" s="20" t="str">
        <f t="shared" si="2"/>
        <v>2024 12</v>
      </c>
    </row>
    <row r="1492" ht="22.5" customHeight="1">
      <c r="A1492" s="12">
        <f>IFERROR(__xludf.DUMMYFUNCTION("""COMPUTED_VALUE"""),847.0)</f>
        <v>847</v>
      </c>
      <c r="B1492" s="13">
        <f>IFERROR(__xludf.DUMMYFUNCTION("""COMPUTED_VALUE"""),45630.0)</f>
        <v>45630</v>
      </c>
      <c r="C1492" s="12">
        <f>IFERROR(__xludf.DUMMYFUNCTION("""COMPUTED_VALUE"""),244.0)</f>
        <v>244</v>
      </c>
      <c r="D1492" s="12">
        <f>IFERROR(__xludf.DUMMYFUNCTION("""COMPUTED_VALUE"""),29.0)</f>
        <v>29</v>
      </c>
      <c r="E1492" s="12">
        <f>IFERROR(__xludf.DUMMYFUNCTION("""COMPUTED_VALUE"""),3.0)</f>
        <v>3</v>
      </c>
      <c r="F1492" s="12">
        <f>IFERROR(__xludf.DUMMYFUNCTION("""COMPUTED_VALUE"""),5.0)</f>
        <v>5</v>
      </c>
      <c r="G1492" s="15" t="str">
        <f>IFERROR(__xludf.DUMMYFUNCTION("""COMPUTED_VALUE"""),"Completa")</f>
        <v>Completa</v>
      </c>
      <c r="H1492" s="16" t="str">
        <f t="array" ref="H1492">_xlfn.XLOOKUP(D1492,Productos[ID_Producto],Productos[Nombre_Producto])</f>
        <v>Cerveza</v>
      </c>
      <c r="I1492" s="17">
        <f t="array" ref="I1492">_xlfn.XLOOKUP(D1492,Productos[ID_Producto],Productos[Precio_Unitario])</f>
        <v>11.54</v>
      </c>
      <c r="J1492" s="17">
        <f t="shared" si="1"/>
        <v>34.62</v>
      </c>
      <c r="K1492" s="16" t="str">
        <f t="array" ref="K1492">_xlfn.XLOOKUP(C1492,Clientes[ID_Cliente],Clientes[Provincia])</f>
        <v>Buenos Aires</v>
      </c>
      <c r="L1492" s="16" t="str">
        <f t="array" ref="L1492">CONCATENATE(_xlfn.XLOOKUP(C1492,Clientes[ID_Cliente],Clientes[Provincia]),", Argentina")</f>
        <v>Buenos Aires, Argentina</v>
      </c>
      <c r="M1492" s="20" t="str">
        <f t="array" ref="M1492">_xlfn.XLOOKUP(F1492,Metodos_De_Pago[ID_Metodo],Metodos_De_Pago[Metodo])</f>
        <v>Transferencia</v>
      </c>
      <c r="N1492" s="20" t="str">
        <f t="shared" si="2"/>
        <v>2024 12</v>
      </c>
    </row>
    <row r="1493" ht="22.5" customHeight="1">
      <c r="A1493" s="12">
        <f>IFERROR(__xludf.DUMMYFUNCTION("""COMPUTED_VALUE"""),782.0)</f>
        <v>782</v>
      </c>
      <c r="B1493" s="13">
        <f>IFERROR(__xludf.DUMMYFUNCTION("""COMPUTED_VALUE"""),45631.0)</f>
        <v>45631</v>
      </c>
      <c r="C1493" s="12">
        <f>IFERROR(__xludf.DUMMYFUNCTION("""COMPUTED_VALUE"""),12.0)</f>
        <v>12</v>
      </c>
      <c r="D1493" s="12">
        <f>IFERROR(__xludf.DUMMYFUNCTION("""COMPUTED_VALUE"""),2.0)</f>
        <v>2</v>
      </c>
      <c r="E1493" s="12">
        <f>IFERROR(__xludf.DUMMYFUNCTION("""COMPUTED_VALUE"""),3.0)</f>
        <v>3</v>
      </c>
      <c r="F1493" s="12">
        <f>IFERROR(__xludf.DUMMYFUNCTION("""COMPUTED_VALUE"""),5.0)</f>
        <v>5</v>
      </c>
      <c r="G1493" s="15" t="str">
        <f>IFERROR(__xludf.DUMMYFUNCTION("""COMPUTED_VALUE"""),"Completa")</f>
        <v>Completa</v>
      </c>
      <c r="H1493" s="16" t="str">
        <f t="array" ref="H1493">_xlfn.XLOOKUP(D1493,Productos[ID_Producto],Productos[Nombre_Producto])</f>
        <v>Yogur</v>
      </c>
      <c r="I1493" s="17">
        <f t="array" ref="I1493">_xlfn.XLOOKUP(D1493,Productos[ID_Producto],Productos[Precio_Unitario])</f>
        <v>5.21</v>
      </c>
      <c r="J1493" s="17">
        <f t="shared" si="1"/>
        <v>15.63</v>
      </c>
      <c r="K1493" s="16" t="str">
        <f t="array" ref="K1493">_xlfn.XLOOKUP(C1493,Clientes[ID_Cliente],Clientes[Provincia])</f>
        <v>Neuquén</v>
      </c>
      <c r="L1493" s="16" t="str">
        <f t="array" ref="L1493">CONCATENATE(_xlfn.XLOOKUP(C1493,Clientes[ID_Cliente],Clientes[Provincia]),", Argentina")</f>
        <v>Neuquén, Argentina</v>
      </c>
      <c r="M1493" s="20" t="str">
        <f t="array" ref="M1493">_xlfn.XLOOKUP(F1493,Metodos_De_Pago[ID_Metodo],Metodos_De_Pago[Metodo])</f>
        <v>Transferencia</v>
      </c>
      <c r="N1493" s="20" t="str">
        <f t="shared" si="2"/>
        <v>2024 12</v>
      </c>
    </row>
    <row r="1494" ht="22.5" customHeight="1">
      <c r="A1494" s="12">
        <f>IFERROR(__xludf.DUMMYFUNCTION("""COMPUTED_VALUE"""),915.0)</f>
        <v>915</v>
      </c>
      <c r="B1494" s="13">
        <f>IFERROR(__xludf.DUMMYFUNCTION("""COMPUTED_VALUE"""),45631.0)</f>
        <v>45631</v>
      </c>
      <c r="C1494" s="12">
        <f>IFERROR(__xludf.DUMMYFUNCTION("""COMPUTED_VALUE"""),75.0)</f>
        <v>75</v>
      </c>
      <c r="D1494" s="12">
        <f>IFERROR(__xludf.DUMMYFUNCTION("""COMPUTED_VALUE"""),14.0)</f>
        <v>14</v>
      </c>
      <c r="E1494" s="12">
        <f>IFERROR(__xludf.DUMMYFUNCTION("""COMPUTED_VALUE"""),3.0)</f>
        <v>3</v>
      </c>
      <c r="F1494" s="12">
        <f>IFERROR(__xludf.DUMMYFUNCTION("""COMPUTED_VALUE"""),4.0)</f>
        <v>4</v>
      </c>
      <c r="G1494" s="15" t="str">
        <f>IFERROR(__xludf.DUMMYFUNCTION("""COMPUTED_VALUE"""),"Completa")</f>
        <v>Completa</v>
      </c>
      <c r="H1494" s="16" t="str">
        <f t="array" ref="H1494">_xlfn.XLOOKUP(D1494,Productos[ID_Producto],Productos[Nombre_Producto])</f>
        <v>Facturas</v>
      </c>
      <c r="I1494" s="17">
        <f t="array" ref="I1494">_xlfn.XLOOKUP(D1494,Productos[ID_Producto],Productos[Precio_Unitario])</f>
        <v>12.36</v>
      </c>
      <c r="J1494" s="17">
        <f t="shared" si="1"/>
        <v>37.08</v>
      </c>
      <c r="K1494" s="16" t="str">
        <f t="array" ref="K1494">_xlfn.XLOOKUP(C1494,Clientes[ID_Cliente],Clientes[Provincia])</f>
        <v>Chaco</v>
      </c>
      <c r="L1494" s="16" t="str">
        <f t="array" ref="L1494">CONCATENATE(_xlfn.XLOOKUP(C1494,Clientes[ID_Cliente],Clientes[Provincia]),", Argentina")</f>
        <v>Chaco, Argentina</v>
      </c>
      <c r="M1494" s="20" t="str">
        <f t="array" ref="M1494">_xlfn.XLOOKUP(F1494,Metodos_De_Pago[ID_Metodo],Metodos_De_Pago[Metodo])</f>
        <v>Mercado Pago</v>
      </c>
      <c r="N1494" s="20" t="str">
        <f t="shared" si="2"/>
        <v>2024 12</v>
      </c>
    </row>
    <row r="1495" ht="22.5" customHeight="1">
      <c r="A1495" s="12">
        <f>IFERROR(__xludf.DUMMYFUNCTION("""COMPUTED_VALUE"""),2010.0)</f>
        <v>2010</v>
      </c>
      <c r="B1495" s="13">
        <f>IFERROR(__xludf.DUMMYFUNCTION("""COMPUTED_VALUE"""),45631.0)</f>
        <v>45631</v>
      </c>
      <c r="C1495" s="12">
        <f>IFERROR(__xludf.DUMMYFUNCTION("""COMPUTED_VALUE"""),9.0)</f>
        <v>9</v>
      </c>
      <c r="D1495" s="12">
        <f>IFERROR(__xludf.DUMMYFUNCTION("""COMPUTED_VALUE"""),4.0)</f>
        <v>4</v>
      </c>
      <c r="E1495" s="12">
        <f>IFERROR(__xludf.DUMMYFUNCTION("""COMPUTED_VALUE"""),3.0)</f>
        <v>3</v>
      </c>
      <c r="F1495" s="12">
        <f>IFERROR(__xludf.DUMMYFUNCTION("""COMPUTED_VALUE"""),3.0)</f>
        <v>3</v>
      </c>
      <c r="G1495" s="15" t="str">
        <f>IFERROR(__xludf.DUMMYFUNCTION("""COMPUTED_VALUE"""),"Completa")</f>
        <v>Completa</v>
      </c>
      <c r="H1495" s="16" t="str">
        <f t="array" ref="H1495">_xlfn.XLOOKUP(D1495,Productos[ID_Producto],Productos[Nombre_Producto])</f>
        <v>Queso rallado</v>
      </c>
      <c r="I1495" s="17">
        <f t="array" ref="I1495">_xlfn.XLOOKUP(D1495,Productos[ID_Producto],Productos[Precio_Unitario])</f>
        <v>19.23</v>
      </c>
      <c r="J1495" s="17">
        <f t="shared" si="1"/>
        <v>57.69</v>
      </c>
      <c r="K1495" s="16" t="str">
        <f t="array" ref="K1495">_xlfn.XLOOKUP(C1495,Clientes[ID_Cliente],Clientes[Provincia])</f>
        <v>Córdoba</v>
      </c>
      <c r="L1495" s="16" t="str">
        <f t="array" ref="L1495">CONCATENATE(_xlfn.XLOOKUP(C1495,Clientes[ID_Cliente],Clientes[Provincia]),", Argentina")</f>
        <v>Córdoba, Argentina</v>
      </c>
      <c r="M1495" s="20" t="str">
        <f t="array" ref="M1495">_xlfn.XLOOKUP(F1495,Metodos_De_Pago[ID_Metodo],Metodos_De_Pago[Metodo])</f>
        <v>Tarjeta de Débito</v>
      </c>
      <c r="N1495" s="20" t="str">
        <f t="shared" si="2"/>
        <v>2024 12</v>
      </c>
    </row>
    <row r="1496" ht="22.5" customHeight="1">
      <c r="A1496" s="12">
        <f>IFERROR(__xludf.DUMMYFUNCTION("""COMPUTED_VALUE"""),1002.0)</f>
        <v>1002</v>
      </c>
      <c r="B1496" s="13">
        <f>IFERROR(__xludf.DUMMYFUNCTION("""COMPUTED_VALUE"""),45633.0)</f>
        <v>45633</v>
      </c>
      <c r="C1496" s="12">
        <f>IFERROR(__xludf.DUMMYFUNCTION("""COMPUTED_VALUE"""),7.0)</f>
        <v>7</v>
      </c>
      <c r="D1496" s="12">
        <f>IFERROR(__xludf.DUMMYFUNCTION("""COMPUTED_VALUE"""),19.0)</f>
        <v>19</v>
      </c>
      <c r="E1496" s="12">
        <f>IFERROR(__xludf.DUMMYFUNCTION("""COMPUTED_VALUE"""),3.0)</f>
        <v>3</v>
      </c>
      <c r="F1496" s="12">
        <f>IFERROR(__xludf.DUMMYFUNCTION("""COMPUTED_VALUE"""),4.0)</f>
        <v>4</v>
      </c>
      <c r="G1496" s="15" t="str">
        <f>IFERROR(__xludf.DUMMYFUNCTION("""COMPUTED_VALUE"""),"Completa")</f>
        <v>Completa</v>
      </c>
      <c r="H1496" s="16" t="str">
        <f t="array" ref="H1496">_xlfn.XLOOKUP(D1496,Productos[ID_Producto],Productos[Nombre_Producto])</f>
        <v>Tomates</v>
      </c>
      <c r="I1496" s="17">
        <f t="array" ref="I1496">_xlfn.XLOOKUP(D1496,Productos[ID_Producto],Productos[Precio_Unitario])</f>
        <v>6.54</v>
      </c>
      <c r="J1496" s="17">
        <f t="shared" si="1"/>
        <v>19.62</v>
      </c>
      <c r="K1496" s="16" t="str">
        <f t="array" ref="K1496">_xlfn.XLOOKUP(C1496,Clientes[ID_Cliente],Clientes[Provincia])</f>
        <v>San Luis</v>
      </c>
      <c r="L1496" s="16" t="str">
        <f t="array" ref="L1496">CONCATENATE(_xlfn.XLOOKUP(C1496,Clientes[ID_Cliente],Clientes[Provincia]),", Argentina")</f>
        <v>San Luis, Argentina</v>
      </c>
      <c r="M1496" s="20" t="str">
        <f t="array" ref="M1496">_xlfn.XLOOKUP(F1496,Metodos_De_Pago[ID_Metodo],Metodos_De_Pago[Metodo])</f>
        <v>Mercado Pago</v>
      </c>
      <c r="N1496" s="20" t="str">
        <f t="shared" si="2"/>
        <v>2024 12</v>
      </c>
    </row>
    <row r="1497" ht="22.5" customHeight="1">
      <c r="A1497" s="12">
        <f>IFERROR(__xludf.DUMMYFUNCTION("""COMPUTED_VALUE"""),813.0)</f>
        <v>813</v>
      </c>
      <c r="B1497" s="13">
        <f>IFERROR(__xludf.DUMMYFUNCTION("""COMPUTED_VALUE"""),45634.0)</f>
        <v>45634</v>
      </c>
      <c r="C1497" s="12">
        <f>IFERROR(__xludf.DUMMYFUNCTION("""COMPUTED_VALUE"""),168.0)</f>
        <v>168</v>
      </c>
      <c r="D1497" s="12">
        <f>IFERROR(__xludf.DUMMYFUNCTION("""COMPUTED_VALUE"""),22.0)</f>
        <v>22</v>
      </c>
      <c r="E1497" s="12">
        <f>IFERROR(__xludf.DUMMYFUNCTION("""COMPUTED_VALUE"""),3.0)</f>
        <v>3</v>
      </c>
      <c r="F1497" s="12">
        <f>IFERROR(__xludf.DUMMYFUNCTION("""COMPUTED_VALUE"""),3.0)</f>
        <v>3</v>
      </c>
      <c r="G1497" s="15" t="str">
        <f>IFERROR(__xludf.DUMMYFUNCTION("""COMPUTED_VALUE"""),"Completa")</f>
        <v>Completa</v>
      </c>
      <c r="H1497" s="16" t="str">
        <f t="array" ref="H1497">_xlfn.XLOOKUP(D1497,Productos[ID_Producto],Productos[Nombre_Producto])</f>
        <v>Cebolla</v>
      </c>
      <c r="I1497" s="17">
        <f t="array" ref="I1497">_xlfn.XLOOKUP(D1497,Productos[ID_Producto],Productos[Precio_Unitario])</f>
        <v>4.21</v>
      </c>
      <c r="J1497" s="17">
        <f t="shared" si="1"/>
        <v>12.63</v>
      </c>
      <c r="K1497" s="16" t="str">
        <f t="array" ref="K1497">_xlfn.XLOOKUP(C1497,Clientes[ID_Cliente],Clientes[Provincia])</f>
        <v>Córdoba</v>
      </c>
      <c r="L1497" s="16" t="str">
        <f t="array" ref="L1497">CONCATENATE(_xlfn.XLOOKUP(C1497,Clientes[ID_Cliente],Clientes[Provincia]),", Argentina")</f>
        <v>Córdoba, Argentina</v>
      </c>
      <c r="M1497" s="20" t="str">
        <f t="array" ref="M1497">_xlfn.XLOOKUP(F1497,Metodos_De_Pago[ID_Metodo],Metodos_De_Pago[Metodo])</f>
        <v>Tarjeta de Débito</v>
      </c>
      <c r="N1497" s="20" t="str">
        <f t="shared" si="2"/>
        <v>2024 12</v>
      </c>
    </row>
    <row r="1498" ht="22.5" customHeight="1">
      <c r="A1498" s="12">
        <f>IFERROR(__xludf.DUMMYFUNCTION("""COMPUTED_VALUE"""),2483.0)</f>
        <v>2483</v>
      </c>
      <c r="B1498" s="13">
        <f>IFERROR(__xludf.DUMMYFUNCTION("""COMPUTED_VALUE"""),45634.0)</f>
        <v>45634</v>
      </c>
      <c r="C1498" s="12">
        <f>IFERROR(__xludf.DUMMYFUNCTION("""COMPUTED_VALUE"""),14.0)</f>
        <v>14</v>
      </c>
      <c r="D1498" s="12">
        <f>IFERROR(__xludf.DUMMYFUNCTION("""COMPUTED_VALUE"""),13.0)</f>
        <v>13</v>
      </c>
      <c r="E1498" s="12">
        <f>IFERROR(__xludf.DUMMYFUNCTION("""COMPUTED_VALUE"""),3.0)</f>
        <v>3</v>
      </c>
      <c r="F1498" s="12">
        <f>IFERROR(__xludf.DUMMYFUNCTION("""COMPUTED_VALUE"""),4.0)</f>
        <v>4</v>
      </c>
      <c r="G1498" s="15" t="str">
        <f>IFERROR(__xludf.DUMMYFUNCTION("""COMPUTED_VALUE"""),"Completa")</f>
        <v>Completa</v>
      </c>
      <c r="H1498" s="16" t="str">
        <f t="array" ref="H1498">_xlfn.XLOOKUP(D1498,Productos[ID_Producto],Productos[Nombre_Producto])</f>
        <v>Pan integral</v>
      </c>
      <c r="I1498" s="17">
        <f t="array" ref="I1498">_xlfn.XLOOKUP(D1498,Productos[ID_Producto],Productos[Precio_Unitario])</f>
        <v>12.56</v>
      </c>
      <c r="J1498" s="17">
        <f t="shared" si="1"/>
        <v>37.68</v>
      </c>
      <c r="K1498" s="16" t="str">
        <f t="array" ref="K1498">_xlfn.XLOOKUP(C1498,Clientes[ID_Cliente],Clientes[Provincia])</f>
        <v>Buenos Aires</v>
      </c>
      <c r="L1498" s="16" t="str">
        <f t="array" ref="L1498">CONCATENATE(_xlfn.XLOOKUP(C1498,Clientes[ID_Cliente],Clientes[Provincia]),", Argentina")</f>
        <v>Buenos Aires, Argentina</v>
      </c>
      <c r="M1498" s="20" t="str">
        <f t="array" ref="M1498">_xlfn.XLOOKUP(F1498,Metodos_De_Pago[ID_Metodo],Metodos_De_Pago[Metodo])</f>
        <v>Mercado Pago</v>
      </c>
      <c r="N1498" s="20" t="str">
        <f t="shared" si="2"/>
        <v>2024 12</v>
      </c>
    </row>
    <row r="1499" ht="22.5" customHeight="1">
      <c r="A1499" s="12">
        <f>IFERROR(__xludf.DUMMYFUNCTION("""COMPUTED_VALUE"""),1011.0)</f>
        <v>1011</v>
      </c>
      <c r="B1499" s="13">
        <f>IFERROR(__xludf.DUMMYFUNCTION("""COMPUTED_VALUE"""),45635.0)</f>
        <v>45635</v>
      </c>
      <c r="C1499" s="12">
        <f>IFERROR(__xludf.DUMMYFUNCTION("""COMPUTED_VALUE"""),190.0)</f>
        <v>190</v>
      </c>
      <c r="D1499" s="12">
        <f>IFERROR(__xludf.DUMMYFUNCTION("""COMPUTED_VALUE"""),1.0)</f>
        <v>1</v>
      </c>
      <c r="E1499" s="12">
        <f>IFERROR(__xludf.DUMMYFUNCTION("""COMPUTED_VALUE"""),3.0)</f>
        <v>3</v>
      </c>
      <c r="F1499" s="12">
        <f>IFERROR(__xludf.DUMMYFUNCTION("""COMPUTED_VALUE"""),4.0)</f>
        <v>4</v>
      </c>
      <c r="G1499" s="15" t="str">
        <f>IFERROR(__xludf.DUMMYFUNCTION("""COMPUTED_VALUE"""),"Completa")</f>
        <v>Completa</v>
      </c>
      <c r="H1499" s="16" t="str">
        <f t="array" ref="H1499">_xlfn.XLOOKUP(D1499,Productos[ID_Producto],Productos[Nombre_Producto])</f>
        <v>Leche</v>
      </c>
      <c r="I1499" s="17">
        <f t="array" ref="I1499">_xlfn.XLOOKUP(D1499,Productos[ID_Producto],Productos[Precio_Unitario])</f>
        <v>12.24</v>
      </c>
      <c r="J1499" s="17">
        <f t="shared" si="1"/>
        <v>36.72</v>
      </c>
      <c r="K1499" s="16" t="str">
        <f t="array" ref="K1499">_xlfn.XLOOKUP(C1499,Clientes[ID_Cliente],Clientes[Provincia])</f>
        <v>Chaco</v>
      </c>
      <c r="L1499" s="16" t="str">
        <f t="array" ref="L1499">CONCATENATE(_xlfn.XLOOKUP(C1499,Clientes[ID_Cliente],Clientes[Provincia]),", Argentina")</f>
        <v>Chaco, Argentina</v>
      </c>
      <c r="M1499" s="20" t="str">
        <f t="array" ref="M1499">_xlfn.XLOOKUP(F1499,Metodos_De_Pago[ID_Metodo],Metodos_De_Pago[Metodo])</f>
        <v>Mercado Pago</v>
      </c>
      <c r="N1499" s="20" t="str">
        <f t="shared" si="2"/>
        <v>2024 12</v>
      </c>
    </row>
    <row r="1500" ht="22.5" customHeight="1">
      <c r="A1500" s="12">
        <f>IFERROR(__xludf.DUMMYFUNCTION("""COMPUTED_VALUE"""),1914.0)</f>
        <v>1914</v>
      </c>
      <c r="B1500" s="13">
        <f>IFERROR(__xludf.DUMMYFUNCTION("""COMPUTED_VALUE"""),45635.0)</f>
        <v>45635</v>
      </c>
      <c r="C1500" s="12">
        <f>IFERROR(__xludf.DUMMYFUNCTION("""COMPUTED_VALUE"""),212.0)</f>
        <v>212</v>
      </c>
      <c r="D1500" s="12">
        <f>IFERROR(__xludf.DUMMYFUNCTION("""COMPUTED_VALUE"""),28.0)</f>
        <v>28</v>
      </c>
      <c r="E1500" s="12">
        <f>IFERROR(__xludf.DUMMYFUNCTION("""COMPUTED_VALUE"""),3.0)</f>
        <v>3</v>
      </c>
      <c r="F1500" s="12">
        <f>IFERROR(__xludf.DUMMYFUNCTION("""COMPUTED_VALUE"""),1.0)</f>
        <v>1</v>
      </c>
      <c r="G1500" s="15" t="str">
        <f>IFERROR(__xludf.DUMMYFUNCTION("""COMPUTED_VALUE"""),"Completa")</f>
        <v>Completa</v>
      </c>
      <c r="H1500" s="16" t="str">
        <f t="array" ref="H1500">_xlfn.XLOOKUP(D1500,Productos[ID_Producto],Productos[Nombre_Producto])</f>
        <v>Jugos de frutas</v>
      </c>
      <c r="I1500" s="17">
        <f t="array" ref="I1500">_xlfn.XLOOKUP(D1500,Productos[ID_Producto],Productos[Precio_Unitario])</f>
        <v>9.45</v>
      </c>
      <c r="J1500" s="17">
        <f t="shared" si="1"/>
        <v>28.35</v>
      </c>
      <c r="K1500" s="16" t="str">
        <f t="array" ref="K1500">_xlfn.XLOOKUP(C1500,Clientes[ID_Cliente],Clientes[Provincia])</f>
        <v>Buenos Aires</v>
      </c>
      <c r="L1500" s="16" t="str">
        <f t="array" ref="L1500">CONCATENATE(_xlfn.XLOOKUP(C1500,Clientes[ID_Cliente],Clientes[Provincia]),", Argentina")</f>
        <v>Buenos Aires, Argentina</v>
      </c>
      <c r="M1500" s="20" t="str">
        <f t="array" ref="M1500">_xlfn.XLOOKUP(F1500,Metodos_De_Pago[ID_Metodo],Metodos_De_Pago[Metodo])</f>
        <v>Efectivo</v>
      </c>
      <c r="N1500" s="20" t="str">
        <f t="shared" si="2"/>
        <v>2024 12</v>
      </c>
    </row>
    <row r="1501" ht="22.5" customHeight="1">
      <c r="A1501" s="12">
        <f>IFERROR(__xludf.DUMMYFUNCTION("""COMPUTED_VALUE"""),695.0)</f>
        <v>695</v>
      </c>
      <c r="B1501" s="13">
        <f>IFERROR(__xludf.DUMMYFUNCTION("""COMPUTED_VALUE"""),45639.0)</f>
        <v>45639</v>
      </c>
      <c r="C1501" s="12">
        <f>IFERROR(__xludf.DUMMYFUNCTION("""COMPUTED_VALUE"""),202.0)</f>
        <v>202</v>
      </c>
      <c r="D1501" s="12">
        <f>IFERROR(__xludf.DUMMYFUNCTION("""COMPUTED_VALUE"""),9.0)</f>
        <v>9</v>
      </c>
      <c r="E1501" s="12">
        <f>IFERROR(__xludf.DUMMYFUNCTION("""COMPUTED_VALUE"""),3.0)</f>
        <v>3</v>
      </c>
      <c r="F1501" s="12">
        <f>IFERROR(__xludf.DUMMYFUNCTION("""COMPUTED_VALUE"""),1.0)</f>
        <v>1</v>
      </c>
      <c r="G1501" s="15" t="str">
        <f>IFERROR(__xludf.DUMMYFUNCTION("""COMPUTED_VALUE"""),"Completa")</f>
        <v>Completa</v>
      </c>
      <c r="H1501" s="16" t="str">
        <f t="array" ref="H1501">_xlfn.XLOOKUP(D1501,Productos[ID_Producto],Productos[Nombre_Producto])</f>
        <v>Pollo</v>
      </c>
      <c r="I1501" s="17">
        <f t="array" ref="I1501">_xlfn.XLOOKUP(D1501,Productos[ID_Producto],Productos[Precio_Unitario])</f>
        <v>18.56</v>
      </c>
      <c r="J1501" s="17">
        <f t="shared" si="1"/>
        <v>55.68</v>
      </c>
      <c r="K1501" s="16" t="str">
        <f t="array" ref="K1501">_xlfn.XLOOKUP(C1501,Clientes[ID_Cliente],Clientes[Provincia])</f>
        <v>Chaco</v>
      </c>
      <c r="L1501" s="16" t="str">
        <f t="array" ref="L1501">CONCATENATE(_xlfn.XLOOKUP(C1501,Clientes[ID_Cliente],Clientes[Provincia]),", Argentina")</f>
        <v>Chaco, Argentina</v>
      </c>
      <c r="M1501" s="20" t="str">
        <f t="array" ref="M1501">_xlfn.XLOOKUP(F1501,Metodos_De_Pago[ID_Metodo],Metodos_De_Pago[Metodo])</f>
        <v>Efectivo</v>
      </c>
      <c r="N1501" s="20" t="str">
        <f t="shared" si="2"/>
        <v>2024 12</v>
      </c>
    </row>
    <row r="1502" ht="22.5" customHeight="1">
      <c r="A1502" s="12">
        <f>IFERROR(__xludf.DUMMYFUNCTION("""COMPUTED_VALUE"""),780.0)</f>
        <v>780</v>
      </c>
      <c r="B1502" s="13">
        <f>IFERROR(__xludf.DUMMYFUNCTION("""COMPUTED_VALUE"""),45640.0)</f>
        <v>45640</v>
      </c>
      <c r="C1502" s="12">
        <f>IFERROR(__xludf.DUMMYFUNCTION("""COMPUTED_VALUE"""),140.0)</f>
        <v>140</v>
      </c>
      <c r="D1502" s="12">
        <f>IFERROR(__xludf.DUMMYFUNCTION("""COMPUTED_VALUE"""),15.0)</f>
        <v>15</v>
      </c>
      <c r="E1502" s="12">
        <f>IFERROR(__xludf.DUMMYFUNCTION("""COMPUTED_VALUE"""),3.0)</f>
        <v>3</v>
      </c>
      <c r="F1502" s="12">
        <f>IFERROR(__xludf.DUMMYFUNCTION("""COMPUTED_VALUE"""),1.0)</f>
        <v>1</v>
      </c>
      <c r="G1502" s="15" t="str">
        <f>IFERROR(__xludf.DUMMYFUNCTION("""COMPUTED_VALUE"""),"Completa")</f>
        <v>Completa</v>
      </c>
      <c r="H1502" s="16" t="str">
        <f t="array" ref="H1502">_xlfn.XLOOKUP(D1502,Productos[ID_Producto],Productos[Nombre_Producto])</f>
        <v>Medialunas</v>
      </c>
      <c r="I1502" s="17">
        <f t="array" ref="I1502">_xlfn.XLOOKUP(D1502,Productos[ID_Producto],Productos[Precio_Unitario])</f>
        <v>3.51</v>
      </c>
      <c r="J1502" s="17">
        <f t="shared" si="1"/>
        <v>10.53</v>
      </c>
      <c r="K1502" s="16" t="str">
        <f t="array" ref="K1502">_xlfn.XLOOKUP(C1502,Clientes[ID_Cliente],Clientes[Provincia])</f>
        <v>Chaco</v>
      </c>
      <c r="L1502" s="16" t="str">
        <f t="array" ref="L1502">CONCATENATE(_xlfn.XLOOKUP(C1502,Clientes[ID_Cliente],Clientes[Provincia]),", Argentina")</f>
        <v>Chaco, Argentina</v>
      </c>
      <c r="M1502" s="20" t="str">
        <f t="array" ref="M1502">_xlfn.XLOOKUP(F1502,Metodos_De_Pago[ID_Metodo],Metodos_De_Pago[Metodo])</f>
        <v>Efectivo</v>
      </c>
      <c r="N1502" s="20" t="str">
        <f t="shared" si="2"/>
        <v>2024 12</v>
      </c>
    </row>
    <row r="1503" ht="22.5" customHeight="1">
      <c r="A1503" s="12">
        <f>IFERROR(__xludf.DUMMYFUNCTION("""COMPUTED_VALUE"""),1146.0)</f>
        <v>1146</v>
      </c>
      <c r="B1503" s="13">
        <f>IFERROR(__xludf.DUMMYFUNCTION("""COMPUTED_VALUE"""),45641.0)</f>
        <v>45641</v>
      </c>
      <c r="C1503" s="12">
        <f>IFERROR(__xludf.DUMMYFUNCTION("""COMPUTED_VALUE"""),187.0)</f>
        <v>187</v>
      </c>
      <c r="D1503" s="12">
        <f>IFERROR(__xludf.DUMMYFUNCTION("""COMPUTED_VALUE"""),28.0)</f>
        <v>28</v>
      </c>
      <c r="E1503" s="12">
        <f>IFERROR(__xludf.DUMMYFUNCTION("""COMPUTED_VALUE"""),3.0)</f>
        <v>3</v>
      </c>
      <c r="F1503" s="12">
        <f>IFERROR(__xludf.DUMMYFUNCTION("""COMPUTED_VALUE"""),5.0)</f>
        <v>5</v>
      </c>
      <c r="G1503" s="15" t="str">
        <f>IFERROR(__xludf.DUMMYFUNCTION("""COMPUTED_VALUE"""),"Completa")</f>
        <v>Completa</v>
      </c>
      <c r="H1503" s="16" t="str">
        <f t="array" ref="H1503">_xlfn.XLOOKUP(D1503,Productos[ID_Producto],Productos[Nombre_Producto])</f>
        <v>Jugos de frutas</v>
      </c>
      <c r="I1503" s="17">
        <f t="array" ref="I1503">_xlfn.XLOOKUP(D1503,Productos[ID_Producto],Productos[Precio_Unitario])</f>
        <v>9.45</v>
      </c>
      <c r="J1503" s="17">
        <f t="shared" si="1"/>
        <v>28.35</v>
      </c>
      <c r="K1503" s="16" t="str">
        <f t="array" ref="K1503">_xlfn.XLOOKUP(C1503,Clientes[ID_Cliente],Clientes[Provincia])</f>
        <v>Buenos Aires</v>
      </c>
      <c r="L1503" s="16" t="str">
        <f t="array" ref="L1503">CONCATENATE(_xlfn.XLOOKUP(C1503,Clientes[ID_Cliente],Clientes[Provincia]),", Argentina")</f>
        <v>Buenos Aires, Argentina</v>
      </c>
      <c r="M1503" s="20" t="str">
        <f t="array" ref="M1503">_xlfn.XLOOKUP(F1503,Metodos_De_Pago[ID_Metodo],Metodos_De_Pago[Metodo])</f>
        <v>Transferencia</v>
      </c>
      <c r="N1503" s="20" t="str">
        <f t="shared" si="2"/>
        <v>2024 12</v>
      </c>
    </row>
    <row r="1504" ht="22.5" customHeight="1">
      <c r="A1504" s="12">
        <f>IFERROR(__xludf.DUMMYFUNCTION("""COMPUTED_VALUE"""),332.0)</f>
        <v>332</v>
      </c>
      <c r="B1504" s="13">
        <f>IFERROR(__xludf.DUMMYFUNCTION("""COMPUTED_VALUE"""),45642.0)</f>
        <v>45642</v>
      </c>
      <c r="C1504" s="12">
        <f>IFERROR(__xludf.DUMMYFUNCTION("""COMPUTED_VALUE"""),309.0)</f>
        <v>309</v>
      </c>
      <c r="D1504" s="12">
        <f>IFERROR(__xludf.DUMMYFUNCTION("""COMPUTED_VALUE"""),14.0)</f>
        <v>14</v>
      </c>
      <c r="E1504" s="12">
        <f>IFERROR(__xludf.DUMMYFUNCTION("""COMPUTED_VALUE"""),3.0)</f>
        <v>3</v>
      </c>
      <c r="F1504" s="12">
        <f>IFERROR(__xludf.DUMMYFUNCTION("""COMPUTED_VALUE"""),5.0)</f>
        <v>5</v>
      </c>
      <c r="G1504" s="15" t="str">
        <f>IFERROR(__xludf.DUMMYFUNCTION("""COMPUTED_VALUE"""),"Completa")</f>
        <v>Completa</v>
      </c>
      <c r="H1504" s="16" t="str">
        <f t="array" ref="H1504">_xlfn.XLOOKUP(D1504,Productos[ID_Producto],Productos[Nombre_Producto])</f>
        <v>Facturas</v>
      </c>
      <c r="I1504" s="17">
        <f t="array" ref="I1504">_xlfn.XLOOKUP(D1504,Productos[ID_Producto],Productos[Precio_Unitario])</f>
        <v>12.36</v>
      </c>
      <c r="J1504" s="17">
        <f t="shared" si="1"/>
        <v>37.08</v>
      </c>
      <c r="K1504" s="16" t="str">
        <f t="array" ref="K1504">_xlfn.XLOOKUP(C1504,Clientes[ID_Cliente],Clientes[Provincia])</f>
        <v>Córdoba</v>
      </c>
      <c r="L1504" s="16" t="str">
        <f t="array" ref="L1504">CONCATENATE(_xlfn.XLOOKUP(C1504,Clientes[ID_Cliente],Clientes[Provincia]),", Argentina")</f>
        <v>Córdoba, Argentina</v>
      </c>
      <c r="M1504" s="20" t="str">
        <f t="array" ref="M1504">_xlfn.XLOOKUP(F1504,Metodos_De_Pago[ID_Metodo],Metodos_De_Pago[Metodo])</f>
        <v>Transferencia</v>
      </c>
      <c r="N1504" s="20" t="str">
        <f t="shared" si="2"/>
        <v>2024 12</v>
      </c>
    </row>
    <row r="1505" ht="22.5" customHeight="1">
      <c r="A1505" s="12">
        <f>IFERROR(__xludf.DUMMYFUNCTION("""COMPUTED_VALUE"""),961.0)</f>
        <v>961</v>
      </c>
      <c r="B1505" s="13">
        <f>IFERROR(__xludf.DUMMYFUNCTION("""COMPUTED_VALUE"""),45642.0)</f>
        <v>45642</v>
      </c>
      <c r="C1505" s="12">
        <f>IFERROR(__xludf.DUMMYFUNCTION("""COMPUTED_VALUE"""),154.0)</f>
        <v>154</v>
      </c>
      <c r="D1505" s="12">
        <f>IFERROR(__xludf.DUMMYFUNCTION("""COMPUTED_VALUE"""),15.0)</f>
        <v>15</v>
      </c>
      <c r="E1505" s="12">
        <f>IFERROR(__xludf.DUMMYFUNCTION("""COMPUTED_VALUE"""),3.0)</f>
        <v>3</v>
      </c>
      <c r="F1505" s="12">
        <f>IFERROR(__xludf.DUMMYFUNCTION("""COMPUTED_VALUE"""),5.0)</f>
        <v>5</v>
      </c>
      <c r="G1505" s="15" t="str">
        <f>IFERROR(__xludf.DUMMYFUNCTION("""COMPUTED_VALUE"""),"Completa")</f>
        <v>Completa</v>
      </c>
      <c r="H1505" s="16" t="str">
        <f t="array" ref="H1505">_xlfn.XLOOKUP(D1505,Productos[ID_Producto],Productos[Nombre_Producto])</f>
        <v>Medialunas</v>
      </c>
      <c r="I1505" s="17">
        <f t="array" ref="I1505">_xlfn.XLOOKUP(D1505,Productos[ID_Producto],Productos[Precio_Unitario])</f>
        <v>3.51</v>
      </c>
      <c r="J1505" s="17">
        <f t="shared" si="1"/>
        <v>10.53</v>
      </c>
      <c r="K1505" s="16" t="str">
        <f t="array" ref="K1505">_xlfn.XLOOKUP(C1505,Clientes[ID_Cliente],Clientes[Provincia])</f>
        <v>Neuquén</v>
      </c>
      <c r="L1505" s="16" t="str">
        <f t="array" ref="L1505">CONCATENATE(_xlfn.XLOOKUP(C1505,Clientes[ID_Cliente],Clientes[Provincia]),", Argentina")</f>
        <v>Neuquén, Argentina</v>
      </c>
      <c r="M1505" s="20" t="str">
        <f t="array" ref="M1505">_xlfn.XLOOKUP(F1505,Metodos_De_Pago[ID_Metodo],Metodos_De_Pago[Metodo])</f>
        <v>Transferencia</v>
      </c>
      <c r="N1505" s="20" t="str">
        <f t="shared" si="2"/>
        <v>2024 12</v>
      </c>
    </row>
    <row r="1506" ht="22.5" customHeight="1">
      <c r="A1506" s="12">
        <f>IFERROR(__xludf.DUMMYFUNCTION("""COMPUTED_VALUE"""),2016.0)</f>
        <v>2016</v>
      </c>
      <c r="B1506" s="13">
        <f>IFERROR(__xludf.DUMMYFUNCTION("""COMPUTED_VALUE"""),45642.0)</f>
        <v>45642</v>
      </c>
      <c r="C1506" s="12">
        <f>IFERROR(__xludf.DUMMYFUNCTION("""COMPUTED_VALUE"""),58.0)</f>
        <v>58</v>
      </c>
      <c r="D1506" s="12">
        <f>IFERROR(__xludf.DUMMYFUNCTION("""COMPUTED_VALUE"""),34.0)</f>
        <v>34</v>
      </c>
      <c r="E1506" s="12">
        <f>IFERROR(__xludf.DUMMYFUNCTION("""COMPUTED_VALUE"""),3.0)</f>
        <v>3</v>
      </c>
      <c r="F1506" s="12">
        <f>IFERROR(__xludf.DUMMYFUNCTION("""COMPUTED_VALUE"""),1.0)</f>
        <v>1</v>
      </c>
      <c r="G1506" s="15" t="str">
        <f>IFERROR(__xludf.DUMMYFUNCTION("""COMPUTED_VALUE"""),"Completa")</f>
        <v>Completa</v>
      </c>
      <c r="H1506" s="16" t="str">
        <f t="array" ref="H1506">_xlfn.XLOOKUP(D1506,Productos[ID_Producto],Productos[Nombre_Producto])</f>
        <v>Maníes</v>
      </c>
      <c r="I1506" s="17">
        <f t="array" ref="I1506">_xlfn.XLOOKUP(D1506,Productos[ID_Producto],Productos[Precio_Unitario])</f>
        <v>5.45</v>
      </c>
      <c r="J1506" s="17">
        <f t="shared" si="1"/>
        <v>16.35</v>
      </c>
      <c r="K1506" s="16" t="str">
        <f t="array" ref="K1506">_xlfn.XLOOKUP(C1506,Clientes[ID_Cliente],Clientes[Provincia])</f>
        <v>Buenos Aires</v>
      </c>
      <c r="L1506" s="16" t="str">
        <f t="array" ref="L1506">CONCATENATE(_xlfn.XLOOKUP(C1506,Clientes[ID_Cliente],Clientes[Provincia]),", Argentina")</f>
        <v>Buenos Aires, Argentina</v>
      </c>
      <c r="M1506" s="20" t="str">
        <f t="array" ref="M1506">_xlfn.XLOOKUP(F1506,Metodos_De_Pago[ID_Metodo],Metodos_De_Pago[Metodo])</f>
        <v>Efectivo</v>
      </c>
      <c r="N1506" s="20" t="str">
        <f t="shared" si="2"/>
        <v>2024 12</v>
      </c>
    </row>
    <row r="1507" ht="22.5" customHeight="1">
      <c r="A1507" s="12">
        <f>IFERROR(__xludf.DUMMYFUNCTION("""COMPUTED_VALUE"""),429.0)</f>
        <v>429</v>
      </c>
      <c r="B1507" s="13">
        <f>IFERROR(__xludf.DUMMYFUNCTION("""COMPUTED_VALUE"""),45644.0)</f>
        <v>45644</v>
      </c>
      <c r="C1507" s="12">
        <f>IFERROR(__xludf.DUMMYFUNCTION("""COMPUTED_VALUE"""),10.0)</f>
        <v>10</v>
      </c>
      <c r="D1507" s="12">
        <f>IFERROR(__xludf.DUMMYFUNCTION("""COMPUTED_VALUE"""),28.0)</f>
        <v>28</v>
      </c>
      <c r="E1507" s="12">
        <f>IFERROR(__xludf.DUMMYFUNCTION("""COMPUTED_VALUE"""),3.0)</f>
        <v>3</v>
      </c>
      <c r="F1507" s="12">
        <f>IFERROR(__xludf.DUMMYFUNCTION("""COMPUTED_VALUE"""),2.0)</f>
        <v>2</v>
      </c>
      <c r="G1507" s="15" t="str">
        <f>IFERROR(__xludf.DUMMYFUNCTION("""COMPUTED_VALUE"""),"Completa")</f>
        <v>Completa</v>
      </c>
      <c r="H1507" s="16" t="str">
        <f t="array" ref="H1507">_xlfn.XLOOKUP(D1507,Productos[ID_Producto],Productos[Nombre_Producto])</f>
        <v>Jugos de frutas</v>
      </c>
      <c r="I1507" s="17">
        <f t="array" ref="I1507">_xlfn.XLOOKUP(D1507,Productos[ID_Producto],Productos[Precio_Unitario])</f>
        <v>9.45</v>
      </c>
      <c r="J1507" s="17">
        <f t="shared" si="1"/>
        <v>28.35</v>
      </c>
      <c r="K1507" s="16" t="str">
        <f t="array" ref="K1507">_xlfn.XLOOKUP(C1507,Clientes[ID_Cliente],Clientes[Provincia])</f>
        <v>Buenos Aires</v>
      </c>
      <c r="L1507" s="16" t="str">
        <f t="array" ref="L1507">CONCATENATE(_xlfn.XLOOKUP(C1507,Clientes[ID_Cliente],Clientes[Provincia]),", Argentina")</f>
        <v>Buenos Aires, Argentina</v>
      </c>
      <c r="M1507" s="20" t="str">
        <f t="array" ref="M1507">_xlfn.XLOOKUP(F1507,Metodos_De_Pago[ID_Metodo],Metodos_De_Pago[Metodo])</f>
        <v>Tarjeta de Crédito</v>
      </c>
      <c r="N1507" s="20" t="str">
        <f t="shared" si="2"/>
        <v>2024 12</v>
      </c>
    </row>
    <row r="1508" ht="22.5" customHeight="1">
      <c r="A1508" s="12">
        <f>IFERROR(__xludf.DUMMYFUNCTION("""COMPUTED_VALUE"""),1886.0)</f>
        <v>1886</v>
      </c>
      <c r="B1508" s="13">
        <f>IFERROR(__xludf.DUMMYFUNCTION("""COMPUTED_VALUE"""),45644.0)</f>
        <v>45644</v>
      </c>
      <c r="C1508" s="12">
        <f>IFERROR(__xludf.DUMMYFUNCTION("""COMPUTED_VALUE"""),68.0)</f>
        <v>68</v>
      </c>
      <c r="D1508" s="12">
        <f>IFERROR(__xludf.DUMMYFUNCTION("""COMPUTED_VALUE"""),7.0)</f>
        <v>7</v>
      </c>
      <c r="E1508" s="12">
        <f>IFERROR(__xludf.DUMMYFUNCTION("""COMPUTED_VALUE"""),3.0)</f>
        <v>3</v>
      </c>
      <c r="F1508" s="12">
        <f>IFERROR(__xludf.DUMMYFUNCTION("""COMPUTED_VALUE"""),5.0)</f>
        <v>5</v>
      </c>
      <c r="G1508" s="15" t="str">
        <f>IFERROR(__xludf.DUMMYFUNCTION("""COMPUTED_VALUE"""),"Pendiente")</f>
        <v>Pendiente</v>
      </c>
      <c r="H1508" s="16" t="str">
        <f t="array" ref="H1508">_xlfn.XLOOKUP(D1508,Productos[ID_Producto],Productos[Nombre_Producto])</f>
        <v>Chorizo</v>
      </c>
      <c r="I1508" s="17">
        <f t="array" ref="I1508">_xlfn.XLOOKUP(D1508,Productos[ID_Producto],Productos[Precio_Unitario])</f>
        <v>11.25</v>
      </c>
      <c r="J1508" s="17">
        <f t="shared" si="1"/>
        <v>33.75</v>
      </c>
      <c r="K1508" s="16" t="str">
        <f t="array" ref="K1508">_xlfn.XLOOKUP(C1508,Clientes[ID_Cliente],Clientes[Provincia])</f>
        <v>Neuquén</v>
      </c>
      <c r="L1508" s="16" t="str">
        <f t="array" ref="L1508">CONCATENATE(_xlfn.XLOOKUP(C1508,Clientes[ID_Cliente],Clientes[Provincia]),", Argentina")</f>
        <v>Neuquén, Argentina</v>
      </c>
      <c r="M1508" s="20" t="str">
        <f t="array" ref="M1508">_xlfn.XLOOKUP(F1508,Metodos_De_Pago[ID_Metodo],Metodos_De_Pago[Metodo])</f>
        <v>Transferencia</v>
      </c>
      <c r="N1508" s="20" t="str">
        <f t="shared" si="2"/>
        <v>2024 12</v>
      </c>
    </row>
    <row r="1509" ht="22.5" customHeight="1">
      <c r="A1509" s="12">
        <f>IFERROR(__xludf.DUMMYFUNCTION("""COMPUTED_VALUE"""),377.0)</f>
        <v>377</v>
      </c>
      <c r="B1509" s="13">
        <f>IFERROR(__xludf.DUMMYFUNCTION("""COMPUTED_VALUE"""),45645.0)</f>
        <v>45645</v>
      </c>
      <c r="C1509" s="12">
        <f>IFERROR(__xludf.DUMMYFUNCTION("""COMPUTED_VALUE"""),262.0)</f>
        <v>262</v>
      </c>
      <c r="D1509" s="12">
        <f>IFERROR(__xludf.DUMMYFUNCTION("""COMPUTED_VALUE"""),12.0)</f>
        <v>12</v>
      </c>
      <c r="E1509" s="12">
        <f>IFERROR(__xludf.DUMMYFUNCTION("""COMPUTED_VALUE"""),3.0)</f>
        <v>3</v>
      </c>
      <c r="F1509" s="12">
        <f>IFERROR(__xludf.DUMMYFUNCTION("""COMPUTED_VALUE"""),2.0)</f>
        <v>2</v>
      </c>
      <c r="G1509" s="15" t="str">
        <f>IFERROR(__xludf.DUMMYFUNCTION("""COMPUTED_VALUE"""),"Pendiente")</f>
        <v>Pendiente</v>
      </c>
      <c r="H1509" s="16" t="str">
        <f t="array" ref="H1509">_xlfn.XLOOKUP(D1509,Productos[ID_Producto],Productos[Nombre_Producto])</f>
        <v>Pan francés</v>
      </c>
      <c r="I1509" s="17">
        <f t="array" ref="I1509">_xlfn.XLOOKUP(D1509,Productos[ID_Producto],Productos[Precio_Unitario])</f>
        <v>8.12</v>
      </c>
      <c r="J1509" s="17">
        <f t="shared" si="1"/>
        <v>24.36</v>
      </c>
      <c r="K1509" s="16" t="str">
        <f t="array" ref="K1509">_xlfn.XLOOKUP(C1509,Clientes[ID_Cliente],Clientes[Provincia])</f>
        <v>Buenos Aires</v>
      </c>
      <c r="L1509" s="16" t="str">
        <f t="array" ref="L1509">CONCATENATE(_xlfn.XLOOKUP(C1509,Clientes[ID_Cliente],Clientes[Provincia]),", Argentina")</f>
        <v>Buenos Aires, Argentina</v>
      </c>
      <c r="M1509" s="20" t="str">
        <f t="array" ref="M1509">_xlfn.XLOOKUP(F1509,Metodos_De_Pago[ID_Metodo],Metodos_De_Pago[Metodo])</f>
        <v>Tarjeta de Crédito</v>
      </c>
      <c r="N1509" s="20" t="str">
        <f t="shared" si="2"/>
        <v>2024 12</v>
      </c>
    </row>
    <row r="1510" ht="22.5" customHeight="1">
      <c r="A1510" s="12">
        <f>IFERROR(__xludf.DUMMYFUNCTION("""COMPUTED_VALUE"""),1359.0)</f>
        <v>1359</v>
      </c>
      <c r="B1510" s="13">
        <f>IFERROR(__xludf.DUMMYFUNCTION("""COMPUTED_VALUE"""),45645.0)</f>
        <v>45645</v>
      </c>
      <c r="C1510" s="12">
        <f>IFERROR(__xludf.DUMMYFUNCTION("""COMPUTED_VALUE"""),118.0)</f>
        <v>118</v>
      </c>
      <c r="D1510" s="12">
        <f>IFERROR(__xludf.DUMMYFUNCTION("""COMPUTED_VALUE"""),14.0)</f>
        <v>14</v>
      </c>
      <c r="E1510" s="12">
        <f>IFERROR(__xludf.DUMMYFUNCTION("""COMPUTED_VALUE"""),3.0)</f>
        <v>3</v>
      </c>
      <c r="F1510" s="12">
        <f>IFERROR(__xludf.DUMMYFUNCTION("""COMPUTED_VALUE"""),4.0)</f>
        <v>4</v>
      </c>
      <c r="G1510" s="15" t="str">
        <f>IFERROR(__xludf.DUMMYFUNCTION("""COMPUTED_VALUE"""),"Completa")</f>
        <v>Completa</v>
      </c>
      <c r="H1510" s="16" t="str">
        <f t="array" ref="H1510">_xlfn.XLOOKUP(D1510,Productos[ID_Producto],Productos[Nombre_Producto])</f>
        <v>Facturas</v>
      </c>
      <c r="I1510" s="17">
        <f t="array" ref="I1510">_xlfn.XLOOKUP(D1510,Productos[ID_Producto],Productos[Precio_Unitario])</f>
        <v>12.36</v>
      </c>
      <c r="J1510" s="17">
        <f t="shared" si="1"/>
        <v>37.08</v>
      </c>
      <c r="K1510" s="16" t="str">
        <f t="array" ref="K1510">_xlfn.XLOOKUP(C1510,Clientes[ID_Cliente],Clientes[Provincia])</f>
        <v>Córdoba</v>
      </c>
      <c r="L1510" s="16" t="str">
        <f t="array" ref="L1510">CONCATENATE(_xlfn.XLOOKUP(C1510,Clientes[ID_Cliente],Clientes[Provincia]),", Argentina")</f>
        <v>Córdoba, Argentina</v>
      </c>
      <c r="M1510" s="20" t="str">
        <f t="array" ref="M1510">_xlfn.XLOOKUP(F1510,Metodos_De_Pago[ID_Metodo],Metodos_De_Pago[Metodo])</f>
        <v>Mercado Pago</v>
      </c>
      <c r="N1510" s="20" t="str">
        <f t="shared" si="2"/>
        <v>2024 12</v>
      </c>
    </row>
    <row r="1511" ht="22.5" customHeight="1">
      <c r="A1511" s="12">
        <f>IFERROR(__xludf.DUMMYFUNCTION("""COMPUTED_VALUE"""),1389.0)</f>
        <v>1389</v>
      </c>
      <c r="B1511" s="13">
        <f>IFERROR(__xludf.DUMMYFUNCTION("""COMPUTED_VALUE"""),45646.0)</f>
        <v>45646</v>
      </c>
      <c r="C1511" s="12">
        <f>IFERROR(__xludf.DUMMYFUNCTION("""COMPUTED_VALUE"""),78.0)</f>
        <v>78</v>
      </c>
      <c r="D1511" s="12">
        <f>IFERROR(__xludf.DUMMYFUNCTION("""COMPUTED_VALUE"""),6.0)</f>
        <v>6</v>
      </c>
      <c r="E1511" s="12">
        <f>IFERROR(__xludf.DUMMYFUNCTION("""COMPUTED_VALUE"""),3.0)</f>
        <v>3</v>
      </c>
      <c r="F1511" s="12">
        <f>IFERROR(__xludf.DUMMYFUNCTION("""COMPUTED_VALUE"""),5.0)</f>
        <v>5</v>
      </c>
      <c r="G1511" s="15" t="str">
        <f>IFERROR(__xludf.DUMMYFUNCTION("""COMPUTED_VALUE"""),"Completa")</f>
        <v>Completa</v>
      </c>
      <c r="H1511" s="16" t="str">
        <f t="array" ref="H1511">_xlfn.XLOOKUP(D1511,Productos[ID_Producto],Productos[Nombre_Producto])</f>
        <v>Asado</v>
      </c>
      <c r="I1511" s="17">
        <f t="array" ref="I1511">_xlfn.XLOOKUP(D1511,Productos[ID_Producto],Productos[Precio_Unitario])</f>
        <v>28.56</v>
      </c>
      <c r="J1511" s="17">
        <f t="shared" si="1"/>
        <v>85.68</v>
      </c>
      <c r="K1511" s="16" t="str">
        <f t="array" ref="K1511">_xlfn.XLOOKUP(C1511,Clientes[ID_Cliente],Clientes[Provincia])</f>
        <v>Buenos Aires</v>
      </c>
      <c r="L1511" s="16" t="str">
        <f t="array" ref="L1511">CONCATENATE(_xlfn.XLOOKUP(C1511,Clientes[ID_Cliente],Clientes[Provincia]),", Argentina")</f>
        <v>Buenos Aires, Argentina</v>
      </c>
      <c r="M1511" s="20" t="str">
        <f t="array" ref="M1511">_xlfn.XLOOKUP(F1511,Metodos_De_Pago[ID_Metodo],Metodos_De_Pago[Metodo])</f>
        <v>Transferencia</v>
      </c>
      <c r="N1511" s="20" t="str">
        <f t="shared" si="2"/>
        <v>2024 12</v>
      </c>
    </row>
    <row r="1512" ht="22.5" customHeight="1">
      <c r="A1512" s="12">
        <f>IFERROR(__xludf.DUMMYFUNCTION("""COMPUTED_VALUE"""),896.0)</f>
        <v>896</v>
      </c>
      <c r="B1512" s="13">
        <f>IFERROR(__xludf.DUMMYFUNCTION("""COMPUTED_VALUE"""),45647.0)</f>
        <v>45647</v>
      </c>
      <c r="C1512" s="12">
        <f>IFERROR(__xludf.DUMMYFUNCTION("""COMPUTED_VALUE"""),190.0)</f>
        <v>190</v>
      </c>
      <c r="D1512" s="12">
        <f>IFERROR(__xludf.DUMMYFUNCTION("""COMPUTED_VALUE"""),37.0)</f>
        <v>37</v>
      </c>
      <c r="E1512" s="12">
        <f>IFERROR(__xludf.DUMMYFUNCTION("""COMPUTED_VALUE"""),3.0)</f>
        <v>3</v>
      </c>
      <c r="F1512" s="12">
        <f>IFERROR(__xludf.DUMMYFUNCTION("""COMPUTED_VALUE"""),4.0)</f>
        <v>4</v>
      </c>
      <c r="G1512" s="15" t="str">
        <f>IFERROR(__xludf.DUMMYFUNCTION("""COMPUTED_VALUE"""),"Completa")</f>
        <v>Completa</v>
      </c>
      <c r="H1512" s="16" t="str">
        <f t="array" ref="H1512">_xlfn.XLOOKUP(D1512,Productos[ID_Producto],Productos[Nombre_Producto])</f>
        <v>Garbanzos</v>
      </c>
      <c r="I1512" s="17">
        <f t="array" ref="I1512">_xlfn.XLOOKUP(D1512,Productos[ID_Producto],Productos[Precio_Unitario])</f>
        <v>3.65</v>
      </c>
      <c r="J1512" s="17">
        <f t="shared" si="1"/>
        <v>10.95</v>
      </c>
      <c r="K1512" s="16" t="str">
        <f t="array" ref="K1512">_xlfn.XLOOKUP(C1512,Clientes[ID_Cliente],Clientes[Provincia])</f>
        <v>Chaco</v>
      </c>
      <c r="L1512" s="16" t="str">
        <f t="array" ref="L1512">CONCATENATE(_xlfn.XLOOKUP(C1512,Clientes[ID_Cliente],Clientes[Provincia]),", Argentina")</f>
        <v>Chaco, Argentina</v>
      </c>
      <c r="M1512" s="20" t="str">
        <f t="array" ref="M1512">_xlfn.XLOOKUP(F1512,Metodos_De_Pago[ID_Metodo],Metodos_De_Pago[Metodo])</f>
        <v>Mercado Pago</v>
      </c>
      <c r="N1512" s="20" t="str">
        <f t="shared" si="2"/>
        <v>2024 12</v>
      </c>
    </row>
    <row r="1513" ht="22.5" customHeight="1">
      <c r="A1513" s="12">
        <f>IFERROR(__xludf.DUMMYFUNCTION("""COMPUTED_VALUE"""),1525.0)</f>
        <v>1525</v>
      </c>
      <c r="B1513" s="13">
        <f>IFERROR(__xludf.DUMMYFUNCTION("""COMPUTED_VALUE"""),45648.0)</f>
        <v>45648</v>
      </c>
      <c r="C1513" s="12">
        <f>IFERROR(__xludf.DUMMYFUNCTION("""COMPUTED_VALUE"""),65.0)</f>
        <v>65</v>
      </c>
      <c r="D1513" s="12">
        <f>IFERROR(__xludf.DUMMYFUNCTION("""COMPUTED_VALUE"""),30.0)</f>
        <v>30</v>
      </c>
      <c r="E1513" s="12">
        <f>IFERROR(__xludf.DUMMYFUNCTION("""COMPUTED_VALUE"""),3.0)</f>
        <v>3</v>
      </c>
      <c r="F1513" s="12">
        <f>IFERROR(__xludf.DUMMYFUNCTION("""COMPUTED_VALUE"""),5.0)</f>
        <v>5</v>
      </c>
      <c r="G1513" s="15" t="str">
        <f>IFERROR(__xludf.DUMMYFUNCTION("""COMPUTED_VALUE"""),"Completa")</f>
        <v>Completa</v>
      </c>
      <c r="H1513" s="16" t="str">
        <f t="array" ref="H1513">_xlfn.XLOOKUP(D1513,Productos[ID_Producto],Productos[Nombre_Producto])</f>
        <v>Vino tinto</v>
      </c>
      <c r="I1513" s="17">
        <f t="array" ref="I1513">_xlfn.XLOOKUP(D1513,Productos[ID_Producto],Productos[Precio_Unitario])</f>
        <v>13.54</v>
      </c>
      <c r="J1513" s="17">
        <f t="shared" si="1"/>
        <v>40.62</v>
      </c>
      <c r="K1513" s="16" t="str">
        <f t="array" ref="K1513">_xlfn.XLOOKUP(C1513,Clientes[ID_Cliente],Clientes[Provincia])</f>
        <v>Buenos Aires</v>
      </c>
      <c r="L1513" s="16" t="str">
        <f t="array" ref="L1513">CONCATENATE(_xlfn.XLOOKUP(C1513,Clientes[ID_Cliente],Clientes[Provincia]),", Argentina")</f>
        <v>Buenos Aires, Argentina</v>
      </c>
      <c r="M1513" s="20" t="str">
        <f t="array" ref="M1513">_xlfn.XLOOKUP(F1513,Metodos_De_Pago[ID_Metodo],Metodos_De_Pago[Metodo])</f>
        <v>Transferencia</v>
      </c>
      <c r="N1513" s="20" t="str">
        <f t="shared" si="2"/>
        <v>2024 12</v>
      </c>
    </row>
    <row r="1514" ht="22.5" customHeight="1">
      <c r="A1514" s="12">
        <f>IFERROR(__xludf.DUMMYFUNCTION("""COMPUTED_VALUE"""),2189.0)</f>
        <v>2189</v>
      </c>
      <c r="B1514" s="13">
        <f>IFERROR(__xludf.DUMMYFUNCTION("""COMPUTED_VALUE"""),45648.0)</f>
        <v>45648</v>
      </c>
      <c r="C1514" s="12">
        <f>IFERROR(__xludf.DUMMYFUNCTION("""COMPUTED_VALUE"""),308.0)</f>
        <v>308</v>
      </c>
      <c r="D1514" s="12">
        <f>IFERROR(__xludf.DUMMYFUNCTION("""COMPUTED_VALUE"""),5.0)</f>
        <v>5</v>
      </c>
      <c r="E1514" s="12">
        <f>IFERROR(__xludf.DUMMYFUNCTION("""COMPUTED_VALUE"""),3.0)</f>
        <v>3</v>
      </c>
      <c r="F1514" s="12">
        <f>IFERROR(__xludf.DUMMYFUNCTION("""COMPUTED_VALUE"""),1.0)</f>
        <v>1</v>
      </c>
      <c r="G1514" s="15" t="str">
        <f>IFERROR(__xludf.DUMMYFUNCTION("""COMPUTED_VALUE"""),"Pendiente")</f>
        <v>Pendiente</v>
      </c>
      <c r="H1514" s="16" t="str">
        <f t="array" ref="H1514">_xlfn.XLOOKUP(D1514,Productos[ID_Producto],Productos[Nombre_Producto])</f>
        <v>Manteca</v>
      </c>
      <c r="I1514" s="17">
        <f t="array" ref="I1514">_xlfn.XLOOKUP(D1514,Productos[ID_Producto],Productos[Precio_Unitario])</f>
        <v>5.65</v>
      </c>
      <c r="J1514" s="17">
        <f t="shared" si="1"/>
        <v>16.95</v>
      </c>
      <c r="K1514" s="16" t="str">
        <f t="array" ref="K1514">_xlfn.XLOOKUP(C1514,Clientes[ID_Cliente],Clientes[Provincia])</f>
        <v>Córdoba</v>
      </c>
      <c r="L1514" s="16" t="str">
        <f t="array" ref="L1514">CONCATENATE(_xlfn.XLOOKUP(C1514,Clientes[ID_Cliente],Clientes[Provincia]),", Argentina")</f>
        <v>Córdoba, Argentina</v>
      </c>
      <c r="M1514" s="20" t="str">
        <f t="array" ref="M1514">_xlfn.XLOOKUP(F1514,Metodos_De_Pago[ID_Metodo],Metodos_De_Pago[Metodo])</f>
        <v>Efectivo</v>
      </c>
      <c r="N1514" s="20" t="str">
        <f t="shared" si="2"/>
        <v>2024 12</v>
      </c>
    </row>
    <row r="1515" ht="22.5" customHeight="1">
      <c r="A1515" s="12">
        <f>IFERROR(__xludf.DUMMYFUNCTION("""COMPUTED_VALUE"""),2522.0)</f>
        <v>2522</v>
      </c>
      <c r="B1515" s="13">
        <f>IFERROR(__xludf.DUMMYFUNCTION("""COMPUTED_VALUE"""),45649.0)</f>
        <v>45649</v>
      </c>
      <c r="C1515" s="12">
        <f>IFERROR(__xludf.DUMMYFUNCTION("""COMPUTED_VALUE"""),110.0)</f>
        <v>110</v>
      </c>
      <c r="D1515" s="12">
        <f>IFERROR(__xludf.DUMMYFUNCTION("""COMPUTED_VALUE"""),25.0)</f>
        <v>25</v>
      </c>
      <c r="E1515" s="12">
        <f>IFERROR(__xludf.DUMMYFUNCTION("""COMPUTED_VALUE"""),3.0)</f>
        <v>3</v>
      </c>
      <c r="F1515" s="12">
        <f>IFERROR(__xludf.DUMMYFUNCTION("""COMPUTED_VALUE"""),4.0)</f>
        <v>4</v>
      </c>
      <c r="G1515" s="15" t="str">
        <f>IFERROR(__xludf.DUMMYFUNCTION("""COMPUTED_VALUE"""),"Completa")</f>
        <v>Completa</v>
      </c>
      <c r="H1515" s="16" t="str">
        <f t="array" ref="H1515">_xlfn.XLOOKUP(D1515,Productos[ID_Producto],Productos[Nombre_Producto])</f>
        <v>Pizza congelada</v>
      </c>
      <c r="I1515" s="17">
        <f t="array" ref="I1515">_xlfn.XLOOKUP(D1515,Productos[ID_Producto],Productos[Precio_Unitario])</f>
        <v>15.45</v>
      </c>
      <c r="J1515" s="17">
        <f t="shared" si="1"/>
        <v>46.35</v>
      </c>
      <c r="K1515" s="16" t="str">
        <f t="array" ref="K1515">_xlfn.XLOOKUP(C1515,Clientes[ID_Cliente],Clientes[Provincia])</f>
        <v>Chaco</v>
      </c>
      <c r="L1515" s="16" t="str">
        <f t="array" ref="L1515">CONCATENATE(_xlfn.XLOOKUP(C1515,Clientes[ID_Cliente],Clientes[Provincia]),", Argentina")</f>
        <v>Chaco, Argentina</v>
      </c>
      <c r="M1515" s="20" t="str">
        <f t="array" ref="M1515">_xlfn.XLOOKUP(F1515,Metodos_De_Pago[ID_Metodo],Metodos_De_Pago[Metodo])</f>
        <v>Mercado Pago</v>
      </c>
      <c r="N1515" s="20" t="str">
        <f t="shared" si="2"/>
        <v>2024 12</v>
      </c>
    </row>
    <row r="1516" ht="22.5" customHeight="1">
      <c r="A1516" s="12">
        <f>IFERROR(__xludf.DUMMYFUNCTION("""COMPUTED_VALUE"""),749.0)</f>
        <v>749</v>
      </c>
      <c r="B1516" s="13">
        <f>IFERROR(__xludf.DUMMYFUNCTION("""COMPUTED_VALUE"""),45650.0)</f>
        <v>45650</v>
      </c>
      <c r="C1516" s="12">
        <f>IFERROR(__xludf.DUMMYFUNCTION("""COMPUTED_VALUE"""),153.0)</f>
        <v>153</v>
      </c>
      <c r="D1516" s="12">
        <f>IFERROR(__xludf.DUMMYFUNCTION("""COMPUTED_VALUE"""),14.0)</f>
        <v>14</v>
      </c>
      <c r="E1516" s="12">
        <f>IFERROR(__xludf.DUMMYFUNCTION("""COMPUTED_VALUE"""),3.0)</f>
        <v>3</v>
      </c>
      <c r="F1516" s="12">
        <f>IFERROR(__xludf.DUMMYFUNCTION("""COMPUTED_VALUE"""),3.0)</f>
        <v>3</v>
      </c>
      <c r="G1516" s="15" t="str">
        <f>IFERROR(__xludf.DUMMYFUNCTION("""COMPUTED_VALUE"""),"Completa")</f>
        <v>Completa</v>
      </c>
      <c r="H1516" s="16" t="str">
        <f t="array" ref="H1516">_xlfn.XLOOKUP(D1516,Productos[ID_Producto],Productos[Nombre_Producto])</f>
        <v>Facturas</v>
      </c>
      <c r="I1516" s="17">
        <f t="array" ref="I1516">_xlfn.XLOOKUP(D1516,Productos[ID_Producto],Productos[Precio_Unitario])</f>
        <v>12.36</v>
      </c>
      <c r="J1516" s="17">
        <f t="shared" si="1"/>
        <v>37.08</v>
      </c>
      <c r="K1516" s="16" t="str">
        <f t="array" ref="K1516">_xlfn.XLOOKUP(C1516,Clientes[ID_Cliente],Clientes[Provincia])</f>
        <v>San Luis</v>
      </c>
      <c r="L1516" s="16" t="str">
        <f t="array" ref="L1516">CONCATENATE(_xlfn.XLOOKUP(C1516,Clientes[ID_Cliente],Clientes[Provincia]),", Argentina")</f>
        <v>San Luis, Argentina</v>
      </c>
      <c r="M1516" s="20" t="str">
        <f t="array" ref="M1516">_xlfn.XLOOKUP(F1516,Metodos_De_Pago[ID_Metodo],Metodos_De_Pago[Metodo])</f>
        <v>Tarjeta de Débito</v>
      </c>
      <c r="N1516" s="20" t="str">
        <f t="shared" si="2"/>
        <v>2024 12</v>
      </c>
    </row>
    <row r="1517" ht="22.5" customHeight="1">
      <c r="A1517" s="12">
        <f>IFERROR(__xludf.DUMMYFUNCTION("""COMPUTED_VALUE"""),2699.0)</f>
        <v>2699</v>
      </c>
      <c r="B1517" s="13">
        <f>IFERROR(__xludf.DUMMYFUNCTION("""COMPUTED_VALUE"""),45650.0)</f>
        <v>45650</v>
      </c>
      <c r="C1517" s="12">
        <f>IFERROR(__xludf.DUMMYFUNCTION("""COMPUTED_VALUE"""),133.0)</f>
        <v>133</v>
      </c>
      <c r="D1517" s="12">
        <f>IFERROR(__xludf.DUMMYFUNCTION("""COMPUTED_VALUE"""),7.0)</f>
        <v>7</v>
      </c>
      <c r="E1517" s="12">
        <f>IFERROR(__xludf.DUMMYFUNCTION("""COMPUTED_VALUE"""),3.0)</f>
        <v>3</v>
      </c>
      <c r="F1517" s="12">
        <f>IFERROR(__xludf.DUMMYFUNCTION("""COMPUTED_VALUE"""),4.0)</f>
        <v>4</v>
      </c>
      <c r="G1517" s="15" t="str">
        <f>IFERROR(__xludf.DUMMYFUNCTION("""COMPUTED_VALUE"""),"Pendiente")</f>
        <v>Pendiente</v>
      </c>
      <c r="H1517" s="16" t="str">
        <f t="array" ref="H1517">_xlfn.XLOOKUP(D1517,Productos[ID_Producto],Productos[Nombre_Producto])</f>
        <v>Chorizo</v>
      </c>
      <c r="I1517" s="17">
        <f t="array" ref="I1517">_xlfn.XLOOKUP(D1517,Productos[ID_Producto],Productos[Precio_Unitario])</f>
        <v>11.25</v>
      </c>
      <c r="J1517" s="17">
        <f t="shared" si="1"/>
        <v>33.75</v>
      </c>
      <c r="K1517" s="16" t="str">
        <f t="array" ref="K1517">_xlfn.XLOOKUP(C1517,Clientes[ID_Cliente],Clientes[Provincia])</f>
        <v>Buenos Aires</v>
      </c>
      <c r="L1517" s="16" t="str">
        <f t="array" ref="L1517">CONCATENATE(_xlfn.XLOOKUP(C1517,Clientes[ID_Cliente],Clientes[Provincia]),", Argentina")</f>
        <v>Buenos Aires, Argentina</v>
      </c>
      <c r="M1517" s="20" t="str">
        <f t="array" ref="M1517">_xlfn.XLOOKUP(F1517,Metodos_De_Pago[ID_Metodo],Metodos_De_Pago[Metodo])</f>
        <v>Mercado Pago</v>
      </c>
      <c r="N1517" s="20" t="str">
        <f t="shared" si="2"/>
        <v>2024 12</v>
      </c>
    </row>
    <row r="1518" ht="22.5" customHeight="1">
      <c r="A1518" s="12">
        <f>IFERROR(__xludf.DUMMYFUNCTION("""COMPUTED_VALUE"""),1000.0)</f>
        <v>1000</v>
      </c>
      <c r="B1518" s="13">
        <f>IFERROR(__xludf.DUMMYFUNCTION("""COMPUTED_VALUE"""),45651.0)</f>
        <v>45651</v>
      </c>
      <c r="C1518" s="12">
        <f>IFERROR(__xludf.DUMMYFUNCTION("""COMPUTED_VALUE"""),151.0)</f>
        <v>151</v>
      </c>
      <c r="D1518" s="12">
        <f>IFERROR(__xludf.DUMMYFUNCTION("""COMPUTED_VALUE"""),35.0)</f>
        <v>35</v>
      </c>
      <c r="E1518" s="12">
        <f>IFERROR(__xludf.DUMMYFUNCTION("""COMPUTED_VALUE"""),3.0)</f>
        <v>3</v>
      </c>
      <c r="F1518" s="12">
        <f>IFERROR(__xludf.DUMMYFUNCTION("""COMPUTED_VALUE"""),3.0)</f>
        <v>3</v>
      </c>
      <c r="G1518" s="15" t="str">
        <f>IFERROR(__xludf.DUMMYFUNCTION("""COMPUTED_VALUE"""),"Completa")</f>
        <v>Completa</v>
      </c>
      <c r="H1518" s="16" t="str">
        <f t="array" ref="H1518">_xlfn.XLOOKUP(D1518,Productos[ID_Producto],Productos[Nombre_Producto])</f>
        <v>Arroz</v>
      </c>
      <c r="I1518" s="17">
        <f t="array" ref="I1518">_xlfn.XLOOKUP(D1518,Productos[ID_Producto],Productos[Precio_Unitario])</f>
        <v>4.25</v>
      </c>
      <c r="J1518" s="17">
        <f t="shared" si="1"/>
        <v>12.75</v>
      </c>
      <c r="K1518" s="16" t="str">
        <f t="array" ref="K1518">_xlfn.XLOOKUP(C1518,Clientes[ID_Cliente],Clientes[Provincia])</f>
        <v>Buenos Aires</v>
      </c>
      <c r="L1518" s="16" t="str">
        <f t="array" ref="L1518">CONCATENATE(_xlfn.XLOOKUP(C1518,Clientes[ID_Cliente],Clientes[Provincia]),", Argentina")</f>
        <v>Buenos Aires, Argentina</v>
      </c>
      <c r="M1518" s="20" t="str">
        <f t="array" ref="M1518">_xlfn.XLOOKUP(F1518,Metodos_De_Pago[ID_Metodo],Metodos_De_Pago[Metodo])</f>
        <v>Tarjeta de Débito</v>
      </c>
      <c r="N1518" s="20" t="str">
        <f t="shared" si="2"/>
        <v>2024 12</v>
      </c>
    </row>
    <row r="1519" ht="22.5" customHeight="1">
      <c r="A1519" s="12">
        <f>IFERROR(__xludf.DUMMYFUNCTION("""COMPUTED_VALUE"""),2188.0)</f>
        <v>2188</v>
      </c>
      <c r="B1519" s="13">
        <f>IFERROR(__xludf.DUMMYFUNCTION("""COMPUTED_VALUE"""),45652.0)</f>
        <v>45652</v>
      </c>
      <c r="C1519" s="12">
        <f>IFERROR(__xludf.DUMMYFUNCTION("""COMPUTED_VALUE"""),17.0)</f>
        <v>17</v>
      </c>
      <c r="D1519" s="12">
        <f>IFERROR(__xludf.DUMMYFUNCTION("""COMPUTED_VALUE"""),28.0)</f>
        <v>28</v>
      </c>
      <c r="E1519" s="12">
        <f>IFERROR(__xludf.DUMMYFUNCTION("""COMPUTED_VALUE"""),3.0)</f>
        <v>3</v>
      </c>
      <c r="F1519" s="12">
        <f>IFERROR(__xludf.DUMMYFUNCTION("""COMPUTED_VALUE"""),1.0)</f>
        <v>1</v>
      </c>
      <c r="G1519" s="15" t="str">
        <f>IFERROR(__xludf.DUMMYFUNCTION("""COMPUTED_VALUE"""),"Pendiente")</f>
        <v>Pendiente</v>
      </c>
      <c r="H1519" s="16" t="str">
        <f t="array" ref="H1519">_xlfn.XLOOKUP(D1519,Productos[ID_Producto],Productos[Nombre_Producto])</f>
        <v>Jugos de frutas</v>
      </c>
      <c r="I1519" s="17">
        <f t="array" ref="I1519">_xlfn.XLOOKUP(D1519,Productos[ID_Producto],Productos[Precio_Unitario])</f>
        <v>9.45</v>
      </c>
      <c r="J1519" s="17">
        <f t="shared" si="1"/>
        <v>28.35</v>
      </c>
      <c r="K1519" s="16" t="str">
        <f t="array" ref="K1519">_xlfn.XLOOKUP(C1519,Clientes[ID_Cliente],Clientes[Provincia])</f>
        <v>Buenos Aires</v>
      </c>
      <c r="L1519" s="16" t="str">
        <f t="array" ref="L1519">CONCATENATE(_xlfn.XLOOKUP(C1519,Clientes[ID_Cliente],Clientes[Provincia]),", Argentina")</f>
        <v>Buenos Aires, Argentina</v>
      </c>
      <c r="M1519" s="20" t="str">
        <f t="array" ref="M1519">_xlfn.XLOOKUP(F1519,Metodos_De_Pago[ID_Metodo],Metodos_De_Pago[Metodo])</f>
        <v>Efectivo</v>
      </c>
      <c r="N1519" s="20" t="str">
        <f t="shared" si="2"/>
        <v>2024 12</v>
      </c>
    </row>
    <row r="1520" ht="22.5" customHeight="1">
      <c r="A1520" s="12">
        <f>IFERROR(__xludf.DUMMYFUNCTION("""COMPUTED_VALUE"""),2350.0)</f>
        <v>2350</v>
      </c>
      <c r="B1520" s="13">
        <f>IFERROR(__xludf.DUMMYFUNCTION("""COMPUTED_VALUE"""),45652.0)</f>
        <v>45652</v>
      </c>
      <c r="C1520" s="12">
        <f>IFERROR(__xludf.DUMMYFUNCTION("""COMPUTED_VALUE"""),253.0)</f>
        <v>253</v>
      </c>
      <c r="D1520" s="12">
        <f>IFERROR(__xludf.DUMMYFUNCTION("""COMPUTED_VALUE"""),1.0)</f>
        <v>1</v>
      </c>
      <c r="E1520" s="12">
        <f>IFERROR(__xludf.DUMMYFUNCTION("""COMPUTED_VALUE"""),3.0)</f>
        <v>3</v>
      </c>
      <c r="F1520" s="12">
        <f>IFERROR(__xludf.DUMMYFUNCTION("""COMPUTED_VALUE"""),5.0)</f>
        <v>5</v>
      </c>
      <c r="G1520" s="15" t="str">
        <f>IFERROR(__xludf.DUMMYFUNCTION("""COMPUTED_VALUE"""),"Completa")</f>
        <v>Completa</v>
      </c>
      <c r="H1520" s="16" t="str">
        <f t="array" ref="H1520">_xlfn.XLOOKUP(D1520,Productos[ID_Producto],Productos[Nombre_Producto])</f>
        <v>Leche</v>
      </c>
      <c r="I1520" s="17">
        <f t="array" ref="I1520">_xlfn.XLOOKUP(D1520,Productos[ID_Producto],Productos[Precio_Unitario])</f>
        <v>12.24</v>
      </c>
      <c r="J1520" s="17">
        <f t="shared" si="1"/>
        <v>36.72</v>
      </c>
      <c r="K1520" s="16" t="str">
        <f t="array" ref="K1520">_xlfn.XLOOKUP(C1520,Clientes[ID_Cliente],Clientes[Provincia])</f>
        <v>Buenos Aires</v>
      </c>
      <c r="L1520" s="16" t="str">
        <f t="array" ref="L1520">CONCATENATE(_xlfn.XLOOKUP(C1520,Clientes[ID_Cliente],Clientes[Provincia]),", Argentina")</f>
        <v>Buenos Aires, Argentina</v>
      </c>
      <c r="M1520" s="20" t="str">
        <f t="array" ref="M1520">_xlfn.XLOOKUP(F1520,Metodos_De_Pago[ID_Metodo],Metodos_De_Pago[Metodo])</f>
        <v>Transferencia</v>
      </c>
      <c r="N1520" s="20" t="str">
        <f t="shared" si="2"/>
        <v>2024 12</v>
      </c>
    </row>
    <row r="1521" ht="22.5" customHeight="1">
      <c r="A1521" s="12">
        <f>IFERROR(__xludf.DUMMYFUNCTION("""COMPUTED_VALUE"""),585.0)</f>
        <v>585</v>
      </c>
      <c r="B1521" s="13">
        <f>IFERROR(__xludf.DUMMYFUNCTION("""COMPUTED_VALUE"""),45654.0)</f>
        <v>45654</v>
      </c>
      <c r="C1521" s="12">
        <f>IFERROR(__xludf.DUMMYFUNCTION("""COMPUTED_VALUE"""),192.0)</f>
        <v>192</v>
      </c>
      <c r="D1521" s="12">
        <f>IFERROR(__xludf.DUMMYFUNCTION("""COMPUTED_VALUE"""),22.0)</f>
        <v>22</v>
      </c>
      <c r="E1521" s="12">
        <f>IFERROR(__xludf.DUMMYFUNCTION("""COMPUTED_VALUE"""),3.0)</f>
        <v>3</v>
      </c>
      <c r="F1521" s="12">
        <f>IFERROR(__xludf.DUMMYFUNCTION("""COMPUTED_VALUE"""),3.0)</f>
        <v>3</v>
      </c>
      <c r="G1521" s="15" t="str">
        <f>IFERROR(__xludf.DUMMYFUNCTION("""COMPUTED_VALUE"""),"Completa")</f>
        <v>Completa</v>
      </c>
      <c r="H1521" s="16" t="str">
        <f t="array" ref="H1521">_xlfn.XLOOKUP(D1521,Productos[ID_Producto],Productos[Nombre_Producto])</f>
        <v>Cebolla</v>
      </c>
      <c r="I1521" s="17">
        <f t="array" ref="I1521">_xlfn.XLOOKUP(D1521,Productos[ID_Producto],Productos[Precio_Unitario])</f>
        <v>4.21</v>
      </c>
      <c r="J1521" s="17">
        <f t="shared" si="1"/>
        <v>12.63</v>
      </c>
      <c r="K1521" s="16" t="str">
        <f t="array" ref="K1521">_xlfn.XLOOKUP(C1521,Clientes[ID_Cliente],Clientes[Provincia])</f>
        <v>San Luis</v>
      </c>
      <c r="L1521" s="16" t="str">
        <f t="array" ref="L1521">CONCATENATE(_xlfn.XLOOKUP(C1521,Clientes[ID_Cliente],Clientes[Provincia]),", Argentina")</f>
        <v>San Luis, Argentina</v>
      </c>
      <c r="M1521" s="20" t="str">
        <f t="array" ref="M1521">_xlfn.XLOOKUP(F1521,Metodos_De_Pago[ID_Metodo],Metodos_De_Pago[Metodo])</f>
        <v>Tarjeta de Débito</v>
      </c>
      <c r="N1521" s="20" t="str">
        <f t="shared" si="2"/>
        <v>2024 12</v>
      </c>
    </row>
    <row r="1522" ht="22.5" customHeight="1">
      <c r="A1522" s="12">
        <f>IFERROR(__xludf.DUMMYFUNCTION("""COMPUTED_VALUE"""),230.0)</f>
        <v>230</v>
      </c>
      <c r="B1522" s="13">
        <f>IFERROR(__xludf.DUMMYFUNCTION("""COMPUTED_VALUE"""),45655.0)</f>
        <v>45655</v>
      </c>
      <c r="C1522" s="12">
        <f>IFERROR(__xludf.DUMMYFUNCTION("""COMPUTED_VALUE"""),252.0)</f>
        <v>252</v>
      </c>
      <c r="D1522" s="12">
        <f>IFERROR(__xludf.DUMMYFUNCTION("""COMPUTED_VALUE"""),6.0)</f>
        <v>6</v>
      </c>
      <c r="E1522" s="12">
        <f>IFERROR(__xludf.DUMMYFUNCTION("""COMPUTED_VALUE"""),3.0)</f>
        <v>3</v>
      </c>
      <c r="F1522" s="12">
        <f>IFERROR(__xludf.DUMMYFUNCTION("""COMPUTED_VALUE"""),5.0)</f>
        <v>5</v>
      </c>
      <c r="G1522" s="15" t="str">
        <f>IFERROR(__xludf.DUMMYFUNCTION("""COMPUTED_VALUE"""),"Completa")</f>
        <v>Completa</v>
      </c>
      <c r="H1522" s="16" t="str">
        <f t="array" ref="H1522">_xlfn.XLOOKUP(D1522,Productos[ID_Producto],Productos[Nombre_Producto])</f>
        <v>Asado</v>
      </c>
      <c r="I1522" s="17">
        <f t="array" ref="I1522">_xlfn.XLOOKUP(D1522,Productos[ID_Producto],Productos[Precio_Unitario])</f>
        <v>28.56</v>
      </c>
      <c r="J1522" s="17">
        <f t="shared" si="1"/>
        <v>85.68</v>
      </c>
      <c r="K1522" s="16" t="str">
        <f t="array" ref="K1522">_xlfn.XLOOKUP(C1522,Clientes[ID_Cliente],Clientes[Provincia])</f>
        <v>Neuquén</v>
      </c>
      <c r="L1522" s="16" t="str">
        <f t="array" ref="L1522">CONCATENATE(_xlfn.XLOOKUP(C1522,Clientes[ID_Cliente],Clientes[Provincia]),", Argentina")</f>
        <v>Neuquén, Argentina</v>
      </c>
      <c r="M1522" s="20" t="str">
        <f t="array" ref="M1522">_xlfn.XLOOKUP(F1522,Metodos_De_Pago[ID_Metodo],Metodos_De_Pago[Metodo])</f>
        <v>Transferencia</v>
      </c>
      <c r="N1522" s="20" t="str">
        <f t="shared" si="2"/>
        <v>2024 12</v>
      </c>
    </row>
    <row r="1523" ht="22.5" customHeight="1">
      <c r="A1523" s="12">
        <f>IFERROR(__xludf.DUMMYFUNCTION("""COMPUTED_VALUE"""),1390.0)</f>
        <v>1390</v>
      </c>
      <c r="B1523" s="13">
        <f>IFERROR(__xludf.DUMMYFUNCTION("""COMPUTED_VALUE"""),45656.0)</f>
        <v>45656</v>
      </c>
      <c r="C1523" s="12">
        <f>IFERROR(__xludf.DUMMYFUNCTION("""COMPUTED_VALUE"""),26.0)</f>
        <v>26</v>
      </c>
      <c r="D1523" s="12">
        <f>IFERROR(__xludf.DUMMYFUNCTION("""COMPUTED_VALUE"""),31.0)</f>
        <v>31</v>
      </c>
      <c r="E1523" s="12">
        <f>IFERROR(__xludf.DUMMYFUNCTION("""COMPUTED_VALUE"""),3.0)</f>
        <v>3</v>
      </c>
      <c r="F1523" s="12">
        <f>IFERROR(__xludf.DUMMYFUNCTION("""COMPUTED_VALUE"""),4.0)</f>
        <v>4</v>
      </c>
      <c r="G1523" s="15" t="str">
        <f>IFERROR(__xludf.DUMMYFUNCTION("""COMPUTED_VALUE"""),"Completa")</f>
        <v>Completa</v>
      </c>
      <c r="H1523" s="16" t="str">
        <f t="array" ref="H1523">_xlfn.XLOOKUP(D1523,Productos[ID_Producto],Productos[Nombre_Producto])</f>
        <v>Galletitas de agua</v>
      </c>
      <c r="I1523" s="17">
        <f t="array" ref="I1523">_xlfn.XLOOKUP(D1523,Productos[ID_Producto],Productos[Precio_Unitario])</f>
        <v>5.24</v>
      </c>
      <c r="J1523" s="17">
        <f t="shared" si="1"/>
        <v>15.72</v>
      </c>
      <c r="K1523" s="16" t="str">
        <f t="array" ref="K1523">_xlfn.XLOOKUP(C1523,Clientes[ID_Cliente],Clientes[Provincia])</f>
        <v>Córdoba</v>
      </c>
      <c r="L1523" s="16" t="str">
        <f t="array" ref="L1523">CONCATENATE(_xlfn.XLOOKUP(C1523,Clientes[ID_Cliente],Clientes[Provincia]),", Argentina")</f>
        <v>Córdoba, Argentina</v>
      </c>
      <c r="M1523" s="20" t="str">
        <f t="array" ref="M1523">_xlfn.XLOOKUP(F1523,Metodos_De_Pago[ID_Metodo],Metodos_De_Pago[Metodo])</f>
        <v>Mercado Pago</v>
      </c>
      <c r="N1523" s="20" t="str">
        <f t="shared" si="2"/>
        <v>2024 12</v>
      </c>
    </row>
    <row r="1524" ht="22.5" customHeight="1">
      <c r="A1524" s="12">
        <f>IFERROR(__xludf.DUMMYFUNCTION("""COMPUTED_VALUE"""),1519.0)</f>
        <v>1519</v>
      </c>
      <c r="B1524" s="13">
        <f>IFERROR(__xludf.DUMMYFUNCTION("""COMPUTED_VALUE"""),45656.0)</f>
        <v>45656</v>
      </c>
      <c r="C1524" s="12">
        <f>IFERROR(__xludf.DUMMYFUNCTION("""COMPUTED_VALUE"""),246.0)</f>
        <v>246</v>
      </c>
      <c r="D1524" s="12">
        <f>IFERROR(__xludf.DUMMYFUNCTION("""COMPUTED_VALUE"""),11.0)</f>
        <v>11</v>
      </c>
      <c r="E1524" s="12">
        <f>IFERROR(__xludf.DUMMYFUNCTION("""COMPUTED_VALUE"""),3.0)</f>
        <v>3</v>
      </c>
      <c r="F1524" s="12">
        <f>IFERROR(__xludf.DUMMYFUNCTION("""COMPUTED_VALUE"""),3.0)</f>
        <v>3</v>
      </c>
      <c r="G1524" s="15" t="str">
        <f>IFERROR(__xludf.DUMMYFUNCTION("""COMPUTED_VALUE"""),"Completa")</f>
        <v>Completa</v>
      </c>
      <c r="H1524" s="16" t="str">
        <f t="array" ref="H1524">_xlfn.XLOOKUP(D1524,Productos[ID_Producto],Productos[Nombre_Producto])</f>
        <v>Salchicha</v>
      </c>
      <c r="I1524" s="17">
        <f t="array" ref="I1524">_xlfn.XLOOKUP(D1524,Productos[ID_Producto],Productos[Precio_Unitario])</f>
        <v>11.23</v>
      </c>
      <c r="J1524" s="17">
        <f t="shared" si="1"/>
        <v>33.69</v>
      </c>
      <c r="K1524" s="16" t="str">
        <f t="array" ref="K1524">_xlfn.XLOOKUP(C1524,Clientes[ID_Cliente],Clientes[Provincia])</f>
        <v>Chaco</v>
      </c>
      <c r="L1524" s="16" t="str">
        <f t="array" ref="L1524">CONCATENATE(_xlfn.XLOOKUP(C1524,Clientes[ID_Cliente],Clientes[Provincia]),", Argentina")</f>
        <v>Chaco, Argentina</v>
      </c>
      <c r="M1524" s="20" t="str">
        <f t="array" ref="M1524">_xlfn.XLOOKUP(F1524,Metodos_De_Pago[ID_Metodo],Metodos_De_Pago[Metodo])</f>
        <v>Tarjeta de Débito</v>
      </c>
      <c r="N1524" s="20" t="str">
        <f t="shared" si="2"/>
        <v>2024 12</v>
      </c>
    </row>
    <row r="1525" ht="22.5" customHeight="1">
      <c r="A1525" s="12">
        <f>IFERROR(__xludf.DUMMYFUNCTION("""COMPUTED_VALUE"""),2239.0)</f>
        <v>2239</v>
      </c>
      <c r="B1525" s="13">
        <f>IFERROR(__xludf.DUMMYFUNCTION("""COMPUTED_VALUE"""),45656.0)</f>
        <v>45656</v>
      </c>
      <c r="C1525" s="12">
        <f>IFERROR(__xludf.DUMMYFUNCTION("""COMPUTED_VALUE"""),172.0)</f>
        <v>172</v>
      </c>
      <c r="D1525" s="12">
        <f>IFERROR(__xludf.DUMMYFUNCTION("""COMPUTED_VALUE"""),17.0)</f>
        <v>17</v>
      </c>
      <c r="E1525" s="12">
        <f>IFERROR(__xludf.DUMMYFUNCTION("""COMPUTED_VALUE"""),3.0)</f>
        <v>3</v>
      </c>
      <c r="F1525" s="12">
        <f>IFERROR(__xludf.DUMMYFUNCTION("""COMPUTED_VALUE"""),3.0)</f>
        <v>3</v>
      </c>
      <c r="G1525" s="15" t="str">
        <f>IFERROR(__xludf.DUMMYFUNCTION("""COMPUTED_VALUE"""),"Completa")</f>
        <v>Completa</v>
      </c>
      <c r="H1525" s="16" t="str">
        <f t="array" ref="H1525">_xlfn.XLOOKUP(D1525,Productos[ID_Producto],Productos[Nombre_Producto])</f>
        <v>Manzanas</v>
      </c>
      <c r="I1525" s="17">
        <f t="array" ref="I1525">_xlfn.XLOOKUP(D1525,Productos[ID_Producto],Productos[Precio_Unitario])</f>
        <v>6.54</v>
      </c>
      <c r="J1525" s="17">
        <f t="shared" si="1"/>
        <v>19.62</v>
      </c>
      <c r="K1525" s="16" t="str">
        <f t="array" ref="K1525">_xlfn.XLOOKUP(C1525,Clientes[ID_Cliente],Clientes[Provincia])</f>
        <v>Buenos Aires</v>
      </c>
      <c r="L1525" s="16" t="str">
        <f t="array" ref="L1525">CONCATENATE(_xlfn.XLOOKUP(C1525,Clientes[ID_Cliente],Clientes[Provincia]),", Argentina")</f>
        <v>Buenos Aires, Argentina</v>
      </c>
      <c r="M1525" s="20" t="str">
        <f t="array" ref="M1525">_xlfn.XLOOKUP(F1525,Metodos_De_Pago[ID_Metodo],Metodos_De_Pago[Metodo])</f>
        <v>Tarjeta de Débito</v>
      </c>
      <c r="N1525" s="20" t="str">
        <f t="shared" si="2"/>
        <v>2024 12</v>
      </c>
    </row>
    <row r="1526" ht="22.5" customHeight="1">
      <c r="A1526" s="12">
        <f>IFERROR(__xludf.DUMMYFUNCTION("""COMPUTED_VALUE"""),1776.0)</f>
        <v>1776</v>
      </c>
      <c r="B1526" s="13">
        <f>IFERROR(__xludf.DUMMYFUNCTION("""COMPUTED_VALUE"""),45323.0)</f>
        <v>45323</v>
      </c>
      <c r="C1526" s="12">
        <f>IFERROR(__xludf.DUMMYFUNCTION("""COMPUTED_VALUE"""),247.0)</f>
        <v>247</v>
      </c>
      <c r="D1526" s="12">
        <f>IFERROR(__xludf.DUMMYFUNCTION("""COMPUTED_VALUE"""),7.0)</f>
        <v>7</v>
      </c>
      <c r="E1526" s="12">
        <f>IFERROR(__xludf.DUMMYFUNCTION("""COMPUTED_VALUE"""),4.0)</f>
        <v>4</v>
      </c>
      <c r="F1526" s="12">
        <f>IFERROR(__xludf.DUMMYFUNCTION("""COMPUTED_VALUE"""),4.0)</f>
        <v>4</v>
      </c>
      <c r="G1526" s="15" t="str">
        <f>IFERROR(__xludf.DUMMYFUNCTION("""COMPUTED_VALUE"""),"Completa")</f>
        <v>Completa</v>
      </c>
      <c r="H1526" s="16" t="str">
        <f t="array" ref="H1526">_xlfn.XLOOKUP(D1526,Productos[ID_Producto],Productos[Nombre_Producto])</f>
        <v>Chorizo</v>
      </c>
      <c r="I1526" s="17">
        <f t="array" ref="I1526">_xlfn.XLOOKUP(D1526,Productos[ID_Producto],Productos[Precio_Unitario])</f>
        <v>11.25</v>
      </c>
      <c r="J1526" s="17">
        <f t="shared" si="1"/>
        <v>45</v>
      </c>
      <c r="K1526" s="16" t="str">
        <f t="array" ref="K1526">_xlfn.XLOOKUP(C1526,Clientes[ID_Cliente],Clientes[Provincia])</f>
        <v>Buenos Aires</v>
      </c>
      <c r="L1526" s="16" t="str">
        <f t="array" ref="L1526">CONCATENATE(_xlfn.XLOOKUP(C1526,Clientes[ID_Cliente],Clientes[Provincia]),", Argentina")</f>
        <v>Buenos Aires, Argentina</v>
      </c>
      <c r="M1526" s="20" t="str">
        <f t="array" ref="M1526">_xlfn.XLOOKUP(F1526,Metodos_De_Pago[ID_Metodo],Metodos_De_Pago[Metodo])</f>
        <v>Mercado Pago</v>
      </c>
      <c r="N1526" s="20" t="str">
        <f t="shared" si="2"/>
        <v>2024 02</v>
      </c>
    </row>
    <row r="1527" ht="22.5" customHeight="1">
      <c r="A1527" s="12">
        <f>IFERROR(__xludf.DUMMYFUNCTION("""COMPUTED_VALUE"""),2755.0)</f>
        <v>2755</v>
      </c>
      <c r="B1527" s="13">
        <f>IFERROR(__xludf.DUMMYFUNCTION("""COMPUTED_VALUE"""),45323.0)</f>
        <v>45323</v>
      </c>
      <c r="C1527" s="12">
        <f>IFERROR(__xludf.DUMMYFUNCTION("""COMPUTED_VALUE"""),27.0)</f>
        <v>27</v>
      </c>
      <c r="D1527" s="12">
        <f>IFERROR(__xludf.DUMMYFUNCTION("""COMPUTED_VALUE"""),18.0)</f>
        <v>18</v>
      </c>
      <c r="E1527" s="12">
        <f>IFERROR(__xludf.DUMMYFUNCTION("""COMPUTED_VALUE"""),4.0)</f>
        <v>4</v>
      </c>
      <c r="F1527" s="12">
        <f>IFERROR(__xludf.DUMMYFUNCTION("""COMPUTED_VALUE"""),4.0)</f>
        <v>4</v>
      </c>
      <c r="G1527" s="15" t="str">
        <f>IFERROR(__xludf.DUMMYFUNCTION("""COMPUTED_VALUE"""),"Completa")</f>
        <v>Completa</v>
      </c>
      <c r="H1527" s="16" t="str">
        <f t="array" ref="H1527">_xlfn.XLOOKUP(D1527,Productos[ID_Producto],Productos[Nombre_Producto])</f>
        <v>Bananas</v>
      </c>
      <c r="I1527" s="17">
        <f t="array" ref="I1527">_xlfn.XLOOKUP(D1527,Productos[ID_Producto],Productos[Precio_Unitario])</f>
        <v>7.25</v>
      </c>
      <c r="J1527" s="17">
        <f t="shared" si="1"/>
        <v>29</v>
      </c>
      <c r="K1527" s="16" t="str">
        <f t="array" ref="K1527">_xlfn.XLOOKUP(C1527,Clientes[ID_Cliente],Clientes[Provincia])</f>
        <v>Buenos Aires</v>
      </c>
      <c r="L1527" s="16" t="str">
        <f t="array" ref="L1527">CONCATENATE(_xlfn.XLOOKUP(C1527,Clientes[ID_Cliente],Clientes[Provincia]),", Argentina")</f>
        <v>Buenos Aires, Argentina</v>
      </c>
      <c r="M1527" s="20" t="str">
        <f t="array" ref="M1527">_xlfn.XLOOKUP(F1527,Metodos_De_Pago[ID_Metodo],Metodos_De_Pago[Metodo])</f>
        <v>Mercado Pago</v>
      </c>
      <c r="N1527" s="20" t="str">
        <f t="shared" si="2"/>
        <v>2024 02</v>
      </c>
    </row>
    <row r="1528" ht="22.5" customHeight="1">
      <c r="A1528" s="12">
        <f>IFERROR(__xludf.DUMMYFUNCTION("""COMPUTED_VALUE"""),351.0)</f>
        <v>351</v>
      </c>
      <c r="B1528" s="13">
        <f>IFERROR(__xludf.DUMMYFUNCTION("""COMPUTED_VALUE"""),45324.0)</f>
        <v>45324</v>
      </c>
      <c r="C1528" s="12">
        <f>IFERROR(__xludf.DUMMYFUNCTION("""COMPUTED_VALUE"""),45.0)</f>
        <v>45</v>
      </c>
      <c r="D1528" s="12">
        <f>IFERROR(__xludf.DUMMYFUNCTION("""COMPUTED_VALUE"""),8.0)</f>
        <v>8</v>
      </c>
      <c r="E1528" s="12">
        <f>IFERROR(__xludf.DUMMYFUNCTION("""COMPUTED_VALUE"""),4.0)</f>
        <v>4</v>
      </c>
      <c r="F1528" s="12">
        <f>IFERROR(__xludf.DUMMYFUNCTION("""COMPUTED_VALUE"""),3.0)</f>
        <v>3</v>
      </c>
      <c r="G1528" s="15" t="str">
        <f>IFERROR(__xludf.DUMMYFUNCTION("""COMPUTED_VALUE"""),"Completa")</f>
        <v>Completa</v>
      </c>
      <c r="H1528" s="16" t="str">
        <f t="array" ref="H1528">_xlfn.XLOOKUP(D1528,Productos[ID_Producto],Productos[Nombre_Producto])</f>
        <v>Milanesa</v>
      </c>
      <c r="I1528" s="17">
        <f t="array" ref="I1528">_xlfn.XLOOKUP(D1528,Productos[ID_Producto],Productos[Precio_Unitario])</f>
        <v>16.21</v>
      </c>
      <c r="J1528" s="17">
        <f t="shared" si="1"/>
        <v>64.84</v>
      </c>
      <c r="K1528" s="16" t="str">
        <f t="array" ref="K1528">_xlfn.XLOOKUP(C1528,Clientes[ID_Cliente],Clientes[Provincia])</f>
        <v>Buenos Aires</v>
      </c>
      <c r="L1528" s="16" t="str">
        <f t="array" ref="L1528">CONCATENATE(_xlfn.XLOOKUP(C1528,Clientes[ID_Cliente],Clientes[Provincia]),", Argentina")</f>
        <v>Buenos Aires, Argentina</v>
      </c>
      <c r="M1528" s="20" t="str">
        <f t="array" ref="M1528">_xlfn.XLOOKUP(F1528,Metodos_De_Pago[ID_Metodo],Metodos_De_Pago[Metodo])</f>
        <v>Tarjeta de Débito</v>
      </c>
      <c r="N1528" s="20" t="str">
        <f t="shared" si="2"/>
        <v>2024 02</v>
      </c>
    </row>
    <row r="1529" ht="22.5" customHeight="1">
      <c r="A1529" s="12">
        <f>IFERROR(__xludf.DUMMYFUNCTION("""COMPUTED_VALUE"""),822.0)</f>
        <v>822</v>
      </c>
      <c r="B1529" s="13">
        <f>IFERROR(__xludf.DUMMYFUNCTION("""COMPUTED_VALUE"""),45324.0)</f>
        <v>45324</v>
      </c>
      <c r="C1529" s="12">
        <f>IFERROR(__xludf.DUMMYFUNCTION("""COMPUTED_VALUE"""),1.0)</f>
        <v>1</v>
      </c>
      <c r="D1529" s="12">
        <f>IFERROR(__xludf.DUMMYFUNCTION("""COMPUTED_VALUE"""),32.0)</f>
        <v>32</v>
      </c>
      <c r="E1529" s="12">
        <f>IFERROR(__xludf.DUMMYFUNCTION("""COMPUTED_VALUE"""),4.0)</f>
        <v>4</v>
      </c>
      <c r="F1529" s="12">
        <f>IFERROR(__xludf.DUMMYFUNCTION("""COMPUTED_VALUE"""),5.0)</f>
        <v>5</v>
      </c>
      <c r="G1529" s="15" t="str">
        <f>IFERROR(__xludf.DUMMYFUNCTION("""COMPUTED_VALUE"""),"Completa")</f>
        <v>Completa</v>
      </c>
      <c r="H1529" s="16" t="str">
        <f t="array" ref="H1529">_xlfn.XLOOKUP(D1529,Productos[ID_Producto],Productos[Nombre_Producto])</f>
        <v>Galletitas de chocolate</v>
      </c>
      <c r="I1529" s="17">
        <f t="array" ref="I1529">_xlfn.XLOOKUP(D1529,Productos[ID_Producto],Productos[Precio_Unitario])</f>
        <v>6.25</v>
      </c>
      <c r="J1529" s="17">
        <f t="shared" si="1"/>
        <v>25</v>
      </c>
      <c r="K1529" s="16" t="str">
        <f t="array" ref="K1529">_xlfn.XLOOKUP(C1529,Clientes[ID_Cliente],Clientes[Provincia])</f>
        <v>Neuquén</v>
      </c>
      <c r="L1529" s="16" t="str">
        <f t="array" ref="L1529">CONCATENATE(_xlfn.XLOOKUP(C1529,Clientes[ID_Cliente],Clientes[Provincia]),", Argentina")</f>
        <v>Neuquén, Argentina</v>
      </c>
      <c r="M1529" s="20" t="str">
        <f t="array" ref="M1529">_xlfn.XLOOKUP(F1529,Metodos_De_Pago[ID_Metodo],Metodos_De_Pago[Metodo])</f>
        <v>Transferencia</v>
      </c>
      <c r="N1529" s="20" t="str">
        <f t="shared" si="2"/>
        <v>2024 02</v>
      </c>
    </row>
    <row r="1530" ht="22.5" customHeight="1">
      <c r="A1530" s="12">
        <f>IFERROR(__xludf.DUMMYFUNCTION("""COMPUTED_VALUE"""),1931.0)</f>
        <v>1931</v>
      </c>
      <c r="B1530" s="13">
        <f>IFERROR(__xludf.DUMMYFUNCTION("""COMPUTED_VALUE"""),45325.0)</f>
        <v>45325</v>
      </c>
      <c r="C1530" s="12">
        <f>IFERROR(__xludf.DUMMYFUNCTION("""COMPUTED_VALUE"""),204.0)</f>
        <v>204</v>
      </c>
      <c r="D1530" s="12">
        <f>IFERROR(__xludf.DUMMYFUNCTION("""COMPUTED_VALUE"""),6.0)</f>
        <v>6</v>
      </c>
      <c r="E1530" s="12">
        <f>IFERROR(__xludf.DUMMYFUNCTION("""COMPUTED_VALUE"""),4.0)</f>
        <v>4</v>
      </c>
      <c r="F1530" s="12">
        <f>IFERROR(__xludf.DUMMYFUNCTION("""COMPUTED_VALUE"""),5.0)</f>
        <v>5</v>
      </c>
      <c r="G1530" s="15" t="str">
        <f>IFERROR(__xludf.DUMMYFUNCTION("""COMPUTED_VALUE"""),"Completa")</f>
        <v>Completa</v>
      </c>
      <c r="H1530" s="16" t="str">
        <f t="array" ref="H1530">_xlfn.XLOOKUP(D1530,Productos[ID_Producto],Productos[Nombre_Producto])</f>
        <v>Asado</v>
      </c>
      <c r="I1530" s="17">
        <f t="array" ref="I1530">_xlfn.XLOOKUP(D1530,Productos[ID_Producto],Productos[Precio_Unitario])</f>
        <v>28.56</v>
      </c>
      <c r="J1530" s="17">
        <f t="shared" si="1"/>
        <v>114.24</v>
      </c>
      <c r="K1530" s="16" t="str">
        <f t="array" ref="K1530">_xlfn.XLOOKUP(C1530,Clientes[ID_Cliente],Clientes[Provincia])</f>
        <v>Neuquén</v>
      </c>
      <c r="L1530" s="16" t="str">
        <f t="array" ref="L1530">CONCATENATE(_xlfn.XLOOKUP(C1530,Clientes[ID_Cliente],Clientes[Provincia]),", Argentina")</f>
        <v>Neuquén, Argentina</v>
      </c>
      <c r="M1530" s="20" t="str">
        <f t="array" ref="M1530">_xlfn.XLOOKUP(F1530,Metodos_De_Pago[ID_Metodo],Metodos_De_Pago[Metodo])</f>
        <v>Transferencia</v>
      </c>
      <c r="N1530" s="20" t="str">
        <f t="shared" si="2"/>
        <v>2024 02</v>
      </c>
    </row>
    <row r="1531" ht="22.5" customHeight="1">
      <c r="A1531" s="12">
        <f>IFERROR(__xludf.DUMMYFUNCTION("""COMPUTED_VALUE"""),593.0)</f>
        <v>593</v>
      </c>
      <c r="B1531" s="13">
        <f>IFERROR(__xludf.DUMMYFUNCTION("""COMPUTED_VALUE"""),45328.0)</f>
        <v>45328</v>
      </c>
      <c r="C1531" s="12">
        <f>IFERROR(__xludf.DUMMYFUNCTION("""COMPUTED_VALUE"""),258.0)</f>
        <v>258</v>
      </c>
      <c r="D1531" s="12">
        <f>IFERROR(__xludf.DUMMYFUNCTION("""COMPUTED_VALUE"""),11.0)</f>
        <v>11</v>
      </c>
      <c r="E1531" s="12">
        <f>IFERROR(__xludf.DUMMYFUNCTION("""COMPUTED_VALUE"""),4.0)</f>
        <v>4</v>
      </c>
      <c r="F1531" s="12">
        <f>IFERROR(__xludf.DUMMYFUNCTION("""COMPUTED_VALUE"""),5.0)</f>
        <v>5</v>
      </c>
      <c r="G1531" s="15" t="str">
        <f>IFERROR(__xludf.DUMMYFUNCTION("""COMPUTED_VALUE"""),"Completa")</f>
        <v>Completa</v>
      </c>
      <c r="H1531" s="16" t="str">
        <f t="array" ref="H1531">_xlfn.XLOOKUP(D1531,Productos[ID_Producto],Productos[Nombre_Producto])</f>
        <v>Salchicha</v>
      </c>
      <c r="I1531" s="17">
        <f t="array" ref="I1531">_xlfn.XLOOKUP(D1531,Productos[ID_Producto],Productos[Precio_Unitario])</f>
        <v>11.23</v>
      </c>
      <c r="J1531" s="17">
        <f t="shared" si="1"/>
        <v>44.92</v>
      </c>
      <c r="K1531" s="16" t="str">
        <f t="array" ref="K1531">_xlfn.XLOOKUP(C1531,Clientes[ID_Cliente],Clientes[Provincia])</f>
        <v>Córdoba</v>
      </c>
      <c r="L1531" s="16" t="str">
        <f t="array" ref="L1531">CONCATENATE(_xlfn.XLOOKUP(C1531,Clientes[ID_Cliente],Clientes[Provincia]),", Argentina")</f>
        <v>Córdoba, Argentina</v>
      </c>
      <c r="M1531" s="20" t="str">
        <f t="array" ref="M1531">_xlfn.XLOOKUP(F1531,Metodos_De_Pago[ID_Metodo],Metodos_De_Pago[Metodo])</f>
        <v>Transferencia</v>
      </c>
      <c r="N1531" s="20" t="str">
        <f t="shared" si="2"/>
        <v>2024 02</v>
      </c>
    </row>
    <row r="1532" ht="22.5" customHeight="1">
      <c r="A1532" s="12">
        <f>IFERROR(__xludf.DUMMYFUNCTION("""COMPUTED_VALUE"""),116.0)</f>
        <v>116</v>
      </c>
      <c r="B1532" s="13">
        <f>IFERROR(__xludf.DUMMYFUNCTION("""COMPUTED_VALUE"""),45329.0)</f>
        <v>45329</v>
      </c>
      <c r="C1532" s="12">
        <f>IFERROR(__xludf.DUMMYFUNCTION("""COMPUTED_VALUE"""),71.0)</f>
        <v>71</v>
      </c>
      <c r="D1532" s="12">
        <f>IFERROR(__xludf.DUMMYFUNCTION("""COMPUTED_VALUE"""),35.0)</f>
        <v>35</v>
      </c>
      <c r="E1532" s="12">
        <f>IFERROR(__xludf.DUMMYFUNCTION("""COMPUTED_VALUE"""),4.0)</f>
        <v>4</v>
      </c>
      <c r="F1532" s="12">
        <f>IFERROR(__xludf.DUMMYFUNCTION("""COMPUTED_VALUE"""),3.0)</f>
        <v>3</v>
      </c>
      <c r="G1532" s="15" t="str">
        <f>IFERROR(__xludf.DUMMYFUNCTION("""COMPUTED_VALUE"""),"Completa")</f>
        <v>Completa</v>
      </c>
      <c r="H1532" s="16" t="str">
        <f t="array" ref="H1532">_xlfn.XLOOKUP(D1532,Productos[ID_Producto],Productos[Nombre_Producto])</f>
        <v>Arroz</v>
      </c>
      <c r="I1532" s="17">
        <f t="array" ref="I1532">_xlfn.XLOOKUP(D1532,Productos[ID_Producto],Productos[Precio_Unitario])</f>
        <v>4.25</v>
      </c>
      <c r="J1532" s="17">
        <f t="shared" si="1"/>
        <v>17</v>
      </c>
      <c r="K1532" s="16" t="str">
        <f t="array" ref="K1532">_xlfn.XLOOKUP(C1532,Clientes[ID_Cliente],Clientes[Provincia])</f>
        <v>Buenos Aires</v>
      </c>
      <c r="L1532" s="16" t="str">
        <f t="array" ref="L1532">CONCATENATE(_xlfn.XLOOKUP(C1532,Clientes[ID_Cliente],Clientes[Provincia]),", Argentina")</f>
        <v>Buenos Aires, Argentina</v>
      </c>
      <c r="M1532" s="20" t="str">
        <f t="array" ref="M1532">_xlfn.XLOOKUP(F1532,Metodos_De_Pago[ID_Metodo],Metodos_De_Pago[Metodo])</f>
        <v>Tarjeta de Débito</v>
      </c>
      <c r="N1532" s="20" t="str">
        <f t="shared" si="2"/>
        <v>2024 02</v>
      </c>
    </row>
    <row r="1533" ht="22.5" customHeight="1">
      <c r="A1533" s="12">
        <f>IFERROR(__xludf.DUMMYFUNCTION("""COMPUTED_VALUE"""),2770.0)</f>
        <v>2770</v>
      </c>
      <c r="B1533" s="13">
        <f>IFERROR(__xludf.DUMMYFUNCTION("""COMPUTED_VALUE"""),45330.0)</f>
        <v>45330</v>
      </c>
      <c r="C1533" s="12">
        <f>IFERROR(__xludf.DUMMYFUNCTION("""COMPUTED_VALUE"""),295.0)</f>
        <v>295</v>
      </c>
      <c r="D1533" s="12">
        <f>IFERROR(__xludf.DUMMYFUNCTION("""COMPUTED_VALUE"""),34.0)</f>
        <v>34</v>
      </c>
      <c r="E1533" s="12">
        <f>IFERROR(__xludf.DUMMYFUNCTION("""COMPUTED_VALUE"""),4.0)</f>
        <v>4</v>
      </c>
      <c r="F1533" s="12">
        <f>IFERROR(__xludf.DUMMYFUNCTION("""COMPUTED_VALUE"""),2.0)</f>
        <v>2</v>
      </c>
      <c r="G1533" s="15" t="str">
        <f>IFERROR(__xludf.DUMMYFUNCTION("""COMPUTED_VALUE"""),"Completa")</f>
        <v>Completa</v>
      </c>
      <c r="H1533" s="16" t="str">
        <f t="array" ref="H1533">_xlfn.XLOOKUP(D1533,Productos[ID_Producto],Productos[Nombre_Producto])</f>
        <v>Maníes</v>
      </c>
      <c r="I1533" s="17">
        <f t="array" ref="I1533">_xlfn.XLOOKUP(D1533,Productos[ID_Producto],Productos[Precio_Unitario])</f>
        <v>5.45</v>
      </c>
      <c r="J1533" s="17">
        <f t="shared" si="1"/>
        <v>21.8</v>
      </c>
      <c r="K1533" s="16" t="str">
        <f t="array" ref="K1533">_xlfn.XLOOKUP(C1533,Clientes[ID_Cliente],Clientes[Provincia])</f>
        <v>San Luis</v>
      </c>
      <c r="L1533" s="16" t="str">
        <f t="array" ref="L1533">CONCATENATE(_xlfn.XLOOKUP(C1533,Clientes[ID_Cliente],Clientes[Provincia]),", Argentina")</f>
        <v>San Luis, Argentina</v>
      </c>
      <c r="M1533" s="20" t="str">
        <f t="array" ref="M1533">_xlfn.XLOOKUP(F1533,Metodos_De_Pago[ID_Metodo],Metodos_De_Pago[Metodo])</f>
        <v>Tarjeta de Crédito</v>
      </c>
      <c r="N1533" s="20" t="str">
        <f t="shared" si="2"/>
        <v>2024 02</v>
      </c>
    </row>
    <row r="1534" ht="22.5" customHeight="1">
      <c r="A1534" s="12">
        <f>IFERROR(__xludf.DUMMYFUNCTION("""COMPUTED_VALUE"""),226.0)</f>
        <v>226</v>
      </c>
      <c r="B1534" s="13">
        <f>IFERROR(__xludf.DUMMYFUNCTION("""COMPUTED_VALUE"""),45331.0)</f>
        <v>45331</v>
      </c>
      <c r="C1534" s="12">
        <f>IFERROR(__xludf.DUMMYFUNCTION("""COMPUTED_VALUE"""),3.0)</f>
        <v>3</v>
      </c>
      <c r="D1534" s="12">
        <f>IFERROR(__xludf.DUMMYFUNCTION("""COMPUTED_VALUE"""),11.0)</f>
        <v>11</v>
      </c>
      <c r="E1534" s="12">
        <f>IFERROR(__xludf.DUMMYFUNCTION("""COMPUTED_VALUE"""),4.0)</f>
        <v>4</v>
      </c>
      <c r="F1534" s="12">
        <f>IFERROR(__xludf.DUMMYFUNCTION("""COMPUTED_VALUE"""),1.0)</f>
        <v>1</v>
      </c>
      <c r="G1534" s="15" t="str">
        <f>IFERROR(__xludf.DUMMYFUNCTION("""COMPUTED_VALUE"""),"Completa")</f>
        <v>Completa</v>
      </c>
      <c r="H1534" s="16" t="str">
        <f t="array" ref="H1534">_xlfn.XLOOKUP(D1534,Productos[ID_Producto],Productos[Nombre_Producto])</f>
        <v>Salchicha</v>
      </c>
      <c r="I1534" s="17">
        <f t="array" ref="I1534">_xlfn.XLOOKUP(D1534,Productos[ID_Producto],Productos[Precio_Unitario])</f>
        <v>11.23</v>
      </c>
      <c r="J1534" s="17">
        <f t="shared" si="1"/>
        <v>44.92</v>
      </c>
      <c r="K1534" s="16" t="str">
        <f t="array" ref="K1534">_xlfn.XLOOKUP(C1534,Clientes[ID_Cliente],Clientes[Provincia])</f>
        <v>Neuquén</v>
      </c>
      <c r="L1534" s="16" t="str">
        <f t="array" ref="L1534">CONCATENATE(_xlfn.XLOOKUP(C1534,Clientes[ID_Cliente],Clientes[Provincia]),", Argentina")</f>
        <v>Neuquén, Argentina</v>
      </c>
      <c r="M1534" s="20" t="str">
        <f t="array" ref="M1534">_xlfn.XLOOKUP(F1534,Metodos_De_Pago[ID_Metodo],Metodos_De_Pago[Metodo])</f>
        <v>Efectivo</v>
      </c>
      <c r="N1534" s="20" t="str">
        <f t="shared" si="2"/>
        <v>2024 02</v>
      </c>
    </row>
    <row r="1535" ht="22.5" customHeight="1">
      <c r="A1535" s="12">
        <f>IFERROR(__xludf.DUMMYFUNCTION("""COMPUTED_VALUE"""),1102.0)</f>
        <v>1102</v>
      </c>
      <c r="B1535" s="13">
        <f>IFERROR(__xludf.DUMMYFUNCTION("""COMPUTED_VALUE"""),45332.0)</f>
        <v>45332</v>
      </c>
      <c r="C1535" s="12">
        <f>IFERROR(__xludf.DUMMYFUNCTION("""COMPUTED_VALUE"""),59.0)</f>
        <v>59</v>
      </c>
      <c r="D1535" s="12">
        <f>IFERROR(__xludf.DUMMYFUNCTION("""COMPUTED_VALUE"""),29.0)</f>
        <v>29</v>
      </c>
      <c r="E1535" s="12">
        <f>IFERROR(__xludf.DUMMYFUNCTION("""COMPUTED_VALUE"""),4.0)</f>
        <v>4</v>
      </c>
      <c r="F1535" s="12">
        <f>IFERROR(__xludf.DUMMYFUNCTION("""COMPUTED_VALUE"""),3.0)</f>
        <v>3</v>
      </c>
      <c r="G1535" s="15" t="str">
        <f>IFERROR(__xludf.DUMMYFUNCTION("""COMPUTED_VALUE"""),"Completa")</f>
        <v>Completa</v>
      </c>
      <c r="H1535" s="16" t="str">
        <f t="array" ref="H1535">_xlfn.XLOOKUP(D1535,Productos[ID_Producto],Productos[Nombre_Producto])</f>
        <v>Cerveza</v>
      </c>
      <c r="I1535" s="17">
        <f t="array" ref="I1535">_xlfn.XLOOKUP(D1535,Productos[ID_Producto],Productos[Precio_Unitario])</f>
        <v>11.54</v>
      </c>
      <c r="J1535" s="17">
        <f t="shared" si="1"/>
        <v>46.16</v>
      </c>
      <c r="K1535" s="16" t="str">
        <f t="array" ref="K1535">_xlfn.XLOOKUP(C1535,Clientes[ID_Cliente],Clientes[Provincia])</f>
        <v>Córdoba</v>
      </c>
      <c r="L1535" s="16" t="str">
        <f t="array" ref="L1535">CONCATENATE(_xlfn.XLOOKUP(C1535,Clientes[ID_Cliente],Clientes[Provincia]),", Argentina")</f>
        <v>Córdoba, Argentina</v>
      </c>
      <c r="M1535" s="20" t="str">
        <f t="array" ref="M1535">_xlfn.XLOOKUP(F1535,Metodos_De_Pago[ID_Metodo],Metodos_De_Pago[Metodo])</f>
        <v>Tarjeta de Débito</v>
      </c>
      <c r="N1535" s="20" t="str">
        <f t="shared" si="2"/>
        <v>2024 02</v>
      </c>
    </row>
    <row r="1536" ht="22.5" customHeight="1">
      <c r="A1536" s="12">
        <f>IFERROR(__xludf.DUMMYFUNCTION("""COMPUTED_VALUE"""),2874.0)</f>
        <v>2874</v>
      </c>
      <c r="B1536" s="13">
        <f>IFERROR(__xludf.DUMMYFUNCTION("""COMPUTED_VALUE"""),45333.0)</f>
        <v>45333</v>
      </c>
      <c r="C1536" s="12">
        <f>IFERROR(__xludf.DUMMYFUNCTION("""COMPUTED_VALUE"""),87.0)</f>
        <v>87</v>
      </c>
      <c r="D1536" s="12">
        <f>IFERROR(__xludf.DUMMYFUNCTION("""COMPUTED_VALUE"""),19.0)</f>
        <v>19</v>
      </c>
      <c r="E1536" s="12">
        <f>IFERROR(__xludf.DUMMYFUNCTION("""COMPUTED_VALUE"""),4.0)</f>
        <v>4</v>
      </c>
      <c r="F1536" s="12">
        <f>IFERROR(__xludf.DUMMYFUNCTION("""COMPUTED_VALUE"""),5.0)</f>
        <v>5</v>
      </c>
      <c r="G1536" s="15" t="str">
        <f>IFERROR(__xludf.DUMMYFUNCTION("""COMPUTED_VALUE"""),"Completa")</f>
        <v>Completa</v>
      </c>
      <c r="H1536" s="16" t="str">
        <f t="array" ref="H1536">_xlfn.XLOOKUP(D1536,Productos[ID_Producto],Productos[Nombre_Producto])</f>
        <v>Tomates</v>
      </c>
      <c r="I1536" s="17">
        <f t="array" ref="I1536">_xlfn.XLOOKUP(D1536,Productos[ID_Producto],Productos[Precio_Unitario])</f>
        <v>6.54</v>
      </c>
      <c r="J1536" s="17">
        <f t="shared" si="1"/>
        <v>26.16</v>
      </c>
      <c r="K1536" s="16" t="str">
        <f t="array" ref="K1536">_xlfn.XLOOKUP(C1536,Clientes[ID_Cliente],Clientes[Provincia])</f>
        <v>Neuquén</v>
      </c>
      <c r="L1536" s="16" t="str">
        <f t="array" ref="L1536">CONCATENATE(_xlfn.XLOOKUP(C1536,Clientes[ID_Cliente],Clientes[Provincia]),", Argentina")</f>
        <v>Neuquén, Argentina</v>
      </c>
      <c r="M1536" s="20" t="str">
        <f t="array" ref="M1536">_xlfn.XLOOKUP(F1536,Metodos_De_Pago[ID_Metodo],Metodos_De_Pago[Metodo])</f>
        <v>Transferencia</v>
      </c>
      <c r="N1536" s="20" t="str">
        <f t="shared" si="2"/>
        <v>2024 02</v>
      </c>
    </row>
    <row r="1537" ht="22.5" customHeight="1">
      <c r="A1537" s="12">
        <f>IFERROR(__xludf.DUMMYFUNCTION("""COMPUTED_VALUE"""),2933.0)</f>
        <v>2933</v>
      </c>
      <c r="B1537" s="13">
        <f>IFERROR(__xludf.DUMMYFUNCTION("""COMPUTED_VALUE"""),45333.0)</f>
        <v>45333</v>
      </c>
      <c r="C1537" s="12">
        <f>IFERROR(__xludf.DUMMYFUNCTION("""COMPUTED_VALUE"""),307.0)</f>
        <v>307</v>
      </c>
      <c r="D1537" s="12">
        <f>IFERROR(__xludf.DUMMYFUNCTION("""COMPUTED_VALUE"""),37.0)</f>
        <v>37</v>
      </c>
      <c r="E1537" s="12">
        <f>IFERROR(__xludf.DUMMYFUNCTION("""COMPUTED_VALUE"""),4.0)</f>
        <v>4</v>
      </c>
      <c r="F1537" s="12">
        <f>IFERROR(__xludf.DUMMYFUNCTION("""COMPUTED_VALUE"""),5.0)</f>
        <v>5</v>
      </c>
      <c r="G1537" s="15" t="str">
        <f>IFERROR(__xludf.DUMMYFUNCTION("""COMPUTED_VALUE"""),"Completa")</f>
        <v>Completa</v>
      </c>
      <c r="H1537" s="16" t="str">
        <f t="array" ref="H1537">_xlfn.XLOOKUP(D1537,Productos[ID_Producto],Productos[Nombre_Producto])</f>
        <v>Garbanzos</v>
      </c>
      <c r="I1537" s="17">
        <f t="array" ref="I1537">_xlfn.XLOOKUP(D1537,Productos[ID_Producto],Productos[Precio_Unitario])</f>
        <v>3.65</v>
      </c>
      <c r="J1537" s="17">
        <f t="shared" si="1"/>
        <v>14.6</v>
      </c>
      <c r="K1537" s="16" t="str">
        <f t="array" ref="K1537">_xlfn.XLOOKUP(C1537,Clientes[ID_Cliente],Clientes[Provincia])</f>
        <v>San Luis</v>
      </c>
      <c r="L1537" s="16" t="str">
        <f t="array" ref="L1537">CONCATENATE(_xlfn.XLOOKUP(C1537,Clientes[ID_Cliente],Clientes[Provincia]),", Argentina")</f>
        <v>San Luis, Argentina</v>
      </c>
      <c r="M1537" s="20" t="str">
        <f t="array" ref="M1537">_xlfn.XLOOKUP(F1537,Metodos_De_Pago[ID_Metodo],Metodos_De_Pago[Metodo])</f>
        <v>Transferencia</v>
      </c>
      <c r="N1537" s="20" t="str">
        <f t="shared" si="2"/>
        <v>2024 02</v>
      </c>
    </row>
    <row r="1538" ht="22.5" customHeight="1">
      <c r="A1538" s="12">
        <f>IFERROR(__xludf.DUMMYFUNCTION("""COMPUTED_VALUE"""),237.0)</f>
        <v>237</v>
      </c>
      <c r="B1538" s="13">
        <f>IFERROR(__xludf.DUMMYFUNCTION("""COMPUTED_VALUE"""),45334.0)</f>
        <v>45334</v>
      </c>
      <c r="C1538" s="12">
        <f>IFERROR(__xludf.DUMMYFUNCTION("""COMPUTED_VALUE"""),182.0)</f>
        <v>182</v>
      </c>
      <c r="D1538" s="12">
        <f>IFERROR(__xludf.DUMMYFUNCTION("""COMPUTED_VALUE"""),21.0)</f>
        <v>21</v>
      </c>
      <c r="E1538" s="12">
        <f>IFERROR(__xludf.DUMMYFUNCTION("""COMPUTED_VALUE"""),4.0)</f>
        <v>4</v>
      </c>
      <c r="F1538" s="12">
        <f>IFERROR(__xludf.DUMMYFUNCTION("""COMPUTED_VALUE"""),1.0)</f>
        <v>1</v>
      </c>
      <c r="G1538" s="15" t="str">
        <f>IFERROR(__xludf.DUMMYFUNCTION("""COMPUTED_VALUE"""),"Completa")</f>
        <v>Completa</v>
      </c>
      <c r="H1538" s="16" t="str">
        <f t="array" ref="H1538">_xlfn.XLOOKUP(D1538,Productos[ID_Producto],Productos[Nombre_Producto])</f>
        <v>Zanahorias</v>
      </c>
      <c r="I1538" s="17">
        <f t="array" ref="I1538">_xlfn.XLOOKUP(D1538,Productos[ID_Producto],Productos[Precio_Unitario])</f>
        <v>3.25</v>
      </c>
      <c r="J1538" s="17">
        <f t="shared" si="1"/>
        <v>13</v>
      </c>
      <c r="K1538" s="16" t="str">
        <f t="array" ref="K1538">_xlfn.XLOOKUP(C1538,Clientes[ID_Cliente],Clientes[Provincia])</f>
        <v>Córdoba</v>
      </c>
      <c r="L1538" s="16" t="str">
        <f t="array" ref="L1538">CONCATENATE(_xlfn.XLOOKUP(C1538,Clientes[ID_Cliente],Clientes[Provincia]),", Argentina")</f>
        <v>Córdoba, Argentina</v>
      </c>
      <c r="M1538" s="20" t="str">
        <f t="array" ref="M1538">_xlfn.XLOOKUP(F1538,Metodos_De_Pago[ID_Metodo],Metodos_De_Pago[Metodo])</f>
        <v>Efectivo</v>
      </c>
      <c r="N1538" s="20" t="str">
        <f t="shared" si="2"/>
        <v>2024 02</v>
      </c>
    </row>
    <row r="1539" ht="22.5" customHeight="1">
      <c r="A1539" s="12">
        <f>IFERROR(__xludf.DUMMYFUNCTION("""COMPUTED_VALUE"""),1168.0)</f>
        <v>1168</v>
      </c>
      <c r="B1539" s="13">
        <f>IFERROR(__xludf.DUMMYFUNCTION("""COMPUTED_VALUE"""),45334.0)</f>
        <v>45334</v>
      </c>
      <c r="C1539" s="12">
        <f>IFERROR(__xludf.DUMMYFUNCTION("""COMPUTED_VALUE"""),286.0)</f>
        <v>286</v>
      </c>
      <c r="D1539" s="12">
        <f>IFERROR(__xludf.DUMMYFUNCTION("""COMPUTED_VALUE"""),4.0)</f>
        <v>4</v>
      </c>
      <c r="E1539" s="12">
        <f>IFERROR(__xludf.DUMMYFUNCTION("""COMPUTED_VALUE"""),4.0)</f>
        <v>4</v>
      </c>
      <c r="F1539" s="12">
        <f>IFERROR(__xludf.DUMMYFUNCTION("""COMPUTED_VALUE"""),5.0)</f>
        <v>5</v>
      </c>
      <c r="G1539" s="15" t="str">
        <f>IFERROR(__xludf.DUMMYFUNCTION("""COMPUTED_VALUE"""),"Completa")</f>
        <v>Completa</v>
      </c>
      <c r="H1539" s="16" t="str">
        <f t="array" ref="H1539">_xlfn.XLOOKUP(D1539,Productos[ID_Producto],Productos[Nombre_Producto])</f>
        <v>Queso rallado</v>
      </c>
      <c r="I1539" s="17">
        <f t="array" ref="I1539">_xlfn.XLOOKUP(D1539,Productos[ID_Producto],Productos[Precio_Unitario])</f>
        <v>19.23</v>
      </c>
      <c r="J1539" s="17">
        <f t="shared" si="1"/>
        <v>76.92</v>
      </c>
      <c r="K1539" s="16" t="str">
        <f t="array" ref="K1539">_xlfn.XLOOKUP(C1539,Clientes[ID_Cliente],Clientes[Provincia])</f>
        <v>Córdoba</v>
      </c>
      <c r="L1539" s="16" t="str">
        <f t="array" ref="L1539">CONCATENATE(_xlfn.XLOOKUP(C1539,Clientes[ID_Cliente],Clientes[Provincia]),", Argentina")</f>
        <v>Córdoba, Argentina</v>
      </c>
      <c r="M1539" s="20" t="str">
        <f t="array" ref="M1539">_xlfn.XLOOKUP(F1539,Metodos_De_Pago[ID_Metodo],Metodos_De_Pago[Metodo])</f>
        <v>Transferencia</v>
      </c>
      <c r="N1539" s="20" t="str">
        <f t="shared" si="2"/>
        <v>2024 02</v>
      </c>
    </row>
    <row r="1540" ht="22.5" customHeight="1">
      <c r="A1540" s="12">
        <f>IFERROR(__xludf.DUMMYFUNCTION("""COMPUTED_VALUE"""),2236.0)</f>
        <v>2236</v>
      </c>
      <c r="B1540" s="13">
        <f>IFERROR(__xludf.DUMMYFUNCTION("""COMPUTED_VALUE"""),45334.0)</f>
        <v>45334</v>
      </c>
      <c r="C1540" s="12">
        <f>IFERROR(__xludf.DUMMYFUNCTION("""COMPUTED_VALUE"""),295.0)</f>
        <v>295</v>
      </c>
      <c r="D1540" s="12">
        <f>IFERROR(__xludf.DUMMYFUNCTION("""COMPUTED_VALUE"""),18.0)</f>
        <v>18</v>
      </c>
      <c r="E1540" s="12">
        <f>IFERROR(__xludf.DUMMYFUNCTION("""COMPUTED_VALUE"""),4.0)</f>
        <v>4</v>
      </c>
      <c r="F1540" s="12">
        <f>IFERROR(__xludf.DUMMYFUNCTION("""COMPUTED_VALUE"""),5.0)</f>
        <v>5</v>
      </c>
      <c r="G1540" s="15" t="str">
        <f>IFERROR(__xludf.DUMMYFUNCTION("""COMPUTED_VALUE"""),"Completa")</f>
        <v>Completa</v>
      </c>
      <c r="H1540" s="16" t="str">
        <f t="array" ref="H1540">_xlfn.XLOOKUP(D1540,Productos[ID_Producto],Productos[Nombre_Producto])</f>
        <v>Bananas</v>
      </c>
      <c r="I1540" s="17">
        <f t="array" ref="I1540">_xlfn.XLOOKUP(D1540,Productos[ID_Producto],Productos[Precio_Unitario])</f>
        <v>7.25</v>
      </c>
      <c r="J1540" s="17">
        <f t="shared" si="1"/>
        <v>29</v>
      </c>
      <c r="K1540" s="16" t="str">
        <f t="array" ref="K1540">_xlfn.XLOOKUP(C1540,Clientes[ID_Cliente],Clientes[Provincia])</f>
        <v>San Luis</v>
      </c>
      <c r="L1540" s="16" t="str">
        <f t="array" ref="L1540">CONCATENATE(_xlfn.XLOOKUP(C1540,Clientes[ID_Cliente],Clientes[Provincia]),", Argentina")</f>
        <v>San Luis, Argentina</v>
      </c>
      <c r="M1540" s="20" t="str">
        <f t="array" ref="M1540">_xlfn.XLOOKUP(F1540,Metodos_De_Pago[ID_Metodo],Metodos_De_Pago[Metodo])</f>
        <v>Transferencia</v>
      </c>
      <c r="N1540" s="20" t="str">
        <f t="shared" si="2"/>
        <v>2024 02</v>
      </c>
    </row>
    <row r="1541" ht="22.5" customHeight="1">
      <c r="A1541" s="12">
        <f>IFERROR(__xludf.DUMMYFUNCTION("""COMPUTED_VALUE"""),8.0)</f>
        <v>8</v>
      </c>
      <c r="B1541" s="13">
        <f>IFERROR(__xludf.DUMMYFUNCTION("""COMPUTED_VALUE"""),45335.0)</f>
        <v>45335</v>
      </c>
      <c r="C1541" s="12">
        <f>IFERROR(__xludf.DUMMYFUNCTION("""COMPUTED_VALUE"""),214.0)</f>
        <v>214</v>
      </c>
      <c r="D1541" s="12">
        <f>IFERROR(__xludf.DUMMYFUNCTION("""COMPUTED_VALUE"""),38.0)</f>
        <v>38</v>
      </c>
      <c r="E1541" s="12">
        <f>IFERROR(__xludf.DUMMYFUNCTION("""COMPUTED_VALUE"""),4.0)</f>
        <v>4</v>
      </c>
      <c r="F1541" s="12">
        <f>IFERROR(__xludf.DUMMYFUNCTION("""COMPUTED_VALUE"""),4.0)</f>
        <v>4</v>
      </c>
      <c r="G1541" s="15" t="str">
        <f>IFERROR(__xludf.DUMMYFUNCTION("""COMPUTED_VALUE"""),"Completa")</f>
        <v>Completa</v>
      </c>
      <c r="H1541" s="16" t="str">
        <f t="array" ref="H1541">_xlfn.XLOOKUP(D1541,Productos[ID_Producto],Productos[Nombre_Producto])</f>
        <v>Atún enlatado</v>
      </c>
      <c r="I1541" s="17">
        <f t="array" ref="I1541">_xlfn.XLOOKUP(D1541,Productos[ID_Producto],Productos[Precio_Unitario])</f>
        <v>6.21</v>
      </c>
      <c r="J1541" s="17">
        <f t="shared" si="1"/>
        <v>24.84</v>
      </c>
      <c r="K1541" s="16" t="str">
        <f t="array" ref="K1541">_xlfn.XLOOKUP(C1541,Clientes[ID_Cliente],Clientes[Provincia])</f>
        <v>Neuquén</v>
      </c>
      <c r="L1541" s="16" t="str">
        <f t="array" ref="L1541">CONCATENATE(_xlfn.XLOOKUP(C1541,Clientes[ID_Cliente],Clientes[Provincia]),", Argentina")</f>
        <v>Neuquén, Argentina</v>
      </c>
      <c r="M1541" s="20" t="str">
        <f t="array" ref="M1541">_xlfn.XLOOKUP(F1541,Metodos_De_Pago[ID_Metodo],Metodos_De_Pago[Metodo])</f>
        <v>Mercado Pago</v>
      </c>
      <c r="N1541" s="20" t="str">
        <f t="shared" si="2"/>
        <v>2024 02</v>
      </c>
    </row>
    <row r="1542" ht="22.5" customHeight="1">
      <c r="A1542" s="12">
        <f>IFERROR(__xludf.DUMMYFUNCTION("""COMPUTED_VALUE"""),14.0)</f>
        <v>14</v>
      </c>
      <c r="B1542" s="13">
        <f>IFERROR(__xludf.DUMMYFUNCTION("""COMPUTED_VALUE"""),45335.0)</f>
        <v>45335</v>
      </c>
      <c r="C1542" s="12">
        <f>IFERROR(__xludf.DUMMYFUNCTION("""COMPUTED_VALUE"""),171.0)</f>
        <v>171</v>
      </c>
      <c r="D1542" s="12">
        <f>IFERROR(__xludf.DUMMYFUNCTION("""COMPUTED_VALUE"""),22.0)</f>
        <v>22</v>
      </c>
      <c r="E1542" s="12">
        <f>IFERROR(__xludf.DUMMYFUNCTION("""COMPUTED_VALUE"""),4.0)</f>
        <v>4</v>
      </c>
      <c r="F1542" s="12">
        <f>IFERROR(__xludf.DUMMYFUNCTION("""COMPUTED_VALUE"""),3.0)</f>
        <v>3</v>
      </c>
      <c r="G1542" s="15" t="str">
        <f>IFERROR(__xludf.DUMMYFUNCTION("""COMPUTED_VALUE"""),"Completa")</f>
        <v>Completa</v>
      </c>
      <c r="H1542" s="16" t="str">
        <f t="array" ref="H1542">_xlfn.XLOOKUP(D1542,Productos[ID_Producto],Productos[Nombre_Producto])</f>
        <v>Cebolla</v>
      </c>
      <c r="I1542" s="17">
        <f t="array" ref="I1542">_xlfn.XLOOKUP(D1542,Productos[ID_Producto],Productos[Precio_Unitario])</f>
        <v>4.21</v>
      </c>
      <c r="J1542" s="17">
        <f t="shared" si="1"/>
        <v>16.84</v>
      </c>
      <c r="K1542" s="16" t="str">
        <f t="array" ref="K1542">_xlfn.XLOOKUP(C1542,Clientes[ID_Cliente],Clientes[Provincia])</f>
        <v>San Luis</v>
      </c>
      <c r="L1542" s="16" t="str">
        <f t="array" ref="L1542">CONCATENATE(_xlfn.XLOOKUP(C1542,Clientes[ID_Cliente],Clientes[Provincia]),", Argentina")</f>
        <v>San Luis, Argentina</v>
      </c>
      <c r="M1542" s="20" t="str">
        <f t="array" ref="M1542">_xlfn.XLOOKUP(F1542,Metodos_De_Pago[ID_Metodo],Metodos_De_Pago[Metodo])</f>
        <v>Tarjeta de Débito</v>
      </c>
      <c r="N1542" s="20" t="str">
        <f t="shared" si="2"/>
        <v>2024 02</v>
      </c>
    </row>
    <row r="1543" ht="22.5" customHeight="1">
      <c r="A1543" s="12">
        <f>IFERROR(__xludf.DUMMYFUNCTION("""COMPUTED_VALUE"""),459.0)</f>
        <v>459</v>
      </c>
      <c r="B1543" s="13">
        <f>IFERROR(__xludf.DUMMYFUNCTION("""COMPUTED_VALUE"""),45335.0)</f>
        <v>45335</v>
      </c>
      <c r="C1543" s="12">
        <f>IFERROR(__xludf.DUMMYFUNCTION("""COMPUTED_VALUE"""),128.0)</f>
        <v>128</v>
      </c>
      <c r="D1543" s="12">
        <f>IFERROR(__xludf.DUMMYFUNCTION("""COMPUTED_VALUE"""),24.0)</f>
        <v>24</v>
      </c>
      <c r="E1543" s="12">
        <f>IFERROR(__xludf.DUMMYFUNCTION("""COMPUTED_VALUE"""),4.0)</f>
        <v>4</v>
      </c>
      <c r="F1543" s="12">
        <f>IFERROR(__xludf.DUMMYFUNCTION("""COMPUTED_VALUE"""),3.0)</f>
        <v>3</v>
      </c>
      <c r="G1543" s="15" t="str">
        <f>IFERROR(__xludf.DUMMYFUNCTION("""COMPUTED_VALUE"""),"Completa")</f>
        <v>Completa</v>
      </c>
      <c r="H1543" s="16" t="str">
        <f t="array" ref="H1543">_xlfn.XLOOKUP(D1543,Productos[ID_Producto],Productos[Nombre_Producto])</f>
        <v>Empanadas</v>
      </c>
      <c r="I1543" s="17">
        <f t="array" ref="I1543">_xlfn.XLOOKUP(D1543,Productos[ID_Producto],Productos[Precio_Unitario])</f>
        <v>13.54</v>
      </c>
      <c r="J1543" s="17">
        <f t="shared" si="1"/>
        <v>54.16</v>
      </c>
      <c r="K1543" s="16" t="str">
        <f t="array" ref="K1543">_xlfn.XLOOKUP(C1543,Clientes[ID_Cliente],Clientes[Provincia])</f>
        <v>Buenos Aires</v>
      </c>
      <c r="L1543" s="16" t="str">
        <f t="array" ref="L1543">CONCATENATE(_xlfn.XLOOKUP(C1543,Clientes[ID_Cliente],Clientes[Provincia]),", Argentina")</f>
        <v>Buenos Aires, Argentina</v>
      </c>
      <c r="M1543" s="20" t="str">
        <f t="array" ref="M1543">_xlfn.XLOOKUP(F1543,Metodos_De_Pago[ID_Metodo],Metodos_De_Pago[Metodo])</f>
        <v>Tarjeta de Débito</v>
      </c>
      <c r="N1543" s="20" t="str">
        <f t="shared" si="2"/>
        <v>2024 02</v>
      </c>
    </row>
    <row r="1544" ht="22.5" customHeight="1">
      <c r="A1544" s="12">
        <f>IFERROR(__xludf.DUMMYFUNCTION("""COMPUTED_VALUE"""),908.0)</f>
        <v>908</v>
      </c>
      <c r="B1544" s="13">
        <f>IFERROR(__xludf.DUMMYFUNCTION("""COMPUTED_VALUE"""),45335.0)</f>
        <v>45335</v>
      </c>
      <c r="C1544" s="12">
        <f>IFERROR(__xludf.DUMMYFUNCTION("""COMPUTED_VALUE"""),141.0)</f>
        <v>141</v>
      </c>
      <c r="D1544" s="12">
        <f>IFERROR(__xludf.DUMMYFUNCTION("""COMPUTED_VALUE"""),11.0)</f>
        <v>11</v>
      </c>
      <c r="E1544" s="12">
        <f>IFERROR(__xludf.DUMMYFUNCTION("""COMPUTED_VALUE"""),4.0)</f>
        <v>4</v>
      </c>
      <c r="F1544" s="12">
        <f>IFERROR(__xludf.DUMMYFUNCTION("""COMPUTED_VALUE"""),4.0)</f>
        <v>4</v>
      </c>
      <c r="G1544" s="15" t="str">
        <f>IFERROR(__xludf.DUMMYFUNCTION("""COMPUTED_VALUE"""),"Pendiente")</f>
        <v>Pendiente</v>
      </c>
      <c r="H1544" s="16" t="str">
        <f t="array" ref="H1544">_xlfn.XLOOKUP(D1544,Productos[ID_Producto],Productos[Nombre_Producto])</f>
        <v>Salchicha</v>
      </c>
      <c r="I1544" s="17">
        <f t="array" ref="I1544">_xlfn.XLOOKUP(D1544,Productos[ID_Producto],Productos[Precio_Unitario])</f>
        <v>11.23</v>
      </c>
      <c r="J1544" s="17">
        <f t="shared" si="1"/>
        <v>44.92</v>
      </c>
      <c r="K1544" s="16" t="str">
        <f t="array" ref="K1544">_xlfn.XLOOKUP(C1544,Clientes[ID_Cliente],Clientes[Provincia])</f>
        <v>Chaco</v>
      </c>
      <c r="L1544" s="16" t="str">
        <f t="array" ref="L1544">CONCATENATE(_xlfn.XLOOKUP(C1544,Clientes[ID_Cliente],Clientes[Provincia]),", Argentina")</f>
        <v>Chaco, Argentina</v>
      </c>
      <c r="M1544" s="20" t="str">
        <f t="array" ref="M1544">_xlfn.XLOOKUP(F1544,Metodos_De_Pago[ID_Metodo],Metodos_De_Pago[Metodo])</f>
        <v>Mercado Pago</v>
      </c>
      <c r="N1544" s="20" t="str">
        <f t="shared" si="2"/>
        <v>2024 02</v>
      </c>
    </row>
    <row r="1545" ht="22.5" customHeight="1">
      <c r="A1545" s="12">
        <f>IFERROR(__xludf.DUMMYFUNCTION("""COMPUTED_VALUE"""),2572.0)</f>
        <v>2572</v>
      </c>
      <c r="B1545" s="13">
        <f>IFERROR(__xludf.DUMMYFUNCTION("""COMPUTED_VALUE"""),45335.0)</f>
        <v>45335</v>
      </c>
      <c r="C1545" s="12">
        <f>IFERROR(__xludf.DUMMYFUNCTION("""COMPUTED_VALUE"""),258.0)</f>
        <v>258</v>
      </c>
      <c r="D1545" s="12">
        <f>IFERROR(__xludf.DUMMYFUNCTION("""COMPUTED_VALUE"""),26.0)</f>
        <v>26</v>
      </c>
      <c r="E1545" s="12">
        <f>IFERROR(__xludf.DUMMYFUNCTION("""COMPUTED_VALUE"""),4.0)</f>
        <v>4</v>
      </c>
      <c r="F1545" s="12">
        <f>IFERROR(__xludf.DUMMYFUNCTION("""COMPUTED_VALUE"""),1.0)</f>
        <v>1</v>
      </c>
      <c r="G1545" s="15" t="str">
        <f>IFERROR(__xludf.DUMMYFUNCTION("""COMPUTED_VALUE"""),"Completa")</f>
        <v>Completa</v>
      </c>
      <c r="H1545" s="16" t="str">
        <f t="array" ref="H1545">_xlfn.XLOOKUP(D1545,Productos[ID_Producto],Productos[Nombre_Producto])</f>
        <v>Hamburgesas congeladas</v>
      </c>
      <c r="I1545" s="17">
        <f t="array" ref="I1545">_xlfn.XLOOKUP(D1545,Productos[ID_Producto],Productos[Precio_Unitario])</f>
        <v>9.54</v>
      </c>
      <c r="J1545" s="17">
        <f t="shared" si="1"/>
        <v>38.16</v>
      </c>
      <c r="K1545" s="16" t="str">
        <f t="array" ref="K1545">_xlfn.XLOOKUP(C1545,Clientes[ID_Cliente],Clientes[Provincia])</f>
        <v>Córdoba</v>
      </c>
      <c r="L1545" s="16" t="str">
        <f t="array" ref="L1545">CONCATENATE(_xlfn.XLOOKUP(C1545,Clientes[ID_Cliente],Clientes[Provincia]),", Argentina")</f>
        <v>Córdoba, Argentina</v>
      </c>
      <c r="M1545" s="20" t="str">
        <f t="array" ref="M1545">_xlfn.XLOOKUP(F1545,Metodos_De_Pago[ID_Metodo],Metodos_De_Pago[Metodo])</f>
        <v>Efectivo</v>
      </c>
      <c r="N1545" s="20" t="str">
        <f t="shared" si="2"/>
        <v>2024 02</v>
      </c>
    </row>
    <row r="1546" ht="22.5" customHeight="1">
      <c r="A1546" s="12">
        <f>IFERROR(__xludf.DUMMYFUNCTION("""COMPUTED_VALUE"""),2687.0)</f>
        <v>2687</v>
      </c>
      <c r="B1546" s="13">
        <f>IFERROR(__xludf.DUMMYFUNCTION("""COMPUTED_VALUE"""),45335.0)</f>
        <v>45335</v>
      </c>
      <c r="C1546" s="12">
        <f>IFERROR(__xludf.DUMMYFUNCTION("""COMPUTED_VALUE"""),73.0)</f>
        <v>73</v>
      </c>
      <c r="D1546" s="12">
        <f>IFERROR(__xludf.DUMMYFUNCTION("""COMPUTED_VALUE"""),29.0)</f>
        <v>29</v>
      </c>
      <c r="E1546" s="12">
        <f>IFERROR(__xludf.DUMMYFUNCTION("""COMPUTED_VALUE"""),4.0)</f>
        <v>4</v>
      </c>
      <c r="F1546" s="12">
        <f>IFERROR(__xludf.DUMMYFUNCTION("""COMPUTED_VALUE"""),5.0)</f>
        <v>5</v>
      </c>
      <c r="G1546" s="15" t="str">
        <f>IFERROR(__xludf.DUMMYFUNCTION("""COMPUTED_VALUE"""),"Completa")</f>
        <v>Completa</v>
      </c>
      <c r="H1546" s="16" t="str">
        <f t="array" ref="H1546">_xlfn.XLOOKUP(D1546,Productos[ID_Producto],Productos[Nombre_Producto])</f>
        <v>Cerveza</v>
      </c>
      <c r="I1546" s="17">
        <f t="array" ref="I1546">_xlfn.XLOOKUP(D1546,Productos[ID_Producto],Productos[Precio_Unitario])</f>
        <v>11.54</v>
      </c>
      <c r="J1546" s="17">
        <f t="shared" si="1"/>
        <v>46.16</v>
      </c>
      <c r="K1546" s="16" t="str">
        <f t="array" ref="K1546">_xlfn.XLOOKUP(C1546,Clientes[ID_Cliente],Clientes[Provincia])</f>
        <v>Córdoba</v>
      </c>
      <c r="L1546" s="16" t="str">
        <f t="array" ref="L1546">CONCATENATE(_xlfn.XLOOKUP(C1546,Clientes[ID_Cliente],Clientes[Provincia]),", Argentina")</f>
        <v>Córdoba, Argentina</v>
      </c>
      <c r="M1546" s="20" t="str">
        <f t="array" ref="M1546">_xlfn.XLOOKUP(F1546,Metodos_De_Pago[ID_Metodo],Metodos_De_Pago[Metodo])</f>
        <v>Transferencia</v>
      </c>
      <c r="N1546" s="20" t="str">
        <f t="shared" si="2"/>
        <v>2024 02</v>
      </c>
    </row>
    <row r="1547" ht="22.5" customHeight="1">
      <c r="A1547" s="12">
        <f>IFERROR(__xludf.DUMMYFUNCTION("""COMPUTED_VALUE"""),1700.0)</f>
        <v>1700</v>
      </c>
      <c r="B1547" s="13">
        <f>IFERROR(__xludf.DUMMYFUNCTION("""COMPUTED_VALUE"""),45337.0)</f>
        <v>45337</v>
      </c>
      <c r="C1547" s="12">
        <f>IFERROR(__xludf.DUMMYFUNCTION("""COMPUTED_VALUE"""),158.0)</f>
        <v>158</v>
      </c>
      <c r="D1547" s="12">
        <f>IFERROR(__xludf.DUMMYFUNCTION("""COMPUTED_VALUE"""),33.0)</f>
        <v>33</v>
      </c>
      <c r="E1547" s="12">
        <f>IFERROR(__xludf.DUMMYFUNCTION("""COMPUTED_VALUE"""),4.0)</f>
        <v>4</v>
      </c>
      <c r="F1547" s="12">
        <f>IFERROR(__xludf.DUMMYFUNCTION("""COMPUTED_VALUE"""),4.0)</f>
        <v>4</v>
      </c>
      <c r="G1547" s="15" t="str">
        <f>IFERROR(__xludf.DUMMYFUNCTION("""COMPUTED_VALUE"""),"Completa")</f>
        <v>Completa</v>
      </c>
      <c r="H1547" s="16" t="str">
        <f t="array" ref="H1547">_xlfn.XLOOKUP(D1547,Productos[ID_Producto],Productos[Nombre_Producto])</f>
        <v>Papas chips</v>
      </c>
      <c r="I1547" s="17">
        <f t="array" ref="I1547">_xlfn.XLOOKUP(D1547,Productos[ID_Producto],Productos[Precio_Unitario])</f>
        <v>8.54</v>
      </c>
      <c r="J1547" s="17">
        <f t="shared" si="1"/>
        <v>34.16</v>
      </c>
      <c r="K1547" s="16" t="str">
        <f t="array" ref="K1547">_xlfn.XLOOKUP(C1547,Clientes[ID_Cliente],Clientes[Provincia])</f>
        <v>Buenos Aires</v>
      </c>
      <c r="L1547" s="16" t="str">
        <f t="array" ref="L1547">CONCATENATE(_xlfn.XLOOKUP(C1547,Clientes[ID_Cliente],Clientes[Provincia]),", Argentina")</f>
        <v>Buenos Aires, Argentina</v>
      </c>
      <c r="M1547" s="20" t="str">
        <f t="array" ref="M1547">_xlfn.XLOOKUP(F1547,Metodos_De_Pago[ID_Metodo],Metodos_De_Pago[Metodo])</f>
        <v>Mercado Pago</v>
      </c>
      <c r="N1547" s="20" t="str">
        <f t="shared" si="2"/>
        <v>2024 02</v>
      </c>
    </row>
    <row r="1548" ht="22.5" customHeight="1">
      <c r="A1548" s="12">
        <f>IFERROR(__xludf.DUMMYFUNCTION("""COMPUTED_VALUE"""),297.0)</f>
        <v>297</v>
      </c>
      <c r="B1548" s="13">
        <f>IFERROR(__xludf.DUMMYFUNCTION("""COMPUTED_VALUE"""),45339.0)</f>
        <v>45339</v>
      </c>
      <c r="C1548" s="12">
        <f>IFERROR(__xludf.DUMMYFUNCTION("""COMPUTED_VALUE"""),302.0)</f>
        <v>302</v>
      </c>
      <c r="D1548" s="12">
        <f>IFERROR(__xludf.DUMMYFUNCTION("""COMPUTED_VALUE"""),3.0)</f>
        <v>3</v>
      </c>
      <c r="E1548" s="12">
        <f>IFERROR(__xludf.DUMMYFUNCTION("""COMPUTED_VALUE"""),4.0)</f>
        <v>4</v>
      </c>
      <c r="F1548" s="12">
        <f>IFERROR(__xludf.DUMMYFUNCTION("""COMPUTED_VALUE"""),5.0)</f>
        <v>5</v>
      </c>
      <c r="G1548" s="15" t="str">
        <f>IFERROR(__xludf.DUMMYFUNCTION("""COMPUTED_VALUE"""),"Pendiente")</f>
        <v>Pendiente</v>
      </c>
      <c r="H1548" s="16" t="str">
        <f t="array" ref="H1548">_xlfn.XLOOKUP(D1548,Productos[ID_Producto],Productos[Nombre_Producto])</f>
        <v>Queso cremoso</v>
      </c>
      <c r="I1548" s="17">
        <f t="array" ref="I1548">_xlfn.XLOOKUP(D1548,Productos[ID_Producto],Productos[Precio_Unitario])</f>
        <v>17.23</v>
      </c>
      <c r="J1548" s="17">
        <f t="shared" si="1"/>
        <v>68.92</v>
      </c>
      <c r="K1548" s="16" t="str">
        <f t="array" ref="K1548">_xlfn.XLOOKUP(C1548,Clientes[ID_Cliente],Clientes[Provincia])</f>
        <v>Neuquén</v>
      </c>
      <c r="L1548" s="16" t="str">
        <f t="array" ref="L1548">CONCATENATE(_xlfn.XLOOKUP(C1548,Clientes[ID_Cliente],Clientes[Provincia]),", Argentina")</f>
        <v>Neuquén, Argentina</v>
      </c>
      <c r="M1548" s="20" t="str">
        <f t="array" ref="M1548">_xlfn.XLOOKUP(F1548,Metodos_De_Pago[ID_Metodo],Metodos_De_Pago[Metodo])</f>
        <v>Transferencia</v>
      </c>
      <c r="N1548" s="20" t="str">
        <f t="shared" si="2"/>
        <v>2024 02</v>
      </c>
    </row>
    <row r="1549" ht="22.5" customHeight="1">
      <c r="A1549" s="12">
        <f>IFERROR(__xludf.DUMMYFUNCTION("""COMPUTED_VALUE"""),812.0)</f>
        <v>812</v>
      </c>
      <c r="B1549" s="13">
        <f>IFERROR(__xludf.DUMMYFUNCTION("""COMPUTED_VALUE"""),45339.0)</f>
        <v>45339</v>
      </c>
      <c r="C1549" s="12">
        <f>IFERROR(__xludf.DUMMYFUNCTION("""COMPUTED_VALUE"""),280.0)</f>
        <v>280</v>
      </c>
      <c r="D1549" s="12">
        <f>IFERROR(__xludf.DUMMYFUNCTION("""COMPUTED_VALUE"""),7.0)</f>
        <v>7</v>
      </c>
      <c r="E1549" s="12">
        <f>IFERROR(__xludf.DUMMYFUNCTION("""COMPUTED_VALUE"""),4.0)</f>
        <v>4</v>
      </c>
      <c r="F1549" s="12">
        <f>IFERROR(__xludf.DUMMYFUNCTION("""COMPUTED_VALUE"""),3.0)</f>
        <v>3</v>
      </c>
      <c r="G1549" s="15" t="str">
        <f>IFERROR(__xludf.DUMMYFUNCTION("""COMPUTED_VALUE"""),"Completa")</f>
        <v>Completa</v>
      </c>
      <c r="H1549" s="16" t="str">
        <f t="array" ref="H1549">_xlfn.XLOOKUP(D1549,Productos[ID_Producto],Productos[Nombre_Producto])</f>
        <v>Chorizo</v>
      </c>
      <c r="I1549" s="17">
        <f t="array" ref="I1549">_xlfn.XLOOKUP(D1549,Productos[ID_Producto],Productos[Precio_Unitario])</f>
        <v>11.25</v>
      </c>
      <c r="J1549" s="17">
        <f t="shared" si="1"/>
        <v>45</v>
      </c>
      <c r="K1549" s="16" t="str">
        <f t="array" ref="K1549">_xlfn.XLOOKUP(C1549,Clientes[ID_Cliente],Clientes[Provincia])</f>
        <v>Córdoba</v>
      </c>
      <c r="L1549" s="16" t="str">
        <f t="array" ref="L1549">CONCATENATE(_xlfn.XLOOKUP(C1549,Clientes[ID_Cliente],Clientes[Provincia]),", Argentina")</f>
        <v>Córdoba, Argentina</v>
      </c>
      <c r="M1549" s="20" t="str">
        <f t="array" ref="M1549">_xlfn.XLOOKUP(F1549,Metodos_De_Pago[ID_Metodo],Metodos_De_Pago[Metodo])</f>
        <v>Tarjeta de Débito</v>
      </c>
      <c r="N1549" s="20" t="str">
        <f t="shared" si="2"/>
        <v>2024 02</v>
      </c>
    </row>
    <row r="1550" ht="22.5" customHeight="1">
      <c r="A1550" s="12">
        <f>IFERROR(__xludf.DUMMYFUNCTION("""COMPUTED_VALUE"""),236.0)</f>
        <v>236</v>
      </c>
      <c r="B1550" s="13">
        <f>IFERROR(__xludf.DUMMYFUNCTION("""COMPUTED_VALUE"""),45340.0)</f>
        <v>45340</v>
      </c>
      <c r="C1550" s="12">
        <f>IFERROR(__xludf.DUMMYFUNCTION("""COMPUTED_VALUE"""),44.0)</f>
        <v>44</v>
      </c>
      <c r="D1550" s="12">
        <f>IFERROR(__xludf.DUMMYFUNCTION("""COMPUTED_VALUE"""),21.0)</f>
        <v>21</v>
      </c>
      <c r="E1550" s="12">
        <f>IFERROR(__xludf.DUMMYFUNCTION("""COMPUTED_VALUE"""),4.0)</f>
        <v>4</v>
      </c>
      <c r="F1550" s="12">
        <f>IFERROR(__xludf.DUMMYFUNCTION("""COMPUTED_VALUE"""),5.0)</f>
        <v>5</v>
      </c>
      <c r="G1550" s="15" t="str">
        <f>IFERROR(__xludf.DUMMYFUNCTION("""COMPUTED_VALUE"""),"Pendiente")</f>
        <v>Pendiente</v>
      </c>
      <c r="H1550" s="16" t="str">
        <f t="array" ref="H1550">_xlfn.XLOOKUP(D1550,Productos[ID_Producto],Productos[Nombre_Producto])</f>
        <v>Zanahorias</v>
      </c>
      <c r="I1550" s="17">
        <f t="array" ref="I1550">_xlfn.XLOOKUP(D1550,Productos[ID_Producto],Productos[Precio_Unitario])</f>
        <v>3.25</v>
      </c>
      <c r="J1550" s="17">
        <f t="shared" si="1"/>
        <v>13</v>
      </c>
      <c r="K1550" s="16" t="str">
        <f t="array" ref="K1550">_xlfn.XLOOKUP(C1550,Clientes[ID_Cliente],Clientes[Provincia])</f>
        <v>Buenos Aires</v>
      </c>
      <c r="L1550" s="16" t="str">
        <f t="array" ref="L1550">CONCATENATE(_xlfn.XLOOKUP(C1550,Clientes[ID_Cliente],Clientes[Provincia]),", Argentina")</f>
        <v>Buenos Aires, Argentina</v>
      </c>
      <c r="M1550" s="20" t="str">
        <f t="array" ref="M1550">_xlfn.XLOOKUP(F1550,Metodos_De_Pago[ID_Metodo],Metodos_De_Pago[Metodo])</f>
        <v>Transferencia</v>
      </c>
      <c r="N1550" s="20" t="str">
        <f t="shared" si="2"/>
        <v>2024 02</v>
      </c>
    </row>
    <row r="1551" ht="22.5" customHeight="1">
      <c r="A1551" s="12">
        <f>IFERROR(__xludf.DUMMYFUNCTION("""COMPUTED_VALUE"""),1181.0)</f>
        <v>1181</v>
      </c>
      <c r="B1551" s="13">
        <f>IFERROR(__xludf.DUMMYFUNCTION("""COMPUTED_VALUE"""),45340.0)</f>
        <v>45340</v>
      </c>
      <c r="C1551" s="12">
        <f>IFERROR(__xludf.DUMMYFUNCTION("""COMPUTED_VALUE"""),171.0)</f>
        <v>171</v>
      </c>
      <c r="D1551" s="12">
        <f>IFERROR(__xludf.DUMMYFUNCTION("""COMPUTED_VALUE"""),17.0)</f>
        <v>17</v>
      </c>
      <c r="E1551" s="12">
        <f>IFERROR(__xludf.DUMMYFUNCTION("""COMPUTED_VALUE"""),4.0)</f>
        <v>4</v>
      </c>
      <c r="F1551" s="12">
        <f>IFERROR(__xludf.DUMMYFUNCTION("""COMPUTED_VALUE"""),4.0)</f>
        <v>4</v>
      </c>
      <c r="G1551" s="15" t="str">
        <f>IFERROR(__xludf.DUMMYFUNCTION("""COMPUTED_VALUE"""),"Completa")</f>
        <v>Completa</v>
      </c>
      <c r="H1551" s="16" t="str">
        <f t="array" ref="H1551">_xlfn.XLOOKUP(D1551,Productos[ID_Producto],Productos[Nombre_Producto])</f>
        <v>Manzanas</v>
      </c>
      <c r="I1551" s="17">
        <f t="array" ref="I1551">_xlfn.XLOOKUP(D1551,Productos[ID_Producto],Productos[Precio_Unitario])</f>
        <v>6.54</v>
      </c>
      <c r="J1551" s="17">
        <f t="shared" si="1"/>
        <v>26.16</v>
      </c>
      <c r="K1551" s="16" t="str">
        <f t="array" ref="K1551">_xlfn.XLOOKUP(C1551,Clientes[ID_Cliente],Clientes[Provincia])</f>
        <v>San Luis</v>
      </c>
      <c r="L1551" s="16" t="str">
        <f t="array" ref="L1551">CONCATENATE(_xlfn.XLOOKUP(C1551,Clientes[ID_Cliente],Clientes[Provincia]),", Argentina")</f>
        <v>San Luis, Argentina</v>
      </c>
      <c r="M1551" s="20" t="str">
        <f t="array" ref="M1551">_xlfn.XLOOKUP(F1551,Metodos_De_Pago[ID_Metodo],Metodos_De_Pago[Metodo])</f>
        <v>Mercado Pago</v>
      </c>
      <c r="N1551" s="20" t="str">
        <f t="shared" si="2"/>
        <v>2024 02</v>
      </c>
    </row>
    <row r="1552" ht="22.5" customHeight="1">
      <c r="A1552" s="12">
        <f>IFERROR(__xludf.DUMMYFUNCTION("""COMPUTED_VALUE"""),1625.0)</f>
        <v>1625</v>
      </c>
      <c r="B1552" s="13">
        <f>IFERROR(__xludf.DUMMYFUNCTION("""COMPUTED_VALUE"""),45340.0)</f>
        <v>45340</v>
      </c>
      <c r="C1552" s="12">
        <f>IFERROR(__xludf.DUMMYFUNCTION("""COMPUTED_VALUE"""),145.0)</f>
        <v>145</v>
      </c>
      <c r="D1552" s="12">
        <f>IFERROR(__xludf.DUMMYFUNCTION("""COMPUTED_VALUE"""),38.0)</f>
        <v>38</v>
      </c>
      <c r="E1552" s="12">
        <f>IFERROR(__xludf.DUMMYFUNCTION("""COMPUTED_VALUE"""),4.0)</f>
        <v>4</v>
      </c>
      <c r="F1552" s="12">
        <f>IFERROR(__xludf.DUMMYFUNCTION("""COMPUTED_VALUE"""),3.0)</f>
        <v>3</v>
      </c>
      <c r="G1552" s="15" t="str">
        <f>IFERROR(__xludf.DUMMYFUNCTION("""COMPUTED_VALUE"""),"Completa")</f>
        <v>Completa</v>
      </c>
      <c r="H1552" s="16" t="str">
        <f t="array" ref="H1552">_xlfn.XLOOKUP(D1552,Productos[ID_Producto],Productos[Nombre_Producto])</f>
        <v>Atún enlatado</v>
      </c>
      <c r="I1552" s="17">
        <f t="array" ref="I1552">_xlfn.XLOOKUP(D1552,Productos[ID_Producto],Productos[Precio_Unitario])</f>
        <v>6.21</v>
      </c>
      <c r="J1552" s="17">
        <f t="shared" si="1"/>
        <v>24.84</v>
      </c>
      <c r="K1552" s="16" t="str">
        <f t="array" ref="K1552">_xlfn.XLOOKUP(C1552,Clientes[ID_Cliente],Clientes[Provincia])</f>
        <v>Buenos Aires</v>
      </c>
      <c r="L1552" s="16" t="str">
        <f t="array" ref="L1552">CONCATENATE(_xlfn.XLOOKUP(C1552,Clientes[ID_Cliente],Clientes[Provincia]),", Argentina")</f>
        <v>Buenos Aires, Argentina</v>
      </c>
      <c r="M1552" s="20" t="str">
        <f t="array" ref="M1552">_xlfn.XLOOKUP(F1552,Metodos_De_Pago[ID_Metodo],Metodos_De_Pago[Metodo])</f>
        <v>Tarjeta de Débito</v>
      </c>
      <c r="N1552" s="20" t="str">
        <f t="shared" si="2"/>
        <v>2024 02</v>
      </c>
    </row>
    <row r="1553" ht="22.5" customHeight="1">
      <c r="A1553" s="12">
        <f>IFERROR(__xludf.DUMMYFUNCTION("""COMPUTED_VALUE"""),1983.0)</f>
        <v>1983</v>
      </c>
      <c r="B1553" s="13">
        <f>IFERROR(__xludf.DUMMYFUNCTION("""COMPUTED_VALUE"""),45340.0)</f>
        <v>45340</v>
      </c>
      <c r="C1553" s="12">
        <f>IFERROR(__xludf.DUMMYFUNCTION("""COMPUTED_VALUE"""),63.0)</f>
        <v>63</v>
      </c>
      <c r="D1553" s="12">
        <f>IFERROR(__xludf.DUMMYFUNCTION("""COMPUTED_VALUE"""),27.0)</f>
        <v>27</v>
      </c>
      <c r="E1553" s="12">
        <f>IFERROR(__xludf.DUMMYFUNCTION("""COMPUTED_VALUE"""),4.0)</f>
        <v>4</v>
      </c>
      <c r="F1553" s="12">
        <f>IFERROR(__xludf.DUMMYFUNCTION("""COMPUTED_VALUE"""),5.0)</f>
        <v>5</v>
      </c>
      <c r="G1553" s="15" t="str">
        <f>IFERROR(__xludf.DUMMYFUNCTION("""COMPUTED_VALUE"""),"Completa")</f>
        <v>Completa</v>
      </c>
      <c r="H1553" s="16" t="str">
        <f t="array" ref="H1553">_xlfn.XLOOKUP(D1553,Productos[ID_Producto],Productos[Nombre_Producto])</f>
        <v>Agua mineral</v>
      </c>
      <c r="I1553" s="17">
        <f t="array" ref="I1553">_xlfn.XLOOKUP(D1553,Productos[ID_Producto],Productos[Precio_Unitario])</f>
        <v>6.21</v>
      </c>
      <c r="J1553" s="17">
        <f t="shared" si="1"/>
        <v>24.84</v>
      </c>
      <c r="K1553" s="16" t="str">
        <f t="array" ref="K1553">_xlfn.XLOOKUP(C1553,Clientes[ID_Cliente],Clientes[Provincia])</f>
        <v>Buenos Aires</v>
      </c>
      <c r="L1553" s="16" t="str">
        <f t="array" ref="L1553">CONCATENATE(_xlfn.XLOOKUP(C1553,Clientes[ID_Cliente],Clientes[Provincia]),", Argentina")</f>
        <v>Buenos Aires, Argentina</v>
      </c>
      <c r="M1553" s="20" t="str">
        <f t="array" ref="M1553">_xlfn.XLOOKUP(F1553,Metodos_De_Pago[ID_Metodo],Metodos_De_Pago[Metodo])</f>
        <v>Transferencia</v>
      </c>
      <c r="N1553" s="20" t="str">
        <f t="shared" si="2"/>
        <v>2024 02</v>
      </c>
    </row>
    <row r="1554" ht="22.5" customHeight="1">
      <c r="A1554" s="12">
        <f>IFERROR(__xludf.DUMMYFUNCTION("""COMPUTED_VALUE"""),2409.0)</f>
        <v>2409</v>
      </c>
      <c r="B1554" s="13">
        <f>IFERROR(__xludf.DUMMYFUNCTION("""COMPUTED_VALUE"""),45340.0)</f>
        <v>45340</v>
      </c>
      <c r="C1554" s="12">
        <f>IFERROR(__xludf.DUMMYFUNCTION("""COMPUTED_VALUE"""),252.0)</f>
        <v>252</v>
      </c>
      <c r="D1554" s="12">
        <f>IFERROR(__xludf.DUMMYFUNCTION("""COMPUTED_VALUE"""),15.0)</f>
        <v>15</v>
      </c>
      <c r="E1554" s="12">
        <f>IFERROR(__xludf.DUMMYFUNCTION("""COMPUTED_VALUE"""),4.0)</f>
        <v>4</v>
      </c>
      <c r="F1554" s="12">
        <f>IFERROR(__xludf.DUMMYFUNCTION("""COMPUTED_VALUE"""),5.0)</f>
        <v>5</v>
      </c>
      <c r="G1554" s="15" t="str">
        <f>IFERROR(__xludf.DUMMYFUNCTION("""COMPUTED_VALUE"""),"Completa")</f>
        <v>Completa</v>
      </c>
      <c r="H1554" s="16" t="str">
        <f t="array" ref="H1554">_xlfn.XLOOKUP(D1554,Productos[ID_Producto],Productos[Nombre_Producto])</f>
        <v>Medialunas</v>
      </c>
      <c r="I1554" s="17">
        <f t="array" ref="I1554">_xlfn.XLOOKUP(D1554,Productos[ID_Producto],Productos[Precio_Unitario])</f>
        <v>3.51</v>
      </c>
      <c r="J1554" s="17">
        <f t="shared" si="1"/>
        <v>14.04</v>
      </c>
      <c r="K1554" s="16" t="str">
        <f t="array" ref="K1554">_xlfn.XLOOKUP(C1554,Clientes[ID_Cliente],Clientes[Provincia])</f>
        <v>Neuquén</v>
      </c>
      <c r="L1554" s="16" t="str">
        <f t="array" ref="L1554">CONCATENATE(_xlfn.XLOOKUP(C1554,Clientes[ID_Cliente],Clientes[Provincia]),", Argentina")</f>
        <v>Neuquén, Argentina</v>
      </c>
      <c r="M1554" s="20" t="str">
        <f t="array" ref="M1554">_xlfn.XLOOKUP(F1554,Metodos_De_Pago[ID_Metodo],Metodos_De_Pago[Metodo])</f>
        <v>Transferencia</v>
      </c>
      <c r="N1554" s="20" t="str">
        <f t="shared" si="2"/>
        <v>2024 02</v>
      </c>
    </row>
    <row r="1555" ht="22.5" customHeight="1">
      <c r="A1555" s="12">
        <f>IFERROR(__xludf.DUMMYFUNCTION("""COMPUTED_VALUE"""),1332.0)</f>
        <v>1332</v>
      </c>
      <c r="B1555" s="13">
        <f>IFERROR(__xludf.DUMMYFUNCTION("""COMPUTED_VALUE"""),45341.0)</f>
        <v>45341</v>
      </c>
      <c r="C1555" s="12">
        <f>IFERROR(__xludf.DUMMYFUNCTION("""COMPUTED_VALUE"""),1.0)</f>
        <v>1</v>
      </c>
      <c r="D1555" s="12">
        <f>IFERROR(__xludf.DUMMYFUNCTION("""COMPUTED_VALUE"""),29.0)</f>
        <v>29</v>
      </c>
      <c r="E1555" s="12">
        <f>IFERROR(__xludf.DUMMYFUNCTION("""COMPUTED_VALUE"""),4.0)</f>
        <v>4</v>
      </c>
      <c r="F1555" s="12">
        <f>IFERROR(__xludf.DUMMYFUNCTION("""COMPUTED_VALUE"""),4.0)</f>
        <v>4</v>
      </c>
      <c r="G1555" s="15" t="str">
        <f>IFERROR(__xludf.DUMMYFUNCTION("""COMPUTED_VALUE"""),"Completa")</f>
        <v>Completa</v>
      </c>
      <c r="H1555" s="16" t="str">
        <f t="array" ref="H1555">_xlfn.XLOOKUP(D1555,Productos[ID_Producto],Productos[Nombre_Producto])</f>
        <v>Cerveza</v>
      </c>
      <c r="I1555" s="17">
        <f t="array" ref="I1555">_xlfn.XLOOKUP(D1555,Productos[ID_Producto],Productos[Precio_Unitario])</f>
        <v>11.54</v>
      </c>
      <c r="J1555" s="17">
        <f t="shared" si="1"/>
        <v>46.16</v>
      </c>
      <c r="K1555" s="16" t="str">
        <f t="array" ref="K1555">_xlfn.XLOOKUP(C1555,Clientes[ID_Cliente],Clientes[Provincia])</f>
        <v>Neuquén</v>
      </c>
      <c r="L1555" s="16" t="str">
        <f t="array" ref="L1555">CONCATENATE(_xlfn.XLOOKUP(C1555,Clientes[ID_Cliente],Clientes[Provincia]),", Argentina")</f>
        <v>Neuquén, Argentina</v>
      </c>
      <c r="M1555" s="20" t="str">
        <f t="array" ref="M1555">_xlfn.XLOOKUP(F1555,Metodos_De_Pago[ID_Metodo],Metodos_De_Pago[Metodo])</f>
        <v>Mercado Pago</v>
      </c>
      <c r="N1555" s="20" t="str">
        <f t="shared" si="2"/>
        <v>2024 02</v>
      </c>
    </row>
    <row r="1556" ht="22.5" customHeight="1">
      <c r="A1556" s="12">
        <f>IFERROR(__xludf.DUMMYFUNCTION("""COMPUTED_VALUE"""),2227.0)</f>
        <v>2227</v>
      </c>
      <c r="B1556" s="13">
        <f>IFERROR(__xludf.DUMMYFUNCTION("""COMPUTED_VALUE"""),45342.0)</f>
        <v>45342</v>
      </c>
      <c r="C1556" s="12">
        <f>IFERROR(__xludf.DUMMYFUNCTION("""COMPUTED_VALUE"""),239.0)</f>
        <v>239</v>
      </c>
      <c r="D1556" s="12">
        <f>IFERROR(__xludf.DUMMYFUNCTION("""COMPUTED_VALUE"""),8.0)</f>
        <v>8</v>
      </c>
      <c r="E1556" s="12">
        <f>IFERROR(__xludf.DUMMYFUNCTION("""COMPUTED_VALUE"""),4.0)</f>
        <v>4</v>
      </c>
      <c r="F1556" s="12">
        <f>IFERROR(__xludf.DUMMYFUNCTION("""COMPUTED_VALUE"""),5.0)</f>
        <v>5</v>
      </c>
      <c r="G1556" s="15" t="str">
        <f>IFERROR(__xludf.DUMMYFUNCTION("""COMPUTED_VALUE"""),"Completa")</f>
        <v>Completa</v>
      </c>
      <c r="H1556" s="16" t="str">
        <f t="array" ref="H1556">_xlfn.XLOOKUP(D1556,Productos[ID_Producto],Productos[Nombre_Producto])</f>
        <v>Milanesa</v>
      </c>
      <c r="I1556" s="17">
        <f t="array" ref="I1556">_xlfn.XLOOKUP(D1556,Productos[ID_Producto],Productos[Precio_Unitario])</f>
        <v>16.21</v>
      </c>
      <c r="J1556" s="17">
        <f t="shared" si="1"/>
        <v>64.84</v>
      </c>
      <c r="K1556" s="16" t="str">
        <f t="array" ref="K1556">_xlfn.XLOOKUP(C1556,Clientes[ID_Cliente],Clientes[Provincia])</f>
        <v>Buenos Aires</v>
      </c>
      <c r="L1556" s="16" t="str">
        <f t="array" ref="L1556">CONCATENATE(_xlfn.XLOOKUP(C1556,Clientes[ID_Cliente],Clientes[Provincia]),", Argentina")</f>
        <v>Buenos Aires, Argentina</v>
      </c>
      <c r="M1556" s="20" t="str">
        <f t="array" ref="M1556">_xlfn.XLOOKUP(F1556,Metodos_De_Pago[ID_Metodo],Metodos_De_Pago[Metodo])</f>
        <v>Transferencia</v>
      </c>
      <c r="N1556" s="20" t="str">
        <f t="shared" si="2"/>
        <v>2024 02</v>
      </c>
    </row>
    <row r="1557" ht="22.5" customHeight="1">
      <c r="A1557" s="12">
        <f>IFERROR(__xludf.DUMMYFUNCTION("""COMPUTED_VALUE"""),2325.0)</f>
        <v>2325</v>
      </c>
      <c r="B1557" s="13">
        <f>IFERROR(__xludf.DUMMYFUNCTION("""COMPUTED_VALUE"""),45342.0)</f>
        <v>45342</v>
      </c>
      <c r="C1557" s="12">
        <f>IFERROR(__xludf.DUMMYFUNCTION("""COMPUTED_VALUE"""),13.0)</f>
        <v>13</v>
      </c>
      <c r="D1557" s="12">
        <f>IFERROR(__xludf.DUMMYFUNCTION("""COMPUTED_VALUE"""),2.0)</f>
        <v>2</v>
      </c>
      <c r="E1557" s="12">
        <f>IFERROR(__xludf.DUMMYFUNCTION("""COMPUTED_VALUE"""),4.0)</f>
        <v>4</v>
      </c>
      <c r="F1557" s="12">
        <f>IFERROR(__xludf.DUMMYFUNCTION("""COMPUTED_VALUE"""),4.0)</f>
        <v>4</v>
      </c>
      <c r="G1557" s="15" t="str">
        <f>IFERROR(__xludf.DUMMYFUNCTION("""COMPUTED_VALUE"""),"Completa")</f>
        <v>Completa</v>
      </c>
      <c r="H1557" s="16" t="str">
        <f t="array" ref="H1557">_xlfn.XLOOKUP(D1557,Productos[ID_Producto],Productos[Nombre_Producto])</f>
        <v>Yogur</v>
      </c>
      <c r="I1557" s="17">
        <f t="array" ref="I1557">_xlfn.XLOOKUP(D1557,Productos[ID_Producto],Productos[Precio_Unitario])</f>
        <v>5.21</v>
      </c>
      <c r="J1557" s="17">
        <f t="shared" si="1"/>
        <v>20.84</v>
      </c>
      <c r="K1557" s="16" t="str">
        <f t="array" ref="K1557">_xlfn.XLOOKUP(C1557,Clientes[ID_Cliente],Clientes[Provincia])</f>
        <v>Córdoba</v>
      </c>
      <c r="L1557" s="16" t="str">
        <f t="array" ref="L1557">CONCATENATE(_xlfn.XLOOKUP(C1557,Clientes[ID_Cliente],Clientes[Provincia]),", Argentina")</f>
        <v>Córdoba, Argentina</v>
      </c>
      <c r="M1557" s="20" t="str">
        <f t="array" ref="M1557">_xlfn.XLOOKUP(F1557,Metodos_De_Pago[ID_Metodo],Metodos_De_Pago[Metodo])</f>
        <v>Mercado Pago</v>
      </c>
      <c r="N1557" s="20" t="str">
        <f t="shared" si="2"/>
        <v>2024 02</v>
      </c>
    </row>
    <row r="1558" ht="22.5" customHeight="1">
      <c r="A1558" s="12">
        <f>IFERROR(__xludf.DUMMYFUNCTION("""COMPUTED_VALUE"""),986.0)</f>
        <v>986</v>
      </c>
      <c r="B1558" s="13">
        <f>IFERROR(__xludf.DUMMYFUNCTION("""COMPUTED_VALUE"""),45343.0)</f>
        <v>45343</v>
      </c>
      <c r="C1558" s="12">
        <f>IFERROR(__xludf.DUMMYFUNCTION("""COMPUTED_VALUE"""),273.0)</f>
        <v>273</v>
      </c>
      <c r="D1558" s="12">
        <f>IFERROR(__xludf.DUMMYFUNCTION("""COMPUTED_VALUE"""),7.0)</f>
        <v>7</v>
      </c>
      <c r="E1558" s="12">
        <f>IFERROR(__xludf.DUMMYFUNCTION("""COMPUTED_VALUE"""),4.0)</f>
        <v>4</v>
      </c>
      <c r="F1558" s="12">
        <f>IFERROR(__xludf.DUMMYFUNCTION("""COMPUTED_VALUE"""),1.0)</f>
        <v>1</v>
      </c>
      <c r="G1558" s="15" t="str">
        <f>IFERROR(__xludf.DUMMYFUNCTION("""COMPUTED_VALUE"""),"Completa")</f>
        <v>Completa</v>
      </c>
      <c r="H1558" s="16" t="str">
        <f t="array" ref="H1558">_xlfn.XLOOKUP(D1558,Productos[ID_Producto],Productos[Nombre_Producto])</f>
        <v>Chorizo</v>
      </c>
      <c r="I1558" s="17">
        <f t="array" ref="I1558">_xlfn.XLOOKUP(D1558,Productos[ID_Producto],Productos[Precio_Unitario])</f>
        <v>11.25</v>
      </c>
      <c r="J1558" s="17">
        <f t="shared" si="1"/>
        <v>45</v>
      </c>
      <c r="K1558" s="16" t="str">
        <f t="array" ref="K1558">_xlfn.XLOOKUP(C1558,Clientes[ID_Cliente],Clientes[Provincia])</f>
        <v>San Luis</v>
      </c>
      <c r="L1558" s="16" t="str">
        <f t="array" ref="L1558">CONCATENATE(_xlfn.XLOOKUP(C1558,Clientes[ID_Cliente],Clientes[Provincia]),", Argentina")</f>
        <v>San Luis, Argentina</v>
      </c>
      <c r="M1558" s="20" t="str">
        <f t="array" ref="M1558">_xlfn.XLOOKUP(F1558,Metodos_De_Pago[ID_Metodo],Metodos_De_Pago[Metodo])</f>
        <v>Efectivo</v>
      </c>
      <c r="N1558" s="20" t="str">
        <f t="shared" si="2"/>
        <v>2024 02</v>
      </c>
    </row>
    <row r="1559" ht="22.5" customHeight="1">
      <c r="A1559" s="12">
        <f>IFERROR(__xludf.DUMMYFUNCTION("""COMPUTED_VALUE"""),2905.0)</f>
        <v>2905</v>
      </c>
      <c r="B1559" s="13">
        <f>IFERROR(__xludf.DUMMYFUNCTION("""COMPUTED_VALUE"""),45343.0)</f>
        <v>45343</v>
      </c>
      <c r="C1559" s="12">
        <f>IFERROR(__xludf.DUMMYFUNCTION("""COMPUTED_VALUE"""),226.0)</f>
        <v>226</v>
      </c>
      <c r="D1559" s="12">
        <f>IFERROR(__xludf.DUMMYFUNCTION("""COMPUTED_VALUE"""),5.0)</f>
        <v>5</v>
      </c>
      <c r="E1559" s="12">
        <f>IFERROR(__xludf.DUMMYFUNCTION("""COMPUTED_VALUE"""),4.0)</f>
        <v>4</v>
      </c>
      <c r="F1559" s="12">
        <f>IFERROR(__xludf.DUMMYFUNCTION("""COMPUTED_VALUE"""),4.0)</f>
        <v>4</v>
      </c>
      <c r="G1559" s="15" t="str">
        <f>IFERROR(__xludf.DUMMYFUNCTION("""COMPUTED_VALUE"""),"Completa")</f>
        <v>Completa</v>
      </c>
      <c r="H1559" s="16" t="str">
        <f t="array" ref="H1559">_xlfn.XLOOKUP(D1559,Productos[ID_Producto],Productos[Nombre_Producto])</f>
        <v>Manteca</v>
      </c>
      <c r="I1559" s="17">
        <f t="array" ref="I1559">_xlfn.XLOOKUP(D1559,Productos[ID_Producto],Productos[Precio_Unitario])</f>
        <v>5.65</v>
      </c>
      <c r="J1559" s="17">
        <f t="shared" si="1"/>
        <v>22.6</v>
      </c>
      <c r="K1559" s="16" t="str">
        <f t="array" ref="K1559">_xlfn.XLOOKUP(C1559,Clientes[ID_Cliente],Clientes[Provincia])</f>
        <v>Neuquén</v>
      </c>
      <c r="L1559" s="16" t="str">
        <f t="array" ref="L1559">CONCATENATE(_xlfn.XLOOKUP(C1559,Clientes[ID_Cliente],Clientes[Provincia]),", Argentina")</f>
        <v>Neuquén, Argentina</v>
      </c>
      <c r="M1559" s="20" t="str">
        <f t="array" ref="M1559">_xlfn.XLOOKUP(F1559,Metodos_De_Pago[ID_Metodo],Metodos_De_Pago[Metodo])</f>
        <v>Mercado Pago</v>
      </c>
      <c r="N1559" s="20" t="str">
        <f t="shared" si="2"/>
        <v>2024 02</v>
      </c>
    </row>
    <row r="1560" ht="22.5" customHeight="1">
      <c r="A1560" s="12">
        <f>IFERROR(__xludf.DUMMYFUNCTION("""COMPUTED_VALUE"""),1792.0)</f>
        <v>1792</v>
      </c>
      <c r="B1560" s="13">
        <f>IFERROR(__xludf.DUMMYFUNCTION("""COMPUTED_VALUE"""),45344.0)</f>
        <v>45344</v>
      </c>
      <c r="C1560" s="12">
        <f>IFERROR(__xludf.DUMMYFUNCTION("""COMPUTED_VALUE"""),81.0)</f>
        <v>81</v>
      </c>
      <c r="D1560" s="12">
        <f>IFERROR(__xludf.DUMMYFUNCTION("""COMPUTED_VALUE"""),9.0)</f>
        <v>9</v>
      </c>
      <c r="E1560" s="12">
        <f>IFERROR(__xludf.DUMMYFUNCTION("""COMPUTED_VALUE"""),4.0)</f>
        <v>4</v>
      </c>
      <c r="F1560" s="12">
        <f>IFERROR(__xludf.DUMMYFUNCTION("""COMPUTED_VALUE"""),1.0)</f>
        <v>1</v>
      </c>
      <c r="G1560" s="15" t="str">
        <f>IFERROR(__xludf.DUMMYFUNCTION("""COMPUTED_VALUE"""),"Completa")</f>
        <v>Completa</v>
      </c>
      <c r="H1560" s="16" t="str">
        <f t="array" ref="H1560">_xlfn.XLOOKUP(D1560,Productos[ID_Producto],Productos[Nombre_Producto])</f>
        <v>Pollo</v>
      </c>
      <c r="I1560" s="17">
        <f t="array" ref="I1560">_xlfn.XLOOKUP(D1560,Productos[ID_Producto],Productos[Precio_Unitario])</f>
        <v>18.56</v>
      </c>
      <c r="J1560" s="17">
        <f t="shared" si="1"/>
        <v>74.24</v>
      </c>
      <c r="K1560" s="16" t="str">
        <f t="array" ref="K1560">_xlfn.XLOOKUP(C1560,Clientes[ID_Cliente],Clientes[Provincia])</f>
        <v>Buenos Aires</v>
      </c>
      <c r="L1560" s="16" t="str">
        <f t="array" ref="L1560">CONCATENATE(_xlfn.XLOOKUP(C1560,Clientes[ID_Cliente],Clientes[Provincia]),", Argentina")</f>
        <v>Buenos Aires, Argentina</v>
      </c>
      <c r="M1560" s="20" t="str">
        <f t="array" ref="M1560">_xlfn.XLOOKUP(F1560,Metodos_De_Pago[ID_Metodo],Metodos_De_Pago[Metodo])</f>
        <v>Efectivo</v>
      </c>
      <c r="N1560" s="20" t="str">
        <f t="shared" si="2"/>
        <v>2024 02</v>
      </c>
    </row>
    <row r="1561" ht="22.5" customHeight="1">
      <c r="A1561" s="12">
        <f>IFERROR(__xludf.DUMMYFUNCTION("""COMPUTED_VALUE"""),2027.0)</f>
        <v>2027</v>
      </c>
      <c r="B1561" s="13">
        <f>IFERROR(__xludf.DUMMYFUNCTION("""COMPUTED_VALUE"""),45344.0)</f>
        <v>45344</v>
      </c>
      <c r="C1561" s="12">
        <f>IFERROR(__xludf.DUMMYFUNCTION("""COMPUTED_VALUE"""),184.0)</f>
        <v>184</v>
      </c>
      <c r="D1561" s="12">
        <f>IFERROR(__xludf.DUMMYFUNCTION("""COMPUTED_VALUE"""),32.0)</f>
        <v>32</v>
      </c>
      <c r="E1561" s="12">
        <f>IFERROR(__xludf.DUMMYFUNCTION("""COMPUTED_VALUE"""),4.0)</f>
        <v>4</v>
      </c>
      <c r="F1561" s="12">
        <f>IFERROR(__xludf.DUMMYFUNCTION("""COMPUTED_VALUE"""),1.0)</f>
        <v>1</v>
      </c>
      <c r="G1561" s="15" t="str">
        <f>IFERROR(__xludf.DUMMYFUNCTION("""COMPUTED_VALUE"""),"Completa")</f>
        <v>Completa</v>
      </c>
      <c r="H1561" s="16" t="str">
        <f t="array" ref="H1561">_xlfn.XLOOKUP(D1561,Productos[ID_Producto],Productos[Nombre_Producto])</f>
        <v>Galletitas de chocolate</v>
      </c>
      <c r="I1561" s="17">
        <f t="array" ref="I1561">_xlfn.XLOOKUP(D1561,Productos[ID_Producto],Productos[Precio_Unitario])</f>
        <v>6.25</v>
      </c>
      <c r="J1561" s="17">
        <f t="shared" si="1"/>
        <v>25</v>
      </c>
      <c r="K1561" s="16" t="str">
        <f t="array" ref="K1561">_xlfn.XLOOKUP(C1561,Clientes[ID_Cliente],Clientes[Provincia])</f>
        <v>Buenos Aires</v>
      </c>
      <c r="L1561" s="16" t="str">
        <f t="array" ref="L1561">CONCATENATE(_xlfn.XLOOKUP(C1561,Clientes[ID_Cliente],Clientes[Provincia]),", Argentina")</f>
        <v>Buenos Aires, Argentina</v>
      </c>
      <c r="M1561" s="20" t="str">
        <f t="array" ref="M1561">_xlfn.XLOOKUP(F1561,Metodos_De_Pago[ID_Metodo],Metodos_De_Pago[Metodo])</f>
        <v>Efectivo</v>
      </c>
      <c r="N1561" s="20" t="str">
        <f t="shared" si="2"/>
        <v>2024 02</v>
      </c>
    </row>
    <row r="1562" ht="22.5" customHeight="1">
      <c r="A1562" s="12">
        <f>IFERROR(__xludf.DUMMYFUNCTION("""COMPUTED_VALUE"""),784.0)</f>
        <v>784</v>
      </c>
      <c r="B1562" s="13">
        <f>IFERROR(__xludf.DUMMYFUNCTION("""COMPUTED_VALUE"""),45345.0)</f>
        <v>45345</v>
      </c>
      <c r="C1562" s="12">
        <f>IFERROR(__xludf.DUMMYFUNCTION("""COMPUTED_VALUE"""),279.0)</f>
        <v>279</v>
      </c>
      <c r="D1562" s="12">
        <f>IFERROR(__xludf.DUMMYFUNCTION("""COMPUTED_VALUE"""),10.0)</f>
        <v>10</v>
      </c>
      <c r="E1562" s="12">
        <f>IFERROR(__xludf.DUMMYFUNCTION("""COMPUTED_VALUE"""),4.0)</f>
        <v>4</v>
      </c>
      <c r="F1562" s="12">
        <f>IFERROR(__xludf.DUMMYFUNCTION("""COMPUTED_VALUE"""),2.0)</f>
        <v>2</v>
      </c>
      <c r="G1562" s="15" t="str">
        <f>IFERROR(__xludf.DUMMYFUNCTION("""COMPUTED_VALUE"""),"Completa")</f>
        <v>Completa</v>
      </c>
      <c r="H1562" s="16" t="str">
        <f t="array" ref="H1562">_xlfn.XLOOKUP(D1562,Productos[ID_Producto],Productos[Nombre_Producto])</f>
        <v>Costilla de cerdo</v>
      </c>
      <c r="I1562" s="17">
        <f t="array" ref="I1562">_xlfn.XLOOKUP(D1562,Productos[ID_Producto],Productos[Precio_Unitario])</f>
        <v>14.25</v>
      </c>
      <c r="J1562" s="17">
        <f t="shared" si="1"/>
        <v>57</v>
      </c>
      <c r="K1562" s="16" t="str">
        <f t="array" ref="K1562">_xlfn.XLOOKUP(C1562,Clientes[ID_Cliente],Clientes[Provincia])</f>
        <v>Córdoba</v>
      </c>
      <c r="L1562" s="16" t="str">
        <f t="array" ref="L1562">CONCATENATE(_xlfn.XLOOKUP(C1562,Clientes[ID_Cliente],Clientes[Provincia]),", Argentina")</f>
        <v>Córdoba, Argentina</v>
      </c>
      <c r="M1562" s="20" t="str">
        <f t="array" ref="M1562">_xlfn.XLOOKUP(F1562,Metodos_De_Pago[ID_Metodo],Metodos_De_Pago[Metodo])</f>
        <v>Tarjeta de Crédito</v>
      </c>
      <c r="N1562" s="20" t="str">
        <f t="shared" si="2"/>
        <v>2024 02</v>
      </c>
    </row>
    <row r="1563" ht="22.5" customHeight="1">
      <c r="A1563" s="12">
        <f>IFERROR(__xludf.DUMMYFUNCTION("""COMPUTED_VALUE"""),1674.0)</f>
        <v>1674</v>
      </c>
      <c r="B1563" s="13">
        <f>IFERROR(__xludf.DUMMYFUNCTION("""COMPUTED_VALUE"""),45346.0)</f>
        <v>45346</v>
      </c>
      <c r="C1563" s="12">
        <f>IFERROR(__xludf.DUMMYFUNCTION("""COMPUTED_VALUE"""),75.0)</f>
        <v>75</v>
      </c>
      <c r="D1563" s="12">
        <f>IFERROR(__xludf.DUMMYFUNCTION("""COMPUTED_VALUE"""),23.0)</f>
        <v>23</v>
      </c>
      <c r="E1563" s="12">
        <f>IFERROR(__xludf.DUMMYFUNCTION("""COMPUTED_VALUE"""),4.0)</f>
        <v>4</v>
      </c>
      <c r="F1563" s="12">
        <f>IFERROR(__xludf.DUMMYFUNCTION("""COMPUTED_VALUE"""),5.0)</f>
        <v>5</v>
      </c>
      <c r="G1563" s="15" t="str">
        <f>IFERROR(__xludf.DUMMYFUNCTION("""COMPUTED_VALUE"""),"Pendiente")</f>
        <v>Pendiente</v>
      </c>
      <c r="H1563" s="16" t="str">
        <f t="array" ref="H1563">_xlfn.XLOOKUP(D1563,Productos[ID_Producto],Productos[Nombre_Producto])</f>
        <v>Papas fritas</v>
      </c>
      <c r="I1563" s="17">
        <f t="array" ref="I1563">_xlfn.XLOOKUP(D1563,Productos[ID_Producto],Productos[Precio_Unitario])</f>
        <v>8.23</v>
      </c>
      <c r="J1563" s="17">
        <f t="shared" si="1"/>
        <v>32.92</v>
      </c>
      <c r="K1563" s="16" t="str">
        <f t="array" ref="K1563">_xlfn.XLOOKUP(C1563,Clientes[ID_Cliente],Clientes[Provincia])</f>
        <v>Chaco</v>
      </c>
      <c r="L1563" s="16" t="str">
        <f t="array" ref="L1563">CONCATENATE(_xlfn.XLOOKUP(C1563,Clientes[ID_Cliente],Clientes[Provincia]),", Argentina")</f>
        <v>Chaco, Argentina</v>
      </c>
      <c r="M1563" s="20" t="str">
        <f t="array" ref="M1563">_xlfn.XLOOKUP(F1563,Metodos_De_Pago[ID_Metodo],Metodos_De_Pago[Metodo])</f>
        <v>Transferencia</v>
      </c>
      <c r="N1563" s="20" t="str">
        <f t="shared" si="2"/>
        <v>2024 02</v>
      </c>
    </row>
    <row r="1564" ht="22.5" customHeight="1">
      <c r="A1564" s="12">
        <f>IFERROR(__xludf.DUMMYFUNCTION("""COMPUTED_VALUE"""),1852.0)</f>
        <v>1852</v>
      </c>
      <c r="B1564" s="13">
        <f>IFERROR(__xludf.DUMMYFUNCTION("""COMPUTED_VALUE"""),45346.0)</f>
        <v>45346</v>
      </c>
      <c r="C1564" s="12">
        <f>IFERROR(__xludf.DUMMYFUNCTION("""COMPUTED_VALUE"""),230.0)</f>
        <v>230</v>
      </c>
      <c r="D1564" s="12">
        <f>IFERROR(__xludf.DUMMYFUNCTION("""COMPUTED_VALUE"""),1.0)</f>
        <v>1</v>
      </c>
      <c r="E1564" s="12">
        <f>IFERROR(__xludf.DUMMYFUNCTION("""COMPUTED_VALUE"""),4.0)</f>
        <v>4</v>
      </c>
      <c r="F1564" s="12">
        <f>IFERROR(__xludf.DUMMYFUNCTION("""COMPUTED_VALUE"""),5.0)</f>
        <v>5</v>
      </c>
      <c r="G1564" s="15" t="str">
        <f>IFERROR(__xludf.DUMMYFUNCTION("""COMPUTED_VALUE"""),"Pendiente")</f>
        <v>Pendiente</v>
      </c>
      <c r="H1564" s="16" t="str">
        <f t="array" ref="H1564">_xlfn.XLOOKUP(D1564,Productos[ID_Producto],Productos[Nombre_Producto])</f>
        <v>Leche</v>
      </c>
      <c r="I1564" s="17">
        <f t="array" ref="I1564">_xlfn.XLOOKUP(D1564,Productos[ID_Producto],Productos[Precio_Unitario])</f>
        <v>12.24</v>
      </c>
      <c r="J1564" s="17">
        <f t="shared" si="1"/>
        <v>48.96</v>
      </c>
      <c r="K1564" s="16" t="str">
        <f t="array" ref="K1564">_xlfn.XLOOKUP(C1564,Clientes[ID_Cliente],Clientes[Provincia])</f>
        <v>Córdoba</v>
      </c>
      <c r="L1564" s="16" t="str">
        <f t="array" ref="L1564">CONCATENATE(_xlfn.XLOOKUP(C1564,Clientes[ID_Cliente],Clientes[Provincia]),", Argentina")</f>
        <v>Córdoba, Argentina</v>
      </c>
      <c r="M1564" s="20" t="str">
        <f t="array" ref="M1564">_xlfn.XLOOKUP(F1564,Metodos_De_Pago[ID_Metodo],Metodos_De_Pago[Metodo])</f>
        <v>Transferencia</v>
      </c>
      <c r="N1564" s="20" t="str">
        <f t="shared" si="2"/>
        <v>2024 02</v>
      </c>
    </row>
    <row r="1565" ht="22.5" customHeight="1">
      <c r="A1565" s="12">
        <f>IFERROR(__xludf.DUMMYFUNCTION("""COMPUTED_VALUE"""),2309.0)</f>
        <v>2309</v>
      </c>
      <c r="B1565" s="13">
        <f>IFERROR(__xludf.DUMMYFUNCTION("""COMPUTED_VALUE"""),45347.0)</f>
        <v>45347</v>
      </c>
      <c r="C1565" s="12">
        <f>IFERROR(__xludf.DUMMYFUNCTION("""COMPUTED_VALUE"""),82.0)</f>
        <v>82</v>
      </c>
      <c r="D1565" s="12">
        <f>IFERROR(__xludf.DUMMYFUNCTION("""COMPUTED_VALUE"""),1.0)</f>
        <v>1</v>
      </c>
      <c r="E1565" s="12">
        <f>IFERROR(__xludf.DUMMYFUNCTION("""COMPUTED_VALUE"""),4.0)</f>
        <v>4</v>
      </c>
      <c r="F1565" s="12">
        <f>IFERROR(__xludf.DUMMYFUNCTION("""COMPUTED_VALUE"""),4.0)</f>
        <v>4</v>
      </c>
      <c r="G1565" s="15" t="str">
        <f>IFERROR(__xludf.DUMMYFUNCTION("""COMPUTED_VALUE"""),"Pendiente")</f>
        <v>Pendiente</v>
      </c>
      <c r="H1565" s="16" t="str">
        <f t="array" ref="H1565">_xlfn.XLOOKUP(D1565,Productos[ID_Producto],Productos[Nombre_Producto])</f>
        <v>Leche</v>
      </c>
      <c r="I1565" s="17">
        <f t="array" ref="I1565">_xlfn.XLOOKUP(D1565,Productos[ID_Producto],Productos[Precio_Unitario])</f>
        <v>12.24</v>
      </c>
      <c r="J1565" s="17">
        <f t="shared" si="1"/>
        <v>48.96</v>
      </c>
      <c r="K1565" s="16" t="str">
        <f t="array" ref="K1565">_xlfn.XLOOKUP(C1565,Clientes[ID_Cliente],Clientes[Provincia])</f>
        <v>Buenos Aires</v>
      </c>
      <c r="L1565" s="16" t="str">
        <f t="array" ref="L1565">CONCATENATE(_xlfn.XLOOKUP(C1565,Clientes[ID_Cliente],Clientes[Provincia]),", Argentina")</f>
        <v>Buenos Aires, Argentina</v>
      </c>
      <c r="M1565" s="20" t="str">
        <f t="array" ref="M1565">_xlfn.XLOOKUP(F1565,Metodos_De_Pago[ID_Metodo],Metodos_De_Pago[Metodo])</f>
        <v>Mercado Pago</v>
      </c>
      <c r="N1565" s="20" t="str">
        <f t="shared" si="2"/>
        <v>2024 02</v>
      </c>
    </row>
    <row r="1566" ht="22.5" customHeight="1">
      <c r="A1566" s="12">
        <f>IFERROR(__xludf.DUMMYFUNCTION("""COMPUTED_VALUE"""),2729.0)</f>
        <v>2729</v>
      </c>
      <c r="B1566" s="13">
        <f>IFERROR(__xludf.DUMMYFUNCTION("""COMPUTED_VALUE"""),45347.0)</f>
        <v>45347</v>
      </c>
      <c r="C1566" s="12">
        <f>IFERROR(__xludf.DUMMYFUNCTION("""COMPUTED_VALUE"""),166.0)</f>
        <v>166</v>
      </c>
      <c r="D1566" s="12">
        <f>IFERROR(__xludf.DUMMYFUNCTION("""COMPUTED_VALUE"""),9.0)</f>
        <v>9</v>
      </c>
      <c r="E1566" s="12">
        <f>IFERROR(__xludf.DUMMYFUNCTION("""COMPUTED_VALUE"""),4.0)</f>
        <v>4</v>
      </c>
      <c r="F1566" s="12">
        <f>IFERROR(__xludf.DUMMYFUNCTION("""COMPUTED_VALUE"""),3.0)</f>
        <v>3</v>
      </c>
      <c r="G1566" s="15" t="str">
        <f>IFERROR(__xludf.DUMMYFUNCTION("""COMPUTED_VALUE"""),"Completa")</f>
        <v>Completa</v>
      </c>
      <c r="H1566" s="16" t="str">
        <f t="array" ref="H1566">_xlfn.XLOOKUP(D1566,Productos[ID_Producto],Productos[Nombre_Producto])</f>
        <v>Pollo</v>
      </c>
      <c r="I1566" s="17">
        <f t="array" ref="I1566">_xlfn.XLOOKUP(D1566,Productos[ID_Producto],Productos[Precio_Unitario])</f>
        <v>18.56</v>
      </c>
      <c r="J1566" s="17">
        <f t="shared" si="1"/>
        <v>74.24</v>
      </c>
      <c r="K1566" s="16" t="str">
        <f t="array" ref="K1566">_xlfn.XLOOKUP(C1566,Clientes[ID_Cliente],Clientes[Provincia])</f>
        <v>Chaco</v>
      </c>
      <c r="L1566" s="16" t="str">
        <f t="array" ref="L1566">CONCATENATE(_xlfn.XLOOKUP(C1566,Clientes[ID_Cliente],Clientes[Provincia]),", Argentina")</f>
        <v>Chaco, Argentina</v>
      </c>
      <c r="M1566" s="20" t="str">
        <f t="array" ref="M1566">_xlfn.XLOOKUP(F1566,Metodos_De_Pago[ID_Metodo],Metodos_De_Pago[Metodo])</f>
        <v>Tarjeta de Débito</v>
      </c>
      <c r="N1566" s="20" t="str">
        <f t="shared" si="2"/>
        <v>2024 02</v>
      </c>
    </row>
    <row r="1567" ht="22.5" customHeight="1">
      <c r="A1567" s="12">
        <f>IFERROR(__xludf.DUMMYFUNCTION("""COMPUTED_VALUE"""),1830.0)</f>
        <v>1830</v>
      </c>
      <c r="B1567" s="13">
        <f>IFERROR(__xludf.DUMMYFUNCTION("""COMPUTED_VALUE"""),45348.0)</f>
        <v>45348</v>
      </c>
      <c r="C1567" s="12">
        <f>IFERROR(__xludf.DUMMYFUNCTION("""COMPUTED_VALUE"""),291.0)</f>
        <v>291</v>
      </c>
      <c r="D1567" s="12">
        <f>IFERROR(__xludf.DUMMYFUNCTION("""COMPUTED_VALUE"""),32.0)</f>
        <v>32</v>
      </c>
      <c r="E1567" s="12">
        <f>IFERROR(__xludf.DUMMYFUNCTION("""COMPUTED_VALUE"""),4.0)</f>
        <v>4</v>
      </c>
      <c r="F1567" s="12">
        <f>IFERROR(__xludf.DUMMYFUNCTION("""COMPUTED_VALUE"""),4.0)</f>
        <v>4</v>
      </c>
      <c r="G1567" s="15" t="str">
        <f>IFERROR(__xludf.DUMMYFUNCTION("""COMPUTED_VALUE"""),"Completa")</f>
        <v>Completa</v>
      </c>
      <c r="H1567" s="16" t="str">
        <f t="array" ref="H1567">_xlfn.XLOOKUP(D1567,Productos[ID_Producto],Productos[Nombre_Producto])</f>
        <v>Galletitas de chocolate</v>
      </c>
      <c r="I1567" s="17">
        <f t="array" ref="I1567">_xlfn.XLOOKUP(D1567,Productos[ID_Producto],Productos[Precio_Unitario])</f>
        <v>6.25</v>
      </c>
      <c r="J1567" s="17">
        <f t="shared" si="1"/>
        <v>25</v>
      </c>
      <c r="K1567" s="16" t="str">
        <f t="array" ref="K1567">_xlfn.XLOOKUP(C1567,Clientes[ID_Cliente],Clientes[Provincia])</f>
        <v>Chaco</v>
      </c>
      <c r="L1567" s="16" t="str">
        <f t="array" ref="L1567">CONCATENATE(_xlfn.XLOOKUP(C1567,Clientes[ID_Cliente],Clientes[Provincia]),", Argentina")</f>
        <v>Chaco, Argentina</v>
      </c>
      <c r="M1567" s="20" t="str">
        <f t="array" ref="M1567">_xlfn.XLOOKUP(F1567,Metodos_De_Pago[ID_Metodo],Metodos_De_Pago[Metodo])</f>
        <v>Mercado Pago</v>
      </c>
      <c r="N1567" s="20" t="str">
        <f t="shared" si="2"/>
        <v>2024 02</v>
      </c>
    </row>
    <row r="1568" ht="22.5" customHeight="1">
      <c r="A1568" s="12">
        <f>IFERROR(__xludf.DUMMYFUNCTION("""COMPUTED_VALUE"""),545.0)</f>
        <v>545</v>
      </c>
      <c r="B1568" s="13">
        <f>IFERROR(__xludf.DUMMYFUNCTION("""COMPUTED_VALUE"""),45350.0)</f>
        <v>45350</v>
      </c>
      <c r="C1568" s="12">
        <f>IFERROR(__xludf.DUMMYFUNCTION("""COMPUTED_VALUE"""),20.0)</f>
        <v>20</v>
      </c>
      <c r="D1568" s="12">
        <f>IFERROR(__xludf.DUMMYFUNCTION("""COMPUTED_VALUE"""),26.0)</f>
        <v>26</v>
      </c>
      <c r="E1568" s="12">
        <f>IFERROR(__xludf.DUMMYFUNCTION("""COMPUTED_VALUE"""),4.0)</f>
        <v>4</v>
      </c>
      <c r="F1568" s="12">
        <f>IFERROR(__xludf.DUMMYFUNCTION("""COMPUTED_VALUE"""),4.0)</f>
        <v>4</v>
      </c>
      <c r="G1568" s="15" t="str">
        <f>IFERROR(__xludf.DUMMYFUNCTION("""COMPUTED_VALUE"""),"Completa")</f>
        <v>Completa</v>
      </c>
      <c r="H1568" s="16" t="str">
        <f t="array" ref="H1568">_xlfn.XLOOKUP(D1568,Productos[ID_Producto],Productos[Nombre_Producto])</f>
        <v>Hamburgesas congeladas</v>
      </c>
      <c r="I1568" s="17">
        <f t="array" ref="I1568">_xlfn.XLOOKUP(D1568,Productos[ID_Producto],Productos[Precio_Unitario])</f>
        <v>9.54</v>
      </c>
      <c r="J1568" s="17">
        <f t="shared" si="1"/>
        <v>38.16</v>
      </c>
      <c r="K1568" s="16" t="str">
        <f t="array" ref="K1568">_xlfn.XLOOKUP(C1568,Clientes[ID_Cliente],Clientes[Provincia])</f>
        <v>San Luis</v>
      </c>
      <c r="L1568" s="16" t="str">
        <f t="array" ref="L1568">CONCATENATE(_xlfn.XLOOKUP(C1568,Clientes[ID_Cliente],Clientes[Provincia]),", Argentina")</f>
        <v>San Luis, Argentina</v>
      </c>
      <c r="M1568" s="20" t="str">
        <f t="array" ref="M1568">_xlfn.XLOOKUP(F1568,Metodos_De_Pago[ID_Metodo],Metodos_De_Pago[Metodo])</f>
        <v>Mercado Pago</v>
      </c>
      <c r="N1568" s="20" t="str">
        <f t="shared" si="2"/>
        <v>2024 02</v>
      </c>
    </row>
    <row r="1569" ht="22.5" customHeight="1">
      <c r="A1569" s="12">
        <f>IFERROR(__xludf.DUMMYFUNCTION("""COMPUTED_VALUE"""),2346.0)</f>
        <v>2346</v>
      </c>
      <c r="B1569" s="13">
        <f>IFERROR(__xludf.DUMMYFUNCTION("""COMPUTED_VALUE"""),45350.0)</f>
        <v>45350</v>
      </c>
      <c r="C1569" s="12">
        <f>IFERROR(__xludf.DUMMYFUNCTION("""COMPUTED_VALUE"""),274.0)</f>
        <v>274</v>
      </c>
      <c r="D1569" s="12">
        <f>IFERROR(__xludf.DUMMYFUNCTION("""COMPUTED_VALUE"""),25.0)</f>
        <v>25</v>
      </c>
      <c r="E1569" s="12">
        <f>IFERROR(__xludf.DUMMYFUNCTION("""COMPUTED_VALUE"""),4.0)</f>
        <v>4</v>
      </c>
      <c r="F1569" s="12">
        <f>IFERROR(__xludf.DUMMYFUNCTION("""COMPUTED_VALUE"""),3.0)</f>
        <v>3</v>
      </c>
      <c r="G1569" s="15" t="str">
        <f>IFERROR(__xludf.DUMMYFUNCTION("""COMPUTED_VALUE"""),"Completa")</f>
        <v>Completa</v>
      </c>
      <c r="H1569" s="16" t="str">
        <f t="array" ref="H1569">_xlfn.XLOOKUP(D1569,Productos[ID_Producto],Productos[Nombre_Producto])</f>
        <v>Pizza congelada</v>
      </c>
      <c r="I1569" s="17">
        <f t="array" ref="I1569">_xlfn.XLOOKUP(D1569,Productos[ID_Producto],Productos[Precio_Unitario])</f>
        <v>15.45</v>
      </c>
      <c r="J1569" s="17">
        <f t="shared" si="1"/>
        <v>61.8</v>
      </c>
      <c r="K1569" s="16" t="str">
        <f t="array" ref="K1569">_xlfn.XLOOKUP(C1569,Clientes[ID_Cliente],Clientes[Provincia])</f>
        <v>Buenos Aires</v>
      </c>
      <c r="L1569" s="16" t="str">
        <f t="array" ref="L1569">CONCATENATE(_xlfn.XLOOKUP(C1569,Clientes[ID_Cliente],Clientes[Provincia]),", Argentina")</f>
        <v>Buenos Aires, Argentina</v>
      </c>
      <c r="M1569" s="20" t="str">
        <f t="array" ref="M1569">_xlfn.XLOOKUP(F1569,Metodos_De_Pago[ID_Metodo],Metodos_De_Pago[Metodo])</f>
        <v>Tarjeta de Débito</v>
      </c>
      <c r="N1569" s="20" t="str">
        <f t="shared" si="2"/>
        <v>2024 02</v>
      </c>
    </row>
    <row r="1570" ht="22.5" customHeight="1">
      <c r="A1570" s="12">
        <f>IFERROR(__xludf.DUMMYFUNCTION("""COMPUTED_VALUE"""),2550.0)</f>
        <v>2550</v>
      </c>
      <c r="B1570" s="13">
        <f>IFERROR(__xludf.DUMMYFUNCTION("""COMPUTED_VALUE"""),45350.0)</f>
        <v>45350</v>
      </c>
      <c r="C1570" s="12">
        <f>IFERROR(__xludf.DUMMYFUNCTION("""COMPUTED_VALUE"""),138.0)</f>
        <v>138</v>
      </c>
      <c r="D1570" s="12">
        <f>IFERROR(__xludf.DUMMYFUNCTION("""COMPUTED_VALUE"""),23.0)</f>
        <v>23</v>
      </c>
      <c r="E1570" s="12">
        <f>IFERROR(__xludf.DUMMYFUNCTION("""COMPUTED_VALUE"""),4.0)</f>
        <v>4</v>
      </c>
      <c r="F1570" s="12">
        <f>IFERROR(__xludf.DUMMYFUNCTION("""COMPUTED_VALUE"""),3.0)</f>
        <v>3</v>
      </c>
      <c r="G1570" s="15" t="str">
        <f>IFERROR(__xludf.DUMMYFUNCTION("""COMPUTED_VALUE"""),"Pendiente")</f>
        <v>Pendiente</v>
      </c>
      <c r="H1570" s="16" t="str">
        <f t="array" ref="H1570">_xlfn.XLOOKUP(D1570,Productos[ID_Producto],Productos[Nombre_Producto])</f>
        <v>Papas fritas</v>
      </c>
      <c r="I1570" s="17">
        <f t="array" ref="I1570">_xlfn.XLOOKUP(D1570,Productos[ID_Producto],Productos[Precio_Unitario])</f>
        <v>8.23</v>
      </c>
      <c r="J1570" s="17">
        <f t="shared" si="1"/>
        <v>32.92</v>
      </c>
      <c r="K1570" s="16" t="str">
        <f t="array" ref="K1570">_xlfn.XLOOKUP(C1570,Clientes[ID_Cliente],Clientes[Provincia])</f>
        <v>Buenos Aires</v>
      </c>
      <c r="L1570" s="16" t="str">
        <f t="array" ref="L1570">CONCATENATE(_xlfn.XLOOKUP(C1570,Clientes[ID_Cliente],Clientes[Provincia]),", Argentina")</f>
        <v>Buenos Aires, Argentina</v>
      </c>
      <c r="M1570" s="20" t="str">
        <f t="array" ref="M1570">_xlfn.XLOOKUP(F1570,Metodos_De_Pago[ID_Metodo],Metodos_De_Pago[Metodo])</f>
        <v>Tarjeta de Débito</v>
      </c>
      <c r="N1570" s="20" t="str">
        <f t="shared" si="2"/>
        <v>2024 02</v>
      </c>
    </row>
    <row r="1571" ht="22.5" customHeight="1">
      <c r="A1571" s="12">
        <f>IFERROR(__xludf.DUMMYFUNCTION("""COMPUTED_VALUE"""),2600.0)</f>
        <v>2600</v>
      </c>
      <c r="B1571" s="13">
        <f>IFERROR(__xludf.DUMMYFUNCTION("""COMPUTED_VALUE"""),45350.0)</f>
        <v>45350</v>
      </c>
      <c r="C1571" s="12">
        <f>IFERROR(__xludf.DUMMYFUNCTION("""COMPUTED_VALUE"""),187.0)</f>
        <v>187</v>
      </c>
      <c r="D1571" s="12">
        <f>IFERROR(__xludf.DUMMYFUNCTION("""COMPUTED_VALUE"""),25.0)</f>
        <v>25</v>
      </c>
      <c r="E1571" s="12">
        <f>IFERROR(__xludf.DUMMYFUNCTION("""COMPUTED_VALUE"""),4.0)</f>
        <v>4</v>
      </c>
      <c r="F1571" s="12">
        <f>IFERROR(__xludf.DUMMYFUNCTION("""COMPUTED_VALUE"""),5.0)</f>
        <v>5</v>
      </c>
      <c r="G1571" s="15" t="str">
        <f>IFERROR(__xludf.DUMMYFUNCTION("""COMPUTED_VALUE"""),"Completa")</f>
        <v>Completa</v>
      </c>
      <c r="H1571" s="16" t="str">
        <f t="array" ref="H1571">_xlfn.XLOOKUP(D1571,Productos[ID_Producto],Productos[Nombre_Producto])</f>
        <v>Pizza congelada</v>
      </c>
      <c r="I1571" s="17">
        <f t="array" ref="I1571">_xlfn.XLOOKUP(D1571,Productos[ID_Producto],Productos[Precio_Unitario])</f>
        <v>15.45</v>
      </c>
      <c r="J1571" s="17">
        <f t="shared" si="1"/>
        <v>61.8</v>
      </c>
      <c r="K1571" s="16" t="str">
        <f t="array" ref="K1571">_xlfn.XLOOKUP(C1571,Clientes[ID_Cliente],Clientes[Provincia])</f>
        <v>Buenos Aires</v>
      </c>
      <c r="L1571" s="16" t="str">
        <f t="array" ref="L1571">CONCATENATE(_xlfn.XLOOKUP(C1571,Clientes[ID_Cliente],Clientes[Provincia]),", Argentina")</f>
        <v>Buenos Aires, Argentina</v>
      </c>
      <c r="M1571" s="20" t="str">
        <f t="array" ref="M1571">_xlfn.XLOOKUP(F1571,Metodos_De_Pago[ID_Metodo],Metodos_De_Pago[Metodo])</f>
        <v>Transferencia</v>
      </c>
      <c r="N1571" s="20" t="str">
        <f t="shared" si="2"/>
        <v>2024 02</v>
      </c>
    </row>
    <row r="1572" ht="22.5" customHeight="1">
      <c r="A1572" s="12">
        <f>IFERROR(__xludf.DUMMYFUNCTION("""COMPUTED_VALUE"""),428.0)</f>
        <v>428</v>
      </c>
      <c r="B1572" s="13">
        <f>IFERROR(__xludf.DUMMYFUNCTION("""COMPUTED_VALUE"""),45354.0)</f>
        <v>45354</v>
      </c>
      <c r="C1572" s="12">
        <f>IFERROR(__xludf.DUMMYFUNCTION("""COMPUTED_VALUE"""),308.0)</f>
        <v>308</v>
      </c>
      <c r="D1572" s="12">
        <f>IFERROR(__xludf.DUMMYFUNCTION("""COMPUTED_VALUE"""),28.0)</f>
        <v>28</v>
      </c>
      <c r="E1572" s="12">
        <f>IFERROR(__xludf.DUMMYFUNCTION("""COMPUTED_VALUE"""),4.0)</f>
        <v>4</v>
      </c>
      <c r="F1572" s="12">
        <f>IFERROR(__xludf.DUMMYFUNCTION("""COMPUTED_VALUE"""),5.0)</f>
        <v>5</v>
      </c>
      <c r="G1572" s="15" t="str">
        <f>IFERROR(__xludf.DUMMYFUNCTION("""COMPUTED_VALUE"""),"Completa")</f>
        <v>Completa</v>
      </c>
      <c r="H1572" s="16" t="str">
        <f t="array" ref="H1572">_xlfn.XLOOKUP(D1572,Productos[ID_Producto],Productos[Nombre_Producto])</f>
        <v>Jugos de frutas</v>
      </c>
      <c r="I1572" s="17">
        <f t="array" ref="I1572">_xlfn.XLOOKUP(D1572,Productos[ID_Producto],Productos[Precio_Unitario])</f>
        <v>9.45</v>
      </c>
      <c r="J1572" s="17">
        <f t="shared" si="1"/>
        <v>37.8</v>
      </c>
      <c r="K1572" s="16" t="str">
        <f t="array" ref="K1572">_xlfn.XLOOKUP(C1572,Clientes[ID_Cliente],Clientes[Provincia])</f>
        <v>Córdoba</v>
      </c>
      <c r="L1572" s="16" t="str">
        <f t="array" ref="L1572">CONCATENATE(_xlfn.XLOOKUP(C1572,Clientes[ID_Cliente],Clientes[Provincia]),", Argentina")</f>
        <v>Córdoba, Argentina</v>
      </c>
      <c r="M1572" s="20" t="str">
        <f t="array" ref="M1572">_xlfn.XLOOKUP(F1572,Metodos_De_Pago[ID_Metodo],Metodos_De_Pago[Metodo])</f>
        <v>Transferencia</v>
      </c>
      <c r="N1572" s="20" t="str">
        <f t="shared" si="2"/>
        <v>2024 03</v>
      </c>
    </row>
    <row r="1573" ht="22.5" customHeight="1">
      <c r="A1573" s="12">
        <f>IFERROR(__xludf.DUMMYFUNCTION("""COMPUTED_VALUE"""),2327.0)</f>
        <v>2327</v>
      </c>
      <c r="B1573" s="13">
        <f>IFERROR(__xludf.DUMMYFUNCTION("""COMPUTED_VALUE"""),45354.0)</f>
        <v>45354</v>
      </c>
      <c r="C1573" s="12">
        <f>IFERROR(__xludf.DUMMYFUNCTION("""COMPUTED_VALUE"""),62.0)</f>
        <v>62</v>
      </c>
      <c r="D1573" s="12">
        <f>IFERROR(__xludf.DUMMYFUNCTION("""COMPUTED_VALUE"""),26.0)</f>
        <v>26</v>
      </c>
      <c r="E1573" s="12">
        <f>IFERROR(__xludf.DUMMYFUNCTION("""COMPUTED_VALUE"""),4.0)</f>
        <v>4</v>
      </c>
      <c r="F1573" s="12">
        <f>IFERROR(__xludf.DUMMYFUNCTION("""COMPUTED_VALUE"""),5.0)</f>
        <v>5</v>
      </c>
      <c r="G1573" s="15" t="str">
        <f>IFERROR(__xludf.DUMMYFUNCTION("""COMPUTED_VALUE"""),"Completa")</f>
        <v>Completa</v>
      </c>
      <c r="H1573" s="16" t="str">
        <f t="array" ref="H1573">_xlfn.XLOOKUP(D1573,Productos[ID_Producto],Productos[Nombre_Producto])</f>
        <v>Hamburgesas congeladas</v>
      </c>
      <c r="I1573" s="17">
        <f t="array" ref="I1573">_xlfn.XLOOKUP(D1573,Productos[ID_Producto],Productos[Precio_Unitario])</f>
        <v>9.54</v>
      </c>
      <c r="J1573" s="17">
        <f t="shared" si="1"/>
        <v>38.16</v>
      </c>
      <c r="K1573" s="16" t="str">
        <f t="array" ref="K1573">_xlfn.XLOOKUP(C1573,Clientes[ID_Cliente],Clientes[Provincia])</f>
        <v>Chaco</v>
      </c>
      <c r="L1573" s="16" t="str">
        <f t="array" ref="L1573">CONCATENATE(_xlfn.XLOOKUP(C1573,Clientes[ID_Cliente],Clientes[Provincia]),", Argentina")</f>
        <v>Chaco, Argentina</v>
      </c>
      <c r="M1573" s="20" t="str">
        <f t="array" ref="M1573">_xlfn.XLOOKUP(F1573,Metodos_De_Pago[ID_Metodo],Metodos_De_Pago[Metodo])</f>
        <v>Transferencia</v>
      </c>
      <c r="N1573" s="20" t="str">
        <f t="shared" si="2"/>
        <v>2024 03</v>
      </c>
    </row>
    <row r="1574" ht="22.5" customHeight="1">
      <c r="A1574" s="12">
        <f>IFERROR(__xludf.DUMMYFUNCTION("""COMPUTED_VALUE"""),290.0)</f>
        <v>290</v>
      </c>
      <c r="B1574" s="13">
        <f>IFERROR(__xludf.DUMMYFUNCTION("""COMPUTED_VALUE"""),45356.0)</f>
        <v>45356</v>
      </c>
      <c r="C1574" s="12">
        <f>IFERROR(__xludf.DUMMYFUNCTION("""COMPUTED_VALUE"""),123.0)</f>
        <v>123</v>
      </c>
      <c r="D1574" s="12">
        <f>IFERROR(__xludf.DUMMYFUNCTION("""COMPUTED_VALUE"""),31.0)</f>
        <v>31</v>
      </c>
      <c r="E1574" s="12">
        <f>IFERROR(__xludf.DUMMYFUNCTION("""COMPUTED_VALUE"""),4.0)</f>
        <v>4</v>
      </c>
      <c r="F1574" s="12">
        <f>IFERROR(__xludf.DUMMYFUNCTION("""COMPUTED_VALUE"""),2.0)</f>
        <v>2</v>
      </c>
      <c r="G1574" s="15" t="str">
        <f>IFERROR(__xludf.DUMMYFUNCTION("""COMPUTED_VALUE"""),"Completa")</f>
        <v>Completa</v>
      </c>
      <c r="H1574" s="16" t="str">
        <f t="array" ref="H1574">_xlfn.XLOOKUP(D1574,Productos[ID_Producto],Productos[Nombre_Producto])</f>
        <v>Galletitas de agua</v>
      </c>
      <c r="I1574" s="17">
        <f t="array" ref="I1574">_xlfn.XLOOKUP(D1574,Productos[ID_Producto],Productos[Precio_Unitario])</f>
        <v>5.24</v>
      </c>
      <c r="J1574" s="17">
        <f t="shared" si="1"/>
        <v>20.96</v>
      </c>
      <c r="K1574" s="16" t="str">
        <f t="array" ref="K1574">_xlfn.XLOOKUP(C1574,Clientes[ID_Cliente],Clientes[Provincia])</f>
        <v>Neuquén</v>
      </c>
      <c r="L1574" s="16" t="str">
        <f t="array" ref="L1574">CONCATENATE(_xlfn.XLOOKUP(C1574,Clientes[ID_Cliente],Clientes[Provincia]),", Argentina")</f>
        <v>Neuquén, Argentina</v>
      </c>
      <c r="M1574" s="20" t="str">
        <f t="array" ref="M1574">_xlfn.XLOOKUP(F1574,Metodos_De_Pago[ID_Metodo],Metodos_De_Pago[Metodo])</f>
        <v>Tarjeta de Crédito</v>
      </c>
      <c r="N1574" s="20" t="str">
        <f t="shared" si="2"/>
        <v>2024 03</v>
      </c>
    </row>
    <row r="1575" ht="22.5" customHeight="1">
      <c r="A1575" s="12">
        <f>IFERROR(__xludf.DUMMYFUNCTION("""COMPUTED_VALUE"""),1444.0)</f>
        <v>1444</v>
      </c>
      <c r="B1575" s="13">
        <f>IFERROR(__xludf.DUMMYFUNCTION("""COMPUTED_VALUE"""),45358.0)</f>
        <v>45358</v>
      </c>
      <c r="C1575" s="12">
        <f>IFERROR(__xludf.DUMMYFUNCTION("""COMPUTED_VALUE"""),23.0)</f>
        <v>23</v>
      </c>
      <c r="D1575" s="12">
        <f>IFERROR(__xludf.DUMMYFUNCTION("""COMPUTED_VALUE"""),25.0)</f>
        <v>25</v>
      </c>
      <c r="E1575" s="12">
        <f>IFERROR(__xludf.DUMMYFUNCTION("""COMPUTED_VALUE"""),4.0)</f>
        <v>4</v>
      </c>
      <c r="F1575" s="12">
        <f>IFERROR(__xludf.DUMMYFUNCTION("""COMPUTED_VALUE"""),4.0)</f>
        <v>4</v>
      </c>
      <c r="G1575" s="15" t="str">
        <f>IFERROR(__xludf.DUMMYFUNCTION("""COMPUTED_VALUE"""),"Completa")</f>
        <v>Completa</v>
      </c>
      <c r="H1575" s="16" t="str">
        <f t="array" ref="H1575">_xlfn.XLOOKUP(D1575,Productos[ID_Producto],Productos[Nombre_Producto])</f>
        <v>Pizza congelada</v>
      </c>
      <c r="I1575" s="17">
        <f t="array" ref="I1575">_xlfn.XLOOKUP(D1575,Productos[ID_Producto],Productos[Precio_Unitario])</f>
        <v>15.45</v>
      </c>
      <c r="J1575" s="17">
        <f t="shared" si="1"/>
        <v>61.8</v>
      </c>
      <c r="K1575" s="16" t="str">
        <f t="array" ref="K1575">_xlfn.XLOOKUP(C1575,Clientes[ID_Cliente],Clientes[Provincia])</f>
        <v>Neuquén</v>
      </c>
      <c r="L1575" s="16" t="str">
        <f t="array" ref="L1575">CONCATENATE(_xlfn.XLOOKUP(C1575,Clientes[ID_Cliente],Clientes[Provincia]),", Argentina")</f>
        <v>Neuquén, Argentina</v>
      </c>
      <c r="M1575" s="20" t="str">
        <f t="array" ref="M1575">_xlfn.XLOOKUP(F1575,Metodos_De_Pago[ID_Metodo],Metodos_De_Pago[Metodo])</f>
        <v>Mercado Pago</v>
      </c>
      <c r="N1575" s="20" t="str">
        <f t="shared" si="2"/>
        <v>2024 03</v>
      </c>
    </row>
    <row r="1576" ht="22.5" customHeight="1">
      <c r="A1576" s="12">
        <f>IFERROR(__xludf.DUMMYFUNCTION("""COMPUTED_VALUE"""),2183.0)</f>
        <v>2183</v>
      </c>
      <c r="B1576" s="13">
        <f>IFERROR(__xludf.DUMMYFUNCTION("""COMPUTED_VALUE"""),45358.0)</f>
        <v>45358</v>
      </c>
      <c r="C1576" s="12">
        <f>IFERROR(__xludf.DUMMYFUNCTION("""COMPUTED_VALUE"""),38.0)</f>
        <v>38</v>
      </c>
      <c r="D1576" s="12">
        <f>IFERROR(__xludf.DUMMYFUNCTION("""COMPUTED_VALUE"""),36.0)</f>
        <v>36</v>
      </c>
      <c r="E1576" s="12">
        <f>IFERROR(__xludf.DUMMYFUNCTION("""COMPUTED_VALUE"""),4.0)</f>
        <v>4</v>
      </c>
      <c r="F1576" s="12">
        <f>IFERROR(__xludf.DUMMYFUNCTION("""COMPUTED_VALUE"""),1.0)</f>
        <v>1</v>
      </c>
      <c r="G1576" s="15" t="str">
        <f>IFERROR(__xludf.DUMMYFUNCTION("""COMPUTED_VALUE"""),"Completa")</f>
        <v>Completa</v>
      </c>
      <c r="H1576" s="16" t="str">
        <f t="array" ref="H1576">_xlfn.XLOOKUP(D1576,Productos[ID_Producto],Productos[Nombre_Producto])</f>
        <v>Lentejas</v>
      </c>
      <c r="I1576" s="17">
        <f t="array" ref="I1576">_xlfn.XLOOKUP(D1576,Productos[ID_Producto],Productos[Precio_Unitario])</f>
        <v>3.25</v>
      </c>
      <c r="J1576" s="17">
        <f t="shared" si="1"/>
        <v>13</v>
      </c>
      <c r="K1576" s="16" t="str">
        <f t="array" ref="K1576">_xlfn.XLOOKUP(C1576,Clientes[ID_Cliente],Clientes[Provincia])</f>
        <v>Neuquén</v>
      </c>
      <c r="L1576" s="16" t="str">
        <f t="array" ref="L1576">CONCATENATE(_xlfn.XLOOKUP(C1576,Clientes[ID_Cliente],Clientes[Provincia]),", Argentina")</f>
        <v>Neuquén, Argentina</v>
      </c>
      <c r="M1576" s="20" t="str">
        <f t="array" ref="M1576">_xlfn.XLOOKUP(F1576,Metodos_De_Pago[ID_Metodo],Metodos_De_Pago[Metodo])</f>
        <v>Efectivo</v>
      </c>
      <c r="N1576" s="20" t="str">
        <f t="shared" si="2"/>
        <v>2024 03</v>
      </c>
    </row>
    <row r="1577" ht="22.5" customHeight="1">
      <c r="A1577" s="12">
        <f>IFERROR(__xludf.DUMMYFUNCTION("""COMPUTED_VALUE"""),1463.0)</f>
        <v>1463</v>
      </c>
      <c r="B1577" s="13">
        <f>IFERROR(__xludf.DUMMYFUNCTION("""COMPUTED_VALUE"""),45359.0)</f>
        <v>45359</v>
      </c>
      <c r="C1577" s="12">
        <f>IFERROR(__xludf.DUMMYFUNCTION("""COMPUTED_VALUE"""),299.0)</f>
        <v>299</v>
      </c>
      <c r="D1577" s="12">
        <f>IFERROR(__xludf.DUMMYFUNCTION("""COMPUTED_VALUE"""),17.0)</f>
        <v>17</v>
      </c>
      <c r="E1577" s="12">
        <f>IFERROR(__xludf.DUMMYFUNCTION("""COMPUTED_VALUE"""),4.0)</f>
        <v>4</v>
      </c>
      <c r="F1577" s="12">
        <f>IFERROR(__xludf.DUMMYFUNCTION("""COMPUTED_VALUE"""),2.0)</f>
        <v>2</v>
      </c>
      <c r="G1577" s="15" t="str">
        <f>IFERROR(__xludf.DUMMYFUNCTION("""COMPUTED_VALUE"""),"Completa")</f>
        <v>Completa</v>
      </c>
      <c r="H1577" s="16" t="str">
        <f t="array" ref="H1577">_xlfn.XLOOKUP(D1577,Productos[ID_Producto],Productos[Nombre_Producto])</f>
        <v>Manzanas</v>
      </c>
      <c r="I1577" s="17">
        <f t="array" ref="I1577">_xlfn.XLOOKUP(D1577,Productos[ID_Producto],Productos[Precio_Unitario])</f>
        <v>6.54</v>
      </c>
      <c r="J1577" s="17">
        <f t="shared" si="1"/>
        <v>26.16</v>
      </c>
      <c r="K1577" s="16" t="str">
        <f t="array" ref="K1577">_xlfn.XLOOKUP(C1577,Clientes[ID_Cliente],Clientes[Provincia])</f>
        <v>San Luis</v>
      </c>
      <c r="L1577" s="16" t="str">
        <f t="array" ref="L1577">CONCATENATE(_xlfn.XLOOKUP(C1577,Clientes[ID_Cliente],Clientes[Provincia]),", Argentina")</f>
        <v>San Luis, Argentina</v>
      </c>
      <c r="M1577" s="20" t="str">
        <f t="array" ref="M1577">_xlfn.XLOOKUP(F1577,Metodos_De_Pago[ID_Metodo],Metodos_De_Pago[Metodo])</f>
        <v>Tarjeta de Crédito</v>
      </c>
      <c r="N1577" s="20" t="str">
        <f t="shared" si="2"/>
        <v>2024 03</v>
      </c>
    </row>
    <row r="1578" ht="22.5" customHeight="1">
      <c r="A1578" s="12">
        <f>IFERROR(__xludf.DUMMYFUNCTION("""COMPUTED_VALUE"""),426.0)</f>
        <v>426</v>
      </c>
      <c r="B1578" s="13">
        <f>IFERROR(__xludf.DUMMYFUNCTION("""COMPUTED_VALUE"""),45364.0)</f>
        <v>45364</v>
      </c>
      <c r="C1578" s="12">
        <f>IFERROR(__xludf.DUMMYFUNCTION("""COMPUTED_VALUE"""),100.0)</f>
        <v>100</v>
      </c>
      <c r="D1578" s="12">
        <f>IFERROR(__xludf.DUMMYFUNCTION("""COMPUTED_VALUE"""),17.0)</f>
        <v>17</v>
      </c>
      <c r="E1578" s="12">
        <f>IFERROR(__xludf.DUMMYFUNCTION("""COMPUTED_VALUE"""),4.0)</f>
        <v>4</v>
      </c>
      <c r="F1578" s="12">
        <f>IFERROR(__xludf.DUMMYFUNCTION("""COMPUTED_VALUE"""),4.0)</f>
        <v>4</v>
      </c>
      <c r="G1578" s="15" t="str">
        <f>IFERROR(__xludf.DUMMYFUNCTION("""COMPUTED_VALUE"""),"Completa")</f>
        <v>Completa</v>
      </c>
      <c r="H1578" s="16" t="str">
        <f t="array" ref="H1578">_xlfn.XLOOKUP(D1578,Productos[ID_Producto],Productos[Nombre_Producto])</f>
        <v>Manzanas</v>
      </c>
      <c r="I1578" s="17">
        <f t="array" ref="I1578">_xlfn.XLOOKUP(D1578,Productos[ID_Producto],Productos[Precio_Unitario])</f>
        <v>6.54</v>
      </c>
      <c r="J1578" s="17">
        <f t="shared" si="1"/>
        <v>26.16</v>
      </c>
      <c r="K1578" s="16" t="str">
        <f t="array" ref="K1578">_xlfn.XLOOKUP(C1578,Clientes[ID_Cliente],Clientes[Provincia])</f>
        <v>Chaco</v>
      </c>
      <c r="L1578" s="16" t="str">
        <f t="array" ref="L1578">CONCATENATE(_xlfn.XLOOKUP(C1578,Clientes[ID_Cliente],Clientes[Provincia]),", Argentina")</f>
        <v>Chaco, Argentina</v>
      </c>
      <c r="M1578" s="20" t="str">
        <f t="array" ref="M1578">_xlfn.XLOOKUP(F1578,Metodos_De_Pago[ID_Metodo],Metodos_De_Pago[Metodo])</f>
        <v>Mercado Pago</v>
      </c>
      <c r="N1578" s="20" t="str">
        <f t="shared" si="2"/>
        <v>2024 03</v>
      </c>
    </row>
    <row r="1579" ht="22.5" customHeight="1">
      <c r="A1579" s="12">
        <f>IFERROR(__xludf.DUMMYFUNCTION("""COMPUTED_VALUE"""),756.0)</f>
        <v>756</v>
      </c>
      <c r="B1579" s="13">
        <f>IFERROR(__xludf.DUMMYFUNCTION("""COMPUTED_VALUE"""),45364.0)</f>
        <v>45364</v>
      </c>
      <c r="C1579" s="12">
        <f>IFERROR(__xludf.DUMMYFUNCTION("""COMPUTED_VALUE"""),81.0)</f>
        <v>81</v>
      </c>
      <c r="D1579" s="12">
        <f>IFERROR(__xludf.DUMMYFUNCTION("""COMPUTED_VALUE"""),12.0)</f>
        <v>12</v>
      </c>
      <c r="E1579" s="12">
        <f>IFERROR(__xludf.DUMMYFUNCTION("""COMPUTED_VALUE"""),4.0)</f>
        <v>4</v>
      </c>
      <c r="F1579" s="12">
        <f>IFERROR(__xludf.DUMMYFUNCTION("""COMPUTED_VALUE"""),4.0)</f>
        <v>4</v>
      </c>
      <c r="G1579" s="15" t="str">
        <f>IFERROR(__xludf.DUMMYFUNCTION("""COMPUTED_VALUE"""),"Completa")</f>
        <v>Completa</v>
      </c>
      <c r="H1579" s="16" t="str">
        <f t="array" ref="H1579">_xlfn.XLOOKUP(D1579,Productos[ID_Producto],Productos[Nombre_Producto])</f>
        <v>Pan francés</v>
      </c>
      <c r="I1579" s="17">
        <f t="array" ref="I1579">_xlfn.XLOOKUP(D1579,Productos[ID_Producto],Productos[Precio_Unitario])</f>
        <v>8.12</v>
      </c>
      <c r="J1579" s="17">
        <f t="shared" si="1"/>
        <v>32.48</v>
      </c>
      <c r="K1579" s="16" t="str">
        <f t="array" ref="K1579">_xlfn.XLOOKUP(C1579,Clientes[ID_Cliente],Clientes[Provincia])</f>
        <v>Buenos Aires</v>
      </c>
      <c r="L1579" s="16" t="str">
        <f t="array" ref="L1579">CONCATENATE(_xlfn.XLOOKUP(C1579,Clientes[ID_Cliente],Clientes[Provincia]),", Argentina")</f>
        <v>Buenos Aires, Argentina</v>
      </c>
      <c r="M1579" s="20" t="str">
        <f t="array" ref="M1579">_xlfn.XLOOKUP(F1579,Metodos_De_Pago[ID_Metodo],Metodos_De_Pago[Metodo])</f>
        <v>Mercado Pago</v>
      </c>
      <c r="N1579" s="20" t="str">
        <f t="shared" si="2"/>
        <v>2024 03</v>
      </c>
    </row>
    <row r="1580" ht="22.5" customHeight="1">
      <c r="A1580" s="12">
        <f>IFERROR(__xludf.DUMMYFUNCTION("""COMPUTED_VALUE"""),1601.0)</f>
        <v>1601</v>
      </c>
      <c r="B1580" s="13">
        <f>IFERROR(__xludf.DUMMYFUNCTION("""COMPUTED_VALUE"""),45366.0)</f>
        <v>45366</v>
      </c>
      <c r="C1580" s="12">
        <f>IFERROR(__xludf.DUMMYFUNCTION("""COMPUTED_VALUE"""),313.0)</f>
        <v>313</v>
      </c>
      <c r="D1580" s="12">
        <f>IFERROR(__xludf.DUMMYFUNCTION("""COMPUTED_VALUE"""),34.0)</f>
        <v>34</v>
      </c>
      <c r="E1580" s="12">
        <f>IFERROR(__xludf.DUMMYFUNCTION("""COMPUTED_VALUE"""),4.0)</f>
        <v>4</v>
      </c>
      <c r="F1580" s="12">
        <f>IFERROR(__xludf.DUMMYFUNCTION("""COMPUTED_VALUE"""),1.0)</f>
        <v>1</v>
      </c>
      <c r="G1580" s="15" t="str">
        <f>IFERROR(__xludf.DUMMYFUNCTION("""COMPUTED_VALUE"""),"Completa")</f>
        <v>Completa</v>
      </c>
      <c r="H1580" s="16" t="str">
        <f t="array" ref="H1580">_xlfn.XLOOKUP(D1580,Productos[ID_Producto],Productos[Nombre_Producto])</f>
        <v>Maníes</v>
      </c>
      <c r="I1580" s="17">
        <f t="array" ref="I1580">_xlfn.XLOOKUP(D1580,Productos[ID_Producto],Productos[Precio_Unitario])</f>
        <v>5.45</v>
      </c>
      <c r="J1580" s="17">
        <f t="shared" si="1"/>
        <v>21.8</v>
      </c>
      <c r="K1580" s="16" t="str">
        <f t="array" ref="K1580">_xlfn.XLOOKUP(C1580,Clientes[ID_Cliente],Clientes[Provincia])</f>
        <v>San Luis</v>
      </c>
      <c r="L1580" s="16" t="str">
        <f t="array" ref="L1580">CONCATENATE(_xlfn.XLOOKUP(C1580,Clientes[ID_Cliente],Clientes[Provincia]),", Argentina")</f>
        <v>San Luis, Argentina</v>
      </c>
      <c r="M1580" s="20" t="str">
        <f t="array" ref="M1580">_xlfn.XLOOKUP(F1580,Metodos_De_Pago[ID_Metodo],Metodos_De_Pago[Metodo])</f>
        <v>Efectivo</v>
      </c>
      <c r="N1580" s="20" t="str">
        <f t="shared" si="2"/>
        <v>2024 03</v>
      </c>
    </row>
    <row r="1581" ht="22.5" customHeight="1">
      <c r="A1581" s="12">
        <f>IFERROR(__xludf.DUMMYFUNCTION("""COMPUTED_VALUE"""),2073.0)</f>
        <v>2073</v>
      </c>
      <c r="B1581" s="13">
        <f>IFERROR(__xludf.DUMMYFUNCTION("""COMPUTED_VALUE"""),45366.0)</f>
        <v>45366</v>
      </c>
      <c r="C1581" s="12">
        <f>IFERROR(__xludf.DUMMYFUNCTION("""COMPUTED_VALUE"""),283.0)</f>
        <v>283</v>
      </c>
      <c r="D1581" s="12">
        <f>IFERROR(__xludf.DUMMYFUNCTION("""COMPUTED_VALUE"""),11.0)</f>
        <v>11</v>
      </c>
      <c r="E1581" s="12">
        <f>IFERROR(__xludf.DUMMYFUNCTION("""COMPUTED_VALUE"""),4.0)</f>
        <v>4</v>
      </c>
      <c r="F1581" s="12">
        <f>IFERROR(__xludf.DUMMYFUNCTION("""COMPUTED_VALUE"""),4.0)</f>
        <v>4</v>
      </c>
      <c r="G1581" s="15" t="str">
        <f>IFERROR(__xludf.DUMMYFUNCTION("""COMPUTED_VALUE"""),"Completa")</f>
        <v>Completa</v>
      </c>
      <c r="H1581" s="16" t="str">
        <f t="array" ref="H1581">_xlfn.XLOOKUP(D1581,Productos[ID_Producto],Productos[Nombre_Producto])</f>
        <v>Salchicha</v>
      </c>
      <c r="I1581" s="17">
        <f t="array" ref="I1581">_xlfn.XLOOKUP(D1581,Productos[ID_Producto],Productos[Precio_Unitario])</f>
        <v>11.23</v>
      </c>
      <c r="J1581" s="17">
        <f t="shared" si="1"/>
        <v>44.92</v>
      </c>
      <c r="K1581" s="16" t="str">
        <f t="array" ref="K1581">_xlfn.XLOOKUP(C1581,Clientes[ID_Cliente],Clientes[Provincia])</f>
        <v>Buenos Aires</v>
      </c>
      <c r="L1581" s="16" t="str">
        <f t="array" ref="L1581">CONCATENATE(_xlfn.XLOOKUP(C1581,Clientes[ID_Cliente],Clientes[Provincia]),", Argentina")</f>
        <v>Buenos Aires, Argentina</v>
      </c>
      <c r="M1581" s="20" t="str">
        <f t="array" ref="M1581">_xlfn.XLOOKUP(F1581,Metodos_De_Pago[ID_Metodo],Metodos_De_Pago[Metodo])</f>
        <v>Mercado Pago</v>
      </c>
      <c r="N1581" s="20" t="str">
        <f t="shared" si="2"/>
        <v>2024 03</v>
      </c>
    </row>
    <row r="1582" ht="22.5" customHeight="1">
      <c r="A1582" s="12">
        <f>IFERROR(__xludf.DUMMYFUNCTION("""COMPUTED_VALUE"""),199.0)</f>
        <v>199</v>
      </c>
      <c r="B1582" s="13">
        <f>IFERROR(__xludf.DUMMYFUNCTION("""COMPUTED_VALUE"""),45367.0)</f>
        <v>45367</v>
      </c>
      <c r="C1582" s="12">
        <f>IFERROR(__xludf.DUMMYFUNCTION("""COMPUTED_VALUE"""),226.0)</f>
        <v>226</v>
      </c>
      <c r="D1582" s="12">
        <f>IFERROR(__xludf.DUMMYFUNCTION("""COMPUTED_VALUE"""),30.0)</f>
        <v>30</v>
      </c>
      <c r="E1582" s="12">
        <f>IFERROR(__xludf.DUMMYFUNCTION("""COMPUTED_VALUE"""),4.0)</f>
        <v>4</v>
      </c>
      <c r="F1582" s="12">
        <f>IFERROR(__xludf.DUMMYFUNCTION("""COMPUTED_VALUE"""),4.0)</f>
        <v>4</v>
      </c>
      <c r="G1582" s="15" t="str">
        <f>IFERROR(__xludf.DUMMYFUNCTION("""COMPUTED_VALUE"""),"Pendiente")</f>
        <v>Pendiente</v>
      </c>
      <c r="H1582" s="16" t="str">
        <f t="array" ref="H1582">_xlfn.XLOOKUP(D1582,Productos[ID_Producto],Productos[Nombre_Producto])</f>
        <v>Vino tinto</v>
      </c>
      <c r="I1582" s="17">
        <f t="array" ref="I1582">_xlfn.XLOOKUP(D1582,Productos[ID_Producto],Productos[Precio_Unitario])</f>
        <v>13.54</v>
      </c>
      <c r="J1582" s="17">
        <f t="shared" si="1"/>
        <v>54.16</v>
      </c>
      <c r="K1582" s="16" t="str">
        <f t="array" ref="K1582">_xlfn.XLOOKUP(C1582,Clientes[ID_Cliente],Clientes[Provincia])</f>
        <v>Neuquén</v>
      </c>
      <c r="L1582" s="16" t="str">
        <f t="array" ref="L1582">CONCATENATE(_xlfn.XLOOKUP(C1582,Clientes[ID_Cliente],Clientes[Provincia]),", Argentina")</f>
        <v>Neuquén, Argentina</v>
      </c>
      <c r="M1582" s="20" t="str">
        <f t="array" ref="M1582">_xlfn.XLOOKUP(F1582,Metodos_De_Pago[ID_Metodo],Metodos_De_Pago[Metodo])</f>
        <v>Mercado Pago</v>
      </c>
      <c r="N1582" s="20" t="str">
        <f t="shared" si="2"/>
        <v>2024 03</v>
      </c>
    </row>
    <row r="1583" ht="22.5" customHeight="1">
      <c r="A1583" s="12">
        <f>IFERROR(__xludf.DUMMYFUNCTION("""COMPUTED_VALUE"""),1682.0)</f>
        <v>1682</v>
      </c>
      <c r="B1583" s="13">
        <f>IFERROR(__xludf.DUMMYFUNCTION("""COMPUTED_VALUE"""),45368.0)</f>
        <v>45368</v>
      </c>
      <c r="C1583" s="12">
        <f>IFERROR(__xludf.DUMMYFUNCTION("""COMPUTED_VALUE"""),48.0)</f>
        <v>48</v>
      </c>
      <c r="D1583" s="12">
        <f>IFERROR(__xludf.DUMMYFUNCTION("""COMPUTED_VALUE"""),38.0)</f>
        <v>38</v>
      </c>
      <c r="E1583" s="12">
        <f>IFERROR(__xludf.DUMMYFUNCTION("""COMPUTED_VALUE"""),4.0)</f>
        <v>4</v>
      </c>
      <c r="F1583" s="12">
        <f>IFERROR(__xludf.DUMMYFUNCTION("""COMPUTED_VALUE"""),4.0)</f>
        <v>4</v>
      </c>
      <c r="G1583" s="15" t="str">
        <f>IFERROR(__xludf.DUMMYFUNCTION("""COMPUTED_VALUE"""),"Completa")</f>
        <v>Completa</v>
      </c>
      <c r="H1583" s="16" t="str">
        <f t="array" ref="H1583">_xlfn.XLOOKUP(D1583,Productos[ID_Producto],Productos[Nombre_Producto])</f>
        <v>Atún enlatado</v>
      </c>
      <c r="I1583" s="17">
        <f t="array" ref="I1583">_xlfn.XLOOKUP(D1583,Productos[ID_Producto],Productos[Precio_Unitario])</f>
        <v>6.21</v>
      </c>
      <c r="J1583" s="17">
        <f t="shared" si="1"/>
        <v>24.84</v>
      </c>
      <c r="K1583" s="16" t="str">
        <f t="array" ref="K1583">_xlfn.XLOOKUP(C1583,Clientes[ID_Cliente],Clientes[Provincia])</f>
        <v>Neuquén</v>
      </c>
      <c r="L1583" s="16" t="str">
        <f t="array" ref="L1583">CONCATENATE(_xlfn.XLOOKUP(C1583,Clientes[ID_Cliente],Clientes[Provincia]),", Argentina")</f>
        <v>Neuquén, Argentina</v>
      </c>
      <c r="M1583" s="20" t="str">
        <f t="array" ref="M1583">_xlfn.XLOOKUP(F1583,Metodos_De_Pago[ID_Metodo],Metodos_De_Pago[Metodo])</f>
        <v>Mercado Pago</v>
      </c>
      <c r="N1583" s="20" t="str">
        <f t="shared" si="2"/>
        <v>2024 03</v>
      </c>
    </row>
    <row r="1584" ht="22.5" customHeight="1">
      <c r="A1584" s="12">
        <f>IFERROR(__xludf.DUMMYFUNCTION("""COMPUTED_VALUE"""),1133.0)</f>
        <v>1133</v>
      </c>
      <c r="B1584" s="13">
        <f>IFERROR(__xludf.DUMMYFUNCTION("""COMPUTED_VALUE"""),45369.0)</f>
        <v>45369</v>
      </c>
      <c r="C1584" s="12">
        <f>IFERROR(__xludf.DUMMYFUNCTION("""COMPUTED_VALUE"""),313.0)</f>
        <v>313</v>
      </c>
      <c r="D1584" s="12">
        <f>IFERROR(__xludf.DUMMYFUNCTION("""COMPUTED_VALUE"""),32.0)</f>
        <v>32</v>
      </c>
      <c r="E1584" s="12">
        <f>IFERROR(__xludf.DUMMYFUNCTION("""COMPUTED_VALUE"""),4.0)</f>
        <v>4</v>
      </c>
      <c r="F1584" s="12">
        <f>IFERROR(__xludf.DUMMYFUNCTION("""COMPUTED_VALUE"""),5.0)</f>
        <v>5</v>
      </c>
      <c r="G1584" s="15" t="str">
        <f>IFERROR(__xludf.DUMMYFUNCTION("""COMPUTED_VALUE"""),"Completa")</f>
        <v>Completa</v>
      </c>
      <c r="H1584" s="16" t="str">
        <f t="array" ref="H1584">_xlfn.XLOOKUP(D1584,Productos[ID_Producto],Productos[Nombre_Producto])</f>
        <v>Galletitas de chocolate</v>
      </c>
      <c r="I1584" s="17">
        <f t="array" ref="I1584">_xlfn.XLOOKUP(D1584,Productos[ID_Producto],Productos[Precio_Unitario])</f>
        <v>6.25</v>
      </c>
      <c r="J1584" s="17">
        <f t="shared" si="1"/>
        <v>25</v>
      </c>
      <c r="K1584" s="16" t="str">
        <f t="array" ref="K1584">_xlfn.XLOOKUP(C1584,Clientes[ID_Cliente],Clientes[Provincia])</f>
        <v>San Luis</v>
      </c>
      <c r="L1584" s="16" t="str">
        <f t="array" ref="L1584">CONCATENATE(_xlfn.XLOOKUP(C1584,Clientes[ID_Cliente],Clientes[Provincia]),", Argentina")</f>
        <v>San Luis, Argentina</v>
      </c>
      <c r="M1584" s="20" t="str">
        <f t="array" ref="M1584">_xlfn.XLOOKUP(F1584,Metodos_De_Pago[ID_Metodo],Metodos_De_Pago[Metodo])</f>
        <v>Transferencia</v>
      </c>
      <c r="N1584" s="20" t="str">
        <f t="shared" si="2"/>
        <v>2024 03</v>
      </c>
    </row>
    <row r="1585" ht="22.5" customHeight="1">
      <c r="A1585" s="12">
        <f>IFERROR(__xludf.DUMMYFUNCTION("""COMPUTED_VALUE"""),1874.0)</f>
        <v>1874</v>
      </c>
      <c r="B1585" s="13">
        <f>IFERROR(__xludf.DUMMYFUNCTION("""COMPUTED_VALUE"""),45370.0)</f>
        <v>45370</v>
      </c>
      <c r="C1585" s="12">
        <f>IFERROR(__xludf.DUMMYFUNCTION("""COMPUTED_VALUE"""),92.0)</f>
        <v>92</v>
      </c>
      <c r="D1585" s="12">
        <f>IFERROR(__xludf.DUMMYFUNCTION("""COMPUTED_VALUE"""),15.0)</f>
        <v>15</v>
      </c>
      <c r="E1585" s="12">
        <f>IFERROR(__xludf.DUMMYFUNCTION("""COMPUTED_VALUE"""),4.0)</f>
        <v>4</v>
      </c>
      <c r="F1585" s="12">
        <f>IFERROR(__xludf.DUMMYFUNCTION("""COMPUTED_VALUE"""),3.0)</f>
        <v>3</v>
      </c>
      <c r="G1585" s="15" t="str">
        <f>IFERROR(__xludf.DUMMYFUNCTION("""COMPUTED_VALUE"""),"Completa")</f>
        <v>Completa</v>
      </c>
      <c r="H1585" s="16" t="str">
        <f t="array" ref="H1585">_xlfn.XLOOKUP(D1585,Productos[ID_Producto],Productos[Nombre_Producto])</f>
        <v>Medialunas</v>
      </c>
      <c r="I1585" s="17">
        <f t="array" ref="I1585">_xlfn.XLOOKUP(D1585,Productos[ID_Producto],Productos[Precio_Unitario])</f>
        <v>3.51</v>
      </c>
      <c r="J1585" s="17">
        <f t="shared" si="1"/>
        <v>14.04</v>
      </c>
      <c r="K1585" s="16" t="str">
        <f t="array" ref="K1585">_xlfn.XLOOKUP(C1585,Clientes[ID_Cliente],Clientes[Provincia])</f>
        <v>Neuquén</v>
      </c>
      <c r="L1585" s="16" t="str">
        <f t="array" ref="L1585">CONCATENATE(_xlfn.XLOOKUP(C1585,Clientes[ID_Cliente],Clientes[Provincia]),", Argentina")</f>
        <v>Neuquén, Argentina</v>
      </c>
      <c r="M1585" s="20" t="str">
        <f t="array" ref="M1585">_xlfn.XLOOKUP(F1585,Metodos_De_Pago[ID_Metodo],Metodos_De_Pago[Metodo])</f>
        <v>Tarjeta de Débito</v>
      </c>
      <c r="N1585" s="20" t="str">
        <f t="shared" si="2"/>
        <v>2024 03</v>
      </c>
    </row>
    <row r="1586" ht="22.5" customHeight="1">
      <c r="A1586" s="12">
        <f>IFERROR(__xludf.DUMMYFUNCTION("""COMPUTED_VALUE"""),2112.0)</f>
        <v>2112</v>
      </c>
      <c r="B1586" s="13">
        <f>IFERROR(__xludf.DUMMYFUNCTION("""COMPUTED_VALUE"""),45370.0)</f>
        <v>45370</v>
      </c>
      <c r="C1586" s="12">
        <f>IFERROR(__xludf.DUMMYFUNCTION("""COMPUTED_VALUE"""),119.0)</f>
        <v>119</v>
      </c>
      <c r="D1586" s="12">
        <f>IFERROR(__xludf.DUMMYFUNCTION("""COMPUTED_VALUE"""),22.0)</f>
        <v>22</v>
      </c>
      <c r="E1586" s="12">
        <f>IFERROR(__xludf.DUMMYFUNCTION("""COMPUTED_VALUE"""),4.0)</f>
        <v>4</v>
      </c>
      <c r="F1586" s="12">
        <f>IFERROR(__xludf.DUMMYFUNCTION("""COMPUTED_VALUE"""),2.0)</f>
        <v>2</v>
      </c>
      <c r="G1586" s="15" t="str">
        <f>IFERROR(__xludf.DUMMYFUNCTION("""COMPUTED_VALUE"""),"Pendiente")</f>
        <v>Pendiente</v>
      </c>
      <c r="H1586" s="16" t="str">
        <f t="array" ref="H1586">_xlfn.XLOOKUP(D1586,Productos[ID_Producto],Productos[Nombre_Producto])</f>
        <v>Cebolla</v>
      </c>
      <c r="I1586" s="17">
        <f t="array" ref="I1586">_xlfn.XLOOKUP(D1586,Productos[ID_Producto],Productos[Precio_Unitario])</f>
        <v>4.21</v>
      </c>
      <c r="J1586" s="17">
        <f t="shared" si="1"/>
        <v>16.84</v>
      </c>
      <c r="K1586" s="16" t="str">
        <f t="array" ref="K1586">_xlfn.XLOOKUP(C1586,Clientes[ID_Cliente],Clientes[Provincia])</f>
        <v>Neuquén</v>
      </c>
      <c r="L1586" s="16" t="str">
        <f t="array" ref="L1586">CONCATENATE(_xlfn.XLOOKUP(C1586,Clientes[ID_Cliente],Clientes[Provincia]),", Argentina")</f>
        <v>Neuquén, Argentina</v>
      </c>
      <c r="M1586" s="20" t="str">
        <f t="array" ref="M1586">_xlfn.XLOOKUP(F1586,Metodos_De_Pago[ID_Metodo],Metodos_De_Pago[Metodo])</f>
        <v>Tarjeta de Crédito</v>
      </c>
      <c r="N1586" s="20" t="str">
        <f t="shared" si="2"/>
        <v>2024 03</v>
      </c>
    </row>
    <row r="1587" ht="22.5" customHeight="1">
      <c r="A1587" s="12">
        <f>IFERROR(__xludf.DUMMYFUNCTION("""COMPUTED_VALUE"""),2563.0)</f>
        <v>2563</v>
      </c>
      <c r="B1587" s="13">
        <f>IFERROR(__xludf.DUMMYFUNCTION("""COMPUTED_VALUE"""),45370.0)</f>
        <v>45370</v>
      </c>
      <c r="C1587" s="12">
        <f>IFERROR(__xludf.DUMMYFUNCTION("""COMPUTED_VALUE"""),99.0)</f>
        <v>99</v>
      </c>
      <c r="D1587" s="12">
        <f>IFERROR(__xludf.DUMMYFUNCTION("""COMPUTED_VALUE"""),15.0)</f>
        <v>15</v>
      </c>
      <c r="E1587" s="12">
        <f>IFERROR(__xludf.DUMMYFUNCTION("""COMPUTED_VALUE"""),4.0)</f>
        <v>4</v>
      </c>
      <c r="F1587" s="12">
        <f>IFERROR(__xludf.DUMMYFUNCTION("""COMPUTED_VALUE"""),4.0)</f>
        <v>4</v>
      </c>
      <c r="G1587" s="15" t="str">
        <f>IFERROR(__xludf.DUMMYFUNCTION("""COMPUTED_VALUE"""),"Completa")</f>
        <v>Completa</v>
      </c>
      <c r="H1587" s="16" t="str">
        <f t="array" ref="H1587">_xlfn.XLOOKUP(D1587,Productos[ID_Producto],Productos[Nombre_Producto])</f>
        <v>Medialunas</v>
      </c>
      <c r="I1587" s="17">
        <f t="array" ref="I1587">_xlfn.XLOOKUP(D1587,Productos[ID_Producto],Productos[Precio_Unitario])</f>
        <v>3.51</v>
      </c>
      <c r="J1587" s="17">
        <f t="shared" si="1"/>
        <v>14.04</v>
      </c>
      <c r="K1587" s="16" t="str">
        <f t="array" ref="K1587">_xlfn.XLOOKUP(C1587,Clientes[ID_Cliente],Clientes[Provincia])</f>
        <v>Buenos Aires</v>
      </c>
      <c r="L1587" s="16" t="str">
        <f t="array" ref="L1587">CONCATENATE(_xlfn.XLOOKUP(C1587,Clientes[ID_Cliente],Clientes[Provincia]),", Argentina")</f>
        <v>Buenos Aires, Argentina</v>
      </c>
      <c r="M1587" s="20" t="str">
        <f t="array" ref="M1587">_xlfn.XLOOKUP(F1587,Metodos_De_Pago[ID_Metodo],Metodos_De_Pago[Metodo])</f>
        <v>Mercado Pago</v>
      </c>
      <c r="N1587" s="20" t="str">
        <f t="shared" si="2"/>
        <v>2024 03</v>
      </c>
    </row>
    <row r="1588" ht="22.5" customHeight="1">
      <c r="A1588" s="12">
        <f>IFERROR(__xludf.DUMMYFUNCTION("""COMPUTED_VALUE"""),118.0)</f>
        <v>118</v>
      </c>
      <c r="B1588" s="13">
        <f>IFERROR(__xludf.DUMMYFUNCTION("""COMPUTED_VALUE"""),45371.0)</f>
        <v>45371</v>
      </c>
      <c r="C1588" s="12">
        <f>IFERROR(__xludf.DUMMYFUNCTION("""COMPUTED_VALUE"""),26.0)</f>
        <v>26</v>
      </c>
      <c r="D1588" s="12">
        <f>IFERROR(__xludf.DUMMYFUNCTION("""COMPUTED_VALUE"""),25.0)</f>
        <v>25</v>
      </c>
      <c r="E1588" s="12">
        <f>IFERROR(__xludf.DUMMYFUNCTION("""COMPUTED_VALUE"""),4.0)</f>
        <v>4</v>
      </c>
      <c r="F1588" s="12">
        <f>IFERROR(__xludf.DUMMYFUNCTION("""COMPUTED_VALUE"""),5.0)</f>
        <v>5</v>
      </c>
      <c r="G1588" s="15" t="str">
        <f>IFERROR(__xludf.DUMMYFUNCTION("""COMPUTED_VALUE"""),"Completa")</f>
        <v>Completa</v>
      </c>
      <c r="H1588" s="16" t="str">
        <f t="array" ref="H1588">_xlfn.XLOOKUP(D1588,Productos[ID_Producto],Productos[Nombre_Producto])</f>
        <v>Pizza congelada</v>
      </c>
      <c r="I1588" s="17">
        <f t="array" ref="I1588">_xlfn.XLOOKUP(D1588,Productos[ID_Producto],Productos[Precio_Unitario])</f>
        <v>15.45</v>
      </c>
      <c r="J1588" s="17">
        <f t="shared" si="1"/>
        <v>61.8</v>
      </c>
      <c r="K1588" s="16" t="str">
        <f t="array" ref="K1588">_xlfn.XLOOKUP(C1588,Clientes[ID_Cliente],Clientes[Provincia])</f>
        <v>Córdoba</v>
      </c>
      <c r="L1588" s="16" t="str">
        <f t="array" ref="L1588">CONCATENATE(_xlfn.XLOOKUP(C1588,Clientes[ID_Cliente],Clientes[Provincia]),", Argentina")</f>
        <v>Córdoba, Argentina</v>
      </c>
      <c r="M1588" s="20" t="str">
        <f t="array" ref="M1588">_xlfn.XLOOKUP(F1588,Metodos_De_Pago[ID_Metodo],Metodos_De_Pago[Metodo])</f>
        <v>Transferencia</v>
      </c>
      <c r="N1588" s="20" t="str">
        <f t="shared" si="2"/>
        <v>2024 03</v>
      </c>
    </row>
    <row r="1589" ht="22.5" customHeight="1">
      <c r="A1589" s="12">
        <f>IFERROR(__xludf.DUMMYFUNCTION("""COMPUTED_VALUE"""),2720.0)</f>
        <v>2720</v>
      </c>
      <c r="B1589" s="13">
        <f>IFERROR(__xludf.DUMMYFUNCTION("""COMPUTED_VALUE"""),45371.0)</f>
        <v>45371</v>
      </c>
      <c r="C1589" s="12">
        <f>IFERROR(__xludf.DUMMYFUNCTION("""COMPUTED_VALUE"""),145.0)</f>
        <v>145</v>
      </c>
      <c r="D1589" s="12">
        <f>IFERROR(__xludf.DUMMYFUNCTION("""COMPUTED_VALUE"""),7.0)</f>
        <v>7</v>
      </c>
      <c r="E1589" s="12">
        <f>IFERROR(__xludf.DUMMYFUNCTION("""COMPUTED_VALUE"""),4.0)</f>
        <v>4</v>
      </c>
      <c r="F1589" s="12">
        <f>IFERROR(__xludf.DUMMYFUNCTION("""COMPUTED_VALUE"""),3.0)</f>
        <v>3</v>
      </c>
      <c r="G1589" s="15" t="str">
        <f>IFERROR(__xludf.DUMMYFUNCTION("""COMPUTED_VALUE"""),"Completa")</f>
        <v>Completa</v>
      </c>
      <c r="H1589" s="16" t="str">
        <f t="array" ref="H1589">_xlfn.XLOOKUP(D1589,Productos[ID_Producto],Productos[Nombre_Producto])</f>
        <v>Chorizo</v>
      </c>
      <c r="I1589" s="17">
        <f t="array" ref="I1589">_xlfn.XLOOKUP(D1589,Productos[ID_Producto],Productos[Precio_Unitario])</f>
        <v>11.25</v>
      </c>
      <c r="J1589" s="17">
        <f t="shared" si="1"/>
        <v>45</v>
      </c>
      <c r="K1589" s="16" t="str">
        <f t="array" ref="K1589">_xlfn.XLOOKUP(C1589,Clientes[ID_Cliente],Clientes[Provincia])</f>
        <v>Buenos Aires</v>
      </c>
      <c r="L1589" s="16" t="str">
        <f t="array" ref="L1589">CONCATENATE(_xlfn.XLOOKUP(C1589,Clientes[ID_Cliente],Clientes[Provincia]),", Argentina")</f>
        <v>Buenos Aires, Argentina</v>
      </c>
      <c r="M1589" s="20" t="str">
        <f t="array" ref="M1589">_xlfn.XLOOKUP(F1589,Metodos_De_Pago[ID_Metodo],Metodos_De_Pago[Metodo])</f>
        <v>Tarjeta de Débito</v>
      </c>
      <c r="N1589" s="20" t="str">
        <f t="shared" si="2"/>
        <v>2024 03</v>
      </c>
    </row>
    <row r="1590" ht="22.5" customHeight="1">
      <c r="A1590" s="12">
        <f>IFERROR(__xludf.DUMMYFUNCTION("""COMPUTED_VALUE"""),1210.0)</f>
        <v>1210</v>
      </c>
      <c r="B1590" s="13">
        <f>IFERROR(__xludf.DUMMYFUNCTION("""COMPUTED_VALUE"""),45373.0)</f>
        <v>45373</v>
      </c>
      <c r="C1590" s="12">
        <f>IFERROR(__xludf.DUMMYFUNCTION("""COMPUTED_VALUE"""),266.0)</f>
        <v>266</v>
      </c>
      <c r="D1590" s="12">
        <f>IFERROR(__xludf.DUMMYFUNCTION("""COMPUTED_VALUE"""),6.0)</f>
        <v>6</v>
      </c>
      <c r="E1590" s="12">
        <f>IFERROR(__xludf.DUMMYFUNCTION("""COMPUTED_VALUE"""),4.0)</f>
        <v>4</v>
      </c>
      <c r="F1590" s="12">
        <f>IFERROR(__xludf.DUMMYFUNCTION("""COMPUTED_VALUE"""),5.0)</f>
        <v>5</v>
      </c>
      <c r="G1590" s="15" t="str">
        <f>IFERROR(__xludf.DUMMYFUNCTION("""COMPUTED_VALUE"""),"Completa")</f>
        <v>Completa</v>
      </c>
      <c r="H1590" s="16" t="str">
        <f t="array" ref="H1590">_xlfn.XLOOKUP(D1590,Productos[ID_Producto],Productos[Nombre_Producto])</f>
        <v>Asado</v>
      </c>
      <c r="I1590" s="17">
        <f t="array" ref="I1590">_xlfn.XLOOKUP(D1590,Productos[ID_Producto],Productos[Precio_Unitario])</f>
        <v>28.56</v>
      </c>
      <c r="J1590" s="17">
        <f t="shared" si="1"/>
        <v>114.24</v>
      </c>
      <c r="K1590" s="16" t="str">
        <f t="array" ref="K1590">_xlfn.XLOOKUP(C1590,Clientes[ID_Cliente],Clientes[Provincia])</f>
        <v>Buenos Aires</v>
      </c>
      <c r="L1590" s="16" t="str">
        <f t="array" ref="L1590">CONCATENATE(_xlfn.XLOOKUP(C1590,Clientes[ID_Cliente],Clientes[Provincia]),", Argentina")</f>
        <v>Buenos Aires, Argentina</v>
      </c>
      <c r="M1590" s="20" t="str">
        <f t="array" ref="M1590">_xlfn.XLOOKUP(F1590,Metodos_De_Pago[ID_Metodo],Metodos_De_Pago[Metodo])</f>
        <v>Transferencia</v>
      </c>
      <c r="N1590" s="20" t="str">
        <f t="shared" si="2"/>
        <v>2024 03</v>
      </c>
    </row>
    <row r="1591" ht="22.5" customHeight="1">
      <c r="A1591" s="12">
        <f>IFERROR(__xludf.DUMMYFUNCTION("""COMPUTED_VALUE"""),1504.0)</f>
        <v>1504</v>
      </c>
      <c r="B1591" s="13">
        <f>IFERROR(__xludf.DUMMYFUNCTION("""COMPUTED_VALUE"""),45373.0)</f>
        <v>45373</v>
      </c>
      <c r="C1591" s="12">
        <f>IFERROR(__xludf.DUMMYFUNCTION("""COMPUTED_VALUE"""),168.0)</f>
        <v>168</v>
      </c>
      <c r="D1591" s="12">
        <f>IFERROR(__xludf.DUMMYFUNCTION("""COMPUTED_VALUE"""),3.0)</f>
        <v>3</v>
      </c>
      <c r="E1591" s="12">
        <f>IFERROR(__xludf.DUMMYFUNCTION("""COMPUTED_VALUE"""),4.0)</f>
        <v>4</v>
      </c>
      <c r="F1591" s="12">
        <f>IFERROR(__xludf.DUMMYFUNCTION("""COMPUTED_VALUE"""),4.0)</f>
        <v>4</v>
      </c>
      <c r="G1591" s="15" t="str">
        <f>IFERROR(__xludf.DUMMYFUNCTION("""COMPUTED_VALUE"""),"Completa")</f>
        <v>Completa</v>
      </c>
      <c r="H1591" s="16" t="str">
        <f t="array" ref="H1591">_xlfn.XLOOKUP(D1591,Productos[ID_Producto],Productos[Nombre_Producto])</f>
        <v>Queso cremoso</v>
      </c>
      <c r="I1591" s="17">
        <f t="array" ref="I1591">_xlfn.XLOOKUP(D1591,Productos[ID_Producto],Productos[Precio_Unitario])</f>
        <v>17.23</v>
      </c>
      <c r="J1591" s="17">
        <f t="shared" si="1"/>
        <v>68.92</v>
      </c>
      <c r="K1591" s="16" t="str">
        <f t="array" ref="K1591">_xlfn.XLOOKUP(C1591,Clientes[ID_Cliente],Clientes[Provincia])</f>
        <v>Córdoba</v>
      </c>
      <c r="L1591" s="16" t="str">
        <f t="array" ref="L1591">CONCATENATE(_xlfn.XLOOKUP(C1591,Clientes[ID_Cliente],Clientes[Provincia]),", Argentina")</f>
        <v>Córdoba, Argentina</v>
      </c>
      <c r="M1591" s="20" t="str">
        <f t="array" ref="M1591">_xlfn.XLOOKUP(F1591,Metodos_De_Pago[ID_Metodo],Metodos_De_Pago[Metodo])</f>
        <v>Mercado Pago</v>
      </c>
      <c r="N1591" s="20" t="str">
        <f t="shared" si="2"/>
        <v>2024 03</v>
      </c>
    </row>
    <row r="1592" ht="22.5" customHeight="1">
      <c r="A1592" s="12">
        <f>IFERROR(__xludf.DUMMYFUNCTION("""COMPUTED_VALUE"""),1773.0)</f>
        <v>1773</v>
      </c>
      <c r="B1592" s="13">
        <f>IFERROR(__xludf.DUMMYFUNCTION("""COMPUTED_VALUE"""),45373.0)</f>
        <v>45373</v>
      </c>
      <c r="C1592" s="12">
        <f>IFERROR(__xludf.DUMMYFUNCTION("""COMPUTED_VALUE"""),88.0)</f>
        <v>88</v>
      </c>
      <c r="D1592" s="12">
        <f>IFERROR(__xludf.DUMMYFUNCTION("""COMPUTED_VALUE"""),25.0)</f>
        <v>25</v>
      </c>
      <c r="E1592" s="12">
        <f>IFERROR(__xludf.DUMMYFUNCTION("""COMPUTED_VALUE"""),4.0)</f>
        <v>4</v>
      </c>
      <c r="F1592" s="12">
        <f>IFERROR(__xludf.DUMMYFUNCTION("""COMPUTED_VALUE"""),5.0)</f>
        <v>5</v>
      </c>
      <c r="G1592" s="15" t="str">
        <f>IFERROR(__xludf.DUMMYFUNCTION("""COMPUTED_VALUE"""),"Completa")</f>
        <v>Completa</v>
      </c>
      <c r="H1592" s="16" t="str">
        <f t="array" ref="H1592">_xlfn.XLOOKUP(D1592,Productos[ID_Producto],Productos[Nombre_Producto])</f>
        <v>Pizza congelada</v>
      </c>
      <c r="I1592" s="17">
        <f t="array" ref="I1592">_xlfn.XLOOKUP(D1592,Productos[ID_Producto],Productos[Precio_Unitario])</f>
        <v>15.45</v>
      </c>
      <c r="J1592" s="17">
        <f t="shared" si="1"/>
        <v>61.8</v>
      </c>
      <c r="K1592" s="16" t="str">
        <f t="array" ref="K1592">_xlfn.XLOOKUP(C1592,Clientes[ID_Cliente],Clientes[Provincia])</f>
        <v>Neuquén</v>
      </c>
      <c r="L1592" s="16" t="str">
        <f t="array" ref="L1592">CONCATENATE(_xlfn.XLOOKUP(C1592,Clientes[ID_Cliente],Clientes[Provincia]),", Argentina")</f>
        <v>Neuquén, Argentina</v>
      </c>
      <c r="M1592" s="20" t="str">
        <f t="array" ref="M1592">_xlfn.XLOOKUP(F1592,Metodos_De_Pago[ID_Metodo],Metodos_De_Pago[Metodo])</f>
        <v>Transferencia</v>
      </c>
      <c r="N1592" s="20" t="str">
        <f t="shared" si="2"/>
        <v>2024 03</v>
      </c>
    </row>
    <row r="1593" ht="22.5" customHeight="1">
      <c r="A1593" s="12">
        <f>IFERROR(__xludf.DUMMYFUNCTION("""COMPUTED_VALUE"""),2251.0)</f>
        <v>2251</v>
      </c>
      <c r="B1593" s="13">
        <f>IFERROR(__xludf.DUMMYFUNCTION("""COMPUTED_VALUE"""),45373.0)</f>
        <v>45373</v>
      </c>
      <c r="C1593" s="12">
        <f>IFERROR(__xludf.DUMMYFUNCTION("""COMPUTED_VALUE"""),238.0)</f>
        <v>238</v>
      </c>
      <c r="D1593" s="12">
        <f>IFERROR(__xludf.DUMMYFUNCTION("""COMPUTED_VALUE"""),36.0)</f>
        <v>36</v>
      </c>
      <c r="E1593" s="12">
        <f>IFERROR(__xludf.DUMMYFUNCTION("""COMPUTED_VALUE"""),4.0)</f>
        <v>4</v>
      </c>
      <c r="F1593" s="12">
        <f>IFERROR(__xludf.DUMMYFUNCTION("""COMPUTED_VALUE"""),5.0)</f>
        <v>5</v>
      </c>
      <c r="G1593" s="15" t="str">
        <f>IFERROR(__xludf.DUMMYFUNCTION("""COMPUTED_VALUE"""),"Completa")</f>
        <v>Completa</v>
      </c>
      <c r="H1593" s="16" t="str">
        <f t="array" ref="H1593">_xlfn.XLOOKUP(D1593,Productos[ID_Producto],Productos[Nombre_Producto])</f>
        <v>Lentejas</v>
      </c>
      <c r="I1593" s="17">
        <f t="array" ref="I1593">_xlfn.XLOOKUP(D1593,Productos[ID_Producto],Productos[Precio_Unitario])</f>
        <v>3.25</v>
      </c>
      <c r="J1593" s="17">
        <f t="shared" si="1"/>
        <v>13</v>
      </c>
      <c r="K1593" s="16" t="str">
        <f t="array" ref="K1593">_xlfn.XLOOKUP(C1593,Clientes[ID_Cliente],Clientes[Provincia])</f>
        <v>Buenos Aires</v>
      </c>
      <c r="L1593" s="16" t="str">
        <f t="array" ref="L1593">CONCATENATE(_xlfn.XLOOKUP(C1593,Clientes[ID_Cliente],Clientes[Provincia]),", Argentina")</f>
        <v>Buenos Aires, Argentina</v>
      </c>
      <c r="M1593" s="20" t="str">
        <f t="array" ref="M1593">_xlfn.XLOOKUP(F1593,Metodos_De_Pago[ID_Metodo],Metodos_De_Pago[Metodo])</f>
        <v>Transferencia</v>
      </c>
      <c r="N1593" s="20" t="str">
        <f t="shared" si="2"/>
        <v>2024 03</v>
      </c>
    </row>
    <row r="1594" ht="22.5" customHeight="1">
      <c r="A1594" s="12">
        <f>IFERROR(__xludf.DUMMYFUNCTION("""COMPUTED_VALUE"""),1814.0)</f>
        <v>1814</v>
      </c>
      <c r="B1594" s="13">
        <f>IFERROR(__xludf.DUMMYFUNCTION("""COMPUTED_VALUE"""),45374.0)</f>
        <v>45374</v>
      </c>
      <c r="C1594" s="12">
        <f>IFERROR(__xludf.DUMMYFUNCTION("""COMPUTED_VALUE"""),175.0)</f>
        <v>175</v>
      </c>
      <c r="D1594" s="12">
        <f>IFERROR(__xludf.DUMMYFUNCTION("""COMPUTED_VALUE"""),4.0)</f>
        <v>4</v>
      </c>
      <c r="E1594" s="12">
        <f>IFERROR(__xludf.DUMMYFUNCTION("""COMPUTED_VALUE"""),4.0)</f>
        <v>4</v>
      </c>
      <c r="F1594" s="12">
        <f>IFERROR(__xludf.DUMMYFUNCTION("""COMPUTED_VALUE"""),1.0)</f>
        <v>1</v>
      </c>
      <c r="G1594" s="15" t="str">
        <f>IFERROR(__xludf.DUMMYFUNCTION("""COMPUTED_VALUE"""),"Completa")</f>
        <v>Completa</v>
      </c>
      <c r="H1594" s="16" t="str">
        <f t="array" ref="H1594">_xlfn.XLOOKUP(D1594,Productos[ID_Producto],Productos[Nombre_Producto])</f>
        <v>Queso rallado</v>
      </c>
      <c r="I1594" s="17">
        <f t="array" ref="I1594">_xlfn.XLOOKUP(D1594,Productos[ID_Producto],Productos[Precio_Unitario])</f>
        <v>19.23</v>
      </c>
      <c r="J1594" s="17">
        <f t="shared" si="1"/>
        <v>76.92</v>
      </c>
      <c r="K1594" s="16" t="str">
        <f t="array" ref="K1594">_xlfn.XLOOKUP(C1594,Clientes[ID_Cliente],Clientes[Provincia])</f>
        <v>Buenos Aires</v>
      </c>
      <c r="L1594" s="16" t="str">
        <f t="array" ref="L1594">CONCATENATE(_xlfn.XLOOKUP(C1594,Clientes[ID_Cliente],Clientes[Provincia]),", Argentina")</f>
        <v>Buenos Aires, Argentina</v>
      </c>
      <c r="M1594" s="20" t="str">
        <f t="array" ref="M1594">_xlfn.XLOOKUP(F1594,Metodos_De_Pago[ID_Metodo],Metodos_De_Pago[Metodo])</f>
        <v>Efectivo</v>
      </c>
      <c r="N1594" s="20" t="str">
        <f t="shared" si="2"/>
        <v>2024 03</v>
      </c>
    </row>
    <row r="1595" ht="22.5" customHeight="1">
      <c r="A1595" s="12">
        <f>IFERROR(__xludf.DUMMYFUNCTION("""COMPUTED_VALUE"""),2008.0)</f>
        <v>2008</v>
      </c>
      <c r="B1595" s="13">
        <f>IFERROR(__xludf.DUMMYFUNCTION("""COMPUTED_VALUE"""),45375.0)</f>
        <v>45375</v>
      </c>
      <c r="C1595" s="12">
        <f>IFERROR(__xludf.DUMMYFUNCTION("""COMPUTED_VALUE"""),162.0)</f>
        <v>162</v>
      </c>
      <c r="D1595" s="12">
        <f>IFERROR(__xludf.DUMMYFUNCTION("""COMPUTED_VALUE"""),15.0)</f>
        <v>15</v>
      </c>
      <c r="E1595" s="12">
        <f>IFERROR(__xludf.DUMMYFUNCTION("""COMPUTED_VALUE"""),4.0)</f>
        <v>4</v>
      </c>
      <c r="F1595" s="12">
        <f>IFERROR(__xludf.DUMMYFUNCTION("""COMPUTED_VALUE"""),4.0)</f>
        <v>4</v>
      </c>
      <c r="G1595" s="15" t="str">
        <f>IFERROR(__xludf.DUMMYFUNCTION("""COMPUTED_VALUE"""),"Completa")</f>
        <v>Completa</v>
      </c>
      <c r="H1595" s="16" t="str">
        <f t="array" ref="H1595">_xlfn.XLOOKUP(D1595,Productos[ID_Producto],Productos[Nombre_Producto])</f>
        <v>Medialunas</v>
      </c>
      <c r="I1595" s="17">
        <f t="array" ref="I1595">_xlfn.XLOOKUP(D1595,Productos[ID_Producto],Productos[Precio_Unitario])</f>
        <v>3.51</v>
      </c>
      <c r="J1595" s="17">
        <f t="shared" si="1"/>
        <v>14.04</v>
      </c>
      <c r="K1595" s="16" t="str">
        <f t="array" ref="K1595">_xlfn.XLOOKUP(C1595,Clientes[ID_Cliente],Clientes[Provincia])</f>
        <v>Neuquén</v>
      </c>
      <c r="L1595" s="16" t="str">
        <f t="array" ref="L1595">CONCATENATE(_xlfn.XLOOKUP(C1595,Clientes[ID_Cliente],Clientes[Provincia]),", Argentina")</f>
        <v>Neuquén, Argentina</v>
      </c>
      <c r="M1595" s="20" t="str">
        <f t="array" ref="M1595">_xlfn.XLOOKUP(F1595,Metodos_De_Pago[ID_Metodo],Metodos_De_Pago[Metodo])</f>
        <v>Mercado Pago</v>
      </c>
      <c r="N1595" s="20" t="str">
        <f t="shared" si="2"/>
        <v>2024 03</v>
      </c>
    </row>
    <row r="1596" ht="22.5" customHeight="1">
      <c r="A1596" s="12">
        <f>IFERROR(__xludf.DUMMYFUNCTION("""COMPUTED_VALUE"""),464.0)</f>
        <v>464</v>
      </c>
      <c r="B1596" s="13">
        <f>IFERROR(__xludf.DUMMYFUNCTION("""COMPUTED_VALUE"""),45377.0)</f>
        <v>45377</v>
      </c>
      <c r="C1596" s="12">
        <f>IFERROR(__xludf.DUMMYFUNCTION("""COMPUTED_VALUE"""),323.0)</f>
        <v>323</v>
      </c>
      <c r="D1596" s="12">
        <f>IFERROR(__xludf.DUMMYFUNCTION("""COMPUTED_VALUE"""),5.0)</f>
        <v>5</v>
      </c>
      <c r="E1596" s="12">
        <f>IFERROR(__xludf.DUMMYFUNCTION("""COMPUTED_VALUE"""),4.0)</f>
        <v>4</v>
      </c>
      <c r="F1596" s="12">
        <f>IFERROR(__xludf.DUMMYFUNCTION("""COMPUTED_VALUE"""),4.0)</f>
        <v>4</v>
      </c>
      <c r="G1596" s="15" t="str">
        <f>IFERROR(__xludf.DUMMYFUNCTION("""COMPUTED_VALUE"""),"Completa")</f>
        <v>Completa</v>
      </c>
      <c r="H1596" s="16" t="str">
        <f t="array" ref="H1596">_xlfn.XLOOKUP(D1596,Productos[ID_Producto],Productos[Nombre_Producto])</f>
        <v>Manteca</v>
      </c>
      <c r="I1596" s="17">
        <f t="array" ref="I1596">_xlfn.XLOOKUP(D1596,Productos[ID_Producto],Productos[Precio_Unitario])</f>
        <v>5.65</v>
      </c>
      <c r="J1596" s="17">
        <f t="shared" si="1"/>
        <v>22.6</v>
      </c>
      <c r="K1596" s="16" t="str">
        <f t="array" ref="K1596">_xlfn.XLOOKUP(C1596,Clientes[ID_Cliente],Clientes[Provincia])</f>
        <v>Córdoba</v>
      </c>
      <c r="L1596" s="16" t="str">
        <f t="array" ref="L1596">CONCATENATE(_xlfn.XLOOKUP(C1596,Clientes[ID_Cliente],Clientes[Provincia]),", Argentina")</f>
        <v>Córdoba, Argentina</v>
      </c>
      <c r="M1596" s="20" t="str">
        <f t="array" ref="M1596">_xlfn.XLOOKUP(F1596,Metodos_De_Pago[ID_Metodo],Metodos_De_Pago[Metodo])</f>
        <v>Mercado Pago</v>
      </c>
      <c r="N1596" s="20" t="str">
        <f t="shared" si="2"/>
        <v>2024 03</v>
      </c>
    </row>
    <row r="1597" ht="22.5" customHeight="1">
      <c r="A1597" s="12">
        <f>IFERROR(__xludf.DUMMYFUNCTION("""COMPUTED_VALUE"""),469.0)</f>
        <v>469</v>
      </c>
      <c r="B1597" s="13">
        <f>IFERROR(__xludf.DUMMYFUNCTION("""COMPUTED_VALUE"""),45377.0)</f>
        <v>45377</v>
      </c>
      <c r="C1597" s="12">
        <f>IFERROR(__xludf.DUMMYFUNCTION("""COMPUTED_VALUE"""),134.0)</f>
        <v>134</v>
      </c>
      <c r="D1597" s="12">
        <f>IFERROR(__xludf.DUMMYFUNCTION("""COMPUTED_VALUE"""),17.0)</f>
        <v>17</v>
      </c>
      <c r="E1597" s="12">
        <f>IFERROR(__xludf.DUMMYFUNCTION("""COMPUTED_VALUE"""),4.0)</f>
        <v>4</v>
      </c>
      <c r="F1597" s="12">
        <f>IFERROR(__xludf.DUMMYFUNCTION("""COMPUTED_VALUE"""),4.0)</f>
        <v>4</v>
      </c>
      <c r="G1597" s="15" t="str">
        <f>IFERROR(__xludf.DUMMYFUNCTION("""COMPUTED_VALUE"""),"Completa")</f>
        <v>Completa</v>
      </c>
      <c r="H1597" s="16" t="str">
        <f t="array" ref="H1597">_xlfn.XLOOKUP(D1597,Productos[ID_Producto],Productos[Nombre_Producto])</f>
        <v>Manzanas</v>
      </c>
      <c r="I1597" s="17">
        <f t="array" ref="I1597">_xlfn.XLOOKUP(D1597,Productos[ID_Producto],Productos[Precio_Unitario])</f>
        <v>6.54</v>
      </c>
      <c r="J1597" s="17">
        <f t="shared" si="1"/>
        <v>26.16</v>
      </c>
      <c r="K1597" s="16" t="str">
        <f t="array" ref="K1597">_xlfn.XLOOKUP(C1597,Clientes[ID_Cliente],Clientes[Provincia])</f>
        <v>San Luis</v>
      </c>
      <c r="L1597" s="16" t="str">
        <f t="array" ref="L1597">CONCATENATE(_xlfn.XLOOKUP(C1597,Clientes[ID_Cliente],Clientes[Provincia]),", Argentina")</f>
        <v>San Luis, Argentina</v>
      </c>
      <c r="M1597" s="20" t="str">
        <f t="array" ref="M1597">_xlfn.XLOOKUP(F1597,Metodos_De_Pago[ID_Metodo],Metodos_De_Pago[Metodo])</f>
        <v>Mercado Pago</v>
      </c>
      <c r="N1597" s="20" t="str">
        <f t="shared" si="2"/>
        <v>2024 03</v>
      </c>
    </row>
    <row r="1598" ht="22.5" customHeight="1">
      <c r="A1598" s="12">
        <f>IFERROR(__xludf.DUMMYFUNCTION("""COMPUTED_VALUE"""),1321.0)</f>
        <v>1321</v>
      </c>
      <c r="B1598" s="13">
        <f>IFERROR(__xludf.DUMMYFUNCTION("""COMPUTED_VALUE"""),45377.0)</f>
        <v>45377</v>
      </c>
      <c r="C1598" s="12">
        <f>IFERROR(__xludf.DUMMYFUNCTION("""COMPUTED_VALUE"""),94.0)</f>
        <v>94</v>
      </c>
      <c r="D1598" s="12">
        <f>IFERROR(__xludf.DUMMYFUNCTION("""COMPUTED_VALUE"""),6.0)</f>
        <v>6</v>
      </c>
      <c r="E1598" s="12">
        <f>IFERROR(__xludf.DUMMYFUNCTION("""COMPUTED_VALUE"""),4.0)</f>
        <v>4</v>
      </c>
      <c r="F1598" s="12">
        <f>IFERROR(__xludf.DUMMYFUNCTION("""COMPUTED_VALUE"""),1.0)</f>
        <v>1</v>
      </c>
      <c r="G1598" s="15" t="str">
        <f>IFERROR(__xludf.DUMMYFUNCTION("""COMPUTED_VALUE"""),"Completa")</f>
        <v>Completa</v>
      </c>
      <c r="H1598" s="16" t="str">
        <f t="array" ref="H1598">_xlfn.XLOOKUP(D1598,Productos[ID_Producto],Productos[Nombre_Producto])</f>
        <v>Asado</v>
      </c>
      <c r="I1598" s="17">
        <f t="array" ref="I1598">_xlfn.XLOOKUP(D1598,Productos[ID_Producto],Productos[Precio_Unitario])</f>
        <v>28.56</v>
      </c>
      <c r="J1598" s="17">
        <f t="shared" si="1"/>
        <v>114.24</v>
      </c>
      <c r="K1598" s="16" t="str">
        <f t="array" ref="K1598">_xlfn.XLOOKUP(C1598,Clientes[ID_Cliente],Clientes[Provincia])</f>
        <v>Córdoba</v>
      </c>
      <c r="L1598" s="16" t="str">
        <f t="array" ref="L1598">CONCATENATE(_xlfn.XLOOKUP(C1598,Clientes[ID_Cliente],Clientes[Provincia]),", Argentina")</f>
        <v>Córdoba, Argentina</v>
      </c>
      <c r="M1598" s="20" t="str">
        <f t="array" ref="M1598">_xlfn.XLOOKUP(F1598,Metodos_De_Pago[ID_Metodo],Metodos_De_Pago[Metodo])</f>
        <v>Efectivo</v>
      </c>
      <c r="N1598" s="20" t="str">
        <f t="shared" si="2"/>
        <v>2024 03</v>
      </c>
    </row>
    <row r="1599" ht="22.5" customHeight="1">
      <c r="A1599" s="12">
        <f>IFERROR(__xludf.DUMMYFUNCTION("""COMPUTED_VALUE"""),1679.0)</f>
        <v>1679</v>
      </c>
      <c r="B1599" s="13">
        <f>IFERROR(__xludf.DUMMYFUNCTION("""COMPUTED_VALUE"""),45378.0)</f>
        <v>45378</v>
      </c>
      <c r="C1599" s="12">
        <f>IFERROR(__xludf.DUMMYFUNCTION("""COMPUTED_VALUE"""),273.0)</f>
        <v>273</v>
      </c>
      <c r="D1599" s="12">
        <f>IFERROR(__xludf.DUMMYFUNCTION("""COMPUTED_VALUE"""),38.0)</f>
        <v>38</v>
      </c>
      <c r="E1599" s="12">
        <f>IFERROR(__xludf.DUMMYFUNCTION("""COMPUTED_VALUE"""),4.0)</f>
        <v>4</v>
      </c>
      <c r="F1599" s="12">
        <f>IFERROR(__xludf.DUMMYFUNCTION("""COMPUTED_VALUE"""),3.0)</f>
        <v>3</v>
      </c>
      <c r="G1599" s="15" t="str">
        <f>IFERROR(__xludf.DUMMYFUNCTION("""COMPUTED_VALUE"""),"Completa")</f>
        <v>Completa</v>
      </c>
      <c r="H1599" s="16" t="str">
        <f t="array" ref="H1599">_xlfn.XLOOKUP(D1599,Productos[ID_Producto],Productos[Nombre_Producto])</f>
        <v>Atún enlatado</v>
      </c>
      <c r="I1599" s="17">
        <f t="array" ref="I1599">_xlfn.XLOOKUP(D1599,Productos[ID_Producto],Productos[Precio_Unitario])</f>
        <v>6.21</v>
      </c>
      <c r="J1599" s="17">
        <f t="shared" si="1"/>
        <v>24.84</v>
      </c>
      <c r="K1599" s="16" t="str">
        <f t="array" ref="K1599">_xlfn.XLOOKUP(C1599,Clientes[ID_Cliente],Clientes[Provincia])</f>
        <v>San Luis</v>
      </c>
      <c r="L1599" s="16" t="str">
        <f t="array" ref="L1599">CONCATENATE(_xlfn.XLOOKUP(C1599,Clientes[ID_Cliente],Clientes[Provincia]),", Argentina")</f>
        <v>San Luis, Argentina</v>
      </c>
      <c r="M1599" s="20" t="str">
        <f t="array" ref="M1599">_xlfn.XLOOKUP(F1599,Metodos_De_Pago[ID_Metodo],Metodos_De_Pago[Metodo])</f>
        <v>Tarjeta de Débito</v>
      </c>
      <c r="N1599" s="20" t="str">
        <f t="shared" si="2"/>
        <v>2024 03</v>
      </c>
    </row>
    <row r="1600" ht="22.5" customHeight="1">
      <c r="A1600" s="12">
        <f>IFERROR(__xludf.DUMMYFUNCTION("""COMPUTED_VALUE"""),279.0)</f>
        <v>279</v>
      </c>
      <c r="B1600" s="13">
        <f>IFERROR(__xludf.DUMMYFUNCTION("""COMPUTED_VALUE"""),45379.0)</f>
        <v>45379</v>
      </c>
      <c r="C1600" s="12">
        <f>IFERROR(__xludf.DUMMYFUNCTION("""COMPUTED_VALUE"""),54.0)</f>
        <v>54</v>
      </c>
      <c r="D1600" s="12">
        <f>IFERROR(__xludf.DUMMYFUNCTION("""COMPUTED_VALUE"""),10.0)</f>
        <v>10</v>
      </c>
      <c r="E1600" s="12">
        <f>IFERROR(__xludf.DUMMYFUNCTION("""COMPUTED_VALUE"""),4.0)</f>
        <v>4</v>
      </c>
      <c r="F1600" s="12">
        <f>IFERROR(__xludf.DUMMYFUNCTION("""COMPUTED_VALUE"""),4.0)</f>
        <v>4</v>
      </c>
      <c r="G1600" s="15" t="str">
        <f>IFERROR(__xludf.DUMMYFUNCTION("""COMPUTED_VALUE"""),"Completa")</f>
        <v>Completa</v>
      </c>
      <c r="H1600" s="16" t="str">
        <f t="array" ref="H1600">_xlfn.XLOOKUP(D1600,Productos[ID_Producto],Productos[Nombre_Producto])</f>
        <v>Costilla de cerdo</v>
      </c>
      <c r="I1600" s="17">
        <f t="array" ref="I1600">_xlfn.XLOOKUP(D1600,Productos[ID_Producto],Productos[Precio_Unitario])</f>
        <v>14.25</v>
      </c>
      <c r="J1600" s="17">
        <f t="shared" si="1"/>
        <v>57</v>
      </c>
      <c r="K1600" s="16" t="str">
        <f t="array" ref="K1600">_xlfn.XLOOKUP(C1600,Clientes[ID_Cliente],Clientes[Provincia])</f>
        <v>Buenos Aires</v>
      </c>
      <c r="L1600" s="16" t="str">
        <f t="array" ref="L1600">CONCATENATE(_xlfn.XLOOKUP(C1600,Clientes[ID_Cliente],Clientes[Provincia]),", Argentina")</f>
        <v>Buenos Aires, Argentina</v>
      </c>
      <c r="M1600" s="20" t="str">
        <f t="array" ref="M1600">_xlfn.XLOOKUP(F1600,Metodos_De_Pago[ID_Metodo],Metodos_De_Pago[Metodo])</f>
        <v>Mercado Pago</v>
      </c>
      <c r="N1600" s="20" t="str">
        <f t="shared" si="2"/>
        <v>2024 03</v>
      </c>
    </row>
    <row r="1601" ht="22.5" customHeight="1">
      <c r="A1601" s="12">
        <f>IFERROR(__xludf.DUMMYFUNCTION("""COMPUTED_VALUE"""),321.0)</f>
        <v>321</v>
      </c>
      <c r="B1601" s="13">
        <f>IFERROR(__xludf.DUMMYFUNCTION("""COMPUTED_VALUE"""),45379.0)</f>
        <v>45379</v>
      </c>
      <c r="C1601" s="12">
        <f>IFERROR(__xludf.DUMMYFUNCTION("""COMPUTED_VALUE"""),205.0)</f>
        <v>205</v>
      </c>
      <c r="D1601" s="12">
        <f>IFERROR(__xludf.DUMMYFUNCTION("""COMPUTED_VALUE"""),35.0)</f>
        <v>35</v>
      </c>
      <c r="E1601" s="12">
        <f>IFERROR(__xludf.DUMMYFUNCTION("""COMPUTED_VALUE"""),4.0)</f>
        <v>4</v>
      </c>
      <c r="F1601" s="12">
        <f>IFERROR(__xludf.DUMMYFUNCTION("""COMPUTED_VALUE"""),5.0)</f>
        <v>5</v>
      </c>
      <c r="G1601" s="15" t="str">
        <f>IFERROR(__xludf.DUMMYFUNCTION("""COMPUTED_VALUE"""),"Completa")</f>
        <v>Completa</v>
      </c>
      <c r="H1601" s="16" t="str">
        <f t="array" ref="H1601">_xlfn.XLOOKUP(D1601,Productos[ID_Producto],Productos[Nombre_Producto])</f>
        <v>Arroz</v>
      </c>
      <c r="I1601" s="17">
        <f t="array" ref="I1601">_xlfn.XLOOKUP(D1601,Productos[ID_Producto],Productos[Precio_Unitario])</f>
        <v>4.25</v>
      </c>
      <c r="J1601" s="17">
        <f t="shared" si="1"/>
        <v>17</v>
      </c>
      <c r="K1601" s="16" t="str">
        <f t="array" ref="K1601">_xlfn.XLOOKUP(C1601,Clientes[ID_Cliente],Clientes[Provincia])</f>
        <v>Neuquén</v>
      </c>
      <c r="L1601" s="16" t="str">
        <f t="array" ref="L1601">CONCATENATE(_xlfn.XLOOKUP(C1601,Clientes[ID_Cliente],Clientes[Provincia]),", Argentina")</f>
        <v>Neuquén, Argentina</v>
      </c>
      <c r="M1601" s="20" t="str">
        <f t="array" ref="M1601">_xlfn.XLOOKUP(F1601,Metodos_De_Pago[ID_Metodo],Metodos_De_Pago[Metodo])</f>
        <v>Transferencia</v>
      </c>
      <c r="N1601" s="20" t="str">
        <f t="shared" si="2"/>
        <v>2024 03</v>
      </c>
    </row>
    <row r="1602" ht="22.5" customHeight="1">
      <c r="A1602" s="12">
        <f>IFERROR(__xludf.DUMMYFUNCTION("""COMPUTED_VALUE"""),669.0)</f>
        <v>669</v>
      </c>
      <c r="B1602" s="13">
        <f>IFERROR(__xludf.DUMMYFUNCTION("""COMPUTED_VALUE"""),45379.0)</f>
        <v>45379</v>
      </c>
      <c r="C1602" s="12">
        <f>IFERROR(__xludf.DUMMYFUNCTION("""COMPUTED_VALUE"""),44.0)</f>
        <v>44</v>
      </c>
      <c r="D1602" s="12">
        <f>IFERROR(__xludf.DUMMYFUNCTION("""COMPUTED_VALUE"""),19.0)</f>
        <v>19</v>
      </c>
      <c r="E1602" s="12">
        <f>IFERROR(__xludf.DUMMYFUNCTION("""COMPUTED_VALUE"""),4.0)</f>
        <v>4</v>
      </c>
      <c r="F1602" s="12">
        <f>IFERROR(__xludf.DUMMYFUNCTION("""COMPUTED_VALUE"""),3.0)</f>
        <v>3</v>
      </c>
      <c r="G1602" s="15" t="str">
        <f>IFERROR(__xludf.DUMMYFUNCTION("""COMPUTED_VALUE"""),"Completa")</f>
        <v>Completa</v>
      </c>
      <c r="H1602" s="16" t="str">
        <f t="array" ref="H1602">_xlfn.XLOOKUP(D1602,Productos[ID_Producto],Productos[Nombre_Producto])</f>
        <v>Tomates</v>
      </c>
      <c r="I1602" s="17">
        <f t="array" ref="I1602">_xlfn.XLOOKUP(D1602,Productos[ID_Producto],Productos[Precio_Unitario])</f>
        <v>6.54</v>
      </c>
      <c r="J1602" s="17">
        <f t="shared" si="1"/>
        <v>26.16</v>
      </c>
      <c r="K1602" s="16" t="str">
        <f t="array" ref="K1602">_xlfn.XLOOKUP(C1602,Clientes[ID_Cliente],Clientes[Provincia])</f>
        <v>Buenos Aires</v>
      </c>
      <c r="L1602" s="16" t="str">
        <f t="array" ref="L1602">CONCATENATE(_xlfn.XLOOKUP(C1602,Clientes[ID_Cliente],Clientes[Provincia]),", Argentina")</f>
        <v>Buenos Aires, Argentina</v>
      </c>
      <c r="M1602" s="20" t="str">
        <f t="array" ref="M1602">_xlfn.XLOOKUP(F1602,Metodos_De_Pago[ID_Metodo],Metodos_De_Pago[Metodo])</f>
        <v>Tarjeta de Débito</v>
      </c>
      <c r="N1602" s="20" t="str">
        <f t="shared" si="2"/>
        <v>2024 03</v>
      </c>
    </row>
    <row r="1603" ht="22.5" customHeight="1">
      <c r="A1603" s="12">
        <f>IFERROR(__xludf.DUMMYFUNCTION("""COMPUTED_VALUE"""),1129.0)</f>
        <v>1129</v>
      </c>
      <c r="B1603" s="13">
        <f>IFERROR(__xludf.DUMMYFUNCTION("""COMPUTED_VALUE"""),45380.0)</f>
        <v>45380</v>
      </c>
      <c r="C1603" s="12">
        <f>IFERROR(__xludf.DUMMYFUNCTION("""COMPUTED_VALUE"""),275.0)</f>
        <v>275</v>
      </c>
      <c r="D1603" s="12">
        <f>IFERROR(__xludf.DUMMYFUNCTION("""COMPUTED_VALUE"""),36.0)</f>
        <v>36</v>
      </c>
      <c r="E1603" s="12">
        <f>IFERROR(__xludf.DUMMYFUNCTION("""COMPUTED_VALUE"""),4.0)</f>
        <v>4</v>
      </c>
      <c r="F1603" s="12">
        <f>IFERROR(__xludf.DUMMYFUNCTION("""COMPUTED_VALUE"""),4.0)</f>
        <v>4</v>
      </c>
      <c r="G1603" s="15" t="str">
        <f>IFERROR(__xludf.DUMMYFUNCTION("""COMPUTED_VALUE"""),"Pendiente")</f>
        <v>Pendiente</v>
      </c>
      <c r="H1603" s="16" t="str">
        <f t="array" ref="H1603">_xlfn.XLOOKUP(D1603,Productos[ID_Producto],Productos[Nombre_Producto])</f>
        <v>Lentejas</v>
      </c>
      <c r="I1603" s="17">
        <f t="array" ref="I1603">_xlfn.XLOOKUP(D1603,Productos[ID_Producto],Productos[Precio_Unitario])</f>
        <v>3.25</v>
      </c>
      <c r="J1603" s="17">
        <f t="shared" si="1"/>
        <v>13</v>
      </c>
      <c r="K1603" s="16" t="str">
        <f t="array" ref="K1603">_xlfn.XLOOKUP(C1603,Clientes[ID_Cliente],Clientes[Provincia])</f>
        <v>Buenos Aires</v>
      </c>
      <c r="L1603" s="16" t="str">
        <f t="array" ref="L1603">CONCATENATE(_xlfn.XLOOKUP(C1603,Clientes[ID_Cliente],Clientes[Provincia]),", Argentina")</f>
        <v>Buenos Aires, Argentina</v>
      </c>
      <c r="M1603" s="20" t="str">
        <f t="array" ref="M1603">_xlfn.XLOOKUP(F1603,Metodos_De_Pago[ID_Metodo],Metodos_De_Pago[Metodo])</f>
        <v>Mercado Pago</v>
      </c>
      <c r="N1603" s="20" t="str">
        <f t="shared" si="2"/>
        <v>2024 03</v>
      </c>
    </row>
    <row r="1604" ht="22.5" customHeight="1">
      <c r="A1604" s="12">
        <f>IFERROR(__xludf.DUMMYFUNCTION("""COMPUTED_VALUE"""),2580.0)</f>
        <v>2580</v>
      </c>
      <c r="B1604" s="13">
        <f>IFERROR(__xludf.DUMMYFUNCTION("""COMPUTED_VALUE"""),45381.0)</f>
        <v>45381</v>
      </c>
      <c r="C1604" s="12">
        <f>IFERROR(__xludf.DUMMYFUNCTION("""COMPUTED_VALUE"""),287.0)</f>
        <v>287</v>
      </c>
      <c r="D1604" s="12">
        <f>IFERROR(__xludf.DUMMYFUNCTION("""COMPUTED_VALUE"""),22.0)</f>
        <v>22</v>
      </c>
      <c r="E1604" s="12">
        <f>IFERROR(__xludf.DUMMYFUNCTION("""COMPUTED_VALUE"""),4.0)</f>
        <v>4</v>
      </c>
      <c r="F1604" s="12">
        <f>IFERROR(__xludf.DUMMYFUNCTION("""COMPUTED_VALUE"""),3.0)</f>
        <v>3</v>
      </c>
      <c r="G1604" s="15" t="str">
        <f>IFERROR(__xludf.DUMMYFUNCTION("""COMPUTED_VALUE"""),"Pendiente")</f>
        <v>Pendiente</v>
      </c>
      <c r="H1604" s="16" t="str">
        <f t="array" ref="H1604">_xlfn.XLOOKUP(D1604,Productos[ID_Producto],Productos[Nombre_Producto])</f>
        <v>Cebolla</v>
      </c>
      <c r="I1604" s="17">
        <f t="array" ref="I1604">_xlfn.XLOOKUP(D1604,Productos[ID_Producto],Productos[Precio_Unitario])</f>
        <v>4.21</v>
      </c>
      <c r="J1604" s="17">
        <f t="shared" si="1"/>
        <v>16.84</v>
      </c>
      <c r="K1604" s="16" t="str">
        <f t="array" ref="K1604">_xlfn.XLOOKUP(C1604,Clientes[ID_Cliente],Clientes[Provincia])</f>
        <v>Chaco</v>
      </c>
      <c r="L1604" s="16" t="str">
        <f t="array" ref="L1604">CONCATENATE(_xlfn.XLOOKUP(C1604,Clientes[ID_Cliente],Clientes[Provincia]),", Argentina")</f>
        <v>Chaco, Argentina</v>
      </c>
      <c r="M1604" s="20" t="str">
        <f t="array" ref="M1604">_xlfn.XLOOKUP(F1604,Metodos_De_Pago[ID_Metodo],Metodos_De_Pago[Metodo])</f>
        <v>Tarjeta de Débito</v>
      </c>
      <c r="N1604" s="20" t="str">
        <f t="shared" si="2"/>
        <v>2024 03</v>
      </c>
    </row>
    <row r="1605" ht="22.5" customHeight="1">
      <c r="A1605" s="12">
        <f>IFERROR(__xludf.DUMMYFUNCTION("""COMPUTED_VALUE"""),1705.0)</f>
        <v>1705</v>
      </c>
      <c r="B1605" s="13">
        <f>IFERROR(__xludf.DUMMYFUNCTION("""COMPUTED_VALUE"""),45382.0)</f>
        <v>45382</v>
      </c>
      <c r="C1605" s="12">
        <f>IFERROR(__xludf.DUMMYFUNCTION("""COMPUTED_VALUE"""),321.0)</f>
        <v>321</v>
      </c>
      <c r="D1605" s="12">
        <f>IFERROR(__xludf.DUMMYFUNCTION("""COMPUTED_VALUE"""),18.0)</f>
        <v>18</v>
      </c>
      <c r="E1605" s="12">
        <f>IFERROR(__xludf.DUMMYFUNCTION("""COMPUTED_VALUE"""),4.0)</f>
        <v>4</v>
      </c>
      <c r="F1605" s="12">
        <f>IFERROR(__xludf.DUMMYFUNCTION("""COMPUTED_VALUE"""),1.0)</f>
        <v>1</v>
      </c>
      <c r="G1605" s="15" t="str">
        <f>IFERROR(__xludf.DUMMYFUNCTION("""COMPUTED_VALUE"""),"Completa")</f>
        <v>Completa</v>
      </c>
      <c r="H1605" s="16" t="str">
        <f t="array" ref="H1605">_xlfn.XLOOKUP(D1605,Productos[ID_Producto],Productos[Nombre_Producto])</f>
        <v>Bananas</v>
      </c>
      <c r="I1605" s="17">
        <f t="array" ref="I1605">_xlfn.XLOOKUP(D1605,Productos[ID_Producto],Productos[Precio_Unitario])</f>
        <v>7.25</v>
      </c>
      <c r="J1605" s="17">
        <f t="shared" si="1"/>
        <v>29</v>
      </c>
      <c r="K1605" s="16" t="str">
        <f t="array" ref="K1605">_xlfn.XLOOKUP(C1605,Clientes[ID_Cliente],Clientes[Provincia])</f>
        <v>San Luis</v>
      </c>
      <c r="L1605" s="16" t="str">
        <f t="array" ref="L1605">CONCATENATE(_xlfn.XLOOKUP(C1605,Clientes[ID_Cliente],Clientes[Provincia]),", Argentina")</f>
        <v>San Luis, Argentina</v>
      </c>
      <c r="M1605" s="20" t="str">
        <f t="array" ref="M1605">_xlfn.XLOOKUP(F1605,Metodos_De_Pago[ID_Metodo],Metodos_De_Pago[Metodo])</f>
        <v>Efectivo</v>
      </c>
      <c r="N1605" s="20" t="str">
        <f t="shared" si="2"/>
        <v>2024 03</v>
      </c>
    </row>
    <row r="1606" ht="22.5" customHeight="1">
      <c r="A1606" s="12">
        <f>IFERROR(__xludf.DUMMYFUNCTION("""COMPUTED_VALUE"""),2213.0)</f>
        <v>2213</v>
      </c>
      <c r="B1606" s="13">
        <f>IFERROR(__xludf.DUMMYFUNCTION("""COMPUTED_VALUE"""),45382.0)</f>
        <v>45382</v>
      </c>
      <c r="C1606" s="12">
        <f>IFERROR(__xludf.DUMMYFUNCTION("""COMPUTED_VALUE"""),230.0)</f>
        <v>230</v>
      </c>
      <c r="D1606" s="12">
        <f>IFERROR(__xludf.DUMMYFUNCTION("""COMPUTED_VALUE"""),19.0)</f>
        <v>19</v>
      </c>
      <c r="E1606" s="12">
        <f>IFERROR(__xludf.DUMMYFUNCTION("""COMPUTED_VALUE"""),4.0)</f>
        <v>4</v>
      </c>
      <c r="F1606" s="12">
        <f>IFERROR(__xludf.DUMMYFUNCTION("""COMPUTED_VALUE"""),2.0)</f>
        <v>2</v>
      </c>
      <c r="G1606" s="15" t="str">
        <f>IFERROR(__xludf.DUMMYFUNCTION("""COMPUTED_VALUE"""),"Pendiente")</f>
        <v>Pendiente</v>
      </c>
      <c r="H1606" s="16" t="str">
        <f t="array" ref="H1606">_xlfn.XLOOKUP(D1606,Productos[ID_Producto],Productos[Nombre_Producto])</f>
        <v>Tomates</v>
      </c>
      <c r="I1606" s="17">
        <f t="array" ref="I1606">_xlfn.XLOOKUP(D1606,Productos[ID_Producto],Productos[Precio_Unitario])</f>
        <v>6.54</v>
      </c>
      <c r="J1606" s="17">
        <f t="shared" si="1"/>
        <v>26.16</v>
      </c>
      <c r="K1606" s="16" t="str">
        <f t="array" ref="K1606">_xlfn.XLOOKUP(C1606,Clientes[ID_Cliente],Clientes[Provincia])</f>
        <v>Córdoba</v>
      </c>
      <c r="L1606" s="16" t="str">
        <f t="array" ref="L1606">CONCATENATE(_xlfn.XLOOKUP(C1606,Clientes[ID_Cliente],Clientes[Provincia]),", Argentina")</f>
        <v>Córdoba, Argentina</v>
      </c>
      <c r="M1606" s="20" t="str">
        <f t="array" ref="M1606">_xlfn.XLOOKUP(F1606,Metodos_De_Pago[ID_Metodo],Metodos_De_Pago[Metodo])</f>
        <v>Tarjeta de Crédito</v>
      </c>
      <c r="N1606" s="20" t="str">
        <f t="shared" si="2"/>
        <v>2024 03</v>
      </c>
    </row>
    <row r="1607" ht="22.5" customHeight="1">
      <c r="A1607" s="12">
        <f>IFERROR(__xludf.DUMMYFUNCTION("""COMPUTED_VALUE"""),2385.0)</f>
        <v>2385</v>
      </c>
      <c r="B1607" s="13">
        <f>IFERROR(__xludf.DUMMYFUNCTION("""COMPUTED_VALUE"""),45383.0)</f>
        <v>45383</v>
      </c>
      <c r="C1607" s="12">
        <f>IFERROR(__xludf.DUMMYFUNCTION("""COMPUTED_VALUE"""),76.0)</f>
        <v>76</v>
      </c>
      <c r="D1607" s="12">
        <f>IFERROR(__xludf.DUMMYFUNCTION("""COMPUTED_VALUE"""),12.0)</f>
        <v>12</v>
      </c>
      <c r="E1607" s="12">
        <f>IFERROR(__xludf.DUMMYFUNCTION("""COMPUTED_VALUE"""),4.0)</f>
        <v>4</v>
      </c>
      <c r="F1607" s="12">
        <f>IFERROR(__xludf.DUMMYFUNCTION("""COMPUTED_VALUE"""),3.0)</f>
        <v>3</v>
      </c>
      <c r="G1607" s="15" t="str">
        <f>IFERROR(__xludf.DUMMYFUNCTION("""COMPUTED_VALUE"""),"Completa")</f>
        <v>Completa</v>
      </c>
      <c r="H1607" s="16" t="str">
        <f t="array" ref="H1607">_xlfn.XLOOKUP(D1607,Productos[ID_Producto],Productos[Nombre_Producto])</f>
        <v>Pan francés</v>
      </c>
      <c r="I1607" s="17">
        <f t="array" ref="I1607">_xlfn.XLOOKUP(D1607,Productos[ID_Producto],Productos[Precio_Unitario])</f>
        <v>8.12</v>
      </c>
      <c r="J1607" s="17">
        <f t="shared" si="1"/>
        <v>32.48</v>
      </c>
      <c r="K1607" s="16" t="str">
        <f t="array" ref="K1607">_xlfn.XLOOKUP(C1607,Clientes[ID_Cliente],Clientes[Provincia])</f>
        <v>Córdoba</v>
      </c>
      <c r="L1607" s="16" t="str">
        <f t="array" ref="L1607">CONCATENATE(_xlfn.XLOOKUP(C1607,Clientes[ID_Cliente],Clientes[Provincia]),", Argentina")</f>
        <v>Córdoba, Argentina</v>
      </c>
      <c r="M1607" s="20" t="str">
        <f t="array" ref="M1607">_xlfn.XLOOKUP(F1607,Metodos_De_Pago[ID_Metodo],Metodos_De_Pago[Metodo])</f>
        <v>Tarjeta de Débito</v>
      </c>
      <c r="N1607" s="20" t="str">
        <f t="shared" si="2"/>
        <v>2024 04</v>
      </c>
    </row>
    <row r="1608" ht="22.5" customHeight="1">
      <c r="A1608" s="12">
        <f>IFERROR(__xludf.DUMMYFUNCTION("""COMPUTED_VALUE"""),2611.0)</f>
        <v>2611</v>
      </c>
      <c r="B1608" s="13">
        <f>IFERROR(__xludf.DUMMYFUNCTION("""COMPUTED_VALUE"""),45383.0)</f>
        <v>45383</v>
      </c>
      <c r="C1608" s="12">
        <f>IFERROR(__xludf.DUMMYFUNCTION("""COMPUTED_VALUE"""),63.0)</f>
        <v>63</v>
      </c>
      <c r="D1608" s="12">
        <f>IFERROR(__xludf.DUMMYFUNCTION("""COMPUTED_VALUE"""),1.0)</f>
        <v>1</v>
      </c>
      <c r="E1608" s="12">
        <f>IFERROR(__xludf.DUMMYFUNCTION("""COMPUTED_VALUE"""),4.0)</f>
        <v>4</v>
      </c>
      <c r="F1608" s="12">
        <f>IFERROR(__xludf.DUMMYFUNCTION("""COMPUTED_VALUE"""),5.0)</f>
        <v>5</v>
      </c>
      <c r="G1608" s="15" t="str">
        <f>IFERROR(__xludf.DUMMYFUNCTION("""COMPUTED_VALUE"""),"Completa")</f>
        <v>Completa</v>
      </c>
      <c r="H1608" s="16" t="str">
        <f t="array" ref="H1608">_xlfn.XLOOKUP(D1608,Productos[ID_Producto],Productos[Nombre_Producto])</f>
        <v>Leche</v>
      </c>
      <c r="I1608" s="17">
        <f t="array" ref="I1608">_xlfn.XLOOKUP(D1608,Productos[ID_Producto],Productos[Precio_Unitario])</f>
        <v>12.24</v>
      </c>
      <c r="J1608" s="17">
        <f t="shared" si="1"/>
        <v>48.96</v>
      </c>
      <c r="K1608" s="16" t="str">
        <f t="array" ref="K1608">_xlfn.XLOOKUP(C1608,Clientes[ID_Cliente],Clientes[Provincia])</f>
        <v>Buenos Aires</v>
      </c>
      <c r="L1608" s="16" t="str">
        <f t="array" ref="L1608">CONCATENATE(_xlfn.XLOOKUP(C1608,Clientes[ID_Cliente],Clientes[Provincia]),", Argentina")</f>
        <v>Buenos Aires, Argentina</v>
      </c>
      <c r="M1608" s="20" t="str">
        <f t="array" ref="M1608">_xlfn.XLOOKUP(F1608,Metodos_De_Pago[ID_Metodo],Metodos_De_Pago[Metodo])</f>
        <v>Transferencia</v>
      </c>
      <c r="N1608" s="20" t="str">
        <f t="shared" si="2"/>
        <v>2024 04</v>
      </c>
    </row>
    <row r="1609" ht="22.5" customHeight="1">
      <c r="A1609" s="12">
        <f>IFERROR(__xludf.DUMMYFUNCTION("""COMPUTED_VALUE"""),1704.0)</f>
        <v>1704</v>
      </c>
      <c r="B1609" s="13">
        <f>IFERROR(__xludf.DUMMYFUNCTION("""COMPUTED_VALUE"""),45385.0)</f>
        <v>45385</v>
      </c>
      <c r="C1609" s="12">
        <f>IFERROR(__xludf.DUMMYFUNCTION("""COMPUTED_VALUE"""),104.0)</f>
        <v>104</v>
      </c>
      <c r="D1609" s="12">
        <f>IFERROR(__xludf.DUMMYFUNCTION("""COMPUTED_VALUE"""),3.0)</f>
        <v>3</v>
      </c>
      <c r="E1609" s="12">
        <f>IFERROR(__xludf.DUMMYFUNCTION("""COMPUTED_VALUE"""),4.0)</f>
        <v>4</v>
      </c>
      <c r="F1609" s="12">
        <f>IFERROR(__xludf.DUMMYFUNCTION("""COMPUTED_VALUE"""),4.0)</f>
        <v>4</v>
      </c>
      <c r="G1609" s="15" t="str">
        <f>IFERROR(__xludf.DUMMYFUNCTION("""COMPUTED_VALUE"""),"Completa")</f>
        <v>Completa</v>
      </c>
      <c r="H1609" s="16" t="str">
        <f t="array" ref="H1609">_xlfn.XLOOKUP(D1609,Productos[ID_Producto],Productos[Nombre_Producto])</f>
        <v>Queso cremoso</v>
      </c>
      <c r="I1609" s="17">
        <f t="array" ref="I1609">_xlfn.XLOOKUP(D1609,Productos[ID_Producto],Productos[Precio_Unitario])</f>
        <v>17.23</v>
      </c>
      <c r="J1609" s="17">
        <f t="shared" si="1"/>
        <v>68.92</v>
      </c>
      <c r="K1609" s="16" t="str">
        <f t="array" ref="K1609">_xlfn.XLOOKUP(C1609,Clientes[ID_Cliente],Clientes[Provincia])</f>
        <v>Buenos Aires</v>
      </c>
      <c r="L1609" s="16" t="str">
        <f t="array" ref="L1609">CONCATENATE(_xlfn.XLOOKUP(C1609,Clientes[ID_Cliente],Clientes[Provincia]),", Argentina")</f>
        <v>Buenos Aires, Argentina</v>
      </c>
      <c r="M1609" s="20" t="str">
        <f t="array" ref="M1609">_xlfn.XLOOKUP(F1609,Metodos_De_Pago[ID_Metodo],Metodos_De_Pago[Metodo])</f>
        <v>Mercado Pago</v>
      </c>
      <c r="N1609" s="20" t="str">
        <f t="shared" si="2"/>
        <v>2024 04</v>
      </c>
    </row>
    <row r="1610" ht="22.5" customHeight="1">
      <c r="A1610" s="12">
        <f>IFERROR(__xludf.DUMMYFUNCTION("""COMPUTED_VALUE"""),327.0)</f>
        <v>327</v>
      </c>
      <c r="B1610" s="13">
        <f>IFERROR(__xludf.DUMMYFUNCTION("""COMPUTED_VALUE"""),45386.0)</f>
        <v>45386</v>
      </c>
      <c r="C1610" s="12">
        <f>IFERROR(__xludf.DUMMYFUNCTION("""COMPUTED_VALUE"""),203.0)</f>
        <v>203</v>
      </c>
      <c r="D1610" s="12">
        <f>IFERROR(__xludf.DUMMYFUNCTION("""COMPUTED_VALUE"""),27.0)</f>
        <v>27</v>
      </c>
      <c r="E1610" s="12">
        <f>IFERROR(__xludf.DUMMYFUNCTION("""COMPUTED_VALUE"""),4.0)</f>
        <v>4</v>
      </c>
      <c r="F1610" s="12">
        <f>IFERROR(__xludf.DUMMYFUNCTION("""COMPUTED_VALUE"""),2.0)</f>
        <v>2</v>
      </c>
      <c r="G1610" s="15" t="str">
        <f>IFERROR(__xludf.DUMMYFUNCTION("""COMPUTED_VALUE"""),"Completa")</f>
        <v>Completa</v>
      </c>
      <c r="H1610" s="16" t="str">
        <f t="array" ref="H1610">_xlfn.XLOOKUP(D1610,Productos[ID_Producto],Productos[Nombre_Producto])</f>
        <v>Agua mineral</v>
      </c>
      <c r="I1610" s="17">
        <f t="array" ref="I1610">_xlfn.XLOOKUP(D1610,Productos[ID_Producto],Productos[Precio_Unitario])</f>
        <v>6.21</v>
      </c>
      <c r="J1610" s="17">
        <f t="shared" si="1"/>
        <v>24.84</v>
      </c>
      <c r="K1610" s="16" t="str">
        <f t="array" ref="K1610">_xlfn.XLOOKUP(C1610,Clientes[ID_Cliente],Clientes[Provincia])</f>
        <v>Buenos Aires</v>
      </c>
      <c r="L1610" s="16" t="str">
        <f t="array" ref="L1610">CONCATENATE(_xlfn.XLOOKUP(C1610,Clientes[ID_Cliente],Clientes[Provincia]),", Argentina")</f>
        <v>Buenos Aires, Argentina</v>
      </c>
      <c r="M1610" s="20" t="str">
        <f t="array" ref="M1610">_xlfn.XLOOKUP(F1610,Metodos_De_Pago[ID_Metodo],Metodos_De_Pago[Metodo])</f>
        <v>Tarjeta de Crédito</v>
      </c>
      <c r="N1610" s="20" t="str">
        <f t="shared" si="2"/>
        <v>2024 04</v>
      </c>
    </row>
    <row r="1611" ht="22.5" customHeight="1">
      <c r="A1611" s="12">
        <f>IFERROR(__xludf.DUMMYFUNCTION("""COMPUTED_VALUE"""),245.0)</f>
        <v>245</v>
      </c>
      <c r="B1611" s="13">
        <f>IFERROR(__xludf.DUMMYFUNCTION("""COMPUTED_VALUE"""),45387.0)</f>
        <v>45387</v>
      </c>
      <c r="C1611" s="12">
        <f>IFERROR(__xludf.DUMMYFUNCTION("""COMPUTED_VALUE"""),101.0)</f>
        <v>101</v>
      </c>
      <c r="D1611" s="12">
        <f>IFERROR(__xludf.DUMMYFUNCTION("""COMPUTED_VALUE"""),32.0)</f>
        <v>32</v>
      </c>
      <c r="E1611" s="12">
        <f>IFERROR(__xludf.DUMMYFUNCTION("""COMPUTED_VALUE"""),4.0)</f>
        <v>4</v>
      </c>
      <c r="F1611" s="12">
        <f>IFERROR(__xludf.DUMMYFUNCTION("""COMPUTED_VALUE"""),4.0)</f>
        <v>4</v>
      </c>
      <c r="G1611" s="15" t="str">
        <f>IFERROR(__xludf.DUMMYFUNCTION("""COMPUTED_VALUE"""),"Completa")</f>
        <v>Completa</v>
      </c>
      <c r="H1611" s="16" t="str">
        <f t="array" ref="H1611">_xlfn.XLOOKUP(D1611,Productos[ID_Producto],Productos[Nombre_Producto])</f>
        <v>Galletitas de chocolate</v>
      </c>
      <c r="I1611" s="17">
        <f t="array" ref="I1611">_xlfn.XLOOKUP(D1611,Productos[ID_Producto],Productos[Precio_Unitario])</f>
        <v>6.25</v>
      </c>
      <c r="J1611" s="17">
        <f t="shared" si="1"/>
        <v>25</v>
      </c>
      <c r="K1611" s="16" t="str">
        <f t="array" ref="K1611">_xlfn.XLOOKUP(C1611,Clientes[ID_Cliente],Clientes[Provincia])</f>
        <v>Buenos Aires</v>
      </c>
      <c r="L1611" s="16" t="str">
        <f t="array" ref="L1611">CONCATENATE(_xlfn.XLOOKUP(C1611,Clientes[ID_Cliente],Clientes[Provincia]),", Argentina")</f>
        <v>Buenos Aires, Argentina</v>
      </c>
      <c r="M1611" s="20" t="str">
        <f t="array" ref="M1611">_xlfn.XLOOKUP(F1611,Metodos_De_Pago[ID_Metodo],Metodos_De_Pago[Metodo])</f>
        <v>Mercado Pago</v>
      </c>
      <c r="N1611" s="20" t="str">
        <f t="shared" si="2"/>
        <v>2024 04</v>
      </c>
    </row>
    <row r="1612" ht="22.5" customHeight="1">
      <c r="A1612" s="12">
        <f>IFERROR(__xludf.DUMMYFUNCTION("""COMPUTED_VALUE"""),2084.0)</f>
        <v>2084</v>
      </c>
      <c r="B1612" s="13">
        <f>IFERROR(__xludf.DUMMYFUNCTION("""COMPUTED_VALUE"""),45389.0)</f>
        <v>45389</v>
      </c>
      <c r="C1612" s="12">
        <f>IFERROR(__xludf.DUMMYFUNCTION("""COMPUTED_VALUE"""),138.0)</f>
        <v>138</v>
      </c>
      <c r="D1612" s="12">
        <f>IFERROR(__xludf.DUMMYFUNCTION("""COMPUTED_VALUE"""),33.0)</f>
        <v>33</v>
      </c>
      <c r="E1612" s="12">
        <f>IFERROR(__xludf.DUMMYFUNCTION("""COMPUTED_VALUE"""),4.0)</f>
        <v>4</v>
      </c>
      <c r="F1612" s="12">
        <f>IFERROR(__xludf.DUMMYFUNCTION("""COMPUTED_VALUE"""),3.0)</f>
        <v>3</v>
      </c>
      <c r="G1612" s="15" t="str">
        <f>IFERROR(__xludf.DUMMYFUNCTION("""COMPUTED_VALUE"""),"Completa")</f>
        <v>Completa</v>
      </c>
      <c r="H1612" s="16" t="str">
        <f t="array" ref="H1612">_xlfn.XLOOKUP(D1612,Productos[ID_Producto],Productos[Nombre_Producto])</f>
        <v>Papas chips</v>
      </c>
      <c r="I1612" s="17">
        <f t="array" ref="I1612">_xlfn.XLOOKUP(D1612,Productos[ID_Producto],Productos[Precio_Unitario])</f>
        <v>8.54</v>
      </c>
      <c r="J1612" s="17">
        <f t="shared" si="1"/>
        <v>34.16</v>
      </c>
      <c r="K1612" s="16" t="str">
        <f t="array" ref="K1612">_xlfn.XLOOKUP(C1612,Clientes[ID_Cliente],Clientes[Provincia])</f>
        <v>Buenos Aires</v>
      </c>
      <c r="L1612" s="16" t="str">
        <f t="array" ref="L1612">CONCATENATE(_xlfn.XLOOKUP(C1612,Clientes[ID_Cliente],Clientes[Provincia]),", Argentina")</f>
        <v>Buenos Aires, Argentina</v>
      </c>
      <c r="M1612" s="20" t="str">
        <f t="array" ref="M1612">_xlfn.XLOOKUP(F1612,Metodos_De_Pago[ID_Metodo],Metodos_De_Pago[Metodo])</f>
        <v>Tarjeta de Débito</v>
      </c>
      <c r="N1612" s="20" t="str">
        <f t="shared" si="2"/>
        <v>2024 04</v>
      </c>
    </row>
    <row r="1613" ht="22.5" customHeight="1">
      <c r="A1613" s="12">
        <f>IFERROR(__xludf.DUMMYFUNCTION("""COMPUTED_VALUE"""),108.0)</f>
        <v>108</v>
      </c>
      <c r="B1613" s="13">
        <f>IFERROR(__xludf.DUMMYFUNCTION("""COMPUTED_VALUE"""),45390.0)</f>
        <v>45390</v>
      </c>
      <c r="C1613" s="12">
        <f>IFERROR(__xludf.DUMMYFUNCTION("""COMPUTED_VALUE"""),153.0)</f>
        <v>153</v>
      </c>
      <c r="D1613" s="12">
        <f>IFERROR(__xludf.DUMMYFUNCTION("""COMPUTED_VALUE"""),17.0)</f>
        <v>17</v>
      </c>
      <c r="E1613" s="12">
        <f>IFERROR(__xludf.DUMMYFUNCTION("""COMPUTED_VALUE"""),4.0)</f>
        <v>4</v>
      </c>
      <c r="F1613" s="12">
        <f>IFERROR(__xludf.DUMMYFUNCTION("""COMPUTED_VALUE"""),4.0)</f>
        <v>4</v>
      </c>
      <c r="G1613" s="15" t="str">
        <f>IFERROR(__xludf.DUMMYFUNCTION("""COMPUTED_VALUE"""),"Completa")</f>
        <v>Completa</v>
      </c>
      <c r="H1613" s="16" t="str">
        <f t="array" ref="H1613">_xlfn.XLOOKUP(D1613,Productos[ID_Producto],Productos[Nombre_Producto])</f>
        <v>Manzanas</v>
      </c>
      <c r="I1613" s="17">
        <f t="array" ref="I1613">_xlfn.XLOOKUP(D1613,Productos[ID_Producto],Productos[Precio_Unitario])</f>
        <v>6.54</v>
      </c>
      <c r="J1613" s="17">
        <f t="shared" si="1"/>
        <v>26.16</v>
      </c>
      <c r="K1613" s="16" t="str">
        <f t="array" ref="K1613">_xlfn.XLOOKUP(C1613,Clientes[ID_Cliente],Clientes[Provincia])</f>
        <v>San Luis</v>
      </c>
      <c r="L1613" s="16" t="str">
        <f t="array" ref="L1613">CONCATENATE(_xlfn.XLOOKUP(C1613,Clientes[ID_Cliente],Clientes[Provincia]),", Argentina")</f>
        <v>San Luis, Argentina</v>
      </c>
      <c r="M1613" s="20" t="str">
        <f t="array" ref="M1613">_xlfn.XLOOKUP(F1613,Metodos_De_Pago[ID_Metodo],Metodos_De_Pago[Metodo])</f>
        <v>Mercado Pago</v>
      </c>
      <c r="N1613" s="20" t="str">
        <f t="shared" si="2"/>
        <v>2024 04</v>
      </c>
    </row>
    <row r="1614" ht="22.5" customHeight="1">
      <c r="A1614" s="12">
        <f>IFERROR(__xludf.DUMMYFUNCTION("""COMPUTED_VALUE"""),2716.0)</f>
        <v>2716</v>
      </c>
      <c r="B1614" s="13">
        <f>IFERROR(__xludf.DUMMYFUNCTION("""COMPUTED_VALUE"""),45391.0)</f>
        <v>45391</v>
      </c>
      <c r="C1614" s="12">
        <f>IFERROR(__xludf.DUMMYFUNCTION("""COMPUTED_VALUE"""),162.0)</f>
        <v>162</v>
      </c>
      <c r="D1614" s="12">
        <f>IFERROR(__xludf.DUMMYFUNCTION("""COMPUTED_VALUE"""),15.0)</f>
        <v>15</v>
      </c>
      <c r="E1614" s="12">
        <f>IFERROR(__xludf.DUMMYFUNCTION("""COMPUTED_VALUE"""),4.0)</f>
        <v>4</v>
      </c>
      <c r="F1614" s="12">
        <f>IFERROR(__xludf.DUMMYFUNCTION("""COMPUTED_VALUE"""),3.0)</f>
        <v>3</v>
      </c>
      <c r="G1614" s="15" t="str">
        <f>IFERROR(__xludf.DUMMYFUNCTION("""COMPUTED_VALUE"""),"Completa")</f>
        <v>Completa</v>
      </c>
      <c r="H1614" s="16" t="str">
        <f t="array" ref="H1614">_xlfn.XLOOKUP(D1614,Productos[ID_Producto],Productos[Nombre_Producto])</f>
        <v>Medialunas</v>
      </c>
      <c r="I1614" s="17">
        <f t="array" ref="I1614">_xlfn.XLOOKUP(D1614,Productos[ID_Producto],Productos[Precio_Unitario])</f>
        <v>3.51</v>
      </c>
      <c r="J1614" s="17">
        <f t="shared" si="1"/>
        <v>14.04</v>
      </c>
      <c r="K1614" s="16" t="str">
        <f t="array" ref="K1614">_xlfn.XLOOKUP(C1614,Clientes[ID_Cliente],Clientes[Provincia])</f>
        <v>Neuquén</v>
      </c>
      <c r="L1614" s="16" t="str">
        <f t="array" ref="L1614">CONCATENATE(_xlfn.XLOOKUP(C1614,Clientes[ID_Cliente],Clientes[Provincia]),", Argentina")</f>
        <v>Neuquén, Argentina</v>
      </c>
      <c r="M1614" s="20" t="str">
        <f t="array" ref="M1614">_xlfn.XLOOKUP(F1614,Metodos_De_Pago[ID_Metodo],Metodos_De_Pago[Metodo])</f>
        <v>Tarjeta de Débito</v>
      </c>
      <c r="N1614" s="20" t="str">
        <f t="shared" si="2"/>
        <v>2024 04</v>
      </c>
    </row>
    <row r="1615" ht="22.5" customHeight="1">
      <c r="A1615" s="12">
        <f>IFERROR(__xludf.DUMMYFUNCTION("""COMPUTED_VALUE"""),1612.0)</f>
        <v>1612</v>
      </c>
      <c r="B1615" s="13">
        <f>IFERROR(__xludf.DUMMYFUNCTION("""COMPUTED_VALUE"""),45392.0)</f>
        <v>45392</v>
      </c>
      <c r="C1615" s="12">
        <f>IFERROR(__xludf.DUMMYFUNCTION("""COMPUTED_VALUE"""),68.0)</f>
        <v>68</v>
      </c>
      <c r="D1615" s="12">
        <f>IFERROR(__xludf.DUMMYFUNCTION("""COMPUTED_VALUE"""),20.0)</f>
        <v>20</v>
      </c>
      <c r="E1615" s="12">
        <f>IFERROR(__xludf.DUMMYFUNCTION("""COMPUTED_VALUE"""),4.0)</f>
        <v>4</v>
      </c>
      <c r="F1615" s="12">
        <f>IFERROR(__xludf.DUMMYFUNCTION("""COMPUTED_VALUE"""),4.0)</f>
        <v>4</v>
      </c>
      <c r="G1615" s="15" t="str">
        <f>IFERROR(__xludf.DUMMYFUNCTION("""COMPUTED_VALUE"""),"Pendiente")</f>
        <v>Pendiente</v>
      </c>
      <c r="H1615" s="16" t="str">
        <f t="array" ref="H1615">_xlfn.XLOOKUP(D1615,Productos[ID_Producto],Productos[Nombre_Producto])</f>
        <v>Lechugas</v>
      </c>
      <c r="I1615" s="17">
        <f t="array" ref="I1615">_xlfn.XLOOKUP(D1615,Productos[ID_Producto],Productos[Precio_Unitario])</f>
        <v>4.25</v>
      </c>
      <c r="J1615" s="17">
        <f t="shared" si="1"/>
        <v>17</v>
      </c>
      <c r="K1615" s="16" t="str">
        <f t="array" ref="K1615">_xlfn.XLOOKUP(C1615,Clientes[ID_Cliente],Clientes[Provincia])</f>
        <v>Neuquén</v>
      </c>
      <c r="L1615" s="16" t="str">
        <f t="array" ref="L1615">CONCATENATE(_xlfn.XLOOKUP(C1615,Clientes[ID_Cliente],Clientes[Provincia]),", Argentina")</f>
        <v>Neuquén, Argentina</v>
      </c>
      <c r="M1615" s="20" t="str">
        <f t="array" ref="M1615">_xlfn.XLOOKUP(F1615,Metodos_De_Pago[ID_Metodo],Metodos_De_Pago[Metodo])</f>
        <v>Mercado Pago</v>
      </c>
      <c r="N1615" s="20" t="str">
        <f t="shared" si="2"/>
        <v>2024 04</v>
      </c>
    </row>
    <row r="1616" ht="22.5" customHeight="1">
      <c r="A1616" s="12">
        <f>IFERROR(__xludf.DUMMYFUNCTION("""COMPUTED_VALUE"""),1904.0)</f>
        <v>1904</v>
      </c>
      <c r="B1616" s="13">
        <f>IFERROR(__xludf.DUMMYFUNCTION("""COMPUTED_VALUE"""),45392.0)</f>
        <v>45392</v>
      </c>
      <c r="C1616" s="12">
        <f>IFERROR(__xludf.DUMMYFUNCTION("""COMPUTED_VALUE"""),231.0)</f>
        <v>231</v>
      </c>
      <c r="D1616" s="12">
        <f>IFERROR(__xludf.DUMMYFUNCTION("""COMPUTED_VALUE"""),12.0)</f>
        <v>12</v>
      </c>
      <c r="E1616" s="12">
        <f>IFERROR(__xludf.DUMMYFUNCTION("""COMPUTED_VALUE"""),4.0)</f>
        <v>4</v>
      </c>
      <c r="F1616" s="12">
        <f>IFERROR(__xludf.DUMMYFUNCTION("""COMPUTED_VALUE"""),4.0)</f>
        <v>4</v>
      </c>
      <c r="G1616" s="15" t="str">
        <f>IFERROR(__xludf.DUMMYFUNCTION("""COMPUTED_VALUE"""),"Completa")</f>
        <v>Completa</v>
      </c>
      <c r="H1616" s="16" t="str">
        <f t="array" ref="H1616">_xlfn.XLOOKUP(D1616,Productos[ID_Producto],Productos[Nombre_Producto])</f>
        <v>Pan francés</v>
      </c>
      <c r="I1616" s="17">
        <f t="array" ref="I1616">_xlfn.XLOOKUP(D1616,Productos[ID_Producto],Productos[Precio_Unitario])</f>
        <v>8.12</v>
      </c>
      <c r="J1616" s="17">
        <f t="shared" si="1"/>
        <v>32.48</v>
      </c>
      <c r="K1616" s="16" t="str">
        <f t="array" ref="K1616">_xlfn.XLOOKUP(C1616,Clientes[ID_Cliente],Clientes[Provincia])</f>
        <v>Neuquén</v>
      </c>
      <c r="L1616" s="16" t="str">
        <f t="array" ref="L1616">CONCATENATE(_xlfn.XLOOKUP(C1616,Clientes[ID_Cliente],Clientes[Provincia]),", Argentina")</f>
        <v>Neuquén, Argentina</v>
      </c>
      <c r="M1616" s="20" t="str">
        <f t="array" ref="M1616">_xlfn.XLOOKUP(F1616,Metodos_De_Pago[ID_Metodo],Metodos_De_Pago[Metodo])</f>
        <v>Mercado Pago</v>
      </c>
      <c r="N1616" s="20" t="str">
        <f t="shared" si="2"/>
        <v>2024 04</v>
      </c>
    </row>
    <row r="1617" ht="22.5" customHeight="1">
      <c r="A1617" s="12">
        <f>IFERROR(__xludf.DUMMYFUNCTION("""COMPUTED_VALUE"""),2469.0)</f>
        <v>2469</v>
      </c>
      <c r="B1617" s="13">
        <f>IFERROR(__xludf.DUMMYFUNCTION("""COMPUTED_VALUE"""),45393.0)</f>
        <v>45393</v>
      </c>
      <c r="C1617" s="12">
        <f>IFERROR(__xludf.DUMMYFUNCTION("""COMPUTED_VALUE"""),79.0)</f>
        <v>79</v>
      </c>
      <c r="D1617" s="12">
        <f>IFERROR(__xludf.DUMMYFUNCTION("""COMPUTED_VALUE"""),36.0)</f>
        <v>36</v>
      </c>
      <c r="E1617" s="12">
        <f>IFERROR(__xludf.DUMMYFUNCTION("""COMPUTED_VALUE"""),4.0)</f>
        <v>4</v>
      </c>
      <c r="F1617" s="12">
        <f>IFERROR(__xludf.DUMMYFUNCTION("""COMPUTED_VALUE"""),5.0)</f>
        <v>5</v>
      </c>
      <c r="G1617" s="15" t="str">
        <f>IFERROR(__xludf.DUMMYFUNCTION("""COMPUTED_VALUE"""),"Pendiente")</f>
        <v>Pendiente</v>
      </c>
      <c r="H1617" s="16" t="str">
        <f t="array" ref="H1617">_xlfn.XLOOKUP(D1617,Productos[ID_Producto],Productos[Nombre_Producto])</f>
        <v>Lentejas</v>
      </c>
      <c r="I1617" s="17">
        <f t="array" ref="I1617">_xlfn.XLOOKUP(D1617,Productos[ID_Producto],Productos[Precio_Unitario])</f>
        <v>3.25</v>
      </c>
      <c r="J1617" s="17">
        <f t="shared" si="1"/>
        <v>13</v>
      </c>
      <c r="K1617" s="16" t="str">
        <f t="array" ref="K1617">_xlfn.XLOOKUP(C1617,Clientes[ID_Cliente],Clientes[Provincia])</f>
        <v>Neuquén</v>
      </c>
      <c r="L1617" s="16" t="str">
        <f t="array" ref="L1617">CONCATENATE(_xlfn.XLOOKUP(C1617,Clientes[ID_Cliente],Clientes[Provincia]),", Argentina")</f>
        <v>Neuquén, Argentina</v>
      </c>
      <c r="M1617" s="20" t="str">
        <f t="array" ref="M1617">_xlfn.XLOOKUP(F1617,Metodos_De_Pago[ID_Metodo],Metodos_De_Pago[Metodo])</f>
        <v>Transferencia</v>
      </c>
      <c r="N1617" s="20" t="str">
        <f t="shared" si="2"/>
        <v>2024 04</v>
      </c>
    </row>
    <row r="1618" ht="22.5" customHeight="1">
      <c r="A1618" s="12">
        <f>IFERROR(__xludf.DUMMYFUNCTION("""COMPUTED_VALUE"""),379.0)</f>
        <v>379</v>
      </c>
      <c r="B1618" s="13">
        <f>IFERROR(__xludf.DUMMYFUNCTION("""COMPUTED_VALUE"""),45394.0)</f>
        <v>45394</v>
      </c>
      <c r="C1618" s="12">
        <f>IFERROR(__xludf.DUMMYFUNCTION("""COMPUTED_VALUE"""),67.0)</f>
        <v>67</v>
      </c>
      <c r="D1618" s="12">
        <f>IFERROR(__xludf.DUMMYFUNCTION("""COMPUTED_VALUE"""),2.0)</f>
        <v>2</v>
      </c>
      <c r="E1618" s="12">
        <f>IFERROR(__xludf.DUMMYFUNCTION("""COMPUTED_VALUE"""),4.0)</f>
        <v>4</v>
      </c>
      <c r="F1618" s="12">
        <f>IFERROR(__xludf.DUMMYFUNCTION("""COMPUTED_VALUE"""),1.0)</f>
        <v>1</v>
      </c>
      <c r="G1618" s="15" t="str">
        <f>IFERROR(__xludf.DUMMYFUNCTION("""COMPUTED_VALUE"""),"Completa")</f>
        <v>Completa</v>
      </c>
      <c r="H1618" s="16" t="str">
        <f t="array" ref="H1618">_xlfn.XLOOKUP(D1618,Productos[ID_Producto],Productos[Nombre_Producto])</f>
        <v>Yogur</v>
      </c>
      <c r="I1618" s="17">
        <f t="array" ref="I1618">_xlfn.XLOOKUP(D1618,Productos[ID_Producto],Productos[Precio_Unitario])</f>
        <v>5.21</v>
      </c>
      <c r="J1618" s="17">
        <f t="shared" si="1"/>
        <v>20.84</v>
      </c>
      <c r="K1618" s="16" t="str">
        <f t="array" ref="K1618">_xlfn.XLOOKUP(C1618,Clientes[ID_Cliente],Clientes[Provincia])</f>
        <v>Chaco</v>
      </c>
      <c r="L1618" s="16" t="str">
        <f t="array" ref="L1618">CONCATENATE(_xlfn.XLOOKUP(C1618,Clientes[ID_Cliente],Clientes[Provincia]),", Argentina")</f>
        <v>Chaco, Argentina</v>
      </c>
      <c r="M1618" s="20" t="str">
        <f t="array" ref="M1618">_xlfn.XLOOKUP(F1618,Metodos_De_Pago[ID_Metodo],Metodos_De_Pago[Metodo])</f>
        <v>Efectivo</v>
      </c>
      <c r="N1618" s="20" t="str">
        <f t="shared" si="2"/>
        <v>2024 04</v>
      </c>
    </row>
    <row r="1619" ht="22.5" customHeight="1">
      <c r="A1619" s="12">
        <f>IFERROR(__xludf.DUMMYFUNCTION("""COMPUTED_VALUE"""),831.0)</f>
        <v>831</v>
      </c>
      <c r="B1619" s="13">
        <f>IFERROR(__xludf.DUMMYFUNCTION("""COMPUTED_VALUE"""),45394.0)</f>
        <v>45394</v>
      </c>
      <c r="C1619" s="12">
        <f>IFERROR(__xludf.DUMMYFUNCTION("""COMPUTED_VALUE"""),94.0)</f>
        <v>94</v>
      </c>
      <c r="D1619" s="12">
        <f>IFERROR(__xludf.DUMMYFUNCTION("""COMPUTED_VALUE"""),19.0)</f>
        <v>19</v>
      </c>
      <c r="E1619" s="12">
        <f>IFERROR(__xludf.DUMMYFUNCTION("""COMPUTED_VALUE"""),4.0)</f>
        <v>4</v>
      </c>
      <c r="F1619" s="12">
        <f>IFERROR(__xludf.DUMMYFUNCTION("""COMPUTED_VALUE"""),3.0)</f>
        <v>3</v>
      </c>
      <c r="G1619" s="15" t="str">
        <f>IFERROR(__xludf.DUMMYFUNCTION("""COMPUTED_VALUE"""),"Pendiente")</f>
        <v>Pendiente</v>
      </c>
      <c r="H1619" s="16" t="str">
        <f t="array" ref="H1619">_xlfn.XLOOKUP(D1619,Productos[ID_Producto],Productos[Nombre_Producto])</f>
        <v>Tomates</v>
      </c>
      <c r="I1619" s="17">
        <f t="array" ref="I1619">_xlfn.XLOOKUP(D1619,Productos[ID_Producto],Productos[Precio_Unitario])</f>
        <v>6.54</v>
      </c>
      <c r="J1619" s="17">
        <f t="shared" si="1"/>
        <v>26.16</v>
      </c>
      <c r="K1619" s="16" t="str">
        <f t="array" ref="K1619">_xlfn.XLOOKUP(C1619,Clientes[ID_Cliente],Clientes[Provincia])</f>
        <v>Córdoba</v>
      </c>
      <c r="L1619" s="16" t="str">
        <f t="array" ref="L1619">CONCATENATE(_xlfn.XLOOKUP(C1619,Clientes[ID_Cliente],Clientes[Provincia]),", Argentina")</f>
        <v>Córdoba, Argentina</v>
      </c>
      <c r="M1619" s="20" t="str">
        <f t="array" ref="M1619">_xlfn.XLOOKUP(F1619,Metodos_De_Pago[ID_Metodo],Metodos_De_Pago[Metodo])</f>
        <v>Tarjeta de Débito</v>
      </c>
      <c r="N1619" s="20" t="str">
        <f t="shared" si="2"/>
        <v>2024 04</v>
      </c>
    </row>
    <row r="1620" ht="22.5" customHeight="1">
      <c r="A1620" s="12">
        <f>IFERROR(__xludf.DUMMYFUNCTION("""COMPUTED_VALUE"""),1157.0)</f>
        <v>1157</v>
      </c>
      <c r="B1620" s="13">
        <f>IFERROR(__xludf.DUMMYFUNCTION("""COMPUTED_VALUE"""),45394.0)</f>
        <v>45394</v>
      </c>
      <c r="C1620" s="12">
        <f>IFERROR(__xludf.DUMMYFUNCTION("""COMPUTED_VALUE"""),90.0)</f>
        <v>90</v>
      </c>
      <c r="D1620" s="12">
        <f>IFERROR(__xludf.DUMMYFUNCTION("""COMPUTED_VALUE"""),11.0)</f>
        <v>11</v>
      </c>
      <c r="E1620" s="12">
        <f>IFERROR(__xludf.DUMMYFUNCTION("""COMPUTED_VALUE"""),4.0)</f>
        <v>4</v>
      </c>
      <c r="F1620" s="12">
        <f>IFERROR(__xludf.DUMMYFUNCTION("""COMPUTED_VALUE"""),3.0)</f>
        <v>3</v>
      </c>
      <c r="G1620" s="15" t="str">
        <f>IFERROR(__xludf.DUMMYFUNCTION("""COMPUTED_VALUE"""),"Completa")</f>
        <v>Completa</v>
      </c>
      <c r="H1620" s="16" t="str">
        <f t="array" ref="H1620">_xlfn.XLOOKUP(D1620,Productos[ID_Producto],Productos[Nombre_Producto])</f>
        <v>Salchicha</v>
      </c>
      <c r="I1620" s="17">
        <f t="array" ref="I1620">_xlfn.XLOOKUP(D1620,Productos[ID_Producto],Productos[Precio_Unitario])</f>
        <v>11.23</v>
      </c>
      <c r="J1620" s="17">
        <f t="shared" si="1"/>
        <v>44.92</v>
      </c>
      <c r="K1620" s="16" t="str">
        <f t="array" ref="K1620">_xlfn.XLOOKUP(C1620,Clientes[ID_Cliente],Clientes[Provincia])</f>
        <v>Buenos Aires</v>
      </c>
      <c r="L1620" s="16" t="str">
        <f t="array" ref="L1620">CONCATENATE(_xlfn.XLOOKUP(C1620,Clientes[ID_Cliente],Clientes[Provincia]),", Argentina")</f>
        <v>Buenos Aires, Argentina</v>
      </c>
      <c r="M1620" s="20" t="str">
        <f t="array" ref="M1620">_xlfn.XLOOKUP(F1620,Metodos_De_Pago[ID_Metodo],Metodos_De_Pago[Metodo])</f>
        <v>Tarjeta de Débito</v>
      </c>
      <c r="N1620" s="20" t="str">
        <f t="shared" si="2"/>
        <v>2024 04</v>
      </c>
    </row>
    <row r="1621" ht="22.5" customHeight="1">
      <c r="A1621" s="12">
        <f>IFERROR(__xludf.DUMMYFUNCTION("""COMPUTED_VALUE"""),1647.0)</f>
        <v>1647</v>
      </c>
      <c r="B1621" s="13">
        <f>IFERROR(__xludf.DUMMYFUNCTION("""COMPUTED_VALUE"""),45394.0)</f>
        <v>45394</v>
      </c>
      <c r="C1621" s="12">
        <f>IFERROR(__xludf.DUMMYFUNCTION("""COMPUTED_VALUE"""),74.0)</f>
        <v>74</v>
      </c>
      <c r="D1621" s="12">
        <f>IFERROR(__xludf.DUMMYFUNCTION("""COMPUTED_VALUE"""),9.0)</f>
        <v>9</v>
      </c>
      <c r="E1621" s="12">
        <f>IFERROR(__xludf.DUMMYFUNCTION("""COMPUTED_VALUE"""),4.0)</f>
        <v>4</v>
      </c>
      <c r="F1621" s="12">
        <f>IFERROR(__xludf.DUMMYFUNCTION("""COMPUTED_VALUE"""),4.0)</f>
        <v>4</v>
      </c>
      <c r="G1621" s="15" t="str">
        <f>IFERROR(__xludf.DUMMYFUNCTION("""COMPUTED_VALUE"""),"Completa")</f>
        <v>Completa</v>
      </c>
      <c r="H1621" s="16" t="str">
        <f t="array" ref="H1621">_xlfn.XLOOKUP(D1621,Productos[ID_Producto],Productos[Nombre_Producto])</f>
        <v>Pollo</v>
      </c>
      <c r="I1621" s="17">
        <f t="array" ref="I1621">_xlfn.XLOOKUP(D1621,Productos[ID_Producto],Productos[Precio_Unitario])</f>
        <v>18.56</v>
      </c>
      <c r="J1621" s="17">
        <f t="shared" si="1"/>
        <v>74.24</v>
      </c>
      <c r="K1621" s="16" t="str">
        <f t="array" ref="K1621">_xlfn.XLOOKUP(C1621,Clientes[ID_Cliente],Clientes[Provincia])</f>
        <v>Neuquén</v>
      </c>
      <c r="L1621" s="16" t="str">
        <f t="array" ref="L1621">CONCATENATE(_xlfn.XLOOKUP(C1621,Clientes[ID_Cliente],Clientes[Provincia]),", Argentina")</f>
        <v>Neuquén, Argentina</v>
      </c>
      <c r="M1621" s="20" t="str">
        <f t="array" ref="M1621">_xlfn.XLOOKUP(F1621,Metodos_De_Pago[ID_Metodo],Metodos_De_Pago[Metodo])</f>
        <v>Mercado Pago</v>
      </c>
      <c r="N1621" s="20" t="str">
        <f t="shared" si="2"/>
        <v>2024 04</v>
      </c>
    </row>
    <row r="1622" ht="22.5" customHeight="1">
      <c r="A1622" s="12">
        <f>IFERROR(__xludf.DUMMYFUNCTION("""COMPUTED_VALUE"""),1915.0)</f>
        <v>1915</v>
      </c>
      <c r="B1622" s="13">
        <f>IFERROR(__xludf.DUMMYFUNCTION("""COMPUTED_VALUE"""),45394.0)</f>
        <v>45394</v>
      </c>
      <c r="C1622" s="12">
        <f>IFERROR(__xludf.DUMMYFUNCTION("""COMPUTED_VALUE"""),21.0)</f>
        <v>21</v>
      </c>
      <c r="D1622" s="12">
        <f>IFERROR(__xludf.DUMMYFUNCTION("""COMPUTED_VALUE"""),27.0)</f>
        <v>27</v>
      </c>
      <c r="E1622" s="12">
        <f>IFERROR(__xludf.DUMMYFUNCTION("""COMPUTED_VALUE"""),4.0)</f>
        <v>4</v>
      </c>
      <c r="F1622" s="12">
        <f>IFERROR(__xludf.DUMMYFUNCTION("""COMPUTED_VALUE"""),4.0)</f>
        <v>4</v>
      </c>
      <c r="G1622" s="15" t="str">
        <f>IFERROR(__xludf.DUMMYFUNCTION("""COMPUTED_VALUE"""),"Completa")</f>
        <v>Completa</v>
      </c>
      <c r="H1622" s="16" t="str">
        <f t="array" ref="H1622">_xlfn.XLOOKUP(D1622,Productos[ID_Producto],Productos[Nombre_Producto])</f>
        <v>Agua mineral</v>
      </c>
      <c r="I1622" s="17">
        <f t="array" ref="I1622">_xlfn.XLOOKUP(D1622,Productos[ID_Producto],Productos[Precio_Unitario])</f>
        <v>6.21</v>
      </c>
      <c r="J1622" s="17">
        <f t="shared" si="1"/>
        <v>24.84</v>
      </c>
      <c r="K1622" s="16" t="str">
        <f t="array" ref="K1622">_xlfn.XLOOKUP(C1622,Clientes[ID_Cliente],Clientes[Provincia])</f>
        <v>Buenos Aires</v>
      </c>
      <c r="L1622" s="16" t="str">
        <f t="array" ref="L1622">CONCATENATE(_xlfn.XLOOKUP(C1622,Clientes[ID_Cliente],Clientes[Provincia]),", Argentina")</f>
        <v>Buenos Aires, Argentina</v>
      </c>
      <c r="M1622" s="20" t="str">
        <f t="array" ref="M1622">_xlfn.XLOOKUP(F1622,Metodos_De_Pago[ID_Metodo],Metodos_De_Pago[Metodo])</f>
        <v>Mercado Pago</v>
      </c>
      <c r="N1622" s="20" t="str">
        <f t="shared" si="2"/>
        <v>2024 04</v>
      </c>
    </row>
    <row r="1623" ht="22.5" customHeight="1">
      <c r="A1623" s="12">
        <f>IFERROR(__xludf.DUMMYFUNCTION("""COMPUTED_VALUE"""),15.0)</f>
        <v>15</v>
      </c>
      <c r="B1623" s="13">
        <f>IFERROR(__xludf.DUMMYFUNCTION("""COMPUTED_VALUE"""),45397.0)</f>
        <v>45397</v>
      </c>
      <c r="C1623" s="12">
        <f>IFERROR(__xludf.DUMMYFUNCTION("""COMPUTED_VALUE"""),219.0)</f>
        <v>219</v>
      </c>
      <c r="D1623" s="12">
        <f>IFERROR(__xludf.DUMMYFUNCTION("""COMPUTED_VALUE"""),34.0)</f>
        <v>34</v>
      </c>
      <c r="E1623" s="12">
        <f>IFERROR(__xludf.DUMMYFUNCTION("""COMPUTED_VALUE"""),4.0)</f>
        <v>4</v>
      </c>
      <c r="F1623" s="12">
        <f>IFERROR(__xludf.DUMMYFUNCTION("""COMPUTED_VALUE"""),3.0)</f>
        <v>3</v>
      </c>
      <c r="G1623" s="15" t="str">
        <f>IFERROR(__xludf.DUMMYFUNCTION("""COMPUTED_VALUE"""),"Completa")</f>
        <v>Completa</v>
      </c>
      <c r="H1623" s="16" t="str">
        <f t="array" ref="H1623">_xlfn.XLOOKUP(D1623,Productos[ID_Producto],Productos[Nombre_Producto])</f>
        <v>Maníes</v>
      </c>
      <c r="I1623" s="17">
        <f t="array" ref="I1623">_xlfn.XLOOKUP(D1623,Productos[ID_Producto],Productos[Precio_Unitario])</f>
        <v>5.45</v>
      </c>
      <c r="J1623" s="17">
        <f t="shared" si="1"/>
        <v>21.8</v>
      </c>
      <c r="K1623" s="16" t="str">
        <f t="array" ref="K1623">_xlfn.XLOOKUP(C1623,Clientes[ID_Cliente],Clientes[Provincia])</f>
        <v>Neuquén</v>
      </c>
      <c r="L1623" s="16" t="str">
        <f t="array" ref="L1623">CONCATENATE(_xlfn.XLOOKUP(C1623,Clientes[ID_Cliente],Clientes[Provincia]),", Argentina")</f>
        <v>Neuquén, Argentina</v>
      </c>
      <c r="M1623" s="20" t="str">
        <f t="array" ref="M1623">_xlfn.XLOOKUP(F1623,Metodos_De_Pago[ID_Metodo],Metodos_De_Pago[Metodo])</f>
        <v>Tarjeta de Débito</v>
      </c>
      <c r="N1623" s="20" t="str">
        <f t="shared" si="2"/>
        <v>2024 04</v>
      </c>
    </row>
    <row r="1624" ht="22.5" customHeight="1">
      <c r="A1624" s="12">
        <f>IFERROR(__xludf.DUMMYFUNCTION("""COMPUTED_VALUE"""),1001.0)</f>
        <v>1001</v>
      </c>
      <c r="B1624" s="13">
        <f>IFERROR(__xludf.DUMMYFUNCTION("""COMPUTED_VALUE"""),45397.0)</f>
        <v>45397</v>
      </c>
      <c r="C1624" s="12">
        <f>IFERROR(__xludf.DUMMYFUNCTION("""COMPUTED_VALUE"""),325.0)</f>
        <v>325</v>
      </c>
      <c r="D1624" s="12">
        <f>IFERROR(__xludf.DUMMYFUNCTION("""COMPUTED_VALUE"""),4.0)</f>
        <v>4</v>
      </c>
      <c r="E1624" s="12">
        <f>IFERROR(__xludf.DUMMYFUNCTION("""COMPUTED_VALUE"""),4.0)</f>
        <v>4</v>
      </c>
      <c r="F1624" s="12">
        <f>IFERROR(__xludf.DUMMYFUNCTION("""COMPUTED_VALUE"""),4.0)</f>
        <v>4</v>
      </c>
      <c r="G1624" s="15" t="str">
        <f>IFERROR(__xludf.DUMMYFUNCTION("""COMPUTED_VALUE"""),"Completa")</f>
        <v>Completa</v>
      </c>
      <c r="H1624" s="16" t="str">
        <f t="array" ref="H1624">_xlfn.XLOOKUP(D1624,Productos[ID_Producto],Productos[Nombre_Producto])</f>
        <v>Queso rallado</v>
      </c>
      <c r="I1624" s="17">
        <f t="array" ref="I1624">_xlfn.XLOOKUP(D1624,Productos[ID_Producto],Productos[Precio_Unitario])</f>
        <v>19.23</v>
      </c>
      <c r="J1624" s="17">
        <f t="shared" si="1"/>
        <v>76.92</v>
      </c>
      <c r="K1624" s="16" t="str">
        <f t="array" ref="K1624">_xlfn.XLOOKUP(C1624,Clientes[ID_Cliente],Clientes[Provincia])</f>
        <v>Chaco</v>
      </c>
      <c r="L1624" s="16" t="str">
        <f t="array" ref="L1624">CONCATENATE(_xlfn.XLOOKUP(C1624,Clientes[ID_Cliente],Clientes[Provincia]),", Argentina")</f>
        <v>Chaco, Argentina</v>
      </c>
      <c r="M1624" s="20" t="str">
        <f t="array" ref="M1624">_xlfn.XLOOKUP(F1624,Metodos_De_Pago[ID_Metodo],Metodos_De_Pago[Metodo])</f>
        <v>Mercado Pago</v>
      </c>
      <c r="N1624" s="20" t="str">
        <f t="shared" si="2"/>
        <v>2024 04</v>
      </c>
    </row>
    <row r="1625" ht="22.5" customHeight="1">
      <c r="A1625" s="12">
        <f>IFERROR(__xludf.DUMMYFUNCTION("""COMPUTED_VALUE"""),1498.0)</f>
        <v>1498</v>
      </c>
      <c r="B1625" s="13">
        <f>IFERROR(__xludf.DUMMYFUNCTION("""COMPUTED_VALUE"""),45397.0)</f>
        <v>45397</v>
      </c>
      <c r="C1625" s="12">
        <f>IFERROR(__xludf.DUMMYFUNCTION("""COMPUTED_VALUE"""),216.0)</f>
        <v>216</v>
      </c>
      <c r="D1625" s="12">
        <f>IFERROR(__xludf.DUMMYFUNCTION("""COMPUTED_VALUE"""),37.0)</f>
        <v>37</v>
      </c>
      <c r="E1625" s="12">
        <f>IFERROR(__xludf.DUMMYFUNCTION("""COMPUTED_VALUE"""),4.0)</f>
        <v>4</v>
      </c>
      <c r="F1625" s="12">
        <f>IFERROR(__xludf.DUMMYFUNCTION("""COMPUTED_VALUE"""),3.0)</f>
        <v>3</v>
      </c>
      <c r="G1625" s="15" t="str">
        <f>IFERROR(__xludf.DUMMYFUNCTION("""COMPUTED_VALUE"""),"Completa")</f>
        <v>Completa</v>
      </c>
      <c r="H1625" s="16" t="str">
        <f t="array" ref="H1625">_xlfn.XLOOKUP(D1625,Productos[ID_Producto],Productos[Nombre_Producto])</f>
        <v>Garbanzos</v>
      </c>
      <c r="I1625" s="17">
        <f t="array" ref="I1625">_xlfn.XLOOKUP(D1625,Productos[ID_Producto],Productos[Precio_Unitario])</f>
        <v>3.65</v>
      </c>
      <c r="J1625" s="17">
        <f t="shared" si="1"/>
        <v>14.6</v>
      </c>
      <c r="K1625" s="16" t="str">
        <f t="array" ref="K1625">_xlfn.XLOOKUP(C1625,Clientes[ID_Cliente],Clientes[Provincia])</f>
        <v>Córdoba</v>
      </c>
      <c r="L1625" s="16" t="str">
        <f t="array" ref="L1625">CONCATENATE(_xlfn.XLOOKUP(C1625,Clientes[ID_Cliente],Clientes[Provincia]),", Argentina")</f>
        <v>Córdoba, Argentina</v>
      </c>
      <c r="M1625" s="20" t="str">
        <f t="array" ref="M1625">_xlfn.XLOOKUP(F1625,Metodos_De_Pago[ID_Metodo],Metodos_De_Pago[Metodo])</f>
        <v>Tarjeta de Débito</v>
      </c>
      <c r="N1625" s="20" t="str">
        <f t="shared" si="2"/>
        <v>2024 04</v>
      </c>
    </row>
    <row r="1626" ht="22.5" customHeight="1">
      <c r="A1626" s="12">
        <f>IFERROR(__xludf.DUMMYFUNCTION("""COMPUTED_VALUE"""),399.0)</f>
        <v>399</v>
      </c>
      <c r="B1626" s="13">
        <f>IFERROR(__xludf.DUMMYFUNCTION("""COMPUTED_VALUE"""),45398.0)</f>
        <v>45398</v>
      </c>
      <c r="C1626" s="12">
        <f>IFERROR(__xludf.DUMMYFUNCTION("""COMPUTED_VALUE"""),115.0)</f>
        <v>115</v>
      </c>
      <c r="D1626" s="12">
        <f>IFERROR(__xludf.DUMMYFUNCTION("""COMPUTED_VALUE"""),38.0)</f>
        <v>38</v>
      </c>
      <c r="E1626" s="12">
        <f>IFERROR(__xludf.DUMMYFUNCTION("""COMPUTED_VALUE"""),4.0)</f>
        <v>4</v>
      </c>
      <c r="F1626" s="12">
        <f>IFERROR(__xludf.DUMMYFUNCTION("""COMPUTED_VALUE"""),4.0)</f>
        <v>4</v>
      </c>
      <c r="G1626" s="15" t="str">
        <f>IFERROR(__xludf.DUMMYFUNCTION("""COMPUTED_VALUE"""),"Completa")</f>
        <v>Completa</v>
      </c>
      <c r="H1626" s="16" t="str">
        <f t="array" ref="H1626">_xlfn.XLOOKUP(D1626,Productos[ID_Producto],Productos[Nombre_Producto])</f>
        <v>Atún enlatado</v>
      </c>
      <c r="I1626" s="17">
        <f t="array" ref="I1626">_xlfn.XLOOKUP(D1626,Productos[ID_Producto],Productos[Precio_Unitario])</f>
        <v>6.21</v>
      </c>
      <c r="J1626" s="17">
        <f t="shared" si="1"/>
        <v>24.84</v>
      </c>
      <c r="K1626" s="16" t="str">
        <f t="array" ref="K1626">_xlfn.XLOOKUP(C1626,Clientes[ID_Cliente],Clientes[Provincia])</f>
        <v>San Luis</v>
      </c>
      <c r="L1626" s="16" t="str">
        <f t="array" ref="L1626">CONCATENATE(_xlfn.XLOOKUP(C1626,Clientes[ID_Cliente],Clientes[Provincia]),", Argentina")</f>
        <v>San Luis, Argentina</v>
      </c>
      <c r="M1626" s="20" t="str">
        <f t="array" ref="M1626">_xlfn.XLOOKUP(F1626,Metodos_De_Pago[ID_Metodo],Metodos_De_Pago[Metodo])</f>
        <v>Mercado Pago</v>
      </c>
      <c r="N1626" s="20" t="str">
        <f t="shared" si="2"/>
        <v>2024 04</v>
      </c>
    </row>
    <row r="1627" ht="22.5" customHeight="1">
      <c r="A1627" s="12">
        <f>IFERROR(__xludf.DUMMYFUNCTION("""COMPUTED_VALUE"""),1258.0)</f>
        <v>1258</v>
      </c>
      <c r="B1627" s="13">
        <f>IFERROR(__xludf.DUMMYFUNCTION("""COMPUTED_VALUE"""),45398.0)</f>
        <v>45398</v>
      </c>
      <c r="C1627" s="12">
        <f>IFERROR(__xludf.DUMMYFUNCTION("""COMPUTED_VALUE"""),48.0)</f>
        <v>48</v>
      </c>
      <c r="D1627" s="12">
        <f>IFERROR(__xludf.DUMMYFUNCTION("""COMPUTED_VALUE"""),28.0)</f>
        <v>28</v>
      </c>
      <c r="E1627" s="12">
        <f>IFERROR(__xludf.DUMMYFUNCTION("""COMPUTED_VALUE"""),4.0)</f>
        <v>4</v>
      </c>
      <c r="F1627" s="12">
        <f>IFERROR(__xludf.DUMMYFUNCTION("""COMPUTED_VALUE"""),1.0)</f>
        <v>1</v>
      </c>
      <c r="G1627" s="15" t="str">
        <f>IFERROR(__xludf.DUMMYFUNCTION("""COMPUTED_VALUE"""),"Completa")</f>
        <v>Completa</v>
      </c>
      <c r="H1627" s="16" t="str">
        <f t="array" ref="H1627">_xlfn.XLOOKUP(D1627,Productos[ID_Producto],Productos[Nombre_Producto])</f>
        <v>Jugos de frutas</v>
      </c>
      <c r="I1627" s="17">
        <f t="array" ref="I1627">_xlfn.XLOOKUP(D1627,Productos[ID_Producto],Productos[Precio_Unitario])</f>
        <v>9.45</v>
      </c>
      <c r="J1627" s="17">
        <f t="shared" si="1"/>
        <v>37.8</v>
      </c>
      <c r="K1627" s="16" t="str">
        <f t="array" ref="K1627">_xlfn.XLOOKUP(C1627,Clientes[ID_Cliente],Clientes[Provincia])</f>
        <v>Neuquén</v>
      </c>
      <c r="L1627" s="16" t="str">
        <f t="array" ref="L1627">CONCATENATE(_xlfn.XLOOKUP(C1627,Clientes[ID_Cliente],Clientes[Provincia]),", Argentina")</f>
        <v>Neuquén, Argentina</v>
      </c>
      <c r="M1627" s="20" t="str">
        <f t="array" ref="M1627">_xlfn.XLOOKUP(F1627,Metodos_De_Pago[ID_Metodo],Metodos_De_Pago[Metodo])</f>
        <v>Efectivo</v>
      </c>
      <c r="N1627" s="20" t="str">
        <f t="shared" si="2"/>
        <v>2024 04</v>
      </c>
    </row>
    <row r="1628" ht="22.5" customHeight="1">
      <c r="A1628" s="12">
        <f>IFERROR(__xludf.DUMMYFUNCTION("""COMPUTED_VALUE"""),2162.0)</f>
        <v>2162</v>
      </c>
      <c r="B1628" s="13">
        <f>IFERROR(__xludf.DUMMYFUNCTION("""COMPUTED_VALUE"""),45398.0)</f>
        <v>45398</v>
      </c>
      <c r="C1628" s="12">
        <f>IFERROR(__xludf.DUMMYFUNCTION("""COMPUTED_VALUE"""),304.0)</f>
        <v>304</v>
      </c>
      <c r="D1628" s="12">
        <f>IFERROR(__xludf.DUMMYFUNCTION("""COMPUTED_VALUE"""),28.0)</f>
        <v>28</v>
      </c>
      <c r="E1628" s="12">
        <f>IFERROR(__xludf.DUMMYFUNCTION("""COMPUTED_VALUE"""),4.0)</f>
        <v>4</v>
      </c>
      <c r="F1628" s="12">
        <f>IFERROR(__xludf.DUMMYFUNCTION("""COMPUTED_VALUE"""),4.0)</f>
        <v>4</v>
      </c>
      <c r="G1628" s="15" t="str">
        <f>IFERROR(__xludf.DUMMYFUNCTION("""COMPUTED_VALUE"""),"Pendiente")</f>
        <v>Pendiente</v>
      </c>
      <c r="H1628" s="16" t="str">
        <f t="array" ref="H1628">_xlfn.XLOOKUP(D1628,Productos[ID_Producto],Productos[Nombre_Producto])</f>
        <v>Jugos de frutas</v>
      </c>
      <c r="I1628" s="17">
        <f t="array" ref="I1628">_xlfn.XLOOKUP(D1628,Productos[ID_Producto],Productos[Precio_Unitario])</f>
        <v>9.45</v>
      </c>
      <c r="J1628" s="17">
        <f t="shared" si="1"/>
        <v>37.8</v>
      </c>
      <c r="K1628" s="16" t="str">
        <f t="array" ref="K1628">_xlfn.XLOOKUP(C1628,Clientes[ID_Cliente],Clientes[Provincia])</f>
        <v>San Luis</v>
      </c>
      <c r="L1628" s="16" t="str">
        <f t="array" ref="L1628">CONCATENATE(_xlfn.XLOOKUP(C1628,Clientes[ID_Cliente],Clientes[Provincia]),", Argentina")</f>
        <v>San Luis, Argentina</v>
      </c>
      <c r="M1628" s="20" t="str">
        <f t="array" ref="M1628">_xlfn.XLOOKUP(F1628,Metodos_De_Pago[ID_Metodo],Metodos_De_Pago[Metodo])</f>
        <v>Mercado Pago</v>
      </c>
      <c r="N1628" s="20" t="str">
        <f t="shared" si="2"/>
        <v>2024 04</v>
      </c>
    </row>
    <row r="1629" ht="22.5" customHeight="1">
      <c r="A1629" s="12">
        <f>IFERROR(__xludf.DUMMYFUNCTION("""COMPUTED_VALUE"""),1107.0)</f>
        <v>1107</v>
      </c>
      <c r="B1629" s="13">
        <f>IFERROR(__xludf.DUMMYFUNCTION("""COMPUTED_VALUE"""),45400.0)</f>
        <v>45400</v>
      </c>
      <c r="C1629" s="12">
        <f>IFERROR(__xludf.DUMMYFUNCTION("""COMPUTED_VALUE"""),223.0)</f>
        <v>223</v>
      </c>
      <c r="D1629" s="12">
        <f>IFERROR(__xludf.DUMMYFUNCTION("""COMPUTED_VALUE"""),18.0)</f>
        <v>18</v>
      </c>
      <c r="E1629" s="12">
        <f>IFERROR(__xludf.DUMMYFUNCTION("""COMPUTED_VALUE"""),4.0)</f>
        <v>4</v>
      </c>
      <c r="F1629" s="12">
        <f>IFERROR(__xludf.DUMMYFUNCTION("""COMPUTED_VALUE"""),4.0)</f>
        <v>4</v>
      </c>
      <c r="G1629" s="15" t="str">
        <f>IFERROR(__xludf.DUMMYFUNCTION("""COMPUTED_VALUE"""),"Pendiente")</f>
        <v>Pendiente</v>
      </c>
      <c r="H1629" s="16" t="str">
        <f t="array" ref="H1629">_xlfn.XLOOKUP(D1629,Productos[ID_Producto],Productos[Nombre_Producto])</f>
        <v>Bananas</v>
      </c>
      <c r="I1629" s="17">
        <f t="array" ref="I1629">_xlfn.XLOOKUP(D1629,Productos[ID_Producto],Productos[Precio_Unitario])</f>
        <v>7.25</v>
      </c>
      <c r="J1629" s="17">
        <f t="shared" si="1"/>
        <v>29</v>
      </c>
      <c r="K1629" s="16" t="str">
        <f t="array" ref="K1629">_xlfn.XLOOKUP(C1629,Clientes[ID_Cliente],Clientes[Provincia])</f>
        <v>Buenos Aires</v>
      </c>
      <c r="L1629" s="16" t="str">
        <f t="array" ref="L1629">CONCATENATE(_xlfn.XLOOKUP(C1629,Clientes[ID_Cliente],Clientes[Provincia]),", Argentina")</f>
        <v>Buenos Aires, Argentina</v>
      </c>
      <c r="M1629" s="20" t="str">
        <f t="array" ref="M1629">_xlfn.XLOOKUP(F1629,Metodos_De_Pago[ID_Metodo],Metodos_De_Pago[Metodo])</f>
        <v>Mercado Pago</v>
      </c>
      <c r="N1629" s="20" t="str">
        <f t="shared" si="2"/>
        <v>2024 04</v>
      </c>
    </row>
    <row r="1630" ht="22.5" customHeight="1">
      <c r="A1630" s="12">
        <f>IFERROR(__xludf.DUMMYFUNCTION("""COMPUTED_VALUE"""),2149.0)</f>
        <v>2149</v>
      </c>
      <c r="B1630" s="13">
        <f>IFERROR(__xludf.DUMMYFUNCTION("""COMPUTED_VALUE"""),45401.0)</f>
        <v>45401</v>
      </c>
      <c r="C1630" s="12">
        <f>IFERROR(__xludf.DUMMYFUNCTION("""COMPUTED_VALUE"""),82.0)</f>
        <v>82</v>
      </c>
      <c r="D1630" s="12">
        <f>IFERROR(__xludf.DUMMYFUNCTION("""COMPUTED_VALUE"""),3.0)</f>
        <v>3</v>
      </c>
      <c r="E1630" s="12">
        <f>IFERROR(__xludf.DUMMYFUNCTION("""COMPUTED_VALUE"""),4.0)</f>
        <v>4</v>
      </c>
      <c r="F1630" s="12">
        <f>IFERROR(__xludf.DUMMYFUNCTION("""COMPUTED_VALUE"""),4.0)</f>
        <v>4</v>
      </c>
      <c r="G1630" s="15" t="str">
        <f>IFERROR(__xludf.DUMMYFUNCTION("""COMPUTED_VALUE"""),"Completa")</f>
        <v>Completa</v>
      </c>
      <c r="H1630" s="16" t="str">
        <f t="array" ref="H1630">_xlfn.XLOOKUP(D1630,Productos[ID_Producto],Productos[Nombre_Producto])</f>
        <v>Queso cremoso</v>
      </c>
      <c r="I1630" s="17">
        <f t="array" ref="I1630">_xlfn.XLOOKUP(D1630,Productos[ID_Producto],Productos[Precio_Unitario])</f>
        <v>17.23</v>
      </c>
      <c r="J1630" s="17">
        <f t="shared" si="1"/>
        <v>68.92</v>
      </c>
      <c r="K1630" s="16" t="str">
        <f t="array" ref="K1630">_xlfn.XLOOKUP(C1630,Clientes[ID_Cliente],Clientes[Provincia])</f>
        <v>Buenos Aires</v>
      </c>
      <c r="L1630" s="16" t="str">
        <f t="array" ref="L1630">CONCATENATE(_xlfn.XLOOKUP(C1630,Clientes[ID_Cliente],Clientes[Provincia]),", Argentina")</f>
        <v>Buenos Aires, Argentina</v>
      </c>
      <c r="M1630" s="20" t="str">
        <f t="array" ref="M1630">_xlfn.XLOOKUP(F1630,Metodos_De_Pago[ID_Metodo],Metodos_De_Pago[Metodo])</f>
        <v>Mercado Pago</v>
      </c>
      <c r="N1630" s="20" t="str">
        <f t="shared" si="2"/>
        <v>2024 04</v>
      </c>
    </row>
    <row r="1631" ht="22.5" customHeight="1">
      <c r="A1631" s="12">
        <f>IFERROR(__xludf.DUMMYFUNCTION("""COMPUTED_VALUE"""),1456.0)</f>
        <v>1456</v>
      </c>
      <c r="B1631" s="13">
        <f>IFERROR(__xludf.DUMMYFUNCTION("""COMPUTED_VALUE"""),45403.0)</f>
        <v>45403</v>
      </c>
      <c r="C1631" s="12">
        <f>IFERROR(__xludf.DUMMYFUNCTION("""COMPUTED_VALUE"""),271.0)</f>
        <v>271</v>
      </c>
      <c r="D1631" s="12">
        <f>IFERROR(__xludf.DUMMYFUNCTION("""COMPUTED_VALUE"""),18.0)</f>
        <v>18</v>
      </c>
      <c r="E1631" s="12">
        <f>IFERROR(__xludf.DUMMYFUNCTION("""COMPUTED_VALUE"""),4.0)</f>
        <v>4</v>
      </c>
      <c r="F1631" s="12">
        <f>IFERROR(__xludf.DUMMYFUNCTION("""COMPUTED_VALUE"""),1.0)</f>
        <v>1</v>
      </c>
      <c r="G1631" s="15" t="str">
        <f>IFERROR(__xludf.DUMMYFUNCTION("""COMPUTED_VALUE"""),"Completa")</f>
        <v>Completa</v>
      </c>
      <c r="H1631" s="16" t="str">
        <f t="array" ref="H1631">_xlfn.XLOOKUP(D1631,Productos[ID_Producto],Productos[Nombre_Producto])</f>
        <v>Bananas</v>
      </c>
      <c r="I1631" s="17">
        <f t="array" ref="I1631">_xlfn.XLOOKUP(D1631,Productos[ID_Producto],Productos[Precio_Unitario])</f>
        <v>7.25</v>
      </c>
      <c r="J1631" s="17">
        <f t="shared" si="1"/>
        <v>29</v>
      </c>
      <c r="K1631" s="16" t="str">
        <f t="array" ref="K1631">_xlfn.XLOOKUP(C1631,Clientes[ID_Cliente],Clientes[Provincia])</f>
        <v>Neuquén</v>
      </c>
      <c r="L1631" s="16" t="str">
        <f t="array" ref="L1631">CONCATENATE(_xlfn.XLOOKUP(C1631,Clientes[ID_Cliente],Clientes[Provincia]),", Argentina")</f>
        <v>Neuquén, Argentina</v>
      </c>
      <c r="M1631" s="20" t="str">
        <f t="array" ref="M1631">_xlfn.XLOOKUP(F1631,Metodos_De_Pago[ID_Metodo],Metodos_De_Pago[Metodo])</f>
        <v>Efectivo</v>
      </c>
      <c r="N1631" s="20" t="str">
        <f t="shared" si="2"/>
        <v>2024 04</v>
      </c>
    </row>
    <row r="1632" ht="22.5" customHeight="1">
      <c r="A1632" s="12">
        <f>IFERROR(__xludf.DUMMYFUNCTION("""COMPUTED_VALUE"""),1714.0)</f>
        <v>1714</v>
      </c>
      <c r="B1632" s="13">
        <f>IFERROR(__xludf.DUMMYFUNCTION("""COMPUTED_VALUE"""),45403.0)</f>
        <v>45403</v>
      </c>
      <c r="C1632" s="12">
        <f>IFERROR(__xludf.DUMMYFUNCTION("""COMPUTED_VALUE"""),242.0)</f>
        <v>242</v>
      </c>
      <c r="D1632" s="12">
        <f>IFERROR(__xludf.DUMMYFUNCTION("""COMPUTED_VALUE"""),32.0)</f>
        <v>32</v>
      </c>
      <c r="E1632" s="12">
        <f>IFERROR(__xludf.DUMMYFUNCTION("""COMPUTED_VALUE"""),4.0)</f>
        <v>4</v>
      </c>
      <c r="F1632" s="12">
        <f>IFERROR(__xludf.DUMMYFUNCTION("""COMPUTED_VALUE"""),5.0)</f>
        <v>5</v>
      </c>
      <c r="G1632" s="15" t="str">
        <f>IFERROR(__xludf.DUMMYFUNCTION("""COMPUTED_VALUE"""),"Completa")</f>
        <v>Completa</v>
      </c>
      <c r="H1632" s="16" t="str">
        <f t="array" ref="H1632">_xlfn.XLOOKUP(D1632,Productos[ID_Producto],Productos[Nombre_Producto])</f>
        <v>Galletitas de chocolate</v>
      </c>
      <c r="I1632" s="17">
        <f t="array" ref="I1632">_xlfn.XLOOKUP(D1632,Productos[ID_Producto],Productos[Precio_Unitario])</f>
        <v>6.25</v>
      </c>
      <c r="J1632" s="17">
        <f t="shared" si="1"/>
        <v>25</v>
      </c>
      <c r="K1632" s="16" t="str">
        <f t="array" ref="K1632">_xlfn.XLOOKUP(C1632,Clientes[ID_Cliente],Clientes[Provincia])</f>
        <v>Chaco</v>
      </c>
      <c r="L1632" s="16" t="str">
        <f t="array" ref="L1632">CONCATENATE(_xlfn.XLOOKUP(C1632,Clientes[ID_Cliente],Clientes[Provincia]),", Argentina")</f>
        <v>Chaco, Argentina</v>
      </c>
      <c r="M1632" s="20" t="str">
        <f t="array" ref="M1632">_xlfn.XLOOKUP(F1632,Metodos_De_Pago[ID_Metodo],Metodos_De_Pago[Metodo])</f>
        <v>Transferencia</v>
      </c>
      <c r="N1632" s="20" t="str">
        <f t="shared" si="2"/>
        <v>2024 04</v>
      </c>
    </row>
    <row r="1633" ht="22.5" customHeight="1">
      <c r="A1633" s="12">
        <f>IFERROR(__xludf.DUMMYFUNCTION("""COMPUTED_VALUE"""),1894.0)</f>
        <v>1894</v>
      </c>
      <c r="B1633" s="13">
        <f>IFERROR(__xludf.DUMMYFUNCTION("""COMPUTED_VALUE"""),45403.0)</f>
        <v>45403</v>
      </c>
      <c r="C1633" s="12">
        <f>IFERROR(__xludf.DUMMYFUNCTION("""COMPUTED_VALUE"""),1.0)</f>
        <v>1</v>
      </c>
      <c r="D1633" s="12">
        <f>IFERROR(__xludf.DUMMYFUNCTION("""COMPUTED_VALUE"""),37.0)</f>
        <v>37</v>
      </c>
      <c r="E1633" s="12">
        <f>IFERROR(__xludf.DUMMYFUNCTION("""COMPUTED_VALUE"""),4.0)</f>
        <v>4</v>
      </c>
      <c r="F1633" s="12">
        <f>IFERROR(__xludf.DUMMYFUNCTION("""COMPUTED_VALUE"""),4.0)</f>
        <v>4</v>
      </c>
      <c r="G1633" s="15" t="str">
        <f>IFERROR(__xludf.DUMMYFUNCTION("""COMPUTED_VALUE"""),"Completa")</f>
        <v>Completa</v>
      </c>
      <c r="H1633" s="16" t="str">
        <f t="array" ref="H1633">_xlfn.XLOOKUP(D1633,Productos[ID_Producto],Productos[Nombre_Producto])</f>
        <v>Garbanzos</v>
      </c>
      <c r="I1633" s="17">
        <f t="array" ref="I1633">_xlfn.XLOOKUP(D1633,Productos[ID_Producto],Productos[Precio_Unitario])</f>
        <v>3.65</v>
      </c>
      <c r="J1633" s="17">
        <f t="shared" si="1"/>
        <v>14.6</v>
      </c>
      <c r="K1633" s="16" t="str">
        <f t="array" ref="K1633">_xlfn.XLOOKUP(C1633,Clientes[ID_Cliente],Clientes[Provincia])</f>
        <v>Neuquén</v>
      </c>
      <c r="L1633" s="16" t="str">
        <f t="array" ref="L1633">CONCATENATE(_xlfn.XLOOKUP(C1633,Clientes[ID_Cliente],Clientes[Provincia]),", Argentina")</f>
        <v>Neuquén, Argentina</v>
      </c>
      <c r="M1633" s="20" t="str">
        <f t="array" ref="M1633">_xlfn.XLOOKUP(F1633,Metodos_De_Pago[ID_Metodo],Metodos_De_Pago[Metodo])</f>
        <v>Mercado Pago</v>
      </c>
      <c r="N1633" s="20" t="str">
        <f t="shared" si="2"/>
        <v>2024 04</v>
      </c>
    </row>
    <row r="1634" ht="22.5" customHeight="1">
      <c r="A1634" s="12">
        <f>IFERROR(__xludf.DUMMYFUNCTION("""COMPUTED_VALUE"""),1806.0)</f>
        <v>1806</v>
      </c>
      <c r="B1634" s="13">
        <f>IFERROR(__xludf.DUMMYFUNCTION("""COMPUTED_VALUE"""),45404.0)</f>
        <v>45404</v>
      </c>
      <c r="C1634" s="12">
        <f>IFERROR(__xludf.DUMMYFUNCTION("""COMPUTED_VALUE"""),233.0)</f>
        <v>233</v>
      </c>
      <c r="D1634" s="12">
        <f>IFERROR(__xludf.DUMMYFUNCTION("""COMPUTED_VALUE"""),35.0)</f>
        <v>35</v>
      </c>
      <c r="E1634" s="12">
        <f>IFERROR(__xludf.DUMMYFUNCTION("""COMPUTED_VALUE"""),4.0)</f>
        <v>4</v>
      </c>
      <c r="F1634" s="12">
        <f>IFERROR(__xludf.DUMMYFUNCTION("""COMPUTED_VALUE"""),2.0)</f>
        <v>2</v>
      </c>
      <c r="G1634" s="15" t="str">
        <f>IFERROR(__xludf.DUMMYFUNCTION("""COMPUTED_VALUE"""),"Completa")</f>
        <v>Completa</v>
      </c>
      <c r="H1634" s="16" t="str">
        <f t="array" ref="H1634">_xlfn.XLOOKUP(D1634,Productos[ID_Producto],Productos[Nombre_Producto])</f>
        <v>Arroz</v>
      </c>
      <c r="I1634" s="17">
        <f t="array" ref="I1634">_xlfn.XLOOKUP(D1634,Productos[ID_Producto],Productos[Precio_Unitario])</f>
        <v>4.25</v>
      </c>
      <c r="J1634" s="17">
        <f t="shared" si="1"/>
        <v>17</v>
      </c>
      <c r="K1634" s="16" t="str">
        <f t="array" ref="K1634">_xlfn.XLOOKUP(C1634,Clientes[ID_Cliente],Clientes[Provincia])</f>
        <v>Córdoba</v>
      </c>
      <c r="L1634" s="16" t="str">
        <f t="array" ref="L1634">CONCATENATE(_xlfn.XLOOKUP(C1634,Clientes[ID_Cliente],Clientes[Provincia]),", Argentina")</f>
        <v>Córdoba, Argentina</v>
      </c>
      <c r="M1634" s="20" t="str">
        <f t="array" ref="M1634">_xlfn.XLOOKUP(F1634,Metodos_De_Pago[ID_Metodo],Metodos_De_Pago[Metodo])</f>
        <v>Tarjeta de Crédito</v>
      </c>
      <c r="N1634" s="20" t="str">
        <f t="shared" si="2"/>
        <v>2024 04</v>
      </c>
    </row>
    <row r="1635" ht="22.5" customHeight="1">
      <c r="A1635" s="12">
        <f>IFERROR(__xludf.DUMMYFUNCTION("""COMPUTED_VALUE"""),1800.0)</f>
        <v>1800</v>
      </c>
      <c r="B1635" s="13">
        <f>IFERROR(__xludf.DUMMYFUNCTION("""COMPUTED_VALUE"""),45405.0)</f>
        <v>45405</v>
      </c>
      <c r="C1635" s="12">
        <f>IFERROR(__xludf.DUMMYFUNCTION("""COMPUTED_VALUE"""),313.0)</f>
        <v>313</v>
      </c>
      <c r="D1635" s="12">
        <f>IFERROR(__xludf.DUMMYFUNCTION("""COMPUTED_VALUE"""),37.0)</f>
        <v>37</v>
      </c>
      <c r="E1635" s="12">
        <f>IFERROR(__xludf.DUMMYFUNCTION("""COMPUTED_VALUE"""),4.0)</f>
        <v>4</v>
      </c>
      <c r="F1635" s="12">
        <f>IFERROR(__xludf.DUMMYFUNCTION("""COMPUTED_VALUE"""),5.0)</f>
        <v>5</v>
      </c>
      <c r="G1635" s="15" t="str">
        <f>IFERROR(__xludf.DUMMYFUNCTION("""COMPUTED_VALUE"""),"Pendiente")</f>
        <v>Pendiente</v>
      </c>
      <c r="H1635" s="16" t="str">
        <f t="array" ref="H1635">_xlfn.XLOOKUP(D1635,Productos[ID_Producto],Productos[Nombre_Producto])</f>
        <v>Garbanzos</v>
      </c>
      <c r="I1635" s="17">
        <f t="array" ref="I1635">_xlfn.XLOOKUP(D1635,Productos[ID_Producto],Productos[Precio_Unitario])</f>
        <v>3.65</v>
      </c>
      <c r="J1635" s="17">
        <f t="shared" si="1"/>
        <v>14.6</v>
      </c>
      <c r="K1635" s="16" t="str">
        <f t="array" ref="K1635">_xlfn.XLOOKUP(C1635,Clientes[ID_Cliente],Clientes[Provincia])</f>
        <v>San Luis</v>
      </c>
      <c r="L1635" s="16" t="str">
        <f t="array" ref="L1635">CONCATENATE(_xlfn.XLOOKUP(C1635,Clientes[ID_Cliente],Clientes[Provincia]),", Argentina")</f>
        <v>San Luis, Argentina</v>
      </c>
      <c r="M1635" s="20" t="str">
        <f t="array" ref="M1635">_xlfn.XLOOKUP(F1635,Metodos_De_Pago[ID_Metodo],Metodos_De_Pago[Metodo])</f>
        <v>Transferencia</v>
      </c>
      <c r="N1635" s="20" t="str">
        <f t="shared" si="2"/>
        <v>2024 04</v>
      </c>
    </row>
    <row r="1636" ht="22.5" customHeight="1">
      <c r="A1636" s="12">
        <f>IFERROR(__xludf.DUMMYFUNCTION("""COMPUTED_VALUE"""),119.0)</f>
        <v>119</v>
      </c>
      <c r="B1636" s="13">
        <f>IFERROR(__xludf.DUMMYFUNCTION("""COMPUTED_VALUE"""),45406.0)</f>
        <v>45406</v>
      </c>
      <c r="C1636" s="12">
        <f>IFERROR(__xludf.DUMMYFUNCTION("""COMPUTED_VALUE"""),55.0)</f>
        <v>55</v>
      </c>
      <c r="D1636" s="12">
        <f>IFERROR(__xludf.DUMMYFUNCTION("""COMPUTED_VALUE"""),21.0)</f>
        <v>21</v>
      </c>
      <c r="E1636" s="12">
        <f>IFERROR(__xludf.DUMMYFUNCTION("""COMPUTED_VALUE"""),4.0)</f>
        <v>4</v>
      </c>
      <c r="F1636" s="12">
        <f>IFERROR(__xludf.DUMMYFUNCTION("""COMPUTED_VALUE"""),5.0)</f>
        <v>5</v>
      </c>
      <c r="G1636" s="15" t="str">
        <f>IFERROR(__xludf.DUMMYFUNCTION("""COMPUTED_VALUE"""),"Completa")</f>
        <v>Completa</v>
      </c>
      <c r="H1636" s="16" t="str">
        <f t="array" ref="H1636">_xlfn.XLOOKUP(D1636,Productos[ID_Producto],Productos[Nombre_Producto])</f>
        <v>Zanahorias</v>
      </c>
      <c r="I1636" s="17">
        <f t="array" ref="I1636">_xlfn.XLOOKUP(D1636,Productos[ID_Producto],Productos[Precio_Unitario])</f>
        <v>3.25</v>
      </c>
      <c r="J1636" s="17">
        <f t="shared" si="1"/>
        <v>13</v>
      </c>
      <c r="K1636" s="16" t="str">
        <f t="array" ref="K1636">_xlfn.XLOOKUP(C1636,Clientes[ID_Cliente],Clientes[Provincia])</f>
        <v>Neuquén</v>
      </c>
      <c r="L1636" s="16" t="str">
        <f t="array" ref="L1636">CONCATENATE(_xlfn.XLOOKUP(C1636,Clientes[ID_Cliente],Clientes[Provincia]),", Argentina")</f>
        <v>Neuquén, Argentina</v>
      </c>
      <c r="M1636" s="20" t="str">
        <f t="array" ref="M1636">_xlfn.XLOOKUP(F1636,Metodos_De_Pago[ID_Metodo],Metodos_De_Pago[Metodo])</f>
        <v>Transferencia</v>
      </c>
      <c r="N1636" s="20" t="str">
        <f t="shared" si="2"/>
        <v>2024 04</v>
      </c>
    </row>
    <row r="1637" ht="22.5" customHeight="1">
      <c r="A1637" s="12">
        <f>IFERROR(__xludf.DUMMYFUNCTION("""COMPUTED_VALUE"""),1460.0)</f>
        <v>1460</v>
      </c>
      <c r="B1637" s="13">
        <f>IFERROR(__xludf.DUMMYFUNCTION("""COMPUTED_VALUE"""),45406.0)</f>
        <v>45406</v>
      </c>
      <c r="C1637" s="12">
        <f>IFERROR(__xludf.DUMMYFUNCTION("""COMPUTED_VALUE"""),40.0)</f>
        <v>40</v>
      </c>
      <c r="D1637" s="12">
        <f>IFERROR(__xludf.DUMMYFUNCTION("""COMPUTED_VALUE"""),17.0)</f>
        <v>17</v>
      </c>
      <c r="E1637" s="12">
        <f>IFERROR(__xludf.DUMMYFUNCTION("""COMPUTED_VALUE"""),4.0)</f>
        <v>4</v>
      </c>
      <c r="F1637" s="12">
        <f>IFERROR(__xludf.DUMMYFUNCTION("""COMPUTED_VALUE"""),3.0)</f>
        <v>3</v>
      </c>
      <c r="G1637" s="15" t="str">
        <f>IFERROR(__xludf.DUMMYFUNCTION("""COMPUTED_VALUE"""),"Completa")</f>
        <v>Completa</v>
      </c>
      <c r="H1637" s="16" t="str">
        <f t="array" ref="H1637">_xlfn.XLOOKUP(D1637,Productos[ID_Producto],Productos[Nombre_Producto])</f>
        <v>Manzanas</v>
      </c>
      <c r="I1637" s="17">
        <f t="array" ref="I1637">_xlfn.XLOOKUP(D1637,Productos[ID_Producto],Productos[Precio_Unitario])</f>
        <v>6.54</v>
      </c>
      <c r="J1637" s="17">
        <f t="shared" si="1"/>
        <v>26.16</v>
      </c>
      <c r="K1637" s="16" t="str">
        <f t="array" ref="K1637">_xlfn.XLOOKUP(C1637,Clientes[ID_Cliente],Clientes[Provincia])</f>
        <v>San Luis</v>
      </c>
      <c r="L1637" s="16" t="str">
        <f t="array" ref="L1637">CONCATENATE(_xlfn.XLOOKUP(C1637,Clientes[ID_Cliente],Clientes[Provincia]),", Argentina")</f>
        <v>San Luis, Argentina</v>
      </c>
      <c r="M1637" s="20" t="str">
        <f t="array" ref="M1637">_xlfn.XLOOKUP(F1637,Metodos_De_Pago[ID_Metodo],Metodos_De_Pago[Metodo])</f>
        <v>Tarjeta de Débito</v>
      </c>
      <c r="N1637" s="20" t="str">
        <f t="shared" si="2"/>
        <v>2024 04</v>
      </c>
    </row>
    <row r="1638" ht="22.5" customHeight="1">
      <c r="A1638" s="12">
        <f>IFERROR(__xludf.DUMMYFUNCTION("""COMPUTED_VALUE"""),2145.0)</f>
        <v>2145</v>
      </c>
      <c r="B1638" s="13">
        <f>IFERROR(__xludf.DUMMYFUNCTION("""COMPUTED_VALUE"""),45406.0)</f>
        <v>45406</v>
      </c>
      <c r="C1638" s="12">
        <f>IFERROR(__xludf.DUMMYFUNCTION("""COMPUTED_VALUE"""),38.0)</f>
        <v>38</v>
      </c>
      <c r="D1638" s="12">
        <f>IFERROR(__xludf.DUMMYFUNCTION("""COMPUTED_VALUE"""),12.0)</f>
        <v>12</v>
      </c>
      <c r="E1638" s="12">
        <f>IFERROR(__xludf.DUMMYFUNCTION("""COMPUTED_VALUE"""),4.0)</f>
        <v>4</v>
      </c>
      <c r="F1638" s="12">
        <f>IFERROR(__xludf.DUMMYFUNCTION("""COMPUTED_VALUE"""),2.0)</f>
        <v>2</v>
      </c>
      <c r="G1638" s="15" t="str">
        <f>IFERROR(__xludf.DUMMYFUNCTION("""COMPUTED_VALUE"""),"Completa")</f>
        <v>Completa</v>
      </c>
      <c r="H1638" s="16" t="str">
        <f t="array" ref="H1638">_xlfn.XLOOKUP(D1638,Productos[ID_Producto],Productos[Nombre_Producto])</f>
        <v>Pan francés</v>
      </c>
      <c r="I1638" s="17">
        <f t="array" ref="I1638">_xlfn.XLOOKUP(D1638,Productos[ID_Producto],Productos[Precio_Unitario])</f>
        <v>8.12</v>
      </c>
      <c r="J1638" s="17">
        <f t="shared" si="1"/>
        <v>32.48</v>
      </c>
      <c r="K1638" s="16" t="str">
        <f t="array" ref="K1638">_xlfn.XLOOKUP(C1638,Clientes[ID_Cliente],Clientes[Provincia])</f>
        <v>Neuquén</v>
      </c>
      <c r="L1638" s="16" t="str">
        <f t="array" ref="L1638">CONCATENATE(_xlfn.XLOOKUP(C1638,Clientes[ID_Cliente],Clientes[Provincia]),", Argentina")</f>
        <v>Neuquén, Argentina</v>
      </c>
      <c r="M1638" s="20" t="str">
        <f t="array" ref="M1638">_xlfn.XLOOKUP(F1638,Metodos_De_Pago[ID_Metodo],Metodos_De_Pago[Metodo])</f>
        <v>Tarjeta de Crédito</v>
      </c>
      <c r="N1638" s="20" t="str">
        <f t="shared" si="2"/>
        <v>2024 04</v>
      </c>
    </row>
    <row r="1639" ht="22.5" customHeight="1">
      <c r="A1639" s="12">
        <f>IFERROR(__xludf.DUMMYFUNCTION("""COMPUTED_VALUE"""),2584.0)</f>
        <v>2584</v>
      </c>
      <c r="B1639" s="13">
        <f>IFERROR(__xludf.DUMMYFUNCTION("""COMPUTED_VALUE"""),45406.0)</f>
        <v>45406</v>
      </c>
      <c r="C1639" s="12">
        <f>IFERROR(__xludf.DUMMYFUNCTION("""COMPUTED_VALUE"""),141.0)</f>
        <v>141</v>
      </c>
      <c r="D1639" s="12">
        <f>IFERROR(__xludf.DUMMYFUNCTION("""COMPUTED_VALUE"""),5.0)</f>
        <v>5</v>
      </c>
      <c r="E1639" s="12">
        <f>IFERROR(__xludf.DUMMYFUNCTION("""COMPUTED_VALUE"""),4.0)</f>
        <v>4</v>
      </c>
      <c r="F1639" s="12">
        <f>IFERROR(__xludf.DUMMYFUNCTION("""COMPUTED_VALUE"""),4.0)</f>
        <v>4</v>
      </c>
      <c r="G1639" s="15" t="str">
        <f>IFERROR(__xludf.DUMMYFUNCTION("""COMPUTED_VALUE"""),"Completa")</f>
        <v>Completa</v>
      </c>
      <c r="H1639" s="16" t="str">
        <f t="array" ref="H1639">_xlfn.XLOOKUP(D1639,Productos[ID_Producto],Productos[Nombre_Producto])</f>
        <v>Manteca</v>
      </c>
      <c r="I1639" s="17">
        <f t="array" ref="I1639">_xlfn.XLOOKUP(D1639,Productos[ID_Producto],Productos[Precio_Unitario])</f>
        <v>5.65</v>
      </c>
      <c r="J1639" s="17">
        <f t="shared" si="1"/>
        <v>22.6</v>
      </c>
      <c r="K1639" s="16" t="str">
        <f t="array" ref="K1639">_xlfn.XLOOKUP(C1639,Clientes[ID_Cliente],Clientes[Provincia])</f>
        <v>Chaco</v>
      </c>
      <c r="L1639" s="16" t="str">
        <f t="array" ref="L1639">CONCATENATE(_xlfn.XLOOKUP(C1639,Clientes[ID_Cliente],Clientes[Provincia]),", Argentina")</f>
        <v>Chaco, Argentina</v>
      </c>
      <c r="M1639" s="20" t="str">
        <f t="array" ref="M1639">_xlfn.XLOOKUP(F1639,Metodos_De_Pago[ID_Metodo],Metodos_De_Pago[Metodo])</f>
        <v>Mercado Pago</v>
      </c>
      <c r="N1639" s="20" t="str">
        <f t="shared" si="2"/>
        <v>2024 04</v>
      </c>
    </row>
    <row r="1640" ht="22.5" customHeight="1">
      <c r="A1640" s="12">
        <f>IFERROR(__xludf.DUMMYFUNCTION("""COMPUTED_VALUE"""),2615.0)</f>
        <v>2615</v>
      </c>
      <c r="B1640" s="13">
        <f>IFERROR(__xludf.DUMMYFUNCTION("""COMPUTED_VALUE"""),45407.0)</f>
        <v>45407</v>
      </c>
      <c r="C1640" s="12">
        <f>IFERROR(__xludf.DUMMYFUNCTION("""COMPUTED_VALUE"""),277.0)</f>
        <v>277</v>
      </c>
      <c r="D1640" s="12">
        <f>IFERROR(__xludf.DUMMYFUNCTION("""COMPUTED_VALUE"""),16.0)</f>
        <v>16</v>
      </c>
      <c r="E1640" s="12">
        <f>IFERROR(__xludf.DUMMYFUNCTION("""COMPUTED_VALUE"""),4.0)</f>
        <v>4</v>
      </c>
      <c r="F1640" s="12">
        <f>IFERROR(__xludf.DUMMYFUNCTION("""COMPUTED_VALUE"""),5.0)</f>
        <v>5</v>
      </c>
      <c r="G1640" s="15" t="str">
        <f>IFERROR(__xludf.DUMMYFUNCTION("""COMPUTED_VALUE"""),"Completa")</f>
        <v>Completa</v>
      </c>
      <c r="H1640" s="16" t="str">
        <f t="array" ref="H1640">_xlfn.XLOOKUP(D1640,Productos[ID_Producto],Productos[Nombre_Producto])</f>
        <v>Tortas</v>
      </c>
      <c r="I1640" s="17">
        <f t="array" ref="I1640">_xlfn.XLOOKUP(D1640,Productos[ID_Producto],Productos[Precio_Unitario])</f>
        <v>15.23</v>
      </c>
      <c r="J1640" s="17">
        <f t="shared" si="1"/>
        <v>60.92</v>
      </c>
      <c r="K1640" s="16" t="str">
        <f t="array" ref="K1640">_xlfn.XLOOKUP(C1640,Clientes[ID_Cliente],Clientes[Provincia])</f>
        <v>Neuquén</v>
      </c>
      <c r="L1640" s="16" t="str">
        <f t="array" ref="L1640">CONCATENATE(_xlfn.XLOOKUP(C1640,Clientes[ID_Cliente],Clientes[Provincia]),", Argentina")</f>
        <v>Neuquén, Argentina</v>
      </c>
      <c r="M1640" s="20" t="str">
        <f t="array" ref="M1640">_xlfn.XLOOKUP(F1640,Metodos_De_Pago[ID_Metodo],Metodos_De_Pago[Metodo])</f>
        <v>Transferencia</v>
      </c>
      <c r="N1640" s="20" t="str">
        <f t="shared" si="2"/>
        <v>2024 04</v>
      </c>
    </row>
    <row r="1641" ht="22.5" customHeight="1">
      <c r="A1641" s="12">
        <f>IFERROR(__xludf.DUMMYFUNCTION("""COMPUTED_VALUE"""),2974.0)</f>
        <v>2974</v>
      </c>
      <c r="B1641" s="13">
        <f>IFERROR(__xludf.DUMMYFUNCTION("""COMPUTED_VALUE"""),45407.0)</f>
        <v>45407</v>
      </c>
      <c r="C1641" s="12">
        <f>IFERROR(__xludf.DUMMYFUNCTION("""COMPUTED_VALUE"""),315.0)</f>
        <v>315</v>
      </c>
      <c r="D1641" s="12">
        <f>IFERROR(__xludf.DUMMYFUNCTION("""COMPUTED_VALUE"""),17.0)</f>
        <v>17</v>
      </c>
      <c r="E1641" s="12">
        <f>IFERROR(__xludf.DUMMYFUNCTION("""COMPUTED_VALUE"""),4.0)</f>
        <v>4</v>
      </c>
      <c r="F1641" s="12">
        <f>IFERROR(__xludf.DUMMYFUNCTION("""COMPUTED_VALUE"""),3.0)</f>
        <v>3</v>
      </c>
      <c r="G1641" s="15" t="str">
        <f>IFERROR(__xludf.DUMMYFUNCTION("""COMPUTED_VALUE"""),"Completa")</f>
        <v>Completa</v>
      </c>
      <c r="H1641" s="16" t="str">
        <f t="array" ref="H1641">_xlfn.XLOOKUP(D1641,Productos[ID_Producto],Productos[Nombre_Producto])</f>
        <v>Manzanas</v>
      </c>
      <c r="I1641" s="17">
        <f t="array" ref="I1641">_xlfn.XLOOKUP(D1641,Productos[ID_Producto],Productos[Precio_Unitario])</f>
        <v>6.54</v>
      </c>
      <c r="J1641" s="17">
        <f t="shared" si="1"/>
        <v>26.16</v>
      </c>
      <c r="K1641" s="16" t="str">
        <f t="array" ref="K1641">_xlfn.XLOOKUP(C1641,Clientes[ID_Cliente],Clientes[Provincia])</f>
        <v>Buenos Aires</v>
      </c>
      <c r="L1641" s="16" t="str">
        <f t="array" ref="L1641">CONCATENATE(_xlfn.XLOOKUP(C1641,Clientes[ID_Cliente],Clientes[Provincia]),", Argentina")</f>
        <v>Buenos Aires, Argentina</v>
      </c>
      <c r="M1641" s="20" t="str">
        <f t="array" ref="M1641">_xlfn.XLOOKUP(F1641,Metodos_De_Pago[ID_Metodo],Metodos_De_Pago[Metodo])</f>
        <v>Tarjeta de Débito</v>
      </c>
      <c r="N1641" s="20" t="str">
        <f t="shared" si="2"/>
        <v>2024 04</v>
      </c>
    </row>
    <row r="1642" ht="22.5" customHeight="1">
      <c r="A1642" s="12">
        <f>IFERROR(__xludf.DUMMYFUNCTION("""COMPUTED_VALUE"""),842.0)</f>
        <v>842</v>
      </c>
      <c r="B1642" s="13">
        <f>IFERROR(__xludf.DUMMYFUNCTION("""COMPUTED_VALUE"""),45409.0)</f>
        <v>45409</v>
      </c>
      <c r="C1642" s="12">
        <f>IFERROR(__xludf.DUMMYFUNCTION("""COMPUTED_VALUE"""),307.0)</f>
        <v>307</v>
      </c>
      <c r="D1642" s="12">
        <f>IFERROR(__xludf.DUMMYFUNCTION("""COMPUTED_VALUE"""),14.0)</f>
        <v>14</v>
      </c>
      <c r="E1642" s="12">
        <f>IFERROR(__xludf.DUMMYFUNCTION("""COMPUTED_VALUE"""),4.0)</f>
        <v>4</v>
      </c>
      <c r="F1642" s="12">
        <f>IFERROR(__xludf.DUMMYFUNCTION("""COMPUTED_VALUE"""),4.0)</f>
        <v>4</v>
      </c>
      <c r="G1642" s="15" t="str">
        <f>IFERROR(__xludf.DUMMYFUNCTION("""COMPUTED_VALUE"""),"Completa")</f>
        <v>Completa</v>
      </c>
      <c r="H1642" s="16" t="str">
        <f t="array" ref="H1642">_xlfn.XLOOKUP(D1642,Productos[ID_Producto],Productos[Nombre_Producto])</f>
        <v>Facturas</v>
      </c>
      <c r="I1642" s="17">
        <f t="array" ref="I1642">_xlfn.XLOOKUP(D1642,Productos[ID_Producto],Productos[Precio_Unitario])</f>
        <v>12.36</v>
      </c>
      <c r="J1642" s="17">
        <f t="shared" si="1"/>
        <v>49.44</v>
      </c>
      <c r="K1642" s="16" t="str">
        <f t="array" ref="K1642">_xlfn.XLOOKUP(C1642,Clientes[ID_Cliente],Clientes[Provincia])</f>
        <v>San Luis</v>
      </c>
      <c r="L1642" s="16" t="str">
        <f t="array" ref="L1642">CONCATENATE(_xlfn.XLOOKUP(C1642,Clientes[ID_Cliente],Clientes[Provincia]),", Argentina")</f>
        <v>San Luis, Argentina</v>
      </c>
      <c r="M1642" s="20" t="str">
        <f t="array" ref="M1642">_xlfn.XLOOKUP(F1642,Metodos_De_Pago[ID_Metodo],Metodos_De_Pago[Metodo])</f>
        <v>Mercado Pago</v>
      </c>
      <c r="N1642" s="20" t="str">
        <f t="shared" si="2"/>
        <v>2024 04</v>
      </c>
    </row>
    <row r="1643" ht="22.5" customHeight="1">
      <c r="A1643" s="12">
        <f>IFERROR(__xludf.DUMMYFUNCTION("""COMPUTED_VALUE"""),2245.0)</f>
        <v>2245</v>
      </c>
      <c r="B1643" s="13">
        <f>IFERROR(__xludf.DUMMYFUNCTION("""COMPUTED_VALUE"""),45409.0)</f>
        <v>45409</v>
      </c>
      <c r="C1643" s="12">
        <f>IFERROR(__xludf.DUMMYFUNCTION("""COMPUTED_VALUE"""),167.0)</f>
        <v>167</v>
      </c>
      <c r="D1643" s="12">
        <f>IFERROR(__xludf.DUMMYFUNCTION("""COMPUTED_VALUE"""),22.0)</f>
        <v>22</v>
      </c>
      <c r="E1643" s="12">
        <f>IFERROR(__xludf.DUMMYFUNCTION("""COMPUTED_VALUE"""),4.0)</f>
        <v>4</v>
      </c>
      <c r="F1643" s="12">
        <f>IFERROR(__xludf.DUMMYFUNCTION("""COMPUTED_VALUE"""),3.0)</f>
        <v>3</v>
      </c>
      <c r="G1643" s="15" t="str">
        <f>IFERROR(__xludf.DUMMYFUNCTION("""COMPUTED_VALUE"""),"Completa")</f>
        <v>Completa</v>
      </c>
      <c r="H1643" s="16" t="str">
        <f t="array" ref="H1643">_xlfn.XLOOKUP(D1643,Productos[ID_Producto],Productos[Nombre_Producto])</f>
        <v>Cebolla</v>
      </c>
      <c r="I1643" s="17">
        <f t="array" ref="I1643">_xlfn.XLOOKUP(D1643,Productos[ID_Producto],Productos[Precio_Unitario])</f>
        <v>4.21</v>
      </c>
      <c r="J1643" s="17">
        <f t="shared" si="1"/>
        <v>16.84</v>
      </c>
      <c r="K1643" s="16" t="str">
        <f t="array" ref="K1643">_xlfn.XLOOKUP(C1643,Clientes[ID_Cliente],Clientes[Provincia])</f>
        <v>Buenos Aires</v>
      </c>
      <c r="L1643" s="16" t="str">
        <f t="array" ref="L1643">CONCATENATE(_xlfn.XLOOKUP(C1643,Clientes[ID_Cliente],Clientes[Provincia]),", Argentina")</f>
        <v>Buenos Aires, Argentina</v>
      </c>
      <c r="M1643" s="20" t="str">
        <f t="array" ref="M1643">_xlfn.XLOOKUP(F1643,Metodos_De_Pago[ID_Metodo],Metodos_De_Pago[Metodo])</f>
        <v>Tarjeta de Débito</v>
      </c>
      <c r="N1643" s="20" t="str">
        <f t="shared" si="2"/>
        <v>2024 04</v>
      </c>
    </row>
    <row r="1644" ht="22.5" customHeight="1">
      <c r="A1644" s="12">
        <f>IFERROR(__xludf.DUMMYFUNCTION("""COMPUTED_VALUE"""),858.0)</f>
        <v>858</v>
      </c>
      <c r="B1644" s="13">
        <f>IFERROR(__xludf.DUMMYFUNCTION("""COMPUTED_VALUE"""),45410.0)</f>
        <v>45410</v>
      </c>
      <c r="C1644" s="12">
        <f>IFERROR(__xludf.DUMMYFUNCTION("""COMPUTED_VALUE"""),67.0)</f>
        <v>67</v>
      </c>
      <c r="D1644" s="12">
        <f>IFERROR(__xludf.DUMMYFUNCTION("""COMPUTED_VALUE"""),1.0)</f>
        <v>1</v>
      </c>
      <c r="E1644" s="12">
        <f>IFERROR(__xludf.DUMMYFUNCTION("""COMPUTED_VALUE"""),4.0)</f>
        <v>4</v>
      </c>
      <c r="F1644" s="12">
        <f>IFERROR(__xludf.DUMMYFUNCTION("""COMPUTED_VALUE"""),3.0)</f>
        <v>3</v>
      </c>
      <c r="G1644" s="15" t="str">
        <f>IFERROR(__xludf.DUMMYFUNCTION("""COMPUTED_VALUE"""),"Pendiente")</f>
        <v>Pendiente</v>
      </c>
      <c r="H1644" s="16" t="str">
        <f t="array" ref="H1644">_xlfn.XLOOKUP(D1644,Productos[ID_Producto],Productos[Nombre_Producto])</f>
        <v>Leche</v>
      </c>
      <c r="I1644" s="17">
        <f t="array" ref="I1644">_xlfn.XLOOKUP(D1644,Productos[ID_Producto],Productos[Precio_Unitario])</f>
        <v>12.24</v>
      </c>
      <c r="J1644" s="17">
        <f t="shared" si="1"/>
        <v>48.96</v>
      </c>
      <c r="K1644" s="16" t="str">
        <f t="array" ref="K1644">_xlfn.XLOOKUP(C1644,Clientes[ID_Cliente],Clientes[Provincia])</f>
        <v>Chaco</v>
      </c>
      <c r="L1644" s="16" t="str">
        <f t="array" ref="L1644">CONCATENATE(_xlfn.XLOOKUP(C1644,Clientes[ID_Cliente],Clientes[Provincia]),", Argentina")</f>
        <v>Chaco, Argentina</v>
      </c>
      <c r="M1644" s="20" t="str">
        <f t="array" ref="M1644">_xlfn.XLOOKUP(F1644,Metodos_De_Pago[ID_Metodo],Metodos_De_Pago[Metodo])</f>
        <v>Tarjeta de Débito</v>
      </c>
      <c r="N1644" s="20" t="str">
        <f t="shared" si="2"/>
        <v>2024 04</v>
      </c>
    </row>
    <row r="1645" ht="22.5" customHeight="1">
      <c r="A1645" s="12">
        <f>IFERROR(__xludf.DUMMYFUNCTION("""COMPUTED_VALUE"""),1689.0)</f>
        <v>1689</v>
      </c>
      <c r="B1645" s="13">
        <f>IFERROR(__xludf.DUMMYFUNCTION("""COMPUTED_VALUE"""),45410.0)</f>
        <v>45410</v>
      </c>
      <c r="C1645" s="12">
        <f>IFERROR(__xludf.DUMMYFUNCTION("""COMPUTED_VALUE"""),28.0)</f>
        <v>28</v>
      </c>
      <c r="D1645" s="12">
        <f>IFERROR(__xludf.DUMMYFUNCTION("""COMPUTED_VALUE"""),33.0)</f>
        <v>33</v>
      </c>
      <c r="E1645" s="12">
        <f>IFERROR(__xludf.DUMMYFUNCTION("""COMPUTED_VALUE"""),4.0)</f>
        <v>4</v>
      </c>
      <c r="F1645" s="12">
        <f>IFERROR(__xludf.DUMMYFUNCTION("""COMPUTED_VALUE"""),1.0)</f>
        <v>1</v>
      </c>
      <c r="G1645" s="15" t="str">
        <f>IFERROR(__xludf.DUMMYFUNCTION("""COMPUTED_VALUE"""),"Completa")</f>
        <v>Completa</v>
      </c>
      <c r="H1645" s="16" t="str">
        <f t="array" ref="H1645">_xlfn.XLOOKUP(D1645,Productos[ID_Producto],Productos[Nombre_Producto])</f>
        <v>Papas chips</v>
      </c>
      <c r="I1645" s="17">
        <f t="array" ref="I1645">_xlfn.XLOOKUP(D1645,Productos[ID_Producto],Productos[Precio_Unitario])</f>
        <v>8.54</v>
      </c>
      <c r="J1645" s="17">
        <f t="shared" si="1"/>
        <v>34.16</v>
      </c>
      <c r="K1645" s="16" t="str">
        <f t="array" ref="K1645">_xlfn.XLOOKUP(C1645,Clientes[ID_Cliente],Clientes[Provincia])</f>
        <v>Chaco</v>
      </c>
      <c r="L1645" s="16" t="str">
        <f t="array" ref="L1645">CONCATENATE(_xlfn.XLOOKUP(C1645,Clientes[ID_Cliente],Clientes[Provincia]),", Argentina")</f>
        <v>Chaco, Argentina</v>
      </c>
      <c r="M1645" s="20" t="str">
        <f t="array" ref="M1645">_xlfn.XLOOKUP(F1645,Metodos_De_Pago[ID_Metodo],Metodos_De_Pago[Metodo])</f>
        <v>Efectivo</v>
      </c>
      <c r="N1645" s="20" t="str">
        <f t="shared" si="2"/>
        <v>2024 04</v>
      </c>
    </row>
    <row r="1646" ht="22.5" customHeight="1">
      <c r="A1646" s="12">
        <f>IFERROR(__xludf.DUMMYFUNCTION("""COMPUTED_VALUE"""),2539.0)</f>
        <v>2539</v>
      </c>
      <c r="B1646" s="13">
        <f>IFERROR(__xludf.DUMMYFUNCTION("""COMPUTED_VALUE"""),45410.0)</f>
        <v>45410</v>
      </c>
      <c r="C1646" s="12">
        <f>IFERROR(__xludf.DUMMYFUNCTION("""COMPUTED_VALUE"""),135.0)</f>
        <v>135</v>
      </c>
      <c r="D1646" s="12">
        <f>IFERROR(__xludf.DUMMYFUNCTION("""COMPUTED_VALUE"""),37.0)</f>
        <v>37</v>
      </c>
      <c r="E1646" s="12">
        <f>IFERROR(__xludf.DUMMYFUNCTION("""COMPUTED_VALUE"""),4.0)</f>
        <v>4</v>
      </c>
      <c r="F1646" s="12">
        <f>IFERROR(__xludf.DUMMYFUNCTION("""COMPUTED_VALUE"""),3.0)</f>
        <v>3</v>
      </c>
      <c r="G1646" s="15" t="str">
        <f>IFERROR(__xludf.DUMMYFUNCTION("""COMPUTED_VALUE"""),"Completa")</f>
        <v>Completa</v>
      </c>
      <c r="H1646" s="16" t="str">
        <f t="array" ref="H1646">_xlfn.XLOOKUP(D1646,Productos[ID_Producto],Productos[Nombre_Producto])</f>
        <v>Garbanzos</v>
      </c>
      <c r="I1646" s="17">
        <f t="array" ref="I1646">_xlfn.XLOOKUP(D1646,Productos[ID_Producto],Productos[Precio_Unitario])</f>
        <v>3.65</v>
      </c>
      <c r="J1646" s="17">
        <f t="shared" si="1"/>
        <v>14.6</v>
      </c>
      <c r="K1646" s="16" t="str">
        <f t="array" ref="K1646">_xlfn.XLOOKUP(C1646,Clientes[ID_Cliente],Clientes[Provincia])</f>
        <v>San Luis</v>
      </c>
      <c r="L1646" s="16" t="str">
        <f t="array" ref="L1646">CONCATENATE(_xlfn.XLOOKUP(C1646,Clientes[ID_Cliente],Clientes[Provincia]),", Argentina")</f>
        <v>San Luis, Argentina</v>
      </c>
      <c r="M1646" s="20" t="str">
        <f t="array" ref="M1646">_xlfn.XLOOKUP(F1646,Metodos_De_Pago[ID_Metodo],Metodos_De_Pago[Metodo])</f>
        <v>Tarjeta de Débito</v>
      </c>
      <c r="N1646" s="20" t="str">
        <f t="shared" si="2"/>
        <v>2024 04</v>
      </c>
    </row>
    <row r="1647" ht="22.5" customHeight="1">
      <c r="A1647" s="12">
        <f>IFERROR(__xludf.DUMMYFUNCTION("""COMPUTED_VALUE"""),2851.0)</f>
        <v>2851</v>
      </c>
      <c r="B1647" s="13">
        <f>IFERROR(__xludf.DUMMYFUNCTION("""COMPUTED_VALUE"""),45410.0)</f>
        <v>45410</v>
      </c>
      <c r="C1647" s="12">
        <f>IFERROR(__xludf.DUMMYFUNCTION("""COMPUTED_VALUE"""),316.0)</f>
        <v>316</v>
      </c>
      <c r="D1647" s="12">
        <f>IFERROR(__xludf.DUMMYFUNCTION("""COMPUTED_VALUE"""),33.0)</f>
        <v>33</v>
      </c>
      <c r="E1647" s="12">
        <f>IFERROR(__xludf.DUMMYFUNCTION("""COMPUTED_VALUE"""),4.0)</f>
        <v>4</v>
      </c>
      <c r="F1647" s="12">
        <f>IFERROR(__xludf.DUMMYFUNCTION("""COMPUTED_VALUE"""),1.0)</f>
        <v>1</v>
      </c>
      <c r="G1647" s="15" t="str">
        <f>IFERROR(__xludf.DUMMYFUNCTION("""COMPUTED_VALUE"""),"Completa")</f>
        <v>Completa</v>
      </c>
      <c r="H1647" s="16" t="str">
        <f t="array" ref="H1647">_xlfn.XLOOKUP(D1647,Productos[ID_Producto],Productos[Nombre_Producto])</f>
        <v>Papas chips</v>
      </c>
      <c r="I1647" s="17">
        <f t="array" ref="I1647">_xlfn.XLOOKUP(D1647,Productos[ID_Producto],Productos[Precio_Unitario])</f>
        <v>8.54</v>
      </c>
      <c r="J1647" s="17">
        <f t="shared" si="1"/>
        <v>34.16</v>
      </c>
      <c r="K1647" s="16" t="str">
        <f t="array" ref="K1647">_xlfn.XLOOKUP(C1647,Clientes[ID_Cliente],Clientes[Provincia])</f>
        <v>Córdoba</v>
      </c>
      <c r="L1647" s="16" t="str">
        <f t="array" ref="L1647">CONCATENATE(_xlfn.XLOOKUP(C1647,Clientes[ID_Cliente],Clientes[Provincia]),", Argentina")</f>
        <v>Córdoba, Argentina</v>
      </c>
      <c r="M1647" s="20" t="str">
        <f t="array" ref="M1647">_xlfn.XLOOKUP(F1647,Metodos_De_Pago[ID_Metodo],Metodos_De_Pago[Metodo])</f>
        <v>Efectivo</v>
      </c>
      <c r="N1647" s="20" t="str">
        <f t="shared" si="2"/>
        <v>2024 04</v>
      </c>
    </row>
    <row r="1648" ht="22.5" customHeight="1">
      <c r="A1648" s="12">
        <f>IFERROR(__xludf.DUMMYFUNCTION("""COMPUTED_VALUE"""),217.0)</f>
        <v>217</v>
      </c>
      <c r="B1648" s="13">
        <f>IFERROR(__xludf.DUMMYFUNCTION("""COMPUTED_VALUE"""),45411.0)</f>
        <v>45411</v>
      </c>
      <c r="C1648" s="12">
        <f>IFERROR(__xludf.DUMMYFUNCTION("""COMPUTED_VALUE"""),100.0)</f>
        <v>100</v>
      </c>
      <c r="D1648" s="12">
        <f>IFERROR(__xludf.DUMMYFUNCTION("""COMPUTED_VALUE"""),17.0)</f>
        <v>17</v>
      </c>
      <c r="E1648" s="12">
        <f>IFERROR(__xludf.DUMMYFUNCTION("""COMPUTED_VALUE"""),4.0)</f>
        <v>4</v>
      </c>
      <c r="F1648" s="12">
        <f>IFERROR(__xludf.DUMMYFUNCTION("""COMPUTED_VALUE"""),5.0)</f>
        <v>5</v>
      </c>
      <c r="G1648" s="15" t="str">
        <f>IFERROR(__xludf.DUMMYFUNCTION("""COMPUTED_VALUE"""),"Completa")</f>
        <v>Completa</v>
      </c>
      <c r="H1648" s="16" t="str">
        <f t="array" ref="H1648">_xlfn.XLOOKUP(D1648,Productos[ID_Producto],Productos[Nombre_Producto])</f>
        <v>Manzanas</v>
      </c>
      <c r="I1648" s="17">
        <f t="array" ref="I1648">_xlfn.XLOOKUP(D1648,Productos[ID_Producto],Productos[Precio_Unitario])</f>
        <v>6.54</v>
      </c>
      <c r="J1648" s="17">
        <f t="shared" si="1"/>
        <v>26.16</v>
      </c>
      <c r="K1648" s="16" t="str">
        <f t="array" ref="K1648">_xlfn.XLOOKUP(C1648,Clientes[ID_Cliente],Clientes[Provincia])</f>
        <v>Chaco</v>
      </c>
      <c r="L1648" s="16" t="str">
        <f t="array" ref="L1648">CONCATENATE(_xlfn.XLOOKUP(C1648,Clientes[ID_Cliente],Clientes[Provincia]),", Argentina")</f>
        <v>Chaco, Argentina</v>
      </c>
      <c r="M1648" s="20" t="str">
        <f t="array" ref="M1648">_xlfn.XLOOKUP(F1648,Metodos_De_Pago[ID_Metodo],Metodos_De_Pago[Metodo])</f>
        <v>Transferencia</v>
      </c>
      <c r="N1648" s="20" t="str">
        <f t="shared" si="2"/>
        <v>2024 04</v>
      </c>
    </row>
    <row r="1649" ht="22.5" customHeight="1">
      <c r="A1649" s="12">
        <f>IFERROR(__xludf.DUMMYFUNCTION("""COMPUTED_VALUE"""),1207.0)</f>
        <v>1207</v>
      </c>
      <c r="B1649" s="13">
        <f>IFERROR(__xludf.DUMMYFUNCTION("""COMPUTED_VALUE"""),45411.0)</f>
        <v>45411</v>
      </c>
      <c r="C1649" s="12">
        <f>IFERROR(__xludf.DUMMYFUNCTION("""COMPUTED_VALUE"""),159.0)</f>
        <v>159</v>
      </c>
      <c r="D1649" s="12">
        <f>IFERROR(__xludf.DUMMYFUNCTION("""COMPUTED_VALUE"""),11.0)</f>
        <v>11</v>
      </c>
      <c r="E1649" s="12">
        <f>IFERROR(__xludf.DUMMYFUNCTION("""COMPUTED_VALUE"""),4.0)</f>
        <v>4</v>
      </c>
      <c r="F1649" s="12">
        <f>IFERROR(__xludf.DUMMYFUNCTION("""COMPUTED_VALUE"""),4.0)</f>
        <v>4</v>
      </c>
      <c r="G1649" s="15" t="str">
        <f>IFERROR(__xludf.DUMMYFUNCTION("""COMPUTED_VALUE"""),"Completa")</f>
        <v>Completa</v>
      </c>
      <c r="H1649" s="16" t="str">
        <f t="array" ref="H1649">_xlfn.XLOOKUP(D1649,Productos[ID_Producto],Productos[Nombre_Producto])</f>
        <v>Salchicha</v>
      </c>
      <c r="I1649" s="17">
        <f t="array" ref="I1649">_xlfn.XLOOKUP(D1649,Productos[ID_Producto],Productos[Precio_Unitario])</f>
        <v>11.23</v>
      </c>
      <c r="J1649" s="17">
        <f t="shared" si="1"/>
        <v>44.92</v>
      </c>
      <c r="K1649" s="16" t="str">
        <f t="array" ref="K1649">_xlfn.XLOOKUP(C1649,Clientes[ID_Cliente],Clientes[Provincia])</f>
        <v>Chaco</v>
      </c>
      <c r="L1649" s="16" t="str">
        <f t="array" ref="L1649">CONCATENATE(_xlfn.XLOOKUP(C1649,Clientes[ID_Cliente],Clientes[Provincia]),", Argentina")</f>
        <v>Chaco, Argentina</v>
      </c>
      <c r="M1649" s="20" t="str">
        <f t="array" ref="M1649">_xlfn.XLOOKUP(F1649,Metodos_De_Pago[ID_Metodo],Metodos_De_Pago[Metodo])</f>
        <v>Mercado Pago</v>
      </c>
      <c r="N1649" s="20" t="str">
        <f t="shared" si="2"/>
        <v>2024 04</v>
      </c>
    </row>
    <row r="1650" ht="22.5" customHeight="1">
      <c r="A1650" s="12">
        <f>IFERROR(__xludf.DUMMYFUNCTION("""COMPUTED_VALUE"""),1889.0)</f>
        <v>1889</v>
      </c>
      <c r="B1650" s="13">
        <f>IFERROR(__xludf.DUMMYFUNCTION("""COMPUTED_VALUE"""),45411.0)</f>
        <v>45411</v>
      </c>
      <c r="C1650" s="12">
        <f>IFERROR(__xludf.DUMMYFUNCTION("""COMPUTED_VALUE"""),237.0)</f>
        <v>237</v>
      </c>
      <c r="D1650" s="12">
        <f>IFERROR(__xludf.DUMMYFUNCTION("""COMPUTED_VALUE"""),1.0)</f>
        <v>1</v>
      </c>
      <c r="E1650" s="12">
        <f>IFERROR(__xludf.DUMMYFUNCTION("""COMPUTED_VALUE"""),4.0)</f>
        <v>4</v>
      </c>
      <c r="F1650" s="12">
        <f>IFERROR(__xludf.DUMMYFUNCTION("""COMPUTED_VALUE"""),1.0)</f>
        <v>1</v>
      </c>
      <c r="G1650" s="15" t="str">
        <f>IFERROR(__xludf.DUMMYFUNCTION("""COMPUTED_VALUE"""),"Completa")</f>
        <v>Completa</v>
      </c>
      <c r="H1650" s="16" t="str">
        <f t="array" ref="H1650">_xlfn.XLOOKUP(D1650,Productos[ID_Producto],Productos[Nombre_Producto])</f>
        <v>Leche</v>
      </c>
      <c r="I1650" s="17">
        <f t="array" ref="I1650">_xlfn.XLOOKUP(D1650,Productos[ID_Producto],Productos[Precio_Unitario])</f>
        <v>12.24</v>
      </c>
      <c r="J1650" s="17">
        <f t="shared" si="1"/>
        <v>48.96</v>
      </c>
      <c r="K1650" s="16" t="str">
        <f t="array" ref="K1650">_xlfn.XLOOKUP(C1650,Clientes[ID_Cliente],Clientes[Provincia])</f>
        <v>Buenos Aires</v>
      </c>
      <c r="L1650" s="16" t="str">
        <f t="array" ref="L1650">CONCATENATE(_xlfn.XLOOKUP(C1650,Clientes[ID_Cliente],Clientes[Provincia]),", Argentina")</f>
        <v>Buenos Aires, Argentina</v>
      </c>
      <c r="M1650" s="20" t="str">
        <f t="array" ref="M1650">_xlfn.XLOOKUP(F1650,Metodos_De_Pago[ID_Metodo],Metodos_De_Pago[Metodo])</f>
        <v>Efectivo</v>
      </c>
      <c r="N1650" s="20" t="str">
        <f t="shared" si="2"/>
        <v>2024 04</v>
      </c>
    </row>
    <row r="1651" ht="22.5" customHeight="1">
      <c r="A1651" s="12">
        <f>IFERROR(__xludf.DUMMYFUNCTION("""COMPUTED_VALUE"""),1952.0)</f>
        <v>1952</v>
      </c>
      <c r="B1651" s="13">
        <f>IFERROR(__xludf.DUMMYFUNCTION("""COMPUTED_VALUE"""),45411.0)</f>
        <v>45411</v>
      </c>
      <c r="C1651" s="12">
        <f>IFERROR(__xludf.DUMMYFUNCTION("""COMPUTED_VALUE"""),190.0)</f>
        <v>190</v>
      </c>
      <c r="D1651" s="12">
        <f>IFERROR(__xludf.DUMMYFUNCTION("""COMPUTED_VALUE"""),19.0)</f>
        <v>19</v>
      </c>
      <c r="E1651" s="12">
        <f>IFERROR(__xludf.DUMMYFUNCTION("""COMPUTED_VALUE"""),4.0)</f>
        <v>4</v>
      </c>
      <c r="F1651" s="12">
        <f>IFERROR(__xludf.DUMMYFUNCTION("""COMPUTED_VALUE"""),5.0)</f>
        <v>5</v>
      </c>
      <c r="G1651" s="15" t="str">
        <f>IFERROR(__xludf.DUMMYFUNCTION("""COMPUTED_VALUE"""),"Pendiente")</f>
        <v>Pendiente</v>
      </c>
      <c r="H1651" s="16" t="str">
        <f t="array" ref="H1651">_xlfn.XLOOKUP(D1651,Productos[ID_Producto],Productos[Nombre_Producto])</f>
        <v>Tomates</v>
      </c>
      <c r="I1651" s="17">
        <f t="array" ref="I1651">_xlfn.XLOOKUP(D1651,Productos[ID_Producto],Productos[Precio_Unitario])</f>
        <v>6.54</v>
      </c>
      <c r="J1651" s="17">
        <f t="shared" si="1"/>
        <v>26.16</v>
      </c>
      <c r="K1651" s="16" t="str">
        <f t="array" ref="K1651">_xlfn.XLOOKUP(C1651,Clientes[ID_Cliente],Clientes[Provincia])</f>
        <v>Chaco</v>
      </c>
      <c r="L1651" s="16" t="str">
        <f t="array" ref="L1651">CONCATENATE(_xlfn.XLOOKUP(C1651,Clientes[ID_Cliente],Clientes[Provincia]),", Argentina")</f>
        <v>Chaco, Argentina</v>
      </c>
      <c r="M1651" s="20" t="str">
        <f t="array" ref="M1651">_xlfn.XLOOKUP(F1651,Metodos_De_Pago[ID_Metodo],Metodos_De_Pago[Metodo])</f>
        <v>Transferencia</v>
      </c>
      <c r="N1651" s="20" t="str">
        <f t="shared" si="2"/>
        <v>2024 04</v>
      </c>
    </row>
    <row r="1652" ht="22.5" customHeight="1">
      <c r="A1652" s="12">
        <f>IFERROR(__xludf.DUMMYFUNCTION("""COMPUTED_VALUE"""),353.0)</f>
        <v>353</v>
      </c>
      <c r="B1652" s="13">
        <f>IFERROR(__xludf.DUMMYFUNCTION("""COMPUTED_VALUE"""),45412.0)</f>
        <v>45412</v>
      </c>
      <c r="C1652" s="12">
        <f>IFERROR(__xludf.DUMMYFUNCTION("""COMPUTED_VALUE"""),181.0)</f>
        <v>181</v>
      </c>
      <c r="D1652" s="12">
        <f>IFERROR(__xludf.DUMMYFUNCTION("""COMPUTED_VALUE"""),10.0)</f>
        <v>10</v>
      </c>
      <c r="E1652" s="12">
        <f>IFERROR(__xludf.DUMMYFUNCTION("""COMPUTED_VALUE"""),4.0)</f>
        <v>4</v>
      </c>
      <c r="F1652" s="12">
        <f>IFERROR(__xludf.DUMMYFUNCTION("""COMPUTED_VALUE"""),5.0)</f>
        <v>5</v>
      </c>
      <c r="G1652" s="15" t="str">
        <f>IFERROR(__xludf.DUMMYFUNCTION("""COMPUTED_VALUE"""),"Completa")</f>
        <v>Completa</v>
      </c>
      <c r="H1652" s="16" t="str">
        <f t="array" ref="H1652">_xlfn.XLOOKUP(D1652,Productos[ID_Producto],Productos[Nombre_Producto])</f>
        <v>Costilla de cerdo</v>
      </c>
      <c r="I1652" s="17">
        <f t="array" ref="I1652">_xlfn.XLOOKUP(D1652,Productos[ID_Producto],Productos[Precio_Unitario])</f>
        <v>14.25</v>
      </c>
      <c r="J1652" s="17">
        <f t="shared" si="1"/>
        <v>57</v>
      </c>
      <c r="K1652" s="16" t="str">
        <f t="array" ref="K1652">_xlfn.XLOOKUP(C1652,Clientes[ID_Cliente],Clientes[Provincia])</f>
        <v>Neuquén</v>
      </c>
      <c r="L1652" s="16" t="str">
        <f t="array" ref="L1652">CONCATENATE(_xlfn.XLOOKUP(C1652,Clientes[ID_Cliente],Clientes[Provincia]),", Argentina")</f>
        <v>Neuquén, Argentina</v>
      </c>
      <c r="M1652" s="20" t="str">
        <f t="array" ref="M1652">_xlfn.XLOOKUP(F1652,Metodos_De_Pago[ID_Metodo],Metodos_De_Pago[Metodo])</f>
        <v>Transferencia</v>
      </c>
      <c r="N1652" s="20" t="str">
        <f t="shared" si="2"/>
        <v>2024 04</v>
      </c>
    </row>
    <row r="1653" ht="22.5" customHeight="1">
      <c r="A1653" s="12">
        <f>IFERROR(__xludf.DUMMYFUNCTION("""COMPUTED_VALUE"""),1652.0)</f>
        <v>1652</v>
      </c>
      <c r="B1653" s="13">
        <f>IFERROR(__xludf.DUMMYFUNCTION("""COMPUTED_VALUE"""),45412.0)</f>
        <v>45412</v>
      </c>
      <c r="C1653" s="12">
        <f>IFERROR(__xludf.DUMMYFUNCTION("""COMPUTED_VALUE"""),106.0)</f>
        <v>106</v>
      </c>
      <c r="D1653" s="12">
        <f>IFERROR(__xludf.DUMMYFUNCTION("""COMPUTED_VALUE"""),19.0)</f>
        <v>19</v>
      </c>
      <c r="E1653" s="12">
        <f>IFERROR(__xludf.DUMMYFUNCTION("""COMPUTED_VALUE"""),4.0)</f>
        <v>4</v>
      </c>
      <c r="F1653" s="12">
        <f>IFERROR(__xludf.DUMMYFUNCTION("""COMPUTED_VALUE"""),3.0)</f>
        <v>3</v>
      </c>
      <c r="G1653" s="15" t="str">
        <f>IFERROR(__xludf.DUMMYFUNCTION("""COMPUTED_VALUE"""),"Completa")</f>
        <v>Completa</v>
      </c>
      <c r="H1653" s="16" t="str">
        <f t="array" ref="H1653">_xlfn.XLOOKUP(D1653,Productos[ID_Producto],Productos[Nombre_Producto])</f>
        <v>Tomates</v>
      </c>
      <c r="I1653" s="17">
        <f t="array" ref="I1653">_xlfn.XLOOKUP(D1653,Productos[ID_Producto],Productos[Precio_Unitario])</f>
        <v>6.54</v>
      </c>
      <c r="J1653" s="17">
        <f t="shared" si="1"/>
        <v>26.16</v>
      </c>
      <c r="K1653" s="16" t="str">
        <f t="array" ref="K1653">_xlfn.XLOOKUP(C1653,Clientes[ID_Cliente],Clientes[Provincia])</f>
        <v>Chaco</v>
      </c>
      <c r="L1653" s="16" t="str">
        <f t="array" ref="L1653">CONCATENATE(_xlfn.XLOOKUP(C1653,Clientes[ID_Cliente],Clientes[Provincia]),", Argentina")</f>
        <v>Chaco, Argentina</v>
      </c>
      <c r="M1653" s="20" t="str">
        <f t="array" ref="M1653">_xlfn.XLOOKUP(F1653,Metodos_De_Pago[ID_Metodo],Metodos_De_Pago[Metodo])</f>
        <v>Tarjeta de Débito</v>
      </c>
      <c r="N1653" s="20" t="str">
        <f t="shared" si="2"/>
        <v>2024 04</v>
      </c>
    </row>
    <row r="1654" ht="22.5" customHeight="1">
      <c r="A1654" s="12">
        <f>IFERROR(__xludf.DUMMYFUNCTION("""COMPUTED_VALUE"""),2495.0)</f>
        <v>2495</v>
      </c>
      <c r="B1654" s="13">
        <f>IFERROR(__xludf.DUMMYFUNCTION("""COMPUTED_VALUE"""),45412.0)</f>
        <v>45412</v>
      </c>
      <c r="C1654" s="12">
        <f>IFERROR(__xludf.DUMMYFUNCTION("""COMPUTED_VALUE"""),299.0)</f>
        <v>299</v>
      </c>
      <c r="D1654" s="12">
        <f>IFERROR(__xludf.DUMMYFUNCTION("""COMPUTED_VALUE"""),7.0)</f>
        <v>7</v>
      </c>
      <c r="E1654" s="12">
        <f>IFERROR(__xludf.DUMMYFUNCTION("""COMPUTED_VALUE"""),4.0)</f>
        <v>4</v>
      </c>
      <c r="F1654" s="12">
        <f>IFERROR(__xludf.DUMMYFUNCTION("""COMPUTED_VALUE"""),4.0)</f>
        <v>4</v>
      </c>
      <c r="G1654" s="15" t="str">
        <f>IFERROR(__xludf.DUMMYFUNCTION("""COMPUTED_VALUE"""),"Completa")</f>
        <v>Completa</v>
      </c>
      <c r="H1654" s="16" t="str">
        <f t="array" ref="H1654">_xlfn.XLOOKUP(D1654,Productos[ID_Producto],Productos[Nombre_Producto])</f>
        <v>Chorizo</v>
      </c>
      <c r="I1654" s="17">
        <f t="array" ref="I1654">_xlfn.XLOOKUP(D1654,Productos[ID_Producto],Productos[Precio_Unitario])</f>
        <v>11.25</v>
      </c>
      <c r="J1654" s="17">
        <f t="shared" si="1"/>
        <v>45</v>
      </c>
      <c r="K1654" s="16" t="str">
        <f t="array" ref="K1654">_xlfn.XLOOKUP(C1654,Clientes[ID_Cliente],Clientes[Provincia])</f>
        <v>San Luis</v>
      </c>
      <c r="L1654" s="16" t="str">
        <f t="array" ref="L1654">CONCATENATE(_xlfn.XLOOKUP(C1654,Clientes[ID_Cliente],Clientes[Provincia]),", Argentina")</f>
        <v>San Luis, Argentina</v>
      </c>
      <c r="M1654" s="20" t="str">
        <f t="array" ref="M1654">_xlfn.XLOOKUP(F1654,Metodos_De_Pago[ID_Metodo],Metodos_De_Pago[Metodo])</f>
        <v>Mercado Pago</v>
      </c>
      <c r="N1654" s="20" t="str">
        <f t="shared" si="2"/>
        <v>2024 04</v>
      </c>
    </row>
    <row r="1655" ht="22.5" customHeight="1">
      <c r="A1655" s="12">
        <f>IFERROR(__xludf.DUMMYFUNCTION("""COMPUTED_VALUE"""),169.0)</f>
        <v>169</v>
      </c>
      <c r="B1655" s="13">
        <f>IFERROR(__xludf.DUMMYFUNCTION("""COMPUTED_VALUE"""),45414.0)</f>
        <v>45414</v>
      </c>
      <c r="C1655" s="12">
        <f>IFERROR(__xludf.DUMMYFUNCTION("""COMPUTED_VALUE"""),279.0)</f>
        <v>279</v>
      </c>
      <c r="D1655" s="12">
        <f>IFERROR(__xludf.DUMMYFUNCTION("""COMPUTED_VALUE"""),24.0)</f>
        <v>24</v>
      </c>
      <c r="E1655" s="12">
        <f>IFERROR(__xludf.DUMMYFUNCTION("""COMPUTED_VALUE"""),4.0)</f>
        <v>4</v>
      </c>
      <c r="F1655" s="12">
        <f>IFERROR(__xludf.DUMMYFUNCTION("""COMPUTED_VALUE"""),2.0)</f>
        <v>2</v>
      </c>
      <c r="G1655" s="15" t="str">
        <f>IFERROR(__xludf.DUMMYFUNCTION("""COMPUTED_VALUE"""),"Completa")</f>
        <v>Completa</v>
      </c>
      <c r="H1655" s="16" t="str">
        <f t="array" ref="H1655">_xlfn.XLOOKUP(D1655,Productos[ID_Producto],Productos[Nombre_Producto])</f>
        <v>Empanadas</v>
      </c>
      <c r="I1655" s="17">
        <f t="array" ref="I1655">_xlfn.XLOOKUP(D1655,Productos[ID_Producto],Productos[Precio_Unitario])</f>
        <v>13.54</v>
      </c>
      <c r="J1655" s="17">
        <f t="shared" si="1"/>
        <v>54.16</v>
      </c>
      <c r="K1655" s="16" t="str">
        <f t="array" ref="K1655">_xlfn.XLOOKUP(C1655,Clientes[ID_Cliente],Clientes[Provincia])</f>
        <v>Córdoba</v>
      </c>
      <c r="L1655" s="16" t="str">
        <f t="array" ref="L1655">CONCATENATE(_xlfn.XLOOKUP(C1655,Clientes[ID_Cliente],Clientes[Provincia]),", Argentina")</f>
        <v>Córdoba, Argentina</v>
      </c>
      <c r="M1655" s="20" t="str">
        <f t="array" ref="M1655">_xlfn.XLOOKUP(F1655,Metodos_De_Pago[ID_Metodo],Metodos_De_Pago[Metodo])</f>
        <v>Tarjeta de Crédito</v>
      </c>
      <c r="N1655" s="20" t="str">
        <f t="shared" si="2"/>
        <v>2024 05</v>
      </c>
    </row>
    <row r="1656" ht="22.5" customHeight="1">
      <c r="A1656" s="12">
        <f>IFERROR(__xludf.DUMMYFUNCTION("""COMPUTED_VALUE"""),472.0)</f>
        <v>472</v>
      </c>
      <c r="B1656" s="13">
        <f>IFERROR(__xludf.DUMMYFUNCTION("""COMPUTED_VALUE"""),45415.0)</f>
        <v>45415</v>
      </c>
      <c r="C1656" s="12">
        <f>IFERROR(__xludf.DUMMYFUNCTION("""COMPUTED_VALUE"""),123.0)</f>
        <v>123</v>
      </c>
      <c r="D1656" s="12">
        <f>IFERROR(__xludf.DUMMYFUNCTION("""COMPUTED_VALUE"""),33.0)</f>
        <v>33</v>
      </c>
      <c r="E1656" s="12">
        <f>IFERROR(__xludf.DUMMYFUNCTION("""COMPUTED_VALUE"""),4.0)</f>
        <v>4</v>
      </c>
      <c r="F1656" s="12">
        <f>IFERROR(__xludf.DUMMYFUNCTION("""COMPUTED_VALUE"""),3.0)</f>
        <v>3</v>
      </c>
      <c r="G1656" s="15" t="str">
        <f>IFERROR(__xludf.DUMMYFUNCTION("""COMPUTED_VALUE"""),"Completa")</f>
        <v>Completa</v>
      </c>
      <c r="H1656" s="16" t="str">
        <f t="array" ref="H1656">_xlfn.XLOOKUP(D1656,Productos[ID_Producto],Productos[Nombre_Producto])</f>
        <v>Papas chips</v>
      </c>
      <c r="I1656" s="17">
        <f t="array" ref="I1656">_xlfn.XLOOKUP(D1656,Productos[ID_Producto],Productos[Precio_Unitario])</f>
        <v>8.54</v>
      </c>
      <c r="J1656" s="17">
        <f t="shared" si="1"/>
        <v>34.16</v>
      </c>
      <c r="K1656" s="16" t="str">
        <f t="array" ref="K1656">_xlfn.XLOOKUP(C1656,Clientes[ID_Cliente],Clientes[Provincia])</f>
        <v>Neuquén</v>
      </c>
      <c r="L1656" s="16" t="str">
        <f t="array" ref="L1656">CONCATENATE(_xlfn.XLOOKUP(C1656,Clientes[ID_Cliente],Clientes[Provincia]),", Argentina")</f>
        <v>Neuquén, Argentina</v>
      </c>
      <c r="M1656" s="20" t="str">
        <f t="array" ref="M1656">_xlfn.XLOOKUP(F1656,Metodos_De_Pago[ID_Metodo],Metodos_De_Pago[Metodo])</f>
        <v>Tarjeta de Débito</v>
      </c>
      <c r="N1656" s="20" t="str">
        <f t="shared" si="2"/>
        <v>2024 05</v>
      </c>
    </row>
    <row r="1657" ht="22.5" customHeight="1">
      <c r="A1657" s="12">
        <f>IFERROR(__xludf.DUMMYFUNCTION("""COMPUTED_VALUE"""),1274.0)</f>
        <v>1274</v>
      </c>
      <c r="B1657" s="13">
        <f>IFERROR(__xludf.DUMMYFUNCTION("""COMPUTED_VALUE"""),45415.0)</f>
        <v>45415</v>
      </c>
      <c r="C1657" s="12">
        <f>IFERROR(__xludf.DUMMYFUNCTION("""COMPUTED_VALUE"""),187.0)</f>
        <v>187</v>
      </c>
      <c r="D1657" s="12">
        <f>IFERROR(__xludf.DUMMYFUNCTION("""COMPUTED_VALUE"""),17.0)</f>
        <v>17</v>
      </c>
      <c r="E1657" s="12">
        <f>IFERROR(__xludf.DUMMYFUNCTION("""COMPUTED_VALUE"""),4.0)</f>
        <v>4</v>
      </c>
      <c r="F1657" s="12">
        <f>IFERROR(__xludf.DUMMYFUNCTION("""COMPUTED_VALUE"""),1.0)</f>
        <v>1</v>
      </c>
      <c r="G1657" s="15" t="str">
        <f>IFERROR(__xludf.DUMMYFUNCTION("""COMPUTED_VALUE"""),"Completa")</f>
        <v>Completa</v>
      </c>
      <c r="H1657" s="16" t="str">
        <f t="array" ref="H1657">_xlfn.XLOOKUP(D1657,Productos[ID_Producto],Productos[Nombre_Producto])</f>
        <v>Manzanas</v>
      </c>
      <c r="I1657" s="17">
        <f t="array" ref="I1657">_xlfn.XLOOKUP(D1657,Productos[ID_Producto],Productos[Precio_Unitario])</f>
        <v>6.54</v>
      </c>
      <c r="J1657" s="17">
        <f t="shared" si="1"/>
        <v>26.16</v>
      </c>
      <c r="K1657" s="16" t="str">
        <f t="array" ref="K1657">_xlfn.XLOOKUP(C1657,Clientes[ID_Cliente],Clientes[Provincia])</f>
        <v>Buenos Aires</v>
      </c>
      <c r="L1657" s="16" t="str">
        <f t="array" ref="L1657">CONCATENATE(_xlfn.XLOOKUP(C1657,Clientes[ID_Cliente],Clientes[Provincia]),", Argentina")</f>
        <v>Buenos Aires, Argentina</v>
      </c>
      <c r="M1657" s="20" t="str">
        <f t="array" ref="M1657">_xlfn.XLOOKUP(F1657,Metodos_De_Pago[ID_Metodo],Metodos_De_Pago[Metodo])</f>
        <v>Efectivo</v>
      </c>
      <c r="N1657" s="20" t="str">
        <f t="shared" si="2"/>
        <v>2024 05</v>
      </c>
    </row>
    <row r="1658" ht="22.5" customHeight="1">
      <c r="A1658" s="12">
        <f>IFERROR(__xludf.DUMMYFUNCTION("""COMPUTED_VALUE"""),1743.0)</f>
        <v>1743</v>
      </c>
      <c r="B1658" s="13">
        <f>IFERROR(__xludf.DUMMYFUNCTION("""COMPUTED_VALUE"""),45416.0)</f>
        <v>45416</v>
      </c>
      <c r="C1658" s="12">
        <f>IFERROR(__xludf.DUMMYFUNCTION("""COMPUTED_VALUE"""),9.0)</f>
        <v>9</v>
      </c>
      <c r="D1658" s="12">
        <f>IFERROR(__xludf.DUMMYFUNCTION("""COMPUTED_VALUE"""),1.0)</f>
        <v>1</v>
      </c>
      <c r="E1658" s="12">
        <f>IFERROR(__xludf.DUMMYFUNCTION("""COMPUTED_VALUE"""),4.0)</f>
        <v>4</v>
      </c>
      <c r="F1658" s="12">
        <f>IFERROR(__xludf.DUMMYFUNCTION("""COMPUTED_VALUE"""),4.0)</f>
        <v>4</v>
      </c>
      <c r="G1658" s="15" t="str">
        <f>IFERROR(__xludf.DUMMYFUNCTION("""COMPUTED_VALUE"""),"Completa")</f>
        <v>Completa</v>
      </c>
      <c r="H1658" s="16" t="str">
        <f t="array" ref="H1658">_xlfn.XLOOKUP(D1658,Productos[ID_Producto],Productos[Nombre_Producto])</f>
        <v>Leche</v>
      </c>
      <c r="I1658" s="17">
        <f t="array" ref="I1658">_xlfn.XLOOKUP(D1658,Productos[ID_Producto],Productos[Precio_Unitario])</f>
        <v>12.24</v>
      </c>
      <c r="J1658" s="17">
        <f t="shared" si="1"/>
        <v>48.96</v>
      </c>
      <c r="K1658" s="16" t="str">
        <f t="array" ref="K1658">_xlfn.XLOOKUP(C1658,Clientes[ID_Cliente],Clientes[Provincia])</f>
        <v>Córdoba</v>
      </c>
      <c r="L1658" s="16" t="str">
        <f t="array" ref="L1658">CONCATENATE(_xlfn.XLOOKUP(C1658,Clientes[ID_Cliente],Clientes[Provincia]),", Argentina")</f>
        <v>Córdoba, Argentina</v>
      </c>
      <c r="M1658" s="20" t="str">
        <f t="array" ref="M1658">_xlfn.XLOOKUP(F1658,Metodos_De_Pago[ID_Metodo],Metodos_De_Pago[Metodo])</f>
        <v>Mercado Pago</v>
      </c>
      <c r="N1658" s="20" t="str">
        <f t="shared" si="2"/>
        <v>2024 05</v>
      </c>
    </row>
    <row r="1659" ht="22.5" customHeight="1">
      <c r="A1659" s="12">
        <f>IFERROR(__xludf.DUMMYFUNCTION("""COMPUTED_VALUE"""),1738.0)</f>
        <v>1738</v>
      </c>
      <c r="B1659" s="13">
        <f>IFERROR(__xludf.DUMMYFUNCTION("""COMPUTED_VALUE"""),45417.0)</f>
        <v>45417</v>
      </c>
      <c r="C1659" s="12">
        <f>IFERROR(__xludf.DUMMYFUNCTION("""COMPUTED_VALUE"""),198.0)</f>
        <v>198</v>
      </c>
      <c r="D1659" s="12">
        <f>IFERROR(__xludf.DUMMYFUNCTION("""COMPUTED_VALUE"""),10.0)</f>
        <v>10</v>
      </c>
      <c r="E1659" s="12">
        <f>IFERROR(__xludf.DUMMYFUNCTION("""COMPUTED_VALUE"""),4.0)</f>
        <v>4</v>
      </c>
      <c r="F1659" s="12">
        <f>IFERROR(__xludf.DUMMYFUNCTION("""COMPUTED_VALUE"""),4.0)</f>
        <v>4</v>
      </c>
      <c r="G1659" s="15" t="str">
        <f>IFERROR(__xludf.DUMMYFUNCTION("""COMPUTED_VALUE"""),"Completa")</f>
        <v>Completa</v>
      </c>
      <c r="H1659" s="16" t="str">
        <f t="array" ref="H1659">_xlfn.XLOOKUP(D1659,Productos[ID_Producto],Productos[Nombre_Producto])</f>
        <v>Costilla de cerdo</v>
      </c>
      <c r="I1659" s="17">
        <f t="array" ref="I1659">_xlfn.XLOOKUP(D1659,Productos[ID_Producto],Productos[Precio_Unitario])</f>
        <v>14.25</v>
      </c>
      <c r="J1659" s="17">
        <f t="shared" si="1"/>
        <v>57</v>
      </c>
      <c r="K1659" s="16" t="str">
        <f t="array" ref="K1659">_xlfn.XLOOKUP(C1659,Clientes[ID_Cliente],Clientes[Provincia])</f>
        <v>Salta</v>
      </c>
      <c r="L1659" s="16" t="str">
        <f t="array" ref="L1659">CONCATENATE(_xlfn.XLOOKUP(C1659,Clientes[ID_Cliente],Clientes[Provincia]),", Argentina")</f>
        <v>Salta, Argentina</v>
      </c>
      <c r="M1659" s="20" t="str">
        <f t="array" ref="M1659">_xlfn.XLOOKUP(F1659,Metodos_De_Pago[ID_Metodo],Metodos_De_Pago[Metodo])</f>
        <v>Mercado Pago</v>
      </c>
      <c r="N1659" s="20" t="str">
        <f t="shared" si="2"/>
        <v>2024 05</v>
      </c>
    </row>
    <row r="1660" ht="22.5" customHeight="1">
      <c r="A1660" s="12">
        <f>IFERROR(__xludf.DUMMYFUNCTION("""COMPUTED_VALUE"""),455.0)</f>
        <v>455</v>
      </c>
      <c r="B1660" s="13">
        <f>IFERROR(__xludf.DUMMYFUNCTION("""COMPUTED_VALUE"""),45418.0)</f>
        <v>45418</v>
      </c>
      <c r="C1660" s="12">
        <f>IFERROR(__xludf.DUMMYFUNCTION("""COMPUTED_VALUE"""),4.0)</f>
        <v>4</v>
      </c>
      <c r="D1660" s="12">
        <f>IFERROR(__xludf.DUMMYFUNCTION("""COMPUTED_VALUE"""),27.0)</f>
        <v>27</v>
      </c>
      <c r="E1660" s="12">
        <f>IFERROR(__xludf.DUMMYFUNCTION("""COMPUTED_VALUE"""),4.0)</f>
        <v>4</v>
      </c>
      <c r="F1660" s="12">
        <f>IFERROR(__xludf.DUMMYFUNCTION("""COMPUTED_VALUE"""),3.0)</f>
        <v>3</v>
      </c>
      <c r="G1660" s="15" t="str">
        <f>IFERROR(__xludf.DUMMYFUNCTION("""COMPUTED_VALUE"""),"Completa")</f>
        <v>Completa</v>
      </c>
      <c r="H1660" s="16" t="str">
        <f t="array" ref="H1660">_xlfn.XLOOKUP(D1660,Productos[ID_Producto],Productos[Nombre_Producto])</f>
        <v>Agua mineral</v>
      </c>
      <c r="I1660" s="17">
        <f t="array" ref="I1660">_xlfn.XLOOKUP(D1660,Productos[ID_Producto],Productos[Precio_Unitario])</f>
        <v>6.21</v>
      </c>
      <c r="J1660" s="17">
        <f t="shared" si="1"/>
        <v>24.84</v>
      </c>
      <c r="K1660" s="16" t="str">
        <f t="array" ref="K1660">_xlfn.XLOOKUP(C1660,Clientes[ID_Cliente],Clientes[Provincia])</f>
        <v>Buenos Aires</v>
      </c>
      <c r="L1660" s="16" t="str">
        <f t="array" ref="L1660">CONCATENATE(_xlfn.XLOOKUP(C1660,Clientes[ID_Cliente],Clientes[Provincia]),", Argentina")</f>
        <v>Buenos Aires, Argentina</v>
      </c>
      <c r="M1660" s="20" t="str">
        <f t="array" ref="M1660">_xlfn.XLOOKUP(F1660,Metodos_De_Pago[ID_Metodo],Metodos_De_Pago[Metodo])</f>
        <v>Tarjeta de Débito</v>
      </c>
      <c r="N1660" s="20" t="str">
        <f t="shared" si="2"/>
        <v>2024 05</v>
      </c>
    </row>
    <row r="1661" ht="22.5" customHeight="1">
      <c r="A1661" s="12">
        <f>IFERROR(__xludf.DUMMYFUNCTION("""COMPUTED_VALUE"""),2950.0)</f>
        <v>2950</v>
      </c>
      <c r="B1661" s="13">
        <f>IFERROR(__xludf.DUMMYFUNCTION("""COMPUTED_VALUE"""),45418.0)</f>
        <v>45418</v>
      </c>
      <c r="C1661" s="12">
        <f>IFERROR(__xludf.DUMMYFUNCTION("""COMPUTED_VALUE"""),307.0)</f>
        <v>307</v>
      </c>
      <c r="D1661" s="12">
        <f>IFERROR(__xludf.DUMMYFUNCTION("""COMPUTED_VALUE"""),26.0)</f>
        <v>26</v>
      </c>
      <c r="E1661" s="12">
        <f>IFERROR(__xludf.DUMMYFUNCTION("""COMPUTED_VALUE"""),4.0)</f>
        <v>4</v>
      </c>
      <c r="F1661" s="12">
        <f>IFERROR(__xludf.DUMMYFUNCTION("""COMPUTED_VALUE"""),1.0)</f>
        <v>1</v>
      </c>
      <c r="G1661" s="15" t="str">
        <f>IFERROR(__xludf.DUMMYFUNCTION("""COMPUTED_VALUE"""),"Completa")</f>
        <v>Completa</v>
      </c>
      <c r="H1661" s="16" t="str">
        <f t="array" ref="H1661">_xlfn.XLOOKUP(D1661,Productos[ID_Producto],Productos[Nombre_Producto])</f>
        <v>Hamburgesas congeladas</v>
      </c>
      <c r="I1661" s="17">
        <f t="array" ref="I1661">_xlfn.XLOOKUP(D1661,Productos[ID_Producto],Productos[Precio_Unitario])</f>
        <v>9.54</v>
      </c>
      <c r="J1661" s="17">
        <f t="shared" si="1"/>
        <v>38.16</v>
      </c>
      <c r="K1661" s="16" t="str">
        <f t="array" ref="K1661">_xlfn.XLOOKUP(C1661,Clientes[ID_Cliente],Clientes[Provincia])</f>
        <v>San Luis</v>
      </c>
      <c r="L1661" s="16" t="str">
        <f t="array" ref="L1661">CONCATENATE(_xlfn.XLOOKUP(C1661,Clientes[ID_Cliente],Clientes[Provincia]),", Argentina")</f>
        <v>San Luis, Argentina</v>
      </c>
      <c r="M1661" s="20" t="str">
        <f t="array" ref="M1661">_xlfn.XLOOKUP(F1661,Metodos_De_Pago[ID_Metodo],Metodos_De_Pago[Metodo])</f>
        <v>Efectivo</v>
      </c>
      <c r="N1661" s="20" t="str">
        <f t="shared" si="2"/>
        <v>2024 05</v>
      </c>
    </row>
    <row r="1662" ht="22.5" customHeight="1">
      <c r="A1662" s="12">
        <f>IFERROR(__xludf.DUMMYFUNCTION("""COMPUTED_VALUE"""),1739.0)</f>
        <v>1739</v>
      </c>
      <c r="B1662" s="13">
        <f>IFERROR(__xludf.DUMMYFUNCTION("""COMPUTED_VALUE"""),45419.0)</f>
        <v>45419</v>
      </c>
      <c r="C1662" s="12">
        <f>IFERROR(__xludf.DUMMYFUNCTION("""COMPUTED_VALUE"""),222.0)</f>
        <v>222</v>
      </c>
      <c r="D1662" s="12">
        <f>IFERROR(__xludf.DUMMYFUNCTION("""COMPUTED_VALUE"""),2.0)</f>
        <v>2</v>
      </c>
      <c r="E1662" s="12">
        <f>IFERROR(__xludf.DUMMYFUNCTION("""COMPUTED_VALUE"""),4.0)</f>
        <v>4</v>
      </c>
      <c r="F1662" s="12">
        <f>IFERROR(__xludf.DUMMYFUNCTION("""COMPUTED_VALUE"""),4.0)</f>
        <v>4</v>
      </c>
      <c r="G1662" s="15" t="str">
        <f>IFERROR(__xludf.DUMMYFUNCTION("""COMPUTED_VALUE"""),"Completa")</f>
        <v>Completa</v>
      </c>
      <c r="H1662" s="16" t="str">
        <f t="array" ref="H1662">_xlfn.XLOOKUP(D1662,Productos[ID_Producto],Productos[Nombre_Producto])</f>
        <v>Yogur</v>
      </c>
      <c r="I1662" s="17">
        <f t="array" ref="I1662">_xlfn.XLOOKUP(D1662,Productos[ID_Producto],Productos[Precio_Unitario])</f>
        <v>5.21</v>
      </c>
      <c r="J1662" s="17">
        <f t="shared" si="1"/>
        <v>20.84</v>
      </c>
      <c r="K1662" s="16" t="str">
        <f t="array" ref="K1662">_xlfn.XLOOKUP(C1662,Clientes[ID_Cliente],Clientes[Provincia])</f>
        <v>Córdoba</v>
      </c>
      <c r="L1662" s="16" t="str">
        <f t="array" ref="L1662">CONCATENATE(_xlfn.XLOOKUP(C1662,Clientes[ID_Cliente],Clientes[Provincia]),", Argentina")</f>
        <v>Córdoba, Argentina</v>
      </c>
      <c r="M1662" s="20" t="str">
        <f t="array" ref="M1662">_xlfn.XLOOKUP(F1662,Metodos_De_Pago[ID_Metodo],Metodos_De_Pago[Metodo])</f>
        <v>Mercado Pago</v>
      </c>
      <c r="N1662" s="20" t="str">
        <f t="shared" si="2"/>
        <v>2024 05</v>
      </c>
    </row>
    <row r="1663" ht="22.5" customHeight="1">
      <c r="A1663" s="12">
        <f>IFERROR(__xludf.DUMMYFUNCTION("""COMPUTED_VALUE"""),2568.0)</f>
        <v>2568</v>
      </c>
      <c r="B1663" s="13">
        <f>IFERROR(__xludf.DUMMYFUNCTION("""COMPUTED_VALUE"""),45419.0)</f>
        <v>45419</v>
      </c>
      <c r="C1663" s="12">
        <f>IFERROR(__xludf.DUMMYFUNCTION("""COMPUTED_VALUE"""),92.0)</f>
        <v>92</v>
      </c>
      <c r="D1663" s="12">
        <f>IFERROR(__xludf.DUMMYFUNCTION("""COMPUTED_VALUE"""),33.0)</f>
        <v>33</v>
      </c>
      <c r="E1663" s="12">
        <f>IFERROR(__xludf.DUMMYFUNCTION("""COMPUTED_VALUE"""),4.0)</f>
        <v>4</v>
      </c>
      <c r="F1663" s="12">
        <f>IFERROR(__xludf.DUMMYFUNCTION("""COMPUTED_VALUE"""),4.0)</f>
        <v>4</v>
      </c>
      <c r="G1663" s="15" t="str">
        <f>IFERROR(__xludf.DUMMYFUNCTION("""COMPUTED_VALUE"""),"Completa")</f>
        <v>Completa</v>
      </c>
      <c r="H1663" s="16" t="str">
        <f t="array" ref="H1663">_xlfn.XLOOKUP(D1663,Productos[ID_Producto],Productos[Nombre_Producto])</f>
        <v>Papas chips</v>
      </c>
      <c r="I1663" s="17">
        <f t="array" ref="I1663">_xlfn.XLOOKUP(D1663,Productos[ID_Producto],Productos[Precio_Unitario])</f>
        <v>8.54</v>
      </c>
      <c r="J1663" s="17">
        <f t="shared" si="1"/>
        <v>34.16</v>
      </c>
      <c r="K1663" s="16" t="str">
        <f t="array" ref="K1663">_xlfn.XLOOKUP(C1663,Clientes[ID_Cliente],Clientes[Provincia])</f>
        <v>Neuquén</v>
      </c>
      <c r="L1663" s="16" t="str">
        <f t="array" ref="L1663">CONCATENATE(_xlfn.XLOOKUP(C1663,Clientes[ID_Cliente],Clientes[Provincia]),", Argentina")</f>
        <v>Neuquén, Argentina</v>
      </c>
      <c r="M1663" s="20" t="str">
        <f t="array" ref="M1663">_xlfn.XLOOKUP(F1663,Metodos_De_Pago[ID_Metodo],Metodos_De_Pago[Metodo])</f>
        <v>Mercado Pago</v>
      </c>
      <c r="N1663" s="20" t="str">
        <f t="shared" si="2"/>
        <v>2024 05</v>
      </c>
    </row>
    <row r="1664" ht="22.5" customHeight="1">
      <c r="A1664" s="12">
        <f>IFERROR(__xludf.DUMMYFUNCTION("""COMPUTED_VALUE"""),1659.0)</f>
        <v>1659</v>
      </c>
      <c r="B1664" s="13">
        <f>IFERROR(__xludf.DUMMYFUNCTION("""COMPUTED_VALUE"""),45420.0)</f>
        <v>45420</v>
      </c>
      <c r="C1664" s="12">
        <f>IFERROR(__xludf.DUMMYFUNCTION("""COMPUTED_VALUE"""),283.0)</f>
        <v>283</v>
      </c>
      <c r="D1664" s="12">
        <f>IFERROR(__xludf.DUMMYFUNCTION("""COMPUTED_VALUE"""),21.0)</f>
        <v>21</v>
      </c>
      <c r="E1664" s="12">
        <f>IFERROR(__xludf.DUMMYFUNCTION("""COMPUTED_VALUE"""),4.0)</f>
        <v>4</v>
      </c>
      <c r="F1664" s="12">
        <f>IFERROR(__xludf.DUMMYFUNCTION("""COMPUTED_VALUE"""),5.0)</f>
        <v>5</v>
      </c>
      <c r="G1664" s="15" t="str">
        <f>IFERROR(__xludf.DUMMYFUNCTION("""COMPUTED_VALUE"""),"Pendiente")</f>
        <v>Pendiente</v>
      </c>
      <c r="H1664" s="16" t="str">
        <f t="array" ref="H1664">_xlfn.XLOOKUP(D1664,Productos[ID_Producto],Productos[Nombre_Producto])</f>
        <v>Zanahorias</v>
      </c>
      <c r="I1664" s="17">
        <f t="array" ref="I1664">_xlfn.XLOOKUP(D1664,Productos[ID_Producto],Productos[Precio_Unitario])</f>
        <v>3.25</v>
      </c>
      <c r="J1664" s="17">
        <f t="shared" si="1"/>
        <v>13</v>
      </c>
      <c r="K1664" s="16" t="str">
        <f t="array" ref="K1664">_xlfn.XLOOKUP(C1664,Clientes[ID_Cliente],Clientes[Provincia])</f>
        <v>Buenos Aires</v>
      </c>
      <c r="L1664" s="16" t="str">
        <f t="array" ref="L1664">CONCATENATE(_xlfn.XLOOKUP(C1664,Clientes[ID_Cliente],Clientes[Provincia]),", Argentina")</f>
        <v>Buenos Aires, Argentina</v>
      </c>
      <c r="M1664" s="20" t="str">
        <f t="array" ref="M1664">_xlfn.XLOOKUP(F1664,Metodos_De_Pago[ID_Metodo],Metodos_De_Pago[Metodo])</f>
        <v>Transferencia</v>
      </c>
      <c r="N1664" s="20" t="str">
        <f t="shared" si="2"/>
        <v>2024 05</v>
      </c>
    </row>
    <row r="1665" ht="22.5" customHeight="1">
      <c r="A1665" s="12">
        <f>IFERROR(__xludf.DUMMYFUNCTION("""COMPUTED_VALUE"""),1019.0)</f>
        <v>1019</v>
      </c>
      <c r="B1665" s="13">
        <f>IFERROR(__xludf.DUMMYFUNCTION("""COMPUTED_VALUE"""),45421.0)</f>
        <v>45421</v>
      </c>
      <c r="C1665" s="12">
        <f>IFERROR(__xludf.DUMMYFUNCTION("""COMPUTED_VALUE"""),225.0)</f>
        <v>225</v>
      </c>
      <c r="D1665" s="12">
        <f>IFERROR(__xludf.DUMMYFUNCTION("""COMPUTED_VALUE"""),26.0)</f>
        <v>26</v>
      </c>
      <c r="E1665" s="12">
        <f>IFERROR(__xludf.DUMMYFUNCTION("""COMPUTED_VALUE"""),4.0)</f>
        <v>4</v>
      </c>
      <c r="F1665" s="12">
        <f>IFERROR(__xludf.DUMMYFUNCTION("""COMPUTED_VALUE"""),4.0)</f>
        <v>4</v>
      </c>
      <c r="G1665" s="15" t="str">
        <f>IFERROR(__xludf.DUMMYFUNCTION("""COMPUTED_VALUE"""),"Completa")</f>
        <v>Completa</v>
      </c>
      <c r="H1665" s="16" t="str">
        <f t="array" ref="H1665">_xlfn.XLOOKUP(D1665,Productos[ID_Producto],Productos[Nombre_Producto])</f>
        <v>Hamburgesas congeladas</v>
      </c>
      <c r="I1665" s="17">
        <f t="array" ref="I1665">_xlfn.XLOOKUP(D1665,Productos[ID_Producto],Productos[Precio_Unitario])</f>
        <v>9.54</v>
      </c>
      <c r="J1665" s="17">
        <f t="shared" si="1"/>
        <v>38.16</v>
      </c>
      <c r="K1665" s="16" t="str">
        <f t="array" ref="K1665">_xlfn.XLOOKUP(C1665,Clientes[ID_Cliente],Clientes[Provincia])</f>
        <v>Buenos Aires</v>
      </c>
      <c r="L1665" s="16" t="str">
        <f t="array" ref="L1665">CONCATENATE(_xlfn.XLOOKUP(C1665,Clientes[ID_Cliente],Clientes[Provincia]),", Argentina")</f>
        <v>Buenos Aires, Argentina</v>
      </c>
      <c r="M1665" s="20" t="str">
        <f t="array" ref="M1665">_xlfn.XLOOKUP(F1665,Metodos_De_Pago[ID_Metodo],Metodos_De_Pago[Metodo])</f>
        <v>Mercado Pago</v>
      </c>
      <c r="N1665" s="20" t="str">
        <f t="shared" si="2"/>
        <v>2024 05</v>
      </c>
    </row>
    <row r="1666" ht="22.5" customHeight="1">
      <c r="A1666" s="12">
        <f>IFERROR(__xludf.DUMMYFUNCTION("""COMPUTED_VALUE"""),524.0)</f>
        <v>524</v>
      </c>
      <c r="B1666" s="13">
        <f>IFERROR(__xludf.DUMMYFUNCTION("""COMPUTED_VALUE"""),45422.0)</f>
        <v>45422</v>
      </c>
      <c r="C1666" s="12">
        <f>IFERROR(__xludf.DUMMYFUNCTION("""COMPUTED_VALUE"""),54.0)</f>
        <v>54</v>
      </c>
      <c r="D1666" s="12">
        <f>IFERROR(__xludf.DUMMYFUNCTION("""COMPUTED_VALUE"""),7.0)</f>
        <v>7</v>
      </c>
      <c r="E1666" s="12">
        <f>IFERROR(__xludf.DUMMYFUNCTION("""COMPUTED_VALUE"""),4.0)</f>
        <v>4</v>
      </c>
      <c r="F1666" s="12">
        <f>IFERROR(__xludf.DUMMYFUNCTION("""COMPUTED_VALUE"""),4.0)</f>
        <v>4</v>
      </c>
      <c r="G1666" s="15" t="str">
        <f>IFERROR(__xludf.DUMMYFUNCTION("""COMPUTED_VALUE"""),"Pendiente")</f>
        <v>Pendiente</v>
      </c>
      <c r="H1666" s="16" t="str">
        <f t="array" ref="H1666">_xlfn.XLOOKUP(D1666,Productos[ID_Producto],Productos[Nombre_Producto])</f>
        <v>Chorizo</v>
      </c>
      <c r="I1666" s="17">
        <f t="array" ref="I1666">_xlfn.XLOOKUP(D1666,Productos[ID_Producto],Productos[Precio_Unitario])</f>
        <v>11.25</v>
      </c>
      <c r="J1666" s="17">
        <f t="shared" si="1"/>
        <v>45</v>
      </c>
      <c r="K1666" s="16" t="str">
        <f t="array" ref="K1666">_xlfn.XLOOKUP(C1666,Clientes[ID_Cliente],Clientes[Provincia])</f>
        <v>Buenos Aires</v>
      </c>
      <c r="L1666" s="16" t="str">
        <f t="array" ref="L1666">CONCATENATE(_xlfn.XLOOKUP(C1666,Clientes[ID_Cliente],Clientes[Provincia]),", Argentina")</f>
        <v>Buenos Aires, Argentina</v>
      </c>
      <c r="M1666" s="20" t="str">
        <f t="array" ref="M1666">_xlfn.XLOOKUP(F1666,Metodos_De_Pago[ID_Metodo],Metodos_De_Pago[Metodo])</f>
        <v>Mercado Pago</v>
      </c>
      <c r="N1666" s="20" t="str">
        <f t="shared" si="2"/>
        <v>2024 05</v>
      </c>
    </row>
    <row r="1667" ht="22.5" customHeight="1">
      <c r="A1667" s="12">
        <f>IFERROR(__xludf.DUMMYFUNCTION("""COMPUTED_VALUE"""),1031.0)</f>
        <v>1031</v>
      </c>
      <c r="B1667" s="13">
        <f>IFERROR(__xludf.DUMMYFUNCTION("""COMPUTED_VALUE"""),45422.0)</f>
        <v>45422</v>
      </c>
      <c r="C1667" s="12">
        <f>IFERROR(__xludf.DUMMYFUNCTION("""COMPUTED_VALUE"""),103.0)</f>
        <v>103</v>
      </c>
      <c r="D1667" s="12">
        <f>IFERROR(__xludf.DUMMYFUNCTION("""COMPUTED_VALUE"""),10.0)</f>
        <v>10</v>
      </c>
      <c r="E1667" s="12">
        <f>IFERROR(__xludf.DUMMYFUNCTION("""COMPUTED_VALUE"""),4.0)</f>
        <v>4</v>
      </c>
      <c r="F1667" s="12">
        <f>IFERROR(__xludf.DUMMYFUNCTION("""COMPUTED_VALUE"""),5.0)</f>
        <v>5</v>
      </c>
      <c r="G1667" s="15" t="str">
        <f>IFERROR(__xludf.DUMMYFUNCTION("""COMPUTED_VALUE"""),"Completa")</f>
        <v>Completa</v>
      </c>
      <c r="H1667" s="16" t="str">
        <f t="array" ref="H1667">_xlfn.XLOOKUP(D1667,Productos[ID_Producto],Productos[Nombre_Producto])</f>
        <v>Costilla de cerdo</v>
      </c>
      <c r="I1667" s="17">
        <f t="array" ref="I1667">_xlfn.XLOOKUP(D1667,Productos[ID_Producto],Productos[Precio_Unitario])</f>
        <v>14.25</v>
      </c>
      <c r="J1667" s="17">
        <f t="shared" si="1"/>
        <v>57</v>
      </c>
      <c r="K1667" s="16" t="str">
        <f t="array" ref="K1667">_xlfn.XLOOKUP(C1667,Clientes[ID_Cliente],Clientes[Provincia])</f>
        <v>Neuquén</v>
      </c>
      <c r="L1667" s="16" t="str">
        <f t="array" ref="L1667">CONCATENATE(_xlfn.XLOOKUP(C1667,Clientes[ID_Cliente],Clientes[Provincia]),", Argentina")</f>
        <v>Neuquén, Argentina</v>
      </c>
      <c r="M1667" s="20" t="str">
        <f t="array" ref="M1667">_xlfn.XLOOKUP(F1667,Metodos_De_Pago[ID_Metodo],Metodos_De_Pago[Metodo])</f>
        <v>Transferencia</v>
      </c>
      <c r="N1667" s="20" t="str">
        <f t="shared" si="2"/>
        <v>2024 05</v>
      </c>
    </row>
    <row r="1668" ht="22.5" customHeight="1">
      <c r="A1668" s="12">
        <f>IFERROR(__xludf.DUMMYFUNCTION("""COMPUTED_VALUE"""),1268.0)</f>
        <v>1268</v>
      </c>
      <c r="B1668" s="13">
        <f>IFERROR(__xludf.DUMMYFUNCTION("""COMPUTED_VALUE"""),45422.0)</f>
        <v>45422</v>
      </c>
      <c r="C1668" s="12">
        <f>IFERROR(__xludf.DUMMYFUNCTION("""COMPUTED_VALUE"""),14.0)</f>
        <v>14</v>
      </c>
      <c r="D1668" s="12">
        <f>IFERROR(__xludf.DUMMYFUNCTION("""COMPUTED_VALUE"""),8.0)</f>
        <v>8</v>
      </c>
      <c r="E1668" s="12">
        <f>IFERROR(__xludf.DUMMYFUNCTION("""COMPUTED_VALUE"""),4.0)</f>
        <v>4</v>
      </c>
      <c r="F1668" s="12">
        <f>IFERROR(__xludf.DUMMYFUNCTION("""COMPUTED_VALUE"""),1.0)</f>
        <v>1</v>
      </c>
      <c r="G1668" s="15" t="str">
        <f>IFERROR(__xludf.DUMMYFUNCTION("""COMPUTED_VALUE"""),"Pendiente")</f>
        <v>Pendiente</v>
      </c>
      <c r="H1668" s="16" t="str">
        <f t="array" ref="H1668">_xlfn.XLOOKUP(D1668,Productos[ID_Producto],Productos[Nombre_Producto])</f>
        <v>Milanesa</v>
      </c>
      <c r="I1668" s="17">
        <f t="array" ref="I1668">_xlfn.XLOOKUP(D1668,Productos[ID_Producto],Productos[Precio_Unitario])</f>
        <v>16.21</v>
      </c>
      <c r="J1668" s="17">
        <f t="shared" si="1"/>
        <v>64.84</v>
      </c>
      <c r="K1668" s="16" t="str">
        <f t="array" ref="K1668">_xlfn.XLOOKUP(C1668,Clientes[ID_Cliente],Clientes[Provincia])</f>
        <v>Buenos Aires</v>
      </c>
      <c r="L1668" s="16" t="str">
        <f t="array" ref="L1668">CONCATENATE(_xlfn.XLOOKUP(C1668,Clientes[ID_Cliente],Clientes[Provincia]),", Argentina")</f>
        <v>Buenos Aires, Argentina</v>
      </c>
      <c r="M1668" s="20" t="str">
        <f t="array" ref="M1668">_xlfn.XLOOKUP(F1668,Metodos_De_Pago[ID_Metodo],Metodos_De_Pago[Metodo])</f>
        <v>Efectivo</v>
      </c>
      <c r="N1668" s="20" t="str">
        <f t="shared" si="2"/>
        <v>2024 05</v>
      </c>
    </row>
    <row r="1669" ht="22.5" customHeight="1">
      <c r="A1669" s="12">
        <f>IFERROR(__xludf.DUMMYFUNCTION("""COMPUTED_VALUE"""),1385.0)</f>
        <v>1385</v>
      </c>
      <c r="B1669" s="13">
        <f>IFERROR(__xludf.DUMMYFUNCTION("""COMPUTED_VALUE"""),45422.0)</f>
        <v>45422</v>
      </c>
      <c r="C1669" s="12">
        <f>IFERROR(__xludf.DUMMYFUNCTION("""COMPUTED_VALUE"""),151.0)</f>
        <v>151</v>
      </c>
      <c r="D1669" s="12">
        <f>IFERROR(__xludf.DUMMYFUNCTION("""COMPUTED_VALUE"""),13.0)</f>
        <v>13</v>
      </c>
      <c r="E1669" s="12">
        <f>IFERROR(__xludf.DUMMYFUNCTION("""COMPUTED_VALUE"""),4.0)</f>
        <v>4</v>
      </c>
      <c r="F1669" s="12">
        <f>IFERROR(__xludf.DUMMYFUNCTION("""COMPUTED_VALUE"""),5.0)</f>
        <v>5</v>
      </c>
      <c r="G1669" s="15" t="str">
        <f>IFERROR(__xludf.DUMMYFUNCTION("""COMPUTED_VALUE"""),"Completa")</f>
        <v>Completa</v>
      </c>
      <c r="H1669" s="16" t="str">
        <f t="array" ref="H1669">_xlfn.XLOOKUP(D1669,Productos[ID_Producto],Productos[Nombre_Producto])</f>
        <v>Pan integral</v>
      </c>
      <c r="I1669" s="17">
        <f t="array" ref="I1669">_xlfn.XLOOKUP(D1669,Productos[ID_Producto],Productos[Precio_Unitario])</f>
        <v>12.56</v>
      </c>
      <c r="J1669" s="17">
        <f t="shared" si="1"/>
        <v>50.24</v>
      </c>
      <c r="K1669" s="16" t="str">
        <f t="array" ref="K1669">_xlfn.XLOOKUP(C1669,Clientes[ID_Cliente],Clientes[Provincia])</f>
        <v>Buenos Aires</v>
      </c>
      <c r="L1669" s="16" t="str">
        <f t="array" ref="L1669">CONCATENATE(_xlfn.XLOOKUP(C1669,Clientes[ID_Cliente],Clientes[Provincia]),", Argentina")</f>
        <v>Buenos Aires, Argentina</v>
      </c>
      <c r="M1669" s="20" t="str">
        <f t="array" ref="M1669">_xlfn.XLOOKUP(F1669,Metodos_De_Pago[ID_Metodo],Metodos_De_Pago[Metodo])</f>
        <v>Transferencia</v>
      </c>
      <c r="N1669" s="20" t="str">
        <f t="shared" si="2"/>
        <v>2024 05</v>
      </c>
    </row>
    <row r="1670" ht="22.5" customHeight="1">
      <c r="A1670" s="12">
        <f>IFERROR(__xludf.DUMMYFUNCTION("""COMPUTED_VALUE"""),1747.0)</f>
        <v>1747</v>
      </c>
      <c r="B1670" s="13">
        <f>IFERROR(__xludf.DUMMYFUNCTION("""COMPUTED_VALUE"""),45423.0)</f>
        <v>45423</v>
      </c>
      <c r="C1670" s="12">
        <f>IFERROR(__xludf.DUMMYFUNCTION("""COMPUTED_VALUE"""),138.0)</f>
        <v>138</v>
      </c>
      <c r="D1670" s="12">
        <f>IFERROR(__xludf.DUMMYFUNCTION("""COMPUTED_VALUE"""),15.0)</f>
        <v>15</v>
      </c>
      <c r="E1670" s="12">
        <f>IFERROR(__xludf.DUMMYFUNCTION("""COMPUTED_VALUE"""),4.0)</f>
        <v>4</v>
      </c>
      <c r="F1670" s="12">
        <f>IFERROR(__xludf.DUMMYFUNCTION("""COMPUTED_VALUE"""),2.0)</f>
        <v>2</v>
      </c>
      <c r="G1670" s="15" t="str">
        <f>IFERROR(__xludf.DUMMYFUNCTION("""COMPUTED_VALUE"""),"Completa")</f>
        <v>Completa</v>
      </c>
      <c r="H1670" s="16" t="str">
        <f t="array" ref="H1670">_xlfn.XLOOKUP(D1670,Productos[ID_Producto],Productos[Nombre_Producto])</f>
        <v>Medialunas</v>
      </c>
      <c r="I1670" s="17">
        <f t="array" ref="I1670">_xlfn.XLOOKUP(D1670,Productos[ID_Producto],Productos[Precio_Unitario])</f>
        <v>3.51</v>
      </c>
      <c r="J1670" s="17">
        <f t="shared" si="1"/>
        <v>14.04</v>
      </c>
      <c r="K1670" s="16" t="str">
        <f t="array" ref="K1670">_xlfn.XLOOKUP(C1670,Clientes[ID_Cliente],Clientes[Provincia])</f>
        <v>Buenos Aires</v>
      </c>
      <c r="L1670" s="16" t="str">
        <f t="array" ref="L1670">CONCATENATE(_xlfn.XLOOKUP(C1670,Clientes[ID_Cliente],Clientes[Provincia]),", Argentina")</f>
        <v>Buenos Aires, Argentina</v>
      </c>
      <c r="M1670" s="20" t="str">
        <f t="array" ref="M1670">_xlfn.XLOOKUP(F1670,Metodos_De_Pago[ID_Metodo],Metodos_De_Pago[Metodo])</f>
        <v>Tarjeta de Crédito</v>
      </c>
      <c r="N1670" s="20" t="str">
        <f t="shared" si="2"/>
        <v>2024 05</v>
      </c>
    </row>
    <row r="1671" ht="22.5" customHeight="1">
      <c r="A1671" s="12">
        <f>IFERROR(__xludf.DUMMYFUNCTION("""COMPUTED_VALUE"""),2114.0)</f>
        <v>2114</v>
      </c>
      <c r="B1671" s="13">
        <f>IFERROR(__xludf.DUMMYFUNCTION("""COMPUTED_VALUE"""),45424.0)</f>
        <v>45424</v>
      </c>
      <c r="C1671" s="12">
        <f>IFERROR(__xludf.DUMMYFUNCTION("""COMPUTED_VALUE"""),119.0)</f>
        <v>119</v>
      </c>
      <c r="D1671" s="12">
        <f>IFERROR(__xludf.DUMMYFUNCTION("""COMPUTED_VALUE"""),17.0)</f>
        <v>17</v>
      </c>
      <c r="E1671" s="12">
        <f>IFERROR(__xludf.DUMMYFUNCTION("""COMPUTED_VALUE"""),4.0)</f>
        <v>4</v>
      </c>
      <c r="F1671" s="12">
        <f>IFERROR(__xludf.DUMMYFUNCTION("""COMPUTED_VALUE"""),5.0)</f>
        <v>5</v>
      </c>
      <c r="G1671" s="15" t="str">
        <f>IFERROR(__xludf.DUMMYFUNCTION("""COMPUTED_VALUE"""),"Pendiente")</f>
        <v>Pendiente</v>
      </c>
      <c r="H1671" s="16" t="str">
        <f t="array" ref="H1671">_xlfn.XLOOKUP(D1671,Productos[ID_Producto],Productos[Nombre_Producto])</f>
        <v>Manzanas</v>
      </c>
      <c r="I1671" s="17">
        <f t="array" ref="I1671">_xlfn.XLOOKUP(D1671,Productos[ID_Producto],Productos[Precio_Unitario])</f>
        <v>6.54</v>
      </c>
      <c r="J1671" s="17">
        <f t="shared" si="1"/>
        <v>26.16</v>
      </c>
      <c r="K1671" s="16" t="str">
        <f t="array" ref="K1671">_xlfn.XLOOKUP(C1671,Clientes[ID_Cliente],Clientes[Provincia])</f>
        <v>Neuquén</v>
      </c>
      <c r="L1671" s="16" t="str">
        <f t="array" ref="L1671">CONCATENATE(_xlfn.XLOOKUP(C1671,Clientes[ID_Cliente],Clientes[Provincia]),", Argentina")</f>
        <v>Neuquén, Argentina</v>
      </c>
      <c r="M1671" s="20" t="str">
        <f t="array" ref="M1671">_xlfn.XLOOKUP(F1671,Metodos_De_Pago[ID_Metodo],Metodos_De_Pago[Metodo])</f>
        <v>Transferencia</v>
      </c>
      <c r="N1671" s="20" t="str">
        <f t="shared" si="2"/>
        <v>2024 05</v>
      </c>
    </row>
    <row r="1672" ht="22.5" customHeight="1">
      <c r="A1672" s="12">
        <f>IFERROR(__xludf.DUMMYFUNCTION("""COMPUTED_VALUE"""),449.0)</f>
        <v>449</v>
      </c>
      <c r="B1672" s="13">
        <f>IFERROR(__xludf.DUMMYFUNCTION("""COMPUTED_VALUE"""),45425.0)</f>
        <v>45425</v>
      </c>
      <c r="C1672" s="12">
        <f>IFERROR(__xludf.DUMMYFUNCTION("""COMPUTED_VALUE"""),21.0)</f>
        <v>21</v>
      </c>
      <c r="D1672" s="12">
        <f>IFERROR(__xludf.DUMMYFUNCTION("""COMPUTED_VALUE"""),34.0)</f>
        <v>34</v>
      </c>
      <c r="E1672" s="12">
        <f>IFERROR(__xludf.DUMMYFUNCTION("""COMPUTED_VALUE"""),4.0)</f>
        <v>4</v>
      </c>
      <c r="F1672" s="12">
        <f>IFERROR(__xludf.DUMMYFUNCTION("""COMPUTED_VALUE"""),5.0)</f>
        <v>5</v>
      </c>
      <c r="G1672" s="15" t="str">
        <f>IFERROR(__xludf.DUMMYFUNCTION("""COMPUTED_VALUE"""),"Completa")</f>
        <v>Completa</v>
      </c>
      <c r="H1672" s="16" t="str">
        <f t="array" ref="H1672">_xlfn.XLOOKUP(D1672,Productos[ID_Producto],Productos[Nombre_Producto])</f>
        <v>Maníes</v>
      </c>
      <c r="I1672" s="17">
        <f t="array" ref="I1672">_xlfn.XLOOKUP(D1672,Productos[ID_Producto],Productos[Precio_Unitario])</f>
        <v>5.45</v>
      </c>
      <c r="J1672" s="17">
        <f t="shared" si="1"/>
        <v>21.8</v>
      </c>
      <c r="K1672" s="16" t="str">
        <f t="array" ref="K1672">_xlfn.XLOOKUP(C1672,Clientes[ID_Cliente],Clientes[Provincia])</f>
        <v>Buenos Aires</v>
      </c>
      <c r="L1672" s="16" t="str">
        <f t="array" ref="L1672">CONCATENATE(_xlfn.XLOOKUP(C1672,Clientes[ID_Cliente],Clientes[Provincia]),", Argentina")</f>
        <v>Buenos Aires, Argentina</v>
      </c>
      <c r="M1672" s="20" t="str">
        <f t="array" ref="M1672">_xlfn.XLOOKUP(F1672,Metodos_De_Pago[ID_Metodo],Metodos_De_Pago[Metodo])</f>
        <v>Transferencia</v>
      </c>
      <c r="N1672" s="20" t="str">
        <f t="shared" si="2"/>
        <v>2024 05</v>
      </c>
    </row>
    <row r="1673" ht="22.5" customHeight="1">
      <c r="A1673" s="12">
        <f>IFERROR(__xludf.DUMMYFUNCTION("""COMPUTED_VALUE"""),796.0)</f>
        <v>796</v>
      </c>
      <c r="B1673" s="13">
        <f>IFERROR(__xludf.DUMMYFUNCTION("""COMPUTED_VALUE"""),45426.0)</f>
        <v>45426</v>
      </c>
      <c r="C1673" s="12">
        <f>IFERROR(__xludf.DUMMYFUNCTION("""COMPUTED_VALUE"""),281.0)</f>
        <v>281</v>
      </c>
      <c r="D1673" s="12">
        <f>IFERROR(__xludf.DUMMYFUNCTION("""COMPUTED_VALUE"""),37.0)</f>
        <v>37</v>
      </c>
      <c r="E1673" s="12">
        <f>IFERROR(__xludf.DUMMYFUNCTION("""COMPUTED_VALUE"""),4.0)</f>
        <v>4</v>
      </c>
      <c r="F1673" s="12">
        <f>IFERROR(__xludf.DUMMYFUNCTION("""COMPUTED_VALUE"""),1.0)</f>
        <v>1</v>
      </c>
      <c r="G1673" s="15" t="str">
        <f>IFERROR(__xludf.DUMMYFUNCTION("""COMPUTED_VALUE"""),"Completa")</f>
        <v>Completa</v>
      </c>
      <c r="H1673" s="16" t="str">
        <f t="array" ref="H1673">_xlfn.XLOOKUP(D1673,Productos[ID_Producto],Productos[Nombre_Producto])</f>
        <v>Garbanzos</v>
      </c>
      <c r="I1673" s="17">
        <f t="array" ref="I1673">_xlfn.XLOOKUP(D1673,Productos[ID_Producto],Productos[Precio_Unitario])</f>
        <v>3.65</v>
      </c>
      <c r="J1673" s="17">
        <f t="shared" si="1"/>
        <v>14.6</v>
      </c>
      <c r="K1673" s="16" t="str">
        <f t="array" ref="K1673">_xlfn.XLOOKUP(C1673,Clientes[ID_Cliente],Clientes[Provincia])</f>
        <v>Buenos Aires</v>
      </c>
      <c r="L1673" s="16" t="str">
        <f t="array" ref="L1673">CONCATENATE(_xlfn.XLOOKUP(C1673,Clientes[ID_Cliente],Clientes[Provincia]),", Argentina")</f>
        <v>Buenos Aires, Argentina</v>
      </c>
      <c r="M1673" s="20" t="str">
        <f t="array" ref="M1673">_xlfn.XLOOKUP(F1673,Metodos_De_Pago[ID_Metodo],Metodos_De_Pago[Metodo])</f>
        <v>Efectivo</v>
      </c>
      <c r="N1673" s="20" t="str">
        <f t="shared" si="2"/>
        <v>2024 05</v>
      </c>
    </row>
    <row r="1674" ht="22.5" customHeight="1">
      <c r="A1674" s="12">
        <f>IFERROR(__xludf.DUMMYFUNCTION("""COMPUTED_VALUE"""),2583.0)</f>
        <v>2583</v>
      </c>
      <c r="B1674" s="13">
        <f>IFERROR(__xludf.DUMMYFUNCTION("""COMPUTED_VALUE"""),45426.0)</f>
        <v>45426</v>
      </c>
      <c r="C1674" s="12">
        <f>IFERROR(__xludf.DUMMYFUNCTION("""COMPUTED_VALUE"""),220.0)</f>
        <v>220</v>
      </c>
      <c r="D1674" s="12">
        <f>IFERROR(__xludf.DUMMYFUNCTION("""COMPUTED_VALUE"""),26.0)</f>
        <v>26</v>
      </c>
      <c r="E1674" s="12">
        <f>IFERROR(__xludf.DUMMYFUNCTION("""COMPUTED_VALUE"""),4.0)</f>
        <v>4</v>
      </c>
      <c r="F1674" s="12">
        <f>IFERROR(__xludf.DUMMYFUNCTION("""COMPUTED_VALUE"""),4.0)</f>
        <v>4</v>
      </c>
      <c r="G1674" s="15" t="str">
        <f>IFERROR(__xludf.DUMMYFUNCTION("""COMPUTED_VALUE"""),"Completa")</f>
        <v>Completa</v>
      </c>
      <c r="H1674" s="16" t="str">
        <f t="array" ref="H1674">_xlfn.XLOOKUP(D1674,Productos[ID_Producto],Productos[Nombre_Producto])</f>
        <v>Hamburgesas congeladas</v>
      </c>
      <c r="I1674" s="17">
        <f t="array" ref="I1674">_xlfn.XLOOKUP(D1674,Productos[ID_Producto],Productos[Precio_Unitario])</f>
        <v>9.54</v>
      </c>
      <c r="J1674" s="17">
        <f t="shared" si="1"/>
        <v>38.16</v>
      </c>
      <c r="K1674" s="16" t="str">
        <f t="array" ref="K1674">_xlfn.XLOOKUP(C1674,Clientes[ID_Cliente],Clientes[Provincia])</f>
        <v>Córdoba</v>
      </c>
      <c r="L1674" s="16" t="str">
        <f t="array" ref="L1674">CONCATENATE(_xlfn.XLOOKUP(C1674,Clientes[ID_Cliente],Clientes[Provincia]),", Argentina")</f>
        <v>Córdoba, Argentina</v>
      </c>
      <c r="M1674" s="20" t="str">
        <f t="array" ref="M1674">_xlfn.XLOOKUP(F1674,Metodos_De_Pago[ID_Metodo],Metodos_De_Pago[Metodo])</f>
        <v>Mercado Pago</v>
      </c>
      <c r="N1674" s="20" t="str">
        <f t="shared" si="2"/>
        <v>2024 05</v>
      </c>
    </row>
    <row r="1675" ht="22.5" customHeight="1">
      <c r="A1675" s="12">
        <f>IFERROR(__xludf.DUMMYFUNCTION("""COMPUTED_VALUE"""),2590.0)</f>
        <v>2590</v>
      </c>
      <c r="B1675" s="13">
        <f>IFERROR(__xludf.DUMMYFUNCTION("""COMPUTED_VALUE"""),45426.0)</f>
        <v>45426</v>
      </c>
      <c r="C1675" s="12">
        <f>IFERROR(__xludf.DUMMYFUNCTION("""COMPUTED_VALUE"""),283.0)</f>
        <v>283</v>
      </c>
      <c r="D1675" s="12">
        <f>IFERROR(__xludf.DUMMYFUNCTION("""COMPUTED_VALUE"""),21.0)</f>
        <v>21</v>
      </c>
      <c r="E1675" s="12">
        <f>IFERROR(__xludf.DUMMYFUNCTION("""COMPUTED_VALUE"""),4.0)</f>
        <v>4</v>
      </c>
      <c r="F1675" s="12">
        <f>IFERROR(__xludf.DUMMYFUNCTION("""COMPUTED_VALUE"""),3.0)</f>
        <v>3</v>
      </c>
      <c r="G1675" s="15" t="str">
        <f>IFERROR(__xludf.DUMMYFUNCTION("""COMPUTED_VALUE"""),"Completa")</f>
        <v>Completa</v>
      </c>
      <c r="H1675" s="16" t="str">
        <f t="array" ref="H1675">_xlfn.XLOOKUP(D1675,Productos[ID_Producto],Productos[Nombre_Producto])</f>
        <v>Zanahorias</v>
      </c>
      <c r="I1675" s="17">
        <f t="array" ref="I1675">_xlfn.XLOOKUP(D1675,Productos[ID_Producto],Productos[Precio_Unitario])</f>
        <v>3.25</v>
      </c>
      <c r="J1675" s="17">
        <f t="shared" si="1"/>
        <v>13</v>
      </c>
      <c r="K1675" s="16" t="str">
        <f t="array" ref="K1675">_xlfn.XLOOKUP(C1675,Clientes[ID_Cliente],Clientes[Provincia])</f>
        <v>Buenos Aires</v>
      </c>
      <c r="L1675" s="16" t="str">
        <f t="array" ref="L1675">CONCATENATE(_xlfn.XLOOKUP(C1675,Clientes[ID_Cliente],Clientes[Provincia]),", Argentina")</f>
        <v>Buenos Aires, Argentina</v>
      </c>
      <c r="M1675" s="20" t="str">
        <f t="array" ref="M1675">_xlfn.XLOOKUP(F1675,Metodos_De_Pago[ID_Metodo],Metodos_De_Pago[Metodo])</f>
        <v>Tarjeta de Débito</v>
      </c>
      <c r="N1675" s="20" t="str">
        <f t="shared" si="2"/>
        <v>2024 05</v>
      </c>
    </row>
    <row r="1676" ht="22.5" customHeight="1">
      <c r="A1676" s="12">
        <f>IFERROR(__xludf.DUMMYFUNCTION("""COMPUTED_VALUE"""),1269.0)</f>
        <v>1269</v>
      </c>
      <c r="B1676" s="13">
        <f>IFERROR(__xludf.DUMMYFUNCTION("""COMPUTED_VALUE"""),45429.0)</f>
        <v>45429</v>
      </c>
      <c r="C1676" s="12">
        <f>IFERROR(__xludf.DUMMYFUNCTION("""COMPUTED_VALUE"""),106.0)</f>
        <v>106</v>
      </c>
      <c r="D1676" s="12">
        <f>IFERROR(__xludf.DUMMYFUNCTION("""COMPUTED_VALUE"""),7.0)</f>
        <v>7</v>
      </c>
      <c r="E1676" s="12">
        <f>IFERROR(__xludf.DUMMYFUNCTION("""COMPUTED_VALUE"""),4.0)</f>
        <v>4</v>
      </c>
      <c r="F1676" s="12">
        <f>IFERROR(__xludf.DUMMYFUNCTION("""COMPUTED_VALUE"""),5.0)</f>
        <v>5</v>
      </c>
      <c r="G1676" s="15" t="str">
        <f>IFERROR(__xludf.DUMMYFUNCTION("""COMPUTED_VALUE"""),"Completa")</f>
        <v>Completa</v>
      </c>
      <c r="H1676" s="16" t="str">
        <f t="array" ref="H1676">_xlfn.XLOOKUP(D1676,Productos[ID_Producto],Productos[Nombre_Producto])</f>
        <v>Chorizo</v>
      </c>
      <c r="I1676" s="17">
        <f t="array" ref="I1676">_xlfn.XLOOKUP(D1676,Productos[ID_Producto],Productos[Precio_Unitario])</f>
        <v>11.25</v>
      </c>
      <c r="J1676" s="17">
        <f t="shared" si="1"/>
        <v>45</v>
      </c>
      <c r="K1676" s="16" t="str">
        <f t="array" ref="K1676">_xlfn.XLOOKUP(C1676,Clientes[ID_Cliente],Clientes[Provincia])</f>
        <v>Chaco</v>
      </c>
      <c r="L1676" s="16" t="str">
        <f t="array" ref="L1676">CONCATENATE(_xlfn.XLOOKUP(C1676,Clientes[ID_Cliente],Clientes[Provincia]),", Argentina")</f>
        <v>Chaco, Argentina</v>
      </c>
      <c r="M1676" s="20" t="str">
        <f t="array" ref="M1676">_xlfn.XLOOKUP(F1676,Metodos_De_Pago[ID_Metodo],Metodos_De_Pago[Metodo])</f>
        <v>Transferencia</v>
      </c>
      <c r="N1676" s="20" t="str">
        <f t="shared" si="2"/>
        <v>2024 05</v>
      </c>
    </row>
    <row r="1677" ht="22.5" customHeight="1">
      <c r="A1677" s="12">
        <f>IFERROR(__xludf.DUMMYFUNCTION("""COMPUTED_VALUE"""),989.0)</f>
        <v>989</v>
      </c>
      <c r="B1677" s="13">
        <f>IFERROR(__xludf.DUMMYFUNCTION("""COMPUTED_VALUE"""),45430.0)</f>
        <v>45430</v>
      </c>
      <c r="C1677" s="12">
        <f>IFERROR(__xludf.DUMMYFUNCTION("""COMPUTED_VALUE"""),115.0)</f>
        <v>115</v>
      </c>
      <c r="D1677" s="12">
        <f>IFERROR(__xludf.DUMMYFUNCTION("""COMPUTED_VALUE"""),6.0)</f>
        <v>6</v>
      </c>
      <c r="E1677" s="12">
        <f>IFERROR(__xludf.DUMMYFUNCTION("""COMPUTED_VALUE"""),4.0)</f>
        <v>4</v>
      </c>
      <c r="F1677" s="12">
        <f>IFERROR(__xludf.DUMMYFUNCTION("""COMPUTED_VALUE"""),3.0)</f>
        <v>3</v>
      </c>
      <c r="G1677" s="15" t="str">
        <f>IFERROR(__xludf.DUMMYFUNCTION("""COMPUTED_VALUE"""),"Pendiente")</f>
        <v>Pendiente</v>
      </c>
      <c r="H1677" s="16" t="str">
        <f t="array" ref="H1677">_xlfn.XLOOKUP(D1677,Productos[ID_Producto],Productos[Nombre_Producto])</f>
        <v>Asado</v>
      </c>
      <c r="I1677" s="17">
        <f t="array" ref="I1677">_xlfn.XLOOKUP(D1677,Productos[ID_Producto],Productos[Precio_Unitario])</f>
        <v>28.56</v>
      </c>
      <c r="J1677" s="17">
        <f t="shared" si="1"/>
        <v>114.24</v>
      </c>
      <c r="K1677" s="16" t="str">
        <f t="array" ref="K1677">_xlfn.XLOOKUP(C1677,Clientes[ID_Cliente],Clientes[Provincia])</f>
        <v>San Luis</v>
      </c>
      <c r="L1677" s="16" t="str">
        <f t="array" ref="L1677">CONCATENATE(_xlfn.XLOOKUP(C1677,Clientes[ID_Cliente],Clientes[Provincia]),", Argentina")</f>
        <v>San Luis, Argentina</v>
      </c>
      <c r="M1677" s="20" t="str">
        <f t="array" ref="M1677">_xlfn.XLOOKUP(F1677,Metodos_De_Pago[ID_Metodo],Metodos_De_Pago[Metodo])</f>
        <v>Tarjeta de Débito</v>
      </c>
      <c r="N1677" s="20" t="str">
        <f t="shared" si="2"/>
        <v>2024 05</v>
      </c>
    </row>
    <row r="1678" ht="22.5" customHeight="1">
      <c r="A1678" s="12">
        <f>IFERROR(__xludf.DUMMYFUNCTION("""COMPUTED_VALUE"""),1831.0)</f>
        <v>1831</v>
      </c>
      <c r="B1678" s="13">
        <f>IFERROR(__xludf.DUMMYFUNCTION("""COMPUTED_VALUE"""),45432.0)</f>
        <v>45432</v>
      </c>
      <c r="C1678" s="12">
        <f>IFERROR(__xludf.DUMMYFUNCTION("""COMPUTED_VALUE"""),306.0)</f>
        <v>306</v>
      </c>
      <c r="D1678" s="12">
        <f>IFERROR(__xludf.DUMMYFUNCTION("""COMPUTED_VALUE"""),10.0)</f>
        <v>10</v>
      </c>
      <c r="E1678" s="12">
        <f>IFERROR(__xludf.DUMMYFUNCTION("""COMPUTED_VALUE"""),4.0)</f>
        <v>4</v>
      </c>
      <c r="F1678" s="12">
        <f>IFERROR(__xludf.DUMMYFUNCTION("""COMPUTED_VALUE"""),2.0)</f>
        <v>2</v>
      </c>
      <c r="G1678" s="15" t="str">
        <f>IFERROR(__xludf.DUMMYFUNCTION("""COMPUTED_VALUE"""),"Completa")</f>
        <v>Completa</v>
      </c>
      <c r="H1678" s="16" t="str">
        <f t="array" ref="H1678">_xlfn.XLOOKUP(D1678,Productos[ID_Producto],Productos[Nombre_Producto])</f>
        <v>Costilla de cerdo</v>
      </c>
      <c r="I1678" s="17">
        <f t="array" ref="I1678">_xlfn.XLOOKUP(D1678,Productos[ID_Producto],Productos[Precio_Unitario])</f>
        <v>14.25</v>
      </c>
      <c r="J1678" s="17">
        <f t="shared" si="1"/>
        <v>57</v>
      </c>
      <c r="K1678" s="16" t="str">
        <f t="array" ref="K1678">_xlfn.XLOOKUP(C1678,Clientes[ID_Cliente],Clientes[Provincia])</f>
        <v>San Luis</v>
      </c>
      <c r="L1678" s="16" t="str">
        <f t="array" ref="L1678">CONCATENATE(_xlfn.XLOOKUP(C1678,Clientes[ID_Cliente],Clientes[Provincia]),", Argentina")</f>
        <v>San Luis, Argentina</v>
      </c>
      <c r="M1678" s="20" t="str">
        <f t="array" ref="M1678">_xlfn.XLOOKUP(F1678,Metodos_De_Pago[ID_Metodo],Metodos_De_Pago[Metodo])</f>
        <v>Tarjeta de Crédito</v>
      </c>
      <c r="N1678" s="20" t="str">
        <f t="shared" si="2"/>
        <v>2024 05</v>
      </c>
    </row>
    <row r="1679" ht="22.5" customHeight="1">
      <c r="A1679" s="12">
        <f>IFERROR(__xludf.DUMMYFUNCTION("""COMPUTED_VALUE"""),133.0)</f>
        <v>133</v>
      </c>
      <c r="B1679" s="13">
        <f>IFERROR(__xludf.DUMMYFUNCTION("""COMPUTED_VALUE"""),45435.0)</f>
        <v>45435</v>
      </c>
      <c r="C1679" s="12">
        <f>IFERROR(__xludf.DUMMYFUNCTION("""COMPUTED_VALUE"""),220.0)</f>
        <v>220</v>
      </c>
      <c r="D1679" s="12">
        <f>IFERROR(__xludf.DUMMYFUNCTION("""COMPUTED_VALUE"""),22.0)</f>
        <v>22</v>
      </c>
      <c r="E1679" s="12">
        <f>IFERROR(__xludf.DUMMYFUNCTION("""COMPUTED_VALUE"""),4.0)</f>
        <v>4</v>
      </c>
      <c r="F1679" s="12">
        <f>IFERROR(__xludf.DUMMYFUNCTION("""COMPUTED_VALUE"""),4.0)</f>
        <v>4</v>
      </c>
      <c r="G1679" s="15" t="str">
        <f>IFERROR(__xludf.DUMMYFUNCTION("""COMPUTED_VALUE"""),"Completa")</f>
        <v>Completa</v>
      </c>
      <c r="H1679" s="16" t="str">
        <f t="array" ref="H1679">_xlfn.XLOOKUP(D1679,Productos[ID_Producto],Productos[Nombre_Producto])</f>
        <v>Cebolla</v>
      </c>
      <c r="I1679" s="17">
        <f t="array" ref="I1679">_xlfn.XLOOKUP(D1679,Productos[ID_Producto],Productos[Precio_Unitario])</f>
        <v>4.21</v>
      </c>
      <c r="J1679" s="17">
        <f t="shared" si="1"/>
        <v>16.84</v>
      </c>
      <c r="K1679" s="16" t="str">
        <f t="array" ref="K1679">_xlfn.XLOOKUP(C1679,Clientes[ID_Cliente],Clientes[Provincia])</f>
        <v>Córdoba</v>
      </c>
      <c r="L1679" s="16" t="str">
        <f t="array" ref="L1679">CONCATENATE(_xlfn.XLOOKUP(C1679,Clientes[ID_Cliente],Clientes[Provincia]),", Argentina")</f>
        <v>Córdoba, Argentina</v>
      </c>
      <c r="M1679" s="20" t="str">
        <f t="array" ref="M1679">_xlfn.XLOOKUP(F1679,Metodos_De_Pago[ID_Metodo],Metodos_De_Pago[Metodo])</f>
        <v>Mercado Pago</v>
      </c>
      <c r="N1679" s="20" t="str">
        <f t="shared" si="2"/>
        <v>2024 05</v>
      </c>
    </row>
    <row r="1680" ht="22.5" customHeight="1">
      <c r="A1680" s="12">
        <f>IFERROR(__xludf.DUMMYFUNCTION("""COMPUTED_VALUE"""),286.0)</f>
        <v>286</v>
      </c>
      <c r="B1680" s="13">
        <f>IFERROR(__xludf.DUMMYFUNCTION("""COMPUTED_VALUE"""),45435.0)</f>
        <v>45435</v>
      </c>
      <c r="C1680" s="12">
        <f>IFERROR(__xludf.DUMMYFUNCTION("""COMPUTED_VALUE"""),317.0)</f>
        <v>317</v>
      </c>
      <c r="D1680" s="12">
        <f>IFERROR(__xludf.DUMMYFUNCTION("""COMPUTED_VALUE"""),12.0)</f>
        <v>12</v>
      </c>
      <c r="E1680" s="12">
        <f>IFERROR(__xludf.DUMMYFUNCTION("""COMPUTED_VALUE"""),4.0)</f>
        <v>4</v>
      </c>
      <c r="F1680" s="12">
        <f>IFERROR(__xludf.DUMMYFUNCTION("""COMPUTED_VALUE"""),4.0)</f>
        <v>4</v>
      </c>
      <c r="G1680" s="15" t="str">
        <f>IFERROR(__xludf.DUMMYFUNCTION("""COMPUTED_VALUE"""),"Completa")</f>
        <v>Completa</v>
      </c>
      <c r="H1680" s="16" t="str">
        <f t="array" ref="H1680">_xlfn.XLOOKUP(D1680,Productos[ID_Producto],Productos[Nombre_Producto])</f>
        <v>Pan francés</v>
      </c>
      <c r="I1680" s="17">
        <f t="array" ref="I1680">_xlfn.XLOOKUP(D1680,Productos[ID_Producto],Productos[Precio_Unitario])</f>
        <v>8.12</v>
      </c>
      <c r="J1680" s="17">
        <f t="shared" si="1"/>
        <v>32.48</v>
      </c>
      <c r="K1680" s="16" t="str">
        <f t="array" ref="K1680">_xlfn.XLOOKUP(C1680,Clientes[ID_Cliente],Clientes[Provincia])</f>
        <v>Chaco</v>
      </c>
      <c r="L1680" s="16" t="str">
        <f t="array" ref="L1680">CONCATENATE(_xlfn.XLOOKUP(C1680,Clientes[ID_Cliente],Clientes[Provincia]),", Argentina")</f>
        <v>Chaco, Argentina</v>
      </c>
      <c r="M1680" s="20" t="str">
        <f t="array" ref="M1680">_xlfn.XLOOKUP(F1680,Metodos_De_Pago[ID_Metodo],Metodos_De_Pago[Metodo])</f>
        <v>Mercado Pago</v>
      </c>
      <c r="N1680" s="20" t="str">
        <f t="shared" si="2"/>
        <v>2024 05</v>
      </c>
    </row>
    <row r="1681" ht="22.5" customHeight="1">
      <c r="A1681" s="12">
        <f>IFERROR(__xludf.DUMMYFUNCTION("""COMPUTED_VALUE"""),393.0)</f>
        <v>393</v>
      </c>
      <c r="B1681" s="13">
        <f>IFERROR(__xludf.DUMMYFUNCTION("""COMPUTED_VALUE"""),45435.0)</f>
        <v>45435</v>
      </c>
      <c r="C1681" s="12">
        <f>IFERROR(__xludf.DUMMYFUNCTION("""COMPUTED_VALUE"""),195.0)</f>
        <v>195</v>
      </c>
      <c r="D1681" s="12">
        <f>IFERROR(__xludf.DUMMYFUNCTION("""COMPUTED_VALUE"""),30.0)</f>
        <v>30</v>
      </c>
      <c r="E1681" s="12">
        <f>IFERROR(__xludf.DUMMYFUNCTION("""COMPUTED_VALUE"""),4.0)</f>
        <v>4</v>
      </c>
      <c r="F1681" s="12">
        <f>IFERROR(__xludf.DUMMYFUNCTION("""COMPUTED_VALUE"""),4.0)</f>
        <v>4</v>
      </c>
      <c r="G1681" s="15" t="str">
        <f>IFERROR(__xludf.DUMMYFUNCTION("""COMPUTED_VALUE"""),"Completa")</f>
        <v>Completa</v>
      </c>
      <c r="H1681" s="16" t="str">
        <f t="array" ref="H1681">_xlfn.XLOOKUP(D1681,Productos[ID_Producto],Productos[Nombre_Producto])</f>
        <v>Vino tinto</v>
      </c>
      <c r="I1681" s="17">
        <f t="array" ref="I1681">_xlfn.XLOOKUP(D1681,Productos[ID_Producto],Productos[Precio_Unitario])</f>
        <v>13.54</v>
      </c>
      <c r="J1681" s="17">
        <f t="shared" si="1"/>
        <v>54.16</v>
      </c>
      <c r="K1681" s="16" t="str">
        <f t="array" ref="K1681">_xlfn.XLOOKUP(C1681,Clientes[ID_Cliente],Clientes[Provincia])</f>
        <v>Córdoba</v>
      </c>
      <c r="L1681" s="16" t="str">
        <f t="array" ref="L1681">CONCATENATE(_xlfn.XLOOKUP(C1681,Clientes[ID_Cliente],Clientes[Provincia]),", Argentina")</f>
        <v>Córdoba, Argentina</v>
      </c>
      <c r="M1681" s="20" t="str">
        <f t="array" ref="M1681">_xlfn.XLOOKUP(F1681,Metodos_De_Pago[ID_Metodo],Metodos_De_Pago[Metodo])</f>
        <v>Mercado Pago</v>
      </c>
      <c r="N1681" s="20" t="str">
        <f t="shared" si="2"/>
        <v>2024 05</v>
      </c>
    </row>
    <row r="1682" ht="22.5" customHeight="1">
      <c r="A1682" s="12">
        <f>IFERROR(__xludf.DUMMYFUNCTION("""COMPUTED_VALUE"""),1917.0)</f>
        <v>1917</v>
      </c>
      <c r="B1682" s="13">
        <f>IFERROR(__xludf.DUMMYFUNCTION("""COMPUTED_VALUE"""),45435.0)</f>
        <v>45435</v>
      </c>
      <c r="C1682" s="12">
        <f>IFERROR(__xludf.DUMMYFUNCTION("""COMPUTED_VALUE"""),168.0)</f>
        <v>168</v>
      </c>
      <c r="D1682" s="12">
        <f>IFERROR(__xludf.DUMMYFUNCTION("""COMPUTED_VALUE"""),29.0)</f>
        <v>29</v>
      </c>
      <c r="E1682" s="12">
        <f>IFERROR(__xludf.DUMMYFUNCTION("""COMPUTED_VALUE"""),4.0)</f>
        <v>4</v>
      </c>
      <c r="F1682" s="12">
        <f>IFERROR(__xludf.DUMMYFUNCTION("""COMPUTED_VALUE"""),1.0)</f>
        <v>1</v>
      </c>
      <c r="G1682" s="15" t="str">
        <f>IFERROR(__xludf.DUMMYFUNCTION("""COMPUTED_VALUE"""),"Completa")</f>
        <v>Completa</v>
      </c>
      <c r="H1682" s="16" t="str">
        <f t="array" ref="H1682">_xlfn.XLOOKUP(D1682,Productos[ID_Producto],Productos[Nombre_Producto])</f>
        <v>Cerveza</v>
      </c>
      <c r="I1682" s="17">
        <f t="array" ref="I1682">_xlfn.XLOOKUP(D1682,Productos[ID_Producto],Productos[Precio_Unitario])</f>
        <v>11.54</v>
      </c>
      <c r="J1682" s="17">
        <f t="shared" si="1"/>
        <v>46.16</v>
      </c>
      <c r="K1682" s="16" t="str">
        <f t="array" ref="K1682">_xlfn.XLOOKUP(C1682,Clientes[ID_Cliente],Clientes[Provincia])</f>
        <v>Córdoba</v>
      </c>
      <c r="L1682" s="16" t="str">
        <f t="array" ref="L1682">CONCATENATE(_xlfn.XLOOKUP(C1682,Clientes[ID_Cliente],Clientes[Provincia]),", Argentina")</f>
        <v>Córdoba, Argentina</v>
      </c>
      <c r="M1682" s="20" t="str">
        <f t="array" ref="M1682">_xlfn.XLOOKUP(F1682,Metodos_De_Pago[ID_Metodo],Metodos_De_Pago[Metodo])</f>
        <v>Efectivo</v>
      </c>
      <c r="N1682" s="20" t="str">
        <f t="shared" si="2"/>
        <v>2024 05</v>
      </c>
    </row>
    <row r="1683" ht="22.5" customHeight="1">
      <c r="A1683" s="12">
        <f>IFERROR(__xludf.DUMMYFUNCTION("""COMPUTED_VALUE"""),128.0)</f>
        <v>128</v>
      </c>
      <c r="B1683" s="13">
        <f>IFERROR(__xludf.DUMMYFUNCTION("""COMPUTED_VALUE"""),45436.0)</f>
        <v>45436</v>
      </c>
      <c r="C1683" s="12">
        <f>IFERROR(__xludf.DUMMYFUNCTION("""COMPUTED_VALUE"""),214.0)</f>
        <v>214</v>
      </c>
      <c r="D1683" s="12">
        <f>IFERROR(__xludf.DUMMYFUNCTION("""COMPUTED_VALUE"""),2.0)</f>
        <v>2</v>
      </c>
      <c r="E1683" s="12">
        <f>IFERROR(__xludf.DUMMYFUNCTION("""COMPUTED_VALUE"""),4.0)</f>
        <v>4</v>
      </c>
      <c r="F1683" s="12">
        <f>IFERROR(__xludf.DUMMYFUNCTION("""COMPUTED_VALUE"""),5.0)</f>
        <v>5</v>
      </c>
      <c r="G1683" s="15" t="str">
        <f>IFERROR(__xludf.DUMMYFUNCTION("""COMPUTED_VALUE"""),"Completa")</f>
        <v>Completa</v>
      </c>
      <c r="H1683" s="16" t="str">
        <f t="array" ref="H1683">_xlfn.XLOOKUP(D1683,Productos[ID_Producto],Productos[Nombre_Producto])</f>
        <v>Yogur</v>
      </c>
      <c r="I1683" s="17">
        <f t="array" ref="I1683">_xlfn.XLOOKUP(D1683,Productos[ID_Producto],Productos[Precio_Unitario])</f>
        <v>5.21</v>
      </c>
      <c r="J1683" s="17">
        <f t="shared" si="1"/>
        <v>20.84</v>
      </c>
      <c r="K1683" s="16" t="str">
        <f t="array" ref="K1683">_xlfn.XLOOKUP(C1683,Clientes[ID_Cliente],Clientes[Provincia])</f>
        <v>Neuquén</v>
      </c>
      <c r="L1683" s="16" t="str">
        <f t="array" ref="L1683">CONCATENATE(_xlfn.XLOOKUP(C1683,Clientes[ID_Cliente],Clientes[Provincia]),", Argentina")</f>
        <v>Neuquén, Argentina</v>
      </c>
      <c r="M1683" s="20" t="str">
        <f t="array" ref="M1683">_xlfn.XLOOKUP(F1683,Metodos_De_Pago[ID_Metodo],Metodos_De_Pago[Metodo])</f>
        <v>Transferencia</v>
      </c>
      <c r="N1683" s="20" t="str">
        <f t="shared" si="2"/>
        <v>2024 05</v>
      </c>
    </row>
    <row r="1684" ht="22.5" customHeight="1">
      <c r="A1684" s="12">
        <f>IFERROR(__xludf.DUMMYFUNCTION("""COMPUTED_VALUE"""),612.0)</f>
        <v>612</v>
      </c>
      <c r="B1684" s="13">
        <f>IFERROR(__xludf.DUMMYFUNCTION("""COMPUTED_VALUE"""),45436.0)</f>
        <v>45436</v>
      </c>
      <c r="C1684" s="12">
        <f>IFERROR(__xludf.DUMMYFUNCTION("""COMPUTED_VALUE"""),307.0)</f>
        <v>307</v>
      </c>
      <c r="D1684" s="12">
        <f>IFERROR(__xludf.DUMMYFUNCTION("""COMPUTED_VALUE"""),28.0)</f>
        <v>28</v>
      </c>
      <c r="E1684" s="12">
        <f>IFERROR(__xludf.DUMMYFUNCTION("""COMPUTED_VALUE"""),4.0)</f>
        <v>4</v>
      </c>
      <c r="F1684" s="12">
        <f>IFERROR(__xludf.DUMMYFUNCTION("""COMPUTED_VALUE"""),5.0)</f>
        <v>5</v>
      </c>
      <c r="G1684" s="15" t="str">
        <f>IFERROR(__xludf.DUMMYFUNCTION("""COMPUTED_VALUE"""),"Completa")</f>
        <v>Completa</v>
      </c>
      <c r="H1684" s="16" t="str">
        <f t="array" ref="H1684">_xlfn.XLOOKUP(D1684,Productos[ID_Producto],Productos[Nombre_Producto])</f>
        <v>Jugos de frutas</v>
      </c>
      <c r="I1684" s="17">
        <f t="array" ref="I1684">_xlfn.XLOOKUP(D1684,Productos[ID_Producto],Productos[Precio_Unitario])</f>
        <v>9.45</v>
      </c>
      <c r="J1684" s="17">
        <f t="shared" si="1"/>
        <v>37.8</v>
      </c>
      <c r="K1684" s="16" t="str">
        <f t="array" ref="K1684">_xlfn.XLOOKUP(C1684,Clientes[ID_Cliente],Clientes[Provincia])</f>
        <v>San Luis</v>
      </c>
      <c r="L1684" s="16" t="str">
        <f t="array" ref="L1684">CONCATENATE(_xlfn.XLOOKUP(C1684,Clientes[ID_Cliente],Clientes[Provincia]),", Argentina")</f>
        <v>San Luis, Argentina</v>
      </c>
      <c r="M1684" s="20" t="str">
        <f t="array" ref="M1684">_xlfn.XLOOKUP(F1684,Metodos_De_Pago[ID_Metodo],Metodos_De_Pago[Metodo])</f>
        <v>Transferencia</v>
      </c>
      <c r="N1684" s="20" t="str">
        <f t="shared" si="2"/>
        <v>2024 05</v>
      </c>
    </row>
    <row r="1685" ht="22.5" customHeight="1">
      <c r="A1685" s="12">
        <f>IFERROR(__xludf.DUMMYFUNCTION("""COMPUTED_VALUE"""),935.0)</f>
        <v>935</v>
      </c>
      <c r="B1685" s="13">
        <f>IFERROR(__xludf.DUMMYFUNCTION("""COMPUTED_VALUE"""),45436.0)</f>
        <v>45436</v>
      </c>
      <c r="C1685" s="12">
        <f>IFERROR(__xludf.DUMMYFUNCTION("""COMPUTED_VALUE"""),93.0)</f>
        <v>93</v>
      </c>
      <c r="D1685" s="12">
        <f>IFERROR(__xludf.DUMMYFUNCTION("""COMPUTED_VALUE"""),9.0)</f>
        <v>9</v>
      </c>
      <c r="E1685" s="12">
        <f>IFERROR(__xludf.DUMMYFUNCTION("""COMPUTED_VALUE"""),4.0)</f>
        <v>4</v>
      </c>
      <c r="F1685" s="12">
        <f>IFERROR(__xludf.DUMMYFUNCTION("""COMPUTED_VALUE"""),1.0)</f>
        <v>1</v>
      </c>
      <c r="G1685" s="15" t="str">
        <f>IFERROR(__xludf.DUMMYFUNCTION("""COMPUTED_VALUE"""),"Completa")</f>
        <v>Completa</v>
      </c>
      <c r="H1685" s="16" t="str">
        <f t="array" ref="H1685">_xlfn.XLOOKUP(D1685,Productos[ID_Producto],Productos[Nombre_Producto])</f>
        <v>Pollo</v>
      </c>
      <c r="I1685" s="17">
        <f t="array" ref="I1685">_xlfn.XLOOKUP(D1685,Productos[ID_Producto],Productos[Precio_Unitario])</f>
        <v>18.56</v>
      </c>
      <c r="J1685" s="17">
        <f t="shared" si="1"/>
        <v>74.24</v>
      </c>
      <c r="K1685" s="16" t="str">
        <f t="array" ref="K1685">_xlfn.XLOOKUP(C1685,Clientes[ID_Cliente],Clientes[Provincia])</f>
        <v>Buenos Aires</v>
      </c>
      <c r="L1685" s="16" t="str">
        <f t="array" ref="L1685">CONCATENATE(_xlfn.XLOOKUP(C1685,Clientes[ID_Cliente],Clientes[Provincia]),", Argentina")</f>
        <v>Buenos Aires, Argentina</v>
      </c>
      <c r="M1685" s="20" t="str">
        <f t="array" ref="M1685">_xlfn.XLOOKUP(F1685,Metodos_De_Pago[ID_Metodo],Metodos_De_Pago[Metodo])</f>
        <v>Efectivo</v>
      </c>
      <c r="N1685" s="20" t="str">
        <f t="shared" si="2"/>
        <v>2024 05</v>
      </c>
    </row>
    <row r="1686" ht="22.5" customHeight="1">
      <c r="A1686" s="12">
        <f>IFERROR(__xludf.DUMMYFUNCTION("""COMPUTED_VALUE"""),1615.0)</f>
        <v>1615</v>
      </c>
      <c r="B1686" s="13">
        <f>IFERROR(__xludf.DUMMYFUNCTION("""COMPUTED_VALUE"""),45437.0)</f>
        <v>45437</v>
      </c>
      <c r="C1686" s="12">
        <f>IFERROR(__xludf.DUMMYFUNCTION("""COMPUTED_VALUE"""),264.0)</f>
        <v>264</v>
      </c>
      <c r="D1686" s="12">
        <f>IFERROR(__xludf.DUMMYFUNCTION("""COMPUTED_VALUE"""),25.0)</f>
        <v>25</v>
      </c>
      <c r="E1686" s="12">
        <f>IFERROR(__xludf.DUMMYFUNCTION("""COMPUTED_VALUE"""),4.0)</f>
        <v>4</v>
      </c>
      <c r="F1686" s="12">
        <f>IFERROR(__xludf.DUMMYFUNCTION("""COMPUTED_VALUE"""),1.0)</f>
        <v>1</v>
      </c>
      <c r="G1686" s="15" t="str">
        <f>IFERROR(__xludf.DUMMYFUNCTION("""COMPUTED_VALUE"""),"Completa")</f>
        <v>Completa</v>
      </c>
      <c r="H1686" s="16" t="str">
        <f t="array" ref="H1686">_xlfn.XLOOKUP(D1686,Productos[ID_Producto],Productos[Nombre_Producto])</f>
        <v>Pizza congelada</v>
      </c>
      <c r="I1686" s="17">
        <f t="array" ref="I1686">_xlfn.XLOOKUP(D1686,Productos[ID_Producto],Productos[Precio_Unitario])</f>
        <v>15.45</v>
      </c>
      <c r="J1686" s="17">
        <f t="shared" si="1"/>
        <v>61.8</v>
      </c>
      <c r="K1686" s="16" t="str">
        <f t="array" ref="K1686">_xlfn.XLOOKUP(C1686,Clientes[ID_Cliente],Clientes[Provincia])</f>
        <v>Buenos Aires</v>
      </c>
      <c r="L1686" s="16" t="str">
        <f t="array" ref="L1686">CONCATENATE(_xlfn.XLOOKUP(C1686,Clientes[ID_Cliente],Clientes[Provincia]),", Argentina")</f>
        <v>Buenos Aires, Argentina</v>
      </c>
      <c r="M1686" s="20" t="str">
        <f t="array" ref="M1686">_xlfn.XLOOKUP(F1686,Metodos_De_Pago[ID_Metodo],Metodos_De_Pago[Metodo])</f>
        <v>Efectivo</v>
      </c>
      <c r="N1686" s="20" t="str">
        <f t="shared" si="2"/>
        <v>2024 05</v>
      </c>
    </row>
    <row r="1687" ht="22.5" customHeight="1">
      <c r="A1687" s="12">
        <f>IFERROR(__xludf.DUMMYFUNCTION("""COMPUTED_VALUE"""),1030.0)</f>
        <v>1030</v>
      </c>
      <c r="B1687" s="13">
        <f>IFERROR(__xludf.DUMMYFUNCTION("""COMPUTED_VALUE"""),45438.0)</f>
        <v>45438</v>
      </c>
      <c r="C1687" s="12">
        <f>IFERROR(__xludf.DUMMYFUNCTION("""COMPUTED_VALUE"""),44.0)</f>
        <v>44</v>
      </c>
      <c r="D1687" s="12">
        <f>IFERROR(__xludf.DUMMYFUNCTION("""COMPUTED_VALUE"""),32.0)</f>
        <v>32</v>
      </c>
      <c r="E1687" s="12">
        <f>IFERROR(__xludf.DUMMYFUNCTION("""COMPUTED_VALUE"""),4.0)</f>
        <v>4</v>
      </c>
      <c r="F1687" s="12">
        <f>IFERROR(__xludf.DUMMYFUNCTION("""COMPUTED_VALUE"""),4.0)</f>
        <v>4</v>
      </c>
      <c r="G1687" s="15" t="str">
        <f>IFERROR(__xludf.DUMMYFUNCTION("""COMPUTED_VALUE"""),"Completa")</f>
        <v>Completa</v>
      </c>
      <c r="H1687" s="16" t="str">
        <f t="array" ref="H1687">_xlfn.XLOOKUP(D1687,Productos[ID_Producto],Productos[Nombre_Producto])</f>
        <v>Galletitas de chocolate</v>
      </c>
      <c r="I1687" s="17">
        <f t="array" ref="I1687">_xlfn.XLOOKUP(D1687,Productos[ID_Producto],Productos[Precio_Unitario])</f>
        <v>6.25</v>
      </c>
      <c r="J1687" s="17">
        <f t="shared" si="1"/>
        <v>25</v>
      </c>
      <c r="K1687" s="16" t="str">
        <f t="array" ref="K1687">_xlfn.XLOOKUP(C1687,Clientes[ID_Cliente],Clientes[Provincia])</f>
        <v>Buenos Aires</v>
      </c>
      <c r="L1687" s="16" t="str">
        <f t="array" ref="L1687">CONCATENATE(_xlfn.XLOOKUP(C1687,Clientes[ID_Cliente],Clientes[Provincia]),", Argentina")</f>
        <v>Buenos Aires, Argentina</v>
      </c>
      <c r="M1687" s="20" t="str">
        <f t="array" ref="M1687">_xlfn.XLOOKUP(F1687,Metodos_De_Pago[ID_Metodo],Metodos_De_Pago[Metodo])</f>
        <v>Mercado Pago</v>
      </c>
      <c r="N1687" s="20" t="str">
        <f t="shared" si="2"/>
        <v>2024 05</v>
      </c>
    </row>
    <row r="1688" ht="22.5" customHeight="1">
      <c r="A1688" s="12">
        <f>IFERROR(__xludf.DUMMYFUNCTION("""COMPUTED_VALUE"""),70.0)</f>
        <v>70</v>
      </c>
      <c r="B1688" s="13">
        <f>IFERROR(__xludf.DUMMYFUNCTION("""COMPUTED_VALUE"""),45439.0)</f>
        <v>45439</v>
      </c>
      <c r="C1688" s="12">
        <f>IFERROR(__xludf.DUMMYFUNCTION("""COMPUTED_VALUE"""),138.0)</f>
        <v>138</v>
      </c>
      <c r="D1688" s="12">
        <f>IFERROR(__xludf.DUMMYFUNCTION("""COMPUTED_VALUE"""),33.0)</f>
        <v>33</v>
      </c>
      <c r="E1688" s="12">
        <f>IFERROR(__xludf.DUMMYFUNCTION("""COMPUTED_VALUE"""),4.0)</f>
        <v>4</v>
      </c>
      <c r="F1688" s="12">
        <f>IFERROR(__xludf.DUMMYFUNCTION("""COMPUTED_VALUE"""),3.0)</f>
        <v>3</v>
      </c>
      <c r="G1688" s="15" t="str">
        <f>IFERROR(__xludf.DUMMYFUNCTION("""COMPUTED_VALUE"""),"Pendiente")</f>
        <v>Pendiente</v>
      </c>
      <c r="H1688" s="16" t="str">
        <f t="array" ref="H1688">_xlfn.XLOOKUP(D1688,Productos[ID_Producto],Productos[Nombre_Producto])</f>
        <v>Papas chips</v>
      </c>
      <c r="I1688" s="17">
        <f t="array" ref="I1688">_xlfn.XLOOKUP(D1688,Productos[ID_Producto],Productos[Precio_Unitario])</f>
        <v>8.54</v>
      </c>
      <c r="J1688" s="17">
        <f t="shared" si="1"/>
        <v>34.16</v>
      </c>
      <c r="K1688" s="16" t="str">
        <f t="array" ref="K1688">_xlfn.XLOOKUP(C1688,Clientes[ID_Cliente],Clientes[Provincia])</f>
        <v>Buenos Aires</v>
      </c>
      <c r="L1688" s="16" t="str">
        <f t="array" ref="L1688">CONCATENATE(_xlfn.XLOOKUP(C1688,Clientes[ID_Cliente],Clientes[Provincia]),", Argentina")</f>
        <v>Buenos Aires, Argentina</v>
      </c>
      <c r="M1688" s="20" t="str">
        <f t="array" ref="M1688">_xlfn.XLOOKUP(F1688,Metodos_De_Pago[ID_Metodo],Metodos_De_Pago[Metodo])</f>
        <v>Tarjeta de Débito</v>
      </c>
      <c r="N1688" s="20" t="str">
        <f t="shared" si="2"/>
        <v>2024 05</v>
      </c>
    </row>
    <row r="1689" ht="22.5" customHeight="1">
      <c r="A1689" s="12">
        <f>IFERROR(__xludf.DUMMYFUNCTION("""COMPUTED_VALUE"""),895.0)</f>
        <v>895</v>
      </c>
      <c r="B1689" s="13">
        <f>IFERROR(__xludf.DUMMYFUNCTION("""COMPUTED_VALUE"""),45440.0)</f>
        <v>45440</v>
      </c>
      <c r="C1689" s="12">
        <f>IFERROR(__xludf.DUMMYFUNCTION("""COMPUTED_VALUE"""),194.0)</f>
        <v>194</v>
      </c>
      <c r="D1689" s="12">
        <f>IFERROR(__xludf.DUMMYFUNCTION("""COMPUTED_VALUE"""),12.0)</f>
        <v>12</v>
      </c>
      <c r="E1689" s="12">
        <f>IFERROR(__xludf.DUMMYFUNCTION("""COMPUTED_VALUE"""),4.0)</f>
        <v>4</v>
      </c>
      <c r="F1689" s="12">
        <f>IFERROR(__xludf.DUMMYFUNCTION("""COMPUTED_VALUE"""),4.0)</f>
        <v>4</v>
      </c>
      <c r="G1689" s="15" t="str">
        <f>IFERROR(__xludf.DUMMYFUNCTION("""COMPUTED_VALUE"""),"Completa")</f>
        <v>Completa</v>
      </c>
      <c r="H1689" s="16" t="str">
        <f t="array" ref="H1689">_xlfn.XLOOKUP(D1689,Productos[ID_Producto],Productos[Nombre_Producto])</f>
        <v>Pan francés</v>
      </c>
      <c r="I1689" s="17">
        <f t="array" ref="I1689">_xlfn.XLOOKUP(D1689,Productos[ID_Producto],Productos[Precio_Unitario])</f>
        <v>8.12</v>
      </c>
      <c r="J1689" s="17">
        <f t="shared" si="1"/>
        <v>32.48</v>
      </c>
      <c r="K1689" s="16" t="str">
        <f t="array" ref="K1689">_xlfn.XLOOKUP(C1689,Clientes[ID_Cliente],Clientes[Provincia])</f>
        <v>Buenos Aires</v>
      </c>
      <c r="L1689" s="16" t="str">
        <f t="array" ref="L1689">CONCATENATE(_xlfn.XLOOKUP(C1689,Clientes[ID_Cliente],Clientes[Provincia]),", Argentina")</f>
        <v>Buenos Aires, Argentina</v>
      </c>
      <c r="M1689" s="20" t="str">
        <f t="array" ref="M1689">_xlfn.XLOOKUP(F1689,Metodos_De_Pago[ID_Metodo],Metodos_De_Pago[Metodo])</f>
        <v>Mercado Pago</v>
      </c>
      <c r="N1689" s="20" t="str">
        <f t="shared" si="2"/>
        <v>2024 05</v>
      </c>
    </row>
    <row r="1690" ht="22.5" customHeight="1">
      <c r="A1690" s="12">
        <f>IFERROR(__xludf.DUMMYFUNCTION("""COMPUTED_VALUE"""),2098.0)</f>
        <v>2098</v>
      </c>
      <c r="B1690" s="13">
        <f>IFERROR(__xludf.DUMMYFUNCTION("""COMPUTED_VALUE"""),45440.0)</f>
        <v>45440</v>
      </c>
      <c r="C1690" s="12">
        <f>IFERROR(__xludf.DUMMYFUNCTION("""COMPUTED_VALUE"""),108.0)</f>
        <v>108</v>
      </c>
      <c r="D1690" s="12">
        <f>IFERROR(__xludf.DUMMYFUNCTION("""COMPUTED_VALUE"""),35.0)</f>
        <v>35</v>
      </c>
      <c r="E1690" s="12">
        <f>IFERROR(__xludf.DUMMYFUNCTION("""COMPUTED_VALUE"""),4.0)</f>
        <v>4</v>
      </c>
      <c r="F1690" s="12">
        <f>IFERROR(__xludf.DUMMYFUNCTION("""COMPUTED_VALUE"""),4.0)</f>
        <v>4</v>
      </c>
      <c r="G1690" s="15" t="str">
        <f>IFERROR(__xludf.DUMMYFUNCTION("""COMPUTED_VALUE"""),"Completa")</f>
        <v>Completa</v>
      </c>
      <c r="H1690" s="16" t="str">
        <f t="array" ref="H1690">_xlfn.XLOOKUP(D1690,Productos[ID_Producto],Productos[Nombre_Producto])</f>
        <v>Arroz</v>
      </c>
      <c r="I1690" s="17">
        <f t="array" ref="I1690">_xlfn.XLOOKUP(D1690,Productos[ID_Producto],Productos[Precio_Unitario])</f>
        <v>4.25</v>
      </c>
      <c r="J1690" s="17">
        <f t="shared" si="1"/>
        <v>17</v>
      </c>
      <c r="K1690" s="16" t="str">
        <f t="array" ref="K1690">_xlfn.XLOOKUP(C1690,Clientes[ID_Cliente],Clientes[Provincia])</f>
        <v>Neuquén</v>
      </c>
      <c r="L1690" s="16" t="str">
        <f t="array" ref="L1690">CONCATENATE(_xlfn.XLOOKUP(C1690,Clientes[ID_Cliente],Clientes[Provincia]),", Argentina")</f>
        <v>Neuquén, Argentina</v>
      </c>
      <c r="M1690" s="20" t="str">
        <f t="array" ref="M1690">_xlfn.XLOOKUP(F1690,Metodos_De_Pago[ID_Metodo],Metodos_De_Pago[Metodo])</f>
        <v>Mercado Pago</v>
      </c>
      <c r="N1690" s="20" t="str">
        <f t="shared" si="2"/>
        <v>2024 05</v>
      </c>
    </row>
    <row r="1691" ht="22.5" customHeight="1">
      <c r="A1691" s="12">
        <f>IFERROR(__xludf.DUMMYFUNCTION("""COMPUTED_VALUE"""),1822.0)</f>
        <v>1822</v>
      </c>
      <c r="B1691" s="13">
        <f>IFERROR(__xludf.DUMMYFUNCTION("""COMPUTED_VALUE"""),45442.0)</f>
        <v>45442</v>
      </c>
      <c r="C1691" s="12">
        <f>IFERROR(__xludf.DUMMYFUNCTION("""COMPUTED_VALUE"""),311.0)</f>
        <v>311</v>
      </c>
      <c r="D1691" s="12">
        <f>IFERROR(__xludf.DUMMYFUNCTION("""COMPUTED_VALUE"""),27.0)</f>
        <v>27</v>
      </c>
      <c r="E1691" s="12">
        <f>IFERROR(__xludf.DUMMYFUNCTION("""COMPUTED_VALUE"""),4.0)</f>
        <v>4</v>
      </c>
      <c r="F1691" s="12">
        <f>IFERROR(__xludf.DUMMYFUNCTION("""COMPUTED_VALUE"""),4.0)</f>
        <v>4</v>
      </c>
      <c r="G1691" s="15" t="str">
        <f>IFERROR(__xludf.DUMMYFUNCTION("""COMPUTED_VALUE"""),"Completa")</f>
        <v>Completa</v>
      </c>
      <c r="H1691" s="16" t="str">
        <f t="array" ref="H1691">_xlfn.XLOOKUP(D1691,Productos[ID_Producto],Productos[Nombre_Producto])</f>
        <v>Agua mineral</v>
      </c>
      <c r="I1691" s="17">
        <f t="array" ref="I1691">_xlfn.XLOOKUP(D1691,Productos[ID_Producto],Productos[Precio_Unitario])</f>
        <v>6.21</v>
      </c>
      <c r="J1691" s="17">
        <f t="shared" si="1"/>
        <v>24.84</v>
      </c>
      <c r="K1691" s="16" t="str">
        <f t="array" ref="K1691">_xlfn.XLOOKUP(C1691,Clientes[ID_Cliente],Clientes[Provincia])</f>
        <v>Buenos Aires</v>
      </c>
      <c r="L1691" s="16" t="str">
        <f t="array" ref="L1691">CONCATENATE(_xlfn.XLOOKUP(C1691,Clientes[ID_Cliente],Clientes[Provincia]),", Argentina")</f>
        <v>Buenos Aires, Argentina</v>
      </c>
      <c r="M1691" s="20" t="str">
        <f t="array" ref="M1691">_xlfn.XLOOKUP(F1691,Metodos_De_Pago[ID_Metodo],Metodos_De_Pago[Metodo])</f>
        <v>Mercado Pago</v>
      </c>
      <c r="N1691" s="20" t="str">
        <f t="shared" si="2"/>
        <v>2024 05</v>
      </c>
    </row>
    <row r="1692" ht="22.5" customHeight="1">
      <c r="A1692" s="12">
        <f>IFERROR(__xludf.DUMMYFUNCTION("""COMPUTED_VALUE"""),2024.0)</f>
        <v>2024</v>
      </c>
      <c r="B1692" s="13">
        <f>IFERROR(__xludf.DUMMYFUNCTION("""COMPUTED_VALUE"""),45442.0)</f>
        <v>45442</v>
      </c>
      <c r="C1692" s="12">
        <f>IFERROR(__xludf.DUMMYFUNCTION("""COMPUTED_VALUE"""),282.0)</f>
        <v>282</v>
      </c>
      <c r="D1692" s="12">
        <f>IFERROR(__xludf.DUMMYFUNCTION("""COMPUTED_VALUE"""),8.0)</f>
        <v>8</v>
      </c>
      <c r="E1692" s="12">
        <f>IFERROR(__xludf.DUMMYFUNCTION("""COMPUTED_VALUE"""),4.0)</f>
        <v>4</v>
      </c>
      <c r="F1692" s="12">
        <f>IFERROR(__xludf.DUMMYFUNCTION("""COMPUTED_VALUE"""),5.0)</f>
        <v>5</v>
      </c>
      <c r="G1692" s="15" t="str">
        <f>IFERROR(__xludf.DUMMYFUNCTION("""COMPUTED_VALUE"""),"Completa")</f>
        <v>Completa</v>
      </c>
      <c r="H1692" s="16" t="str">
        <f t="array" ref="H1692">_xlfn.XLOOKUP(D1692,Productos[ID_Producto],Productos[Nombre_Producto])</f>
        <v>Milanesa</v>
      </c>
      <c r="I1692" s="17">
        <f t="array" ref="I1692">_xlfn.XLOOKUP(D1692,Productos[ID_Producto],Productos[Precio_Unitario])</f>
        <v>16.21</v>
      </c>
      <c r="J1692" s="17">
        <f t="shared" si="1"/>
        <v>64.84</v>
      </c>
      <c r="K1692" s="16" t="str">
        <f t="array" ref="K1692">_xlfn.XLOOKUP(C1692,Clientes[ID_Cliente],Clientes[Provincia])</f>
        <v>Córdoba</v>
      </c>
      <c r="L1692" s="16" t="str">
        <f t="array" ref="L1692">CONCATENATE(_xlfn.XLOOKUP(C1692,Clientes[ID_Cliente],Clientes[Provincia]),", Argentina")</f>
        <v>Córdoba, Argentina</v>
      </c>
      <c r="M1692" s="20" t="str">
        <f t="array" ref="M1692">_xlfn.XLOOKUP(F1692,Metodos_De_Pago[ID_Metodo],Metodos_De_Pago[Metodo])</f>
        <v>Transferencia</v>
      </c>
      <c r="N1692" s="20" t="str">
        <f t="shared" si="2"/>
        <v>2024 05</v>
      </c>
    </row>
    <row r="1693" ht="22.5" customHeight="1">
      <c r="A1693" s="12">
        <f>IFERROR(__xludf.DUMMYFUNCTION("""COMPUTED_VALUE"""),2418.0)</f>
        <v>2418</v>
      </c>
      <c r="B1693" s="13">
        <f>IFERROR(__xludf.DUMMYFUNCTION("""COMPUTED_VALUE"""),45442.0)</f>
        <v>45442</v>
      </c>
      <c r="C1693" s="12">
        <f>IFERROR(__xludf.DUMMYFUNCTION("""COMPUTED_VALUE"""),308.0)</f>
        <v>308</v>
      </c>
      <c r="D1693" s="12">
        <f>IFERROR(__xludf.DUMMYFUNCTION("""COMPUTED_VALUE"""),27.0)</f>
        <v>27</v>
      </c>
      <c r="E1693" s="12">
        <f>IFERROR(__xludf.DUMMYFUNCTION("""COMPUTED_VALUE"""),4.0)</f>
        <v>4</v>
      </c>
      <c r="F1693" s="12">
        <f>IFERROR(__xludf.DUMMYFUNCTION("""COMPUTED_VALUE"""),3.0)</f>
        <v>3</v>
      </c>
      <c r="G1693" s="15" t="str">
        <f>IFERROR(__xludf.DUMMYFUNCTION("""COMPUTED_VALUE"""),"Completa")</f>
        <v>Completa</v>
      </c>
      <c r="H1693" s="16" t="str">
        <f t="array" ref="H1693">_xlfn.XLOOKUP(D1693,Productos[ID_Producto],Productos[Nombre_Producto])</f>
        <v>Agua mineral</v>
      </c>
      <c r="I1693" s="17">
        <f t="array" ref="I1693">_xlfn.XLOOKUP(D1693,Productos[ID_Producto],Productos[Precio_Unitario])</f>
        <v>6.21</v>
      </c>
      <c r="J1693" s="17">
        <f t="shared" si="1"/>
        <v>24.84</v>
      </c>
      <c r="K1693" s="16" t="str">
        <f t="array" ref="K1693">_xlfn.XLOOKUP(C1693,Clientes[ID_Cliente],Clientes[Provincia])</f>
        <v>Córdoba</v>
      </c>
      <c r="L1693" s="16" t="str">
        <f t="array" ref="L1693">CONCATENATE(_xlfn.XLOOKUP(C1693,Clientes[ID_Cliente],Clientes[Provincia]),", Argentina")</f>
        <v>Córdoba, Argentina</v>
      </c>
      <c r="M1693" s="20" t="str">
        <f t="array" ref="M1693">_xlfn.XLOOKUP(F1693,Metodos_De_Pago[ID_Metodo],Metodos_De_Pago[Metodo])</f>
        <v>Tarjeta de Débito</v>
      </c>
      <c r="N1693" s="20" t="str">
        <f t="shared" si="2"/>
        <v>2024 05</v>
      </c>
    </row>
    <row r="1694" ht="22.5" customHeight="1">
      <c r="A1694" s="12">
        <f>IFERROR(__xludf.DUMMYFUNCTION("""COMPUTED_VALUE"""),1401.0)</f>
        <v>1401</v>
      </c>
      <c r="B1694" s="13">
        <f>IFERROR(__xludf.DUMMYFUNCTION("""COMPUTED_VALUE"""),45443.0)</f>
        <v>45443</v>
      </c>
      <c r="C1694" s="12">
        <f>IFERROR(__xludf.DUMMYFUNCTION("""COMPUTED_VALUE"""),313.0)</f>
        <v>313</v>
      </c>
      <c r="D1694" s="12">
        <f>IFERROR(__xludf.DUMMYFUNCTION("""COMPUTED_VALUE"""),32.0)</f>
        <v>32</v>
      </c>
      <c r="E1694" s="12">
        <f>IFERROR(__xludf.DUMMYFUNCTION("""COMPUTED_VALUE"""),4.0)</f>
        <v>4</v>
      </c>
      <c r="F1694" s="12">
        <f>IFERROR(__xludf.DUMMYFUNCTION("""COMPUTED_VALUE"""),4.0)</f>
        <v>4</v>
      </c>
      <c r="G1694" s="15" t="str">
        <f>IFERROR(__xludf.DUMMYFUNCTION("""COMPUTED_VALUE"""),"Pendiente")</f>
        <v>Pendiente</v>
      </c>
      <c r="H1694" s="16" t="str">
        <f t="array" ref="H1694">_xlfn.XLOOKUP(D1694,Productos[ID_Producto],Productos[Nombre_Producto])</f>
        <v>Galletitas de chocolate</v>
      </c>
      <c r="I1694" s="17">
        <f t="array" ref="I1694">_xlfn.XLOOKUP(D1694,Productos[ID_Producto],Productos[Precio_Unitario])</f>
        <v>6.25</v>
      </c>
      <c r="J1694" s="17">
        <f t="shared" si="1"/>
        <v>25</v>
      </c>
      <c r="K1694" s="16" t="str">
        <f t="array" ref="K1694">_xlfn.XLOOKUP(C1694,Clientes[ID_Cliente],Clientes[Provincia])</f>
        <v>San Luis</v>
      </c>
      <c r="L1694" s="16" t="str">
        <f t="array" ref="L1694">CONCATENATE(_xlfn.XLOOKUP(C1694,Clientes[ID_Cliente],Clientes[Provincia]),", Argentina")</f>
        <v>San Luis, Argentina</v>
      </c>
      <c r="M1694" s="20" t="str">
        <f t="array" ref="M1694">_xlfn.XLOOKUP(F1694,Metodos_De_Pago[ID_Metodo],Metodos_De_Pago[Metodo])</f>
        <v>Mercado Pago</v>
      </c>
      <c r="N1694" s="20" t="str">
        <f t="shared" si="2"/>
        <v>2024 05</v>
      </c>
    </row>
    <row r="1695" ht="22.5" customHeight="1">
      <c r="A1695" s="12">
        <f>IFERROR(__xludf.DUMMYFUNCTION("""COMPUTED_VALUE"""),1755.0)</f>
        <v>1755</v>
      </c>
      <c r="B1695" s="13">
        <f>IFERROR(__xludf.DUMMYFUNCTION("""COMPUTED_VALUE"""),45443.0)</f>
        <v>45443</v>
      </c>
      <c r="C1695" s="12">
        <f>IFERROR(__xludf.DUMMYFUNCTION("""COMPUTED_VALUE"""),198.0)</f>
        <v>198</v>
      </c>
      <c r="D1695" s="12">
        <f>IFERROR(__xludf.DUMMYFUNCTION("""COMPUTED_VALUE"""),16.0)</f>
        <v>16</v>
      </c>
      <c r="E1695" s="12">
        <f>IFERROR(__xludf.DUMMYFUNCTION("""COMPUTED_VALUE"""),4.0)</f>
        <v>4</v>
      </c>
      <c r="F1695" s="12">
        <f>IFERROR(__xludf.DUMMYFUNCTION("""COMPUTED_VALUE"""),3.0)</f>
        <v>3</v>
      </c>
      <c r="G1695" s="15" t="str">
        <f>IFERROR(__xludf.DUMMYFUNCTION("""COMPUTED_VALUE"""),"Completa")</f>
        <v>Completa</v>
      </c>
      <c r="H1695" s="16" t="str">
        <f t="array" ref="H1695">_xlfn.XLOOKUP(D1695,Productos[ID_Producto],Productos[Nombre_Producto])</f>
        <v>Tortas</v>
      </c>
      <c r="I1695" s="17">
        <f t="array" ref="I1695">_xlfn.XLOOKUP(D1695,Productos[ID_Producto],Productos[Precio_Unitario])</f>
        <v>15.23</v>
      </c>
      <c r="J1695" s="17">
        <f t="shared" si="1"/>
        <v>60.92</v>
      </c>
      <c r="K1695" s="16" t="str">
        <f t="array" ref="K1695">_xlfn.XLOOKUP(C1695,Clientes[ID_Cliente],Clientes[Provincia])</f>
        <v>Salta</v>
      </c>
      <c r="L1695" s="16" t="str">
        <f t="array" ref="L1695">CONCATENATE(_xlfn.XLOOKUP(C1695,Clientes[ID_Cliente],Clientes[Provincia]),", Argentina")</f>
        <v>Salta, Argentina</v>
      </c>
      <c r="M1695" s="20" t="str">
        <f t="array" ref="M1695">_xlfn.XLOOKUP(F1695,Metodos_De_Pago[ID_Metodo],Metodos_De_Pago[Metodo])</f>
        <v>Tarjeta de Débito</v>
      </c>
      <c r="N1695" s="20" t="str">
        <f t="shared" si="2"/>
        <v>2024 05</v>
      </c>
    </row>
    <row r="1696" ht="22.5" customHeight="1">
      <c r="A1696" s="12">
        <f>IFERROR(__xludf.DUMMYFUNCTION("""COMPUTED_VALUE"""),711.0)</f>
        <v>711</v>
      </c>
      <c r="B1696" s="13">
        <f>IFERROR(__xludf.DUMMYFUNCTION("""COMPUTED_VALUE"""),45444.0)</f>
        <v>45444</v>
      </c>
      <c r="C1696" s="12">
        <f>IFERROR(__xludf.DUMMYFUNCTION("""COMPUTED_VALUE"""),149.0)</f>
        <v>149</v>
      </c>
      <c r="D1696" s="12">
        <f>IFERROR(__xludf.DUMMYFUNCTION("""COMPUTED_VALUE"""),35.0)</f>
        <v>35</v>
      </c>
      <c r="E1696" s="12">
        <f>IFERROR(__xludf.DUMMYFUNCTION("""COMPUTED_VALUE"""),4.0)</f>
        <v>4</v>
      </c>
      <c r="F1696" s="12">
        <f>IFERROR(__xludf.DUMMYFUNCTION("""COMPUTED_VALUE"""),1.0)</f>
        <v>1</v>
      </c>
      <c r="G1696" s="15" t="str">
        <f>IFERROR(__xludf.DUMMYFUNCTION("""COMPUTED_VALUE"""),"Completa")</f>
        <v>Completa</v>
      </c>
      <c r="H1696" s="16" t="str">
        <f t="array" ref="H1696">_xlfn.XLOOKUP(D1696,Productos[ID_Producto],Productos[Nombre_Producto])</f>
        <v>Arroz</v>
      </c>
      <c r="I1696" s="17">
        <f t="array" ref="I1696">_xlfn.XLOOKUP(D1696,Productos[ID_Producto],Productos[Precio_Unitario])</f>
        <v>4.25</v>
      </c>
      <c r="J1696" s="17">
        <f t="shared" si="1"/>
        <v>17</v>
      </c>
      <c r="K1696" s="16" t="str">
        <f t="array" ref="K1696">_xlfn.XLOOKUP(C1696,Clientes[ID_Cliente],Clientes[Provincia])</f>
        <v>San Luis</v>
      </c>
      <c r="L1696" s="16" t="str">
        <f t="array" ref="L1696">CONCATENATE(_xlfn.XLOOKUP(C1696,Clientes[ID_Cliente],Clientes[Provincia]),", Argentina")</f>
        <v>San Luis, Argentina</v>
      </c>
      <c r="M1696" s="20" t="str">
        <f t="array" ref="M1696">_xlfn.XLOOKUP(F1696,Metodos_De_Pago[ID_Metodo],Metodos_De_Pago[Metodo])</f>
        <v>Efectivo</v>
      </c>
      <c r="N1696" s="20" t="str">
        <f t="shared" si="2"/>
        <v>2024 06</v>
      </c>
    </row>
    <row r="1697" ht="22.5" customHeight="1">
      <c r="A1697" s="12">
        <f>IFERROR(__xludf.DUMMYFUNCTION("""COMPUTED_VALUE"""),2979.0)</f>
        <v>2979</v>
      </c>
      <c r="B1697" s="13">
        <f>IFERROR(__xludf.DUMMYFUNCTION("""COMPUTED_VALUE"""),45444.0)</f>
        <v>45444</v>
      </c>
      <c r="C1697" s="12">
        <f>IFERROR(__xludf.DUMMYFUNCTION("""COMPUTED_VALUE"""),5.0)</f>
        <v>5</v>
      </c>
      <c r="D1697" s="12">
        <f>IFERROR(__xludf.DUMMYFUNCTION("""COMPUTED_VALUE"""),9.0)</f>
        <v>9</v>
      </c>
      <c r="E1697" s="12">
        <f>IFERROR(__xludf.DUMMYFUNCTION("""COMPUTED_VALUE"""),4.0)</f>
        <v>4</v>
      </c>
      <c r="F1697" s="12">
        <f>IFERROR(__xludf.DUMMYFUNCTION("""COMPUTED_VALUE"""),2.0)</f>
        <v>2</v>
      </c>
      <c r="G1697" s="15" t="str">
        <f>IFERROR(__xludf.DUMMYFUNCTION("""COMPUTED_VALUE"""),"Pendiente")</f>
        <v>Pendiente</v>
      </c>
      <c r="H1697" s="16" t="str">
        <f t="array" ref="H1697">_xlfn.XLOOKUP(D1697,Productos[ID_Producto],Productos[Nombre_Producto])</f>
        <v>Pollo</v>
      </c>
      <c r="I1697" s="17">
        <f t="array" ref="I1697">_xlfn.XLOOKUP(D1697,Productos[ID_Producto],Productos[Precio_Unitario])</f>
        <v>18.56</v>
      </c>
      <c r="J1697" s="17">
        <f t="shared" si="1"/>
        <v>74.24</v>
      </c>
      <c r="K1697" s="16" t="str">
        <f t="array" ref="K1697">_xlfn.XLOOKUP(C1697,Clientes[ID_Cliente],Clientes[Provincia])</f>
        <v>Córdoba</v>
      </c>
      <c r="L1697" s="16" t="str">
        <f t="array" ref="L1697">CONCATENATE(_xlfn.XLOOKUP(C1697,Clientes[ID_Cliente],Clientes[Provincia]),", Argentina")</f>
        <v>Córdoba, Argentina</v>
      </c>
      <c r="M1697" s="20" t="str">
        <f t="array" ref="M1697">_xlfn.XLOOKUP(F1697,Metodos_De_Pago[ID_Metodo],Metodos_De_Pago[Metodo])</f>
        <v>Tarjeta de Crédito</v>
      </c>
      <c r="N1697" s="20" t="str">
        <f t="shared" si="2"/>
        <v>2024 06</v>
      </c>
    </row>
    <row r="1698" ht="22.5" customHeight="1">
      <c r="A1698" s="12">
        <f>IFERROR(__xludf.DUMMYFUNCTION("""COMPUTED_VALUE"""),765.0)</f>
        <v>765</v>
      </c>
      <c r="B1698" s="13">
        <f>IFERROR(__xludf.DUMMYFUNCTION("""COMPUTED_VALUE"""),45445.0)</f>
        <v>45445</v>
      </c>
      <c r="C1698" s="12">
        <f>IFERROR(__xludf.DUMMYFUNCTION("""COMPUTED_VALUE"""),229.0)</f>
        <v>229</v>
      </c>
      <c r="D1698" s="12">
        <f>IFERROR(__xludf.DUMMYFUNCTION("""COMPUTED_VALUE"""),25.0)</f>
        <v>25</v>
      </c>
      <c r="E1698" s="12">
        <f>IFERROR(__xludf.DUMMYFUNCTION("""COMPUTED_VALUE"""),4.0)</f>
        <v>4</v>
      </c>
      <c r="F1698" s="12">
        <f>IFERROR(__xludf.DUMMYFUNCTION("""COMPUTED_VALUE"""),4.0)</f>
        <v>4</v>
      </c>
      <c r="G1698" s="15" t="str">
        <f>IFERROR(__xludf.DUMMYFUNCTION("""COMPUTED_VALUE"""),"Completa")</f>
        <v>Completa</v>
      </c>
      <c r="H1698" s="16" t="str">
        <f t="array" ref="H1698">_xlfn.XLOOKUP(D1698,Productos[ID_Producto],Productos[Nombre_Producto])</f>
        <v>Pizza congelada</v>
      </c>
      <c r="I1698" s="17">
        <f t="array" ref="I1698">_xlfn.XLOOKUP(D1698,Productos[ID_Producto],Productos[Precio_Unitario])</f>
        <v>15.45</v>
      </c>
      <c r="J1698" s="17">
        <f t="shared" si="1"/>
        <v>61.8</v>
      </c>
      <c r="K1698" s="16" t="str">
        <f t="array" ref="K1698">_xlfn.XLOOKUP(C1698,Clientes[ID_Cliente],Clientes[Provincia])</f>
        <v>San Luis</v>
      </c>
      <c r="L1698" s="16" t="str">
        <f t="array" ref="L1698">CONCATENATE(_xlfn.XLOOKUP(C1698,Clientes[ID_Cliente],Clientes[Provincia]),", Argentina")</f>
        <v>San Luis, Argentina</v>
      </c>
      <c r="M1698" s="20" t="str">
        <f t="array" ref="M1698">_xlfn.XLOOKUP(F1698,Metodos_De_Pago[ID_Metodo],Metodos_De_Pago[Metodo])</f>
        <v>Mercado Pago</v>
      </c>
      <c r="N1698" s="20" t="str">
        <f t="shared" si="2"/>
        <v>2024 06</v>
      </c>
    </row>
    <row r="1699" ht="22.5" customHeight="1">
      <c r="A1699" s="12">
        <f>IFERROR(__xludf.DUMMYFUNCTION("""COMPUTED_VALUE"""),2505.0)</f>
        <v>2505</v>
      </c>
      <c r="B1699" s="13">
        <f>IFERROR(__xludf.DUMMYFUNCTION("""COMPUTED_VALUE"""),45445.0)</f>
        <v>45445</v>
      </c>
      <c r="C1699" s="12">
        <f>IFERROR(__xludf.DUMMYFUNCTION("""COMPUTED_VALUE"""),235.0)</f>
        <v>235</v>
      </c>
      <c r="D1699" s="12">
        <f>IFERROR(__xludf.DUMMYFUNCTION("""COMPUTED_VALUE"""),30.0)</f>
        <v>30</v>
      </c>
      <c r="E1699" s="12">
        <f>IFERROR(__xludf.DUMMYFUNCTION("""COMPUTED_VALUE"""),4.0)</f>
        <v>4</v>
      </c>
      <c r="F1699" s="12">
        <f>IFERROR(__xludf.DUMMYFUNCTION("""COMPUTED_VALUE"""),4.0)</f>
        <v>4</v>
      </c>
      <c r="G1699" s="15" t="str">
        <f>IFERROR(__xludf.DUMMYFUNCTION("""COMPUTED_VALUE"""),"Pendiente")</f>
        <v>Pendiente</v>
      </c>
      <c r="H1699" s="16" t="str">
        <f t="array" ref="H1699">_xlfn.XLOOKUP(D1699,Productos[ID_Producto],Productos[Nombre_Producto])</f>
        <v>Vino tinto</v>
      </c>
      <c r="I1699" s="17">
        <f t="array" ref="I1699">_xlfn.XLOOKUP(D1699,Productos[ID_Producto],Productos[Precio_Unitario])</f>
        <v>13.54</v>
      </c>
      <c r="J1699" s="17">
        <f t="shared" si="1"/>
        <v>54.16</v>
      </c>
      <c r="K1699" s="16" t="str">
        <f t="array" ref="K1699">_xlfn.XLOOKUP(C1699,Clientes[ID_Cliente],Clientes[Provincia])</f>
        <v>Chaco</v>
      </c>
      <c r="L1699" s="16" t="str">
        <f t="array" ref="L1699">CONCATENATE(_xlfn.XLOOKUP(C1699,Clientes[ID_Cliente],Clientes[Provincia]),", Argentina")</f>
        <v>Chaco, Argentina</v>
      </c>
      <c r="M1699" s="20" t="str">
        <f t="array" ref="M1699">_xlfn.XLOOKUP(F1699,Metodos_De_Pago[ID_Metodo],Metodos_De_Pago[Metodo])</f>
        <v>Mercado Pago</v>
      </c>
      <c r="N1699" s="20" t="str">
        <f t="shared" si="2"/>
        <v>2024 06</v>
      </c>
    </row>
    <row r="1700" ht="22.5" customHeight="1">
      <c r="A1700" s="12">
        <f>IFERROR(__xludf.DUMMYFUNCTION("""COMPUTED_VALUE"""),2824.0)</f>
        <v>2824</v>
      </c>
      <c r="B1700" s="13">
        <f>IFERROR(__xludf.DUMMYFUNCTION("""COMPUTED_VALUE"""),45445.0)</f>
        <v>45445</v>
      </c>
      <c r="C1700" s="12">
        <f>IFERROR(__xludf.DUMMYFUNCTION("""COMPUTED_VALUE"""),144.0)</f>
        <v>144</v>
      </c>
      <c r="D1700" s="12">
        <f>IFERROR(__xludf.DUMMYFUNCTION("""COMPUTED_VALUE"""),17.0)</f>
        <v>17</v>
      </c>
      <c r="E1700" s="12">
        <f>IFERROR(__xludf.DUMMYFUNCTION("""COMPUTED_VALUE"""),4.0)</f>
        <v>4</v>
      </c>
      <c r="F1700" s="12">
        <f>IFERROR(__xludf.DUMMYFUNCTION("""COMPUTED_VALUE"""),1.0)</f>
        <v>1</v>
      </c>
      <c r="G1700" s="15" t="str">
        <f>IFERROR(__xludf.DUMMYFUNCTION("""COMPUTED_VALUE"""),"Completa")</f>
        <v>Completa</v>
      </c>
      <c r="H1700" s="16" t="str">
        <f t="array" ref="H1700">_xlfn.XLOOKUP(D1700,Productos[ID_Producto],Productos[Nombre_Producto])</f>
        <v>Manzanas</v>
      </c>
      <c r="I1700" s="17">
        <f t="array" ref="I1700">_xlfn.XLOOKUP(D1700,Productos[ID_Producto],Productos[Precio_Unitario])</f>
        <v>6.54</v>
      </c>
      <c r="J1700" s="17">
        <f t="shared" si="1"/>
        <v>26.16</v>
      </c>
      <c r="K1700" s="16" t="str">
        <f t="array" ref="K1700">_xlfn.XLOOKUP(C1700,Clientes[ID_Cliente],Clientes[Provincia])</f>
        <v>Chaco</v>
      </c>
      <c r="L1700" s="16" t="str">
        <f t="array" ref="L1700">CONCATENATE(_xlfn.XLOOKUP(C1700,Clientes[ID_Cliente],Clientes[Provincia]),", Argentina")</f>
        <v>Chaco, Argentina</v>
      </c>
      <c r="M1700" s="20" t="str">
        <f t="array" ref="M1700">_xlfn.XLOOKUP(F1700,Metodos_De_Pago[ID_Metodo],Metodos_De_Pago[Metodo])</f>
        <v>Efectivo</v>
      </c>
      <c r="N1700" s="20" t="str">
        <f t="shared" si="2"/>
        <v>2024 06</v>
      </c>
    </row>
    <row r="1701" ht="22.5" customHeight="1">
      <c r="A1701" s="12">
        <f>IFERROR(__xludf.DUMMYFUNCTION("""COMPUTED_VALUE"""),2614.0)</f>
        <v>2614</v>
      </c>
      <c r="B1701" s="13">
        <f>IFERROR(__xludf.DUMMYFUNCTION("""COMPUTED_VALUE"""),45446.0)</f>
        <v>45446</v>
      </c>
      <c r="C1701" s="12">
        <f>IFERROR(__xludf.DUMMYFUNCTION("""COMPUTED_VALUE"""),279.0)</f>
        <v>279</v>
      </c>
      <c r="D1701" s="12">
        <f>IFERROR(__xludf.DUMMYFUNCTION("""COMPUTED_VALUE"""),34.0)</f>
        <v>34</v>
      </c>
      <c r="E1701" s="12">
        <f>IFERROR(__xludf.DUMMYFUNCTION("""COMPUTED_VALUE"""),4.0)</f>
        <v>4</v>
      </c>
      <c r="F1701" s="12">
        <f>IFERROR(__xludf.DUMMYFUNCTION("""COMPUTED_VALUE"""),5.0)</f>
        <v>5</v>
      </c>
      <c r="G1701" s="15" t="str">
        <f>IFERROR(__xludf.DUMMYFUNCTION("""COMPUTED_VALUE"""),"Pendiente")</f>
        <v>Pendiente</v>
      </c>
      <c r="H1701" s="16" t="str">
        <f t="array" ref="H1701">_xlfn.XLOOKUP(D1701,Productos[ID_Producto],Productos[Nombre_Producto])</f>
        <v>Maníes</v>
      </c>
      <c r="I1701" s="17">
        <f t="array" ref="I1701">_xlfn.XLOOKUP(D1701,Productos[ID_Producto],Productos[Precio_Unitario])</f>
        <v>5.45</v>
      </c>
      <c r="J1701" s="17">
        <f t="shared" si="1"/>
        <v>21.8</v>
      </c>
      <c r="K1701" s="16" t="str">
        <f t="array" ref="K1701">_xlfn.XLOOKUP(C1701,Clientes[ID_Cliente],Clientes[Provincia])</f>
        <v>Córdoba</v>
      </c>
      <c r="L1701" s="16" t="str">
        <f t="array" ref="L1701">CONCATENATE(_xlfn.XLOOKUP(C1701,Clientes[ID_Cliente],Clientes[Provincia]),", Argentina")</f>
        <v>Córdoba, Argentina</v>
      </c>
      <c r="M1701" s="20" t="str">
        <f t="array" ref="M1701">_xlfn.XLOOKUP(F1701,Metodos_De_Pago[ID_Metodo],Metodos_De_Pago[Metodo])</f>
        <v>Transferencia</v>
      </c>
      <c r="N1701" s="20" t="str">
        <f t="shared" si="2"/>
        <v>2024 06</v>
      </c>
    </row>
    <row r="1702" ht="22.5" customHeight="1">
      <c r="A1702" s="12">
        <f>IFERROR(__xludf.DUMMYFUNCTION("""COMPUTED_VALUE"""),466.0)</f>
        <v>466</v>
      </c>
      <c r="B1702" s="13">
        <f>IFERROR(__xludf.DUMMYFUNCTION("""COMPUTED_VALUE"""),45447.0)</f>
        <v>45447</v>
      </c>
      <c r="C1702" s="12">
        <f>IFERROR(__xludf.DUMMYFUNCTION("""COMPUTED_VALUE"""),7.0)</f>
        <v>7</v>
      </c>
      <c r="D1702" s="12">
        <f>IFERROR(__xludf.DUMMYFUNCTION("""COMPUTED_VALUE"""),9.0)</f>
        <v>9</v>
      </c>
      <c r="E1702" s="12">
        <f>IFERROR(__xludf.DUMMYFUNCTION("""COMPUTED_VALUE"""),4.0)</f>
        <v>4</v>
      </c>
      <c r="F1702" s="12">
        <f>IFERROR(__xludf.DUMMYFUNCTION("""COMPUTED_VALUE"""),1.0)</f>
        <v>1</v>
      </c>
      <c r="G1702" s="15" t="str">
        <f>IFERROR(__xludf.DUMMYFUNCTION("""COMPUTED_VALUE"""),"Completa")</f>
        <v>Completa</v>
      </c>
      <c r="H1702" s="16" t="str">
        <f t="array" ref="H1702">_xlfn.XLOOKUP(D1702,Productos[ID_Producto],Productos[Nombre_Producto])</f>
        <v>Pollo</v>
      </c>
      <c r="I1702" s="17">
        <f t="array" ref="I1702">_xlfn.XLOOKUP(D1702,Productos[ID_Producto],Productos[Precio_Unitario])</f>
        <v>18.56</v>
      </c>
      <c r="J1702" s="17">
        <f t="shared" si="1"/>
        <v>74.24</v>
      </c>
      <c r="K1702" s="16" t="str">
        <f t="array" ref="K1702">_xlfn.XLOOKUP(C1702,Clientes[ID_Cliente],Clientes[Provincia])</f>
        <v>San Luis</v>
      </c>
      <c r="L1702" s="16" t="str">
        <f t="array" ref="L1702">CONCATENATE(_xlfn.XLOOKUP(C1702,Clientes[ID_Cliente],Clientes[Provincia]),", Argentina")</f>
        <v>San Luis, Argentina</v>
      </c>
      <c r="M1702" s="20" t="str">
        <f t="array" ref="M1702">_xlfn.XLOOKUP(F1702,Metodos_De_Pago[ID_Metodo],Metodos_De_Pago[Metodo])</f>
        <v>Efectivo</v>
      </c>
      <c r="N1702" s="20" t="str">
        <f t="shared" si="2"/>
        <v>2024 06</v>
      </c>
    </row>
    <row r="1703" ht="22.5" customHeight="1">
      <c r="A1703" s="12">
        <f>IFERROR(__xludf.DUMMYFUNCTION("""COMPUTED_VALUE"""),357.0)</f>
        <v>357</v>
      </c>
      <c r="B1703" s="13">
        <f>IFERROR(__xludf.DUMMYFUNCTION("""COMPUTED_VALUE"""),45450.0)</f>
        <v>45450</v>
      </c>
      <c r="C1703" s="12">
        <f>IFERROR(__xludf.DUMMYFUNCTION("""COMPUTED_VALUE"""),52.0)</f>
        <v>52</v>
      </c>
      <c r="D1703" s="12">
        <f>IFERROR(__xludf.DUMMYFUNCTION("""COMPUTED_VALUE"""),9.0)</f>
        <v>9</v>
      </c>
      <c r="E1703" s="12">
        <f>IFERROR(__xludf.DUMMYFUNCTION("""COMPUTED_VALUE"""),4.0)</f>
        <v>4</v>
      </c>
      <c r="F1703" s="12">
        <f>IFERROR(__xludf.DUMMYFUNCTION("""COMPUTED_VALUE"""),1.0)</f>
        <v>1</v>
      </c>
      <c r="G1703" s="15" t="str">
        <f>IFERROR(__xludf.DUMMYFUNCTION("""COMPUTED_VALUE"""),"Completa")</f>
        <v>Completa</v>
      </c>
      <c r="H1703" s="16" t="str">
        <f t="array" ref="H1703">_xlfn.XLOOKUP(D1703,Productos[ID_Producto],Productos[Nombre_Producto])</f>
        <v>Pollo</v>
      </c>
      <c r="I1703" s="17">
        <f t="array" ref="I1703">_xlfn.XLOOKUP(D1703,Productos[ID_Producto],Productos[Precio_Unitario])</f>
        <v>18.56</v>
      </c>
      <c r="J1703" s="17">
        <f t="shared" si="1"/>
        <v>74.24</v>
      </c>
      <c r="K1703" s="16" t="str">
        <f t="array" ref="K1703">_xlfn.XLOOKUP(C1703,Clientes[ID_Cliente],Clientes[Provincia])</f>
        <v>Neuquén</v>
      </c>
      <c r="L1703" s="16" t="str">
        <f t="array" ref="L1703">CONCATENATE(_xlfn.XLOOKUP(C1703,Clientes[ID_Cliente],Clientes[Provincia]),", Argentina")</f>
        <v>Neuquén, Argentina</v>
      </c>
      <c r="M1703" s="20" t="str">
        <f t="array" ref="M1703">_xlfn.XLOOKUP(F1703,Metodos_De_Pago[ID_Metodo],Metodos_De_Pago[Metodo])</f>
        <v>Efectivo</v>
      </c>
      <c r="N1703" s="20" t="str">
        <f t="shared" si="2"/>
        <v>2024 06</v>
      </c>
    </row>
    <row r="1704" ht="22.5" customHeight="1">
      <c r="A1704" s="12">
        <f>IFERROR(__xludf.DUMMYFUNCTION("""COMPUTED_VALUE"""),2376.0)</f>
        <v>2376</v>
      </c>
      <c r="B1704" s="13">
        <f>IFERROR(__xludf.DUMMYFUNCTION("""COMPUTED_VALUE"""),45450.0)</f>
        <v>45450</v>
      </c>
      <c r="C1704" s="12">
        <f>IFERROR(__xludf.DUMMYFUNCTION("""COMPUTED_VALUE"""),168.0)</f>
        <v>168</v>
      </c>
      <c r="D1704" s="12">
        <f>IFERROR(__xludf.DUMMYFUNCTION("""COMPUTED_VALUE"""),21.0)</f>
        <v>21</v>
      </c>
      <c r="E1704" s="12">
        <f>IFERROR(__xludf.DUMMYFUNCTION("""COMPUTED_VALUE"""),4.0)</f>
        <v>4</v>
      </c>
      <c r="F1704" s="12">
        <f>IFERROR(__xludf.DUMMYFUNCTION("""COMPUTED_VALUE"""),3.0)</f>
        <v>3</v>
      </c>
      <c r="G1704" s="15" t="str">
        <f>IFERROR(__xludf.DUMMYFUNCTION("""COMPUTED_VALUE"""),"Completa")</f>
        <v>Completa</v>
      </c>
      <c r="H1704" s="16" t="str">
        <f t="array" ref="H1704">_xlfn.XLOOKUP(D1704,Productos[ID_Producto],Productos[Nombre_Producto])</f>
        <v>Zanahorias</v>
      </c>
      <c r="I1704" s="17">
        <f t="array" ref="I1704">_xlfn.XLOOKUP(D1704,Productos[ID_Producto],Productos[Precio_Unitario])</f>
        <v>3.25</v>
      </c>
      <c r="J1704" s="17">
        <f t="shared" si="1"/>
        <v>13</v>
      </c>
      <c r="K1704" s="16" t="str">
        <f t="array" ref="K1704">_xlfn.XLOOKUP(C1704,Clientes[ID_Cliente],Clientes[Provincia])</f>
        <v>Córdoba</v>
      </c>
      <c r="L1704" s="16" t="str">
        <f t="array" ref="L1704">CONCATENATE(_xlfn.XLOOKUP(C1704,Clientes[ID_Cliente],Clientes[Provincia]),", Argentina")</f>
        <v>Córdoba, Argentina</v>
      </c>
      <c r="M1704" s="20" t="str">
        <f t="array" ref="M1704">_xlfn.XLOOKUP(F1704,Metodos_De_Pago[ID_Metodo],Metodos_De_Pago[Metodo])</f>
        <v>Tarjeta de Débito</v>
      </c>
      <c r="N1704" s="20" t="str">
        <f t="shared" si="2"/>
        <v>2024 06</v>
      </c>
    </row>
    <row r="1705" ht="22.5" customHeight="1">
      <c r="A1705" s="12">
        <f>IFERROR(__xludf.DUMMYFUNCTION("""COMPUTED_VALUE"""),41.0)</f>
        <v>41</v>
      </c>
      <c r="B1705" s="13">
        <f>IFERROR(__xludf.DUMMYFUNCTION("""COMPUTED_VALUE"""),45451.0)</f>
        <v>45451</v>
      </c>
      <c r="C1705" s="12">
        <f>IFERROR(__xludf.DUMMYFUNCTION("""COMPUTED_VALUE"""),38.0)</f>
        <v>38</v>
      </c>
      <c r="D1705" s="12">
        <f>IFERROR(__xludf.DUMMYFUNCTION("""COMPUTED_VALUE"""),30.0)</f>
        <v>30</v>
      </c>
      <c r="E1705" s="12">
        <f>IFERROR(__xludf.DUMMYFUNCTION("""COMPUTED_VALUE"""),4.0)</f>
        <v>4</v>
      </c>
      <c r="F1705" s="12">
        <f>IFERROR(__xludf.DUMMYFUNCTION("""COMPUTED_VALUE"""),5.0)</f>
        <v>5</v>
      </c>
      <c r="G1705" s="15" t="str">
        <f>IFERROR(__xludf.DUMMYFUNCTION("""COMPUTED_VALUE"""),"Completa")</f>
        <v>Completa</v>
      </c>
      <c r="H1705" s="16" t="str">
        <f t="array" ref="H1705">_xlfn.XLOOKUP(D1705,Productos[ID_Producto],Productos[Nombre_Producto])</f>
        <v>Vino tinto</v>
      </c>
      <c r="I1705" s="17">
        <f t="array" ref="I1705">_xlfn.XLOOKUP(D1705,Productos[ID_Producto],Productos[Precio_Unitario])</f>
        <v>13.54</v>
      </c>
      <c r="J1705" s="17">
        <f t="shared" si="1"/>
        <v>54.16</v>
      </c>
      <c r="K1705" s="16" t="str">
        <f t="array" ref="K1705">_xlfn.XLOOKUP(C1705,Clientes[ID_Cliente],Clientes[Provincia])</f>
        <v>Neuquén</v>
      </c>
      <c r="L1705" s="16" t="str">
        <f t="array" ref="L1705">CONCATENATE(_xlfn.XLOOKUP(C1705,Clientes[ID_Cliente],Clientes[Provincia]),", Argentina")</f>
        <v>Neuquén, Argentina</v>
      </c>
      <c r="M1705" s="20" t="str">
        <f t="array" ref="M1705">_xlfn.XLOOKUP(F1705,Metodos_De_Pago[ID_Metodo],Metodos_De_Pago[Metodo])</f>
        <v>Transferencia</v>
      </c>
      <c r="N1705" s="20" t="str">
        <f t="shared" si="2"/>
        <v>2024 06</v>
      </c>
    </row>
    <row r="1706" ht="22.5" customHeight="1">
      <c r="A1706" s="12">
        <f>IFERROR(__xludf.DUMMYFUNCTION("""COMPUTED_VALUE"""),1010.0)</f>
        <v>1010</v>
      </c>
      <c r="B1706" s="13">
        <f>IFERROR(__xludf.DUMMYFUNCTION("""COMPUTED_VALUE"""),45451.0)</f>
        <v>45451</v>
      </c>
      <c r="C1706" s="12">
        <f>IFERROR(__xludf.DUMMYFUNCTION("""COMPUTED_VALUE"""),90.0)</f>
        <v>90</v>
      </c>
      <c r="D1706" s="12">
        <f>IFERROR(__xludf.DUMMYFUNCTION("""COMPUTED_VALUE"""),15.0)</f>
        <v>15</v>
      </c>
      <c r="E1706" s="12">
        <f>IFERROR(__xludf.DUMMYFUNCTION("""COMPUTED_VALUE"""),4.0)</f>
        <v>4</v>
      </c>
      <c r="F1706" s="12">
        <f>IFERROR(__xludf.DUMMYFUNCTION("""COMPUTED_VALUE"""),5.0)</f>
        <v>5</v>
      </c>
      <c r="G1706" s="15" t="str">
        <f>IFERROR(__xludf.DUMMYFUNCTION("""COMPUTED_VALUE"""),"Completa")</f>
        <v>Completa</v>
      </c>
      <c r="H1706" s="16" t="str">
        <f t="array" ref="H1706">_xlfn.XLOOKUP(D1706,Productos[ID_Producto],Productos[Nombre_Producto])</f>
        <v>Medialunas</v>
      </c>
      <c r="I1706" s="17">
        <f t="array" ref="I1706">_xlfn.XLOOKUP(D1706,Productos[ID_Producto],Productos[Precio_Unitario])</f>
        <v>3.51</v>
      </c>
      <c r="J1706" s="17">
        <f t="shared" si="1"/>
        <v>14.04</v>
      </c>
      <c r="K1706" s="16" t="str">
        <f t="array" ref="K1706">_xlfn.XLOOKUP(C1706,Clientes[ID_Cliente],Clientes[Provincia])</f>
        <v>Buenos Aires</v>
      </c>
      <c r="L1706" s="16" t="str">
        <f t="array" ref="L1706">CONCATENATE(_xlfn.XLOOKUP(C1706,Clientes[ID_Cliente],Clientes[Provincia]),", Argentina")</f>
        <v>Buenos Aires, Argentina</v>
      </c>
      <c r="M1706" s="20" t="str">
        <f t="array" ref="M1706">_xlfn.XLOOKUP(F1706,Metodos_De_Pago[ID_Metodo],Metodos_De_Pago[Metodo])</f>
        <v>Transferencia</v>
      </c>
      <c r="N1706" s="20" t="str">
        <f t="shared" si="2"/>
        <v>2024 06</v>
      </c>
    </row>
    <row r="1707" ht="22.5" customHeight="1">
      <c r="A1707" s="12">
        <f>IFERROR(__xludf.DUMMYFUNCTION("""COMPUTED_VALUE"""),1394.0)</f>
        <v>1394</v>
      </c>
      <c r="B1707" s="13">
        <f>IFERROR(__xludf.DUMMYFUNCTION("""COMPUTED_VALUE"""),45451.0)</f>
        <v>45451</v>
      </c>
      <c r="C1707" s="12">
        <f>IFERROR(__xludf.DUMMYFUNCTION("""COMPUTED_VALUE"""),245.0)</f>
        <v>245</v>
      </c>
      <c r="D1707" s="12">
        <f>IFERROR(__xludf.DUMMYFUNCTION("""COMPUTED_VALUE"""),20.0)</f>
        <v>20</v>
      </c>
      <c r="E1707" s="12">
        <f>IFERROR(__xludf.DUMMYFUNCTION("""COMPUTED_VALUE"""),4.0)</f>
        <v>4</v>
      </c>
      <c r="F1707" s="12">
        <f>IFERROR(__xludf.DUMMYFUNCTION("""COMPUTED_VALUE"""),4.0)</f>
        <v>4</v>
      </c>
      <c r="G1707" s="15" t="str">
        <f>IFERROR(__xludf.DUMMYFUNCTION("""COMPUTED_VALUE"""),"Completa")</f>
        <v>Completa</v>
      </c>
      <c r="H1707" s="16" t="str">
        <f t="array" ref="H1707">_xlfn.XLOOKUP(D1707,Productos[ID_Producto],Productos[Nombre_Producto])</f>
        <v>Lechugas</v>
      </c>
      <c r="I1707" s="17">
        <f t="array" ref="I1707">_xlfn.XLOOKUP(D1707,Productos[ID_Producto],Productos[Precio_Unitario])</f>
        <v>4.25</v>
      </c>
      <c r="J1707" s="17">
        <f t="shared" si="1"/>
        <v>17</v>
      </c>
      <c r="K1707" s="16" t="str">
        <f t="array" ref="K1707">_xlfn.XLOOKUP(C1707,Clientes[ID_Cliente],Clientes[Provincia])</f>
        <v>Chaco</v>
      </c>
      <c r="L1707" s="16" t="str">
        <f t="array" ref="L1707">CONCATENATE(_xlfn.XLOOKUP(C1707,Clientes[ID_Cliente],Clientes[Provincia]),", Argentina")</f>
        <v>Chaco, Argentina</v>
      </c>
      <c r="M1707" s="20" t="str">
        <f t="array" ref="M1707">_xlfn.XLOOKUP(F1707,Metodos_De_Pago[ID_Metodo],Metodos_De_Pago[Metodo])</f>
        <v>Mercado Pago</v>
      </c>
      <c r="N1707" s="20" t="str">
        <f t="shared" si="2"/>
        <v>2024 06</v>
      </c>
    </row>
    <row r="1708" ht="22.5" customHeight="1">
      <c r="A1708" s="12">
        <f>IFERROR(__xludf.DUMMYFUNCTION("""COMPUTED_VALUE"""),370.0)</f>
        <v>370</v>
      </c>
      <c r="B1708" s="13">
        <f>IFERROR(__xludf.DUMMYFUNCTION("""COMPUTED_VALUE"""),45452.0)</f>
        <v>45452</v>
      </c>
      <c r="C1708" s="12">
        <f>IFERROR(__xludf.DUMMYFUNCTION("""COMPUTED_VALUE"""),194.0)</f>
        <v>194</v>
      </c>
      <c r="D1708" s="12">
        <f>IFERROR(__xludf.DUMMYFUNCTION("""COMPUTED_VALUE"""),21.0)</f>
        <v>21</v>
      </c>
      <c r="E1708" s="12">
        <f>IFERROR(__xludf.DUMMYFUNCTION("""COMPUTED_VALUE"""),4.0)</f>
        <v>4</v>
      </c>
      <c r="F1708" s="12">
        <f>IFERROR(__xludf.DUMMYFUNCTION("""COMPUTED_VALUE"""),5.0)</f>
        <v>5</v>
      </c>
      <c r="G1708" s="15" t="str">
        <f>IFERROR(__xludf.DUMMYFUNCTION("""COMPUTED_VALUE"""),"Completa")</f>
        <v>Completa</v>
      </c>
      <c r="H1708" s="16" t="str">
        <f t="array" ref="H1708">_xlfn.XLOOKUP(D1708,Productos[ID_Producto],Productos[Nombre_Producto])</f>
        <v>Zanahorias</v>
      </c>
      <c r="I1708" s="17">
        <f t="array" ref="I1708">_xlfn.XLOOKUP(D1708,Productos[ID_Producto],Productos[Precio_Unitario])</f>
        <v>3.25</v>
      </c>
      <c r="J1708" s="17">
        <f t="shared" si="1"/>
        <v>13</v>
      </c>
      <c r="K1708" s="16" t="str">
        <f t="array" ref="K1708">_xlfn.XLOOKUP(C1708,Clientes[ID_Cliente],Clientes[Provincia])</f>
        <v>Buenos Aires</v>
      </c>
      <c r="L1708" s="16" t="str">
        <f t="array" ref="L1708">CONCATENATE(_xlfn.XLOOKUP(C1708,Clientes[ID_Cliente],Clientes[Provincia]),", Argentina")</f>
        <v>Buenos Aires, Argentina</v>
      </c>
      <c r="M1708" s="20" t="str">
        <f t="array" ref="M1708">_xlfn.XLOOKUP(F1708,Metodos_De_Pago[ID_Metodo],Metodos_De_Pago[Metodo])</f>
        <v>Transferencia</v>
      </c>
      <c r="N1708" s="20" t="str">
        <f t="shared" si="2"/>
        <v>2024 06</v>
      </c>
    </row>
    <row r="1709" ht="22.5" customHeight="1">
      <c r="A1709" s="12">
        <f>IFERROR(__xludf.DUMMYFUNCTION("""COMPUTED_VALUE"""),2116.0)</f>
        <v>2116</v>
      </c>
      <c r="B1709" s="13">
        <f>IFERROR(__xludf.DUMMYFUNCTION("""COMPUTED_VALUE"""),45452.0)</f>
        <v>45452</v>
      </c>
      <c r="C1709" s="12">
        <f>IFERROR(__xludf.DUMMYFUNCTION("""COMPUTED_VALUE"""),187.0)</f>
        <v>187</v>
      </c>
      <c r="D1709" s="12">
        <f>IFERROR(__xludf.DUMMYFUNCTION("""COMPUTED_VALUE"""),20.0)</f>
        <v>20</v>
      </c>
      <c r="E1709" s="12">
        <f>IFERROR(__xludf.DUMMYFUNCTION("""COMPUTED_VALUE"""),4.0)</f>
        <v>4</v>
      </c>
      <c r="F1709" s="12">
        <f>IFERROR(__xludf.DUMMYFUNCTION("""COMPUTED_VALUE"""),5.0)</f>
        <v>5</v>
      </c>
      <c r="G1709" s="15" t="str">
        <f>IFERROR(__xludf.DUMMYFUNCTION("""COMPUTED_VALUE"""),"Completa")</f>
        <v>Completa</v>
      </c>
      <c r="H1709" s="16" t="str">
        <f t="array" ref="H1709">_xlfn.XLOOKUP(D1709,Productos[ID_Producto],Productos[Nombre_Producto])</f>
        <v>Lechugas</v>
      </c>
      <c r="I1709" s="17">
        <f t="array" ref="I1709">_xlfn.XLOOKUP(D1709,Productos[ID_Producto],Productos[Precio_Unitario])</f>
        <v>4.25</v>
      </c>
      <c r="J1709" s="17">
        <f t="shared" si="1"/>
        <v>17</v>
      </c>
      <c r="K1709" s="16" t="str">
        <f t="array" ref="K1709">_xlfn.XLOOKUP(C1709,Clientes[ID_Cliente],Clientes[Provincia])</f>
        <v>Buenos Aires</v>
      </c>
      <c r="L1709" s="16" t="str">
        <f t="array" ref="L1709">CONCATENATE(_xlfn.XLOOKUP(C1709,Clientes[ID_Cliente],Clientes[Provincia]),", Argentina")</f>
        <v>Buenos Aires, Argentina</v>
      </c>
      <c r="M1709" s="20" t="str">
        <f t="array" ref="M1709">_xlfn.XLOOKUP(F1709,Metodos_De_Pago[ID_Metodo],Metodos_De_Pago[Metodo])</f>
        <v>Transferencia</v>
      </c>
      <c r="N1709" s="20" t="str">
        <f t="shared" si="2"/>
        <v>2024 06</v>
      </c>
    </row>
    <row r="1710" ht="22.5" customHeight="1">
      <c r="A1710" s="12">
        <f>IFERROR(__xludf.DUMMYFUNCTION("""COMPUTED_VALUE"""),967.0)</f>
        <v>967</v>
      </c>
      <c r="B1710" s="13">
        <f>IFERROR(__xludf.DUMMYFUNCTION("""COMPUTED_VALUE"""),45454.0)</f>
        <v>45454</v>
      </c>
      <c r="C1710" s="12">
        <f>IFERROR(__xludf.DUMMYFUNCTION("""COMPUTED_VALUE"""),55.0)</f>
        <v>55</v>
      </c>
      <c r="D1710" s="12">
        <f>IFERROR(__xludf.DUMMYFUNCTION("""COMPUTED_VALUE"""),29.0)</f>
        <v>29</v>
      </c>
      <c r="E1710" s="12">
        <f>IFERROR(__xludf.DUMMYFUNCTION("""COMPUTED_VALUE"""),4.0)</f>
        <v>4</v>
      </c>
      <c r="F1710" s="12">
        <f>IFERROR(__xludf.DUMMYFUNCTION("""COMPUTED_VALUE"""),5.0)</f>
        <v>5</v>
      </c>
      <c r="G1710" s="15" t="str">
        <f>IFERROR(__xludf.DUMMYFUNCTION("""COMPUTED_VALUE"""),"Completa")</f>
        <v>Completa</v>
      </c>
      <c r="H1710" s="16" t="str">
        <f t="array" ref="H1710">_xlfn.XLOOKUP(D1710,Productos[ID_Producto],Productos[Nombre_Producto])</f>
        <v>Cerveza</v>
      </c>
      <c r="I1710" s="17">
        <f t="array" ref="I1710">_xlfn.XLOOKUP(D1710,Productos[ID_Producto],Productos[Precio_Unitario])</f>
        <v>11.54</v>
      </c>
      <c r="J1710" s="17">
        <f t="shared" si="1"/>
        <v>46.16</v>
      </c>
      <c r="K1710" s="16" t="str">
        <f t="array" ref="K1710">_xlfn.XLOOKUP(C1710,Clientes[ID_Cliente],Clientes[Provincia])</f>
        <v>Neuquén</v>
      </c>
      <c r="L1710" s="16" t="str">
        <f t="array" ref="L1710">CONCATENATE(_xlfn.XLOOKUP(C1710,Clientes[ID_Cliente],Clientes[Provincia]),", Argentina")</f>
        <v>Neuquén, Argentina</v>
      </c>
      <c r="M1710" s="20" t="str">
        <f t="array" ref="M1710">_xlfn.XLOOKUP(F1710,Metodos_De_Pago[ID_Metodo],Metodos_De_Pago[Metodo])</f>
        <v>Transferencia</v>
      </c>
      <c r="N1710" s="20" t="str">
        <f t="shared" si="2"/>
        <v>2024 06</v>
      </c>
    </row>
    <row r="1711" ht="22.5" customHeight="1">
      <c r="A1711" s="12">
        <f>IFERROR(__xludf.DUMMYFUNCTION("""COMPUTED_VALUE"""),774.0)</f>
        <v>774</v>
      </c>
      <c r="B1711" s="13">
        <f>IFERROR(__xludf.DUMMYFUNCTION("""COMPUTED_VALUE"""),45455.0)</f>
        <v>45455</v>
      </c>
      <c r="C1711" s="12">
        <f>IFERROR(__xludf.DUMMYFUNCTION("""COMPUTED_VALUE"""),148.0)</f>
        <v>148</v>
      </c>
      <c r="D1711" s="12">
        <f>IFERROR(__xludf.DUMMYFUNCTION("""COMPUTED_VALUE"""),5.0)</f>
        <v>5</v>
      </c>
      <c r="E1711" s="12">
        <f>IFERROR(__xludf.DUMMYFUNCTION("""COMPUTED_VALUE"""),4.0)</f>
        <v>4</v>
      </c>
      <c r="F1711" s="12">
        <f>IFERROR(__xludf.DUMMYFUNCTION("""COMPUTED_VALUE"""),4.0)</f>
        <v>4</v>
      </c>
      <c r="G1711" s="15" t="str">
        <f>IFERROR(__xludf.DUMMYFUNCTION("""COMPUTED_VALUE"""),"Completa")</f>
        <v>Completa</v>
      </c>
      <c r="H1711" s="16" t="str">
        <f t="array" ref="H1711">_xlfn.XLOOKUP(D1711,Productos[ID_Producto],Productos[Nombre_Producto])</f>
        <v>Manteca</v>
      </c>
      <c r="I1711" s="17">
        <f t="array" ref="I1711">_xlfn.XLOOKUP(D1711,Productos[ID_Producto],Productos[Precio_Unitario])</f>
        <v>5.65</v>
      </c>
      <c r="J1711" s="17">
        <f t="shared" si="1"/>
        <v>22.6</v>
      </c>
      <c r="K1711" s="16" t="str">
        <f t="array" ref="K1711">_xlfn.XLOOKUP(C1711,Clientes[ID_Cliente],Clientes[Provincia])</f>
        <v>Córdoba</v>
      </c>
      <c r="L1711" s="16" t="str">
        <f t="array" ref="L1711">CONCATENATE(_xlfn.XLOOKUP(C1711,Clientes[ID_Cliente],Clientes[Provincia]),", Argentina")</f>
        <v>Córdoba, Argentina</v>
      </c>
      <c r="M1711" s="20" t="str">
        <f t="array" ref="M1711">_xlfn.XLOOKUP(F1711,Metodos_De_Pago[ID_Metodo],Metodos_De_Pago[Metodo])</f>
        <v>Mercado Pago</v>
      </c>
      <c r="N1711" s="20" t="str">
        <f t="shared" si="2"/>
        <v>2024 06</v>
      </c>
    </row>
    <row r="1712" ht="22.5" customHeight="1">
      <c r="A1712" s="12">
        <f>IFERROR(__xludf.DUMMYFUNCTION("""COMPUTED_VALUE"""),2270.0)</f>
        <v>2270</v>
      </c>
      <c r="B1712" s="13">
        <f>IFERROR(__xludf.DUMMYFUNCTION("""COMPUTED_VALUE"""),45455.0)</f>
        <v>45455</v>
      </c>
      <c r="C1712" s="12">
        <f>IFERROR(__xludf.DUMMYFUNCTION("""COMPUTED_VALUE"""),200.0)</f>
        <v>200</v>
      </c>
      <c r="D1712" s="12">
        <f>IFERROR(__xludf.DUMMYFUNCTION("""COMPUTED_VALUE"""),22.0)</f>
        <v>22</v>
      </c>
      <c r="E1712" s="12">
        <f>IFERROR(__xludf.DUMMYFUNCTION("""COMPUTED_VALUE"""),4.0)</f>
        <v>4</v>
      </c>
      <c r="F1712" s="12">
        <f>IFERROR(__xludf.DUMMYFUNCTION("""COMPUTED_VALUE"""),5.0)</f>
        <v>5</v>
      </c>
      <c r="G1712" s="15" t="str">
        <f>IFERROR(__xludf.DUMMYFUNCTION("""COMPUTED_VALUE"""),"Completa")</f>
        <v>Completa</v>
      </c>
      <c r="H1712" s="16" t="str">
        <f t="array" ref="H1712">_xlfn.XLOOKUP(D1712,Productos[ID_Producto],Productos[Nombre_Producto])</f>
        <v>Cebolla</v>
      </c>
      <c r="I1712" s="17">
        <f t="array" ref="I1712">_xlfn.XLOOKUP(D1712,Productos[ID_Producto],Productos[Precio_Unitario])</f>
        <v>4.21</v>
      </c>
      <c r="J1712" s="17">
        <f t="shared" si="1"/>
        <v>16.84</v>
      </c>
      <c r="K1712" s="16" t="str">
        <f t="array" ref="K1712">_xlfn.XLOOKUP(C1712,Clientes[ID_Cliente],Clientes[Provincia])</f>
        <v>Córdoba</v>
      </c>
      <c r="L1712" s="16" t="str">
        <f t="array" ref="L1712">CONCATENATE(_xlfn.XLOOKUP(C1712,Clientes[ID_Cliente],Clientes[Provincia]),", Argentina")</f>
        <v>Córdoba, Argentina</v>
      </c>
      <c r="M1712" s="20" t="str">
        <f t="array" ref="M1712">_xlfn.XLOOKUP(F1712,Metodos_De_Pago[ID_Metodo],Metodos_De_Pago[Metodo])</f>
        <v>Transferencia</v>
      </c>
      <c r="N1712" s="20" t="str">
        <f t="shared" si="2"/>
        <v>2024 06</v>
      </c>
    </row>
    <row r="1713" ht="22.5" customHeight="1">
      <c r="A1713" s="12">
        <f>IFERROR(__xludf.DUMMYFUNCTION("""COMPUTED_VALUE"""),2691.0)</f>
        <v>2691</v>
      </c>
      <c r="B1713" s="13">
        <f>IFERROR(__xludf.DUMMYFUNCTION("""COMPUTED_VALUE"""),45456.0)</f>
        <v>45456</v>
      </c>
      <c r="C1713" s="12">
        <f>IFERROR(__xludf.DUMMYFUNCTION("""COMPUTED_VALUE"""),72.0)</f>
        <v>72</v>
      </c>
      <c r="D1713" s="12">
        <f>IFERROR(__xludf.DUMMYFUNCTION("""COMPUTED_VALUE"""),20.0)</f>
        <v>20</v>
      </c>
      <c r="E1713" s="12">
        <f>IFERROR(__xludf.DUMMYFUNCTION("""COMPUTED_VALUE"""),4.0)</f>
        <v>4</v>
      </c>
      <c r="F1713" s="12">
        <f>IFERROR(__xludf.DUMMYFUNCTION("""COMPUTED_VALUE"""),4.0)</f>
        <v>4</v>
      </c>
      <c r="G1713" s="15" t="str">
        <f>IFERROR(__xludf.DUMMYFUNCTION("""COMPUTED_VALUE"""),"Completa")</f>
        <v>Completa</v>
      </c>
      <c r="H1713" s="16" t="str">
        <f t="array" ref="H1713">_xlfn.XLOOKUP(D1713,Productos[ID_Producto],Productos[Nombre_Producto])</f>
        <v>Lechugas</v>
      </c>
      <c r="I1713" s="17">
        <f t="array" ref="I1713">_xlfn.XLOOKUP(D1713,Productos[ID_Producto],Productos[Precio_Unitario])</f>
        <v>4.25</v>
      </c>
      <c r="J1713" s="17">
        <f t="shared" si="1"/>
        <v>17</v>
      </c>
      <c r="K1713" s="16" t="str">
        <f t="array" ref="K1713">_xlfn.XLOOKUP(C1713,Clientes[ID_Cliente],Clientes[Provincia])</f>
        <v>Córdoba</v>
      </c>
      <c r="L1713" s="16" t="str">
        <f t="array" ref="L1713">CONCATENATE(_xlfn.XLOOKUP(C1713,Clientes[ID_Cliente],Clientes[Provincia]),", Argentina")</f>
        <v>Córdoba, Argentina</v>
      </c>
      <c r="M1713" s="20" t="str">
        <f t="array" ref="M1713">_xlfn.XLOOKUP(F1713,Metodos_De_Pago[ID_Metodo],Metodos_De_Pago[Metodo])</f>
        <v>Mercado Pago</v>
      </c>
      <c r="N1713" s="20" t="str">
        <f t="shared" si="2"/>
        <v>2024 06</v>
      </c>
    </row>
    <row r="1714" ht="22.5" customHeight="1">
      <c r="A1714" s="12">
        <f>IFERROR(__xludf.DUMMYFUNCTION("""COMPUTED_VALUE"""),603.0)</f>
        <v>603</v>
      </c>
      <c r="B1714" s="13">
        <f>IFERROR(__xludf.DUMMYFUNCTION("""COMPUTED_VALUE"""),45457.0)</f>
        <v>45457</v>
      </c>
      <c r="C1714" s="12">
        <f>IFERROR(__xludf.DUMMYFUNCTION("""COMPUTED_VALUE"""),249.0)</f>
        <v>249</v>
      </c>
      <c r="D1714" s="12">
        <f>IFERROR(__xludf.DUMMYFUNCTION("""COMPUTED_VALUE"""),1.0)</f>
        <v>1</v>
      </c>
      <c r="E1714" s="12">
        <f>IFERROR(__xludf.DUMMYFUNCTION("""COMPUTED_VALUE"""),4.0)</f>
        <v>4</v>
      </c>
      <c r="F1714" s="12">
        <f>IFERROR(__xludf.DUMMYFUNCTION("""COMPUTED_VALUE"""),5.0)</f>
        <v>5</v>
      </c>
      <c r="G1714" s="15" t="str">
        <f>IFERROR(__xludf.DUMMYFUNCTION("""COMPUTED_VALUE"""),"Pendiente")</f>
        <v>Pendiente</v>
      </c>
      <c r="H1714" s="16" t="str">
        <f t="array" ref="H1714">_xlfn.XLOOKUP(D1714,Productos[ID_Producto],Productos[Nombre_Producto])</f>
        <v>Leche</v>
      </c>
      <c r="I1714" s="17">
        <f t="array" ref="I1714">_xlfn.XLOOKUP(D1714,Productos[ID_Producto],Productos[Precio_Unitario])</f>
        <v>12.24</v>
      </c>
      <c r="J1714" s="17">
        <f t="shared" si="1"/>
        <v>48.96</v>
      </c>
      <c r="K1714" s="16" t="str">
        <f t="array" ref="K1714">_xlfn.XLOOKUP(C1714,Clientes[ID_Cliente],Clientes[Provincia])</f>
        <v>Buenos Aires</v>
      </c>
      <c r="L1714" s="16" t="str">
        <f t="array" ref="L1714">CONCATENATE(_xlfn.XLOOKUP(C1714,Clientes[ID_Cliente],Clientes[Provincia]),", Argentina")</f>
        <v>Buenos Aires, Argentina</v>
      </c>
      <c r="M1714" s="20" t="str">
        <f t="array" ref="M1714">_xlfn.XLOOKUP(F1714,Metodos_De_Pago[ID_Metodo],Metodos_De_Pago[Metodo])</f>
        <v>Transferencia</v>
      </c>
      <c r="N1714" s="20" t="str">
        <f t="shared" si="2"/>
        <v>2024 06</v>
      </c>
    </row>
    <row r="1715" ht="22.5" customHeight="1">
      <c r="A1715" s="12">
        <f>IFERROR(__xludf.DUMMYFUNCTION("""COMPUTED_VALUE"""),2240.0)</f>
        <v>2240</v>
      </c>
      <c r="B1715" s="13">
        <f>IFERROR(__xludf.DUMMYFUNCTION("""COMPUTED_VALUE"""),45458.0)</f>
        <v>45458</v>
      </c>
      <c r="C1715" s="12">
        <f>IFERROR(__xludf.DUMMYFUNCTION("""COMPUTED_VALUE"""),258.0)</f>
        <v>258</v>
      </c>
      <c r="D1715" s="12">
        <f>IFERROR(__xludf.DUMMYFUNCTION("""COMPUTED_VALUE"""),33.0)</f>
        <v>33</v>
      </c>
      <c r="E1715" s="12">
        <f>IFERROR(__xludf.DUMMYFUNCTION("""COMPUTED_VALUE"""),4.0)</f>
        <v>4</v>
      </c>
      <c r="F1715" s="12">
        <f>IFERROR(__xludf.DUMMYFUNCTION("""COMPUTED_VALUE"""),3.0)</f>
        <v>3</v>
      </c>
      <c r="G1715" s="15" t="str">
        <f>IFERROR(__xludf.DUMMYFUNCTION("""COMPUTED_VALUE"""),"Completa")</f>
        <v>Completa</v>
      </c>
      <c r="H1715" s="16" t="str">
        <f t="array" ref="H1715">_xlfn.XLOOKUP(D1715,Productos[ID_Producto],Productos[Nombre_Producto])</f>
        <v>Papas chips</v>
      </c>
      <c r="I1715" s="17">
        <f t="array" ref="I1715">_xlfn.XLOOKUP(D1715,Productos[ID_Producto],Productos[Precio_Unitario])</f>
        <v>8.54</v>
      </c>
      <c r="J1715" s="17">
        <f t="shared" si="1"/>
        <v>34.16</v>
      </c>
      <c r="K1715" s="16" t="str">
        <f t="array" ref="K1715">_xlfn.XLOOKUP(C1715,Clientes[ID_Cliente],Clientes[Provincia])</f>
        <v>Córdoba</v>
      </c>
      <c r="L1715" s="16" t="str">
        <f t="array" ref="L1715">CONCATENATE(_xlfn.XLOOKUP(C1715,Clientes[ID_Cliente],Clientes[Provincia]),", Argentina")</f>
        <v>Córdoba, Argentina</v>
      </c>
      <c r="M1715" s="20" t="str">
        <f t="array" ref="M1715">_xlfn.XLOOKUP(F1715,Metodos_De_Pago[ID_Metodo],Metodos_De_Pago[Metodo])</f>
        <v>Tarjeta de Débito</v>
      </c>
      <c r="N1715" s="20" t="str">
        <f t="shared" si="2"/>
        <v>2024 06</v>
      </c>
    </row>
    <row r="1716" ht="22.5" customHeight="1">
      <c r="A1716" s="12">
        <f>IFERROR(__xludf.DUMMYFUNCTION("""COMPUTED_VALUE"""),836.0)</f>
        <v>836</v>
      </c>
      <c r="B1716" s="13">
        <f>IFERROR(__xludf.DUMMYFUNCTION("""COMPUTED_VALUE"""),45459.0)</f>
        <v>45459</v>
      </c>
      <c r="C1716" s="12">
        <f>IFERROR(__xludf.DUMMYFUNCTION("""COMPUTED_VALUE"""),165.0)</f>
        <v>165</v>
      </c>
      <c r="D1716" s="12">
        <f>IFERROR(__xludf.DUMMYFUNCTION("""COMPUTED_VALUE"""),4.0)</f>
        <v>4</v>
      </c>
      <c r="E1716" s="12">
        <f>IFERROR(__xludf.DUMMYFUNCTION("""COMPUTED_VALUE"""),4.0)</f>
        <v>4</v>
      </c>
      <c r="F1716" s="12">
        <f>IFERROR(__xludf.DUMMYFUNCTION("""COMPUTED_VALUE"""),3.0)</f>
        <v>3</v>
      </c>
      <c r="G1716" s="15" t="str">
        <f>IFERROR(__xludf.DUMMYFUNCTION("""COMPUTED_VALUE"""),"Pendiente")</f>
        <v>Pendiente</v>
      </c>
      <c r="H1716" s="16" t="str">
        <f t="array" ref="H1716">_xlfn.XLOOKUP(D1716,Productos[ID_Producto],Productos[Nombre_Producto])</f>
        <v>Queso rallado</v>
      </c>
      <c r="I1716" s="17">
        <f t="array" ref="I1716">_xlfn.XLOOKUP(D1716,Productos[ID_Producto],Productos[Precio_Unitario])</f>
        <v>19.23</v>
      </c>
      <c r="J1716" s="17">
        <f t="shared" si="1"/>
        <v>76.92</v>
      </c>
      <c r="K1716" s="16" t="str">
        <f t="array" ref="K1716">_xlfn.XLOOKUP(C1716,Clientes[ID_Cliente],Clientes[Provincia])</f>
        <v>Buenos Aires</v>
      </c>
      <c r="L1716" s="16" t="str">
        <f t="array" ref="L1716">CONCATENATE(_xlfn.XLOOKUP(C1716,Clientes[ID_Cliente],Clientes[Provincia]),", Argentina")</f>
        <v>Buenos Aires, Argentina</v>
      </c>
      <c r="M1716" s="20" t="str">
        <f t="array" ref="M1716">_xlfn.XLOOKUP(F1716,Metodos_De_Pago[ID_Metodo],Metodos_De_Pago[Metodo])</f>
        <v>Tarjeta de Débito</v>
      </c>
      <c r="N1716" s="20" t="str">
        <f t="shared" si="2"/>
        <v>2024 06</v>
      </c>
    </row>
    <row r="1717" ht="22.5" customHeight="1">
      <c r="A1717" s="12">
        <f>IFERROR(__xludf.DUMMYFUNCTION("""COMPUTED_VALUE"""),1758.0)</f>
        <v>1758</v>
      </c>
      <c r="B1717" s="13">
        <f>IFERROR(__xludf.DUMMYFUNCTION("""COMPUTED_VALUE"""),45459.0)</f>
        <v>45459</v>
      </c>
      <c r="C1717" s="12">
        <f>IFERROR(__xludf.DUMMYFUNCTION("""COMPUTED_VALUE"""),38.0)</f>
        <v>38</v>
      </c>
      <c r="D1717" s="12">
        <f>IFERROR(__xludf.DUMMYFUNCTION("""COMPUTED_VALUE"""),26.0)</f>
        <v>26</v>
      </c>
      <c r="E1717" s="12">
        <f>IFERROR(__xludf.DUMMYFUNCTION("""COMPUTED_VALUE"""),4.0)</f>
        <v>4</v>
      </c>
      <c r="F1717" s="12">
        <f>IFERROR(__xludf.DUMMYFUNCTION("""COMPUTED_VALUE"""),3.0)</f>
        <v>3</v>
      </c>
      <c r="G1717" s="15" t="str">
        <f>IFERROR(__xludf.DUMMYFUNCTION("""COMPUTED_VALUE"""),"Completa")</f>
        <v>Completa</v>
      </c>
      <c r="H1717" s="16" t="str">
        <f t="array" ref="H1717">_xlfn.XLOOKUP(D1717,Productos[ID_Producto],Productos[Nombre_Producto])</f>
        <v>Hamburgesas congeladas</v>
      </c>
      <c r="I1717" s="17">
        <f t="array" ref="I1717">_xlfn.XLOOKUP(D1717,Productos[ID_Producto],Productos[Precio_Unitario])</f>
        <v>9.54</v>
      </c>
      <c r="J1717" s="17">
        <f t="shared" si="1"/>
        <v>38.16</v>
      </c>
      <c r="K1717" s="16" t="str">
        <f t="array" ref="K1717">_xlfn.XLOOKUP(C1717,Clientes[ID_Cliente],Clientes[Provincia])</f>
        <v>Neuquén</v>
      </c>
      <c r="L1717" s="16" t="str">
        <f t="array" ref="L1717">CONCATENATE(_xlfn.XLOOKUP(C1717,Clientes[ID_Cliente],Clientes[Provincia]),", Argentina")</f>
        <v>Neuquén, Argentina</v>
      </c>
      <c r="M1717" s="20" t="str">
        <f t="array" ref="M1717">_xlfn.XLOOKUP(F1717,Metodos_De_Pago[ID_Metodo],Metodos_De_Pago[Metodo])</f>
        <v>Tarjeta de Débito</v>
      </c>
      <c r="N1717" s="20" t="str">
        <f t="shared" si="2"/>
        <v>2024 06</v>
      </c>
    </row>
    <row r="1718" ht="22.5" customHeight="1">
      <c r="A1718" s="12">
        <f>IFERROR(__xludf.DUMMYFUNCTION("""COMPUTED_VALUE"""),1167.0)</f>
        <v>1167</v>
      </c>
      <c r="B1718" s="13">
        <f>IFERROR(__xludf.DUMMYFUNCTION("""COMPUTED_VALUE"""),45460.0)</f>
        <v>45460</v>
      </c>
      <c r="C1718" s="12">
        <f>IFERROR(__xludf.DUMMYFUNCTION("""COMPUTED_VALUE"""),311.0)</f>
        <v>311</v>
      </c>
      <c r="D1718" s="12">
        <f>IFERROR(__xludf.DUMMYFUNCTION("""COMPUTED_VALUE"""),7.0)</f>
        <v>7</v>
      </c>
      <c r="E1718" s="12">
        <f>IFERROR(__xludf.DUMMYFUNCTION("""COMPUTED_VALUE"""),4.0)</f>
        <v>4</v>
      </c>
      <c r="F1718" s="12">
        <f>IFERROR(__xludf.DUMMYFUNCTION("""COMPUTED_VALUE"""),5.0)</f>
        <v>5</v>
      </c>
      <c r="G1718" s="15" t="str">
        <f>IFERROR(__xludf.DUMMYFUNCTION("""COMPUTED_VALUE"""),"Completa")</f>
        <v>Completa</v>
      </c>
      <c r="H1718" s="16" t="str">
        <f t="array" ref="H1718">_xlfn.XLOOKUP(D1718,Productos[ID_Producto],Productos[Nombre_Producto])</f>
        <v>Chorizo</v>
      </c>
      <c r="I1718" s="17">
        <f t="array" ref="I1718">_xlfn.XLOOKUP(D1718,Productos[ID_Producto],Productos[Precio_Unitario])</f>
        <v>11.25</v>
      </c>
      <c r="J1718" s="17">
        <f t="shared" si="1"/>
        <v>45</v>
      </c>
      <c r="K1718" s="16" t="str">
        <f t="array" ref="K1718">_xlfn.XLOOKUP(C1718,Clientes[ID_Cliente],Clientes[Provincia])</f>
        <v>Buenos Aires</v>
      </c>
      <c r="L1718" s="16" t="str">
        <f t="array" ref="L1718">CONCATENATE(_xlfn.XLOOKUP(C1718,Clientes[ID_Cliente],Clientes[Provincia]),", Argentina")</f>
        <v>Buenos Aires, Argentina</v>
      </c>
      <c r="M1718" s="20" t="str">
        <f t="array" ref="M1718">_xlfn.XLOOKUP(F1718,Metodos_De_Pago[ID_Metodo],Metodos_De_Pago[Metodo])</f>
        <v>Transferencia</v>
      </c>
      <c r="N1718" s="20" t="str">
        <f t="shared" si="2"/>
        <v>2024 06</v>
      </c>
    </row>
    <row r="1719" ht="22.5" customHeight="1">
      <c r="A1719" s="12">
        <f>IFERROR(__xludf.DUMMYFUNCTION("""COMPUTED_VALUE"""),1761.0)</f>
        <v>1761</v>
      </c>
      <c r="B1719" s="13">
        <f>IFERROR(__xludf.DUMMYFUNCTION("""COMPUTED_VALUE"""),45460.0)</f>
        <v>45460</v>
      </c>
      <c r="C1719" s="12">
        <f>IFERROR(__xludf.DUMMYFUNCTION("""COMPUTED_VALUE"""),260.0)</f>
        <v>260</v>
      </c>
      <c r="D1719" s="12">
        <f>IFERROR(__xludf.DUMMYFUNCTION("""COMPUTED_VALUE"""),8.0)</f>
        <v>8</v>
      </c>
      <c r="E1719" s="12">
        <f>IFERROR(__xludf.DUMMYFUNCTION("""COMPUTED_VALUE"""),4.0)</f>
        <v>4</v>
      </c>
      <c r="F1719" s="12">
        <f>IFERROR(__xludf.DUMMYFUNCTION("""COMPUTED_VALUE"""),4.0)</f>
        <v>4</v>
      </c>
      <c r="G1719" s="15" t="str">
        <f>IFERROR(__xludf.DUMMYFUNCTION("""COMPUTED_VALUE"""),"Completa")</f>
        <v>Completa</v>
      </c>
      <c r="H1719" s="16" t="str">
        <f t="array" ref="H1719">_xlfn.XLOOKUP(D1719,Productos[ID_Producto],Productos[Nombre_Producto])</f>
        <v>Milanesa</v>
      </c>
      <c r="I1719" s="17">
        <f t="array" ref="I1719">_xlfn.XLOOKUP(D1719,Productos[ID_Producto],Productos[Precio_Unitario])</f>
        <v>16.21</v>
      </c>
      <c r="J1719" s="17">
        <f t="shared" si="1"/>
        <v>64.84</v>
      </c>
      <c r="K1719" s="16" t="str">
        <f t="array" ref="K1719">_xlfn.XLOOKUP(C1719,Clientes[ID_Cliente],Clientes[Provincia])</f>
        <v>Buenos Aires</v>
      </c>
      <c r="L1719" s="16" t="str">
        <f t="array" ref="L1719">CONCATENATE(_xlfn.XLOOKUP(C1719,Clientes[ID_Cliente],Clientes[Provincia]),", Argentina")</f>
        <v>Buenos Aires, Argentina</v>
      </c>
      <c r="M1719" s="20" t="str">
        <f t="array" ref="M1719">_xlfn.XLOOKUP(F1719,Metodos_De_Pago[ID_Metodo],Metodos_De_Pago[Metodo])</f>
        <v>Mercado Pago</v>
      </c>
      <c r="N1719" s="20" t="str">
        <f t="shared" si="2"/>
        <v>2024 06</v>
      </c>
    </row>
    <row r="1720" ht="22.5" customHeight="1">
      <c r="A1720" s="12">
        <f>IFERROR(__xludf.DUMMYFUNCTION("""COMPUTED_VALUE"""),2050.0)</f>
        <v>2050</v>
      </c>
      <c r="B1720" s="13">
        <f>IFERROR(__xludf.DUMMYFUNCTION("""COMPUTED_VALUE"""),45461.0)</f>
        <v>45461</v>
      </c>
      <c r="C1720" s="12">
        <f>IFERROR(__xludf.DUMMYFUNCTION("""COMPUTED_VALUE"""),58.0)</f>
        <v>58</v>
      </c>
      <c r="D1720" s="12">
        <f>IFERROR(__xludf.DUMMYFUNCTION("""COMPUTED_VALUE"""),24.0)</f>
        <v>24</v>
      </c>
      <c r="E1720" s="12">
        <f>IFERROR(__xludf.DUMMYFUNCTION("""COMPUTED_VALUE"""),4.0)</f>
        <v>4</v>
      </c>
      <c r="F1720" s="12">
        <f>IFERROR(__xludf.DUMMYFUNCTION("""COMPUTED_VALUE"""),2.0)</f>
        <v>2</v>
      </c>
      <c r="G1720" s="15" t="str">
        <f>IFERROR(__xludf.DUMMYFUNCTION("""COMPUTED_VALUE"""),"Completa")</f>
        <v>Completa</v>
      </c>
      <c r="H1720" s="16" t="str">
        <f t="array" ref="H1720">_xlfn.XLOOKUP(D1720,Productos[ID_Producto],Productos[Nombre_Producto])</f>
        <v>Empanadas</v>
      </c>
      <c r="I1720" s="17">
        <f t="array" ref="I1720">_xlfn.XLOOKUP(D1720,Productos[ID_Producto],Productos[Precio_Unitario])</f>
        <v>13.54</v>
      </c>
      <c r="J1720" s="17">
        <f t="shared" si="1"/>
        <v>54.16</v>
      </c>
      <c r="K1720" s="16" t="str">
        <f t="array" ref="K1720">_xlfn.XLOOKUP(C1720,Clientes[ID_Cliente],Clientes[Provincia])</f>
        <v>Buenos Aires</v>
      </c>
      <c r="L1720" s="16" t="str">
        <f t="array" ref="L1720">CONCATENATE(_xlfn.XLOOKUP(C1720,Clientes[ID_Cliente],Clientes[Provincia]),", Argentina")</f>
        <v>Buenos Aires, Argentina</v>
      </c>
      <c r="M1720" s="20" t="str">
        <f t="array" ref="M1720">_xlfn.XLOOKUP(F1720,Metodos_De_Pago[ID_Metodo],Metodos_De_Pago[Metodo])</f>
        <v>Tarjeta de Crédito</v>
      </c>
      <c r="N1720" s="20" t="str">
        <f t="shared" si="2"/>
        <v>2024 06</v>
      </c>
    </row>
    <row r="1721" ht="22.5" customHeight="1">
      <c r="A1721" s="12">
        <f>IFERROR(__xludf.DUMMYFUNCTION("""COMPUTED_VALUE"""),861.0)</f>
        <v>861</v>
      </c>
      <c r="B1721" s="13">
        <f>IFERROR(__xludf.DUMMYFUNCTION("""COMPUTED_VALUE"""),45462.0)</f>
        <v>45462</v>
      </c>
      <c r="C1721" s="12">
        <f>IFERROR(__xludf.DUMMYFUNCTION("""COMPUTED_VALUE"""),34.0)</f>
        <v>34</v>
      </c>
      <c r="D1721" s="12">
        <f>IFERROR(__xludf.DUMMYFUNCTION("""COMPUTED_VALUE"""),23.0)</f>
        <v>23</v>
      </c>
      <c r="E1721" s="12">
        <f>IFERROR(__xludf.DUMMYFUNCTION("""COMPUTED_VALUE"""),4.0)</f>
        <v>4</v>
      </c>
      <c r="F1721" s="12">
        <f>IFERROR(__xludf.DUMMYFUNCTION("""COMPUTED_VALUE"""),5.0)</f>
        <v>5</v>
      </c>
      <c r="G1721" s="15" t="str">
        <f>IFERROR(__xludf.DUMMYFUNCTION("""COMPUTED_VALUE"""),"Completa")</f>
        <v>Completa</v>
      </c>
      <c r="H1721" s="16" t="str">
        <f t="array" ref="H1721">_xlfn.XLOOKUP(D1721,Productos[ID_Producto],Productos[Nombre_Producto])</f>
        <v>Papas fritas</v>
      </c>
      <c r="I1721" s="17">
        <f t="array" ref="I1721">_xlfn.XLOOKUP(D1721,Productos[ID_Producto],Productos[Precio_Unitario])</f>
        <v>8.23</v>
      </c>
      <c r="J1721" s="17">
        <f t="shared" si="1"/>
        <v>32.92</v>
      </c>
      <c r="K1721" s="16" t="str">
        <f t="array" ref="K1721">_xlfn.XLOOKUP(C1721,Clientes[ID_Cliente],Clientes[Provincia])</f>
        <v>San Luis</v>
      </c>
      <c r="L1721" s="16" t="str">
        <f t="array" ref="L1721">CONCATENATE(_xlfn.XLOOKUP(C1721,Clientes[ID_Cliente],Clientes[Provincia]),", Argentina")</f>
        <v>San Luis, Argentina</v>
      </c>
      <c r="M1721" s="20" t="str">
        <f t="array" ref="M1721">_xlfn.XLOOKUP(F1721,Metodos_De_Pago[ID_Metodo],Metodos_De_Pago[Metodo])</f>
        <v>Transferencia</v>
      </c>
      <c r="N1721" s="20" t="str">
        <f t="shared" si="2"/>
        <v>2024 06</v>
      </c>
    </row>
    <row r="1722" ht="22.5" customHeight="1">
      <c r="A1722" s="12">
        <f>IFERROR(__xludf.DUMMYFUNCTION("""COMPUTED_VALUE"""),1530.0)</f>
        <v>1530</v>
      </c>
      <c r="B1722" s="13">
        <f>IFERROR(__xludf.DUMMYFUNCTION("""COMPUTED_VALUE"""),45462.0)</f>
        <v>45462</v>
      </c>
      <c r="C1722" s="12">
        <f>IFERROR(__xludf.DUMMYFUNCTION("""COMPUTED_VALUE"""),2.0)</f>
        <v>2</v>
      </c>
      <c r="D1722" s="12">
        <f>IFERROR(__xludf.DUMMYFUNCTION("""COMPUTED_VALUE"""),34.0)</f>
        <v>34</v>
      </c>
      <c r="E1722" s="12">
        <f>IFERROR(__xludf.DUMMYFUNCTION("""COMPUTED_VALUE"""),4.0)</f>
        <v>4</v>
      </c>
      <c r="F1722" s="12">
        <f>IFERROR(__xludf.DUMMYFUNCTION("""COMPUTED_VALUE"""),4.0)</f>
        <v>4</v>
      </c>
      <c r="G1722" s="15" t="str">
        <f>IFERROR(__xludf.DUMMYFUNCTION("""COMPUTED_VALUE"""),"Completa")</f>
        <v>Completa</v>
      </c>
      <c r="H1722" s="16" t="str">
        <f t="array" ref="H1722">_xlfn.XLOOKUP(D1722,Productos[ID_Producto],Productos[Nombre_Producto])</f>
        <v>Maníes</v>
      </c>
      <c r="I1722" s="17">
        <f t="array" ref="I1722">_xlfn.XLOOKUP(D1722,Productos[ID_Producto],Productos[Precio_Unitario])</f>
        <v>5.45</v>
      </c>
      <c r="J1722" s="17">
        <f t="shared" si="1"/>
        <v>21.8</v>
      </c>
      <c r="K1722" s="16" t="str">
        <f t="array" ref="K1722">_xlfn.XLOOKUP(C1722,Clientes[ID_Cliente],Clientes[Provincia])</f>
        <v>Neuquén</v>
      </c>
      <c r="L1722" s="16" t="str">
        <f t="array" ref="L1722">CONCATENATE(_xlfn.XLOOKUP(C1722,Clientes[ID_Cliente],Clientes[Provincia]),", Argentina")</f>
        <v>Neuquén, Argentina</v>
      </c>
      <c r="M1722" s="20" t="str">
        <f t="array" ref="M1722">_xlfn.XLOOKUP(F1722,Metodos_De_Pago[ID_Metodo],Metodos_De_Pago[Metodo])</f>
        <v>Mercado Pago</v>
      </c>
      <c r="N1722" s="20" t="str">
        <f t="shared" si="2"/>
        <v>2024 06</v>
      </c>
    </row>
    <row r="1723" ht="22.5" customHeight="1">
      <c r="A1723" s="12">
        <f>IFERROR(__xludf.DUMMYFUNCTION("""COMPUTED_VALUE"""),1954.0)</f>
        <v>1954</v>
      </c>
      <c r="B1723" s="13">
        <f>IFERROR(__xludf.DUMMYFUNCTION("""COMPUTED_VALUE"""),45463.0)</f>
        <v>45463</v>
      </c>
      <c r="C1723" s="12">
        <f>IFERROR(__xludf.DUMMYFUNCTION("""COMPUTED_VALUE"""),120.0)</f>
        <v>120</v>
      </c>
      <c r="D1723" s="12">
        <f>IFERROR(__xludf.DUMMYFUNCTION("""COMPUTED_VALUE"""),17.0)</f>
        <v>17</v>
      </c>
      <c r="E1723" s="12">
        <f>IFERROR(__xludf.DUMMYFUNCTION("""COMPUTED_VALUE"""),4.0)</f>
        <v>4</v>
      </c>
      <c r="F1723" s="12">
        <f>IFERROR(__xludf.DUMMYFUNCTION("""COMPUTED_VALUE"""),5.0)</f>
        <v>5</v>
      </c>
      <c r="G1723" s="15" t="str">
        <f>IFERROR(__xludf.DUMMYFUNCTION("""COMPUTED_VALUE"""),"Completa")</f>
        <v>Completa</v>
      </c>
      <c r="H1723" s="16" t="str">
        <f t="array" ref="H1723">_xlfn.XLOOKUP(D1723,Productos[ID_Producto],Productos[Nombre_Producto])</f>
        <v>Manzanas</v>
      </c>
      <c r="I1723" s="17">
        <f t="array" ref="I1723">_xlfn.XLOOKUP(D1723,Productos[ID_Producto],Productos[Precio_Unitario])</f>
        <v>6.54</v>
      </c>
      <c r="J1723" s="17">
        <f t="shared" si="1"/>
        <v>26.16</v>
      </c>
      <c r="K1723" s="16" t="str">
        <f t="array" ref="K1723">_xlfn.XLOOKUP(C1723,Clientes[ID_Cliente],Clientes[Provincia])</f>
        <v>Buenos Aires</v>
      </c>
      <c r="L1723" s="16" t="str">
        <f t="array" ref="L1723">CONCATENATE(_xlfn.XLOOKUP(C1723,Clientes[ID_Cliente],Clientes[Provincia]),", Argentina")</f>
        <v>Buenos Aires, Argentina</v>
      </c>
      <c r="M1723" s="20" t="str">
        <f t="array" ref="M1723">_xlfn.XLOOKUP(F1723,Metodos_De_Pago[ID_Metodo],Metodos_De_Pago[Metodo])</f>
        <v>Transferencia</v>
      </c>
      <c r="N1723" s="20" t="str">
        <f t="shared" si="2"/>
        <v>2024 06</v>
      </c>
    </row>
    <row r="1724" ht="22.5" customHeight="1">
      <c r="A1724" s="12">
        <f>IFERROR(__xludf.DUMMYFUNCTION("""COMPUTED_VALUE"""),2636.0)</f>
        <v>2636</v>
      </c>
      <c r="B1724" s="13">
        <f>IFERROR(__xludf.DUMMYFUNCTION("""COMPUTED_VALUE"""),45463.0)</f>
        <v>45463</v>
      </c>
      <c r="C1724" s="12">
        <f>IFERROR(__xludf.DUMMYFUNCTION("""COMPUTED_VALUE"""),88.0)</f>
        <v>88</v>
      </c>
      <c r="D1724" s="12">
        <f>IFERROR(__xludf.DUMMYFUNCTION("""COMPUTED_VALUE"""),19.0)</f>
        <v>19</v>
      </c>
      <c r="E1724" s="12">
        <f>IFERROR(__xludf.DUMMYFUNCTION("""COMPUTED_VALUE"""),4.0)</f>
        <v>4</v>
      </c>
      <c r="F1724" s="12">
        <f>IFERROR(__xludf.DUMMYFUNCTION("""COMPUTED_VALUE"""),3.0)</f>
        <v>3</v>
      </c>
      <c r="G1724" s="15" t="str">
        <f>IFERROR(__xludf.DUMMYFUNCTION("""COMPUTED_VALUE"""),"Completa")</f>
        <v>Completa</v>
      </c>
      <c r="H1724" s="16" t="str">
        <f t="array" ref="H1724">_xlfn.XLOOKUP(D1724,Productos[ID_Producto],Productos[Nombre_Producto])</f>
        <v>Tomates</v>
      </c>
      <c r="I1724" s="17">
        <f t="array" ref="I1724">_xlfn.XLOOKUP(D1724,Productos[ID_Producto],Productos[Precio_Unitario])</f>
        <v>6.54</v>
      </c>
      <c r="J1724" s="17">
        <f t="shared" si="1"/>
        <v>26.16</v>
      </c>
      <c r="K1724" s="16" t="str">
        <f t="array" ref="K1724">_xlfn.XLOOKUP(C1724,Clientes[ID_Cliente],Clientes[Provincia])</f>
        <v>Neuquén</v>
      </c>
      <c r="L1724" s="16" t="str">
        <f t="array" ref="L1724">CONCATENATE(_xlfn.XLOOKUP(C1724,Clientes[ID_Cliente],Clientes[Provincia]),", Argentina")</f>
        <v>Neuquén, Argentina</v>
      </c>
      <c r="M1724" s="20" t="str">
        <f t="array" ref="M1724">_xlfn.XLOOKUP(F1724,Metodos_De_Pago[ID_Metodo],Metodos_De_Pago[Metodo])</f>
        <v>Tarjeta de Débito</v>
      </c>
      <c r="N1724" s="20" t="str">
        <f t="shared" si="2"/>
        <v>2024 06</v>
      </c>
    </row>
    <row r="1725" ht="22.5" customHeight="1">
      <c r="A1725" s="12">
        <f>IFERROR(__xludf.DUMMYFUNCTION("""COMPUTED_VALUE"""),1987.0)</f>
        <v>1987</v>
      </c>
      <c r="B1725" s="13">
        <f>IFERROR(__xludf.DUMMYFUNCTION("""COMPUTED_VALUE"""),45464.0)</f>
        <v>45464</v>
      </c>
      <c r="C1725" s="12">
        <f>IFERROR(__xludf.DUMMYFUNCTION("""COMPUTED_VALUE"""),90.0)</f>
        <v>90</v>
      </c>
      <c r="D1725" s="12">
        <f>IFERROR(__xludf.DUMMYFUNCTION("""COMPUTED_VALUE"""),15.0)</f>
        <v>15</v>
      </c>
      <c r="E1725" s="12">
        <f>IFERROR(__xludf.DUMMYFUNCTION("""COMPUTED_VALUE"""),4.0)</f>
        <v>4</v>
      </c>
      <c r="F1725" s="12">
        <f>IFERROR(__xludf.DUMMYFUNCTION("""COMPUTED_VALUE"""),4.0)</f>
        <v>4</v>
      </c>
      <c r="G1725" s="15" t="str">
        <f>IFERROR(__xludf.DUMMYFUNCTION("""COMPUTED_VALUE"""),"Completa")</f>
        <v>Completa</v>
      </c>
      <c r="H1725" s="16" t="str">
        <f t="array" ref="H1725">_xlfn.XLOOKUP(D1725,Productos[ID_Producto],Productos[Nombre_Producto])</f>
        <v>Medialunas</v>
      </c>
      <c r="I1725" s="17">
        <f t="array" ref="I1725">_xlfn.XLOOKUP(D1725,Productos[ID_Producto],Productos[Precio_Unitario])</f>
        <v>3.51</v>
      </c>
      <c r="J1725" s="17">
        <f t="shared" si="1"/>
        <v>14.04</v>
      </c>
      <c r="K1725" s="16" t="str">
        <f t="array" ref="K1725">_xlfn.XLOOKUP(C1725,Clientes[ID_Cliente],Clientes[Provincia])</f>
        <v>Buenos Aires</v>
      </c>
      <c r="L1725" s="16" t="str">
        <f t="array" ref="L1725">CONCATENATE(_xlfn.XLOOKUP(C1725,Clientes[ID_Cliente],Clientes[Provincia]),", Argentina")</f>
        <v>Buenos Aires, Argentina</v>
      </c>
      <c r="M1725" s="20" t="str">
        <f t="array" ref="M1725">_xlfn.XLOOKUP(F1725,Metodos_De_Pago[ID_Metodo],Metodos_De_Pago[Metodo])</f>
        <v>Mercado Pago</v>
      </c>
      <c r="N1725" s="20" t="str">
        <f t="shared" si="2"/>
        <v>2024 06</v>
      </c>
    </row>
    <row r="1726" ht="22.5" customHeight="1">
      <c r="A1726" s="12">
        <f>IFERROR(__xludf.DUMMYFUNCTION("""COMPUTED_VALUE"""),2750.0)</f>
        <v>2750</v>
      </c>
      <c r="B1726" s="13">
        <f>IFERROR(__xludf.DUMMYFUNCTION("""COMPUTED_VALUE"""),45464.0)</f>
        <v>45464</v>
      </c>
      <c r="C1726" s="12">
        <f>IFERROR(__xludf.DUMMYFUNCTION("""COMPUTED_VALUE"""),3.0)</f>
        <v>3</v>
      </c>
      <c r="D1726" s="12">
        <f>IFERROR(__xludf.DUMMYFUNCTION("""COMPUTED_VALUE"""),22.0)</f>
        <v>22</v>
      </c>
      <c r="E1726" s="12">
        <f>IFERROR(__xludf.DUMMYFUNCTION("""COMPUTED_VALUE"""),4.0)</f>
        <v>4</v>
      </c>
      <c r="F1726" s="12">
        <f>IFERROR(__xludf.DUMMYFUNCTION("""COMPUTED_VALUE"""),1.0)</f>
        <v>1</v>
      </c>
      <c r="G1726" s="15" t="str">
        <f>IFERROR(__xludf.DUMMYFUNCTION("""COMPUTED_VALUE"""),"Completa")</f>
        <v>Completa</v>
      </c>
      <c r="H1726" s="16" t="str">
        <f t="array" ref="H1726">_xlfn.XLOOKUP(D1726,Productos[ID_Producto],Productos[Nombre_Producto])</f>
        <v>Cebolla</v>
      </c>
      <c r="I1726" s="17">
        <f t="array" ref="I1726">_xlfn.XLOOKUP(D1726,Productos[ID_Producto],Productos[Precio_Unitario])</f>
        <v>4.21</v>
      </c>
      <c r="J1726" s="17">
        <f t="shared" si="1"/>
        <v>16.84</v>
      </c>
      <c r="K1726" s="16" t="str">
        <f t="array" ref="K1726">_xlfn.XLOOKUP(C1726,Clientes[ID_Cliente],Clientes[Provincia])</f>
        <v>Neuquén</v>
      </c>
      <c r="L1726" s="16" t="str">
        <f t="array" ref="L1726">CONCATENATE(_xlfn.XLOOKUP(C1726,Clientes[ID_Cliente],Clientes[Provincia]),", Argentina")</f>
        <v>Neuquén, Argentina</v>
      </c>
      <c r="M1726" s="20" t="str">
        <f t="array" ref="M1726">_xlfn.XLOOKUP(F1726,Metodos_De_Pago[ID_Metodo],Metodos_De_Pago[Metodo])</f>
        <v>Efectivo</v>
      </c>
      <c r="N1726" s="20" t="str">
        <f t="shared" si="2"/>
        <v>2024 06</v>
      </c>
    </row>
    <row r="1727" ht="22.5" customHeight="1">
      <c r="A1727" s="12">
        <f>IFERROR(__xludf.DUMMYFUNCTION("""COMPUTED_VALUE"""),1764.0)</f>
        <v>1764</v>
      </c>
      <c r="B1727" s="13">
        <f>IFERROR(__xludf.DUMMYFUNCTION("""COMPUTED_VALUE"""),45465.0)</f>
        <v>45465</v>
      </c>
      <c r="C1727" s="12">
        <f>IFERROR(__xludf.DUMMYFUNCTION("""COMPUTED_VALUE"""),268.0)</f>
        <v>268</v>
      </c>
      <c r="D1727" s="12">
        <f>IFERROR(__xludf.DUMMYFUNCTION("""COMPUTED_VALUE"""),7.0)</f>
        <v>7</v>
      </c>
      <c r="E1727" s="12">
        <f>IFERROR(__xludf.DUMMYFUNCTION("""COMPUTED_VALUE"""),4.0)</f>
        <v>4</v>
      </c>
      <c r="F1727" s="12">
        <f>IFERROR(__xludf.DUMMYFUNCTION("""COMPUTED_VALUE"""),4.0)</f>
        <v>4</v>
      </c>
      <c r="G1727" s="15" t="str">
        <f>IFERROR(__xludf.DUMMYFUNCTION("""COMPUTED_VALUE"""),"Completa")</f>
        <v>Completa</v>
      </c>
      <c r="H1727" s="16" t="str">
        <f t="array" ref="H1727">_xlfn.XLOOKUP(D1727,Productos[ID_Producto],Productos[Nombre_Producto])</f>
        <v>Chorizo</v>
      </c>
      <c r="I1727" s="17">
        <f t="array" ref="I1727">_xlfn.XLOOKUP(D1727,Productos[ID_Producto],Productos[Precio_Unitario])</f>
        <v>11.25</v>
      </c>
      <c r="J1727" s="17">
        <f t="shared" si="1"/>
        <v>45</v>
      </c>
      <c r="K1727" s="16" t="str">
        <f t="array" ref="K1727">_xlfn.XLOOKUP(C1727,Clientes[ID_Cliente],Clientes[Provincia])</f>
        <v>Salta</v>
      </c>
      <c r="L1727" s="16" t="str">
        <f t="array" ref="L1727">CONCATENATE(_xlfn.XLOOKUP(C1727,Clientes[ID_Cliente],Clientes[Provincia]),", Argentina")</f>
        <v>Salta, Argentina</v>
      </c>
      <c r="M1727" s="20" t="str">
        <f t="array" ref="M1727">_xlfn.XLOOKUP(F1727,Metodos_De_Pago[ID_Metodo],Metodos_De_Pago[Metodo])</f>
        <v>Mercado Pago</v>
      </c>
      <c r="N1727" s="20" t="str">
        <f t="shared" si="2"/>
        <v>2024 06</v>
      </c>
    </row>
    <row r="1728" ht="22.5" customHeight="1">
      <c r="A1728" s="12">
        <f>IFERROR(__xludf.DUMMYFUNCTION("""COMPUTED_VALUE"""),216.0)</f>
        <v>216</v>
      </c>
      <c r="B1728" s="13">
        <f>IFERROR(__xludf.DUMMYFUNCTION("""COMPUTED_VALUE"""),45466.0)</f>
        <v>45466</v>
      </c>
      <c r="C1728" s="12">
        <f>IFERROR(__xludf.DUMMYFUNCTION("""COMPUTED_VALUE"""),270.0)</f>
        <v>270</v>
      </c>
      <c r="D1728" s="12">
        <f>IFERROR(__xludf.DUMMYFUNCTION("""COMPUTED_VALUE"""),8.0)</f>
        <v>8</v>
      </c>
      <c r="E1728" s="12">
        <f>IFERROR(__xludf.DUMMYFUNCTION("""COMPUTED_VALUE"""),4.0)</f>
        <v>4</v>
      </c>
      <c r="F1728" s="12">
        <f>IFERROR(__xludf.DUMMYFUNCTION("""COMPUTED_VALUE"""),4.0)</f>
        <v>4</v>
      </c>
      <c r="G1728" s="15" t="str">
        <f>IFERROR(__xludf.DUMMYFUNCTION("""COMPUTED_VALUE"""),"Completa")</f>
        <v>Completa</v>
      </c>
      <c r="H1728" s="16" t="str">
        <f t="array" ref="H1728">_xlfn.XLOOKUP(D1728,Productos[ID_Producto],Productos[Nombre_Producto])</f>
        <v>Milanesa</v>
      </c>
      <c r="I1728" s="17">
        <f t="array" ref="I1728">_xlfn.XLOOKUP(D1728,Productos[ID_Producto],Productos[Precio_Unitario])</f>
        <v>16.21</v>
      </c>
      <c r="J1728" s="17">
        <f t="shared" si="1"/>
        <v>64.84</v>
      </c>
      <c r="K1728" s="16" t="str">
        <f t="array" ref="K1728">_xlfn.XLOOKUP(C1728,Clientes[ID_Cliente],Clientes[Provincia])</f>
        <v>San Luis</v>
      </c>
      <c r="L1728" s="16" t="str">
        <f t="array" ref="L1728">CONCATENATE(_xlfn.XLOOKUP(C1728,Clientes[ID_Cliente],Clientes[Provincia]),", Argentina")</f>
        <v>San Luis, Argentina</v>
      </c>
      <c r="M1728" s="20" t="str">
        <f t="array" ref="M1728">_xlfn.XLOOKUP(F1728,Metodos_De_Pago[ID_Metodo],Metodos_De_Pago[Metodo])</f>
        <v>Mercado Pago</v>
      </c>
      <c r="N1728" s="20" t="str">
        <f t="shared" si="2"/>
        <v>2024 06</v>
      </c>
    </row>
    <row r="1729" ht="22.5" customHeight="1">
      <c r="A1729" s="12">
        <f>IFERROR(__xludf.DUMMYFUNCTION("""COMPUTED_VALUE"""),445.0)</f>
        <v>445</v>
      </c>
      <c r="B1729" s="13">
        <f>IFERROR(__xludf.DUMMYFUNCTION("""COMPUTED_VALUE"""),45467.0)</f>
        <v>45467</v>
      </c>
      <c r="C1729" s="12">
        <f>IFERROR(__xludf.DUMMYFUNCTION("""COMPUTED_VALUE"""),296.0)</f>
        <v>296</v>
      </c>
      <c r="D1729" s="12">
        <f>IFERROR(__xludf.DUMMYFUNCTION("""COMPUTED_VALUE"""),24.0)</f>
        <v>24</v>
      </c>
      <c r="E1729" s="12">
        <f>IFERROR(__xludf.DUMMYFUNCTION("""COMPUTED_VALUE"""),4.0)</f>
        <v>4</v>
      </c>
      <c r="F1729" s="12">
        <f>IFERROR(__xludf.DUMMYFUNCTION("""COMPUTED_VALUE"""),4.0)</f>
        <v>4</v>
      </c>
      <c r="G1729" s="15" t="str">
        <f>IFERROR(__xludf.DUMMYFUNCTION("""COMPUTED_VALUE"""),"Completa")</f>
        <v>Completa</v>
      </c>
      <c r="H1729" s="16" t="str">
        <f t="array" ref="H1729">_xlfn.XLOOKUP(D1729,Productos[ID_Producto],Productos[Nombre_Producto])</f>
        <v>Empanadas</v>
      </c>
      <c r="I1729" s="17">
        <f t="array" ref="I1729">_xlfn.XLOOKUP(D1729,Productos[ID_Producto],Productos[Precio_Unitario])</f>
        <v>13.54</v>
      </c>
      <c r="J1729" s="17">
        <f t="shared" si="1"/>
        <v>54.16</v>
      </c>
      <c r="K1729" s="16" t="str">
        <f t="array" ref="K1729">_xlfn.XLOOKUP(C1729,Clientes[ID_Cliente],Clientes[Provincia])</f>
        <v>Buenos Aires</v>
      </c>
      <c r="L1729" s="16" t="str">
        <f t="array" ref="L1729">CONCATENATE(_xlfn.XLOOKUP(C1729,Clientes[ID_Cliente],Clientes[Provincia]),", Argentina")</f>
        <v>Buenos Aires, Argentina</v>
      </c>
      <c r="M1729" s="20" t="str">
        <f t="array" ref="M1729">_xlfn.XLOOKUP(F1729,Metodos_De_Pago[ID_Metodo],Metodos_De_Pago[Metodo])</f>
        <v>Mercado Pago</v>
      </c>
      <c r="N1729" s="20" t="str">
        <f t="shared" si="2"/>
        <v>2024 06</v>
      </c>
    </row>
    <row r="1730" ht="22.5" customHeight="1">
      <c r="A1730" s="12">
        <f>IFERROR(__xludf.DUMMYFUNCTION("""COMPUTED_VALUE"""),192.0)</f>
        <v>192</v>
      </c>
      <c r="B1730" s="13">
        <f>IFERROR(__xludf.DUMMYFUNCTION("""COMPUTED_VALUE"""),45468.0)</f>
        <v>45468</v>
      </c>
      <c r="C1730" s="12">
        <f>IFERROR(__xludf.DUMMYFUNCTION("""COMPUTED_VALUE"""),97.0)</f>
        <v>97</v>
      </c>
      <c r="D1730" s="12">
        <f>IFERROR(__xludf.DUMMYFUNCTION("""COMPUTED_VALUE"""),27.0)</f>
        <v>27</v>
      </c>
      <c r="E1730" s="12">
        <f>IFERROR(__xludf.DUMMYFUNCTION("""COMPUTED_VALUE"""),4.0)</f>
        <v>4</v>
      </c>
      <c r="F1730" s="12">
        <f>IFERROR(__xludf.DUMMYFUNCTION("""COMPUTED_VALUE"""),5.0)</f>
        <v>5</v>
      </c>
      <c r="G1730" s="15" t="str">
        <f>IFERROR(__xludf.DUMMYFUNCTION("""COMPUTED_VALUE"""),"Completa")</f>
        <v>Completa</v>
      </c>
      <c r="H1730" s="16" t="str">
        <f t="array" ref="H1730">_xlfn.XLOOKUP(D1730,Productos[ID_Producto],Productos[Nombre_Producto])</f>
        <v>Agua mineral</v>
      </c>
      <c r="I1730" s="17">
        <f t="array" ref="I1730">_xlfn.XLOOKUP(D1730,Productos[ID_Producto],Productos[Precio_Unitario])</f>
        <v>6.21</v>
      </c>
      <c r="J1730" s="17">
        <f t="shared" si="1"/>
        <v>24.84</v>
      </c>
      <c r="K1730" s="16" t="str">
        <f t="array" ref="K1730">_xlfn.XLOOKUP(C1730,Clientes[ID_Cliente],Clientes[Provincia])</f>
        <v>Buenos Aires</v>
      </c>
      <c r="L1730" s="16" t="str">
        <f t="array" ref="L1730">CONCATENATE(_xlfn.XLOOKUP(C1730,Clientes[ID_Cliente],Clientes[Provincia]),", Argentina")</f>
        <v>Buenos Aires, Argentina</v>
      </c>
      <c r="M1730" s="20" t="str">
        <f t="array" ref="M1730">_xlfn.XLOOKUP(F1730,Metodos_De_Pago[ID_Metodo],Metodos_De_Pago[Metodo])</f>
        <v>Transferencia</v>
      </c>
      <c r="N1730" s="20" t="str">
        <f t="shared" si="2"/>
        <v>2024 06</v>
      </c>
    </row>
    <row r="1731" ht="22.5" customHeight="1">
      <c r="A1731" s="12">
        <f>IFERROR(__xludf.DUMMYFUNCTION("""COMPUTED_VALUE"""),1835.0)</f>
        <v>1835</v>
      </c>
      <c r="B1731" s="13">
        <f>IFERROR(__xludf.DUMMYFUNCTION("""COMPUTED_VALUE"""),45468.0)</f>
        <v>45468</v>
      </c>
      <c r="C1731" s="12">
        <f>IFERROR(__xludf.DUMMYFUNCTION("""COMPUTED_VALUE"""),100.0)</f>
        <v>100</v>
      </c>
      <c r="D1731" s="12">
        <f>IFERROR(__xludf.DUMMYFUNCTION("""COMPUTED_VALUE"""),26.0)</f>
        <v>26</v>
      </c>
      <c r="E1731" s="12">
        <f>IFERROR(__xludf.DUMMYFUNCTION("""COMPUTED_VALUE"""),4.0)</f>
        <v>4</v>
      </c>
      <c r="F1731" s="12">
        <f>IFERROR(__xludf.DUMMYFUNCTION("""COMPUTED_VALUE"""),5.0)</f>
        <v>5</v>
      </c>
      <c r="G1731" s="15" t="str">
        <f>IFERROR(__xludf.DUMMYFUNCTION("""COMPUTED_VALUE"""),"Completa")</f>
        <v>Completa</v>
      </c>
      <c r="H1731" s="16" t="str">
        <f t="array" ref="H1731">_xlfn.XLOOKUP(D1731,Productos[ID_Producto],Productos[Nombre_Producto])</f>
        <v>Hamburgesas congeladas</v>
      </c>
      <c r="I1731" s="17">
        <f t="array" ref="I1731">_xlfn.XLOOKUP(D1731,Productos[ID_Producto],Productos[Precio_Unitario])</f>
        <v>9.54</v>
      </c>
      <c r="J1731" s="17">
        <f t="shared" si="1"/>
        <v>38.16</v>
      </c>
      <c r="K1731" s="16" t="str">
        <f t="array" ref="K1731">_xlfn.XLOOKUP(C1731,Clientes[ID_Cliente],Clientes[Provincia])</f>
        <v>Chaco</v>
      </c>
      <c r="L1731" s="16" t="str">
        <f t="array" ref="L1731">CONCATENATE(_xlfn.XLOOKUP(C1731,Clientes[ID_Cliente],Clientes[Provincia]),", Argentina")</f>
        <v>Chaco, Argentina</v>
      </c>
      <c r="M1731" s="20" t="str">
        <f t="array" ref="M1731">_xlfn.XLOOKUP(F1731,Metodos_De_Pago[ID_Metodo],Metodos_De_Pago[Metodo])</f>
        <v>Transferencia</v>
      </c>
      <c r="N1731" s="20" t="str">
        <f t="shared" si="2"/>
        <v>2024 06</v>
      </c>
    </row>
    <row r="1732" ht="22.5" customHeight="1">
      <c r="A1732" s="12">
        <f>IFERROR(__xludf.DUMMYFUNCTION("""COMPUTED_VALUE"""),2942.0)</f>
        <v>2942</v>
      </c>
      <c r="B1732" s="13">
        <f>IFERROR(__xludf.DUMMYFUNCTION("""COMPUTED_VALUE"""),45468.0)</f>
        <v>45468</v>
      </c>
      <c r="C1732" s="12">
        <f>IFERROR(__xludf.DUMMYFUNCTION("""COMPUTED_VALUE"""),215.0)</f>
        <v>215</v>
      </c>
      <c r="D1732" s="12">
        <f>IFERROR(__xludf.DUMMYFUNCTION("""COMPUTED_VALUE"""),28.0)</f>
        <v>28</v>
      </c>
      <c r="E1732" s="12">
        <f>IFERROR(__xludf.DUMMYFUNCTION("""COMPUTED_VALUE"""),4.0)</f>
        <v>4</v>
      </c>
      <c r="F1732" s="12">
        <f>IFERROR(__xludf.DUMMYFUNCTION("""COMPUTED_VALUE"""),3.0)</f>
        <v>3</v>
      </c>
      <c r="G1732" s="15" t="str">
        <f>IFERROR(__xludf.DUMMYFUNCTION("""COMPUTED_VALUE"""),"Completa")</f>
        <v>Completa</v>
      </c>
      <c r="H1732" s="16" t="str">
        <f t="array" ref="H1732">_xlfn.XLOOKUP(D1732,Productos[ID_Producto],Productos[Nombre_Producto])</f>
        <v>Jugos de frutas</v>
      </c>
      <c r="I1732" s="17">
        <f t="array" ref="I1732">_xlfn.XLOOKUP(D1732,Productos[ID_Producto],Productos[Precio_Unitario])</f>
        <v>9.45</v>
      </c>
      <c r="J1732" s="17">
        <f t="shared" si="1"/>
        <v>37.8</v>
      </c>
      <c r="K1732" s="16" t="str">
        <f t="array" ref="K1732">_xlfn.XLOOKUP(C1732,Clientes[ID_Cliente],Clientes[Provincia])</f>
        <v>Chaco</v>
      </c>
      <c r="L1732" s="16" t="str">
        <f t="array" ref="L1732">CONCATENATE(_xlfn.XLOOKUP(C1732,Clientes[ID_Cliente],Clientes[Provincia]),", Argentina")</f>
        <v>Chaco, Argentina</v>
      </c>
      <c r="M1732" s="20" t="str">
        <f t="array" ref="M1732">_xlfn.XLOOKUP(F1732,Metodos_De_Pago[ID_Metodo],Metodos_De_Pago[Metodo])</f>
        <v>Tarjeta de Débito</v>
      </c>
      <c r="N1732" s="20" t="str">
        <f t="shared" si="2"/>
        <v>2024 06</v>
      </c>
    </row>
    <row r="1733" ht="22.5" customHeight="1">
      <c r="A1733" s="12">
        <f>IFERROR(__xludf.DUMMYFUNCTION("""COMPUTED_VALUE"""),2014.0)</f>
        <v>2014</v>
      </c>
      <c r="B1733" s="13">
        <f>IFERROR(__xludf.DUMMYFUNCTION("""COMPUTED_VALUE"""),45469.0)</f>
        <v>45469</v>
      </c>
      <c r="C1733" s="12">
        <f>IFERROR(__xludf.DUMMYFUNCTION("""COMPUTED_VALUE"""),229.0)</f>
        <v>229</v>
      </c>
      <c r="D1733" s="12">
        <f>IFERROR(__xludf.DUMMYFUNCTION("""COMPUTED_VALUE"""),35.0)</f>
        <v>35</v>
      </c>
      <c r="E1733" s="12">
        <f>IFERROR(__xludf.DUMMYFUNCTION("""COMPUTED_VALUE"""),4.0)</f>
        <v>4</v>
      </c>
      <c r="F1733" s="12">
        <f>IFERROR(__xludf.DUMMYFUNCTION("""COMPUTED_VALUE"""),2.0)</f>
        <v>2</v>
      </c>
      <c r="G1733" s="15" t="str">
        <f>IFERROR(__xludf.DUMMYFUNCTION("""COMPUTED_VALUE"""),"Completa")</f>
        <v>Completa</v>
      </c>
      <c r="H1733" s="16" t="str">
        <f t="array" ref="H1733">_xlfn.XLOOKUP(D1733,Productos[ID_Producto],Productos[Nombre_Producto])</f>
        <v>Arroz</v>
      </c>
      <c r="I1733" s="17">
        <f t="array" ref="I1733">_xlfn.XLOOKUP(D1733,Productos[ID_Producto],Productos[Precio_Unitario])</f>
        <v>4.25</v>
      </c>
      <c r="J1733" s="17">
        <f t="shared" si="1"/>
        <v>17</v>
      </c>
      <c r="K1733" s="16" t="str">
        <f t="array" ref="K1733">_xlfn.XLOOKUP(C1733,Clientes[ID_Cliente],Clientes[Provincia])</f>
        <v>San Luis</v>
      </c>
      <c r="L1733" s="16" t="str">
        <f t="array" ref="L1733">CONCATENATE(_xlfn.XLOOKUP(C1733,Clientes[ID_Cliente],Clientes[Provincia]),", Argentina")</f>
        <v>San Luis, Argentina</v>
      </c>
      <c r="M1733" s="20" t="str">
        <f t="array" ref="M1733">_xlfn.XLOOKUP(F1733,Metodos_De_Pago[ID_Metodo],Metodos_De_Pago[Metodo])</f>
        <v>Tarjeta de Crédito</v>
      </c>
      <c r="N1733" s="20" t="str">
        <f t="shared" si="2"/>
        <v>2024 06</v>
      </c>
    </row>
    <row r="1734" ht="22.5" customHeight="1">
      <c r="A1734" s="12">
        <f>IFERROR(__xludf.DUMMYFUNCTION("""COMPUTED_VALUE"""),2516.0)</f>
        <v>2516</v>
      </c>
      <c r="B1734" s="13">
        <f>IFERROR(__xludf.DUMMYFUNCTION("""COMPUTED_VALUE"""),45470.0)</f>
        <v>45470</v>
      </c>
      <c r="C1734" s="12">
        <f>IFERROR(__xludf.DUMMYFUNCTION("""COMPUTED_VALUE"""),268.0)</f>
        <v>268</v>
      </c>
      <c r="D1734" s="12">
        <f>IFERROR(__xludf.DUMMYFUNCTION("""COMPUTED_VALUE"""),17.0)</f>
        <v>17</v>
      </c>
      <c r="E1734" s="12">
        <f>IFERROR(__xludf.DUMMYFUNCTION("""COMPUTED_VALUE"""),4.0)</f>
        <v>4</v>
      </c>
      <c r="F1734" s="12">
        <f>IFERROR(__xludf.DUMMYFUNCTION("""COMPUTED_VALUE"""),5.0)</f>
        <v>5</v>
      </c>
      <c r="G1734" s="15" t="str">
        <f>IFERROR(__xludf.DUMMYFUNCTION("""COMPUTED_VALUE"""),"Completa")</f>
        <v>Completa</v>
      </c>
      <c r="H1734" s="16" t="str">
        <f t="array" ref="H1734">_xlfn.XLOOKUP(D1734,Productos[ID_Producto],Productos[Nombre_Producto])</f>
        <v>Manzanas</v>
      </c>
      <c r="I1734" s="17">
        <f t="array" ref="I1734">_xlfn.XLOOKUP(D1734,Productos[ID_Producto],Productos[Precio_Unitario])</f>
        <v>6.54</v>
      </c>
      <c r="J1734" s="17">
        <f t="shared" si="1"/>
        <v>26.16</v>
      </c>
      <c r="K1734" s="16" t="str">
        <f t="array" ref="K1734">_xlfn.XLOOKUP(C1734,Clientes[ID_Cliente],Clientes[Provincia])</f>
        <v>Salta</v>
      </c>
      <c r="L1734" s="16" t="str">
        <f t="array" ref="L1734">CONCATENATE(_xlfn.XLOOKUP(C1734,Clientes[ID_Cliente],Clientes[Provincia]),", Argentina")</f>
        <v>Salta, Argentina</v>
      </c>
      <c r="M1734" s="20" t="str">
        <f t="array" ref="M1734">_xlfn.XLOOKUP(F1734,Metodos_De_Pago[ID_Metodo],Metodos_De_Pago[Metodo])</f>
        <v>Transferencia</v>
      </c>
      <c r="N1734" s="20" t="str">
        <f t="shared" si="2"/>
        <v>2024 06</v>
      </c>
    </row>
    <row r="1735" ht="22.5" customHeight="1">
      <c r="A1735" s="12">
        <f>IFERROR(__xludf.DUMMYFUNCTION("""COMPUTED_VALUE"""),819.0)</f>
        <v>819</v>
      </c>
      <c r="B1735" s="13">
        <f>IFERROR(__xludf.DUMMYFUNCTION("""COMPUTED_VALUE"""),45471.0)</f>
        <v>45471</v>
      </c>
      <c r="C1735" s="12">
        <f>IFERROR(__xludf.DUMMYFUNCTION("""COMPUTED_VALUE"""),252.0)</f>
        <v>252</v>
      </c>
      <c r="D1735" s="12">
        <f>IFERROR(__xludf.DUMMYFUNCTION("""COMPUTED_VALUE"""),2.0)</f>
        <v>2</v>
      </c>
      <c r="E1735" s="12">
        <f>IFERROR(__xludf.DUMMYFUNCTION("""COMPUTED_VALUE"""),4.0)</f>
        <v>4</v>
      </c>
      <c r="F1735" s="12">
        <f>IFERROR(__xludf.DUMMYFUNCTION("""COMPUTED_VALUE"""),1.0)</f>
        <v>1</v>
      </c>
      <c r="G1735" s="15" t="str">
        <f>IFERROR(__xludf.DUMMYFUNCTION("""COMPUTED_VALUE"""),"Completa")</f>
        <v>Completa</v>
      </c>
      <c r="H1735" s="16" t="str">
        <f t="array" ref="H1735">_xlfn.XLOOKUP(D1735,Productos[ID_Producto],Productos[Nombre_Producto])</f>
        <v>Yogur</v>
      </c>
      <c r="I1735" s="17">
        <f t="array" ref="I1735">_xlfn.XLOOKUP(D1735,Productos[ID_Producto],Productos[Precio_Unitario])</f>
        <v>5.21</v>
      </c>
      <c r="J1735" s="17">
        <f t="shared" si="1"/>
        <v>20.84</v>
      </c>
      <c r="K1735" s="16" t="str">
        <f t="array" ref="K1735">_xlfn.XLOOKUP(C1735,Clientes[ID_Cliente],Clientes[Provincia])</f>
        <v>Neuquén</v>
      </c>
      <c r="L1735" s="16" t="str">
        <f t="array" ref="L1735">CONCATENATE(_xlfn.XLOOKUP(C1735,Clientes[ID_Cliente],Clientes[Provincia]),", Argentina")</f>
        <v>Neuquén, Argentina</v>
      </c>
      <c r="M1735" s="20" t="str">
        <f t="array" ref="M1735">_xlfn.XLOOKUP(F1735,Metodos_De_Pago[ID_Metodo],Metodos_De_Pago[Metodo])</f>
        <v>Efectivo</v>
      </c>
      <c r="N1735" s="20" t="str">
        <f t="shared" si="2"/>
        <v>2024 06</v>
      </c>
    </row>
    <row r="1736" ht="22.5" customHeight="1">
      <c r="A1736" s="12">
        <f>IFERROR(__xludf.DUMMYFUNCTION("""COMPUTED_VALUE"""),1980.0)</f>
        <v>1980</v>
      </c>
      <c r="B1736" s="13">
        <f>IFERROR(__xludf.DUMMYFUNCTION("""COMPUTED_VALUE"""),45471.0)</f>
        <v>45471</v>
      </c>
      <c r="C1736" s="12">
        <f>IFERROR(__xludf.DUMMYFUNCTION("""COMPUTED_VALUE"""),160.0)</f>
        <v>160</v>
      </c>
      <c r="D1736" s="12">
        <f>IFERROR(__xludf.DUMMYFUNCTION("""COMPUTED_VALUE"""),30.0)</f>
        <v>30</v>
      </c>
      <c r="E1736" s="12">
        <f>IFERROR(__xludf.DUMMYFUNCTION("""COMPUTED_VALUE"""),4.0)</f>
        <v>4</v>
      </c>
      <c r="F1736" s="12">
        <f>IFERROR(__xludf.DUMMYFUNCTION("""COMPUTED_VALUE"""),5.0)</f>
        <v>5</v>
      </c>
      <c r="G1736" s="15" t="str">
        <f>IFERROR(__xludf.DUMMYFUNCTION("""COMPUTED_VALUE"""),"Pendiente")</f>
        <v>Pendiente</v>
      </c>
      <c r="H1736" s="16" t="str">
        <f t="array" ref="H1736">_xlfn.XLOOKUP(D1736,Productos[ID_Producto],Productos[Nombre_Producto])</f>
        <v>Vino tinto</v>
      </c>
      <c r="I1736" s="17">
        <f t="array" ref="I1736">_xlfn.XLOOKUP(D1736,Productos[ID_Producto],Productos[Precio_Unitario])</f>
        <v>13.54</v>
      </c>
      <c r="J1736" s="17">
        <f t="shared" si="1"/>
        <v>54.16</v>
      </c>
      <c r="K1736" s="16" t="str">
        <f t="array" ref="K1736">_xlfn.XLOOKUP(C1736,Clientes[ID_Cliente],Clientes[Provincia])</f>
        <v>Córdoba</v>
      </c>
      <c r="L1736" s="16" t="str">
        <f t="array" ref="L1736">CONCATENATE(_xlfn.XLOOKUP(C1736,Clientes[ID_Cliente],Clientes[Provincia]),", Argentina")</f>
        <v>Córdoba, Argentina</v>
      </c>
      <c r="M1736" s="20" t="str">
        <f t="array" ref="M1736">_xlfn.XLOOKUP(F1736,Metodos_De_Pago[ID_Metodo],Metodos_De_Pago[Metodo])</f>
        <v>Transferencia</v>
      </c>
      <c r="N1736" s="20" t="str">
        <f t="shared" si="2"/>
        <v>2024 06</v>
      </c>
    </row>
    <row r="1737" ht="22.5" customHeight="1">
      <c r="A1737" s="12">
        <f>IFERROR(__xludf.DUMMYFUNCTION("""COMPUTED_VALUE"""),2330.0)</f>
        <v>2330</v>
      </c>
      <c r="B1737" s="13">
        <f>IFERROR(__xludf.DUMMYFUNCTION("""COMPUTED_VALUE"""),45471.0)</f>
        <v>45471</v>
      </c>
      <c r="C1737" s="12">
        <f>IFERROR(__xludf.DUMMYFUNCTION("""COMPUTED_VALUE"""),254.0)</f>
        <v>254</v>
      </c>
      <c r="D1737" s="12">
        <f>IFERROR(__xludf.DUMMYFUNCTION("""COMPUTED_VALUE"""),12.0)</f>
        <v>12</v>
      </c>
      <c r="E1737" s="12">
        <f>IFERROR(__xludf.DUMMYFUNCTION("""COMPUTED_VALUE"""),4.0)</f>
        <v>4</v>
      </c>
      <c r="F1737" s="12">
        <f>IFERROR(__xludf.DUMMYFUNCTION("""COMPUTED_VALUE"""),3.0)</f>
        <v>3</v>
      </c>
      <c r="G1737" s="15" t="str">
        <f>IFERROR(__xludf.DUMMYFUNCTION("""COMPUTED_VALUE"""),"Completa")</f>
        <v>Completa</v>
      </c>
      <c r="H1737" s="16" t="str">
        <f t="array" ref="H1737">_xlfn.XLOOKUP(D1737,Productos[ID_Producto],Productos[Nombre_Producto])</f>
        <v>Pan francés</v>
      </c>
      <c r="I1737" s="17">
        <f t="array" ref="I1737">_xlfn.XLOOKUP(D1737,Productos[ID_Producto],Productos[Precio_Unitario])</f>
        <v>8.12</v>
      </c>
      <c r="J1737" s="17">
        <f t="shared" si="1"/>
        <v>32.48</v>
      </c>
      <c r="K1737" s="16" t="str">
        <f t="array" ref="K1737">_xlfn.XLOOKUP(C1737,Clientes[ID_Cliente],Clientes[Provincia])</f>
        <v>Neuquén</v>
      </c>
      <c r="L1737" s="16" t="str">
        <f t="array" ref="L1737">CONCATENATE(_xlfn.XLOOKUP(C1737,Clientes[ID_Cliente],Clientes[Provincia]),", Argentina")</f>
        <v>Neuquén, Argentina</v>
      </c>
      <c r="M1737" s="20" t="str">
        <f t="array" ref="M1737">_xlfn.XLOOKUP(F1737,Metodos_De_Pago[ID_Metodo],Metodos_De_Pago[Metodo])</f>
        <v>Tarjeta de Débito</v>
      </c>
      <c r="N1737" s="20" t="str">
        <f t="shared" si="2"/>
        <v>2024 06</v>
      </c>
    </row>
    <row r="1738" ht="22.5" customHeight="1">
      <c r="A1738" s="12">
        <f>IFERROR(__xludf.DUMMYFUNCTION("""COMPUTED_VALUE"""),754.0)</f>
        <v>754</v>
      </c>
      <c r="B1738" s="13">
        <f>IFERROR(__xludf.DUMMYFUNCTION("""COMPUTED_VALUE"""),45472.0)</f>
        <v>45472</v>
      </c>
      <c r="C1738" s="12">
        <f>IFERROR(__xludf.DUMMYFUNCTION("""COMPUTED_VALUE"""),216.0)</f>
        <v>216</v>
      </c>
      <c r="D1738" s="12">
        <f>IFERROR(__xludf.DUMMYFUNCTION("""COMPUTED_VALUE"""),23.0)</f>
        <v>23</v>
      </c>
      <c r="E1738" s="12">
        <f>IFERROR(__xludf.DUMMYFUNCTION("""COMPUTED_VALUE"""),4.0)</f>
        <v>4</v>
      </c>
      <c r="F1738" s="12">
        <f>IFERROR(__xludf.DUMMYFUNCTION("""COMPUTED_VALUE"""),3.0)</f>
        <v>3</v>
      </c>
      <c r="G1738" s="15" t="str">
        <f>IFERROR(__xludf.DUMMYFUNCTION("""COMPUTED_VALUE"""),"Completa")</f>
        <v>Completa</v>
      </c>
      <c r="H1738" s="16" t="str">
        <f t="array" ref="H1738">_xlfn.XLOOKUP(D1738,Productos[ID_Producto],Productos[Nombre_Producto])</f>
        <v>Papas fritas</v>
      </c>
      <c r="I1738" s="17">
        <f t="array" ref="I1738">_xlfn.XLOOKUP(D1738,Productos[ID_Producto],Productos[Precio_Unitario])</f>
        <v>8.23</v>
      </c>
      <c r="J1738" s="17">
        <f t="shared" si="1"/>
        <v>32.92</v>
      </c>
      <c r="K1738" s="16" t="str">
        <f t="array" ref="K1738">_xlfn.XLOOKUP(C1738,Clientes[ID_Cliente],Clientes[Provincia])</f>
        <v>Córdoba</v>
      </c>
      <c r="L1738" s="16" t="str">
        <f t="array" ref="L1738">CONCATENATE(_xlfn.XLOOKUP(C1738,Clientes[ID_Cliente],Clientes[Provincia]),", Argentina")</f>
        <v>Córdoba, Argentina</v>
      </c>
      <c r="M1738" s="20" t="str">
        <f t="array" ref="M1738">_xlfn.XLOOKUP(F1738,Metodos_De_Pago[ID_Metodo],Metodos_De_Pago[Metodo])</f>
        <v>Tarjeta de Débito</v>
      </c>
      <c r="N1738" s="20" t="str">
        <f t="shared" si="2"/>
        <v>2024 06</v>
      </c>
    </row>
    <row r="1739" ht="22.5" customHeight="1">
      <c r="A1739" s="12">
        <f>IFERROR(__xludf.DUMMYFUNCTION("""COMPUTED_VALUE"""),1384.0)</f>
        <v>1384</v>
      </c>
      <c r="B1739" s="13">
        <f>IFERROR(__xludf.DUMMYFUNCTION("""COMPUTED_VALUE"""),45472.0)</f>
        <v>45472</v>
      </c>
      <c r="C1739" s="12">
        <f>IFERROR(__xludf.DUMMYFUNCTION("""COMPUTED_VALUE"""),62.0)</f>
        <v>62</v>
      </c>
      <c r="D1739" s="12">
        <f>IFERROR(__xludf.DUMMYFUNCTION("""COMPUTED_VALUE"""),30.0)</f>
        <v>30</v>
      </c>
      <c r="E1739" s="12">
        <f>IFERROR(__xludf.DUMMYFUNCTION("""COMPUTED_VALUE"""),4.0)</f>
        <v>4</v>
      </c>
      <c r="F1739" s="12">
        <f>IFERROR(__xludf.DUMMYFUNCTION("""COMPUTED_VALUE"""),3.0)</f>
        <v>3</v>
      </c>
      <c r="G1739" s="15" t="str">
        <f>IFERROR(__xludf.DUMMYFUNCTION("""COMPUTED_VALUE"""),"Completa")</f>
        <v>Completa</v>
      </c>
      <c r="H1739" s="16" t="str">
        <f t="array" ref="H1739">_xlfn.XLOOKUP(D1739,Productos[ID_Producto],Productos[Nombre_Producto])</f>
        <v>Vino tinto</v>
      </c>
      <c r="I1739" s="17">
        <f t="array" ref="I1739">_xlfn.XLOOKUP(D1739,Productos[ID_Producto],Productos[Precio_Unitario])</f>
        <v>13.54</v>
      </c>
      <c r="J1739" s="17">
        <f t="shared" si="1"/>
        <v>54.16</v>
      </c>
      <c r="K1739" s="16" t="str">
        <f t="array" ref="K1739">_xlfn.XLOOKUP(C1739,Clientes[ID_Cliente],Clientes[Provincia])</f>
        <v>Chaco</v>
      </c>
      <c r="L1739" s="16" t="str">
        <f t="array" ref="L1739">CONCATENATE(_xlfn.XLOOKUP(C1739,Clientes[ID_Cliente],Clientes[Provincia]),", Argentina")</f>
        <v>Chaco, Argentina</v>
      </c>
      <c r="M1739" s="20" t="str">
        <f t="array" ref="M1739">_xlfn.XLOOKUP(F1739,Metodos_De_Pago[ID_Metodo],Metodos_De_Pago[Metodo])</f>
        <v>Tarjeta de Débito</v>
      </c>
      <c r="N1739" s="20" t="str">
        <f t="shared" si="2"/>
        <v>2024 06</v>
      </c>
    </row>
    <row r="1740" ht="22.5" customHeight="1">
      <c r="A1740" s="12">
        <f>IFERROR(__xludf.DUMMYFUNCTION("""COMPUTED_VALUE"""),79.0)</f>
        <v>79</v>
      </c>
      <c r="B1740" s="13">
        <f>IFERROR(__xludf.DUMMYFUNCTION("""COMPUTED_VALUE"""),45473.0)</f>
        <v>45473</v>
      </c>
      <c r="C1740" s="12">
        <f>IFERROR(__xludf.DUMMYFUNCTION("""COMPUTED_VALUE"""),133.0)</f>
        <v>133</v>
      </c>
      <c r="D1740" s="12">
        <f>IFERROR(__xludf.DUMMYFUNCTION("""COMPUTED_VALUE"""),24.0)</f>
        <v>24</v>
      </c>
      <c r="E1740" s="12">
        <f>IFERROR(__xludf.DUMMYFUNCTION("""COMPUTED_VALUE"""),4.0)</f>
        <v>4</v>
      </c>
      <c r="F1740" s="12">
        <f>IFERROR(__xludf.DUMMYFUNCTION("""COMPUTED_VALUE"""),4.0)</f>
        <v>4</v>
      </c>
      <c r="G1740" s="15" t="str">
        <f>IFERROR(__xludf.DUMMYFUNCTION("""COMPUTED_VALUE"""),"Pendiente")</f>
        <v>Pendiente</v>
      </c>
      <c r="H1740" s="16" t="str">
        <f t="array" ref="H1740">_xlfn.XLOOKUP(D1740,Productos[ID_Producto],Productos[Nombre_Producto])</f>
        <v>Empanadas</v>
      </c>
      <c r="I1740" s="17">
        <f t="array" ref="I1740">_xlfn.XLOOKUP(D1740,Productos[ID_Producto],Productos[Precio_Unitario])</f>
        <v>13.54</v>
      </c>
      <c r="J1740" s="17">
        <f t="shared" si="1"/>
        <v>54.16</v>
      </c>
      <c r="K1740" s="16" t="str">
        <f t="array" ref="K1740">_xlfn.XLOOKUP(C1740,Clientes[ID_Cliente],Clientes[Provincia])</f>
        <v>Buenos Aires</v>
      </c>
      <c r="L1740" s="16" t="str">
        <f t="array" ref="L1740">CONCATENATE(_xlfn.XLOOKUP(C1740,Clientes[ID_Cliente],Clientes[Provincia]),", Argentina")</f>
        <v>Buenos Aires, Argentina</v>
      </c>
      <c r="M1740" s="20" t="str">
        <f t="array" ref="M1740">_xlfn.XLOOKUP(F1740,Metodos_De_Pago[ID_Metodo],Metodos_De_Pago[Metodo])</f>
        <v>Mercado Pago</v>
      </c>
      <c r="N1740" s="20" t="str">
        <f t="shared" si="2"/>
        <v>2024 06</v>
      </c>
    </row>
    <row r="1741" ht="22.5" customHeight="1">
      <c r="A1741" s="12">
        <f>IFERROR(__xludf.DUMMYFUNCTION("""COMPUTED_VALUE"""),2462.0)</f>
        <v>2462</v>
      </c>
      <c r="B1741" s="13">
        <f>IFERROR(__xludf.DUMMYFUNCTION("""COMPUTED_VALUE"""),45473.0)</f>
        <v>45473</v>
      </c>
      <c r="C1741" s="12">
        <f>IFERROR(__xludf.DUMMYFUNCTION("""COMPUTED_VALUE"""),102.0)</f>
        <v>102</v>
      </c>
      <c r="D1741" s="12">
        <f>IFERROR(__xludf.DUMMYFUNCTION("""COMPUTED_VALUE"""),37.0)</f>
        <v>37</v>
      </c>
      <c r="E1741" s="12">
        <f>IFERROR(__xludf.DUMMYFUNCTION("""COMPUTED_VALUE"""),4.0)</f>
        <v>4</v>
      </c>
      <c r="F1741" s="12">
        <f>IFERROR(__xludf.DUMMYFUNCTION("""COMPUTED_VALUE"""),2.0)</f>
        <v>2</v>
      </c>
      <c r="G1741" s="15" t="str">
        <f>IFERROR(__xludf.DUMMYFUNCTION("""COMPUTED_VALUE"""),"Pendiente")</f>
        <v>Pendiente</v>
      </c>
      <c r="H1741" s="16" t="str">
        <f t="array" ref="H1741">_xlfn.XLOOKUP(D1741,Productos[ID_Producto],Productos[Nombre_Producto])</f>
        <v>Garbanzos</v>
      </c>
      <c r="I1741" s="17">
        <f t="array" ref="I1741">_xlfn.XLOOKUP(D1741,Productos[ID_Producto],Productos[Precio_Unitario])</f>
        <v>3.65</v>
      </c>
      <c r="J1741" s="17">
        <f t="shared" si="1"/>
        <v>14.6</v>
      </c>
      <c r="K1741" s="16" t="str">
        <f t="array" ref="K1741">_xlfn.XLOOKUP(C1741,Clientes[ID_Cliente],Clientes[Provincia])</f>
        <v>Neuquén</v>
      </c>
      <c r="L1741" s="16" t="str">
        <f t="array" ref="L1741">CONCATENATE(_xlfn.XLOOKUP(C1741,Clientes[ID_Cliente],Clientes[Provincia]),", Argentina")</f>
        <v>Neuquén, Argentina</v>
      </c>
      <c r="M1741" s="20" t="str">
        <f t="array" ref="M1741">_xlfn.XLOOKUP(F1741,Metodos_De_Pago[ID_Metodo],Metodos_De_Pago[Metodo])</f>
        <v>Tarjeta de Crédito</v>
      </c>
      <c r="N1741" s="20" t="str">
        <f t="shared" si="2"/>
        <v>2024 06</v>
      </c>
    </row>
    <row r="1742" ht="22.5" customHeight="1">
      <c r="A1742" s="12">
        <f>IFERROR(__xludf.DUMMYFUNCTION("""COMPUTED_VALUE"""),2663.0)</f>
        <v>2663</v>
      </c>
      <c r="B1742" s="13">
        <f>IFERROR(__xludf.DUMMYFUNCTION("""COMPUTED_VALUE"""),45473.0)</f>
        <v>45473</v>
      </c>
      <c r="C1742" s="12">
        <f>IFERROR(__xludf.DUMMYFUNCTION("""COMPUTED_VALUE"""),251.0)</f>
        <v>251</v>
      </c>
      <c r="D1742" s="12">
        <f>IFERROR(__xludf.DUMMYFUNCTION("""COMPUTED_VALUE"""),11.0)</f>
        <v>11</v>
      </c>
      <c r="E1742" s="12">
        <f>IFERROR(__xludf.DUMMYFUNCTION("""COMPUTED_VALUE"""),4.0)</f>
        <v>4</v>
      </c>
      <c r="F1742" s="12">
        <f>IFERROR(__xludf.DUMMYFUNCTION("""COMPUTED_VALUE"""),5.0)</f>
        <v>5</v>
      </c>
      <c r="G1742" s="15" t="str">
        <f>IFERROR(__xludf.DUMMYFUNCTION("""COMPUTED_VALUE"""),"Pendiente")</f>
        <v>Pendiente</v>
      </c>
      <c r="H1742" s="16" t="str">
        <f t="array" ref="H1742">_xlfn.XLOOKUP(D1742,Productos[ID_Producto],Productos[Nombre_Producto])</f>
        <v>Salchicha</v>
      </c>
      <c r="I1742" s="17">
        <f t="array" ref="I1742">_xlfn.XLOOKUP(D1742,Productos[ID_Producto],Productos[Precio_Unitario])</f>
        <v>11.23</v>
      </c>
      <c r="J1742" s="17">
        <f t="shared" si="1"/>
        <v>44.92</v>
      </c>
      <c r="K1742" s="16" t="str">
        <f t="array" ref="K1742">_xlfn.XLOOKUP(C1742,Clientes[ID_Cliente],Clientes[Provincia])</f>
        <v>Córdoba</v>
      </c>
      <c r="L1742" s="16" t="str">
        <f t="array" ref="L1742">CONCATENATE(_xlfn.XLOOKUP(C1742,Clientes[ID_Cliente],Clientes[Provincia]),", Argentina")</f>
        <v>Córdoba, Argentina</v>
      </c>
      <c r="M1742" s="20" t="str">
        <f t="array" ref="M1742">_xlfn.XLOOKUP(F1742,Metodos_De_Pago[ID_Metodo],Metodos_De_Pago[Metodo])</f>
        <v>Transferencia</v>
      </c>
      <c r="N1742" s="20" t="str">
        <f t="shared" si="2"/>
        <v>2024 06</v>
      </c>
    </row>
    <row r="1743" ht="22.5" customHeight="1">
      <c r="A1743" s="12">
        <f>IFERROR(__xludf.DUMMYFUNCTION("""COMPUTED_VALUE"""),2393.0)</f>
        <v>2393</v>
      </c>
      <c r="B1743" s="13">
        <f>IFERROR(__xludf.DUMMYFUNCTION("""COMPUTED_VALUE"""),45474.0)</f>
        <v>45474</v>
      </c>
      <c r="C1743" s="12">
        <f>IFERROR(__xludf.DUMMYFUNCTION("""COMPUTED_VALUE"""),58.0)</f>
        <v>58</v>
      </c>
      <c r="D1743" s="12">
        <f>IFERROR(__xludf.DUMMYFUNCTION("""COMPUTED_VALUE"""),15.0)</f>
        <v>15</v>
      </c>
      <c r="E1743" s="12">
        <f>IFERROR(__xludf.DUMMYFUNCTION("""COMPUTED_VALUE"""),4.0)</f>
        <v>4</v>
      </c>
      <c r="F1743" s="12">
        <f>IFERROR(__xludf.DUMMYFUNCTION("""COMPUTED_VALUE"""),1.0)</f>
        <v>1</v>
      </c>
      <c r="G1743" s="15" t="str">
        <f>IFERROR(__xludf.DUMMYFUNCTION("""COMPUTED_VALUE"""),"Completa")</f>
        <v>Completa</v>
      </c>
      <c r="H1743" s="16" t="str">
        <f t="array" ref="H1743">_xlfn.XLOOKUP(D1743,Productos[ID_Producto],Productos[Nombre_Producto])</f>
        <v>Medialunas</v>
      </c>
      <c r="I1743" s="17">
        <f t="array" ref="I1743">_xlfn.XLOOKUP(D1743,Productos[ID_Producto],Productos[Precio_Unitario])</f>
        <v>3.51</v>
      </c>
      <c r="J1743" s="17">
        <f t="shared" si="1"/>
        <v>14.04</v>
      </c>
      <c r="K1743" s="16" t="str">
        <f t="array" ref="K1743">_xlfn.XLOOKUP(C1743,Clientes[ID_Cliente],Clientes[Provincia])</f>
        <v>Buenos Aires</v>
      </c>
      <c r="L1743" s="16" t="str">
        <f t="array" ref="L1743">CONCATENATE(_xlfn.XLOOKUP(C1743,Clientes[ID_Cliente],Clientes[Provincia]),", Argentina")</f>
        <v>Buenos Aires, Argentina</v>
      </c>
      <c r="M1743" s="20" t="str">
        <f t="array" ref="M1743">_xlfn.XLOOKUP(F1743,Metodos_De_Pago[ID_Metodo],Metodos_De_Pago[Metodo])</f>
        <v>Efectivo</v>
      </c>
      <c r="N1743" s="20" t="str">
        <f t="shared" si="2"/>
        <v>2024 07</v>
      </c>
    </row>
    <row r="1744" ht="22.5" customHeight="1">
      <c r="A1744" s="12">
        <f>IFERROR(__xludf.DUMMYFUNCTION("""COMPUTED_VALUE"""),1746.0)</f>
        <v>1746</v>
      </c>
      <c r="B1744" s="13">
        <f>IFERROR(__xludf.DUMMYFUNCTION("""COMPUTED_VALUE"""),45475.0)</f>
        <v>45475</v>
      </c>
      <c r="C1744" s="12">
        <f>IFERROR(__xludf.DUMMYFUNCTION("""COMPUTED_VALUE"""),269.0)</f>
        <v>269</v>
      </c>
      <c r="D1744" s="12">
        <f>IFERROR(__xludf.DUMMYFUNCTION("""COMPUTED_VALUE"""),5.0)</f>
        <v>5</v>
      </c>
      <c r="E1744" s="12">
        <f>IFERROR(__xludf.DUMMYFUNCTION("""COMPUTED_VALUE"""),4.0)</f>
        <v>4</v>
      </c>
      <c r="F1744" s="12">
        <f>IFERROR(__xludf.DUMMYFUNCTION("""COMPUTED_VALUE"""),5.0)</f>
        <v>5</v>
      </c>
      <c r="G1744" s="15" t="str">
        <f>IFERROR(__xludf.DUMMYFUNCTION("""COMPUTED_VALUE"""),"Completa")</f>
        <v>Completa</v>
      </c>
      <c r="H1744" s="16" t="str">
        <f t="array" ref="H1744">_xlfn.XLOOKUP(D1744,Productos[ID_Producto],Productos[Nombre_Producto])</f>
        <v>Manteca</v>
      </c>
      <c r="I1744" s="17">
        <f t="array" ref="I1744">_xlfn.XLOOKUP(D1744,Productos[ID_Producto],Productos[Precio_Unitario])</f>
        <v>5.65</v>
      </c>
      <c r="J1744" s="17">
        <f t="shared" si="1"/>
        <v>22.6</v>
      </c>
      <c r="K1744" s="16" t="str">
        <f t="array" ref="K1744">_xlfn.XLOOKUP(C1744,Clientes[ID_Cliente],Clientes[Provincia])</f>
        <v>Córdoba</v>
      </c>
      <c r="L1744" s="16" t="str">
        <f t="array" ref="L1744">CONCATENATE(_xlfn.XLOOKUP(C1744,Clientes[ID_Cliente],Clientes[Provincia]),", Argentina")</f>
        <v>Córdoba, Argentina</v>
      </c>
      <c r="M1744" s="20" t="str">
        <f t="array" ref="M1744">_xlfn.XLOOKUP(F1744,Metodos_De_Pago[ID_Metodo],Metodos_De_Pago[Metodo])</f>
        <v>Transferencia</v>
      </c>
      <c r="N1744" s="20" t="str">
        <f t="shared" si="2"/>
        <v>2024 07</v>
      </c>
    </row>
    <row r="1745" ht="22.5" customHeight="1">
      <c r="A1745" s="12">
        <f>IFERROR(__xludf.DUMMYFUNCTION("""COMPUTED_VALUE"""),2787.0)</f>
        <v>2787</v>
      </c>
      <c r="B1745" s="13">
        <f>IFERROR(__xludf.DUMMYFUNCTION("""COMPUTED_VALUE"""),45475.0)</f>
        <v>45475</v>
      </c>
      <c r="C1745" s="12">
        <f>IFERROR(__xludf.DUMMYFUNCTION("""COMPUTED_VALUE"""),249.0)</f>
        <v>249</v>
      </c>
      <c r="D1745" s="12">
        <f>IFERROR(__xludf.DUMMYFUNCTION("""COMPUTED_VALUE"""),28.0)</f>
        <v>28</v>
      </c>
      <c r="E1745" s="12">
        <f>IFERROR(__xludf.DUMMYFUNCTION("""COMPUTED_VALUE"""),4.0)</f>
        <v>4</v>
      </c>
      <c r="F1745" s="12">
        <f>IFERROR(__xludf.DUMMYFUNCTION("""COMPUTED_VALUE"""),5.0)</f>
        <v>5</v>
      </c>
      <c r="G1745" s="15" t="str">
        <f>IFERROR(__xludf.DUMMYFUNCTION("""COMPUTED_VALUE"""),"Completa")</f>
        <v>Completa</v>
      </c>
      <c r="H1745" s="16" t="str">
        <f t="array" ref="H1745">_xlfn.XLOOKUP(D1745,Productos[ID_Producto],Productos[Nombre_Producto])</f>
        <v>Jugos de frutas</v>
      </c>
      <c r="I1745" s="17">
        <f t="array" ref="I1745">_xlfn.XLOOKUP(D1745,Productos[ID_Producto],Productos[Precio_Unitario])</f>
        <v>9.45</v>
      </c>
      <c r="J1745" s="17">
        <f t="shared" si="1"/>
        <v>37.8</v>
      </c>
      <c r="K1745" s="16" t="str">
        <f t="array" ref="K1745">_xlfn.XLOOKUP(C1745,Clientes[ID_Cliente],Clientes[Provincia])</f>
        <v>Buenos Aires</v>
      </c>
      <c r="L1745" s="16" t="str">
        <f t="array" ref="L1745">CONCATENATE(_xlfn.XLOOKUP(C1745,Clientes[ID_Cliente],Clientes[Provincia]),", Argentina")</f>
        <v>Buenos Aires, Argentina</v>
      </c>
      <c r="M1745" s="20" t="str">
        <f t="array" ref="M1745">_xlfn.XLOOKUP(F1745,Metodos_De_Pago[ID_Metodo],Metodos_De_Pago[Metodo])</f>
        <v>Transferencia</v>
      </c>
      <c r="N1745" s="20" t="str">
        <f t="shared" si="2"/>
        <v>2024 07</v>
      </c>
    </row>
    <row r="1746" ht="22.5" customHeight="1">
      <c r="A1746" s="12">
        <f>IFERROR(__xludf.DUMMYFUNCTION("""COMPUTED_VALUE"""),2526.0)</f>
        <v>2526</v>
      </c>
      <c r="B1746" s="13">
        <f>IFERROR(__xludf.DUMMYFUNCTION("""COMPUTED_VALUE"""),45476.0)</f>
        <v>45476</v>
      </c>
      <c r="C1746" s="12">
        <f>IFERROR(__xludf.DUMMYFUNCTION("""COMPUTED_VALUE"""),246.0)</f>
        <v>246</v>
      </c>
      <c r="D1746" s="12">
        <f>IFERROR(__xludf.DUMMYFUNCTION("""COMPUTED_VALUE"""),3.0)</f>
        <v>3</v>
      </c>
      <c r="E1746" s="12">
        <f>IFERROR(__xludf.DUMMYFUNCTION("""COMPUTED_VALUE"""),4.0)</f>
        <v>4</v>
      </c>
      <c r="F1746" s="12">
        <f>IFERROR(__xludf.DUMMYFUNCTION("""COMPUTED_VALUE"""),5.0)</f>
        <v>5</v>
      </c>
      <c r="G1746" s="15" t="str">
        <f>IFERROR(__xludf.DUMMYFUNCTION("""COMPUTED_VALUE"""),"Pendiente")</f>
        <v>Pendiente</v>
      </c>
      <c r="H1746" s="16" t="str">
        <f t="array" ref="H1746">_xlfn.XLOOKUP(D1746,Productos[ID_Producto],Productos[Nombre_Producto])</f>
        <v>Queso cremoso</v>
      </c>
      <c r="I1746" s="17">
        <f t="array" ref="I1746">_xlfn.XLOOKUP(D1746,Productos[ID_Producto],Productos[Precio_Unitario])</f>
        <v>17.23</v>
      </c>
      <c r="J1746" s="17">
        <f t="shared" si="1"/>
        <v>68.92</v>
      </c>
      <c r="K1746" s="16" t="str">
        <f t="array" ref="K1746">_xlfn.XLOOKUP(C1746,Clientes[ID_Cliente],Clientes[Provincia])</f>
        <v>Chaco</v>
      </c>
      <c r="L1746" s="16" t="str">
        <f t="array" ref="L1746">CONCATENATE(_xlfn.XLOOKUP(C1746,Clientes[ID_Cliente],Clientes[Provincia]),", Argentina")</f>
        <v>Chaco, Argentina</v>
      </c>
      <c r="M1746" s="20" t="str">
        <f t="array" ref="M1746">_xlfn.XLOOKUP(F1746,Metodos_De_Pago[ID_Metodo],Metodos_De_Pago[Metodo])</f>
        <v>Transferencia</v>
      </c>
      <c r="N1746" s="20" t="str">
        <f t="shared" si="2"/>
        <v>2024 07</v>
      </c>
    </row>
    <row r="1747" ht="22.5" customHeight="1">
      <c r="A1747" s="12">
        <f>IFERROR(__xludf.DUMMYFUNCTION("""COMPUTED_VALUE"""),2996.0)</f>
        <v>2996</v>
      </c>
      <c r="B1747" s="13">
        <f>IFERROR(__xludf.DUMMYFUNCTION("""COMPUTED_VALUE"""),45476.0)</f>
        <v>45476</v>
      </c>
      <c r="C1747" s="12">
        <f>IFERROR(__xludf.DUMMYFUNCTION("""COMPUTED_VALUE"""),22.0)</f>
        <v>22</v>
      </c>
      <c r="D1747" s="12">
        <f>IFERROR(__xludf.DUMMYFUNCTION("""COMPUTED_VALUE"""),17.0)</f>
        <v>17</v>
      </c>
      <c r="E1747" s="12">
        <f>IFERROR(__xludf.DUMMYFUNCTION("""COMPUTED_VALUE"""),4.0)</f>
        <v>4</v>
      </c>
      <c r="F1747" s="12">
        <f>IFERROR(__xludf.DUMMYFUNCTION("""COMPUTED_VALUE"""),5.0)</f>
        <v>5</v>
      </c>
      <c r="G1747" s="15" t="str">
        <f>IFERROR(__xludf.DUMMYFUNCTION("""COMPUTED_VALUE"""),"Completa")</f>
        <v>Completa</v>
      </c>
      <c r="H1747" s="16" t="str">
        <f t="array" ref="H1747">_xlfn.XLOOKUP(D1747,Productos[ID_Producto],Productos[Nombre_Producto])</f>
        <v>Manzanas</v>
      </c>
      <c r="I1747" s="17">
        <f t="array" ref="I1747">_xlfn.XLOOKUP(D1747,Productos[ID_Producto],Productos[Precio_Unitario])</f>
        <v>6.54</v>
      </c>
      <c r="J1747" s="17">
        <f t="shared" si="1"/>
        <v>26.16</v>
      </c>
      <c r="K1747" s="16" t="str">
        <f t="array" ref="K1747">_xlfn.XLOOKUP(C1747,Clientes[ID_Cliente],Clientes[Provincia])</f>
        <v>Córdoba</v>
      </c>
      <c r="L1747" s="16" t="str">
        <f t="array" ref="L1747">CONCATENATE(_xlfn.XLOOKUP(C1747,Clientes[ID_Cliente],Clientes[Provincia]),", Argentina")</f>
        <v>Córdoba, Argentina</v>
      </c>
      <c r="M1747" s="20" t="str">
        <f t="array" ref="M1747">_xlfn.XLOOKUP(F1747,Metodos_De_Pago[ID_Metodo],Metodos_De_Pago[Metodo])</f>
        <v>Transferencia</v>
      </c>
      <c r="N1747" s="20" t="str">
        <f t="shared" si="2"/>
        <v>2024 07</v>
      </c>
    </row>
    <row r="1748" ht="22.5" customHeight="1">
      <c r="A1748" s="12">
        <f>IFERROR(__xludf.DUMMYFUNCTION("""COMPUTED_VALUE"""),24.0)</f>
        <v>24</v>
      </c>
      <c r="B1748" s="13">
        <f>IFERROR(__xludf.DUMMYFUNCTION("""COMPUTED_VALUE"""),45477.0)</f>
        <v>45477</v>
      </c>
      <c r="C1748" s="12">
        <f>IFERROR(__xludf.DUMMYFUNCTION("""COMPUTED_VALUE"""),184.0)</f>
        <v>184</v>
      </c>
      <c r="D1748" s="12">
        <f>IFERROR(__xludf.DUMMYFUNCTION("""COMPUTED_VALUE"""),37.0)</f>
        <v>37</v>
      </c>
      <c r="E1748" s="12">
        <f>IFERROR(__xludf.DUMMYFUNCTION("""COMPUTED_VALUE"""),4.0)</f>
        <v>4</v>
      </c>
      <c r="F1748" s="12">
        <f>IFERROR(__xludf.DUMMYFUNCTION("""COMPUTED_VALUE"""),3.0)</f>
        <v>3</v>
      </c>
      <c r="G1748" s="15" t="str">
        <f>IFERROR(__xludf.DUMMYFUNCTION("""COMPUTED_VALUE"""),"Completa")</f>
        <v>Completa</v>
      </c>
      <c r="H1748" s="16" t="str">
        <f t="array" ref="H1748">_xlfn.XLOOKUP(D1748,Productos[ID_Producto],Productos[Nombre_Producto])</f>
        <v>Garbanzos</v>
      </c>
      <c r="I1748" s="17">
        <f t="array" ref="I1748">_xlfn.XLOOKUP(D1748,Productos[ID_Producto],Productos[Precio_Unitario])</f>
        <v>3.65</v>
      </c>
      <c r="J1748" s="17">
        <f t="shared" si="1"/>
        <v>14.6</v>
      </c>
      <c r="K1748" s="16" t="str">
        <f t="array" ref="K1748">_xlfn.XLOOKUP(C1748,Clientes[ID_Cliente],Clientes[Provincia])</f>
        <v>Buenos Aires</v>
      </c>
      <c r="L1748" s="16" t="str">
        <f t="array" ref="L1748">CONCATENATE(_xlfn.XLOOKUP(C1748,Clientes[ID_Cliente],Clientes[Provincia]),", Argentina")</f>
        <v>Buenos Aires, Argentina</v>
      </c>
      <c r="M1748" s="20" t="str">
        <f t="array" ref="M1748">_xlfn.XLOOKUP(F1748,Metodos_De_Pago[ID_Metodo],Metodos_De_Pago[Metodo])</f>
        <v>Tarjeta de Débito</v>
      </c>
      <c r="N1748" s="20" t="str">
        <f t="shared" si="2"/>
        <v>2024 07</v>
      </c>
    </row>
    <row r="1749" ht="22.5" customHeight="1">
      <c r="A1749" s="12">
        <f>IFERROR(__xludf.DUMMYFUNCTION("""COMPUTED_VALUE"""),2191.0)</f>
        <v>2191</v>
      </c>
      <c r="B1749" s="13">
        <f>IFERROR(__xludf.DUMMYFUNCTION("""COMPUTED_VALUE"""),45477.0)</f>
        <v>45477</v>
      </c>
      <c r="C1749" s="12">
        <f>IFERROR(__xludf.DUMMYFUNCTION("""COMPUTED_VALUE"""),80.0)</f>
        <v>80</v>
      </c>
      <c r="D1749" s="12">
        <f>IFERROR(__xludf.DUMMYFUNCTION("""COMPUTED_VALUE"""),12.0)</f>
        <v>12</v>
      </c>
      <c r="E1749" s="12">
        <f>IFERROR(__xludf.DUMMYFUNCTION("""COMPUTED_VALUE"""),4.0)</f>
        <v>4</v>
      </c>
      <c r="F1749" s="12">
        <f>IFERROR(__xludf.DUMMYFUNCTION("""COMPUTED_VALUE"""),3.0)</f>
        <v>3</v>
      </c>
      <c r="G1749" s="15" t="str">
        <f>IFERROR(__xludf.DUMMYFUNCTION("""COMPUTED_VALUE"""),"Completa")</f>
        <v>Completa</v>
      </c>
      <c r="H1749" s="16" t="str">
        <f t="array" ref="H1749">_xlfn.XLOOKUP(D1749,Productos[ID_Producto],Productos[Nombre_Producto])</f>
        <v>Pan francés</v>
      </c>
      <c r="I1749" s="17">
        <f t="array" ref="I1749">_xlfn.XLOOKUP(D1749,Productos[ID_Producto],Productos[Precio_Unitario])</f>
        <v>8.12</v>
      </c>
      <c r="J1749" s="17">
        <f t="shared" si="1"/>
        <v>32.48</v>
      </c>
      <c r="K1749" s="16" t="str">
        <f t="array" ref="K1749">_xlfn.XLOOKUP(C1749,Clientes[ID_Cliente],Clientes[Provincia])</f>
        <v>Chaco</v>
      </c>
      <c r="L1749" s="16" t="str">
        <f t="array" ref="L1749">CONCATENATE(_xlfn.XLOOKUP(C1749,Clientes[ID_Cliente],Clientes[Provincia]),", Argentina")</f>
        <v>Chaco, Argentina</v>
      </c>
      <c r="M1749" s="20" t="str">
        <f t="array" ref="M1749">_xlfn.XLOOKUP(F1749,Metodos_De_Pago[ID_Metodo],Metodos_De_Pago[Metodo])</f>
        <v>Tarjeta de Débito</v>
      </c>
      <c r="N1749" s="20" t="str">
        <f t="shared" si="2"/>
        <v>2024 07</v>
      </c>
    </row>
    <row r="1750" ht="22.5" customHeight="1">
      <c r="A1750" s="12">
        <f>IFERROR(__xludf.DUMMYFUNCTION("""COMPUTED_VALUE"""),1372.0)</f>
        <v>1372</v>
      </c>
      <c r="B1750" s="13">
        <f>IFERROR(__xludf.DUMMYFUNCTION("""COMPUTED_VALUE"""),45478.0)</f>
        <v>45478</v>
      </c>
      <c r="C1750" s="12">
        <f>IFERROR(__xludf.DUMMYFUNCTION("""COMPUTED_VALUE"""),41.0)</f>
        <v>41</v>
      </c>
      <c r="D1750" s="12">
        <f>IFERROR(__xludf.DUMMYFUNCTION("""COMPUTED_VALUE"""),23.0)</f>
        <v>23</v>
      </c>
      <c r="E1750" s="12">
        <f>IFERROR(__xludf.DUMMYFUNCTION("""COMPUTED_VALUE"""),4.0)</f>
        <v>4</v>
      </c>
      <c r="F1750" s="12">
        <f>IFERROR(__xludf.DUMMYFUNCTION("""COMPUTED_VALUE"""),4.0)</f>
        <v>4</v>
      </c>
      <c r="G1750" s="15" t="str">
        <f>IFERROR(__xludf.DUMMYFUNCTION("""COMPUTED_VALUE"""),"Pendiente")</f>
        <v>Pendiente</v>
      </c>
      <c r="H1750" s="16" t="str">
        <f t="array" ref="H1750">_xlfn.XLOOKUP(D1750,Productos[ID_Producto],Productos[Nombre_Producto])</f>
        <v>Papas fritas</v>
      </c>
      <c r="I1750" s="17">
        <f t="array" ref="I1750">_xlfn.XLOOKUP(D1750,Productos[ID_Producto],Productos[Precio_Unitario])</f>
        <v>8.23</v>
      </c>
      <c r="J1750" s="17">
        <f t="shared" si="1"/>
        <v>32.92</v>
      </c>
      <c r="K1750" s="16" t="str">
        <f t="array" ref="K1750">_xlfn.XLOOKUP(C1750,Clientes[ID_Cliente],Clientes[Provincia])</f>
        <v>Neuquén</v>
      </c>
      <c r="L1750" s="16" t="str">
        <f t="array" ref="L1750">CONCATENATE(_xlfn.XLOOKUP(C1750,Clientes[ID_Cliente],Clientes[Provincia]),", Argentina")</f>
        <v>Neuquén, Argentina</v>
      </c>
      <c r="M1750" s="20" t="str">
        <f t="array" ref="M1750">_xlfn.XLOOKUP(F1750,Metodos_De_Pago[ID_Metodo],Metodos_De_Pago[Metodo])</f>
        <v>Mercado Pago</v>
      </c>
      <c r="N1750" s="20" t="str">
        <f t="shared" si="2"/>
        <v>2024 07</v>
      </c>
    </row>
    <row r="1751" ht="22.5" customHeight="1">
      <c r="A1751" s="12">
        <f>IFERROR(__xludf.DUMMYFUNCTION("""COMPUTED_VALUE"""),130.0)</f>
        <v>130</v>
      </c>
      <c r="B1751" s="13">
        <f>IFERROR(__xludf.DUMMYFUNCTION("""COMPUTED_VALUE"""),45479.0)</f>
        <v>45479</v>
      </c>
      <c r="C1751" s="12">
        <f>IFERROR(__xludf.DUMMYFUNCTION("""COMPUTED_VALUE"""),273.0)</f>
        <v>273</v>
      </c>
      <c r="D1751" s="12">
        <f>IFERROR(__xludf.DUMMYFUNCTION("""COMPUTED_VALUE"""),29.0)</f>
        <v>29</v>
      </c>
      <c r="E1751" s="12">
        <f>IFERROR(__xludf.DUMMYFUNCTION("""COMPUTED_VALUE"""),4.0)</f>
        <v>4</v>
      </c>
      <c r="F1751" s="12">
        <f>IFERROR(__xludf.DUMMYFUNCTION("""COMPUTED_VALUE"""),1.0)</f>
        <v>1</v>
      </c>
      <c r="G1751" s="15" t="str">
        <f>IFERROR(__xludf.DUMMYFUNCTION("""COMPUTED_VALUE"""),"Completa")</f>
        <v>Completa</v>
      </c>
      <c r="H1751" s="16" t="str">
        <f t="array" ref="H1751">_xlfn.XLOOKUP(D1751,Productos[ID_Producto],Productos[Nombre_Producto])</f>
        <v>Cerveza</v>
      </c>
      <c r="I1751" s="17">
        <f t="array" ref="I1751">_xlfn.XLOOKUP(D1751,Productos[ID_Producto],Productos[Precio_Unitario])</f>
        <v>11.54</v>
      </c>
      <c r="J1751" s="17">
        <f t="shared" si="1"/>
        <v>46.16</v>
      </c>
      <c r="K1751" s="16" t="str">
        <f t="array" ref="K1751">_xlfn.XLOOKUP(C1751,Clientes[ID_Cliente],Clientes[Provincia])</f>
        <v>San Luis</v>
      </c>
      <c r="L1751" s="16" t="str">
        <f t="array" ref="L1751">CONCATENATE(_xlfn.XLOOKUP(C1751,Clientes[ID_Cliente],Clientes[Provincia]),", Argentina")</f>
        <v>San Luis, Argentina</v>
      </c>
      <c r="M1751" s="20" t="str">
        <f t="array" ref="M1751">_xlfn.XLOOKUP(F1751,Metodos_De_Pago[ID_Metodo],Metodos_De_Pago[Metodo])</f>
        <v>Efectivo</v>
      </c>
      <c r="N1751" s="20" t="str">
        <f t="shared" si="2"/>
        <v>2024 07</v>
      </c>
    </row>
    <row r="1752" ht="22.5" customHeight="1">
      <c r="A1752" s="12">
        <f>IFERROR(__xludf.DUMMYFUNCTION("""COMPUTED_VALUE"""),2430.0)</f>
        <v>2430</v>
      </c>
      <c r="B1752" s="13">
        <f>IFERROR(__xludf.DUMMYFUNCTION("""COMPUTED_VALUE"""),45479.0)</f>
        <v>45479</v>
      </c>
      <c r="C1752" s="12">
        <f>IFERROR(__xludf.DUMMYFUNCTION("""COMPUTED_VALUE"""),264.0)</f>
        <v>264</v>
      </c>
      <c r="D1752" s="12">
        <f>IFERROR(__xludf.DUMMYFUNCTION("""COMPUTED_VALUE"""),9.0)</f>
        <v>9</v>
      </c>
      <c r="E1752" s="12">
        <f>IFERROR(__xludf.DUMMYFUNCTION("""COMPUTED_VALUE"""),4.0)</f>
        <v>4</v>
      </c>
      <c r="F1752" s="12">
        <f>IFERROR(__xludf.DUMMYFUNCTION("""COMPUTED_VALUE"""),5.0)</f>
        <v>5</v>
      </c>
      <c r="G1752" s="15" t="str">
        <f>IFERROR(__xludf.DUMMYFUNCTION("""COMPUTED_VALUE"""),"Completa")</f>
        <v>Completa</v>
      </c>
      <c r="H1752" s="16" t="str">
        <f t="array" ref="H1752">_xlfn.XLOOKUP(D1752,Productos[ID_Producto],Productos[Nombre_Producto])</f>
        <v>Pollo</v>
      </c>
      <c r="I1752" s="17">
        <f t="array" ref="I1752">_xlfn.XLOOKUP(D1752,Productos[ID_Producto],Productos[Precio_Unitario])</f>
        <v>18.56</v>
      </c>
      <c r="J1752" s="17">
        <f t="shared" si="1"/>
        <v>74.24</v>
      </c>
      <c r="K1752" s="16" t="str">
        <f t="array" ref="K1752">_xlfn.XLOOKUP(C1752,Clientes[ID_Cliente],Clientes[Provincia])</f>
        <v>Buenos Aires</v>
      </c>
      <c r="L1752" s="16" t="str">
        <f t="array" ref="L1752">CONCATENATE(_xlfn.XLOOKUP(C1752,Clientes[ID_Cliente],Clientes[Provincia]),", Argentina")</f>
        <v>Buenos Aires, Argentina</v>
      </c>
      <c r="M1752" s="20" t="str">
        <f t="array" ref="M1752">_xlfn.XLOOKUP(F1752,Metodos_De_Pago[ID_Metodo],Metodos_De_Pago[Metodo])</f>
        <v>Transferencia</v>
      </c>
      <c r="N1752" s="20" t="str">
        <f t="shared" si="2"/>
        <v>2024 07</v>
      </c>
    </row>
    <row r="1753" ht="22.5" customHeight="1">
      <c r="A1753" s="12">
        <f>IFERROR(__xludf.DUMMYFUNCTION("""COMPUTED_VALUE"""),13.0)</f>
        <v>13</v>
      </c>
      <c r="B1753" s="13">
        <f>IFERROR(__xludf.DUMMYFUNCTION("""COMPUTED_VALUE"""),45480.0)</f>
        <v>45480</v>
      </c>
      <c r="C1753" s="12">
        <f>IFERROR(__xludf.DUMMYFUNCTION("""COMPUTED_VALUE"""),75.0)</f>
        <v>75</v>
      </c>
      <c r="D1753" s="12">
        <f>IFERROR(__xludf.DUMMYFUNCTION("""COMPUTED_VALUE"""),32.0)</f>
        <v>32</v>
      </c>
      <c r="E1753" s="12">
        <f>IFERROR(__xludf.DUMMYFUNCTION("""COMPUTED_VALUE"""),4.0)</f>
        <v>4</v>
      </c>
      <c r="F1753" s="12">
        <f>IFERROR(__xludf.DUMMYFUNCTION("""COMPUTED_VALUE"""),4.0)</f>
        <v>4</v>
      </c>
      <c r="G1753" s="15" t="str">
        <f>IFERROR(__xludf.DUMMYFUNCTION("""COMPUTED_VALUE"""),"Completa")</f>
        <v>Completa</v>
      </c>
      <c r="H1753" s="16" t="str">
        <f t="array" ref="H1753">_xlfn.XLOOKUP(D1753,Productos[ID_Producto],Productos[Nombre_Producto])</f>
        <v>Galletitas de chocolate</v>
      </c>
      <c r="I1753" s="17">
        <f t="array" ref="I1753">_xlfn.XLOOKUP(D1753,Productos[ID_Producto],Productos[Precio_Unitario])</f>
        <v>6.25</v>
      </c>
      <c r="J1753" s="17">
        <f t="shared" si="1"/>
        <v>25</v>
      </c>
      <c r="K1753" s="16" t="str">
        <f t="array" ref="K1753">_xlfn.XLOOKUP(C1753,Clientes[ID_Cliente],Clientes[Provincia])</f>
        <v>Chaco</v>
      </c>
      <c r="L1753" s="16" t="str">
        <f t="array" ref="L1753">CONCATENATE(_xlfn.XLOOKUP(C1753,Clientes[ID_Cliente],Clientes[Provincia]),", Argentina")</f>
        <v>Chaco, Argentina</v>
      </c>
      <c r="M1753" s="20" t="str">
        <f t="array" ref="M1753">_xlfn.XLOOKUP(F1753,Metodos_De_Pago[ID_Metodo],Metodos_De_Pago[Metodo])</f>
        <v>Mercado Pago</v>
      </c>
      <c r="N1753" s="20" t="str">
        <f t="shared" si="2"/>
        <v>2024 07</v>
      </c>
    </row>
    <row r="1754" ht="22.5" customHeight="1">
      <c r="A1754" s="12">
        <f>IFERROR(__xludf.DUMMYFUNCTION("""COMPUTED_VALUE"""),746.0)</f>
        <v>746</v>
      </c>
      <c r="B1754" s="13">
        <f>IFERROR(__xludf.DUMMYFUNCTION("""COMPUTED_VALUE"""),45481.0)</f>
        <v>45481</v>
      </c>
      <c r="C1754" s="12">
        <f>IFERROR(__xludf.DUMMYFUNCTION("""COMPUTED_VALUE"""),47.0)</f>
        <v>47</v>
      </c>
      <c r="D1754" s="12">
        <f>IFERROR(__xludf.DUMMYFUNCTION("""COMPUTED_VALUE"""),32.0)</f>
        <v>32</v>
      </c>
      <c r="E1754" s="12">
        <f>IFERROR(__xludf.DUMMYFUNCTION("""COMPUTED_VALUE"""),4.0)</f>
        <v>4</v>
      </c>
      <c r="F1754" s="12">
        <f>IFERROR(__xludf.DUMMYFUNCTION("""COMPUTED_VALUE"""),4.0)</f>
        <v>4</v>
      </c>
      <c r="G1754" s="15" t="str">
        <f>IFERROR(__xludf.DUMMYFUNCTION("""COMPUTED_VALUE"""),"Pendiente")</f>
        <v>Pendiente</v>
      </c>
      <c r="H1754" s="16" t="str">
        <f t="array" ref="H1754">_xlfn.XLOOKUP(D1754,Productos[ID_Producto],Productos[Nombre_Producto])</f>
        <v>Galletitas de chocolate</v>
      </c>
      <c r="I1754" s="17">
        <f t="array" ref="I1754">_xlfn.XLOOKUP(D1754,Productos[ID_Producto],Productos[Precio_Unitario])</f>
        <v>6.25</v>
      </c>
      <c r="J1754" s="17">
        <f t="shared" si="1"/>
        <v>25</v>
      </c>
      <c r="K1754" s="16" t="str">
        <f t="array" ref="K1754">_xlfn.XLOOKUP(C1754,Clientes[ID_Cliente],Clientes[Provincia])</f>
        <v>Buenos Aires</v>
      </c>
      <c r="L1754" s="16" t="str">
        <f t="array" ref="L1754">CONCATENATE(_xlfn.XLOOKUP(C1754,Clientes[ID_Cliente],Clientes[Provincia]),", Argentina")</f>
        <v>Buenos Aires, Argentina</v>
      </c>
      <c r="M1754" s="20" t="str">
        <f t="array" ref="M1754">_xlfn.XLOOKUP(F1754,Metodos_De_Pago[ID_Metodo],Metodos_De_Pago[Metodo])</f>
        <v>Mercado Pago</v>
      </c>
      <c r="N1754" s="20" t="str">
        <f t="shared" si="2"/>
        <v>2024 07</v>
      </c>
    </row>
    <row r="1755" ht="22.5" customHeight="1">
      <c r="A1755" s="12">
        <f>IFERROR(__xludf.DUMMYFUNCTION("""COMPUTED_VALUE"""),2930.0)</f>
        <v>2930</v>
      </c>
      <c r="B1755" s="13">
        <f>IFERROR(__xludf.DUMMYFUNCTION("""COMPUTED_VALUE"""),45484.0)</f>
        <v>45484</v>
      </c>
      <c r="C1755" s="12">
        <f>IFERROR(__xludf.DUMMYFUNCTION("""COMPUTED_VALUE"""),198.0)</f>
        <v>198</v>
      </c>
      <c r="D1755" s="12">
        <f>IFERROR(__xludf.DUMMYFUNCTION("""COMPUTED_VALUE"""),30.0)</f>
        <v>30</v>
      </c>
      <c r="E1755" s="12">
        <f>IFERROR(__xludf.DUMMYFUNCTION("""COMPUTED_VALUE"""),4.0)</f>
        <v>4</v>
      </c>
      <c r="F1755" s="12">
        <f>IFERROR(__xludf.DUMMYFUNCTION("""COMPUTED_VALUE"""),4.0)</f>
        <v>4</v>
      </c>
      <c r="G1755" s="15" t="str">
        <f>IFERROR(__xludf.DUMMYFUNCTION("""COMPUTED_VALUE"""),"Completa")</f>
        <v>Completa</v>
      </c>
      <c r="H1755" s="16" t="str">
        <f t="array" ref="H1755">_xlfn.XLOOKUP(D1755,Productos[ID_Producto],Productos[Nombre_Producto])</f>
        <v>Vino tinto</v>
      </c>
      <c r="I1755" s="17">
        <f t="array" ref="I1755">_xlfn.XLOOKUP(D1755,Productos[ID_Producto],Productos[Precio_Unitario])</f>
        <v>13.54</v>
      </c>
      <c r="J1755" s="17">
        <f t="shared" si="1"/>
        <v>54.16</v>
      </c>
      <c r="K1755" s="16" t="str">
        <f t="array" ref="K1755">_xlfn.XLOOKUP(C1755,Clientes[ID_Cliente],Clientes[Provincia])</f>
        <v>Salta</v>
      </c>
      <c r="L1755" s="16" t="str">
        <f t="array" ref="L1755">CONCATENATE(_xlfn.XLOOKUP(C1755,Clientes[ID_Cliente],Clientes[Provincia]),", Argentina")</f>
        <v>Salta, Argentina</v>
      </c>
      <c r="M1755" s="20" t="str">
        <f t="array" ref="M1755">_xlfn.XLOOKUP(F1755,Metodos_De_Pago[ID_Metodo],Metodos_De_Pago[Metodo])</f>
        <v>Mercado Pago</v>
      </c>
      <c r="N1755" s="20" t="str">
        <f t="shared" si="2"/>
        <v>2024 07</v>
      </c>
    </row>
    <row r="1756" ht="22.5" customHeight="1">
      <c r="A1756" s="12">
        <f>IFERROR(__xludf.DUMMYFUNCTION("""COMPUTED_VALUE"""),2963.0)</f>
        <v>2963</v>
      </c>
      <c r="B1756" s="13">
        <f>IFERROR(__xludf.DUMMYFUNCTION("""COMPUTED_VALUE"""),45484.0)</f>
        <v>45484</v>
      </c>
      <c r="C1756" s="12">
        <f>IFERROR(__xludf.DUMMYFUNCTION("""COMPUTED_VALUE"""),9.0)</f>
        <v>9</v>
      </c>
      <c r="D1756" s="12">
        <f>IFERROR(__xludf.DUMMYFUNCTION("""COMPUTED_VALUE"""),16.0)</f>
        <v>16</v>
      </c>
      <c r="E1756" s="12">
        <f>IFERROR(__xludf.DUMMYFUNCTION("""COMPUTED_VALUE"""),4.0)</f>
        <v>4</v>
      </c>
      <c r="F1756" s="12">
        <f>IFERROR(__xludf.DUMMYFUNCTION("""COMPUTED_VALUE"""),5.0)</f>
        <v>5</v>
      </c>
      <c r="G1756" s="15" t="str">
        <f>IFERROR(__xludf.DUMMYFUNCTION("""COMPUTED_VALUE"""),"Completa")</f>
        <v>Completa</v>
      </c>
      <c r="H1756" s="16" t="str">
        <f t="array" ref="H1756">_xlfn.XLOOKUP(D1756,Productos[ID_Producto],Productos[Nombre_Producto])</f>
        <v>Tortas</v>
      </c>
      <c r="I1756" s="17">
        <f t="array" ref="I1756">_xlfn.XLOOKUP(D1756,Productos[ID_Producto],Productos[Precio_Unitario])</f>
        <v>15.23</v>
      </c>
      <c r="J1756" s="17">
        <f t="shared" si="1"/>
        <v>60.92</v>
      </c>
      <c r="K1756" s="16" t="str">
        <f t="array" ref="K1756">_xlfn.XLOOKUP(C1756,Clientes[ID_Cliente],Clientes[Provincia])</f>
        <v>Córdoba</v>
      </c>
      <c r="L1756" s="16" t="str">
        <f t="array" ref="L1756">CONCATENATE(_xlfn.XLOOKUP(C1756,Clientes[ID_Cliente],Clientes[Provincia]),", Argentina")</f>
        <v>Córdoba, Argentina</v>
      </c>
      <c r="M1756" s="20" t="str">
        <f t="array" ref="M1756">_xlfn.XLOOKUP(F1756,Metodos_De_Pago[ID_Metodo],Metodos_De_Pago[Metodo])</f>
        <v>Transferencia</v>
      </c>
      <c r="N1756" s="20" t="str">
        <f t="shared" si="2"/>
        <v>2024 07</v>
      </c>
    </row>
    <row r="1757" ht="22.5" customHeight="1">
      <c r="A1757" s="12">
        <f>IFERROR(__xludf.DUMMYFUNCTION("""COMPUTED_VALUE"""),1077.0)</f>
        <v>1077</v>
      </c>
      <c r="B1757" s="13">
        <f>IFERROR(__xludf.DUMMYFUNCTION("""COMPUTED_VALUE"""),45485.0)</f>
        <v>45485</v>
      </c>
      <c r="C1757" s="12">
        <f>IFERROR(__xludf.DUMMYFUNCTION("""COMPUTED_VALUE"""),268.0)</f>
        <v>268</v>
      </c>
      <c r="D1757" s="12">
        <f>IFERROR(__xludf.DUMMYFUNCTION("""COMPUTED_VALUE"""),34.0)</f>
        <v>34</v>
      </c>
      <c r="E1757" s="12">
        <f>IFERROR(__xludf.DUMMYFUNCTION("""COMPUTED_VALUE"""),4.0)</f>
        <v>4</v>
      </c>
      <c r="F1757" s="12">
        <f>IFERROR(__xludf.DUMMYFUNCTION("""COMPUTED_VALUE"""),4.0)</f>
        <v>4</v>
      </c>
      <c r="G1757" s="15" t="str">
        <f>IFERROR(__xludf.DUMMYFUNCTION("""COMPUTED_VALUE"""),"Completa")</f>
        <v>Completa</v>
      </c>
      <c r="H1757" s="16" t="str">
        <f t="array" ref="H1757">_xlfn.XLOOKUP(D1757,Productos[ID_Producto],Productos[Nombre_Producto])</f>
        <v>Maníes</v>
      </c>
      <c r="I1757" s="17">
        <f t="array" ref="I1757">_xlfn.XLOOKUP(D1757,Productos[ID_Producto],Productos[Precio_Unitario])</f>
        <v>5.45</v>
      </c>
      <c r="J1757" s="17">
        <f t="shared" si="1"/>
        <v>21.8</v>
      </c>
      <c r="K1757" s="16" t="str">
        <f t="array" ref="K1757">_xlfn.XLOOKUP(C1757,Clientes[ID_Cliente],Clientes[Provincia])</f>
        <v>Salta</v>
      </c>
      <c r="L1757" s="16" t="str">
        <f t="array" ref="L1757">CONCATENATE(_xlfn.XLOOKUP(C1757,Clientes[ID_Cliente],Clientes[Provincia]),", Argentina")</f>
        <v>Salta, Argentina</v>
      </c>
      <c r="M1757" s="20" t="str">
        <f t="array" ref="M1757">_xlfn.XLOOKUP(F1757,Metodos_De_Pago[ID_Metodo],Metodos_De_Pago[Metodo])</f>
        <v>Mercado Pago</v>
      </c>
      <c r="N1757" s="20" t="str">
        <f t="shared" si="2"/>
        <v>2024 07</v>
      </c>
    </row>
    <row r="1758" ht="22.5" customHeight="1">
      <c r="A1758" s="12">
        <f>IFERROR(__xludf.DUMMYFUNCTION("""COMPUTED_VALUE"""),1791.0)</f>
        <v>1791</v>
      </c>
      <c r="B1758" s="13">
        <f>IFERROR(__xludf.DUMMYFUNCTION("""COMPUTED_VALUE"""),45485.0)</f>
        <v>45485</v>
      </c>
      <c r="C1758" s="12">
        <f>IFERROR(__xludf.DUMMYFUNCTION("""COMPUTED_VALUE"""),250.0)</f>
        <v>250</v>
      </c>
      <c r="D1758" s="12">
        <f>IFERROR(__xludf.DUMMYFUNCTION("""COMPUTED_VALUE"""),16.0)</f>
        <v>16</v>
      </c>
      <c r="E1758" s="12">
        <f>IFERROR(__xludf.DUMMYFUNCTION("""COMPUTED_VALUE"""),4.0)</f>
        <v>4</v>
      </c>
      <c r="F1758" s="12">
        <f>IFERROR(__xludf.DUMMYFUNCTION("""COMPUTED_VALUE"""),4.0)</f>
        <v>4</v>
      </c>
      <c r="G1758" s="15" t="str">
        <f>IFERROR(__xludf.DUMMYFUNCTION("""COMPUTED_VALUE"""),"Completa")</f>
        <v>Completa</v>
      </c>
      <c r="H1758" s="16" t="str">
        <f t="array" ref="H1758">_xlfn.XLOOKUP(D1758,Productos[ID_Producto],Productos[Nombre_Producto])</f>
        <v>Tortas</v>
      </c>
      <c r="I1758" s="17">
        <f t="array" ref="I1758">_xlfn.XLOOKUP(D1758,Productos[ID_Producto],Productos[Precio_Unitario])</f>
        <v>15.23</v>
      </c>
      <c r="J1758" s="17">
        <f t="shared" si="1"/>
        <v>60.92</v>
      </c>
      <c r="K1758" s="16" t="str">
        <f t="array" ref="K1758">_xlfn.XLOOKUP(C1758,Clientes[ID_Cliente],Clientes[Provincia])</f>
        <v>Córdoba</v>
      </c>
      <c r="L1758" s="16" t="str">
        <f t="array" ref="L1758">CONCATENATE(_xlfn.XLOOKUP(C1758,Clientes[ID_Cliente],Clientes[Provincia]),", Argentina")</f>
        <v>Córdoba, Argentina</v>
      </c>
      <c r="M1758" s="20" t="str">
        <f t="array" ref="M1758">_xlfn.XLOOKUP(F1758,Metodos_De_Pago[ID_Metodo],Metodos_De_Pago[Metodo])</f>
        <v>Mercado Pago</v>
      </c>
      <c r="N1758" s="20" t="str">
        <f t="shared" si="2"/>
        <v>2024 07</v>
      </c>
    </row>
    <row r="1759" ht="22.5" customHeight="1">
      <c r="A1759" s="12">
        <f>IFERROR(__xludf.DUMMYFUNCTION("""COMPUTED_VALUE"""),2052.0)</f>
        <v>2052</v>
      </c>
      <c r="B1759" s="13">
        <f>IFERROR(__xludf.DUMMYFUNCTION("""COMPUTED_VALUE"""),45486.0)</f>
        <v>45486</v>
      </c>
      <c r="C1759" s="12">
        <f>IFERROR(__xludf.DUMMYFUNCTION("""COMPUTED_VALUE"""),322.0)</f>
        <v>322</v>
      </c>
      <c r="D1759" s="12">
        <f>IFERROR(__xludf.DUMMYFUNCTION("""COMPUTED_VALUE"""),19.0)</f>
        <v>19</v>
      </c>
      <c r="E1759" s="12">
        <f>IFERROR(__xludf.DUMMYFUNCTION("""COMPUTED_VALUE"""),4.0)</f>
        <v>4</v>
      </c>
      <c r="F1759" s="12">
        <f>IFERROR(__xludf.DUMMYFUNCTION("""COMPUTED_VALUE"""),4.0)</f>
        <v>4</v>
      </c>
      <c r="G1759" s="15" t="str">
        <f>IFERROR(__xludf.DUMMYFUNCTION("""COMPUTED_VALUE"""),"Completa")</f>
        <v>Completa</v>
      </c>
      <c r="H1759" s="16" t="str">
        <f t="array" ref="H1759">_xlfn.XLOOKUP(D1759,Productos[ID_Producto],Productos[Nombre_Producto])</f>
        <v>Tomates</v>
      </c>
      <c r="I1759" s="17">
        <f t="array" ref="I1759">_xlfn.XLOOKUP(D1759,Productos[ID_Producto],Productos[Precio_Unitario])</f>
        <v>6.54</v>
      </c>
      <c r="J1759" s="17">
        <f t="shared" si="1"/>
        <v>26.16</v>
      </c>
      <c r="K1759" s="16" t="str">
        <f t="array" ref="K1759">_xlfn.XLOOKUP(C1759,Clientes[ID_Cliente],Clientes[Provincia])</f>
        <v>Chaco</v>
      </c>
      <c r="L1759" s="16" t="str">
        <f t="array" ref="L1759">CONCATENATE(_xlfn.XLOOKUP(C1759,Clientes[ID_Cliente],Clientes[Provincia]),", Argentina")</f>
        <v>Chaco, Argentina</v>
      </c>
      <c r="M1759" s="20" t="str">
        <f t="array" ref="M1759">_xlfn.XLOOKUP(F1759,Metodos_De_Pago[ID_Metodo],Metodos_De_Pago[Metodo])</f>
        <v>Mercado Pago</v>
      </c>
      <c r="N1759" s="20" t="str">
        <f t="shared" si="2"/>
        <v>2024 07</v>
      </c>
    </row>
    <row r="1760" ht="22.5" customHeight="1">
      <c r="A1760" s="12">
        <f>IFERROR(__xludf.DUMMYFUNCTION("""COMPUTED_VALUE"""),473.0)</f>
        <v>473</v>
      </c>
      <c r="B1760" s="13">
        <f>IFERROR(__xludf.DUMMYFUNCTION("""COMPUTED_VALUE"""),45487.0)</f>
        <v>45487</v>
      </c>
      <c r="C1760" s="12">
        <f>IFERROR(__xludf.DUMMYFUNCTION("""COMPUTED_VALUE"""),229.0)</f>
        <v>229</v>
      </c>
      <c r="D1760" s="12">
        <f>IFERROR(__xludf.DUMMYFUNCTION("""COMPUTED_VALUE"""),29.0)</f>
        <v>29</v>
      </c>
      <c r="E1760" s="12">
        <f>IFERROR(__xludf.DUMMYFUNCTION("""COMPUTED_VALUE"""),4.0)</f>
        <v>4</v>
      </c>
      <c r="F1760" s="12">
        <f>IFERROR(__xludf.DUMMYFUNCTION("""COMPUTED_VALUE"""),4.0)</f>
        <v>4</v>
      </c>
      <c r="G1760" s="15" t="str">
        <f>IFERROR(__xludf.DUMMYFUNCTION("""COMPUTED_VALUE"""),"Completa")</f>
        <v>Completa</v>
      </c>
      <c r="H1760" s="16" t="str">
        <f t="array" ref="H1760">_xlfn.XLOOKUP(D1760,Productos[ID_Producto],Productos[Nombre_Producto])</f>
        <v>Cerveza</v>
      </c>
      <c r="I1760" s="17">
        <f t="array" ref="I1760">_xlfn.XLOOKUP(D1760,Productos[ID_Producto],Productos[Precio_Unitario])</f>
        <v>11.54</v>
      </c>
      <c r="J1760" s="17">
        <f t="shared" si="1"/>
        <v>46.16</v>
      </c>
      <c r="K1760" s="16" t="str">
        <f t="array" ref="K1760">_xlfn.XLOOKUP(C1760,Clientes[ID_Cliente],Clientes[Provincia])</f>
        <v>San Luis</v>
      </c>
      <c r="L1760" s="16" t="str">
        <f t="array" ref="L1760">CONCATENATE(_xlfn.XLOOKUP(C1760,Clientes[ID_Cliente],Clientes[Provincia]),", Argentina")</f>
        <v>San Luis, Argentina</v>
      </c>
      <c r="M1760" s="20" t="str">
        <f t="array" ref="M1760">_xlfn.XLOOKUP(F1760,Metodos_De_Pago[ID_Metodo],Metodos_De_Pago[Metodo])</f>
        <v>Mercado Pago</v>
      </c>
      <c r="N1760" s="20" t="str">
        <f t="shared" si="2"/>
        <v>2024 07</v>
      </c>
    </row>
    <row r="1761" ht="22.5" customHeight="1">
      <c r="A1761" s="12">
        <f>IFERROR(__xludf.DUMMYFUNCTION("""COMPUTED_VALUE"""),1778.0)</f>
        <v>1778</v>
      </c>
      <c r="B1761" s="13">
        <f>IFERROR(__xludf.DUMMYFUNCTION("""COMPUTED_VALUE"""),45487.0)</f>
        <v>45487</v>
      </c>
      <c r="C1761" s="12">
        <f>IFERROR(__xludf.DUMMYFUNCTION("""COMPUTED_VALUE"""),208.0)</f>
        <v>208</v>
      </c>
      <c r="D1761" s="12">
        <f>IFERROR(__xludf.DUMMYFUNCTION("""COMPUTED_VALUE"""),19.0)</f>
        <v>19</v>
      </c>
      <c r="E1761" s="12">
        <f>IFERROR(__xludf.DUMMYFUNCTION("""COMPUTED_VALUE"""),4.0)</f>
        <v>4</v>
      </c>
      <c r="F1761" s="12">
        <f>IFERROR(__xludf.DUMMYFUNCTION("""COMPUTED_VALUE"""),3.0)</f>
        <v>3</v>
      </c>
      <c r="G1761" s="15" t="str">
        <f>IFERROR(__xludf.DUMMYFUNCTION("""COMPUTED_VALUE"""),"Completa")</f>
        <v>Completa</v>
      </c>
      <c r="H1761" s="16" t="str">
        <f t="array" ref="H1761">_xlfn.XLOOKUP(D1761,Productos[ID_Producto],Productos[Nombre_Producto])</f>
        <v>Tomates</v>
      </c>
      <c r="I1761" s="17">
        <f t="array" ref="I1761">_xlfn.XLOOKUP(D1761,Productos[ID_Producto],Productos[Precio_Unitario])</f>
        <v>6.54</v>
      </c>
      <c r="J1761" s="17">
        <f t="shared" si="1"/>
        <v>26.16</v>
      </c>
      <c r="K1761" s="16" t="str">
        <f t="array" ref="K1761">_xlfn.XLOOKUP(C1761,Clientes[ID_Cliente],Clientes[Provincia])</f>
        <v>Buenos Aires</v>
      </c>
      <c r="L1761" s="16" t="str">
        <f t="array" ref="L1761">CONCATENATE(_xlfn.XLOOKUP(C1761,Clientes[ID_Cliente],Clientes[Provincia]),", Argentina")</f>
        <v>Buenos Aires, Argentina</v>
      </c>
      <c r="M1761" s="20" t="str">
        <f t="array" ref="M1761">_xlfn.XLOOKUP(F1761,Metodos_De_Pago[ID_Metodo],Metodos_De_Pago[Metodo])</f>
        <v>Tarjeta de Débito</v>
      </c>
      <c r="N1761" s="20" t="str">
        <f t="shared" si="2"/>
        <v>2024 07</v>
      </c>
    </row>
    <row r="1762" ht="22.5" customHeight="1">
      <c r="A1762" s="12">
        <f>IFERROR(__xludf.DUMMYFUNCTION("""COMPUTED_VALUE"""),74.0)</f>
        <v>74</v>
      </c>
      <c r="B1762" s="13">
        <f>IFERROR(__xludf.DUMMYFUNCTION("""COMPUTED_VALUE"""),45489.0)</f>
        <v>45489</v>
      </c>
      <c r="C1762" s="12">
        <f>IFERROR(__xludf.DUMMYFUNCTION("""COMPUTED_VALUE"""),125.0)</f>
        <v>125</v>
      </c>
      <c r="D1762" s="12">
        <f>IFERROR(__xludf.DUMMYFUNCTION("""COMPUTED_VALUE"""),19.0)</f>
        <v>19</v>
      </c>
      <c r="E1762" s="12">
        <f>IFERROR(__xludf.DUMMYFUNCTION("""COMPUTED_VALUE"""),4.0)</f>
        <v>4</v>
      </c>
      <c r="F1762" s="12">
        <f>IFERROR(__xludf.DUMMYFUNCTION("""COMPUTED_VALUE"""),5.0)</f>
        <v>5</v>
      </c>
      <c r="G1762" s="15" t="str">
        <f>IFERROR(__xludf.DUMMYFUNCTION("""COMPUTED_VALUE"""),"Pendiente")</f>
        <v>Pendiente</v>
      </c>
      <c r="H1762" s="16" t="str">
        <f t="array" ref="H1762">_xlfn.XLOOKUP(D1762,Productos[ID_Producto],Productos[Nombre_Producto])</f>
        <v>Tomates</v>
      </c>
      <c r="I1762" s="17">
        <f t="array" ref="I1762">_xlfn.XLOOKUP(D1762,Productos[ID_Producto],Productos[Precio_Unitario])</f>
        <v>6.54</v>
      </c>
      <c r="J1762" s="17">
        <f t="shared" si="1"/>
        <v>26.16</v>
      </c>
      <c r="K1762" s="16" t="str">
        <f t="array" ref="K1762">_xlfn.XLOOKUP(C1762,Clientes[ID_Cliente],Clientes[Provincia])</f>
        <v>Neuquén</v>
      </c>
      <c r="L1762" s="16" t="str">
        <f t="array" ref="L1762">CONCATENATE(_xlfn.XLOOKUP(C1762,Clientes[ID_Cliente],Clientes[Provincia]),", Argentina")</f>
        <v>Neuquén, Argentina</v>
      </c>
      <c r="M1762" s="20" t="str">
        <f t="array" ref="M1762">_xlfn.XLOOKUP(F1762,Metodos_De_Pago[ID_Metodo],Metodos_De_Pago[Metodo])</f>
        <v>Transferencia</v>
      </c>
      <c r="N1762" s="20" t="str">
        <f t="shared" si="2"/>
        <v>2024 07</v>
      </c>
    </row>
    <row r="1763" ht="22.5" customHeight="1">
      <c r="A1763" s="12">
        <f>IFERROR(__xludf.DUMMYFUNCTION("""COMPUTED_VALUE"""),893.0)</f>
        <v>893</v>
      </c>
      <c r="B1763" s="13">
        <f>IFERROR(__xludf.DUMMYFUNCTION("""COMPUTED_VALUE"""),45489.0)</f>
        <v>45489</v>
      </c>
      <c r="C1763" s="12">
        <f>IFERROR(__xludf.DUMMYFUNCTION("""COMPUTED_VALUE"""),183.0)</f>
        <v>183</v>
      </c>
      <c r="D1763" s="12">
        <f>IFERROR(__xludf.DUMMYFUNCTION("""COMPUTED_VALUE"""),29.0)</f>
        <v>29</v>
      </c>
      <c r="E1763" s="12">
        <f>IFERROR(__xludf.DUMMYFUNCTION("""COMPUTED_VALUE"""),4.0)</f>
        <v>4</v>
      </c>
      <c r="F1763" s="12">
        <f>IFERROR(__xludf.DUMMYFUNCTION("""COMPUTED_VALUE"""),3.0)</f>
        <v>3</v>
      </c>
      <c r="G1763" s="15" t="str">
        <f>IFERROR(__xludf.DUMMYFUNCTION("""COMPUTED_VALUE"""),"Completa")</f>
        <v>Completa</v>
      </c>
      <c r="H1763" s="16" t="str">
        <f t="array" ref="H1763">_xlfn.XLOOKUP(D1763,Productos[ID_Producto],Productos[Nombre_Producto])</f>
        <v>Cerveza</v>
      </c>
      <c r="I1763" s="17">
        <f t="array" ref="I1763">_xlfn.XLOOKUP(D1763,Productos[ID_Producto],Productos[Precio_Unitario])</f>
        <v>11.54</v>
      </c>
      <c r="J1763" s="17">
        <f t="shared" si="1"/>
        <v>46.16</v>
      </c>
      <c r="K1763" s="16" t="str">
        <f t="array" ref="K1763">_xlfn.XLOOKUP(C1763,Clientes[ID_Cliente],Clientes[Provincia])</f>
        <v>Neuquén</v>
      </c>
      <c r="L1763" s="16" t="str">
        <f t="array" ref="L1763">CONCATENATE(_xlfn.XLOOKUP(C1763,Clientes[ID_Cliente],Clientes[Provincia]),", Argentina")</f>
        <v>Neuquén, Argentina</v>
      </c>
      <c r="M1763" s="20" t="str">
        <f t="array" ref="M1763">_xlfn.XLOOKUP(F1763,Metodos_De_Pago[ID_Metodo],Metodos_De_Pago[Metodo])</f>
        <v>Tarjeta de Débito</v>
      </c>
      <c r="N1763" s="20" t="str">
        <f t="shared" si="2"/>
        <v>2024 07</v>
      </c>
    </row>
    <row r="1764" ht="22.5" customHeight="1">
      <c r="A1764" s="12">
        <f>IFERROR(__xludf.DUMMYFUNCTION("""COMPUTED_VALUE"""),1400.0)</f>
        <v>1400</v>
      </c>
      <c r="B1764" s="13">
        <f>IFERROR(__xludf.DUMMYFUNCTION("""COMPUTED_VALUE"""),45489.0)</f>
        <v>45489</v>
      </c>
      <c r="C1764" s="12">
        <f>IFERROR(__xludf.DUMMYFUNCTION("""COMPUTED_VALUE"""),299.0)</f>
        <v>299</v>
      </c>
      <c r="D1764" s="12">
        <f>IFERROR(__xludf.DUMMYFUNCTION("""COMPUTED_VALUE"""),22.0)</f>
        <v>22</v>
      </c>
      <c r="E1764" s="12">
        <f>IFERROR(__xludf.DUMMYFUNCTION("""COMPUTED_VALUE"""),4.0)</f>
        <v>4</v>
      </c>
      <c r="F1764" s="12">
        <f>IFERROR(__xludf.DUMMYFUNCTION("""COMPUTED_VALUE"""),4.0)</f>
        <v>4</v>
      </c>
      <c r="G1764" s="15" t="str">
        <f>IFERROR(__xludf.DUMMYFUNCTION("""COMPUTED_VALUE"""),"Completa")</f>
        <v>Completa</v>
      </c>
      <c r="H1764" s="16" t="str">
        <f t="array" ref="H1764">_xlfn.XLOOKUP(D1764,Productos[ID_Producto],Productos[Nombre_Producto])</f>
        <v>Cebolla</v>
      </c>
      <c r="I1764" s="17">
        <f t="array" ref="I1764">_xlfn.XLOOKUP(D1764,Productos[ID_Producto],Productos[Precio_Unitario])</f>
        <v>4.21</v>
      </c>
      <c r="J1764" s="17">
        <f t="shared" si="1"/>
        <v>16.84</v>
      </c>
      <c r="K1764" s="16" t="str">
        <f t="array" ref="K1764">_xlfn.XLOOKUP(C1764,Clientes[ID_Cliente],Clientes[Provincia])</f>
        <v>San Luis</v>
      </c>
      <c r="L1764" s="16" t="str">
        <f t="array" ref="L1764">CONCATENATE(_xlfn.XLOOKUP(C1764,Clientes[ID_Cliente],Clientes[Provincia]),", Argentina")</f>
        <v>San Luis, Argentina</v>
      </c>
      <c r="M1764" s="20" t="str">
        <f t="array" ref="M1764">_xlfn.XLOOKUP(F1764,Metodos_De_Pago[ID_Metodo],Metodos_De_Pago[Metodo])</f>
        <v>Mercado Pago</v>
      </c>
      <c r="N1764" s="20" t="str">
        <f t="shared" si="2"/>
        <v>2024 07</v>
      </c>
    </row>
    <row r="1765" ht="22.5" customHeight="1">
      <c r="A1765" s="12">
        <f>IFERROR(__xludf.DUMMYFUNCTION("""COMPUTED_VALUE"""),1335.0)</f>
        <v>1335</v>
      </c>
      <c r="B1765" s="13">
        <f>IFERROR(__xludf.DUMMYFUNCTION("""COMPUTED_VALUE"""),45490.0)</f>
        <v>45490</v>
      </c>
      <c r="C1765" s="12">
        <f>IFERROR(__xludf.DUMMYFUNCTION("""COMPUTED_VALUE"""),33.0)</f>
        <v>33</v>
      </c>
      <c r="D1765" s="12">
        <f>IFERROR(__xludf.DUMMYFUNCTION("""COMPUTED_VALUE"""),28.0)</f>
        <v>28</v>
      </c>
      <c r="E1765" s="12">
        <f>IFERROR(__xludf.DUMMYFUNCTION("""COMPUTED_VALUE"""),4.0)</f>
        <v>4</v>
      </c>
      <c r="F1765" s="12">
        <f>IFERROR(__xludf.DUMMYFUNCTION("""COMPUTED_VALUE"""),4.0)</f>
        <v>4</v>
      </c>
      <c r="G1765" s="15" t="str">
        <f>IFERROR(__xludf.DUMMYFUNCTION("""COMPUTED_VALUE"""),"Completa")</f>
        <v>Completa</v>
      </c>
      <c r="H1765" s="16" t="str">
        <f t="array" ref="H1765">_xlfn.XLOOKUP(D1765,Productos[ID_Producto],Productos[Nombre_Producto])</f>
        <v>Jugos de frutas</v>
      </c>
      <c r="I1765" s="17">
        <f t="array" ref="I1765">_xlfn.XLOOKUP(D1765,Productos[ID_Producto],Productos[Precio_Unitario])</f>
        <v>9.45</v>
      </c>
      <c r="J1765" s="17">
        <f t="shared" si="1"/>
        <v>37.8</v>
      </c>
      <c r="K1765" s="16" t="str">
        <f t="array" ref="K1765">_xlfn.XLOOKUP(C1765,Clientes[ID_Cliente],Clientes[Provincia])</f>
        <v>Chaco</v>
      </c>
      <c r="L1765" s="16" t="str">
        <f t="array" ref="L1765">CONCATENATE(_xlfn.XLOOKUP(C1765,Clientes[ID_Cliente],Clientes[Provincia]),", Argentina")</f>
        <v>Chaco, Argentina</v>
      </c>
      <c r="M1765" s="20" t="str">
        <f t="array" ref="M1765">_xlfn.XLOOKUP(F1765,Metodos_De_Pago[ID_Metodo],Metodos_De_Pago[Metodo])</f>
        <v>Mercado Pago</v>
      </c>
      <c r="N1765" s="20" t="str">
        <f t="shared" si="2"/>
        <v>2024 07</v>
      </c>
    </row>
    <row r="1766" ht="22.5" customHeight="1">
      <c r="A1766" s="12">
        <f>IFERROR(__xludf.DUMMYFUNCTION("""COMPUTED_VALUE"""),1898.0)</f>
        <v>1898</v>
      </c>
      <c r="B1766" s="13">
        <f>IFERROR(__xludf.DUMMYFUNCTION("""COMPUTED_VALUE"""),45490.0)</f>
        <v>45490</v>
      </c>
      <c r="C1766" s="12">
        <f>IFERROR(__xludf.DUMMYFUNCTION("""COMPUTED_VALUE"""),261.0)</f>
        <v>261</v>
      </c>
      <c r="D1766" s="12">
        <f>IFERROR(__xludf.DUMMYFUNCTION("""COMPUTED_VALUE"""),20.0)</f>
        <v>20</v>
      </c>
      <c r="E1766" s="12">
        <f>IFERROR(__xludf.DUMMYFUNCTION("""COMPUTED_VALUE"""),4.0)</f>
        <v>4</v>
      </c>
      <c r="F1766" s="12">
        <f>IFERROR(__xludf.DUMMYFUNCTION("""COMPUTED_VALUE"""),4.0)</f>
        <v>4</v>
      </c>
      <c r="G1766" s="15" t="str">
        <f>IFERROR(__xludf.DUMMYFUNCTION("""COMPUTED_VALUE"""),"Completa")</f>
        <v>Completa</v>
      </c>
      <c r="H1766" s="16" t="str">
        <f t="array" ref="H1766">_xlfn.XLOOKUP(D1766,Productos[ID_Producto],Productos[Nombre_Producto])</f>
        <v>Lechugas</v>
      </c>
      <c r="I1766" s="17">
        <f t="array" ref="I1766">_xlfn.XLOOKUP(D1766,Productos[ID_Producto],Productos[Precio_Unitario])</f>
        <v>4.25</v>
      </c>
      <c r="J1766" s="17">
        <f t="shared" si="1"/>
        <v>17</v>
      </c>
      <c r="K1766" s="16" t="str">
        <f t="array" ref="K1766">_xlfn.XLOOKUP(C1766,Clientes[ID_Cliente],Clientes[Provincia])</f>
        <v>Salta</v>
      </c>
      <c r="L1766" s="16" t="str">
        <f t="array" ref="L1766">CONCATENATE(_xlfn.XLOOKUP(C1766,Clientes[ID_Cliente],Clientes[Provincia]),", Argentina")</f>
        <v>Salta, Argentina</v>
      </c>
      <c r="M1766" s="20" t="str">
        <f t="array" ref="M1766">_xlfn.XLOOKUP(F1766,Metodos_De_Pago[ID_Metodo],Metodos_De_Pago[Metodo])</f>
        <v>Mercado Pago</v>
      </c>
      <c r="N1766" s="20" t="str">
        <f t="shared" si="2"/>
        <v>2024 07</v>
      </c>
    </row>
    <row r="1767" ht="22.5" customHeight="1">
      <c r="A1767" s="12">
        <f>IFERROR(__xludf.DUMMYFUNCTION("""COMPUTED_VALUE"""),1493.0)</f>
        <v>1493</v>
      </c>
      <c r="B1767" s="13">
        <f>IFERROR(__xludf.DUMMYFUNCTION("""COMPUTED_VALUE"""),45491.0)</f>
        <v>45491</v>
      </c>
      <c r="C1767" s="12">
        <f>IFERROR(__xludf.DUMMYFUNCTION("""COMPUTED_VALUE"""),291.0)</f>
        <v>291</v>
      </c>
      <c r="D1767" s="12">
        <f>IFERROR(__xludf.DUMMYFUNCTION("""COMPUTED_VALUE"""),15.0)</f>
        <v>15</v>
      </c>
      <c r="E1767" s="12">
        <f>IFERROR(__xludf.DUMMYFUNCTION("""COMPUTED_VALUE"""),4.0)</f>
        <v>4</v>
      </c>
      <c r="F1767" s="12">
        <f>IFERROR(__xludf.DUMMYFUNCTION("""COMPUTED_VALUE"""),5.0)</f>
        <v>5</v>
      </c>
      <c r="G1767" s="15" t="str">
        <f>IFERROR(__xludf.DUMMYFUNCTION("""COMPUTED_VALUE"""),"Completa")</f>
        <v>Completa</v>
      </c>
      <c r="H1767" s="16" t="str">
        <f t="array" ref="H1767">_xlfn.XLOOKUP(D1767,Productos[ID_Producto],Productos[Nombre_Producto])</f>
        <v>Medialunas</v>
      </c>
      <c r="I1767" s="17">
        <f t="array" ref="I1767">_xlfn.XLOOKUP(D1767,Productos[ID_Producto],Productos[Precio_Unitario])</f>
        <v>3.51</v>
      </c>
      <c r="J1767" s="17">
        <f t="shared" si="1"/>
        <v>14.04</v>
      </c>
      <c r="K1767" s="16" t="str">
        <f t="array" ref="K1767">_xlfn.XLOOKUP(C1767,Clientes[ID_Cliente],Clientes[Provincia])</f>
        <v>Chaco</v>
      </c>
      <c r="L1767" s="16" t="str">
        <f t="array" ref="L1767">CONCATENATE(_xlfn.XLOOKUP(C1767,Clientes[ID_Cliente],Clientes[Provincia]),", Argentina")</f>
        <v>Chaco, Argentina</v>
      </c>
      <c r="M1767" s="20" t="str">
        <f t="array" ref="M1767">_xlfn.XLOOKUP(F1767,Metodos_De_Pago[ID_Metodo],Metodos_De_Pago[Metodo])</f>
        <v>Transferencia</v>
      </c>
      <c r="N1767" s="20" t="str">
        <f t="shared" si="2"/>
        <v>2024 07</v>
      </c>
    </row>
    <row r="1768" ht="22.5" customHeight="1">
      <c r="A1768" s="12">
        <f>IFERROR(__xludf.DUMMYFUNCTION("""COMPUTED_VALUE"""),1395.0)</f>
        <v>1395</v>
      </c>
      <c r="B1768" s="13">
        <f>IFERROR(__xludf.DUMMYFUNCTION("""COMPUTED_VALUE"""),45492.0)</f>
        <v>45492</v>
      </c>
      <c r="C1768" s="12">
        <f>IFERROR(__xludf.DUMMYFUNCTION("""COMPUTED_VALUE"""),265.0)</f>
        <v>265</v>
      </c>
      <c r="D1768" s="12">
        <f>IFERROR(__xludf.DUMMYFUNCTION("""COMPUTED_VALUE"""),3.0)</f>
        <v>3</v>
      </c>
      <c r="E1768" s="12">
        <f>IFERROR(__xludf.DUMMYFUNCTION("""COMPUTED_VALUE"""),4.0)</f>
        <v>4</v>
      </c>
      <c r="F1768" s="12">
        <f>IFERROR(__xludf.DUMMYFUNCTION("""COMPUTED_VALUE"""),4.0)</f>
        <v>4</v>
      </c>
      <c r="G1768" s="15" t="str">
        <f>IFERROR(__xludf.DUMMYFUNCTION("""COMPUTED_VALUE"""),"Pendiente")</f>
        <v>Pendiente</v>
      </c>
      <c r="H1768" s="16" t="str">
        <f t="array" ref="H1768">_xlfn.XLOOKUP(D1768,Productos[ID_Producto],Productos[Nombre_Producto])</f>
        <v>Queso cremoso</v>
      </c>
      <c r="I1768" s="17">
        <f t="array" ref="I1768">_xlfn.XLOOKUP(D1768,Productos[ID_Producto],Productos[Precio_Unitario])</f>
        <v>17.23</v>
      </c>
      <c r="J1768" s="17">
        <f t="shared" si="1"/>
        <v>68.92</v>
      </c>
      <c r="K1768" s="16" t="str">
        <f t="array" ref="K1768">_xlfn.XLOOKUP(C1768,Clientes[ID_Cliente],Clientes[Provincia])</f>
        <v>Córdoba</v>
      </c>
      <c r="L1768" s="16" t="str">
        <f t="array" ref="L1768">CONCATENATE(_xlfn.XLOOKUP(C1768,Clientes[ID_Cliente],Clientes[Provincia]),", Argentina")</f>
        <v>Córdoba, Argentina</v>
      </c>
      <c r="M1768" s="20" t="str">
        <f t="array" ref="M1768">_xlfn.XLOOKUP(F1768,Metodos_De_Pago[ID_Metodo],Metodos_De_Pago[Metodo])</f>
        <v>Mercado Pago</v>
      </c>
      <c r="N1768" s="20" t="str">
        <f t="shared" si="2"/>
        <v>2024 07</v>
      </c>
    </row>
    <row r="1769" ht="22.5" customHeight="1">
      <c r="A1769" s="12">
        <f>IFERROR(__xludf.DUMMYFUNCTION("""COMPUTED_VALUE"""),2800.0)</f>
        <v>2800</v>
      </c>
      <c r="B1769" s="13">
        <f>IFERROR(__xludf.DUMMYFUNCTION("""COMPUTED_VALUE"""),45492.0)</f>
        <v>45492</v>
      </c>
      <c r="C1769" s="12">
        <f>IFERROR(__xludf.DUMMYFUNCTION("""COMPUTED_VALUE"""),226.0)</f>
        <v>226</v>
      </c>
      <c r="D1769" s="12">
        <f>IFERROR(__xludf.DUMMYFUNCTION("""COMPUTED_VALUE"""),8.0)</f>
        <v>8</v>
      </c>
      <c r="E1769" s="12">
        <f>IFERROR(__xludf.DUMMYFUNCTION("""COMPUTED_VALUE"""),4.0)</f>
        <v>4</v>
      </c>
      <c r="F1769" s="12">
        <f>IFERROR(__xludf.DUMMYFUNCTION("""COMPUTED_VALUE"""),2.0)</f>
        <v>2</v>
      </c>
      <c r="G1769" s="15" t="str">
        <f>IFERROR(__xludf.DUMMYFUNCTION("""COMPUTED_VALUE"""),"Completa")</f>
        <v>Completa</v>
      </c>
      <c r="H1769" s="16" t="str">
        <f t="array" ref="H1769">_xlfn.XLOOKUP(D1769,Productos[ID_Producto],Productos[Nombre_Producto])</f>
        <v>Milanesa</v>
      </c>
      <c r="I1769" s="17">
        <f t="array" ref="I1769">_xlfn.XLOOKUP(D1769,Productos[ID_Producto],Productos[Precio_Unitario])</f>
        <v>16.21</v>
      </c>
      <c r="J1769" s="17">
        <f t="shared" si="1"/>
        <v>64.84</v>
      </c>
      <c r="K1769" s="16" t="str">
        <f t="array" ref="K1769">_xlfn.XLOOKUP(C1769,Clientes[ID_Cliente],Clientes[Provincia])</f>
        <v>Neuquén</v>
      </c>
      <c r="L1769" s="16" t="str">
        <f t="array" ref="L1769">CONCATENATE(_xlfn.XLOOKUP(C1769,Clientes[ID_Cliente],Clientes[Provincia]),", Argentina")</f>
        <v>Neuquén, Argentina</v>
      </c>
      <c r="M1769" s="20" t="str">
        <f t="array" ref="M1769">_xlfn.XLOOKUP(F1769,Metodos_De_Pago[ID_Metodo],Metodos_De_Pago[Metodo])</f>
        <v>Tarjeta de Crédito</v>
      </c>
      <c r="N1769" s="20" t="str">
        <f t="shared" si="2"/>
        <v>2024 07</v>
      </c>
    </row>
    <row r="1770" ht="22.5" customHeight="1">
      <c r="A1770" s="12">
        <f>IFERROR(__xludf.DUMMYFUNCTION("""COMPUTED_VALUE"""),2966.0)</f>
        <v>2966</v>
      </c>
      <c r="B1770" s="13">
        <f>IFERROR(__xludf.DUMMYFUNCTION("""COMPUTED_VALUE"""),45492.0)</f>
        <v>45492</v>
      </c>
      <c r="C1770" s="12">
        <f>IFERROR(__xludf.DUMMYFUNCTION("""COMPUTED_VALUE"""),203.0)</f>
        <v>203</v>
      </c>
      <c r="D1770" s="12">
        <f>IFERROR(__xludf.DUMMYFUNCTION("""COMPUTED_VALUE"""),37.0)</f>
        <v>37</v>
      </c>
      <c r="E1770" s="12">
        <f>IFERROR(__xludf.DUMMYFUNCTION("""COMPUTED_VALUE"""),4.0)</f>
        <v>4</v>
      </c>
      <c r="F1770" s="12">
        <f>IFERROR(__xludf.DUMMYFUNCTION("""COMPUTED_VALUE"""),4.0)</f>
        <v>4</v>
      </c>
      <c r="G1770" s="15" t="str">
        <f>IFERROR(__xludf.DUMMYFUNCTION("""COMPUTED_VALUE"""),"Completa")</f>
        <v>Completa</v>
      </c>
      <c r="H1770" s="16" t="str">
        <f t="array" ref="H1770">_xlfn.XLOOKUP(D1770,Productos[ID_Producto],Productos[Nombre_Producto])</f>
        <v>Garbanzos</v>
      </c>
      <c r="I1770" s="17">
        <f t="array" ref="I1770">_xlfn.XLOOKUP(D1770,Productos[ID_Producto],Productos[Precio_Unitario])</f>
        <v>3.65</v>
      </c>
      <c r="J1770" s="17">
        <f t="shared" si="1"/>
        <v>14.6</v>
      </c>
      <c r="K1770" s="16" t="str">
        <f t="array" ref="K1770">_xlfn.XLOOKUP(C1770,Clientes[ID_Cliente],Clientes[Provincia])</f>
        <v>Buenos Aires</v>
      </c>
      <c r="L1770" s="16" t="str">
        <f t="array" ref="L1770">CONCATENATE(_xlfn.XLOOKUP(C1770,Clientes[ID_Cliente],Clientes[Provincia]),", Argentina")</f>
        <v>Buenos Aires, Argentina</v>
      </c>
      <c r="M1770" s="20" t="str">
        <f t="array" ref="M1770">_xlfn.XLOOKUP(F1770,Metodos_De_Pago[ID_Metodo],Metodos_De_Pago[Metodo])</f>
        <v>Mercado Pago</v>
      </c>
      <c r="N1770" s="20" t="str">
        <f t="shared" si="2"/>
        <v>2024 07</v>
      </c>
    </row>
    <row r="1771" ht="22.5" customHeight="1">
      <c r="A1771" s="12">
        <f>IFERROR(__xludf.DUMMYFUNCTION("""COMPUTED_VALUE"""),707.0)</f>
        <v>707</v>
      </c>
      <c r="B1771" s="13">
        <f>IFERROR(__xludf.DUMMYFUNCTION("""COMPUTED_VALUE"""),45493.0)</f>
        <v>45493</v>
      </c>
      <c r="C1771" s="12">
        <f>IFERROR(__xludf.DUMMYFUNCTION("""COMPUTED_VALUE"""),216.0)</f>
        <v>216</v>
      </c>
      <c r="D1771" s="12">
        <f>IFERROR(__xludf.DUMMYFUNCTION("""COMPUTED_VALUE"""),8.0)</f>
        <v>8</v>
      </c>
      <c r="E1771" s="12">
        <f>IFERROR(__xludf.DUMMYFUNCTION("""COMPUTED_VALUE"""),4.0)</f>
        <v>4</v>
      </c>
      <c r="F1771" s="12">
        <f>IFERROR(__xludf.DUMMYFUNCTION("""COMPUTED_VALUE"""),3.0)</f>
        <v>3</v>
      </c>
      <c r="G1771" s="15" t="str">
        <f>IFERROR(__xludf.DUMMYFUNCTION("""COMPUTED_VALUE"""),"Completa")</f>
        <v>Completa</v>
      </c>
      <c r="H1771" s="16" t="str">
        <f t="array" ref="H1771">_xlfn.XLOOKUP(D1771,Productos[ID_Producto],Productos[Nombre_Producto])</f>
        <v>Milanesa</v>
      </c>
      <c r="I1771" s="17">
        <f t="array" ref="I1771">_xlfn.XLOOKUP(D1771,Productos[ID_Producto],Productos[Precio_Unitario])</f>
        <v>16.21</v>
      </c>
      <c r="J1771" s="17">
        <f t="shared" si="1"/>
        <v>64.84</v>
      </c>
      <c r="K1771" s="16" t="str">
        <f t="array" ref="K1771">_xlfn.XLOOKUP(C1771,Clientes[ID_Cliente],Clientes[Provincia])</f>
        <v>Córdoba</v>
      </c>
      <c r="L1771" s="16" t="str">
        <f t="array" ref="L1771">CONCATENATE(_xlfn.XLOOKUP(C1771,Clientes[ID_Cliente],Clientes[Provincia]),", Argentina")</f>
        <v>Córdoba, Argentina</v>
      </c>
      <c r="M1771" s="20" t="str">
        <f t="array" ref="M1771">_xlfn.XLOOKUP(F1771,Metodos_De_Pago[ID_Metodo],Metodos_De_Pago[Metodo])</f>
        <v>Tarjeta de Débito</v>
      </c>
      <c r="N1771" s="20" t="str">
        <f t="shared" si="2"/>
        <v>2024 07</v>
      </c>
    </row>
    <row r="1772" ht="22.5" customHeight="1">
      <c r="A1772" s="12">
        <f>IFERROR(__xludf.DUMMYFUNCTION("""COMPUTED_VALUE"""),803.0)</f>
        <v>803</v>
      </c>
      <c r="B1772" s="13">
        <f>IFERROR(__xludf.DUMMYFUNCTION("""COMPUTED_VALUE"""),45493.0)</f>
        <v>45493</v>
      </c>
      <c r="C1772" s="12">
        <f>IFERROR(__xludf.DUMMYFUNCTION("""COMPUTED_VALUE"""),227.0)</f>
        <v>227</v>
      </c>
      <c r="D1772" s="12">
        <f>IFERROR(__xludf.DUMMYFUNCTION("""COMPUTED_VALUE"""),2.0)</f>
        <v>2</v>
      </c>
      <c r="E1772" s="12">
        <f>IFERROR(__xludf.DUMMYFUNCTION("""COMPUTED_VALUE"""),4.0)</f>
        <v>4</v>
      </c>
      <c r="F1772" s="12">
        <f>IFERROR(__xludf.DUMMYFUNCTION("""COMPUTED_VALUE"""),4.0)</f>
        <v>4</v>
      </c>
      <c r="G1772" s="15" t="str">
        <f>IFERROR(__xludf.DUMMYFUNCTION("""COMPUTED_VALUE"""),"Pendiente")</f>
        <v>Pendiente</v>
      </c>
      <c r="H1772" s="16" t="str">
        <f t="array" ref="H1772">_xlfn.XLOOKUP(D1772,Productos[ID_Producto],Productos[Nombre_Producto])</f>
        <v>Yogur</v>
      </c>
      <c r="I1772" s="17">
        <f t="array" ref="I1772">_xlfn.XLOOKUP(D1772,Productos[ID_Producto],Productos[Precio_Unitario])</f>
        <v>5.21</v>
      </c>
      <c r="J1772" s="17">
        <f t="shared" si="1"/>
        <v>20.84</v>
      </c>
      <c r="K1772" s="16" t="str">
        <f t="array" ref="K1772">_xlfn.XLOOKUP(C1772,Clientes[ID_Cliente],Clientes[Provincia])</f>
        <v>Buenos Aires</v>
      </c>
      <c r="L1772" s="16" t="str">
        <f t="array" ref="L1772">CONCATENATE(_xlfn.XLOOKUP(C1772,Clientes[ID_Cliente],Clientes[Provincia]),", Argentina")</f>
        <v>Buenos Aires, Argentina</v>
      </c>
      <c r="M1772" s="20" t="str">
        <f t="array" ref="M1772">_xlfn.XLOOKUP(F1772,Metodos_De_Pago[ID_Metodo],Metodos_De_Pago[Metodo])</f>
        <v>Mercado Pago</v>
      </c>
      <c r="N1772" s="20" t="str">
        <f t="shared" si="2"/>
        <v>2024 07</v>
      </c>
    </row>
    <row r="1773" ht="22.5" customHeight="1">
      <c r="A1773" s="12">
        <f>IFERROR(__xludf.DUMMYFUNCTION("""COMPUTED_VALUE"""),1461.0)</f>
        <v>1461</v>
      </c>
      <c r="B1773" s="13">
        <f>IFERROR(__xludf.DUMMYFUNCTION("""COMPUTED_VALUE"""),45493.0)</f>
        <v>45493</v>
      </c>
      <c r="C1773" s="12">
        <f>IFERROR(__xludf.DUMMYFUNCTION("""COMPUTED_VALUE"""),87.0)</f>
        <v>87</v>
      </c>
      <c r="D1773" s="12">
        <f>IFERROR(__xludf.DUMMYFUNCTION("""COMPUTED_VALUE"""),5.0)</f>
        <v>5</v>
      </c>
      <c r="E1773" s="12">
        <f>IFERROR(__xludf.DUMMYFUNCTION("""COMPUTED_VALUE"""),4.0)</f>
        <v>4</v>
      </c>
      <c r="F1773" s="12">
        <f>IFERROR(__xludf.DUMMYFUNCTION("""COMPUTED_VALUE"""),1.0)</f>
        <v>1</v>
      </c>
      <c r="G1773" s="15" t="str">
        <f>IFERROR(__xludf.DUMMYFUNCTION("""COMPUTED_VALUE"""),"Completa")</f>
        <v>Completa</v>
      </c>
      <c r="H1773" s="16" t="str">
        <f t="array" ref="H1773">_xlfn.XLOOKUP(D1773,Productos[ID_Producto],Productos[Nombre_Producto])</f>
        <v>Manteca</v>
      </c>
      <c r="I1773" s="17">
        <f t="array" ref="I1773">_xlfn.XLOOKUP(D1773,Productos[ID_Producto],Productos[Precio_Unitario])</f>
        <v>5.65</v>
      </c>
      <c r="J1773" s="17">
        <f t="shared" si="1"/>
        <v>22.6</v>
      </c>
      <c r="K1773" s="16" t="str">
        <f t="array" ref="K1773">_xlfn.XLOOKUP(C1773,Clientes[ID_Cliente],Clientes[Provincia])</f>
        <v>Neuquén</v>
      </c>
      <c r="L1773" s="16" t="str">
        <f t="array" ref="L1773">CONCATENATE(_xlfn.XLOOKUP(C1773,Clientes[ID_Cliente],Clientes[Provincia]),", Argentina")</f>
        <v>Neuquén, Argentina</v>
      </c>
      <c r="M1773" s="20" t="str">
        <f t="array" ref="M1773">_xlfn.XLOOKUP(F1773,Metodos_De_Pago[ID_Metodo],Metodos_De_Pago[Metodo])</f>
        <v>Efectivo</v>
      </c>
      <c r="N1773" s="20" t="str">
        <f t="shared" si="2"/>
        <v>2024 07</v>
      </c>
    </row>
    <row r="1774" ht="22.5" customHeight="1">
      <c r="A1774" s="12">
        <f>IFERROR(__xludf.DUMMYFUNCTION("""COMPUTED_VALUE"""),1990.0)</f>
        <v>1990</v>
      </c>
      <c r="B1774" s="13">
        <f>IFERROR(__xludf.DUMMYFUNCTION("""COMPUTED_VALUE"""),45495.0)</f>
        <v>45495</v>
      </c>
      <c r="C1774" s="12">
        <f>IFERROR(__xludf.DUMMYFUNCTION("""COMPUTED_VALUE"""),242.0)</f>
        <v>242</v>
      </c>
      <c r="D1774" s="12">
        <f>IFERROR(__xludf.DUMMYFUNCTION("""COMPUTED_VALUE"""),16.0)</f>
        <v>16</v>
      </c>
      <c r="E1774" s="12">
        <f>IFERROR(__xludf.DUMMYFUNCTION("""COMPUTED_VALUE"""),4.0)</f>
        <v>4</v>
      </c>
      <c r="F1774" s="12">
        <f>IFERROR(__xludf.DUMMYFUNCTION("""COMPUTED_VALUE"""),5.0)</f>
        <v>5</v>
      </c>
      <c r="G1774" s="15" t="str">
        <f>IFERROR(__xludf.DUMMYFUNCTION("""COMPUTED_VALUE"""),"Completa")</f>
        <v>Completa</v>
      </c>
      <c r="H1774" s="16" t="str">
        <f t="array" ref="H1774">_xlfn.XLOOKUP(D1774,Productos[ID_Producto],Productos[Nombre_Producto])</f>
        <v>Tortas</v>
      </c>
      <c r="I1774" s="17">
        <f t="array" ref="I1774">_xlfn.XLOOKUP(D1774,Productos[ID_Producto],Productos[Precio_Unitario])</f>
        <v>15.23</v>
      </c>
      <c r="J1774" s="17">
        <f t="shared" si="1"/>
        <v>60.92</v>
      </c>
      <c r="K1774" s="16" t="str">
        <f t="array" ref="K1774">_xlfn.XLOOKUP(C1774,Clientes[ID_Cliente],Clientes[Provincia])</f>
        <v>Chaco</v>
      </c>
      <c r="L1774" s="16" t="str">
        <f t="array" ref="L1774">CONCATENATE(_xlfn.XLOOKUP(C1774,Clientes[ID_Cliente],Clientes[Provincia]),", Argentina")</f>
        <v>Chaco, Argentina</v>
      </c>
      <c r="M1774" s="20" t="str">
        <f t="array" ref="M1774">_xlfn.XLOOKUP(F1774,Metodos_De_Pago[ID_Metodo],Metodos_De_Pago[Metodo])</f>
        <v>Transferencia</v>
      </c>
      <c r="N1774" s="20" t="str">
        <f t="shared" si="2"/>
        <v>2024 07</v>
      </c>
    </row>
    <row r="1775" ht="22.5" customHeight="1">
      <c r="A1775" s="12">
        <f>IFERROR(__xludf.DUMMYFUNCTION("""COMPUTED_VALUE"""),1261.0)</f>
        <v>1261</v>
      </c>
      <c r="B1775" s="13">
        <f>IFERROR(__xludf.DUMMYFUNCTION("""COMPUTED_VALUE"""),45496.0)</f>
        <v>45496</v>
      </c>
      <c r="C1775" s="12">
        <f>IFERROR(__xludf.DUMMYFUNCTION("""COMPUTED_VALUE"""),318.0)</f>
        <v>318</v>
      </c>
      <c r="D1775" s="12">
        <f>IFERROR(__xludf.DUMMYFUNCTION("""COMPUTED_VALUE"""),30.0)</f>
        <v>30</v>
      </c>
      <c r="E1775" s="12">
        <f>IFERROR(__xludf.DUMMYFUNCTION("""COMPUTED_VALUE"""),4.0)</f>
        <v>4</v>
      </c>
      <c r="F1775" s="12">
        <f>IFERROR(__xludf.DUMMYFUNCTION("""COMPUTED_VALUE"""),1.0)</f>
        <v>1</v>
      </c>
      <c r="G1775" s="15" t="str">
        <f>IFERROR(__xludf.DUMMYFUNCTION("""COMPUTED_VALUE"""),"Completa")</f>
        <v>Completa</v>
      </c>
      <c r="H1775" s="16" t="str">
        <f t="array" ref="H1775">_xlfn.XLOOKUP(D1775,Productos[ID_Producto],Productos[Nombre_Producto])</f>
        <v>Vino tinto</v>
      </c>
      <c r="I1775" s="17">
        <f t="array" ref="I1775">_xlfn.XLOOKUP(D1775,Productos[ID_Producto],Productos[Precio_Unitario])</f>
        <v>13.54</v>
      </c>
      <c r="J1775" s="17">
        <f t="shared" si="1"/>
        <v>54.16</v>
      </c>
      <c r="K1775" s="16" t="str">
        <f t="array" ref="K1775">_xlfn.XLOOKUP(C1775,Clientes[ID_Cliente],Clientes[Provincia])</f>
        <v>Buenos Aires</v>
      </c>
      <c r="L1775" s="16" t="str">
        <f t="array" ref="L1775">CONCATENATE(_xlfn.XLOOKUP(C1775,Clientes[ID_Cliente],Clientes[Provincia]),", Argentina")</f>
        <v>Buenos Aires, Argentina</v>
      </c>
      <c r="M1775" s="20" t="str">
        <f t="array" ref="M1775">_xlfn.XLOOKUP(F1775,Metodos_De_Pago[ID_Metodo],Metodos_De_Pago[Metodo])</f>
        <v>Efectivo</v>
      </c>
      <c r="N1775" s="20" t="str">
        <f t="shared" si="2"/>
        <v>2024 07</v>
      </c>
    </row>
    <row r="1776" ht="22.5" customHeight="1">
      <c r="A1776" s="12">
        <f>IFERROR(__xludf.DUMMYFUNCTION("""COMPUTED_VALUE"""),2736.0)</f>
        <v>2736</v>
      </c>
      <c r="B1776" s="13">
        <f>IFERROR(__xludf.DUMMYFUNCTION("""COMPUTED_VALUE"""),45496.0)</f>
        <v>45496</v>
      </c>
      <c r="C1776" s="12">
        <f>IFERROR(__xludf.DUMMYFUNCTION("""COMPUTED_VALUE"""),133.0)</f>
        <v>133</v>
      </c>
      <c r="D1776" s="12">
        <f>IFERROR(__xludf.DUMMYFUNCTION("""COMPUTED_VALUE"""),35.0)</f>
        <v>35</v>
      </c>
      <c r="E1776" s="12">
        <f>IFERROR(__xludf.DUMMYFUNCTION("""COMPUTED_VALUE"""),4.0)</f>
        <v>4</v>
      </c>
      <c r="F1776" s="12">
        <f>IFERROR(__xludf.DUMMYFUNCTION("""COMPUTED_VALUE"""),3.0)</f>
        <v>3</v>
      </c>
      <c r="G1776" s="15" t="str">
        <f>IFERROR(__xludf.DUMMYFUNCTION("""COMPUTED_VALUE"""),"Completa")</f>
        <v>Completa</v>
      </c>
      <c r="H1776" s="16" t="str">
        <f t="array" ref="H1776">_xlfn.XLOOKUP(D1776,Productos[ID_Producto],Productos[Nombre_Producto])</f>
        <v>Arroz</v>
      </c>
      <c r="I1776" s="17">
        <f t="array" ref="I1776">_xlfn.XLOOKUP(D1776,Productos[ID_Producto],Productos[Precio_Unitario])</f>
        <v>4.25</v>
      </c>
      <c r="J1776" s="17">
        <f t="shared" si="1"/>
        <v>17</v>
      </c>
      <c r="K1776" s="16" t="str">
        <f t="array" ref="K1776">_xlfn.XLOOKUP(C1776,Clientes[ID_Cliente],Clientes[Provincia])</f>
        <v>Buenos Aires</v>
      </c>
      <c r="L1776" s="16" t="str">
        <f t="array" ref="L1776">CONCATENATE(_xlfn.XLOOKUP(C1776,Clientes[ID_Cliente],Clientes[Provincia]),", Argentina")</f>
        <v>Buenos Aires, Argentina</v>
      </c>
      <c r="M1776" s="20" t="str">
        <f t="array" ref="M1776">_xlfn.XLOOKUP(F1776,Metodos_De_Pago[ID_Metodo],Metodos_De_Pago[Metodo])</f>
        <v>Tarjeta de Débito</v>
      </c>
      <c r="N1776" s="20" t="str">
        <f t="shared" si="2"/>
        <v>2024 07</v>
      </c>
    </row>
    <row r="1777" ht="22.5" customHeight="1">
      <c r="A1777" s="12">
        <f>IFERROR(__xludf.DUMMYFUNCTION("""COMPUTED_VALUE"""),2525.0)</f>
        <v>2525</v>
      </c>
      <c r="B1777" s="13">
        <f>IFERROR(__xludf.DUMMYFUNCTION("""COMPUTED_VALUE"""),45498.0)</f>
        <v>45498</v>
      </c>
      <c r="C1777" s="12">
        <f>IFERROR(__xludf.DUMMYFUNCTION("""COMPUTED_VALUE"""),231.0)</f>
        <v>231</v>
      </c>
      <c r="D1777" s="12">
        <f>IFERROR(__xludf.DUMMYFUNCTION("""COMPUTED_VALUE"""),38.0)</f>
        <v>38</v>
      </c>
      <c r="E1777" s="12">
        <f>IFERROR(__xludf.DUMMYFUNCTION("""COMPUTED_VALUE"""),4.0)</f>
        <v>4</v>
      </c>
      <c r="F1777" s="12">
        <f>IFERROR(__xludf.DUMMYFUNCTION("""COMPUTED_VALUE"""),5.0)</f>
        <v>5</v>
      </c>
      <c r="G1777" s="15" t="str">
        <f>IFERROR(__xludf.DUMMYFUNCTION("""COMPUTED_VALUE"""),"Completa")</f>
        <v>Completa</v>
      </c>
      <c r="H1777" s="16" t="str">
        <f t="array" ref="H1777">_xlfn.XLOOKUP(D1777,Productos[ID_Producto],Productos[Nombre_Producto])</f>
        <v>Atún enlatado</v>
      </c>
      <c r="I1777" s="17">
        <f t="array" ref="I1777">_xlfn.XLOOKUP(D1777,Productos[ID_Producto],Productos[Precio_Unitario])</f>
        <v>6.21</v>
      </c>
      <c r="J1777" s="17">
        <f t="shared" si="1"/>
        <v>24.84</v>
      </c>
      <c r="K1777" s="16" t="str">
        <f t="array" ref="K1777">_xlfn.XLOOKUP(C1777,Clientes[ID_Cliente],Clientes[Provincia])</f>
        <v>Neuquén</v>
      </c>
      <c r="L1777" s="16" t="str">
        <f t="array" ref="L1777">CONCATENATE(_xlfn.XLOOKUP(C1777,Clientes[ID_Cliente],Clientes[Provincia]),", Argentina")</f>
        <v>Neuquén, Argentina</v>
      </c>
      <c r="M1777" s="20" t="str">
        <f t="array" ref="M1777">_xlfn.XLOOKUP(F1777,Metodos_De_Pago[ID_Metodo],Metodos_De_Pago[Metodo])</f>
        <v>Transferencia</v>
      </c>
      <c r="N1777" s="20" t="str">
        <f t="shared" si="2"/>
        <v>2024 07</v>
      </c>
    </row>
    <row r="1778" ht="22.5" customHeight="1">
      <c r="A1778" s="12">
        <f>IFERROR(__xludf.DUMMYFUNCTION("""COMPUTED_VALUE"""),1233.0)</f>
        <v>1233</v>
      </c>
      <c r="B1778" s="13">
        <f>IFERROR(__xludf.DUMMYFUNCTION("""COMPUTED_VALUE"""),45499.0)</f>
        <v>45499</v>
      </c>
      <c r="C1778" s="12">
        <f>IFERROR(__xludf.DUMMYFUNCTION("""COMPUTED_VALUE"""),199.0)</f>
        <v>199</v>
      </c>
      <c r="D1778" s="12">
        <f>IFERROR(__xludf.DUMMYFUNCTION("""COMPUTED_VALUE"""),16.0)</f>
        <v>16</v>
      </c>
      <c r="E1778" s="12">
        <f>IFERROR(__xludf.DUMMYFUNCTION("""COMPUTED_VALUE"""),4.0)</f>
        <v>4</v>
      </c>
      <c r="F1778" s="12">
        <f>IFERROR(__xludf.DUMMYFUNCTION("""COMPUTED_VALUE"""),3.0)</f>
        <v>3</v>
      </c>
      <c r="G1778" s="15" t="str">
        <f>IFERROR(__xludf.DUMMYFUNCTION("""COMPUTED_VALUE"""),"Cancelada")</f>
        <v>Cancelada</v>
      </c>
      <c r="H1778" s="16" t="str">
        <f t="array" ref="H1778">_xlfn.XLOOKUP(D1778,Productos[ID_Producto],Productos[Nombre_Producto])</f>
        <v>Tortas</v>
      </c>
      <c r="I1778" s="17">
        <f t="array" ref="I1778">_xlfn.XLOOKUP(D1778,Productos[ID_Producto],Productos[Precio_Unitario])</f>
        <v>15.23</v>
      </c>
      <c r="J1778" s="17">
        <f t="shared" si="1"/>
        <v>60.92</v>
      </c>
      <c r="K1778" s="16" t="str">
        <f t="array" ref="K1778">_xlfn.XLOOKUP(C1778,Clientes[ID_Cliente],Clientes[Provincia])</f>
        <v>Buenos Aires</v>
      </c>
      <c r="L1778" s="16" t="str">
        <f t="array" ref="L1778">CONCATENATE(_xlfn.XLOOKUP(C1778,Clientes[ID_Cliente],Clientes[Provincia]),", Argentina")</f>
        <v>Buenos Aires, Argentina</v>
      </c>
      <c r="M1778" s="20" t="str">
        <f t="array" ref="M1778">_xlfn.XLOOKUP(F1778,Metodos_De_Pago[ID_Metodo],Metodos_De_Pago[Metodo])</f>
        <v>Tarjeta de Débito</v>
      </c>
      <c r="N1778" s="20" t="str">
        <f t="shared" si="2"/>
        <v>2024 07</v>
      </c>
    </row>
    <row r="1779" ht="22.5" customHeight="1">
      <c r="A1779" s="12">
        <f>IFERROR(__xludf.DUMMYFUNCTION("""COMPUTED_VALUE"""),2986.0)</f>
        <v>2986</v>
      </c>
      <c r="B1779" s="13">
        <f>IFERROR(__xludf.DUMMYFUNCTION("""COMPUTED_VALUE"""),45499.0)</f>
        <v>45499</v>
      </c>
      <c r="C1779" s="12">
        <f>IFERROR(__xludf.DUMMYFUNCTION("""COMPUTED_VALUE"""),228.0)</f>
        <v>228</v>
      </c>
      <c r="D1779" s="12">
        <f>IFERROR(__xludf.DUMMYFUNCTION("""COMPUTED_VALUE"""),11.0)</f>
        <v>11</v>
      </c>
      <c r="E1779" s="12">
        <f>IFERROR(__xludf.DUMMYFUNCTION("""COMPUTED_VALUE"""),4.0)</f>
        <v>4</v>
      </c>
      <c r="F1779" s="12">
        <f>IFERROR(__xludf.DUMMYFUNCTION("""COMPUTED_VALUE"""),4.0)</f>
        <v>4</v>
      </c>
      <c r="G1779" s="15" t="str">
        <f>IFERROR(__xludf.DUMMYFUNCTION("""COMPUTED_VALUE"""),"Completa")</f>
        <v>Completa</v>
      </c>
      <c r="H1779" s="16" t="str">
        <f t="array" ref="H1779">_xlfn.XLOOKUP(D1779,Productos[ID_Producto],Productos[Nombre_Producto])</f>
        <v>Salchicha</v>
      </c>
      <c r="I1779" s="17">
        <f t="array" ref="I1779">_xlfn.XLOOKUP(D1779,Productos[ID_Producto],Productos[Precio_Unitario])</f>
        <v>11.23</v>
      </c>
      <c r="J1779" s="17">
        <f t="shared" si="1"/>
        <v>44.92</v>
      </c>
      <c r="K1779" s="16" t="str">
        <f t="array" ref="K1779">_xlfn.XLOOKUP(C1779,Clientes[ID_Cliente],Clientes[Provincia])</f>
        <v>Córdoba</v>
      </c>
      <c r="L1779" s="16" t="str">
        <f t="array" ref="L1779">CONCATENATE(_xlfn.XLOOKUP(C1779,Clientes[ID_Cliente],Clientes[Provincia]),", Argentina")</f>
        <v>Córdoba, Argentina</v>
      </c>
      <c r="M1779" s="20" t="str">
        <f t="array" ref="M1779">_xlfn.XLOOKUP(F1779,Metodos_De_Pago[ID_Metodo],Metodos_De_Pago[Metodo])</f>
        <v>Mercado Pago</v>
      </c>
      <c r="N1779" s="20" t="str">
        <f t="shared" si="2"/>
        <v>2024 07</v>
      </c>
    </row>
    <row r="1780" ht="22.5" customHeight="1">
      <c r="A1780" s="12">
        <f>IFERROR(__xludf.DUMMYFUNCTION("""COMPUTED_VALUE"""),771.0)</f>
        <v>771</v>
      </c>
      <c r="B1780" s="13">
        <f>IFERROR(__xludf.DUMMYFUNCTION("""COMPUTED_VALUE"""),45500.0)</f>
        <v>45500</v>
      </c>
      <c r="C1780" s="12">
        <f>IFERROR(__xludf.DUMMYFUNCTION("""COMPUTED_VALUE"""),78.0)</f>
        <v>78</v>
      </c>
      <c r="D1780" s="12">
        <f>IFERROR(__xludf.DUMMYFUNCTION("""COMPUTED_VALUE"""),32.0)</f>
        <v>32</v>
      </c>
      <c r="E1780" s="12">
        <f>IFERROR(__xludf.DUMMYFUNCTION("""COMPUTED_VALUE"""),4.0)</f>
        <v>4</v>
      </c>
      <c r="F1780" s="12">
        <f>IFERROR(__xludf.DUMMYFUNCTION("""COMPUTED_VALUE"""),2.0)</f>
        <v>2</v>
      </c>
      <c r="G1780" s="15" t="str">
        <f>IFERROR(__xludf.DUMMYFUNCTION("""COMPUTED_VALUE"""),"Completa")</f>
        <v>Completa</v>
      </c>
      <c r="H1780" s="16" t="str">
        <f t="array" ref="H1780">_xlfn.XLOOKUP(D1780,Productos[ID_Producto],Productos[Nombre_Producto])</f>
        <v>Galletitas de chocolate</v>
      </c>
      <c r="I1780" s="17">
        <f t="array" ref="I1780">_xlfn.XLOOKUP(D1780,Productos[ID_Producto],Productos[Precio_Unitario])</f>
        <v>6.25</v>
      </c>
      <c r="J1780" s="17">
        <f t="shared" si="1"/>
        <v>25</v>
      </c>
      <c r="K1780" s="16" t="str">
        <f t="array" ref="K1780">_xlfn.XLOOKUP(C1780,Clientes[ID_Cliente],Clientes[Provincia])</f>
        <v>Buenos Aires</v>
      </c>
      <c r="L1780" s="16" t="str">
        <f t="array" ref="L1780">CONCATENATE(_xlfn.XLOOKUP(C1780,Clientes[ID_Cliente],Clientes[Provincia]),", Argentina")</f>
        <v>Buenos Aires, Argentina</v>
      </c>
      <c r="M1780" s="20" t="str">
        <f t="array" ref="M1780">_xlfn.XLOOKUP(F1780,Metodos_De_Pago[ID_Metodo],Metodos_De_Pago[Metodo])</f>
        <v>Tarjeta de Crédito</v>
      </c>
      <c r="N1780" s="20" t="str">
        <f t="shared" si="2"/>
        <v>2024 07</v>
      </c>
    </row>
    <row r="1781" ht="22.5" customHeight="1">
      <c r="A1781" s="12">
        <f>IFERROR(__xludf.DUMMYFUNCTION("""COMPUTED_VALUE"""),1850.0)</f>
        <v>1850</v>
      </c>
      <c r="B1781" s="13">
        <f>IFERROR(__xludf.DUMMYFUNCTION("""COMPUTED_VALUE"""),45502.0)</f>
        <v>45502</v>
      </c>
      <c r="C1781" s="12">
        <f>IFERROR(__xludf.DUMMYFUNCTION("""COMPUTED_VALUE"""),301.0)</f>
        <v>301</v>
      </c>
      <c r="D1781" s="12">
        <f>IFERROR(__xludf.DUMMYFUNCTION("""COMPUTED_VALUE"""),15.0)</f>
        <v>15</v>
      </c>
      <c r="E1781" s="12">
        <f>IFERROR(__xludf.DUMMYFUNCTION("""COMPUTED_VALUE"""),4.0)</f>
        <v>4</v>
      </c>
      <c r="F1781" s="12">
        <f>IFERROR(__xludf.DUMMYFUNCTION("""COMPUTED_VALUE"""),4.0)</f>
        <v>4</v>
      </c>
      <c r="G1781" s="15" t="str">
        <f>IFERROR(__xludf.DUMMYFUNCTION("""COMPUTED_VALUE"""),"Completa")</f>
        <v>Completa</v>
      </c>
      <c r="H1781" s="16" t="str">
        <f t="array" ref="H1781">_xlfn.XLOOKUP(D1781,Productos[ID_Producto],Productos[Nombre_Producto])</f>
        <v>Medialunas</v>
      </c>
      <c r="I1781" s="17">
        <f t="array" ref="I1781">_xlfn.XLOOKUP(D1781,Productos[ID_Producto],Productos[Precio_Unitario])</f>
        <v>3.51</v>
      </c>
      <c r="J1781" s="17">
        <f t="shared" si="1"/>
        <v>14.04</v>
      </c>
      <c r="K1781" s="16" t="str">
        <f t="array" ref="K1781">_xlfn.XLOOKUP(C1781,Clientes[ID_Cliente],Clientes[Provincia])</f>
        <v>San Luis</v>
      </c>
      <c r="L1781" s="16" t="str">
        <f t="array" ref="L1781">CONCATENATE(_xlfn.XLOOKUP(C1781,Clientes[ID_Cliente],Clientes[Provincia]),", Argentina")</f>
        <v>San Luis, Argentina</v>
      </c>
      <c r="M1781" s="20" t="str">
        <f t="array" ref="M1781">_xlfn.XLOOKUP(F1781,Metodos_De_Pago[ID_Metodo],Metodos_De_Pago[Metodo])</f>
        <v>Mercado Pago</v>
      </c>
      <c r="N1781" s="20" t="str">
        <f t="shared" si="2"/>
        <v>2024 07</v>
      </c>
    </row>
    <row r="1782" ht="22.5" customHeight="1">
      <c r="A1782" s="12">
        <f>IFERROR(__xludf.DUMMYFUNCTION("""COMPUTED_VALUE"""),121.0)</f>
        <v>121</v>
      </c>
      <c r="B1782" s="13">
        <f>IFERROR(__xludf.DUMMYFUNCTION("""COMPUTED_VALUE"""),45503.0)</f>
        <v>45503</v>
      </c>
      <c r="C1782" s="12">
        <f>IFERROR(__xludf.DUMMYFUNCTION("""COMPUTED_VALUE"""),114.0)</f>
        <v>114</v>
      </c>
      <c r="D1782" s="12">
        <f>IFERROR(__xludf.DUMMYFUNCTION("""COMPUTED_VALUE"""),38.0)</f>
        <v>38</v>
      </c>
      <c r="E1782" s="12">
        <f>IFERROR(__xludf.DUMMYFUNCTION("""COMPUTED_VALUE"""),4.0)</f>
        <v>4</v>
      </c>
      <c r="F1782" s="12">
        <f>IFERROR(__xludf.DUMMYFUNCTION("""COMPUTED_VALUE"""),5.0)</f>
        <v>5</v>
      </c>
      <c r="G1782" s="15" t="str">
        <f>IFERROR(__xludf.DUMMYFUNCTION("""COMPUTED_VALUE"""),"Completa")</f>
        <v>Completa</v>
      </c>
      <c r="H1782" s="16" t="str">
        <f t="array" ref="H1782">_xlfn.XLOOKUP(D1782,Productos[ID_Producto],Productos[Nombre_Producto])</f>
        <v>Atún enlatado</v>
      </c>
      <c r="I1782" s="17">
        <f t="array" ref="I1782">_xlfn.XLOOKUP(D1782,Productos[ID_Producto],Productos[Precio_Unitario])</f>
        <v>6.21</v>
      </c>
      <c r="J1782" s="17">
        <f t="shared" si="1"/>
        <v>24.84</v>
      </c>
      <c r="K1782" s="16" t="str">
        <f t="array" ref="K1782">_xlfn.XLOOKUP(C1782,Clientes[ID_Cliente],Clientes[Provincia])</f>
        <v>Córdoba</v>
      </c>
      <c r="L1782" s="16" t="str">
        <f t="array" ref="L1782">CONCATENATE(_xlfn.XLOOKUP(C1782,Clientes[ID_Cliente],Clientes[Provincia]),", Argentina")</f>
        <v>Córdoba, Argentina</v>
      </c>
      <c r="M1782" s="20" t="str">
        <f t="array" ref="M1782">_xlfn.XLOOKUP(F1782,Metodos_De_Pago[ID_Metodo],Metodos_De_Pago[Metodo])</f>
        <v>Transferencia</v>
      </c>
      <c r="N1782" s="20" t="str">
        <f t="shared" si="2"/>
        <v>2024 07</v>
      </c>
    </row>
    <row r="1783" ht="22.5" customHeight="1">
      <c r="A1783" s="12">
        <f>IFERROR(__xludf.DUMMYFUNCTION("""COMPUTED_VALUE"""),381.0)</f>
        <v>381</v>
      </c>
      <c r="B1783" s="13">
        <f>IFERROR(__xludf.DUMMYFUNCTION("""COMPUTED_VALUE"""),45503.0)</f>
        <v>45503</v>
      </c>
      <c r="C1783" s="12">
        <f>IFERROR(__xludf.DUMMYFUNCTION("""COMPUTED_VALUE"""),140.0)</f>
        <v>140</v>
      </c>
      <c r="D1783" s="12">
        <f>IFERROR(__xludf.DUMMYFUNCTION("""COMPUTED_VALUE"""),29.0)</f>
        <v>29</v>
      </c>
      <c r="E1783" s="12">
        <f>IFERROR(__xludf.DUMMYFUNCTION("""COMPUTED_VALUE"""),4.0)</f>
        <v>4</v>
      </c>
      <c r="F1783" s="12">
        <f>IFERROR(__xludf.DUMMYFUNCTION("""COMPUTED_VALUE"""),2.0)</f>
        <v>2</v>
      </c>
      <c r="G1783" s="15" t="str">
        <f>IFERROR(__xludf.DUMMYFUNCTION("""COMPUTED_VALUE"""),"Completa")</f>
        <v>Completa</v>
      </c>
      <c r="H1783" s="16" t="str">
        <f t="array" ref="H1783">_xlfn.XLOOKUP(D1783,Productos[ID_Producto],Productos[Nombre_Producto])</f>
        <v>Cerveza</v>
      </c>
      <c r="I1783" s="17">
        <f t="array" ref="I1783">_xlfn.XLOOKUP(D1783,Productos[ID_Producto],Productos[Precio_Unitario])</f>
        <v>11.54</v>
      </c>
      <c r="J1783" s="17">
        <f t="shared" si="1"/>
        <v>46.16</v>
      </c>
      <c r="K1783" s="16" t="str">
        <f t="array" ref="K1783">_xlfn.XLOOKUP(C1783,Clientes[ID_Cliente],Clientes[Provincia])</f>
        <v>Chaco</v>
      </c>
      <c r="L1783" s="16" t="str">
        <f t="array" ref="L1783">CONCATENATE(_xlfn.XLOOKUP(C1783,Clientes[ID_Cliente],Clientes[Provincia]),", Argentina")</f>
        <v>Chaco, Argentina</v>
      </c>
      <c r="M1783" s="20" t="str">
        <f t="array" ref="M1783">_xlfn.XLOOKUP(F1783,Metodos_De_Pago[ID_Metodo],Metodos_De_Pago[Metodo])</f>
        <v>Tarjeta de Crédito</v>
      </c>
      <c r="N1783" s="20" t="str">
        <f t="shared" si="2"/>
        <v>2024 07</v>
      </c>
    </row>
    <row r="1784" ht="22.5" customHeight="1">
      <c r="A1784" s="12">
        <f>IFERROR(__xludf.DUMMYFUNCTION("""COMPUTED_VALUE"""),1520.0)</f>
        <v>1520</v>
      </c>
      <c r="B1784" s="13">
        <f>IFERROR(__xludf.DUMMYFUNCTION("""COMPUTED_VALUE"""),45503.0)</f>
        <v>45503</v>
      </c>
      <c r="C1784" s="12">
        <f>IFERROR(__xludf.DUMMYFUNCTION("""COMPUTED_VALUE"""),209.0)</f>
        <v>209</v>
      </c>
      <c r="D1784" s="12">
        <f>IFERROR(__xludf.DUMMYFUNCTION("""COMPUTED_VALUE"""),1.0)</f>
        <v>1</v>
      </c>
      <c r="E1784" s="12">
        <f>IFERROR(__xludf.DUMMYFUNCTION("""COMPUTED_VALUE"""),4.0)</f>
        <v>4</v>
      </c>
      <c r="F1784" s="12">
        <f>IFERROR(__xludf.DUMMYFUNCTION("""COMPUTED_VALUE"""),5.0)</f>
        <v>5</v>
      </c>
      <c r="G1784" s="15" t="str">
        <f>IFERROR(__xludf.DUMMYFUNCTION("""COMPUTED_VALUE"""),"Completa")</f>
        <v>Completa</v>
      </c>
      <c r="H1784" s="16" t="str">
        <f t="array" ref="H1784">_xlfn.XLOOKUP(D1784,Productos[ID_Producto],Productos[Nombre_Producto])</f>
        <v>Leche</v>
      </c>
      <c r="I1784" s="17">
        <f t="array" ref="I1784">_xlfn.XLOOKUP(D1784,Productos[ID_Producto],Productos[Precio_Unitario])</f>
        <v>12.24</v>
      </c>
      <c r="J1784" s="17">
        <f t="shared" si="1"/>
        <v>48.96</v>
      </c>
      <c r="K1784" s="16" t="str">
        <f t="array" ref="K1784">_xlfn.XLOOKUP(C1784,Clientes[ID_Cliente],Clientes[Provincia])</f>
        <v>Buenos Aires</v>
      </c>
      <c r="L1784" s="16" t="str">
        <f t="array" ref="L1784">CONCATENATE(_xlfn.XLOOKUP(C1784,Clientes[ID_Cliente],Clientes[Provincia]),", Argentina")</f>
        <v>Buenos Aires, Argentina</v>
      </c>
      <c r="M1784" s="20" t="str">
        <f t="array" ref="M1784">_xlfn.XLOOKUP(F1784,Metodos_De_Pago[ID_Metodo],Metodos_De_Pago[Metodo])</f>
        <v>Transferencia</v>
      </c>
      <c r="N1784" s="20" t="str">
        <f t="shared" si="2"/>
        <v>2024 07</v>
      </c>
    </row>
    <row r="1785" ht="22.5" customHeight="1">
      <c r="A1785" s="12">
        <f>IFERROR(__xludf.DUMMYFUNCTION("""COMPUTED_VALUE"""),2656.0)</f>
        <v>2656</v>
      </c>
      <c r="B1785" s="13">
        <f>IFERROR(__xludf.DUMMYFUNCTION("""COMPUTED_VALUE"""),45503.0)</f>
        <v>45503</v>
      </c>
      <c r="C1785" s="12">
        <f>IFERROR(__xludf.DUMMYFUNCTION("""COMPUTED_VALUE"""),207.0)</f>
        <v>207</v>
      </c>
      <c r="D1785" s="12">
        <f>IFERROR(__xludf.DUMMYFUNCTION("""COMPUTED_VALUE"""),14.0)</f>
        <v>14</v>
      </c>
      <c r="E1785" s="12">
        <f>IFERROR(__xludf.DUMMYFUNCTION("""COMPUTED_VALUE"""),4.0)</f>
        <v>4</v>
      </c>
      <c r="F1785" s="12">
        <f>IFERROR(__xludf.DUMMYFUNCTION("""COMPUTED_VALUE"""),5.0)</f>
        <v>5</v>
      </c>
      <c r="G1785" s="15" t="str">
        <f>IFERROR(__xludf.DUMMYFUNCTION("""COMPUTED_VALUE"""),"Completa")</f>
        <v>Completa</v>
      </c>
      <c r="H1785" s="16" t="str">
        <f t="array" ref="H1785">_xlfn.XLOOKUP(D1785,Productos[ID_Producto],Productos[Nombre_Producto])</f>
        <v>Facturas</v>
      </c>
      <c r="I1785" s="17">
        <f t="array" ref="I1785">_xlfn.XLOOKUP(D1785,Productos[ID_Producto],Productos[Precio_Unitario])</f>
        <v>12.36</v>
      </c>
      <c r="J1785" s="17">
        <f t="shared" si="1"/>
        <v>49.44</v>
      </c>
      <c r="K1785" s="16" t="str">
        <f t="array" ref="K1785">_xlfn.XLOOKUP(C1785,Clientes[ID_Cliente],Clientes[Provincia])</f>
        <v>Buenos Aires</v>
      </c>
      <c r="L1785" s="16" t="str">
        <f t="array" ref="L1785">CONCATENATE(_xlfn.XLOOKUP(C1785,Clientes[ID_Cliente],Clientes[Provincia]),", Argentina")</f>
        <v>Buenos Aires, Argentina</v>
      </c>
      <c r="M1785" s="20" t="str">
        <f t="array" ref="M1785">_xlfn.XLOOKUP(F1785,Metodos_De_Pago[ID_Metodo],Metodos_De_Pago[Metodo])</f>
        <v>Transferencia</v>
      </c>
      <c r="N1785" s="20" t="str">
        <f t="shared" si="2"/>
        <v>2024 07</v>
      </c>
    </row>
    <row r="1786" ht="22.5" customHeight="1">
      <c r="A1786" s="12">
        <f>IFERROR(__xludf.DUMMYFUNCTION("""COMPUTED_VALUE"""),2846.0)</f>
        <v>2846</v>
      </c>
      <c r="B1786" s="13">
        <f>IFERROR(__xludf.DUMMYFUNCTION("""COMPUTED_VALUE"""),45503.0)</f>
        <v>45503</v>
      </c>
      <c r="C1786" s="12">
        <f>IFERROR(__xludf.DUMMYFUNCTION("""COMPUTED_VALUE"""),200.0)</f>
        <v>200</v>
      </c>
      <c r="D1786" s="12">
        <f>IFERROR(__xludf.DUMMYFUNCTION("""COMPUTED_VALUE"""),15.0)</f>
        <v>15</v>
      </c>
      <c r="E1786" s="12">
        <f>IFERROR(__xludf.DUMMYFUNCTION("""COMPUTED_VALUE"""),4.0)</f>
        <v>4</v>
      </c>
      <c r="F1786" s="12">
        <f>IFERROR(__xludf.DUMMYFUNCTION("""COMPUTED_VALUE"""),5.0)</f>
        <v>5</v>
      </c>
      <c r="G1786" s="15" t="str">
        <f>IFERROR(__xludf.DUMMYFUNCTION("""COMPUTED_VALUE"""),"Completa")</f>
        <v>Completa</v>
      </c>
      <c r="H1786" s="16" t="str">
        <f t="array" ref="H1786">_xlfn.XLOOKUP(D1786,Productos[ID_Producto],Productos[Nombre_Producto])</f>
        <v>Medialunas</v>
      </c>
      <c r="I1786" s="17">
        <f t="array" ref="I1786">_xlfn.XLOOKUP(D1786,Productos[ID_Producto],Productos[Precio_Unitario])</f>
        <v>3.51</v>
      </c>
      <c r="J1786" s="17">
        <f t="shared" si="1"/>
        <v>14.04</v>
      </c>
      <c r="K1786" s="16" t="str">
        <f t="array" ref="K1786">_xlfn.XLOOKUP(C1786,Clientes[ID_Cliente],Clientes[Provincia])</f>
        <v>Córdoba</v>
      </c>
      <c r="L1786" s="16" t="str">
        <f t="array" ref="L1786">CONCATENATE(_xlfn.XLOOKUP(C1786,Clientes[ID_Cliente],Clientes[Provincia]),", Argentina")</f>
        <v>Córdoba, Argentina</v>
      </c>
      <c r="M1786" s="20" t="str">
        <f t="array" ref="M1786">_xlfn.XLOOKUP(F1786,Metodos_De_Pago[ID_Metodo],Metodos_De_Pago[Metodo])</f>
        <v>Transferencia</v>
      </c>
      <c r="N1786" s="20" t="str">
        <f t="shared" si="2"/>
        <v>2024 07</v>
      </c>
    </row>
    <row r="1787" ht="22.5" customHeight="1">
      <c r="A1787" s="12">
        <f>IFERROR(__xludf.DUMMYFUNCTION("""COMPUTED_VALUE"""),1279.0)</f>
        <v>1279</v>
      </c>
      <c r="B1787" s="13">
        <f>IFERROR(__xludf.DUMMYFUNCTION("""COMPUTED_VALUE"""),45504.0)</f>
        <v>45504</v>
      </c>
      <c r="C1787" s="12">
        <f>IFERROR(__xludf.DUMMYFUNCTION("""COMPUTED_VALUE"""),302.0)</f>
        <v>302</v>
      </c>
      <c r="D1787" s="12">
        <f>IFERROR(__xludf.DUMMYFUNCTION("""COMPUTED_VALUE"""),33.0)</f>
        <v>33</v>
      </c>
      <c r="E1787" s="12">
        <f>IFERROR(__xludf.DUMMYFUNCTION("""COMPUTED_VALUE"""),4.0)</f>
        <v>4</v>
      </c>
      <c r="F1787" s="12">
        <f>IFERROR(__xludf.DUMMYFUNCTION("""COMPUTED_VALUE"""),1.0)</f>
        <v>1</v>
      </c>
      <c r="G1787" s="15" t="str">
        <f>IFERROR(__xludf.DUMMYFUNCTION("""COMPUTED_VALUE"""),"Completa")</f>
        <v>Completa</v>
      </c>
      <c r="H1787" s="16" t="str">
        <f t="array" ref="H1787">_xlfn.XLOOKUP(D1787,Productos[ID_Producto],Productos[Nombre_Producto])</f>
        <v>Papas chips</v>
      </c>
      <c r="I1787" s="17">
        <f t="array" ref="I1787">_xlfn.XLOOKUP(D1787,Productos[ID_Producto],Productos[Precio_Unitario])</f>
        <v>8.54</v>
      </c>
      <c r="J1787" s="17">
        <f t="shared" si="1"/>
        <v>34.16</v>
      </c>
      <c r="K1787" s="16" t="str">
        <f t="array" ref="K1787">_xlfn.XLOOKUP(C1787,Clientes[ID_Cliente],Clientes[Provincia])</f>
        <v>Neuquén</v>
      </c>
      <c r="L1787" s="16" t="str">
        <f t="array" ref="L1787">CONCATENATE(_xlfn.XLOOKUP(C1787,Clientes[ID_Cliente],Clientes[Provincia]),", Argentina")</f>
        <v>Neuquén, Argentina</v>
      </c>
      <c r="M1787" s="20" t="str">
        <f t="array" ref="M1787">_xlfn.XLOOKUP(F1787,Metodos_De_Pago[ID_Metodo],Metodos_De_Pago[Metodo])</f>
        <v>Efectivo</v>
      </c>
      <c r="N1787" s="20" t="str">
        <f t="shared" si="2"/>
        <v>2024 07</v>
      </c>
    </row>
    <row r="1788" ht="22.5" customHeight="1">
      <c r="A1788" s="12">
        <f>IFERROR(__xludf.DUMMYFUNCTION("""COMPUTED_VALUE"""),47.0)</f>
        <v>47</v>
      </c>
      <c r="B1788" s="13">
        <f>IFERROR(__xludf.DUMMYFUNCTION("""COMPUTED_VALUE"""),45505.0)</f>
        <v>45505</v>
      </c>
      <c r="C1788" s="12">
        <f>IFERROR(__xludf.DUMMYFUNCTION("""COMPUTED_VALUE"""),86.0)</f>
        <v>86</v>
      </c>
      <c r="D1788" s="12">
        <f>IFERROR(__xludf.DUMMYFUNCTION("""COMPUTED_VALUE"""),31.0)</f>
        <v>31</v>
      </c>
      <c r="E1788" s="12">
        <f>IFERROR(__xludf.DUMMYFUNCTION("""COMPUTED_VALUE"""),4.0)</f>
        <v>4</v>
      </c>
      <c r="F1788" s="12">
        <f>IFERROR(__xludf.DUMMYFUNCTION("""COMPUTED_VALUE"""),2.0)</f>
        <v>2</v>
      </c>
      <c r="G1788" s="15" t="str">
        <f>IFERROR(__xludf.DUMMYFUNCTION("""COMPUTED_VALUE"""),"Completa")</f>
        <v>Completa</v>
      </c>
      <c r="H1788" s="16" t="str">
        <f t="array" ref="H1788">_xlfn.XLOOKUP(D1788,Productos[ID_Producto],Productos[Nombre_Producto])</f>
        <v>Galletitas de agua</v>
      </c>
      <c r="I1788" s="17">
        <f t="array" ref="I1788">_xlfn.XLOOKUP(D1788,Productos[ID_Producto],Productos[Precio_Unitario])</f>
        <v>5.24</v>
      </c>
      <c r="J1788" s="17">
        <f t="shared" si="1"/>
        <v>20.96</v>
      </c>
      <c r="K1788" s="16" t="str">
        <f t="array" ref="K1788">_xlfn.XLOOKUP(C1788,Clientes[ID_Cliente],Clientes[Provincia])</f>
        <v>Neuquén</v>
      </c>
      <c r="L1788" s="16" t="str">
        <f t="array" ref="L1788">CONCATENATE(_xlfn.XLOOKUP(C1788,Clientes[ID_Cliente],Clientes[Provincia]),", Argentina")</f>
        <v>Neuquén, Argentina</v>
      </c>
      <c r="M1788" s="20" t="str">
        <f t="array" ref="M1788">_xlfn.XLOOKUP(F1788,Metodos_De_Pago[ID_Metodo],Metodos_De_Pago[Metodo])</f>
        <v>Tarjeta de Crédito</v>
      </c>
      <c r="N1788" s="20" t="str">
        <f t="shared" si="2"/>
        <v>2024 08</v>
      </c>
    </row>
    <row r="1789" ht="22.5" customHeight="1">
      <c r="A1789" s="12">
        <f>IFERROR(__xludf.DUMMYFUNCTION("""COMPUTED_VALUE"""),1407.0)</f>
        <v>1407</v>
      </c>
      <c r="B1789" s="13">
        <f>IFERROR(__xludf.DUMMYFUNCTION("""COMPUTED_VALUE"""),45506.0)</f>
        <v>45506</v>
      </c>
      <c r="C1789" s="12">
        <f>IFERROR(__xludf.DUMMYFUNCTION("""COMPUTED_VALUE"""),242.0)</f>
        <v>242</v>
      </c>
      <c r="D1789" s="12">
        <f>IFERROR(__xludf.DUMMYFUNCTION("""COMPUTED_VALUE"""),6.0)</f>
        <v>6</v>
      </c>
      <c r="E1789" s="12">
        <f>IFERROR(__xludf.DUMMYFUNCTION("""COMPUTED_VALUE"""),4.0)</f>
        <v>4</v>
      </c>
      <c r="F1789" s="12">
        <f>IFERROR(__xludf.DUMMYFUNCTION("""COMPUTED_VALUE"""),4.0)</f>
        <v>4</v>
      </c>
      <c r="G1789" s="15" t="str">
        <f>IFERROR(__xludf.DUMMYFUNCTION("""COMPUTED_VALUE"""),"Completa")</f>
        <v>Completa</v>
      </c>
      <c r="H1789" s="16" t="str">
        <f t="array" ref="H1789">_xlfn.XLOOKUP(D1789,Productos[ID_Producto],Productos[Nombre_Producto])</f>
        <v>Asado</v>
      </c>
      <c r="I1789" s="17">
        <f t="array" ref="I1789">_xlfn.XLOOKUP(D1789,Productos[ID_Producto],Productos[Precio_Unitario])</f>
        <v>28.56</v>
      </c>
      <c r="J1789" s="17">
        <f t="shared" si="1"/>
        <v>114.24</v>
      </c>
      <c r="K1789" s="16" t="str">
        <f t="array" ref="K1789">_xlfn.XLOOKUP(C1789,Clientes[ID_Cliente],Clientes[Provincia])</f>
        <v>Chaco</v>
      </c>
      <c r="L1789" s="16" t="str">
        <f t="array" ref="L1789">CONCATENATE(_xlfn.XLOOKUP(C1789,Clientes[ID_Cliente],Clientes[Provincia]),", Argentina")</f>
        <v>Chaco, Argentina</v>
      </c>
      <c r="M1789" s="20" t="str">
        <f t="array" ref="M1789">_xlfn.XLOOKUP(F1789,Metodos_De_Pago[ID_Metodo],Metodos_De_Pago[Metodo])</f>
        <v>Mercado Pago</v>
      </c>
      <c r="N1789" s="20" t="str">
        <f t="shared" si="2"/>
        <v>2024 08</v>
      </c>
    </row>
    <row r="1790" ht="22.5" customHeight="1">
      <c r="A1790" s="12">
        <f>IFERROR(__xludf.DUMMYFUNCTION("""COMPUTED_VALUE"""),1895.0)</f>
        <v>1895</v>
      </c>
      <c r="B1790" s="13">
        <f>IFERROR(__xludf.DUMMYFUNCTION("""COMPUTED_VALUE"""),45507.0)</f>
        <v>45507</v>
      </c>
      <c r="C1790" s="12">
        <f>IFERROR(__xludf.DUMMYFUNCTION("""COMPUTED_VALUE"""),125.0)</f>
        <v>125</v>
      </c>
      <c r="D1790" s="12">
        <f>IFERROR(__xludf.DUMMYFUNCTION("""COMPUTED_VALUE"""),13.0)</f>
        <v>13</v>
      </c>
      <c r="E1790" s="12">
        <f>IFERROR(__xludf.DUMMYFUNCTION("""COMPUTED_VALUE"""),4.0)</f>
        <v>4</v>
      </c>
      <c r="F1790" s="12">
        <f>IFERROR(__xludf.DUMMYFUNCTION("""COMPUTED_VALUE"""),5.0)</f>
        <v>5</v>
      </c>
      <c r="G1790" s="15" t="str">
        <f>IFERROR(__xludf.DUMMYFUNCTION("""COMPUTED_VALUE"""),"Completa")</f>
        <v>Completa</v>
      </c>
      <c r="H1790" s="16" t="str">
        <f t="array" ref="H1790">_xlfn.XLOOKUP(D1790,Productos[ID_Producto],Productos[Nombre_Producto])</f>
        <v>Pan integral</v>
      </c>
      <c r="I1790" s="17">
        <f t="array" ref="I1790">_xlfn.XLOOKUP(D1790,Productos[ID_Producto],Productos[Precio_Unitario])</f>
        <v>12.56</v>
      </c>
      <c r="J1790" s="17">
        <f t="shared" si="1"/>
        <v>50.24</v>
      </c>
      <c r="K1790" s="16" t="str">
        <f t="array" ref="K1790">_xlfn.XLOOKUP(C1790,Clientes[ID_Cliente],Clientes[Provincia])</f>
        <v>Neuquén</v>
      </c>
      <c r="L1790" s="16" t="str">
        <f t="array" ref="L1790">CONCATENATE(_xlfn.XLOOKUP(C1790,Clientes[ID_Cliente],Clientes[Provincia]),", Argentina")</f>
        <v>Neuquén, Argentina</v>
      </c>
      <c r="M1790" s="20" t="str">
        <f t="array" ref="M1790">_xlfn.XLOOKUP(F1790,Metodos_De_Pago[ID_Metodo],Metodos_De_Pago[Metodo])</f>
        <v>Transferencia</v>
      </c>
      <c r="N1790" s="20" t="str">
        <f t="shared" si="2"/>
        <v>2024 08</v>
      </c>
    </row>
    <row r="1791" ht="22.5" customHeight="1">
      <c r="A1791" s="12">
        <f>IFERROR(__xludf.DUMMYFUNCTION("""COMPUTED_VALUE"""),1786.0)</f>
        <v>1786</v>
      </c>
      <c r="B1791" s="13">
        <f>IFERROR(__xludf.DUMMYFUNCTION("""COMPUTED_VALUE"""),45508.0)</f>
        <v>45508</v>
      </c>
      <c r="C1791" s="12">
        <f>IFERROR(__xludf.DUMMYFUNCTION("""COMPUTED_VALUE"""),209.0)</f>
        <v>209</v>
      </c>
      <c r="D1791" s="12">
        <f>IFERROR(__xludf.DUMMYFUNCTION("""COMPUTED_VALUE"""),33.0)</f>
        <v>33</v>
      </c>
      <c r="E1791" s="12">
        <f>IFERROR(__xludf.DUMMYFUNCTION("""COMPUTED_VALUE"""),4.0)</f>
        <v>4</v>
      </c>
      <c r="F1791" s="12">
        <f>IFERROR(__xludf.DUMMYFUNCTION("""COMPUTED_VALUE"""),4.0)</f>
        <v>4</v>
      </c>
      <c r="G1791" s="15" t="str">
        <f>IFERROR(__xludf.DUMMYFUNCTION("""COMPUTED_VALUE"""),"Completa")</f>
        <v>Completa</v>
      </c>
      <c r="H1791" s="16" t="str">
        <f t="array" ref="H1791">_xlfn.XLOOKUP(D1791,Productos[ID_Producto],Productos[Nombre_Producto])</f>
        <v>Papas chips</v>
      </c>
      <c r="I1791" s="17">
        <f t="array" ref="I1791">_xlfn.XLOOKUP(D1791,Productos[ID_Producto],Productos[Precio_Unitario])</f>
        <v>8.54</v>
      </c>
      <c r="J1791" s="17">
        <f t="shared" si="1"/>
        <v>34.16</v>
      </c>
      <c r="K1791" s="16" t="str">
        <f t="array" ref="K1791">_xlfn.XLOOKUP(C1791,Clientes[ID_Cliente],Clientes[Provincia])</f>
        <v>Buenos Aires</v>
      </c>
      <c r="L1791" s="16" t="str">
        <f t="array" ref="L1791">CONCATENATE(_xlfn.XLOOKUP(C1791,Clientes[ID_Cliente],Clientes[Provincia]),", Argentina")</f>
        <v>Buenos Aires, Argentina</v>
      </c>
      <c r="M1791" s="20" t="str">
        <f t="array" ref="M1791">_xlfn.XLOOKUP(F1791,Metodos_De_Pago[ID_Metodo],Metodos_De_Pago[Metodo])</f>
        <v>Mercado Pago</v>
      </c>
      <c r="N1791" s="20" t="str">
        <f t="shared" si="2"/>
        <v>2024 08</v>
      </c>
    </row>
    <row r="1792" ht="22.5" customHeight="1">
      <c r="A1792" s="12">
        <f>IFERROR(__xludf.DUMMYFUNCTION("""COMPUTED_VALUE"""),153.0)</f>
        <v>153</v>
      </c>
      <c r="B1792" s="13">
        <f>IFERROR(__xludf.DUMMYFUNCTION("""COMPUTED_VALUE"""),45509.0)</f>
        <v>45509</v>
      </c>
      <c r="C1792" s="12">
        <f>IFERROR(__xludf.DUMMYFUNCTION("""COMPUTED_VALUE"""),268.0)</f>
        <v>268</v>
      </c>
      <c r="D1792" s="12">
        <f>IFERROR(__xludf.DUMMYFUNCTION("""COMPUTED_VALUE"""),3.0)</f>
        <v>3</v>
      </c>
      <c r="E1792" s="12">
        <f>IFERROR(__xludf.DUMMYFUNCTION("""COMPUTED_VALUE"""),4.0)</f>
        <v>4</v>
      </c>
      <c r="F1792" s="12">
        <f>IFERROR(__xludf.DUMMYFUNCTION("""COMPUTED_VALUE"""),1.0)</f>
        <v>1</v>
      </c>
      <c r="G1792" s="15" t="str">
        <f>IFERROR(__xludf.DUMMYFUNCTION("""COMPUTED_VALUE"""),"Completa")</f>
        <v>Completa</v>
      </c>
      <c r="H1792" s="16" t="str">
        <f t="array" ref="H1792">_xlfn.XLOOKUP(D1792,Productos[ID_Producto],Productos[Nombre_Producto])</f>
        <v>Queso cremoso</v>
      </c>
      <c r="I1792" s="17">
        <f t="array" ref="I1792">_xlfn.XLOOKUP(D1792,Productos[ID_Producto],Productos[Precio_Unitario])</f>
        <v>17.23</v>
      </c>
      <c r="J1792" s="17">
        <f t="shared" si="1"/>
        <v>68.92</v>
      </c>
      <c r="K1792" s="16" t="str">
        <f t="array" ref="K1792">_xlfn.XLOOKUP(C1792,Clientes[ID_Cliente],Clientes[Provincia])</f>
        <v>Salta</v>
      </c>
      <c r="L1792" s="16" t="str">
        <f t="array" ref="L1792">CONCATENATE(_xlfn.XLOOKUP(C1792,Clientes[ID_Cliente],Clientes[Provincia]),", Argentina")</f>
        <v>Salta, Argentina</v>
      </c>
      <c r="M1792" s="20" t="str">
        <f t="array" ref="M1792">_xlfn.XLOOKUP(F1792,Metodos_De_Pago[ID_Metodo],Metodos_De_Pago[Metodo])</f>
        <v>Efectivo</v>
      </c>
      <c r="N1792" s="20" t="str">
        <f t="shared" si="2"/>
        <v>2024 08</v>
      </c>
    </row>
    <row r="1793" ht="22.5" customHeight="1">
      <c r="A1793" s="12">
        <f>IFERROR(__xludf.DUMMYFUNCTION("""COMPUTED_VALUE"""),584.0)</f>
        <v>584</v>
      </c>
      <c r="B1793" s="13">
        <f>IFERROR(__xludf.DUMMYFUNCTION("""COMPUTED_VALUE"""),45509.0)</f>
        <v>45509</v>
      </c>
      <c r="C1793" s="12">
        <f>IFERROR(__xludf.DUMMYFUNCTION("""COMPUTED_VALUE"""),99.0)</f>
        <v>99</v>
      </c>
      <c r="D1793" s="12">
        <f>IFERROR(__xludf.DUMMYFUNCTION("""COMPUTED_VALUE"""),11.0)</f>
        <v>11</v>
      </c>
      <c r="E1793" s="12">
        <f>IFERROR(__xludf.DUMMYFUNCTION("""COMPUTED_VALUE"""),4.0)</f>
        <v>4</v>
      </c>
      <c r="F1793" s="12">
        <f>IFERROR(__xludf.DUMMYFUNCTION("""COMPUTED_VALUE"""),5.0)</f>
        <v>5</v>
      </c>
      <c r="G1793" s="15" t="str">
        <f>IFERROR(__xludf.DUMMYFUNCTION("""COMPUTED_VALUE"""),"Completa")</f>
        <v>Completa</v>
      </c>
      <c r="H1793" s="16" t="str">
        <f t="array" ref="H1793">_xlfn.XLOOKUP(D1793,Productos[ID_Producto],Productos[Nombre_Producto])</f>
        <v>Salchicha</v>
      </c>
      <c r="I1793" s="17">
        <f t="array" ref="I1793">_xlfn.XLOOKUP(D1793,Productos[ID_Producto],Productos[Precio_Unitario])</f>
        <v>11.23</v>
      </c>
      <c r="J1793" s="17">
        <f t="shared" si="1"/>
        <v>44.92</v>
      </c>
      <c r="K1793" s="16" t="str">
        <f t="array" ref="K1793">_xlfn.XLOOKUP(C1793,Clientes[ID_Cliente],Clientes[Provincia])</f>
        <v>Buenos Aires</v>
      </c>
      <c r="L1793" s="16" t="str">
        <f t="array" ref="L1793">CONCATENATE(_xlfn.XLOOKUP(C1793,Clientes[ID_Cliente],Clientes[Provincia]),", Argentina")</f>
        <v>Buenos Aires, Argentina</v>
      </c>
      <c r="M1793" s="20" t="str">
        <f t="array" ref="M1793">_xlfn.XLOOKUP(F1793,Metodos_De_Pago[ID_Metodo],Metodos_De_Pago[Metodo])</f>
        <v>Transferencia</v>
      </c>
      <c r="N1793" s="20" t="str">
        <f t="shared" si="2"/>
        <v>2024 08</v>
      </c>
    </row>
    <row r="1794" ht="22.5" customHeight="1">
      <c r="A1794" s="12">
        <f>IFERROR(__xludf.DUMMYFUNCTION("""COMPUTED_VALUE"""),1482.0)</f>
        <v>1482</v>
      </c>
      <c r="B1794" s="13">
        <f>IFERROR(__xludf.DUMMYFUNCTION("""COMPUTED_VALUE"""),45509.0)</f>
        <v>45509</v>
      </c>
      <c r="C1794" s="12">
        <f>IFERROR(__xludf.DUMMYFUNCTION("""COMPUTED_VALUE"""),126.0)</f>
        <v>126</v>
      </c>
      <c r="D1794" s="12">
        <f>IFERROR(__xludf.DUMMYFUNCTION("""COMPUTED_VALUE"""),18.0)</f>
        <v>18</v>
      </c>
      <c r="E1794" s="12">
        <f>IFERROR(__xludf.DUMMYFUNCTION("""COMPUTED_VALUE"""),4.0)</f>
        <v>4</v>
      </c>
      <c r="F1794" s="12">
        <f>IFERROR(__xludf.DUMMYFUNCTION("""COMPUTED_VALUE"""),1.0)</f>
        <v>1</v>
      </c>
      <c r="G1794" s="15" t="str">
        <f>IFERROR(__xludf.DUMMYFUNCTION("""COMPUTED_VALUE"""),"Completa")</f>
        <v>Completa</v>
      </c>
      <c r="H1794" s="16" t="str">
        <f t="array" ref="H1794">_xlfn.XLOOKUP(D1794,Productos[ID_Producto],Productos[Nombre_Producto])</f>
        <v>Bananas</v>
      </c>
      <c r="I1794" s="17">
        <f t="array" ref="I1794">_xlfn.XLOOKUP(D1794,Productos[ID_Producto],Productos[Precio_Unitario])</f>
        <v>7.25</v>
      </c>
      <c r="J1794" s="17">
        <f t="shared" si="1"/>
        <v>29</v>
      </c>
      <c r="K1794" s="16" t="str">
        <f t="array" ref="K1794">_xlfn.XLOOKUP(C1794,Clientes[ID_Cliente],Clientes[Provincia])</f>
        <v>San Luis</v>
      </c>
      <c r="L1794" s="16" t="str">
        <f t="array" ref="L1794">CONCATENATE(_xlfn.XLOOKUP(C1794,Clientes[ID_Cliente],Clientes[Provincia]),", Argentina")</f>
        <v>San Luis, Argentina</v>
      </c>
      <c r="M1794" s="20" t="str">
        <f t="array" ref="M1794">_xlfn.XLOOKUP(F1794,Metodos_De_Pago[ID_Metodo],Metodos_De_Pago[Metodo])</f>
        <v>Efectivo</v>
      </c>
      <c r="N1794" s="20" t="str">
        <f t="shared" si="2"/>
        <v>2024 08</v>
      </c>
    </row>
    <row r="1795" ht="22.5" customHeight="1">
      <c r="A1795" s="12">
        <f>IFERROR(__xludf.DUMMYFUNCTION("""COMPUTED_VALUE"""),2627.0)</f>
        <v>2627</v>
      </c>
      <c r="B1795" s="13">
        <f>IFERROR(__xludf.DUMMYFUNCTION("""COMPUTED_VALUE"""),45509.0)</f>
        <v>45509</v>
      </c>
      <c r="C1795" s="12">
        <f>IFERROR(__xludf.DUMMYFUNCTION("""COMPUTED_VALUE"""),241.0)</f>
        <v>241</v>
      </c>
      <c r="D1795" s="12">
        <f>IFERROR(__xludf.DUMMYFUNCTION("""COMPUTED_VALUE"""),36.0)</f>
        <v>36</v>
      </c>
      <c r="E1795" s="12">
        <f>IFERROR(__xludf.DUMMYFUNCTION("""COMPUTED_VALUE"""),4.0)</f>
        <v>4</v>
      </c>
      <c r="F1795" s="12">
        <f>IFERROR(__xludf.DUMMYFUNCTION("""COMPUTED_VALUE"""),2.0)</f>
        <v>2</v>
      </c>
      <c r="G1795" s="15" t="str">
        <f>IFERROR(__xludf.DUMMYFUNCTION("""COMPUTED_VALUE"""),"Completa")</f>
        <v>Completa</v>
      </c>
      <c r="H1795" s="16" t="str">
        <f t="array" ref="H1795">_xlfn.XLOOKUP(D1795,Productos[ID_Producto],Productos[Nombre_Producto])</f>
        <v>Lentejas</v>
      </c>
      <c r="I1795" s="17">
        <f t="array" ref="I1795">_xlfn.XLOOKUP(D1795,Productos[ID_Producto],Productos[Precio_Unitario])</f>
        <v>3.25</v>
      </c>
      <c r="J1795" s="17">
        <f t="shared" si="1"/>
        <v>13</v>
      </c>
      <c r="K1795" s="16" t="str">
        <f t="array" ref="K1795">_xlfn.XLOOKUP(C1795,Clientes[ID_Cliente],Clientes[Provincia])</f>
        <v>Buenos Aires</v>
      </c>
      <c r="L1795" s="16" t="str">
        <f t="array" ref="L1795">CONCATENATE(_xlfn.XLOOKUP(C1795,Clientes[ID_Cliente],Clientes[Provincia]),", Argentina")</f>
        <v>Buenos Aires, Argentina</v>
      </c>
      <c r="M1795" s="20" t="str">
        <f t="array" ref="M1795">_xlfn.XLOOKUP(F1795,Metodos_De_Pago[ID_Metodo],Metodos_De_Pago[Metodo])</f>
        <v>Tarjeta de Crédito</v>
      </c>
      <c r="N1795" s="20" t="str">
        <f t="shared" si="2"/>
        <v>2024 08</v>
      </c>
    </row>
    <row r="1796" ht="22.5" customHeight="1">
      <c r="A1796" s="12">
        <f>IFERROR(__xludf.DUMMYFUNCTION("""COMPUTED_VALUE"""),2773.0)</f>
        <v>2773</v>
      </c>
      <c r="B1796" s="13">
        <f>IFERROR(__xludf.DUMMYFUNCTION("""COMPUTED_VALUE"""),45509.0)</f>
        <v>45509</v>
      </c>
      <c r="C1796" s="12">
        <f>IFERROR(__xludf.DUMMYFUNCTION("""COMPUTED_VALUE"""),248.0)</f>
        <v>248</v>
      </c>
      <c r="D1796" s="12">
        <f>IFERROR(__xludf.DUMMYFUNCTION("""COMPUTED_VALUE"""),31.0)</f>
        <v>31</v>
      </c>
      <c r="E1796" s="12">
        <f>IFERROR(__xludf.DUMMYFUNCTION("""COMPUTED_VALUE"""),4.0)</f>
        <v>4</v>
      </c>
      <c r="F1796" s="12">
        <f>IFERROR(__xludf.DUMMYFUNCTION("""COMPUTED_VALUE"""),3.0)</f>
        <v>3</v>
      </c>
      <c r="G1796" s="15" t="str">
        <f>IFERROR(__xludf.DUMMYFUNCTION("""COMPUTED_VALUE"""),"Completa")</f>
        <v>Completa</v>
      </c>
      <c r="H1796" s="16" t="str">
        <f t="array" ref="H1796">_xlfn.XLOOKUP(D1796,Productos[ID_Producto],Productos[Nombre_Producto])</f>
        <v>Galletitas de agua</v>
      </c>
      <c r="I1796" s="17">
        <f t="array" ref="I1796">_xlfn.XLOOKUP(D1796,Productos[ID_Producto],Productos[Precio_Unitario])</f>
        <v>5.24</v>
      </c>
      <c r="J1796" s="17">
        <f t="shared" si="1"/>
        <v>20.96</v>
      </c>
      <c r="K1796" s="16" t="str">
        <f t="array" ref="K1796">_xlfn.XLOOKUP(C1796,Clientes[ID_Cliente],Clientes[Provincia])</f>
        <v>Córdoba</v>
      </c>
      <c r="L1796" s="16" t="str">
        <f t="array" ref="L1796">CONCATENATE(_xlfn.XLOOKUP(C1796,Clientes[ID_Cliente],Clientes[Provincia]),", Argentina")</f>
        <v>Córdoba, Argentina</v>
      </c>
      <c r="M1796" s="20" t="str">
        <f t="array" ref="M1796">_xlfn.XLOOKUP(F1796,Metodos_De_Pago[ID_Metodo],Metodos_De_Pago[Metodo])</f>
        <v>Tarjeta de Débito</v>
      </c>
      <c r="N1796" s="20" t="str">
        <f t="shared" si="2"/>
        <v>2024 08</v>
      </c>
    </row>
    <row r="1797" ht="22.5" customHeight="1">
      <c r="A1797" s="12">
        <f>IFERROR(__xludf.DUMMYFUNCTION("""COMPUTED_VALUE"""),2848.0)</f>
        <v>2848</v>
      </c>
      <c r="B1797" s="13">
        <f>IFERROR(__xludf.DUMMYFUNCTION("""COMPUTED_VALUE"""),45510.0)</f>
        <v>45510</v>
      </c>
      <c r="C1797" s="12">
        <f>IFERROR(__xludf.DUMMYFUNCTION("""COMPUTED_VALUE"""),157.0)</f>
        <v>157</v>
      </c>
      <c r="D1797" s="12">
        <f>IFERROR(__xludf.DUMMYFUNCTION("""COMPUTED_VALUE"""),9.0)</f>
        <v>9</v>
      </c>
      <c r="E1797" s="12">
        <f>IFERROR(__xludf.DUMMYFUNCTION("""COMPUTED_VALUE"""),4.0)</f>
        <v>4</v>
      </c>
      <c r="F1797" s="12">
        <f>IFERROR(__xludf.DUMMYFUNCTION("""COMPUTED_VALUE"""),3.0)</f>
        <v>3</v>
      </c>
      <c r="G1797" s="15" t="str">
        <f>IFERROR(__xludf.DUMMYFUNCTION("""COMPUTED_VALUE"""),"Completa")</f>
        <v>Completa</v>
      </c>
      <c r="H1797" s="16" t="str">
        <f t="array" ref="H1797">_xlfn.XLOOKUP(D1797,Productos[ID_Producto],Productos[Nombre_Producto])</f>
        <v>Pollo</v>
      </c>
      <c r="I1797" s="17">
        <f t="array" ref="I1797">_xlfn.XLOOKUP(D1797,Productos[ID_Producto],Productos[Precio_Unitario])</f>
        <v>18.56</v>
      </c>
      <c r="J1797" s="17">
        <f t="shared" si="1"/>
        <v>74.24</v>
      </c>
      <c r="K1797" s="16" t="str">
        <f t="array" ref="K1797">_xlfn.XLOOKUP(C1797,Clientes[ID_Cliente],Clientes[Provincia])</f>
        <v>Neuquén</v>
      </c>
      <c r="L1797" s="16" t="str">
        <f t="array" ref="L1797">CONCATENATE(_xlfn.XLOOKUP(C1797,Clientes[ID_Cliente],Clientes[Provincia]),", Argentina")</f>
        <v>Neuquén, Argentina</v>
      </c>
      <c r="M1797" s="20" t="str">
        <f t="array" ref="M1797">_xlfn.XLOOKUP(F1797,Metodos_De_Pago[ID_Metodo],Metodos_De_Pago[Metodo])</f>
        <v>Tarjeta de Débito</v>
      </c>
      <c r="N1797" s="20" t="str">
        <f t="shared" si="2"/>
        <v>2024 08</v>
      </c>
    </row>
    <row r="1798" ht="22.5" customHeight="1">
      <c r="A1798" s="12">
        <f>IFERROR(__xludf.DUMMYFUNCTION("""COMPUTED_VALUE"""),2852.0)</f>
        <v>2852</v>
      </c>
      <c r="B1798" s="13">
        <f>IFERROR(__xludf.DUMMYFUNCTION("""COMPUTED_VALUE"""),45510.0)</f>
        <v>45510</v>
      </c>
      <c r="C1798" s="12">
        <f>IFERROR(__xludf.DUMMYFUNCTION("""COMPUTED_VALUE"""),50.0)</f>
        <v>50</v>
      </c>
      <c r="D1798" s="12">
        <f>IFERROR(__xludf.DUMMYFUNCTION("""COMPUTED_VALUE"""),26.0)</f>
        <v>26</v>
      </c>
      <c r="E1798" s="12">
        <f>IFERROR(__xludf.DUMMYFUNCTION("""COMPUTED_VALUE"""),4.0)</f>
        <v>4</v>
      </c>
      <c r="F1798" s="12">
        <f>IFERROR(__xludf.DUMMYFUNCTION("""COMPUTED_VALUE"""),3.0)</f>
        <v>3</v>
      </c>
      <c r="G1798" s="15" t="str">
        <f>IFERROR(__xludf.DUMMYFUNCTION("""COMPUTED_VALUE"""),"Completa")</f>
        <v>Completa</v>
      </c>
      <c r="H1798" s="16" t="str">
        <f t="array" ref="H1798">_xlfn.XLOOKUP(D1798,Productos[ID_Producto],Productos[Nombre_Producto])</f>
        <v>Hamburgesas congeladas</v>
      </c>
      <c r="I1798" s="17">
        <f t="array" ref="I1798">_xlfn.XLOOKUP(D1798,Productos[ID_Producto],Productos[Precio_Unitario])</f>
        <v>9.54</v>
      </c>
      <c r="J1798" s="17">
        <f t="shared" si="1"/>
        <v>38.16</v>
      </c>
      <c r="K1798" s="16" t="str">
        <f t="array" ref="K1798">_xlfn.XLOOKUP(C1798,Clientes[ID_Cliente],Clientes[Provincia])</f>
        <v>Buenos Aires</v>
      </c>
      <c r="L1798" s="16" t="str">
        <f t="array" ref="L1798">CONCATENATE(_xlfn.XLOOKUP(C1798,Clientes[ID_Cliente],Clientes[Provincia]),", Argentina")</f>
        <v>Buenos Aires, Argentina</v>
      </c>
      <c r="M1798" s="20" t="str">
        <f t="array" ref="M1798">_xlfn.XLOOKUP(F1798,Metodos_De_Pago[ID_Metodo],Metodos_De_Pago[Metodo])</f>
        <v>Tarjeta de Débito</v>
      </c>
      <c r="N1798" s="20" t="str">
        <f t="shared" si="2"/>
        <v>2024 08</v>
      </c>
    </row>
    <row r="1799" ht="22.5" customHeight="1">
      <c r="A1799" s="12">
        <f>IFERROR(__xludf.DUMMYFUNCTION("""COMPUTED_VALUE"""),2284.0)</f>
        <v>2284</v>
      </c>
      <c r="B1799" s="13">
        <f>IFERROR(__xludf.DUMMYFUNCTION("""COMPUTED_VALUE"""),45511.0)</f>
        <v>45511</v>
      </c>
      <c r="C1799" s="12">
        <f>IFERROR(__xludf.DUMMYFUNCTION("""COMPUTED_VALUE"""),58.0)</f>
        <v>58</v>
      </c>
      <c r="D1799" s="12">
        <f>IFERROR(__xludf.DUMMYFUNCTION("""COMPUTED_VALUE"""),15.0)</f>
        <v>15</v>
      </c>
      <c r="E1799" s="12">
        <f>IFERROR(__xludf.DUMMYFUNCTION("""COMPUTED_VALUE"""),4.0)</f>
        <v>4</v>
      </c>
      <c r="F1799" s="12">
        <f>IFERROR(__xludf.DUMMYFUNCTION("""COMPUTED_VALUE"""),5.0)</f>
        <v>5</v>
      </c>
      <c r="G1799" s="15" t="str">
        <f>IFERROR(__xludf.DUMMYFUNCTION("""COMPUTED_VALUE"""),"Pendiente")</f>
        <v>Pendiente</v>
      </c>
      <c r="H1799" s="16" t="str">
        <f t="array" ref="H1799">_xlfn.XLOOKUP(D1799,Productos[ID_Producto],Productos[Nombre_Producto])</f>
        <v>Medialunas</v>
      </c>
      <c r="I1799" s="17">
        <f t="array" ref="I1799">_xlfn.XLOOKUP(D1799,Productos[ID_Producto],Productos[Precio_Unitario])</f>
        <v>3.51</v>
      </c>
      <c r="J1799" s="17">
        <f t="shared" si="1"/>
        <v>14.04</v>
      </c>
      <c r="K1799" s="16" t="str">
        <f t="array" ref="K1799">_xlfn.XLOOKUP(C1799,Clientes[ID_Cliente],Clientes[Provincia])</f>
        <v>Buenos Aires</v>
      </c>
      <c r="L1799" s="16" t="str">
        <f t="array" ref="L1799">CONCATENATE(_xlfn.XLOOKUP(C1799,Clientes[ID_Cliente],Clientes[Provincia]),", Argentina")</f>
        <v>Buenos Aires, Argentina</v>
      </c>
      <c r="M1799" s="20" t="str">
        <f t="array" ref="M1799">_xlfn.XLOOKUP(F1799,Metodos_De_Pago[ID_Metodo],Metodos_De_Pago[Metodo])</f>
        <v>Transferencia</v>
      </c>
      <c r="N1799" s="20" t="str">
        <f t="shared" si="2"/>
        <v>2024 08</v>
      </c>
    </row>
    <row r="1800" ht="22.5" customHeight="1">
      <c r="A1800" s="12">
        <f>IFERROR(__xludf.DUMMYFUNCTION("""COMPUTED_VALUE"""),2802.0)</f>
        <v>2802</v>
      </c>
      <c r="B1800" s="13">
        <f>IFERROR(__xludf.DUMMYFUNCTION("""COMPUTED_VALUE"""),45512.0)</f>
        <v>45512</v>
      </c>
      <c r="C1800" s="12">
        <f>IFERROR(__xludf.DUMMYFUNCTION("""COMPUTED_VALUE"""),326.0)</f>
        <v>326</v>
      </c>
      <c r="D1800" s="12">
        <f>IFERROR(__xludf.DUMMYFUNCTION("""COMPUTED_VALUE"""),16.0)</f>
        <v>16</v>
      </c>
      <c r="E1800" s="12">
        <f>IFERROR(__xludf.DUMMYFUNCTION("""COMPUTED_VALUE"""),4.0)</f>
        <v>4</v>
      </c>
      <c r="F1800" s="12">
        <f>IFERROR(__xludf.DUMMYFUNCTION("""COMPUTED_VALUE"""),3.0)</f>
        <v>3</v>
      </c>
      <c r="G1800" s="15" t="str">
        <f>IFERROR(__xludf.DUMMYFUNCTION("""COMPUTED_VALUE"""),"Completa")</f>
        <v>Completa</v>
      </c>
      <c r="H1800" s="16" t="str">
        <f t="array" ref="H1800">_xlfn.XLOOKUP(D1800,Productos[ID_Producto],Productos[Nombre_Producto])</f>
        <v>Tortas</v>
      </c>
      <c r="I1800" s="17">
        <f t="array" ref="I1800">_xlfn.XLOOKUP(D1800,Productos[ID_Producto],Productos[Precio_Unitario])</f>
        <v>15.23</v>
      </c>
      <c r="J1800" s="17">
        <f t="shared" si="1"/>
        <v>60.92</v>
      </c>
      <c r="K1800" s="16" t="str">
        <f t="array" ref="K1800">_xlfn.XLOOKUP(C1800,Clientes[ID_Cliente],Clientes[Provincia])</f>
        <v>San Luis</v>
      </c>
      <c r="L1800" s="16" t="str">
        <f t="array" ref="L1800">CONCATENATE(_xlfn.XLOOKUP(C1800,Clientes[ID_Cliente],Clientes[Provincia]),", Argentina")</f>
        <v>San Luis, Argentina</v>
      </c>
      <c r="M1800" s="20" t="str">
        <f t="array" ref="M1800">_xlfn.XLOOKUP(F1800,Metodos_De_Pago[ID_Metodo],Metodos_De_Pago[Metodo])</f>
        <v>Tarjeta de Débito</v>
      </c>
      <c r="N1800" s="20" t="str">
        <f t="shared" si="2"/>
        <v>2024 08</v>
      </c>
    </row>
    <row r="1801" ht="22.5" customHeight="1">
      <c r="A1801" s="12">
        <f>IFERROR(__xludf.DUMMYFUNCTION("""COMPUTED_VALUE"""),418.0)</f>
        <v>418</v>
      </c>
      <c r="B1801" s="13">
        <f>IFERROR(__xludf.DUMMYFUNCTION("""COMPUTED_VALUE"""),45513.0)</f>
        <v>45513</v>
      </c>
      <c r="C1801" s="12">
        <f>IFERROR(__xludf.DUMMYFUNCTION("""COMPUTED_VALUE"""),252.0)</f>
        <v>252</v>
      </c>
      <c r="D1801" s="12">
        <f>IFERROR(__xludf.DUMMYFUNCTION("""COMPUTED_VALUE"""),32.0)</f>
        <v>32</v>
      </c>
      <c r="E1801" s="12">
        <f>IFERROR(__xludf.DUMMYFUNCTION("""COMPUTED_VALUE"""),4.0)</f>
        <v>4</v>
      </c>
      <c r="F1801" s="12">
        <f>IFERROR(__xludf.DUMMYFUNCTION("""COMPUTED_VALUE"""),1.0)</f>
        <v>1</v>
      </c>
      <c r="G1801" s="15" t="str">
        <f>IFERROR(__xludf.DUMMYFUNCTION("""COMPUTED_VALUE"""),"Completa")</f>
        <v>Completa</v>
      </c>
      <c r="H1801" s="16" t="str">
        <f t="array" ref="H1801">_xlfn.XLOOKUP(D1801,Productos[ID_Producto],Productos[Nombre_Producto])</f>
        <v>Galletitas de chocolate</v>
      </c>
      <c r="I1801" s="17">
        <f t="array" ref="I1801">_xlfn.XLOOKUP(D1801,Productos[ID_Producto],Productos[Precio_Unitario])</f>
        <v>6.25</v>
      </c>
      <c r="J1801" s="17">
        <f t="shared" si="1"/>
        <v>25</v>
      </c>
      <c r="K1801" s="16" t="str">
        <f t="array" ref="K1801">_xlfn.XLOOKUP(C1801,Clientes[ID_Cliente],Clientes[Provincia])</f>
        <v>Neuquén</v>
      </c>
      <c r="L1801" s="16" t="str">
        <f t="array" ref="L1801">CONCATENATE(_xlfn.XLOOKUP(C1801,Clientes[ID_Cliente],Clientes[Provincia]),", Argentina")</f>
        <v>Neuquén, Argentina</v>
      </c>
      <c r="M1801" s="20" t="str">
        <f t="array" ref="M1801">_xlfn.XLOOKUP(F1801,Metodos_De_Pago[ID_Metodo],Metodos_De_Pago[Metodo])</f>
        <v>Efectivo</v>
      </c>
      <c r="N1801" s="20" t="str">
        <f t="shared" si="2"/>
        <v>2024 08</v>
      </c>
    </row>
    <row r="1802" ht="22.5" customHeight="1">
      <c r="A1802" s="12">
        <f>IFERROR(__xludf.DUMMYFUNCTION("""COMPUTED_VALUE"""),594.0)</f>
        <v>594</v>
      </c>
      <c r="B1802" s="13">
        <f>IFERROR(__xludf.DUMMYFUNCTION("""COMPUTED_VALUE"""),45514.0)</f>
        <v>45514</v>
      </c>
      <c r="C1802" s="12">
        <f>IFERROR(__xludf.DUMMYFUNCTION("""COMPUTED_VALUE"""),261.0)</f>
        <v>261</v>
      </c>
      <c r="D1802" s="12">
        <f>IFERROR(__xludf.DUMMYFUNCTION("""COMPUTED_VALUE"""),5.0)</f>
        <v>5</v>
      </c>
      <c r="E1802" s="12">
        <f>IFERROR(__xludf.DUMMYFUNCTION("""COMPUTED_VALUE"""),4.0)</f>
        <v>4</v>
      </c>
      <c r="F1802" s="12">
        <f>IFERROR(__xludf.DUMMYFUNCTION("""COMPUTED_VALUE"""),3.0)</f>
        <v>3</v>
      </c>
      <c r="G1802" s="15" t="str">
        <f>IFERROR(__xludf.DUMMYFUNCTION("""COMPUTED_VALUE"""),"Completa")</f>
        <v>Completa</v>
      </c>
      <c r="H1802" s="16" t="str">
        <f t="array" ref="H1802">_xlfn.XLOOKUP(D1802,Productos[ID_Producto],Productos[Nombre_Producto])</f>
        <v>Manteca</v>
      </c>
      <c r="I1802" s="17">
        <f t="array" ref="I1802">_xlfn.XLOOKUP(D1802,Productos[ID_Producto],Productos[Precio_Unitario])</f>
        <v>5.65</v>
      </c>
      <c r="J1802" s="17">
        <f t="shared" si="1"/>
        <v>22.6</v>
      </c>
      <c r="K1802" s="16" t="str">
        <f t="array" ref="K1802">_xlfn.XLOOKUP(C1802,Clientes[ID_Cliente],Clientes[Provincia])</f>
        <v>Salta</v>
      </c>
      <c r="L1802" s="16" t="str">
        <f t="array" ref="L1802">CONCATENATE(_xlfn.XLOOKUP(C1802,Clientes[ID_Cliente],Clientes[Provincia]),", Argentina")</f>
        <v>Salta, Argentina</v>
      </c>
      <c r="M1802" s="20" t="str">
        <f t="array" ref="M1802">_xlfn.XLOOKUP(F1802,Metodos_De_Pago[ID_Metodo],Metodos_De_Pago[Metodo])</f>
        <v>Tarjeta de Débito</v>
      </c>
      <c r="N1802" s="20" t="str">
        <f t="shared" si="2"/>
        <v>2024 08</v>
      </c>
    </row>
    <row r="1803" ht="22.5" customHeight="1">
      <c r="A1803" s="12">
        <f>IFERROR(__xludf.DUMMYFUNCTION("""COMPUTED_VALUE"""),1242.0)</f>
        <v>1242</v>
      </c>
      <c r="B1803" s="13">
        <f>IFERROR(__xludf.DUMMYFUNCTION("""COMPUTED_VALUE"""),45516.0)</f>
        <v>45516</v>
      </c>
      <c r="C1803" s="12">
        <f>IFERROR(__xludf.DUMMYFUNCTION("""COMPUTED_VALUE"""),62.0)</f>
        <v>62</v>
      </c>
      <c r="D1803" s="12">
        <f>IFERROR(__xludf.DUMMYFUNCTION("""COMPUTED_VALUE"""),38.0)</f>
        <v>38</v>
      </c>
      <c r="E1803" s="12">
        <f>IFERROR(__xludf.DUMMYFUNCTION("""COMPUTED_VALUE"""),4.0)</f>
        <v>4</v>
      </c>
      <c r="F1803" s="12">
        <f>IFERROR(__xludf.DUMMYFUNCTION("""COMPUTED_VALUE"""),5.0)</f>
        <v>5</v>
      </c>
      <c r="G1803" s="15" t="str">
        <f>IFERROR(__xludf.DUMMYFUNCTION("""COMPUTED_VALUE"""),"Completa")</f>
        <v>Completa</v>
      </c>
      <c r="H1803" s="16" t="str">
        <f t="array" ref="H1803">_xlfn.XLOOKUP(D1803,Productos[ID_Producto],Productos[Nombre_Producto])</f>
        <v>Atún enlatado</v>
      </c>
      <c r="I1803" s="17">
        <f t="array" ref="I1803">_xlfn.XLOOKUP(D1803,Productos[ID_Producto],Productos[Precio_Unitario])</f>
        <v>6.21</v>
      </c>
      <c r="J1803" s="17">
        <f t="shared" si="1"/>
        <v>24.84</v>
      </c>
      <c r="K1803" s="16" t="str">
        <f t="array" ref="K1803">_xlfn.XLOOKUP(C1803,Clientes[ID_Cliente],Clientes[Provincia])</f>
        <v>Chaco</v>
      </c>
      <c r="L1803" s="16" t="str">
        <f t="array" ref="L1803">CONCATENATE(_xlfn.XLOOKUP(C1803,Clientes[ID_Cliente],Clientes[Provincia]),", Argentina")</f>
        <v>Chaco, Argentina</v>
      </c>
      <c r="M1803" s="20" t="str">
        <f t="array" ref="M1803">_xlfn.XLOOKUP(F1803,Metodos_De_Pago[ID_Metodo],Metodos_De_Pago[Metodo])</f>
        <v>Transferencia</v>
      </c>
      <c r="N1803" s="20" t="str">
        <f t="shared" si="2"/>
        <v>2024 08</v>
      </c>
    </row>
    <row r="1804" ht="22.5" customHeight="1">
      <c r="A1804" s="12">
        <f>IFERROR(__xludf.DUMMYFUNCTION("""COMPUTED_VALUE"""),2796.0)</f>
        <v>2796</v>
      </c>
      <c r="B1804" s="13">
        <f>IFERROR(__xludf.DUMMYFUNCTION("""COMPUTED_VALUE"""),45517.0)</f>
        <v>45517</v>
      </c>
      <c r="C1804" s="12">
        <f>IFERROR(__xludf.DUMMYFUNCTION("""COMPUTED_VALUE"""),94.0)</f>
        <v>94</v>
      </c>
      <c r="D1804" s="12">
        <f>IFERROR(__xludf.DUMMYFUNCTION("""COMPUTED_VALUE"""),27.0)</f>
        <v>27</v>
      </c>
      <c r="E1804" s="12">
        <f>IFERROR(__xludf.DUMMYFUNCTION("""COMPUTED_VALUE"""),4.0)</f>
        <v>4</v>
      </c>
      <c r="F1804" s="12">
        <f>IFERROR(__xludf.DUMMYFUNCTION("""COMPUTED_VALUE"""),3.0)</f>
        <v>3</v>
      </c>
      <c r="G1804" s="15" t="str">
        <f>IFERROR(__xludf.DUMMYFUNCTION("""COMPUTED_VALUE"""),"Completa")</f>
        <v>Completa</v>
      </c>
      <c r="H1804" s="16" t="str">
        <f t="array" ref="H1804">_xlfn.XLOOKUP(D1804,Productos[ID_Producto],Productos[Nombre_Producto])</f>
        <v>Agua mineral</v>
      </c>
      <c r="I1804" s="17">
        <f t="array" ref="I1804">_xlfn.XLOOKUP(D1804,Productos[ID_Producto],Productos[Precio_Unitario])</f>
        <v>6.21</v>
      </c>
      <c r="J1804" s="17">
        <f t="shared" si="1"/>
        <v>24.84</v>
      </c>
      <c r="K1804" s="16" t="str">
        <f t="array" ref="K1804">_xlfn.XLOOKUP(C1804,Clientes[ID_Cliente],Clientes[Provincia])</f>
        <v>Córdoba</v>
      </c>
      <c r="L1804" s="16" t="str">
        <f t="array" ref="L1804">CONCATENATE(_xlfn.XLOOKUP(C1804,Clientes[ID_Cliente],Clientes[Provincia]),", Argentina")</f>
        <v>Córdoba, Argentina</v>
      </c>
      <c r="M1804" s="20" t="str">
        <f t="array" ref="M1804">_xlfn.XLOOKUP(F1804,Metodos_De_Pago[ID_Metodo],Metodos_De_Pago[Metodo])</f>
        <v>Tarjeta de Débito</v>
      </c>
      <c r="N1804" s="20" t="str">
        <f t="shared" si="2"/>
        <v>2024 08</v>
      </c>
    </row>
    <row r="1805" ht="22.5" customHeight="1">
      <c r="A1805" s="12">
        <f>IFERROR(__xludf.DUMMYFUNCTION("""COMPUTED_VALUE"""),1675.0)</f>
        <v>1675</v>
      </c>
      <c r="B1805" s="13">
        <f>IFERROR(__xludf.DUMMYFUNCTION("""COMPUTED_VALUE"""),45518.0)</f>
        <v>45518</v>
      </c>
      <c r="C1805" s="12">
        <f>IFERROR(__xludf.DUMMYFUNCTION("""COMPUTED_VALUE"""),304.0)</f>
        <v>304</v>
      </c>
      <c r="D1805" s="12">
        <f>IFERROR(__xludf.DUMMYFUNCTION("""COMPUTED_VALUE"""),31.0)</f>
        <v>31</v>
      </c>
      <c r="E1805" s="12">
        <f>IFERROR(__xludf.DUMMYFUNCTION("""COMPUTED_VALUE"""),4.0)</f>
        <v>4</v>
      </c>
      <c r="F1805" s="12">
        <f>IFERROR(__xludf.DUMMYFUNCTION("""COMPUTED_VALUE"""),4.0)</f>
        <v>4</v>
      </c>
      <c r="G1805" s="15" t="str">
        <f>IFERROR(__xludf.DUMMYFUNCTION("""COMPUTED_VALUE"""),"Completa")</f>
        <v>Completa</v>
      </c>
      <c r="H1805" s="16" t="str">
        <f t="array" ref="H1805">_xlfn.XLOOKUP(D1805,Productos[ID_Producto],Productos[Nombre_Producto])</f>
        <v>Galletitas de agua</v>
      </c>
      <c r="I1805" s="17">
        <f t="array" ref="I1805">_xlfn.XLOOKUP(D1805,Productos[ID_Producto],Productos[Precio_Unitario])</f>
        <v>5.24</v>
      </c>
      <c r="J1805" s="17">
        <f t="shared" si="1"/>
        <v>20.96</v>
      </c>
      <c r="K1805" s="16" t="str">
        <f t="array" ref="K1805">_xlfn.XLOOKUP(C1805,Clientes[ID_Cliente],Clientes[Provincia])</f>
        <v>San Luis</v>
      </c>
      <c r="L1805" s="16" t="str">
        <f t="array" ref="L1805">CONCATENATE(_xlfn.XLOOKUP(C1805,Clientes[ID_Cliente],Clientes[Provincia]),", Argentina")</f>
        <v>San Luis, Argentina</v>
      </c>
      <c r="M1805" s="20" t="str">
        <f t="array" ref="M1805">_xlfn.XLOOKUP(F1805,Metodos_De_Pago[ID_Metodo],Metodos_De_Pago[Metodo])</f>
        <v>Mercado Pago</v>
      </c>
      <c r="N1805" s="20" t="str">
        <f t="shared" si="2"/>
        <v>2024 08</v>
      </c>
    </row>
    <row r="1806" ht="22.5" customHeight="1">
      <c r="A1806" s="12">
        <f>IFERROR(__xludf.DUMMYFUNCTION("""COMPUTED_VALUE"""),2762.0)</f>
        <v>2762</v>
      </c>
      <c r="B1806" s="13">
        <f>IFERROR(__xludf.DUMMYFUNCTION("""COMPUTED_VALUE"""),45518.0)</f>
        <v>45518</v>
      </c>
      <c r="C1806" s="12">
        <f>IFERROR(__xludf.DUMMYFUNCTION("""COMPUTED_VALUE"""),145.0)</f>
        <v>145</v>
      </c>
      <c r="D1806" s="12">
        <f>IFERROR(__xludf.DUMMYFUNCTION("""COMPUTED_VALUE"""),27.0)</f>
        <v>27</v>
      </c>
      <c r="E1806" s="12">
        <f>IFERROR(__xludf.DUMMYFUNCTION("""COMPUTED_VALUE"""),4.0)</f>
        <v>4</v>
      </c>
      <c r="F1806" s="12">
        <f>IFERROR(__xludf.DUMMYFUNCTION("""COMPUTED_VALUE"""),2.0)</f>
        <v>2</v>
      </c>
      <c r="G1806" s="15" t="str">
        <f>IFERROR(__xludf.DUMMYFUNCTION("""COMPUTED_VALUE"""),"Completa")</f>
        <v>Completa</v>
      </c>
      <c r="H1806" s="16" t="str">
        <f t="array" ref="H1806">_xlfn.XLOOKUP(D1806,Productos[ID_Producto],Productos[Nombre_Producto])</f>
        <v>Agua mineral</v>
      </c>
      <c r="I1806" s="17">
        <f t="array" ref="I1806">_xlfn.XLOOKUP(D1806,Productos[ID_Producto],Productos[Precio_Unitario])</f>
        <v>6.21</v>
      </c>
      <c r="J1806" s="17">
        <f t="shared" si="1"/>
        <v>24.84</v>
      </c>
      <c r="K1806" s="16" t="str">
        <f t="array" ref="K1806">_xlfn.XLOOKUP(C1806,Clientes[ID_Cliente],Clientes[Provincia])</f>
        <v>Buenos Aires</v>
      </c>
      <c r="L1806" s="16" t="str">
        <f t="array" ref="L1806">CONCATENATE(_xlfn.XLOOKUP(C1806,Clientes[ID_Cliente],Clientes[Provincia]),", Argentina")</f>
        <v>Buenos Aires, Argentina</v>
      </c>
      <c r="M1806" s="20" t="str">
        <f t="array" ref="M1806">_xlfn.XLOOKUP(F1806,Metodos_De_Pago[ID_Metodo],Metodos_De_Pago[Metodo])</f>
        <v>Tarjeta de Crédito</v>
      </c>
      <c r="N1806" s="20" t="str">
        <f t="shared" si="2"/>
        <v>2024 08</v>
      </c>
    </row>
    <row r="1807" ht="22.5" customHeight="1">
      <c r="A1807" s="12">
        <f>IFERROR(__xludf.DUMMYFUNCTION("""COMPUTED_VALUE"""),540.0)</f>
        <v>540</v>
      </c>
      <c r="B1807" s="13">
        <f>IFERROR(__xludf.DUMMYFUNCTION("""COMPUTED_VALUE"""),45520.0)</f>
        <v>45520</v>
      </c>
      <c r="C1807" s="12">
        <f>IFERROR(__xludf.DUMMYFUNCTION("""COMPUTED_VALUE"""),26.0)</f>
        <v>26</v>
      </c>
      <c r="D1807" s="12">
        <f>IFERROR(__xludf.DUMMYFUNCTION("""COMPUTED_VALUE"""),16.0)</f>
        <v>16</v>
      </c>
      <c r="E1807" s="12">
        <f>IFERROR(__xludf.DUMMYFUNCTION("""COMPUTED_VALUE"""),4.0)</f>
        <v>4</v>
      </c>
      <c r="F1807" s="12">
        <f>IFERROR(__xludf.DUMMYFUNCTION("""COMPUTED_VALUE"""),3.0)</f>
        <v>3</v>
      </c>
      <c r="G1807" s="15" t="str">
        <f>IFERROR(__xludf.DUMMYFUNCTION("""COMPUTED_VALUE"""),"Completa")</f>
        <v>Completa</v>
      </c>
      <c r="H1807" s="16" t="str">
        <f t="array" ref="H1807">_xlfn.XLOOKUP(D1807,Productos[ID_Producto],Productos[Nombre_Producto])</f>
        <v>Tortas</v>
      </c>
      <c r="I1807" s="17">
        <f t="array" ref="I1807">_xlfn.XLOOKUP(D1807,Productos[ID_Producto],Productos[Precio_Unitario])</f>
        <v>15.23</v>
      </c>
      <c r="J1807" s="17">
        <f t="shared" si="1"/>
        <v>60.92</v>
      </c>
      <c r="K1807" s="16" t="str">
        <f t="array" ref="K1807">_xlfn.XLOOKUP(C1807,Clientes[ID_Cliente],Clientes[Provincia])</f>
        <v>Córdoba</v>
      </c>
      <c r="L1807" s="16" t="str">
        <f t="array" ref="L1807">CONCATENATE(_xlfn.XLOOKUP(C1807,Clientes[ID_Cliente],Clientes[Provincia]),", Argentina")</f>
        <v>Córdoba, Argentina</v>
      </c>
      <c r="M1807" s="20" t="str">
        <f t="array" ref="M1807">_xlfn.XLOOKUP(F1807,Metodos_De_Pago[ID_Metodo],Metodos_De_Pago[Metodo])</f>
        <v>Tarjeta de Débito</v>
      </c>
      <c r="N1807" s="20" t="str">
        <f t="shared" si="2"/>
        <v>2024 08</v>
      </c>
    </row>
    <row r="1808" ht="22.5" customHeight="1">
      <c r="A1808" s="12">
        <f>IFERROR(__xludf.DUMMYFUNCTION("""COMPUTED_VALUE"""),2130.0)</f>
        <v>2130</v>
      </c>
      <c r="B1808" s="13">
        <f>IFERROR(__xludf.DUMMYFUNCTION("""COMPUTED_VALUE"""),45520.0)</f>
        <v>45520</v>
      </c>
      <c r="C1808" s="12">
        <f>IFERROR(__xludf.DUMMYFUNCTION("""COMPUTED_VALUE"""),286.0)</f>
        <v>286</v>
      </c>
      <c r="D1808" s="12">
        <f>IFERROR(__xludf.DUMMYFUNCTION("""COMPUTED_VALUE"""),15.0)</f>
        <v>15</v>
      </c>
      <c r="E1808" s="12">
        <f>IFERROR(__xludf.DUMMYFUNCTION("""COMPUTED_VALUE"""),4.0)</f>
        <v>4</v>
      </c>
      <c r="F1808" s="12">
        <f>IFERROR(__xludf.DUMMYFUNCTION("""COMPUTED_VALUE"""),3.0)</f>
        <v>3</v>
      </c>
      <c r="G1808" s="15" t="str">
        <f>IFERROR(__xludf.DUMMYFUNCTION("""COMPUTED_VALUE"""),"Completa")</f>
        <v>Completa</v>
      </c>
      <c r="H1808" s="16" t="str">
        <f t="array" ref="H1808">_xlfn.XLOOKUP(D1808,Productos[ID_Producto],Productos[Nombre_Producto])</f>
        <v>Medialunas</v>
      </c>
      <c r="I1808" s="17">
        <f t="array" ref="I1808">_xlfn.XLOOKUP(D1808,Productos[ID_Producto],Productos[Precio_Unitario])</f>
        <v>3.51</v>
      </c>
      <c r="J1808" s="17">
        <f t="shared" si="1"/>
        <v>14.04</v>
      </c>
      <c r="K1808" s="16" t="str">
        <f t="array" ref="K1808">_xlfn.XLOOKUP(C1808,Clientes[ID_Cliente],Clientes[Provincia])</f>
        <v>Córdoba</v>
      </c>
      <c r="L1808" s="16" t="str">
        <f t="array" ref="L1808">CONCATENATE(_xlfn.XLOOKUP(C1808,Clientes[ID_Cliente],Clientes[Provincia]),", Argentina")</f>
        <v>Córdoba, Argentina</v>
      </c>
      <c r="M1808" s="20" t="str">
        <f t="array" ref="M1808">_xlfn.XLOOKUP(F1808,Metodos_De_Pago[ID_Metodo],Metodos_De_Pago[Metodo])</f>
        <v>Tarjeta de Débito</v>
      </c>
      <c r="N1808" s="20" t="str">
        <f t="shared" si="2"/>
        <v>2024 08</v>
      </c>
    </row>
    <row r="1809" ht="22.5" customHeight="1">
      <c r="A1809" s="12">
        <f>IFERROR(__xludf.DUMMYFUNCTION("""COMPUTED_VALUE"""),139.0)</f>
        <v>139</v>
      </c>
      <c r="B1809" s="13">
        <f>IFERROR(__xludf.DUMMYFUNCTION("""COMPUTED_VALUE"""),45521.0)</f>
        <v>45521</v>
      </c>
      <c r="C1809" s="12">
        <f>IFERROR(__xludf.DUMMYFUNCTION("""COMPUTED_VALUE"""),302.0)</f>
        <v>302</v>
      </c>
      <c r="D1809" s="12">
        <f>IFERROR(__xludf.DUMMYFUNCTION("""COMPUTED_VALUE"""),8.0)</f>
        <v>8</v>
      </c>
      <c r="E1809" s="12">
        <f>IFERROR(__xludf.DUMMYFUNCTION("""COMPUTED_VALUE"""),4.0)</f>
        <v>4</v>
      </c>
      <c r="F1809" s="12">
        <f>IFERROR(__xludf.DUMMYFUNCTION("""COMPUTED_VALUE"""),4.0)</f>
        <v>4</v>
      </c>
      <c r="G1809" s="15" t="str">
        <f>IFERROR(__xludf.DUMMYFUNCTION("""COMPUTED_VALUE"""),"Pendiente")</f>
        <v>Pendiente</v>
      </c>
      <c r="H1809" s="16" t="str">
        <f t="array" ref="H1809">_xlfn.XLOOKUP(D1809,Productos[ID_Producto],Productos[Nombre_Producto])</f>
        <v>Milanesa</v>
      </c>
      <c r="I1809" s="17">
        <f t="array" ref="I1809">_xlfn.XLOOKUP(D1809,Productos[ID_Producto],Productos[Precio_Unitario])</f>
        <v>16.21</v>
      </c>
      <c r="J1809" s="17">
        <f t="shared" si="1"/>
        <v>64.84</v>
      </c>
      <c r="K1809" s="16" t="str">
        <f t="array" ref="K1809">_xlfn.XLOOKUP(C1809,Clientes[ID_Cliente],Clientes[Provincia])</f>
        <v>Neuquén</v>
      </c>
      <c r="L1809" s="16" t="str">
        <f t="array" ref="L1809">CONCATENATE(_xlfn.XLOOKUP(C1809,Clientes[ID_Cliente],Clientes[Provincia]),", Argentina")</f>
        <v>Neuquén, Argentina</v>
      </c>
      <c r="M1809" s="20" t="str">
        <f t="array" ref="M1809">_xlfn.XLOOKUP(F1809,Metodos_De_Pago[ID_Metodo],Metodos_De_Pago[Metodo])</f>
        <v>Mercado Pago</v>
      </c>
      <c r="N1809" s="20" t="str">
        <f t="shared" si="2"/>
        <v>2024 08</v>
      </c>
    </row>
    <row r="1810" ht="22.5" customHeight="1">
      <c r="A1810" s="12">
        <f>IFERROR(__xludf.DUMMYFUNCTION("""COMPUTED_VALUE"""),2622.0)</f>
        <v>2622</v>
      </c>
      <c r="B1810" s="13">
        <f>IFERROR(__xludf.DUMMYFUNCTION("""COMPUTED_VALUE"""),45521.0)</f>
        <v>45521</v>
      </c>
      <c r="C1810" s="12">
        <f>IFERROR(__xludf.DUMMYFUNCTION("""COMPUTED_VALUE"""),27.0)</f>
        <v>27</v>
      </c>
      <c r="D1810" s="12">
        <f>IFERROR(__xludf.DUMMYFUNCTION("""COMPUTED_VALUE"""),35.0)</f>
        <v>35</v>
      </c>
      <c r="E1810" s="12">
        <f>IFERROR(__xludf.DUMMYFUNCTION("""COMPUTED_VALUE"""),4.0)</f>
        <v>4</v>
      </c>
      <c r="F1810" s="12">
        <f>IFERROR(__xludf.DUMMYFUNCTION("""COMPUTED_VALUE"""),5.0)</f>
        <v>5</v>
      </c>
      <c r="G1810" s="15" t="str">
        <f>IFERROR(__xludf.DUMMYFUNCTION("""COMPUTED_VALUE"""),"Completa")</f>
        <v>Completa</v>
      </c>
      <c r="H1810" s="16" t="str">
        <f t="array" ref="H1810">_xlfn.XLOOKUP(D1810,Productos[ID_Producto],Productos[Nombre_Producto])</f>
        <v>Arroz</v>
      </c>
      <c r="I1810" s="17">
        <f t="array" ref="I1810">_xlfn.XLOOKUP(D1810,Productos[ID_Producto],Productos[Precio_Unitario])</f>
        <v>4.25</v>
      </c>
      <c r="J1810" s="17">
        <f t="shared" si="1"/>
        <v>17</v>
      </c>
      <c r="K1810" s="16" t="str">
        <f t="array" ref="K1810">_xlfn.XLOOKUP(C1810,Clientes[ID_Cliente],Clientes[Provincia])</f>
        <v>Buenos Aires</v>
      </c>
      <c r="L1810" s="16" t="str">
        <f t="array" ref="L1810">CONCATENATE(_xlfn.XLOOKUP(C1810,Clientes[ID_Cliente],Clientes[Provincia]),", Argentina")</f>
        <v>Buenos Aires, Argentina</v>
      </c>
      <c r="M1810" s="20" t="str">
        <f t="array" ref="M1810">_xlfn.XLOOKUP(F1810,Metodos_De_Pago[ID_Metodo],Metodos_De_Pago[Metodo])</f>
        <v>Transferencia</v>
      </c>
      <c r="N1810" s="20" t="str">
        <f t="shared" si="2"/>
        <v>2024 08</v>
      </c>
    </row>
    <row r="1811" ht="22.5" customHeight="1">
      <c r="A1811" s="12">
        <f>IFERROR(__xludf.DUMMYFUNCTION("""COMPUTED_VALUE"""),2556.0)</f>
        <v>2556</v>
      </c>
      <c r="B1811" s="13">
        <f>IFERROR(__xludf.DUMMYFUNCTION("""COMPUTED_VALUE"""),45522.0)</f>
        <v>45522</v>
      </c>
      <c r="C1811" s="12">
        <f>IFERROR(__xludf.DUMMYFUNCTION("""COMPUTED_VALUE"""),162.0)</f>
        <v>162</v>
      </c>
      <c r="D1811" s="12">
        <f>IFERROR(__xludf.DUMMYFUNCTION("""COMPUTED_VALUE"""),26.0)</f>
        <v>26</v>
      </c>
      <c r="E1811" s="12">
        <f>IFERROR(__xludf.DUMMYFUNCTION("""COMPUTED_VALUE"""),4.0)</f>
        <v>4</v>
      </c>
      <c r="F1811" s="12">
        <f>IFERROR(__xludf.DUMMYFUNCTION("""COMPUTED_VALUE"""),1.0)</f>
        <v>1</v>
      </c>
      <c r="G1811" s="15" t="str">
        <f>IFERROR(__xludf.DUMMYFUNCTION("""COMPUTED_VALUE"""),"Completa")</f>
        <v>Completa</v>
      </c>
      <c r="H1811" s="16" t="str">
        <f t="array" ref="H1811">_xlfn.XLOOKUP(D1811,Productos[ID_Producto],Productos[Nombre_Producto])</f>
        <v>Hamburgesas congeladas</v>
      </c>
      <c r="I1811" s="17">
        <f t="array" ref="I1811">_xlfn.XLOOKUP(D1811,Productos[ID_Producto],Productos[Precio_Unitario])</f>
        <v>9.54</v>
      </c>
      <c r="J1811" s="17">
        <f t="shared" si="1"/>
        <v>38.16</v>
      </c>
      <c r="K1811" s="16" t="str">
        <f t="array" ref="K1811">_xlfn.XLOOKUP(C1811,Clientes[ID_Cliente],Clientes[Provincia])</f>
        <v>Neuquén</v>
      </c>
      <c r="L1811" s="16" t="str">
        <f t="array" ref="L1811">CONCATENATE(_xlfn.XLOOKUP(C1811,Clientes[ID_Cliente],Clientes[Provincia]),", Argentina")</f>
        <v>Neuquén, Argentina</v>
      </c>
      <c r="M1811" s="20" t="str">
        <f t="array" ref="M1811">_xlfn.XLOOKUP(F1811,Metodos_De_Pago[ID_Metodo],Metodos_De_Pago[Metodo])</f>
        <v>Efectivo</v>
      </c>
      <c r="N1811" s="20" t="str">
        <f t="shared" si="2"/>
        <v>2024 08</v>
      </c>
    </row>
    <row r="1812" ht="22.5" customHeight="1">
      <c r="A1812" s="12">
        <f>IFERROR(__xludf.DUMMYFUNCTION("""COMPUTED_VALUE"""),2216.0)</f>
        <v>2216</v>
      </c>
      <c r="B1812" s="13">
        <f>IFERROR(__xludf.DUMMYFUNCTION("""COMPUTED_VALUE"""),45523.0)</f>
        <v>45523</v>
      </c>
      <c r="C1812" s="12">
        <f>IFERROR(__xludf.DUMMYFUNCTION("""COMPUTED_VALUE"""),42.0)</f>
        <v>42</v>
      </c>
      <c r="D1812" s="12">
        <f>IFERROR(__xludf.DUMMYFUNCTION("""COMPUTED_VALUE"""),32.0)</f>
        <v>32</v>
      </c>
      <c r="E1812" s="12">
        <f>IFERROR(__xludf.DUMMYFUNCTION("""COMPUTED_VALUE"""),4.0)</f>
        <v>4</v>
      </c>
      <c r="F1812" s="12">
        <f>IFERROR(__xludf.DUMMYFUNCTION("""COMPUTED_VALUE"""),1.0)</f>
        <v>1</v>
      </c>
      <c r="G1812" s="15" t="str">
        <f>IFERROR(__xludf.DUMMYFUNCTION("""COMPUTED_VALUE"""),"Completa")</f>
        <v>Completa</v>
      </c>
      <c r="H1812" s="16" t="str">
        <f t="array" ref="H1812">_xlfn.XLOOKUP(D1812,Productos[ID_Producto],Productos[Nombre_Producto])</f>
        <v>Galletitas de chocolate</v>
      </c>
      <c r="I1812" s="17">
        <f t="array" ref="I1812">_xlfn.XLOOKUP(D1812,Productos[ID_Producto],Productos[Precio_Unitario])</f>
        <v>6.25</v>
      </c>
      <c r="J1812" s="17">
        <f t="shared" si="1"/>
        <v>25</v>
      </c>
      <c r="K1812" s="16" t="str">
        <f t="array" ref="K1812">_xlfn.XLOOKUP(C1812,Clientes[ID_Cliente],Clientes[Provincia])</f>
        <v>Neuquén</v>
      </c>
      <c r="L1812" s="16" t="str">
        <f t="array" ref="L1812">CONCATENATE(_xlfn.XLOOKUP(C1812,Clientes[ID_Cliente],Clientes[Provincia]),", Argentina")</f>
        <v>Neuquén, Argentina</v>
      </c>
      <c r="M1812" s="20" t="str">
        <f t="array" ref="M1812">_xlfn.XLOOKUP(F1812,Metodos_De_Pago[ID_Metodo],Metodos_De_Pago[Metodo])</f>
        <v>Efectivo</v>
      </c>
      <c r="N1812" s="20" t="str">
        <f t="shared" si="2"/>
        <v>2024 08</v>
      </c>
    </row>
    <row r="1813" ht="22.5" customHeight="1">
      <c r="A1813" s="12">
        <f>IFERROR(__xludf.DUMMYFUNCTION("""COMPUTED_VALUE"""),346.0)</f>
        <v>346</v>
      </c>
      <c r="B1813" s="13">
        <f>IFERROR(__xludf.DUMMYFUNCTION("""COMPUTED_VALUE"""),45526.0)</f>
        <v>45526</v>
      </c>
      <c r="C1813" s="12">
        <f>IFERROR(__xludf.DUMMYFUNCTION("""COMPUTED_VALUE"""),92.0)</f>
        <v>92</v>
      </c>
      <c r="D1813" s="12">
        <f>IFERROR(__xludf.DUMMYFUNCTION("""COMPUTED_VALUE"""),34.0)</f>
        <v>34</v>
      </c>
      <c r="E1813" s="12">
        <f>IFERROR(__xludf.DUMMYFUNCTION("""COMPUTED_VALUE"""),4.0)</f>
        <v>4</v>
      </c>
      <c r="F1813" s="12">
        <f>IFERROR(__xludf.DUMMYFUNCTION("""COMPUTED_VALUE"""),4.0)</f>
        <v>4</v>
      </c>
      <c r="G1813" s="15" t="str">
        <f>IFERROR(__xludf.DUMMYFUNCTION("""COMPUTED_VALUE"""),"Completa")</f>
        <v>Completa</v>
      </c>
      <c r="H1813" s="16" t="str">
        <f t="array" ref="H1813">_xlfn.XLOOKUP(D1813,Productos[ID_Producto],Productos[Nombre_Producto])</f>
        <v>Maníes</v>
      </c>
      <c r="I1813" s="17">
        <f t="array" ref="I1813">_xlfn.XLOOKUP(D1813,Productos[ID_Producto],Productos[Precio_Unitario])</f>
        <v>5.45</v>
      </c>
      <c r="J1813" s="17">
        <f t="shared" si="1"/>
        <v>21.8</v>
      </c>
      <c r="K1813" s="16" t="str">
        <f t="array" ref="K1813">_xlfn.XLOOKUP(C1813,Clientes[ID_Cliente],Clientes[Provincia])</f>
        <v>Neuquén</v>
      </c>
      <c r="L1813" s="16" t="str">
        <f t="array" ref="L1813">CONCATENATE(_xlfn.XLOOKUP(C1813,Clientes[ID_Cliente],Clientes[Provincia]),", Argentina")</f>
        <v>Neuquén, Argentina</v>
      </c>
      <c r="M1813" s="20" t="str">
        <f t="array" ref="M1813">_xlfn.XLOOKUP(F1813,Metodos_De_Pago[ID_Metodo],Metodos_De_Pago[Metodo])</f>
        <v>Mercado Pago</v>
      </c>
      <c r="N1813" s="20" t="str">
        <f t="shared" si="2"/>
        <v>2024 08</v>
      </c>
    </row>
    <row r="1814" ht="22.5" customHeight="1">
      <c r="A1814" s="12">
        <f>IFERROR(__xludf.DUMMYFUNCTION("""COMPUTED_VALUE"""),479.0)</f>
        <v>479</v>
      </c>
      <c r="B1814" s="13">
        <f>IFERROR(__xludf.DUMMYFUNCTION("""COMPUTED_VALUE"""),45526.0)</f>
        <v>45526</v>
      </c>
      <c r="C1814" s="12">
        <f>IFERROR(__xludf.DUMMYFUNCTION("""COMPUTED_VALUE"""),23.0)</f>
        <v>23</v>
      </c>
      <c r="D1814" s="12">
        <f>IFERROR(__xludf.DUMMYFUNCTION("""COMPUTED_VALUE"""),28.0)</f>
        <v>28</v>
      </c>
      <c r="E1814" s="12">
        <f>IFERROR(__xludf.DUMMYFUNCTION("""COMPUTED_VALUE"""),4.0)</f>
        <v>4</v>
      </c>
      <c r="F1814" s="12">
        <f>IFERROR(__xludf.DUMMYFUNCTION("""COMPUTED_VALUE"""),4.0)</f>
        <v>4</v>
      </c>
      <c r="G1814" s="15" t="str">
        <f>IFERROR(__xludf.DUMMYFUNCTION("""COMPUTED_VALUE"""),"Completa")</f>
        <v>Completa</v>
      </c>
      <c r="H1814" s="16" t="str">
        <f t="array" ref="H1814">_xlfn.XLOOKUP(D1814,Productos[ID_Producto],Productos[Nombre_Producto])</f>
        <v>Jugos de frutas</v>
      </c>
      <c r="I1814" s="17">
        <f t="array" ref="I1814">_xlfn.XLOOKUP(D1814,Productos[ID_Producto],Productos[Precio_Unitario])</f>
        <v>9.45</v>
      </c>
      <c r="J1814" s="17">
        <f t="shared" si="1"/>
        <v>37.8</v>
      </c>
      <c r="K1814" s="16" t="str">
        <f t="array" ref="K1814">_xlfn.XLOOKUP(C1814,Clientes[ID_Cliente],Clientes[Provincia])</f>
        <v>Neuquén</v>
      </c>
      <c r="L1814" s="16" t="str">
        <f t="array" ref="L1814">CONCATENATE(_xlfn.XLOOKUP(C1814,Clientes[ID_Cliente],Clientes[Provincia]),", Argentina")</f>
        <v>Neuquén, Argentina</v>
      </c>
      <c r="M1814" s="20" t="str">
        <f t="array" ref="M1814">_xlfn.XLOOKUP(F1814,Metodos_De_Pago[ID_Metodo],Metodos_De_Pago[Metodo])</f>
        <v>Mercado Pago</v>
      </c>
      <c r="N1814" s="20" t="str">
        <f t="shared" si="2"/>
        <v>2024 08</v>
      </c>
    </row>
    <row r="1815" ht="22.5" customHeight="1">
      <c r="A1815" s="12">
        <f>IFERROR(__xludf.DUMMYFUNCTION("""COMPUTED_VALUE"""),1213.0)</f>
        <v>1213</v>
      </c>
      <c r="B1815" s="13">
        <f>IFERROR(__xludf.DUMMYFUNCTION("""COMPUTED_VALUE"""),45526.0)</f>
        <v>45526</v>
      </c>
      <c r="C1815" s="12">
        <f>IFERROR(__xludf.DUMMYFUNCTION("""COMPUTED_VALUE"""),95.0)</f>
        <v>95</v>
      </c>
      <c r="D1815" s="12">
        <f>IFERROR(__xludf.DUMMYFUNCTION("""COMPUTED_VALUE"""),26.0)</f>
        <v>26</v>
      </c>
      <c r="E1815" s="12">
        <f>IFERROR(__xludf.DUMMYFUNCTION("""COMPUTED_VALUE"""),4.0)</f>
        <v>4</v>
      </c>
      <c r="F1815" s="12">
        <f>IFERROR(__xludf.DUMMYFUNCTION("""COMPUTED_VALUE"""),3.0)</f>
        <v>3</v>
      </c>
      <c r="G1815" s="15" t="str">
        <f>IFERROR(__xludf.DUMMYFUNCTION("""COMPUTED_VALUE"""),"Completa")</f>
        <v>Completa</v>
      </c>
      <c r="H1815" s="16" t="str">
        <f t="array" ref="H1815">_xlfn.XLOOKUP(D1815,Productos[ID_Producto],Productos[Nombre_Producto])</f>
        <v>Hamburgesas congeladas</v>
      </c>
      <c r="I1815" s="17">
        <f t="array" ref="I1815">_xlfn.XLOOKUP(D1815,Productos[ID_Producto],Productos[Precio_Unitario])</f>
        <v>9.54</v>
      </c>
      <c r="J1815" s="17">
        <f t="shared" si="1"/>
        <v>38.16</v>
      </c>
      <c r="K1815" s="16" t="str">
        <f t="array" ref="K1815">_xlfn.XLOOKUP(C1815,Clientes[ID_Cliente],Clientes[Provincia])</f>
        <v>Buenos Aires</v>
      </c>
      <c r="L1815" s="16" t="str">
        <f t="array" ref="L1815">CONCATENATE(_xlfn.XLOOKUP(C1815,Clientes[ID_Cliente],Clientes[Provincia]),", Argentina")</f>
        <v>Buenos Aires, Argentina</v>
      </c>
      <c r="M1815" s="20" t="str">
        <f t="array" ref="M1815">_xlfn.XLOOKUP(F1815,Metodos_De_Pago[ID_Metodo],Metodos_De_Pago[Metodo])</f>
        <v>Tarjeta de Débito</v>
      </c>
      <c r="N1815" s="20" t="str">
        <f t="shared" si="2"/>
        <v>2024 08</v>
      </c>
    </row>
    <row r="1816" ht="22.5" customHeight="1">
      <c r="A1816" s="12">
        <f>IFERROR(__xludf.DUMMYFUNCTION("""COMPUTED_VALUE"""),255.0)</f>
        <v>255</v>
      </c>
      <c r="B1816" s="13">
        <f>IFERROR(__xludf.DUMMYFUNCTION("""COMPUTED_VALUE"""),45528.0)</f>
        <v>45528</v>
      </c>
      <c r="C1816" s="12">
        <f>IFERROR(__xludf.DUMMYFUNCTION("""COMPUTED_VALUE"""),237.0)</f>
        <v>237</v>
      </c>
      <c r="D1816" s="12">
        <f>IFERROR(__xludf.DUMMYFUNCTION("""COMPUTED_VALUE"""),22.0)</f>
        <v>22</v>
      </c>
      <c r="E1816" s="12">
        <f>IFERROR(__xludf.DUMMYFUNCTION("""COMPUTED_VALUE"""),4.0)</f>
        <v>4</v>
      </c>
      <c r="F1816" s="12">
        <f>IFERROR(__xludf.DUMMYFUNCTION("""COMPUTED_VALUE"""),2.0)</f>
        <v>2</v>
      </c>
      <c r="G1816" s="15" t="str">
        <f>IFERROR(__xludf.DUMMYFUNCTION("""COMPUTED_VALUE"""),"Completa")</f>
        <v>Completa</v>
      </c>
      <c r="H1816" s="16" t="str">
        <f t="array" ref="H1816">_xlfn.XLOOKUP(D1816,Productos[ID_Producto],Productos[Nombre_Producto])</f>
        <v>Cebolla</v>
      </c>
      <c r="I1816" s="17">
        <f t="array" ref="I1816">_xlfn.XLOOKUP(D1816,Productos[ID_Producto],Productos[Precio_Unitario])</f>
        <v>4.21</v>
      </c>
      <c r="J1816" s="17">
        <f t="shared" si="1"/>
        <v>16.84</v>
      </c>
      <c r="K1816" s="16" t="str">
        <f t="array" ref="K1816">_xlfn.XLOOKUP(C1816,Clientes[ID_Cliente],Clientes[Provincia])</f>
        <v>Buenos Aires</v>
      </c>
      <c r="L1816" s="16" t="str">
        <f t="array" ref="L1816">CONCATENATE(_xlfn.XLOOKUP(C1816,Clientes[ID_Cliente],Clientes[Provincia]),", Argentina")</f>
        <v>Buenos Aires, Argentina</v>
      </c>
      <c r="M1816" s="20" t="str">
        <f t="array" ref="M1816">_xlfn.XLOOKUP(F1816,Metodos_De_Pago[ID_Metodo],Metodos_De_Pago[Metodo])</f>
        <v>Tarjeta de Crédito</v>
      </c>
      <c r="N1816" s="20" t="str">
        <f t="shared" si="2"/>
        <v>2024 08</v>
      </c>
    </row>
    <row r="1817" ht="22.5" customHeight="1">
      <c r="A1817" s="12">
        <f>IFERROR(__xludf.DUMMYFUNCTION("""COMPUTED_VALUE"""),1061.0)</f>
        <v>1061</v>
      </c>
      <c r="B1817" s="13">
        <f>IFERROR(__xludf.DUMMYFUNCTION("""COMPUTED_VALUE"""),45528.0)</f>
        <v>45528</v>
      </c>
      <c r="C1817" s="12">
        <f>IFERROR(__xludf.DUMMYFUNCTION("""COMPUTED_VALUE"""),320.0)</f>
        <v>320</v>
      </c>
      <c r="D1817" s="12">
        <f>IFERROR(__xludf.DUMMYFUNCTION("""COMPUTED_VALUE"""),14.0)</f>
        <v>14</v>
      </c>
      <c r="E1817" s="12">
        <f>IFERROR(__xludf.DUMMYFUNCTION("""COMPUTED_VALUE"""),4.0)</f>
        <v>4</v>
      </c>
      <c r="F1817" s="12">
        <f>IFERROR(__xludf.DUMMYFUNCTION("""COMPUTED_VALUE"""),4.0)</f>
        <v>4</v>
      </c>
      <c r="G1817" s="15" t="str">
        <f>IFERROR(__xludf.DUMMYFUNCTION("""COMPUTED_VALUE"""),"Completa")</f>
        <v>Completa</v>
      </c>
      <c r="H1817" s="16" t="str">
        <f t="array" ref="H1817">_xlfn.XLOOKUP(D1817,Productos[ID_Producto],Productos[Nombre_Producto])</f>
        <v>Facturas</v>
      </c>
      <c r="I1817" s="17">
        <f t="array" ref="I1817">_xlfn.XLOOKUP(D1817,Productos[ID_Producto],Productos[Precio_Unitario])</f>
        <v>12.36</v>
      </c>
      <c r="J1817" s="17">
        <f t="shared" si="1"/>
        <v>49.44</v>
      </c>
      <c r="K1817" s="16" t="str">
        <f t="array" ref="K1817">_xlfn.XLOOKUP(C1817,Clientes[ID_Cliente],Clientes[Provincia])</f>
        <v>Córdoba</v>
      </c>
      <c r="L1817" s="16" t="str">
        <f t="array" ref="L1817">CONCATENATE(_xlfn.XLOOKUP(C1817,Clientes[ID_Cliente],Clientes[Provincia]),", Argentina")</f>
        <v>Córdoba, Argentina</v>
      </c>
      <c r="M1817" s="20" t="str">
        <f t="array" ref="M1817">_xlfn.XLOOKUP(F1817,Metodos_De_Pago[ID_Metodo],Metodos_De_Pago[Metodo])</f>
        <v>Mercado Pago</v>
      </c>
      <c r="N1817" s="20" t="str">
        <f t="shared" si="2"/>
        <v>2024 08</v>
      </c>
    </row>
    <row r="1818" ht="22.5" customHeight="1">
      <c r="A1818" s="12">
        <f>IFERROR(__xludf.DUMMYFUNCTION("""COMPUTED_VALUE"""),520.0)</f>
        <v>520</v>
      </c>
      <c r="B1818" s="13">
        <f>IFERROR(__xludf.DUMMYFUNCTION("""COMPUTED_VALUE"""),45529.0)</f>
        <v>45529</v>
      </c>
      <c r="C1818" s="12">
        <f>IFERROR(__xludf.DUMMYFUNCTION("""COMPUTED_VALUE"""),208.0)</f>
        <v>208</v>
      </c>
      <c r="D1818" s="12">
        <f>IFERROR(__xludf.DUMMYFUNCTION("""COMPUTED_VALUE"""),33.0)</f>
        <v>33</v>
      </c>
      <c r="E1818" s="12">
        <f>IFERROR(__xludf.DUMMYFUNCTION("""COMPUTED_VALUE"""),4.0)</f>
        <v>4</v>
      </c>
      <c r="F1818" s="12">
        <f>IFERROR(__xludf.DUMMYFUNCTION("""COMPUTED_VALUE"""),4.0)</f>
        <v>4</v>
      </c>
      <c r="G1818" s="15" t="str">
        <f>IFERROR(__xludf.DUMMYFUNCTION("""COMPUTED_VALUE"""),"Completa")</f>
        <v>Completa</v>
      </c>
      <c r="H1818" s="16" t="str">
        <f t="array" ref="H1818">_xlfn.XLOOKUP(D1818,Productos[ID_Producto],Productos[Nombre_Producto])</f>
        <v>Papas chips</v>
      </c>
      <c r="I1818" s="17">
        <f t="array" ref="I1818">_xlfn.XLOOKUP(D1818,Productos[ID_Producto],Productos[Precio_Unitario])</f>
        <v>8.54</v>
      </c>
      <c r="J1818" s="17">
        <f t="shared" si="1"/>
        <v>34.16</v>
      </c>
      <c r="K1818" s="16" t="str">
        <f t="array" ref="K1818">_xlfn.XLOOKUP(C1818,Clientes[ID_Cliente],Clientes[Provincia])</f>
        <v>Buenos Aires</v>
      </c>
      <c r="L1818" s="16" t="str">
        <f t="array" ref="L1818">CONCATENATE(_xlfn.XLOOKUP(C1818,Clientes[ID_Cliente],Clientes[Provincia]),", Argentina")</f>
        <v>Buenos Aires, Argentina</v>
      </c>
      <c r="M1818" s="20" t="str">
        <f t="array" ref="M1818">_xlfn.XLOOKUP(F1818,Metodos_De_Pago[ID_Metodo],Metodos_De_Pago[Metodo])</f>
        <v>Mercado Pago</v>
      </c>
      <c r="N1818" s="20" t="str">
        <f t="shared" si="2"/>
        <v>2024 08</v>
      </c>
    </row>
    <row r="1819" ht="22.5" customHeight="1">
      <c r="A1819" s="12">
        <f>IFERROR(__xludf.DUMMYFUNCTION("""COMPUTED_VALUE"""),1049.0)</f>
        <v>1049</v>
      </c>
      <c r="B1819" s="13">
        <f>IFERROR(__xludf.DUMMYFUNCTION("""COMPUTED_VALUE"""),45529.0)</f>
        <v>45529</v>
      </c>
      <c r="C1819" s="12">
        <f>IFERROR(__xludf.DUMMYFUNCTION("""COMPUTED_VALUE"""),263.0)</f>
        <v>263</v>
      </c>
      <c r="D1819" s="12">
        <f>IFERROR(__xludf.DUMMYFUNCTION("""COMPUTED_VALUE"""),25.0)</f>
        <v>25</v>
      </c>
      <c r="E1819" s="12">
        <f>IFERROR(__xludf.DUMMYFUNCTION("""COMPUTED_VALUE"""),4.0)</f>
        <v>4</v>
      </c>
      <c r="F1819" s="12">
        <f>IFERROR(__xludf.DUMMYFUNCTION("""COMPUTED_VALUE"""),4.0)</f>
        <v>4</v>
      </c>
      <c r="G1819" s="15" t="str">
        <f>IFERROR(__xludf.DUMMYFUNCTION("""COMPUTED_VALUE"""),"Completa")</f>
        <v>Completa</v>
      </c>
      <c r="H1819" s="16" t="str">
        <f t="array" ref="H1819">_xlfn.XLOOKUP(D1819,Productos[ID_Producto],Productos[Nombre_Producto])</f>
        <v>Pizza congelada</v>
      </c>
      <c r="I1819" s="17">
        <f t="array" ref="I1819">_xlfn.XLOOKUP(D1819,Productos[ID_Producto],Productos[Precio_Unitario])</f>
        <v>15.45</v>
      </c>
      <c r="J1819" s="17">
        <f t="shared" si="1"/>
        <v>61.8</v>
      </c>
      <c r="K1819" s="16" t="str">
        <f t="array" ref="K1819">_xlfn.XLOOKUP(C1819,Clientes[ID_Cliente],Clientes[Provincia])</f>
        <v>Buenos Aires</v>
      </c>
      <c r="L1819" s="16" t="str">
        <f t="array" ref="L1819">CONCATENATE(_xlfn.XLOOKUP(C1819,Clientes[ID_Cliente],Clientes[Provincia]),", Argentina")</f>
        <v>Buenos Aires, Argentina</v>
      </c>
      <c r="M1819" s="20" t="str">
        <f t="array" ref="M1819">_xlfn.XLOOKUP(F1819,Metodos_De_Pago[ID_Metodo],Metodos_De_Pago[Metodo])</f>
        <v>Mercado Pago</v>
      </c>
      <c r="N1819" s="20" t="str">
        <f t="shared" si="2"/>
        <v>2024 08</v>
      </c>
    </row>
    <row r="1820" ht="22.5" customHeight="1">
      <c r="A1820" s="12">
        <f>IFERROR(__xludf.DUMMYFUNCTION("""COMPUTED_VALUE"""),1257.0)</f>
        <v>1257</v>
      </c>
      <c r="B1820" s="13">
        <f>IFERROR(__xludf.DUMMYFUNCTION("""COMPUTED_VALUE"""),45530.0)</f>
        <v>45530</v>
      </c>
      <c r="C1820" s="12">
        <f>IFERROR(__xludf.DUMMYFUNCTION("""COMPUTED_VALUE"""),15.0)</f>
        <v>15</v>
      </c>
      <c r="D1820" s="12">
        <f>IFERROR(__xludf.DUMMYFUNCTION("""COMPUTED_VALUE"""),6.0)</f>
        <v>6</v>
      </c>
      <c r="E1820" s="12">
        <f>IFERROR(__xludf.DUMMYFUNCTION("""COMPUTED_VALUE"""),4.0)</f>
        <v>4</v>
      </c>
      <c r="F1820" s="12">
        <f>IFERROR(__xludf.DUMMYFUNCTION("""COMPUTED_VALUE"""),5.0)</f>
        <v>5</v>
      </c>
      <c r="G1820" s="15" t="str">
        <f>IFERROR(__xludf.DUMMYFUNCTION("""COMPUTED_VALUE"""),"Completa")</f>
        <v>Completa</v>
      </c>
      <c r="H1820" s="16" t="str">
        <f t="array" ref="H1820">_xlfn.XLOOKUP(D1820,Productos[ID_Producto],Productos[Nombre_Producto])</f>
        <v>Asado</v>
      </c>
      <c r="I1820" s="17">
        <f t="array" ref="I1820">_xlfn.XLOOKUP(D1820,Productos[ID_Producto],Productos[Precio_Unitario])</f>
        <v>28.56</v>
      </c>
      <c r="J1820" s="17">
        <f t="shared" si="1"/>
        <v>114.24</v>
      </c>
      <c r="K1820" s="16" t="str">
        <f t="array" ref="K1820">_xlfn.XLOOKUP(C1820,Clientes[ID_Cliente],Clientes[Provincia])</f>
        <v>Buenos Aires</v>
      </c>
      <c r="L1820" s="16" t="str">
        <f t="array" ref="L1820">CONCATENATE(_xlfn.XLOOKUP(C1820,Clientes[ID_Cliente],Clientes[Provincia]),", Argentina")</f>
        <v>Buenos Aires, Argentina</v>
      </c>
      <c r="M1820" s="20" t="str">
        <f t="array" ref="M1820">_xlfn.XLOOKUP(F1820,Metodos_De_Pago[ID_Metodo],Metodos_De_Pago[Metodo])</f>
        <v>Transferencia</v>
      </c>
      <c r="N1820" s="20" t="str">
        <f t="shared" si="2"/>
        <v>2024 08</v>
      </c>
    </row>
    <row r="1821" ht="22.5" customHeight="1">
      <c r="A1821" s="12">
        <f>IFERROR(__xludf.DUMMYFUNCTION("""COMPUTED_VALUE"""),1208.0)</f>
        <v>1208</v>
      </c>
      <c r="B1821" s="13">
        <f>IFERROR(__xludf.DUMMYFUNCTION("""COMPUTED_VALUE"""),45533.0)</f>
        <v>45533</v>
      </c>
      <c r="C1821" s="12">
        <f>IFERROR(__xludf.DUMMYFUNCTION("""COMPUTED_VALUE"""),306.0)</f>
        <v>306</v>
      </c>
      <c r="D1821" s="12">
        <f>IFERROR(__xludf.DUMMYFUNCTION("""COMPUTED_VALUE"""),14.0)</f>
        <v>14</v>
      </c>
      <c r="E1821" s="12">
        <f>IFERROR(__xludf.DUMMYFUNCTION("""COMPUTED_VALUE"""),4.0)</f>
        <v>4</v>
      </c>
      <c r="F1821" s="12">
        <f>IFERROR(__xludf.DUMMYFUNCTION("""COMPUTED_VALUE"""),3.0)</f>
        <v>3</v>
      </c>
      <c r="G1821" s="15" t="str">
        <f>IFERROR(__xludf.DUMMYFUNCTION("""COMPUTED_VALUE"""),"Completa")</f>
        <v>Completa</v>
      </c>
      <c r="H1821" s="16" t="str">
        <f t="array" ref="H1821">_xlfn.XLOOKUP(D1821,Productos[ID_Producto],Productos[Nombre_Producto])</f>
        <v>Facturas</v>
      </c>
      <c r="I1821" s="17">
        <f t="array" ref="I1821">_xlfn.XLOOKUP(D1821,Productos[ID_Producto],Productos[Precio_Unitario])</f>
        <v>12.36</v>
      </c>
      <c r="J1821" s="17">
        <f t="shared" si="1"/>
        <v>49.44</v>
      </c>
      <c r="K1821" s="16" t="str">
        <f t="array" ref="K1821">_xlfn.XLOOKUP(C1821,Clientes[ID_Cliente],Clientes[Provincia])</f>
        <v>San Luis</v>
      </c>
      <c r="L1821" s="16" t="str">
        <f t="array" ref="L1821">CONCATENATE(_xlfn.XLOOKUP(C1821,Clientes[ID_Cliente],Clientes[Provincia]),", Argentina")</f>
        <v>San Luis, Argentina</v>
      </c>
      <c r="M1821" s="20" t="str">
        <f t="array" ref="M1821">_xlfn.XLOOKUP(F1821,Metodos_De_Pago[ID_Metodo],Metodos_De_Pago[Metodo])</f>
        <v>Tarjeta de Débito</v>
      </c>
      <c r="N1821" s="20" t="str">
        <f t="shared" si="2"/>
        <v>2024 08</v>
      </c>
    </row>
    <row r="1822" ht="22.5" customHeight="1">
      <c r="A1822" s="12">
        <f>IFERROR(__xludf.DUMMYFUNCTION("""COMPUTED_VALUE"""),2693.0)</f>
        <v>2693</v>
      </c>
      <c r="B1822" s="13">
        <f>IFERROR(__xludf.DUMMYFUNCTION("""COMPUTED_VALUE"""),45533.0)</f>
        <v>45533</v>
      </c>
      <c r="C1822" s="12">
        <f>IFERROR(__xludf.DUMMYFUNCTION("""COMPUTED_VALUE"""),133.0)</f>
        <v>133</v>
      </c>
      <c r="D1822" s="12">
        <f>IFERROR(__xludf.DUMMYFUNCTION("""COMPUTED_VALUE"""),33.0)</f>
        <v>33</v>
      </c>
      <c r="E1822" s="12">
        <f>IFERROR(__xludf.DUMMYFUNCTION("""COMPUTED_VALUE"""),4.0)</f>
        <v>4</v>
      </c>
      <c r="F1822" s="12">
        <f>IFERROR(__xludf.DUMMYFUNCTION("""COMPUTED_VALUE"""),2.0)</f>
        <v>2</v>
      </c>
      <c r="G1822" s="15" t="str">
        <f>IFERROR(__xludf.DUMMYFUNCTION("""COMPUTED_VALUE"""),"Pendiente")</f>
        <v>Pendiente</v>
      </c>
      <c r="H1822" s="16" t="str">
        <f t="array" ref="H1822">_xlfn.XLOOKUP(D1822,Productos[ID_Producto],Productos[Nombre_Producto])</f>
        <v>Papas chips</v>
      </c>
      <c r="I1822" s="17">
        <f t="array" ref="I1822">_xlfn.XLOOKUP(D1822,Productos[ID_Producto],Productos[Precio_Unitario])</f>
        <v>8.54</v>
      </c>
      <c r="J1822" s="17">
        <f t="shared" si="1"/>
        <v>34.16</v>
      </c>
      <c r="K1822" s="16" t="str">
        <f t="array" ref="K1822">_xlfn.XLOOKUP(C1822,Clientes[ID_Cliente],Clientes[Provincia])</f>
        <v>Buenos Aires</v>
      </c>
      <c r="L1822" s="16" t="str">
        <f t="array" ref="L1822">CONCATENATE(_xlfn.XLOOKUP(C1822,Clientes[ID_Cliente],Clientes[Provincia]),", Argentina")</f>
        <v>Buenos Aires, Argentina</v>
      </c>
      <c r="M1822" s="20" t="str">
        <f t="array" ref="M1822">_xlfn.XLOOKUP(F1822,Metodos_De_Pago[ID_Metodo],Metodos_De_Pago[Metodo])</f>
        <v>Tarjeta de Crédito</v>
      </c>
      <c r="N1822" s="20" t="str">
        <f t="shared" si="2"/>
        <v>2024 08</v>
      </c>
    </row>
    <row r="1823" ht="22.5" customHeight="1">
      <c r="A1823" s="12">
        <f>IFERROR(__xludf.DUMMYFUNCTION("""COMPUTED_VALUE"""),526.0)</f>
        <v>526</v>
      </c>
      <c r="B1823" s="13">
        <f>IFERROR(__xludf.DUMMYFUNCTION("""COMPUTED_VALUE"""),45535.0)</f>
        <v>45535</v>
      </c>
      <c r="C1823" s="12">
        <f>IFERROR(__xludf.DUMMYFUNCTION("""COMPUTED_VALUE"""),321.0)</f>
        <v>321</v>
      </c>
      <c r="D1823" s="12">
        <f>IFERROR(__xludf.DUMMYFUNCTION("""COMPUTED_VALUE"""),32.0)</f>
        <v>32</v>
      </c>
      <c r="E1823" s="12">
        <f>IFERROR(__xludf.DUMMYFUNCTION("""COMPUTED_VALUE"""),4.0)</f>
        <v>4</v>
      </c>
      <c r="F1823" s="12">
        <f>IFERROR(__xludf.DUMMYFUNCTION("""COMPUTED_VALUE"""),4.0)</f>
        <v>4</v>
      </c>
      <c r="G1823" s="15" t="str">
        <f>IFERROR(__xludf.DUMMYFUNCTION("""COMPUTED_VALUE"""),"Completa")</f>
        <v>Completa</v>
      </c>
      <c r="H1823" s="16" t="str">
        <f t="array" ref="H1823">_xlfn.XLOOKUP(D1823,Productos[ID_Producto],Productos[Nombre_Producto])</f>
        <v>Galletitas de chocolate</v>
      </c>
      <c r="I1823" s="17">
        <f t="array" ref="I1823">_xlfn.XLOOKUP(D1823,Productos[ID_Producto],Productos[Precio_Unitario])</f>
        <v>6.25</v>
      </c>
      <c r="J1823" s="17">
        <f t="shared" si="1"/>
        <v>25</v>
      </c>
      <c r="K1823" s="16" t="str">
        <f t="array" ref="K1823">_xlfn.XLOOKUP(C1823,Clientes[ID_Cliente],Clientes[Provincia])</f>
        <v>San Luis</v>
      </c>
      <c r="L1823" s="16" t="str">
        <f t="array" ref="L1823">CONCATENATE(_xlfn.XLOOKUP(C1823,Clientes[ID_Cliente],Clientes[Provincia]),", Argentina")</f>
        <v>San Luis, Argentina</v>
      </c>
      <c r="M1823" s="20" t="str">
        <f t="array" ref="M1823">_xlfn.XLOOKUP(F1823,Metodos_De_Pago[ID_Metodo],Metodos_De_Pago[Metodo])</f>
        <v>Mercado Pago</v>
      </c>
      <c r="N1823" s="20" t="str">
        <f t="shared" si="2"/>
        <v>2024 08</v>
      </c>
    </row>
    <row r="1824" ht="22.5" customHeight="1">
      <c r="A1824" s="12">
        <f>IFERROR(__xludf.DUMMYFUNCTION("""COMPUTED_VALUE"""),2965.0)</f>
        <v>2965</v>
      </c>
      <c r="B1824" s="13">
        <f>IFERROR(__xludf.DUMMYFUNCTION("""COMPUTED_VALUE"""),45535.0)</f>
        <v>45535</v>
      </c>
      <c r="C1824" s="12">
        <f>IFERROR(__xludf.DUMMYFUNCTION("""COMPUTED_VALUE"""),183.0)</f>
        <v>183</v>
      </c>
      <c r="D1824" s="12">
        <f>IFERROR(__xludf.DUMMYFUNCTION("""COMPUTED_VALUE"""),37.0)</f>
        <v>37</v>
      </c>
      <c r="E1824" s="12">
        <f>IFERROR(__xludf.DUMMYFUNCTION("""COMPUTED_VALUE"""),4.0)</f>
        <v>4</v>
      </c>
      <c r="F1824" s="12">
        <f>IFERROR(__xludf.DUMMYFUNCTION("""COMPUTED_VALUE"""),3.0)</f>
        <v>3</v>
      </c>
      <c r="G1824" s="15" t="str">
        <f>IFERROR(__xludf.DUMMYFUNCTION("""COMPUTED_VALUE"""),"Completa")</f>
        <v>Completa</v>
      </c>
      <c r="H1824" s="16" t="str">
        <f t="array" ref="H1824">_xlfn.XLOOKUP(D1824,Productos[ID_Producto],Productos[Nombre_Producto])</f>
        <v>Garbanzos</v>
      </c>
      <c r="I1824" s="17">
        <f t="array" ref="I1824">_xlfn.XLOOKUP(D1824,Productos[ID_Producto],Productos[Precio_Unitario])</f>
        <v>3.65</v>
      </c>
      <c r="J1824" s="17">
        <f t="shared" si="1"/>
        <v>14.6</v>
      </c>
      <c r="K1824" s="16" t="str">
        <f t="array" ref="K1824">_xlfn.XLOOKUP(C1824,Clientes[ID_Cliente],Clientes[Provincia])</f>
        <v>Neuquén</v>
      </c>
      <c r="L1824" s="16" t="str">
        <f t="array" ref="L1824">CONCATENATE(_xlfn.XLOOKUP(C1824,Clientes[ID_Cliente],Clientes[Provincia]),", Argentina")</f>
        <v>Neuquén, Argentina</v>
      </c>
      <c r="M1824" s="20" t="str">
        <f t="array" ref="M1824">_xlfn.XLOOKUP(F1824,Metodos_De_Pago[ID_Metodo],Metodos_De_Pago[Metodo])</f>
        <v>Tarjeta de Débito</v>
      </c>
      <c r="N1824" s="20" t="str">
        <f t="shared" si="2"/>
        <v>2024 08</v>
      </c>
    </row>
    <row r="1825" ht="22.5" customHeight="1">
      <c r="A1825" s="12">
        <f>IFERROR(__xludf.DUMMYFUNCTION("""COMPUTED_VALUE"""),2141.0)</f>
        <v>2141</v>
      </c>
      <c r="B1825" s="13">
        <f>IFERROR(__xludf.DUMMYFUNCTION("""COMPUTED_VALUE"""),45536.0)</f>
        <v>45536</v>
      </c>
      <c r="C1825" s="12">
        <f>IFERROR(__xludf.DUMMYFUNCTION("""COMPUTED_VALUE"""),188.0)</f>
        <v>188</v>
      </c>
      <c r="D1825" s="12">
        <f>IFERROR(__xludf.DUMMYFUNCTION("""COMPUTED_VALUE"""),16.0)</f>
        <v>16</v>
      </c>
      <c r="E1825" s="12">
        <f>IFERROR(__xludf.DUMMYFUNCTION("""COMPUTED_VALUE"""),4.0)</f>
        <v>4</v>
      </c>
      <c r="F1825" s="12">
        <f>IFERROR(__xludf.DUMMYFUNCTION("""COMPUTED_VALUE"""),1.0)</f>
        <v>1</v>
      </c>
      <c r="G1825" s="15" t="str">
        <f>IFERROR(__xludf.DUMMYFUNCTION("""COMPUTED_VALUE"""),"Completa")</f>
        <v>Completa</v>
      </c>
      <c r="H1825" s="16" t="str">
        <f t="array" ref="H1825">_xlfn.XLOOKUP(D1825,Productos[ID_Producto],Productos[Nombre_Producto])</f>
        <v>Tortas</v>
      </c>
      <c r="I1825" s="17">
        <f t="array" ref="I1825">_xlfn.XLOOKUP(D1825,Productos[ID_Producto],Productos[Precio_Unitario])</f>
        <v>15.23</v>
      </c>
      <c r="J1825" s="17">
        <f t="shared" si="1"/>
        <v>60.92</v>
      </c>
      <c r="K1825" s="16" t="str">
        <f t="array" ref="K1825">_xlfn.XLOOKUP(C1825,Clientes[ID_Cliente],Clientes[Provincia])</f>
        <v>San Luis</v>
      </c>
      <c r="L1825" s="16" t="str">
        <f t="array" ref="L1825">CONCATENATE(_xlfn.XLOOKUP(C1825,Clientes[ID_Cliente],Clientes[Provincia]),", Argentina")</f>
        <v>San Luis, Argentina</v>
      </c>
      <c r="M1825" s="20" t="str">
        <f t="array" ref="M1825">_xlfn.XLOOKUP(F1825,Metodos_De_Pago[ID_Metodo],Metodos_De_Pago[Metodo])</f>
        <v>Efectivo</v>
      </c>
      <c r="N1825" s="20" t="str">
        <f t="shared" si="2"/>
        <v>2024 09</v>
      </c>
    </row>
    <row r="1826" ht="22.5" customHeight="1">
      <c r="A1826" s="12">
        <f>IFERROR(__xludf.DUMMYFUNCTION("""COMPUTED_VALUE"""),348.0)</f>
        <v>348</v>
      </c>
      <c r="B1826" s="13">
        <f>IFERROR(__xludf.DUMMYFUNCTION("""COMPUTED_VALUE"""),45537.0)</f>
        <v>45537</v>
      </c>
      <c r="C1826" s="12">
        <f>IFERROR(__xludf.DUMMYFUNCTION("""COMPUTED_VALUE"""),248.0)</f>
        <v>248</v>
      </c>
      <c r="D1826" s="12">
        <f>IFERROR(__xludf.DUMMYFUNCTION("""COMPUTED_VALUE"""),9.0)</f>
        <v>9</v>
      </c>
      <c r="E1826" s="12">
        <f>IFERROR(__xludf.DUMMYFUNCTION("""COMPUTED_VALUE"""),4.0)</f>
        <v>4</v>
      </c>
      <c r="F1826" s="12">
        <f>IFERROR(__xludf.DUMMYFUNCTION("""COMPUTED_VALUE"""),4.0)</f>
        <v>4</v>
      </c>
      <c r="G1826" s="15" t="str">
        <f>IFERROR(__xludf.DUMMYFUNCTION("""COMPUTED_VALUE"""),"Completa")</f>
        <v>Completa</v>
      </c>
      <c r="H1826" s="16" t="str">
        <f t="array" ref="H1826">_xlfn.XLOOKUP(D1826,Productos[ID_Producto],Productos[Nombre_Producto])</f>
        <v>Pollo</v>
      </c>
      <c r="I1826" s="17">
        <f t="array" ref="I1826">_xlfn.XLOOKUP(D1826,Productos[ID_Producto],Productos[Precio_Unitario])</f>
        <v>18.56</v>
      </c>
      <c r="J1826" s="17">
        <f t="shared" si="1"/>
        <v>74.24</v>
      </c>
      <c r="K1826" s="16" t="str">
        <f t="array" ref="K1826">_xlfn.XLOOKUP(C1826,Clientes[ID_Cliente],Clientes[Provincia])</f>
        <v>Córdoba</v>
      </c>
      <c r="L1826" s="16" t="str">
        <f t="array" ref="L1826">CONCATENATE(_xlfn.XLOOKUP(C1826,Clientes[ID_Cliente],Clientes[Provincia]),", Argentina")</f>
        <v>Córdoba, Argentina</v>
      </c>
      <c r="M1826" s="20" t="str">
        <f t="array" ref="M1826">_xlfn.XLOOKUP(F1826,Metodos_De_Pago[ID_Metodo],Metodos_De_Pago[Metodo])</f>
        <v>Mercado Pago</v>
      </c>
      <c r="N1826" s="20" t="str">
        <f t="shared" si="2"/>
        <v>2024 09</v>
      </c>
    </row>
    <row r="1827" ht="22.5" customHeight="1">
      <c r="A1827" s="12">
        <f>IFERROR(__xludf.DUMMYFUNCTION("""COMPUTED_VALUE"""),931.0)</f>
        <v>931</v>
      </c>
      <c r="B1827" s="13">
        <f>IFERROR(__xludf.DUMMYFUNCTION("""COMPUTED_VALUE"""),45537.0)</f>
        <v>45537</v>
      </c>
      <c r="C1827" s="12">
        <f>IFERROR(__xludf.DUMMYFUNCTION("""COMPUTED_VALUE"""),179.0)</f>
        <v>179</v>
      </c>
      <c r="D1827" s="12">
        <f>IFERROR(__xludf.DUMMYFUNCTION("""COMPUTED_VALUE"""),29.0)</f>
        <v>29</v>
      </c>
      <c r="E1827" s="12">
        <f>IFERROR(__xludf.DUMMYFUNCTION("""COMPUTED_VALUE"""),4.0)</f>
        <v>4</v>
      </c>
      <c r="F1827" s="12">
        <f>IFERROR(__xludf.DUMMYFUNCTION("""COMPUTED_VALUE"""),1.0)</f>
        <v>1</v>
      </c>
      <c r="G1827" s="15" t="str">
        <f>IFERROR(__xludf.DUMMYFUNCTION("""COMPUTED_VALUE"""),"Completa")</f>
        <v>Completa</v>
      </c>
      <c r="H1827" s="16" t="str">
        <f t="array" ref="H1827">_xlfn.XLOOKUP(D1827,Productos[ID_Producto],Productos[Nombre_Producto])</f>
        <v>Cerveza</v>
      </c>
      <c r="I1827" s="17">
        <f t="array" ref="I1827">_xlfn.XLOOKUP(D1827,Productos[ID_Producto],Productos[Precio_Unitario])</f>
        <v>11.54</v>
      </c>
      <c r="J1827" s="17">
        <f t="shared" si="1"/>
        <v>46.16</v>
      </c>
      <c r="K1827" s="16" t="str">
        <f t="array" ref="K1827">_xlfn.XLOOKUP(C1827,Clientes[ID_Cliente],Clientes[Provincia])</f>
        <v>Buenos Aires</v>
      </c>
      <c r="L1827" s="16" t="str">
        <f t="array" ref="L1827">CONCATENATE(_xlfn.XLOOKUP(C1827,Clientes[ID_Cliente],Clientes[Provincia]),", Argentina")</f>
        <v>Buenos Aires, Argentina</v>
      </c>
      <c r="M1827" s="20" t="str">
        <f t="array" ref="M1827">_xlfn.XLOOKUP(F1827,Metodos_De_Pago[ID_Metodo],Metodos_De_Pago[Metodo])</f>
        <v>Efectivo</v>
      </c>
      <c r="N1827" s="20" t="str">
        <f t="shared" si="2"/>
        <v>2024 09</v>
      </c>
    </row>
    <row r="1828" ht="22.5" customHeight="1">
      <c r="A1828" s="12">
        <f>IFERROR(__xludf.DUMMYFUNCTION("""COMPUTED_VALUE"""),2288.0)</f>
        <v>2288</v>
      </c>
      <c r="B1828" s="13">
        <f>IFERROR(__xludf.DUMMYFUNCTION("""COMPUTED_VALUE"""),45537.0)</f>
        <v>45537</v>
      </c>
      <c r="C1828" s="12">
        <f>IFERROR(__xludf.DUMMYFUNCTION("""COMPUTED_VALUE"""),252.0)</f>
        <v>252</v>
      </c>
      <c r="D1828" s="12">
        <f>IFERROR(__xludf.DUMMYFUNCTION("""COMPUTED_VALUE"""),16.0)</f>
        <v>16</v>
      </c>
      <c r="E1828" s="12">
        <f>IFERROR(__xludf.DUMMYFUNCTION("""COMPUTED_VALUE"""),4.0)</f>
        <v>4</v>
      </c>
      <c r="F1828" s="12">
        <f>IFERROR(__xludf.DUMMYFUNCTION("""COMPUTED_VALUE"""),4.0)</f>
        <v>4</v>
      </c>
      <c r="G1828" s="15" t="str">
        <f>IFERROR(__xludf.DUMMYFUNCTION("""COMPUTED_VALUE"""),"Completa")</f>
        <v>Completa</v>
      </c>
      <c r="H1828" s="16" t="str">
        <f t="array" ref="H1828">_xlfn.XLOOKUP(D1828,Productos[ID_Producto],Productos[Nombre_Producto])</f>
        <v>Tortas</v>
      </c>
      <c r="I1828" s="17">
        <f t="array" ref="I1828">_xlfn.XLOOKUP(D1828,Productos[ID_Producto],Productos[Precio_Unitario])</f>
        <v>15.23</v>
      </c>
      <c r="J1828" s="17">
        <f t="shared" si="1"/>
        <v>60.92</v>
      </c>
      <c r="K1828" s="16" t="str">
        <f t="array" ref="K1828">_xlfn.XLOOKUP(C1828,Clientes[ID_Cliente],Clientes[Provincia])</f>
        <v>Neuquén</v>
      </c>
      <c r="L1828" s="16" t="str">
        <f t="array" ref="L1828">CONCATENATE(_xlfn.XLOOKUP(C1828,Clientes[ID_Cliente],Clientes[Provincia]),", Argentina")</f>
        <v>Neuquén, Argentina</v>
      </c>
      <c r="M1828" s="20" t="str">
        <f t="array" ref="M1828">_xlfn.XLOOKUP(F1828,Metodos_De_Pago[ID_Metodo],Metodos_De_Pago[Metodo])</f>
        <v>Mercado Pago</v>
      </c>
      <c r="N1828" s="20" t="str">
        <f t="shared" si="2"/>
        <v>2024 09</v>
      </c>
    </row>
    <row r="1829" ht="22.5" customHeight="1">
      <c r="A1829" s="12">
        <f>IFERROR(__xludf.DUMMYFUNCTION("""COMPUTED_VALUE"""),738.0)</f>
        <v>738</v>
      </c>
      <c r="B1829" s="13">
        <f>IFERROR(__xludf.DUMMYFUNCTION("""COMPUTED_VALUE"""),45538.0)</f>
        <v>45538</v>
      </c>
      <c r="C1829" s="12">
        <f>IFERROR(__xludf.DUMMYFUNCTION("""COMPUTED_VALUE"""),59.0)</f>
        <v>59</v>
      </c>
      <c r="D1829" s="12">
        <f>IFERROR(__xludf.DUMMYFUNCTION("""COMPUTED_VALUE"""),36.0)</f>
        <v>36</v>
      </c>
      <c r="E1829" s="12">
        <f>IFERROR(__xludf.DUMMYFUNCTION("""COMPUTED_VALUE"""),4.0)</f>
        <v>4</v>
      </c>
      <c r="F1829" s="12">
        <f>IFERROR(__xludf.DUMMYFUNCTION("""COMPUTED_VALUE"""),5.0)</f>
        <v>5</v>
      </c>
      <c r="G1829" s="15" t="str">
        <f>IFERROR(__xludf.DUMMYFUNCTION("""COMPUTED_VALUE"""),"Completa")</f>
        <v>Completa</v>
      </c>
      <c r="H1829" s="16" t="str">
        <f t="array" ref="H1829">_xlfn.XLOOKUP(D1829,Productos[ID_Producto],Productos[Nombre_Producto])</f>
        <v>Lentejas</v>
      </c>
      <c r="I1829" s="17">
        <f t="array" ref="I1829">_xlfn.XLOOKUP(D1829,Productos[ID_Producto],Productos[Precio_Unitario])</f>
        <v>3.25</v>
      </c>
      <c r="J1829" s="17">
        <f t="shared" si="1"/>
        <v>13</v>
      </c>
      <c r="K1829" s="16" t="str">
        <f t="array" ref="K1829">_xlfn.XLOOKUP(C1829,Clientes[ID_Cliente],Clientes[Provincia])</f>
        <v>Córdoba</v>
      </c>
      <c r="L1829" s="16" t="str">
        <f t="array" ref="L1829">CONCATENATE(_xlfn.XLOOKUP(C1829,Clientes[ID_Cliente],Clientes[Provincia]),", Argentina")</f>
        <v>Córdoba, Argentina</v>
      </c>
      <c r="M1829" s="20" t="str">
        <f t="array" ref="M1829">_xlfn.XLOOKUP(F1829,Metodos_De_Pago[ID_Metodo],Metodos_De_Pago[Metodo])</f>
        <v>Transferencia</v>
      </c>
      <c r="N1829" s="20" t="str">
        <f t="shared" si="2"/>
        <v>2024 09</v>
      </c>
    </row>
    <row r="1830" ht="22.5" customHeight="1">
      <c r="A1830" s="12">
        <f>IFERROR(__xludf.DUMMYFUNCTION("""COMPUTED_VALUE"""),2032.0)</f>
        <v>2032</v>
      </c>
      <c r="B1830" s="13">
        <f>IFERROR(__xludf.DUMMYFUNCTION("""COMPUTED_VALUE"""),45538.0)</f>
        <v>45538</v>
      </c>
      <c r="C1830" s="12">
        <f>IFERROR(__xludf.DUMMYFUNCTION("""COMPUTED_VALUE"""),100.0)</f>
        <v>100</v>
      </c>
      <c r="D1830" s="12">
        <f>IFERROR(__xludf.DUMMYFUNCTION("""COMPUTED_VALUE"""),38.0)</f>
        <v>38</v>
      </c>
      <c r="E1830" s="12">
        <f>IFERROR(__xludf.DUMMYFUNCTION("""COMPUTED_VALUE"""),4.0)</f>
        <v>4</v>
      </c>
      <c r="F1830" s="12">
        <f>IFERROR(__xludf.DUMMYFUNCTION("""COMPUTED_VALUE"""),4.0)</f>
        <v>4</v>
      </c>
      <c r="G1830" s="15" t="str">
        <f>IFERROR(__xludf.DUMMYFUNCTION("""COMPUTED_VALUE"""),"Completa")</f>
        <v>Completa</v>
      </c>
      <c r="H1830" s="16" t="str">
        <f t="array" ref="H1830">_xlfn.XLOOKUP(D1830,Productos[ID_Producto],Productos[Nombre_Producto])</f>
        <v>Atún enlatado</v>
      </c>
      <c r="I1830" s="17">
        <f t="array" ref="I1830">_xlfn.XLOOKUP(D1830,Productos[ID_Producto],Productos[Precio_Unitario])</f>
        <v>6.21</v>
      </c>
      <c r="J1830" s="17">
        <f t="shared" si="1"/>
        <v>24.84</v>
      </c>
      <c r="K1830" s="16" t="str">
        <f t="array" ref="K1830">_xlfn.XLOOKUP(C1830,Clientes[ID_Cliente],Clientes[Provincia])</f>
        <v>Chaco</v>
      </c>
      <c r="L1830" s="16" t="str">
        <f t="array" ref="L1830">CONCATENATE(_xlfn.XLOOKUP(C1830,Clientes[ID_Cliente],Clientes[Provincia]),", Argentina")</f>
        <v>Chaco, Argentina</v>
      </c>
      <c r="M1830" s="20" t="str">
        <f t="array" ref="M1830">_xlfn.XLOOKUP(F1830,Metodos_De_Pago[ID_Metodo],Metodos_De_Pago[Metodo])</f>
        <v>Mercado Pago</v>
      </c>
      <c r="N1830" s="20" t="str">
        <f t="shared" si="2"/>
        <v>2024 09</v>
      </c>
    </row>
    <row r="1831" ht="22.5" customHeight="1">
      <c r="A1831" s="12">
        <f>IFERROR(__xludf.DUMMYFUNCTION("""COMPUTED_VALUE"""),1550.0)</f>
        <v>1550</v>
      </c>
      <c r="B1831" s="13">
        <f>IFERROR(__xludf.DUMMYFUNCTION("""COMPUTED_VALUE"""),45540.0)</f>
        <v>45540</v>
      </c>
      <c r="C1831" s="12">
        <f>IFERROR(__xludf.DUMMYFUNCTION("""COMPUTED_VALUE"""),125.0)</f>
        <v>125</v>
      </c>
      <c r="D1831" s="12">
        <f>IFERROR(__xludf.DUMMYFUNCTION("""COMPUTED_VALUE"""),6.0)</f>
        <v>6</v>
      </c>
      <c r="E1831" s="12">
        <f>IFERROR(__xludf.DUMMYFUNCTION("""COMPUTED_VALUE"""),4.0)</f>
        <v>4</v>
      </c>
      <c r="F1831" s="12">
        <f>IFERROR(__xludf.DUMMYFUNCTION("""COMPUTED_VALUE"""),1.0)</f>
        <v>1</v>
      </c>
      <c r="G1831" s="15" t="str">
        <f>IFERROR(__xludf.DUMMYFUNCTION("""COMPUTED_VALUE"""),"Completa")</f>
        <v>Completa</v>
      </c>
      <c r="H1831" s="16" t="str">
        <f t="array" ref="H1831">_xlfn.XLOOKUP(D1831,Productos[ID_Producto],Productos[Nombre_Producto])</f>
        <v>Asado</v>
      </c>
      <c r="I1831" s="17">
        <f t="array" ref="I1831">_xlfn.XLOOKUP(D1831,Productos[ID_Producto],Productos[Precio_Unitario])</f>
        <v>28.56</v>
      </c>
      <c r="J1831" s="17">
        <f t="shared" si="1"/>
        <v>114.24</v>
      </c>
      <c r="K1831" s="16" t="str">
        <f t="array" ref="K1831">_xlfn.XLOOKUP(C1831,Clientes[ID_Cliente],Clientes[Provincia])</f>
        <v>Neuquén</v>
      </c>
      <c r="L1831" s="16" t="str">
        <f t="array" ref="L1831">CONCATENATE(_xlfn.XLOOKUP(C1831,Clientes[ID_Cliente],Clientes[Provincia]),", Argentina")</f>
        <v>Neuquén, Argentina</v>
      </c>
      <c r="M1831" s="20" t="str">
        <f t="array" ref="M1831">_xlfn.XLOOKUP(F1831,Metodos_De_Pago[ID_Metodo],Metodos_De_Pago[Metodo])</f>
        <v>Efectivo</v>
      </c>
      <c r="N1831" s="20" t="str">
        <f t="shared" si="2"/>
        <v>2024 09</v>
      </c>
    </row>
    <row r="1832" ht="22.5" customHeight="1">
      <c r="A1832" s="12">
        <f>IFERROR(__xludf.DUMMYFUNCTION("""COMPUTED_VALUE"""),5.0)</f>
        <v>5</v>
      </c>
      <c r="B1832" s="13">
        <f>IFERROR(__xludf.DUMMYFUNCTION("""COMPUTED_VALUE"""),45541.0)</f>
        <v>45541</v>
      </c>
      <c r="C1832" s="12">
        <f>IFERROR(__xludf.DUMMYFUNCTION("""COMPUTED_VALUE"""),188.0)</f>
        <v>188</v>
      </c>
      <c r="D1832" s="12">
        <f>IFERROR(__xludf.DUMMYFUNCTION("""COMPUTED_VALUE"""),4.0)</f>
        <v>4</v>
      </c>
      <c r="E1832" s="12">
        <f>IFERROR(__xludf.DUMMYFUNCTION("""COMPUTED_VALUE"""),4.0)</f>
        <v>4</v>
      </c>
      <c r="F1832" s="12">
        <f>IFERROR(__xludf.DUMMYFUNCTION("""COMPUTED_VALUE"""),4.0)</f>
        <v>4</v>
      </c>
      <c r="G1832" s="15" t="str">
        <f>IFERROR(__xludf.DUMMYFUNCTION("""COMPUTED_VALUE"""),"Completa")</f>
        <v>Completa</v>
      </c>
      <c r="H1832" s="16" t="str">
        <f t="array" ref="H1832">_xlfn.XLOOKUP(D1832,Productos[ID_Producto],Productos[Nombre_Producto])</f>
        <v>Queso rallado</v>
      </c>
      <c r="I1832" s="17">
        <f t="array" ref="I1832">_xlfn.XLOOKUP(D1832,Productos[ID_Producto],Productos[Precio_Unitario])</f>
        <v>19.23</v>
      </c>
      <c r="J1832" s="17">
        <f t="shared" si="1"/>
        <v>76.92</v>
      </c>
      <c r="K1832" s="16" t="str">
        <f t="array" ref="K1832">_xlfn.XLOOKUP(C1832,Clientes[ID_Cliente],Clientes[Provincia])</f>
        <v>San Luis</v>
      </c>
      <c r="L1832" s="16" t="str">
        <f t="array" ref="L1832">CONCATENATE(_xlfn.XLOOKUP(C1832,Clientes[ID_Cliente],Clientes[Provincia]),", Argentina")</f>
        <v>San Luis, Argentina</v>
      </c>
      <c r="M1832" s="20" t="str">
        <f t="array" ref="M1832">_xlfn.XLOOKUP(F1832,Metodos_De_Pago[ID_Metodo],Metodos_De_Pago[Metodo])</f>
        <v>Mercado Pago</v>
      </c>
      <c r="N1832" s="20" t="str">
        <f t="shared" si="2"/>
        <v>2024 09</v>
      </c>
    </row>
    <row r="1833" ht="22.5" customHeight="1">
      <c r="A1833" s="12">
        <f>IFERROR(__xludf.DUMMYFUNCTION("""COMPUTED_VALUE"""),2612.0)</f>
        <v>2612</v>
      </c>
      <c r="B1833" s="13">
        <f>IFERROR(__xludf.DUMMYFUNCTION("""COMPUTED_VALUE"""),45541.0)</f>
        <v>45541</v>
      </c>
      <c r="C1833" s="12">
        <f>IFERROR(__xludf.DUMMYFUNCTION("""COMPUTED_VALUE"""),165.0)</f>
        <v>165</v>
      </c>
      <c r="D1833" s="12">
        <f>IFERROR(__xludf.DUMMYFUNCTION("""COMPUTED_VALUE"""),20.0)</f>
        <v>20</v>
      </c>
      <c r="E1833" s="12">
        <f>IFERROR(__xludf.DUMMYFUNCTION("""COMPUTED_VALUE"""),4.0)</f>
        <v>4</v>
      </c>
      <c r="F1833" s="12">
        <f>IFERROR(__xludf.DUMMYFUNCTION("""COMPUTED_VALUE"""),1.0)</f>
        <v>1</v>
      </c>
      <c r="G1833" s="15" t="str">
        <f>IFERROR(__xludf.DUMMYFUNCTION("""COMPUTED_VALUE"""),"Completa")</f>
        <v>Completa</v>
      </c>
      <c r="H1833" s="16" t="str">
        <f t="array" ref="H1833">_xlfn.XLOOKUP(D1833,Productos[ID_Producto],Productos[Nombre_Producto])</f>
        <v>Lechugas</v>
      </c>
      <c r="I1833" s="17">
        <f t="array" ref="I1833">_xlfn.XLOOKUP(D1833,Productos[ID_Producto],Productos[Precio_Unitario])</f>
        <v>4.25</v>
      </c>
      <c r="J1833" s="17">
        <f t="shared" si="1"/>
        <v>17</v>
      </c>
      <c r="K1833" s="16" t="str">
        <f t="array" ref="K1833">_xlfn.XLOOKUP(C1833,Clientes[ID_Cliente],Clientes[Provincia])</f>
        <v>Buenos Aires</v>
      </c>
      <c r="L1833" s="16" t="str">
        <f t="array" ref="L1833">CONCATENATE(_xlfn.XLOOKUP(C1833,Clientes[ID_Cliente],Clientes[Provincia]),", Argentina")</f>
        <v>Buenos Aires, Argentina</v>
      </c>
      <c r="M1833" s="20" t="str">
        <f t="array" ref="M1833">_xlfn.XLOOKUP(F1833,Metodos_De_Pago[ID_Metodo],Metodos_De_Pago[Metodo])</f>
        <v>Efectivo</v>
      </c>
      <c r="N1833" s="20" t="str">
        <f t="shared" si="2"/>
        <v>2024 09</v>
      </c>
    </row>
    <row r="1834" ht="22.5" customHeight="1">
      <c r="A1834" s="12">
        <f>IFERROR(__xludf.DUMMYFUNCTION("""COMPUTED_VALUE"""),615.0)</f>
        <v>615</v>
      </c>
      <c r="B1834" s="13">
        <f>IFERROR(__xludf.DUMMYFUNCTION("""COMPUTED_VALUE"""),45542.0)</f>
        <v>45542</v>
      </c>
      <c r="C1834" s="12">
        <f>IFERROR(__xludf.DUMMYFUNCTION("""COMPUTED_VALUE"""),205.0)</f>
        <v>205</v>
      </c>
      <c r="D1834" s="12">
        <f>IFERROR(__xludf.DUMMYFUNCTION("""COMPUTED_VALUE"""),17.0)</f>
        <v>17</v>
      </c>
      <c r="E1834" s="12">
        <f>IFERROR(__xludf.DUMMYFUNCTION("""COMPUTED_VALUE"""),4.0)</f>
        <v>4</v>
      </c>
      <c r="F1834" s="12">
        <f>IFERROR(__xludf.DUMMYFUNCTION("""COMPUTED_VALUE"""),1.0)</f>
        <v>1</v>
      </c>
      <c r="G1834" s="15" t="str">
        <f>IFERROR(__xludf.DUMMYFUNCTION("""COMPUTED_VALUE"""),"Completa")</f>
        <v>Completa</v>
      </c>
      <c r="H1834" s="16" t="str">
        <f t="array" ref="H1834">_xlfn.XLOOKUP(D1834,Productos[ID_Producto],Productos[Nombre_Producto])</f>
        <v>Manzanas</v>
      </c>
      <c r="I1834" s="17">
        <f t="array" ref="I1834">_xlfn.XLOOKUP(D1834,Productos[ID_Producto],Productos[Precio_Unitario])</f>
        <v>6.54</v>
      </c>
      <c r="J1834" s="17">
        <f t="shared" si="1"/>
        <v>26.16</v>
      </c>
      <c r="K1834" s="16" t="str">
        <f t="array" ref="K1834">_xlfn.XLOOKUP(C1834,Clientes[ID_Cliente],Clientes[Provincia])</f>
        <v>Neuquén</v>
      </c>
      <c r="L1834" s="16" t="str">
        <f t="array" ref="L1834">CONCATENATE(_xlfn.XLOOKUP(C1834,Clientes[ID_Cliente],Clientes[Provincia]),", Argentina")</f>
        <v>Neuquén, Argentina</v>
      </c>
      <c r="M1834" s="20" t="str">
        <f t="array" ref="M1834">_xlfn.XLOOKUP(F1834,Metodos_De_Pago[ID_Metodo],Metodos_De_Pago[Metodo])</f>
        <v>Efectivo</v>
      </c>
      <c r="N1834" s="20" t="str">
        <f t="shared" si="2"/>
        <v>2024 09</v>
      </c>
    </row>
    <row r="1835" ht="22.5" customHeight="1">
      <c r="A1835" s="12">
        <f>IFERROR(__xludf.DUMMYFUNCTION("""COMPUTED_VALUE"""),2878.0)</f>
        <v>2878</v>
      </c>
      <c r="B1835" s="13">
        <f>IFERROR(__xludf.DUMMYFUNCTION("""COMPUTED_VALUE"""),45546.0)</f>
        <v>45546</v>
      </c>
      <c r="C1835" s="12">
        <f>IFERROR(__xludf.DUMMYFUNCTION("""COMPUTED_VALUE"""),180.0)</f>
        <v>180</v>
      </c>
      <c r="D1835" s="12">
        <f>IFERROR(__xludf.DUMMYFUNCTION("""COMPUTED_VALUE"""),27.0)</f>
        <v>27</v>
      </c>
      <c r="E1835" s="12">
        <f>IFERROR(__xludf.DUMMYFUNCTION("""COMPUTED_VALUE"""),4.0)</f>
        <v>4</v>
      </c>
      <c r="F1835" s="12">
        <f>IFERROR(__xludf.DUMMYFUNCTION("""COMPUTED_VALUE"""),4.0)</f>
        <v>4</v>
      </c>
      <c r="G1835" s="15" t="str">
        <f>IFERROR(__xludf.DUMMYFUNCTION("""COMPUTED_VALUE"""),"Completa")</f>
        <v>Completa</v>
      </c>
      <c r="H1835" s="16" t="str">
        <f t="array" ref="H1835">_xlfn.XLOOKUP(D1835,Productos[ID_Producto],Productos[Nombre_Producto])</f>
        <v>Agua mineral</v>
      </c>
      <c r="I1835" s="17">
        <f t="array" ref="I1835">_xlfn.XLOOKUP(D1835,Productos[ID_Producto],Productos[Precio_Unitario])</f>
        <v>6.21</v>
      </c>
      <c r="J1835" s="17">
        <f t="shared" si="1"/>
        <v>24.84</v>
      </c>
      <c r="K1835" s="16" t="str">
        <f t="array" ref="K1835">_xlfn.XLOOKUP(C1835,Clientes[ID_Cliente],Clientes[Provincia])</f>
        <v>Buenos Aires</v>
      </c>
      <c r="L1835" s="16" t="str">
        <f t="array" ref="L1835">CONCATENATE(_xlfn.XLOOKUP(C1835,Clientes[ID_Cliente],Clientes[Provincia]),", Argentina")</f>
        <v>Buenos Aires, Argentina</v>
      </c>
      <c r="M1835" s="20" t="str">
        <f t="array" ref="M1835">_xlfn.XLOOKUP(F1835,Metodos_De_Pago[ID_Metodo],Metodos_De_Pago[Metodo])</f>
        <v>Mercado Pago</v>
      </c>
      <c r="N1835" s="20" t="str">
        <f t="shared" si="2"/>
        <v>2024 09</v>
      </c>
    </row>
    <row r="1836" ht="22.5" customHeight="1">
      <c r="A1836" s="12">
        <f>IFERROR(__xludf.DUMMYFUNCTION("""COMPUTED_VALUE"""),1442.0)</f>
        <v>1442</v>
      </c>
      <c r="B1836" s="13">
        <f>IFERROR(__xludf.DUMMYFUNCTION("""COMPUTED_VALUE"""),45548.0)</f>
        <v>45548</v>
      </c>
      <c r="C1836" s="12">
        <f>IFERROR(__xludf.DUMMYFUNCTION("""COMPUTED_VALUE"""),4.0)</f>
        <v>4</v>
      </c>
      <c r="D1836" s="12">
        <f>IFERROR(__xludf.DUMMYFUNCTION("""COMPUTED_VALUE"""),17.0)</f>
        <v>17</v>
      </c>
      <c r="E1836" s="12">
        <f>IFERROR(__xludf.DUMMYFUNCTION("""COMPUTED_VALUE"""),4.0)</f>
        <v>4</v>
      </c>
      <c r="F1836" s="12">
        <f>IFERROR(__xludf.DUMMYFUNCTION("""COMPUTED_VALUE"""),2.0)</f>
        <v>2</v>
      </c>
      <c r="G1836" s="15" t="str">
        <f>IFERROR(__xludf.DUMMYFUNCTION("""COMPUTED_VALUE"""),"Completa")</f>
        <v>Completa</v>
      </c>
      <c r="H1836" s="16" t="str">
        <f t="array" ref="H1836">_xlfn.XLOOKUP(D1836,Productos[ID_Producto],Productos[Nombre_Producto])</f>
        <v>Manzanas</v>
      </c>
      <c r="I1836" s="17">
        <f t="array" ref="I1836">_xlfn.XLOOKUP(D1836,Productos[ID_Producto],Productos[Precio_Unitario])</f>
        <v>6.54</v>
      </c>
      <c r="J1836" s="17">
        <f t="shared" si="1"/>
        <v>26.16</v>
      </c>
      <c r="K1836" s="16" t="str">
        <f t="array" ref="K1836">_xlfn.XLOOKUP(C1836,Clientes[ID_Cliente],Clientes[Provincia])</f>
        <v>Buenos Aires</v>
      </c>
      <c r="L1836" s="16" t="str">
        <f t="array" ref="L1836">CONCATENATE(_xlfn.XLOOKUP(C1836,Clientes[ID_Cliente],Clientes[Provincia]),", Argentina")</f>
        <v>Buenos Aires, Argentina</v>
      </c>
      <c r="M1836" s="20" t="str">
        <f t="array" ref="M1836">_xlfn.XLOOKUP(F1836,Metodos_De_Pago[ID_Metodo],Metodos_De_Pago[Metodo])</f>
        <v>Tarjeta de Crédito</v>
      </c>
      <c r="N1836" s="20" t="str">
        <f t="shared" si="2"/>
        <v>2024 09</v>
      </c>
    </row>
    <row r="1837" ht="22.5" customHeight="1">
      <c r="A1837" s="12">
        <f>IFERROR(__xludf.DUMMYFUNCTION("""COMPUTED_VALUE"""),522.0)</f>
        <v>522</v>
      </c>
      <c r="B1837" s="13">
        <f>IFERROR(__xludf.DUMMYFUNCTION("""COMPUTED_VALUE"""),45550.0)</f>
        <v>45550</v>
      </c>
      <c r="C1837" s="12">
        <f>IFERROR(__xludf.DUMMYFUNCTION("""COMPUTED_VALUE"""),58.0)</f>
        <v>58</v>
      </c>
      <c r="D1837" s="12">
        <f>IFERROR(__xludf.DUMMYFUNCTION("""COMPUTED_VALUE"""),26.0)</f>
        <v>26</v>
      </c>
      <c r="E1837" s="12">
        <f>IFERROR(__xludf.DUMMYFUNCTION("""COMPUTED_VALUE"""),4.0)</f>
        <v>4</v>
      </c>
      <c r="F1837" s="12">
        <f>IFERROR(__xludf.DUMMYFUNCTION("""COMPUTED_VALUE"""),2.0)</f>
        <v>2</v>
      </c>
      <c r="G1837" s="15" t="str">
        <f>IFERROR(__xludf.DUMMYFUNCTION("""COMPUTED_VALUE"""),"Completa")</f>
        <v>Completa</v>
      </c>
      <c r="H1837" s="16" t="str">
        <f t="array" ref="H1837">_xlfn.XLOOKUP(D1837,Productos[ID_Producto],Productos[Nombre_Producto])</f>
        <v>Hamburgesas congeladas</v>
      </c>
      <c r="I1837" s="17">
        <f t="array" ref="I1837">_xlfn.XLOOKUP(D1837,Productos[ID_Producto],Productos[Precio_Unitario])</f>
        <v>9.54</v>
      </c>
      <c r="J1837" s="17">
        <f t="shared" si="1"/>
        <v>38.16</v>
      </c>
      <c r="K1837" s="16" t="str">
        <f t="array" ref="K1837">_xlfn.XLOOKUP(C1837,Clientes[ID_Cliente],Clientes[Provincia])</f>
        <v>Buenos Aires</v>
      </c>
      <c r="L1837" s="16" t="str">
        <f t="array" ref="L1837">CONCATENATE(_xlfn.XLOOKUP(C1837,Clientes[ID_Cliente],Clientes[Provincia]),", Argentina")</f>
        <v>Buenos Aires, Argentina</v>
      </c>
      <c r="M1837" s="20" t="str">
        <f t="array" ref="M1837">_xlfn.XLOOKUP(F1837,Metodos_De_Pago[ID_Metodo],Metodos_De_Pago[Metodo])</f>
        <v>Tarjeta de Crédito</v>
      </c>
      <c r="N1837" s="20" t="str">
        <f t="shared" si="2"/>
        <v>2024 09</v>
      </c>
    </row>
    <row r="1838" ht="22.5" customHeight="1">
      <c r="A1838" s="12">
        <f>IFERROR(__xludf.DUMMYFUNCTION("""COMPUTED_VALUE"""),1183.0)</f>
        <v>1183</v>
      </c>
      <c r="B1838" s="13">
        <f>IFERROR(__xludf.DUMMYFUNCTION("""COMPUTED_VALUE"""),45550.0)</f>
        <v>45550</v>
      </c>
      <c r="C1838" s="12">
        <f>IFERROR(__xludf.DUMMYFUNCTION("""COMPUTED_VALUE"""),289.0)</f>
        <v>289</v>
      </c>
      <c r="D1838" s="12">
        <f>IFERROR(__xludf.DUMMYFUNCTION("""COMPUTED_VALUE"""),16.0)</f>
        <v>16</v>
      </c>
      <c r="E1838" s="12">
        <f>IFERROR(__xludf.DUMMYFUNCTION("""COMPUTED_VALUE"""),4.0)</f>
        <v>4</v>
      </c>
      <c r="F1838" s="12">
        <f>IFERROR(__xludf.DUMMYFUNCTION("""COMPUTED_VALUE"""),1.0)</f>
        <v>1</v>
      </c>
      <c r="G1838" s="15" t="str">
        <f>IFERROR(__xludf.DUMMYFUNCTION("""COMPUTED_VALUE"""),"Completa")</f>
        <v>Completa</v>
      </c>
      <c r="H1838" s="16" t="str">
        <f t="array" ref="H1838">_xlfn.XLOOKUP(D1838,Productos[ID_Producto],Productos[Nombre_Producto])</f>
        <v>Tortas</v>
      </c>
      <c r="I1838" s="17">
        <f t="array" ref="I1838">_xlfn.XLOOKUP(D1838,Productos[ID_Producto],Productos[Precio_Unitario])</f>
        <v>15.23</v>
      </c>
      <c r="J1838" s="17">
        <f t="shared" si="1"/>
        <v>60.92</v>
      </c>
      <c r="K1838" s="16" t="str">
        <f t="array" ref="K1838">_xlfn.XLOOKUP(C1838,Clientes[ID_Cliente],Clientes[Provincia])</f>
        <v>San Luis</v>
      </c>
      <c r="L1838" s="16" t="str">
        <f t="array" ref="L1838">CONCATENATE(_xlfn.XLOOKUP(C1838,Clientes[ID_Cliente],Clientes[Provincia]),", Argentina")</f>
        <v>San Luis, Argentina</v>
      </c>
      <c r="M1838" s="20" t="str">
        <f t="array" ref="M1838">_xlfn.XLOOKUP(F1838,Metodos_De_Pago[ID_Metodo],Metodos_De_Pago[Metodo])</f>
        <v>Efectivo</v>
      </c>
      <c r="N1838" s="20" t="str">
        <f t="shared" si="2"/>
        <v>2024 09</v>
      </c>
    </row>
    <row r="1839" ht="22.5" customHeight="1">
      <c r="A1839" s="12">
        <f>IFERROR(__xludf.DUMMYFUNCTION("""COMPUTED_VALUE"""),2798.0)</f>
        <v>2798</v>
      </c>
      <c r="B1839" s="13">
        <f>IFERROR(__xludf.DUMMYFUNCTION("""COMPUTED_VALUE"""),45550.0)</f>
        <v>45550</v>
      </c>
      <c r="C1839" s="12">
        <f>IFERROR(__xludf.DUMMYFUNCTION("""COMPUTED_VALUE"""),185.0)</f>
        <v>185</v>
      </c>
      <c r="D1839" s="12">
        <f>IFERROR(__xludf.DUMMYFUNCTION("""COMPUTED_VALUE"""),32.0)</f>
        <v>32</v>
      </c>
      <c r="E1839" s="12">
        <f>IFERROR(__xludf.DUMMYFUNCTION("""COMPUTED_VALUE"""),4.0)</f>
        <v>4</v>
      </c>
      <c r="F1839" s="12">
        <f>IFERROR(__xludf.DUMMYFUNCTION("""COMPUTED_VALUE"""),3.0)</f>
        <v>3</v>
      </c>
      <c r="G1839" s="15" t="str">
        <f>IFERROR(__xludf.DUMMYFUNCTION("""COMPUTED_VALUE"""),"Completa")</f>
        <v>Completa</v>
      </c>
      <c r="H1839" s="16" t="str">
        <f t="array" ref="H1839">_xlfn.XLOOKUP(D1839,Productos[ID_Producto],Productos[Nombre_Producto])</f>
        <v>Galletitas de chocolate</v>
      </c>
      <c r="I1839" s="17">
        <f t="array" ref="I1839">_xlfn.XLOOKUP(D1839,Productos[ID_Producto],Productos[Precio_Unitario])</f>
        <v>6.25</v>
      </c>
      <c r="J1839" s="17">
        <f t="shared" si="1"/>
        <v>25</v>
      </c>
      <c r="K1839" s="16" t="str">
        <f t="array" ref="K1839">_xlfn.XLOOKUP(C1839,Clientes[ID_Cliente],Clientes[Provincia])</f>
        <v>Córdoba</v>
      </c>
      <c r="L1839" s="16" t="str">
        <f t="array" ref="L1839">CONCATENATE(_xlfn.XLOOKUP(C1839,Clientes[ID_Cliente],Clientes[Provincia]),", Argentina")</f>
        <v>Córdoba, Argentina</v>
      </c>
      <c r="M1839" s="20" t="str">
        <f t="array" ref="M1839">_xlfn.XLOOKUP(F1839,Metodos_De_Pago[ID_Metodo],Metodos_De_Pago[Metodo])</f>
        <v>Tarjeta de Débito</v>
      </c>
      <c r="N1839" s="20" t="str">
        <f t="shared" si="2"/>
        <v>2024 09</v>
      </c>
    </row>
    <row r="1840" ht="22.5" customHeight="1">
      <c r="A1840" s="12">
        <f>IFERROR(__xludf.DUMMYFUNCTION("""COMPUTED_VALUE"""),2199.0)</f>
        <v>2199</v>
      </c>
      <c r="B1840" s="13">
        <f>IFERROR(__xludf.DUMMYFUNCTION("""COMPUTED_VALUE"""),45552.0)</f>
        <v>45552</v>
      </c>
      <c r="C1840" s="12">
        <f>IFERROR(__xludf.DUMMYFUNCTION("""COMPUTED_VALUE"""),325.0)</f>
        <v>325</v>
      </c>
      <c r="D1840" s="12">
        <f>IFERROR(__xludf.DUMMYFUNCTION("""COMPUTED_VALUE"""),13.0)</f>
        <v>13</v>
      </c>
      <c r="E1840" s="12">
        <f>IFERROR(__xludf.DUMMYFUNCTION("""COMPUTED_VALUE"""),4.0)</f>
        <v>4</v>
      </c>
      <c r="F1840" s="12">
        <f>IFERROR(__xludf.DUMMYFUNCTION("""COMPUTED_VALUE"""),3.0)</f>
        <v>3</v>
      </c>
      <c r="G1840" s="15" t="str">
        <f>IFERROR(__xludf.DUMMYFUNCTION("""COMPUTED_VALUE"""),"Completa")</f>
        <v>Completa</v>
      </c>
      <c r="H1840" s="16" t="str">
        <f t="array" ref="H1840">_xlfn.XLOOKUP(D1840,Productos[ID_Producto],Productos[Nombre_Producto])</f>
        <v>Pan integral</v>
      </c>
      <c r="I1840" s="17">
        <f t="array" ref="I1840">_xlfn.XLOOKUP(D1840,Productos[ID_Producto],Productos[Precio_Unitario])</f>
        <v>12.56</v>
      </c>
      <c r="J1840" s="17">
        <f t="shared" si="1"/>
        <v>50.24</v>
      </c>
      <c r="K1840" s="16" t="str">
        <f t="array" ref="K1840">_xlfn.XLOOKUP(C1840,Clientes[ID_Cliente],Clientes[Provincia])</f>
        <v>Chaco</v>
      </c>
      <c r="L1840" s="16" t="str">
        <f t="array" ref="L1840">CONCATENATE(_xlfn.XLOOKUP(C1840,Clientes[ID_Cliente],Clientes[Provincia]),", Argentina")</f>
        <v>Chaco, Argentina</v>
      </c>
      <c r="M1840" s="20" t="str">
        <f t="array" ref="M1840">_xlfn.XLOOKUP(F1840,Metodos_De_Pago[ID_Metodo],Metodos_De_Pago[Metodo])</f>
        <v>Tarjeta de Débito</v>
      </c>
      <c r="N1840" s="20" t="str">
        <f t="shared" si="2"/>
        <v>2024 09</v>
      </c>
    </row>
    <row r="1841" ht="22.5" customHeight="1">
      <c r="A1841" s="12">
        <f>IFERROR(__xludf.DUMMYFUNCTION("""COMPUTED_VALUE"""),2651.0)</f>
        <v>2651</v>
      </c>
      <c r="B1841" s="13">
        <f>IFERROR(__xludf.DUMMYFUNCTION("""COMPUTED_VALUE"""),45552.0)</f>
        <v>45552</v>
      </c>
      <c r="C1841" s="12">
        <f>IFERROR(__xludf.DUMMYFUNCTION("""COMPUTED_VALUE"""),272.0)</f>
        <v>272</v>
      </c>
      <c r="D1841" s="12">
        <f>IFERROR(__xludf.DUMMYFUNCTION("""COMPUTED_VALUE"""),21.0)</f>
        <v>21</v>
      </c>
      <c r="E1841" s="12">
        <f>IFERROR(__xludf.DUMMYFUNCTION("""COMPUTED_VALUE"""),4.0)</f>
        <v>4</v>
      </c>
      <c r="F1841" s="12">
        <f>IFERROR(__xludf.DUMMYFUNCTION("""COMPUTED_VALUE"""),5.0)</f>
        <v>5</v>
      </c>
      <c r="G1841" s="15" t="str">
        <f>IFERROR(__xludf.DUMMYFUNCTION("""COMPUTED_VALUE"""),"Completa")</f>
        <v>Completa</v>
      </c>
      <c r="H1841" s="16" t="str">
        <f t="array" ref="H1841">_xlfn.XLOOKUP(D1841,Productos[ID_Producto],Productos[Nombre_Producto])</f>
        <v>Zanahorias</v>
      </c>
      <c r="I1841" s="17">
        <f t="array" ref="I1841">_xlfn.XLOOKUP(D1841,Productos[ID_Producto],Productos[Precio_Unitario])</f>
        <v>3.25</v>
      </c>
      <c r="J1841" s="17">
        <f t="shared" si="1"/>
        <v>13</v>
      </c>
      <c r="K1841" s="16" t="str">
        <f t="array" ref="K1841">_xlfn.XLOOKUP(C1841,Clientes[ID_Cliente],Clientes[Provincia])</f>
        <v>Buenos Aires</v>
      </c>
      <c r="L1841" s="16" t="str">
        <f t="array" ref="L1841">CONCATENATE(_xlfn.XLOOKUP(C1841,Clientes[ID_Cliente],Clientes[Provincia]),", Argentina")</f>
        <v>Buenos Aires, Argentina</v>
      </c>
      <c r="M1841" s="20" t="str">
        <f t="array" ref="M1841">_xlfn.XLOOKUP(F1841,Metodos_De_Pago[ID_Metodo],Metodos_De_Pago[Metodo])</f>
        <v>Transferencia</v>
      </c>
      <c r="N1841" s="20" t="str">
        <f t="shared" si="2"/>
        <v>2024 09</v>
      </c>
    </row>
    <row r="1842" ht="22.5" customHeight="1">
      <c r="A1842" s="12">
        <f>IFERROR(__xludf.DUMMYFUNCTION("""COMPUTED_VALUE"""),946.0)</f>
        <v>946</v>
      </c>
      <c r="B1842" s="13">
        <f>IFERROR(__xludf.DUMMYFUNCTION("""COMPUTED_VALUE"""),45553.0)</f>
        <v>45553</v>
      </c>
      <c r="C1842" s="12">
        <f>IFERROR(__xludf.DUMMYFUNCTION("""COMPUTED_VALUE"""),313.0)</f>
        <v>313</v>
      </c>
      <c r="D1842" s="12">
        <f>IFERROR(__xludf.DUMMYFUNCTION("""COMPUTED_VALUE"""),34.0)</f>
        <v>34</v>
      </c>
      <c r="E1842" s="12">
        <f>IFERROR(__xludf.DUMMYFUNCTION("""COMPUTED_VALUE"""),4.0)</f>
        <v>4</v>
      </c>
      <c r="F1842" s="12">
        <f>IFERROR(__xludf.DUMMYFUNCTION("""COMPUTED_VALUE"""),4.0)</f>
        <v>4</v>
      </c>
      <c r="G1842" s="15" t="str">
        <f>IFERROR(__xludf.DUMMYFUNCTION("""COMPUTED_VALUE"""),"Completa")</f>
        <v>Completa</v>
      </c>
      <c r="H1842" s="16" t="str">
        <f t="array" ref="H1842">_xlfn.XLOOKUP(D1842,Productos[ID_Producto],Productos[Nombre_Producto])</f>
        <v>Maníes</v>
      </c>
      <c r="I1842" s="17">
        <f t="array" ref="I1842">_xlfn.XLOOKUP(D1842,Productos[ID_Producto],Productos[Precio_Unitario])</f>
        <v>5.45</v>
      </c>
      <c r="J1842" s="17">
        <f t="shared" si="1"/>
        <v>21.8</v>
      </c>
      <c r="K1842" s="16" t="str">
        <f t="array" ref="K1842">_xlfn.XLOOKUP(C1842,Clientes[ID_Cliente],Clientes[Provincia])</f>
        <v>San Luis</v>
      </c>
      <c r="L1842" s="16" t="str">
        <f t="array" ref="L1842">CONCATENATE(_xlfn.XLOOKUP(C1842,Clientes[ID_Cliente],Clientes[Provincia]),", Argentina")</f>
        <v>San Luis, Argentina</v>
      </c>
      <c r="M1842" s="20" t="str">
        <f t="array" ref="M1842">_xlfn.XLOOKUP(F1842,Metodos_De_Pago[ID_Metodo],Metodos_De_Pago[Metodo])</f>
        <v>Mercado Pago</v>
      </c>
      <c r="N1842" s="20" t="str">
        <f t="shared" si="2"/>
        <v>2024 09</v>
      </c>
    </row>
    <row r="1843" ht="22.5" customHeight="1">
      <c r="A1843" s="12">
        <f>IFERROR(__xludf.DUMMYFUNCTION("""COMPUTED_VALUE"""),1810.0)</f>
        <v>1810</v>
      </c>
      <c r="B1843" s="13">
        <f>IFERROR(__xludf.DUMMYFUNCTION("""COMPUTED_VALUE"""),45553.0)</f>
        <v>45553</v>
      </c>
      <c r="C1843" s="12">
        <f>IFERROR(__xludf.DUMMYFUNCTION("""COMPUTED_VALUE"""),72.0)</f>
        <v>72</v>
      </c>
      <c r="D1843" s="12">
        <f>IFERROR(__xludf.DUMMYFUNCTION("""COMPUTED_VALUE"""),35.0)</f>
        <v>35</v>
      </c>
      <c r="E1843" s="12">
        <f>IFERROR(__xludf.DUMMYFUNCTION("""COMPUTED_VALUE"""),4.0)</f>
        <v>4</v>
      </c>
      <c r="F1843" s="12">
        <f>IFERROR(__xludf.DUMMYFUNCTION("""COMPUTED_VALUE"""),5.0)</f>
        <v>5</v>
      </c>
      <c r="G1843" s="15" t="str">
        <f>IFERROR(__xludf.DUMMYFUNCTION("""COMPUTED_VALUE"""),"Completa")</f>
        <v>Completa</v>
      </c>
      <c r="H1843" s="16" t="str">
        <f t="array" ref="H1843">_xlfn.XLOOKUP(D1843,Productos[ID_Producto],Productos[Nombre_Producto])</f>
        <v>Arroz</v>
      </c>
      <c r="I1843" s="17">
        <f t="array" ref="I1843">_xlfn.XLOOKUP(D1843,Productos[ID_Producto],Productos[Precio_Unitario])</f>
        <v>4.25</v>
      </c>
      <c r="J1843" s="17">
        <f t="shared" si="1"/>
        <v>17</v>
      </c>
      <c r="K1843" s="16" t="str">
        <f t="array" ref="K1843">_xlfn.XLOOKUP(C1843,Clientes[ID_Cliente],Clientes[Provincia])</f>
        <v>Córdoba</v>
      </c>
      <c r="L1843" s="16" t="str">
        <f t="array" ref="L1843">CONCATENATE(_xlfn.XLOOKUP(C1843,Clientes[ID_Cliente],Clientes[Provincia]),", Argentina")</f>
        <v>Córdoba, Argentina</v>
      </c>
      <c r="M1843" s="20" t="str">
        <f t="array" ref="M1843">_xlfn.XLOOKUP(F1843,Metodos_De_Pago[ID_Metodo],Metodos_De_Pago[Metodo])</f>
        <v>Transferencia</v>
      </c>
      <c r="N1843" s="20" t="str">
        <f t="shared" si="2"/>
        <v>2024 09</v>
      </c>
    </row>
    <row r="1844" ht="22.5" customHeight="1">
      <c r="A1844" s="12">
        <f>IFERROR(__xludf.DUMMYFUNCTION("""COMPUTED_VALUE"""),1089.0)</f>
        <v>1089</v>
      </c>
      <c r="B1844" s="13">
        <f>IFERROR(__xludf.DUMMYFUNCTION("""COMPUTED_VALUE"""),45554.0)</f>
        <v>45554</v>
      </c>
      <c r="C1844" s="12">
        <f>IFERROR(__xludf.DUMMYFUNCTION("""COMPUTED_VALUE"""),73.0)</f>
        <v>73</v>
      </c>
      <c r="D1844" s="12">
        <f>IFERROR(__xludf.DUMMYFUNCTION("""COMPUTED_VALUE"""),8.0)</f>
        <v>8</v>
      </c>
      <c r="E1844" s="12">
        <f>IFERROR(__xludf.DUMMYFUNCTION("""COMPUTED_VALUE"""),4.0)</f>
        <v>4</v>
      </c>
      <c r="F1844" s="12">
        <f>IFERROR(__xludf.DUMMYFUNCTION("""COMPUTED_VALUE"""),4.0)</f>
        <v>4</v>
      </c>
      <c r="G1844" s="15" t="str">
        <f>IFERROR(__xludf.DUMMYFUNCTION("""COMPUTED_VALUE"""),"Completa")</f>
        <v>Completa</v>
      </c>
      <c r="H1844" s="16" t="str">
        <f t="array" ref="H1844">_xlfn.XLOOKUP(D1844,Productos[ID_Producto],Productos[Nombre_Producto])</f>
        <v>Milanesa</v>
      </c>
      <c r="I1844" s="17">
        <f t="array" ref="I1844">_xlfn.XLOOKUP(D1844,Productos[ID_Producto],Productos[Precio_Unitario])</f>
        <v>16.21</v>
      </c>
      <c r="J1844" s="17">
        <f t="shared" si="1"/>
        <v>64.84</v>
      </c>
      <c r="K1844" s="16" t="str">
        <f t="array" ref="K1844">_xlfn.XLOOKUP(C1844,Clientes[ID_Cliente],Clientes[Provincia])</f>
        <v>Córdoba</v>
      </c>
      <c r="L1844" s="16" t="str">
        <f t="array" ref="L1844">CONCATENATE(_xlfn.XLOOKUP(C1844,Clientes[ID_Cliente],Clientes[Provincia]),", Argentina")</f>
        <v>Córdoba, Argentina</v>
      </c>
      <c r="M1844" s="20" t="str">
        <f t="array" ref="M1844">_xlfn.XLOOKUP(F1844,Metodos_De_Pago[ID_Metodo],Metodos_De_Pago[Metodo])</f>
        <v>Mercado Pago</v>
      </c>
      <c r="N1844" s="20" t="str">
        <f t="shared" si="2"/>
        <v>2024 09</v>
      </c>
    </row>
    <row r="1845" ht="22.5" customHeight="1">
      <c r="A1845" s="12">
        <f>IFERROR(__xludf.DUMMYFUNCTION("""COMPUTED_VALUE"""),1289.0)</f>
        <v>1289</v>
      </c>
      <c r="B1845" s="13">
        <f>IFERROR(__xludf.DUMMYFUNCTION("""COMPUTED_VALUE"""),45554.0)</f>
        <v>45554</v>
      </c>
      <c r="C1845" s="12">
        <f>IFERROR(__xludf.DUMMYFUNCTION("""COMPUTED_VALUE"""),50.0)</f>
        <v>50</v>
      </c>
      <c r="D1845" s="12">
        <f>IFERROR(__xludf.DUMMYFUNCTION("""COMPUTED_VALUE"""),28.0)</f>
        <v>28</v>
      </c>
      <c r="E1845" s="12">
        <f>IFERROR(__xludf.DUMMYFUNCTION("""COMPUTED_VALUE"""),4.0)</f>
        <v>4</v>
      </c>
      <c r="F1845" s="12">
        <f>IFERROR(__xludf.DUMMYFUNCTION("""COMPUTED_VALUE"""),4.0)</f>
        <v>4</v>
      </c>
      <c r="G1845" s="15" t="str">
        <f>IFERROR(__xludf.DUMMYFUNCTION("""COMPUTED_VALUE"""),"Completa")</f>
        <v>Completa</v>
      </c>
      <c r="H1845" s="16" t="str">
        <f t="array" ref="H1845">_xlfn.XLOOKUP(D1845,Productos[ID_Producto],Productos[Nombre_Producto])</f>
        <v>Jugos de frutas</v>
      </c>
      <c r="I1845" s="17">
        <f t="array" ref="I1845">_xlfn.XLOOKUP(D1845,Productos[ID_Producto],Productos[Precio_Unitario])</f>
        <v>9.45</v>
      </c>
      <c r="J1845" s="17">
        <f t="shared" si="1"/>
        <v>37.8</v>
      </c>
      <c r="K1845" s="16" t="str">
        <f t="array" ref="K1845">_xlfn.XLOOKUP(C1845,Clientes[ID_Cliente],Clientes[Provincia])</f>
        <v>Buenos Aires</v>
      </c>
      <c r="L1845" s="16" t="str">
        <f t="array" ref="L1845">CONCATENATE(_xlfn.XLOOKUP(C1845,Clientes[ID_Cliente],Clientes[Provincia]),", Argentina")</f>
        <v>Buenos Aires, Argentina</v>
      </c>
      <c r="M1845" s="20" t="str">
        <f t="array" ref="M1845">_xlfn.XLOOKUP(F1845,Metodos_De_Pago[ID_Metodo],Metodos_De_Pago[Metodo])</f>
        <v>Mercado Pago</v>
      </c>
      <c r="N1845" s="20" t="str">
        <f t="shared" si="2"/>
        <v>2024 09</v>
      </c>
    </row>
    <row r="1846" ht="22.5" customHeight="1">
      <c r="A1846" s="12">
        <f>IFERROR(__xludf.DUMMYFUNCTION("""COMPUTED_VALUE"""),1477.0)</f>
        <v>1477</v>
      </c>
      <c r="B1846" s="13">
        <f>IFERROR(__xludf.DUMMYFUNCTION("""COMPUTED_VALUE"""),45555.0)</f>
        <v>45555</v>
      </c>
      <c r="C1846" s="12">
        <f>IFERROR(__xludf.DUMMYFUNCTION("""COMPUTED_VALUE"""),170.0)</f>
        <v>170</v>
      </c>
      <c r="D1846" s="12">
        <f>IFERROR(__xludf.DUMMYFUNCTION("""COMPUTED_VALUE"""),7.0)</f>
        <v>7</v>
      </c>
      <c r="E1846" s="12">
        <f>IFERROR(__xludf.DUMMYFUNCTION("""COMPUTED_VALUE"""),4.0)</f>
        <v>4</v>
      </c>
      <c r="F1846" s="12">
        <f>IFERROR(__xludf.DUMMYFUNCTION("""COMPUTED_VALUE"""),2.0)</f>
        <v>2</v>
      </c>
      <c r="G1846" s="15" t="str">
        <f>IFERROR(__xludf.DUMMYFUNCTION("""COMPUTED_VALUE"""),"Completa")</f>
        <v>Completa</v>
      </c>
      <c r="H1846" s="16" t="str">
        <f t="array" ref="H1846">_xlfn.XLOOKUP(D1846,Productos[ID_Producto],Productos[Nombre_Producto])</f>
        <v>Chorizo</v>
      </c>
      <c r="I1846" s="17">
        <f t="array" ref="I1846">_xlfn.XLOOKUP(D1846,Productos[ID_Producto],Productos[Precio_Unitario])</f>
        <v>11.25</v>
      </c>
      <c r="J1846" s="17">
        <f t="shared" si="1"/>
        <v>45</v>
      </c>
      <c r="K1846" s="16" t="str">
        <f t="array" ref="K1846">_xlfn.XLOOKUP(C1846,Clientes[ID_Cliente],Clientes[Provincia])</f>
        <v>Córdoba</v>
      </c>
      <c r="L1846" s="16" t="str">
        <f t="array" ref="L1846">CONCATENATE(_xlfn.XLOOKUP(C1846,Clientes[ID_Cliente],Clientes[Provincia]),", Argentina")</f>
        <v>Córdoba, Argentina</v>
      </c>
      <c r="M1846" s="20" t="str">
        <f t="array" ref="M1846">_xlfn.XLOOKUP(F1846,Metodos_De_Pago[ID_Metodo],Metodos_De_Pago[Metodo])</f>
        <v>Tarjeta de Crédito</v>
      </c>
      <c r="N1846" s="20" t="str">
        <f t="shared" si="2"/>
        <v>2024 09</v>
      </c>
    </row>
    <row r="1847" ht="22.5" customHeight="1">
      <c r="A1847" s="12">
        <f>IFERROR(__xludf.DUMMYFUNCTION("""COMPUTED_VALUE"""),463.0)</f>
        <v>463</v>
      </c>
      <c r="B1847" s="13">
        <f>IFERROR(__xludf.DUMMYFUNCTION("""COMPUTED_VALUE"""),45558.0)</f>
        <v>45558</v>
      </c>
      <c r="C1847" s="12">
        <f>IFERROR(__xludf.DUMMYFUNCTION("""COMPUTED_VALUE"""),280.0)</f>
        <v>280</v>
      </c>
      <c r="D1847" s="12">
        <f>IFERROR(__xludf.DUMMYFUNCTION("""COMPUTED_VALUE"""),32.0)</f>
        <v>32</v>
      </c>
      <c r="E1847" s="12">
        <f>IFERROR(__xludf.DUMMYFUNCTION("""COMPUTED_VALUE"""),4.0)</f>
        <v>4</v>
      </c>
      <c r="F1847" s="12">
        <f>IFERROR(__xludf.DUMMYFUNCTION("""COMPUTED_VALUE"""),2.0)</f>
        <v>2</v>
      </c>
      <c r="G1847" s="15" t="str">
        <f>IFERROR(__xludf.DUMMYFUNCTION("""COMPUTED_VALUE"""),"Completa")</f>
        <v>Completa</v>
      </c>
      <c r="H1847" s="16" t="str">
        <f t="array" ref="H1847">_xlfn.XLOOKUP(D1847,Productos[ID_Producto],Productos[Nombre_Producto])</f>
        <v>Galletitas de chocolate</v>
      </c>
      <c r="I1847" s="17">
        <f t="array" ref="I1847">_xlfn.XLOOKUP(D1847,Productos[ID_Producto],Productos[Precio_Unitario])</f>
        <v>6.25</v>
      </c>
      <c r="J1847" s="17">
        <f t="shared" si="1"/>
        <v>25</v>
      </c>
      <c r="K1847" s="16" t="str">
        <f t="array" ref="K1847">_xlfn.XLOOKUP(C1847,Clientes[ID_Cliente],Clientes[Provincia])</f>
        <v>Córdoba</v>
      </c>
      <c r="L1847" s="16" t="str">
        <f t="array" ref="L1847">CONCATENATE(_xlfn.XLOOKUP(C1847,Clientes[ID_Cliente],Clientes[Provincia]),", Argentina")</f>
        <v>Córdoba, Argentina</v>
      </c>
      <c r="M1847" s="20" t="str">
        <f t="array" ref="M1847">_xlfn.XLOOKUP(F1847,Metodos_De_Pago[ID_Metodo],Metodos_De_Pago[Metodo])</f>
        <v>Tarjeta de Crédito</v>
      </c>
      <c r="N1847" s="20" t="str">
        <f t="shared" si="2"/>
        <v>2024 09</v>
      </c>
    </row>
    <row r="1848" ht="22.5" customHeight="1">
      <c r="A1848" s="12">
        <f>IFERROR(__xludf.DUMMYFUNCTION("""COMPUTED_VALUE"""),470.0)</f>
        <v>470</v>
      </c>
      <c r="B1848" s="13">
        <f>IFERROR(__xludf.DUMMYFUNCTION("""COMPUTED_VALUE"""),45558.0)</f>
        <v>45558</v>
      </c>
      <c r="C1848" s="12">
        <f>IFERROR(__xludf.DUMMYFUNCTION("""COMPUTED_VALUE"""),62.0)</f>
        <v>62</v>
      </c>
      <c r="D1848" s="12">
        <f>IFERROR(__xludf.DUMMYFUNCTION("""COMPUTED_VALUE"""),12.0)</f>
        <v>12</v>
      </c>
      <c r="E1848" s="12">
        <f>IFERROR(__xludf.DUMMYFUNCTION("""COMPUTED_VALUE"""),4.0)</f>
        <v>4</v>
      </c>
      <c r="F1848" s="12">
        <f>IFERROR(__xludf.DUMMYFUNCTION("""COMPUTED_VALUE"""),3.0)</f>
        <v>3</v>
      </c>
      <c r="G1848" s="15" t="str">
        <f>IFERROR(__xludf.DUMMYFUNCTION("""COMPUTED_VALUE"""),"Pendiente")</f>
        <v>Pendiente</v>
      </c>
      <c r="H1848" s="16" t="str">
        <f t="array" ref="H1848">_xlfn.XLOOKUP(D1848,Productos[ID_Producto],Productos[Nombre_Producto])</f>
        <v>Pan francés</v>
      </c>
      <c r="I1848" s="17">
        <f t="array" ref="I1848">_xlfn.XLOOKUP(D1848,Productos[ID_Producto],Productos[Precio_Unitario])</f>
        <v>8.12</v>
      </c>
      <c r="J1848" s="17">
        <f t="shared" si="1"/>
        <v>32.48</v>
      </c>
      <c r="K1848" s="16" t="str">
        <f t="array" ref="K1848">_xlfn.XLOOKUP(C1848,Clientes[ID_Cliente],Clientes[Provincia])</f>
        <v>Chaco</v>
      </c>
      <c r="L1848" s="16" t="str">
        <f t="array" ref="L1848">CONCATENATE(_xlfn.XLOOKUP(C1848,Clientes[ID_Cliente],Clientes[Provincia]),", Argentina")</f>
        <v>Chaco, Argentina</v>
      </c>
      <c r="M1848" s="20" t="str">
        <f t="array" ref="M1848">_xlfn.XLOOKUP(F1848,Metodos_De_Pago[ID_Metodo],Metodos_De_Pago[Metodo])</f>
        <v>Tarjeta de Débito</v>
      </c>
      <c r="N1848" s="20" t="str">
        <f t="shared" si="2"/>
        <v>2024 09</v>
      </c>
    </row>
    <row r="1849" ht="22.5" customHeight="1">
      <c r="A1849" s="12">
        <f>IFERROR(__xludf.DUMMYFUNCTION("""COMPUTED_VALUE"""),273.0)</f>
        <v>273</v>
      </c>
      <c r="B1849" s="13">
        <f>IFERROR(__xludf.DUMMYFUNCTION("""COMPUTED_VALUE"""),45560.0)</f>
        <v>45560</v>
      </c>
      <c r="C1849" s="12">
        <f>IFERROR(__xludf.DUMMYFUNCTION("""COMPUTED_VALUE"""),130.0)</f>
        <v>130</v>
      </c>
      <c r="D1849" s="12">
        <f>IFERROR(__xludf.DUMMYFUNCTION("""COMPUTED_VALUE"""),4.0)</f>
        <v>4</v>
      </c>
      <c r="E1849" s="12">
        <f>IFERROR(__xludf.DUMMYFUNCTION("""COMPUTED_VALUE"""),4.0)</f>
        <v>4</v>
      </c>
      <c r="F1849" s="12">
        <f>IFERROR(__xludf.DUMMYFUNCTION("""COMPUTED_VALUE"""),5.0)</f>
        <v>5</v>
      </c>
      <c r="G1849" s="15" t="str">
        <f>IFERROR(__xludf.DUMMYFUNCTION("""COMPUTED_VALUE"""),"Completa")</f>
        <v>Completa</v>
      </c>
      <c r="H1849" s="16" t="str">
        <f t="array" ref="H1849">_xlfn.XLOOKUP(D1849,Productos[ID_Producto],Productos[Nombre_Producto])</f>
        <v>Queso rallado</v>
      </c>
      <c r="I1849" s="17">
        <f t="array" ref="I1849">_xlfn.XLOOKUP(D1849,Productos[ID_Producto],Productos[Precio_Unitario])</f>
        <v>19.23</v>
      </c>
      <c r="J1849" s="17">
        <f t="shared" si="1"/>
        <v>76.92</v>
      </c>
      <c r="K1849" s="16" t="str">
        <f t="array" ref="K1849">_xlfn.XLOOKUP(C1849,Clientes[ID_Cliente],Clientes[Provincia])</f>
        <v>Buenos Aires</v>
      </c>
      <c r="L1849" s="16" t="str">
        <f t="array" ref="L1849">CONCATENATE(_xlfn.XLOOKUP(C1849,Clientes[ID_Cliente],Clientes[Provincia]),", Argentina")</f>
        <v>Buenos Aires, Argentina</v>
      </c>
      <c r="M1849" s="20" t="str">
        <f t="array" ref="M1849">_xlfn.XLOOKUP(F1849,Metodos_De_Pago[ID_Metodo],Metodos_De_Pago[Metodo])</f>
        <v>Transferencia</v>
      </c>
      <c r="N1849" s="20" t="str">
        <f t="shared" si="2"/>
        <v>2024 09</v>
      </c>
    </row>
    <row r="1850" ht="22.5" customHeight="1">
      <c r="A1850" s="12">
        <f>IFERROR(__xludf.DUMMYFUNCTION("""COMPUTED_VALUE"""),1567.0)</f>
        <v>1567</v>
      </c>
      <c r="B1850" s="13">
        <f>IFERROR(__xludf.DUMMYFUNCTION("""COMPUTED_VALUE"""),45561.0)</f>
        <v>45561</v>
      </c>
      <c r="C1850" s="12">
        <f>IFERROR(__xludf.DUMMYFUNCTION("""COMPUTED_VALUE"""),147.0)</f>
        <v>147</v>
      </c>
      <c r="D1850" s="12">
        <f>IFERROR(__xludf.DUMMYFUNCTION("""COMPUTED_VALUE"""),15.0)</f>
        <v>15</v>
      </c>
      <c r="E1850" s="12">
        <f>IFERROR(__xludf.DUMMYFUNCTION("""COMPUTED_VALUE"""),4.0)</f>
        <v>4</v>
      </c>
      <c r="F1850" s="12">
        <f>IFERROR(__xludf.DUMMYFUNCTION("""COMPUTED_VALUE"""),4.0)</f>
        <v>4</v>
      </c>
      <c r="G1850" s="15" t="str">
        <f>IFERROR(__xludf.DUMMYFUNCTION("""COMPUTED_VALUE"""),"Completa")</f>
        <v>Completa</v>
      </c>
      <c r="H1850" s="16" t="str">
        <f t="array" ref="H1850">_xlfn.XLOOKUP(D1850,Productos[ID_Producto],Productos[Nombre_Producto])</f>
        <v>Medialunas</v>
      </c>
      <c r="I1850" s="17">
        <f t="array" ref="I1850">_xlfn.XLOOKUP(D1850,Productos[ID_Producto],Productos[Precio_Unitario])</f>
        <v>3.51</v>
      </c>
      <c r="J1850" s="17">
        <f t="shared" si="1"/>
        <v>14.04</v>
      </c>
      <c r="K1850" s="16" t="str">
        <f t="array" ref="K1850">_xlfn.XLOOKUP(C1850,Clientes[ID_Cliente],Clientes[Provincia])</f>
        <v>San Luis</v>
      </c>
      <c r="L1850" s="16" t="str">
        <f t="array" ref="L1850">CONCATENATE(_xlfn.XLOOKUP(C1850,Clientes[ID_Cliente],Clientes[Provincia]),", Argentina")</f>
        <v>San Luis, Argentina</v>
      </c>
      <c r="M1850" s="20" t="str">
        <f t="array" ref="M1850">_xlfn.XLOOKUP(F1850,Metodos_De_Pago[ID_Metodo],Metodos_De_Pago[Metodo])</f>
        <v>Mercado Pago</v>
      </c>
      <c r="N1850" s="20" t="str">
        <f t="shared" si="2"/>
        <v>2024 09</v>
      </c>
    </row>
    <row r="1851" ht="22.5" customHeight="1">
      <c r="A1851" s="12">
        <f>IFERROR(__xludf.DUMMYFUNCTION("""COMPUTED_VALUE"""),2711.0)</f>
        <v>2711</v>
      </c>
      <c r="B1851" s="13">
        <f>IFERROR(__xludf.DUMMYFUNCTION("""COMPUTED_VALUE"""),45561.0)</f>
        <v>45561</v>
      </c>
      <c r="C1851" s="12">
        <f>IFERROR(__xludf.DUMMYFUNCTION("""COMPUTED_VALUE"""),309.0)</f>
        <v>309</v>
      </c>
      <c r="D1851" s="12">
        <f>IFERROR(__xludf.DUMMYFUNCTION("""COMPUTED_VALUE"""),5.0)</f>
        <v>5</v>
      </c>
      <c r="E1851" s="12">
        <f>IFERROR(__xludf.DUMMYFUNCTION("""COMPUTED_VALUE"""),4.0)</f>
        <v>4</v>
      </c>
      <c r="F1851" s="12">
        <f>IFERROR(__xludf.DUMMYFUNCTION("""COMPUTED_VALUE"""),1.0)</f>
        <v>1</v>
      </c>
      <c r="G1851" s="15" t="str">
        <f>IFERROR(__xludf.DUMMYFUNCTION("""COMPUTED_VALUE"""),"Completa")</f>
        <v>Completa</v>
      </c>
      <c r="H1851" s="16" t="str">
        <f t="array" ref="H1851">_xlfn.XLOOKUP(D1851,Productos[ID_Producto],Productos[Nombre_Producto])</f>
        <v>Manteca</v>
      </c>
      <c r="I1851" s="17">
        <f t="array" ref="I1851">_xlfn.XLOOKUP(D1851,Productos[ID_Producto],Productos[Precio_Unitario])</f>
        <v>5.65</v>
      </c>
      <c r="J1851" s="17">
        <f t="shared" si="1"/>
        <v>22.6</v>
      </c>
      <c r="K1851" s="16" t="str">
        <f t="array" ref="K1851">_xlfn.XLOOKUP(C1851,Clientes[ID_Cliente],Clientes[Provincia])</f>
        <v>Córdoba</v>
      </c>
      <c r="L1851" s="16" t="str">
        <f t="array" ref="L1851">CONCATENATE(_xlfn.XLOOKUP(C1851,Clientes[ID_Cliente],Clientes[Provincia]),", Argentina")</f>
        <v>Córdoba, Argentina</v>
      </c>
      <c r="M1851" s="20" t="str">
        <f t="array" ref="M1851">_xlfn.XLOOKUP(F1851,Metodos_De_Pago[ID_Metodo],Metodos_De_Pago[Metodo])</f>
        <v>Efectivo</v>
      </c>
      <c r="N1851" s="20" t="str">
        <f t="shared" si="2"/>
        <v>2024 09</v>
      </c>
    </row>
    <row r="1852" ht="22.5" customHeight="1">
      <c r="A1852" s="12">
        <f>IFERROR(__xludf.DUMMYFUNCTION("""COMPUTED_VALUE"""),1925.0)</f>
        <v>1925</v>
      </c>
      <c r="B1852" s="13">
        <f>IFERROR(__xludf.DUMMYFUNCTION("""COMPUTED_VALUE"""),45562.0)</f>
        <v>45562</v>
      </c>
      <c r="C1852" s="12">
        <f>IFERROR(__xludf.DUMMYFUNCTION("""COMPUTED_VALUE"""),101.0)</f>
        <v>101</v>
      </c>
      <c r="D1852" s="12">
        <f>IFERROR(__xludf.DUMMYFUNCTION("""COMPUTED_VALUE"""),10.0)</f>
        <v>10</v>
      </c>
      <c r="E1852" s="12">
        <f>IFERROR(__xludf.DUMMYFUNCTION("""COMPUTED_VALUE"""),4.0)</f>
        <v>4</v>
      </c>
      <c r="F1852" s="12">
        <f>IFERROR(__xludf.DUMMYFUNCTION("""COMPUTED_VALUE"""),1.0)</f>
        <v>1</v>
      </c>
      <c r="G1852" s="15" t="str">
        <f>IFERROR(__xludf.DUMMYFUNCTION("""COMPUTED_VALUE"""),"Completa")</f>
        <v>Completa</v>
      </c>
      <c r="H1852" s="16" t="str">
        <f t="array" ref="H1852">_xlfn.XLOOKUP(D1852,Productos[ID_Producto],Productos[Nombre_Producto])</f>
        <v>Costilla de cerdo</v>
      </c>
      <c r="I1852" s="17">
        <f t="array" ref="I1852">_xlfn.XLOOKUP(D1852,Productos[ID_Producto],Productos[Precio_Unitario])</f>
        <v>14.25</v>
      </c>
      <c r="J1852" s="17">
        <f t="shared" si="1"/>
        <v>57</v>
      </c>
      <c r="K1852" s="16" t="str">
        <f t="array" ref="K1852">_xlfn.XLOOKUP(C1852,Clientes[ID_Cliente],Clientes[Provincia])</f>
        <v>Buenos Aires</v>
      </c>
      <c r="L1852" s="16" t="str">
        <f t="array" ref="L1852">CONCATENATE(_xlfn.XLOOKUP(C1852,Clientes[ID_Cliente],Clientes[Provincia]),", Argentina")</f>
        <v>Buenos Aires, Argentina</v>
      </c>
      <c r="M1852" s="20" t="str">
        <f t="array" ref="M1852">_xlfn.XLOOKUP(F1852,Metodos_De_Pago[ID_Metodo],Metodos_De_Pago[Metodo])</f>
        <v>Efectivo</v>
      </c>
      <c r="N1852" s="20" t="str">
        <f t="shared" si="2"/>
        <v>2024 09</v>
      </c>
    </row>
    <row r="1853" ht="22.5" customHeight="1">
      <c r="A1853" s="12">
        <f>IFERROR(__xludf.DUMMYFUNCTION("""COMPUTED_VALUE"""),2302.0)</f>
        <v>2302</v>
      </c>
      <c r="B1853" s="13">
        <f>IFERROR(__xludf.DUMMYFUNCTION("""COMPUTED_VALUE"""),45563.0)</f>
        <v>45563</v>
      </c>
      <c r="C1853" s="12">
        <f>IFERROR(__xludf.DUMMYFUNCTION("""COMPUTED_VALUE"""),41.0)</f>
        <v>41</v>
      </c>
      <c r="D1853" s="12">
        <f>IFERROR(__xludf.DUMMYFUNCTION("""COMPUTED_VALUE"""),21.0)</f>
        <v>21</v>
      </c>
      <c r="E1853" s="12">
        <f>IFERROR(__xludf.DUMMYFUNCTION("""COMPUTED_VALUE"""),4.0)</f>
        <v>4</v>
      </c>
      <c r="F1853" s="12">
        <f>IFERROR(__xludf.DUMMYFUNCTION("""COMPUTED_VALUE"""),4.0)</f>
        <v>4</v>
      </c>
      <c r="G1853" s="15" t="str">
        <f>IFERROR(__xludf.DUMMYFUNCTION("""COMPUTED_VALUE"""),"Pendiente")</f>
        <v>Pendiente</v>
      </c>
      <c r="H1853" s="16" t="str">
        <f t="array" ref="H1853">_xlfn.XLOOKUP(D1853,Productos[ID_Producto],Productos[Nombre_Producto])</f>
        <v>Zanahorias</v>
      </c>
      <c r="I1853" s="17">
        <f t="array" ref="I1853">_xlfn.XLOOKUP(D1853,Productos[ID_Producto],Productos[Precio_Unitario])</f>
        <v>3.25</v>
      </c>
      <c r="J1853" s="17">
        <f t="shared" si="1"/>
        <v>13</v>
      </c>
      <c r="K1853" s="16" t="str">
        <f t="array" ref="K1853">_xlfn.XLOOKUP(C1853,Clientes[ID_Cliente],Clientes[Provincia])</f>
        <v>Neuquén</v>
      </c>
      <c r="L1853" s="16" t="str">
        <f t="array" ref="L1853">CONCATENATE(_xlfn.XLOOKUP(C1853,Clientes[ID_Cliente],Clientes[Provincia]),", Argentina")</f>
        <v>Neuquén, Argentina</v>
      </c>
      <c r="M1853" s="20" t="str">
        <f t="array" ref="M1853">_xlfn.XLOOKUP(F1853,Metodos_De_Pago[ID_Metodo],Metodos_De_Pago[Metodo])</f>
        <v>Mercado Pago</v>
      </c>
      <c r="N1853" s="20" t="str">
        <f t="shared" si="2"/>
        <v>2024 09</v>
      </c>
    </row>
    <row r="1854" ht="22.5" customHeight="1">
      <c r="A1854" s="12">
        <f>IFERROR(__xludf.DUMMYFUNCTION("""COMPUTED_VALUE"""),179.0)</f>
        <v>179</v>
      </c>
      <c r="B1854" s="13">
        <f>IFERROR(__xludf.DUMMYFUNCTION("""COMPUTED_VALUE"""),45564.0)</f>
        <v>45564</v>
      </c>
      <c r="C1854" s="12">
        <f>IFERROR(__xludf.DUMMYFUNCTION("""COMPUTED_VALUE"""),37.0)</f>
        <v>37</v>
      </c>
      <c r="D1854" s="12">
        <f>IFERROR(__xludf.DUMMYFUNCTION("""COMPUTED_VALUE"""),6.0)</f>
        <v>6</v>
      </c>
      <c r="E1854" s="12">
        <f>IFERROR(__xludf.DUMMYFUNCTION("""COMPUTED_VALUE"""),4.0)</f>
        <v>4</v>
      </c>
      <c r="F1854" s="12">
        <f>IFERROR(__xludf.DUMMYFUNCTION("""COMPUTED_VALUE"""),1.0)</f>
        <v>1</v>
      </c>
      <c r="G1854" s="15" t="str">
        <f>IFERROR(__xludf.DUMMYFUNCTION("""COMPUTED_VALUE"""),"Pendiente")</f>
        <v>Pendiente</v>
      </c>
      <c r="H1854" s="16" t="str">
        <f t="array" ref="H1854">_xlfn.XLOOKUP(D1854,Productos[ID_Producto],Productos[Nombre_Producto])</f>
        <v>Asado</v>
      </c>
      <c r="I1854" s="17">
        <f t="array" ref="I1854">_xlfn.XLOOKUP(D1854,Productos[ID_Producto],Productos[Precio_Unitario])</f>
        <v>28.56</v>
      </c>
      <c r="J1854" s="17">
        <f t="shared" si="1"/>
        <v>114.24</v>
      </c>
      <c r="K1854" s="16" t="str">
        <f t="array" ref="K1854">_xlfn.XLOOKUP(C1854,Clientes[ID_Cliente],Clientes[Provincia])</f>
        <v>San Luis</v>
      </c>
      <c r="L1854" s="16" t="str">
        <f t="array" ref="L1854">CONCATENATE(_xlfn.XLOOKUP(C1854,Clientes[ID_Cliente],Clientes[Provincia]),", Argentina")</f>
        <v>San Luis, Argentina</v>
      </c>
      <c r="M1854" s="20" t="str">
        <f t="array" ref="M1854">_xlfn.XLOOKUP(F1854,Metodos_De_Pago[ID_Metodo],Metodos_De_Pago[Metodo])</f>
        <v>Efectivo</v>
      </c>
      <c r="N1854" s="20" t="str">
        <f t="shared" si="2"/>
        <v>2024 09</v>
      </c>
    </row>
    <row r="1855" ht="22.5" customHeight="1">
      <c r="A1855" s="12">
        <f>IFERROR(__xludf.DUMMYFUNCTION("""COMPUTED_VALUE"""),1311.0)</f>
        <v>1311</v>
      </c>
      <c r="B1855" s="13">
        <f>IFERROR(__xludf.DUMMYFUNCTION("""COMPUTED_VALUE"""),45564.0)</f>
        <v>45564</v>
      </c>
      <c r="C1855" s="12">
        <f>IFERROR(__xludf.DUMMYFUNCTION("""COMPUTED_VALUE"""),309.0)</f>
        <v>309</v>
      </c>
      <c r="D1855" s="12">
        <f>IFERROR(__xludf.DUMMYFUNCTION("""COMPUTED_VALUE"""),27.0)</f>
        <v>27</v>
      </c>
      <c r="E1855" s="12">
        <f>IFERROR(__xludf.DUMMYFUNCTION("""COMPUTED_VALUE"""),4.0)</f>
        <v>4</v>
      </c>
      <c r="F1855" s="12">
        <f>IFERROR(__xludf.DUMMYFUNCTION("""COMPUTED_VALUE"""),2.0)</f>
        <v>2</v>
      </c>
      <c r="G1855" s="15" t="str">
        <f>IFERROR(__xludf.DUMMYFUNCTION("""COMPUTED_VALUE"""),"Completa")</f>
        <v>Completa</v>
      </c>
      <c r="H1855" s="16" t="str">
        <f t="array" ref="H1855">_xlfn.XLOOKUP(D1855,Productos[ID_Producto],Productos[Nombre_Producto])</f>
        <v>Agua mineral</v>
      </c>
      <c r="I1855" s="17">
        <f t="array" ref="I1855">_xlfn.XLOOKUP(D1855,Productos[ID_Producto],Productos[Precio_Unitario])</f>
        <v>6.21</v>
      </c>
      <c r="J1855" s="17">
        <f t="shared" si="1"/>
        <v>24.84</v>
      </c>
      <c r="K1855" s="16" t="str">
        <f t="array" ref="K1855">_xlfn.XLOOKUP(C1855,Clientes[ID_Cliente],Clientes[Provincia])</f>
        <v>Córdoba</v>
      </c>
      <c r="L1855" s="16" t="str">
        <f t="array" ref="L1855">CONCATENATE(_xlfn.XLOOKUP(C1855,Clientes[ID_Cliente],Clientes[Provincia]),", Argentina")</f>
        <v>Córdoba, Argentina</v>
      </c>
      <c r="M1855" s="20" t="str">
        <f t="array" ref="M1855">_xlfn.XLOOKUP(F1855,Metodos_De_Pago[ID_Metodo],Metodos_De_Pago[Metodo])</f>
        <v>Tarjeta de Crédito</v>
      </c>
      <c r="N1855" s="20" t="str">
        <f t="shared" si="2"/>
        <v>2024 09</v>
      </c>
    </row>
    <row r="1856" ht="22.5" customHeight="1">
      <c r="A1856" s="12">
        <f>IFERROR(__xludf.DUMMYFUNCTION("""COMPUTED_VALUE"""),2102.0)</f>
        <v>2102</v>
      </c>
      <c r="B1856" s="13">
        <f>IFERROR(__xludf.DUMMYFUNCTION("""COMPUTED_VALUE"""),45564.0)</f>
        <v>45564</v>
      </c>
      <c r="C1856" s="12">
        <f>IFERROR(__xludf.DUMMYFUNCTION("""COMPUTED_VALUE"""),268.0)</f>
        <v>268</v>
      </c>
      <c r="D1856" s="12">
        <f>IFERROR(__xludf.DUMMYFUNCTION("""COMPUTED_VALUE"""),18.0)</f>
        <v>18</v>
      </c>
      <c r="E1856" s="12">
        <f>IFERROR(__xludf.DUMMYFUNCTION("""COMPUTED_VALUE"""),4.0)</f>
        <v>4</v>
      </c>
      <c r="F1856" s="12">
        <f>IFERROR(__xludf.DUMMYFUNCTION("""COMPUTED_VALUE"""),1.0)</f>
        <v>1</v>
      </c>
      <c r="G1856" s="15" t="str">
        <f>IFERROR(__xludf.DUMMYFUNCTION("""COMPUTED_VALUE"""),"Completa")</f>
        <v>Completa</v>
      </c>
      <c r="H1856" s="16" t="str">
        <f t="array" ref="H1856">_xlfn.XLOOKUP(D1856,Productos[ID_Producto],Productos[Nombre_Producto])</f>
        <v>Bananas</v>
      </c>
      <c r="I1856" s="17">
        <f t="array" ref="I1856">_xlfn.XLOOKUP(D1856,Productos[ID_Producto],Productos[Precio_Unitario])</f>
        <v>7.25</v>
      </c>
      <c r="J1856" s="17">
        <f t="shared" si="1"/>
        <v>29</v>
      </c>
      <c r="K1856" s="16" t="str">
        <f t="array" ref="K1856">_xlfn.XLOOKUP(C1856,Clientes[ID_Cliente],Clientes[Provincia])</f>
        <v>Salta</v>
      </c>
      <c r="L1856" s="16" t="str">
        <f t="array" ref="L1856">CONCATENATE(_xlfn.XLOOKUP(C1856,Clientes[ID_Cliente],Clientes[Provincia]),", Argentina")</f>
        <v>Salta, Argentina</v>
      </c>
      <c r="M1856" s="20" t="str">
        <f t="array" ref="M1856">_xlfn.XLOOKUP(F1856,Metodos_De_Pago[ID_Metodo],Metodos_De_Pago[Metodo])</f>
        <v>Efectivo</v>
      </c>
      <c r="N1856" s="20" t="str">
        <f t="shared" si="2"/>
        <v>2024 09</v>
      </c>
    </row>
    <row r="1857" ht="22.5" customHeight="1">
      <c r="A1857" s="12">
        <f>IFERROR(__xludf.DUMMYFUNCTION("""COMPUTED_VALUE"""),2970.0)</f>
        <v>2970</v>
      </c>
      <c r="B1857" s="13">
        <f>IFERROR(__xludf.DUMMYFUNCTION("""COMPUTED_VALUE"""),45564.0)</f>
        <v>45564</v>
      </c>
      <c r="C1857" s="12">
        <f>IFERROR(__xludf.DUMMYFUNCTION("""COMPUTED_VALUE"""),135.0)</f>
        <v>135</v>
      </c>
      <c r="D1857" s="12">
        <f>IFERROR(__xludf.DUMMYFUNCTION("""COMPUTED_VALUE"""),3.0)</f>
        <v>3</v>
      </c>
      <c r="E1857" s="12">
        <f>IFERROR(__xludf.DUMMYFUNCTION("""COMPUTED_VALUE"""),4.0)</f>
        <v>4</v>
      </c>
      <c r="F1857" s="12">
        <f>IFERROR(__xludf.DUMMYFUNCTION("""COMPUTED_VALUE"""),4.0)</f>
        <v>4</v>
      </c>
      <c r="G1857" s="15" t="str">
        <f>IFERROR(__xludf.DUMMYFUNCTION("""COMPUTED_VALUE"""),"Completa")</f>
        <v>Completa</v>
      </c>
      <c r="H1857" s="16" t="str">
        <f t="array" ref="H1857">_xlfn.XLOOKUP(D1857,Productos[ID_Producto],Productos[Nombre_Producto])</f>
        <v>Queso cremoso</v>
      </c>
      <c r="I1857" s="17">
        <f t="array" ref="I1857">_xlfn.XLOOKUP(D1857,Productos[ID_Producto],Productos[Precio_Unitario])</f>
        <v>17.23</v>
      </c>
      <c r="J1857" s="17">
        <f t="shared" si="1"/>
        <v>68.92</v>
      </c>
      <c r="K1857" s="16" t="str">
        <f t="array" ref="K1857">_xlfn.XLOOKUP(C1857,Clientes[ID_Cliente],Clientes[Provincia])</f>
        <v>San Luis</v>
      </c>
      <c r="L1857" s="16" t="str">
        <f t="array" ref="L1857">CONCATENATE(_xlfn.XLOOKUP(C1857,Clientes[ID_Cliente],Clientes[Provincia]),", Argentina")</f>
        <v>San Luis, Argentina</v>
      </c>
      <c r="M1857" s="20" t="str">
        <f t="array" ref="M1857">_xlfn.XLOOKUP(F1857,Metodos_De_Pago[ID_Metodo],Metodos_De_Pago[Metodo])</f>
        <v>Mercado Pago</v>
      </c>
      <c r="N1857" s="20" t="str">
        <f t="shared" si="2"/>
        <v>2024 09</v>
      </c>
    </row>
    <row r="1858" ht="22.5" customHeight="1">
      <c r="A1858" s="12">
        <f>IFERROR(__xludf.DUMMYFUNCTION("""COMPUTED_VALUE"""),2103.0)</f>
        <v>2103</v>
      </c>
      <c r="B1858" s="13">
        <f>IFERROR(__xludf.DUMMYFUNCTION("""COMPUTED_VALUE"""),45565.0)</f>
        <v>45565</v>
      </c>
      <c r="C1858" s="12">
        <f>IFERROR(__xludf.DUMMYFUNCTION("""COMPUTED_VALUE"""),78.0)</f>
        <v>78</v>
      </c>
      <c r="D1858" s="12">
        <f>IFERROR(__xludf.DUMMYFUNCTION("""COMPUTED_VALUE"""),5.0)</f>
        <v>5</v>
      </c>
      <c r="E1858" s="12">
        <f>IFERROR(__xludf.DUMMYFUNCTION("""COMPUTED_VALUE"""),4.0)</f>
        <v>4</v>
      </c>
      <c r="F1858" s="12">
        <f>IFERROR(__xludf.DUMMYFUNCTION("""COMPUTED_VALUE"""),3.0)</f>
        <v>3</v>
      </c>
      <c r="G1858" s="15" t="str">
        <f>IFERROR(__xludf.DUMMYFUNCTION("""COMPUTED_VALUE"""),"Completa")</f>
        <v>Completa</v>
      </c>
      <c r="H1858" s="16" t="str">
        <f t="array" ref="H1858">_xlfn.XLOOKUP(D1858,Productos[ID_Producto],Productos[Nombre_Producto])</f>
        <v>Manteca</v>
      </c>
      <c r="I1858" s="17">
        <f t="array" ref="I1858">_xlfn.XLOOKUP(D1858,Productos[ID_Producto],Productos[Precio_Unitario])</f>
        <v>5.65</v>
      </c>
      <c r="J1858" s="17">
        <f t="shared" si="1"/>
        <v>22.6</v>
      </c>
      <c r="K1858" s="16" t="str">
        <f t="array" ref="K1858">_xlfn.XLOOKUP(C1858,Clientes[ID_Cliente],Clientes[Provincia])</f>
        <v>Buenos Aires</v>
      </c>
      <c r="L1858" s="16" t="str">
        <f t="array" ref="L1858">CONCATENATE(_xlfn.XLOOKUP(C1858,Clientes[ID_Cliente],Clientes[Provincia]),", Argentina")</f>
        <v>Buenos Aires, Argentina</v>
      </c>
      <c r="M1858" s="20" t="str">
        <f t="array" ref="M1858">_xlfn.XLOOKUP(F1858,Metodos_De_Pago[ID_Metodo],Metodos_De_Pago[Metodo])</f>
        <v>Tarjeta de Débito</v>
      </c>
      <c r="N1858" s="20" t="str">
        <f t="shared" si="2"/>
        <v>2024 09</v>
      </c>
    </row>
    <row r="1859" ht="22.5" customHeight="1">
      <c r="A1859" s="12">
        <f>IFERROR(__xludf.DUMMYFUNCTION("""COMPUTED_VALUE"""),2864.0)</f>
        <v>2864</v>
      </c>
      <c r="B1859" s="13">
        <f>IFERROR(__xludf.DUMMYFUNCTION("""COMPUTED_VALUE"""),45565.0)</f>
        <v>45565</v>
      </c>
      <c r="C1859" s="12">
        <f>IFERROR(__xludf.DUMMYFUNCTION("""COMPUTED_VALUE"""),28.0)</f>
        <v>28</v>
      </c>
      <c r="D1859" s="12">
        <f>IFERROR(__xludf.DUMMYFUNCTION("""COMPUTED_VALUE"""),36.0)</f>
        <v>36</v>
      </c>
      <c r="E1859" s="12">
        <f>IFERROR(__xludf.DUMMYFUNCTION("""COMPUTED_VALUE"""),4.0)</f>
        <v>4</v>
      </c>
      <c r="F1859" s="12">
        <f>IFERROR(__xludf.DUMMYFUNCTION("""COMPUTED_VALUE"""),3.0)</f>
        <v>3</v>
      </c>
      <c r="G1859" s="15" t="str">
        <f>IFERROR(__xludf.DUMMYFUNCTION("""COMPUTED_VALUE"""),"Pendiente")</f>
        <v>Pendiente</v>
      </c>
      <c r="H1859" s="16" t="str">
        <f t="array" ref="H1859">_xlfn.XLOOKUP(D1859,Productos[ID_Producto],Productos[Nombre_Producto])</f>
        <v>Lentejas</v>
      </c>
      <c r="I1859" s="17">
        <f t="array" ref="I1859">_xlfn.XLOOKUP(D1859,Productos[ID_Producto],Productos[Precio_Unitario])</f>
        <v>3.25</v>
      </c>
      <c r="J1859" s="17">
        <f t="shared" si="1"/>
        <v>13</v>
      </c>
      <c r="K1859" s="16" t="str">
        <f t="array" ref="K1859">_xlfn.XLOOKUP(C1859,Clientes[ID_Cliente],Clientes[Provincia])</f>
        <v>Chaco</v>
      </c>
      <c r="L1859" s="16" t="str">
        <f t="array" ref="L1859">CONCATENATE(_xlfn.XLOOKUP(C1859,Clientes[ID_Cliente],Clientes[Provincia]),", Argentina")</f>
        <v>Chaco, Argentina</v>
      </c>
      <c r="M1859" s="20" t="str">
        <f t="array" ref="M1859">_xlfn.XLOOKUP(F1859,Metodos_De_Pago[ID_Metodo],Metodos_De_Pago[Metodo])</f>
        <v>Tarjeta de Débito</v>
      </c>
      <c r="N1859" s="20" t="str">
        <f t="shared" si="2"/>
        <v>2024 09</v>
      </c>
    </row>
    <row r="1860" ht="22.5" customHeight="1">
      <c r="A1860" s="12">
        <f>IFERROR(__xludf.DUMMYFUNCTION("""COMPUTED_VALUE"""),2638.0)</f>
        <v>2638</v>
      </c>
      <c r="B1860" s="13">
        <f>IFERROR(__xludf.DUMMYFUNCTION("""COMPUTED_VALUE"""),45566.0)</f>
        <v>45566</v>
      </c>
      <c r="C1860" s="12">
        <f>IFERROR(__xludf.DUMMYFUNCTION("""COMPUTED_VALUE"""),91.0)</f>
        <v>91</v>
      </c>
      <c r="D1860" s="12">
        <f>IFERROR(__xludf.DUMMYFUNCTION("""COMPUTED_VALUE"""),24.0)</f>
        <v>24</v>
      </c>
      <c r="E1860" s="12">
        <f>IFERROR(__xludf.DUMMYFUNCTION("""COMPUTED_VALUE"""),4.0)</f>
        <v>4</v>
      </c>
      <c r="F1860" s="12">
        <f>IFERROR(__xludf.DUMMYFUNCTION("""COMPUTED_VALUE"""),4.0)</f>
        <v>4</v>
      </c>
      <c r="G1860" s="15" t="str">
        <f>IFERROR(__xludf.DUMMYFUNCTION("""COMPUTED_VALUE"""),"Completa")</f>
        <v>Completa</v>
      </c>
      <c r="H1860" s="16" t="str">
        <f t="array" ref="H1860">_xlfn.XLOOKUP(D1860,Productos[ID_Producto],Productos[Nombre_Producto])</f>
        <v>Empanadas</v>
      </c>
      <c r="I1860" s="17">
        <f t="array" ref="I1860">_xlfn.XLOOKUP(D1860,Productos[ID_Producto],Productos[Precio_Unitario])</f>
        <v>13.54</v>
      </c>
      <c r="J1860" s="17">
        <f t="shared" si="1"/>
        <v>54.16</v>
      </c>
      <c r="K1860" s="16" t="str">
        <f t="array" ref="K1860">_xlfn.XLOOKUP(C1860,Clientes[ID_Cliente],Clientes[Provincia])</f>
        <v>Buenos Aires</v>
      </c>
      <c r="L1860" s="16" t="str">
        <f t="array" ref="L1860">CONCATENATE(_xlfn.XLOOKUP(C1860,Clientes[ID_Cliente],Clientes[Provincia]),", Argentina")</f>
        <v>Buenos Aires, Argentina</v>
      </c>
      <c r="M1860" s="20" t="str">
        <f t="array" ref="M1860">_xlfn.XLOOKUP(F1860,Metodos_De_Pago[ID_Metodo],Metodos_De_Pago[Metodo])</f>
        <v>Mercado Pago</v>
      </c>
      <c r="N1860" s="20" t="str">
        <f t="shared" si="2"/>
        <v>2024 10</v>
      </c>
    </row>
    <row r="1861" ht="22.5" customHeight="1">
      <c r="A1861" s="12">
        <f>IFERROR(__xludf.DUMMYFUNCTION("""COMPUTED_VALUE"""),901.0)</f>
        <v>901</v>
      </c>
      <c r="B1861" s="13">
        <f>IFERROR(__xludf.DUMMYFUNCTION("""COMPUTED_VALUE"""),45567.0)</f>
        <v>45567</v>
      </c>
      <c r="C1861" s="12">
        <f>IFERROR(__xludf.DUMMYFUNCTION("""COMPUTED_VALUE"""),325.0)</f>
        <v>325</v>
      </c>
      <c r="D1861" s="12">
        <f>IFERROR(__xludf.DUMMYFUNCTION("""COMPUTED_VALUE"""),37.0)</f>
        <v>37</v>
      </c>
      <c r="E1861" s="12">
        <f>IFERROR(__xludf.DUMMYFUNCTION("""COMPUTED_VALUE"""),4.0)</f>
        <v>4</v>
      </c>
      <c r="F1861" s="12">
        <f>IFERROR(__xludf.DUMMYFUNCTION("""COMPUTED_VALUE"""),4.0)</f>
        <v>4</v>
      </c>
      <c r="G1861" s="15" t="str">
        <f>IFERROR(__xludf.DUMMYFUNCTION("""COMPUTED_VALUE"""),"Completa")</f>
        <v>Completa</v>
      </c>
      <c r="H1861" s="16" t="str">
        <f t="array" ref="H1861">_xlfn.XLOOKUP(D1861,Productos[ID_Producto],Productos[Nombre_Producto])</f>
        <v>Garbanzos</v>
      </c>
      <c r="I1861" s="17">
        <f t="array" ref="I1861">_xlfn.XLOOKUP(D1861,Productos[ID_Producto],Productos[Precio_Unitario])</f>
        <v>3.65</v>
      </c>
      <c r="J1861" s="17">
        <f t="shared" si="1"/>
        <v>14.6</v>
      </c>
      <c r="K1861" s="16" t="str">
        <f t="array" ref="K1861">_xlfn.XLOOKUP(C1861,Clientes[ID_Cliente],Clientes[Provincia])</f>
        <v>Chaco</v>
      </c>
      <c r="L1861" s="16" t="str">
        <f t="array" ref="L1861">CONCATENATE(_xlfn.XLOOKUP(C1861,Clientes[ID_Cliente],Clientes[Provincia]),", Argentina")</f>
        <v>Chaco, Argentina</v>
      </c>
      <c r="M1861" s="20" t="str">
        <f t="array" ref="M1861">_xlfn.XLOOKUP(F1861,Metodos_De_Pago[ID_Metodo],Metodos_De_Pago[Metodo])</f>
        <v>Mercado Pago</v>
      </c>
      <c r="N1861" s="20" t="str">
        <f t="shared" si="2"/>
        <v>2024 10</v>
      </c>
    </row>
    <row r="1862" ht="22.5" customHeight="1">
      <c r="A1862" s="12">
        <f>IFERROR(__xludf.DUMMYFUNCTION("""COMPUTED_VALUE"""),1116.0)</f>
        <v>1116</v>
      </c>
      <c r="B1862" s="13">
        <f>IFERROR(__xludf.DUMMYFUNCTION("""COMPUTED_VALUE"""),45567.0)</f>
        <v>45567</v>
      </c>
      <c r="C1862" s="12">
        <f>IFERROR(__xludf.DUMMYFUNCTION("""COMPUTED_VALUE"""),266.0)</f>
        <v>266</v>
      </c>
      <c r="D1862" s="12">
        <f>IFERROR(__xludf.DUMMYFUNCTION("""COMPUTED_VALUE"""),10.0)</f>
        <v>10</v>
      </c>
      <c r="E1862" s="12">
        <f>IFERROR(__xludf.DUMMYFUNCTION("""COMPUTED_VALUE"""),4.0)</f>
        <v>4</v>
      </c>
      <c r="F1862" s="12">
        <f>IFERROR(__xludf.DUMMYFUNCTION("""COMPUTED_VALUE"""),1.0)</f>
        <v>1</v>
      </c>
      <c r="G1862" s="15" t="str">
        <f>IFERROR(__xludf.DUMMYFUNCTION("""COMPUTED_VALUE"""),"Completa")</f>
        <v>Completa</v>
      </c>
      <c r="H1862" s="16" t="str">
        <f t="array" ref="H1862">_xlfn.XLOOKUP(D1862,Productos[ID_Producto],Productos[Nombre_Producto])</f>
        <v>Costilla de cerdo</v>
      </c>
      <c r="I1862" s="17">
        <f t="array" ref="I1862">_xlfn.XLOOKUP(D1862,Productos[ID_Producto],Productos[Precio_Unitario])</f>
        <v>14.25</v>
      </c>
      <c r="J1862" s="17">
        <f t="shared" si="1"/>
        <v>57</v>
      </c>
      <c r="K1862" s="16" t="str">
        <f t="array" ref="K1862">_xlfn.XLOOKUP(C1862,Clientes[ID_Cliente],Clientes[Provincia])</f>
        <v>Buenos Aires</v>
      </c>
      <c r="L1862" s="16" t="str">
        <f t="array" ref="L1862">CONCATENATE(_xlfn.XLOOKUP(C1862,Clientes[ID_Cliente],Clientes[Provincia]),", Argentina")</f>
        <v>Buenos Aires, Argentina</v>
      </c>
      <c r="M1862" s="20" t="str">
        <f t="array" ref="M1862">_xlfn.XLOOKUP(F1862,Metodos_De_Pago[ID_Metodo],Metodos_De_Pago[Metodo])</f>
        <v>Efectivo</v>
      </c>
      <c r="N1862" s="20" t="str">
        <f t="shared" si="2"/>
        <v>2024 10</v>
      </c>
    </row>
    <row r="1863" ht="22.5" customHeight="1">
      <c r="A1863" s="12">
        <f>IFERROR(__xludf.DUMMYFUNCTION("""COMPUTED_VALUE"""),2510.0)</f>
        <v>2510</v>
      </c>
      <c r="B1863" s="13">
        <f>IFERROR(__xludf.DUMMYFUNCTION("""COMPUTED_VALUE"""),45567.0)</f>
        <v>45567</v>
      </c>
      <c r="C1863" s="12">
        <f>IFERROR(__xludf.DUMMYFUNCTION("""COMPUTED_VALUE"""),294.0)</f>
        <v>294</v>
      </c>
      <c r="D1863" s="12">
        <f>IFERROR(__xludf.DUMMYFUNCTION("""COMPUTED_VALUE"""),31.0)</f>
        <v>31</v>
      </c>
      <c r="E1863" s="12">
        <f>IFERROR(__xludf.DUMMYFUNCTION("""COMPUTED_VALUE"""),4.0)</f>
        <v>4</v>
      </c>
      <c r="F1863" s="12">
        <f>IFERROR(__xludf.DUMMYFUNCTION("""COMPUTED_VALUE"""),4.0)</f>
        <v>4</v>
      </c>
      <c r="G1863" s="15" t="str">
        <f>IFERROR(__xludf.DUMMYFUNCTION("""COMPUTED_VALUE"""),"Completa")</f>
        <v>Completa</v>
      </c>
      <c r="H1863" s="16" t="str">
        <f t="array" ref="H1863">_xlfn.XLOOKUP(D1863,Productos[ID_Producto],Productos[Nombre_Producto])</f>
        <v>Galletitas de agua</v>
      </c>
      <c r="I1863" s="17">
        <f t="array" ref="I1863">_xlfn.XLOOKUP(D1863,Productos[ID_Producto],Productos[Precio_Unitario])</f>
        <v>5.24</v>
      </c>
      <c r="J1863" s="17">
        <f t="shared" si="1"/>
        <v>20.96</v>
      </c>
      <c r="K1863" s="16" t="str">
        <f t="array" ref="K1863">_xlfn.XLOOKUP(C1863,Clientes[ID_Cliente],Clientes[Provincia])</f>
        <v>Córdoba</v>
      </c>
      <c r="L1863" s="16" t="str">
        <f t="array" ref="L1863">CONCATENATE(_xlfn.XLOOKUP(C1863,Clientes[ID_Cliente],Clientes[Provincia]),", Argentina")</f>
        <v>Córdoba, Argentina</v>
      </c>
      <c r="M1863" s="20" t="str">
        <f t="array" ref="M1863">_xlfn.XLOOKUP(F1863,Metodos_De_Pago[ID_Metodo],Metodos_De_Pago[Metodo])</f>
        <v>Mercado Pago</v>
      </c>
      <c r="N1863" s="20" t="str">
        <f t="shared" si="2"/>
        <v>2024 10</v>
      </c>
    </row>
    <row r="1864" ht="22.5" customHeight="1">
      <c r="A1864" s="12">
        <f>IFERROR(__xludf.DUMMYFUNCTION("""COMPUTED_VALUE"""),525.0)</f>
        <v>525</v>
      </c>
      <c r="B1864" s="13">
        <f>IFERROR(__xludf.DUMMYFUNCTION("""COMPUTED_VALUE"""),45568.0)</f>
        <v>45568</v>
      </c>
      <c r="C1864" s="12">
        <f>IFERROR(__xludf.DUMMYFUNCTION("""COMPUTED_VALUE"""),311.0)</f>
        <v>311</v>
      </c>
      <c r="D1864" s="12">
        <f>IFERROR(__xludf.DUMMYFUNCTION("""COMPUTED_VALUE"""),34.0)</f>
        <v>34</v>
      </c>
      <c r="E1864" s="12">
        <f>IFERROR(__xludf.DUMMYFUNCTION("""COMPUTED_VALUE"""),4.0)</f>
        <v>4</v>
      </c>
      <c r="F1864" s="12">
        <f>IFERROR(__xludf.DUMMYFUNCTION("""COMPUTED_VALUE"""),4.0)</f>
        <v>4</v>
      </c>
      <c r="G1864" s="15" t="str">
        <f>IFERROR(__xludf.DUMMYFUNCTION("""COMPUTED_VALUE"""),"Completa")</f>
        <v>Completa</v>
      </c>
      <c r="H1864" s="16" t="str">
        <f t="array" ref="H1864">_xlfn.XLOOKUP(D1864,Productos[ID_Producto],Productos[Nombre_Producto])</f>
        <v>Maníes</v>
      </c>
      <c r="I1864" s="17">
        <f t="array" ref="I1864">_xlfn.XLOOKUP(D1864,Productos[ID_Producto],Productos[Precio_Unitario])</f>
        <v>5.45</v>
      </c>
      <c r="J1864" s="17">
        <f t="shared" si="1"/>
        <v>21.8</v>
      </c>
      <c r="K1864" s="16" t="str">
        <f t="array" ref="K1864">_xlfn.XLOOKUP(C1864,Clientes[ID_Cliente],Clientes[Provincia])</f>
        <v>Buenos Aires</v>
      </c>
      <c r="L1864" s="16" t="str">
        <f t="array" ref="L1864">CONCATENATE(_xlfn.XLOOKUP(C1864,Clientes[ID_Cliente],Clientes[Provincia]),", Argentina")</f>
        <v>Buenos Aires, Argentina</v>
      </c>
      <c r="M1864" s="20" t="str">
        <f t="array" ref="M1864">_xlfn.XLOOKUP(F1864,Metodos_De_Pago[ID_Metodo],Metodos_De_Pago[Metodo])</f>
        <v>Mercado Pago</v>
      </c>
      <c r="N1864" s="20" t="str">
        <f t="shared" si="2"/>
        <v>2024 10</v>
      </c>
    </row>
    <row r="1865" ht="22.5" customHeight="1">
      <c r="A1865" s="12">
        <f>IFERROR(__xludf.DUMMYFUNCTION("""COMPUTED_VALUE"""),240.0)</f>
        <v>240</v>
      </c>
      <c r="B1865" s="13">
        <f>IFERROR(__xludf.DUMMYFUNCTION("""COMPUTED_VALUE"""),45569.0)</f>
        <v>45569</v>
      </c>
      <c r="C1865" s="12">
        <f>IFERROR(__xludf.DUMMYFUNCTION("""COMPUTED_VALUE"""),312.0)</f>
        <v>312</v>
      </c>
      <c r="D1865" s="12">
        <f>IFERROR(__xludf.DUMMYFUNCTION("""COMPUTED_VALUE"""),29.0)</f>
        <v>29</v>
      </c>
      <c r="E1865" s="12">
        <f>IFERROR(__xludf.DUMMYFUNCTION("""COMPUTED_VALUE"""),4.0)</f>
        <v>4</v>
      </c>
      <c r="F1865" s="12">
        <f>IFERROR(__xludf.DUMMYFUNCTION("""COMPUTED_VALUE"""),3.0)</f>
        <v>3</v>
      </c>
      <c r="G1865" s="15" t="str">
        <f>IFERROR(__xludf.DUMMYFUNCTION("""COMPUTED_VALUE"""),"Completa")</f>
        <v>Completa</v>
      </c>
      <c r="H1865" s="16" t="str">
        <f t="array" ref="H1865">_xlfn.XLOOKUP(D1865,Productos[ID_Producto],Productos[Nombre_Producto])</f>
        <v>Cerveza</v>
      </c>
      <c r="I1865" s="17">
        <f t="array" ref="I1865">_xlfn.XLOOKUP(D1865,Productos[ID_Producto],Productos[Precio_Unitario])</f>
        <v>11.54</v>
      </c>
      <c r="J1865" s="17">
        <f t="shared" si="1"/>
        <v>46.16</v>
      </c>
      <c r="K1865" s="16" t="str">
        <f t="array" ref="K1865">_xlfn.XLOOKUP(C1865,Clientes[ID_Cliente],Clientes[Provincia])</f>
        <v>San Luis</v>
      </c>
      <c r="L1865" s="16" t="str">
        <f t="array" ref="L1865">CONCATENATE(_xlfn.XLOOKUP(C1865,Clientes[ID_Cliente],Clientes[Provincia]),", Argentina")</f>
        <v>San Luis, Argentina</v>
      </c>
      <c r="M1865" s="20" t="str">
        <f t="array" ref="M1865">_xlfn.XLOOKUP(F1865,Metodos_De_Pago[ID_Metodo],Metodos_De_Pago[Metodo])</f>
        <v>Tarjeta de Débito</v>
      </c>
      <c r="N1865" s="20" t="str">
        <f t="shared" si="2"/>
        <v>2024 10</v>
      </c>
    </row>
    <row r="1866" ht="22.5" customHeight="1">
      <c r="A1866" s="12">
        <f>IFERROR(__xludf.DUMMYFUNCTION("""COMPUTED_VALUE"""),649.0)</f>
        <v>649</v>
      </c>
      <c r="B1866" s="13">
        <f>IFERROR(__xludf.DUMMYFUNCTION("""COMPUTED_VALUE"""),45569.0)</f>
        <v>45569</v>
      </c>
      <c r="C1866" s="12">
        <f>IFERROR(__xludf.DUMMYFUNCTION("""COMPUTED_VALUE"""),128.0)</f>
        <v>128</v>
      </c>
      <c r="D1866" s="12">
        <f>IFERROR(__xludf.DUMMYFUNCTION("""COMPUTED_VALUE"""),14.0)</f>
        <v>14</v>
      </c>
      <c r="E1866" s="12">
        <f>IFERROR(__xludf.DUMMYFUNCTION("""COMPUTED_VALUE"""),4.0)</f>
        <v>4</v>
      </c>
      <c r="F1866" s="12">
        <f>IFERROR(__xludf.DUMMYFUNCTION("""COMPUTED_VALUE"""),3.0)</f>
        <v>3</v>
      </c>
      <c r="G1866" s="15" t="str">
        <f>IFERROR(__xludf.DUMMYFUNCTION("""COMPUTED_VALUE"""),"Completa")</f>
        <v>Completa</v>
      </c>
      <c r="H1866" s="16" t="str">
        <f t="array" ref="H1866">_xlfn.XLOOKUP(D1866,Productos[ID_Producto],Productos[Nombre_Producto])</f>
        <v>Facturas</v>
      </c>
      <c r="I1866" s="17">
        <f t="array" ref="I1866">_xlfn.XLOOKUP(D1866,Productos[ID_Producto],Productos[Precio_Unitario])</f>
        <v>12.36</v>
      </c>
      <c r="J1866" s="17">
        <f t="shared" si="1"/>
        <v>49.44</v>
      </c>
      <c r="K1866" s="16" t="str">
        <f t="array" ref="K1866">_xlfn.XLOOKUP(C1866,Clientes[ID_Cliente],Clientes[Provincia])</f>
        <v>Buenos Aires</v>
      </c>
      <c r="L1866" s="16" t="str">
        <f t="array" ref="L1866">CONCATENATE(_xlfn.XLOOKUP(C1866,Clientes[ID_Cliente],Clientes[Provincia]),", Argentina")</f>
        <v>Buenos Aires, Argentina</v>
      </c>
      <c r="M1866" s="20" t="str">
        <f t="array" ref="M1866">_xlfn.XLOOKUP(F1866,Metodos_De_Pago[ID_Metodo],Metodos_De_Pago[Metodo])</f>
        <v>Tarjeta de Débito</v>
      </c>
      <c r="N1866" s="20" t="str">
        <f t="shared" si="2"/>
        <v>2024 10</v>
      </c>
    </row>
    <row r="1867" ht="22.5" customHeight="1">
      <c r="A1867" s="12">
        <f>IFERROR(__xludf.DUMMYFUNCTION("""COMPUTED_VALUE"""),2521.0)</f>
        <v>2521</v>
      </c>
      <c r="B1867" s="13">
        <f>IFERROR(__xludf.DUMMYFUNCTION("""COMPUTED_VALUE"""),45569.0)</f>
        <v>45569</v>
      </c>
      <c r="C1867" s="12">
        <f>IFERROR(__xludf.DUMMYFUNCTION("""COMPUTED_VALUE"""),20.0)</f>
        <v>20</v>
      </c>
      <c r="D1867" s="12">
        <f>IFERROR(__xludf.DUMMYFUNCTION("""COMPUTED_VALUE"""),35.0)</f>
        <v>35</v>
      </c>
      <c r="E1867" s="12">
        <f>IFERROR(__xludf.DUMMYFUNCTION("""COMPUTED_VALUE"""),4.0)</f>
        <v>4</v>
      </c>
      <c r="F1867" s="12">
        <f>IFERROR(__xludf.DUMMYFUNCTION("""COMPUTED_VALUE"""),3.0)</f>
        <v>3</v>
      </c>
      <c r="G1867" s="15" t="str">
        <f>IFERROR(__xludf.DUMMYFUNCTION("""COMPUTED_VALUE"""),"Completa")</f>
        <v>Completa</v>
      </c>
      <c r="H1867" s="16" t="str">
        <f t="array" ref="H1867">_xlfn.XLOOKUP(D1867,Productos[ID_Producto],Productos[Nombre_Producto])</f>
        <v>Arroz</v>
      </c>
      <c r="I1867" s="17">
        <f t="array" ref="I1867">_xlfn.XLOOKUP(D1867,Productos[ID_Producto],Productos[Precio_Unitario])</f>
        <v>4.25</v>
      </c>
      <c r="J1867" s="17">
        <f t="shared" si="1"/>
        <v>17</v>
      </c>
      <c r="K1867" s="16" t="str">
        <f t="array" ref="K1867">_xlfn.XLOOKUP(C1867,Clientes[ID_Cliente],Clientes[Provincia])</f>
        <v>San Luis</v>
      </c>
      <c r="L1867" s="16" t="str">
        <f t="array" ref="L1867">CONCATENATE(_xlfn.XLOOKUP(C1867,Clientes[ID_Cliente],Clientes[Provincia]),", Argentina")</f>
        <v>San Luis, Argentina</v>
      </c>
      <c r="M1867" s="20" t="str">
        <f t="array" ref="M1867">_xlfn.XLOOKUP(F1867,Metodos_De_Pago[ID_Metodo],Metodos_De_Pago[Metodo])</f>
        <v>Tarjeta de Débito</v>
      </c>
      <c r="N1867" s="20" t="str">
        <f t="shared" si="2"/>
        <v>2024 10</v>
      </c>
    </row>
    <row r="1868" ht="22.5" customHeight="1">
      <c r="A1868" s="12">
        <f>IFERROR(__xludf.DUMMYFUNCTION("""COMPUTED_VALUE"""),794.0)</f>
        <v>794</v>
      </c>
      <c r="B1868" s="13">
        <f>IFERROR(__xludf.DUMMYFUNCTION("""COMPUTED_VALUE"""),45570.0)</f>
        <v>45570</v>
      </c>
      <c r="C1868" s="12">
        <f>IFERROR(__xludf.DUMMYFUNCTION("""COMPUTED_VALUE"""),302.0)</f>
        <v>302</v>
      </c>
      <c r="D1868" s="12">
        <f>IFERROR(__xludf.DUMMYFUNCTION("""COMPUTED_VALUE"""),28.0)</f>
        <v>28</v>
      </c>
      <c r="E1868" s="12">
        <f>IFERROR(__xludf.DUMMYFUNCTION("""COMPUTED_VALUE"""),4.0)</f>
        <v>4</v>
      </c>
      <c r="F1868" s="12">
        <f>IFERROR(__xludf.DUMMYFUNCTION("""COMPUTED_VALUE"""),3.0)</f>
        <v>3</v>
      </c>
      <c r="G1868" s="15" t="str">
        <f>IFERROR(__xludf.DUMMYFUNCTION("""COMPUTED_VALUE"""),"Completa")</f>
        <v>Completa</v>
      </c>
      <c r="H1868" s="16" t="str">
        <f t="array" ref="H1868">_xlfn.XLOOKUP(D1868,Productos[ID_Producto],Productos[Nombre_Producto])</f>
        <v>Jugos de frutas</v>
      </c>
      <c r="I1868" s="17">
        <f t="array" ref="I1868">_xlfn.XLOOKUP(D1868,Productos[ID_Producto],Productos[Precio_Unitario])</f>
        <v>9.45</v>
      </c>
      <c r="J1868" s="17">
        <f t="shared" si="1"/>
        <v>37.8</v>
      </c>
      <c r="K1868" s="16" t="str">
        <f t="array" ref="K1868">_xlfn.XLOOKUP(C1868,Clientes[ID_Cliente],Clientes[Provincia])</f>
        <v>Neuquén</v>
      </c>
      <c r="L1868" s="16" t="str">
        <f t="array" ref="L1868">CONCATENATE(_xlfn.XLOOKUP(C1868,Clientes[ID_Cliente],Clientes[Provincia]),", Argentina")</f>
        <v>Neuquén, Argentina</v>
      </c>
      <c r="M1868" s="20" t="str">
        <f t="array" ref="M1868">_xlfn.XLOOKUP(F1868,Metodos_De_Pago[ID_Metodo],Metodos_De_Pago[Metodo])</f>
        <v>Tarjeta de Débito</v>
      </c>
      <c r="N1868" s="20" t="str">
        <f t="shared" si="2"/>
        <v>2024 10</v>
      </c>
    </row>
    <row r="1869" ht="22.5" customHeight="1">
      <c r="A1869" s="12">
        <f>IFERROR(__xludf.DUMMYFUNCTION("""COMPUTED_VALUE"""),2404.0)</f>
        <v>2404</v>
      </c>
      <c r="B1869" s="13">
        <f>IFERROR(__xludf.DUMMYFUNCTION("""COMPUTED_VALUE"""),45570.0)</f>
        <v>45570</v>
      </c>
      <c r="C1869" s="12">
        <f>IFERROR(__xludf.DUMMYFUNCTION("""COMPUTED_VALUE"""),97.0)</f>
        <v>97</v>
      </c>
      <c r="D1869" s="12">
        <f>IFERROR(__xludf.DUMMYFUNCTION("""COMPUTED_VALUE"""),1.0)</f>
        <v>1</v>
      </c>
      <c r="E1869" s="12">
        <f>IFERROR(__xludf.DUMMYFUNCTION("""COMPUTED_VALUE"""),4.0)</f>
        <v>4</v>
      </c>
      <c r="F1869" s="12">
        <f>IFERROR(__xludf.DUMMYFUNCTION("""COMPUTED_VALUE"""),5.0)</f>
        <v>5</v>
      </c>
      <c r="G1869" s="15" t="str">
        <f>IFERROR(__xludf.DUMMYFUNCTION("""COMPUTED_VALUE"""),"Completa")</f>
        <v>Completa</v>
      </c>
      <c r="H1869" s="16" t="str">
        <f t="array" ref="H1869">_xlfn.XLOOKUP(D1869,Productos[ID_Producto],Productos[Nombre_Producto])</f>
        <v>Leche</v>
      </c>
      <c r="I1869" s="17">
        <f t="array" ref="I1869">_xlfn.XLOOKUP(D1869,Productos[ID_Producto],Productos[Precio_Unitario])</f>
        <v>12.24</v>
      </c>
      <c r="J1869" s="17">
        <f t="shared" si="1"/>
        <v>48.96</v>
      </c>
      <c r="K1869" s="16" t="str">
        <f t="array" ref="K1869">_xlfn.XLOOKUP(C1869,Clientes[ID_Cliente],Clientes[Provincia])</f>
        <v>Buenos Aires</v>
      </c>
      <c r="L1869" s="16" t="str">
        <f t="array" ref="L1869">CONCATENATE(_xlfn.XLOOKUP(C1869,Clientes[ID_Cliente],Clientes[Provincia]),", Argentina")</f>
        <v>Buenos Aires, Argentina</v>
      </c>
      <c r="M1869" s="20" t="str">
        <f t="array" ref="M1869">_xlfn.XLOOKUP(F1869,Metodos_De_Pago[ID_Metodo],Metodos_De_Pago[Metodo])</f>
        <v>Transferencia</v>
      </c>
      <c r="N1869" s="20" t="str">
        <f t="shared" si="2"/>
        <v>2024 10</v>
      </c>
    </row>
    <row r="1870" ht="22.5" customHeight="1">
      <c r="A1870" s="12">
        <f>IFERROR(__xludf.DUMMYFUNCTION("""COMPUTED_VALUE"""),2690.0)</f>
        <v>2690</v>
      </c>
      <c r="B1870" s="13">
        <f>IFERROR(__xludf.DUMMYFUNCTION("""COMPUTED_VALUE"""),45570.0)</f>
        <v>45570</v>
      </c>
      <c r="C1870" s="12">
        <f>IFERROR(__xludf.DUMMYFUNCTION("""COMPUTED_VALUE"""),263.0)</f>
        <v>263</v>
      </c>
      <c r="D1870" s="12">
        <f>IFERROR(__xludf.DUMMYFUNCTION("""COMPUTED_VALUE"""),18.0)</f>
        <v>18</v>
      </c>
      <c r="E1870" s="12">
        <f>IFERROR(__xludf.DUMMYFUNCTION("""COMPUTED_VALUE"""),4.0)</f>
        <v>4</v>
      </c>
      <c r="F1870" s="12">
        <f>IFERROR(__xludf.DUMMYFUNCTION("""COMPUTED_VALUE"""),5.0)</f>
        <v>5</v>
      </c>
      <c r="G1870" s="15" t="str">
        <f>IFERROR(__xludf.DUMMYFUNCTION("""COMPUTED_VALUE"""),"Completa")</f>
        <v>Completa</v>
      </c>
      <c r="H1870" s="16" t="str">
        <f t="array" ref="H1870">_xlfn.XLOOKUP(D1870,Productos[ID_Producto],Productos[Nombre_Producto])</f>
        <v>Bananas</v>
      </c>
      <c r="I1870" s="17">
        <f t="array" ref="I1870">_xlfn.XLOOKUP(D1870,Productos[ID_Producto],Productos[Precio_Unitario])</f>
        <v>7.25</v>
      </c>
      <c r="J1870" s="17">
        <f t="shared" si="1"/>
        <v>29</v>
      </c>
      <c r="K1870" s="16" t="str">
        <f t="array" ref="K1870">_xlfn.XLOOKUP(C1870,Clientes[ID_Cliente],Clientes[Provincia])</f>
        <v>Buenos Aires</v>
      </c>
      <c r="L1870" s="16" t="str">
        <f t="array" ref="L1870">CONCATENATE(_xlfn.XLOOKUP(C1870,Clientes[ID_Cliente],Clientes[Provincia]),", Argentina")</f>
        <v>Buenos Aires, Argentina</v>
      </c>
      <c r="M1870" s="20" t="str">
        <f t="array" ref="M1870">_xlfn.XLOOKUP(F1870,Metodos_De_Pago[ID_Metodo],Metodos_De_Pago[Metodo])</f>
        <v>Transferencia</v>
      </c>
      <c r="N1870" s="20" t="str">
        <f t="shared" si="2"/>
        <v>2024 10</v>
      </c>
    </row>
    <row r="1871" ht="22.5" customHeight="1">
      <c r="A1871" s="12">
        <f>IFERROR(__xludf.DUMMYFUNCTION("""COMPUTED_VALUE"""),964.0)</f>
        <v>964</v>
      </c>
      <c r="B1871" s="13">
        <f>IFERROR(__xludf.DUMMYFUNCTION("""COMPUTED_VALUE"""),45571.0)</f>
        <v>45571</v>
      </c>
      <c r="C1871" s="12">
        <f>IFERROR(__xludf.DUMMYFUNCTION("""COMPUTED_VALUE"""),220.0)</f>
        <v>220</v>
      </c>
      <c r="D1871" s="12">
        <f>IFERROR(__xludf.DUMMYFUNCTION("""COMPUTED_VALUE"""),18.0)</f>
        <v>18</v>
      </c>
      <c r="E1871" s="12">
        <f>IFERROR(__xludf.DUMMYFUNCTION("""COMPUTED_VALUE"""),4.0)</f>
        <v>4</v>
      </c>
      <c r="F1871" s="12">
        <f>IFERROR(__xludf.DUMMYFUNCTION("""COMPUTED_VALUE"""),4.0)</f>
        <v>4</v>
      </c>
      <c r="G1871" s="15" t="str">
        <f>IFERROR(__xludf.DUMMYFUNCTION("""COMPUTED_VALUE"""),"Completa")</f>
        <v>Completa</v>
      </c>
      <c r="H1871" s="16" t="str">
        <f t="array" ref="H1871">_xlfn.XLOOKUP(D1871,Productos[ID_Producto],Productos[Nombre_Producto])</f>
        <v>Bananas</v>
      </c>
      <c r="I1871" s="17">
        <f t="array" ref="I1871">_xlfn.XLOOKUP(D1871,Productos[ID_Producto],Productos[Precio_Unitario])</f>
        <v>7.25</v>
      </c>
      <c r="J1871" s="17">
        <f t="shared" si="1"/>
        <v>29</v>
      </c>
      <c r="K1871" s="16" t="str">
        <f t="array" ref="K1871">_xlfn.XLOOKUP(C1871,Clientes[ID_Cliente],Clientes[Provincia])</f>
        <v>Córdoba</v>
      </c>
      <c r="L1871" s="16" t="str">
        <f t="array" ref="L1871">CONCATENATE(_xlfn.XLOOKUP(C1871,Clientes[ID_Cliente],Clientes[Provincia]),", Argentina")</f>
        <v>Córdoba, Argentina</v>
      </c>
      <c r="M1871" s="20" t="str">
        <f t="array" ref="M1871">_xlfn.XLOOKUP(F1871,Metodos_De_Pago[ID_Metodo],Metodos_De_Pago[Metodo])</f>
        <v>Mercado Pago</v>
      </c>
      <c r="N1871" s="20" t="str">
        <f t="shared" si="2"/>
        <v>2024 10</v>
      </c>
    </row>
    <row r="1872" ht="22.5" customHeight="1">
      <c r="A1872" s="12">
        <f>IFERROR(__xludf.DUMMYFUNCTION("""COMPUTED_VALUE"""),1360.0)</f>
        <v>1360</v>
      </c>
      <c r="B1872" s="13">
        <f>IFERROR(__xludf.DUMMYFUNCTION("""COMPUTED_VALUE"""),45572.0)</f>
        <v>45572</v>
      </c>
      <c r="C1872" s="12">
        <f>IFERROR(__xludf.DUMMYFUNCTION("""COMPUTED_VALUE"""),177.0)</f>
        <v>177</v>
      </c>
      <c r="D1872" s="12">
        <f>IFERROR(__xludf.DUMMYFUNCTION("""COMPUTED_VALUE"""),37.0)</f>
        <v>37</v>
      </c>
      <c r="E1872" s="12">
        <f>IFERROR(__xludf.DUMMYFUNCTION("""COMPUTED_VALUE"""),4.0)</f>
        <v>4</v>
      </c>
      <c r="F1872" s="12">
        <f>IFERROR(__xludf.DUMMYFUNCTION("""COMPUTED_VALUE"""),3.0)</f>
        <v>3</v>
      </c>
      <c r="G1872" s="15" t="str">
        <f>IFERROR(__xludf.DUMMYFUNCTION("""COMPUTED_VALUE"""),"Completa")</f>
        <v>Completa</v>
      </c>
      <c r="H1872" s="16" t="str">
        <f t="array" ref="H1872">_xlfn.XLOOKUP(D1872,Productos[ID_Producto],Productos[Nombre_Producto])</f>
        <v>Garbanzos</v>
      </c>
      <c r="I1872" s="17">
        <f t="array" ref="I1872">_xlfn.XLOOKUP(D1872,Productos[ID_Producto],Productos[Precio_Unitario])</f>
        <v>3.65</v>
      </c>
      <c r="J1872" s="17">
        <f t="shared" si="1"/>
        <v>14.6</v>
      </c>
      <c r="K1872" s="16" t="str">
        <f t="array" ref="K1872">_xlfn.XLOOKUP(C1872,Clientes[ID_Cliente],Clientes[Provincia])</f>
        <v>Chaco</v>
      </c>
      <c r="L1872" s="16" t="str">
        <f t="array" ref="L1872">CONCATENATE(_xlfn.XLOOKUP(C1872,Clientes[ID_Cliente],Clientes[Provincia]),", Argentina")</f>
        <v>Chaco, Argentina</v>
      </c>
      <c r="M1872" s="20" t="str">
        <f t="array" ref="M1872">_xlfn.XLOOKUP(F1872,Metodos_De_Pago[ID_Metodo],Metodos_De_Pago[Metodo])</f>
        <v>Tarjeta de Débito</v>
      </c>
      <c r="N1872" s="20" t="str">
        <f t="shared" si="2"/>
        <v>2024 10</v>
      </c>
    </row>
    <row r="1873" ht="22.5" customHeight="1">
      <c r="A1873" s="12">
        <f>IFERROR(__xludf.DUMMYFUNCTION("""COMPUTED_VALUE"""),2569.0)</f>
        <v>2569</v>
      </c>
      <c r="B1873" s="13">
        <f>IFERROR(__xludf.DUMMYFUNCTION("""COMPUTED_VALUE"""),45572.0)</f>
        <v>45572</v>
      </c>
      <c r="C1873" s="12">
        <f>IFERROR(__xludf.DUMMYFUNCTION("""COMPUTED_VALUE"""),177.0)</f>
        <v>177</v>
      </c>
      <c r="D1873" s="12">
        <f>IFERROR(__xludf.DUMMYFUNCTION("""COMPUTED_VALUE"""),32.0)</f>
        <v>32</v>
      </c>
      <c r="E1873" s="12">
        <f>IFERROR(__xludf.DUMMYFUNCTION("""COMPUTED_VALUE"""),4.0)</f>
        <v>4</v>
      </c>
      <c r="F1873" s="12">
        <f>IFERROR(__xludf.DUMMYFUNCTION("""COMPUTED_VALUE"""),4.0)</f>
        <v>4</v>
      </c>
      <c r="G1873" s="15" t="str">
        <f>IFERROR(__xludf.DUMMYFUNCTION("""COMPUTED_VALUE"""),"Completa")</f>
        <v>Completa</v>
      </c>
      <c r="H1873" s="16" t="str">
        <f t="array" ref="H1873">_xlfn.XLOOKUP(D1873,Productos[ID_Producto],Productos[Nombre_Producto])</f>
        <v>Galletitas de chocolate</v>
      </c>
      <c r="I1873" s="17">
        <f t="array" ref="I1873">_xlfn.XLOOKUP(D1873,Productos[ID_Producto],Productos[Precio_Unitario])</f>
        <v>6.25</v>
      </c>
      <c r="J1873" s="17">
        <f t="shared" si="1"/>
        <v>25</v>
      </c>
      <c r="K1873" s="16" t="str">
        <f t="array" ref="K1873">_xlfn.XLOOKUP(C1873,Clientes[ID_Cliente],Clientes[Provincia])</f>
        <v>Chaco</v>
      </c>
      <c r="L1873" s="16" t="str">
        <f t="array" ref="L1873">CONCATENATE(_xlfn.XLOOKUP(C1873,Clientes[ID_Cliente],Clientes[Provincia]),", Argentina")</f>
        <v>Chaco, Argentina</v>
      </c>
      <c r="M1873" s="20" t="str">
        <f t="array" ref="M1873">_xlfn.XLOOKUP(F1873,Metodos_De_Pago[ID_Metodo],Metodos_De_Pago[Metodo])</f>
        <v>Mercado Pago</v>
      </c>
      <c r="N1873" s="20" t="str">
        <f t="shared" si="2"/>
        <v>2024 10</v>
      </c>
    </row>
    <row r="1874" ht="22.5" customHeight="1">
      <c r="A1874" s="12">
        <f>IFERROR(__xludf.DUMMYFUNCTION("""COMPUTED_VALUE"""),2853.0)</f>
        <v>2853</v>
      </c>
      <c r="B1874" s="13">
        <f>IFERROR(__xludf.DUMMYFUNCTION("""COMPUTED_VALUE"""),45572.0)</f>
        <v>45572</v>
      </c>
      <c r="C1874" s="12">
        <f>IFERROR(__xludf.DUMMYFUNCTION("""COMPUTED_VALUE"""),259.0)</f>
        <v>259</v>
      </c>
      <c r="D1874" s="12">
        <f>IFERROR(__xludf.DUMMYFUNCTION("""COMPUTED_VALUE"""),25.0)</f>
        <v>25</v>
      </c>
      <c r="E1874" s="12">
        <f>IFERROR(__xludf.DUMMYFUNCTION("""COMPUTED_VALUE"""),4.0)</f>
        <v>4</v>
      </c>
      <c r="F1874" s="12">
        <f>IFERROR(__xludf.DUMMYFUNCTION("""COMPUTED_VALUE"""),2.0)</f>
        <v>2</v>
      </c>
      <c r="G1874" s="15" t="str">
        <f>IFERROR(__xludf.DUMMYFUNCTION("""COMPUTED_VALUE"""),"Completa")</f>
        <v>Completa</v>
      </c>
      <c r="H1874" s="16" t="str">
        <f t="array" ref="H1874">_xlfn.XLOOKUP(D1874,Productos[ID_Producto],Productos[Nombre_Producto])</f>
        <v>Pizza congelada</v>
      </c>
      <c r="I1874" s="17">
        <f t="array" ref="I1874">_xlfn.XLOOKUP(D1874,Productos[ID_Producto],Productos[Precio_Unitario])</f>
        <v>15.45</v>
      </c>
      <c r="J1874" s="17">
        <f t="shared" si="1"/>
        <v>61.8</v>
      </c>
      <c r="K1874" s="16" t="str">
        <f t="array" ref="K1874">_xlfn.XLOOKUP(C1874,Clientes[ID_Cliente],Clientes[Provincia])</f>
        <v>San Luis</v>
      </c>
      <c r="L1874" s="16" t="str">
        <f t="array" ref="L1874">CONCATENATE(_xlfn.XLOOKUP(C1874,Clientes[ID_Cliente],Clientes[Provincia]),", Argentina")</f>
        <v>San Luis, Argentina</v>
      </c>
      <c r="M1874" s="20" t="str">
        <f t="array" ref="M1874">_xlfn.XLOOKUP(F1874,Metodos_De_Pago[ID_Metodo],Metodos_De_Pago[Metodo])</f>
        <v>Tarjeta de Crédito</v>
      </c>
      <c r="N1874" s="20" t="str">
        <f t="shared" si="2"/>
        <v>2024 10</v>
      </c>
    </row>
    <row r="1875" ht="22.5" customHeight="1">
      <c r="A1875" s="12">
        <f>IFERROR(__xludf.DUMMYFUNCTION("""COMPUTED_VALUE"""),2910.0)</f>
        <v>2910</v>
      </c>
      <c r="B1875" s="13">
        <f>IFERROR(__xludf.DUMMYFUNCTION("""COMPUTED_VALUE"""),45573.0)</f>
        <v>45573</v>
      </c>
      <c r="C1875" s="12">
        <f>IFERROR(__xludf.DUMMYFUNCTION("""COMPUTED_VALUE"""),77.0)</f>
        <v>77</v>
      </c>
      <c r="D1875" s="12">
        <f>IFERROR(__xludf.DUMMYFUNCTION("""COMPUTED_VALUE"""),34.0)</f>
        <v>34</v>
      </c>
      <c r="E1875" s="12">
        <f>IFERROR(__xludf.DUMMYFUNCTION("""COMPUTED_VALUE"""),4.0)</f>
        <v>4</v>
      </c>
      <c r="F1875" s="12">
        <f>IFERROR(__xludf.DUMMYFUNCTION("""COMPUTED_VALUE"""),1.0)</f>
        <v>1</v>
      </c>
      <c r="G1875" s="15" t="str">
        <f>IFERROR(__xludf.DUMMYFUNCTION("""COMPUTED_VALUE"""),"Completa")</f>
        <v>Completa</v>
      </c>
      <c r="H1875" s="16" t="str">
        <f t="array" ref="H1875">_xlfn.XLOOKUP(D1875,Productos[ID_Producto],Productos[Nombre_Producto])</f>
        <v>Maníes</v>
      </c>
      <c r="I1875" s="17">
        <f t="array" ref="I1875">_xlfn.XLOOKUP(D1875,Productos[ID_Producto],Productos[Precio_Unitario])</f>
        <v>5.45</v>
      </c>
      <c r="J1875" s="17">
        <f t="shared" si="1"/>
        <v>21.8</v>
      </c>
      <c r="K1875" s="16" t="str">
        <f t="array" ref="K1875">_xlfn.XLOOKUP(C1875,Clientes[ID_Cliente],Clientes[Provincia])</f>
        <v>Buenos Aires</v>
      </c>
      <c r="L1875" s="16" t="str">
        <f t="array" ref="L1875">CONCATENATE(_xlfn.XLOOKUP(C1875,Clientes[ID_Cliente],Clientes[Provincia]),", Argentina")</f>
        <v>Buenos Aires, Argentina</v>
      </c>
      <c r="M1875" s="20" t="str">
        <f t="array" ref="M1875">_xlfn.XLOOKUP(F1875,Metodos_De_Pago[ID_Metodo],Metodos_De_Pago[Metodo])</f>
        <v>Efectivo</v>
      </c>
      <c r="N1875" s="20" t="str">
        <f t="shared" si="2"/>
        <v>2024 10</v>
      </c>
    </row>
    <row r="1876" ht="22.5" customHeight="1">
      <c r="A1876" s="12">
        <f>IFERROR(__xludf.DUMMYFUNCTION("""COMPUTED_VALUE"""),712.0)</f>
        <v>712</v>
      </c>
      <c r="B1876" s="13">
        <f>IFERROR(__xludf.DUMMYFUNCTION("""COMPUTED_VALUE"""),45574.0)</f>
        <v>45574</v>
      </c>
      <c r="C1876" s="12">
        <f>IFERROR(__xludf.DUMMYFUNCTION("""COMPUTED_VALUE"""),247.0)</f>
        <v>247</v>
      </c>
      <c r="D1876" s="12">
        <f>IFERROR(__xludf.DUMMYFUNCTION("""COMPUTED_VALUE"""),15.0)</f>
        <v>15</v>
      </c>
      <c r="E1876" s="12">
        <f>IFERROR(__xludf.DUMMYFUNCTION("""COMPUTED_VALUE"""),4.0)</f>
        <v>4</v>
      </c>
      <c r="F1876" s="12">
        <f>IFERROR(__xludf.DUMMYFUNCTION("""COMPUTED_VALUE"""),1.0)</f>
        <v>1</v>
      </c>
      <c r="G1876" s="15" t="str">
        <f>IFERROR(__xludf.DUMMYFUNCTION("""COMPUTED_VALUE"""),"Completa")</f>
        <v>Completa</v>
      </c>
      <c r="H1876" s="16" t="str">
        <f t="array" ref="H1876">_xlfn.XLOOKUP(D1876,Productos[ID_Producto],Productos[Nombre_Producto])</f>
        <v>Medialunas</v>
      </c>
      <c r="I1876" s="17">
        <f t="array" ref="I1876">_xlfn.XLOOKUP(D1876,Productos[ID_Producto],Productos[Precio_Unitario])</f>
        <v>3.51</v>
      </c>
      <c r="J1876" s="17">
        <f t="shared" si="1"/>
        <v>14.04</v>
      </c>
      <c r="K1876" s="16" t="str">
        <f t="array" ref="K1876">_xlfn.XLOOKUP(C1876,Clientes[ID_Cliente],Clientes[Provincia])</f>
        <v>Buenos Aires</v>
      </c>
      <c r="L1876" s="16" t="str">
        <f t="array" ref="L1876">CONCATENATE(_xlfn.XLOOKUP(C1876,Clientes[ID_Cliente],Clientes[Provincia]),", Argentina")</f>
        <v>Buenos Aires, Argentina</v>
      </c>
      <c r="M1876" s="20" t="str">
        <f t="array" ref="M1876">_xlfn.XLOOKUP(F1876,Metodos_De_Pago[ID_Metodo],Metodos_De_Pago[Metodo])</f>
        <v>Efectivo</v>
      </c>
      <c r="N1876" s="20" t="str">
        <f t="shared" si="2"/>
        <v>2024 10</v>
      </c>
    </row>
    <row r="1877" ht="22.5" customHeight="1">
      <c r="A1877" s="12">
        <f>IFERROR(__xludf.DUMMYFUNCTION("""COMPUTED_VALUE"""),2919.0)</f>
        <v>2919</v>
      </c>
      <c r="B1877" s="13">
        <f>IFERROR(__xludf.DUMMYFUNCTION("""COMPUTED_VALUE"""),45574.0)</f>
        <v>45574</v>
      </c>
      <c r="C1877" s="12">
        <f>IFERROR(__xludf.DUMMYFUNCTION("""COMPUTED_VALUE"""),238.0)</f>
        <v>238</v>
      </c>
      <c r="D1877" s="12">
        <f>IFERROR(__xludf.DUMMYFUNCTION("""COMPUTED_VALUE"""),32.0)</f>
        <v>32</v>
      </c>
      <c r="E1877" s="12">
        <f>IFERROR(__xludf.DUMMYFUNCTION("""COMPUTED_VALUE"""),4.0)</f>
        <v>4</v>
      </c>
      <c r="F1877" s="12">
        <f>IFERROR(__xludf.DUMMYFUNCTION("""COMPUTED_VALUE"""),5.0)</f>
        <v>5</v>
      </c>
      <c r="G1877" s="15" t="str">
        <f>IFERROR(__xludf.DUMMYFUNCTION("""COMPUTED_VALUE"""),"Completa")</f>
        <v>Completa</v>
      </c>
      <c r="H1877" s="16" t="str">
        <f t="array" ref="H1877">_xlfn.XLOOKUP(D1877,Productos[ID_Producto],Productos[Nombre_Producto])</f>
        <v>Galletitas de chocolate</v>
      </c>
      <c r="I1877" s="17">
        <f t="array" ref="I1877">_xlfn.XLOOKUP(D1877,Productos[ID_Producto],Productos[Precio_Unitario])</f>
        <v>6.25</v>
      </c>
      <c r="J1877" s="17">
        <f t="shared" si="1"/>
        <v>25</v>
      </c>
      <c r="K1877" s="16" t="str">
        <f t="array" ref="K1877">_xlfn.XLOOKUP(C1877,Clientes[ID_Cliente],Clientes[Provincia])</f>
        <v>Buenos Aires</v>
      </c>
      <c r="L1877" s="16" t="str">
        <f t="array" ref="L1877">CONCATENATE(_xlfn.XLOOKUP(C1877,Clientes[ID_Cliente],Clientes[Provincia]),", Argentina")</f>
        <v>Buenos Aires, Argentina</v>
      </c>
      <c r="M1877" s="20" t="str">
        <f t="array" ref="M1877">_xlfn.XLOOKUP(F1877,Metodos_De_Pago[ID_Metodo],Metodos_De_Pago[Metodo])</f>
        <v>Transferencia</v>
      </c>
      <c r="N1877" s="20" t="str">
        <f t="shared" si="2"/>
        <v>2024 10</v>
      </c>
    </row>
    <row r="1878" ht="22.5" customHeight="1">
      <c r="A1878" s="12">
        <f>IFERROR(__xludf.DUMMYFUNCTION("""COMPUTED_VALUE"""),541.0)</f>
        <v>541</v>
      </c>
      <c r="B1878" s="13">
        <f>IFERROR(__xludf.DUMMYFUNCTION("""COMPUTED_VALUE"""),45575.0)</f>
        <v>45575</v>
      </c>
      <c r="C1878" s="12">
        <f>IFERROR(__xludf.DUMMYFUNCTION("""COMPUTED_VALUE"""),106.0)</f>
        <v>106</v>
      </c>
      <c r="D1878" s="12">
        <f>IFERROR(__xludf.DUMMYFUNCTION("""COMPUTED_VALUE"""),21.0)</f>
        <v>21</v>
      </c>
      <c r="E1878" s="12">
        <f>IFERROR(__xludf.DUMMYFUNCTION("""COMPUTED_VALUE"""),4.0)</f>
        <v>4</v>
      </c>
      <c r="F1878" s="12">
        <f>IFERROR(__xludf.DUMMYFUNCTION("""COMPUTED_VALUE"""),1.0)</f>
        <v>1</v>
      </c>
      <c r="G1878" s="15" t="str">
        <f>IFERROR(__xludf.DUMMYFUNCTION("""COMPUTED_VALUE"""),"Completa")</f>
        <v>Completa</v>
      </c>
      <c r="H1878" s="16" t="str">
        <f t="array" ref="H1878">_xlfn.XLOOKUP(D1878,Productos[ID_Producto],Productos[Nombre_Producto])</f>
        <v>Zanahorias</v>
      </c>
      <c r="I1878" s="17">
        <f t="array" ref="I1878">_xlfn.XLOOKUP(D1878,Productos[ID_Producto],Productos[Precio_Unitario])</f>
        <v>3.25</v>
      </c>
      <c r="J1878" s="17">
        <f t="shared" si="1"/>
        <v>13</v>
      </c>
      <c r="K1878" s="16" t="str">
        <f t="array" ref="K1878">_xlfn.XLOOKUP(C1878,Clientes[ID_Cliente],Clientes[Provincia])</f>
        <v>Chaco</v>
      </c>
      <c r="L1878" s="16" t="str">
        <f t="array" ref="L1878">CONCATENATE(_xlfn.XLOOKUP(C1878,Clientes[ID_Cliente],Clientes[Provincia]),", Argentina")</f>
        <v>Chaco, Argentina</v>
      </c>
      <c r="M1878" s="20" t="str">
        <f t="array" ref="M1878">_xlfn.XLOOKUP(F1878,Metodos_De_Pago[ID_Metodo],Metodos_De_Pago[Metodo])</f>
        <v>Efectivo</v>
      </c>
      <c r="N1878" s="20" t="str">
        <f t="shared" si="2"/>
        <v>2024 10</v>
      </c>
    </row>
    <row r="1879" ht="22.5" customHeight="1">
      <c r="A1879" s="12">
        <f>IFERROR(__xludf.DUMMYFUNCTION("""COMPUTED_VALUE"""),1414.0)</f>
        <v>1414</v>
      </c>
      <c r="B1879" s="13">
        <f>IFERROR(__xludf.DUMMYFUNCTION("""COMPUTED_VALUE"""),45575.0)</f>
        <v>45575</v>
      </c>
      <c r="C1879" s="12">
        <f>IFERROR(__xludf.DUMMYFUNCTION("""COMPUTED_VALUE"""),248.0)</f>
        <v>248</v>
      </c>
      <c r="D1879" s="12">
        <f>IFERROR(__xludf.DUMMYFUNCTION("""COMPUTED_VALUE"""),24.0)</f>
        <v>24</v>
      </c>
      <c r="E1879" s="12">
        <f>IFERROR(__xludf.DUMMYFUNCTION("""COMPUTED_VALUE"""),4.0)</f>
        <v>4</v>
      </c>
      <c r="F1879" s="12">
        <f>IFERROR(__xludf.DUMMYFUNCTION("""COMPUTED_VALUE"""),5.0)</f>
        <v>5</v>
      </c>
      <c r="G1879" s="15" t="str">
        <f>IFERROR(__xludf.DUMMYFUNCTION("""COMPUTED_VALUE"""),"Pendiente")</f>
        <v>Pendiente</v>
      </c>
      <c r="H1879" s="16" t="str">
        <f t="array" ref="H1879">_xlfn.XLOOKUP(D1879,Productos[ID_Producto],Productos[Nombre_Producto])</f>
        <v>Empanadas</v>
      </c>
      <c r="I1879" s="17">
        <f t="array" ref="I1879">_xlfn.XLOOKUP(D1879,Productos[ID_Producto],Productos[Precio_Unitario])</f>
        <v>13.54</v>
      </c>
      <c r="J1879" s="17">
        <f t="shared" si="1"/>
        <v>54.16</v>
      </c>
      <c r="K1879" s="16" t="str">
        <f t="array" ref="K1879">_xlfn.XLOOKUP(C1879,Clientes[ID_Cliente],Clientes[Provincia])</f>
        <v>Córdoba</v>
      </c>
      <c r="L1879" s="16" t="str">
        <f t="array" ref="L1879">CONCATENATE(_xlfn.XLOOKUP(C1879,Clientes[ID_Cliente],Clientes[Provincia]),", Argentina")</f>
        <v>Córdoba, Argentina</v>
      </c>
      <c r="M1879" s="20" t="str">
        <f t="array" ref="M1879">_xlfn.XLOOKUP(F1879,Metodos_De_Pago[ID_Metodo],Metodos_De_Pago[Metodo])</f>
        <v>Transferencia</v>
      </c>
      <c r="N1879" s="20" t="str">
        <f t="shared" si="2"/>
        <v>2024 10</v>
      </c>
    </row>
    <row r="1880" ht="22.5" customHeight="1">
      <c r="A1880" s="12">
        <f>IFERROR(__xludf.DUMMYFUNCTION("""COMPUTED_VALUE"""),1748.0)</f>
        <v>1748</v>
      </c>
      <c r="B1880" s="13">
        <f>IFERROR(__xludf.DUMMYFUNCTION("""COMPUTED_VALUE"""),45577.0)</f>
        <v>45577</v>
      </c>
      <c r="C1880" s="12">
        <f>IFERROR(__xludf.DUMMYFUNCTION("""COMPUTED_VALUE"""),218.0)</f>
        <v>218</v>
      </c>
      <c r="D1880" s="12">
        <f>IFERROR(__xludf.DUMMYFUNCTION("""COMPUTED_VALUE"""),32.0)</f>
        <v>32</v>
      </c>
      <c r="E1880" s="12">
        <f>IFERROR(__xludf.DUMMYFUNCTION("""COMPUTED_VALUE"""),4.0)</f>
        <v>4</v>
      </c>
      <c r="F1880" s="12">
        <f>IFERROR(__xludf.DUMMYFUNCTION("""COMPUTED_VALUE"""),3.0)</f>
        <v>3</v>
      </c>
      <c r="G1880" s="15" t="str">
        <f>IFERROR(__xludf.DUMMYFUNCTION("""COMPUTED_VALUE"""),"Completa")</f>
        <v>Completa</v>
      </c>
      <c r="H1880" s="16" t="str">
        <f t="array" ref="H1880">_xlfn.XLOOKUP(D1880,Productos[ID_Producto],Productos[Nombre_Producto])</f>
        <v>Galletitas de chocolate</v>
      </c>
      <c r="I1880" s="17">
        <f t="array" ref="I1880">_xlfn.XLOOKUP(D1880,Productos[ID_Producto],Productos[Precio_Unitario])</f>
        <v>6.25</v>
      </c>
      <c r="J1880" s="17">
        <f t="shared" si="1"/>
        <v>25</v>
      </c>
      <c r="K1880" s="16" t="str">
        <f t="array" ref="K1880">_xlfn.XLOOKUP(C1880,Clientes[ID_Cliente],Clientes[Provincia])</f>
        <v>Córdoba</v>
      </c>
      <c r="L1880" s="16" t="str">
        <f t="array" ref="L1880">CONCATENATE(_xlfn.XLOOKUP(C1880,Clientes[ID_Cliente],Clientes[Provincia]),", Argentina")</f>
        <v>Córdoba, Argentina</v>
      </c>
      <c r="M1880" s="20" t="str">
        <f t="array" ref="M1880">_xlfn.XLOOKUP(F1880,Metodos_De_Pago[ID_Metodo],Metodos_De_Pago[Metodo])</f>
        <v>Tarjeta de Débito</v>
      </c>
      <c r="N1880" s="20" t="str">
        <f t="shared" si="2"/>
        <v>2024 10</v>
      </c>
    </row>
    <row r="1881" ht="22.5" customHeight="1">
      <c r="A1881" s="12">
        <f>IFERROR(__xludf.DUMMYFUNCTION("""COMPUTED_VALUE"""),2922.0)</f>
        <v>2922</v>
      </c>
      <c r="B1881" s="13">
        <f>IFERROR(__xludf.DUMMYFUNCTION("""COMPUTED_VALUE"""),45577.0)</f>
        <v>45577</v>
      </c>
      <c r="C1881" s="12">
        <f>IFERROR(__xludf.DUMMYFUNCTION("""COMPUTED_VALUE"""),230.0)</f>
        <v>230</v>
      </c>
      <c r="D1881" s="12">
        <f>IFERROR(__xludf.DUMMYFUNCTION("""COMPUTED_VALUE"""),22.0)</f>
        <v>22</v>
      </c>
      <c r="E1881" s="12">
        <f>IFERROR(__xludf.DUMMYFUNCTION("""COMPUTED_VALUE"""),4.0)</f>
        <v>4</v>
      </c>
      <c r="F1881" s="12">
        <f>IFERROR(__xludf.DUMMYFUNCTION("""COMPUTED_VALUE"""),1.0)</f>
        <v>1</v>
      </c>
      <c r="G1881" s="15" t="str">
        <f>IFERROR(__xludf.DUMMYFUNCTION("""COMPUTED_VALUE"""),"Completa")</f>
        <v>Completa</v>
      </c>
      <c r="H1881" s="16" t="str">
        <f t="array" ref="H1881">_xlfn.XLOOKUP(D1881,Productos[ID_Producto],Productos[Nombre_Producto])</f>
        <v>Cebolla</v>
      </c>
      <c r="I1881" s="17">
        <f t="array" ref="I1881">_xlfn.XLOOKUP(D1881,Productos[ID_Producto],Productos[Precio_Unitario])</f>
        <v>4.21</v>
      </c>
      <c r="J1881" s="17">
        <f t="shared" si="1"/>
        <v>16.84</v>
      </c>
      <c r="K1881" s="16" t="str">
        <f t="array" ref="K1881">_xlfn.XLOOKUP(C1881,Clientes[ID_Cliente],Clientes[Provincia])</f>
        <v>Córdoba</v>
      </c>
      <c r="L1881" s="16" t="str">
        <f t="array" ref="L1881">CONCATENATE(_xlfn.XLOOKUP(C1881,Clientes[ID_Cliente],Clientes[Provincia]),", Argentina")</f>
        <v>Córdoba, Argentina</v>
      </c>
      <c r="M1881" s="20" t="str">
        <f t="array" ref="M1881">_xlfn.XLOOKUP(F1881,Metodos_De_Pago[ID_Metodo],Metodos_De_Pago[Metodo])</f>
        <v>Efectivo</v>
      </c>
      <c r="N1881" s="20" t="str">
        <f t="shared" si="2"/>
        <v>2024 10</v>
      </c>
    </row>
    <row r="1882" ht="22.5" customHeight="1">
      <c r="A1882" s="12">
        <f>IFERROR(__xludf.DUMMYFUNCTION("""COMPUTED_VALUE"""),301.0)</f>
        <v>301</v>
      </c>
      <c r="B1882" s="13">
        <f>IFERROR(__xludf.DUMMYFUNCTION("""COMPUTED_VALUE"""),45578.0)</f>
        <v>45578</v>
      </c>
      <c r="C1882" s="12">
        <f>IFERROR(__xludf.DUMMYFUNCTION("""COMPUTED_VALUE"""),326.0)</f>
        <v>326</v>
      </c>
      <c r="D1882" s="12">
        <f>IFERROR(__xludf.DUMMYFUNCTION("""COMPUTED_VALUE"""),21.0)</f>
        <v>21</v>
      </c>
      <c r="E1882" s="12">
        <f>IFERROR(__xludf.DUMMYFUNCTION("""COMPUTED_VALUE"""),4.0)</f>
        <v>4</v>
      </c>
      <c r="F1882" s="12">
        <f>IFERROR(__xludf.DUMMYFUNCTION("""COMPUTED_VALUE"""),4.0)</f>
        <v>4</v>
      </c>
      <c r="G1882" s="15" t="str">
        <f>IFERROR(__xludf.DUMMYFUNCTION("""COMPUTED_VALUE"""),"Completa")</f>
        <v>Completa</v>
      </c>
      <c r="H1882" s="16" t="str">
        <f t="array" ref="H1882">_xlfn.XLOOKUP(D1882,Productos[ID_Producto],Productos[Nombre_Producto])</f>
        <v>Zanahorias</v>
      </c>
      <c r="I1882" s="17">
        <f t="array" ref="I1882">_xlfn.XLOOKUP(D1882,Productos[ID_Producto],Productos[Precio_Unitario])</f>
        <v>3.25</v>
      </c>
      <c r="J1882" s="17">
        <f t="shared" si="1"/>
        <v>13</v>
      </c>
      <c r="K1882" s="16" t="str">
        <f t="array" ref="K1882">_xlfn.XLOOKUP(C1882,Clientes[ID_Cliente],Clientes[Provincia])</f>
        <v>San Luis</v>
      </c>
      <c r="L1882" s="16" t="str">
        <f t="array" ref="L1882">CONCATENATE(_xlfn.XLOOKUP(C1882,Clientes[ID_Cliente],Clientes[Provincia]),", Argentina")</f>
        <v>San Luis, Argentina</v>
      </c>
      <c r="M1882" s="20" t="str">
        <f t="array" ref="M1882">_xlfn.XLOOKUP(F1882,Metodos_De_Pago[ID_Metodo],Metodos_De_Pago[Metodo])</f>
        <v>Mercado Pago</v>
      </c>
      <c r="N1882" s="20" t="str">
        <f t="shared" si="2"/>
        <v>2024 10</v>
      </c>
    </row>
    <row r="1883" ht="22.5" customHeight="1">
      <c r="A1883" s="12">
        <f>IFERROR(__xludf.DUMMYFUNCTION("""COMPUTED_VALUE"""),859.0)</f>
        <v>859</v>
      </c>
      <c r="B1883" s="13">
        <f>IFERROR(__xludf.DUMMYFUNCTION("""COMPUTED_VALUE"""),45578.0)</f>
        <v>45578</v>
      </c>
      <c r="C1883" s="12">
        <f>IFERROR(__xludf.DUMMYFUNCTION("""COMPUTED_VALUE"""),78.0)</f>
        <v>78</v>
      </c>
      <c r="D1883" s="12">
        <f>IFERROR(__xludf.DUMMYFUNCTION("""COMPUTED_VALUE"""),8.0)</f>
        <v>8</v>
      </c>
      <c r="E1883" s="12">
        <f>IFERROR(__xludf.DUMMYFUNCTION("""COMPUTED_VALUE"""),4.0)</f>
        <v>4</v>
      </c>
      <c r="F1883" s="12">
        <f>IFERROR(__xludf.DUMMYFUNCTION("""COMPUTED_VALUE"""),3.0)</f>
        <v>3</v>
      </c>
      <c r="G1883" s="15" t="str">
        <f>IFERROR(__xludf.DUMMYFUNCTION("""COMPUTED_VALUE"""),"Completa")</f>
        <v>Completa</v>
      </c>
      <c r="H1883" s="16" t="str">
        <f t="array" ref="H1883">_xlfn.XLOOKUP(D1883,Productos[ID_Producto],Productos[Nombre_Producto])</f>
        <v>Milanesa</v>
      </c>
      <c r="I1883" s="17">
        <f t="array" ref="I1883">_xlfn.XLOOKUP(D1883,Productos[ID_Producto],Productos[Precio_Unitario])</f>
        <v>16.21</v>
      </c>
      <c r="J1883" s="17">
        <f t="shared" si="1"/>
        <v>64.84</v>
      </c>
      <c r="K1883" s="16" t="str">
        <f t="array" ref="K1883">_xlfn.XLOOKUP(C1883,Clientes[ID_Cliente],Clientes[Provincia])</f>
        <v>Buenos Aires</v>
      </c>
      <c r="L1883" s="16" t="str">
        <f t="array" ref="L1883">CONCATENATE(_xlfn.XLOOKUP(C1883,Clientes[ID_Cliente],Clientes[Provincia]),", Argentina")</f>
        <v>Buenos Aires, Argentina</v>
      </c>
      <c r="M1883" s="20" t="str">
        <f t="array" ref="M1883">_xlfn.XLOOKUP(F1883,Metodos_De_Pago[ID_Metodo],Metodos_De_Pago[Metodo])</f>
        <v>Tarjeta de Débito</v>
      </c>
      <c r="N1883" s="20" t="str">
        <f t="shared" si="2"/>
        <v>2024 10</v>
      </c>
    </row>
    <row r="1884" ht="22.5" customHeight="1">
      <c r="A1884" s="12">
        <f>IFERROR(__xludf.DUMMYFUNCTION("""COMPUTED_VALUE"""),569.0)</f>
        <v>569</v>
      </c>
      <c r="B1884" s="13">
        <f>IFERROR(__xludf.DUMMYFUNCTION("""COMPUTED_VALUE"""),45580.0)</f>
        <v>45580</v>
      </c>
      <c r="C1884" s="12">
        <f>IFERROR(__xludf.DUMMYFUNCTION("""COMPUTED_VALUE"""),184.0)</f>
        <v>184</v>
      </c>
      <c r="D1884" s="12">
        <f>IFERROR(__xludf.DUMMYFUNCTION("""COMPUTED_VALUE"""),25.0)</f>
        <v>25</v>
      </c>
      <c r="E1884" s="12">
        <f>IFERROR(__xludf.DUMMYFUNCTION("""COMPUTED_VALUE"""),4.0)</f>
        <v>4</v>
      </c>
      <c r="F1884" s="12">
        <f>IFERROR(__xludf.DUMMYFUNCTION("""COMPUTED_VALUE"""),1.0)</f>
        <v>1</v>
      </c>
      <c r="G1884" s="15" t="str">
        <f>IFERROR(__xludf.DUMMYFUNCTION("""COMPUTED_VALUE"""),"Completa")</f>
        <v>Completa</v>
      </c>
      <c r="H1884" s="16" t="str">
        <f t="array" ref="H1884">_xlfn.XLOOKUP(D1884,Productos[ID_Producto],Productos[Nombre_Producto])</f>
        <v>Pizza congelada</v>
      </c>
      <c r="I1884" s="17">
        <f t="array" ref="I1884">_xlfn.XLOOKUP(D1884,Productos[ID_Producto],Productos[Precio_Unitario])</f>
        <v>15.45</v>
      </c>
      <c r="J1884" s="17">
        <f t="shared" si="1"/>
        <v>61.8</v>
      </c>
      <c r="K1884" s="16" t="str">
        <f t="array" ref="K1884">_xlfn.XLOOKUP(C1884,Clientes[ID_Cliente],Clientes[Provincia])</f>
        <v>Buenos Aires</v>
      </c>
      <c r="L1884" s="16" t="str">
        <f t="array" ref="L1884">CONCATENATE(_xlfn.XLOOKUP(C1884,Clientes[ID_Cliente],Clientes[Provincia]),", Argentina")</f>
        <v>Buenos Aires, Argentina</v>
      </c>
      <c r="M1884" s="20" t="str">
        <f t="array" ref="M1884">_xlfn.XLOOKUP(F1884,Metodos_De_Pago[ID_Metodo],Metodos_De_Pago[Metodo])</f>
        <v>Efectivo</v>
      </c>
      <c r="N1884" s="20" t="str">
        <f t="shared" si="2"/>
        <v>2024 10</v>
      </c>
    </row>
    <row r="1885" ht="22.5" customHeight="1">
      <c r="A1885" s="12">
        <f>IFERROR(__xludf.DUMMYFUNCTION("""COMPUTED_VALUE"""),1374.0)</f>
        <v>1374</v>
      </c>
      <c r="B1885" s="13">
        <f>IFERROR(__xludf.DUMMYFUNCTION("""COMPUTED_VALUE"""),45580.0)</f>
        <v>45580</v>
      </c>
      <c r="C1885" s="12">
        <f>IFERROR(__xludf.DUMMYFUNCTION("""COMPUTED_VALUE"""),21.0)</f>
        <v>21</v>
      </c>
      <c r="D1885" s="12">
        <f>IFERROR(__xludf.DUMMYFUNCTION("""COMPUTED_VALUE"""),38.0)</f>
        <v>38</v>
      </c>
      <c r="E1885" s="12">
        <f>IFERROR(__xludf.DUMMYFUNCTION("""COMPUTED_VALUE"""),4.0)</f>
        <v>4</v>
      </c>
      <c r="F1885" s="12">
        <f>IFERROR(__xludf.DUMMYFUNCTION("""COMPUTED_VALUE"""),3.0)</f>
        <v>3</v>
      </c>
      <c r="G1885" s="15" t="str">
        <f>IFERROR(__xludf.DUMMYFUNCTION("""COMPUTED_VALUE"""),"Completa")</f>
        <v>Completa</v>
      </c>
      <c r="H1885" s="16" t="str">
        <f t="array" ref="H1885">_xlfn.XLOOKUP(D1885,Productos[ID_Producto],Productos[Nombre_Producto])</f>
        <v>Atún enlatado</v>
      </c>
      <c r="I1885" s="17">
        <f t="array" ref="I1885">_xlfn.XLOOKUP(D1885,Productos[ID_Producto],Productos[Precio_Unitario])</f>
        <v>6.21</v>
      </c>
      <c r="J1885" s="17">
        <f t="shared" si="1"/>
        <v>24.84</v>
      </c>
      <c r="K1885" s="16" t="str">
        <f t="array" ref="K1885">_xlfn.XLOOKUP(C1885,Clientes[ID_Cliente],Clientes[Provincia])</f>
        <v>Buenos Aires</v>
      </c>
      <c r="L1885" s="16" t="str">
        <f t="array" ref="L1885">CONCATENATE(_xlfn.XLOOKUP(C1885,Clientes[ID_Cliente],Clientes[Provincia]),", Argentina")</f>
        <v>Buenos Aires, Argentina</v>
      </c>
      <c r="M1885" s="20" t="str">
        <f t="array" ref="M1885">_xlfn.XLOOKUP(F1885,Metodos_De_Pago[ID_Metodo],Metodos_De_Pago[Metodo])</f>
        <v>Tarjeta de Débito</v>
      </c>
      <c r="N1885" s="20" t="str">
        <f t="shared" si="2"/>
        <v>2024 10</v>
      </c>
    </row>
    <row r="1886" ht="22.5" customHeight="1">
      <c r="A1886" s="12">
        <f>IFERROR(__xludf.DUMMYFUNCTION("""COMPUTED_VALUE"""),605.0)</f>
        <v>605</v>
      </c>
      <c r="B1886" s="13">
        <f>IFERROR(__xludf.DUMMYFUNCTION("""COMPUTED_VALUE"""),45581.0)</f>
        <v>45581</v>
      </c>
      <c r="C1886" s="12">
        <f>IFERROR(__xludf.DUMMYFUNCTION("""COMPUTED_VALUE"""),299.0)</f>
        <v>299</v>
      </c>
      <c r="D1886" s="12">
        <f>IFERROR(__xludf.DUMMYFUNCTION("""COMPUTED_VALUE"""),5.0)</f>
        <v>5</v>
      </c>
      <c r="E1886" s="12">
        <f>IFERROR(__xludf.DUMMYFUNCTION("""COMPUTED_VALUE"""),4.0)</f>
        <v>4</v>
      </c>
      <c r="F1886" s="12">
        <f>IFERROR(__xludf.DUMMYFUNCTION("""COMPUTED_VALUE"""),1.0)</f>
        <v>1</v>
      </c>
      <c r="G1886" s="15" t="str">
        <f>IFERROR(__xludf.DUMMYFUNCTION("""COMPUTED_VALUE"""),"Completa")</f>
        <v>Completa</v>
      </c>
      <c r="H1886" s="16" t="str">
        <f t="array" ref="H1886">_xlfn.XLOOKUP(D1886,Productos[ID_Producto],Productos[Nombre_Producto])</f>
        <v>Manteca</v>
      </c>
      <c r="I1886" s="17">
        <f t="array" ref="I1886">_xlfn.XLOOKUP(D1886,Productos[ID_Producto],Productos[Precio_Unitario])</f>
        <v>5.65</v>
      </c>
      <c r="J1886" s="17">
        <f t="shared" si="1"/>
        <v>22.6</v>
      </c>
      <c r="K1886" s="16" t="str">
        <f t="array" ref="K1886">_xlfn.XLOOKUP(C1886,Clientes[ID_Cliente],Clientes[Provincia])</f>
        <v>San Luis</v>
      </c>
      <c r="L1886" s="16" t="str">
        <f t="array" ref="L1886">CONCATENATE(_xlfn.XLOOKUP(C1886,Clientes[ID_Cliente],Clientes[Provincia]),", Argentina")</f>
        <v>San Luis, Argentina</v>
      </c>
      <c r="M1886" s="20" t="str">
        <f t="array" ref="M1886">_xlfn.XLOOKUP(F1886,Metodos_De_Pago[ID_Metodo],Metodos_De_Pago[Metodo])</f>
        <v>Efectivo</v>
      </c>
      <c r="N1886" s="20" t="str">
        <f t="shared" si="2"/>
        <v>2024 10</v>
      </c>
    </row>
    <row r="1887" ht="22.5" customHeight="1">
      <c r="A1887" s="12">
        <f>IFERROR(__xludf.DUMMYFUNCTION("""COMPUTED_VALUE"""),1392.0)</f>
        <v>1392</v>
      </c>
      <c r="B1887" s="13">
        <f>IFERROR(__xludf.DUMMYFUNCTION("""COMPUTED_VALUE"""),45581.0)</f>
        <v>45581</v>
      </c>
      <c r="C1887" s="12">
        <f>IFERROR(__xludf.DUMMYFUNCTION("""COMPUTED_VALUE"""),49.0)</f>
        <v>49</v>
      </c>
      <c r="D1887" s="12">
        <f>IFERROR(__xludf.DUMMYFUNCTION("""COMPUTED_VALUE"""),28.0)</f>
        <v>28</v>
      </c>
      <c r="E1887" s="12">
        <f>IFERROR(__xludf.DUMMYFUNCTION("""COMPUTED_VALUE"""),4.0)</f>
        <v>4</v>
      </c>
      <c r="F1887" s="12">
        <f>IFERROR(__xludf.DUMMYFUNCTION("""COMPUTED_VALUE"""),3.0)</f>
        <v>3</v>
      </c>
      <c r="G1887" s="15" t="str">
        <f>IFERROR(__xludf.DUMMYFUNCTION("""COMPUTED_VALUE"""),"Completa")</f>
        <v>Completa</v>
      </c>
      <c r="H1887" s="16" t="str">
        <f t="array" ref="H1887">_xlfn.XLOOKUP(D1887,Productos[ID_Producto],Productos[Nombre_Producto])</f>
        <v>Jugos de frutas</v>
      </c>
      <c r="I1887" s="17">
        <f t="array" ref="I1887">_xlfn.XLOOKUP(D1887,Productos[ID_Producto],Productos[Precio_Unitario])</f>
        <v>9.45</v>
      </c>
      <c r="J1887" s="17">
        <f t="shared" si="1"/>
        <v>37.8</v>
      </c>
      <c r="K1887" s="16" t="str">
        <f t="array" ref="K1887">_xlfn.XLOOKUP(C1887,Clientes[ID_Cliente],Clientes[Provincia])</f>
        <v>Buenos Aires</v>
      </c>
      <c r="L1887" s="16" t="str">
        <f t="array" ref="L1887">CONCATENATE(_xlfn.XLOOKUP(C1887,Clientes[ID_Cliente],Clientes[Provincia]),", Argentina")</f>
        <v>Buenos Aires, Argentina</v>
      </c>
      <c r="M1887" s="20" t="str">
        <f t="array" ref="M1887">_xlfn.XLOOKUP(F1887,Metodos_De_Pago[ID_Metodo],Metodos_De_Pago[Metodo])</f>
        <v>Tarjeta de Débito</v>
      </c>
      <c r="N1887" s="20" t="str">
        <f t="shared" si="2"/>
        <v>2024 10</v>
      </c>
    </row>
    <row r="1888" ht="22.5" customHeight="1">
      <c r="A1888" s="12">
        <f>IFERROR(__xludf.DUMMYFUNCTION("""COMPUTED_VALUE"""),1453.0)</f>
        <v>1453</v>
      </c>
      <c r="B1888" s="13">
        <f>IFERROR(__xludf.DUMMYFUNCTION("""COMPUTED_VALUE"""),45582.0)</f>
        <v>45582</v>
      </c>
      <c r="C1888" s="12">
        <f>IFERROR(__xludf.DUMMYFUNCTION("""COMPUTED_VALUE"""),275.0)</f>
        <v>275</v>
      </c>
      <c r="D1888" s="12">
        <f>IFERROR(__xludf.DUMMYFUNCTION("""COMPUTED_VALUE"""),25.0)</f>
        <v>25</v>
      </c>
      <c r="E1888" s="12">
        <f>IFERROR(__xludf.DUMMYFUNCTION("""COMPUTED_VALUE"""),4.0)</f>
        <v>4</v>
      </c>
      <c r="F1888" s="12">
        <f>IFERROR(__xludf.DUMMYFUNCTION("""COMPUTED_VALUE"""),5.0)</f>
        <v>5</v>
      </c>
      <c r="G1888" s="15" t="str">
        <f>IFERROR(__xludf.DUMMYFUNCTION("""COMPUTED_VALUE"""),"Completa")</f>
        <v>Completa</v>
      </c>
      <c r="H1888" s="16" t="str">
        <f t="array" ref="H1888">_xlfn.XLOOKUP(D1888,Productos[ID_Producto],Productos[Nombre_Producto])</f>
        <v>Pizza congelada</v>
      </c>
      <c r="I1888" s="17">
        <f t="array" ref="I1888">_xlfn.XLOOKUP(D1888,Productos[ID_Producto],Productos[Precio_Unitario])</f>
        <v>15.45</v>
      </c>
      <c r="J1888" s="17">
        <f t="shared" si="1"/>
        <v>61.8</v>
      </c>
      <c r="K1888" s="16" t="str">
        <f t="array" ref="K1888">_xlfn.XLOOKUP(C1888,Clientes[ID_Cliente],Clientes[Provincia])</f>
        <v>Buenos Aires</v>
      </c>
      <c r="L1888" s="16" t="str">
        <f t="array" ref="L1888">CONCATENATE(_xlfn.XLOOKUP(C1888,Clientes[ID_Cliente],Clientes[Provincia]),", Argentina")</f>
        <v>Buenos Aires, Argentina</v>
      </c>
      <c r="M1888" s="20" t="str">
        <f t="array" ref="M1888">_xlfn.XLOOKUP(F1888,Metodos_De_Pago[ID_Metodo],Metodos_De_Pago[Metodo])</f>
        <v>Transferencia</v>
      </c>
      <c r="N1888" s="20" t="str">
        <f t="shared" si="2"/>
        <v>2024 10</v>
      </c>
    </row>
    <row r="1889" ht="22.5" customHeight="1">
      <c r="A1889" s="12">
        <f>IFERROR(__xludf.DUMMYFUNCTION("""COMPUTED_VALUE"""),2739.0)</f>
        <v>2739</v>
      </c>
      <c r="B1889" s="13">
        <f>IFERROR(__xludf.DUMMYFUNCTION("""COMPUTED_VALUE"""),45583.0)</f>
        <v>45583</v>
      </c>
      <c r="C1889" s="12">
        <f>IFERROR(__xludf.DUMMYFUNCTION("""COMPUTED_VALUE"""),6.0)</f>
        <v>6</v>
      </c>
      <c r="D1889" s="12">
        <f>IFERROR(__xludf.DUMMYFUNCTION("""COMPUTED_VALUE"""),1.0)</f>
        <v>1</v>
      </c>
      <c r="E1889" s="12">
        <f>IFERROR(__xludf.DUMMYFUNCTION("""COMPUTED_VALUE"""),4.0)</f>
        <v>4</v>
      </c>
      <c r="F1889" s="12">
        <f>IFERROR(__xludf.DUMMYFUNCTION("""COMPUTED_VALUE"""),5.0)</f>
        <v>5</v>
      </c>
      <c r="G1889" s="15" t="str">
        <f>IFERROR(__xludf.DUMMYFUNCTION("""COMPUTED_VALUE"""),"Completa")</f>
        <v>Completa</v>
      </c>
      <c r="H1889" s="16" t="str">
        <f t="array" ref="H1889">_xlfn.XLOOKUP(D1889,Productos[ID_Producto],Productos[Nombre_Producto])</f>
        <v>Leche</v>
      </c>
      <c r="I1889" s="17">
        <f t="array" ref="I1889">_xlfn.XLOOKUP(D1889,Productos[ID_Producto],Productos[Precio_Unitario])</f>
        <v>12.24</v>
      </c>
      <c r="J1889" s="17">
        <f t="shared" si="1"/>
        <v>48.96</v>
      </c>
      <c r="K1889" s="16" t="str">
        <f t="array" ref="K1889">_xlfn.XLOOKUP(C1889,Clientes[ID_Cliente],Clientes[Provincia])</f>
        <v>Buenos Aires</v>
      </c>
      <c r="L1889" s="16" t="str">
        <f t="array" ref="L1889">CONCATENATE(_xlfn.XLOOKUP(C1889,Clientes[ID_Cliente],Clientes[Provincia]),", Argentina")</f>
        <v>Buenos Aires, Argentina</v>
      </c>
      <c r="M1889" s="20" t="str">
        <f t="array" ref="M1889">_xlfn.XLOOKUP(F1889,Metodos_De_Pago[ID_Metodo],Metodos_De_Pago[Metodo])</f>
        <v>Transferencia</v>
      </c>
      <c r="N1889" s="20" t="str">
        <f t="shared" si="2"/>
        <v>2024 10</v>
      </c>
    </row>
    <row r="1890" ht="22.5" customHeight="1">
      <c r="A1890" s="12">
        <f>IFERROR(__xludf.DUMMYFUNCTION("""COMPUTED_VALUE"""),2115.0)</f>
        <v>2115</v>
      </c>
      <c r="B1890" s="13">
        <f>IFERROR(__xludf.DUMMYFUNCTION("""COMPUTED_VALUE"""),45584.0)</f>
        <v>45584</v>
      </c>
      <c r="C1890" s="12">
        <f>IFERROR(__xludf.DUMMYFUNCTION("""COMPUTED_VALUE"""),250.0)</f>
        <v>250</v>
      </c>
      <c r="D1890" s="12">
        <f>IFERROR(__xludf.DUMMYFUNCTION("""COMPUTED_VALUE"""),29.0)</f>
        <v>29</v>
      </c>
      <c r="E1890" s="12">
        <f>IFERROR(__xludf.DUMMYFUNCTION("""COMPUTED_VALUE"""),4.0)</f>
        <v>4</v>
      </c>
      <c r="F1890" s="12">
        <f>IFERROR(__xludf.DUMMYFUNCTION("""COMPUTED_VALUE"""),5.0)</f>
        <v>5</v>
      </c>
      <c r="G1890" s="15" t="str">
        <f>IFERROR(__xludf.DUMMYFUNCTION("""COMPUTED_VALUE"""),"Pendiente")</f>
        <v>Pendiente</v>
      </c>
      <c r="H1890" s="16" t="str">
        <f t="array" ref="H1890">_xlfn.XLOOKUP(D1890,Productos[ID_Producto],Productos[Nombre_Producto])</f>
        <v>Cerveza</v>
      </c>
      <c r="I1890" s="17">
        <f t="array" ref="I1890">_xlfn.XLOOKUP(D1890,Productos[ID_Producto],Productos[Precio_Unitario])</f>
        <v>11.54</v>
      </c>
      <c r="J1890" s="17">
        <f t="shared" si="1"/>
        <v>46.16</v>
      </c>
      <c r="K1890" s="16" t="str">
        <f t="array" ref="K1890">_xlfn.XLOOKUP(C1890,Clientes[ID_Cliente],Clientes[Provincia])</f>
        <v>Córdoba</v>
      </c>
      <c r="L1890" s="16" t="str">
        <f t="array" ref="L1890">CONCATENATE(_xlfn.XLOOKUP(C1890,Clientes[ID_Cliente],Clientes[Provincia]),", Argentina")</f>
        <v>Córdoba, Argentina</v>
      </c>
      <c r="M1890" s="20" t="str">
        <f t="array" ref="M1890">_xlfn.XLOOKUP(F1890,Metodos_De_Pago[ID_Metodo],Metodos_De_Pago[Metodo])</f>
        <v>Transferencia</v>
      </c>
      <c r="N1890" s="20" t="str">
        <f t="shared" si="2"/>
        <v>2024 10</v>
      </c>
    </row>
    <row r="1891" ht="22.5" customHeight="1">
      <c r="A1891" s="12">
        <f>IFERROR(__xludf.DUMMYFUNCTION("""COMPUTED_VALUE"""),2542.0)</f>
        <v>2542</v>
      </c>
      <c r="B1891" s="13">
        <f>IFERROR(__xludf.DUMMYFUNCTION("""COMPUTED_VALUE"""),45584.0)</f>
        <v>45584</v>
      </c>
      <c r="C1891" s="12">
        <f>IFERROR(__xludf.DUMMYFUNCTION("""COMPUTED_VALUE"""),189.0)</f>
        <v>189</v>
      </c>
      <c r="D1891" s="12">
        <f>IFERROR(__xludf.DUMMYFUNCTION("""COMPUTED_VALUE"""),25.0)</f>
        <v>25</v>
      </c>
      <c r="E1891" s="12">
        <f>IFERROR(__xludf.DUMMYFUNCTION("""COMPUTED_VALUE"""),4.0)</f>
        <v>4</v>
      </c>
      <c r="F1891" s="12">
        <f>IFERROR(__xludf.DUMMYFUNCTION("""COMPUTED_VALUE"""),4.0)</f>
        <v>4</v>
      </c>
      <c r="G1891" s="15" t="str">
        <f>IFERROR(__xludf.DUMMYFUNCTION("""COMPUTED_VALUE"""),"Pendiente")</f>
        <v>Pendiente</v>
      </c>
      <c r="H1891" s="16" t="str">
        <f t="array" ref="H1891">_xlfn.XLOOKUP(D1891,Productos[ID_Producto],Productos[Nombre_Producto])</f>
        <v>Pizza congelada</v>
      </c>
      <c r="I1891" s="17">
        <f t="array" ref="I1891">_xlfn.XLOOKUP(D1891,Productos[ID_Producto],Productos[Precio_Unitario])</f>
        <v>15.45</v>
      </c>
      <c r="J1891" s="17">
        <f t="shared" si="1"/>
        <v>61.8</v>
      </c>
      <c r="K1891" s="16" t="str">
        <f t="array" ref="K1891">_xlfn.XLOOKUP(C1891,Clientes[ID_Cliente],Clientes[Provincia])</f>
        <v>Neuquén</v>
      </c>
      <c r="L1891" s="16" t="str">
        <f t="array" ref="L1891">CONCATENATE(_xlfn.XLOOKUP(C1891,Clientes[ID_Cliente],Clientes[Provincia]),", Argentina")</f>
        <v>Neuquén, Argentina</v>
      </c>
      <c r="M1891" s="20" t="str">
        <f t="array" ref="M1891">_xlfn.XLOOKUP(F1891,Metodos_De_Pago[ID_Metodo],Metodos_De_Pago[Metodo])</f>
        <v>Mercado Pago</v>
      </c>
      <c r="N1891" s="20" t="str">
        <f t="shared" si="2"/>
        <v>2024 10</v>
      </c>
    </row>
    <row r="1892" ht="22.5" customHeight="1">
      <c r="A1892" s="12">
        <f>IFERROR(__xludf.DUMMYFUNCTION("""COMPUTED_VALUE"""),675.0)</f>
        <v>675</v>
      </c>
      <c r="B1892" s="13">
        <f>IFERROR(__xludf.DUMMYFUNCTION("""COMPUTED_VALUE"""),45585.0)</f>
        <v>45585</v>
      </c>
      <c r="C1892" s="12">
        <f>IFERROR(__xludf.DUMMYFUNCTION("""COMPUTED_VALUE"""),168.0)</f>
        <v>168</v>
      </c>
      <c r="D1892" s="12">
        <f>IFERROR(__xludf.DUMMYFUNCTION("""COMPUTED_VALUE"""),26.0)</f>
        <v>26</v>
      </c>
      <c r="E1892" s="12">
        <f>IFERROR(__xludf.DUMMYFUNCTION("""COMPUTED_VALUE"""),4.0)</f>
        <v>4</v>
      </c>
      <c r="F1892" s="12">
        <f>IFERROR(__xludf.DUMMYFUNCTION("""COMPUTED_VALUE"""),5.0)</f>
        <v>5</v>
      </c>
      <c r="G1892" s="15" t="str">
        <f>IFERROR(__xludf.DUMMYFUNCTION("""COMPUTED_VALUE"""),"Completa")</f>
        <v>Completa</v>
      </c>
      <c r="H1892" s="16" t="str">
        <f t="array" ref="H1892">_xlfn.XLOOKUP(D1892,Productos[ID_Producto],Productos[Nombre_Producto])</f>
        <v>Hamburgesas congeladas</v>
      </c>
      <c r="I1892" s="17">
        <f t="array" ref="I1892">_xlfn.XLOOKUP(D1892,Productos[ID_Producto],Productos[Precio_Unitario])</f>
        <v>9.54</v>
      </c>
      <c r="J1892" s="17">
        <f t="shared" si="1"/>
        <v>38.16</v>
      </c>
      <c r="K1892" s="16" t="str">
        <f t="array" ref="K1892">_xlfn.XLOOKUP(C1892,Clientes[ID_Cliente],Clientes[Provincia])</f>
        <v>Córdoba</v>
      </c>
      <c r="L1892" s="16" t="str">
        <f t="array" ref="L1892">CONCATENATE(_xlfn.XLOOKUP(C1892,Clientes[ID_Cliente],Clientes[Provincia]),", Argentina")</f>
        <v>Córdoba, Argentina</v>
      </c>
      <c r="M1892" s="20" t="str">
        <f t="array" ref="M1892">_xlfn.XLOOKUP(F1892,Metodos_De_Pago[ID_Metodo],Metodos_De_Pago[Metodo])</f>
        <v>Transferencia</v>
      </c>
      <c r="N1892" s="20" t="str">
        <f t="shared" si="2"/>
        <v>2024 10</v>
      </c>
    </row>
    <row r="1893" ht="22.5" customHeight="1">
      <c r="A1893" s="12">
        <f>IFERROR(__xludf.DUMMYFUNCTION("""COMPUTED_VALUE"""),2337.0)</f>
        <v>2337</v>
      </c>
      <c r="B1893" s="13">
        <f>IFERROR(__xludf.DUMMYFUNCTION("""COMPUTED_VALUE"""),45585.0)</f>
        <v>45585</v>
      </c>
      <c r="C1893" s="12">
        <f>IFERROR(__xludf.DUMMYFUNCTION("""COMPUTED_VALUE"""),242.0)</f>
        <v>242</v>
      </c>
      <c r="D1893" s="12">
        <f>IFERROR(__xludf.DUMMYFUNCTION("""COMPUTED_VALUE"""),7.0)</f>
        <v>7</v>
      </c>
      <c r="E1893" s="12">
        <f>IFERROR(__xludf.DUMMYFUNCTION("""COMPUTED_VALUE"""),4.0)</f>
        <v>4</v>
      </c>
      <c r="F1893" s="12">
        <f>IFERROR(__xludf.DUMMYFUNCTION("""COMPUTED_VALUE"""),3.0)</f>
        <v>3</v>
      </c>
      <c r="G1893" s="15" t="str">
        <f>IFERROR(__xludf.DUMMYFUNCTION("""COMPUTED_VALUE"""),"Pendiente")</f>
        <v>Pendiente</v>
      </c>
      <c r="H1893" s="16" t="str">
        <f t="array" ref="H1893">_xlfn.XLOOKUP(D1893,Productos[ID_Producto],Productos[Nombre_Producto])</f>
        <v>Chorizo</v>
      </c>
      <c r="I1893" s="17">
        <f t="array" ref="I1893">_xlfn.XLOOKUP(D1893,Productos[ID_Producto],Productos[Precio_Unitario])</f>
        <v>11.25</v>
      </c>
      <c r="J1893" s="17">
        <f t="shared" si="1"/>
        <v>45</v>
      </c>
      <c r="K1893" s="16" t="str">
        <f t="array" ref="K1893">_xlfn.XLOOKUP(C1893,Clientes[ID_Cliente],Clientes[Provincia])</f>
        <v>Chaco</v>
      </c>
      <c r="L1893" s="16" t="str">
        <f t="array" ref="L1893">CONCATENATE(_xlfn.XLOOKUP(C1893,Clientes[ID_Cliente],Clientes[Provincia]),", Argentina")</f>
        <v>Chaco, Argentina</v>
      </c>
      <c r="M1893" s="20" t="str">
        <f t="array" ref="M1893">_xlfn.XLOOKUP(F1893,Metodos_De_Pago[ID_Metodo],Metodos_De_Pago[Metodo])</f>
        <v>Tarjeta de Débito</v>
      </c>
      <c r="N1893" s="20" t="str">
        <f t="shared" si="2"/>
        <v>2024 10</v>
      </c>
    </row>
    <row r="1894" ht="22.5" customHeight="1">
      <c r="A1894" s="12">
        <f>IFERROR(__xludf.DUMMYFUNCTION("""COMPUTED_VALUE"""),2588.0)</f>
        <v>2588</v>
      </c>
      <c r="B1894" s="13">
        <f>IFERROR(__xludf.DUMMYFUNCTION("""COMPUTED_VALUE"""),45585.0)</f>
        <v>45585</v>
      </c>
      <c r="C1894" s="12">
        <f>IFERROR(__xludf.DUMMYFUNCTION("""COMPUTED_VALUE"""),116.0)</f>
        <v>116</v>
      </c>
      <c r="D1894" s="12">
        <f>IFERROR(__xludf.DUMMYFUNCTION("""COMPUTED_VALUE"""),27.0)</f>
        <v>27</v>
      </c>
      <c r="E1894" s="12">
        <f>IFERROR(__xludf.DUMMYFUNCTION("""COMPUTED_VALUE"""),4.0)</f>
        <v>4</v>
      </c>
      <c r="F1894" s="12">
        <f>IFERROR(__xludf.DUMMYFUNCTION("""COMPUTED_VALUE"""),3.0)</f>
        <v>3</v>
      </c>
      <c r="G1894" s="15" t="str">
        <f>IFERROR(__xludf.DUMMYFUNCTION("""COMPUTED_VALUE"""),"Completa")</f>
        <v>Completa</v>
      </c>
      <c r="H1894" s="16" t="str">
        <f t="array" ref="H1894">_xlfn.XLOOKUP(D1894,Productos[ID_Producto],Productos[Nombre_Producto])</f>
        <v>Agua mineral</v>
      </c>
      <c r="I1894" s="17">
        <f t="array" ref="I1894">_xlfn.XLOOKUP(D1894,Productos[ID_Producto],Productos[Precio_Unitario])</f>
        <v>6.21</v>
      </c>
      <c r="J1894" s="17">
        <f t="shared" si="1"/>
        <v>24.84</v>
      </c>
      <c r="K1894" s="16" t="str">
        <f t="array" ref="K1894">_xlfn.XLOOKUP(C1894,Clientes[ID_Cliente],Clientes[Provincia])</f>
        <v>Buenos Aires</v>
      </c>
      <c r="L1894" s="16" t="str">
        <f t="array" ref="L1894">CONCATENATE(_xlfn.XLOOKUP(C1894,Clientes[ID_Cliente],Clientes[Provincia]),", Argentina")</f>
        <v>Buenos Aires, Argentina</v>
      </c>
      <c r="M1894" s="20" t="str">
        <f t="array" ref="M1894">_xlfn.XLOOKUP(F1894,Metodos_De_Pago[ID_Metodo],Metodos_De_Pago[Metodo])</f>
        <v>Tarjeta de Débito</v>
      </c>
      <c r="N1894" s="20" t="str">
        <f t="shared" si="2"/>
        <v>2024 10</v>
      </c>
    </row>
    <row r="1895" ht="22.5" customHeight="1">
      <c r="A1895" s="12">
        <f>IFERROR(__xludf.DUMMYFUNCTION("""COMPUTED_VALUE"""),1683.0)</f>
        <v>1683</v>
      </c>
      <c r="B1895" s="13">
        <f>IFERROR(__xludf.DUMMYFUNCTION("""COMPUTED_VALUE"""),45586.0)</f>
        <v>45586</v>
      </c>
      <c r="C1895" s="12">
        <f>IFERROR(__xludf.DUMMYFUNCTION("""COMPUTED_VALUE"""),181.0)</f>
        <v>181</v>
      </c>
      <c r="D1895" s="12">
        <f>IFERROR(__xludf.DUMMYFUNCTION("""COMPUTED_VALUE"""),12.0)</f>
        <v>12</v>
      </c>
      <c r="E1895" s="12">
        <f>IFERROR(__xludf.DUMMYFUNCTION("""COMPUTED_VALUE"""),4.0)</f>
        <v>4</v>
      </c>
      <c r="F1895" s="12">
        <f>IFERROR(__xludf.DUMMYFUNCTION("""COMPUTED_VALUE"""),3.0)</f>
        <v>3</v>
      </c>
      <c r="G1895" s="15" t="str">
        <f>IFERROR(__xludf.DUMMYFUNCTION("""COMPUTED_VALUE"""),"Completa")</f>
        <v>Completa</v>
      </c>
      <c r="H1895" s="16" t="str">
        <f t="array" ref="H1895">_xlfn.XLOOKUP(D1895,Productos[ID_Producto],Productos[Nombre_Producto])</f>
        <v>Pan francés</v>
      </c>
      <c r="I1895" s="17">
        <f t="array" ref="I1895">_xlfn.XLOOKUP(D1895,Productos[ID_Producto],Productos[Precio_Unitario])</f>
        <v>8.12</v>
      </c>
      <c r="J1895" s="17">
        <f t="shared" si="1"/>
        <v>32.48</v>
      </c>
      <c r="K1895" s="16" t="str">
        <f t="array" ref="K1895">_xlfn.XLOOKUP(C1895,Clientes[ID_Cliente],Clientes[Provincia])</f>
        <v>Neuquén</v>
      </c>
      <c r="L1895" s="16" t="str">
        <f t="array" ref="L1895">CONCATENATE(_xlfn.XLOOKUP(C1895,Clientes[ID_Cliente],Clientes[Provincia]),", Argentina")</f>
        <v>Neuquén, Argentina</v>
      </c>
      <c r="M1895" s="20" t="str">
        <f t="array" ref="M1895">_xlfn.XLOOKUP(F1895,Metodos_De_Pago[ID_Metodo],Metodos_De_Pago[Metodo])</f>
        <v>Tarjeta de Débito</v>
      </c>
      <c r="N1895" s="20" t="str">
        <f t="shared" si="2"/>
        <v>2024 10</v>
      </c>
    </row>
    <row r="1896" ht="22.5" customHeight="1">
      <c r="A1896" s="12">
        <f>IFERROR(__xludf.DUMMYFUNCTION("""COMPUTED_VALUE"""),886.0)</f>
        <v>886</v>
      </c>
      <c r="B1896" s="13">
        <f>IFERROR(__xludf.DUMMYFUNCTION("""COMPUTED_VALUE"""),45587.0)</f>
        <v>45587</v>
      </c>
      <c r="C1896" s="12">
        <f>IFERROR(__xludf.DUMMYFUNCTION("""COMPUTED_VALUE"""),74.0)</f>
        <v>74</v>
      </c>
      <c r="D1896" s="12">
        <f>IFERROR(__xludf.DUMMYFUNCTION("""COMPUTED_VALUE"""),2.0)</f>
        <v>2</v>
      </c>
      <c r="E1896" s="12">
        <f>IFERROR(__xludf.DUMMYFUNCTION("""COMPUTED_VALUE"""),4.0)</f>
        <v>4</v>
      </c>
      <c r="F1896" s="12">
        <f>IFERROR(__xludf.DUMMYFUNCTION("""COMPUTED_VALUE"""),3.0)</f>
        <v>3</v>
      </c>
      <c r="G1896" s="15" t="str">
        <f>IFERROR(__xludf.DUMMYFUNCTION("""COMPUTED_VALUE"""),"Pendiente")</f>
        <v>Pendiente</v>
      </c>
      <c r="H1896" s="16" t="str">
        <f t="array" ref="H1896">_xlfn.XLOOKUP(D1896,Productos[ID_Producto],Productos[Nombre_Producto])</f>
        <v>Yogur</v>
      </c>
      <c r="I1896" s="17">
        <f t="array" ref="I1896">_xlfn.XLOOKUP(D1896,Productos[ID_Producto],Productos[Precio_Unitario])</f>
        <v>5.21</v>
      </c>
      <c r="J1896" s="17">
        <f t="shared" si="1"/>
        <v>20.84</v>
      </c>
      <c r="K1896" s="16" t="str">
        <f t="array" ref="K1896">_xlfn.XLOOKUP(C1896,Clientes[ID_Cliente],Clientes[Provincia])</f>
        <v>Neuquén</v>
      </c>
      <c r="L1896" s="16" t="str">
        <f t="array" ref="L1896">CONCATENATE(_xlfn.XLOOKUP(C1896,Clientes[ID_Cliente],Clientes[Provincia]),", Argentina")</f>
        <v>Neuquén, Argentina</v>
      </c>
      <c r="M1896" s="20" t="str">
        <f t="array" ref="M1896">_xlfn.XLOOKUP(F1896,Metodos_De_Pago[ID_Metodo],Metodos_De_Pago[Metodo])</f>
        <v>Tarjeta de Débito</v>
      </c>
      <c r="N1896" s="20" t="str">
        <f t="shared" si="2"/>
        <v>2024 10</v>
      </c>
    </row>
    <row r="1897" ht="22.5" customHeight="1">
      <c r="A1897" s="12">
        <f>IFERROR(__xludf.DUMMYFUNCTION("""COMPUTED_VALUE"""),2546.0)</f>
        <v>2546</v>
      </c>
      <c r="B1897" s="13">
        <f>IFERROR(__xludf.DUMMYFUNCTION("""COMPUTED_VALUE"""),45587.0)</f>
        <v>45587</v>
      </c>
      <c r="C1897" s="12">
        <f>IFERROR(__xludf.DUMMYFUNCTION("""COMPUTED_VALUE"""),274.0)</f>
        <v>274</v>
      </c>
      <c r="D1897" s="12">
        <f>IFERROR(__xludf.DUMMYFUNCTION("""COMPUTED_VALUE"""),23.0)</f>
        <v>23</v>
      </c>
      <c r="E1897" s="12">
        <f>IFERROR(__xludf.DUMMYFUNCTION("""COMPUTED_VALUE"""),4.0)</f>
        <v>4</v>
      </c>
      <c r="F1897" s="12">
        <f>IFERROR(__xludf.DUMMYFUNCTION("""COMPUTED_VALUE"""),1.0)</f>
        <v>1</v>
      </c>
      <c r="G1897" s="15" t="str">
        <f>IFERROR(__xludf.DUMMYFUNCTION("""COMPUTED_VALUE"""),"Completa")</f>
        <v>Completa</v>
      </c>
      <c r="H1897" s="16" t="str">
        <f t="array" ref="H1897">_xlfn.XLOOKUP(D1897,Productos[ID_Producto],Productos[Nombre_Producto])</f>
        <v>Papas fritas</v>
      </c>
      <c r="I1897" s="17">
        <f t="array" ref="I1897">_xlfn.XLOOKUP(D1897,Productos[ID_Producto],Productos[Precio_Unitario])</f>
        <v>8.23</v>
      </c>
      <c r="J1897" s="17">
        <f t="shared" si="1"/>
        <v>32.92</v>
      </c>
      <c r="K1897" s="16" t="str">
        <f t="array" ref="K1897">_xlfn.XLOOKUP(C1897,Clientes[ID_Cliente],Clientes[Provincia])</f>
        <v>Buenos Aires</v>
      </c>
      <c r="L1897" s="16" t="str">
        <f t="array" ref="L1897">CONCATENATE(_xlfn.XLOOKUP(C1897,Clientes[ID_Cliente],Clientes[Provincia]),", Argentina")</f>
        <v>Buenos Aires, Argentina</v>
      </c>
      <c r="M1897" s="20" t="str">
        <f t="array" ref="M1897">_xlfn.XLOOKUP(F1897,Metodos_De_Pago[ID_Metodo],Metodos_De_Pago[Metodo])</f>
        <v>Efectivo</v>
      </c>
      <c r="N1897" s="20" t="str">
        <f t="shared" si="2"/>
        <v>2024 10</v>
      </c>
    </row>
    <row r="1898" ht="22.5" customHeight="1">
      <c r="A1898" s="12">
        <f>IFERROR(__xludf.DUMMYFUNCTION("""COMPUTED_VALUE"""),2072.0)</f>
        <v>2072</v>
      </c>
      <c r="B1898" s="13">
        <f>IFERROR(__xludf.DUMMYFUNCTION("""COMPUTED_VALUE"""),45589.0)</f>
        <v>45589</v>
      </c>
      <c r="C1898" s="12">
        <f>IFERROR(__xludf.DUMMYFUNCTION("""COMPUTED_VALUE"""),11.0)</f>
        <v>11</v>
      </c>
      <c r="D1898" s="12">
        <f>IFERROR(__xludf.DUMMYFUNCTION("""COMPUTED_VALUE"""),29.0)</f>
        <v>29</v>
      </c>
      <c r="E1898" s="12">
        <f>IFERROR(__xludf.DUMMYFUNCTION("""COMPUTED_VALUE"""),4.0)</f>
        <v>4</v>
      </c>
      <c r="F1898" s="12">
        <f>IFERROR(__xludf.DUMMYFUNCTION("""COMPUTED_VALUE"""),4.0)</f>
        <v>4</v>
      </c>
      <c r="G1898" s="15" t="str">
        <f>IFERROR(__xludf.DUMMYFUNCTION("""COMPUTED_VALUE"""),"Completa")</f>
        <v>Completa</v>
      </c>
      <c r="H1898" s="16" t="str">
        <f t="array" ref="H1898">_xlfn.XLOOKUP(D1898,Productos[ID_Producto],Productos[Nombre_Producto])</f>
        <v>Cerveza</v>
      </c>
      <c r="I1898" s="17">
        <f t="array" ref="I1898">_xlfn.XLOOKUP(D1898,Productos[ID_Producto],Productos[Precio_Unitario])</f>
        <v>11.54</v>
      </c>
      <c r="J1898" s="17">
        <f t="shared" si="1"/>
        <v>46.16</v>
      </c>
      <c r="K1898" s="16" t="str">
        <f t="array" ref="K1898">_xlfn.XLOOKUP(C1898,Clientes[ID_Cliente],Clientes[Provincia])</f>
        <v>Buenos Aires</v>
      </c>
      <c r="L1898" s="16" t="str">
        <f t="array" ref="L1898">CONCATENATE(_xlfn.XLOOKUP(C1898,Clientes[ID_Cliente],Clientes[Provincia]),", Argentina")</f>
        <v>Buenos Aires, Argentina</v>
      </c>
      <c r="M1898" s="20" t="str">
        <f t="array" ref="M1898">_xlfn.XLOOKUP(F1898,Metodos_De_Pago[ID_Metodo],Metodos_De_Pago[Metodo])</f>
        <v>Mercado Pago</v>
      </c>
      <c r="N1898" s="20" t="str">
        <f t="shared" si="2"/>
        <v>2024 10</v>
      </c>
    </row>
    <row r="1899" ht="22.5" customHeight="1">
      <c r="A1899" s="12">
        <f>IFERROR(__xludf.DUMMYFUNCTION("""COMPUTED_VALUE"""),228.0)</f>
        <v>228</v>
      </c>
      <c r="B1899" s="13">
        <f>IFERROR(__xludf.DUMMYFUNCTION("""COMPUTED_VALUE"""),45591.0)</f>
        <v>45591</v>
      </c>
      <c r="C1899" s="12">
        <f>IFERROR(__xludf.DUMMYFUNCTION("""COMPUTED_VALUE"""),209.0)</f>
        <v>209</v>
      </c>
      <c r="D1899" s="12">
        <f>IFERROR(__xludf.DUMMYFUNCTION("""COMPUTED_VALUE"""),11.0)</f>
        <v>11</v>
      </c>
      <c r="E1899" s="12">
        <f>IFERROR(__xludf.DUMMYFUNCTION("""COMPUTED_VALUE"""),4.0)</f>
        <v>4</v>
      </c>
      <c r="F1899" s="12">
        <f>IFERROR(__xludf.DUMMYFUNCTION("""COMPUTED_VALUE"""),5.0)</f>
        <v>5</v>
      </c>
      <c r="G1899" s="15" t="str">
        <f>IFERROR(__xludf.DUMMYFUNCTION("""COMPUTED_VALUE"""),"Completa")</f>
        <v>Completa</v>
      </c>
      <c r="H1899" s="16" t="str">
        <f t="array" ref="H1899">_xlfn.XLOOKUP(D1899,Productos[ID_Producto],Productos[Nombre_Producto])</f>
        <v>Salchicha</v>
      </c>
      <c r="I1899" s="17">
        <f t="array" ref="I1899">_xlfn.XLOOKUP(D1899,Productos[ID_Producto],Productos[Precio_Unitario])</f>
        <v>11.23</v>
      </c>
      <c r="J1899" s="17">
        <f t="shared" si="1"/>
        <v>44.92</v>
      </c>
      <c r="K1899" s="16" t="str">
        <f t="array" ref="K1899">_xlfn.XLOOKUP(C1899,Clientes[ID_Cliente],Clientes[Provincia])</f>
        <v>Buenos Aires</v>
      </c>
      <c r="L1899" s="16" t="str">
        <f t="array" ref="L1899">CONCATENATE(_xlfn.XLOOKUP(C1899,Clientes[ID_Cliente],Clientes[Provincia]),", Argentina")</f>
        <v>Buenos Aires, Argentina</v>
      </c>
      <c r="M1899" s="20" t="str">
        <f t="array" ref="M1899">_xlfn.XLOOKUP(F1899,Metodos_De_Pago[ID_Metodo],Metodos_De_Pago[Metodo])</f>
        <v>Transferencia</v>
      </c>
      <c r="N1899" s="20" t="str">
        <f t="shared" si="2"/>
        <v>2024 10</v>
      </c>
    </row>
    <row r="1900" ht="22.5" customHeight="1">
      <c r="A1900" s="12">
        <f>IFERROR(__xludf.DUMMYFUNCTION("""COMPUTED_VALUE"""),458.0)</f>
        <v>458</v>
      </c>
      <c r="B1900" s="13">
        <f>IFERROR(__xludf.DUMMYFUNCTION("""COMPUTED_VALUE"""),45592.0)</f>
        <v>45592</v>
      </c>
      <c r="C1900" s="12">
        <f>IFERROR(__xludf.DUMMYFUNCTION("""COMPUTED_VALUE"""),102.0)</f>
        <v>102</v>
      </c>
      <c r="D1900" s="12">
        <f>IFERROR(__xludf.DUMMYFUNCTION("""COMPUTED_VALUE"""),10.0)</f>
        <v>10</v>
      </c>
      <c r="E1900" s="12">
        <f>IFERROR(__xludf.DUMMYFUNCTION("""COMPUTED_VALUE"""),4.0)</f>
        <v>4</v>
      </c>
      <c r="F1900" s="12">
        <f>IFERROR(__xludf.DUMMYFUNCTION("""COMPUTED_VALUE"""),5.0)</f>
        <v>5</v>
      </c>
      <c r="G1900" s="15" t="str">
        <f>IFERROR(__xludf.DUMMYFUNCTION("""COMPUTED_VALUE"""),"Completa")</f>
        <v>Completa</v>
      </c>
      <c r="H1900" s="16" t="str">
        <f t="array" ref="H1900">_xlfn.XLOOKUP(D1900,Productos[ID_Producto],Productos[Nombre_Producto])</f>
        <v>Costilla de cerdo</v>
      </c>
      <c r="I1900" s="17">
        <f t="array" ref="I1900">_xlfn.XLOOKUP(D1900,Productos[ID_Producto],Productos[Precio_Unitario])</f>
        <v>14.25</v>
      </c>
      <c r="J1900" s="17">
        <f t="shared" si="1"/>
        <v>57</v>
      </c>
      <c r="K1900" s="16" t="str">
        <f t="array" ref="K1900">_xlfn.XLOOKUP(C1900,Clientes[ID_Cliente],Clientes[Provincia])</f>
        <v>Neuquén</v>
      </c>
      <c r="L1900" s="16" t="str">
        <f t="array" ref="L1900">CONCATENATE(_xlfn.XLOOKUP(C1900,Clientes[ID_Cliente],Clientes[Provincia]),", Argentina")</f>
        <v>Neuquén, Argentina</v>
      </c>
      <c r="M1900" s="20" t="str">
        <f t="array" ref="M1900">_xlfn.XLOOKUP(F1900,Metodos_De_Pago[ID_Metodo],Metodos_De_Pago[Metodo])</f>
        <v>Transferencia</v>
      </c>
      <c r="N1900" s="20" t="str">
        <f t="shared" si="2"/>
        <v>2024 10</v>
      </c>
    </row>
    <row r="1901" ht="22.5" customHeight="1">
      <c r="A1901" s="12">
        <f>IFERROR(__xludf.DUMMYFUNCTION("""COMPUTED_VALUE"""),1308.0)</f>
        <v>1308</v>
      </c>
      <c r="B1901" s="13">
        <f>IFERROR(__xludf.DUMMYFUNCTION("""COMPUTED_VALUE"""),45592.0)</f>
        <v>45592</v>
      </c>
      <c r="C1901" s="12">
        <f>IFERROR(__xludf.DUMMYFUNCTION("""COMPUTED_VALUE"""),185.0)</f>
        <v>185</v>
      </c>
      <c r="D1901" s="12">
        <f>IFERROR(__xludf.DUMMYFUNCTION("""COMPUTED_VALUE"""),22.0)</f>
        <v>22</v>
      </c>
      <c r="E1901" s="12">
        <f>IFERROR(__xludf.DUMMYFUNCTION("""COMPUTED_VALUE"""),4.0)</f>
        <v>4</v>
      </c>
      <c r="F1901" s="12">
        <f>IFERROR(__xludf.DUMMYFUNCTION("""COMPUTED_VALUE"""),1.0)</f>
        <v>1</v>
      </c>
      <c r="G1901" s="15" t="str">
        <f>IFERROR(__xludf.DUMMYFUNCTION("""COMPUTED_VALUE"""),"Completa")</f>
        <v>Completa</v>
      </c>
      <c r="H1901" s="16" t="str">
        <f t="array" ref="H1901">_xlfn.XLOOKUP(D1901,Productos[ID_Producto],Productos[Nombre_Producto])</f>
        <v>Cebolla</v>
      </c>
      <c r="I1901" s="17">
        <f t="array" ref="I1901">_xlfn.XLOOKUP(D1901,Productos[ID_Producto],Productos[Precio_Unitario])</f>
        <v>4.21</v>
      </c>
      <c r="J1901" s="17">
        <f t="shared" si="1"/>
        <v>16.84</v>
      </c>
      <c r="K1901" s="16" t="str">
        <f t="array" ref="K1901">_xlfn.XLOOKUP(C1901,Clientes[ID_Cliente],Clientes[Provincia])</f>
        <v>Córdoba</v>
      </c>
      <c r="L1901" s="16" t="str">
        <f t="array" ref="L1901">CONCATENATE(_xlfn.XLOOKUP(C1901,Clientes[ID_Cliente],Clientes[Provincia]),", Argentina")</f>
        <v>Córdoba, Argentina</v>
      </c>
      <c r="M1901" s="20" t="str">
        <f t="array" ref="M1901">_xlfn.XLOOKUP(F1901,Metodos_De_Pago[ID_Metodo],Metodos_De_Pago[Metodo])</f>
        <v>Efectivo</v>
      </c>
      <c r="N1901" s="20" t="str">
        <f t="shared" si="2"/>
        <v>2024 10</v>
      </c>
    </row>
    <row r="1902" ht="22.5" customHeight="1">
      <c r="A1902" s="12">
        <f>IFERROR(__xludf.DUMMYFUNCTION("""COMPUTED_VALUE"""),2273.0)</f>
        <v>2273</v>
      </c>
      <c r="B1902" s="13">
        <f>IFERROR(__xludf.DUMMYFUNCTION("""COMPUTED_VALUE"""),45592.0)</f>
        <v>45592</v>
      </c>
      <c r="C1902" s="12">
        <f>IFERROR(__xludf.DUMMYFUNCTION("""COMPUTED_VALUE"""),304.0)</f>
        <v>304</v>
      </c>
      <c r="D1902" s="12">
        <f>IFERROR(__xludf.DUMMYFUNCTION("""COMPUTED_VALUE"""),10.0)</f>
        <v>10</v>
      </c>
      <c r="E1902" s="12">
        <f>IFERROR(__xludf.DUMMYFUNCTION("""COMPUTED_VALUE"""),4.0)</f>
        <v>4</v>
      </c>
      <c r="F1902" s="12">
        <f>IFERROR(__xludf.DUMMYFUNCTION("""COMPUTED_VALUE"""),4.0)</f>
        <v>4</v>
      </c>
      <c r="G1902" s="15" t="str">
        <f>IFERROR(__xludf.DUMMYFUNCTION("""COMPUTED_VALUE"""),"Completa")</f>
        <v>Completa</v>
      </c>
      <c r="H1902" s="16" t="str">
        <f t="array" ref="H1902">_xlfn.XLOOKUP(D1902,Productos[ID_Producto],Productos[Nombre_Producto])</f>
        <v>Costilla de cerdo</v>
      </c>
      <c r="I1902" s="17">
        <f t="array" ref="I1902">_xlfn.XLOOKUP(D1902,Productos[ID_Producto],Productos[Precio_Unitario])</f>
        <v>14.25</v>
      </c>
      <c r="J1902" s="17">
        <f t="shared" si="1"/>
        <v>57</v>
      </c>
      <c r="K1902" s="16" t="str">
        <f t="array" ref="K1902">_xlfn.XLOOKUP(C1902,Clientes[ID_Cliente],Clientes[Provincia])</f>
        <v>San Luis</v>
      </c>
      <c r="L1902" s="16" t="str">
        <f t="array" ref="L1902">CONCATENATE(_xlfn.XLOOKUP(C1902,Clientes[ID_Cliente],Clientes[Provincia]),", Argentina")</f>
        <v>San Luis, Argentina</v>
      </c>
      <c r="M1902" s="20" t="str">
        <f t="array" ref="M1902">_xlfn.XLOOKUP(F1902,Metodos_De_Pago[ID_Metodo],Metodos_De_Pago[Metodo])</f>
        <v>Mercado Pago</v>
      </c>
      <c r="N1902" s="20" t="str">
        <f t="shared" si="2"/>
        <v>2024 10</v>
      </c>
    </row>
    <row r="1903" ht="22.5" customHeight="1">
      <c r="A1903" s="12">
        <f>IFERROR(__xludf.DUMMYFUNCTION("""COMPUTED_VALUE"""),1533.0)</f>
        <v>1533</v>
      </c>
      <c r="B1903" s="13">
        <f>IFERROR(__xludf.DUMMYFUNCTION("""COMPUTED_VALUE"""),45593.0)</f>
        <v>45593</v>
      </c>
      <c r="C1903" s="12">
        <f>IFERROR(__xludf.DUMMYFUNCTION("""COMPUTED_VALUE"""),118.0)</f>
        <v>118</v>
      </c>
      <c r="D1903" s="12">
        <f>IFERROR(__xludf.DUMMYFUNCTION("""COMPUTED_VALUE"""),15.0)</f>
        <v>15</v>
      </c>
      <c r="E1903" s="12">
        <f>IFERROR(__xludf.DUMMYFUNCTION("""COMPUTED_VALUE"""),4.0)</f>
        <v>4</v>
      </c>
      <c r="F1903" s="12">
        <f>IFERROR(__xludf.DUMMYFUNCTION("""COMPUTED_VALUE"""),4.0)</f>
        <v>4</v>
      </c>
      <c r="G1903" s="15" t="str">
        <f>IFERROR(__xludf.DUMMYFUNCTION("""COMPUTED_VALUE"""),"Completa")</f>
        <v>Completa</v>
      </c>
      <c r="H1903" s="16" t="str">
        <f t="array" ref="H1903">_xlfn.XLOOKUP(D1903,Productos[ID_Producto],Productos[Nombre_Producto])</f>
        <v>Medialunas</v>
      </c>
      <c r="I1903" s="17">
        <f t="array" ref="I1903">_xlfn.XLOOKUP(D1903,Productos[ID_Producto],Productos[Precio_Unitario])</f>
        <v>3.51</v>
      </c>
      <c r="J1903" s="17">
        <f t="shared" si="1"/>
        <v>14.04</v>
      </c>
      <c r="K1903" s="16" t="str">
        <f t="array" ref="K1903">_xlfn.XLOOKUP(C1903,Clientes[ID_Cliente],Clientes[Provincia])</f>
        <v>Córdoba</v>
      </c>
      <c r="L1903" s="16" t="str">
        <f t="array" ref="L1903">CONCATENATE(_xlfn.XLOOKUP(C1903,Clientes[ID_Cliente],Clientes[Provincia]),", Argentina")</f>
        <v>Córdoba, Argentina</v>
      </c>
      <c r="M1903" s="20" t="str">
        <f t="array" ref="M1903">_xlfn.XLOOKUP(F1903,Metodos_De_Pago[ID_Metodo],Metodos_De_Pago[Metodo])</f>
        <v>Mercado Pago</v>
      </c>
      <c r="N1903" s="20" t="str">
        <f t="shared" si="2"/>
        <v>2024 10</v>
      </c>
    </row>
    <row r="1904" ht="22.5" customHeight="1">
      <c r="A1904" s="12">
        <f>IFERROR(__xludf.DUMMYFUNCTION("""COMPUTED_VALUE"""),2501.0)</f>
        <v>2501</v>
      </c>
      <c r="B1904" s="13">
        <f>IFERROR(__xludf.DUMMYFUNCTION("""COMPUTED_VALUE"""),45593.0)</f>
        <v>45593</v>
      </c>
      <c r="C1904" s="12">
        <f>IFERROR(__xludf.DUMMYFUNCTION("""COMPUTED_VALUE"""),272.0)</f>
        <v>272</v>
      </c>
      <c r="D1904" s="12">
        <f>IFERROR(__xludf.DUMMYFUNCTION("""COMPUTED_VALUE"""),17.0)</f>
        <v>17</v>
      </c>
      <c r="E1904" s="12">
        <f>IFERROR(__xludf.DUMMYFUNCTION("""COMPUTED_VALUE"""),4.0)</f>
        <v>4</v>
      </c>
      <c r="F1904" s="12">
        <f>IFERROR(__xludf.DUMMYFUNCTION("""COMPUTED_VALUE"""),4.0)</f>
        <v>4</v>
      </c>
      <c r="G1904" s="15" t="str">
        <f>IFERROR(__xludf.DUMMYFUNCTION("""COMPUTED_VALUE"""),"Completa")</f>
        <v>Completa</v>
      </c>
      <c r="H1904" s="16" t="str">
        <f t="array" ref="H1904">_xlfn.XLOOKUP(D1904,Productos[ID_Producto],Productos[Nombre_Producto])</f>
        <v>Manzanas</v>
      </c>
      <c r="I1904" s="17">
        <f t="array" ref="I1904">_xlfn.XLOOKUP(D1904,Productos[ID_Producto],Productos[Precio_Unitario])</f>
        <v>6.54</v>
      </c>
      <c r="J1904" s="17">
        <f t="shared" si="1"/>
        <v>26.16</v>
      </c>
      <c r="K1904" s="16" t="str">
        <f t="array" ref="K1904">_xlfn.XLOOKUP(C1904,Clientes[ID_Cliente],Clientes[Provincia])</f>
        <v>Buenos Aires</v>
      </c>
      <c r="L1904" s="16" t="str">
        <f t="array" ref="L1904">CONCATENATE(_xlfn.XLOOKUP(C1904,Clientes[ID_Cliente],Clientes[Provincia]),", Argentina")</f>
        <v>Buenos Aires, Argentina</v>
      </c>
      <c r="M1904" s="20" t="str">
        <f t="array" ref="M1904">_xlfn.XLOOKUP(F1904,Metodos_De_Pago[ID_Metodo],Metodos_De_Pago[Metodo])</f>
        <v>Mercado Pago</v>
      </c>
      <c r="N1904" s="20" t="str">
        <f t="shared" si="2"/>
        <v>2024 10</v>
      </c>
    </row>
    <row r="1905" ht="22.5" customHeight="1">
      <c r="A1905" s="12">
        <f>IFERROR(__xludf.DUMMYFUNCTION("""COMPUTED_VALUE"""),2575.0)</f>
        <v>2575</v>
      </c>
      <c r="B1905" s="13">
        <f>IFERROR(__xludf.DUMMYFUNCTION("""COMPUTED_VALUE"""),45593.0)</f>
        <v>45593</v>
      </c>
      <c r="C1905" s="12">
        <f>IFERROR(__xludf.DUMMYFUNCTION("""COMPUTED_VALUE"""),13.0)</f>
        <v>13</v>
      </c>
      <c r="D1905" s="12">
        <f>IFERROR(__xludf.DUMMYFUNCTION("""COMPUTED_VALUE"""),23.0)</f>
        <v>23</v>
      </c>
      <c r="E1905" s="12">
        <f>IFERROR(__xludf.DUMMYFUNCTION("""COMPUTED_VALUE"""),4.0)</f>
        <v>4</v>
      </c>
      <c r="F1905" s="12">
        <f>IFERROR(__xludf.DUMMYFUNCTION("""COMPUTED_VALUE"""),4.0)</f>
        <v>4</v>
      </c>
      <c r="G1905" s="15" t="str">
        <f>IFERROR(__xludf.DUMMYFUNCTION("""COMPUTED_VALUE"""),"Pendiente")</f>
        <v>Pendiente</v>
      </c>
      <c r="H1905" s="16" t="str">
        <f t="array" ref="H1905">_xlfn.XLOOKUP(D1905,Productos[ID_Producto],Productos[Nombre_Producto])</f>
        <v>Papas fritas</v>
      </c>
      <c r="I1905" s="17">
        <f t="array" ref="I1905">_xlfn.XLOOKUP(D1905,Productos[ID_Producto],Productos[Precio_Unitario])</f>
        <v>8.23</v>
      </c>
      <c r="J1905" s="17">
        <f t="shared" si="1"/>
        <v>32.92</v>
      </c>
      <c r="K1905" s="16" t="str">
        <f t="array" ref="K1905">_xlfn.XLOOKUP(C1905,Clientes[ID_Cliente],Clientes[Provincia])</f>
        <v>Córdoba</v>
      </c>
      <c r="L1905" s="16" t="str">
        <f t="array" ref="L1905">CONCATENATE(_xlfn.XLOOKUP(C1905,Clientes[ID_Cliente],Clientes[Provincia]),", Argentina")</f>
        <v>Córdoba, Argentina</v>
      </c>
      <c r="M1905" s="20" t="str">
        <f t="array" ref="M1905">_xlfn.XLOOKUP(F1905,Metodos_De_Pago[ID_Metodo],Metodos_De_Pago[Metodo])</f>
        <v>Mercado Pago</v>
      </c>
      <c r="N1905" s="20" t="str">
        <f t="shared" si="2"/>
        <v>2024 10</v>
      </c>
    </row>
    <row r="1906" ht="22.5" customHeight="1">
      <c r="A1906" s="12">
        <f>IFERROR(__xludf.DUMMYFUNCTION("""COMPUTED_VALUE"""),2080.0)</f>
        <v>2080</v>
      </c>
      <c r="B1906" s="13">
        <f>IFERROR(__xludf.DUMMYFUNCTION("""COMPUTED_VALUE"""),45594.0)</f>
        <v>45594</v>
      </c>
      <c r="C1906" s="12">
        <f>IFERROR(__xludf.DUMMYFUNCTION("""COMPUTED_VALUE"""),62.0)</f>
        <v>62</v>
      </c>
      <c r="D1906" s="12">
        <f>IFERROR(__xludf.DUMMYFUNCTION("""COMPUTED_VALUE"""),18.0)</f>
        <v>18</v>
      </c>
      <c r="E1906" s="12">
        <f>IFERROR(__xludf.DUMMYFUNCTION("""COMPUTED_VALUE"""),4.0)</f>
        <v>4</v>
      </c>
      <c r="F1906" s="12">
        <f>IFERROR(__xludf.DUMMYFUNCTION("""COMPUTED_VALUE"""),5.0)</f>
        <v>5</v>
      </c>
      <c r="G1906" s="15" t="str">
        <f>IFERROR(__xludf.DUMMYFUNCTION("""COMPUTED_VALUE"""),"Pendiente")</f>
        <v>Pendiente</v>
      </c>
      <c r="H1906" s="16" t="str">
        <f t="array" ref="H1906">_xlfn.XLOOKUP(D1906,Productos[ID_Producto],Productos[Nombre_Producto])</f>
        <v>Bananas</v>
      </c>
      <c r="I1906" s="17">
        <f t="array" ref="I1906">_xlfn.XLOOKUP(D1906,Productos[ID_Producto],Productos[Precio_Unitario])</f>
        <v>7.25</v>
      </c>
      <c r="J1906" s="17">
        <f t="shared" si="1"/>
        <v>29</v>
      </c>
      <c r="K1906" s="16" t="str">
        <f t="array" ref="K1906">_xlfn.XLOOKUP(C1906,Clientes[ID_Cliente],Clientes[Provincia])</f>
        <v>Chaco</v>
      </c>
      <c r="L1906" s="16" t="str">
        <f t="array" ref="L1906">CONCATENATE(_xlfn.XLOOKUP(C1906,Clientes[ID_Cliente],Clientes[Provincia]),", Argentina")</f>
        <v>Chaco, Argentina</v>
      </c>
      <c r="M1906" s="20" t="str">
        <f t="array" ref="M1906">_xlfn.XLOOKUP(F1906,Metodos_De_Pago[ID_Metodo],Metodos_De_Pago[Metodo])</f>
        <v>Transferencia</v>
      </c>
      <c r="N1906" s="20" t="str">
        <f t="shared" si="2"/>
        <v>2024 10</v>
      </c>
    </row>
    <row r="1907" ht="22.5" customHeight="1">
      <c r="A1907" s="12">
        <f>IFERROR(__xludf.DUMMYFUNCTION("""COMPUTED_VALUE"""),2812.0)</f>
        <v>2812</v>
      </c>
      <c r="B1907" s="13">
        <f>IFERROR(__xludf.DUMMYFUNCTION("""COMPUTED_VALUE"""),45594.0)</f>
        <v>45594</v>
      </c>
      <c r="C1907" s="12">
        <f>IFERROR(__xludf.DUMMYFUNCTION("""COMPUTED_VALUE"""),89.0)</f>
        <v>89</v>
      </c>
      <c r="D1907" s="12">
        <f>IFERROR(__xludf.DUMMYFUNCTION("""COMPUTED_VALUE"""),38.0)</f>
        <v>38</v>
      </c>
      <c r="E1907" s="12">
        <f>IFERROR(__xludf.DUMMYFUNCTION("""COMPUTED_VALUE"""),4.0)</f>
        <v>4</v>
      </c>
      <c r="F1907" s="12">
        <f>IFERROR(__xludf.DUMMYFUNCTION("""COMPUTED_VALUE"""),5.0)</f>
        <v>5</v>
      </c>
      <c r="G1907" s="15" t="str">
        <f>IFERROR(__xludf.DUMMYFUNCTION("""COMPUTED_VALUE"""),"Completa")</f>
        <v>Completa</v>
      </c>
      <c r="H1907" s="16" t="str">
        <f t="array" ref="H1907">_xlfn.XLOOKUP(D1907,Productos[ID_Producto],Productos[Nombre_Producto])</f>
        <v>Atún enlatado</v>
      </c>
      <c r="I1907" s="17">
        <f t="array" ref="I1907">_xlfn.XLOOKUP(D1907,Productos[ID_Producto],Productos[Precio_Unitario])</f>
        <v>6.21</v>
      </c>
      <c r="J1907" s="17">
        <f t="shared" si="1"/>
        <v>24.84</v>
      </c>
      <c r="K1907" s="16" t="str">
        <f t="array" ref="K1907">_xlfn.XLOOKUP(C1907,Clientes[ID_Cliente],Clientes[Provincia])</f>
        <v>Neuquén</v>
      </c>
      <c r="L1907" s="16" t="str">
        <f t="array" ref="L1907">CONCATENATE(_xlfn.XLOOKUP(C1907,Clientes[ID_Cliente],Clientes[Provincia]),", Argentina")</f>
        <v>Neuquén, Argentina</v>
      </c>
      <c r="M1907" s="20" t="str">
        <f t="array" ref="M1907">_xlfn.XLOOKUP(F1907,Metodos_De_Pago[ID_Metodo],Metodos_De_Pago[Metodo])</f>
        <v>Transferencia</v>
      </c>
      <c r="N1907" s="20" t="str">
        <f t="shared" si="2"/>
        <v>2024 10</v>
      </c>
    </row>
    <row r="1908" ht="22.5" customHeight="1">
      <c r="A1908" s="12">
        <f>IFERROR(__xludf.DUMMYFUNCTION("""COMPUTED_VALUE"""),1027.0)</f>
        <v>1027</v>
      </c>
      <c r="B1908" s="13">
        <f>IFERROR(__xludf.DUMMYFUNCTION("""COMPUTED_VALUE"""),45595.0)</f>
        <v>45595</v>
      </c>
      <c r="C1908" s="12">
        <f>IFERROR(__xludf.DUMMYFUNCTION("""COMPUTED_VALUE"""),140.0)</f>
        <v>140</v>
      </c>
      <c r="D1908" s="12">
        <f>IFERROR(__xludf.DUMMYFUNCTION("""COMPUTED_VALUE"""),18.0)</f>
        <v>18</v>
      </c>
      <c r="E1908" s="12">
        <f>IFERROR(__xludf.DUMMYFUNCTION("""COMPUTED_VALUE"""),4.0)</f>
        <v>4</v>
      </c>
      <c r="F1908" s="12">
        <f>IFERROR(__xludf.DUMMYFUNCTION("""COMPUTED_VALUE"""),1.0)</f>
        <v>1</v>
      </c>
      <c r="G1908" s="15" t="str">
        <f>IFERROR(__xludf.DUMMYFUNCTION("""COMPUTED_VALUE"""),"Completa")</f>
        <v>Completa</v>
      </c>
      <c r="H1908" s="16" t="str">
        <f t="array" ref="H1908">_xlfn.XLOOKUP(D1908,Productos[ID_Producto],Productos[Nombre_Producto])</f>
        <v>Bananas</v>
      </c>
      <c r="I1908" s="17">
        <f t="array" ref="I1908">_xlfn.XLOOKUP(D1908,Productos[ID_Producto],Productos[Precio_Unitario])</f>
        <v>7.25</v>
      </c>
      <c r="J1908" s="17">
        <f t="shared" si="1"/>
        <v>29</v>
      </c>
      <c r="K1908" s="16" t="str">
        <f t="array" ref="K1908">_xlfn.XLOOKUP(C1908,Clientes[ID_Cliente],Clientes[Provincia])</f>
        <v>Chaco</v>
      </c>
      <c r="L1908" s="16" t="str">
        <f t="array" ref="L1908">CONCATENATE(_xlfn.XLOOKUP(C1908,Clientes[ID_Cliente],Clientes[Provincia]),", Argentina")</f>
        <v>Chaco, Argentina</v>
      </c>
      <c r="M1908" s="20" t="str">
        <f t="array" ref="M1908">_xlfn.XLOOKUP(F1908,Metodos_De_Pago[ID_Metodo],Metodos_De_Pago[Metodo])</f>
        <v>Efectivo</v>
      </c>
      <c r="N1908" s="20" t="str">
        <f t="shared" si="2"/>
        <v>2024 10</v>
      </c>
    </row>
    <row r="1909" ht="22.5" customHeight="1">
      <c r="A1909" s="12">
        <f>IFERROR(__xludf.DUMMYFUNCTION("""COMPUTED_VALUE"""),965.0)</f>
        <v>965</v>
      </c>
      <c r="B1909" s="13">
        <f>IFERROR(__xludf.DUMMYFUNCTION("""COMPUTED_VALUE"""),45596.0)</f>
        <v>45596</v>
      </c>
      <c r="C1909" s="12">
        <f>IFERROR(__xludf.DUMMYFUNCTION("""COMPUTED_VALUE"""),177.0)</f>
        <v>177</v>
      </c>
      <c r="D1909" s="12">
        <f>IFERROR(__xludf.DUMMYFUNCTION("""COMPUTED_VALUE"""),19.0)</f>
        <v>19</v>
      </c>
      <c r="E1909" s="12">
        <f>IFERROR(__xludf.DUMMYFUNCTION("""COMPUTED_VALUE"""),4.0)</f>
        <v>4</v>
      </c>
      <c r="F1909" s="12">
        <f>IFERROR(__xludf.DUMMYFUNCTION("""COMPUTED_VALUE"""),3.0)</f>
        <v>3</v>
      </c>
      <c r="G1909" s="15" t="str">
        <f>IFERROR(__xludf.DUMMYFUNCTION("""COMPUTED_VALUE"""),"Completa")</f>
        <v>Completa</v>
      </c>
      <c r="H1909" s="16" t="str">
        <f t="array" ref="H1909">_xlfn.XLOOKUP(D1909,Productos[ID_Producto],Productos[Nombre_Producto])</f>
        <v>Tomates</v>
      </c>
      <c r="I1909" s="17">
        <f t="array" ref="I1909">_xlfn.XLOOKUP(D1909,Productos[ID_Producto],Productos[Precio_Unitario])</f>
        <v>6.54</v>
      </c>
      <c r="J1909" s="17">
        <f t="shared" si="1"/>
        <v>26.16</v>
      </c>
      <c r="K1909" s="16" t="str">
        <f t="array" ref="K1909">_xlfn.XLOOKUP(C1909,Clientes[ID_Cliente],Clientes[Provincia])</f>
        <v>Chaco</v>
      </c>
      <c r="L1909" s="16" t="str">
        <f t="array" ref="L1909">CONCATENATE(_xlfn.XLOOKUP(C1909,Clientes[ID_Cliente],Clientes[Provincia]),", Argentina")</f>
        <v>Chaco, Argentina</v>
      </c>
      <c r="M1909" s="20" t="str">
        <f t="array" ref="M1909">_xlfn.XLOOKUP(F1909,Metodos_De_Pago[ID_Metodo],Metodos_De_Pago[Metodo])</f>
        <v>Tarjeta de Débito</v>
      </c>
      <c r="N1909" s="20" t="str">
        <f t="shared" si="2"/>
        <v>2024 10</v>
      </c>
    </row>
    <row r="1910" ht="22.5" customHeight="1">
      <c r="A1910" s="12">
        <f>IFERROR(__xludf.DUMMYFUNCTION("""COMPUTED_VALUE"""),1192.0)</f>
        <v>1192</v>
      </c>
      <c r="B1910" s="13">
        <f>IFERROR(__xludf.DUMMYFUNCTION("""COMPUTED_VALUE"""),45596.0)</f>
        <v>45596</v>
      </c>
      <c r="C1910" s="12">
        <f>IFERROR(__xludf.DUMMYFUNCTION("""COMPUTED_VALUE"""),277.0)</f>
        <v>277</v>
      </c>
      <c r="D1910" s="12">
        <f>IFERROR(__xludf.DUMMYFUNCTION("""COMPUTED_VALUE"""),8.0)</f>
        <v>8</v>
      </c>
      <c r="E1910" s="12">
        <f>IFERROR(__xludf.DUMMYFUNCTION("""COMPUTED_VALUE"""),4.0)</f>
        <v>4</v>
      </c>
      <c r="F1910" s="12">
        <f>IFERROR(__xludf.DUMMYFUNCTION("""COMPUTED_VALUE"""),5.0)</f>
        <v>5</v>
      </c>
      <c r="G1910" s="15" t="str">
        <f>IFERROR(__xludf.DUMMYFUNCTION("""COMPUTED_VALUE"""),"Pendiente")</f>
        <v>Pendiente</v>
      </c>
      <c r="H1910" s="16" t="str">
        <f t="array" ref="H1910">_xlfn.XLOOKUP(D1910,Productos[ID_Producto],Productos[Nombre_Producto])</f>
        <v>Milanesa</v>
      </c>
      <c r="I1910" s="17">
        <f t="array" ref="I1910">_xlfn.XLOOKUP(D1910,Productos[ID_Producto],Productos[Precio_Unitario])</f>
        <v>16.21</v>
      </c>
      <c r="J1910" s="17">
        <f t="shared" si="1"/>
        <v>64.84</v>
      </c>
      <c r="K1910" s="16" t="str">
        <f t="array" ref="K1910">_xlfn.XLOOKUP(C1910,Clientes[ID_Cliente],Clientes[Provincia])</f>
        <v>Neuquén</v>
      </c>
      <c r="L1910" s="16" t="str">
        <f t="array" ref="L1910">CONCATENATE(_xlfn.XLOOKUP(C1910,Clientes[ID_Cliente],Clientes[Provincia]),", Argentina")</f>
        <v>Neuquén, Argentina</v>
      </c>
      <c r="M1910" s="20" t="str">
        <f t="array" ref="M1910">_xlfn.XLOOKUP(F1910,Metodos_De_Pago[ID_Metodo],Metodos_De_Pago[Metodo])</f>
        <v>Transferencia</v>
      </c>
      <c r="N1910" s="20" t="str">
        <f t="shared" si="2"/>
        <v>2024 10</v>
      </c>
    </row>
    <row r="1911" ht="22.5" customHeight="1">
      <c r="A1911" s="12">
        <f>IFERROR(__xludf.DUMMYFUNCTION("""COMPUTED_VALUE"""),963.0)</f>
        <v>963</v>
      </c>
      <c r="B1911" s="13">
        <f>IFERROR(__xludf.DUMMYFUNCTION("""COMPUTED_VALUE"""),45597.0)</f>
        <v>45597</v>
      </c>
      <c r="C1911" s="12">
        <f>IFERROR(__xludf.DUMMYFUNCTION("""COMPUTED_VALUE"""),107.0)</f>
        <v>107</v>
      </c>
      <c r="D1911" s="12">
        <f>IFERROR(__xludf.DUMMYFUNCTION("""COMPUTED_VALUE"""),17.0)</f>
        <v>17</v>
      </c>
      <c r="E1911" s="12">
        <f>IFERROR(__xludf.DUMMYFUNCTION("""COMPUTED_VALUE"""),4.0)</f>
        <v>4</v>
      </c>
      <c r="F1911" s="12">
        <f>IFERROR(__xludf.DUMMYFUNCTION("""COMPUTED_VALUE"""),4.0)</f>
        <v>4</v>
      </c>
      <c r="G1911" s="15" t="str">
        <f>IFERROR(__xludf.DUMMYFUNCTION("""COMPUTED_VALUE"""),"Completa")</f>
        <v>Completa</v>
      </c>
      <c r="H1911" s="16" t="str">
        <f t="array" ref="H1911">_xlfn.XLOOKUP(D1911,Productos[ID_Producto],Productos[Nombre_Producto])</f>
        <v>Manzanas</v>
      </c>
      <c r="I1911" s="17">
        <f t="array" ref="I1911">_xlfn.XLOOKUP(D1911,Productos[ID_Producto],Productos[Precio_Unitario])</f>
        <v>6.54</v>
      </c>
      <c r="J1911" s="17">
        <f t="shared" si="1"/>
        <v>26.16</v>
      </c>
      <c r="K1911" s="16" t="str">
        <f t="array" ref="K1911">_xlfn.XLOOKUP(C1911,Clientes[ID_Cliente],Clientes[Provincia])</f>
        <v>Neuquén</v>
      </c>
      <c r="L1911" s="16" t="str">
        <f t="array" ref="L1911">CONCATENATE(_xlfn.XLOOKUP(C1911,Clientes[ID_Cliente],Clientes[Provincia]),", Argentina")</f>
        <v>Neuquén, Argentina</v>
      </c>
      <c r="M1911" s="20" t="str">
        <f t="array" ref="M1911">_xlfn.XLOOKUP(F1911,Metodos_De_Pago[ID_Metodo],Metodos_De_Pago[Metodo])</f>
        <v>Mercado Pago</v>
      </c>
      <c r="N1911" s="20" t="str">
        <f t="shared" si="2"/>
        <v>2024 11</v>
      </c>
    </row>
    <row r="1912" ht="22.5" customHeight="1">
      <c r="A1912" s="12">
        <f>IFERROR(__xludf.DUMMYFUNCTION("""COMPUTED_VALUE"""),2877.0)</f>
        <v>2877</v>
      </c>
      <c r="B1912" s="13">
        <f>IFERROR(__xludf.DUMMYFUNCTION("""COMPUTED_VALUE"""),45597.0)</f>
        <v>45597</v>
      </c>
      <c r="C1912" s="12">
        <f>IFERROR(__xludf.DUMMYFUNCTION("""COMPUTED_VALUE"""),152.0)</f>
        <v>152</v>
      </c>
      <c r="D1912" s="12">
        <f>IFERROR(__xludf.DUMMYFUNCTION("""COMPUTED_VALUE"""),23.0)</f>
        <v>23</v>
      </c>
      <c r="E1912" s="12">
        <f>IFERROR(__xludf.DUMMYFUNCTION("""COMPUTED_VALUE"""),4.0)</f>
        <v>4</v>
      </c>
      <c r="F1912" s="12">
        <f>IFERROR(__xludf.DUMMYFUNCTION("""COMPUTED_VALUE"""),5.0)</f>
        <v>5</v>
      </c>
      <c r="G1912" s="15" t="str">
        <f>IFERROR(__xludf.DUMMYFUNCTION("""COMPUTED_VALUE"""),"Pendiente")</f>
        <v>Pendiente</v>
      </c>
      <c r="H1912" s="16" t="str">
        <f t="array" ref="H1912">_xlfn.XLOOKUP(D1912,Productos[ID_Producto],Productos[Nombre_Producto])</f>
        <v>Papas fritas</v>
      </c>
      <c r="I1912" s="17">
        <f t="array" ref="I1912">_xlfn.XLOOKUP(D1912,Productos[ID_Producto],Productos[Precio_Unitario])</f>
        <v>8.23</v>
      </c>
      <c r="J1912" s="17">
        <f t="shared" si="1"/>
        <v>32.92</v>
      </c>
      <c r="K1912" s="16" t="str">
        <f t="array" ref="K1912">_xlfn.XLOOKUP(C1912,Clientes[ID_Cliente],Clientes[Provincia])</f>
        <v>Salta</v>
      </c>
      <c r="L1912" s="16" t="str">
        <f t="array" ref="L1912">CONCATENATE(_xlfn.XLOOKUP(C1912,Clientes[ID_Cliente],Clientes[Provincia]),", Argentina")</f>
        <v>Salta, Argentina</v>
      </c>
      <c r="M1912" s="20" t="str">
        <f t="array" ref="M1912">_xlfn.XLOOKUP(F1912,Metodos_De_Pago[ID_Metodo],Metodos_De_Pago[Metodo])</f>
        <v>Transferencia</v>
      </c>
      <c r="N1912" s="20" t="str">
        <f t="shared" si="2"/>
        <v>2024 11</v>
      </c>
    </row>
    <row r="1913" ht="22.5" customHeight="1">
      <c r="A1913" s="12">
        <f>IFERROR(__xludf.DUMMYFUNCTION("""COMPUTED_VALUE"""),93.0)</f>
        <v>93</v>
      </c>
      <c r="B1913" s="13">
        <f>IFERROR(__xludf.DUMMYFUNCTION("""COMPUTED_VALUE"""),45598.0)</f>
        <v>45598</v>
      </c>
      <c r="C1913" s="12">
        <f>IFERROR(__xludf.DUMMYFUNCTION("""COMPUTED_VALUE"""),101.0)</f>
        <v>101</v>
      </c>
      <c r="D1913" s="12">
        <f>IFERROR(__xludf.DUMMYFUNCTION("""COMPUTED_VALUE"""),26.0)</f>
        <v>26</v>
      </c>
      <c r="E1913" s="12">
        <f>IFERROR(__xludf.DUMMYFUNCTION("""COMPUTED_VALUE"""),4.0)</f>
        <v>4</v>
      </c>
      <c r="F1913" s="12">
        <f>IFERROR(__xludf.DUMMYFUNCTION("""COMPUTED_VALUE"""),2.0)</f>
        <v>2</v>
      </c>
      <c r="G1913" s="15" t="str">
        <f>IFERROR(__xludf.DUMMYFUNCTION("""COMPUTED_VALUE"""),"Pendiente")</f>
        <v>Pendiente</v>
      </c>
      <c r="H1913" s="16" t="str">
        <f t="array" ref="H1913">_xlfn.XLOOKUP(D1913,Productos[ID_Producto],Productos[Nombre_Producto])</f>
        <v>Hamburgesas congeladas</v>
      </c>
      <c r="I1913" s="17">
        <f t="array" ref="I1913">_xlfn.XLOOKUP(D1913,Productos[ID_Producto],Productos[Precio_Unitario])</f>
        <v>9.54</v>
      </c>
      <c r="J1913" s="17">
        <f t="shared" si="1"/>
        <v>38.16</v>
      </c>
      <c r="K1913" s="16" t="str">
        <f t="array" ref="K1913">_xlfn.XLOOKUP(C1913,Clientes[ID_Cliente],Clientes[Provincia])</f>
        <v>Buenos Aires</v>
      </c>
      <c r="L1913" s="16" t="str">
        <f t="array" ref="L1913">CONCATENATE(_xlfn.XLOOKUP(C1913,Clientes[ID_Cliente],Clientes[Provincia]),", Argentina")</f>
        <v>Buenos Aires, Argentina</v>
      </c>
      <c r="M1913" s="20" t="str">
        <f t="array" ref="M1913">_xlfn.XLOOKUP(F1913,Metodos_De_Pago[ID_Metodo],Metodos_De_Pago[Metodo])</f>
        <v>Tarjeta de Crédito</v>
      </c>
      <c r="N1913" s="20" t="str">
        <f t="shared" si="2"/>
        <v>2024 11</v>
      </c>
    </row>
    <row r="1914" ht="22.5" customHeight="1">
      <c r="A1914" s="12">
        <f>IFERROR(__xludf.DUMMYFUNCTION("""COMPUTED_VALUE"""),1869.0)</f>
        <v>1869</v>
      </c>
      <c r="B1914" s="13">
        <f>IFERROR(__xludf.DUMMYFUNCTION("""COMPUTED_VALUE"""),45598.0)</f>
        <v>45598</v>
      </c>
      <c r="C1914" s="12">
        <f>IFERROR(__xludf.DUMMYFUNCTION("""COMPUTED_VALUE"""),205.0)</f>
        <v>205</v>
      </c>
      <c r="D1914" s="12">
        <f>IFERROR(__xludf.DUMMYFUNCTION("""COMPUTED_VALUE"""),16.0)</f>
        <v>16</v>
      </c>
      <c r="E1914" s="12">
        <f>IFERROR(__xludf.DUMMYFUNCTION("""COMPUTED_VALUE"""),4.0)</f>
        <v>4</v>
      </c>
      <c r="F1914" s="12">
        <f>IFERROR(__xludf.DUMMYFUNCTION("""COMPUTED_VALUE"""),5.0)</f>
        <v>5</v>
      </c>
      <c r="G1914" s="15" t="str">
        <f>IFERROR(__xludf.DUMMYFUNCTION("""COMPUTED_VALUE"""),"Completa")</f>
        <v>Completa</v>
      </c>
      <c r="H1914" s="16" t="str">
        <f t="array" ref="H1914">_xlfn.XLOOKUP(D1914,Productos[ID_Producto],Productos[Nombre_Producto])</f>
        <v>Tortas</v>
      </c>
      <c r="I1914" s="17">
        <f t="array" ref="I1914">_xlfn.XLOOKUP(D1914,Productos[ID_Producto],Productos[Precio_Unitario])</f>
        <v>15.23</v>
      </c>
      <c r="J1914" s="17">
        <f t="shared" si="1"/>
        <v>60.92</v>
      </c>
      <c r="K1914" s="16" t="str">
        <f t="array" ref="K1914">_xlfn.XLOOKUP(C1914,Clientes[ID_Cliente],Clientes[Provincia])</f>
        <v>Neuquén</v>
      </c>
      <c r="L1914" s="16" t="str">
        <f t="array" ref="L1914">CONCATENATE(_xlfn.XLOOKUP(C1914,Clientes[ID_Cliente],Clientes[Provincia]),", Argentina")</f>
        <v>Neuquén, Argentina</v>
      </c>
      <c r="M1914" s="20" t="str">
        <f t="array" ref="M1914">_xlfn.XLOOKUP(F1914,Metodos_De_Pago[ID_Metodo],Metodos_De_Pago[Metodo])</f>
        <v>Transferencia</v>
      </c>
      <c r="N1914" s="20" t="str">
        <f t="shared" si="2"/>
        <v>2024 11</v>
      </c>
    </row>
    <row r="1915" ht="22.5" customHeight="1">
      <c r="A1915" s="12">
        <f>IFERROR(__xludf.DUMMYFUNCTION("""COMPUTED_VALUE"""),834.0)</f>
        <v>834</v>
      </c>
      <c r="B1915" s="13">
        <f>IFERROR(__xludf.DUMMYFUNCTION("""COMPUTED_VALUE"""),45599.0)</f>
        <v>45599</v>
      </c>
      <c r="C1915" s="12">
        <f>IFERROR(__xludf.DUMMYFUNCTION("""COMPUTED_VALUE"""),111.0)</f>
        <v>111</v>
      </c>
      <c r="D1915" s="12">
        <f>IFERROR(__xludf.DUMMYFUNCTION("""COMPUTED_VALUE"""),25.0)</f>
        <v>25</v>
      </c>
      <c r="E1915" s="12">
        <f>IFERROR(__xludf.DUMMYFUNCTION("""COMPUTED_VALUE"""),4.0)</f>
        <v>4</v>
      </c>
      <c r="F1915" s="12">
        <f>IFERROR(__xludf.DUMMYFUNCTION("""COMPUTED_VALUE"""),1.0)</f>
        <v>1</v>
      </c>
      <c r="G1915" s="15" t="str">
        <f>IFERROR(__xludf.DUMMYFUNCTION("""COMPUTED_VALUE"""),"Completa")</f>
        <v>Completa</v>
      </c>
      <c r="H1915" s="16" t="str">
        <f t="array" ref="H1915">_xlfn.XLOOKUP(D1915,Productos[ID_Producto],Productos[Nombre_Producto])</f>
        <v>Pizza congelada</v>
      </c>
      <c r="I1915" s="17">
        <f t="array" ref="I1915">_xlfn.XLOOKUP(D1915,Productos[ID_Producto],Productos[Precio_Unitario])</f>
        <v>15.45</v>
      </c>
      <c r="J1915" s="17">
        <f t="shared" si="1"/>
        <v>61.8</v>
      </c>
      <c r="K1915" s="16" t="str">
        <f t="array" ref="K1915">_xlfn.XLOOKUP(C1915,Clientes[ID_Cliente],Clientes[Provincia])</f>
        <v>San Luis</v>
      </c>
      <c r="L1915" s="16" t="str">
        <f t="array" ref="L1915">CONCATENATE(_xlfn.XLOOKUP(C1915,Clientes[ID_Cliente],Clientes[Provincia]),", Argentina")</f>
        <v>San Luis, Argentina</v>
      </c>
      <c r="M1915" s="20" t="str">
        <f t="array" ref="M1915">_xlfn.XLOOKUP(F1915,Metodos_De_Pago[ID_Metodo],Metodos_De_Pago[Metodo])</f>
        <v>Efectivo</v>
      </c>
      <c r="N1915" s="20" t="str">
        <f t="shared" si="2"/>
        <v>2024 11</v>
      </c>
    </row>
    <row r="1916" ht="22.5" customHeight="1">
      <c r="A1916" s="12">
        <f>IFERROR(__xludf.DUMMYFUNCTION("""COMPUTED_VALUE"""),1489.0)</f>
        <v>1489</v>
      </c>
      <c r="B1916" s="13">
        <f>IFERROR(__xludf.DUMMYFUNCTION("""COMPUTED_VALUE"""),45599.0)</f>
        <v>45599</v>
      </c>
      <c r="C1916" s="12">
        <f>IFERROR(__xludf.DUMMYFUNCTION("""COMPUTED_VALUE"""),22.0)</f>
        <v>22</v>
      </c>
      <c r="D1916" s="12">
        <f>IFERROR(__xludf.DUMMYFUNCTION("""COMPUTED_VALUE"""),8.0)</f>
        <v>8</v>
      </c>
      <c r="E1916" s="12">
        <f>IFERROR(__xludf.DUMMYFUNCTION("""COMPUTED_VALUE"""),4.0)</f>
        <v>4</v>
      </c>
      <c r="F1916" s="12">
        <f>IFERROR(__xludf.DUMMYFUNCTION("""COMPUTED_VALUE"""),5.0)</f>
        <v>5</v>
      </c>
      <c r="G1916" s="15" t="str">
        <f>IFERROR(__xludf.DUMMYFUNCTION("""COMPUTED_VALUE"""),"Completa")</f>
        <v>Completa</v>
      </c>
      <c r="H1916" s="16" t="str">
        <f t="array" ref="H1916">_xlfn.XLOOKUP(D1916,Productos[ID_Producto],Productos[Nombre_Producto])</f>
        <v>Milanesa</v>
      </c>
      <c r="I1916" s="17">
        <f t="array" ref="I1916">_xlfn.XLOOKUP(D1916,Productos[ID_Producto],Productos[Precio_Unitario])</f>
        <v>16.21</v>
      </c>
      <c r="J1916" s="17">
        <f t="shared" si="1"/>
        <v>64.84</v>
      </c>
      <c r="K1916" s="16" t="str">
        <f t="array" ref="K1916">_xlfn.XLOOKUP(C1916,Clientes[ID_Cliente],Clientes[Provincia])</f>
        <v>Córdoba</v>
      </c>
      <c r="L1916" s="16" t="str">
        <f t="array" ref="L1916">CONCATENATE(_xlfn.XLOOKUP(C1916,Clientes[ID_Cliente],Clientes[Provincia]),", Argentina")</f>
        <v>Córdoba, Argentina</v>
      </c>
      <c r="M1916" s="20" t="str">
        <f t="array" ref="M1916">_xlfn.XLOOKUP(F1916,Metodos_De_Pago[ID_Metodo],Metodos_De_Pago[Metodo])</f>
        <v>Transferencia</v>
      </c>
      <c r="N1916" s="20" t="str">
        <f t="shared" si="2"/>
        <v>2024 11</v>
      </c>
    </row>
    <row r="1917" ht="22.5" customHeight="1">
      <c r="A1917" s="12">
        <f>IFERROR(__xludf.DUMMYFUNCTION("""COMPUTED_VALUE"""),1711.0)</f>
        <v>1711</v>
      </c>
      <c r="B1917" s="13">
        <f>IFERROR(__xludf.DUMMYFUNCTION("""COMPUTED_VALUE"""),45599.0)</f>
        <v>45599</v>
      </c>
      <c r="C1917" s="12">
        <f>IFERROR(__xludf.DUMMYFUNCTION("""COMPUTED_VALUE"""),183.0)</f>
        <v>183</v>
      </c>
      <c r="D1917" s="12">
        <f>IFERROR(__xludf.DUMMYFUNCTION("""COMPUTED_VALUE"""),19.0)</f>
        <v>19</v>
      </c>
      <c r="E1917" s="12">
        <f>IFERROR(__xludf.DUMMYFUNCTION("""COMPUTED_VALUE"""),4.0)</f>
        <v>4</v>
      </c>
      <c r="F1917" s="12">
        <f>IFERROR(__xludf.DUMMYFUNCTION("""COMPUTED_VALUE"""),4.0)</f>
        <v>4</v>
      </c>
      <c r="G1917" s="15" t="str">
        <f>IFERROR(__xludf.DUMMYFUNCTION("""COMPUTED_VALUE"""),"Completa")</f>
        <v>Completa</v>
      </c>
      <c r="H1917" s="16" t="str">
        <f t="array" ref="H1917">_xlfn.XLOOKUP(D1917,Productos[ID_Producto],Productos[Nombre_Producto])</f>
        <v>Tomates</v>
      </c>
      <c r="I1917" s="17">
        <f t="array" ref="I1917">_xlfn.XLOOKUP(D1917,Productos[ID_Producto],Productos[Precio_Unitario])</f>
        <v>6.54</v>
      </c>
      <c r="J1917" s="17">
        <f t="shared" si="1"/>
        <v>26.16</v>
      </c>
      <c r="K1917" s="16" t="str">
        <f t="array" ref="K1917">_xlfn.XLOOKUP(C1917,Clientes[ID_Cliente],Clientes[Provincia])</f>
        <v>Neuquén</v>
      </c>
      <c r="L1917" s="16" t="str">
        <f t="array" ref="L1917">CONCATENATE(_xlfn.XLOOKUP(C1917,Clientes[ID_Cliente],Clientes[Provincia]),", Argentina")</f>
        <v>Neuquén, Argentina</v>
      </c>
      <c r="M1917" s="20" t="str">
        <f t="array" ref="M1917">_xlfn.XLOOKUP(F1917,Metodos_De_Pago[ID_Metodo],Metodos_De_Pago[Metodo])</f>
        <v>Mercado Pago</v>
      </c>
      <c r="N1917" s="20" t="str">
        <f t="shared" si="2"/>
        <v>2024 11</v>
      </c>
    </row>
    <row r="1918" ht="22.5" customHeight="1">
      <c r="A1918" s="12">
        <f>IFERROR(__xludf.DUMMYFUNCTION("""COMPUTED_VALUE"""),1573.0)</f>
        <v>1573</v>
      </c>
      <c r="B1918" s="13">
        <f>IFERROR(__xludf.DUMMYFUNCTION("""COMPUTED_VALUE"""),45600.0)</f>
        <v>45600</v>
      </c>
      <c r="C1918" s="12">
        <f>IFERROR(__xludf.DUMMYFUNCTION("""COMPUTED_VALUE"""),298.0)</f>
        <v>298</v>
      </c>
      <c r="D1918" s="12">
        <f>IFERROR(__xludf.DUMMYFUNCTION("""COMPUTED_VALUE"""),24.0)</f>
        <v>24</v>
      </c>
      <c r="E1918" s="12">
        <f>IFERROR(__xludf.DUMMYFUNCTION("""COMPUTED_VALUE"""),4.0)</f>
        <v>4</v>
      </c>
      <c r="F1918" s="12">
        <f>IFERROR(__xludf.DUMMYFUNCTION("""COMPUTED_VALUE"""),4.0)</f>
        <v>4</v>
      </c>
      <c r="G1918" s="15" t="str">
        <f>IFERROR(__xludf.DUMMYFUNCTION("""COMPUTED_VALUE"""),"Completa")</f>
        <v>Completa</v>
      </c>
      <c r="H1918" s="16" t="str">
        <f t="array" ref="H1918">_xlfn.XLOOKUP(D1918,Productos[ID_Producto],Productos[Nombre_Producto])</f>
        <v>Empanadas</v>
      </c>
      <c r="I1918" s="17">
        <f t="array" ref="I1918">_xlfn.XLOOKUP(D1918,Productos[ID_Producto],Productos[Precio_Unitario])</f>
        <v>13.54</v>
      </c>
      <c r="J1918" s="17">
        <f t="shared" si="1"/>
        <v>54.16</v>
      </c>
      <c r="K1918" s="16" t="str">
        <f t="array" ref="K1918">_xlfn.XLOOKUP(C1918,Clientes[ID_Cliente],Clientes[Provincia])</f>
        <v>Buenos Aires</v>
      </c>
      <c r="L1918" s="16" t="str">
        <f t="array" ref="L1918">CONCATENATE(_xlfn.XLOOKUP(C1918,Clientes[ID_Cliente],Clientes[Provincia]),", Argentina")</f>
        <v>Buenos Aires, Argentina</v>
      </c>
      <c r="M1918" s="20" t="str">
        <f t="array" ref="M1918">_xlfn.XLOOKUP(F1918,Metodos_De_Pago[ID_Metodo],Metodos_De_Pago[Metodo])</f>
        <v>Mercado Pago</v>
      </c>
      <c r="N1918" s="20" t="str">
        <f t="shared" si="2"/>
        <v>2024 11</v>
      </c>
    </row>
    <row r="1919" ht="22.5" customHeight="1">
      <c r="A1919" s="12">
        <f>IFERROR(__xludf.DUMMYFUNCTION("""COMPUTED_VALUE"""),2646.0)</f>
        <v>2646</v>
      </c>
      <c r="B1919" s="13">
        <f>IFERROR(__xludf.DUMMYFUNCTION("""COMPUTED_VALUE"""),45601.0)</f>
        <v>45601</v>
      </c>
      <c r="C1919" s="12">
        <f>IFERROR(__xludf.DUMMYFUNCTION("""COMPUTED_VALUE"""),228.0)</f>
        <v>228</v>
      </c>
      <c r="D1919" s="12">
        <f>IFERROR(__xludf.DUMMYFUNCTION("""COMPUTED_VALUE"""),10.0)</f>
        <v>10</v>
      </c>
      <c r="E1919" s="12">
        <f>IFERROR(__xludf.DUMMYFUNCTION("""COMPUTED_VALUE"""),4.0)</f>
        <v>4</v>
      </c>
      <c r="F1919" s="12">
        <f>IFERROR(__xludf.DUMMYFUNCTION("""COMPUTED_VALUE"""),5.0)</f>
        <v>5</v>
      </c>
      <c r="G1919" s="15" t="str">
        <f>IFERROR(__xludf.DUMMYFUNCTION("""COMPUTED_VALUE"""),"Completa")</f>
        <v>Completa</v>
      </c>
      <c r="H1919" s="16" t="str">
        <f t="array" ref="H1919">_xlfn.XLOOKUP(D1919,Productos[ID_Producto],Productos[Nombre_Producto])</f>
        <v>Costilla de cerdo</v>
      </c>
      <c r="I1919" s="17">
        <f t="array" ref="I1919">_xlfn.XLOOKUP(D1919,Productos[ID_Producto],Productos[Precio_Unitario])</f>
        <v>14.25</v>
      </c>
      <c r="J1919" s="17">
        <f t="shared" si="1"/>
        <v>57</v>
      </c>
      <c r="K1919" s="16" t="str">
        <f t="array" ref="K1919">_xlfn.XLOOKUP(C1919,Clientes[ID_Cliente],Clientes[Provincia])</f>
        <v>Córdoba</v>
      </c>
      <c r="L1919" s="16" t="str">
        <f t="array" ref="L1919">CONCATENATE(_xlfn.XLOOKUP(C1919,Clientes[ID_Cliente],Clientes[Provincia]),", Argentina")</f>
        <v>Córdoba, Argentina</v>
      </c>
      <c r="M1919" s="20" t="str">
        <f t="array" ref="M1919">_xlfn.XLOOKUP(F1919,Metodos_De_Pago[ID_Metodo],Metodos_De_Pago[Metodo])</f>
        <v>Transferencia</v>
      </c>
      <c r="N1919" s="20" t="str">
        <f t="shared" si="2"/>
        <v>2024 11</v>
      </c>
    </row>
    <row r="1920" ht="22.5" customHeight="1">
      <c r="A1920" s="12">
        <f>IFERROR(__xludf.DUMMYFUNCTION("""COMPUTED_VALUE"""),980.0)</f>
        <v>980</v>
      </c>
      <c r="B1920" s="13">
        <f>IFERROR(__xludf.DUMMYFUNCTION("""COMPUTED_VALUE"""),45602.0)</f>
        <v>45602</v>
      </c>
      <c r="C1920" s="12">
        <f>IFERROR(__xludf.DUMMYFUNCTION("""COMPUTED_VALUE"""),119.0)</f>
        <v>119</v>
      </c>
      <c r="D1920" s="12">
        <f>IFERROR(__xludf.DUMMYFUNCTION("""COMPUTED_VALUE"""),6.0)</f>
        <v>6</v>
      </c>
      <c r="E1920" s="12">
        <f>IFERROR(__xludf.DUMMYFUNCTION("""COMPUTED_VALUE"""),4.0)</f>
        <v>4</v>
      </c>
      <c r="F1920" s="12">
        <f>IFERROR(__xludf.DUMMYFUNCTION("""COMPUTED_VALUE"""),4.0)</f>
        <v>4</v>
      </c>
      <c r="G1920" s="15" t="str">
        <f>IFERROR(__xludf.DUMMYFUNCTION("""COMPUTED_VALUE"""),"Completa")</f>
        <v>Completa</v>
      </c>
      <c r="H1920" s="16" t="str">
        <f t="array" ref="H1920">_xlfn.XLOOKUP(D1920,Productos[ID_Producto],Productos[Nombre_Producto])</f>
        <v>Asado</v>
      </c>
      <c r="I1920" s="17">
        <f t="array" ref="I1920">_xlfn.XLOOKUP(D1920,Productos[ID_Producto],Productos[Precio_Unitario])</f>
        <v>28.56</v>
      </c>
      <c r="J1920" s="17">
        <f t="shared" si="1"/>
        <v>114.24</v>
      </c>
      <c r="K1920" s="16" t="str">
        <f t="array" ref="K1920">_xlfn.XLOOKUP(C1920,Clientes[ID_Cliente],Clientes[Provincia])</f>
        <v>Neuquén</v>
      </c>
      <c r="L1920" s="16" t="str">
        <f t="array" ref="L1920">CONCATENATE(_xlfn.XLOOKUP(C1920,Clientes[ID_Cliente],Clientes[Provincia]),", Argentina")</f>
        <v>Neuquén, Argentina</v>
      </c>
      <c r="M1920" s="20" t="str">
        <f t="array" ref="M1920">_xlfn.XLOOKUP(F1920,Metodos_De_Pago[ID_Metodo],Metodos_De_Pago[Metodo])</f>
        <v>Mercado Pago</v>
      </c>
      <c r="N1920" s="20" t="str">
        <f t="shared" si="2"/>
        <v>2024 11</v>
      </c>
    </row>
    <row r="1921" ht="22.5" customHeight="1">
      <c r="A1921" s="12">
        <f>IFERROR(__xludf.DUMMYFUNCTION("""COMPUTED_VALUE"""),2500.0)</f>
        <v>2500</v>
      </c>
      <c r="B1921" s="13">
        <f>IFERROR(__xludf.DUMMYFUNCTION("""COMPUTED_VALUE"""),45602.0)</f>
        <v>45602</v>
      </c>
      <c r="C1921" s="12">
        <f>IFERROR(__xludf.DUMMYFUNCTION("""COMPUTED_VALUE"""),20.0)</f>
        <v>20</v>
      </c>
      <c r="D1921" s="12">
        <f>IFERROR(__xludf.DUMMYFUNCTION("""COMPUTED_VALUE"""),23.0)</f>
        <v>23</v>
      </c>
      <c r="E1921" s="12">
        <f>IFERROR(__xludf.DUMMYFUNCTION("""COMPUTED_VALUE"""),4.0)</f>
        <v>4</v>
      </c>
      <c r="F1921" s="12">
        <f>IFERROR(__xludf.DUMMYFUNCTION("""COMPUTED_VALUE"""),5.0)</f>
        <v>5</v>
      </c>
      <c r="G1921" s="15" t="str">
        <f>IFERROR(__xludf.DUMMYFUNCTION("""COMPUTED_VALUE"""),"Completa")</f>
        <v>Completa</v>
      </c>
      <c r="H1921" s="16" t="str">
        <f t="array" ref="H1921">_xlfn.XLOOKUP(D1921,Productos[ID_Producto],Productos[Nombre_Producto])</f>
        <v>Papas fritas</v>
      </c>
      <c r="I1921" s="17">
        <f t="array" ref="I1921">_xlfn.XLOOKUP(D1921,Productos[ID_Producto],Productos[Precio_Unitario])</f>
        <v>8.23</v>
      </c>
      <c r="J1921" s="17">
        <f t="shared" si="1"/>
        <v>32.92</v>
      </c>
      <c r="K1921" s="16" t="str">
        <f t="array" ref="K1921">_xlfn.XLOOKUP(C1921,Clientes[ID_Cliente],Clientes[Provincia])</f>
        <v>San Luis</v>
      </c>
      <c r="L1921" s="16" t="str">
        <f t="array" ref="L1921">CONCATENATE(_xlfn.XLOOKUP(C1921,Clientes[ID_Cliente],Clientes[Provincia]),", Argentina")</f>
        <v>San Luis, Argentina</v>
      </c>
      <c r="M1921" s="20" t="str">
        <f t="array" ref="M1921">_xlfn.XLOOKUP(F1921,Metodos_De_Pago[ID_Metodo],Metodos_De_Pago[Metodo])</f>
        <v>Transferencia</v>
      </c>
      <c r="N1921" s="20" t="str">
        <f t="shared" si="2"/>
        <v>2024 11</v>
      </c>
    </row>
    <row r="1922" ht="22.5" customHeight="1">
      <c r="A1922" s="12">
        <f>IFERROR(__xludf.DUMMYFUNCTION("""COMPUTED_VALUE"""),366.0)</f>
        <v>366</v>
      </c>
      <c r="B1922" s="13">
        <f>IFERROR(__xludf.DUMMYFUNCTION("""COMPUTED_VALUE"""),45604.0)</f>
        <v>45604</v>
      </c>
      <c r="C1922" s="12">
        <f>IFERROR(__xludf.DUMMYFUNCTION("""COMPUTED_VALUE"""),111.0)</f>
        <v>111</v>
      </c>
      <c r="D1922" s="12">
        <f>IFERROR(__xludf.DUMMYFUNCTION("""COMPUTED_VALUE"""),37.0)</f>
        <v>37</v>
      </c>
      <c r="E1922" s="12">
        <f>IFERROR(__xludf.DUMMYFUNCTION("""COMPUTED_VALUE"""),4.0)</f>
        <v>4</v>
      </c>
      <c r="F1922" s="12">
        <f>IFERROR(__xludf.DUMMYFUNCTION("""COMPUTED_VALUE"""),4.0)</f>
        <v>4</v>
      </c>
      <c r="G1922" s="15" t="str">
        <f>IFERROR(__xludf.DUMMYFUNCTION("""COMPUTED_VALUE"""),"Completa")</f>
        <v>Completa</v>
      </c>
      <c r="H1922" s="16" t="str">
        <f t="array" ref="H1922">_xlfn.XLOOKUP(D1922,Productos[ID_Producto],Productos[Nombre_Producto])</f>
        <v>Garbanzos</v>
      </c>
      <c r="I1922" s="17">
        <f t="array" ref="I1922">_xlfn.XLOOKUP(D1922,Productos[ID_Producto],Productos[Precio_Unitario])</f>
        <v>3.65</v>
      </c>
      <c r="J1922" s="17">
        <f t="shared" si="1"/>
        <v>14.6</v>
      </c>
      <c r="K1922" s="16" t="str">
        <f t="array" ref="K1922">_xlfn.XLOOKUP(C1922,Clientes[ID_Cliente],Clientes[Provincia])</f>
        <v>San Luis</v>
      </c>
      <c r="L1922" s="16" t="str">
        <f t="array" ref="L1922">CONCATENATE(_xlfn.XLOOKUP(C1922,Clientes[ID_Cliente],Clientes[Provincia]),", Argentina")</f>
        <v>San Luis, Argentina</v>
      </c>
      <c r="M1922" s="20" t="str">
        <f t="array" ref="M1922">_xlfn.XLOOKUP(F1922,Metodos_De_Pago[ID_Metodo],Metodos_De_Pago[Metodo])</f>
        <v>Mercado Pago</v>
      </c>
      <c r="N1922" s="20" t="str">
        <f t="shared" si="2"/>
        <v>2024 11</v>
      </c>
    </row>
    <row r="1923" ht="22.5" customHeight="1">
      <c r="A1923" s="12">
        <f>IFERROR(__xludf.DUMMYFUNCTION("""COMPUTED_VALUE"""),1721.0)</f>
        <v>1721</v>
      </c>
      <c r="B1923" s="13">
        <f>IFERROR(__xludf.DUMMYFUNCTION("""COMPUTED_VALUE"""),45604.0)</f>
        <v>45604</v>
      </c>
      <c r="C1923" s="12">
        <f>IFERROR(__xludf.DUMMYFUNCTION("""COMPUTED_VALUE"""),46.0)</f>
        <v>46</v>
      </c>
      <c r="D1923" s="12">
        <f>IFERROR(__xludf.DUMMYFUNCTION("""COMPUTED_VALUE"""),30.0)</f>
        <v>30</v>
      </c>
      <c r="E1923" s="12">
        <f>IFERROR(__xludf.DUMMYFUNCTION("""COMPUTED_VALUE"""),4.0)</f>
        <v>4</v>
      </c>
      <c r="F1923" s="12">
        <f>IFERROR(__xludf.DUMMYFUNCTION("""COMPUTED_VALUE"""),1.0)</f>
        <v>1</v>
      </c>
      <c r="G1923" s="15" t="str">
        <f>IFERROR(__xludf.DUMMYFUNCTION("""COMPUTED_VALUE"""),"Completa")</f>
        <v>Completa</v>
      </c>
      <c r="H1923" s="16" t="str">
        <f t="array" ref="H1923">_xlfn.XLOOKUP(D1923,Productos[ID_Producto],Productos[Nombre_Producto])</f>
        <v>Vino tinto</v>
      </c>
      <c r="I1923" s="17">
        <f t="array" ref="I1923">_xlfn.XLOOKUP(D1923,Productos[ID_Producto],Productos[Precio_Unitario])</f>
        <v>13.54</v>
      </c>
      <c r="J1923" s="17">
        <f t="shared" si="1"/>
        <v>54.16</v>
      </c>
      <c r="K1923" s="16" t="str">
        <f t="array" ref="K1923">_xlfn.XLOOKUP(C1923,Clientes[ID_Cliente],Clientes[Provincia])</f>
        <v>Córdoba</v>
      </c>
      <c r="L1923" s="16" t="str">
        <f t="array" ref="L1923">CONCATENATE(_xlfn.XLOOKUP(C1923,Clientes[ID_Cliente],Clientes[Provincia]),", Argentina")</f>
        <v>Córdoba, Argentina</v>
      </c>
      <c r="M1923" s="20" t="str">
        <f t="array" ref="M1923">_xlfn.XLOOKUP(F1923,Metodos_De_Pago[ID_Metodo],Metodos_De_Pago[Metodo])</f>
        <v>Efectivo</v>
      </c>
      <c r="N1923" s="20" t="str">
        <f t="shared" si="2"/>
        <v>2024 11</v>
      </c>
    </row>
    <row r="1924" ht="22.5" customHeight="1">
      <c r="A1924" s="12">
        <f>IFERROR(__xludf.DUMMYFUNCTION("""COMPUTED_VALUE"""),2228.0)</f>
        <v>2228</v>
      </c>
      <c r="B1924" s="13">
        <f>IFERROR(__xludf.DUMMYFUNCTION("""COMPUTED_VALUE"""),45604.0)</f>
        <v>45604</v>
      </c>
      <c r="C1924" s="12">
        <f>IFERROR(__xludf.DUMMYFUNCTION("""COMPUTED_VALUE"""),155.0)</f>
        <v>155</v>
      </c>
      <c r="D1924" s="12">
        <f>IFERROR(__xludf.DUMMYFUNCTION("""COMPUTED_VALUE"""),29.0)</f>
        <v>29</v>
      </c>
      <c r="E1924" s="12">
        <f>IFERROR(__xludf.DUMMYFUNCTION("""COMPUTED_VALUE"""),4.0)</f>
        <v>4</v>
      </c>
      <c r="F1924" s="12">
        <f>IFERROR(__xludf.DUMMYFUNCTION("""COMPUTED_VALUE"""),4.0)</f>
        <v>4</v>
      </c>
      <c r="G1924" s="15" t="str">
        <f>IFERROR(__xludf.DUMMYFUNCTION("""COMPUTED_VALUE"""),"Completa")</f>
        <v>Completa</v>
      </c>
      <c r="H1924" s="16" t="str">
        <f t="array" ref="H1924">_xlfn.XLOOKUP(D1924,Productos[ID_Producto],Productos[Nombre_Producto])</f>
        <v>Cerveza</v>
      </c>
      <c r="I1924" s="17">
        <f t="array" ref="I1924">_xlfn.XLOOKUP(D1924,Productos[ID_Producto],Productos[Precio_Unitario])</f>
        <v>11.54</v>
      </c>
      <c r="J1924" s="17">
        <f t="shared" si="1"/>
        <v>46.16</v>
      </c>
      <c r="K1924" s="16" t="str">
        <f t="array" ref="K1924">_xlfn.XLOOKUP(C1924,Clientes[ID_Cliente],Clientes[Provincia])</f>
        <v>San Luis</v>
      </c>
      <c r="L1924" s="16" t="str">
        <f t="array" ref="L1924">CONCATENATE(_xlfn.XLOOKUP(C1924,Clientes[ID_Cliente],Clientes[Provincia]),", Argentina")</f>
        <v>San Luis, Argentina</v>
      </c>
      <c r="M1924" s="20" t="str">
        <f t="array" ref="M1924">_xlfn.XLOOKUP(F1924,Metodos_De_Pago[ID_Metodo],Metodos_De_Pago[Metodo])</f>
        <v>Mercado Pago</v>
      </c>
      <c r="N1924" s="20" t="str">
        <f t="shared" si="2"/>
        <v>2024 11</v>
      </c>
    </row>
    <row r="1925" ht="22.5" customHeight="1">
      <c r="A1925" s="12">
        <f>IFERROR(__xludf.DUMMYFUNCTION("""COMPUTED_VALUE"""),1219.0)</f>
        <v>1219</v>
      </c>
      <c r="B1925" s="13">
        <f>IFERROR(__xludf.DUMMYFUNCTION("""COMPUTED_VALUE"""),45605.0)</f>
        <v>45605</v>
      </c>
      <c r="C1925" s="12">
        <f>IFERROR(__xludf.DUMMYFUNCTION("""COMPUTED_VALUE"""),125.0)</f>
        <v>125</v>
      </c>
      <c r="D1925" s="12">
        <f>IFERROR(__xludf.DUMMYFUNCTION("""COMPUTED_VALUE"""),37.0)</f>
        <v>37</v>
      </c>
      <c r="E1925" s="12">
        <f>IFERROR(__xludf.DUMMYFUNCTION("""COMPUTED_VALUE"""),4.0)</f>
        <v>4</v>
      </c>
      <c r="F1925" s="12">
        <f>IFERROR(__xludf.DUMMYFUNCTION("""COMPUTED_VALUE"""),3.0)</f>
        <v>3</v>
      </c>
      <c r="G1925" s="15" t="str">
        <f>IFERROR(__xludf.DUMMYFUNCTION("""COMPUTED_VALUE"""),"Completa")</f>
        <v>Completa</v>
      </c>
      <c r="H1925" s="16" t="str">
        <f t="array" ref="H1925">_xlfn.XLOOKUP(D1925,Productos[ID_Producto],Productos[Nombre_Producto])</f>
        <v>Garbanzos</v>
      </c>
      <c r="I1925" s="17">
        <f t="array" ref="I1925">_xlfn.XLOOKUP(D1925,Productos[ID_Producto],Productos[Precio_Unitario])</f>
        <v>3.65</v>
      </c>
      <c r="J1925" s="17">
        <f t="shared" si="1"/>
        <v>14.6</v>
      </c>
      <c r="K1925" s="16" t="str">
        <f t="array" ref="K1925">_xlfn.XLOOKUP(C1925,Clientes[ID_Cliente],Clientes[Provincia])</f>
        <v>Neuquén</v>
      </c>
      <c r="L1925" s="16" t="str">
        <f t="array" ref="L1925">CONCATENATE(_xlfn.XLOOKUP(C1925,Clientes[ID_Cliente],Clientes[Provincia]),", Argentina")</f>
        <v>Neuquén, Argentina</v>
      </c>
      <c r="M1925" s="20" t="str">
        <f t="array" ref="M1925">_xlfn.XLOOKUP(F1925,Metodos_De_Pago[ID_Metodo],Metodos_De_Pago[Metodo])</f>
        <v>Tarjeta de Débito</v>
      </c>
      <c r="N1925" s="20" t="str">
        <f t="shared" si="2"/>
        <v>2024 11</v>
      </c>
    </row>
    <row r="1926" ht="22.5" customHeight="1">
      <c r="A1926" s="12">
        <f>IFERROR(__xludf.DUMMYFUNCTION("""COMPUTED_VALUE"""),2367.0)</f>
        <v>2367</v>
      </c>
      <c r="B1926" s="13">
        <f>IFERROR(__xludf.DUMMYFUNCTION("""COMPUTED_VALUE"""),45605.0)</f>
        <v>45605</v>
      </c>
      <c r="C1926" s="12">
        <f>IFERROR(__xludf.DUMMYFUNCTION("""COMPUTED_VALUE"""),83.0)</f>
        <v>83</v>
      </c>
      <c r="D1926" s="12">
        <f>IFERROR(__xludf.DUMMYFUNCTION("""COMPUTED_VALUE"""),20.0)</f>
        <v>20</v>
      </c>
      <c r="E1926" s="12">
        <f>IFERROR(__xludf.DUMMYFUNCTION("""COMPUTED_VALUE"""),4.0)</f>
        <v>4</v>
      </c>
      <c r="F1926" s="12">
        <f>IFERROR(__xludf.DUMMYFUNCTION("""COMPUTED_VALUE"""),1.0)</f>
        <v>1</v>
      </c>
      <c r="G1926" s="15" t="str">
        <f>IFERROR(__xludf.DUMMYFUNCTION("""COMPUTED_VALUE"""),"Completa")</f>
        <v>Completa</v>
      </c>
      <c r="H1926" s="16" t="str">
        <f t="array" ref="H1926">_xlfn.XLOOKUP(D1926,Productos[ID_Producto],Productos[Nombre_Producto])</f>
        <v>Lechugas</v>
      </c>
      <c r="I1926" s="17">
        <f t="array" ref="I1926">_xlfn.XLOOKUP(D1926,Productos[ID_Producto],Productos[Precio_Unitario])</f>
        <v>4.25</v>
      </c>
      <c r="J1926" s="17">
        <f t="shared" si="1"/>
        <v>17</v>
      </c>
      <c r="K1926" s="16" t="str">
        <f t="array" ref="K1926">_xlfn.XLOOKUP(C1926,Clientes[ID_Cliente],Clientes[Provincia])</f>
        <v>Buenos Aires</v>
      </c>
      <c r="L1926" s="16" t="str">
        <f t="array" ref="L1926">CONCATENATE(_xlfn.XLOOKUP(C1926,Clientes[ID_Cliente],Clientes[Provincia]),", Argentina")</f>
        <v>Buenos Aires, Argentina</v>
      </c>
      <c r="M1926" s="20" t="str">
        <f t="array" ref="M1926">_xlfn.XLOOKUP(F1926,Metodos_De_Pago[ID_Metodo],Metodos_De_Pago[Metodo])</f>
        <v>Efectivo</v>
      </c>
      <c r="N1926" s="20" t="str">
        <f t="shared" si="2"/>
        <v>2024 11</v>
      </c>
    </row>
    <row r="1927" ht="22.5" customHeight="1">
      <c r="A1927" s="12">
        <f>IFERROR(__xludf.DUMMYFUNCTION("""COMPUTED_VALUE"""),940.0)</f>
        <v>940</v>
      </c>
      <c r="B1927" s="13">
        <f>IFERROR(__xludf.DUMMYFUNCTION("""COMPUTED_VALUE"""),45607.0)</f>
        <v>45607</v>
      </c>
      <c r="C1927" s="12">
        <f>IFERROR(__xludf.DUMMYFUNCTION("""COMPUTED_VALUE"""),220.0)</f>
        <v>220</v>
      </c>
      <c r="D1927" s="12">
        <f>IFERROR(__xludf.DUMMYFUNCTION("""COMPUTED_VALUE"""),29.0)</f>
        <v>29</v>
      </c>
      <c r="E1927" s="12">
        <f>IFERROR(__xludf.DUMMYFUNCTION("""COMPUTED_VALUE"""),4.0)</f>
        <v>4</v>
      </c>
      <c r="F1927" s="12">
        <f>IFERROR(__xludf.DUMMYFUNCTION("""COMPUTED_VALUE"""),2.0)</f>
        <v>2</v>
      </c>
      <c r="G1927" s="15" t="str">
        <f>IFERROR(__xludf.DUMMYFUNCTION("""COMPUTED_VALUE"""),"Completa")</f>
        <v>Completa</v>
      </c>
      <c r="H1927" s="16" t="str">
        <f t="array" ref="H1927">_xlfn.XLOOKUP(D1927,Productos[ID_Producto],Productos[Nombre_Producto])</f>
        <v>Cerveza</v>
      </c>
      <c r="I1927" s="17">
        <f t="array" ref="I1927">_xlfn.XLOOKUP(D1927,Productos[ID_Producto],Productos[Precio_Unitario])</f>
        <v>11.54</v>
      </c>
      <c r="J1927" s="17">
        <f t="shared" si="1"/>
        <v>46.16</v>
      </c>
      <c r="K1927" s="16" t="str">
        <f t="array" ref="K1927">_xlfn.XLOOKUP(C1927,Clientes[ID_Cliente],Clientes[Provincia])</f>
        <v>Córdoba</v>
      </c>
      <c r="L1927" s="16" t="str">
        <f t="array" ref="L1927">CONCATENATE(_xlfn.XLOOKUP(C1927,Clientes[ID_Cliente],Clientes[Provincia]),", Argentina")</f>
        <v>Córdoba, Argentina</v>
      </c>
      <c r="M1927" s="20" t="str">
        <f t="array" ref="M1927">_xlfn.XLOOKUP(F1927,Metodos_De_Pago[ID_Metodo],Metodos_De_Pago[Metodo])</f>
        <v>Tarjeta de Crédito</v>
      </c>
      <c r="N1927" s="20" t="str">
        <f t="shared" si="2"/>
        <v>2024 11</v>
      </c>
    </row>
    <row r="1928" ht="22.5" customHeight="1">
      <c r="A1928" s="12">
        <f>IFERROR(__xludf.DUMMYFUNCTION("""COMPUTED_VALUE"""),1910.0)</f>
        <v>1910</v>
      </c>
      <c r="B1928" s="13">
        <f>IFERROR(__xludf.DUMMYFUNCTION("""COMPUTED_VALUE"""),45608.0)</f>
        <v>45608</v>
      </c>
      <c r="C1928" s="12">
        <f>IFERROR(__xludf.DUMMYFUNCTION("""COMPUTED_VALUE"""),292.0)</f>
        <v>292</v>
      </c>
      <c r="D1928" s="12">
        <f>IFERROR(__xludf.DUMMYFUNCTION("""COMPUTED_VALUE"""),38.0)</f>
        <v>38</v>
      </c>
      <c r="E1928" s="12">
        <f>IFERROR(__xludf.DUMMYFUNCTION("""COMPUTED_VALUE"""),4.0)</f>
        <v>4</v>
      </c>
      <c r="F1928" s="12">
        <f>IFERROR(__xludf.DUMMYFUNCTION("""COMPUTED_VALUE"""),5.0)</f>
        <v>5</v>
      </c>
      <c r="G1928" s="15" t="str">
        <f>IFERROR(__xludf.DUMMYFUNCTION("""COMPUTED_VALUE"""),"Completa")</f>
        <v>Completa</v>
      </c>
      <c r="H1928" s="16" t="str">
        <f t="array" ref="H1928">_xlfn.XLOOKUP(D1928,Productos[ID_Producto],Productos[Nombre_Producto])</f>
        <v>Atún enlatado</v>
      </c>
      <c r="I1928" s="17">
        <f t="array" ref="I1928">_xlfn.XLOOKUP(D1928,Productos[ID_Producto],Productos[Precio_Unitario])</f>
        <v>6.21</v>
      </c>
      <c r="J1928" s="17">
        <f t="shared" si="1"/>
        <v>24.84</v>
      </c>
      <c r="K1928" s="16" t="str">
        <f t="array" ref="K1928">_xlfn.XLOOKUP(C1928,Clientes[ID_Cliente],Clientes[Provincia])</f>
        <v>Neuquén</v>
      </c>
      <c r="L1928" s="16" t="str">
        <f t="array" ref="L1928">CONCATENATE(_xlfn.XLOOKUP(C1928,Clientes[ID_Cliente],Clientes[Provincia]),", Argentina")</f>
        <v>Neuquén, Argentina</v>
      </c>
      <c r="M1928" s="20" t="str">
        <f t="array" ref="M1928">_xlfn.XLOOKUP(F1928,Metodos_De_Pago[ID_Metodo],Metodos_De_Pago[Metodo])</f>
        <v>Transferencia</v>
      </c>
      <c r="N1928" s="20" t="str">
        <f t="shared" si="2"/>
        <v>2024 11</v>
      </c>
    </row>
    <row r="1929" ht="22.5" customHeight="1">
      <c r="A1929" s="12">
        <f>IFERROR(__xludf.DUMMYFUNCTION("""COMPUTED_VALUE"""),609.0)</f>
        <v>609</v>
      </c>
      <c r="B1929" s="13">
        <f>IFERROR(__xludf.DUMMYFUNCTION("""COMPUTED_VALUE"""),45609.0)</f>
        <v>45609</v>
      </c>
      <c r="C1929" s="12">
        <f>IFERROR(__xludf.DUMMYFUNCTION("""COMPUTED_VALUE"""),241.0)</f>
        <v>241</v>
      </c>
      <c r="D1929" s="12">
        <f>IFERROR(__xludf.DUMMYFUNCTION("""COMPUTED_VALUE"""),34.0)</f>
        <v>34</v>
      </c>
      <c r="E1929" s="12">
        <f>IFERROR(__xludf.DUMMYFUNCTION("""COMPUTED_VALUE"""),4.0)</f>
        <v>4</v>
      </c>
      <c r="F1929" s="12">
        <f>IFERROR(__xludf.DUMMYFUNCTION("""COMPUTED_VALUE"""),5.0)</f>
        <v>5</v>
      </c>
      <c r="G1929" s="15" t="str">
        <f>IFERROR(__xludf.DUMMYFUNCTION("""COMPUTED_VALUE"""),"Completa")</f>
        <v>Completa</v>
      </c>
      <c r="H1929" s="16" t="str">
        <f t="array" ref="H1929">_xlfn.XLOOKUP(D1929,Productos[ID_Producto],Productos[Nombre_Producto])</f>
        <v>Maníes</v>
      </c>
      <c r="I1929" s="17">
        <f t="array" ref="I1929">_xlfn.XLOOKUP(D1929,Productos[ID_Producto],Productos[Precio_Unitario])</f>
        <v>5.45</v>
      </c>
      <c r="J1929" s="17">
        <f t="shared" si="1"/>
        <v>21.8</v>
      </c>
      <c r="K1929" s="16" t="str">
        <f t="array" ref="K1929">_xlfn.XLOOKUP(C1929,Clientes[ID_Cliente],Clientes[Provincia])</f>
        <v>Buenos Aires</v>
      </c>
      <c r="L1929" s="16" t="str">
        <f t="array" ref="L1929">CONCATENATE(_xlfn.XLOOKUP(C1929,Clientes[ID_Cliente],Clientes[Provincia]),", Argentina")</f>
        <v>Buenos Aires, Argentina</v>
      </c>
      <c r="M1929" s="20" t="str">
        <f t="array" ref="M1929">_xlfn.XLOOKUP(F1929,Metodos_De_Pago[ID_Metodo],Metodos_De_Pago[Metodo])</f>
        <v>Transferencia</v>
      </c>
      <c r="N1929" s="20" t="str">
        <f t="shared" si="2"/>
        <v>2024 11</v>
      </c>
    </row>
    <row r="1930" ht="22.5" customHeight="1">
      <c r="A1930" s="12">
        <f>IFERROR(__xludf.DUMMYFUNCTION("""COMPUTED_VALUE"""),814.0)</f>
        <v>814</v>
      </c>
      <c r="B1930" s="13">
        <f>IFERROR(__xludf.DUMMYFUNCTION("""COMPUTED_VALUE"""),45609.0)</f>
        <v>45609</v>
      </c>
      <c r="C1930" s="12">
        <f>IFERROR(__xludf.DUMMYFUNCTION("""COMPUTED_VALUE"""),262.0)</f>
        <v>262</v>
      </c>
      <c r="D1930" s="12">
        <f>IFERROR(__xludf.DUMMYFUNCTION("""COMPUTED_VALUE"""),22.0)</f>
        <v>22</v>
      </c>
      <c r="E1930" s="12">
        <f>IFERROR(__xludf.DUMMYFUNCTION("""COMPUTED_VALUE"""),4.0)</f>
        <v>4</v>
      </c>
      <c r="F1930" s="12">
        <f>IFERROR(__xludf.DUMMYFUNCTION("""COMPUTED_VALUE"""),5.0)</f>
        <v>5</v>
      </c>
      <c r="G1930" s="15" t="str">
        <f>IFERROR(__xludf.DUMMYFUNCTION("""COMPUTED_VALUE"""),"Completa")</f>
        <v>Completa</v>
      </c>
      <c r="H1930" s="16" t="str">
        <f t="array" ref="H1930">_xlfn.XLOOKUP(D1930,Productos[ID_Producto],Productos[Nombre_Producto])</f>
        <v>Cebolla</v>
      </c>
      <c r="I1930" s="17">
        <f t="array" ref="I1930">_xlfn.XLOOKUP(D1930,Productos[ID_Producto],Productos[Precio_Unitario])</f>
        <v>4.21</v>
      </c>
      <c r="J1930" s="17">
        <f t="shared" si="1"/>
        <v>16.84</v>
      </c>
      <c r="K1930" s="16" t="str">
        <f t="array" ref="K1930">_xlfn.XLOOKUP(C1930,Clientes[ID_Cliente],Clientes[Provincia])</f>
        <v>Buenos Aires</v>
      </c>
      <c r="L1930" s="16" t="str">
        <f t="array" ref="L1930">CONCATENATE(_xlfn.XLOOKUP(C1930,Clientes[ID_Cliente],Clientes[Provincia]),", Argentina")</f>
        <v>Buenos Aires, Argentina</v>
      </c>
      <c r="M1930" s="20" t="str">
        <f t="array" ref="M1930">_xlfn.XLOOKUP(F1930,Metodos_De_Pago[ID_Metodo],Metodos_De_Pago[Metodo])</f>
        <v>Transferencia</v>
      </c>
      <c r="N1930" s="20" t="str">
        <f t="shared" si="2"/>
        <v>2024 11</v>
      </c>
    </row>
    <row r="1931" ht="22.5" customHeight="1">
      <c r="A1931" s="12">
        <f>IFERROR(__xludf.DUMMYFUNCTION("""COMPUTED_VALUE"""),1016.0)</f>
        <v>1016</v>
      </c>
      <c r="B1931" s="13">
        <f>IFERROR(__xludf.DUMMYFUNCTION("""COMPUTED_VALUE"""),45609.0)</f>
        <v>45609</v>
      </c>
      <c r="C1931" s="12">
        <f>IFERROR(__xludf.DUMMYFUNCTION("""COMPUTED_VALUE"""),131.0)</f>
        <v>131</v>
      </c>
      <c r="D1931" s="12">
        <f>IFERROR(__xludf.DUMMYFUNCTION("""COMPUTED_VALUE"""),4.0)</f>
        <v>4</v>
      </c>
      <c r="E1931" s="12">
        <f>IFERROR(__xludf.DUMMYFUNCTION("""COMPUTED_VALUE"""),4.0)</f>
        <v>4</v>
      </c>
      <c r="F1931" s="12">
        <f>IFERROR(__xludf.DUMMYFUNCTION("""COMPUTED_VALUE"""),4.0)</f>
        <v>4</v>
      </c>
      <c r="G1931" s="15" t="str">
        <f>IFERROR(__xludf.DUMMYFUNCTION("""COMPUTED_VALUE"""),"Completa")</f>
        <v>Completa</v>
      </c>
      <c r="H1931" s="16" t="str">
        <f t="array" ref="H1931">_xlfn.XLOOKUP(D1931,Productos[ID_Producto],Productos[Nombre_Producto])</f>
        <v>Queso rallado</v>
      </c>
      <c r="I1931" s="17">
        <f t="array" ref="I1931">_xlfn.XLOOKUP(D1931,Productos[ID_Producto],Productos[Precio_Unitario])</f>
        <v>19.23</v>
      </c>
      <c r="J1931" s="17">
        <f t="shared" si="1"/>
        <v>76.92</v>
      </c>
      <c r="K1931" s="16" t="str">
        <f t="array" ref="K1931">_xlfn.XLOOKUP(C1931,Clientes[ID_Cliente],Clientes[Provincia])</f>
        <v>Buenos Aires</v>
      </c>
      <c r="L1931" s="16" t="str">
        <f t="array" ref="L1931">CONCATENATE(_xlfn.XLOOKUP(C1931,Clientes[ID_Cliente],Clientes[Provincia]),", Argentina")</f>
        <v>Buenos Aires, Argentina</v>
      </c>
      <c r="M1931" s="20" t="str">
        <f t="array" ref="M1931">_xlfn.XLOOKUP(F1931,Metodos_De_Pago[ID_Metodo],Metodos_De_Pago[Metodo])</f>
        <v>Mercado Pago</v>
      </c>
      <c r="N1931" s="20" t="str">
        <f t="shared" si="2"/>
        <v>2024 11</v>
      </c>
    </row>
    <row r="1932" ht="22.5" customHeight="1">
      <c r="A1932" s="12">
        <f>IFERROR(__xludf.DUMMYFUNCTION("""COMPUTED_VALUE"""),1022.0)</f>
        <v>1022</v>
      </c>
      <c r="B1932" s="13">
        <f>IFERROR(__xludf.DUMMYFUNCTION("""COMPUTED_VALUE"""),45609.0)</f>
        <v>45609</v>
      </c>
      <c r="C1932" s="12">
        <f>IFERROR(__xludf.DUMMYFUNCTION("""COMPUTED_VALUE"""),134.0)</f>
        <v>134</v>
      </c>
      <c r="D1932" s="12">
        <f>IFERROR(__xludf.DUMMYFUNCTION("""COMPUTED_VALUE"""),9.0)</f>
        <v>9</v>
      </c>
      <c r="E1932" s="12">
        <f>IFERROR(__xludf.DUMMYFUNCTION("""COMPUTED_VALUE"""),4.0)</f>
        <v>4</v>
      </c>
      <c r="F1932" s="12">
        <f>IFERROR(__xludf.DUMMYFUNCTION("""COMPUTED_VALUE"""),5.0)</f>
        <v>5</v>
      </c>
      <c r="G1932" s="15" t="str">
        <f>IFERROR(__xludf.DUMMYFUNCTION("""COMPUTED_VALUE"""),"Completa")</f>
        <v>Completa</v>
      </c>
      <c r="H1932" s="16" t="str">
        <f t="array" ref="H1932">_xlfn.XLOOKUP(D1932,Productos[ID_Producto],Productos[Nombre_Producto])</f>
        <v>Pollo</v>
      </c>
      <c r="I1932" s="17">
        <f t="array" ref="I1932">_xlfn.XLOOKUP(D1932,Productos[ID_Producto],Productos[Precio_Unitario])</f>
        <v>18.56</v>
      </c>
      <c r="J1932" s="17">
        <f t="shared" si="1"/>
        <v>74.24</v>
      </c>
      <c r="K1932" s="16" t="str">
        <f t="array" ref="K1932">_xlfn.XLOOKUP(C1932,Clientes[ID_Cliente],Clientes[Provincia])</f>
        <v>San Luis</v>
      </c>
      <c r="L1932" s="16" t="str">
        <f t="array" ref="L1932">CONCATENATE(_xlfn.XLOOKUP(C1932,Clientes[ID_Cliente],Clientes[Provincia]),", Argentina")</f>
        <v>San Luis, Argentina</v>
      </c>
      <c r="M1932" s="20" t="str">
        <f t="array" ref="M1932">_xlfn.XLOOKUP(F1932,Metodos_De_Pago[ID_Metodo],Metodos_De_Pago[Metodo])</f>
        <v>Transferencia</v>
      </c>
      <c r="N1932" s="20" t="str">
        <f t="shared" si="2"/>
        <v>2024 11</v>
      </c>
    </row>
    <row r="1933" ht="22.5" customHeight="1">
      <c r="A1933" s="12">
        <f>IFERROR(__xludf.DUMMYFUNCTION("""COMPUTED_VALUE"""),2345.0)</f>
        <v>2345</v>
      </c>
      <c r="B1933" s="13">
        <f>IFERROR(__xludf.DUMMYFUNCTION("""COMPUTED_VALUE"""),45610.0)</f>
        <v>45610</v>
      </c>
      <c r="C1933" s="12">
        <f>IFERROR(__xludf.DUMMYFUNCTION("""COMPUTED_VALUE"""),194.0)</f>
        <v>194</v>
      </c>
      <c r="D1933" s="12">
        <f>IFERROR(__xludf.DUMMYFUNCTION("""COMPUTED_VALUE"""),2.0)</f>
        <v>2</v>
      </c>
      <c r="E1933" s="12">
        <f>IFERROR(__xludf.DUMMYFUNCTION("""COMPUTED_VALUE"""),4.0)</f>
        <v>4</v>
      </c>
      <c r="F1933" s="12">
        <f>IFERROR(__xludf.DUMMYFUNCTION("""COMPUTED_VALUE"""),4.0)</f>
        <v>4</v>
      </c>
      <c r="G1933" s="15" t="str">
        <f>IFERROR(__xludf.DUMMYFUNCTION("""COMPUTED_VALUE"""),"Pendiente")</f>
        <v>Pendiente</v>
      </c>
      <c r="H1933" s="16" t="str">
        <f t="array" ref="H1933">_xlfn.XLOOKUP(D1933,Productos[ID_Producto],Productos[Nombre_Producto])</f>
        <v>Yogur</v>
      </c>
      <c r="I1933" s="17">
        <f t="array" ref="I1933">_xlfn.XLOOKUP(D1933,Productos[ID_Producto],Productos[Precio_Unitario])</f>
        <v>5.21</v>
      </c>
      <c r="J1933" s="17">
        <f t="shared" si="1"/>
        <v>20.84</v>
      </c>
      <c r="K1933" s="16" t="str">
        <f t="array" ref="K1933">_xlfn.XLOOKUP(C1933,Clientes[ID_Cliente],Clientes[Provincia])</f>
        <v>Buenos Aires</v>
      </c>
      <c r="L1933" s="16" t="str">
        <f t="array" ref="L1933">CONCATENATE(_xlfn.XLOOKUP(C1933,Clientes[ID_Cliente],Clientes[Provincia]),", Argentina")</f>
        <v>Buenos Aires, Argentina</v>
      </c>
      <c r="M1933" s="20" t="str">
        <f t="array" ref="M1933">_xlfn.XLOOKUP(F1933,Metodos_De_Pago[ID_Metodo],Metodos_De_Pago[Metodo])</f>
        <v>Mercado Pago</v>
      </c>
      <c r="N1933" s="20" t="str">
        <f t="shared" si="2"/>
        <v>2024 11</v>
      </c>
    </row>
    <row r="1934" ht="22.5" customHeight="1">
      <c r="A1934" s="12">
        <f>IFERROR(__xludf.DUMMYFUNCTION("""COMPUTED_VALUE"""),2463.0)</f>
        <v>2463</v>
      </c>
      <c r="B1934" s="13">
        <f>IFERROR(__xludf.DUMMYFUNCTION("""COMPUTED_VALUE"""),45610.0)</f>
        <v>45610</v>
      </c>
      <c r="C1934" s="12">
        <f>IFERROR(__xludf.DUMMYFUNCTION("""COMPUTED_VALUE"""),95.0)</f>
        <v>95</v>
      </c>
      <c r="D1934" s="12">
        <f>IFERROR(__xludf.DUMMYFUNCTION("""COMPUTED_VALUE"""),27.0)</f>
        <v>27</v>
      </c>
      <c r="E1934" s="12">
        <f>IFERROR(__xludf.DUMMYFUNCTION("""COMPUTED_VALUE"""),4.0)</f>
        <v>4</v>
      </c>
      <c r="F1934" s="12">
        <f>IFERROR(__xludf.DUMMYFUNCTION("""COMPUTED_VALUE"""),5.0)</f>
        <v>5</v>
      </c>
      <c r="G1934" s="15" t="str">
        <f>IFERROR(__xludf.DUMMYFUNCTION("""COMPUTED_VALUE"""),"Completa")</f>
        <v>Completa</v>
      </c>
      <c r="H1934" s="16" t="str">
        <f t="array" ref="H1934">_xlfn.XLOOKUP(D1934,Productos[ID_Producto],Productos[Nombre_Producto])</f>
        <v>Agua mineral</v>
      </c>
      <c r="I1934" s="17">
        <f t="array" ref="I1934">_xlfn.XLOOKUP(D1934,Productos[ID_Producto],Productos[Precio_Unitario])</f>
        <v>6.21</v>
      </c>
      <c r="J1934" s="17">
        <f t="shared" si="1"/>
        <v>24.84</v>
      </c>
      <c r="K1934" s="16" t="str">
        <f t="array" ref="K1934">_xlfn.XLOOKUP(C1934,Clientes[ID_Cliente],Clientes[Provincia])</f>
        <v>Buenos Aires</v>
      </c>
      <c r="L1934" s="16" t="str">
        <f t="array" ref="L1934">CONCATENATE(_xlfn.XLOOKUP(C1934,Clientes[ID_Cliente],Clientes[Provincia]),", Argentina")</f>
        <v>Buenos Aires, Argentina</v>
      </c>
      <c r="M1934" s="20" t="str">
        <f t="array" ref="M1934">_xlfn.XLOOKUP(F1934,Metodos_De_Pago[ID_Metodo],Metodos_De_Pago[Metodo])</f>
        <v>Transferencia</v>
      </c>
      <c r="N1934" s="20" t="str">
        <f t="shared" si="2"/>
        <v>2024 11</v>
      </c>
    </row>
    <row r="1935" ht="22.5" customHeight="1">
      <c r="A1935" s="12">
        <f>IFERROR(__xludf.DUMMYFUNCTION("""COMPUTED_VALUE"""),2543.0)</f>
        <v>2543</v>
      </c>
      <c r="B1935" s="13">
        <f>IFERROR(__xludf.DUMMYFUNCTION("""COMPUTED_VALUE"""),45610.0)</f>
        <v>45610</v>
      </c>
      <c r="C1935" s="12">
        <f>IFERROR(__xludf.DUMMYFUNCTION("""COMPUTED_VALUE"""),296.0)</f>
        <v>296</v>
      </c>
      <c r="D1935" s="12">
        <f>IFERROR(__xludf.DUMMYFUNCTION("""COMPUTED_VALUE"""),32.0)</f>
        <v>32</v>
      </c>
      <c r="E1935" s="12">
        <f>IFERROR(__xludf.DUMMYFUNCTION("""COMPUTED_VALUE"""),4.0)</f>
        <v>4</v>
      </c>
      <c r="F1935" s="12">
        <f>IFERROR(__xludf.DUMMYFUNCTION("""COMPUTED_VALUE"""),1.0)</f>
        <v>1</v>
      </c>
      <c r="G1935" s="15" t="str">
        <f>IFERROR(__xludf.DUMMYFUNCTION("""COMPUTED_VALUE"""),"Completa")</f>
        <v>Completa</v>
      </c>
      <c r="H1935" s="16" t="str">
        <f t="array" ref="H1935">_xlfn.XLOOKUP(D1935,Productos[ID_Producto],Productos[Nombre_Producto])</f>
        <v>Galletitas de chocolate</v>
      </c>
      <c r="I1935" s="17">
        <f t="array" ref="I1935">_xlfn.XLOOKUP(D1935,Productos[ID_Producto],Productos[Precio_Unitario])</f>
        <v>6.25</v>
      </c>
      <c r="J1935" s="17">
        <f t="shared" si="1"/>
        <v>25</v>
      </c>
      <c r="K1935" s="16" t="str">
        <f t="array" ref="K1935">_xlfn.XLOOKUP(C1935,Clientes[ID_Cliente],Clientes[Provincia])</f>
        <v>Buenos Aires</v>
      </c>
      <c r="L1935" s="16" t="str">
        <f t="array" ref="L1935">CONCATENATE(_xlfn.XLOOKUP(C1935,Clientes[ID_Cliente],Clientes[Provincia]),", Argentina")</f>
        <v>Buenos Aires, Argentina</v>
      </c>
      <c r="M1935" s="20" t="str">
        <f t="array" ref="M1935">_xlfn.XLOOKUP(F1935,Metodos_De_Pago[ID_Metodo],Metodos_De_Pago[Metodo])</f>
        <v>Efectivo</v>
      </c>
      <c r="N1935" s="20" t="str">
        <f t="shared" si="2"/>
        <v>2024 11</v>
      </c>
    </row>
    <row r="1936" ht="22.5" customHeight="1">
      <c r="A1936" s="12">
        <f>IFERROR(__xludf.DUMMYFUNCTION("""COMPUTED_VALUE"""),871.0)</f>
        <v>871</v>
      </c>
      <c r="B1936" s="13">
        <f>IFERROR(__xludf.DUMMYFUNCTION("""COMPUTED_VALUE"""),45611.0)</f>
        <v>45611</v>
      </c>
      <c r="C1936" s="12">
        <f>IFERROR(__xludf.DUMMYFUNCTION("""COMPUTED_VALUE"""),242.0)</f>
        <v>242</v>
      </c>
      <c r="D1936" s="12">
        <f>IFERROR(__xludf.DUMMYFUNCTION("""COMPUTED_VALUE"""),25.0)</f>
        <v>25</v>
      </c>
      <c r="E1936" s="12">
        <f>IFERROR(__xludf.DUMMYFUNCTION("""COMPUTED_VALUE"""),4.0)</f>
        <v>4</v>
      </c>
      <c r="F1936" s="12">
        <f>IFERROR(__xludf.DUMMYFUNCTION("""COMPUTED_VALUE"""),1.0)</f>
        <v>1</v>
      </c>
      <c r="G1936" s="15" t="str">
        <f>IFERROR(__xludf.DUMMYFUNCTION("""COMPUTED_VALUE"""),"Completa")</f>
        <v>Completa</v>
      </c>
      <c r="H1936" s="16" t="str">
        <f t="array" ref="H1936">_xlfn.XLOOKUP(D1936,Productos[ID_Producto],Productos[Nombre_Producto])</f>
        <v>Pizza congelada</v>
      </c>
      <c r="I1936" s="17">
        <f t="array" ref="I1936">_xlfn.XLOOKUP(D1936,Productos[ID_Producto],Productos[Precio_Unitario])</f>
        <v>15.45</v>
      </c>
      <c r="J1936" s="17">
        <f t="shared" si="1"/>
        <v>61.8</v>
      </c>
      <c r="K1936" s="16" t="str">
        <f t="array" ref="K1936">_xlfn.XLOOKUP(C1936,Clientes[ID_Cliente],Clientes[Provincia])</f>
        <v>Chaco</v>
      </c>
      <c r="L1936" s="16" t="str">
        <f t="array" ref="L1936">CONCATENATE(_xlfn.XLOOKUP(C1936,Clientes[ID_Cliente],Clientes[Provincia]),", Argentina")</f>
        <v>Chaco, Argentina</v>
      </c>
      <c r="M1936" s="20" t="str">
        <f t="array" ref="M1936">_xlfn.XLOOKUP(F1936,Metodos_De_Pago[ID_Metodo],Metodos_De_Pago[Metodo])</f>
        <v>Efectivo</v>
      </c>
      <c r="N1936" s="20" t="str">
        <f t="shared" si="2"/>
        <v>2024 11</v>
      </c>
    </row>
    <row r="1937" ht="22.5" customHeight="1">
      <c r="A1937" s="12">
        <f>IFERROR(__xludf.DUMMYFUNCTION("""COMPUTED_VALUE"""),1420.0)</f>
        <v>1420</v>
      </c>
      <c r="B1937" s="13">
        <f>IFERROR(__xludf.DUMMYFUNCTION("""COMPUTED_VALUE"""),45611.0)</f>
        <v>45611</v>
      </c>
      <c r="C1937" s="12">
        <f>IFERROR(__xludf.DUMMYFUNCTION("""COMPUTED_VALUE"""),277.0)</f>
        <v>277</v>
      </c>
      <c r="D1937" s="12">
        <f>IFERROR(__xludf.DUMMYFUNCTION("""COMPUTED_VALUE"""),33.0)</f>
        <v>33</v>
      </c>
      <c r="E1937" s="12">
        <f>IFERROR(__xludf.DUMMYFUNCTION("""COMPUTED_VALUE"""),4.0)</f>
        <v>4</v>
      </c>
      <c r="F1937" s="12">
        <f>IFERROR(__xludf.DUMMYFUNCTION("""COMPUTED_VALUE"""),4.0)</f>
        <v>4</v>
      </c>
      <c r="G1937" s="15" t="str">
        <f>IFERROR(__xludf.DUMMYFUNCTION("""COMPUTED_VALUE"""),"Completa")</f>
        <v>Completa</v>
      </c>
      <c r="H1937" s="16" t="str">
        <f t="array" ref="H1937">_xlfn.XLOOKUP(D1937,Productos[ID_Producto],Productos[Nombre_Producto])</f>
        <v>Papas chips</v>
      </c>
      <c r="I1937" s="17">
        <f t="array" ref="I1937">_xlfn.XLOOKUP(D1937,Productos[ID_Producto],Productos[Precio_Unitario])</f>
        <v>8.54</v>
      </c>
      <c r="J1937" s="17">
        <f t="shared" si="1"/>
        <v>34.16</v>
      </c>
      <c r="K1937" s="16" t="str">
        <f t="array" ref="K1937">_xlfn.XLOOKUP(C1937,Clientes[ID_Cliente],Clientes[Provincia])</f>
        <v>Neuquén</v>
      </c>
      <c r="L1937" s="16" t="str">
        <f t="array" ref="L1937">CONCATENATE(_xlfn.XLOOKUP(C1937,Clientes[ID_Cliente],Clientes[Provincia]),", Argentina")</f>
        <v>Neuquén, Argentina</v>
      </c>
      <c r="M1937" s="20" t="str">
        <f t="array" ref="M1937">_xlfn.XLOOKUP(F1937,Metodos_De_Pago[ID_Metodo],Metodos_De_Pago[Metodo])</f>
        <v>Mercado Pago</v>
      </c>
      <c r="N1937" s="20" t="str">
        <f t="shared" si="2"/>
        <v>2024 11</v>
      </c>
    </row>
    <row r="1938" ht="22.5" customHeight="1">
      <c r="A1938" s="12">
        <f>IFERROR(__xludf.DUMMYFUNCTION("""COMPUTED_VALUE"""),1488.0)</f>
        <v>1488</v>
      </c>
      <c r="B1938" s="13">
        <f>IFERROR(__xludf.DUMMYFUNCTION("""COMPUTED_VALUE"""),45611.0)</f>
        <v>45611</v>
      </c>
      <c r="C1938" s="12">
        <f>IFERROR(__xludf.DUMMYFUNCTION("""COMPUTED_VALUE"""),162.0)</f>
        <v>162</v>
      </c>
      <c r="D1938" s="12">
        <f>IFERROR(__xludf.DUMMYFUNCTION("""COMPUTED_VALUE"""),31.0)</f>
        <v>31</v>
      </c>
      <c r="E1938" s="12">
        <f>IFERROR(__xludf.DUMMYFUNCTION("""COMPUTED_VALUE"""),4.0)</f>
        <v>4</v>
      </c>
      <c r="F1938" s="12">
        <f>IFERROR(__xludf.DUMMYFUNCTION("""COMPUTED_VALUE"""),1.0)</f>
        <v>1</v>
      </c>
      <c r="G1938" s="15" t="str">
        <f>IFERROR(__xludf.DUMMYFUNCTION("""COMPUTED_VALUE"""),"Completa")</f>
        <v>Completa</v>
      </c>
      <c r="H1938" s="16" t="str">
        <f t="array" ref="H1938">_xlfn.XLOOKUP(D1938,Productos[ID_Producto],Productos[Nombre_Producto])</f>
        <v>Galletitas de agua</v>
      </c>
      <c r="I1938" s="17">
        <f t="array" ref="I1938">_xlfn.XLOOKUP(D1938,Productos[ID_Producto],Productos[Precio_Unitario])</f>
        <v>5.24</v>
      </c>
      <c r="J1938" s="17">
        <f t="shared" si="1"/>
        <v>20.96</v>
      </c>
      <c r="K1938" s="16" t="str">
        <f t="array" ref="K1938">_xlfn.XLOOKUP(C1938,Clientes[ID_Cliente],Clientes[Provincia])</f>
        <v>Neuquén</v>
      </c>
      <c r="L1938" s="16" t="str">
        <f t="array" ref="L1938">CONCATENATE(_xlfn.XLOOKUP(C1938,Clientes[ID_Cliente],Clientes[Provincia]),", Argentina")</f>
        <v>Neuquén, Argentina</v>
      </c>
      <c r="M1938" s="20" t="str">
        <f t="array" ref="M1938">_xlfn.XLOOKUP(F1938,Metodos_De_Pago[ID_Metodo],Metodos_De_Pago[Metodo])</f>
        <v>Efectivo</v>
      </c>
      <c r="N1938" s="20" t="str">
        <f t="shared" si="2"/>
        <v>2024 11</v>
      </c>
    </row>
    <row r="1939" ht="22.5" customHeight="1">
      <c r="A1939" s="12">
        <f>IFERROR(__xludf.DUMMYFUNCTION("""COMPUTED_VALUE"""),2336.0)</f>
        <v>2336</v>
      </c>
      <c r="B1939" s="13">
        <f>IFERROR(__xludf.DUMMYFUNCTION("""COMPUTED_VALUE"""),45612.0)</f>
        <v>45612</v>
      </c>
      <c r="C1939" s="12">
        <f>IFERROR(__xludf.DUMMYFUNCTION("""COMPUTED_VALUE"""),148.0)</f>
        <v>148</v>
      </c>
      <c r="D1939" s="12">
        <f>IFERROR(__xludf.DUMMYFUNCTION("""COMPUTED_VALUE"""),37.0)</f>
        <v>37</v>
      </c>
      <c r="E1939" s="12">
        <f>IFERROR(__xludf.DUMMYFUNCTION("""COMPUTED_VALUE"""),4.0)</f>
        <v>4</v>
      </c>
      <c r="F1939" s="12">
        <f>IFERROR(__xludf.DUMMYFUNCTION("""COMPUTED_VALUE"""),4.0)</f>
        <v>4</v>
      </c>
      <c r="G1939" s="15" t="str">
        <f>IFERROR(__xludf.DUMMYFUNCTION("""COMPUTED_VALUE"""),"Completa")</f>
        <v>Completa</v>
      </c>
      <c r="H1939" s="16" t="str">
        <f t="array" ref="H1939">_xlfn.XLOOKUP(D1939,Productos[ID_Producto],Productos[Nombre_Producto])</f>
        <v>Garbanzos</v>
      </c>
      <c r="I1939" s="17">
        <f t="array" ref="I1939">_xlfn.XLOOKUP(D1939,Productos[ID_Producto],Productos[Precio_Unitario])</f>
        <v>3.65</v>
      </c>
      <c r="J1939" s="17">
        <f t="shared" si="1"/>
        <v>14.6</v>
      </c>
      <c r="K1939" s="16" t="str">
        <f t="array" ref="K1939">_xlfn.XLOOKUP(C1939,Clientes[ID_Cliente],Clientes[Provincia])</f>
        <v>Córdoba</v>
      </c>
      <c r="L1939" s="16" t="str">
        <f t="array" ref="L1939">CONCATENATE(_xlfn.XLOOKUP(C1939,Clientes[ID_Cliente],Clientes[Provincia]),", Argentina")</f>
        <v>Córdoba, Argentina</v>
      </c>
      <c r="M1939" s="20" t="str">
        <f t="array" ref="M1939">_xlfn.XLOOKUP(F1939,Metodos_De_Pago[ID_Metodo],Metodos_De_Pago[Metodo])</f>
        <v>Mercado Pago</v>
      </c>
      <c r="N1939" s="20" t="str">
        <f t="shared" si="2"/>
        <v>2024 11</v>
      </c>
    </row>
    <row r="1940" ht="22.5" customHeight="1">
      <c r="A1940" s="12">
        <f>IFERROR(__xludf.DUMMYFUNCTION("""COMPUTED_VALUE"""),1236.0)</f>
        <v>1236</v>
      </c>
      <c r="B1940" s="13">
        <f>IFERROR(__xludf.DUMMYFUNCTION("""COMPUTED_VALUE"""),45614.0)</f>
        <v>45614</v>
      </c>
      <c r="C1940" s="12">
        <f>IFERROR(__xludf.DUMMYFUNCTION("""COMPUTED_VALUE"""),228.0)</f>
        <v>228</v>
      </c>
      <c r="D1940" s="12">
        <f>IFERROR(__xludf.DUMMYFUNCTION("""COMPUTED_VALUE"""),29.0)</f>
        <v>29</v>
      </c>
      <c r="E1940" s="12">
        <f>IFERROR(__xludf.DUMMYFUNCTION("""COMPUTED_VALUE"""),4.0)</f>
        <v>4</v>
      </c>
      <c r="F1940" s="12">
        <f>IFERROR(__xludf.DUMMYFUNCTION("""COMPUTED_VALUE"""),2.0)</f>
        <v>2</v>
      </c>
      <c r="G1940" s="15" t="str">
        <f>IFERROR(__xludf.DUMMYFUNCTION("""COMPUTED_VALUE"""),"Completa")</f>
        <v>Completa</v>
      </c>
      <c r="H1940" s="16" t="str">
        <f t="array" ref="H1940">_xlfn.XLOOKUP(D1940,Productos[ID_Producto],Productos[Nombre_Producto])</f>
        <v>Cerveza</v>
      </c>
      <c r="I1940" s="17">
        <f t="array" ref="I1940">_xlfn.XLOOKUP(D1940,Productos[ID_Producto],Productos[Precio_Unitario])</f>
        <v>11.54</v>
      </c>
      <c r="J1940" s="17">
        <f t="shared" si="1"/>
        <v>46.16</v>
      </c>
      <c r="K1940" s="16" t="str">
        <f t="array" ref="K1940">_xlfn.XLOOKUP(C1940,Clientes[ID_Cliente],Clientes[Provincia])</f>
        <v>Córdoba</v>
      </c>
      <c r="L1940" s="16" t="str">
        <f t="array" ref="L1940">CONCATENATE(_xlfn.XLOOKUP(C1940,Clientes[ID_Cliente],Clientes[Provincia]),", Argentina")</f>
        <v>Córdoba, Argentina</v>
      </c>
      <c r="M1940" s="20" t="str">
        <f t="array" ref="M1940">_xlfn.XLOOKUP(F1940,Metodos_De_Pago[ID_Metodo],Metodos_De_Pago[Metodo])</f>
        <v>Tarjeta de Crédito</v>
      </c>
      <c r="N1940" s="20" t="str">
        <f t="shared" si="2"/>
        <v>2024 11</v>
      </c>
    </row>
    <row r="1941" ht="22.5" customHeight="1">
      <c r="A1941" s="12">
        <f>IFERROR(__xludf.DUMMYFUNCTION("""COMPUTED_VALUE"""),1410.0)</f>
        <v>1410</v>
      </c>
      <c r="B1941" s="13">
        <f>IFERROR(__xludf.DUMMYFUNCTION("""COMPUTED_VALUE"""),45614.0)</f>
        <v>45614</v>
      </c>
      <c r="C1941" s="12">
        <f>IFERROR(__xludf.DUMMYFUNCTION("""COMPUTED_VALUE"""),34.0)</f>
        <v>34</v>
      </c>
      <c r="D1941" s="12">
        <f>IFERROR(__xludf.DUMMYFUNCTION("""COMPUTED_VALUE"""),12.0)</f>
        <v>12</v>
      </c>
      <c r="E1941" s="12">
        <f>IFERROR(__xludf.DUMMYFUNCTION("""COMPUTED_VALUE"""),4.0)</f>
        <v>4</v>
      </c>
      <c r="F1941" s="12">
        <f>IFERROR(__xludf.DUMMYFUNCTION("""COMPUTED_VALUE"""),2.0)</f>
        <v>2</v>
      </c>
      <c r="G1941" s="15" t="str">
        <f>IFERROR(__xludf.DUMMYFUNCTION("""COMPUTED_VALUE"""),"Completa")</f>
        <v>Completa</v>
      </c>
      <c r="H1941" s="16" t="str">
        <f t="array" ref="H1941">_xlfn.XLOOKUP(D1941,Productos[ID_Producto],Productos[Nombre_Producto])</f>
        <v>Pan francés</v>
      </c>
      <c r="I1941" s="17">
        <f t="array" ref="I1941">_xlfn.XLOOKUP(D1941,Productos[ID_Producto],Productos[Precio_Unitario])</f>
        <v>8.12</v>
      </c>
      <c r="J1941" s="17">
        <f t="shared" si="1"/>
        <v>32.48</v>
      </c>
      <c r="K1941" s="16" t="str">
        <f t="array" ref="K1941">_xlfn.XLOOKUP(C1941,Clientes[ID_Cliente],Clientes[Provincia])</f>
        <v>San Luis</v>
      </c>
      <c r="L1941" s="16" t="str">
        <f t="array" ref="L1941">CONCATENATE(_xlfn.XLOOKUP(C1941,Clientes[ID_Cliente],Clientes[Provincia]),", Argentina")</f>
        <v>San Luis, Argentina</v>
      </c>
      <c r="M1941" s="20" t="str">
        <f t="array" ref="M1941">_xlfn.XLOOKUP(F1941,Metodos_De_Pago[ID_Metodo],Metodos_De_Pago[Metodo])</f>
        <v>Tarjeta de Crédito</v>
      </c>
      <c r="N1941" s="20" t="str">
        <f t="shared" si="2"/>
        <v>2024 11</v>
      </c>
    </row>
    <row r="1942" ht="22.5" customHeight="1">
      <c r="A1942" s="12">
        <f>IFERROR(__xludf.DUMMYFUNCTION("""COMPUTED_VALUE"""),1508.0)</f>
        <v>1508</v>
      </c>
      <c r="B1942" s="13">
        <f>IFERROR(__xludf.DUMMYFUNCTION("""COMPUTED_VALUE"""),45614.0)</f>
        <v>45614</v>
      </c>
      <c r="C1942" s="12">
        <f>IFERROR(__xludf.DUMMYFUNCTION("""COMPUTED_VALUE"""),295.0)</f>
        <v>295</v>
      </c>
      <c r="D1942" s="12">
        <f>IFERROR(__xludf.DUMMYFUNCTION("""COMPUTED_VALUE"""),6.0)</f>
        <v>6</v>
      </c>
      <c r="E1942" s="12">
        <f>IFERROR(__xludf.DUMMYFUNCTION("""COMPUTED_VALUE"""),4.0)</f>
        <v>4</v>
      </c>
      <c r="F1942" s="12">
        <f>IFERROR(__xludf.DUMMYFUNCTION("""COMPUTED_VALUE"""),5.0)</f>
        <v>5</v>
      </c>
      <c r="G1942" s="15" t="str">
        <f>IFERROR(__xludf.DUMMYFUNCTION("""COMPUTED_VALUE"""),"Completa")</f>
        <v>Completa</v>
      </c>
      <c r="H1942" s="16" t="str">
        <f t="array" ref="H1942">_xlfn.XLOOKUP(D1942,Productos[ID_Producto],Productos[Nombre_Producto])</f>
        <v>Asado</v>
      </c>
      <c r="I1942" s="17">
        <f t="array" ref="I1942">_xlfn.XLOOKUP(D1942,Productos[ID_Producto],Productos[Precio_Unitario])</f>
        <v>28.56</v>
      </c>
      <c r="J1942" s="17">
        <f t="shared" si="1"/>
        <v>114.24</v>
      </c>
      <c r="K1942" s="16" t="str">
        <f t="array" ref="K1942">_xlfn.XLOOKUP(C1942,Clientes[ID_Cliente],Clientes[Provincia])</f>
        <v>San Luis</v>
      </c>
      <c r="L1942" s="16" t="str">
        <f t="array" ref="L1942">CONCATENATE(_xlfn.XLOOKUP(C1942,Clientes[ID_Cliente],Clientes[Provincia]),", Argentina")</f>
        <v>San Luis, Argentina</v>
      </c>
      <c r="M1942" s="20" t="str">
        <f t="array" ref="M1942">_xlfn.XLOOKUP(F1942,Metodos_De_Pago[ID_Metodo],Metodos_De_Pago[Metodo])</f>
        <v>Transferencia</v>
      </c>
      <c r="N1942" s="20" t="str">
        <f t="shared" si="2"/>
        <v>2024 11</v>
      </c>
    </row>
    <row r="1943" ht="22.5" customHeight="1">
      <c r="A1943" s="12">
        <f>IFERROR(__xludf.DUMMYFUNCTION("""COMPUTED_VALUE"""),1623.0)</f>
        <v>1623</v>
      </c>
      <c r="B1943" s="13">
        <f>IFERROR(__xludf.DUMMYFUNCTION("""COMPUTED_VALUE"""),45615.0)</f>
        <v>45615</v>
      </c>
      <c r="C1943" s="12">
        <f>IFERROR(__xludf.DUMMYFUNCTION("""COMPUTED_VALUE"""),315.0)</f>
        <v>315</v>
      </c>
      <c r="D1943" s="12">
        <f>IFERROR(__xludf.DUMMYFUNCTION("""COMPUTED_VALUE"""),14.0)</f>
        <v>14</v>
      </c>
      <c r="E1943" s="12">
        <f>IFERROR(__xludf.DUMMYFUNCTION("""COMPUTED_VALUE"""),4.0)</f>
        <v>4</v>
      </c>
      <c r="F1943" s="12">
        <f>IFERROR(__xludf.DUMMYFUNCTION("""COMPUTED_VALUE"""),4.0)</f>
        <v>4</v>
      </c>
      <c r="G1943" s="15" t="str">
        <f>IFERROR(__xludf.DUMMYFUNCTION("""COMPUTED_VALUE"""),"Completa")</f>
        <v>Completa</v>
      </c>
      <c r="H1943" s="16" t="str">
        <f t="array" ref="H1943">_xlfn.XLOOKUP(D1943,Productos[ID_Producto],Productos[Nombre_Producto])</f>
        <v>Facturas</v>
      </c>
      <c r="I1943" s="17">
        <f t="array" ref="I1943">_xlfn.XLOOKUP(D1943,Productos[ID_Producto],Productos[Precio_Unitario])</f>
        <v>12.36</v>
      </c>
      <c r="J1943" s="17">
        <f t="shared" si="1"/>
        <v>49.44</v>
      </c>
      <c r="K1943" s="16" t="str">
        <f t="array" ref="K1943">_xlfn.XLOOKUP(C1943,Clientes[ID_Cliente],Clientes[Provincia])</f>
        <v>Buenos Aires</v>
      </c>
      <c r="L1943" s="16" t="str">
        <f t="array" ref="L1943">CONCATENATE(_xlfn.XLOOKUP(C1943,Clientes[ID_Cliente],Clientes[Provincia]),", Argentina")</f>
        <v>Buenos Aires, Argentina</v>
      </c>
      <c r="M1943" s="20" t="str">
        <f t="array" ref="M1943">_xlfn.XLOOKUP(F1943,Metodos_De_Pago[ID_Metodo],Metodos_De_Pago[Metodo])</f>
        <v>Mercado Pago</v>
      </c>
      <c r="N1943" s="20" t="str">
        <f t="shared" si="2"/>
        <v>2024 11</v>
      </c>
    </row>
    <row r="1944" ht="22.5" customHeight="1">
      <c r="A1944" s="12">
        <f>IFERROR(__xludf.DUMMYFUNCTION("""COMPUTED_VALUE"""),690.0)</f>
        <v>690</v>
      </c>
      <c r="B1944" s="13">
        <f>IFERROR(__xludf.DUMMYFUNCTION("""COMPUTED_VALUE"""),45617.0)</f>
        <v>45617</v>
      </c>
      <c r="C1944" s="12">
        <f>IFERROR(__xludf.DUMMYFUNCTION("""COMPUTED_VALUE"""),166.0)</f>
        <v>166</v>
      </c>
      <c r="D1944" s="12">
        <f>IFERROR(__xludf.DUMMYFUNCTION("""COMPUTED_VALUE"""),12.0)</f>
        <v>12</v>
      </c>
      <c r="E1944" s="12">
        <f>IFERROR(__xludf.DUMMYFUNCTION("""COMPUTED_VALUE"""),4.0)</f>
        <v>4</v>
      </c>
      <c r="F1944" s="12">
        <f>IFERROR(__xludf.DUMMYFUNCTION("""COMPUTED_VALUE"""),3.0)</f>
        <v>3</v>
      </c>
      <c r="G1944" s="15" t="str">
        <f>IFERROR(__xludf.DUMMYFUNCTION("""COMPUTED_VALUE"""),"Completa")</f>
        <v>Completa</v>
      </c>
      <c r="H1944" s="16" t="str">
        <f t="array" ref="H1944">_xlfn.XLOOKUP(D1944,Productos[ID_Producto],Productos[Nombre_Producto])</f>
        <v>Pan francés</v>
      </c>
      <c r="I1944" s="17">
        <f t="array" ref="I1944">_xlfn.XLOOKUP(D1944,Productos[ID_Producto],Productos[Precio_Unitario])</f>
        <v>8.12</v>
      </c>
      <c r="J1944" s="17">
        <f t="shared" si="1"/>
        <v>32.48</v>
      </c>
      <c r="K1944" s="16" t="str">
        <f t="array" ref="K1944">_xlfn.XLOOKUP(C1944,Clientes[ID_Cliente],Clientes[Provincia])</f>
        <v>Chaco</v>
      </c>
      <c r="L1944" s="16" t="str">
        <f t="array" ref="L1944">CONCATENATE(_xlfn.XLOOKUP(C1944,Clientes[ID_Cliente],Clientes[Provincia]),", Argentina")</f>
        <v>Chaco, Argentina</v>
      </c>
      <c r="M1944" s="20" t="str">
        <f t="array" ref="M1944">_xlfn.XLOOKUP(F1944,Metodos_De_Pago[ID_Metodo],Metodos_De_Pago[Metodo])</f>
        <v>Tarjeta de Débito</v>
      </c>
      <c r="N1944" s="20" t="str">
        <f t="shared" si="2"/>
        <v>2024 11</v>
      </c>
    </row>
    <row r="1945" ht="22.5" customHeight="1">
      <c r="A1945" s="12">
        <f>IFERROR(__xludf.DUMMYFUNCTION("""COMPUTED_VALUE"""),879.0)</f>
        <v>879</v>
      </c>
      <c r="B1945" s="13">
        <f>IFERROR(__xludf.DUMMYFUNCTION("""COMPUTED_VALUE"""),45617.0)</f>
        <v>45617</v>
      </c>
      <c r="C1945" s="12">
        <f>IFERROR(__xludf.DUMMYFUNCTION("""COMPUTED_VALUE"""),110.0)</f>
        <v>110</v>
      </c>
      <c r="D1945" s="12">
        <f>IFERROR(__xludf.DUMMYFUNCTION("""COMPUTED_VALUE"""),24.0)</f>
        <v>24</v>
      </c>
      <c r="E1945" s="12">
        <f>IFERROR(__xludf.DUMMYFUNCTION("""COMPUTED_VALUE"""),4.0)</f>
        <v>4</v>
      </c>
      <c r="F1945" s="12">
        <f>IFERROR(__xludf.DUMMYFUNCTION("""COMPUTED_VALUE"""),5.0)</f>
        <v>5</v>
      </c>
      <c r="G1945" s="15" t="str">
        <f>IFERROR(__xludf.DUMMYFUNCTION("""COMPUTED_VALUE"""),"Completa")</f>
        <v>Completa</v>
      </c>
      <c r="H1945" s="16" t="str">
        <f t="array" ref="H1945">_xlfn.XLOOKUP(D1945,Productos[ID_Producto],Productos[Nombre_Producto])</f>
        <v>Empanadas</v>
      </c>
      <c r="I1945" s="17">
        <f t="array" ref="I1945">_xlfn.XLOOKUP(D1945,Productos[ID_Producto],Productos[Precio_Unitario])</f>
        <v>13.54</v>
      </c>
      <c r="J1945" s="17">
        <f t="shared" si="1"/>
        <v>54.16</v>
      </c>
      <c r="K1945" s="16" t="str">
        <f t="array" ref="K1945">_xlfn.XLOOKUP(C1945,Clientes[ID_Cliente],Clientes[Provincia])</f>
        <v>Chaco</v>
      </c>
      <c r="L1945" s="16" t="str">
        <f t="array" ref="L1945">CONCATENATE(_xlfn.XLOOKUP(C1945,Clientes[ID_Cliente],Clientes[Provincia]),", Argentina")</f>
        <v>Chaco, Argentina</v>
      </c>
      <c r="M1945" s="20" t="str">
        <f t="array" ref="M1945">_xlfn.XLOOKUP(F1945,Metodos_De_Pago[ID_Metodo],Metodos_De_Pago[Metodo])</f>
        <v>Transferencia</v>
      </c>
      <c r="N1945" s="20" t="str">
        <f t="shared" si="2"/>
        <v>2024 11</v>
      </c>
    </row>
    <row r="1946" ht="22.5" customHeight="1">
      <c r="A1946" s="12">
        <f>IFERROR(__xludf.DUMMYFUNCTION("""COMPUTED_VALUE"""),1815.0)</f>
        <v>1815</v>
      </c>
      <c r="B1946" s="13">
        <f>IFERROR(__xludf.DUMMYFUNCTION("""COMPUTED_VALUE"""),45617.0)</f>
        <v>45617</v>
      </c>
      <c r="C1946" s="12">
        <f>IFERROR(__xludf.DUMMYFUNCTION("""COMPUTED_VALUE"""),93.0)</f>
        <v>93</v>
      </c>
      <c r="D1946" s="12">
        <f>IFERROR(__xludf.DUMMYFUNCTION("""COMPUTED_VALUE"""),1.0)</f>
        <v>1</v>
      </c>
      <c r="E1946" s="12">
        <f>IFERROR(__xludf.DUMMYFUNCTION("""COMPUTED_VALUE"""),4.0)</f>
        <v>4</v>
      </c>
      <c r="F1946" s="12">
        <f>IFERROR(__xludf.DUMMYFUNCTION("""COMPUTED_VALUE"""),3.0)</f>
        <v>3</v>
      </c>
      <c r="G1946" s="15" t="str">
        <f>IFERROR(__xludf.DUMMYFUNCTION("""COMPUTED_VALUE"""),"Pendiente")</f>
        <v>Pendiente</v>
      </c>
      <c r="H1946" s="16" t="str">
        <f t="array" ref="H1946">_xlfn.XLOOKUP(D1946,Productos[ID_Producto],Productos[Nombre_Producto])</f>
        <v>Leche</v>
      </c>
      <c r="I1946" s="17">
        <f t="array" ref="I1946">_xlfn.XLOOKUP(D1946,Productos[ID_Producto],Productos[Precio_Unitario])</f>
        <v>12.24</v>
      </c>
      <c r="J1946" s="17">
        <f t="shared" si="1"/>
        <v>48.96</v>
      </c>
      <c r="K1946" s="16" t="str">
        <f t="array" ref="K1946">_xlfn.XLOOKUP(C1946,Clientes[ID_Cliente],Clientes[Provincia])</f>
        <v>Buenos Aires</v>
      </c>
      <c r="L1946" s="16" t="str">
        <f t="array" ref="L1946">CONCATENATE(_xlfn.XLOOKUP(C1946,Clientes[ID_Cliente],Clientes[Provincia]),", Argentina")</f>
        <v>Buenos Aires, Argentina</v>
      </c>
      <c r="M1946" s="20" t="str">
        <f t="array" ref="M1946">_xlfn.XLOOKUP(F1946,Metodos_De_Pago[ID_Metodo],Metodos_De_Pago[Metodo])</f>
        <v>Tarjeta de Débito</v>
      </c>
      <c r="N1946" s="20" t="str">
        <f t="shared" si="2"/>
        <v>2024 11</v>
      </c>
    </row>
    <row r="1947" ht="22.5" customHeight="1">
      <c r="A1947" s="12">
        <f>IFERROR(__xludf.DUMMYFUNCTION("""COMPUTED_VALUE"""),2619.0)</f>
        <v>2619</v>
      </c>
      <c r="B1947" s="13">
        <f>IFERROR(__xludf.DUMMYFUNCTION("""COMPUTED_VALUE"""),45617.0)</f>
        <v>45617</v>
      </c>
      <c r="C1947" s="12">
        <f>IFERROR(__xludf.DUMMYFUNCTION("""COMPUTED_VALUE"""),209.0)</f>
        <v>209</v>
      </c>
      <c r="D1947" s="12">
        <f>IFERROR(__xludf.DUMMYFUNCTION("""COMPUTED_VALUE"""),14.0)</f>
        <v>14</v>
      </c>
      <c r="E1947" s="12">
        <f>IFERROR(__xludf.DUMMYFUNCTION("""COMPUTED_VALUE"""),4.0)</f>
        <v>4</v>
      </c>
      <c r="F1947" s="12">
        <f>IFERROR(__xludf.DUMMYFUNCTION("""COMPUTED_VALUE"""),1.0)</f>
        <v>1</v>
      </c>
      <c r="G1947" s="15" t="str">
        <f>IFERROR(__xludf.DUMMYFUNCTION("""COMPUTED_VALUE"""),"Completa")</f>
        <v>Completa</v>
      </c>
      <c r="H1947" s="16" t="str">
        <f t="array" ref="H1947">_xlfn.XLOOKUP(D1947,Productos[ID_Producto],Productos[Nombre_Producto])</f>
        <v>Facturas</v>
      </c>
      <c r="I1947" s="17">
        <f t="array" ref="I1947">_xlfn.XLOOKUP(D1947,Productos[ID_Producto],Productos[Precio_Unitario])</f>
        <v>12.36</v>
      </c>
      <c r="J1947" s="17">
        <f t="shared" si="1"/>
        <v>49.44</v>
      </c>
      <c r="K1947" s="16" t="str">
        <f t="array" ref="K1947">_xlfn.XLOOKUP(C1947,Clientes[ID_Cliente],Clientes[Provincia])</f>
        <v>Buenos Aires</v>
      </c>
      <c r="L1947" s="16" t="str">
        <f t="array" ref="L1947">CONCATENATE(_xlfn.XLOOKUP(C1947,Clientes[ID_Cliente],Clientes[Provincia]),", Argentina")</f>
        <v>Buenos Aires, Argentina</v>
      </c>
      <c r="M1947" s="20" t="str">
        <f t="array" ref="M1947">_xlfn.XLOOKUP(F1947,Metodos_De_Pago[ID_Metodo],Metodos_De_Pago[Metodo])</f>
        <v>Efectivo</v>
      </c>
      <c r="N1947" s="20" t="str">
        <f t="shared" si="2"/>
        <v>2024 11</v>
      </c>
    </row>
    <row r="1948" ht="22.5" customHeight="1">
      <c r="A1948" s="12">
        <f>IFERROR(__xludf.DUMMYFUNCTION("""COMPUTED_VALUE"""),846.0)</f>
        <v>846</v>
      </c>
      <c r="B1948" s="13">
        <f>IFERROR(__xludf.DUMMYFUNCTION("""COMPUTED_VALUE"""),45618.0)</f>
        <v>45618</v>
      </c>
      <c r="C1948" s="12">
        <f>IFERROR(__xludf.DUMMYFUNCTION("""COMPUTED_VALUE"""),266.0)</f>
        <v>266</v>
      </c>
      <c r="D1948" s="12">
        <f>IFERROR(__xludf.DUMMYFUNCTION("""COMPUTED_VALUE"""),1.0)</f>
        <v>1</v>
      </c>
      <c r="E1948" s="12">
        <f>IFERROR(__xludf.DUMMYFUNCTION("""COMPUTED_VALUE"""),4.0)</f>
        <v>4</v>
      </c>
      <c r="F1948" s="12">
        <f>IFERROR(__xludf.DUMMYFUNCTION("""COMPUTED_VALUE"""),1.0)</f>
        <v>1</v>
      </c>
      <c r="G1948" s="15" t="str">
        <f>IFERROR(__xludf.DUMMYFUNCTION("""COMPUTED_VALUE"""),"Completa")</f>
        <v>Completa</v>
      </c>
      <c r="H1948" s="16" t="str">
        <f t="array" ref="H1948">_xlfn.XLOOKUP(D1948,Productos[ID_Producto],Productos[Nombre_Producto])</f>
        <v>Leche</v>
      </c>
      <c r="I1948" s="17">
        <f t="array" ref="I1948">_xlfn.XLOOKUP(D1948,Productos[ID_Producto],Productos[Precio_Unitario])</f>
        <v>12.24</v>
      </c>
      <c r="J1948" s="17">
        <f t="shared" si="1"/>
        <v>48.96</v>
      </c>
      <c r="K1948" s="16" t="str">
        <f t="array" ref="K1948">_xlfn.XLOOKUP(C1948,Clientes[ID_Cliente],Clientes[Provincia])</f>
        <v>Buenos Aires</v>
      </c>
      <c r="L1948" s="16" t="str">
        <f t="array" ref="L1948">CONCATENATE(_xlfn.XLOOKUP(C1948,Clientes[ID_Cliente],Clientes[Provincia]),", Argentina")</f>
        <v>Buenos Aires, Argentina</v>
      </c>
      <c r="M1948" s="20" t="str">
        <f t="array" ref="M1948">_xlfn.XLOOKUP(F1948,Metodos_De_Pago[ID_Metodo],Metodos_De_Pago[Metodo])</f>
        <v>Efectivo</v>
      </c>
      <c r="N1948" s="20" t="str">
        <f t="shared" si="2"/>
        <v>2024 11</v>
      </c>
    </row>
    <row r="1949" ht="22.5" customHeight="1">
      <c r="A1949" s="12">
        <f>IFERROR(__xludf.DUMMYFUNCTION("""COMPUTED_VALUE"""),341.0)</f>
        <v>341</v>
      </c>
      <c r="B1949" s="13">
        <f>IFERROR(__xludf.DUMMYFUNCTION("""COMPUTED_VALUE"""),45619.0)</f>
        <v>45619</v>
      </c>
      <c r="C1949" s="12">
        <f>IFERROR(__xludf.DUMMYFUNCTION("""COMPUTED_VALUE"""),315.0)</f>
        <v>315</v>
      </c>
      <c r="D1949" s="12">
        <f>IFERROR(__xludf.DUMMYFUNCTION("""COMPUTED_VALUE"""),5.0)</f>
        <v>5</v>
      </c>
      <c r="E1949" s="12">
        <f>IFERROR(__xludf.DUMMYFUNCTION("""COMPUTED_VALUE"""),4.0)</f>
        <v>4</v>
      </c>
      <c r="F1949" s="12">
        <f>IFERROR(__xludf.DUMMYFUNCTION("""COMPUTED_VALUE"""),2.0)</f>
        <v>2</v>
      </c>
      <c r="G1949" s="15" t="str">
        <f>IFERROR(__xludf.DUMMYFUNCTION("""COMPUTED_VALUE"""),"Completa")</f>
        <v>Completa</v>
      </c>
      <c r="H1949" s="16" t="str">
        <f t="array" ref="H1949">_xlfn.XLOOKUP(D1949,Productos[ID_Producto],Productos[Nombre_Producto])</f>
        <v>Manteca</v>
      </c>
      <c r="I1949" s="17">
        <f t="array" ref="I1949">_xlfn.XLOOKUP(D1949,Productos[ID_Producto],Productos[Precio_Unitario])</f>
        <v>5.65</v>
      </c>
      <c r="J1949" s="17">
        <f t="shared" si="1"/>
        <v>22.6</v>
      </c>
      <c r="K1949" s="16" t="str">
        <f t="array" ref="K1949">_xlfn.XLOOKUP(C1949,Clientes[ID_Cliente],Clientes[Provincia])</f>
        <v>Buenos Aires</v>
      </c>
      <c r="L1949" s="16" t="str">
        <f t="array" ref="L1949">CONCATENATE(_xlfn.XLOOKUP(C1949,Clientes[ID_Cliente],Clientes[Provincia]),", Argentina")</f>
        <v>Buenos Aires, Argentina</v>
      </c>
      <c r="M1949" s="20" t="str">
        <f t="array" ref="M1949">_xlfn.XLOOKUP(F1949,Metodos_De_Pago[ID_Metodo],Metodos_De_Pago[Metodo])</f>
        <v>Tarjeta de Crédito</v>
      </c>
      <c r="N1949" s="20" t="str">
        <f t="shared" si="2"/>
        <v>2024 11</v>
      </c>
    </row>
    <row r="1950" ht="22.5" customHeight="1">
      <c r="A1950" s="12">
        <f>IFERROR(__xludf.DUMMYFUNCTION("""COMPUTED_VALUE"""),1893.0)</f>
        <v>1893</v>
      </c>
      <c r="B1950" s="13">
        <f>IFERROR(__xludf.DUMMYFUNCTION("""COMPUTED_VALUE"""),45620.0)</f>
        <v>45620</v>
      </c>
      <c r="C1950" s="12">
        <f>IFERROR(__xludf.DUMMYFUNCTION("""COMPUTED_VALUE"""),245.0)</f>
        <v>245</v>
      </c>
      <c r="D1950" s="12">
        <f>IFERROR(__xludf.DUMMYFUNCTION("""COMPUTED_VALUE"""),38.0)</f>
        <v>38</v>
      </c>
      <c r="E1950" s="12">
        <f>IFERROR(__xludf.DUMMYFUNCTION("""COMPUTED_VALUE"""),4.0)</f>
        <v>4</v>
      </c>
      <c r="F1950" s="12">
        <f>IFERROR(__xludf.DUMMYFUNCTION("""COMPUTED_VALUE"""),5.0)</f>
        <v>5</v>
      </c>
      <c r="G1950" s="15" t="str">
        <f>IFERROR(__xludf.DUMMYFUNCTION("""COMPUTED_VALUE"""),"Completa")</f>
        <v>Completa</v>
      </c>
      <c r="H1950" s="16" t="str">
        <f t="array" ref="H1950">_xlfn.XLOOKUP(D1950,Productos[ID_Producto],Productos[Nombre_Producto])</f>
        <v>Atún enlatado</v>
      </c>
      <c r="I1950" s="17">
        <f t="array" ref="I1950">_xlfn.XLOOKUP(D1950,Productos[ID_Producto],Productos[Precio_Unitario])</f>
        <v>6.21</v>
      </c>
      <c r="J1950" s="17">
        <f t="shared" si="1"/>
        <v>24.84</v>
      </c>
      <c r="K1950" s="16" t="str">
        <f t="array" ref="K1950">_xlfn.XLOOKUP(C1950,Clientes[ID_Cliente],Clientes[Provincia])</f>
        <v>Chaco</v>
      </c>
      <c r="L1950" s="16" t="str">
        <f t="array" ref="L1950">CONCATENATE(_xlfn.XLOOKUP(C1950,Clientes[ID_Cliente],Clientes[Provincia]),", Argentina")</f>
        <v>Chaco, Argentina</v>
      </c>
      <c r="M1950" s="20" t="str">
        <f t="array" ref="M1950">_xlfn.XLOOKUP(F1950,Metodos_De_Pago[ID_Metodo],Metodos_De_Pago[Metodo])</f>
        <v>Transferencia</v>
      </c>
      <c r="N1950" s="20" t="str">
        <f t="shared" si="2"/>
        <v>2024 11</v>
      </c>
    </row>
    <row r="1951" ht="22.5" customHeight="1">
      <c r="A1951" s="12">
        <f>IFERROR(__xludf.DUMMYFUNCTION("""COMPUTED_VALUE"""),120.0)</f>
        <v>120</v>
      </c>
      <c r="B1951" s="13">
        <f>IFERROR(__xludf.DUMMYFUNCTION("""COMPUTED_VALUE"""),45621.0)</f>
        <v>45621</v>
      </c>
      <c r="C1951" s="12">
        <f>IFERROR(__xludf.DUMMYFUNCTION("""COMPUTED_VALUE"""),16.0)</f>
        <v>16</v>
      </c>
      <c r="D1951" s="12">
        <f>IFERROR(__xludf.DUMMYFUNCTION("""COMPUTED_VALUE"""),38.0)</f>
        <v>38</v>
      </c>
      <c r="E1951" s="12">
        <f>IFERROR(__xludf.DUMMYFUNCTION("""COMPUTED_VALUE"""),4.0)</f>
        <v>4</v>
      </c>
      <c r="F1951" s="12">
        <f>IFERROR(__xludf.DUMMYFUNCTION("""COMPUTED_VALUE"""),2.0)</f>
        <v>2</v>
      </c>
      <c r="G1951" s="15" t="str">
        <f>IFERROR(__xludf.DUMMYFUNCTION("""COMPUTED_VALUE"""),"Pendiente")</f>
        <v>Pendiente</v>
      </c>
      <c r="H1951" s="16" t="str">
        <f t="array" ref="H1951">_xlfn.XLOOKUP(D1951,Productos[ID_Producto],Productos[Nombre_Producto])</f>
        <v>Atún enlatado</v>
      </c>
      <c r="I1951" s="17">
        <f t="array" ref="I1951">_xlfn.XLOOKUP(D1951,Productos[ID_Producto],Productos[Precio_Unitario])</f>
        <v>6.21</v>
      </c>
      <c r="J1951" s="17">
        <f t="shared" si="1"/>
        <v>24.84</v>
      </c>
      <c r="K1951" s="16" t="str">
        <f t="array" ref="K1951">_xlfn.XLOOKUP(C1951,Clientes[ID_Cliente],Clientes[Provincia])</f>
        <v>Buenos Aires</v>
      </c>
      <c r="L1951" s="16" t="str">
        <f t="array" ref="L1951">CONCATENATE(_xlfn.XLOOKUP(C1951,Clientes[ID_Cliente],Clientes[Provincia]),", Argentina")</f>
        <v>Buenos Aires, Argentina</v>
      </c>
      <c r="M1951" s="20" t="str">
        <f t="array" ref="M1951">_xlfn.XLOOKUP(F1951,Metodos_De_Pago[ID_Metodo],Metodos_De_Pago[Metodo])</f>
        <v>Tarjeta de Crédito</v>
      </c>
      <c r="N1951" s="20" t="str">
        <f t="shared" si="2"/>
        <v>2024 11</v>
      </c>
    </row>
    <row r="1952" ht="22.5" customHeight="1">
      <c r="A1952" s="12">
        <f>IFERROR(__xludf.DUMMYFUNCTION("""COMPUTED_VALUE"""),1251.0)</f>
        <v>1251</v>
      </c>
      <c r="B1952" s="13">
        <f>IFERROR(__xludf.DUMMYFUNCTION("""COMPUTED_VALUE"""),45621.0)</f>
        <v>45621</v>
      </c>
      <c r="C1952" s="12">
        <f>IFERROR(__xludf.DUMMYFUNCTION("""COMPUTED_VALUE"""),290.0)</f>
        <v>290</v>
      </c>
      <c r="D1952" s="12">
        <f>IFERROR(__xludf.DUMMYFUNCTION("""COMPUTED_VALUE"""),21.0)</f>
        <v>21</v>
      </c>
      <c r="E1952" s="12">
        <f>IFERROR(__xludf.DUMMYFUNCTION("""COMPUTED_VALUE"""),4.0)</f>
        <v>4</v>
      </c>
      <c r="F1952" s="12">
        <f>IFERROR(__xludf.DUMMYFUNCTION("""COMPUTED_VALUE"""),5.0)</f>
        <v>5</v>
      </c>
      <c r="G1952" s="15" t="str">
        <f>IFERROR(__xludf.DUMMYFUNCTION("""COMPUTED_VALUE"""),"Completa")</f>
        <v>Completa</v>
      </c>
      <c r="H1952" s="16" t="str">
        <f t="array" ref="H1952">_xlfn.XLOOKUP(D1952,Productos[ID_Producto],Productos[Nombre_Producto])</f>
        <v>Zanahorias</v>
      </c>
      <c r="I1952" s="17">
        <f t="array" ref="I1952">_xlfn.XLOOKUP(D1952,Productos[ID_Producto],Productos[Precio_Unitario])</f>
        <v>3.25</v>
      </c>
      <c r="J1952" s="17">
        <f t="shared" si="1"/>
        <v>13</v>
      </c>
      <c r="K1952" s="16" t="str">
        <f t="array" ref="K1952">_xlfn.XLOOKUP(C1952,Clientes[ID_Cliente],Clientes[Provincia])</f>
        <v>Buenos Aires</v>
      </c>
      <c r="L1952" s="16" t="str">
        <f t="array" ref="L1952">CONCATENATE(_xlfn.XLOOKUP(C1952,Clientes[ID_Cliente],Clientes[Provincia]),", Argentina")</f>
        <v>Buenos Aires, Argentina</v>
      </c>
      <c r="M1952" s="20" t="str">
        <f t="array" ref="M1952">_xlfn.XLOOKUP(F1952,Metodos_De_Pago[ID_Metodo],Metodos_De_Pago[Metodo])</f>
        <v>Transferencia</v>
      </c>
      <c r="N1952" s="20" t="str">
        <f t="shared" si="2"/>
        <v>2024 11</v>
      </c>
    </row>
    <row r="1953" ht="22.5" customHeight="1">
      <c r="A1953" s="12">
        <f>IFERROR(__xludf.DUMMYFUNCTION("""COMPUTED_VALUE"""),2694.0)</f>
        <v>2694</v>
      </c>
      <c r="B1953" s="13">
        <f>IFERROR(__xludf.DUMMYFUNCTION("""COMPUTED_VALUE"""),45621.0)</f>
        <v>45621</v>
      </c>
      <c r="C1953" s="12">
        <f>IFERROR(__xludf.DUMMYFUNCTION("""COMPUTED_VALUE"""),52.0)</f>
        <v>52</v>
      </c>
      <c r="D1953" s="12">
        <f>IFERROR(__xludf.DUMMYFUNCTION("""COMPUTED_VALUE"""),25.0)</f>
        <v>25</v>
      </c>
      <c r="E1953" s="12">
        <f>IFERROR(__xludf.DUMMYFUNCTION("""COMPUTED_VALUE"""),4.0)</f>
        <v>4</v>
      </c>
      <c r="F1953" s="12">
        <f>IFERROR(__xludf.DUMMYFUNCTION("""COMPUTED_VALUE"""),2.0)</f>
        <v>2</v>
      </c>
      <c r="G1953" s="15" t="str">
        <f>IFERROR(__xludf.DUMMYFUNCTION("""COMPUTED_VALUE"""),"Completa")</f>
        <v>Completa</v>
      </c>
      <c r="H1953" s="16" t="str">
        <f t="array" ref="H1953">_xlfn.XLOOKUP(D1953,Productos[ID_Producto],Productos[Nombre_Producto])</f>
        <v>Pizza congelada</v>
      </c>
      <c r="I1953" s="17">
        <f t="array" ref="I1953">_xlfn.XLOOKUP(D1953,Productos[ID_Producto],Productos[Precio_Unitario])</f>
        <v>15.45</v>
      </c>
      <c r="J1953" s="17">
        <f t="shared" si="1"/>
        <v>61.8</v>
      </c>
      <c r="K1953" s="16" t="str">
        <f t="array" ref="K1953">_xlfn.XLOOKUP(C1953,Clientes[ID_Cliente],Clientes[Provincia])</f>
        <v>Neuquén</v>
      </c>
      <c r="L1953" s="16" t="str">
        <f t="array" ref="L1953">CONCATENATE(_xlfn.XLOOKUP(C1953,Clientes[ID_Cliente],Clientes[Provincia]),", Argentina")</f>
        <v>Neuquén, Argentina</v>
      </c>
      <c r="M1953" s="20" t="str">
        <f t="array" ref="M1953">_xlfn.XLOOKUP(F1953,Metodos_De_Pago[ID_Metodo],Metodos_De_Pago[Metodo])</f>
        <v>Tarjeta de Crédito</v>
      </c>
      <c r="N1953" s="20" t="str">
        <f t="shared" si="2"/>
        <v>2024 11</v>
      </c>
    </row>
    <row r="1954" ht="22.5" customHeight="1">
      <c r="A1954" s="12">
        <f>IFERROR(__xludf.DUMMYFUNCTION("""COMPUTED_VALUE"""),115.0)</f>
        <v>115</v>
      </c>
      <c r="B1954" s="13">
        <f>IFERROR(__xludf.DUMMYFUNCTION("""COMPUTED_VALUE"""),45622.0)</f>
        <v>45622</v>
      </c>
      <c r="C1954" s="12">
        <f>IFERROR(__xludf.DUMMYFUNCTION("""COMPUTED_VALUE"""),19.0)</f>
        <v>19</v>
      </c>
      <c r="D1954" s="12">
        <f>IFERROR(__xludf.DUMMYFUNCTION("""COMPUTED_VALUE"""),21.0)</f>
        <v>21</v>
      </c>
      <c r="E1954" s="12">
        <f>IFERROR(__xludf.DUMMYFUNCTION("""COMPUTED_VALUE"""),4.0)</f>
        <v>4</v>
      </c>
      <c r="F1954" s="12">
        <f>IFERROR(__xludf.DUMMYFUNCTION("""COMPUTED_VALUE"""),3.0)</f>
        <v>3</v>
      </c>
      <c r="G1954" s="15" t="str">
        <f>IFERROR(__xludf.DUMMYFUNCTION("""COMPUTED_VALUE"""),"Completa")</f>
        <v>Completa</v>
      </c>
      <c r="H1954" s="16" t="str">
        <f t="array" ref="H1954">_xlfn.XLOOKUP(D1954,Productos[ID_Producto],Productos[Nombre_Producto])</f>
        <v>Zanahorias</v>
      </c>
      <c r="I1954" s="17">
        <f t="array" ref="I1954">_xlfn.XLOOKUP(D1954,Productos[ID_Producto],Productos[Precio_Unitario])</f>
        <v>3.25</v>
      </c>
      <c r="J1954" s="17">
        <f t="shared" si="1"/>
        <v>13</v>
      </c>
      <c r="K1954" s="16" t="str">
        <f t="array" ref="K1954">_xlfn.XLOOKUP(C1954,Clientes[ID_Cliente],Clientes[Provincia])</f>
        <v>Córdoba</v>
      </c>
      <c r="L1954" s="16" t="str">
        <f t="array" ref="L1954">CONCATENATE(_xlfn.XLOOKUP(C1954,Clientes[ID_Cliente],Clientes[Provincia]),", Argentina")</f>
        <v>Córdoba, Argentina</v>
      </c>
      <c r="M1954" s="20" t="str">
        <f t="array" ref="M1954">_xlfn.XLOOKUP(F1954,Metodos_De_Pago[ID_Metodo],Metodos_De_Pago[Metodo])</f>
        <v>Tarjeta de Débito</v>
      </c>
      <c r="N1954" s="20" t="str">
        <f t="shared" si="2"/>
        <v>2024 11</v>
      </c>
    </row>
    <row r="1955" ht="22.5" customHeight="1">
      <c r="A1955" s="12">
        <f>IFERROR(__xludf.DUMMYFUNCTION("""COMPUTED_VALUE"""),319.0)</f>
        <v>319</v>
      </c>
      <c r="B1955" s="13">
        <f>IFERROR(__xludf.DUMMYFUNCTION("""COMPUTED_VALUE"""),45624.0)</f>
        <v>45624</v>
      </c>
      <c r="C1955" s="12">
        <f>IFERROR(__xludf.DUMMYFUNCTION("""COMPUTED_VALUE"""),199.0)</f>
        <v>199</v>
      </c>
      <c r="D1955" s="12">
        <f>IFERROR(__xludf.DUMMYFUNCTION("""COMPUTED_VALUE"""),12.0)</f>
        <v>12</v>
      </c>
      <c r="E1955" s="12">
        <f>IFERROR(__xludf.DUMMYFUNCTION("""COMPUTED_VALUE"""),4.0)</f>
        <v>4</v>
      </c>
      <c r="F1955" s="12">
        <f>IFERROR(__xludf.DUMMYFUNCTION("""COMPUTED_VALUE"""),4.0)</f>
        <v>4</v>
      </c>
      <c r="G1955" s="15" t="str">
        <f>IFERROR(__xludf.DUMMYFUNCTION("""COMPUTED_VALUE"""),"Completa")</f>
        <v>Completa</v>
      </c>
      <c r="H1955" s="16" t="str">
        <f t="array" ref="H1955">_xlfn.XLOOKUP(D1955,Productos[ID_Producto],Productos[Nombre_Producto])</f>
        <v>Pan francés</v>
      </c>
      <c r="I1955" s="17">
        <f t="array" ref="I1955">_xlfn.XLOOKUP(D1955,Productos[ID_Producto],Productos[Precio_Unitario])</f>
        <v>8.12</v>
      </c>
      <c r="J1955" s="17">
        <f t="shared" si="1"/>
        <v>32.48</v>
      </c>
      <c r="K1955" s="16" t="str">
        <f t="array" ref="K1955">_xlfn.XLOOKUP(C1955,Clientes[ID_Cliente],Clientes[Provincia])</f>
        <v>Buenos Aires</v>
      </c>
      <c r="L1955" s="16" t="str">
        <f t="array" ref="L1955">CONCATENATE(_xlfn.XLOOKUP(C1955,Clientes[ID_Cliente],Clientes[Provincia]),", Argentina")</f>
        <v>Buenos Aires, Argentina</v>
      </c>
      <c r="M1955" s="20" t="str">
        <f t="array" ref="M1955">_xlfn.XLOOKUP(F1955,Metodos_De_Pago[ID_Metodo],Metodos_De_Pago[Metodo])</f>
        <v>Mercado Pago</v>
      </c>
      <c r="N1955" s="20" t="str">
        <f t="shared" si="2"/>
        <v>2024 11</v>
      </c>
    </row>
    <row r="1956" ht="22.5" customHeight="1">
      <c r="A1956" s="12">
        <f>IFERROR(__xludf.DUMMYFUNCTION("""COMPUTED_VALUE"""),1370.0)</f>
        <v>1370</v>
      </c>
      <c r="B1956" s="13">
        <f>IFERROR(__xludf.DUMMYFUNCTION("""COMPUTED_VALUE"""),45624.0)</f>
        <v>45624</v>
      </c>
      <c r="C1956" s="12">
        <f>IFERROR(__xludf.DUMMYFUNCTION("""COMPUTED_VALUE"""),250.0)</f>
        <v>250</v>
      </c>
      <c r="D1956" s="12">
        <f>IFERROR(__xludf.DUMMYFUNCTION("""COMPUTED_VALUE"""),1.0)</f>
        <v>1</v>
      </c>
      <c r="E1956" s="12">
        <f>IFERROR(__xludf.DUMMYFUNCTION("""COMPUTED_VALUE"""),4.0)</f>
        <v>4</v>
      </c>
      <c r="F1956" s="12">
        <f>IFERROR(__xludf.DUMMYFUNCTION("""COMPUTED_VALUE"""),5.0)</f>
        <v>5</v>
      </c>
      <c r="G1956" s="15" t="str">
        <f>IFERROR(__xludf.DUMMYFUNCTION("""COMPUTED_VALUE"""),"Completa")</f>
        <v>Completa</v>
      </c>
      <c r="H1956" s="16" t="str">
        <f t="array" ref="H1956">_xlfn.XLOOKUP(D1956,Productos[ID_Producto],Productos[Nombre_Producto])</f>
        <v>Leche</v>
      </c>
      <c r="I1956" s="17">
        <f t="array" ref="I1956">_xlfn.XLOOKUP(D1956,Productos[ID_Producto],Productos[Precio_Unitario])</f>
        <v>12.24</v>
      </c>
      <c r="J1956" s="17">
        <f t="shared" si="1"/>
        <v>48.96</v>
      </c>
      <c r="K1956" s="16" t="str">
        <f t="array" ref="K1956">_xlfn.XLOOKUP(C1956,Clientes[ID_Cliente],Clientes[Provincia])</f>
        <v>Córdoba</v>
      </c>
      <c r="L1956" s="16" t="str">
        <f t="array" ref="L1956">CONCATENATE(_xlfn.XLOOKUP(C1956,Clientes[ID_Cliente],Clientes[Provincia]),", Argentina")</f>
        <v>Córdoba, Argentina</v>
      </c>
      <c r="M1956" s="20" t="str">
        <f t="array" ref="M1956">_xlfn.XLOOKUP(F1956,Metodos_De_Pago[ID_Metodo],Metodos_De_Pago[Metodo])</f>
        <v>Transferencia</v>
      </c>
      <c r="N1956" s="20" t="str">
        <f t="shared" si="2"/>
        <v>2024 11</v>
      </c>
    </row>
    <row r="1957" ht="22.5" customHeight="1">
      <c r="A1957" s="12">
        <f>IFERROR(__xludf.DUMMYFUNCTION("""COMPUTED_VALUE"""),845.0)</f>
        <v>845</v>
      </c>
      <c r="B1957" s="13">
        <f>IFERROR(__xludf.DUMMYFUNCTION("""COMPUTED_VALUE"""),45625.0)</f>
        <v>45625</v>
      </c>
      <c r="C1957" s="12">
        <f>IFERROR(__xludf.DUMMYFUNCTION("""COMPUTED_VALUE"""),318.0)</f>
        <v>318</v>
      </c>
      <c r="D1957" s="12">
        <f>IFERROR(__xludf.DUMMYFUNCTION("""COMPUTED_VALUE"""),32.0)</f>
        <v>32</v>
      </c>
      <c r="E1957" s="12">
        <f>IFERROR(__xludf.DUMMYFUNCTION("""COMPUTED_VALUE"""),4.0)</f>
        <v>4</v>
      </c>
      <c r="F1957" s="12">
        <f>IFERROR(__xludf.DUMMYFUNCTION("""COMPUTED_VALUE"""),5.0)</f>
        <v>5</v>
      </c>
      <c r="G1957" s="15" t="str">
        <f>IFERROR(__xludf.DUMMYFUNCTION("""COMPUTED_VALUE"""),"Completa")</f>
        <v>Completa</v>
      </c>
      <c r="H1957" s="16" t="str">
        <f t="array" ref="H1957">_xlfn.XLOOKUP(D1957,Productos[ID_Producto],Productos[Nombre_Producto])</f>
        <v>Galletitas de chocolate</v>
      </c>
      <c r="I1957" s="17">
        <f t="array" ref="I1957">_xlfn.XLOOKUP(D1957,Productos[ID_Producto],Productos[Precio_Unitario])</f>
        <v>6.25</v>
      </c>
      <c r="J1957" s="17">
        <f t="shared" si="1"/>
        <v>25</v>
      </c>
      <c r="K1957" s="16" t="str">
        <f t="array" ref="K1957">_xlfn.XLOOKUP(C1957,Clientes[ID_Cliente],Clientes[Provincia])</f>
        <v>Buenos Aires</v>
      </c>
      <c r="L1957" s="16" t="str">
        <f t="array" ref="L1957">CONCATENATE(_xlfn.XLOOKUP(C1957,Clientes[ID_Cliente],Clientes[Provincia]),", Argentina")</f>
        <v>Buenos Aires, Argentina</v>
      </c>
      <c r="M1957" s="20" t="str">
        <f t="array" ref="M1957">_xlfn.XLOOKUP(F1957,Metodos_De_Pago[ID_Metodo],Metodos_De_Pago[Metodo])</f>
        <v>Transferencia</v>
      </c>
      <c r="N1957" s="20" t="str">
        <f t="shared" si="2"/>
        <v>2024 11</v>
      </c>
    </row>
    <row r="1958" ht="22.5" customHeight="1">
      <c r="A1958" s="12">
        <f>IFERROR(__xludf.DUMMYFUNCTION("""COMPUTED_VALUE"""),1170.0)</f>
        <v>1170</v>
      </c>
      <c r="B1958" s="13">
        <f>IFERROR(__xludf.DUMMYFUNCTION("""COMPUTED_VALUE"""),45625.0)</f>
        <v>45625</v>
      </c>
      <c r="C1958" s="12">
        <f>IFERROR(__xludf.DUMMYFUNCTION("""COMPUTED_VALUE"""),17.0)</f>
        <v>17</v>
      </c>
      <c r="D1958" s="12">
        <f>IFERROR(__xludf.DUMMYFUNCTION("""COMPUTED_VALUE"""),26.0)</f>
        <v>26</v>
      </c>
      <c r="E1958" s="12">
        <f>IFERROR(__xludf.DUMMYFUNCTION("""COMPUTED_VALUE"""),4.0)</f>
        <v>4</v>
      </c>
      <c r="F1958" s="12">
        <f>IFERROR(__xludf.DUMMYFUNCTION("""COMPUTED_VALUE"""),2.0)</f>
        <v>2</v>
      </c>
      <c r="G1958" s="15" t="str">
        <f>IFERROR(__xludf.DUMMYFUNCTION("""COMPUTED_VALUE"""),"Completa")</f>
        <v>Completa</v>
      </c>
      <c r="H1958" s="16" t="str">
        <f t="array" ref="H1958">_xlfn.XLOOKUP(D1958,Productos[ID_Producto],Productos[Nombre_Producto])</f>
        <v>Hamburgesas congeladas</v>
      </c>
      <c r="I1958" s="17">
        <f t="array" ref="I1958">_xlfn.XLOOKUP(D1958,Productos[ID_Producto],Productos[Precio_Unitario])</f>
        <v>9.54</v>
      </c>
      <c r="J1958" s="17">
        <f t="shared" si="1"/>
        <v>38.16</v>
      </c>
      <c r="K1958" s="16" t="str">
        <f t="array" ref="K1958">_xlfn.XLOOKUP(C1958,Clientes[ID_Cliente],Clientes[Provincia])</f>
        <v>Buenos Aires</v>
      </c>
      <c r="L1958" s="16" t="str">
        <f t="array" ref="L1958">CONCATENATE(_xlfn.XLOOKUP(C1958,Clientes[ID_Cliente],Clientes[Provincia]),", Argentina")</f>
        <v>Buenos Aires, Argentina</v>
      </c>
      <c r="M1958" s="20" t="str">
        <f t="array" ref="M1958">_xlfn.XLOOKUP(F1958,Metodos_De_Pago[ID_Metodo],Metodos_De_Pago[Metodo])</f>
        <v>Tarjeta de Crédito</v>
      </c>
      <c r="N1958" s="20" t="str">
        <f t="shared" si="2"/>
        <v>2024 11</v>
      </c>
    </row>
    <row r="1959" ht="22.5" customHeight="1">
      <c r="A1959" s="12">
        <f>IFERROR(__xludf.DUMMYFUNCTION("""COMPUTED_VALUE"""),2129.0)</f>
        <v>2129</v>
      </c>
      <c r="B1959" s="13">
        <f>IFERROR(__xludf.DUMMYFUNCTION("""COMPUTED_VALUE"""),45625.0)</f>
        <v>45625</v>
      </c>
      <c r="C1959" s="12">
        <f>IFERROR(__xludf.DUMMYFUNCTION("""COMPUTED_VALUE"""),49.0)</f>
        <v>49</v>
      </c>
      <c r="D1959" s="12">
        <f>IFERROR(__xludf.DUMMYFUNCTION("""COMPUTED_VALUE"""),36.0)</f>
        <v>36</v>
      </c>
      <c r="E1959" s="12">
        <f>IFERROR(__xludf.DUMMYFUNCTION("""COMPUTED_VALUE"""),4.0)</f>
        <v>4</v>
      </c>
      <c r="F1959" s="12">
        <f>IFERROR(__xludf.DUMMYFUNCTION("""COMPUTED_VALUE"""),4.0)</f>
        <v>4</v>
      </c>
      <c r="G1959" s="15" t="str">
        <f>IFERROR(__xludf.DUMMYFUNCTION("""COMPUTED_VALUE"""),"Completa")</f>
        <v>Completa</v>
      </c>
      <c r="H1959" s="16" t="str">
        <f t="array" ref="H1959">_xlfn.XLOOKUP(D1959,Productos[ID_Producto],Productos[Nombre_Producto])</f>
        <v>Lentejas</v>
      </c>
      <c r="I1959" s="17">
        <f t="array" ref="I1959">_xlfn.XLOOKUP(D1959,Productos[ID_Producto],Productos[Precio_Unitario])</f>
        <v>3.25</v>
      </c>
      <c r="J1959" s="17">
        <f t="shared" si="1"/>
        <v>13</v>
      </c>
      <c r="K1959" s="16" t="str">
        <f t="array" ref="K1959">_xlfn.XLOOKUP(C1959,Clientes[ID_Cliente],Clientes[Provincia])</f>
        <v>Buenos Aires</v>
      </c>
      <c r="L1959" s="16" t="str">
        <f t="array" ref="L1959">CONCATENATE(_xlfn.XLOOKUP(C1959,Clientes[ID_Cliente],Clientes[Provincia]),", Argentina")</f>
        <v>Buenos Aires, Argentina</v>
      </c>
      <c r="M1959" s="20" t="str">
        <f t="array" ref="M1959">_xlfn.XLOOKUP(F1959,Metodos_De_Pago[ID_Metodo],Metodos_De_Pago[Metodo])</f>
        <v>Mercado Pago</v>
      </c>
      <c r="N1959" s="20" t="str">
        <f t="shared" si="2"/>
        <v>2024 11</v>
      </c>
    </row>
    <row r="1960" ht="22.5" customHeight="1">
      <c r="A1960" s="12">
        <f>IFERROR(__xludf.DUMMYFUNCTION("""COMPUTED_VALUE"""),2144.0)</f>
        <v>2144</v>
      </c>
      <c r="B1960" s="13">
        <f>IFERROR(__xludf.DUMMYFUNCTION("""COMPUTED_VALUE"""),45625.0)</f>
        <v>45625</v>
      </c>
      <c r="C1960" s="12">
        <f>IFERROR(__xludf.DUMMYFUNCTION("""COMPUTED_VALUE"""),281.0)</f>
        <v>281</v>
      </c>
      <c r="D1960" s="12">
        <f>IFERROR(__xludf.DUMMYFUNCTION("""COMPUTED_VALUE"""),24.0)</f>
        <v>24</v>
      </c>
      <c r="E1960" s="12">
        <f>IFERROR(__xludf.DUMMYFUNCTION("""COMPUTED_VALUE"""),4.0)</f>
        <v>4</v>
      </c>
      <c r="F1960" s="12">
        <f>IFERROR(__xludf.DUMMYFUNCTION("""COMPUTED_VALUE"""),4.0)</f>
        <v>4</v>
      </c>
      <c r="G1960" s="15" t="str">
        <f>IFERROR(__xludf.DUMMYFUNCTION("""COMPUTED_VALUE"""),"Completa")</f>
        <v>Completa</v>
      </c>
      <c r="H1960" s="16" t="str">
        <f t="array" ref="H1960">_xlfn.XLOOKUP(D1960,Productos[ID_Producto],Productos[Nombre_Producto])</f>
        <v>Empanadas</v>
      </c>
      <c r="I1960" s="17">
        <f t="array" ref="I1960">_xlfn.XLOOKUP(D1960,Productos[ID_Producto],Productos[Precio_Unitario])</f>
        <v>13.54</v>
      </c>
      <c r="J1960" s="17">
        <f t="shared" si="1"/>
        <v>54.16</v>
      </c>
      <c r="K1960" s="16" t="str">
        <f t="array" ref="K1960">_xlfn.XLOOKUP(C1960,Clientes[ID_Cliente],Clientes[Provincia])</f>
        <v>Buenos Aires</v>
      </c>
      <c r="L1960" s="16" t="str">
        <f t="array" ref="L1960">CONCATENATE(_xlfn.XLOOKUP(C1960,Clientes[ID_Cliente],Clientes[Provincia]),", Argentina")</f>
        <v>Buenos Aires, Argentina</v>
      </c>
      <c r="M1960" s="20" t="str">
        <f t="array" ref="M1960">_xlfn.XLOOKUP(F1960,Metodos_De_Pago[ID_Metodo],Metodos_De_Pago[Metodo])</f>
        <v>Mercado Pago</v>
      </c>
      <c r="N1960" s="20" t="str">
        <f t="shared" si="2"/>
        <v>2024 11</v>
      </c>
    </row>
    <row r="1961" ht="22.5" customHeight="1">
      <c r="A1961" s="12">
        <f>IFERROR(__xludf.DUMMYFUNCTION("""COMPUTED_VALUE"""),1811.0)</f>
        <v>1811</v>
      </c>
      <c r="B1961" s="13">
        <f>IFERROR(__xludf.DUMMYFUNCTION("""COMPUTED_VALUE"""),45626.0)</f>
        <v>45626</v>
      </c>
      <c r="C1961" s="12">
        <f>IFERROR(__xludf.DUMMYFUNCTION("""COMPUTED_VALUE"""),321.0)</f>
        <v>321</v>
      </c>
      <c r="D1961" s="12">
        <f>IFERROR(__xludf.DUMMYFUNCTION("""COMPUTED_VALUE"""),18.0)</f>
        <v>18</v>
      </c>
      <c r="E1961" s="12">
        <f>IFERROR(__xludf.DUMMYFUNCTION("""COMPUTED_VALUE"""),4.0)</f>
        <v>4</v>
      </c>
      <c r="F1961" s="12">
        <f>IFERROR(__xludf.DUMMYFUNCTION("""COMPUTED_VALUE"""),1.0)</f>
        <v>1</v>
      </c>
      <c r="G1961" s="15" t="str">
        <f>IFERROR(__xludf.DUMMYFUNCTION("""COMPUTED_VALUE"""),"Completa")</f>
        <v>Completa</v>
      </c>
      <c r="H1961" s="16" t="str">
        <f t="array" ref="H1961">_xlfn.XLOOKUP(D1961,Productos[ID_Producto],Productos[Nombre_Producto])</f>
        <v>Bananas</v>
      </c>
      <c r="I1961" s="17">
        <f t="array" ref="I1961">_xlfn.XLOOKUP(D1961,Productos[ID_Producto],Productos[Precio_Unitario])</f>
        <v>7.25</v>
      </c>
      <c r="J1961" s="17">
        <f t="shared" si="1"/>
        <v>29</v>
      </c>
      <c r="K1961" s="16" t="str">
        <f t="array" ref="K1961">_xlfn.XLOOKUP(C1961,Clientes[ID_Cliente],Clientes[Provincia])</f>
        <v>San Luis</v>
      </c>
      <c r="L1961" s="16" t="str">
        <f t="array" ref="L1961">CONCATENATE(_xlfn.XLOOKUP(C1961,Clientes[ID_Cliente],Clientes[Provincia]),", Argentina")</f>
        <v>San Luis, Argentina</v>
      </c>
      <c r="M1961" s="20" t="str">
        <f t="array" ref="M1961">_xlfn.XLOOKUP(F1961,Metodos_De_Pago[ID_Metodo],Metodos_De_Pago[Metodo])</f>
        <v>Efectivo</v>
      </c>
      <c r="N1961" s="20" t="str">
        <f t="shared" si="2"/>
        <v>2024 11</v>
      </c>
    </row>
    <row r="1962" ht="22.5" customHeight="1">
      <c r="A1962" s="12">
        <f>IFERROR(__xludf.DUMMYFUNCTION("""COMPUTED_VALUE"""),196.0)</f>
        <v>196</v>
      </c>
      <c r="B1962" s="13">
        <f>IFERROR(__xludf.DUMMYFUNCTION("""COMPUTED_VALUE"""),45627.0)</f>
        <v>45627</v>
      </c>
      <c r="C1962" s="12">
        <f>IFERROR(__xludf.DUMMYFUNCTION("""COMPUTED_VALUE"""),104.0)</f>
        <v>104</v>
      </c>
      <c r="D1962" s="12">
        <f>IFERROR(__xludf.DUMMYFUNCTION("""COMPUTED_VALUE"""),27.0)</f>
        <v>27</v>
      </c>
      <c r="E1962" s="12">
        <f>IFERROR(__xludf.DUMMYFUNCTION("""COMPUTED_VALUE"""),4.0)</f>
        <v>4</v>
      </c>
      <c r="F1962" s="12">
        <f>IFERROR(__xludf.DUMMYFUNCTION("""COMPUTED_VALUE"""),1.0)</f>
        <v>1</v>
      </c>
      <c r="G1962" s="15" t="str">
        <f>IFERROR(__xludf.DUMMYFUNCTION("""COMPUTED_VALUE"""),"Completa")</f>
        <v>Completa</v>
      </c>
      <c r="H1962" s="16" t="str">
        <f t="array" ref="H1962">_xlfn.XLOOKUP(D1962,Productos[ID_Producto],Productos[Nombre_Producto])</f>
        <v>Agua mineral</v>
      </c>
      <c r="I1962" s="17">
        <f t="array" ref="I1962">_xlfn.XLOOKUP(D1962,Productos[ID_Producto],Productos[Precio_Unitario])</f>
        <v>6.21</v>
      </c>
      <c r="J1962" s="17">
        <f t="shared" si="1"/>
        <v>24.84</v>
      </c>
      <c r="K1962" s="16" t="str">
        <f t="array" ref="K1962">_xlfn.XLOOKUP(C1962,Clientes[ID_Cliente],Clientes[Provincia])</f>
        <v>Buenos Aires</v>
      </c>
      <c r="L1962" s="16" t="str">
        <f t="array" ref="L1962">CONCATENATE(_xlfn.XLOOKUP(C1962,Clientes[ID_Cliente],Clientes[Provincia]),", Argentina")</f>
        <v>Buenos Aires, Argentina</v>
      </c>
      <c r="M1962" s="20" t="str">
        <f t="array" ref="M1962">_xlfn.XLOOKUP(F1962,Metodos_De_Pago[ID_Metodo],Metodos_De_Pago[Metodo])</f>
        <v>Efectivo</v>
      </c>
      <c r="N1962" s="20" t="str">
        <f t="shared" si="2"/>
        <v>2024 12</v>
      </c>
    </row>
    <row r="1963" ht="22.5" customHeight="1">
      <c r="A1963" s="12">
        <f>IFERROR(__xludf.DUMMYFUNCTION("""COMPUTED_VALUE"""),390.0)</f>
        <v>390</v>
      </c>
      <c r="B1963" s="13">
        <f>IFERROR(__xludf.DUMMYFUNCTION("""COMPUTED_VALUE"""),45627.0)</f>
        <v>45627</v>
      </c>
      <c r="C1963" s="12">
        <f>IFERROR(__xludf.DUMMYFUNCTION("""COMPUTED_VALUE"""),74.0)</f>
        <v>74</v>
      </c>
      <c r="D1963" s="12">
        <f>IFERROR(__xludf.DUMMYFUNCTION("""COMPUTED_VALUE"""),26.0)</f>
        <v>26</v>
      </c>
      <c r="E1963" s="12">
        <f>IFERROR(__xludf.DUMMYFUNCTION("""COMPUTED_VALUE"""),4.0)</f>
        <v>4</v>
      </c>
      <c r="F1963" s="12">
        <f>IFERROR(__xludf.DUMMYFUNCTION("""COMPUTED_VALUE"""),4.0)</f>
        <v>4</v>
      </c>
      <c r="G1963" s="15" t="str">
        <f>IFERROR(__xludf.DUMMYFUNCTION("""COMPUTED_VALUE"""),"Completa")</f>
        <v>Completa</v>
      </c>
      <c r="H1963" s="16" t="str">
        <f t="array" ref="H1963">_xlfn.XLOOKUP(D1963,Productos[ID_Producto],Productos[Nombre_Producto])</f>
        <v>Hamburgesas congeladas</v>
      </c>
      <c r="I1963" s="17">
        <f t="array" ref="I1963">_xlfn.XLOOKUP(D1963,Productos[ID_Producto],Productos[Precio_Unitario])</f>
        <v>9.54</v>
      </c>
      <c r="J1963" s="17">
        <f t="shared" si="1"/>
        <v>38.16</v>
      </c>
      <c r="K1963" s="16" t="str">
        <f t="array" ref="K1963">_xlfn.XLOOKUP(C1963,Clientes[ID_Cliente],Clientes[Provincia])</f>
        <v>Neuquén</v>
      </c>
      <c r="L1963" s="16" t="str">
        <f t="array" ref="L1963">CONCATENATE(_xlfn.XLOOKUP(C1963,Clientes[ID_Cliente],Clientes[Provincia]),", Argentina")</f>
        <v>Neuquén, Argentina</v>
      </c>
      <c r="M1963" s="20" t="str">
        <f t="array" ref="M1963">_xlfn.XLOOKUP(F1963,Metodos_De_Pago[ID_Metodo],Metodos_De_Pago[Metodo])</f>
        <v>Mercado Pago</v>
      </c>
      <c r="N1963" s="20" t="str">
        <f t="shared" si="2"/>
        <v>2024 12</v>
      </c>
    </row>
    <row r="1964" ht="22.5" customHeight="1">
      <c r="A1964" s="12">
        <f>IFERROR(__xludf.DUMMYFUNCTION("""COMPUTED_VALUE"""),937.0)</f>
        <v>937</v>
      </c>
      <c r="B1964" s="13">
        <f>IFERROR(__xludf.DUMMYFUNCTION("""COMPUTED_VALUE"""),45627.0)</f>
        <v>45627</v>
      </c>
      <c r="C1964" s="12">
        <f>IFERROR(__xludf.DUMMYFUNCTION("""COMPUTED_VALUE"""),261.0)</f>
        <v>261</v>
      </c>
      <c r="D1964" s="12">
        <f>IFERROR(__xludf.DUMMYFUNCTION("""COMPUTED_VALUE"""),27.0)</f>
        <v>27</v>
      </c>
      <c r="E1964" s="12">
        <f>IFERROR(__xludf.DUMMYFUNCTION("""COMPUTED_VALUE"""),4.0)</f>
        <v>4</v>
      </c>
      <c r="F1964" s="12">
        <f>IFERROR(__xludf.DUMMYFUNCTION("""COMPUTED_VALUE"""),2.0)</f>
        <v>2</v>
      </c>
      <c r="G1964" s="15" t="str">
        <f>IFERROR(__xludf.DUMMYFUNCTION("""COMPUTED_VALUE"""),"Completa")</f>
        <v>Completa</v>
      </c>
      <c r="H1964" s="16" t="str">
        <f t="array" ref="H1964">_xlfn.XLOOKUP(D1964,Productos[ID_Producto],Productos[Nombre_Producto])</f>
        <v>Agua mineral</v>
      </c>
      <c r="I1964" s="17">
        <f t="array" ref="I1964">_xlfn.XLOOKUP(D1964,Productos[ID_Producto],Productos[Precio_Unitario])</f>
        <v>6.21</v>
      </c>
      <c r="J1964" s="17">
        <f t="shared" si="1"/>
        <v>24.84</v>
      </c>
      <c r="K1964" s="16" t="str">
        <f t="array" ref="K1964">_xlfn.XLOOKUP(C1964,Clientes[ID_Cliente],Clientes[Provincia])</f>
        <v>Salta</v>
      </c>
      <c r="L1964" s="16" t="str">
        <f t="array" ref="L1964">CONCATENATE(_xlfn.XLOOKUP(C1964,Clientes[ID_Cliente],Clientes[Provincia]),", Argentina")</f>
        <v>Salta, Argentina</v>
      </c>
      <c r="M1964" s="20" t="str">
        <f t="array" ref="M1964">_xlfn.XLOOKUP(F1964,Metodos_De_Pago[ID_Metodo],Metodos_De_Pago[Metodo])</f>
        <v>Tarjeta de Crédito</v>
      </c>
      <c r="N1964" s="20" t="str">
        <f t="shared" si="2"/>
        <v>2024 12</v>
      </c>
    </row>
    <row r="1965" ht="22.5" customHeight="1">
      <c r="A1965" s="12">
        <f>IFERROR(__xludf.DUMMYFUNCTION("""COMPUTED_VALUE"""),1455.0)</f>
        <v>1455</v>
      </c>
      <c r="B1965" s="13">
        <f>IFERROR(__xludf.DUMMYFUNCTION("""COMPUTED_VALUE"""),45627.0)</f>
        <v>45627</v>
      </c>
      <c r="C1965" s="12">
        <f>IFERROR(__xludf.DUMMYFUNCTION("""COMPUTED_VALUE"""),271.0)</f>
        <v>271</v>
      </c>
      <c r="D1965" s="12">
        <f>IFERROR(__xludf.DUMMYFUNCTION("""COMPUTED_VALUE"""),29.0)</f>
        <v>29</v>
      </c>
      <c r="E1965" s="12">
        <f>IFERROR(__xludf.DUMMYFUNCTION("""COMPUTED_VALUE"""),4.0)</f>
        <v>4</v>
      </c>
      <c r="F1965" s="12">
        <f>IFERROR(__xludf.DUMMYFUNCTION("""COMPUTED_VALUE"""),4.0)</f>
        <v>4</v>
      </c>
      <c r="G1965" s="15" t="str">
        <f>IFERROR(__xludf.DUMMYFUNCTION("""COMPUTED_VALUE"""),"Completa")</f>
        <v>Completa</v>
      </c>
      <c r="H1965" s="16" t="str">
        <f t="array" ref="H1965">_xlfn.XLOOKUP(D1965,Productos[ID_Producto],Productos[Nombre_Producto])</f>
        <v>Cerveza</v>
      </c>
      <c r="I1965" s="17">
        <f t="array" ref="I1965">_xlfn.XLOOKUP(D1965,Productos[ID_Producto],Productos[Precio_Unitario])</f>
        <v>11.54</v>
      </c>
      <c r="J1965" s="17">
        <f t="shared" si="1"/>
        <v>46.16</v>
      </c>
      <c r="K1965" s="16" t="str">
        <f t="array" ref="K1965">_xlfn.XLOOKUP(C1965,Clientes[ID_Cliente],Clientes[Provincia])</f>
        <v>Neuquén</v>
      </c>
      <c r="L1965" s="16" t="str">
        <f t="array" ref="L1965">CONCATENATE(_xlfn.XLOOKUP(C1965,Clientes[ID_Cliente],Clientes[Provincia]),", Argentina")</f>
        <v>Neuquén, Argentina</v>
      </c>
      <c r="M1965" s="20" t="str">
        <f t="array" ref="M1965">_xlfn.XLOOKUP(F1965,Metodos_De_Pago[ID_Metodo],Metodos_De_Pago[Metodo])</f>
        <v>Mercado Pago</v>
      </c>
      <c r="N1965" s="20" t="str">
        <f t="shared" si="2"/>
        <v>2024 12</v>
      </c>
    </row>
    <row r="1966" ht="22.5" customHeight="1">
      <c r="A1966" s="12">
        <f>IFERROR(__xludf.DUMMYFUNCTION("""COMPUTED_VALUE"""),1542.0)</f>
        <v>1542</v>
      </c>
      <c r="B1966" s="13">
        <f>IFERROR(__xludf.DUMMYFUNCTION("""COMPUTED_VALUE"""),45627.0)</f>
        <v>45627</v>
      </c>
      <c r="C1966" s="12">
        <f>IFERROR(__xludf.DUMMYFUNCTION("""COMPUTED_VALUE"""),250.0)</f>
        <v>250</v>
      </c>
      <c r="D1966" s="12">
        <f>IFERROR(__xludf.DUMMYFUNCTION("""COMPUTED_VALUE"""),33.0)</f>
        <v>33</v>
      </c>
      <c r="E1966" s="12">
        <f>IFERROR(__xludf.DUMMYFUNCTION("""COMPUTED_VALUE"""),4.0)</f>
        <v>4</v>
      </c>
      <c r="F1966" s="12">
        <f>IFERROR(__xludf.DUMMYFUNCTION("""COMPUTED_VALUE"""),1.0)</f>
        <v>1</v>
      </c>
      <c r="G1966" s="15" t="str">
        <f>IFERROR(__xludf.DUMMYFUNCTION("""COMPUTED_VALUE"""),"Completa")</f>
        <v>Completa</v>
      </c>
      <c r="H1966" s="16" t="str">
        <f t="array" ref="H1966">_xlfn.XLOOKUP(D1966,Productos[ID_Producto],Productos[Nombre_Producto])</f>
        <v>Papas chips</v>
      </c>
      <c r="I1966" s="17">
        <f t="array" ref="I1966">_xlfn.XLOOKUP(D1966,Productos[ID_Producto],Productos[Precio_Unitario])</f>
        <v>8.54</v>
      </c>
      <c r="J1966" s="17">
        <f t="shared" si="1"/>
        <v>34.16</v>
      </c>
      <c r="K1966" s="16" t="str">
        <f t="array" ref="K1966">_xlfn.XLOOKUP(C1966,Clientes[ID_Cliente],Clientes[Provincia])</f>
        <v>Córdoba</v>
      </c>
      <c r="L1966" s="16" t="str">
        <f t="array" ref="L1966">CONCATENATE(_xlfn.XLOOKUP(C1966,Clientes[ID_Cliente],Clientes[Provincia]),", Argentina")</f>
        <v>Córdoba, Argentina</v>
      </c>
      <c r="M1966" s="20" t="str">
        <f t="array" ref="M1966">_xlfn.XLOOKUP(F1966,Metodos_De_Pago[ID_Metodo],Metodos_De_Pago[Metodo])</f>
        <v>Efectivo</v>
      </c>
      <c r="N1966" s="20" t="str">
        <f t="shared" si="2"/>
        <v>2024 12</v>
      </c>
    </row>
    <row r="1967" ht="22.5" customHeight="1">
      <c r="A1967" s="12">
        <f>IFERROR(__xludf.DUMMYFUNCTION("""COMPUTED_VALUE"""),2906.0)</f>
        <v>2906</v>
      </c>
      <c r="B1967" s="13">
        <f>IFERROR(__xludf.DUMMYFUNCTION("""COMPUTED_VALUE"""),45627.0)</f>
        <v>45627</v>
      </c>
      <c r="C1967" s="12">
        <f>IFERROR(__xludf.DUMMYFUNCTION("""COMPUTED_VALUE"""),290.0)</f>
        <v>290</v>
      </c>
      <c r="D1967" s="12">
        <f>IFERROR(__xludf.DUMMYFUNCTION("""COMPUTED_VALUE"""),1.0)</f>
        <v>1</v>
      </c>
      <c r="E1967" s="12">
        <f>IFERROR(__xludf.DUMMYFUNCTION("""COMPUTED_VALUE"""),4.0)</f>
        <v>4</v>
      </c>
      <c r="F1967" s="12">
        <f>IFERROR(__xludf.DUMMYFUNCTION("""COMPUTED_VALUE"""),1.0)</f>
        <v>1</v>
      </c>
      <c r="G1967" s="15" t="str">
        <f>IFERROR(__xludf.DUMMYFUNCTION("""COMPUTED_VALUE"""),"Completa")</f>
        <v>Completa</v>
      </c>
      <c r="H1967" s="16" t="str">
        <f t="array" ref="H1967">_xlfn.XLOOKUP(D1967,Productos[ID_Producto],Productos[Nombre_Producto])</f>
        <v>Leche</v>
      </c>
      <c r="I1967" s="17">
        <f t="array" ref="I1967">_xlfn.XLOOKUP(D1967,Productos[ID_Producto],Productos[Precio_Unitario])</f>
        <v>12.24</v>
      </c>
      <c r="J1967" s="17">
        <f t="shared" si="1"/>
        <v>48.96</v>
      </c>
      <c r="K1967" s="16" t="str">
        <f t="array" ref="K1967">_xlfn.XLOOKUP(C1967,Clientes[ID_Cliente],Clientes[Provincia])</f>
        <v>Buenos Aires</v>
      </c>
      <c r="L1967" s="16" t="str">
        <f t="array" ref="L1967">CONCATENATE(_xlfn.XLOOKUP(C1967,Clientes[ID_Cliente],Clientes[Provincia]),", Argentina")</f>
        <v>Buenos Aires, Argentina</v>
      </c>
      <c r="M1967" s="20" t="str">
        <f t="array" ref="M1967">_xlfn.XLOOKUP(F1967,Metodos_De_Pago[ID_Metodo],Metodos_De_Pago[Metodo])</f>
        <v>Efectivo</v>
      </c>
      <c r="N1967" s="20" t="str">
        <f t="shared" si="2"/>
        <v>2024 12</v>
      </c>
    </row>
    <row r="1968" ht="22.5" customHeight="1">
      <c r="A1968" s="12">
        <f>IFERROR(__xludf.DUMMYFUNCTION("""COMPUTED_VALUE"""),693.0)</f>
        <v>693</v>
      </c>
      <c r="B1968" s="13">
        <f>IFERROR(__xludf.DUMMYFUNCTION("""COMPUTED_VALUE"""),45629.0)</f>
        <v>45629</v>
      </c>
      <c r="C1968" s="12">
        <f>IFERROR(__xludf.DUMMYFUNCTION("""COMPUTED_VALUE"""),15.0)</f>
        <v>15</v>
      </c>
      <c r="D1968" s="12">
        <f>IFERROR(__xludf.DUMMYFUNCTION("""COMPUTED_VALUE"""),7.0)</f>
        <v>7</v>
      </c>
      <c r="E1968" s="12">
        <f>IFERROR(__xludf.DUMMYFUNCTION("""COMPUTED_VALUE"""),4.0)</f>
        <v>4</v>
      </c>
      <c r="F1968" s="12">
        <f>IFERROR(__xludf.DUMMYFUNCTION("""COMPUTED_VALUE"""),5.0)</f>
        <v>5</v>
      </c>
      <c r="G1968" s="15" t="str">
        <f>IFERROR(__xludf.DUMMYFUNCTION("""COMPUTED_VALUE"""),"Completa")</f>
        <v>Completa</v>
      </c>
      <c r="H1968" s="16" t="str">
        <f t="array" ref="H1968">_xlfn.XLOOKUP(D1968,Productos[ID_Producto],Productos[Nombre_Producto])</f>
        <v>Chorizo</v>
      </c>
      <c r="I1968" s="17">
        <f t="array" ref="I1968">_xlfn.XLOOKUP(D1968,Productos[ID_Producto],Productos[Precio_Unitario])</f>
        <v>11.25</v>
      </c>
      <c r="J1968" s="17">
        <f t="shared" si="1"/>
        <v>45</v>
      </c>
      <c r="K1968" s="16" t="str">
        <f t="array" ref="K1968">_xlfn.XLOOKUP(C1968,Clientes[ID_Cliente],Clientes[Provincia])</f>
        <v>Buenos Aires</v>
      </c>
      <c r="L1968" s="16" t="str">
        <f t="array" ref="L1968">CONCATENATE(_xlfn.XLOOKUP(C1968,Clientes[ID_Cliente],Clientes[Provincia]),", Argentina")</f>
        <v>Buenos Aires, Argentina</v>
      </c>
      <c r="M1968" s="20" t="str">
        <f t="array" ref="M1968">_xlfn.XLOOKUP(F1968,Metodos_De_Pago[ID_Metodo],Metodos_De_Pago[Metodo])</f>
        <v>Transferencia</v>
      </c>
      <c r="N1968" s="20" t="str">
        <f t="shared" si="2"/>
        <v>2024 12</v>
      </c>
    </row>
    <row r="1969" ht="22.5" customHeight="1">
      <c r="A1969" s="12">
        <f>IFERROR(__xludf.DUMMYFUNCTION("""COMPUTED_VALUE"""),1507.0)</f>
        <v>1507</v>
      </c>
      <c r="B1969" s="13">
        <f>IFERROR(__xludf.DUMMYFUNCTION("""COMPUTED_VALUE"""),45629.0)</f>
        <v>45629</v>
      </c>
      <c r="C1969" s="12">
        <f>IFERROR(__xludf.DUMMYFUNCTION("""COMPUTED_VALUE"""),145.0)</f>
        <v>145</v>
      </c>
      <c r="D1969" s="12">
        <f>IFERROR(__xludf.DUMMYFUNCTION("""COMPUTED_VALUE"""),25.0)</f>
        <v>25</v>
      </c>
      <c r="E1969" s="12">
        <f>IFERROR(__xludf.DUMMYFUNCTION("""COMPUTED_VALUE"""),4.0)</f>
        <v>4</v>
      </c>
      <c r="F1969" s="12">
        <f>IFERROR(__xludf.DUMMYFUNCTION("""COMPUTED_VALUE"""),3.0)</f>
        <v>3</v>
      </c>
      <c r="G1969" s="15" t="str">
        <f>IFERROR(__xludf.DUMMYFUNCTION("""COMPUTED_VALUE"""),"Completa")</f>
        <v>Completa</v>
      </c>
      <c r="H1969" s="16" t="str">
        <f t="array" ref="H1969">_xlfn.XLOOKUP(D1969,Productos[ID_Producto],Productos[Nombre_Producto])</f>
        <v>Pizza congelada</v>
      </c>
      <c r="I1969" s="17">
        <f t="array" ref="I1969">_xlfn.XLOOKUP(D1969,Productos[ID_Producto],Productos[Precio_Unitario])</f>
        <v>15.45</v>
      </c>
      <c r="J1969" s="17">
        <f t="shared" si="1"/>
        <v>61.8</v>
      </c>
      <c r="K1969" s="16" t="str">
        <f t="array" ref="K1969">_xlfn.XLOOKUP(C1969,Clientes[ID_Cliente],Clientes[Provincia])</f>
        <v>Buenos Aires</v>
      </c>
      <c r="L1969" s="16" t="str">
        <f t="array" ref="L1969">CONCATENATE(_xlfn.XLOOKUP(C1969,Clientes[ID_Cliente],Clientes[Provincia]),", Argentina")</f>
        <v>Buenos Aires, Argentina</v>
      </c>
      <c r="M1969" s="20" t="str">
        <f t="array" ref="M1969">_xlfn.XLOOKUP(F1969,Metodos_De_Pago[ID_Metodo],Metodos_De_Pago[Metodo])</f>
        <v>Tarjeta de Débito</v>
      </c>
      <c r="N1969" s="20" t="str">
        <f t="shared" si="2"/>
        <v>2024 12</v>
      </c>
    </row>
    <row r="1970" ht="22.5" customHeight="1">
      <c r="A1970" s="12">
        <f>IFERROR(__xludf.DUMMYFUNCTION("""COMPUTED_VALUE"""),64.0)</f>
        <v>64</v>
      </c>
      <c r="B1970" s="13">
        <f>IFERROR(__xludf.DUMMYFUNCTION("""COMPUTED_VALUE"""),45630.0)</f>
        <v>45630</v>
      </c>
      <c r="C1970" s="12">
        <f>IFERROR(__xludf.DUMMYFUNCTION("""COMPUTED_VALUE"""),82.0)</f>
        <v>82</v>
      </c>
      <c r="D1970" s="12">
        <f>IFERROR(__xludf.DUMMYFUNCTION("""COMPUTED_VALUE"""),24.0)</f>
        <v>24</v>
      </c>
      <c r="E1970" s="12">
        <f>IFERROR(__xludf.DUMMYFUNCTION("""COMPUTED_VALUE"""),4.0)</f>
        <v>4</v>
      </c>
      <c r="F1970" s="12">
        <f>IFERROR(__xludf.DUMMYFUNCTION("""COMPUTED_VALUE"""),1.0)</f>
        <v>1</v>
      </c>
      <c r="G1970" s="15" t="str">
        <f>IFERROR(__xludf.DUMMYFUNCTION("""COMPUTED_VALUE"""),"Completa")</f>
        <v>Completa</v>
      </c>
      <c r="H1970" s="16" t="str">
        <f t="array" ref="H1970">_xlfn.XLOOKUP(D1970,Productos[ID_Producto],Productos[Nombre_Producto])</f>
        <v>Empanadas</v>
      </c>
      <c r="I1970" s="17">
        <f t="array" ref="I1970">_xlfn.XLOOKUP(D1970,Productos[ID_Producto],Productos[Precio_Unitario])</f>
        <v>13.54</v>
      </c>
      <c r="J1970" s="17">
        <f t="shared" si="1"/>
        <v>54.16</v>
      </c>
      <c r="K1970" s="16" t="str">
        <f t="array" ref="K1970">_xlfn.XLOOKUP(C1970,Clientes[ID_Cliente],Clientes[Provincia])</f>
        <v>Buenos Aires</v>
      </c>
      <c r="L1970" s="16" t="str">
        <f t="array" ref="L1970">CONCATENATE(_xlfn.XLOOKUP(C1970,Clientes[ID_Cliente],Clientes[Provincia]),", Argentina")</f>
        <v>Buenos Aires, Argentina</v>
      </c>
      <c r="M1970" s="20" t="str">
        <f t="array" ref="M1970">_xlfn.XLOOKUP(F1970,Metodos_De_Pago[ID_Metodo],Metodos_De_Pago[Metodo])</f>
        <v>Efectivo</v>
      </c>
      <c r="N1970" s="20" t="str">
        <f t="shared" si="2"/>
        <v>2024 12</v>
      </c>
    </row>
    <row r="1971" ht="22.5" customHeight="1">
      <c r="A1971" s="12">
        <f>IFERROR(__xludf.DUMMYFUNCTION("""COMPUTED_VALUE"""),2250.0)</f>
        <v>2250</v>
      </c>
      <c r="B1971" s="13">
        <f>IFERROR(__xludf.DUMMYFUNCTION("""COMPUTED_VALUE"""),45630.0)</f>
        <v>45630</v>
      </c>
      <c r="C1971" s="12">
        <f>IFERROR(__xludf.DUMMYFUNCTION("""COMPUTED_VALUE"""),276.0)</f>
        <v>276</v>
      </c>
      <c r="D1971" s="12">
        <f>IFERROR(__xludf.DUMMYFUNCTION("""COMPUTED_VALUE"""),4.0)</f>
        <v>4</v>
      </c>
      <c r="E1971" s="12">
        <f>IFERROR(__xludf.DUMMYFUNCTION("""COMPUTED_VALUE"""),4.0)</f>
        <v>4</v>
      </c>
      <c r="F1971" s="12">
        <f>IFERROR(__xludf.DUMMYFUNCTION("""COMPUTED_VALUE"""),5.0)</f>
        <v>5</v>
      </c>
      <c r="G1971" s="15" t="str">
        <f>IFERROR(__xludf.DUMMYFUNCTION("""COMPUTED_VALUE"""),"Completa")</f>
        <v>Completa</v>
      </c>
      <c r="H1971" s="16" t="str">
        <f t="array" ref="H1971">_xlfn.XLOOKUP(D1971,Productos[ID_Producto],Productos[Nombre_Producto])</f>
        <v>Queso rallado</v>
      </c>
      <c r="I1971" s="17">
        <f t="array" ref="I1971">_xlfn.XLOOKUP(D1971,Productos[ID_Producto],Productos[Precio_Unitario])</f>
        <v>19.23</v>
      </c>
      <c r="J1971" s="17">
        <f t="shared" si="1"/>
        <v>76.92</v>
      </c>
      <c r="K1971" s="16" t="str">
        <f t="array" ref="K1971">_xlfn.XLOOKUP(C1971,Clientes[ID_Cliente],Clientes[Provincia])</f>
        <v>Neuquén</v>
      </c>
      <c r="L1971" s="16" t="str">
        <f t="array" ref="L1971">CONCATENATE(_xlfn.XLOOKUP(C1971,Clientes[ID_Cliente],Clientes[Provincia]),", Argentina")</f>
        <v>Neuquén, Argentina</v>
      </c>
      <c r="M1971" s="20" t="str">
        <f t="array" ref="M1971">_xlfn.XLOOKUP(F1971,Metodos_De_Pago[ID_Metodo],Metodos_De_Pago[Metodo])</f>
        <v>Transferencia</v>
      </c>
      <c r="N1971" s="20" t="str">
        <f t="shared" si="2"/>
        <v>2024 12</v>
      </c>
    </row>
    <row r="1972" ht="22.5" customHeight="1">
      <c r="A1972" s="12">
        <f>IFERROR(__xludf.DUMMYFUNCTION("""COMPUTED_VALUE"""),2706.0)</f>
        <v>2706</v>
      </c>
      <c r="B1972" s="13">
        <f>IFERROR(__xludf.DUMMYFUNCTION("""COMPUTED_VALUE"""),45631.0)</f>
        <v>45631</v>
      </c>
      <c r="C1972" s="12">
        <f>IFERROR(__xludf.DUMMYFUNCTION("""COMPUTED_VALUE"""),21.0)</f>
        <v>21</v>
      </c>
      <c r="D1972" s="12">
        <f>IFERROR(__xludf.DUMMYFUNCTION("""COMPUTED_VALUE"""),24.0)</f>
        <v>24</v>
      </c>
      <c r="E1972" s="12">
        <f>IFERROR(__xludf.DUMMYFUNCTION("""COMPUTED_VALUE"""),4.0)</f>
        <v>4</v>
      </c>
      <c r="F1972" s="12">
        <f>IFERROR(__xludf.DUMMYFUNCTION("""COMPUTED_VALUE"""),4.0)</f>
        <v>4</v>
      </c>
      <c r="G1972" s="15" t="str">
        <f>IFERROR(__xludf.DUMMYFUNCTION("""COMPUTED_VALUE"""),"Pendiente")</f>
        <v>Pendiente</v>
      </c>
      <c r="H1972" s="16" t="str">
        <f t="array" ref="H1972">_xlfn.XLOOKUP(D1972,Productos[ID_Producto],Productos[Nombre_Producto])</f>
        <v>Empanadas</v>
      </c>
      <c r="I1972" s="17">
        <f t="array" ref="I1972">_xlfn.XLOOKUP(D1972,Productos[ID_Producto],Productos[Precio_Unitario])</f>
        <v>13.54</v>
      </c>
      <c r="J1972" s="17">
        <f t="shared" si="1"/>
        <v>54.16</v>
      </c>
      <c r="K1972" s="16" t="str">
        <f t="array" ref="K1972">_xlfn.XLOOKUP(C1972,Clientes[ID_Cliente],Clientes[Provincia])</f>
        <v>Buenos Aires</v>
      </c>
      <c r="L1972" s="16" t="str">
        <f t="array" ref="L1972">CONCATENATE(_xlfn.XLOOKUP(C1972,Clientes[ID_Cliente],Clientes[Provincia]),", Argentina")</f>
        <v>Buenos Aires, Argentina</v>
      </c>
      <c r="M1972" s="20" t="str">
        <f t="array" ref="M1972">_xlfn.XLOOKUP(F1972,Metodos_De_Pago[ID_Metodo],Metodos_De_Pago[Metodo])</f>
        <v>Mercado Pago</v>
      </c>
      <c r="N1972" s="20" t="str">
        <f t="shared" si="2"/>
        <v>2024 12</v>
      </c>
    </row>
    <row r="1973" ht="22.5" customHeight="1">
      <c r="A1973" s="12">
        <f>IFERROR(__xludf.DUMMYFUNCTION("""COMPUTED_VALUE"""),145.0)</f>
        <v>145</v>
      </c>
      <c r="B1973" s="13">
        <f>IFERROR(__xludf.DUMMYFUNCTION("""COMPUTED_VALUE"""),45633.0)</f>
        <v>45633</v>
      </c>
      <c r="C1973" s="12">
        <f>IFERROR(__xludf.DUMMYFUNCTION("""COMPUTED_VALUE"""),257.0)</f>
        <v>257</v>
      </c>
      <c r="D1973" s="12">
        <f>IFERROR(__xludf.DUMMYFUNCTION("""COMPUTED_VALUE"""),13.0)</f>
        <v>13</v>
      </c>
      <c r="E1973" s="12">
        <f>IFERROR(__xludf.DUMMYFUNCTION("""COMPUTED_VALUE"""),4.0)</f>
        <v>4</v>
      </c>
      <c r="F1973" s="12">
        <f>IFERROR(__xludf.DUMMYFUNCTION("""COMPUTED_VALUE"""),3.0)</f>
        <v>3</v>
      </c>
      <c r="G1973" s="15" t="str">
        <f>IFERROR(__xludf.DUMMYFUNCTION("""COMPUTED_VALUE"""),"Completa")</f>
        <v>Completa</v>
      </c>
      <c r="H1973" s="16" t="str">
        <f t="array" ref="H1973">_xlfn.XLOOKUP(D1973,Productos[ID_Producto],Productos[Nombre_Producto])</f>
        <v>Pan integral</v>
      </c>
      <c r="I1973" s="17">
        <f t="array" ref="I1973">_xlfn.XLOOKUP(D1973,Productos[ID_Producto],Productos[Precio_Unitario])</f>
        <v>12.56</v>
      </c>
      <c r="J1973" s="17">
        <f t="shared" si="1"/>
        <v>50.24</v>
      </c>
      <c r="K1973" s="16" t="str">
        <f t="array" ref="K1973">_xlfn.XLOOKUP(C1973,Clientes[ID_Cliente],Clientes[Provincia])</f>
        <v>Chaco</v>
      </c>
      <c r="L1973" s="16" t="str">
        <f t="array" ref="L1973">CONCATENATE(_xlfn.XLOOKUP(C1973,Clientes[ID_Cliente],Clientes[Provincia]),", Argentina")</f>
        <v>Chaco, Argentina</v>
      </c>
      <c r="M1973" s="20" t="str">
        <f t="array" ref="M1973">_xlfn.XLOOKUP(F1973,Metodos_De_Pago[ID_Metodo],Metodos_De_Pago[Metodo])</f>
        <v>Tarjeta de Débito</v>
      </c>
      <c r="N1973" s="20" t="str">
        <f t="shared" si="2"/>
        <v>2024 12</v>
      </c>
    </row>
    <row r="1974" ht="22.5" customHeight="1">
      <c r="A1974" s="12">
        <f>IFERROR(__xludf.DUMMYFUNCTION("""COMPUTED_VALUE"""),264.0)</f>
        <v>264</v>
      </c>
      <c r="B1974" s="13">
        <f>IFERROR(__xludf.DUMMYFUNCTION("""COMPUTED_VALUE"""),45633.0)</f>
        <v>45633</v>
      </c>
      <c r="C1974" s="12">
        <f>IFERROR(__xludf.DUMMYFUNCTION("""COMPUTED_VALUE"""),275.0)</f>
        <v>275</v>
      </c>
      <c r="D1974" s="12">
        <f>IFERROR(__xludf.DUMMYFUNCTION("""COMPUTED_VALUE"""),24.0)</f>
        <v>24</v>
      </c>
      <c r="E1974" s="12">
        <f>IFERROR(__xludf.DUMMYFUNCTION("""COMPUTED_VALUE"""),4.0)</f>
        <v>4</v>
      </c>
      <c r="F1974" s="12">
        <f>IFERROR(__xludf.DUMMYFUNCTION("""COMPUTED_VALUE"""),4.0)</f>
        <v>4</v>
      </c>
      <c r="G1974" s="15" t="str">
        <f>IFERROR(__xludf.DUMMYFUNCTION("""COMPUTED_VALUE"""),"Completa")</f>
        <v>Completa</v>
      </c>
      <c r="H1974" s="16" t="str">
        <f t="array" ref="H1974">_xlfn.XLOOKUP(D1974,Productos[ID_Producto],Productos[Nombre_Producto])</f>
        <v>Empanadas</v>
      </c>
      <c r="I1974" s="17">
        <f t="array" ref="I1974">_xlfn.XLOOKUP(D1974,Productos[ID_Producto],Productos[Precio_Unitario])</f>
        <v>13.54</v>
      </c>
      <c r="J1974" s="17">
        <f t="shared" si="1"/>
        <v>54.16</v>
      </c>
      <c r="K1974" s="16" t="str">
        <f t="array" ref="K1974">_xlfn.XLOOKUP(C1974,Clientes[ID_Cliente],Clientes[Provincia])</f>
        <v>Buenos Aires</v>
      </c>
      <c r="L1974" s="16" t="str">
        <f t="array" ref="L1974">CONCATENATE(_xlfn.XLOOKUP(C1974,Clientes[ID_Cliente],Clientes[Provincia]),", Argentina")</f>
        <v>Buenos Aires, Argentina</v>
      </c>
      <c r="M1974" s="20" t="str">
        <f t="array" ref="M1974">_xlfn.XLOOKUP(F1974,Metodos_De_Pago[ID_Metodo],Metodos_De_Pago[Metodo])</f>
        <v>Mercado Pago</v>
      </c>
      <c r="N1974" s="20" t="str">
        <f t="shared" si="2"/>
        <v>2024 12</v>
      </c>
    </row>
    <row r="1975" ht="22.5" customHeight="1">
      <c r="A1975" s="12">
        <f>IFERROR(__xludf.DUMMYFUNCTION("""COMPUTED_VALUE"""),1879.0)</f>
        <v>1879</v>
      </c>
      <c r="B1975" s="13">
        <f>IFERROR(__xludf.DUMMYFUNCTION("""COMPUTED_VALUE"""),45633.0)</f>
        <v>45633</v>
      </c>
      <c r="C1975" s="12">
        <f>IFERROR(__xludf.DUMMYFUNCTION("""COMPUTED_VALUE"""),160.0)</f>
        <v>160</v>
      </c>
      <c r="D1975" s="12">
        <f>IFERROR(__xludf.DUMMYFUNCTION("""COMPUTED_VALUE"""),4.0)</f>
        <v>4</v>
      </c>
      <c r="E1975" s="12">
        <f>IFERROR(__xludf.DUMMYFUNCTION("""COMPUTED_VALUE"""),4.0)</f>
        <v>4</v>
      </c>
      <c r="F1975" s="12">
        <f>IFERROR(__xludf.DUMMYFUNCTION("""COMPUTED_VALUE"""),4.0)</f>
        <v>4</v>
      </c>
      <c r="G1975" s="15" t="str">
        <f>IFERROR(__xludf.DUMMYFUNCTION("""COMPUTED_VALUE"""),"Completa")</f>
        <v>Completa</v>
      </c>
      <c r="H1975" s="16" t="str">
        <f t="array" ref="H1975">_xlfn.XLOOKUP(D1975,Productos[ID_Producto],Productos[Nombre_Producto])</f>
        <v>Queso rallado</v>
      </c>
      <c r="I1975" s="17">
        <f t="array" ref="I1975">_xlfn.XLOOKUP(D1975,Productos[ID_Producto],Productos[Precio_Unitario])</f>
        <v>19.23</v>
      </c>
      <c r="J1975" s="17">
        <f t="shared" si="1"/>
        <v>76.92</v>
      </c>
      <c r="K1975" s="16" t="str">
        <f t="array" ref="K1975">_xlfn.XLOOKUP(C1975,Clientes[ID_Cliente],Clientes[Provincia])</f>
        <v>Córdoba</v>
      </c>
      <c r="L1975" s="16" t="str">
        <f t="array" ref="L1975">CONCATENATE(_xlfn.XLOOKUP(C1975,Clientes[ID_Cliente],Clientes[Provincia]),", Argentina")</f>
        <v>Córdoba, Argentina</v>
      </c>
      <c r="M1975" s="20" t="str">
        <f t="array" ref="M1975">_xlfn.XLOOKUP(F1975,Metodos_De_Pago[ID_Metodo],Metodos_De_Pago[Metodo])</f>
        <v>Mercado Pago</v>
      </c>
      <c r="N1975" s="20" t="str">
        <f t="shared" si="2"/>
        <v>2024 12</v>
      </c>
    </row>
    <row r="1976" ht="22.5" customHeight="1">
      <c r="A1976" s="12">
        <f>IFERROR(__xludf.DUMMYFUNCTION("""COMPUTED_VALUE"""),2012.0)</f>
        <v>2012</v>
      </c>
      <c r="B1976" s="13">
        <f>IFERROR(__xludf.DUMMYFUNCTION("""COMPUTED_VALUE"""),45633.0)</f>
        <v>45633</v>
      </c>
      <c r="C1976" s="12">
        <f>IFERROR(__xludf.DUMMYFUNCTION("""COMPUTED_VALUE"""),210.0)</f>
        <v>210</v>
      </c>
      <c r="D1976" s="12">
        <f>IFERROR(__xludf.DUMMYFUNCTION("""COMPUTED_VALUE"""),33.0)</f>
        <v>33</v>
      </c>
      <c r="E1976" s="12">
        <f>IFERROR(__xludf.DUMMYFUNCTION("""COMPUTED_VALUE"""),4.0)</f>
        <v>4</v>
      </c>
      <c r="F1976" s="12">
        <f>IFERROR(__xludf.DUMMYFUNCTION("""COMPUTED_VALUE"""),4.0)</f>
        <v>4</v>
      </c>
      <c r="G1976" s="15" t="str">
        <f>IFERROR(__xludf.DUMMYFUNCTION("""COMPUTED_VALUE"""),"Completa")</f>
        <v>Completa</v>
      </c>
      <c r="H1976" s="16" t="str">
        <f t="array" ref="H1976">_xlfn.XLOOKUP(D1976,Productos[ID_Producto],Productos[Nombre_Producto])</f>
        <v>Papas chips</v>
      </c>
      <c r="I1976" s="17">
        <f t="array" ref="I1976">_xlfn.XLOOKUP(D1976,Productos[ID_Producto],Productos[Precio_Unitario])</f>
        <v>8.54</v>
      </c>
      <c r="J1976" s="17">
        <f t="shared" si="1"/>
        <v>34.16</v>
      </c>
      <c r="K1976" s="16" t="str">
        <f t="array" ref="K1976">_xlfn.XLOOKUP(C1976,Clientes[ID_Cliente],Clientes[Provincia])</f>
        <v>Córdoba</v>
      </c>
      <c r="L1976" s="16" t="str">
        <f t="array" ref="L1976">CONCATENATE(_xlfn.XLOOKUP(C1976,Clientes[ID_Cliente],Clientes[Provincia]),", Argentina")</f>
        <v>Córdoba, Argentina</v>
      </c>
      <c r="M1976" s="20" t="str">
        <f t="array" ref="M1976">_xlfn.XLOOKUP(F1976,Metodos_De_Pago[ID_Metodo],Metodos_De_Pago[Metodo])</f>
        <v>Mercado Pago</v>
      </c>
      <c r="N1976" s="20" t="str">
        <f t="shared" si="2"/>
        <v>2024 12</v>
      </c>
    </row>
    <row r="1977" ht="22.5" customHeight="1">
      <c r="A1977" s="12">
        <f>IFERROR(__xludf.DUMMYFUNCTION("""COMPUTED_VALUE"""),2179.0)</f>
        <v>2179</v>
      </c>
      <c r="B1977" s="13">
        <f>IFERROR(__xludf.DUMMYFUNCTION("""COMPUTED_VALUE"""),45633.0)</f>
        <v>45633</v>
      </c>
      <c r="C1977" s="12">
        <f>IFERROR(__xludf.DUMMYFUNCTION("""COMPUTED_VALUE"""),150.0)</f>
        <v>150</v>
      </c>
      <c r="D1977" s="12">
        <f>IFERROR(__xludf.DUMMYFUNCTION("""COMPUTED_VALUE"""),23.0)</f>
        <v>23</v>
      </c>
      <c r="E1977" s="12">
        <f>IFERROR(__xludf.DUMMYFUNCTION("""COMPUTED_VALUE"""),4.0)</f>
        <v>4</v>
      </c>
      <c r="F1977" s="12">
        <f>IFERROR(__xludf.DUMMYFUNCTION("""COMPUTED_VALUE"""),4.0)</f>
        <v>4</v>
      </c>
      <c r="G1977" s="15" t="str">
        <f>IFERROR(__xludf.DUMMYFUNCTION("""COMPUTED_VALUE"""),"Completa")</f>
        <v>Completa</v>
      </c>
      <c r="H1977" s="16" t="str">
        <f t="array" ref="H1977">_xlfn.XLOOKUP(D1977,Productos[ID_Producto],Productos[Nombre_Producto])</f>
        <v>Papas fritas</v>
      </c>
      <c r="I1977" s="17">
        <f t="array" ref="I1977">_xlfn.XLOOKUP(D1977,Productos[ID_Producto],Productos[Precio_Unitario])</f>
        <v>8.23</v>
      </c>
      <c r="J1977" s="17">
        <f t="shared" si="1"/>
        <v>32.92</v>
      </c>
      <c r="K1977" s="16" t="str">
        <f t="array" ref="K1977">_xlfn.XLOOKUP(C1977,Clientes[ID_Cliente],Clientes[Provincia])</f>
        <v>Buenos Aires</v>
      </c>
      <c r="L1977" s="16" t="str">
        <f t="array" ref="L1977">CONCATENATE(_xlfn.XLOOKUP(C1977,Clientes[ID_Cliente],Clientes[Provincia]),", Argentina")</f>
        <v>Buenos Aires, Argentina</v>
      </c>
      <c r="M1977" s="20" t="str">
        <f t="array" ref="M1977">_xlfn.XLOOKUP(F1977,Metodos_De_Pago[ID_Metodo],Metodos_De_Pago[Metodo])</f>
        <v>Mercado Pago</v>
      </c>
      <c r="N1977" s="20" t="str">
        <f t="shared" si="2"/>
        <v>2024 12</v>
      </c>
    </row>
    <row r="1978" ht="22.5" customHeight="1">
      <c r="A1978" s="12">
        <f>IFERROR(__xludf.DUMMYFUNCTION("""COMPUTED_VALUE"""),2608.0)</f>
        <v>2608</v>
      </c>
      <c r="B1978" s="13">
        <f>IFERROR(__xludf.DUMMYFUNCTION("""COMPUTED_VALUE"""),45633.0)</f>
        <v>45633</v>
      </c>
      <c r="C1978" s="12">
        <f>IFERROR(__xludf.DUMMYFUNCTION("""COMPUTED_VALUE"""),222.0)</f>
        <v>222</v>
      </c>
      <c r="D1978" s="12">
        <f>IFERROR(__xludf.DUMMYFUNCTION("""COMPUTED_VALUE"""),12.0)</f>
        <v>12</v>
      </c>
      <c r="E1978" s="12">
        <f>IFERROR(__xludf.DUMMYFUNCTION("""COMPUTED_VALUE"""),4.0)</f>
        <v>4</v>
      </c>
      <c r="F1978" s="12">
        <f>IFERROR(__xludf.DUMMYFUNCTION("""COMPUTED_VALUE"""),3.0)</f>
        <v>3</v>
      </c>
      <c r="G1978" s="15" t="str">
        <f>IFERROR(__xludf.DUMMYFUNCTION("""COMPUTED_VALUE"""),"Completa")</f>
        <v>Completa</v>
      </c>
      <c r="H1978" s="16" t="str">
        <f t="array" ref="H1978">_xlfn.XLOOKUP(D1978,Productos[ID_Producto],Productos[Nombre_Producto])</f>
        <v>Pan francés</v>
      </c>
      <c r="I1978" s="17">
        <f t="array" ref="I1978">_xlfn.XLOOKUP(D1978,Productos[ID_Producto],Productos[Precio_Unitario])</f>
        <v>8.12</v>
      </c>
      <c r="J1978" s="17">
        <f t="shared" si="1"/>
        <v>32.48</v>
      </c>
      <c r="K1978" s="16" t="str">
        <f t="array" ref="K1978">_xlfn.XLOOKUP(C1978,Clientes[ID_Cliente],Clientes[Provincia])</f>
        <v>Córdoba</v>
      </c>
      <c r="L1978" s="16" t="str">
        <f t="array" ref="L1978">CONCATENATE(_xlfn.XLOOKUP(C1978,Clientes[ID_Cliente],Clientes[Provincia]),", Argentina")</f>
        <v>Córdoba, Argentina</v>
      </c>
      <c r="M1978" s="20" t="str">
        <f t="array" ref="M1978">_xlfn.XLOOKUP(F1978,Metodos_De_Pago[ID_Metodo],Metodos_De_Pago[Metodo])</f>
        <v>Tarjeta de Débito</v>
      </c>
      <c r="N1978" s="20" t="str">
        <f t="shared" si="2"/>
        <v>2024 12</v>
      </c>
    </row>
    <row r="1979" ht="22.5" customHeight="1">
      <c r="A1979" s="12">
        <f>IFERROR(__xludf.DUMMYFUNCTION("""COMPUTED_VALUE"""),167.0)</f>
        <v>167</v>
      </c>
      <c r="B1979" s="13">
        <f>IFERROR(__xludf.DUMMYFUNCTION("""COMPUTED_VALUE"""),45634.0)</f>
        <v>45634</v>
      </c>
      <c r="C1979" s="12">
        <f>IFERROR(__xludf.DUMMYFUNCTION("""COMPUTED_VALUE"""),1.0)</f>
        <v>1</v>
      </c>
      <c r="D1979" s="12">
        <f>IFERROR(__xludf.DUMMYFUNCTION("""COMPUTED_VALUE"""),28.0)</f>
        <v>28</v>
      </c>
      <c r="E1979" s="12">
        <f>IFERROR(__xludf.DUMMYFUNCTION("""COMPUTED_VALUE"""),4.0)</f>
        <v>4</v>
      </c>
      <c r="F1979" s="12">
        <f>IFERROR(__xludf.DUMMYFUNCTION("""COMPUTED_VALUE"""),5.0)</f>
        <v>5</v>
      </c>
      <c r="G1979" s="15" t="str">
        <f>IFERROR(__xludf.DUMMYFUNCTION("""COMPUTED_VALUE"""),"Completa")</f>
        <v>Completa</v>
      </c>
      <c r="H1979" s="16" t="str">
        <f t="array" ref="H1979">_xlfn.XLOOKUP(D1979,Productos[ID_Producto],Productos[Nombre_Producto])</f>
        <v>Jugos de frutas</v>
      </c>
      <c r="I1979" s="17">
        <f t="array" ref="I1979">_xlfn.XLOOKUP(D1979,Productos[ID_Producto],Productos[Precio_Unitario])</f>
        <v>9.45</v>
      </c>
      <c r="J1979" s="17">
        <f t="shared" si="1"/>
        <v>37.8</v>
      </c>
      <c r="K1979" s="16" t="str">
        <f t="array" ref="K1979">_xlfn.XLOOKUP(C1979,Clientes[ID_Cliente],Clientes[Provincia])</f>
        <v>Neuquén</v>
      </c>
      <c r="L1979" s="16" t="str">
        <f t="array" ref="L1979">CONCATENATE(_xlfn.XLOOKUP(C1979,Clientes[ID_Cliente],Clientes[Provincia]),", Argentina")</f>
        <v>Neuquén, Argentina</v>
      </c>
      <c r="M1979" s="20" t="str">
        <f t="array" ref="M1979">_xlfn.XLOOKUP(F1979,Metodos_De_Pago[ID_Metodo],Metodos_De_Pago[Metodo])</f>
        <v>Transferencia</v>
      </c>
      <c r="N1979" s="20" t="str">
        <f t="shared" si="2"/>
        <v>2024 12</v>
      </c>
    </row>
    <row r="1980" ht="22.5" customHeight="1">
      <c r="A1980" s="12">
        <f>IFERROR(__xludf.DUMMYFUNCTION("""COMPUTED_VALUE"""),2318.0)</f>
        <v>2318</v>
      </c>
      <c r="B1980" s="13">
        <f>IFERROR(__xludf.DUMMYFUNCTION("""COMPUTED_VALUE"""),45634.0)</f>
        <v>45634</v>
      </c>
      <c r="C1980" s="12">
        <f>IFERROR(__xludf.DUMMYFUNCTION("""COMPUTED_VALUE"""),18.0)</f>
        <v>18</v>
      </c>
      <c r="D1980" s="12">
        <f>IFERROR(__xludf.DUMMYFUNCTION("""COMPUTED_VALUE"""),9.0)</f>
        <v>9</v>
      </c>
      <c r="E1980" s="12">
        <f>IFERROR(__xludf.DUMMYFUNCTION("""COMPUTED_VALUE"""),4.0)</f>
        <v>4</v>
      </c>
      <c r="F1980" s="12">
        <f>IFERROR(__xludf.DUMMYFUNCTION("""COMPUTED_VALUE"""),3.0)</f>
        <v>3</v>
      </c>
      <c r="G1980" s="15" t="str">
        <f>IFERROR(__xludf.DUMMYFUNCTION("""COMPUTED_VALUE"""),"Completa")</f>
        <v>Completa</v>
      </c>
      <c r="H1980" s="16" t="str">
        <f t="array" ref="H1980">_xlfn.XLOOKUP(D1980,Productos[ID_Producto],Productos[Nombre_Producto])</f>
        <v>Pollo</v>
      </c>
      <c r="I1980" s="17">
        <f t="array" ref="I1980">_xlfn.XLOOKUP(D1980,Productos[ID_Producto],Productos[Precio_Unitario])</f>
        <v>18.56</v>
      </c>
      <c r="J1980" s="17">
        <f t="shared" si="1"/>
        <v>74.24</v>
      </c>
      <c r="K1980" s="16" t="str">
        <f t="array" ref="K1980">_xlfn.XLOOKUP(C1980,Clientes[ID_Cliente],Clientes[Provincia])</f>
        <v>Córdoba</v>
      </c>
      <c r="L1980" s="16" t="str">
        <f t="array" ref="L1980">CONCATENATE(_xlfn.XLOOKUP(C1980,Clientes[ID_Cliente],Clientes[Provincia]),", Argentina")</f>
        <v>Córdoba, Argentina</v>
      </c>
      <c r="M1980" s="20" t="str">
        <f t="array" ref="M1980">_xlfn.XLOOKUP(F1980,Metodos_De_Pago[ID_Metodo],Metodos_De_Pago[Metodo])</f>
        <v>Tarjeta de Débito</v>
      </c>
      <c r="N1980" s="20" t="str">
        <f t="shared" si="2"/>
        <v>2024 12</v>
      </c>
    </row>
    <row r="1981" ht="22.5" customHeight="1">
      <c r="A1981" s="12">
        <f>IFERROR(__xludf.DUMMYFUNCTION("""COMPUTED_VALUE"""),436.0)</f>
        <v>436</v>
      </c>
      <c r="B1981" s="13">
        <f>IFERROR(__xludf.DUMMYFUNCTION("""COMPUTED_VALUE"""),45635.0)</f>
        <v>45635</v>
      </c>
      <c r="C1981" s="12">
        <f>IFERROR(__xludf.DUMMYFUNCTION("""COMPUTED_VALUE"""),190.0)</f>
        <v>190</v>
      </c>
      <c r="D1981" s="12">
        <f>IFERROR(__xludf.DUMMYFUNCTION("""COMPUTED_VALUE"""),37.0)</f>
        <v>37</v>
      </c>
      <c r="E1981" s="12">
        <f>IFERROR(__xludf.DUMMYFUNCTION("""COMPUTED_VALUE"""),4.0)</f>
        <v>4</v>
      </c>
      <c r="F1981" s="12">
        <f>IFERROR(__xludf.DUMMYFUNCTION("""COMPUTED_VALUE"""),5.0)</f>
        <v>5</v>
      </c>
      <c r="G1981" s="15" t="str">
        <f>IFERROR(__xludf.DUMMYFUNCTION("""COMPUTED_VALUE"""),"Completa")</f>
        <v>Completa</v>
      </c>
      <c r="H1981" s="16" t="str">
        <f t="array" ref="H1981">_xlfn.XLOOKUP(D1981,Productos[ID_Producto],Productos[Nombre_Producto])</f>
        <v>Garbanzos</v>
      </c>
      <c r="I1981" s="17">
        <f t="array" ref="I1981">_xlfn.XLOOKUP(D1981,Productos[ID_Producto],Productos[Precio_Unitario])</f>
        <v>3.65</v>
      </c>
      <c r="J1981" s="17">
        <f t="shared" si="1"/>
        <v>14.6</v>
      </c>
      <c r="K1981" s="16" t="str">
        <f t="array" ref="K1981">_xlfn.XLOOKUP(C1981,Clientes[ID_Cliente],Clientes[Provincia])</f>
        <v>Chaco</v>
      </c>
      <c r="L1981" s="16" t="str">
        <f t="array" ref="L1981">CONCATENATE(_xlfn.XLOOKUP(C1981,Clientes[ID_Cliente],Clientes[Provincia]),", Argentina")</f>
        <v>Chaco, Argentina</v>
      </c>
      <c r="M1981" s="20" t="str">
        <f t="array" ref="M1981">_xlfn.XLOOKUP(F1981,Metodos_De_Pago[ID_Metodo],Metodos_De_Pago[Metodo])</f>
        <v>Transferencia</v>
      </c>
      <c r="N1981" s="20" t="str">
        <f t="shared" si="2"/>
        <v>2024 12</v>
      </c>
    </row>
    <row r="1982" ht="22.5" customHeight="1">
      <c r="A1982" s="12">
        <f>IFERROR(__xludf.DUMMYFUNCTION("""COMPUTED_VALUE"""),1256.0)</f>
        <v>1256</v>
      </c>
      <c r="B1982" s="13">
        <f>IFERROR(__xludf.DUMMYFUNCTION("""COMPUTED_VALUE"""),45635.0)</f>
        <v>45635</v>
      </c>
      <c r="C1982" s="12">
        <f>IFERROR(__xludf.DUMMYFUNCTION("""COMPUTED_VALUE"""),227.0)</f>
        <v>227</v>
      </c>
      <c r="D1982" s="12">
        <f>IFERROR(__xludf.DUMMYFUNCTION("""COMPUTED_VALUE"""),36.0)</f>
        <v>36</v>
      </c>
      <c r="E1982" s="12">
        <f>IFERROR(__xludf.DUMMYFUNCTION("""COMPUTED_VALUE"""),4.0)</f>
        <v>4</v>
      </c>
      <c r="F1982" s="12">
        <f>IFERROR(__xludf.DUMMYFUNCTION("""COMPUTED_VALUE"""),5.0)</f>
        <v>5</v>
      </c>
      <c r="G1982" s="15" t="str">
        <f>IFERROR(__xludf.DUMMYFUNCTION("""COMPUTED_VALUE"""),"Completa")</f>
        <v>Completa</v>
      </c>
      <c r="H1982" s="16" t="str">
        <f t="array" ref="H1982">_xlfn.XLOOKUP(D1982,Productos[ID_Producto],Productos[Nombre_Producto])</f>
        <v>Lentejas</v>
      </c>
      <c r="I1982" s="17">
        <f t="array" ref="I1982">_xlfn.XLOOKUP(D1982,Productos[ID_Producto],Productos[Precio_Unitario])</f>
        <v>3.25</v>
      </c>
      <c r="J1982" s="17">
        <f t="shared" si="1"/>
        <v>13</v>
      </c>
      <c r="K1982" s="16" t="str">
        <f t="array" ref="K1982">_xlfn.XLOOKUP(C1982,Clientes[ID_Cliente],Clientes[Provincia])</f>
        <v>Buenos Aires</v>
      </c>
      <c r="L1982" s="16" t="str">
        <f t="array" ref="L1982">CONCATENATE(_xlfn.XLOOKUP(C1982,Clientes[ID_Cliente],Clientes[Provincia]),", Argentina")</f>
        <v>Buenos Aires, Argentina</v>
      </c>
      <c r="M1982" s="20" t="str">
        <f t="array" ref="M1982">_xlfn.XLOOKUP(F1982,Metodos_De_Pago[ID_Metodo],Metodos_De_Pago[Metodo])</f>
        <v>Transferencia</v>
      </c>
      <c r="N1982" s="20" t="str">
        <f t="shared" si="2"/>
        <v>2024 12</v>
      </c>
    </row>
    <row r="1983" ht="22.5" customHeight="1">
      <c r="A1983" s="12">
        <f>IFERROR(__xludf.DUMMYFUNCTION("""COMPUTED_VALUE"""),1769.0)</f>
        <v>1769</v>
      </c>
      <c r="B1983" s="13">
        <f>IFERROR(__xludf.DUMMYFUNCTION("""COMPUTED_VALUE"""),45635.0)</f>
        <v>45635</v>
      </c>
      <c r="C1983" s="12">
        <f>IFERROR(__xludf.DUMMYFUNCTION("""COMPUTED_VALUE"""),284.0)</f>
        <v>284</v>
      </c>
      <c r="D1983" s="12">
        <f>IFERROR(__xludf.DUMMYFUNCTION("""COMPUTED_VALUE"""),27.0)</f>
        <v>27</v>
      </c>
      <c r="E1983" s="12">
        <f>IFERROR(__xludf.DUMMYFUNCTION("""COMPUTED_VALUE"""),4.0)</f>
        <v>4</v>
      </c>
      <c r="F1983" s="12">
        <f>IFERROR(__xludf.DUMMYFUNCTION("""COMPUTED_VALUE"""),3.0)</f>
        <v>3</v>
      </c>
      <c r="G1983" s="15" t="str">
        <f>IFERROR(__xludf.DUMMYFUNCTION("""COMPUTED_VALUE"""),"Pendiente")</f>
        <v>Pendiente</v>
      </c>
      <c r="H1983" s="16" t="str">
        <f t="array" ref="H1983">_xlfn.XLOOKUP(D1983,Productos[ID_Producto],Productos[Nombre_Producto])</f>
        <v>Agua mineral</v>
      </c>
      <c r="I1983" s="17">
        <f t="array" ref="I1983">_xlfn.XLOOKUP(D1983,Productos[ID_Producto],Productos[Precio_Unitario])</f>
        <v>6.21</v>
      </c>
      <c r="J1983" s="17">
        <f t="shared" si="1"/>
        <v>24.84</v>
      </c>
      <c r="K1983" s="16" t="str">
        <f t="array" ref="K1983">_xlfn.XLOOKUP(C1983,Clientes[ID_Cliente],Clientes[Provincia])</f>
        <v>Salta</v>
      </c>
      <c r="L1983" s="16" t="str">
        <f t="array" ref="L1983">CONCATENATE(_xlfn.XLOOKUP(C1983,Clientes[ID_Cliente],Clientes[Provincia]),", Argentina")</f>
        <v>Salta, Argentina</v>
      </c>
      <c r="M1983" s="20" t="str">
        <f t="array" ref="M1983">_xlfn.XLOOKUP(F1983,Metodos_De_Pago[ID_Metodo],Metodos_De_Pago[Metodo])</f>
        <v>Tarjeta de Débito</v>
      </c>
      <c r="N1983" s="20" t="str">
        <f t="shared" si="2"/>
        <v>2024 12</v>
      </c>
    </row>
    <row r="1984" ht="22.5" customHeight="1">
      <c r="A1984" s="12">
        <f>IFERROR(__xludf.DUMMYFUNCTION("""COMPUTED_VALUE"""),1043.0)</f>
        <v>1043</v>
      </c>
      <c r="B1984" s="13">
        <f>IFERROR(__xludf.DUMMYFUNCTION("""COMPUTED_VALUE"""),45636.0)</f>
        <v>45636</v>
      </c>
      <c r="C1984" s="12">
        <f>IFERROR(__xludf.DUMMYFUNCTION("""COMPUTED_VALUE"""),96.0)</f>
        <v>96</v>
      </c>
      <c r="D1984" s="12">
        <f>IFERROR(__xludf.DUMMYFUNCTION("""COMPUTED_VALUE"""),21.0)</f>
        <v>21</v>
      </c>
      <c r="E1984" s="12">
        <f>IFERROR(__xludf.DUMMYFUNCTION("""COMPUTED_VALUE"""),4.0)</f>
        <v>4</v>
      </c>
      <c r="F1984" s="12">
        <f>IFERROR(__xludf.DUMMYFUNCTION("""COMPUTED_VALUE"""),5.0)</f>
        <v>5</v>
      </c>
      <c r="G1984" s="15" t="str">
        <f>IFERROR(__xludf.DUMMYFUNCTION("""COMPUTED_VALUE"""),"Completa")</f>
        <v>Completa</v>
      </c>
      <c r="H1984" s="16" t="str">
        <f t="array" ref="H1984">_xlfn.XLOOKUP(D1984,Productos[ID_Producto],Productos[Nombre_Producto])</f>
        <v>Zanahorias</v>
      </c>
      <c r="I1984" s="17">
        <f t="array" ref="I1984">_xlfn.XLOOKUP(D1984,Productos[ID_Producto],Productos[Precio_Unitario])</f>
        <v>3.25</v>
      </c>
      <c r="J1984" s="17">
        <f t="shared" si="1"/>
        <v>13</v>
      </c>
      <c r="K1984" s="16" t="str">
        <f t="array" ref="K1984">_xlfn.XLOOKUP(C1984,Clientes[ID_Cliente],Clientes[Provincia])</f>
        <v>Buenos Aires</v>
      </c>
      <c r="L1984" s="16" t="str">
        <f t="array" ref="L1984">CONCATENATE(_xlfn.XLOOKUP(C1984,Clientes[ID_Cliente],Clientes[Provincia]),", Argentina")</f>
        <v>Buenos Aires, Argentina</v>
      </c>
      <c r="M1984" s="20" t="str">
        <f t="array" ref="M1984">_xlfn.XLOOKUP(F1984,Metodos_De_Pago[ID_Metodo],Metodos_De_Pago[Metodo])</f>
        <v>Transferencia</v>
      </c>
      <c r="N1984" s="20" t="str">
        <f t="shared" si="2"/>
        <v>2024 12</v>
      </c>
    </row>
    <row r="1985" ht="22.5" customHeight="1">
      <c r="A1985" s="12">
        <f>IFERROR(__xludf.DUMMYFUNCTION("""COMPUTED_VALUE"""),1057.0)</f>
        <v>1057</v>
      </c>
      <c r="B1985" s="13">
        <f>IFERROR(__xludf.DUMMYFUNCTION("""COMPUTED_VALUE"""),45636.0)</f>
        <v>45636</v>
      </c>
      <c r="C1985" s="12">
        <f>IFERROR(__xludf.DUMMYFUNCTION("""COMPUTED_VALUE"""),265.0)</f>
        <v>265</v>
      </c>
      <c r="D1985" s="12">
        <f>IFERROR(__xludf.DUMMYFUNCTION("""COMPUTED_VALUE"""),4.0)</f>
        <v>4</v>
      </c>
      <c r="E1985" s="12">
        <f>IFERROR(__xludf.DUMMYFUNCTION("""COMPUTED_VALUE"""),4.0)</f>
        <v>4</v>
      </c>
      <c r="F1985" s="12">
        <f>IFERROR(__xludf.DUMMYFUNCTION("""COMPUTED_VALUE"""),2.0)</f>
        <v>2</v>
      </c>
      <c r="G1985" s="15" t="str">
        <f>IFERROR(__xludf.DUMMYFUNCTION("""COMPUTED_VALUE"""),"Completa")</f>
        <v>Completa</v>
      </c>
      <c r="H1985" s="16" t="str">
        <f t="array" ref="H1985">_xlfn.XLOOKUP(D1985,Productos[ID_Producto],Productos[Nombre_Producto])</f>
        <v>Queso rallado</v>
      </c>
      <c r="I1985" s="17">
        <f t="array" ref="I1985">_xlfn.XLOOKUP(D1985,Productos[ID_Producto],Productos[Precio_Unitario])</f>
        <v>19.23</v>
      </c>
      <c r="J1985" s="17">
        <f t="shared" si="1"/>
        <v>76.92</v>
      </c>
      <c r="K1985" s="16" t="str">
        <f t="array" ref="K1985">_xlfn.XLOOKUP(C1985,Clientes[ID_Cliente],Clientes[Provincia])</f>
        <v>Córdoba</v>
      </c>
      <c r="L1985" s="16" t="str">
        <f t="array" ref="L1985">CONCATENATE(_xlfn.XLOOKUP(C1985,Clientes[ID_Cliente],Clientes[Provincia]),", Argentina")</f>
        <v>Córdoba, Argentina</v>
      </c>
      <c r="M1985" s="20" t="str">
        <f t="array" ref="M1985">_xlfn.XLOOKUP(F1985,Metodos_De_Pago[ID_Metodo],Metodos_De_Pago[Metodo])</f>
        <v>Tarjeta de Crédito</v>
      </c>
      <c r="N1985" s="20" t="str">
        <f t="shared" si="2"/>
        <v>2024 12</v>
      </c>
    </row>
    <row r="1986" ht="22.5" customHeight="1">
      <c r="A1986" s="12">
        <f>IFERROR(__xludf.DUMMYFUNCTION("""COMPUTED_VALUE"""),2814.0)</f>
        <v>2814</v>
      </c>
      <c r="B1986" s="13">
        <f>IFERROR(__xludf.DUMMYFUNCTION("""COMPUTED_VALUE"""),45637.0)</f>
        <v>45637</v>
      </c>
      <c r="C1986" s="12">
        <f>IFERROR(__xludf.DUMMYFUNCTION("""COMPUTED_VALUE"""),29.0)</f>
        <v>29</v>
      </c>
      <c r="D1986" s="12">
        <f>IFERROR(__xludf.DUMMYFUNCTION("""COMPUTED_VALUE"""),32.0)</f>
        <v>32</v>
      </c>
      <c r="E1986" s="12">
        <f>IFERROR(__xludf.DUMMYFUNCTION("""COMPUTED_VALUE"""),4.0)</f>
        <v>4</v>
      </c>
      <c r="F1986" s="12">
        <f>IFERROR(__xludf.DUMMYFUNCTION("""COMPUTED_VALUE"""),4.0)</f>
        <v>4</v>
      </c>
      <c r="G1986" s="15" t="str">
        <f>IFERROR(__xludf.DUMMYFUNCTION("""COMPUTED_VALUE"""),"Pendiente")</f>
        <v>Pendiente</v>
      </c>
      <c r="H1986" s="16" t="str">
        <f t="array" ref="H1986">_xlfn.XLOOKUP(D1986,Productos[ID_Producto],Productos[Nombre_Producto])</f>
        <v>Galletitas de chocolate</v>
      </c>
      <c r="I1986" s="17">
        <f t="array" ref="I1986">_xlfn.XLOOKUP(D1986,Productos[ID_Producto],Productos[Precio_Unitario])</f>
        <v>6.25</v>
      </c>
      <c r="J1986" s="17">
        <f t="shared" si="1"/>
        <v>25</v>
      </c>
      <c r="K1986" s="16" t="str">
        <f t="array" ref="K1986">_xlfn.XLOOKUP(C1986,Clientes[ID_Cliente],Clientes[Provincia])</f>
        <v>Chaco</v>
      </c>
      <c r="L1986" s="16" t="str">
        <f t="array" ref="L1986">CONCATENATE(_xlfn.XLOOKUP(C1986,Clientes[ID_Cliente],Clientes[Provincia]),", Argentina")</f>
        <v>Chaco, Argentina</v>
      </c>
      <c r="M1986" s="20" t="str">
        <f t="array" ref="M1986">_xlfn.XLOOKUP(F1986,Metodos_De_Pago[ID_Metodo],Metodos_De_Pago[Metodo])</f>
        <v>Mercado Pago</v>
      </c>
      <c r="N1986" s="20" t="str">
        <f t="shared" si="2"/>
        <v>2024 12</v>
      </c>
    </row>
    <row r="1987" ht="22.5" customHeight="1">
      <c r="A1987" s="12">
        <f>IFERROR(__xludf.DUMMYFUNCTION("""COMPUTED_VALUE"""),2033.0)</f>
        <v>2033</v>
      </c>
      <c r="B1987" s="13">
        <f>IFERROR(__xludf.DUMMYFUNCTION("""COMPUTED_VALUE"""),45640.0)</f>
        <v>45640</v>
      </c>
      <c r="C1987" s="12">
        <f>IFERROR(__xludf.DUMMYFUNCTION("""COMPUTED_VALUE"""),308.0)</f>
        <v>308</v>
      </c>
      <c r="D1987" s="12">
        <f>IFERROR(__xludf.DUMMYFUNCTION("""COMPUTED_VALUE"""),4.0)</f>
        <v>4</v>
      </c>
      <c r="E1987" s="12">
        <f>IFERROR(__xludf.DUMMYFUNCTION("""COMPUTED_VALUE"""),4.0)</f>
        <v>4</v>
      </c>
      <c r="F1987" s="12">
        <f>IFERROR(__xludf.DUMMYFUNCTION("""COMPUTED_VALUE"""),5.0)</f>
        <v>5</v>
      </c>
      <c r="G1987" s="15" t="str">
        <f>IFERROR(__xludf.DUMMYFUNCTION("""COMPUTED_VALUE"""),"Completa")</f>
        <v>Completa</v>
      </c>
      <c r="H1987" s="16" t="str">
        <f t="array" ref="H1987">_xlfn.XLOOKUP(D1987,Productos[ID_Producto],Productos[Nombre_Producto])</f>
        <v>Queso rallado</v>
      </c>
      <c r="I1987" s="17">
        <f t="array" ref="I1987">_xlfn.XLOOKUP(D1987,Productos[ID_Producto],Productos[Precio_Unitario])</f>
        <v>19.23</v>
      </c>
      <c r="J1987" s="17">
        <f t="shared" si="1"/>
        <v>76.92</v>
      </c>
      <c r="K1987" s="16" t="str">
        <f t="array" ref="K1987">_xlfn.XLOOKUP(C1987,Clientes[ID_Cliente],Clientes[Provincia])</f>
        <v>Córdoba</v>
      </c>
      <c r="L1987" s="16" t="str">
        <f t="array" ref="L1987">CONCATENATE(_xlfn.XLOOKUP(C1987,Clientes[ID_Cliente],Clientes[Provincia]),", Argentina")</f>
        <v>Córdoba, Argentina</v>
      </c>
      <c r="M1987" s="20" t="str">
        <f t="array" ref="M1987">_xlfn.XLOOKUP(F1987,Metodos_De_Pago[ID_Metodo],Metodos_De_Pago[Metodo])</f>
        <v>Transferencia</v>
      </c>
      <c r="N1987" s="20" t="str">
        <f t="shared" si="2"/>
        <v>2024 12</v>
      </c>
    </row>
    <row r="1988" ht="22.5" customHeight="1">
      <c r="A1988" s="12">
        <f>IFERROR(__xludf.DUMMYFUNCTION("""COMPUTED_VALUE"""),195.0)</f>
        <v>195</v>
      </c>
      <c r="B1988" s="13">
        <f>IFERROR(__xludf.DUMMYFUNCTION("""COMPUTED_VALUE"""),45641.0)</f>
        <v>45641</v>
      </c>
      <c r="C1988" s="12">
        <f>IFERROR(__xludf.DUMMYFUNCTION("""COMPUTED_VALUE"""),71.0)</f>
        <v>71</v>
      </c>
      <c r="D1988" s="12">
        <f>IFERROR(__xludf.DUMMYFUNCTION("""COMPUTED_VALUE"""),13.0)</f>
        <v>13</v>
      </c>
      <c r="E1988" s="12">
        <f>IFERROR(__xludf.DUMMYFUNCTION("""COMPUTED_VALUE"""),4.0)</f>
        <v>4</v>
      </c>
      <c r="F1988" s="12">
        <f>IFERROR(__xludf.DUMMYFUNCTION("""COMPUTED_VALUE"""),2.0)</f>
        <v>2</v>
      </c>
      <c r="G1988" s="15" t="str">
        <f>IFERROR(__xludf.DUMMYFUNCTION("""COMPUTED_VALUE"""),"Completa")</f>
        <v>Completa</v>
      </c>
      <c r="H1988" s="16" t="str">
        <f t="array" ref="H1988">_xlfn.XLOOKUP(D1988,Productos[ID_Producto],Productos[Nombre_Producto])</f>
        <v>Pan integral</v>
      </c>
      <c r="I1988" s="17">
        <f t="array" ref="I1988">_xlfn.XLOOKUP(D1988,Productos[ID_Producto],Productos[Precio_Unitario])</f>
        <v>12.56</v>
      </c>
      <c r="J1988" s="17">
        <f t="shared" si="1"/>
        <v>50.24</v>
      </c>
      <c r="K1988" s="16" t="str">
        <f t="array" ref="K1988">_xlfn.XLOOKUP(C1988,Clientes[ID_Cliente],Clientes[Provincia])</f>
        <v>Buenos Aires</v>
      </c>
      <c r="L1988" s="16" t="str">
        <f t="array" ref="L1988">CONCATENATE(_xlfn.XLOOKUP(C1988,Clientes[ID_Cliente],Clientes[Provincia]),", Argentina")</f>
        <v>Buenos Aires, Argentina</v>
      </c>
      <c r="M1988" s="20" t="str">
        <f t="array" ref="M1988">_xlfn.XLOOKUP(F1988,Metodos_De_Pago[ID_Metodo],Metodos_De_Pago[Metodo])</f>
        <v>Tarjeta de Crédito</v>
      </c>
      <c r="N1988" s="20" t="str">
        <f t="shared" si="2"/>
        <v>2024 12</v>
      </c>
    </row>
    <row r="1989" ht="22.5" customHeight="1">
      <c r="A1989" s="12">
        <f>IFERROR(__xludf.DUMMYFUNCTION("""COMPUTED_VALUE"""),334.0)</f>
        <v>334</v>
      </c>
      <c r="B1989" s="13">
        <f>IFERROR(__xludf.DUMMYFUNCTION("""COMPUTED_VALUE"""),45642.0)</f>
        <v>45642</v>
      </c>
      <c r="C1989" s="12">
        <f>IFERROR(__xludf.DUMMYFUNCTION("""COMPUTED_VALUE"""),286.0)</f>
        <v>286</v>
      </c>
      <c r="D1989" s="12">
        <f>IFERROR(__xludf.DUMMYFUNCTION("""COMPUTED_VALUE"""),24.0)</f>
        <v>24</v>
      </c>
      <c r="E1989" s="12">
        <f>IFERROR(__xludf.DUMMYFUNCTION("""COMPUTED_VALUE"""),4.0)</f>
        <v>4</v>
      </c>
      <c r="F1989" s="12">
        <f>IFERROR(__xludf.DUMMYFUNCTION("""COMPUTED_VALUE"""),1.0)</f>
        <v>1</v>
      </c>
      <c r="G1989" s="15" t="str">
        <f>IFERROR(__xludf.DUMMYFUNCTION("""COMPUTED_VALUE"""),"Pendiente")</f>
        <v>Pendiente</v>
      </c>
      <c r="H1989" s="16" t="str">
        <f t="array" ref="H1989">_xlfn.XLOOKUP(D1989,Productos[ID_Producto],Productos[Nombre_Producto])</f>
        <v>Empanadas</v>
      </c>
      <c r="I1989" s="17">
        <f t="array" ref="I1989">_xlfn.XLOOKUP(D1989,Productos[ID_Producto],Productos[Precio_Unitario])</f>
        <v>13.54</v>
      </c>
      <c r="J1989" s="17">
        <f t="shared" si="1"/>
        <v>54.16</v>
      </c>
      <c r="K1989" s="16" t="str">
        <f t="array" ref="K1989">_xlfn.XLOOKUP(C1989,Clientes[ID_Cliente],Clientes[Provincia])</f>
        <v>Córdoba</v>
      </c>
      <c r="L1989" s="16" t="str">
        <f t="array" ref="L1989">CONCATENATE(_xlfn.XLOOKUP(C1989,Clientes[ID_Cliente],Clientes[Provincia]),", Argentina")</f>
        <v>Córdoba, Argentina</v>
      </c>
      <c r="M1989" s="20" t="str">
        <f t="array" ref="M1989">_xlfn.XLOOKUP(F1989,Metodos_De_Pago[ID_Metodo],Metodos_De_Pago[Metodo])</f>
        <v>Efectivo</v>
      </c>
      <c r="N1989" s="20" t="str">
        <f t="shared" si="2"/>
        <v>2024 12</v>
      </c>
    </row>
    <row r="1990" ht="22.5" customHeight="1">
      <c r="A1990" s="12">
        <f>IFERROR(__xludf.DUMMYFUNCTION("""COMPUTED_VALUE"""),389.0)</f>
        <v>389</v>
      </c>
      <c r="B1990" s="13">
        <f>IFERROR(__xludf.DUMMYFUNCTION("""COMPUTED_VALUE"""),45642.0)</f>
        <v>45642</v>
      </c>
      <c r="C1990" s="12">
        <f>IFERROR(__xludf.DUMMYFUNCTION("""COMPUTED_VALUE"""),174.0)</f>
        <v>174</v>
      </c>
      <c r="D1990" s="12">
        <f>IFERROR(__xludf.DUMMYFUNCTION("""COMPUTED_VALUE"""),7.0)</f>
        <v>7</v>
      </c>
      <c r="E1990" s="12">
        <f>IFERROR(__xludf.DUMMYFUNCTION("""COMPUTED_VALUE"""),4.0)</f>
        <v>4</v>
      </c>
      <c r="F1990" s="12">
        <f>IFERROR(__xludf.DUMMYFUNCTION("""COMPUTED_VALUE"""),1.0)</f>
        <v>1</v>
      </c>
      <c r="G1990" s="15" t="str">
        <f>IFERROR(__xludf.DUMMYFUNCTION("""COMPUTED_VALUE"""),"Completa")</f>
        <v>Completa</v>
      </c>
      <c r="H1990" s="16" t="str">
        <f t="array" ref="H1990">_xlfn.XLOOKUP(D1990,Productos[ID_Producto],Productos[Nombre_Producto])</f>
        <v>Chorizo</v>
      </c>
      <c r="I1990" s="17">
        <f t="array" ref="I1990">_xlfn.XLOOKUP(D1990,Productos[ID_Producto],Productos[Precio_Unitario])</f>
        <v>11.25</v>
      </c>
      <c r="J1990" s="17">
        <f t="shared" si="1"/>
        <v>45</v>
      </c>
      <c r="K1990" s="16" t="str">
        <f t="array" ref="K1990">_xlfn.XLOOKUP(C1990,Clientes[ID_Cliente],Clientes[Provincia])</f>
        <v>Neuquén</v>
      </c>
      <c r="L1990" s="16" t="str">
        <f t="array" ref="L1990">CONCATENATE(_xlfn.XLOOKUP(C1990,Clientes[ID_Cliente],Clientes[Provincia]),", Argentina")</f>
        <v>Neuquén, Argentina</v>
      </c>
      <c r="M1990" s="20" t="str">
        <f t="array" ref="M1990">_xlfn.XLOOKUP(F1990,Metodos_De_Pago[ID_Metodo],Metodos_De_Pago[Metodo])</f>
        <v>Efectivo</v>
      </c>
      <c r="N1990" s="20" t="str">
        <f t="shared" si="2"/>
        <v>2024 12</v>
      </c>
    </row>
    <row r="1991" ht="22.5" customHeight="1">
      <c r="A1991" s="12">
        <f>IFERROR(__xludf.DUMMYFUNCTION("""COMPUTED_VALUE"""),589.0)</f>
        <v>589</v>
      </c>
      <c r="B1991" s="13">
        <f>IFERROR(__xludf.DUMMYFUNCTION("""COMPUTED_VALUE"""),45642.0)</f>
        <v>45642</v>
      </c>
      <c r="C1991" s="12">
        <f>IFERROR(__xludf.DUMMYFUNCTION("""COMPUTED_VALUE"""),159.0)</f>
        <v>159</v>
      </c>
      <c r="D1991" s="12">
        <f>IFERROR(__xludf.DUMMYFUNCTION("""COMPUTED_VALUE"""),16.0)</f>
        <v>16</v>
      </c>
      <c r="E1991" s="12">
        <f>IFERROR(__xludf.DUMMYFUNCTION("""COMPUTED_VALUE"""),4.0)</f>
        <v>4</v>
      </c>
      <c r="F1991" s="12">
        <f>IFERROR(__xludf.DUMMYFUNCTION("""COMPUTED_VALUE"""),3.0)</f>
        <v>3</v>
      </c>
      <c r="G1991" s="15" t="str">
        <f>IFERROR(__xludf.DUMMYFUNCTION("""COMPUTED_VALUE"""),"Completa")</f>
        <v>Completa</v>
      </c>
      <c r="H1991" s="16" t="str">
        <f t="array" ref="H1991">_xlfn.XLOOKUP(D1991,Productos[ID_Producto],Productos[Nombre_Producto])</f>
        <v>Tortas</v>
      </c>
      <c r="I1991" s="17">
        <f t="array" ref="I1991">_xlfn.XLOOKUP(D1991,Productos[ID_Producto],Productos[Precio_Unitario])</f>
        <v>15.23</v>
      </c>
      <c r="J1991" s="17">
        <f t="shared" si="1"/>
        <v>60.92</v>
      </c>
      <c r="K1991" s="16" t="str">
        <f t="array" ref="K1991">_xlfn.XLOOKUP(C1991,Clientes[ID_Cliente],Clientes[Provincia])</f>
        <v>Chaco</v>
      </c>
      <c r="L1991" s="16" t="str">
        <f t="array" ref="L1991">CONCATENATE(_xlfn.XLOOKUP(C1991,Clientes[ID_Cliente],Clientes[Provincia]),", Argentina")</f>
        <v>Chaco, Argentina</v>
      </c>
      <c r="M1991" s="20" t="str">
        <f t="array" ref="M1991">_xlfn.XLOOKUP(F1991,Metodos_De_Pago[ID_Metodo],Metodos_De_Pago[Metodo])</f>
        <v>Tarjeta de Débito</v>
      </c>
      <c r="N1991" s="20" t="str">
        <f t="shared" si="2"/>
        <v>2024 12</v>
      </c>
    </row>
    <row r="1992" ht="22.5" customHeight="1">
      <c r="A1992" s="12">
        <f>IFERROR(__xludf.DUMMYFUNCTION("""COMPUTED_VALUE"""),1629.0)</f>
        <v>1629</v>
      </c>
      <c r="B1992" s="13">
        <f>IFERROR(__xludf.DUMMYFUNCTION("""COMPUTED_VALUE"""),45643.0)</f>
        <v>45643</v>
      </c>
      <c r="C1992" s="12">
        <f>IFERROR(__xludf.DUMMYFUNCTION("""COMPUTED_VALUE"""),130.0)</f>
        <v>130</v>
      </c>
      <c r="D1992" s="12">
        <f>IFERROR(__xludf.DUMMYFUNCTION("""COMPUTED_VALUE"""),6.0)</f>
        <v>6</v>
      </c>
      <c r="E1992" s="12">
        <f>IFERROR(__xludf.DUMMYFUNCTION("""COMPUTED_VALUE"""),4.0)</f>
        <v>4</v>
      </c>
      <c r="F1992" s="12">
        <f>IFERROR(__xludf.DUMMYFUNCTION("""COMPUTED_VALUE"""),3.0)</f>
        <v>3</v>
      </c>
      <c r="G1992" s="15" t="str">
        <f>IFERROR(__xludf.DUMMYFUNCTION("""COMPUTED_VALUE"""),"Completa")</f>
        <v>Completa</v>
      </c>
      <c r="H1992" s="16" t="str">
        <f t="array" ref="H1992">_xlfn.XLOOKUP(D1992,Productos[ID_Producto],Productos[Nombre_Producto])</f>
        <v>Asado</v>
      </c>
      <c r="I1992" s="17">
        <f t="array" ref="I1992">_xlfn.XLOOKUP(D1992,Productos[ID_Producto],Productos[Precio_Unitario])</f>
        <v>28.56</v>
      </c>
      <c r="J1992" s="17">
        <f t="shared" si="1"/>
        <v>114.24</v>
      </c>
      <c r="K1992" s="16" t="str">
        <f t="array" ref="K1992">_xlfn.XLOOKUP(C1992,Clientes[ID_Cliente],Clientes[Provincia])</f>
        <v>Buenos Aires</v>
      </c>
      <c r="L1992" s="16" t="str">
        <f t="array" ref="L1992">CONCATENATE(_xlfn.XLOOKUP(C1992,Clientes[ID_Cliente],Clientes[Provincia]),", Argentina")</f>
        <v>Buenos Aires, Argentina</v>
      </c>
      <c r="M1992" s="20" t="str">
        <f t="array" ref="M1992">_xlfn.XLOOKUP(F1992,Metodos_De_Pago[ID_Metodo],Metodos_De_Pago[Metodo])</f>
        <v>Tarjeta de Débito</v>
      </c>
      <c r="N1992" s="20" t="str">
        <f t="shared" si="2"/>
        <v>2024 12</v>
      </c>
    </row>
    <row r="1993" ht="22.5" customHeight="1">
      <c r="A1993" s="12">
        <f>IFERROR(__xludf.DUMMYFUNCTION("""COMPUTED_VALUE"""),1720.0)</f>
        <v>1720</v>
      </c>
      <c r="B1993" s="13">
        <f>IFERROR(__xludf.DUMMYFUNCTION("""COMPUTED_VALUE"""),45643.0)</f>
        <v>45643</v>
      </c>
      <c r="C1993" s="12">
        <f>IFERROR(__xludf.DUMMYFUNCTION("""COMPUTED_VALUE"""),316.0)</f>
        <v>316</v>
      </c>
      <c r="D1993" s="12">
        <f>IFERROR(__xludf.DUMMYFUNCTION("""COMPUTED_VALUE"""),9.0)</f>
        <v>9</v>
      </c>
      <c r="E1993" s="12">
        <f>IFERROR(__xludf.DUMMYFUNCTION("""COMPUTED_VALUE"""),4.0)</f>
        <v>4</v>
      </c>
      <c r="F1993" s="12">
        <f>IFERROR(__xludf.DUMMYFUNCTION("""COMPUTED_VALUE"""),4.0)</f>
        <v>4</v>
      </c>
      <c r="G1993" s="15" t="str">
        <f>IFERROR(__xludf.DUMMYFUNCTION("""COMPUTED_VALUE"""),"Completa")</f>
        <v>Completa</v>
      </c>
      <c r="H1993" s="16" t="str">
        <f t="array" ref="H1993">_xlfn.XLOOKUP(D1993,Productos[ID_Producto],Productos[Nombre_Producto])</f>
        <v>Pollo</v>
      </c>
      <c r="I1993" s="17">
        <f t="array" ref="I1993">_xlfn.XLOOKUP(D1993,Productos[ID_Producto],Productos[Precio_Unitario])</f>
        <v>18.56</v>
      </c>
      <c r="J1993" s="17">
        <f t="shared" si="1"/>
        <v>74.24</v>
      </c>
      <c r="K1993" s="16" t="str">
        <f t="array" ref="K1993">_xlfn.XLOOKUP(C1993,Clientes[ID_Cliente],Clientes[Provincia])</f>
        <v>Córdoba</v>
      </c>
      <c r="L1993" s="16" t="str">
        <f t="array" ref="L1993">CONCATENATE(_xlfn.XLOOKUP(C1993,Clientes[ID_Cliente],Clientes[Provincia]),", Argentina")</f>
        <v>Córdoba, Argentina</v>
      </c>
      <c r="M1993" s="20" t="str">
        <f t="array" ref="M1993">_xlfn.XLOOKUP(F1993,Metodos_De_Pago[ID_Metodo],Metodos_De_Pago[Metodo])</f>
        <v>Mercado Pago</v>
      </c>
      <c r="N1993" s="20" t="str">
        <f t="shared" si="2"/>
        <v>2024 12</v>
      </c>
    </row>
    <row r="1994" ht="22.5" customHeight="1">
      <c r="A1994" s="12">
        <f>IFERROR(__xludf.DUMMYFUNCTION("""COMPUTED_VALUE"""),2088.0)</f>
        <v>2088</v>
      </c>
      <c r="B1994" s="13">
        <f>IFERROR(__xludf.DUMMYFUNCTION("""COMPUTED_VALUE"""),45644.0)</f>
        <v>45644</v>
      </c>
      <c r="C1994" s="12">
        <f>IFERROR(__xludf.DUMMYFUNCTION("""COMPUTED_VALUE"""),70.0)</f>
        <v>70</v>
      </c>
      <c r="D1994" s="12">
        <f>IFERROR(__xludf.DUMMYFUNCTION("""COMPUTED_VALUE"""),23.0)</f>
        <v>23</v>
      </c>
      <c r="E1994" s="12">
        <f>IFERROR(__xludf.DUMMYFUNCTION("""COMPUTED_VALUE"""),4.0)</f>
        <v>4</v>
      </c>
      <c r="F1994" s="12">
        <f>IFERROR(__xludf.DUMMYFUNCTION("""COMPUTED_VALUE"""),5.0)</f>
        <v>5</v>
      </c>
      <c r="G1994" s="15" t="str">
        <f>IFERROR(__xludf.DUMMYFUNCTION("""COMPUTED_VALUE"""),"Completa")</f>
        <v>Completa</v>
      </c>
      <c r="H1994" s="16" t="str">
        <f t="array" ref="H1994">_xlfn.XLOOKUP(D1994,Productos[ID_Producto],Productos[Nombre_Producto])</f>
        <v>Papas fritas</v>
      </c>
      <c r="I1994" s="17">
        <f t="array" ref="I1994">_xlfn.XLOOKUP(D1994,Productos[ID_Producto],Productos[Precio_Unitario])</f>
        <v>8.23</v>
      </c>
      <c r="J1994" s="17">
        <f t="shared" si="1"/>
        <v>32.92</v>
      </c>
      <c r="K1994" s="16" t="str">
        <f t="array" ref="K1994">_xlfn.XLOOKUP(C1994,Clientes[ID_Cliente],Clientes[Provincia])</f>
        <v>Córdoba</v>
      </c>
      <c r="L1994" s="16" t="str">
        <f t="array" ref="L1994">CONCATENATE(_xlfn.XLOOKUP(C1994,Clientes[ID_Cliente],Clientes[Provincia]),", Argentina")</f>
        <v>Córdoba, Argentina</v>
      </c>
      <c r="M1994" s="20" t="str">
        <f t="array" ref="M1994">_xlfn.XLOOKUP(F1994,Metodos_De_Pago[ID_Metodo],Metodos_De_Pago[Metodo])</f>
        <v>Transferencia</v>
      </c>
      <c r="N1994" s="20" t="str">
        <f t="shared" si="2"/>
        <v>2024 12</v>
      </c>
    </row>
    <row r="1995" ht="22.5" customHeight="1">
      <c r="A1995" s="12">
        <f>IFERROR(__xludf.DUMMYFUNCTION("""COMPUTED_VALUE"""),55.0)</f>
        <v>55</v>
      </c>
      <c r="B1995" s="13">
        <f>IFERROR(__xludf.DUMMYFUNCTION("""COMPUTED_VALUE"""),45645.0)</f>
        <v>45645</v>
      </c>
      <c r="C1995" s="12">
        <f>IFERROR(__xludf.DUMMYFUNCTION("""COMPUTED_VALUE"""),264.0)</f>
        <v>264</v>
      </c>
      <c r="D1995" s="12">
        <f>IFERROR(__xludf.DUMMYFUNCTION("""COMPUTED_VALUE"""),11.0)</f>
        <v>11</v>
      </c>
      <c r="E1995" s="12">
        <f>IFERROR(__xludf.DUMMYFUNCTION("""COMPUTED_VALUE"""),4.0)</f>
        <v>4</v>
      </c>
      <c r="F1995" s="12">
        <f>IFERROR(__xludf.DUMMYFUNCTION("""COMPUTED_VALUE"""),1.0)</f>
        <v>1</v>
      </c>
      <c r="G1995" s="15" t="str">
        <f>IFERROR(__xludf.DUMMYFUNCTION("""COMPUTED_VALUE"""),"Completa")</f>
        <v>Completa</v>
      </c>
      <c r="H1995" s="16" t="str">
        <f t="array" ref="H1995">_xlfn.XLOOKUP(D1995,Productos[ID_Producto],Productos[Nombre_Producto])</f>
        <v>Salchicha</v>
      </c>
      <c r="I1995" s="17">
        <f t="array" ref="I1995">_xlfn.XLOOKUP(D1995,Productos[ID_Producto],Productos[Precio_Unitario])</f>
        <v>11.23</v>
      </c>
      <c r="J1995" s="17">
        <f t="shared" si="1"/>
        <v>44.92</v>
      </c>
      <c r="K1995" s="16" t="str">
        <f t="array" ref="K1995">_xlfn.XLOOKUP(C1995,Clientes[ID_Cliente],Clientes[Provincia])</f>
        <v>Buenos Aires</v>
      </c>
      <c r="L1995" s="16" t="str">
        <f t="array" ref="L1995">CONCATENATE(_xlfn.XLOOKUP(C1995,Clientes[ID_Cliente],Clientes[Provincia]),", Argentina")</f>
        <v>Buenos Aires, Argentina</v>
      </c>
      <c r="M1995" s="20" t="str">
        <f t="array" ref="M1995">_xlfn.XLOOKUP(F1995,Metodos_De_Pago[ID_Metodo],Metodos_De_Pago[Metodo])</f>
        <v>Efectivo</v>
      </c>
      <c r="N1995" s="20" t="str">
        <f t="shared" si="2"/>
        <v>2024 12</v>
      </c>
    </row>
    <row r="1996" ht="22.5" customHeight="1">
      <c r="A1996" s="12">
        <f>IFERROR(__xludf.DUMMYFUNCTION("""COMPUTED_VALUE"""),213.0)</f>
        <v>213</v>
      </c>
      <c r="B1996" s="13">
        <f>IFERROR(__xludf.DUMMYFUNCTION("""COMPUTED_VALUE"""),45645.0)</f>
        <v>45645</v>
      </c>
      <c r="C1996" s="12">
        <f>IFERROR(__xludf.DUMMYFUNCTION("""COMPUTED_VALUE"""),322.0)</f>
        <v>322</v>
      </c>
      <c r="D1996" s="12">
        <f>IFERROR(__xludf.DUMMYFUNCTION("""COMPUTED_VALUE"""),21.0)</f>
        <v>21</v>
      </c>
      <c r="E1996" s="12">
        <f>IFERROR(__xludf.DUMMYFUNCTION("""COMPUTED_VALUE"""),4.0)</f>
        <v>4</v>
      </c>
      <c r="F1996" s="12">
        <f>IFERROR(__xludf.DUMMYFUNCTION("""COMPUTED_VALUE"""),4.0)</f>
        <v>4</v>
      </c>
      <c r="G1996" s="15" t="str">
        <f>IFERROR(__xludf.DUMMYFUNCTION("""COMPUTED_VALUE"""),"Completa")</f>
        <v>Completa</v>
      </c>
      <c r="H1996" s="16" t="str">
        <f t="array" ref="H1996">_xlfn.XLOOKUP(D1996,Productos[ID_Producto],Productos[Nombre_Producto])</f>
        <v>Zanahorias</v>
      </c>
      <c r="I1996" s="17">
        <f t="array" ref="I1996">_xlfn.XLOOKUP(D1996,Productos[ID_Producto],Productos[Precio_Unitario])</f>
        <v>3.25</v>
      </c>
      <c r="J1996" s="17">
        <f t="shared" si="1"/>
        <v>13</v>
      </c>
      <c r="K1996" s="16" t="str">
        <f t="array" ref="K1996">_xlfn.XLOOKUP(C1996,Clientes[ID_Cliente],Clientes[Provincia])</f>
        <v>Chaco</v>
      </c>
      <c r="L1996" s="16" t="str">
        <f t="array" ref="L1996">CONCATENATE(_xlfn.XLOOKUP(C1996,Clientes[ID_Cliente],Clientes[Provincia]),", Argentina")</f>
        <v>Chaco, Argentina</v>
      </c>
      <c r="M1996" s="20" t="str">
        <f t="array" ref="M1996">_xlfn.XLOOKUP(F1996,Metodos_De_Pago[ID_Metodo],Metodos_De_Pago[Metodo])</f>
        <v>Mercado Pago</v>
      </c>
      <c r="N1996" s="20" t="str">
        <f t="shared" si="2"/>
        <v>2024 12</v>
      </c>
    </row>
    <row r="1997" ht="22.5" customHeight="1">
      <c r="A1997" s="12">
        <f>IFERROR(__xludf.DUMMYFUNCTION("""COMPUTED_VALUE"""),999.0)</f>
        <v>999</v>
      </c>
      <c r="B1997" s="13">
        <f>IFERROR(__xludf.DUMMYFUNCTION("""COMPUTED_VALUE"""),45645.0)</f>
        <v>45645</v>
      </c>
      <c r="C1997" s="12">
        <f>IFERROR(__xludf.DUMMYFUNCTION("""COMPUTED_VALUE"""),155.0)</f>
        <v>155</v>
      </c>
      <c r="D1997" s="12">
        <f>IFERROR(__xludf.DUMMYFUNCTION("""COMPUTED_VALUE"""),38.0)</f>
        <v>38</v>
      </c>
      <c r="E1997" s="12">
        <f>IFERROR(__xludf.DUMMYFUNCTION("""COMPUTED_VALUE"""),4.0)</f>
        <v>4</v>
      </c>
      <c r="F1997" s="12">
        <f>IFERROR(__xludf.DUMMYFUNCTION("""COMPUTED_VALUE"""),3.0)</f>
        <v>3</v>
      </c>
      <c r="G1997" s="15" t="str">
        <f>IFERROR(__xludf.DUMMYFUNCTION("""COMPUTED_VALUE"""),"Completa")</f>
        <v>Completa</v>
      </c>
      <c r="H1997" s="16" t="str">
        <f t="array" ref="H1997">_xlfn.XLOOKUP(D1997,Productos[ID_Producto],Productos[Nombre_Producto])</f>
        <v>Atún enlatado</v>
      </c>
      <c r="I1997" s="17">
        <f t="array" ref="I1997">_xlfn.XLOOKUP(D1997,Productos[ID_Producto],Productos[Precio_Unitario])</f>
        <v>6.21</v>
      </c>
      <c r="J1997" s="17">
        <f t="shared" si="1"/>
        <v>24.84</v>
      </c>
      <c r="K1997" s="16" t="str">
        <f t="array" ref="K1997">_xlfn.XLOOKUP(C1997,Clientes[ID_Cliente],Clientes[Provincia])</f>
        <v>San Luis</v>
      </c>
      <c r="L1997" s="16" t="str">
        <f t="array" ref="L1997">CONCATENATE(_xlfn.XLOOKUP(C1997,Clientes[ID_Cliente],Clientes[Provincia]),", Argentina")</f>
        <v>San Luis, Argentina</v>
      </c>
      <c r="M1997" s="20" t="str">
        <f t="array" ref="M1997">_xlfn.XLOOKUP(F1997,Metodos_De_Pago[ID_Metodo],Metodos_De_Pago[Metodo])</f>
        <v>Tarjeta de Débito</v>
      </c>
      <c r="N1997" s="20" t="str">
        <f t="shared" si="2"/>
        <v>2024 12</v>
      </c>
    </row>
    <row r="1998" ht="22.5" customHeight="1">
      <c r="A1998" s="12">
        <f>IFERROR(__xludf.DUMMYFUNCTION("""COMPUTED_VALUE"""),1642.0)</f>
        <v>1642</v>
      </c>
      <c r="B1998" s="13">
        <f>IFERROR(__xludf.DUMMYFUNCTION("""COMPUTED_VALUE"""),45645.0)</f>
        <v>45645</v>
      </c>
      <c r="C1998" s="12">
        <f>IFERROR(__xludf.DUMMYFUNCTION("""COMPUTED_VALUE"""),172.0)</f>
        <v>172</v>
      </c>
      <c r="D1998" s="12">
        <f>IFERROR(__xludf.DUMMYFUNCTION("""COMPUTED_VALUE"""),22.0)</f>
        <v>22</v>
      </c>
      <c r="E1998" s="12">
        <f>IFERROR(__xludf.DUMMYFUNCTION("""COMPUTED_VALUE"""),4.0)</f>
        <v>4</v>
      </c>
      <c r="F1998" s="12">
        <f>IFERROR(__xludf.DUMMYFUNCTION("""COMPUTED_VALUE"""),2.0)</f>
        <v>2</v>
      </c>
      <c r="G1998" s="15" t="str">
        <f>IFERROR(__xludf.DUMMYFUNCTION("""COMPUTED_VALUE"""),"Completa")</f>
        <v>Completa</v>
      </c>
      <c r="H1998" s="16" t="str">
        <f t="array" ref="H1998">_xlfn.XLOOKUP(D1998,Productos[ID_Producto],Productos[Nombre_Producto])</f>
        <v>Cebolla</v>
      </c>
      <c r="I1998" s="17">
        <f t="array" ref="I1998">_xlfn.XLOOKUP(D1998,Productos[ID_Producto],Productos[Precio_Unitario])</f>
        <v>4.21</v>
      </c>
      <c r="J1998" s="17">
        <f t="shared" si="1"/>
        <v>16.84</v>
      </c>
      <c r="K1998" s="16" t="str">
        <f t="array" ref="K1998">_xlfn.XLOOKUP(C1998,Clientes[ID_Cliente],Clientes[Provincia])</f>
        <v>Buenos Aires</v>
      </c>
      <c r="L1998" s="16" t="str">
        <f t="array" ref="L1998">CONCATENATE(_xlfn.XLOOKUP(C1998,Clientes[ID_Cliente],Clientes[Provincia]),", Argentina")</f>
        <v>Buenos Aires, Argentina</v>
      </c>
      <c r="M1998" s="20" t="str">
        <f t="array" ref="M1998">_xlfn.XLOOKUP(F1998,Metodos_De_Pago[ID_Metodo],Metodos_De_Pago[Metodo])</f>
        <v>Tarjeta de Crédito</v>
      </c>
      <c r="N1998" s="20" t="str">
        <f t="shared" si="2"/>
        <v>2024 12</v>
      </c>
    </row>
    <row r="1999" ht="22.5" customHeight="1">
      <c r="A1999" s="12">
        <f>IFERROR(__xludf.DUMMYFUNCTION("""COMPUTED_VALUE"""),925.0)</f>
        <v>925</v>
      </c>
      <c r="B1999" s="13">
        <f>IFERROR(__xludf.DUMMYFUNCTION("""COMPUTED_VALUE"""),45647.0)</f>
        <v>45647</v>
      </c>
      <c r="C1999" s="12">
        <f>IFERROR(__xludf.DUMMYFUNCTION("""COMPUTED_VALUE"""),179.0)</f>
        <v>179</v>
      </c>
      <c r="D1999" s="12">
        <f>IFERROR(__xludf.DUMMYFUNCTION("""COMPUTED_VALUE"""),5.0)</f>
        <v>5</v>
      </c>
      <c r="E1999" s="12">
        <f>IFERROR(__xludf.DUMMYFUNCTION("""COMPUTED_VALUE"""),4.0)</f>
        <v>4</v>
      </c>
      <c r="F1999" s="12">
        <f>IFERROR(__xludf.DUMMYFUNCTION("""COMPUTED_VALUE"""),2.0)</f>
        <v>2</v>
      </c>
      <c r="G1999" s="15" t="str">
        <f>IFERROR(__xludf.DUMMYFUNCTION("""COMPUTED_VALUE"""),"Completa")</f>
        <v>Completa</v>
      </c>
      <c r="H1999" s="16" t="str">
        <f t="array" ref="H1999">_xlfn.XLOOKUP(D1999,Productos[ID_Producto],Productos[Nombre_Producto])</f>
        <v>Manteca</v>
      </c>
      <c r="I1999" s="17">
        <f t="array" ref="I1999">_xlfn.XLOOKUP(D1999,Productos[ID_Producto],Productos[Precio_Unitario])</f>
        <v>5.65</v>
      </c>
      <c r="J1999" s="17">
        <f t="shared" si="1"/>
        <v>22.6</v>
      </c>
      <c r="K1999" s="16" t="str">
        <f t="array" ref="K1999">_xlfn.XLOOKUP(C1999,Clientes[ID_Cliente],Clientes[Provincia])</f>
        <v>Buenos Aires</v>
      </c>
      <c r="L1999" s="16" t="str">
        <f t="array" ref="L1999">CONCATENATE(_xlfn.XLOOKUP(C1999,Clientes[ID_Cliente],Clientes[Provincia]),", Argentina")</f>
        <v>Buenos Aires, Argentina</v>
      </c>
      <c r="M1999" s="20" t="str">
        <f t="array" ref="M1999">_xlfn.XLOOKUP(F1999,Metodos_De_Pago[ID_Metodo],Metodos_De_Pago[Metodo])</f>
        <v>Tarjeta de Crédito</v>
      </c>
      <c r="N1999" s="20" t="str">
        <f t="shared" si="2"/>
        <v>2024 12</v>
      </c>
    </row>
    <row r="2000" ht="22.5" customHeight="1">
      <c r="A2000" s="12">
        <f>IFERROR(__xludf.DUMMYFUNCTION("""COMPUTED_VALUE"""),1163.0)</f>
        <v>1163</v>
      </c>
      <c r="B2000" s="13">
        <f>IFERROR(__xludf.DUMMYFUNCTION("""COMPUTED_VALUE"""),45647.0)</f>
        <v>45647</v>
      </c>
      <c r="C2000" s="12">
        <f>IFERROR(__xludf.DUMMYFUNCTION("""COMPUTED_VALUE"""),94.0)</f>
        <v>94</v>
      </c>
      <c r="D2000" s="12">
        <f>IFERROR(__xludf.DUMMYFUNCTION("""COMPUTED_VALUE"""),11.0)</f>
        <v>11</v>
      </c>
      <c r="E2000" s="12">
        <f>IFERROR(__xludf.DUMMYFUNCTION("""COMPUTED_VALUE"""),4.0)</f>
        <v>4</v>
      </c>
      <c r="F2000" s="12">
        <f>IFERROR(__xludf.DUMMYFUNCTION("""COMPUTED_VALUE"""),4.0)</f>
        <v>4</v>
      </c>
      <c r="G2000" s="15" t="str">
        <f>IFERROR(__xludf.DUMMYFUNCTION("""COMPUTED_VALUE"""),"Completa")</f>
        <v>Completa</v>
      </c>
      <c r="H2000" s="16" t="str">
        <f t="array" ref="H2000">_xlfn.XLOOKUP(D2000,Productos[ID_Producto],Productos[Nombre_Producto])</f>
        <v>Salchicha</v>
      </c>
      <c r="I2000" s="17">
        <f t="array" ref="I2000">_xlfn.XLOOKUP(D2000,Productos[ID_Producto],Productos[Precio_Unitario])</f>
        <v>11.23</v>
      </c>
      <c r="J2000" s="17">
        <f t="shared" si="1"/>
        <v>44.92</v>
      </c>
      <c r="K2000" s="16" t="str">
        <f t="array" ref="K2000">_xlfn.XLOOKUP(C2000,Clientes[ID_Cliente],Clientes[Provincia])</f>
        <v>Córdoba</v>
      </c>
      <c r="L2000" s="16" t="str">
        <f t="array" ref="L2000">CONCATENATE(_xlfn.XLOOKUP(C2000,Clientes[ID_Cliente],Clientes[Provincia]),", Argentina")</f>
        <v>Córdoba, Argentina</v>
      </c>
      <c r="M2000" s="20" t="str">
        <f t="array" ref="M2000">_xlfn.XLOOKUP(F2000,Metodos_De_Pago[ID_Metodo],Metodos_De_Pago[Metodo])</f>
        <v>Mercado Pago</v>
      </c>
      <c r="N2000" s="20" t="str">
        <f t="shared" si="2"/>
        <v>2024 12</v>
      </c>
    </row>
    <row r="2001" ht="22.5" customHeight="1">
      <c r="A2001" s="12">
        <f>IFERROR(__xludf.DUMMYFUNCTION("""COMPUTED_VALUE"""),1548.0)</f>
        <v>1548</v>
      </c>
      <c r="B2001" s="13">
        <f>IFERROR(__xludf.DUMMYFUNCTION("""COMPUTED_VALUE"""),45647.0)</f>
        <v>45647</v>
      </c>
      <c r="C2001" s="12">
        <f>IFERROR(__xludf.DUMMYFUNCTION("""COMPUTED_VALUE"""),98.0)</f>
        <v>98</v>
      </c>
      <c r="D2001" s="12">
        <f>IFERROR(__xludf.DUMMYFUNCTION("""COMPUTED_VALUE"""),38.0)</f>
        <v>38</v>
      </c>
      <c r="E2001" s="12">
        <f>IFERROR(__xludf.DUMMYFUNCTION("""COMPUTED_VALUE"""),4.0)</f>
        <v>4</v>
      </c>
      <c r="F2001" s="12">
        <f>IFERROR(__xludf.DUMMYFUNCTION("""COMPUTED_VALUE"""),4.0)</f>
        <v>4</v>
      </c>
      <c r="G2001" s="15" t="str">
        <f>IFERROR(__xludf.DUMMYFUNCTION("""COMPUTED_VALUE"""),"Completa")</f>
        <v>Completa</v>
      </c>
      <c r="H2001" s="16" t="str">
        <f t="array" ref="H2001">_xlfn.XLOOKUP(D2001,Productos[ID_Producto],Productos[Nombre_Producto])</f>
        <v>Atún enlatado</v>
      </c>
      <c r="I2001" s="17">
        <f t="array" ref="I2001">_xlfn.XLOOKUP(D2001,Productos[ID_Producto],Productos[Precio_Unitario])</f>
        <v>6.21</v>
      </c>
      <c r="J2001" s="17">
        <f t="shared" si="1"/>
        <v>24.84</v>
      </c>
      <c r="K2001" s="16" t="str">
        <f t="array" ref="K2001">_xlfn.XLOOKUP(C2001,Clientes[ID_Cliente],Clientes[Provincia])</f>
        <v>Córdoba</v>
      </c>
      <c r="L2001" s="16" t="str">
        <f t="array" ref="L2001">CONCATENATE(_xlfn.XLOOKUP(C2001,Clientes[ID_Cliente],Clientes[Provincia]),", Argentina")</f>
        <v>Córdoba, Argentina</v>
      </c>
      <c r="M2001" s="20" t="str">
        <f t="array" ref="M2001">_xlfn.XLOOKUP(F2001,Metodos_De_Pago[ID_Metodo],Metodos_De_Pago[Metodo])</f>
        <v>Mercado Pago</v>
      </c>
      <c r="N2001" s="20" t="str">
        <f t="shared" si="2"/>
        <v>2024 12</v>
      </c>
    </row>
    <row r="2002" ht="22.5" customHeight="1">
      <c r="A2002" s="12">
        <f>IFERROR(__xludf.DUMMYFUNCTION("""COMPUTED_VALUE"""),571.0)</f>
        <v>571</v>
      </c>
      <c r="B2002" s="13">
        <f>IFERROR(__xludf.DUMMYFUNCTION("""COMPUTED_VALUE"""),45649.0)</f>
        <v>45649</v>
      </c>
      <c r="C2002" s="12">
        <f>IFERROR(__xludf.DUMMYFUNCTION("""COMPUTED_VALUE"""),262.0)</f>
        <v>262</v>
      </c>
      <c r="D2002" s="12">
        <f>IFERROR(__xludf.DUMMYFUNCTION("""COMPUTED_VALUE"""),30.0)</f>
        <v>30</v>
      </c>
      <c r="E2002" s="12">
        <f>IFERROR(__xludf.DUMMYFUNCTION("""COMPUTED_VALUE"""),4.0)</f>
        <v>4</v>
      </c>
      <c r="F2002" s="12">
        <f>IFERROR(__xludf.DUMMYFUNCTION("""COMPUTED_VALUE"""),4.0)</f>
        <v>4</v>
      </c>
      <c r="G2002" s="15" t="str">
        <f>IFERROR(__xludf.DUMMYFUNCTION("""COMPUTED_VALUE"""),"Completa")</f>
        <v>Completa</v>
      </c>
      <c r="H2002" s="16" t="str">
        <f t="array" ref="H2002">_xlfn.XLOOKUP(D2002,Productos[ID_Producto],Productos[Nombre_Producto])</f>
        <v>Vino tinto</v>
      </c>
      <c r="I2002" s="17">
        <f t="array" ref="I2002">_xlfn.XLOOKUP(D2002,Productos[ID_Producto],Productos[Precio_Unitario])</f>
        <v>13.54</v>
      </c>
      <c r="J2002" s="17">
        <f t="shared" si="1"/>
        <v>54.16</v>
      </c>
      <c r="K2002" s="16" t="str">
        <f t="array" ref="K2002">_xlfn.XLOOKUP(C2002,Clientes[ID_Cliente],Clientes[Provincia])</f>
        <v>Buenos Aires</v>
      </c>
      <c r="L2002" s="16" t="str">
        <f t="array" ref="L2002">CONCATENATE(_xlfn.XLOOKUP(C2002,Clientes[ID_Cliente],Clientes[Provincia]),", Argentina")</f>
        <v>Buenos Aires, Argentina</v>
      </c>
      <c r="M2002" s="20" t="str">
        <f t="array" ref="M2002">_xlfn.XLOOKUP(F2002,Metodos_De_Pago[ID_Metodo],Metodos_De_Pago[Metodo])</f>
        <v>Mercado Pago</v>
      </c>
      <c r="N2002" s="20" t="str">
        <f t="shared" si="2"/>
        <v>2024 12</v>
      </c>
    </row>
    <row r="2003" ht="22.5" customHeight="1">
      <c r="A2003" s="12">
        <f>IFERROR(__xludf.DUMMYFUNCTION("""COMPUTED_VALUE"""),1084.0)</f>
        <v>1084</v>
      </c>
      <c r="B2003" s="13">
        <f>IFERROR(__xludf.DUMMYFUNCTION("""COMPUTED_VALUE"""),45649.0)</f>
        <v>45649</v>
      </c>
      <c r="C2003" s="12">
        <f>IFERROR(__xludf.DUMMYFUNCTION("""COMPUTED_VALUE"""),70.0)</f>
        <v>70</v>
      </c>
      <c r="D2003" s="12">
        <f>IFERROR(__xludf.DUMMYFUNCTION("""COMPUTED_VALUE"""),14.0)</f>
        <v>14</v>
      </c>
      <c r="E2003" s="12">
        <f>IFERROR(__xludf.DUMMYFUNCTION("""COMPUTED_VALUE"""),4.0)</f>
        <v>4</v>
      </c>
      <c r="F2003" s="12">
        <f>IFERROR(__xludf.DUMMYFUNCTION("""COMPUTED_VALUE"""),4.0)</f>
        <v>4</v>
      </c>
      <c r="G2003" s="15" t="str">
        <f>IFERROR(__xludf.DUMMYFUNCTION("""COMPUTED_VALUE"""),"Completa")</f>
        <v>Completa</v>
      </c>
      <c r="H2003" s="16" t="str">
        <f t="array" ref="H2003">_xlfn.XLOOKUP(D2003,Productos[ID_Producto],Productos[Nombre_Producto])</f>
        <v>Facturas</v>
      </c>
      <c r="I2003" s="17">
        <f t="array" ref="I2003">_xlfn.XLOOKUP(D2003,Productos[ID_Producto],Productos[Precio_Unitario])</f>
        <v>12.36</v>
      </c>
      <c r="J2003" s="17">
        <f t="shared" si="1"/>
        <v>49.44</v>
      </c>
      <c r="K2003" s="16" t="str">
        <f t="array" ref="K2003">_xlfn.XLOOKUP(C2003,Clientes[ID_Cliente],Clientes[Provincia])</f>
        <v>Córdoba</v>
      </c>
      <c r="L2003" s="16" t="str">
        <f t="array" ref="L2003">CONCATENATE(_xlfn.XLOOKUP(C2003,Clientes[ID_Cliente],Clientes[Provincia]),", Argentina")</f>
        <v>Córdoba, Argentina</v>
      </c>
      <c r="M2003" s="20" t="str">
        <f t="array" ref="M2003">_xlfn.XLOOKUP(F2003,Metodos_De_Pago[ID_Metodo],Metodos_De_Pago[Metodo])</f>
        <v>Mercado Pago</v>
      </c>
      <c r="N2003" s="20" t="str">
        <f t="shared" si="2"/>
        <v>2024 12</v>
      </c>
    </row>
    <row r="2004" ht="22.5" customHeight="1">
      <c r="A2004" s="12">
        <f>IFERROR(__xludf.DUMMYFUNCTION("""COMPUTED_VALUE"""),75.0)</f>
        <v>75</v>
      </c>
      <c r="B2004" s="13">
        <f>IFERROR(__xludf.DUMMYFUNCTION("""COMPUTED_VALUE"""),45650.0)</f>
        <v>45650</v>
      </c>
      <c r="C2004" s="12">
        <f>IFERROR(__xludf.DUMMYFUNCTION("""COMPUTED_VALUE"""),200.0)</f>
        <v>200</v>
      </c>
      <c r="D2004" s="12">
        <f>IFERROR(__xludf.DUMMYFUNCTION("""COMPUTED_VALUE"""),35.0)</f>
        <v>35</v>
      </c>
      <c r="E2004" s="12">
        <f>IFERROR(__xludf.DUMMYFUNCTION("""COMPUTED_VALUE"""),4.0)</f>
        <v>4</v>
      </c>
      <c r="F2004" s="12">
        <f>IFERROR(__xludf.DUMMYFUNCTION("""COMPUTED_VALUE"""),4.0)</f>
        <v>4</v>
      </c>
      <c r="G2004" s="15" t="str">
        <f>IFERROR(__xludf.DUMMYFUNCTION("""COMPUTED_VALUE"""),"Completa")</f>
        <v>Completa</v>
      </c>
      <c r="H2004" s="16" t="str">
        <f t="array" ref="H2004">_xlfn.XLOOKUP(D2004,Productos[ID_Producto],Productos[Nombre_Producto])</f>
        <v>Arroz</v>
      </c>
      <c r="I2004" s="17">
        <f t="array" ref="I2004">_xlfn.XLOOKUP(D2004,Productos[ID_Producto],Productos[Precio_Unitario])</f>
        <v>4.25</v>
      </c>
      <c r="J2004" s="17">
        <f t="shared" si="1"/>
        <v>17</v>
      </c>
      <c r="K2004" s="16" t="str">
        <f t="array" ref="K2004">_xlfn.XLOOKUP(C2004,Clientes[ID_Cliente],Clientes[Provincia])</f>
        <v>Córdoba</v>
      </c>
      <c r="L2004" s="16" t="str">
        <f t="array" ref="L2004">CONCATENATE(_xlfn.XLOOKUP(C2004,Clientes[ID_Cliente],Clientes[Provincia]),", Argentina")</f>
        <v>Córdoba, Argentina</v>
      </c>
      <c r="M2004" s="20" t="str">
        <f t="array" ref="M2004">_xlfn.XLOOKUP(F2004,Metodos_De_Pago[ID_Metodo],Metodos_De_Pago[Metodo])</f>
        <v>Mercado Pago</v>
      </c>
      <c r="N2004" s="20" t="str">
        <f t="shared" si="2"/>
        <v>2024 12</v>
      </c>
    </row>
    <row r="2005" ht="22.5" customHeight="1">
      <c r="A2005" s="12">
        <f>IFERROR(__xludf.DUMMYFUNCTION("""COMPUTED_VALUE"""),1736.0)</f>
        <v>1736</v>
      </c>
      <c r="B2005" s="13">
        <f>IFERROR(__xludf.DUMMYFUNCTION("""COMPUTED_VALUE"""),45650.0)</f>
        <v>45650</v>
      </c>
      <c r="C2005" s="12">
        <f>IFERROR(__xludf.DUMMYFUNCTION("""COMPUTED_VALUE"""),192.0)</f>
        <v>192</v>
      </c>
      <c r="D2005" s="12">
        <f>IFERROR(__xludf.DUMMYFUNCTION("""COMPUTED_VALUE"""),23.0)</f>
        <v>23</v>
      </c>
      <c r="E2005" s="12">
        <f>IFERROR(__xludf.DUMMYFUNCTION("""COMPUTED_VALUE"""),4.0)</f>
        <v>4</v>
      </c>
      <c r="F2005" s="12">
        <f>IFERROR(__xludf.DUMMYFUNCTION("""COMPUTED_VALUE"""),1.0)</f>
        <v>1</v>
      </c>
      <c r="G2005" s="15" t="str">
        <f>IFERROR(__xludf.DUMMYFUNCTION("""COMPUTED_VALUE"""),"Completa")</f>
        <v>Completa</v>
      </c>
      <c r="H2005" s="16" t="str">
        <f t="array" ref="H2005">_xlfn.XLOOKUP(D2005,Productos[ID_Producto],Productos[Nombre_Producto])</f>
        <v>Papas fritas</v>
      </c>
      <c r="I2005" s="17">
        <f t="array" ref="I2005">_xlfn.XLOOKUP(D2005,Productos[ID_Producto],Productos[Precio_Unitario])</f>
        <v>8.23</v>
      </c>
      <c r="J2005" s="17">
        <f t="shared" si="1"/>
        <v>32.92</v>
      </c>
      <c r="K2005" s="16" t="str">
        <f t="array" ref="K2005">_xlfn.XLOOKUP(C2005,Clientes[ID_Cliente],Clientes[Provincia])</f>
        <v>San Luis</v>
      </c>
      <c r="L2005" s="16" t="str">
        <f t="array" ref="L2005">CONCATENATE(_xlfn.XLOOKUP(C2005,Clientes[ID_Cliente],Clientes[Provincia]),", Argentina")</f>
        <v>San Luis, Argentina</v>
      </c>
      <c r="M2005" s="20" t="str">
        <f t="array" ref="M2005">_xlfn.XLOOKUP(F2005,Metodos_De_Pago[ID_Metodo],Metodos_De_Pago[Metodo])</f>
        <v>Efectivo</v>
      </c>
      <c r="N2005" s="20" t="str">
        <f t="shared" si="2"/>
        <v>2024 12</v>
      </c>
    </row>
    <row r="2006" ht="22.5" customHeight="1">
      <c r="A2006" s="12">
        <f>IFERROR(__xludf.DUMMYFUNCTION("""COMPUTED_VALUE"""),2518.0)</f>
        <v>2518</v>
      </c>
      <c r="B2006" s="13">
        <f>IFERROR(__xludf.DUMMYFUNCTION("""COMPUTED_VALUE"""),45650.0)</f>
        <v>45650</v>
      </c>
      <c r="C2006" s="12">
        <f>IFERROR(__xludf.DUMMYFUNCTION("""COMPUTED_VALUE"""),107.0)</f>
        <v>107</v>
      </c>
      <c r="D2006" s="12">
        <f>IFERROR(__xludf.DUMMYFUNCTION("""COMPUTED_VALUE"""),10.0)</f>
        <v>10</v>
      </c>
      <c r="E2006" s="12">
        <f>IFERROR(__xludf.DUMMYFUNCTION("""COMPUTED_VALUE"""),4.0)</f>
        <v>4</v>
      </c>
      <c r="F2006" s="12">
        <f>IFERROR(__xludf.DUMMYFUNCTION("""COMPUTED_VALUE"""),4.0)</f>
        <v>4</v>
      </c>
      <c r="G2006" s="15" t="str">
        <f>IFERROR(__xludf.DUMMYFUNCTION("""COMPUTED_VALUE"""),"Completa")</f>
        <v>Completa</v>
      </c>
      <c r="H2006" s="16" t="str">
        <f t="array" ref="H2006">_xlfn.XLOOKUP(D2006,Productos[ID_Producto],Productos[Nombre_Producto])</f>
        <v>Costilla de cerdo</v>
      </c>
      <c r="I2006" s="17">
        <f t="array" ref="I2006">_xlfn.XLOOKUP(D2006,Productos[ID_Producto],Productos[Precio_Unitario])</f>
        <v>14.25</v>
      </c>
      <c r="J2006" s="17">
        <f t="shared" si="1"/>
        <v>57</v>
      </c>
      <c r="K2006" s="16" t="str">
        <f t="array" ref="K2006">_xlfn.XLOOKUP(C2006,Clientes[ID_Cliente],Clientes[Provincia])</f>
        <v>Neuquén</v>
      </c>
      <c r="L2006" s="16" t="str">
        <f t="array" ref="L2006">CONCATENATE(_xlfn.XLOOKUP(C2006,Clientes[ID_Cliente],Clientes[Provincia]),", Argentina")</f>
        <v>Neuquén, Argentina</v>
      </c>
      <c r="M2006" s="20" t="str">
        <f t="array" ref="M2006">_xlfn.XLOOKUP(F2006,Metodos_De_Pago[ID_Metodo],Metodos_De_Pago[Metodo])</f>
        <v>Mercado Pago</v>
      </c>
      <c r="N2006" s="20" t="str">
        <f t="shared" si="2"/>
        <v>2024 12</v>
      </c>
    </row>
    <row r="2007" ht="22.5" customHeight="1">
      <c r="A2007" s="12">
        <f>IFERROR(__xludf.DUMMYFUNCTION("""COMPUTED_VALUE"""),1916.0)</f>
        <v>1916</v>
      </c>
      <c r="B2007" s="13">
        <f>IFERROR(__xludf.DUMMYFUNCTION("""COMPUTED_VALUE"""),45651.0)</f>
        <v>45651</v>
      </c>
      <c r="C2007" s="12">
        <f>IFERROR(__xludf.DUMMYFUNCTION("""COMPUTED_VALUE"""),98.0)</f>
        <v>98</v>
      </c>
      <c r="D2007" s="12">
        <f>IFERROR(__xludf.DUMMYFUNCTION("""COMPUTED_VALUE"""),30.0)</f>
        <v>30</v>
      </c>
      <c r="E2007" s="12">
        <f>IFERROR(__xludf.DUMMYFUNCTION("""COMPUTED_VALUE"""),4.0)</f>
        <v>4</v>
      </c>
      <c r="F2007" s="12">
        <f>IFERROR(__xludf.DUMMYFUNCTION("""COMPUTED_VALUE"""),4.0)</f>
        <v>4</v>
      </c>
      <c r="G2007" s="15" t="str">
        <f>IFERROR(__xludf.DUMMYFUNCTION("""COMPUTED_VALUE"""),"Completa")</f>
        <v>Completa</v>
      </c>
      <c r="H2007" s="16" t="str">
        <f t="array" ref="H2007">_xlfn.XLOOKUP(D2007,Productos[ID_Producto],Productos[Nombre_Producto])</f>
        <v>Vino tinto</v>
      </c>
      <c r="I2007" s="17">
        <f t="array" ref="I2007">_xlfn.XLOOKUP(D2007,Productos[ID_Producto],Productos[Precio_Unitario])</f>
        <v>13.54</v>
      </c>
      <c r="J2007" s="17">
        <f t="shared" si="1"/>
        <v>54.16</v>
      </c>
      <c r="K2007" s="16" t="str">
        <f t="array" ref="K2007">_xlfn.XLOOKUP(C2007,Clientes[ID_Cliente],Clientes[Provincia])</f>
        <v>Córdoba</v>
      </c>
      <c r="L2007" s="16" t="str">
        <f t="array" ref="L2007">CONCATENATE(_xlfn.XLOOKUP(C2007,Clientes[ID_Cliente],Clientes[Provincia]),", Argentina")</f>
        <v>Córdoba, Argentina</v>
      </c>
      <c r="M2007" s="20" t="str">
        <f t="array" ref="M2007">_xlfn.XLOOKUP(F2007,Metodos_De_Pago[ID_Metodo],Metodos_De_Pago[Metodo])</f>
        <v>Mercado Pago</v>
      </c>
      <c r="N2007" s="20" t="str">
        <f t="shared" si="2"/>
        <v>2024 12</v>
      </c>
    </row>
    <row r="2008" ht="22.5" customHeight="1">
      <c r="A2008" s="12">
        <f>IFERROR(__xludf.DUMMYFUNCTION("""COMPUTED_VALUE"""),1241.0)</f>
        <v>1241</v>
      </c>
      <c r="B2008" s="13">
        <f>IFERROR(__xludf.DUMMYFUNCTION("""COMPUTED_VALUE"""),45652.0)</f>
        <v>45652</v>
      </c>
      <c r="C2008" s="12">
        <f>IFERROR(__xludf.DUMMYFUNCTION("""COMPUTED_VALUE"""),82.0)</f>
        <v>82</v>
      </c>
      <c r="D2008" s="12">
        <f>IFERROR(__xludf.DUMMYFUNCTION("""COMPUTED_VALUE"""),8.0)</f>
        <v>8</v>
      </c>
      <c r="E2008" s="12">
        <f>IFERROR(__xludf.DUMMYFUNCTION("""COMPUTED_VALUE"""),4.0)</f>
        <v>4</v>
      </c>
      <c r="F2008" s="12">
        <f>IFERROR(__xludf.DUMMYFUNCTION("""COMPUTED_VALUE"""),1.0)</f>
        <v>1</v>
      </c>
      <c r="G2008" s="15" t="str">
        <f>IFERROR(__xludf.DUMMYFUNCTION("""COMPUTED_VALUE"""),"Completa")</f>
        <v>Completa</v>
      </c>
      <c r="H2008" s="16" t="str">
        <f t="array" ref="H2008">_xlfn.XLOOKUP(D2008,Productos[ID_Producto],Productos[Nombre_Producto])</f>
        <v>Milanesa</v>
      </c>
      <c r="I2008" s="17">
        <f t="array" ref="I2008">_xlfn.XLOOKUP(D2008,Productos[ID_Producto],Productos[Precio_Unitario])</f>
        <v>16.21</v>
      </c>
      <c r="J2008" s="17">
        <f t="shared" si="1"/>
        <v>64.84</v>
      </c>
      <c r="K2008" s="16" t="str">
        <f t="array" ref="K2008">_xlfn.XLOOKUP(C2008,Clientes[ID_Cliente],Clientes[Provincia])</f>
        <v>Buenos Aires</v>
      </c>
      <c r="L2008" s="16" t="str">
        <f t="array" ref="L2008">CONCATENATE(_xlfn.XLOOKUP(C2008,Clientes[ID_Cliente],Clientes[Provincia]),", Argentina")</f>
        <v>Buenos Aires, Argentina</v>
      </c>
      <c r="M2008" s="20" t="str">
        <f t="array" ref="M2008">_xlfn.XLOOKUP(F2008,Metodos_De_Pago[ID_Metodo],Metodos_De_Pago[Metodo])</f>
        <v>Efectivo</v>
      </c>
      <c r="N2008" s="20" t="str">
        <f t="shared" si="2"/>
        <v>2024 12</v>
      </c>
    </row>
    <row r="2009" ht="22.5" customHeight="1">
      <c r="A2009" s="12">
        <f>IFERROR(__xludf.DUMMYFUNCTION("""COMPUTED_VALUE"""),2775.0)</f>
        <v>2775</v>
      </c>
      <c r="B2009" s="13">
        <f>IFERROR(__xludf.DUMMYFUNCTION("""COMPUTED_VALUE"""),45652.0)</f>
        <v>45652</v>
      </c>
      <c r="C2009" s="12">
        <f>IFERROR(__xludf.DUMMYFUNCTION("""COMPUTED_VALUE"""),159.0)</f>
        <v>159</v>
      </c>
      <c r="D2009" s="12">
        <f>IFERROR(__xludf.DUMMYFUNCTION("""COMPUTED_VALUE"""),9.0)</f>
        <v>9</v>
      </c>
      <c r="E2009" s="12">
        <f>IFERROR(__xludf.DUMMYFUNCTION("""COMPUTED_VALUE"""),4.0)</f>
        <v>4</v>
      </c>
      <c r="F2009" s="12">
        <f>IFERROR(__xludf.DUMMYFUNCTION("""COMPUTED_VALUE"""),3.0)</f>
        <v>3</v>
      </c>
      <c r="G2009" s="15" t="str">
        <f>IFERROR(__xludf.DUMMYFUNCTION("""COMPUTED_VALUE"""),"Completa")</f>
        <v>Completa</v>
      </c>
      <c r="H2009" s="16" t="str">
        <f t="array" ref="H2009">_xlfn.XLOOKUP(D2009,Productos[ID_Producto],Productos[Nombre_Producto])</f>
        <v>Pollo</v>
      </c>
      <c r="I2009" s="17">
        <f t="array" ref="I2009">_xlfn.XLOOKUP(D2009,Productos[ID_Producto],Productos[Precio_Unitario])</f>
        <v>18.56</v>
      </c>
      <c r="J2009" s="17">
        <f t="shared" si="1"/>
        <v>74.24</v>
      </c>
      <c r="K2009" s="16" t="str">
        <f t="array" ref="K2009">_xlfn.XLOOKUP(C2009,Clientes[ID_Cliente],Clientes[Provincia])</f>
        <v>Chaco</v>
      </c>
      <c r="L2009" s="16" t="str">
        <f t="array" ref="L2009">CONCATENATE(_xlfn.XLOOKUP(C2009,Clientes[ID_Cliente],Clientes[Provincia]),", Argentina")</f>
        <v>Chaco, Argentina</v>
      </c>
      <c r="M2009" s="20" t="str">
        <f t="array" ref="M2009">_xlfn.XLOOKUP(F2009,Metodos_De_Pago[ID_Metodo],Metodos_De_Pago[Metodo])</f>
        <v>Tarjeta de Débito</v>
      </c>
      <c r="N2009" s="20" t="str">
        <f t="shared" si="2"/>
        <v>2024 12</v>
      </c>
    </row>
    <row r="2010" ht="22.5" customHeight="1">
      <c r="A2010" s="12">
        <f>IFERROR(__xludf.DUMMYFUNCTION("""COMPUTED_VALUE"""),1344.0)</f>
        <v>1344</v>
      </c>
      <c r="B2010" s="13">
        <f>IFERROR(__xludf.DUMMYFUNCTION("""COMPUTED_VALUE"""),45653.0)</f>
        <v>45653</v>
      </c>
      <c r="C2010" s="12">
        <f>IFERROR(__xludf.DUMMYFUNCTION("""COMPUTED_VALUE"""),261.0)</f>
        <v>261</v>
      </c>
      <c r="D2010" s="12">
        <f>IFERROR(__xludf.DUMMYFUNCTION("""COMPUTED_VALUE"""),30.0)</f>
        <v>30</v>
      </c>
      <c r="E2010" s="12">
        <f>IFERROR(__xludf.DUMMYFUNCTION("""COMPUTED_VALUE"""),4.0)</f>
        <v>4</v>
      </c>
      <c r="F2010" s="12">
        <f>IFERROR(__xludf.DUMMYFUNCTION("""COMPUTED_VALUE"""),3.0)</f>
        <v>3</v>
      </c>
      <c r="G2010" s="15" t="str">
        <f>IFERROR(__xludf.DUMMYFUNCTION("""COMPUTED_VALUE"""),"Pendiente")</f>
        <v>Pendiente</v>
      </c>
      <c r="H2010" s="16" t="str">
        <f t="array" ref="H2010">_xlfn.XLOOKUP(D2010,Productos[ID_Producto],Productos[Nombre_Producto])</f>
        <v>Vino tinto</v>
      </c>
      <c r="I2010" s="17">
        <f t="array" ref="I2010">_xlfn.XLOOKUP(D2010,Productos[ID_Producto],Productos[Precio_Unitario])</f>
        <v>13.54</v>
      </c>
      <c r="J2010" s="17">
        <f t="shared" si="1"/>
        <v>54.16</v>
      </c>
      <c r="K2010" s="16" t="str">
        <f t="array" ref="K2010">_xlfn.XLOOKUP(C2010,Clientes[ID_Cliente],Clientes[Provincia])</f>
        <v>Salta</v>
      </c>
      <c r="L2010" s="16" t="str">
        <f t="array" ref="L2010">CONCATENATE(_xlfn.XLOOKUP(C2010,Clientes[ID_Cliente],Clientes[Provincia]),", Argentina")</f>
        <v>Salta, Argentina</v>
      </c>
      <c r="M2010" s="20" t="str">
        <f t="array" ref="M2010">_xlfn.XLOOKUP(F2010,Metodos_De_Pago[ID_Metodo],Metodos_De_Pago[Metodo])</f>
        <v>Tarjeta de Débito</v>
      </c>
      <c r="N2010" s="20" t="str">
        <f t="shared" si="2"/>
        <v>2024 12</v>
      </c>
    </row>
    <row r="2011" ht="22.5" customHeight="1">
      <c r="A2011" s="12">
        <f>IFERROR(__xludf.DUMMYFUNCTION("""COMPUTED_VALUE"""),1104.0)</f>
        <v>1104</v>
      </c>
      <c r="B2011" s="13">
        <f>IFERROR(__xludf.DUMMYFUNCTION("""COMPUTED_VALUE"""),45654.0)</f>
        <v>45654</v>
      </c>
      <c r="C2011" s="12">
        <f>IFERROR(__xludf.DUMMYFUNCTION("""COMPUTED_VALUE"""),176.0)</f>
        <v>176</v>
      </c>
      <c r="D2011" s="12">
        <f>IFERROR(__xludf.DUMMYFUNCTION("""COMPUTED_VALUE"""),6.0)</f>
        <v>6</v>
      </c>
      <c r="E2011" s="12">
        <f>IFERROR(__xludf.DUMMYFUNCTION("""COMPUTED_VALUE"""),4.0)</f>
        <v>4</v>
      </c>
      <c r="F2011" s="12">
        <f>IFERROR(__xludf.DUMMYFUNCTION("""COMPUTED_VALUE"""),2.0)</f>
        <v>2</v>
      </c>
      <c r="G2011" s="15" t="str">
        <f>IFERROR(__xludf.DUMMYFUNCTION("""COMPUTED_VALUE"""),"Completa")</f>
        <v>Completa</v>
      </c>
      <c r="H2011" s="16" t="str">
        <f t="array" ref="H2011">_xlfn.XLOOKUP(D2011,Productos[ID_Producto],Productos[Nombre_Producto])</f>
        <v>Asado</v>
      </c>
      <c r="I2011" s="17">
        <f t="array" ref="I2011">_xlfn.XLOOKUP(D2011,Productos[ID_Producto],Productos[Precio_Unitario])</f>
        <v>28.56</v>
      </c>
      <c r="J2011" s="17">
        <f t="shared" si="1"/>
        <v>114.24</v>
      </c>
      <c r="K2011" s="16" t="str">
        <f t="array" ref="K2011">_xlfn.XLOOKUP(C2011,Clientes[ID_Cliente],Clientes[Provincia])</f>
        <v>Chaco</v>
      </c>
      <c r="L2011" s="16" t="str">
        <f t="array" ref="L2011">CONCATENATE(_xlfn.XLOOKUP(C2011,Clientes[ID_Cliente],Clientes[Provincia]),", Argentina")</f>
        <v>Chaco, Argentina</v>
      </c>
      <c r="M2011" s="20" t="str">
        <f t="array" ref="M2011">_xlfn.XLOOKUP(F2011,Metodos_De_Pago[ID_Metodo],Metodos_De_Pago[Metodo])</f>
        <v>Tarjeta de Crédito</v>
      </c>
      <c r="N2011" s="20" t="str">
        <f t="shared" si="2"/>
        <v>2024 12</v>
      </c>
    </row>
    <row r="2012" ht="22.5" customHeight="1">
      <c r="A2012" s="12">
        <f>IFERROR(__xludf.DUMMYFUNCTION("""COMPUTED_VALUE"""),2472.0)</f>
        <v>2472</v>
      </c>
      <c r="B2012" s="13">
        <f>IFERROR(__xludf.DUMMYFUNCTION("""COMPUTED_VALUE"""),45654.0)</f>
        <v>45654</v>
      </c>
      <c r="C2012" s="12">
        <f>IFERROR(__xludf.DUMMYFUNCTION("""COMPUTED_VALUE"""),236.0)</f>
        <v>236</v>
      </c>
      <c r="D2012" s="12">
        <f>IFERROR(__xludf.DUMMYFUNCTION("""COMPUTED_VALUE"""),26.0)</f>
        <v>26</v>
      </c>
      <c r="E2012" s="12">
        <f>IFERROR(__xludf.DUMMYFUNCTION("""COMPUTED_VALUE"""),4.0)</f>
        <v>4</v>
      </c>
      <c r="F2012" s="12">
        <f>IFERROR(__xludf.DUMMYFUNCTION("""COMPUTED_VALUE"""),2.0)</f>
        <v>2</v>
      </c>
      <c r="G2012" s="15" t="str">
        <f>IFERROR(__xludf.DUMMYFUNCTION("""COMPUTED_VALUE"""),"Completa")</f>
        <v>Completa</v>
      </c>
      <c r="H2012" s="16" t="str">
        <f t="array" ref="H2012">_xlfn.XLOOKUP(D2012,Productos[ID_Producto],Productos[Nombre_Producto])</f>
        <v>Hamburgesas congeladas</v>
      </c>
      <c r="I2012" s="17">
        <f t="array" ref="I2012">_xlfn.XLOOKUP(D2012,Productos[ID_Producto],Productos[Precio_Unitario])</f>
        <v>9.54</v>
      </c>
      <c r="J2012" s="17">
        <f t="shared" si="1"/>
        <v>38.16</v>
      </c>
      <c r="K2012" s="16" t="str">
        <f t="array" ref="K2012">_xlfn.XLOOKUP(C2012,Clientes[ID_Cliente],Clientes[Provincia])</f>
        <v>Buenos Aires</v>
      </c>
      <c r="L2012" s="16" t="str">
        <f t="array" ref="L2012">CONCATENATE(_xlfn.XLOOKUP(C2012,Clientes[ID_Cliente],Clientes[Provincia]),", Argentina")</f>
        <v>Buenos Aires, Argentina</v>
      </c>
      <c r="M2012" s="20" t="str">
        <f t="array" ref="M2012">_xlfn.XLOOKUP(F2012,Metodos_De_Pago[ID_Metodo],Metodos_De_Pago[Metodo])</f>
        <v>Tarjeta de Crédito</v>
      </c>
      <c r="N2012" s="20" t="str">
        <f t="shared" si="2"/>
        <v>2024 12</v>
      </c>
    </row>
    <row r="2013" ht="22.5" customHeight="1">
      <c r="A2013" s="12">
        <f>IFERROR(__xludf.DUMMYFUNCTION("""COMPUTED_VALUE"""),1285.0)</f>
        <v>1285</v>
      </c>
      <c r="B2013" s="13">
        <f>IFERROR(__xludf.DUMMYFUNCTION("""COMPUTED_VALUE"""),45655.0)</f>
        <v>45655</v>
      </c>
      <c r="C2013" s="12">
        <f>IFERROR(__xludf.DUMMYFUNCTION("""COMPUTED_VALUE"""),10.0)</f>
        <v>10</v>
      </c>
      <c r="D2013" s="12">
        <f>IFERROR(__xludf.DUMMYFUNCTION("""COMPUTED_VALUE"""),33.0)</f>
        <v>33</v>
      </c>
      <c r="E2013" s="12">
        <f>IFERROR(__xludf.DUMMYFUNCTION("""COMPUTED_VALUE"""),4.0)</f>
        <v>4</v>
      </c>
      <c r="F2013" s="12">
        <f>IFERROR(__xludf.DUMMYFUNCTION("""COMPUTED_VALUE"""),3.0)</f>
        <v>3</v>
      </c>
      <c r="G2013" s="15" t="str">
        <f>IFERROR(__xludf.DUMMYFUNCTION("""COMPUTED_VALUE"""),"Completa")</f>
        <v>Completa</v>
      </c>
      <c r="H2013" s="16" t="str">
        <f t="array" ref="H2013">_xlfn.XLOOKUP(D2013,Productos[ID_Producto],Productos[Nombre_Producto])</f>
        <v>Papas chips</v>
      </c>
      <c r="I2013" s="17">
        <f t="array" ref="I2013">_xlfn.XLOOKUP(D2013,Productos[ID_Producto],Productos[Precio_Unitario])</f>
        <v>8.54</v>
      </c>
      <c r="J2013" s="17">
        <f t="shared" si="1"/>
        <v>34.16</v>
      </c>
      <c r="K2013" s="16" t="str">
        <f t="array" ref="K2013">_xlfn.XLOOKUP(C2013,Clientes[ID_Cliente],Clientes[Provincia])</f>
        <v>Buenos Aires</v>
      </c>
      <c r="L2013" s="16" t="str">
        <f t="array" ref="L2013">CONCATENATE(_xlfn.XLOOKUP(C2013,Clientes[ID_Cliente],Clientes[Provincia]),", Argentina")</f>
        <v>Buenos Aires, Argentina</v>
      </c>
      <c r="M2013" s="20" t="str">
        <f t="array" ref="M2013">_xlfn.XLOOKUP(F2013,Metodos_De_Pago[ID_Metodo],Metodos_De_Pago[Metodo])</f>
        <v>Tarjeta de Débito</v>
      </c>
      <c r="N2013" s="20" t="str">
        <f t="shared" si="2"/>
        <v>2024 12</v>
      </c>
    </row>
    <row r="2014" ht="22.5" customHeight="1">
      <c r="A2014" s="12">
        <f>IFERROR(__xludf.DUMMYFUNCTION("""COMPUTED_VALUE"""),2446.0)</f>
        <v>2446</v>
      </c>
      <c r="B2014" s="13">
        <f>IFERROR(__xludf.DUMMYFUNCTION("""COMPUTED_VALUE"""),45655.0)</f>
        <v>45655</v>
      </c>
      <c r="C2014" s="12">
        <f>IFERROR(__xludf.DUMMYFUNCTION("""COMPUTED_VALUE"""),302.0)</f>
        <v>302</v>
      </c>
      <c r="D2014" s="12">
        <f>IFERROR(__xludf.DUMMYFUNCTION("""COMPUTED_VALUE"""),8.0)</f>
        <v>8</v>
      </c>
      <c r="E2014" s="12">
        <f>IFERROR(__xludf.DUMMYFUNCTION("""COMPUTED_VALUE"""),4.0)</f>
        <v>4</v>
      </c>
      <c r="F2014" s="12">
        <f>IFERROR(__xludf.DUMMYFUNCTION("""COMPUTED_VALUE"""),3.0)</f>
        <v>3</v>
      </c>
      <c r="G2014" s="15" t="str">
        <f>IFERROR(__xludf.DUMMYFUNCTION("""COMPUTED_VALUE"""),"Completa")</f>
        <v>Completa</v>
      </c>
      <c r="H2014" s="16" t="str">
        <f t="array" ref="H2014">_xlfn.XLOOKUP(D2014,Productos[ID_Producto],Productos[Nombre_Producto])</f>
        <v>Milanesa</v>
      </c>
      <c r="I2014" s="17">
        <f t="array" ref="I2014">_xlfn.XLOOKUP(D2014,Productos[ID_Producto],Productos[Precio_Unitario])</f>
        <v>16.21</v>
      </c>
      <c r="J2014" s="17">
        <f t="shared" si="1"/>
        <v>64.84</v>
      </c>
      <c r="K2014" s="16" t="str">
        <f t="array" ref="K2014">_xlfn.XLOOKUP(C2014,Clientes[ID_Cliente],Clientes[Provincia])</f>
        <v>Neuquén</v>
      </c>
      <c r="L2014" s="16" t="str">
        <f t="array" ref="L2014">CONCATENATE(_xlfn.XLOOKUP(C2014,Clientes[ID_Cliente],Clientes[Provincia]),", Argentina")</f>
        <v>Neuquén, Argentina</v>
      </c>
      <c r="M2014" s="20" t="str">
        <f t="array" ref="M2014">_xlfn.XLOOKUP(F2014,Metodos_De_Pago[ID_Metodo],Metodos_De_Pago[Metodo])</f>
        <v>Tarjeta de Débito</v>
      </c>
      <c r="N2014" s="20" t="str">
        <f t="shared" si="2"/>
        <v>2024 12</v>
      </c>
    </row>
    <row r="2015" ht="22.5" customHeight="1">
      <c r="A2015" s="12">
        <f>IFERROR(__xludf.DUMMYFUNCTION("""COMPUTED_VALUE"""),2792.0)</f>
        <v>2792</v>
      </c>
      <c r="B2015" s="13">
        <f>IFERROR(__xludf.DUMMYFUNCTION("""COMPUTED_VALUE"""),45655.0)</f>
        <v>45655</v>
      </c>
      <c r="C2015" s="12">
        <f>IFERROR(__xludf.DUMMYFUNCTION("""COMPUTED_VALUE"""),109.0)</f>
        <v>109</v>
      </c>
      <c r="D2015" s="12">
        <f>IFERROR(__xludf.DUMMYFUNCTION("""COMPUTED_VALUE"""),34.0)</f>
        <v>34</v>
      </c>
      <c r="E2015" s="12">
        <f>IFERROR(__xludf.DUMMYFUNCTION("""COMPUTED_VALUE"""),4.0)</f>
        <v>4</v>
      </c>
      <c r="F2015" s="12">
        <f>IFERROR(__xludf.DUMMYFUNCTION("""COMPUTED_VALUE"""),4.0)</f>
        <v>4</v>
      </c>
      <c r="G2015" s="15" t="str">
        <f>IFERROR(__xludf.DUMMYFUNCTION("""COMPUTED_VALUE"""),"Pendiente")</f>
        <v>Pendiente</v>
      </c>
      <c r="H2015" s="16" t="str">
        <f t="array" ref="H2015">_xlfn.XLOOKUP(D2015,Productos[ID_Producto],Productos[Nombre_Producto])</f>
        <v>Maníes</v>
      </c>
      <c r="I2015" s="17">
        <f t="array" ref="I2015">_xlfn.XLOOKUP(D2015,Productos[ID_Producto],Productos[Precio_Unitario])</f>
        <v>5.45</v>
      </c>
      <c r="J2015" s="17">
        <f t="shared" si="1"/>
        <v>21.8</v>
      </c>
      <c r="K2015" s="16" t="str">
        <f t="array" ref="K2015">_xlfn.XLOOKUP(C2015,Clientes[ID_Cliente],Clientes[Provincia])</f>
        <v>San Luis</v>
      </c>
      <c r="L2015" s="16" t="str">
        <f t="array" ref="L2015">CONCATENATE(_xlfn.XLOOKUP(C2015,Clientes[ID_Cliente],Clientes[Provincia]),", Argentina")</f>
        <v>San Luis, Argentina</v>
      </c>
      <c r="M2015" s="20" t="str">
        <f t="array" ref="M2015">_xlfn.XLOOKUP(F2015,Metodos_De_Pago[ID_Metodo],Metodos_De_Pago[Metodo])</f>
        <v>Mercado Pago</v>
      </c>
      <c r="N2015" s="20" t="str">
        <f t="shared" si="2"/>
        <v>2024 12</v>
      </c>
    </row>
    <row r="2016" ht="22.5" customHeight="1">
      <c r="A2016" s="12">
        <f>IFERROR(__xludf.DUMMYFUNCTION("""COMPUTED_VALUE"""),919.0)</f>
        <v>919</v>
      </c>
      <c r="B2016" s="13">
        <f>IFERROR(__xludf.DUMMYFUNCTION("""COMPUTED_VALUE"""),45322.0)</f>
        <v>45322</v>
      </c>
      <c r="C2016" s="12">
        <f>IFERROR(__xludf.DUMMYFUNCTION("""COMPUTED_VALUE"""),10.0)</f>
        <v>10</v>
      </c>
      <c r="D2016" s="12">
        <f>IFERROR(__xludf.DUMMYFUNCTION("""COMPUTED_VALUE"""),25.0)</f>
        <v>25</v>
      </c>
      <c r="E2016" s="12">
        <f>IFERROR(__xludf.DUMMYFUNCTION("""COMPUTED_VALUE"""),5.0)</f>
        <v>5</v>
      </c>
      <c r="F2016" s="12">
        <f>IFERROR(__xludf.DUMMYFUNCTION("""COMPUTED_VALUE"""),1.0)</f>
        <v>1</v>
      </c>
      <c r="G2016" s="15" t="str">
        <f>IFERROR(__xludf.DUMMYFUNCTION("""COMPUTED_VALUE"""),"Completa")</f>
        <v>Completa</v>
      </c>
      <c r="H2016" s="16" t="str">
        <f t="array" ref="H2016">_xlfn.XLOOKUP(D2016,Productos[ID_Producto],Productos[Nombre_Producto])</f>
        <v>Pizza congelada</v>
      </c>
      <c r="I2016" s="17">
        <f t="array" ref="I2016">_xlfn.XLOOKUP(D2016,Productos[ID_Producto],Productos[Precio_Unitario])</f>
        <v>15.45</v>
      </c>
      <c r="J2016" s="17">
        <f t="shared" si="1"/>
        <v>77.25</v>
      </c>
      <c r="K2016" s="16" t="str">
        <f t="array" ref="K2016">_xlfn.XLOOKUP(C2016,Clientes[ID_Cliente],Clientes[Provincia])</f>
        <v>Buenos Aires</v>
      </c>
      <c r="L2016" s="16" t="str">
        <f t="array" ref="L2016">CONCATENATE(_xlfn.XLOOKUP(C2016,Clientes[ID_Cliente],Clientes[Provincia]),", Argentina")</f>
        <v>Buenos Aires, Argentina</v>
      </c>
      <c r="M2016" s="20" t="str">
        <f t="array" ref="M2016">_xlfn.XLOOKUP(F2016,Metodos_De_Pago[ID_Metodo],Metodos_De_Pago[Metodo])</f>
        <v>Efectivo</v>
      </c>
      <c r="N2016" s="20" t="str">
        <f t="shared" si="2"/>
        <v>2024 01</v>
      </c>
    </row>
    <row r="2017" ht="22.5" customHeight="1">
      <c r="A2017" s="12">
        <f>IFERROR(__xludf.DUMMYFUNCTION("""COMPUTED_VALUE"""),1607.0)</f>
        <v>1607</v>
      </c>
      <c r="B2017" s="13">
        <f>IFERROR(__xludf.DUMMYFUNCTION("""COMPUTED_VALUE"""),45322.0)</f>
        <v>45322</v>
      </c>
      <c r="C2017" s="12">
        <f>IFERROR(__xludf.DUMMYFUNCTION("""COMPUTED_VALUE"""),114.0)</f>
        <v>114</v>
      </c>
      <c r="D2017" s="12">
        <f>IFERROR(__xludf.DUMMYFUNCTION("""COMPUTED_VALUE"""),15.0)</f>
        <v>15</v>
      </c>
      <c r="E2017" s="12">
        <f>IFERROR(__xludf.DUMMYFUNCTION("""COMPUTED_VALUE"""),5.0)</f>
        <v>5</v>
      </c>
      <c r="F2017" s="12">
        <f>IFERROR(__xludf.DUMMYFUNCTION("""COMPUTED_VALUE"""),1.0)</f>
        <v>1</v>
      </c>
      <c r="G2017" s="15" t="str">
        <f>IFERROR(__xludf.DUMMYFUNCTION("""COMPUTED_VALUE"""),"Completa")</f>
        <v>Completa</v>
      </c>
      <c r="H2017" s="16" t="str">
        <f t="array" ref="H2017">_xlfn.XLOOKUP(D2017,Productos[ID_Producto],Productos[Nombre_Producto])</f>
        <v>Medialunas</v>
      </c>
      <c r="I2017" s="17">
        <f t="array" ref="I2017">_xlfn.XLOOKUP(D2017,Productos[ID_Producto],Productos[Precio_Unitario])</f>
        <v>3.51</v>
      </c>
      <c r="J2017" s="17">
        <f t="shared" si="1"/>
        <v>17.55</v>
      </c>
      <c r="K2017" s="16" t="str">
        <f t="array" ref="K2017">_xlfn.XLOOKUP(C2017,Clientes[ID_Cliente],Clientes[Provincia])</f>
        <v>Córdoba</v>
      </c>
      <c r="L2017" s="16" t="str">
        <f t="array" ref="L2017">CONCATENATE(_xlfn.XLOOKUP(C2017,Clientes[ID_Cliente],Clientes[Provincia]),", Argentina")</f>
        <v>Córdoba, Argentina</v>
      </c>
      <c r="M2017" s="20" t="str">
        <f t="array" ref="M2017">_xlfn.XLOOKUP(F2017,Metodos_De_Pago[ID_Metodo],Metodos_De_Pago[Metodo])</f>
        <v>Efectivo</v>
      </c>
      <c r="N2017" s="20" t="str">
        <f t="shared" si="2"/>
        <v>2024 01</v>
      </c>
    </row>
    <row r="2018" ht="22.5" customHeight="1">
      <c r="A2018" s="12">
        <f>IFERROR(__xludf.DUMMYFUNCTION("""COMPUTED_VALUE"""),2038.0)</f>
        <v>2038</v>
      </c>
      <c r="B2018" s="13">
        <f>IFERROR(__xludf.DUMMYFUNCTION("""COMPUTED_VALUE"""),45322.0)</f>
        <v>45322</v>
      </c>
      <c r="C2018" s="12">
        <f>IFERROR(__xludf.DUMMYFUNCTION("""COMPUTED_VALUE"""),132.0)</f>
        <v>132</v>
      </c>
      <c r="D2018" s="12">
        <f>IFERROR(__xludf.DUMMYFUNCTION("""COMPUTED_VALUE"""),2.0)</f>
        <v>2</v>
      </c>
      <c r="E2018" s="12">
        <f>IFERROR(__xludf.DUMMYFUNCTION("""COMPUTED_VALUE"""),5.0)</f>
        <v>5</v>
      </c>
      <c r="F2018" s="12">
        <f>IFERROR(__xludf.DUMMYFUNCTION("""COMPUTED_VALUE"""),4.0)</f>
        <v>4</v>
      </c>
      <c r="G2018" s="15" t="str">
        <f>IFERROR(__xludf.DUMMYFUNCTION("""COMPUTED_VALUE"""),"Completa")</f>
        <v>Completa</v>
      </c>
      <c r="H2018" s="16" t="str">
        <f t="array" ref="H2018">_xlfn.XLOOKUP(D2018,Productos[ID_Producto],Productos[Nombre_Producto])</f>
        <v>Yogur</v>
      </c>
      <c r="I2018" s="17">
        <f t="array" ref="I2018">_xlfn.XLOOKUP(D2018,Productos[ID_Producto],Productos[Precio_Unitario])</f>
        <v>5.21</v>
      </c>
      <c r="J2018" s="17">
        <f t="shared" si="1"/>
        <v>26.05</v>
      </c>
      <c r="K2018" s="16" t="str">
        <f t="array" ref="K2018">_xlfn.XLOOKUP(C2018,Clientes[ID_Cliente],Clientes[Provincia])</f>
        <v>Buenos Aires</v>
      </c>
      <c r="L2018" s="16" t="str">
        <f t="array" ref="L2018">CONCATENATE(_xlfn.XLOOKUP(C2018,Clientes[ID_Cliente],Clientes[Provincia]),", Argentina")</f>
        <v>Buenos Aires, Argentina</v>
      </c>
      <c r="M2018" s="20" t="str">
        <f t="array" ref="M2018">_xlfn.XLOOKUP(F2018,Metodos_De_Pago[ID_Metodo],Metodos_De_Pago[Metodo])</f>
        <v>Mercado Pago</v>
      </c>
      <c r="N2018" s="20" t="str">
        <f t="shared" si="2"/>
        <v>2024 01</v>
      </c>
    </row>
    <row r="2019" ht="22.5" customHeight="1">
      <c r="A2019" s="12">
        <f>IFERROR(__xludf.DUMMYFUNCTION("""COMPUTED_VALUE"""),1078.0)</f>
        <v>1078</v>
      </c>
      <c r="B2019" s="13">
        <f>IFERROR(__xludf.DUMMYFUNCTION("""COMPUTED_VALUE"""),45324.0)</f>
        <v>45324</v>
      </c>
      <c r="C2019" s="12">
        <f>IFERROR(__xludf.DUMMYFUNCTION("""COMPUTED_VALUE"""),218.0)</f>
        <v>218</v>
      </c>
      <c r="D2019" s="12">
        <f>IFERROR(__xludf.DUMMYFUNCTION("""COMPUTED_VALUE"""),6.0)</f>
        <v>6</v>
      </c>
      <c r="E2019" s="12">
        <f>IFERROR(__xludf.DUMMYFUNCTION("""COMPUTED_VALUE"""),5.0)</f>
        <v>5</v>
      </c>
      <c r="F2019" s="12">
        <f>IFERROR(__xludf.DUMMYFUNCTION("""COMPUTED_VALUE"""),5.0)</f>
        <v>5</v>
      </c>
      <c r="G2019" s="15" t="str">
        <f>IFERROR(__xludf.DUMMYFUNCTION("""COMPUTED_VALUE"""),"Completa")</f>
        <v>Completa</v>
      </c>
      <c r="H2019" s="16" t="str">
        <f t="array" ref="H2019">_xlfn.XLOOKUP(D2019,Productos[ID_Producto],Productos[Nombre_Producto])</f>
        <v>Asado</v>
      </c>
      <c r="I2019" s="17">
        <f t="array" ref="I2019">_xlfn.XLOOKUP(D2019,Productos[ID_Producto],Productos[Precio_Unitario])</f>
        <v>28.56</v>
      </c>
      <c r="J2019" s="17">
        <f t="shared" si="1"/>
        <v>142.8</v>
      </c>
      <c r="K2019" s="16" t="str">
        <f t="array" ref="K2019">_xlfn.XLOOKUP(C2019,Clientes[ID_Cliente],Clientes[Provincia])</f>
        <v>Córdoba</v>
      </c>
      <c r="L2019" s="16" t="str">
        <f t="array" ref="L2019">CONCATENATE(_xlfn.XLOOKUP(C2019,Clientes[ID_Cliente],Clientes[Provincia]),", Argentina")</f>
        <v>Córdoba, Argentina</v>
      </c>
      <c r="M2019" s="20" t="str">
        <f t="array" ref="M2019">_xlfn.XLOOKUP(F2019,Metodos_De_Pago[ID_Metodo],Metodos_De_Pago[Metodo])</f>
        <v>Transferencia</v>
      </c>
      <c r="N2019" s="20" t="str">
        <f t="shared" si="2"/>
        <v>2024 02</v>
      </c>
    </row>
    <row r="2020" ht="22.5" customHeight="1">
      <c r="A2020" s="12">
        <f>IFERROR(__xludf.DUMMYFUNCTION("""COMPUTED_VALUE"""),1221.0)</f>
        <v>1221</v>
      </c>
      <c r="B2020" s="13">
        <f>IFERROR(__xludf.DUMMYFUNCTION("""COMPUTED_VALUE"""),45325.0)</f>
        <v>45325</v>
      </c>
      <c r="C2020" s="12">
        <f>IFERROR(__xludf.DUMMYFUNCTION("""COMPUTED_VALUE"""),251.0)</f>
        <v>251</v>
      </c>
      <c r="D2020" s="12">
        <f>IFERROR(__xludf.DUMMYFUNCTION("""COMPUTED_VALUE"""),10.0)</f>
        <v>10</v>
      </c>
      <c r="E2020" s="12">
        <f>IFERROR(__xludf.DUMMYFUNCTION("""COMPUTED_VALUE"""),5.0)</f>
        <v>5</v>
      </c>
      <c r="F2020" s="12">
        <f>IFERROR(__xludf.DUMMYFUNCTION("""COMPUTED_VALUE"""),5.0)</f>
        <v>5</v>
      </c>
      <c r="G2020" s="15" t="str">
        <f>IFERROR(__xludf.DUMMYFUNCTION("""COMPUTED_VALUE"""),"Pendiente")</f>
        <v>Pendiente</v>
      </c>
      <c r="H2020" s="16" t="str">
        <f t="array" ref="H2020">_xlfn.XLOOKUP(D2020,Productos[ID_Producto],Productos[Nombre_Producto])</f>
        <v>Costilla de cerdo</v>
      </c>
      <c r="I2020" s="17">
        <f t="array" ref="I2020">_xlfn.XLOOKUP(D2020,Productos[ID_Producto],Productos[Precio_Unitario])</f>
        <v>14.25</v>
      </c>
      <c r="J2020" s="17">
        <f t="shared" si="1"/>
        <v>71.25</v>
      </c>
      <c r="K2020" s="16" t="str">
        <f t="array" ref="K2020">_xlfn.XLOOKUP(C2020,Clientes[ID_Cliente],Clientes[Provincia])</f>
        <v>Córdoba</v>
      </c>
      <c r="L2020" s="16" t="str">
        <f t="array" ref="L2020">CONCATENATE(_xlfn.XLOOKUP(C2020,Clientes[ID_Cliente],Clientes[Provincia]),", Argentina")</f>
        <v>Córdoba, Argentina</v>
      </c>
      <c r="M2020" s="20" t="str">
        <f t="array" ref="M2020">_xlfn.XLOOKUP(F2020,Metodos_De_Pago[ID_Metodo],Metodos_De_Pago[Metodo])</f>
        <v>Transferencia</v>
      </c>
      <c r="N2020" s="20" t="str">
        <f t="shared" si="2"/>
        <v>2024 02</v>
      </c>
    </row>
    <row r="2021" ht="22.5" customHeight="1">
      <c r="A2021" s="12">
        <f>IFERROR(__xludf.DUMMYFUNCTION("""COMPUTED_VALUE"""),1967.0)</f>
        <v>1967</v>
      </c>
      <c r="B2021" s="13">
        <f>IFERROR(__xludf.DUMMYFUNCTION("""COMPUTED_VALUE"""),45325.0)</f>
        <v>45325</v>
      </c>
      <c r="C2021" s="12">
        <f>IFERROR(__xludf.DUMMYFUNCTION("""COMPUTED_VALUE"""),32.0)</f>
        <v>32</v>
      </c>
      <c r="D2021" s="12">
        <f>IFERROR(__xludf.DUMMYFUNCTION("""COMPUTED_VALUE"""),7.0)</f>
        <v>7</v>
      </c>
      <c r="E2021" s="12">
        <f>IFERROR(__xludf.DUMMYFUNCTION("""COMPUTED_VALUE"""),5.0)</f>
        <v>5</v>
      </c>
      <c r="F2021" s="12">
        <f>IFERROR(__xludf.DUMMYFUNCTION("""COMPUTED_VALUE"""),4.0)</f>
        <v>4</v>
      </c>
      <c r="G2021" s="15" t="str">
        <f>IFERROR(__xludf.DUMMYFUNCTION("""COMPUTED_VALUE"""),"Completa")</f>
        <v>Completa</v>
      </c>
      <c r="H2021" s="16" t="str">
        <f t="array" ref="H2021">_xlfn.XLOOKUP(D2021,Productos[ID_Producto],Productos[Nombre_Producto])</f>
        <v>Chorizo</v>
      </c>
      <c r="I2021" s="17">
        <f t="array" ref="I2021">_xlfn.XLOOKUP(D2021,Productos[ID_Producto],Productos[Precio_Unitario])</f>
        <v>11.25</v>
      </c>
      <c r="J2021" s="17">
        <f t="shared" si="1"/>
        <v>56.25</v>
      </c>
      <c r="K2021" s="16" t="str">
        <f t="array" ref="K2021">_xlfn.XLOOKUP(C2021,Clientes[ID_Cliente],Clientes[Provincia])</f>
        <v>San Luis</v>
      </c>
      <c r="L2021" s="16" t="str">
        <f t="array" ref="L2021">CONCATENATE(_xlfn.XLOOKUP(C2021,Clientes[ID_Cliente],Clientes[Provincia]),", Argentina")</f>
        <v>San Luis, Argentina</v>
      </c>
      <c r="M2021" s="20" t="str">
        <f t="array" ref="M2021">_xlfn.XLOOKUP(F2021,Metodos_De_Pago[ID_Metodo],Metodos_De_Pago[Metodo])</f>
        <v>Mercado Pago</v>
      </c>
      <c r="N2021" s="20" t="str">
        <f t="shared" si="2"/>
        <v>2024 02</v>
      </c>
    </row>
    <row r="2022" ht="22.5" customHeight="1">
      <c r="A2022" s="12">
        <f>IFERROR(__xludf.DUMMYFUNCTION("""COMPUTED_VALUE"""),503.0)</f>
        <v>503</v>
      </c>
      <c r="B2022" s="13">
        <f>IFERROR(__xludf.DUMMYFUNCTION("""COMPUTED_VALUE"""),45327.0)</f>
        <v>45327</v>
      </c>
      <c r="C2022" s="12">
        <f>IFERROR(__xludf.DUMMYFUNCTION("""COMPUTED_VALUE"""),169.0)</f>
        <v>169</v>
      </c>
      <c r="D2022" s="12">
        <f>IFERROR(__xludf.DUMMYFUNCTION("""COMPUTED_VALUE"""),5.0)</f>
        <v>5</v>
      </c>
      <c r="E2022" s="12">
        <f>IFERROR(__xludf.DUMMYFUNCTION("""COMPUTED_VALUE"""),5.0)</f>
        <v>5</v>
      </c>
      <c r="F2022" s="12">
        <f>IFERROR(__xludf.DUMMYFUNCTION("""COMPUTED_VALUE"""),1.0)</f>
        <v>1</v>
      </c>
      <c r="G2022" s="15" t="str">
        <f>IFERROR(__xludf.DUMMYFUNCTION("""COMPUTED_VALUE"""),"Completa")</f>
        <v>Completa</v>
      </c>
      <c r="H2022" s="16" t="str">
        <f t="array" ref="H2022">_xlfn.XLOOKUP(D2022,Productos[ID_Producto],Productos[Nombre_Producto])</f>
        <v>Manteca</v>
      </c>
      <c r="I2022" s="17">
        <f t="array" ref="I2022">_xlfn.XLOOKUP(D2022,Productos[ID_Producto],Productos[Precio_Unitario])</f>
        <v>5.65</v>
      </c>
      <c r="J2022" s="17">
        <f t="shared" si="1"/>
        <v>28.25</v>
      </c>
      <c r="K2022" s="16" t="str">
        <f t="array" ref="K2022">_xlfn.XLOOKUP(C2022,Clientes[ID_Cliente],Clientes[Provincia])</f>
        <v>Córdoba</v>
      </c>
      <c r="L2022" s="16" t="str">
        <f t="array" ref="L2022">CONCATENATE(_xlfn.XLOOKUP(C2022,Clientes[ID_Cliente],Clientes[Provincia]),", Argentina")</f>
        <v>Córdoba, Argentina</v>
      </c>
      <c r="M2022" s="20" t="str">
        <f t="array" ref="M2022">_xlfn.XLOOKUP(F2022,Metodos_De_Pago[ID_Metodo],Metodos_De_Pago[Metodo])</f>
        <v>Efectivo</v>
      </c>
      <c r="N2022" s="20" t="str">
        <f t="shared" si="2"/>
        <v>2024 02</v>
      </c>
    </row>
    <row r="2023" ht="22.5" customHeight="1">
      <c r="A2023" s="12">
        <f>IFERROR(__xludf.DUMMYFUNCTION("""COMPUTED_VALUE"""),1759.0)</f>
        <v>1759</v>
      </c>
      <c r="B2023" s="13">
        <f>IFERROR(__xludf.DUMMYFUNCTION("""COMPUTED_VALUE"""),45327.0)</f>
        <v>45327</v>
      </c>
      <c r="C2023" s="12">
        <f>IFERROR(__xludf.DUMMYFUNCTION("""COMPUTED_VALUE"""),255.0)</f>
        <v>255</v>
      </c>
      <c r="D2023" s="12">
        <f>IFERROR(__xludf.DUMMYFUNCTION("""COMPUTED_VALUE"""),23.0)</f>
        <v>23</v>
      </c>
      <c r="E2023" s="12">
        <f>IFERROR(__xludf.DUMMYFUNCTION("""COMPUTED_VALUE"""),5.0)</f>
        <v>5</v>
      </c>
      <c r="F2023" s="12">
        <f>IFERROR(__xludf.DUMMYFUNCTION("""COMPUTED_VALUE"""),5.0)</f>
        <v>5</v>
      </c>
      <c r="G2023" s="15" t="str">
        <f>IFERROR(__xludf.DUMMYFUNCTION("""COMPUTED_VALUE"""),"Pendiente")</f>
        <v>Pendiente</v>
      </c>
      <c r="H2023" s="16" t="str">
        <f t="array" ref="H2023">_xlfn.XLOOKUP(D2023,Productos[ID_Producto],Productos[Nombre_Producto])</f>
        <v>Papas fritas</v>
      </c>
      <c r="I2023" s="17">
        <f t="array" ref="I2023">_xlfn.XLOOKUP(D2023,Productos[ID_Producto],Productos[Precio_Unitario])</f>
        <v>8.23</v>
      </c>
      <c r="J2023" s="17">
        <f t="shared" si="1"/>
        <v>41.15</v>
      </c>
      <c r="K2023" s="16" t="str">
        <f t="array" ref="K2023">_xlfn.XLOOKUP(C2023,Clientes[ID_Cliente],Clientes[Provincia])</f>
        <v>Buenos Aires</v>
      </c>
      <c r="L2023" s="16" t="str">
        <f t="array" ref="L2023">CONCATENATE(_xlfn.XLOOKUP(C2023,Clientes[ID_Cliente],Clientes[Provincia]),", Argentina")</f>
        <v>Buenos Aires, Argentina</v>
      </c>
      <c r="M2023" s="20" t="str">
        <f t="array" ref="M2023">_xlfn.XLOOKUP(F2023,Metodos_De_Pago[ID_Metodo],Metodos_De_Pago[Metodo])</f>
        <v>Transferencia</v>
      </c>
      <c r="N2023" s="20" t="str">
        <f t="shared" si="2"/>
        <v>2024 02</v>
      </c>
    </row>
    <row r="2024" ht="22.5" customHeight="1">
      <c r="A2024" s="12">
        <f>IFERROR(__xludf.DUMMYFUNCTION("""COMPUTED_VALUE"""),734.0)</f>
        <v>734</v>
      </c>
      <c r="B2024" s="13">
        <f>IFERROR(__xludf.DUMMYFUNCTION("""COMPUTED_VALUE"""),45330.0)</f>
        <v>45330</v>
      </c>
      <c r="C2024" s="12">
        <f>IFERROR(__xludf.DUMMYFUNCTION("""COMPUTED_VALUE"""),212.0)</f>
        <v>212</v>
      </c>
      <c r="D2024" s="12">
        <f>IFERROR(__xludf.DUMMYFUNCTION("""COMPUTED_VALUE"""),36.0)</f>
        <v>36</v>
      </c>
      <c r="E2024" s="12">
        <f>IFERROR(__xludf.DUMMYFUNCTION("""COMPUTED_VALUE"""),5.0)</f>
        <v>5</v>
      </c>
      <c r="F2024" s="12">
        <f>IFERROR(__xludf.DUMMYFUNCTION("""COMPUTED_VALUE"""),2.0)</f>
        <v>2</v>
      </c>
      <c r="G2024" s="15" t="str">
        <f>IFERROR(__xludf.DUMMYFUNCTION("""COMPUTED_VALUE"""),"Completa")</f>
        <v>Completa</v>
      </c>
      <c r="H2024" s="16" t="str">
        <f t="array" ref="H2024">_xlfn.XLOOKUP(D2024,Productos[ID_Producto],Productos[Nombre_Producto])</f>
        <v>Lentejas</v>
      </c>
      <c r="I2024" s="17">
        <f t="array" ref="I2024">_xlfn.XLOOKUP(D2024,Productos[ID_Producto],Productos[Precio_Unitario])</f>
        <v>3.25</v>
      </c>
      <c r="J2024" s="17">
        <f t="shared" si="1"/>
        <v>16.25</v>
      </c>
      <c r="K2024" s="16" t="str">
        <f t="array" ref="K2024">_xlfn.XLOOKUP(C2024,Clientes[ID_Cliente],Clientes[Provincia])</f>
        <v>Buenos Aires</v>
      </c>
      <c r="L2024" s="16" t="str">
        <f t="array" ref="L2024">CONCATENATE(_xlfn.XLOOKUP(C2024,Clientes[ID_Cliente],Clientes[Provincia]),", Argentina")</f>
        <v>Buenos Aires, Argentina</v>
      </c>
      <c r="M2024" s="20" t="str">
        <f t="array" ref="M2024">_xlfn.XLOOKUP(F2024,Metodos_De_Pago[ID_Metodo],Metodos_De_Pago[Metodo])</f>
        <v>Tarjeta de Crédito</v>
      </c>
      <c r="N2024" s="20" t="str">
        <f t="shared" si="2"/>
        <v>2024 02</v>
      </c>
    </row>
    <row r="2025" ht="22.5" customHeight="1">
      <c r="A2025" s="12">
        <f>IFERROR(__xludf.DUMMYFUNCTION("""COMPUTED_VALUE"""),2947.0)</f>
        <v>2947</v>
      </c>
      <c r="B2025" s="13">
        <f>IFERROR(__xludf.DUMMYFUNCTION("""COMPUTED_VALUE"""),45331.0)</f>
        <v>45331</v>
      </c>
      <c r="C2025" s="12">
        <f>IFERROR(__xludf.DUMMYFUNCTION("""COMPUTED_VALUE"""),28.0)</f>
        <v>28</v>
      </c>
      <c r="D2025" s="12">
        <f>IFERROR(__xludf.DUMMYFUNCTION("""COMPUTED_VALUE"""),6.0)</f>
        <v>6</v>
      </c>
      <c r="E2025" s="12">
        <f>IFERROR(__xludf.DUMMYFUNCTION("""COMPUTED_VALUE"""),5.0)</f>
        <v>5</v>
      </c>
      <c r="F2025" s="12">
        <f>IFERROR(__xludf.DUMMYFUNCTION("""COMPUTED_VALUE"""),4.0)</f>
        <v>4</v>
      </c>
      <c r="G2025" s="15" t="str">
        <f>IFERROR(__xludf.DUMMYFUNCTION("""COMPUTED_VALUE"""),"Pendiente")</f>
        <v>Pendiente</v>
      </c>
      <c r="H2025" s="16" t="str">
        <f t="array" ref="H2025">_xlfn.XLOOKUP(D2025,Productos[ID_Producto],Productos[Nombre_Producto])</f>
        <v>Asado</v>
      </c>
      <c r="I2025" s="17">
        <f t="array" ref="I2025">_xlfn.XLOOKUP(D2025,Productos[ID_Producto],Productos[Precio_Unitario])</f>
        <v>28.56</v>
      </c>
      <c r="J2025" s="17">
        <f t="shared" si="1"/>
        <v>142.8</v>
      </c>
      <c r="K2025" s="16" t="str">
        <f t="array" ref="K2025">_xlfn.XLOOKUP(C2025,Clientes[ID_Cliente],Clientes[Provincia])</f>
        <v>Chaco</v>
      </c>
      <c r="L2025" s="16" t="str">
        <f t="array" ref="L2025">CONCATENATE(_xlfn.XLOOKUP(C2025,Clientes[ID_Cliente],Clientes[Provincia]),", Argentina")</f>
        <v>Chaco, Argentina</v>
      </c>
      <c r="M2025" s="20" t="str">
        <f t="array" ref="M2025">_xlfn.XLOOKUP(F2025,Metodos_De_Pago[ID_Metodo],Metodos_De_Pago[Metodo])</f>
        <v>Mercado Pago</v>
      </c>
      <c r="N2025" s="20" t="str">
        <f t="shared" si="2"/>
        <v>2024 02</v>
      </c>
    </row>
    <row r="2026" ht="22.5" customHeight="1">
      <c r="A2026" s="12">
        <f>IFERROR(__xludf.DUMMYFUNCTION("""COMPUTED_VALUE"""),995.0)</f>
        <v>995</v>
      </c>
      <c r="B2026" s="13">
        <f>IFERROR(__xludf.DUMMYFUNCTION("""COMPUTED_VALUE"""),45333.0)</f>
        <v>45333</v>
      </c>
      <c r="C2026" s="12">
        <f>IFERROR(__xludf.DUMMYFUNCTION("""COMPUTED_VALUE"""),224.0)</f>
        <v>224</v>
      </c>
      <c r="D2026" s="12">
        <f>IFERROR(__xludf.DUMMYFUNCTION("""COMPUTED_VALUE"""),13.0)</f>
        <v>13</v>
      </c>
      <c r="E2026" s="12">
        <f>IFERROR(__xludf.DUMMYFUNCTION("""COMPUTED_VALUE"""),5.0)</f>
        <v>5</v>
      </c>
      <c r="F2026" s="12">
        <f>IFERROR(__xludf.DUMMYFUNCTION("""COMPUTED_VALUE"""),5.0)</f>
        <v>5</v>
      </c>
      <c r="G2026" s="15" t="str">
        <f>IFERROR(__xludf.DUMMYFUNCTION("""COMPUTED_VALUE"""),"Completa")</f>
        <v>Completa</v>
      </c>
      <c r="H2026" s="16" t="str">
        <f t="array" ref="H2026">_xlfn.XLOOKUP(D2026,Productos[ID_Producto],Productos[Nombre_Producto])</f>
        <v>Pan integral</v>
      </c>
      <c r="I2026" s="17">
        <f t="array" ref="I2026">_xlfn.XLOOKUP(D2026,Productos[ID_Producto],Productos[Precio_Unitario])</f>
        <v>12.56</v>
      </c>
      <c r="J2026" s="17">
        <f t="shared" si="1"/>
        <v>62.8</v>
      </c>
      <c r="K2026" s="16" t="str">
        <f t="array" ref="K2026">_xlfn.XLOOKUP(C2026,Clientes[ID_Cliente],Clientes[Provincia])</f>
        <v>San Luis</v>
      </c>
      <c r="L2026" s="16" t="str">
        <f t="array" ref="L2026">CONCATENATE(_xlfn.XLOOKUP(C2026,Clientes[ID_Cliente],Clientes[Provincia]),", Argentina")</f>
        <v>San Luis, Argentina</v>
      </c>
      <c r="M2026" s="20" t="str">
        <f t="array" ref="M2026">_xlfn.XLOOKUP(F2026,Metodos_De_Pago[ID_Metodo],Metodos_De_Pago[Metodo])</f>
        <v>Transferencia</v>
      </c>
      <c r="N2026" s="20" t="str">
        <f t="shared" si="2"/>
        <v>2024 02</v>
      </c>
    </row>
    <row r="2027" ht="22.5" customHeight="1">
      <c r="A2027" s="12">
        <f>IFERROR(__xludf.DUMMYFUNCTION("""COMPUTED_VALUE"""),2642.0)</f>
        <v>2642</v>
      </c>
      <c r="B2027" s="13">
        <f>IFERROR(__xludf.DUMMYFUNCTION("""COMPUTED_VALUE"""),45333.0)</f>
        <v>45333</v>
      </c>
      <c r="C2027" s="12">
        <f>IFERROR(__xludf.DUMMYFUNCTION("""COMPUTED_VALUE"""),54.0)</f>
        <v>54</v>
      </c>
      <c r="D2027" s="12">
        <f>IFERROR(__xludf.DUMMYFUNCTION("""COMPUTED_VALUE"""),37.0)</f>
        <v>37</v>
      </c>
      <c r="E2027" s="12">
        <f>IFERROR(__xludf.DUMMYFUNCTION("""COMPUTED_VALUE"""),5.0)</f>
        <v>5</v>
      </c>
      <c r="F2027" s="12">
        <f>IFERROR(__xludf.DUMMYFUNCTION("""COMPUTED_VALUE"""),4.0)</f>
        <v>4</v>
      </c>
      <c r="G2027" s="15" t="str">
        <f>IFERROR(__xludf.DUMMYFUNCTION("""COMPUTED_VALUE"""),"Completa")</f>
        <v>Completa</v>
      </c>
      <c r="H2027" s="16" t="str">
        <f t="array" ref="H2027">_xlfn.XLOOKUP(D2027,Productos[ID_Producto],Productos[Nombre_Producto])</f>
        <v>Garbanzos</v>
      </c>
      <c r="I2027" s="17">
        <f t="array" ref="I2027">_xlfn.XLOOKUP(D2027,Productos[ID_Producto],Productos[Precio_Unitario])</f>
        <v>3.65</v>
      </c>
      <c r="J2027" s="17">
        <f t="shared" si="1"/>
        <v>18.25</v>
      </c>
      <c r="K2027" s="16" t="str">
        <f t="array" ref="K2027">_xlfn.XLOOKUP(C2027,Clientes[ID_Cliente],Clientes[Provincia])</f>
        <v>Buenos Aires</v>
      </c>
      <c r="L2027" s="16" t="str">
        <f t="array" ref="L2027">CONCATENATE(_xlfn.XLOOKUP(C2027,Clientes[ID_Cliente],Clientes[Provincia]),", Argentina")</f>
        <v>Buenos Aires, Argentina</v>
      </c>
      <c r="M2027" s="20" t="str">
        <f t="array" ref="M2027">_xlfn.XLOOKUP(F2027,Metodos_De_Pago[ID_Metodo],Metodos_De_Pago[Metodo])</f>
        <v>Mercado Pago</v>
      </c>
      <c r="N2027" s="20" t="str">
        <f t="shared" si="2"/>
        <v>2024 02</v>
      </c>
    </row>
    <row r="2028" ht="22.5" customHeight="1">
      <c r="A2028" s="12">
        <f>IFERROR(__xludf.DUMMYFUNCTION("""COMPUTED_VALUE"""),1271.0)</f>
        <v>1271</v>
      </c>
      <c r="B2028" s="13">
        <f>IFERROR(__xludf.DUMMYFUNCTION("""COMPUTED_VALUE"""),45336.0)</f>
        <v>45336</v>
      </c>
      <c r="C2028" s="12">
        <f>IFERROR(__xludf.DUMMYFUNCTION("""COMPUTED_VALUE"""),190.0)</f>
        <v>190</v>
      </c>
      <c r="D2028" s="12">
        <f>IFERROR(__xludf.DUMMYFUNCTION("""COMPUTED_VALUE"""),27.0)</f>
        <v>27</v>
      </c>
      <c r="E2028" s="12">
        <f>IFERROR(__xludf.DUMMYFUNCTION("""COMPUTED_VALUE"""),5.0)</f>
        <v>5</v>
      </c>
      <c r="F2028" s="12">
        <f>IFERROR(__xludf.DUMMYFUNCTION("""COMPUTED_VALUE"""),3.0)</f>
        <v>3</v>
      </c>
      <c r="G2028" s="15" t="str">
        <f>IFERROR(__xludf.DUMMYFUNCTION("""COMPUTED_VALUE"""),"Completa")</f>
        <v>Completa</v>
      </c>
      <c r="H2028" s="16" t="str">
        <f t="array" ref="H2028">_xlfn.XLOOKUP(D2028,Productos[ID_Producto],Productos[Nombre_Producto])</f>
        <v>Agua mineral</v>
      </c>
      <c r="I2028" s="17">
        <f t="array" ref="I2028">_xlfn.XLOOKUP(D2028,Productos[ID_Producto],Productos[Precio_Unitario])</f>
        <v>6.21</v>
      </c>
      <c r="J2028" s="17">
        <f t="shared" si="1"/>
        <v>31.05</v>
      </c>
      <c r="K2028" s="16" t="str">
        <f t="array" ref="K2028">_xlfn.XLOOKUP(C2028,Clientes[ID_Cliente],Clientes[Provincia])</f>
        <v>Chaco</v>
      </c>
      <c r="L2028" s="16" t="str">
        <f t="array" ref="L2028">CONCATENATE(_xlfn.XLOOKUP(C2028,Clientes[ID_Cliente],Clientes[Provincia]),", Argentina")</f>
        <v>Chaco, Argentina</v>
      </c>
      <c r="M2028" s="20" t="str">
        <f t="array" ref="M2028">_xlfn.XLOOKUP(F2028,Metodos_De_Pago[ID_Metodo],Metodos_De_Pago[Metodo])</f>
        <v>Tarjeta de Débito</v>
      </c>
      <c r="N2028" s="20" t="str">
        <f t="shared" si="2"/>
        <v>2024 02</v>
      </c>
    </row>
    <row r="2029" ht="22.5" customHeight="1">
      <c r="A2029" s="12">
        <f>IFERROR(__xludf.DUMMYFUNCTION("""COMPUTED_VALUE"""),2763.0)</f>
        <v>2763</v>
      </c>
      <c r="B2029" s="13">
        <f>IFERROR(__xludf.DUMMYFUNCTION("""COMPUTED_VALUE"""),45336.0)</f>
        <v>45336</v>
      </c>
      <c r="C2029" s="12">
        <f>IFERROR(__xludf.DUMMYFUNCTION("""COMPUTED_VALUE"""),273.0)</f>
        <v>273</v>
      </c>
      <c r="D2029" s="12">
        <f>IFERROR(__xludf.DUMMYFUNCTION("""COMPUTED_VALUE"""),21.0)</f>
        <v>21</v>
      </c>
      <c r="E2029" s="12">
        <f>IFERROR(__xludf.DUMMYFUNCTION("""COMPUTED_VALUE"""),5.0)</f>
        <v>5</v>
      </c>
      <c r="F2029" s="12">
        <f>IFERROR(__xludf.DUMMYFUNCTION("""COMPUTED_VALUE"""),5.0)</f>
        <v>5</v>
      </c>
      <c r="G2029" s="15" t="str">
        <f>IFERROR(__xludf.DUMMYFUNCTION("""COMPUTED_VALUE"""),"Completa")</f>
        <v>Completa</v>
      </c>
      <c r="H2029" s="16" t="str">
        <f t="array" ref="H2029">_xlfn.XLOOKUP(D2029,Productos[ID_Producto],Productos[Nombre_Producto])</f>
        <v>Zanahorias</v>
      </c>
      <c r="I2029" s="17">
        <f t="array" ref="I2029">_xlfn.XLOOKUP(D2029,Productos[ID_Producto],Productos[Precio_Unitario])</f>
        <v>3.25</v>
      </c>
      <c r="J2029" s="17">
        <f t="shared" si="1"/>
        <v>16.25</v>
      </c>
      <c r="K2029" s="16" t="str">
        <f t="array" ref="K2029">_xlfn.XLOOKUP(C2029,Clientes[ID_Cliente],Clientes[Provincia])</f>
        <v>San Luis</v>
      </c>
      <c r="L2029" s="16" t="str">
        <f t="array" ref="L2029">CONCATENATE(_xlfn.XLOOKUP(C2029,Clientes[ID_Cliente],Clientes[Provincia]),", Argentina")</f>
        <v>San Luis, Argentina</v>
      </c>
      <c r="M2029" s="20" t="str">
        <f t="array" ref="M2029">_xlfn.XLOOKUP(F2029,Metodos_De_Pago[ID_Metodo],Metodos_De_Pago[Metodo])</f>
        <v>Transferencia</v>
      </c>
      <c r="N2029" s="20" t="str">
        <f t="shared" si="2"/>
        <v>2024 02</v>
      </c>
    </row>
    <row r="2030" ht="22.5" customHeight="1">
      <c r="A2030" s="12">
        <f>IFERROR(__xludf.DUMMYFUNCTION("""COMPUTED_VALUE"""),2801.0)</f>
        <v>2801</v>
      </c>
      <c r="B2030" s="13">
        <f>IFERROR(__xludf.DUMMYFUNCTION("""COMPUTED_VALUE"""),45336.0)</f>
        <v>45336</v>
      </c>
      <c r="C2030" s="12">
        <f>IFERROR(__xludf.DUMMYFUNCTION("""COMPUTED_VALUE"""),105.0)</f>
        <v>105</v>
      </c>
      <c r="D2030" s="12">
        <f>IFERROR(__xludf.DUMMYFUNCTION("""COMPUTED_VALUE"""),17.0)</f>
        <v>17</v>
      </c>
      <c r="E2030" s="12">
        <f>IFERROR(__xludf.DUMMYFUNCTION("""COMPUTED_VALUE"""),5.0)</f>
        <v>5</v>
      </c>
      <c r="F2030" s="12">
        <f>IFERROR(__xludf.DUMMYFUNCTION("""COMPUTED_VALUE"""),3.0)</f>
        <v>3</v>
      </c>
      <c r="G2030" s="15" t="str">
        <f>IFERROR(__xludf.DUMMYFUNCTION("""COMPUTED_VALUE"""),"Completa")</f>
        <v>Completa</v>
      </c>
      <c r="H2030" s="16" t="str">
        <f t="array" ref="H2030">_xlfn.XLOOKUP(D2030,Productos[ID_Producto],Productos[Nombre_Producto])</f>
        <v>Manzanas</v>
      </c>
      <c r="I2030" s="17">
        <f t="array" ref="I2030">_xlfn.XLOOKUP(D2030,Productos[ID_Producto],Productos[Precio_Unitario])</f>
        <v>6.54</v>
      </c>
      <c r="J2030" s="17">
        <f t="shared" si="1"/>
        <v>32.7</v>
      </c>
      <c r="K2030" s="16" t="str">
        <f t="array" ref="K2030">_xlfn.XLOOKUP(C2030,Clientes[ID_Cliente],Clientes[Provincia])</f>
        <v>Buenos Aires</v>
      </c>
      <c r="L2030" s="16" t="str">
        <f t="array" ref="L2030">CONCATENATE(_xlfn.XLOOKUP(C2030,Clientes[ID_Cliente],Clientes[Provincia]),", Argentina")</f>
        <v>Buenos Aires, Argentina</v>
      </c>
      <c r="M2030" s="20" t="str">
        <f t="array" ref="M2030">_xlfn.XLOOKUP(F2030,Metodos_De_Pago[ID_Metodo],Metodos_De_Pago[Metodo])</f>
        <v>Tarjeta de Débito</v>
      </c>
      <c r="N2030" s="20" t="str">
        <f t="shared" si="2"/>
        <v>2024 02</v>
      </c>
    </row>
    <row r="2031" ht="22.5" customHeight="1">
      <c r="A2031" s="12">
        <f>IFERROR(__xludf.DUMMYFUNCTION("""COMPUTED_VALUE"""),34.0)</f>
        <v>34</v>
      </c>
      <c r="B2031" s="13">
        <f>IFERROR(__xludf.DUMMYFUNCTION("""COMPUTED_VALUE"""),45337.0)</f>
        <v>45337</v>
      </c>
      <c r="C2031" s="12">
        <f>IFERROR(__xludf.DUMMYFUNCTION("""COMPUTED_VALUE"""),325.0)</f>
        <v>325</v>
      </c>
      <c r="D2031" s="12">
        <f>IFERROR(__xludf.DUMMYFUNCTION("""COMPUTED_VALUE"""),35.0)</f>
        <v>35</v>
      </c>
      <c r="E2031" s="12">
        <f>IFERROR(__xludf.DUMMYFUNCTION("""COMPUTED_VALUE"""),5.0)</f>
        <v>5</v>
      </c>
      <c r="F2031" s="12">
        <f>IFERROR(__xludf.DUMMYFUNCTION("""COMPUTED_VALUE"""),2.0)</f>
        <v>2</v>
      </c>
      <c r="G2031" s="15" t="str">
        <f>IFERROR(__xludf.DUMMYFUNCTION("""COMPUTED_VALUE"""),"Completa")</f>
        <v>Completa</v>
      </c>
      <c r="H2031" s="16" t="str">
        <f t="array" ref="H2031">_xlfn.XLOOKUP(D2031,Productos[ID_Producto],Productos[Nombre_Producto])</f>
        <v>Arroz</v>
      </c>
      <c r="I2031" s="17">
        <f t="array" ref="I2031">_xlfn.XLOOKUP(D2031,Productos[ID_Producto],Productos[Precio_Unitario])</f>
        <v>4.25</v>
      </c>
      <c r="J2031" s="17">
        <f t="shared" si="1"/>
        <v>21.25</v>
      </c>
      <c r="K2031" s="16" t="str">
        <f t="array" ref="K2031">_xlfn.XLOOKUP(C2031,Clientes[ID_Cliente],Clientes[Provincia])</f>
        <v>Chaco</v>
      </c>
      <c r="L2031" s="16" t="str">
        <f t="array" ref="L2031">CONCATENATE(_xlfn.XLOOKUP(C2031,Clientes[ID_Cliente],Clientes[Provincia]),", Argentina")</f>
        <v>Chaco, Argentina</v>
      </c>
      <c r="M2031" s="20" t="str">
        <f t="array" ref="M2031">_xlfn.XLOOKUP(F2031,Metodos_De_Pago[ID_Metodo],Metodos_De_Pago[Metodo])</f>
        <v>Tarjeta de Crédito</v>
      </c>
      <c r="N2031" s="20" t="str">
        <f t="shared" si="2"/>
        <v>2024 02</v>
      </c>
    </row>
    <row r="2032" ht="22.5" customHeight="1">
      <c r="A2032" s="12">
        <f>IFERROR(__xludf.DUMMYFUNCTION("""COMPUTED_VALUE"""),2214.0)</f>
        <v>2214</v>
      </c>
      <c r="B2032" s="13">
        <f>IFERROR(__xludf.DUMMYFUNCTION("""COMPUTED_VALUE"""),45337.0)</f>
        <v>45337</v>
      </c>
      <c r="C2032" s="12">
        <f>IFERROR(__xludf.DUMMYFUNCTION("""COMPUTED_VALUE"""),187.0)</f>
        <v>187</v>
      </c>
      <c r="D2032" s="12">
        <f>IFERROR(__xludf.DUMMYFUNCTION("""COMPUTED_VALUE"""),7.0)</f>
        <v>7</v>
      </c>
      <c r="E2032" s="12">
        <f>IFERROR(__xludf.DUMMYFUNCTION("""COMPUTED_VALUE"""),5.0)</f>
        <v>5</v>
      </c>
      <c r="F2032" s="12">
        <f>IFERROR(__xludf.DUMMYFUNCTION("""COMPUTED_VALUE"""),5.0)</f>
        <v>5</v>
      </c>
      <c r="G2032" s="15" t="str">
        <f>IFERROR(__xludf.DUMMYFUNCTION("""COMPUTED_VALUE"""),"Completa")</f>
        <v>Completa</v>
      </c>
      <c r="H2032" s="16" t="str">
        <f t="array" ref="H2032">_xlfn.XLOOKUP(D2032,Productos[ID_Producto],Productos[Nombre_Producto])</f>
        <v>Chorizo</v>
      </c>
      <c r="I2032" s="17">
        <f t="array" ref="I2032">_xlfn.XLOOKUP(D2032,Productos[ID_Producto],Productos[Precio_Unitario])</f>
        <v>11.25</v>
      </c>
      <c r="J2032" s="17">
        <f t="shared" si="1"/>
        <v>56.25</v>
      </c>
      <c r="K2032" s="16" t="str">
        <f t="array" ref="K2032">_xlfn.XLOOKUP(C2032,Clientes[ID_Cliente],Clientes[Provincia])</f>
        <v>Buenos Aires</v>
      </c>
      <c r="L2032" s="16" t="str">
        <f t="array" ref="L2032">CONCATENATE(_xlfn.XLOOKUP(C2032,Clientes[ID_Cliente],Clientes[Provincia]),", Argentina")</f>
        <v>Buenos Aires, Argentina</v>
      </c>
      <c r="M2032" s="20" t="str">
        <f t="array" ref="M2032">_xlfn.XLOOKUP(F2032,Metodos_De_Pago[ID_Metodo],Metodos_De_Pago[Metodo])</f>
        <v>Transferencia</v>
      </c>
      <c r="N2032" s="20" t="str">
        <f t="shared" si="2"/>
        <v>2024 02</v>
      </c>
    </row>
    <row r="2033" ht="22.5" customHeight="1">
      <c r="A2033" s="12">
        <f>IFERROR(__xludf.DUMMYFUNCTION("""COMPUTED_VALUE"""),641.0)</f>
        <v>641</v>
      </c>
      <c r="B2033" s="13">
        <f>IFERROR(__xludf.DUMMYFUNCTION("""COMPUTED_VALUE"""),45338.0)</f>
        <v>45338</v>
      </c>
      <c r="C2033" s="12">
        <f>IFERROR(__xludf.DUMMYFUNCTION("""COMPUTED_VALUE"""),184.0)</f>
        <v>184</v>
      </c>
      <c r="D2033" s="12">
        <f>IFERROR(__xludf.DUMMYFUNCTION("""COMPUTED_VALUE"""),17.0)</f>
        <v>17</v>
      </c>
      <c r="E2033" s="12">
        <f>IFERROR(__xludf.DUMMYFUNCTION("""COMPUTED_VALUE"""),5.0)</f>
        <v>5</v>
      </c>
      <c r="F2033" s="12">
        <f>IFERROR(__xludf.DUMMYFUNCTION("""COMPUTED_VALUE"""),5.0)</f>
        <v>5</v>
      </c>
      <c r="G2033" s="15" t="str">
        <f>IFERROR(__xludf.DUMMYFUNCTION("""COMPUTED_VALUE"""),"Completa")</f>
        <v>Completa</v>
      </c>
      <c r="H2033" s="16" t="str">
        <f t="array" ref="H2033">_xlfn.XLOOKUP(D2033,Productos[ID_Producto],Productos[Nombre_Producto])</f>
        <v>Manzanas</v>
      </c>
      <c r="I2033" s="17">
        <f t="array" ref="I2033">_xlfn.XLOOKUP(D2033,Productos[ID_Producto],Productos[Precio_Unitario])</f>
        <v>6.54</v>
      </c>
      <c r="J2033" s="17">
        <f t="shared" si="1"/>
        <v>32.7</v>
      </c>
      <c r="K2033" s="16" t="str">
        <f t="array" ref="K2033">_xlfn.XLOOKUP(C2033,Clientes[ID_Cliente],Clientes[Provincia])</f>
        <v>Buenos Aires</v>
      </c>
      <c r="L2033" s="16" t="str">
        <f t="array" ref="L2033">CONCATENATE(_xlfn.XLOOKUP(C2033,Clientes[ID_Cliente],Clientes[Provincia]),", Argentina")</f>
        <v>Buenos Aires, Argentina</v>
      </c>
      <c r="M2033" s="20" t="str">
        <f t="array" ref="M2033">_xlfn.XLOOKUP(F2033,Metodos_De_Pago[ID_Metodo],Metodos_De_Pago[Metodo])</f>
        <v>Transferencia</v>
      </c>
      <c r="N2033" s="20" t="str">
        <f t="shared" si="2"/>
        <v>2024 02</v>
      </c>
    </row>
    <row r="2034" ht="22.5" customHeight="1">
      <c r="A2034" s="12">
        <f>IFERROR(__xludf.DUMMYFUNCTION("""COMPUTED_VALUE"""),1263.0)</f>
        <v>1263</v>
      </c>
      <c r="B2034" s="13">
        <f>IFERROR(__xludf.DUMMYFUNCTION("""COMPUTED_VALUE"""),45338.0)</f>
        <v>45338</v>
      </c>
      <c r="C2034" s="12">
        <f>IFERROR(__xludf.DUMMYFUNCTION("""COMPUTED_VALUE"""),48.0)</f>
        <v>48</v>
      </c>
      <c r="D2034" s="12">
        <f>IFERROR(__xludf.DUMMYFUNCTION("""COMPUTED_VALUE"""),38.0)</f>
        <v>38</v>
      </c>
      <c r="E2034" s="12">
        <f>IFERROR(__xludf.DUMMYFUNCTION("""COMPUTED_VALUE"""),5.0)</f>
        <v>5</v>
      </c>
      <c r="F2034" s="12">
        <f>IFERROR(__xludf.DUMMYFUNCTION("""COMPUTED_VALUE"""),3.0)</f>
        <v>3</v>
      </c>
      <c r="G2034" s="15" t="str">
        <f>IFERROR(__xludf.DUMMYFUNCTION("""COMPUTED_VALUE"""),"Completa")</f>
        <v>Completa</v>
      </c>
      <c r="H2034" s="16" t="str">
        <f t="array" ref="H2034">_xlfn.XLOOKUP(D2034,Productos[ID_Producto],Productos[Nombre_Producto])</f>
        <v>Atún enlatado</v>
      </c>
      <c r="I2034" s="17">
        <f t="array" ref="I2034">_xlfn.XLOOKUP(D2034,Productos[ID_Producto],Productos[Precio_Unitario])</f>
        <v>6.21</v>
      </c>
      <c r="J2034" s="17">
        <f t="shared" si="1"/>
        <v>31.05</v>
      </c>
      <c r="K2034" s="16" t="str">
        <f t="array" ref="K2034">_xlfn.XLOOKUP(C2034,Clientes[ID_Cliente],Clientes[Provincia])</f>
        <v>Neuquén</v>
      </c>
      <c r="L2034" s="16" t="str">
        <f t="array" ref="L2034">CONCATENATE(_xlfn.XLOOKUP(C2034,Clientes[ID_Cliente],Clientes[Provincia]),", Argentina")</f>
        <v>Neuquén, Argentina</v>
      </c>
      <c r="M2034" s="20" t="str">
        <f t="array" ref="M2034">_xlfn.XLOOKUP(F2034,Metodos_De_Pago[ID_Metodo],Metodos_De_Pago[Metodo])</f>
        <v>Tarjeta de Débito</v>
      </c>
      <c r="N2034" s="20" t="str">
        <f t="shared" si="2"/>
        <v>2024 02</v>
      </c>
    </row>
    <row r="2035" ht="22.5" customHeight="1">
      <c r="A2035" s="12">
        <f>IFERROR(__xludf.DUMMYFUNCTION("""COMPUTED_VALUE"""),572.0)</f>
        <v>572</v>
      </c>
      <c r="B2035" s="13">
        <f>IFERROR(__xludf.DUMMYFUNCTION("""COMPUTED_VALUE"""),45339.0)</f>
        <v>45339</v>
      </c>
      <c r="C2035" s="12">
        <f>IFERROR(__xludf.DUMMYFUNCTION("""COMPUTED_VALUE"""),95.0)</f>
        <v>95</v>
      </c>
      <c r="D2035" s="12">
        <f>IFERROR(__xludf.DUMMYFUNCTION("""COMPUTED_VALUE"""),18.0)</f>
        <v>18</v>
      </c>
      <c r="E2035" s="12">
        <f>IFERROR(__xludf.DUMMYFUNCTION("""COMPUTED_VALUE"""),5.0)</f>
        <v>5</v>
      </c>
      <c r="F2035" s="12">
        <f>IFERROR(__xludf.DUMMYFUNCTION("""COMPUTED_VALUE"""),1.0)</f>
        <v>1</v>
      </c>
      <c r="G2035" s="15" t="str">
        <f>IFERROR(__xludf.DUMMYFUNCTION("""COMPUTED_VALUE"""),"Completa")</f>
        <v>Completa</v>
      </c>
      <c r="H2035" s="16" t="str">
        <f t="array" ref="H2035">_xlfn.XLOOKUP(D2035,Productos[ID_Producto],Productos[Nombre_Producto])</f>
        <v>Bananas</v>
      </c>
      <c r="I2035" s="17">
        <f t="array" ref="I2035">_xlfn.XLOOKUP(D2035,Productos[ID_Producto],Productos[Precio_Unitario])</f>
        <v>7.25</v>
      </c>
      <c r="J2035" s="17">
        <f t="shared" si="1"/>
        <v>36.25</v>
      </c>
      <c r="K2035" s="16" t="str">
        <f t="array" ref="K2035">_xlfn.XLOOKUP(C2035,Clientes[ID_Cliente],Clientes[Provincia])</f>
        <v>Buenos Aires</v>
      </c>
      <c r="L2035" s="16" t="str">
        <f t="array" ref="L2035">CONCATENATE(_xlfn.XLOOKUP(C2035,Clientes[ID_Cliente],Clientes[Provincia]),", Argentina")</f>
        <v>Buenos Aires, Argentina</v>
      </c>
      <c r="M2035" s="20" t="str">
        <f t="array" ref="M2035">_xlfn.XLOOKUP(F2035,Metodos_De_Pago[ID_Metodo],Metodos_De_Pago[Metodo])</f>
        <v>Efectivo</v>
      </c>
      <c r="N2035" s="20" t="str">
        <f t="shared" si="2"/>
        <v>2024 02</v>
      </c>
    </row>
    <row r="2036" ht="22.5" customHeight="1">
      <c r="A2036" s="12">
        <f>IFERROR(__xludf.DUMMYFUNCTION("""COMPUTED_VALUE"""),1095.0)</f>
        <v>1095</v>
      </c>
      <c r="B2036" s="13">
        <f>IFERROR(__xludf.DUMMYFUNCTION("""COMPUTED_VALUE"""),45339.0)</f>
        <v>45339</v>
      </c>
      <c r="C2036" s="12">
        <f>IFERROR(__xludf.DUMMYFUNCTION("""COMPUTED_VALUE"""),326.0)</f>
        <v>326</v>
      </c>
      <c r="D2036" s="12">
        <f>IFERROR(__xludf.DUMMYFUNCTION("""COMPUTED_VALUE"""),2.0)</f>
        <v>2</v>
      </c>
      <c r="E2036" s="12">
        <f>IFERROR(__xludf.DUMMYFUNCTION("""COMPUTED_VALUE"""),5.0)</f>
        <v>5</v>
      </c>
      <c r="F2036" s="12">
        <f>IFERROR(__xludf.DUMMYFUNCTION("""COMPUTED_VALUE"""),5.0)</f>
        <v>5</v>
      </c>
      <c r="G2036" s="15" t="str">
        <f>IFERROR(__xludf.DUMMYFUNCTION("""COMPUTED_VALUE"""),"Pendiente")</f>
        <v>Pendiente</v>
      </c>
      <c r="H2036" s="16" t="str">
        <f t="array" ref="H2036">_xlfn.XLOOKUP(D2036,Productos[ID_Producto],Productos[Nombre_Producto])</f>
        <v>Yogur</v>
      </c>
      <c r="I2036" s="17">
        <f t="array" ref="I2036">_xlfn.XLOOKUP(D2036,Productos[ID_Producto],Productos[Precio_Unitario])</f>
        <v>5.21</v>
      </c>
      <c r="J2036" s="17">
        <f t="shared" si="1"/>
        <v>26.05</v>
      </c>
      <c r="K2036" s="16" t="str">
        <f t="array" ref="K2036">_xlfn.XLOOKUP(C2036,Clientes[ID_Cliente],Clientes[Provincia])</f>
        <v>San Luis</v>
      </c>
      <c r="L2036" s="16" t="str">
        <f t="array" ref="L2036">CONCATENATE(_xlfn.XLOOKUP(C2036,Clientes[ID_Cliente],Clientes[Provincia]),", Argentina")</f>
        <v>San Luis, Argentina</v>
      </c>
      <c r="M2036" s="20" t="str">
        <f t="array" ref="M2036">_xlfn.XLOOKUP(F2036,Metodos_De_Pago[ID_Metodo],Metodos_De_Pago[Metodo])</f>
        <v>Transferencia</v>
      </c>
      <c r="N2036" s="20" t="str">
        <f t="shared" si="2"/>
        <v>2024 02</v>
      </c>
    </row>
    <row r="2037" ht="22.5" customHeight="1">
      <c r="A2037" s="12">
        <f>IFERROR(__xludf.DUMMYFUNCTION("""COMPUTED_VALUE"""),1863.0)</f>
        <v>1863</v>
      </c>
      <c r="B2037" s="13">
        <f>IFERROR(__xludf.DUMMYFUNCTION("""COMPUTED_VALUE"""),45339.0)</f>
        <v>45339</v>
      </c>
      <c r="C2037" s="12">
        <f>IFERROR(__xludf.DUMMYFUNCTION("""COMPUTED_VALUE"""),46.0)</f>
        <v>46</v>
      </c>
      <c r="D2037" s="12">
        <f>IFERROR(__xludf.DUMMYFUNCTION("""COMPUTED_VALUE"""),26.0)</f>
        <v>26</v>
      </c>
      <c r="E2037" s="12">
        <f>IFERROR(__xludf.DUMMYFUNCTION("""COMPUTED_VALUE"""),5.0)</f>
        <v>5</v>
      </c>
      <c r="F2037" s="12">
        <f>IFERROR(__xludf.DUMMYFUNCTION("""COMPUTED_VALUE"""),4.0)</f>
        <v>4</v>
      </c>
      <c r="G2037" s="15" t="str">
        <f>IFERROR(__xludf.DUMMYFUNCTION("""COMPUTED_VALUE"""),"Completa")</f>
        <v>Completa</v>
      </c>
      <c r="H2037" s="16" t="str">
        <f t="array" ref="H2037">_xlfn.XLOOKUP(D2037,Productos[ID_Producto],Productos[Nombre_Producto])</f>
        <v>Hamburgesas congeladas</v>
      </c>
      <c r="I2037" s="17">
        <f t="array" ref="I2037">_xlfn.XLOOKUP(D2037,Productos[ID_Producto],Productos[Precio_Unitario])</f>
        <v>9.54</v>
      </c>
      <c r="J2037" s="17">
        <f t="shared" si="1"/>
        <v>47.7</v>
      </c>
      <c r="K2037" s="16" t="str">
        <f t="array" ref="K2037">_xlfn.XLOOKUP(C2037,Clientes[ID_Cliente],Clientes[Provincia])</f>
        <v>Córdoba</v>
      </c>
      <c r="L2037" s="16" t="str">
        <f t="array" ref="L2037">CONCATENATE(_xlfn.XLOOKUP(C2037,Clientes[ID_Cliente],Clientes[Provincia]),", Argentina")</f>
        <v>Córdoba, Argentina</v>
      </c>
      <c r="M2037" s="20" t="str">
        <f t="array" ref="M2037">_xlfn.XLOOKUP(F2037,Metodos_De_Pago[ID_Metodo],Metodos_De_Pago[Metodo])</f>
        <v>Mercado Pago</v>
      </c>
      <c r="N2037" s="20" t="str">
        <f t="shared" si="2"/>
        <v>2024 02</v>
      </c>
    </row>
    <row r="2038" ht="22.5" customHeight="1">
      <c r="A2038" s="12">
        <f>IFERROR(__xludf.DUMMYFUNCTION("""COMPUTED_VALUE"""),131.0)</f>
        <v>131</v>
      </c>
      <c r="B2038" s="13">
        <f>IFERROR(__xludf.DUMMYFUNCTION("""COMPUTED_VALUE"""),45340.0)</f>
        <v>45340</v>
      </c>
      <c r="C2038" s="12">
        <f>IFERROR(__xludf.DUMMYFUNCTION("""COMPUTED_VALUE"""),17.0)</f>
        <v>17</v>
      </c>
      <c r="D2038" s="12">
        <f>IFERROR(__xludf.DUMMYFUNCTION("""COMPUTED_VALUE"""),23.0)</f>
        <v>23</v>
      </c>
      <c r="E2038" s="12">
        <f>IFERROR(__xludf.DUMMYFUNCTION("""COMPUTED_VALUE"""),5.0)</f>
        <v>5</v>
      </c>
      <c r="F2038" s="12">
        <f>IFERROR(__xludf.DUMMYFUNCTION("""COMPUTED_VALUE"""),4.0)</f>
        <v>4</v>
      </c>
      <c r="G2038" s="15" t="str">
        <f>IFERROR(__xludf.DUMMYFUNCTION("""COMPUTED_VALUE"""),"Completa")</f>
        <v>Completa</v>
      </c>
      <c r="H2038" s="16" t="str">
        <f t="array" ref="H2038">_xlfn.XLOOKUP(D2038,Productos[ID_Producto],Productos[Nombre_Producto])</f>
        <v>Papas fritas</v>
      </c>
      <c r="I2038" s="17">
        <f t="array" ref="I2038">_xlfn.XLOOKUP(D2038,Productos[ID_Producto],Productos[Precio_Unitario])</f>
        <v>8.23</v>
      </c>
      <c r="J2038" s="17">
        <f t="shared" si="1"/>
        <v>41.15</v>
      </c>
      <c r="K2038" s="16" t="str">
        <f t="array" ref="K2038">_xlfn.XLOOKUP(C2038,Clientes[ID_Cliente],Clientes[Provincia])</f>
        <v>Buenos Aires</v>
      </c>
      <c r="L2038" s="16" t="str">
        <f t="array" ref="L2038">CONCATENATE(_xlfn.XLOOKUP(C2038,Clientes[ID_Cliente],Clientes[Provincia]),", Argentina")</f>
        <v>Buenos Aires, Argentina</v>
      </c>
      <c r="M2038" s="20" t="str">
        <f t="array" ref="M2038">_xlfn.XLOOKUP(F2038,Metodos_De_Pago[ID_Metodo],Metodos_De_Pago[Metodo])</f>
        <v>Mercado Pago</v>
      </c>
      <c r="N2038" s="20" t="str">
        <f t="shared" si="2"/>
        <v>2024 02</v>
      </c>
    </row>
    <row r="2039" ht="22.5" customHeight="1">
      <c r="A2039" s="12">
        <f>IFERROR(__xludf.DUMMYFUNCTION("""COMPUTED_VALUE"""),166.0)</f>
        <v>166</v>
      </c>
      <c r="B2039" s="13">
        <f>IFERROR(__xludf.DUMMYFUNCTION("""COMPUTED_VALUE"""),45340.0)</f>
        <v>45340</v>
      </c>
      <c r="C2039" s="12">
        <f>IFERROR(__xludf.DUMMYFUNCTION("""COMPUTED_VALUE"""),25.0)</f>
        <v>25</v>
      </c>
      <c r="D2039" s="12">
        <f>IFERROR(__xludf.DUMMYFUNCTION("""COMPUTED_VALUE"""),13.0)</f>
        <v>13</v>
      </c>
      <c r="E2039" s="12">
        <f>IFERROR(__xludf.DUMMYFUNCTION("""COMPUTED_VALUE"""),5.0)</f>
        <v>5</v>
      </c>
      <c r="F2039" s="12">
        <f>IFERROR(__xludf.DUMMYFUNCTION("""COMPUTED_VALUE"""),5.0)</f>
        <v>5</v>
      </c>
      <c r="G2039" s="15" t="str">
        <f>IFERROR(__xludf.DUMMYFUNCTION("""COMPUTED_VALUE"""),"Completa")</f>
        <v>Completa</v>
      </c>
      <c r="H2039" s="16" t="str">
        <f t="array" ref="H2039">_xlfn.XLOOKUP(D2039,Productos[ID_Producto],Productos[Nombre_Producto])</f>
        <v>Pan integral</v>
      </c>
      <c r="I2039" s="17">
        <f t="array" ref="I2039">_xlfn.XLOOKUP(D2039,Productos[ID_Producto],Productos[Precio_Unitario])</f>
        <v>12.56</v>
      </c>
      <c r="J2039" s="17">
        <f t="shared" si="1"/>
        <v>62.8</v>
      </c>
      <c r="K2039" s="16" t="str">
        <f t="array" ref="K2039">_xlfn.XLOOKUP(C2039,Clientes[ID_Cliente],Clientes[Provincia])</f>
        <v>Neuquén</v>
      </c>
      <c r="L2039" s="16" t="str">
        <f t="array" ref="L2039">CONCATENATE(_xlfn.XLOOKUP(C2039,Clientes[ID_Cliente],Clientes[Provincia]),", Argentina")</f>
        <v>Neuquén, Argentina</v>
      </c>
      <c r="M2039" s="20" t="str">
        <f t="array" ref="M2039">_xlfn.XLOOKUP(F2039,Metodos_De_Pago[ID_Metodo],Metodos_De_Pago[Metodo])</f>
        <v>Transferencia</v>
      </c>
      <c r="N2039" s="20" t="str">
        <f t="shared" si="2"/>
        <v>2024 02</v>
      </c>
    </row>
    <row r="2040" ht="22.5" customHeight="1">
      <c r="A2040" s="12">
        <f>IFERROR(__xludf.DUMMYFUNCTION("""COMPUTED_VALUE"""),447.0)</f>
        <v>447</v>
      </c>
      <c r="B2040" s="13">
        <f>IFERROR(__xludf.DUMMYFUNCTION("""COMPUTED_VALUE"""),45341.0)</f>
        <v>45341</v>
      </c>
      <c r="C2040" s="12">
        <f>IFERROR(__xludf.DUMMYFUNCTION("""COMPUTED_VALUE"""),249.0)</f>
        <v>249</v>
      </c>
      <c r="D2040" s="12">
        <f>IFERROR(__xludf.DUMMYFUNCTION("""COMPUTED_VALUE"""),27.0)</f>
        <v>27</v>
      </c>
      <c r="E2040" s="12">
        <f>IFERROR(__xludf.DUMMYFUNCTION("""COMPUTED_VALUE"""),5.0)</f>
        <v>5</v>
      </c>
      <c r="F2040" s="12">
        <f>IFERROR(__xludf.DUMMYFUNCTION("""COMPUTED_VALUE"""),1.0)</f>
        <v>1</v>
      </c>
      <c r="G2040" s="15" t="str">
        <f>IFERROR(__xludf.DUMMYFUNCTION("""COMPUTED_VALUE"""),"Completa")</f>
        <v>Completa</v>
      </c>
      <c r="H2040" s="16" t="str">
        <f t="array" ref="H2040">_xlfn.XLOOKUP(D2040,Productos[ID_Producto],Productos[Nombre_Producto])</f>
        <v>Agua mineral</v>
      </c>
      <c r="I2040" s="17">
        <f t="array" ref="I2040">_xlfn.XLOOKUP(D2040,Productos[ID_Producto],Productos[Precio_Unitario])</f>
        <v>6.21</v>
      </c>
      <c r="J2040" s="17">
        <f t="shared" si="1"/>
        <v>31.05</v>
      </c>
      <c r="K2040" s="16" t="str">
        <f t="array" ref="K2040">_xlfn.XLOOKUP(C2040,Clientes[ID_Cliente],Clientes[Provincia])</f>
        <v>Buenos Aires</v>
      </c>
      <c r="L2040" s="16" t="str">
        <f t="array" ref="L2040">CONCATENATE(_xlfn.XLOOKUP(C2040,Clientes[ID_Cliente],Clientes[Provincia]),", Argentina")</f>
        <v>Buenos Aires, Argentina</v>
      </c>
      <c r="M2040" s="20" t="str">
        <f t="array" ref="M2040">_xlfn.XLOOKUP(F2040,Metodos_De_Pago[ID_Metodo],Metodos_De_Pago[Metodo])</f>
        <v>Efectivo</v>
      </c>
      <c r="N2040" s="20" t="str">
        <f t="shared" si="2"/>
        <v>2024 02</v>
      </c>
    </row>
    <row r="2041" ht="22.5" customHeight="1">
      <c r="A2041" s="12">
        <f>IFERROR(__xludf.DUMMYFUNCTION("""COMPUTED_VALUE"""),454.0)</f>
        <v>454</v>
      </c>
      <c r="B2041" s="13">
        <f>IFERROR(__xludf.DUMMYFUNCTION("""COMPUTED_VALUE"""),45341.0)</f>
        <v>45341</v>
      </c>
      <c r="C2041" s="12">
        <f>IFERROR(__xludf.DUMMYFUNCTION("""COMPUTED_VALUE"""),131.0)</f>
        <v>131</v>
      </c>
      <c r="D2041" s="12">
        <f>IFERROR(__xludf.DUMMYFUNCTION("""COMPUTED_VALUE"""),13.0)</f>
        <v>13</v>
      </c>
      <c r="E2041" s="12">
        <f>IFERROR(__xludf.DUMMYFUNCTION("""COMPUTED_VALUE"""),5.0)</f>
        <v>5</v>
      </c>
      <c r="F2041" s="12">
        <f>IFERROR(__xludf.DUMMYFUNCTION("""COMPUTED_VALUE"""),4.0)</f>
        <v>4</v>
      </c>
      <c r="G2041" s="15" t="str">
        <f>IFERROR(__xludf.DUMMYFUNCTION("""COMPUTED_VALUE"""),"Completa")</f>
        <v>Completa</v>
      </c>
      <c r="H2041" s="16" t="str">
        <f t="array" ref="H2041">_xlfn.XLOOKUP(D2041,Productos[ID_Producto],Productos[Nombre_Producto])</f>
        <v>Pan integral</v>
      </c>
      <c r="I2041" s="17">
        <f t="array" ref="I2041">_xlfn.XLOOKUP(D2041,Productos[ID_Producto],Productos[Precio_Unitario])</f>
        <v>12.56</v>
      </c>
      <c r="J2041" s="17">
        <f t="shared" si="1"/>
        <v>62.8</v>
      </c>
      <c r="K2041" s="16" t="str">
        <f t="array" ref="K2041">_xlfn.XLOOKUP(C2041,Clientes[ID_Cliente],Clientes[Provincia])</f>
        <v>Buenos Aires</v>
      </c>
      <c r="L2041" s="16" t="str">
        <f t="array" ref="L2041">CONCATENATE(_xlfn.XLOOKUP(C2041,Clientes[ID_Cliente],Clientes[Provincia]),", Argentina")</f>
        <v>Buenos Aires, Argentina</v>
      </c>
      <c r="M2041" s="20" t="str">
        <f t="array" ref="M2041">_xlfn.XLOOKUP(F2041,Metodos_De_Pago[ID_Metodo],Metodos_De_Pago[Metodo])</f>
        <v>Mercado Pago</v>
      </c>
      <c r="N2041" s="20" t="str">
        <f t="shared" si="2"/>
        <v>2024 02</v>
      </c>
    </row>
    <row r="2042" ht="22.5" customHeight="1">
      <c r="A2042" s="12">
        <f>IFERROR(__xludf.DUMMYFUNCTION("""COMPUTED_VALUE"""),2134.0)</f>
        <v>2134</v>
      </c>
      <c r="B2042" s="13">
        <f>IFERROR(__xludf.DUMMYFUNCTION("""COMPUTED_VALUE"""),45341.0)</f>
        <v>45341</v>
      </c>
      <c r="C2042" s="12">
        <f>IFERROR(__xludf.DUMMYFUNCTION("""COMPUTED_VALUE"""),116.0)</f>
        <v>116</v>
      </c>
      <c r="D2042" s="12">
        <f>IFERROR(__xludf.DUMMYFUNCTION("""COMPUTED_VALUE"""),29.0)</f>
        <v>29</v>
      </c>
      <c r="E2042" s="12">
        <f>IFERROR(__xludf.DUMMYFUNCTION("""COMPUTED_VALUE"""),5.0)</f>
        <v>5</v>
      </c>
      <c r="F2042" s="12">
        <f>IFERROR(__xludf.DUMMYFUNCTION("""COMPUTED_VALUE"""),2.0)</f>
        <v>2</v>
      </c>
      <c r="G2042" s="15" t="str">
        <f>IFERROR(__xludf.DUMMYFUNCTION("""COMPUTED_VALUE"""),"Completa")</f>
        <v>Completa</v>
      </c>
      <c r="H2042" s="16" t="str">
        <f t="array" ref="H2042">_xlfn.XLOOKUP(D2042,Productos[ID_Producto],Productos[Nombre_Producto])</f>
        <v>Cerveza</v>
      </c>
      <c r="I2042" s="17">
        <f t="array" ref="I2042">_xlfn.XLOOKUP(D2042,Productos[ID_Producto],Productos[Precio_Unitario])</f>
        <v>11.54</v>
      </c>
      <c r="J2042" s="17">
        <f t="shared" si="1"/>
        <v>57.7</v>
      </c>
      <c r="K2042" s="16" t="str">
        <f t="array" ref="K2042">_xlfn.XLOOKUP(C2042,Clientes[ID_Cliente],Clientes[Provincia])</f>
        <v>Buenos Aires</v>
      </c>
      <c r="L2042" s="16" t="str">
        <f t="array" ref="L2042">CONCATENATE(_xlfn.XLOOKUP(C2042,Clientes[ID_Cliente],Clientes[Provincia]),", Argentina")</f>
        <v>Buenos Aires, Argentina</v>
      </c>
      <c r="M2042" s="20" t="str">
        <f t="array" ref="M2042">_xlfn.XLOOKUP(F2042,Metodos_De_Pago[ID_Metodo],Metodos_De_Pago[Metodo])</f>
        <v>Tarjeta de Crédito</v>
      </c>
      <c r="N2042" s="20" t="str">
        <f t="shared" si="2"/>
        <v>2024 02</v>
      </c>
    </row>
    <row r="2043" ht="22.5" customHeight="1">
      <c r="A2043" s="12">
        <f>IFERROR(__xludf.DUMMYFUNCTION("""COMPUTED_VALUE"""),979.0)</f>
        <v>979</v>
      </c>
      <c r="B2043" s="13">
        <f>IFERROR(__xludf.DUMMYFUNCTION("""COMPUTED_VALUE"""),45342.0)</f>
        <v>45342</v>
      </c>
      <c r="C2043" s="12">
        <f>IFERROR(__xludf.DUMMYFUNCTION("""COMPUTED_VALUE"""),30.0)</f>
        <v>30</v>
      </c>
      <c r="D2043" s="12">
        <f>IFERROR(__xludf.DUMMYFUNCTION("""COMPUTED_VALUE"""),29.0)</f>
        <v>29</v>
      </c>
      <c r="E2043" s="12">
        <f>IFERROR(__xludf.DUMMYFUNCTION("""COMPUTED_VALUE"""),5.0)</f>
        <v>5</v>
      </c>
      <c r="F2043" s="12">
        <f>IFERROR(__xludf.DUMMYFUNCTION("""COMPUTED_VALUE"""),1.0)</f>
        <v>1</v>
      </c>
      <c r="G2043" s="15" t="str">
        <f>IFERROR(__xludf.DUMMYFUNCTION("""COMPUTED_VALUE"""),"Completa")</f>
        <v>Completa</v>
      </c>
      <c r="H2043" s="16" t="str">
        <f t="array" ref="H2043">_xlfn.XLOOKUP(D2043,Productos[ID_Producto],Productos[Nombre_Producto])</f>
        <v>Cerveza</v>
      </c>
      <c r="I2043" s="17">
        <f t="array" ref="I2043">_xlfn.XLOOKUP(D2043,Productos[ID_Producto],Productos[Precio_Unitario])</f>
        <v>11.54</v>
      </c>
      <c r="J2043" s="17">
        <f t="shared" si="1"/>
        <v>57.7</v>
      </c>
      <c r="K2043" s="16" t="str">
        <f t="array" ref="K2043">_xlfn.XLOOKUP(C2043,Clientes[ID_Cliente],Clientes[Provincia])</f>
        <v>Buenos Aires</v>
      </c>
      <c r="L2043" s="16" t="str">
        <f t="array" ref="L2043">CONCATENATE(_xlfn.XLOOKUP(C2043,Clientes[ID_Cliente],Clientes[Provincia]),", Argentina")</f>
        <v>Buenos Aires, Argentina</v>
      </c>
      <c r="M2043" s="20" t="str">
        <f t="array" ref="M2043">_xlfn.XLOOKUP(F2043,Metodos_De_Pago[ID_Metodo],Metodos_De_Pago[Metodo])</f>
        <v>Efectivo</v>
      </c>
      <c r="N2043" s="20" t="str">
        <f t="shared" si="2"/>
        <v>2024 02</v>
      </c>
    </row>
    <row r="2044" ht="22.5" customHeight="1">
      <c r="A2044" s="12">
        <f>IFERROR(__xludf.DUMMYFUNCTION("""COMPUTED_VALUE"""),1633.0)</f>
        <v>1633</v>
      </c>
      <c r="B2044" s="13">
        <f>IFERROR(__xludf.DUMMYFUNCTION("""COMPUTED_VALUE"""),45342.0)</f>
        <v>45342</v>
      </c>
      <c r="C2044" s="12">
        <f>IFERROR(__xludf.DUMMYFUNCTION("""COMPUTED_VALUE"""),27.0)</f>
        <v>27</v>
      </c>
      <c r="D2044" s="12">
        <f>IFERROR(__xludf.DUMMYFUNCTION("""COMPUTED_VALUE"""),11.0)</f>
        <v>11</v>
      </c>
      <c r="E2044" s="12">
        <f>IFERROR(__xludf.DUMMYFUNCTION("""COMPUTED_VALUE"""),5.0)</f>
        <v>5</v>
      </c>
      <c r="F2044" s="12">
        <f>IFERROR(__xludf.DUMMYFUNCTION("""COMPUTED_VALUE"""),4.0)</f>
        <v>4</v>
      </c>
      <c r="G2044" s="15" t="str">
        <f>IFERROR(__xludf.DUMMYFUNCTION("""COMPUTED_VALUE"""),"Completa")</f>
        <v>Completa</v>
      </c>
      <c r="H2044" s="16" t="str">
        <f t="array" ref="H2044">_xlfn.XLOOKUP(D2044,Productos[ID_Producto],Productos[Nombre_Producto])</f>
        <v>Salchicha</v>
      </c>
      <c r="I2044" s="17">
        <f t="array" ref="I2044">_xlfn.XLOOKUP(D2044,Productos[ID_Producto],Productos[Precio_Unitario])</f>
        <v>11.23</v>
      </c>
      <c r="J2044" s="17">
        <f t="shared" si="1"/>
        <v>56.15</v>
      </c>
      <c r="K2044" s="16" t="str">
        <f t="array" ref="K2044">_xlfn.XLOOKUP(C2044,Clientes[ID_Cliente],Clientes[Provincia])</f>
        <v>Buenos Aires</v>
      </c>
      <c r="L2044" s="16" t="str">
        <f t="array" ref="L2044">CONCATENATE(_xlfn.XLOOKUP(C2044,Clientes[ID_Cliente],Clientes[Provincia]),", Argentina")</f>
        <v>Buenos Aires, Argentina</v>
      </c>
      <c r="M2044" s="20" t="str">
        <f t="array" ref="M2044">_xlfn.XLOOKUP(F2044,Metodos_De_Pago[ID_Metodo],Metodos_De_Pago[Metodo])</f>
        <v>Mercado Pago</v>
      </c>
      <c r="N2044" s="20" t="str">
        <f t="shared" si="2"/>
        <v>2024 02</v>
      </c>
    </row>
    <row r="2045" ht="22.5" customHeight="1">
      <c r="A2045" s="12">
        <f>IFERROR(__xludf.DUMMYFUNCTION("""COMPUTED_VALUE"""),2176.0)</f>
        <v>2176</v>
      </c>
      <c r="B2045" s="13">
        <f>IFERROR(__xludf.DUMMYFUNCTION("""COMPUTED_VALUE"""),45342.0)</f>
        <v>45342</v>
      </c>
      <c r="C2045" s="12">
        <f>IFERROR(__xludf.DUMMYFUNCTION("""COMPUTED_VALUE"""),48.0)</f>
        <v>48</v>
      </c>
      <c r="D2045" s="12">
        <f>IFERROR(__xludf.DUMMYFUNCTION("""COMPUTED_VALUE"""),12.0)</f>
        <v>12</v>
      </c>
      <c r="E2045" s="12">
        <f>IFERROR(__xludf.DUMMYFUNCTION("""COMPUTED_VALUE"""),5.0)</f>
        <v>5</v>
      </c>
      <c r="F2045" s="12">
        <f>IFERROR(__xludf.DUMMYFUNCTION("""COMPUTED_VALUE"""),1.0)</f>
        <v>1</v>
      </c>
      <c r="G2045" s="15" t="str">
        <f>IFERROR(__xludf.DUMMYFUNCTION("""COMPUTED_VALUE"""),"Completa")</f>
        <v>Completa</v>
      </c>
      <c r="H2045" s="16" t="str">
        <f t="array" ref="H2045">_xlfn.XLOOKUP(D2045,Productos[ID_Producto],Productos[Nombre_Producto])</f>
        <v>Pan francés</v>
      </c>
      <c r="I2045" s="17">
        <f t="array" ref="I2045">_xlfn.XLOOKUP(D2045,Productos[ID_Producto],Productos[Precio_Unitario])</f>
        <v>8.12</v>
      </c>
      <c r="J2045" s="17">
        <f t="shared" si="1"/>
        <v>40.6</v>
      </c>
      <c r="K2045" s="16" t="str">
        <f t="array" ref="K2045">_xlfn.XLOOKUP(C2045,Clientes[ID_Cliente],Clientes[Provincia])</f>
        <v>Neuquén</v>
      </c>
      <c r="L2045" s="16" t="str">
        <f t="array" ref="L2045">CONCATENATE(_xlfn.XLOOKUP(C2045,Clientes[ID_Cliente],Clientes[Provincia]),", Argentina")</f>
        <v>Neuquén, Argentina</v>
      </c>
      <c r="M2045" s="20" t="str">
        <f t="array" ref="M2045">_xlfn.XLOOKUP(F2045,Metodos_De_Pago[ID_Metodo],Metodos_De_Pago[Metodo])</f>
        <v>Efectivo</v>
      </c>
      <c r="N2045" s="20" t="str">
        <f t="shared" si="2"/>
        <v>2024 02</v>
      </c>
    </row>
    <row r="2046" ht="22.5" customHeight="1">
      <c r="A2046" s="12">
        <f>IFERROR(__xludf.DUMMYFUNCTION("""COMPUTED_VALUE"""),2751.0)</f>
        <v>2751</v>
      </c>
      <c r="B2046" s="13">
        <f>IFERROR(__xludf.DUMMYFUNCTION("""COMPUTED_VALUE"""),45343.0)</f>
        <v>45343</v>
      </c>
      <c r="C2046" s="12">
        <f>IFERROR(__xludf.DUMMYFUNCTION("""COMPUTED_VALUE"""),19.0)</f>
        <v>19</v>
      </c>
      <c r="D2046" s="12">
        <f>IFERROR(__xludf.DUMMYFUNCTION("""COMPUTED_VALUE"""),2.0)</f>
        <v>2</v>
      </c>
      <c r="E2046" s="12">
        <f>IFERROR(__xludf.DUMMYFUNCTION("""COMPUTED_VALUE"""),5.0)</f>
        <v>5</v>
      </c>
      <c r="F2046" s="12">
        <f>IFERROR(__xludf.DUMMYFUNCTION("""COMPUTED_VALUE"""),4.0)</f>
        <v>4</v>
      </c>
      <c r="G2046" s="15" t="str">
        <f>IFERROR(__xludf.DUMMYFUNCTION("""COMPUTED_VALUE"""),"Completa")</f>
        <v>Completa</v>
      </c>
      <c r="H2046" s="16" t="str">
        <f t="array" ref="H2046">_xlfn.XLOOKUP(D2046,Productos[ID_Producto],Productos[Nombre_Producto])</f>
        <v>Yogur</v>
      </c>
      <c r="I2046" s="17">
        <f t="array" ref="I2046">_xlfn.XLOOKUP(D2046,Productos[ID_Producto],Productos[Precio_Unitario])</f>
        <v>5.21</v>
      </c>
      <c r="J2046" s="17">
        <f t="shared" si="1"/>
        <v>26.05</v>
      </c>
      <c r="K2046" s="16" t="str">
        <f t="array" ref="K2046">_xlfn.XLOOKUP(C2046,Clientes[ID_Cliente],Clientes[Provincia])</f>
        <v>Córdoba</v>
      </c>
      <c r="L2046" s="16" t="str">
        <f t="array" ref="L2046">CONCATENATE(_xlfn.XLOOKUP(C2046,Clientes[ID_Cliente],Clientes[Provincia]),", Argentina")</f>
        <v>Córdoba, Argentina</v>
      </c>
      <c r="M2046" s="20" t="str">
        <f t="array" ref="M2046">_xlfn.XLOOKUP(F2046,Metodos_De_Pago[ID_Metodo],Metodos_De_Pago[Metodo])</f>
        <v>Mercado Pago</v>
      </c>
      <c r="N2046" s="20" t="str">
        <f t="shared" si="2"/>
        <v>2024 02</v>
      </c>
    </row>
    <row r="2047" ht="22.5" customHeight="1">
      <c r="A2047" s="12">
        <f>IFERROR(__xludf.DUMMYFUNCTION("""COMPUTED_VALUE"""),85.0)</f>
        <v>85</v>
      </c>
      <c r="B2047" s="13">
        <f>IFERROR(__xludf.DUMMYFUNCTION("""COMPUTED_VALUE"""),45345.0)</f>
        <v>45345</v>
      </c>
      <c r="C2047" s="12">
        <f>IFERROR(__xludf.DUMMYFUNCTION("""COMPUTED_VALUE"""),91.0)</f>
        <v>91</v>
      </c>
      <c r="D2047" s="12">
        <f>IFERROR(__xludf.DUMMYFUNCTION("""COMPUTED_VALUE"""),4.0)</f>
        <v>4</v>
      </c>
      <c r="E2047" s="12">
        <f>IFERROR(__xludf.DUMMYFUNCTION("""COMPUTED_VALUE"""),5.0)</f>
        <v>5</v>
      </c>
      <c r="F2047" s="12">
        <f>IFERROR(__xludf.DUMMYFUNCTION("""COMPUTED_VALUE"""),2.0)</f>
        <v>2</v>
      </c>
      <c r="G2047" s="15" t="str">
        <f>IFERROR(__xludf.DUMMYFUNCTION("""COMPUTED_VALUE"""),"Completa")</f>
        <v>Completa</v>
      </c>
      <c r="H2047" s="16" t="str">
        <f t="array" ref="H2047">_xlfn.XLOOKUP(D2047,Productos[ID_Producto],Productos[Nombre_Producto])</f>
        <v>Queso rallado</v>
      </c>
      <c r="I2047" s="17">
        <f t="array" ref="I2047">_xlfn.XLOOKUP(D2047,Productos[ID_Producto],Productos[Precio_Unitario])</f>
        <v>19.23</v>
      </c>
      <c r="J2047" s="17">
        <f t="shared" si="1"/>
        <v>96.15</v>
      </c>
      <c r="K2047" s="16" t="str">
        <f t="array" ref="K2047">_xlfn.XLOOKUP(C2047,Clientes[ID_Cliente],Clientes[Provincia])</f>
        <v>Buenos Aires</v>
      </c>
      <c r="L2047" s="16" t="str">
        <f t="array" ref="L2047">CONCATENATE(_xlfn.XLOOKUP(C2047,Clientes[ID_Cliente],Clientes[Provincia]),", Argentina")</f>
        <v>Buenos Aires, Argentina</v>
      </c>
      <c r="M2047" s="20" t="str">
        <f t="array" ref="M2047">_xlfn.XLOOKUP(F2047,Metodos_De_Pago[ID_Metodo],Metodos_De_Pago[Metodo])</f>
        <v>Tarjeta de Crédito</v>
      </c>
      <c r="N2047" s="20" t="str">
        <f t="shared" si="2"/>
        <v>2024 02</v>
      </c>
    </row>
    <row r="2048" ht="22.5" customHeight="1">
      <c r="A2048" s="12">
        <f>IFERROR(__xludf.DUMMYFUNCTION("""COMPUTED_VALUE"""),2835.0)</f>
        <v>2835</v>
      </c>
      <c r="B2048" s="13">
        <f>IFERROR(__xludf.DUMMYFUNCTION("""COMPUTED_VALUE"""),45346.0)</f>
        <v>45346</v>
      </c>
      <c r="C2048" s="12">
        <f>IFERROR(__xludf.DUMMYFUNCTION("""COMPUTED_VALUE"""),57.0)</f>
        <v>57</v>
      </c>
      <c r="D2048" s="12">
        <f>IFERROR(__xludf.DUMMYFUNCTION("""COMPUTED_VALUE"""),3.0)</f>
        <v>3</v>
      </c>
      <c r="E2048" s="12">
        <f>IFERROR(__xludf.DUMMYFUNCTION("""COMPUTED_VALUE"""),5.0)</f>
        <v>5</v>
      </c>
      <c r="F2048" s="12">
        <f>IFERROR(__xludf.DUMMYFUNCTION("""COMPUTED_VALUE"""),5.0)</f>
        <v>5</v>
      </c>
      <c r="G2048" s="15" t="str">
        <f>IFERROR(__xludf.DUMMYFUNCTION("""COMPUTED_VALUE"""),"Pendiente")</f>
        <v>Pendiente</v>
      </c>
      <c r="H2048" s="16" t="str">
        <f t="array" ref="H2048">_xlfn.XLOOKUP(D2048,Productos[ID_Producto],Productos[Nombre_Producto])</f>
        <v>Queso cremoso</v>
      </c>
      <c r="I2048" s="17">
        <f t="array" ref="I2048">_xlfn.XLOOKUP(D2048,Productos[ID_Producto],Productos[Precio_Unitario])</f>
        <v>17.23</v>
      </c>
      <c r="J2048" s="17">
        <f t="shared" si="1"/>
        <v>86.15</v>
      </c>
      <c r="K2048" s="16" t="str">
        <f t="array" ref="K2048">_xlfn.XLOOKUP(C2048,Clientes[ID_Cliente],Clientes[Provincia])</f>
        <v>Córdoba</v>
      </c>
      <c r="L2048" s="16" t="str">
        <f t="array" ref="L2048">CONCATENATE(_xlfn.XLOOKUP(C2048,Clientes[ID_Cliente],Clientes[Provincia]),", Argentina")</f>
        <v>Córdoba, Argentina</v>
      </c>
      <c r="M2048" s="20" t="str">
        <f t="array" ref="M2048">_xlfn.XLOOKUP(F2048,Metodos_De_Pago[ID_Metodo],Metodos_De_Pago[Metodo])</f>
        <v>Transferencia</v>
      </c>
      <c r="N2048" s="20" t="str">
        <f t="shared" si="2"/>
        <v>2024 02</v>
      </c>
    </row>
    <row r="2049" ht="22.5" customHeight="1">
      <c r="A2049" s="12">
        <f>IFERROR(__xludf.DUMMYFUNCTION("""COMPUTED_VALUE"""),2789.0)</f>
        <v>2789</v>
      </c>
      <c r="B2049" s="13">
        <f>IFERROR(__xludf.DUMMYFUNCTION("""COMPUTED_VALUE"""),45349.0)</f>
        <v>45349</v>
      </c>
      <c r="C2049" s="12">
        <f>IFERROR(__xludf.DUMMYFUNCTION("""COMPUTED_VALUE"""),35.0)</f>
        <v>35</v>
      </c>
      <c r="D2049" s="12">
        <f>IFERROR(__xludf.DUMMYFUNCTION("""COMPUTED_VALUE"""),22.0)</f>
        <v>22</v>
      </c>
      <c r="E2049" s="12">
        <f>IFERROR(__xludf.DUMMYFUNCTION("""COMPUTED_VALUE"""),5.0)</f>
        <v>5</v>
      </c>
      <c r="F2049" s="12">
        <f>IFERROR(__xludf.DUMMYFUNCTION("""COMPUTED_VALUE"""),1.0)</f>
        <v>1</v>
      </c>
      <c r="G2049" s="15" t="str">
        <f>IFERROR(__xludf.DUMMYFUNCTION("""COMPUTED_VALUE"""),"Completa")</f>
        <v>Completa</v>
      </c>
      <c r="H2049" s="16" t="str">
        <f t="array" ref="H2049">_xlfn.XLOOKUP(D2049,Productos[ID_Producto],Productos[Nombre_Producto])</f>
        <v>Cebolla</v>
      </c>
      <c r="I2049" s="17">
        <f t="array" ref="I2049">_xlfn.XLOOKUP(D2049,Productos[ID_Producto],Productos[Precio_Unitario])</f>
        <v>4.21</v>
      </c>
      <c r="J2049" s="17">
        <f t="shared" si="1"/>
        <v>21.05</v>
      </c>
      <c r="K2049" s="16" t="str">
        <f t="array" ref="K2049">_xlfn.XLOOKUP(C2049,Clientes[ID_Cliente],Clientes[Provincia])</f>
        <v>Salta</v>
      </c>
      <c r="L2049" s="16" t="str">
        <f t="array" ref="L2049">CONCATENATE(_xlfn.XLOOKUP(C2049,Clientes[ID_Cliente],Clientes[Provincia]),", Argentina")</f>
        <v>Salta, Argentina</v>
      </c>
      <c r="M2049" s="20" t="str">
        <f t="array" ref="M2049">_xlfn.XLOOKUP(F2049,Metodos_De_Pago[ID_Metodo],Metodos_De_Pago[Metodo])</f>
        <v>Efectivo</v>
      </c>
      <c r="N2049" s="20" t="str">
        <f t="shared" si="2"/>
        <v>2024 02</v>
      </c>
    </row>
    <row r="2050" ht="22.5" customHeight="1">
      <c r="A2050" s="12">
        <f>IFERROR(__xludf.DUMMYFUNCTION("""COMPUTED_VALUE"""),2460.0)</f>
        <v>2460</v>
      </c>
      <c r="B2050" s="13">
        <f>IFERROR(__xludf.DUMMYFUNCTION("""COMPUTED_VALUE"""),45350.0)</f>
        <v>45350</v>
      </c>
      <c r="C2050" s="12">
        <f>IFERROR(__xludf.DUMMYFUNCTION("""COMPUTED_VALUE"""),301.0)</f>
        <v>301</v>
      </c>
      <c r="D2050" s="12">
        <f>IFERROR(__xludf.DUMMYFUNCTION("""COMPUTED_VALUE"""),15.0)</f>
        <v>15</v>
      </c>
      <c r="E2050" s="12">
        <f>IFERROR(__xludf.DUMMYFUNCTION("""COMPUTED_VALUE"""),5.0)</f>
        <v>5</v>
      </c>
      <c r="F2050" s="12">
        <f>IFERROR(__xludf.DUMMYFUNCTION("""COMPUTED_VALUE"""),4.0)</f>
        <v>4</v>
      </c>
      <c r="G2050" s="15" t="str">
        <f>IFERROR(__xludf.DUMMYFUNCTION("""COMPUTED_VALUE"""),"Completa")</f>
        <v>Completa</v>
      </c>
      <c r="H2050" s="16" t="str">
        <f t="array" ref="H2050">_xlfn.XLOOKUP(D2050,Productos[ID_Producto],Productos[Nombre_Producto])</f>
        <v>Medialunas</v>
      </c>
      <c r="I2050" s="17">
        <f t="array" ref="I2050">_xlfn.XLOOKUP(D2050,Productos[ID_Producto],Productos[Precio_Unitario])</f>
        <v>3.51</v>
      </c>
      <c r="J2050" s="17">
        <f t="shared" si="1"/>
        <v>17.55</v>
      </c>
      <c r="K2050" s="16" t="str">
        <f t="array" ref="K2050">_xlfn.XLOOKUP(C2050,Clientes[ID_Cliente],Clientes[Provincia])</f>
        <v>San Luis</v>
      </c>
      <c r="L2050" s="16" t="str">
        <f t="array" ref="L2050">CONCATENATE(_xlfn.XLOOKUP(C2050,Clientes[ID_Cliente],Clientes[Provincia]),", Argentina")</f>
        <v>San Luis, Argentina</v>
      </c>
      <c r="M2050" s="20" t="str">
        <f t="array" ref="M2050">_xlfn.XLOOKUP(F2050,Metodos_De_Pago[ID_Metodo],Metodos_De_Pago[Metodo])</f>
        <v>Mercado Pago</v>
      </c>
      <c r="N2050" s="20" t="str">
        <f t="shared" si="2"/>
        <v>2024 02</v>
      </c>
    </row>
    <row r="2051" ht="22.5" customHeight="1">
      <c r="A2051" s="12">
        <f>IFERROR(__xludf.DUMMYFUNCTION("""COMPUTED_VALUE"""),123.0)</f>
        <v>123</v>
      </c>
      <c r="B2051" s="13">
        <f>IFERROR(__xludf.DUMMYFUNCTION("""COMPUTED_VALUE"""),45351.0)</f>
        <v>45351</v>
      </c>
      <c r="C2051" s="12">
        <f>IFERROR(__xludf.DUMMYFUNCTION("""COMPUTED_VALUE"""),169.0)</f>
        <v>169</v>
      </c>
      <c r="D2051" s="12">
        <f>IFERROR(__xludf.DUMMYFUNCTION("""COMPUTED_VALUE"""),32.0)</f>
        <v>32</v>
      </c>
      <c r="E2051" s="12">
        <f>IFERROR(__xludf.DUMMYFUNCTION("""COMPUTED_VALUE"""),5.0)</f>
        <v>5</v>
      </c>
      <c r="F2051" s="12">
        <f>IFERROR(__xludf.DUMMYFUNCTION("""COMPUTED_VALUE"""),5.0)</f>
        <v>5</v>
      </c>
      <c r="G2051" s="15" t="str">
        <f>IFERROR(__xludf.DUMMYFUNCTION("""COMPUTED_VALUE"""),"Completa")</f>
        <v>Completa</v>
      </c>
      <c r="H2051" s="16" t="str">
        <f t="array" ref="H2051">_xlfn.XLOOKUP(D2051,Productos[ID_Producto],Productos[Nombre_Producto])</f>
        <v>Galletitas de chocolate</v>
      </c>
      <c r="I2051" s="17">
        <f t="array" ref="I2051">_xlfn.XLOOKUP(D2051,Productos[ID_Producto],Productos[Precio_Unitario])</f>
        <v>6.25</v>
      </c>
      <c r="J2051" s="17">
        <f t="shared" si="1"/>
        <v>31.25</v>
      </c>
      <c r="K2051" s="16" t="str">
        <f t="array" ref="K2051">_xlfn.XLOOKUP(C2051,Clientes[ID_Cliente],Clientes[Provincia])</f>
        <v>Córdoba</v>
      </c>
      <c r="L2051" s="16" t="str">
        <f t="array" ref="L2051">CONCATENATE(_xlfn.XLOOKUP(C2051,Clientes[ID_Cliente],Clientes[Provincia]),", Argentina")</f>
        <v>Córdoba, Argentina</v>
      </c>
      <c r="M2051" s="20" t="str">
        <f t="array" ref="M2051">_xlfn.XLOOKUP(F2051,Metodos_De_Pago[ID_Metodo],Metodos_De_Pago[Metodo])</f>
        <v>Transferencia</v>
      </c>
      <c r="N2051" s="20" t="str">
        <f t="shared" si="2"/>
        <v>2024 02</v>
      </c>
    </row>
    <row r="2052" ht="22.5" customHeight="1">
      <c r="A2052" s="12">
        <f>IFERROR(__xludf.DUMMYFUNCTION("""COMPUTED_VALUE"""),452.0)</f>
        <v>452</v>
      </c>
      <c r="B2052" s="13">
        <f>IFERROR(__xludf.DUMMYFUNCTION("""COMPUTED_VALUE"""),45351.0)</f>
        <v>45351</v>
      </c>
      <c r="C2052" s="12">
        <f>IFERROR(__xludf.DUMMYFUNCTION("""COMPUTED_VALUE"""),115.0)</f>
        <v>115</v>
      </c>
      <c r="D2052" s="12">
        <f>IFERROR(__xludf.DUMMYFUNCTION("""COMPUTED_VALUE"""),4.0)</f>
        <v>4</v>
      </c>
      <c r="E2052" s="12">
        <f>IFERROR(__xludf.DUMMYFUNCTION("""COMPUTED_VALUE"""),5.0)</f>
        <v>5</v>
      </c>
      <c r="F2052" s="12">
        <f>IFERROR(__xludf.DUMMYFUNCTION("""COMPUTED_VALUE"""),4.0)</f>
        <v>4</v>
      </c>
      <c r="G2052" s="15" t="str">
        <f>IFERROR(__xludf.DUMMYFUNCTION("""COMPUTED_VALUE"""),"Completa")</f>
        <v>Completa</v>
      </c>
      <c r="H2052" s="16" t="str">
        <f t="array" ref="H2052">_xlfn.XLOOKUP(D2052,Productos[ID_Producto],Productos[Nombre_Producto])</f>
        <v>Queso rallado</v>
      </c>
      <c r="I2052" s="17">
        <f t="array" ref="I2052">_xlfn.XLOOKUP(D2052,Productos[ID_Producto],Productos[Precio_Unitario])</f>
        <v>19.23</v>
      </c>
      <c r="J2052" s="17">
        <f t="shared" si="1"/>
        <v>96.15</v>
      </c>
      <c r="K2052" s="16" t="str">
        <f t="array" ref="K2052">_xlfn.XLOOKUP(C2052,Clientes[ID_Cliente],Clientes[Provincia])</f>
        <v>San Luis</v>
      </c>
      <c r="L2052" s="16" t="str">
        <f t="array" ref="L2052">CONCATENATE(_xlfn.XLOOKUP(C2052,Clientes[ID_Cliente],Clientes[Provincia]),", Argentina")</f>
        <v>San Luis, Argentina</v>
      </c>
      <c r="M2052" s="20" t="str">
        <f t="array" ref="M2052">_xlfn.XLOOKUP(F2052,Metodos_De_Pago[ID_Metodo],Metodos_De_Pago[Metodo])</f>
        <v>Mercado Pago</v>
      </c>
      <c r="N2052" s="20" t="str">
        <f t="shared" si="2"/>
        <v>2024 02</v>
      </c>
    </row>
    <row r="2053" ht="22.5" customHeight="1">
      <c r="A2053" s="12">
        <f>IFERROR(__xludf.DUMMYFUNCTION("""COMPUTED_VALUE"""),2668.0)</f>
        <v>2668</v>
      </c>
      <c r="B2053" s="13">
        <f>IFERROR(__xludf.DUMMYFUNCTION("""COMPUTED_VALUE"""),45352.0)</f>
        <v>45352</v>
      </c>
      <c r="C2053" s="12">
        <f>IFERROR(__xludf.DUMMYFUNCTION("""COMPUTED_VALUE"""),117.0)</f>
        <v>117</v>
      </c>
      <c r="D2053" s="12">
        <f>IFERROR(__xludf.DUMMYFUNCTION("""COMPUTED_VALUE"""),19.0)</f>
        <v>19</v>
      </c>
      <c r="E2053" s="12">
        <f>IFERROR(__xludf.DUMMYFUNCTION("""COMPUTED_VALUE"""),5.0)</f>
        <v>5</v>
      </c>
      <c r="F2053" s="12">
        <f>IFERROR(__xludf.DUMMYFUNCTION("""COMPUTED_VALUE"""),1.0)</f>
        <v>1</v>
      </c>
      <c r="G2053" s="15" t="str">
        <f>IFERROR(__xludf.DUMMYFUNCTION("""COMPUTED_VALUE"""),"Pendiente")</f>
        <v>Pendiente</v>
      </c>
      <c r="H2053" s="16" t="str">
        <f t="array" ref="H2053">_xlfn.XLOOKUP(D2053,Productos[ID_Producto],Productos[Nombre_Producto])</f>
        <v>Tomates</v>
      </c>
      <c r="I2053" s="17">
        <f t="array" ref="I2053">_xlfn.XLOOKUP(D2053,Productos[ID_Producto],Productos[Precio_Unitario])</f>
        <v>6.54</v>
      </c>
      <c r="J2053" s="17">
        <f t="shared" si="1"/>
        <v>32.7</v>
      </c>
      <c r="K2053" s="16" t="str">
        <f t="array" ref="K2053">_xlfn.XLOOKUP(C2053,Clientes[ID_Cliente],Clientes[Provincia])</f>
        <v>Salta</v>
      </c>
      <c r="L2053" s="16" t="str">
        <f t="array" ref="L2053">CONCATENATE(_xlfn.XLOOKUP(C2053,Clientes[ID_Cliente],Clientes[Provincia]),", Argentina")</f>
        <v>Salta, Argentina</v>
      </c>
      <c r="M2053" s="20" t="str">
        <f t="array" ref="M2053">_xlfn.XLOOKUP(F2053,Metodos_De_Pago[ID_Metodo],Metodos_De_Pago[Metodo])</f>
        <v>Efectivo</v>
      </c>
      <c r="N2053" s="20" t="str">
        <f t="shared" si="2"/>
        <v>2024 03</v>
      </c>
    </row>
    <row r="2054" ht="22.5" customHeight="1">
      <c r="A2054" s="12">
        <f>IFERROR(__xludf.DUMMYFUNCTION("""COMPUTED_VALUE"""),72.0)</f>
        <v>72</v>
      </c>
      <c r="B2054" s="13">
        <f>IFERROR(__xludf.DUMMYFUNCTION("""COMPUTED_VALUE"""),45353.0)</f>
        <v>45353</v>
      </c>
      <c r="C2054" s="12">
        <f>IFERROR(__xludf.DUMMYFUNCTION("""COMPUTED_VALUE"""),144.0)</f>
        <v>144</v>
      </c>
      <c r="D2054" s="12">
        <f>IFERROR(__xludf.DUMMYFUNCTION("""COMPUTED_VALUE"""),23.0)</f>
        <v>23</v>
      </c>
      <c r="E2054" s="12">
        <f>IFERROR(__xludf.DUMMYFUNCTION("""COMPUTED_VALUE"""),5.0)</f>
        <v>5</v>
      </c>
      <c r="F2054" s="12">
        <f>IFERROR(__xludf.DUMMYFUNCTION("""COMPUTED_VALUE"""),2.0)</f>
        <v>2</v>
      </c>
      <c r="G2054" s="15" t="str">
        <f>IFERROR(__xludf.DUMMYFUNCTION("""COMPUTED_VALUE"""),"Completa")</f>
        <v>Completa</v>
      </c>
      <c r="H2054" s="16" t="str">
        <f t="array" ref="H2054">_xlfn.XLOOKUP(D2054,Productos[ID_Producto],Productos[Nombre_Producto])</f>
        <v>Papas fritas</v>
      </c>
      <c r="I2054" s="17">
        <f t="array" ref="I2054">_xlfn.XLOOKUP(D2054,Productos[ID_Producto],Productos[Precio_Unitario])</f>
        <v>8.23</v>
      </c>
      <c r="J2054" s="17">
        <f t="shared" si="1"/>
        <v>41.15</v>
      </c>
      <c r="K2054" s="16" t="str">
        <f t="array" ref="K2054">_xlfn.XLOOKUP(C2054,Clientes[ID_Cliente],Clientes[Provincia])</f>
        <v>Chaco</v>
      </c>
      <c r="L2054" s="16" t="str">
        <f t="array" ref="L2054">CONCATENATE(_xlfn.XLOOKUP(C2054,Clientes[ID_Cliente],Clientes[Provincia]),", Argentina")</f>
        <v>Chaco, Argentina</v>
      </c>
      <c r="M2054" s="20" t="str">
        <f t="array" ref="M2054">_xlfn.XLOOKUP(F2054,Metodos_De_Pago[ID_Metodo],Metodos_De_Pago[Metodo])</f>
        <v>Tarjeta de Crédito</v>
      </c>
      <c r="N2054" s="20" t="str">
        <f t="shared" si="2"/>
        <v>2024 03</v>
      </c>
    </row>
    <row r="2055" ht="22.5" customHeight="1">
      <c r="A2055" s="12">
        <f>IFERROR(__xludf.DUMMYFUNCTION("""COMPUTED_VALUE"""),2094.0)</f>
        <v>2094</v>
      </c>
      <c r="B2055" s="13">
        <f>IFERROR(__xludf.DUMMYFUNCTION("""COMPUTED_VALUE"""),45353.0)</f>
        <v>45353</v>
      </c>
      <c r="C2055" s="12">
        <f>IFERROR(__xludf.DUMMYFUNCTION("""COMPUTED_VALUE"""),276.0)</f>
        <v>276</v>
      </c>
      <c r="D2055" s="12">
        <f>IFERROR(__xludf.DUMMYFUNCTION("""COMPUTED_VALUE"""),25.0)</f>
        <v>25</v>
      </c>
      <c r="E2055" s="12">
        <f>IFERROR(__xludf.DUMMYFUNCTION("""COMPUTED_VALUE"""),5.0)</f>
        <v>5</v>
      </c>
      <c r="F2055" s="12">
        <f>IFERROR(__xludf.DUMMYFUNCTION("""COMPUTED_VALUE"""),3.0)</f>
        <v>3</v>
      </c>
      <c r="G2055" s="15" t="str">
        <f>IFERROR(__xludf.DUMMYFUNCTION("""COMPUTED_VALUE"""),"Completa")</f>
        <v>Completa</v>
      </c>
      <c r="H2055" s="16" t="str">
        <f t="array" ref="H2055">_xlfn.XLOOKUP(D2055,Productos[ID_Producto],Productos[Nombre_Producto])</f>
        <v>Pizza congelada</v>
      </c>
      <c r="I2055" s="17">
        <f t="array" ref="I2055">_xlfn.XLOOKUP(D2055,Productos[ID_Producto],Productos[Precio_Unitario])</f>
        <v>15.45</v>
      </c>
      <c r="J2055" s="17">
        <f t="shared" si="1"/>
        <v>77.25</v>
      </c>
      <c r="K2055" s="16" t="str">
        <f t="array" ref="K2055">_xlfn.XLOOKUP(C2055,Clientes[ID_Cliente],Clientes[Provincia])</f>
        <v>Neuquén</v>
      </c>
      <c r="L2055" s="16" t="str">
        <f t="array" ref="L2055">CONCATENATE(_xlfn.XLOOKUP(C2055,Clientes[ID_Cliente],Clientes[Provincia]),", Argentina")</f>
        <v>Neuquén, Argentina</v>
      </c>
      <c r="M2055" s="20" t="str">
        <f t="array" ref="M2055">_xlfn.XLOOKUP(F2055,Metodos_De_Pago[ID_Metodo],Metodos_De_Pago[Metodo])</f>
        <v>Tarjeta de Débito</v>
      </c>
      <c r="N2055" s="20" t="str">
        <f t="shared" si="2"/>
        <v>2024 03</v>
      </c>
    </row>
    <row r="2056" ht="22.5" customHeight="1">
      <c r="A2056" s="12">
        <f>IFERROR(__xludf.DUMMYFUNCTION("""COMPUTED_VALUE"""),95.0)</f>
        <v>95</v>
      </c>
      <c r="B2056" s="13">
        <f>IFERROR(__xludf.DUMMYFUNCTION("""COMPUTED_VALUE"""),45354.0)</f>
        <v>45354</v>
      </c>
      <c r="C2056" s="12">
        <f>IFERROR(__xludf.DUMMYFUNCTION("""COMPUTED_VALUE"""),67.0)</f>
        <v>67</v>
      </c>
      <c r="D2056" s="12">
        <f>IFERROR(__xludf.DUMMYFUNCTION("""COMPUTED_VALUE"""),14.0)</f>
        <v>14</v>
      </c>
      <c r="E2056" s="12">
        <f>IFERROR(__xludf.DUMMYFUNCTION("""COMPUTED_VALUE"""),5.0)</f>
        <v>5</v>
      </c>
      <c r="F2056" s="12">
        <f>IFERROR(__xludf.DUMMYFUNCTION("""COMPUTED_VALUE"""),4.0)</f>
        <v>4</v>
      </c>
      <c r="G2056" s="15" t="str">
        <f>IFERROR(__xludf.DUMMYFUNCTION("""COMPUTED_VALUE"""),"Completa")</f>
        <v>Completa</v>
      </c>
      <c r="H2056" s="16" t="str">
        <f t="array" ref="H2056">_xlfn.XLOOKUP(D2056,Productos[ID_Producto],Productos[Nombre_Producto])</f>
        <v>Facturas</v>
      </c>
      <c r="I2056" s="17">
        <f t="array" ref="I2056">_xlfn.XLOOKUP(D2056,Productos[ID_Producto],Productos[Precio_Unitario])</f>
        <v>12.36</v>
      </c>
      <c r="J2056" s="17">
        <f t="shared" si="1"/>
        <v>61.8</v>
      </c>
      <c r="K2056" s="16" t="str">
        <f t="array" ref="K2056">_xlfn.XLOOKUP(C2056,Clientes[ID_Cliente],Clientes[Provincia])</f>
        <v>Chaco</v>
      </c>
      <c r="L2056" s="16" t="str">
        <f t="array" ref="L2056">CONCATENATE(_xlfn.XLOOKUP(C2056,Clientes[ID_Cliente],Clientes[Provincia]),", Argentina")</f>
        <v>Chaco, Argentina</v>
      </c>
      <c r="M2056" s="20" t="str">
        <f t="array" ref="M2056">_xlfn.XLOOKUP(F2056,Metodos_De_Pago[ID_Metodo],Metodos_De_Pago[Metodo])</f>
        <v>Mercado Pago</v>
      </c>
      <c r="N2056" s="20" t="str">
        <f t="shared" si="2"/>
        <v>2024 03</v>
      </c>
    </row>
    <row r="2057" ht="22.5" customHeight="1">
      <c r="A2057" s="12">
        <f>IFERROR(__xludf.DUMMYFUNCTION("""COMPUTED_VALUE"""),365.0)</f>
        <v>365</v>
      </c>
      <c r="B2057" s="13">
        <f>IFERROR(__xludf.DUMMYFUNCTION("""COMPUTED_VALUE"""),45354.0)</f>
        <v>45354</v>
      </c>
      <c r="C2057" s="12">
        <f>IFERROR(__xludf.DUMMYFUNCTION("""COMPUTED_VALUE"""),90.0)</f>
        <v>90</v>
      </c>
      <c r="D2057" s="12">
        <f>IFERROR(__xludf.DUMMYFUNCTION("""COMPUTED_VALUE"""),8.0)</f>
        <v>8</v>
      </c>
      <c r="E2057" s="12">
        <f>IFERROR(__xludf.DUMMYFUNCTION("""COMPUTED_VALUE"""),5.0)</f>
        <v>5</v>
      </c>
      <c r="F2057" s="12">
        <f>IFERROR(__xludf.DUMMYFUNCTION("""COMPUTED_VALUE"""),5.0)</f>
        <v>5</v>
      </c>
      <c r="G2057" s="15" t="str">
        <f>IFERROR(__xludf.DUMMYFUNCTION("""COMPUTED_VALUE"""),"Completa")</f>
        <v>Completa</v>
      </c>
      <c r="H2057" s="16" t="str">
        <f t="array" ref="H2057">_xlfn.XLOOKUP(D2057,Productos[ID_Producto],Productos[Nombre_Producto])</f>
        <v>Milanesa</v>
      </c>
      <c r="I2057" s="17">
        <f t="array" ref="I2057">_xlfn.XLOOKUP(D2057,Productos[ID_Producto],Productos[Precio_Unitario])</f>
        <v>16.21</v>
      </c>
      <c r="J2057" s="17">
        <f t="shared" si="1"/>
        <v>81.05</v>
      </c>
      <c r="K2057" s="16" t="str">
        <f t="array" ref="K2057">_xlfn.XLOOKUP(C2057,Clientes[ID_Cliente],Clientes[Provincia])</f>
        <v>Buenos Aires</v>
      </c>
      <c r="L2057" s="16" t="str">
        <f t="array" ref="L2057">CONCATENATE(_xlfn.XLOOKUP(C2057,Clientes[ID_Cliente],Clientes[Provincia]),", Argentina")</f>
        <v>Buenos Aires, Argentina</v>
      </c>
      <c r="M2057" s="20" t="str">
        <f t="array" ref="M2057">_xlfn.XLOOKUP(F2057,Metodos_De_Pago[ID_Metodo],Metodos_De_Pago[Metodo])</f>
        <v>Transferencia</v>
      </c>
      <c r="N2057" s="20" t="str">
        <f t="shared" si="2"/>
        <v>2024 03</v>
      </c>
    </row>
    <row r="2058" ht="22.5" customHeight="1">
      <c r="A2058" s="12">
        <f>IFERROR(__xludf.DUMMYFUNCTION("""COMPUTED_VALUE"""),1501.0)</f>
        <v>1501</v>
      </c>
      <c r="B2058" s="13">
        <f>IFERROR(__xludf.DUMMYFUNCTION("""COMPUTED_VALUE"""),45354.0)</f>
        <v>45354</v>
      </c>
      <c r="C2058" s="12">
        <f>IFERROR(__xludf.DUMMYFUNCTION("""COMPUTED_VALUE"""),42.0)</f>
        <v>42</v>
      </c>
      <c r="D2058" s="12">
        <f>IFERROR(__xludf.DUMMYFUNCTION("""COMPUTED_VALUE"""),29.0)</f>
        <v>29</v>
      </c>
      <c r="E2058" s="12">
        <f>IFERROR(__xludf.DUMMYFUNCTION("""COMPUTED_VALUE"""),5.0)</f>
        <v>5</v>
      </c>
      <c r="F2058" s="12">
        <f>IFERROR(__xludf.DUMMYFUNCTION("""COMPUTED_VALUE"""),5.0)</f>
        <v>5</v>
      </c>
      <c r="G2058" s="15" t="str">
        <f>IFERROR(__xludf.DUMMYFUNCTION("""COMPUTED_VALUE"""),"Completa")</f>
        <v>Completa</v>
      </c>
      <c r="H2058" s="16" t="str">
        <f t="array" ref="H2058">_xlfn.XLOOKUP(D2058,Productos[ID_Producto],Productos[Nombre_Producto])</f>
        <v>Cerveza</v>
      </c>
      <c r="I2058" s="17">
        <f t="array" ref="I2058">_xlfn.XLOOKUP(D2058,Productos[ID_Producto],Productos[Precio_Unitario])</f>
        <v>11.54</v>
      </c>
      <c r="J2058" s="17">
        <f t="shared" si="1"/>
        <v>57.7</v>
      </c>
      <c r="K2058" s="16" t="str">
        <f t="array" ref="K2058">_xlfn.XLOOKUP(C2058,Clientes[ID_Cliente],Clientes[Provincia])</f>
        <v>Neuquén</v>
      </c>
      <c r="L2058" s="16" t="str">
        <f t="array" ref="L2058">CONCATENATE(_xlfn.XLOOKUP(C2058,Clientes[ID_Cliente],Clientes[Provincia]),", Argentina")</f>
        <v>Neuquén, Argentina</v>
      </c>
      <c r="M2058" s="20" t="str">
        <f t="array" ref="M2058">_xlfn.XLOOKUP(F2058,Metodos_De_Pago[ID_Metodo],Metodos_De_Pago[Metodo])</f>
        <v>Transferencia</v>
      </c>
      <c r="N2058" s="20" t="str">
        <f t="shared" si="2"/>
        <v>2024 03</v>
      </c>
    </row>
    <row r="2059" ht="22.5" customHeight="1">
      <c r="A2059" s="12">
        <f>IFERROR(__xludf.DUMMYFUNCTION("""COMPUTED_VALUE"""),275.0)</f>
        <v>275</v>
      </c>
      <c r="B2059" s="13">
        <f>IFERROR(__xludf.DUMMYFUNCTION("""COMPUTED_VALUE"""),45355.0)</f>
        <v>45355</v>
      </c>
      <c r="C2059" s="12">
        <f>IFERROR(__xludf.DUMMYFUNCTION("""COMPUTED_VALUE"""),27.0)</f>
        <v>27</v>
      </c>
      <c r="D2059" s="12">
        <f>IFERROR(__xludf.DUMMYFUNCTION("""COMPUTED_VALUE"""),11.0)</f>
        <v>11</v>
      </c>
      <c r="E2059" s="12">
        <f>IFERROR(__xludf.DUMMYFUNCTION("""COMPUTED_VALUE"""),5.0)</f>
        <v>5</v>
      </c>
      <c r="F2059" s="12">
        <f>IFERROR(__xludf.DUMMYFUNCTION("""COMPUTED_VALUE"""),4.0)</f>
        <v>4</v>
      </c>
      <c r="G2059" s="15" t="str">
        <f>IFERROR(__xludf.DUMMYFUNCTION("""COMPUTED_VALUE"""),"Completa")</f>
        <v>Completa</v>
      </c>
      <c r="H2059" s="16" t="str">
        <f t="array" ref="H2059">_xlfn.XLOOKUP(D2059,Productos[ID_Producto],Productos[Nombre_Producto])</f>
        <v>Salchicha</v>
      </c>
      <c r="I2059" s="17">
        <f t="array" ref="I2059">_xlfn.XLOOKUP(D2059,Productos[ID_Producto],Productos[Precio_Unitario])</f>
        <v>11.23</v>
      </c>
      <c r="J2059" s="17">
        <f t="shared" si="1"/>
        <v>56.15</v>
      </c>
      <c r="K2059" s="16" t="str">
        <f t="array" ref="K2059">_xlfn.XLOOKUP(C2059,Clientes[ID_Cliente],Clientes[Provincia])</f>
        <v>Buenos Aires</v>
      </c>
      <c r="L2059" s="16" t="str">
        <f t="array" ref="L2059">CONCATENATE(_xlfn.XLOOKUP(C2059,Clientes[ID_Cliente],Clientes[Provincia]),", Argentina")</f>
        <v>Buenos Aires, Argentina</v>
      </c>
      <c r="M2059" s="20" t="str">
        <f t="array" ref="M2059">_xlfn.XLOOKUP(F2059,Metodos_De_Pago[ID_Metodo],Metodos_De_Pago[Metodo])</f>
        <v>Mercado Pago</v>
      </c>
      <c r="N2059" s="20" t="str">
        <f t="shared" si="2"/>
        <v>2024 03</v>
      </c>
    </row>
    <row r="2060" ht="22.5" customHeight="1">
      <c r="A2060" s="12">
        <f>IFERROR(__xludf.DUMMYFUNCTION("""COMPUTED_VALUE"""),1737.0)</f>
        <v>1737</v>
      </c>
      <c r="B2060" s="13">
        <f>IFERROR(__xludf.DUMMYFUNCTION("""COMPUTED_VALUE"""),45355.0)</f>
        <v>45355</v>
      </c>
      <c r="C2060" s="12">
        <f>IFERROR(__xludf.DUMMYFUNCTION("""COMPUTED_VALUE"""),149.0)</f>
        <v>149</v>
      </c>
      <c r="D2060" s="12">
        <f>IFERROR(__xludf.DUMMYFUNCTION("""COMPUTED_VALUE"""),21.0)</f>
        <v>21</v>
      </c>
      <c r="E2060" s="12">
        <f>IFERROR(__xludf.DUMMYFUNCTION("""COMPUTED_VALUE"""),5.0)</f>
        <v>5</v>
      </c>
      <c r="F2060" s="12">
        <f>IFERROR(__xludf.DUMMYFUNCTION("""COMPUTED_VALUE"""),5.0)</f>
        <v>5</v>
      </c>
      <c r="G2060" s="15" t="str">
        <f>IFERROR(__xludf.DUMMYFUNCTION("""COMPUTED_VALUE"""),"Completa")</f>
        <v>Completa</v>
      </c>
      <c r="H2060" s="16" t="str">
        <f t="array" ref="H2060">_xlfn.XLOOKUP(D2060,Productos[ID_Producto],Productos[Nombre_Producto])</f>
        <v>Zanahorias</v>
      </c>
      <c r="I2060" s="17">
        <f t="array" ref="I2060">_xlfn.XLOOKUP(D2060,Productos[ID_Producto],Productos[Precio_Unitario])</f>
        <v>3.25</v>
      </c>
      <c r="J2060" s="17">
        <f t="shared" si="1"/>
        <v>16.25</v>
      </c>
      <c r="K2060" s="16" t="str">
        <f t="array" ref="K2060">_xlfn.XLOOKUP(C2060,Clientes[ID_Cliente],Clientes[Provincia])</f>
        <v>San Luis</v>
      </c>
      <c r="L2060" s="16" t="str">
        <f t="array" ref="L2060">CONCATENATE(_xlfn.XLOOKUP(C2060,Clientes[ID_Cliente],Clientes[Provincia]),", Argentina")</f>
        <v>San Luis, Argentina</v>
      </c>
      <c r="M2060" s="20" t="str">
        <f t="array" ref="M2060">_xlfn.XLOOKUP(F2060,Metodos_De_Pago[ID_Metodo],Metodos_De_Pago[Metodo])</f>
        <v>Transferencia</v>
      </c>
      <c r="N2060" s="20" t="str">
        <f t="shared" si="2"/>
        <v>2024 03</v>
      </c>
    </row>
    <row r="2061" ht="22.5" customHeight="1">
      <c r="A2061" s="12">
        <f>IFERROR(__xludf.DUMMYFUNCTION("""COMPUTED_VALUE"""),2547.0)</f>
        <v>2547</v>
      </c>
      <c r="B2061" s="13">
        <f>IFERROR(__xludf.DUMMYFUNCTION("""COMPUTED_VALUE"""),45355.0)</f>
        <v>45355</v>
      </c>
      <c r="C2061" s="12">
        <f>IFERROR(__xludf.DUMMYFUNCTION("""COMPUTED_VALUE"""),80.0)</f>
        <v>80</v>
      </c>
      <c r="D2061" s="12">
        <f>IFERROR(__xludf.DUMMYFUNCTION("""COMPUTED_VALUE"""),2.0)</f>
        <v>2</v>
      </c>
      <c r="E2061" s="12">
        <f>IFERROR(__xludf.DUMMYFUNCTION("""COMPUTED_VALUE"""),5.0)</f>
        <v>5</v>
      </c>
      <c r="F2061" s="12">
        <f>IFERROR(__xludf.DUMMYFUNCTION("""COMPUTED_VALUE"""),3.0)</f>
        <v>3</v>
      </c>
      <c r="G2061" s="15" t="str">
        <f>IFERROR(__xludf.DUMMYFUNCTION("""COMPUTED_VALUE"""),"Completa")</f>
        <v>Completa</v>
      </c>
      <c r="H2061" s="16" t="str">
        <f t="array" ref="H2061">_xlfn.XLOOKUP(D2061,Productos[ID_Producto],Productos[Nombre_Producto])</f>
        <v>Yogur</v>
      </c>
      <c r="I2061" s="17">
        <f t="array" ref="I2061">_xlfn.XLOOKUP(D2061,Productos[ID_Producto],Productos[Precio_Unitario])</f>
        <v>5.21</v>
      </c>
      <c r="J2061" s="17">
        <f t="shared" si="1"/>
        <v>26.05</v>
      </c>
      <c r="K2061" s="16" t="str">
        <f t="array" ref="K2061">_xlfn.XLOOKUP(C2061,Clientes[ID_Cliente],Clientes[Provincia])</f>
        <v>Chaco</v>
      </c>
      <c r="L2061" s="16" t="str">
        <f t="array" ref="L2061">CONCATENATE(_xlfn.XLOOKUP(C2061,Clientes[ID_Cliente],Clientes[Provincia]),", Argentina")</f>
        <v>Chaco, Argentina</v>
      </c>
      <c r="M2061" s="20" t="str">
        <f t="array" ref="M2061">_xlfn.XLOOKUP(F2061,Metodos_De_Pago[ID_Metodo],Metodos_De_Pago[Metodo])</f>
        <v>Tarjeta de Débito</v>
      </c>
      <c r="N2061" s="20" t="str">
        <f t="shared" si="2"/>
        <v>2024 03</v>
      </c>
    </row>
    <row r="2062" ht="22.5" customHeight="1">
      <c r="A2062" s="12">
        <f>IFERROR(__xludf.DUMMYFUNCTION("""COMPUTED_VALUE"""),408.0)</f>
        <v>408</v>
      </c>
      <c r="B2062" s="13">
        <f>IFERROR(__xludf.DUMMYFUNCTION("""COMPUTED_VALUE"""),45356.0)</f>
        <v>45356</v>
      </c>
      <c r="C2062" s="12">
        <f>IFERROR(__xludf.DUMMYFUNCTION("""COMPUTED_VALUE"""),7.0)</f>
        <v>7</v>
      </c>
      <c r="D2062" s="12">
        <f>IFERROR(__xludf.DUMMYFUNCTION("""COMPUTED_VALUE"""),12.0)</f>
        <v>12</v>
      </c>
      <c r="E2062" s="12">
        <f>IFERROR(__xludf.DUMMYFUNCTION("""COMPUTED_VALUE"""),5.0)</f>
        <v>5</v>
      </c>
      <c r="F2062" s="12">
        <f>IFERROR(__xludf.DUMMYFUNCTION("""COMPUTED_VALUE"""),3.0)</f>
        <v>3</v>
      </c>
      <c r="G2062" s="15" t="str">
        <f>IFERROR(__xludf.DUMMYFUNCTION("""COMPUTED_VALUE"""),"Completa")</f>
        <v>Completa</v>
      </c>
      <c r="H2062" s="16" t="str">
        <f t="array" ref="H2062">_xlfn.XLOOKUP(D2062,Productos[ID_Producto],Productos[Nombre_Producto])</f>
        <v>Pan francés</v>
      </c>
      <c r="I2062" s="17">
        <f t="array" ref="I2062">_xlfn.XLOOKUP(D2062,Productos[ID_Producto],Productos[Precio_Unitario])</f>
        <v>8.12</v>
      </c>
      <c r="J2062" s="17">
        <f t="shared" si="1"/>
        <v>40.6</v>
      </c>
      <c r="K2062" s="16" t="str">
        <f t="array" ref="K2062">_xlfn.XLOOKUP(C2062,Clientes[ID_Cliente],Clientes[Provincia])</f>
        <v>San Luis</v>
      </c>
      <c r="L2062" s="16" t="str">
        <f t="array" ref="L2062">CONCATENATE(_xlfn.XLOOKUP(C2062,Clientes[ID_Cliente],Clientes[Provincia]),", Argentina")</f>
        <v>San Luis, Argentina</v>
      </c>
      <c r="M2062" s="20" t="str">
        <f t="array" ref="M2062">_xlfn.XLOOKUP(F2062,Metodos_De_Pago[ID_Metodo],Metodos_De_Pago[Metodo])</f>
        <v>Tarjeta de Débito</v>
      </c>
      <c r="N2062" s="20" t="str">
        <f t="shared" si="2"/>
        <v>2024 03</v>
      </c>
    </row>
    <row r="2063" ht="22.5" customHeight="1">
      <c r="A2063" s="12">
        <f>IFERROR(__xludf.DUMMYFUNCTION("""COMPUTED_VALUE"""),1171.0)</f>
        <v>1171</v>
      </c>
      <c r="B2063" s="13">
        <f>IFERROR(__xludf.DUMMYFUNCTION("""COMPUTED_VALUE"""),45356.0)</f>
        <v>45356</v>
      </c>
      <c r="C2063" s="12">
        <f>IFERROR(__xludf.DUMMYFUNCTION("""COMPUTED_VALUE"""),8.0)</f>
        <v>8</v>
      </c>
      <c r="D2063" s="12">
        <f>IFERROR(__xludf.DUMMYFUNCTION("""COMPUTED_VALUE"""),14.0)</f>
        <v>14</v>
      </c>
      <c r="E2063" s="12">
        <f>IFERROR(__xludf.DUMMYFUNCTION("""COMPUTED_VALUE"""),5.0)</f>
        <v>5</v>
      </c>
      <c r="F2063" s="12">
        <f>IFERROR(__xludf.DUMMYFUNCTION("""COMPUTED_VALUE"""),3.0)</f>
        <v>3</v>
      </c>
      <c r="G2063" s="15" t="str">
        <f>IFERROR(__xludf.DUMMYFUNCTION("""COMPUTED_VALUE"""),"Completa")</f>
        <v>Completa</v>
      </c>
      <c r="H2063" s="16" t="str">
        <f t="array" ref="H2063">_xlfn.XLOOKUP(D2063,Productos[ID_Producto],Productos[Nombre_Producto])</f>
        <v>Facturas</v>
      </c>
      <c r="I2063" s="17">
        <f t="array" ref="I2063">_xlfn.XLOOKUP(D2063,Productos[ID_Producto],Productos[Precio_Unitario])</f>
        <v>12.36</v>
      </c>
      <c r="J2063" s="17">
        <f t="shared" si="1"/>
        <v>61.8</v>
      </c>
      <c r="K2063" s="16" t="str">
        <f t="array" ref="K2063">_xlfn.XLOOKUP(C2063,Clientes[ID_Cliente],Clientes[Provincia])</f>
        <v>Buenos Aires</v>
      </c>
      <c r="L2063" s="16" t="str">
        <f t="array" ref="L2063">CONCATENATE(_xlfn.XLOOKUP(C2063,Clientes[ID_Cliente],Clientes[Provincia]),", Argentina")</f>
        <v>Buenos Aires, Argentina</v>
      </c>
      <c r="M2063" s="20" t="str">
        <f t="array" ref="M2063">_xlfn.XLOOKUP(F2063,Metodos_De_Pago[ID_Metodo],Metodos_De_Pago[Metodo])</f>
        <v>Tarjeta de Débito</v>
      </c>
      <c r="N2063" s="20" t="str">
        <f t="shared" si="2"/>
        <v>2024 03</v>
      </c>
    </row>
    <row r="2064" ht="22.5" customHeight="1">
      <c r="A2064" s="12">
        <f>IFERROR(__xludf.DUMMYFUNCTION("""COMPUTED_VALUE"""),2479.0)</f>
        <v>2479</v>
      </c>
      <c r="B2064" s="13">
        <f>IFERROR(__xludf.DUMMYFUNCTION("""COMPUTED_VALUE"""),45356.0)</f>
        <v>45356</v>
      </c>
      <c r="C2064" s="12">
        <f>IFERROR(__xludf.DUMMYFUNCTION("""COMPUTED_VALUE"""),85.0)</f>
        <v>85</v>
      </c>
      <c r="D2064" s="12">
        <f>IFERROR(__xludf.DUMMYFUNCTION("""COMPUTED_VALUE"""),34.0)</f>
        <v>34</v>
      </c>
      <c r="E2064" s="12">
        <f>IFERROR(__xludf.DUMMYFUNCTION("""COMPUTED_VALUE"""),5.0)</f>
        <v>5</v>
      </c>
      <c r="F2064" s="12">
        <f>IFERROR(__xludf.DUMMYFUNCTION("""COMPUTED_VALUE"""),5.0)</f>
        <v>5</v>
      </c>
      <c r="G2064" s="15" t="str">
        <f>IFERROR(__xludf.DUMMYFUNCTION("""COMPUTED_VALUE"""),"Completa")</f>
        <v>Completa</v>
      </c>
      <c r="H2064" s="16" t="str">
        <f t="array" ref="H2064">_xlfn.XLOOKUP(D2064,Productos[ID_Producto],Productos[Nombre_Producto])</f>
        <v>Maníes</v>
      </c>
      <c r="I2064" s="17">
        <f t="array" ref="I2064">_xlfn.XLOOKUP(D2064,Productos[ID_Producto],Productos[Precio_Unitario])</f>
        <v>5.45</v>
      </c>
      <c r="J2064" s="17">
        <f t="shared" si="1"/>
        <v>27.25</v>
      </c>
      <c r="K2064" s="16" t="str">
        <f t="array" ref="K2064">_xlfn.XLOOKUP(C2064,Clientes[ID_Cliente],Clientes[Provincia])</f>
        <v>San Luis</v>
      </c>
      <c r="L2064" s="16" t="str">
        <f t="array" ref="L2064">CONCATENATE(_xlfn.XLOOKUP(C2064,Clientes[ID_Cliente],Clientes[Provincia]),", Argentina")</f>
        <v>San Luis, Argentina</v>
      </c>
      <c r="M2064" s="20" t="str">
        <f t="array" ref="M2064">_xlfn.XLOOKUP(F2064,Metodos_De_Pago[ID_Metodo],Metodos_De_Pago[Metodo])</f>
        <v>Transferencia</v>
      </c>
      <c r="N2064" s="20" t="str">
        <f t="shared" si="2"/>
        <v>2024 03</v>
      </c>
    </row>
    <row r="2065" ht="22.5" customHeight="1">
      <c r="A2065" s="12">
        <f>IFERROR(__xludf.DUMMYFUNCTION("""COMPUTED_VALUE"""),2669.0)</f>
        <v>2669</v>
      </c>
      <c r="B2065" s="13">
        <f>IFERROR(__xludf.DUMMYFUNCTION("""COMPUTED_VALUE"""),45356.0)</f>
        <v>45356</v>
      </c>
      <c r="C2065" s="12">
        <f>IFERROR(__xludf.DUMMYFUNCTION("""COMPUTED_VALUE"""),68.0)</f>
        <v>68</v>
      </c>
      <c r="D2065" s="12">
        <f>IFERROR(__xludf.DUMMYFUNCTION("""COMPUTED_VALUE"""),2.0)</f>
        <v>2</v>
      </c>
      <c r="E2065" s="12">
        <f>IFERROR(__xludf.DUMMYFUNCTION("""COMPUTED_VALUE"""),5.0)</f>
        <v>5</v>
      </c>
      <c r="F2065" s="12">
        <f>IFERROR(__xludf.DUMMYFUNCTION("""COMPUTED_VALUE"""),1.0)</f>
        <v>1</v>
      </c>
      <c r="G2065" s="15" t="str">
        <f>IFERROR(__xludf.DUMMYFUNCTION("""COMPUTED_VALUE"""),"Pendiente")</f>
        <v>Pendiente</v>
      </c>
      <c r="H2065" s="16" t="str">
        <f t="array" ref="H2065">_xlfn.XLOOKUP(D2065,Productos[ID_Producto],Productos[Nombre_Producto])</f>
        <v>Yogur</v>
      </c>
      <c r="I2065" s="17">
        <f t="array" ref="I2065">_xlfn.XLOOKUP(D2065,Productos[ID_Producto],Productos[Precio_Unitario])</f>
        <v>5.21</v>
      </c>
      <c r="J2065" s="17">
        <f t="shared" si="1"/>
        <v>26.05</v>
      </c>
      <c r="K2065" s="16" t="str">
        <f t="array" ref="K2065">_xlfn.XLOOKUP(C2065,Clientes[ID_Cliente],Clientes[Provincia])</f>
        <v>Neuquén</v>
      </c>
      <c r="L2065" s="16" t="str">
        <f t="array" ref="L2065">CONCATENATE(_xlfn.XLOOKUP(C2065,Clientes[ID_Cliente],Clientes[Provincia]),", Argentina")</f>
        <v>Neuquén, Argentina</v>
      </c>
      <c r="M2065" s="20" t="str">
        <f t="array" ref="M2065">_xlfn.XLOOKUP(F2065,Metodos_De_Pago[ID_Metodo],Metodos_De_Pago[Metodo])</f>
        <v>Efectivo</v>
      </c>
      <c r="N2065" s="20" t="str">
        <f t="shared" si="2"/>
        <v>2024 03</v>
      </c>
    </row>
    <row r="2066" ht="22.5" customHeight="1">
      <c r="A2066" s="12">
        <f>IFERROR(__xludf.DUMMYFUNCTION("""COMPUTED_VALUE"""),556.0)</f>
        <v>556</v>
      </c>
      <c r="B2066" s="13">
        <f>IFERROR(__xludf.DUMMYFUNCTION("""COMPUTED_VALUE"""),45358.0)</f>
        <v>45358</v>
      </c>
      <c r="C2066" s="12">
        <f>IFERROR(__xludf.DUMMYFUNCTION("""COMPUTED_VALUE"""),104.0)</f>
        <v>104</v>
      </c>
      <c r="D2066" s="12">
        <f>IFERROR(__xludf.DUMMYFUNCTION("""COMPUTED_VALUE"""),23.0)</f>
        <v>23</v>
      </c>
      <c r="E2066" s="12">
        <f>IFERROR(__xludf.DUMMYFUNCTION("""COMPUTED_VALUE"""),5.0)</f>
        <v>5</v>
      </c>
      <c r="F2066" s="12">
        <f>IFERROR(__xludf.DUMMYFUNCTION("""COMPUTED_VALUE"""),1.0)</f>
        <v>1</v>
      </c>
      <c r="G2066" s="15" t="str">
        <f>IFERROR(__xludf.DUMMYFUNCTION("""COMPUTED_VALUE"""),"Pendiente")</f>
        <v>Pendiente</v>
      </c>
      <c r="H2066" s="16" t="str">
        <f t="array" ref="H2066">_xlfn.XLOOKUP(D2066,Productos[ID_Producto],Productos[Nombre_Producto])</f>
        <v>Papas fritas</v>
      </c>
      <c r="I2066" s="17">
        <f t="array" ref="I2066">_xlfn.XLOOKUP(D2066,Productos[ID_Producto],Productos[Precio_Unitario])</f>
        <v>8.23</v>
      </c>
      <c r="J2066" s="17">
        <f t="shared" si="1"/>
        <v>41.15</v>
      </c>
      <c r="K2066" s="16" t="str">
        <f t="array" ref="K2066">_xlfn.XLOOKUP(C2066,Clientes[ID_Cliente],Clientes[Provincia])</f>
        <v>Buenos Aires</v>
      </c>
      <c r="L2066" s="16" t="str">
        <f t="array" ref="L2066">CONCATENATE(_xlfn.XLOOKUP(C2066,Clientes[ID_Cliente],Clientes[Provincia]),", Argentina")</f>
        <v>Buenos Aires, Argentina</v>
      </c>
      <c r="M2066" s="20" t="str">
        <f t="array" ref="M2066">_xlfn.XLOOKUP(F2066,Metodos_De_Pago[ID_Metodo],Metodos_De_Pago[Metodo])</f>
        <v>Efectivo</v>
      </c>
      <c r="N2066" s="20" t="str">
        <f t="shared" si="2"/>
        <v>2024 03</v>
      </c>
    </row>
    <row r="2067" ht="22.5" customHeight="1">
      <c r="A2067" s="12">
        <f>IFERROR(__xludf.DUMMYFUNCTION("""COMPUTED_VALUE"""),1756.0)</f>
        <v>1756</v>
      </c>
      <c r="B2067" s="13">
        <f>IFERROR(__xludf.DUMMYFUNCTION("""COMPUTED_VALUE"""),45358.0)</f>
        <v>45358</v>
      </c>
      <c r="C2067" s="12">
        <f>IFERROR(__xludf.DUMMYFUNCTION("""COMPUTED_VALUE"""),309.0)</f>
        <v>309</v>
      </c>
      <c r="D2067" s="12">
        <f>IFERROR(__xludf.DUMMYFUNCTION("""COMPUTED_VALUE"""),13.0)</f>
        <v>13</v>
      </c>
      <c r="E2067" s="12">
        <f>IFERROR(__xludf.DUMMYFUNCTION("""COMPUTED_VALUE"""),5.0)</f>
        <v>5</v>
      </c>
      <c r="F2067" s="12">
        <f>IFERROR(__xludf.DUMMYFUNCTION("""COMPUTED_VALUE"""),4.0)</f>
        <v>4</v>
      </c>
      <c r="G2067" s="15" t="str">
        <f>IFERROR(__xludf.DUMMYFUNCTION("""COMPUTED_VALUE"""),"Completa")</f>
        <v>Completa</v>
      </c>
      <c r="H2067" s="16" t="str">
        <f t="array" ref="H2067">_xlfn.XLOOKUP(D2067,Productos[ID_Producto],Productos[Nombre_Producto])</f>
        <v>Pan integral</v>
      </c>
      <c r="I2067" s="17">
        <f t="array" ref="I2067">_xlfn.XLOOKUP(D2067,Productos[ID_Producto],Productos[Precio_Unitario])</f>
        <v>12.56</v>
      </c>
      <c r="J2067" s="17">
        <f t="shared" si="1"/>
        <v>62.8</v>
      </c>
      <c r="K2067" s="16" t="str">
        <f t="array" ref="K2067">_xlfn.XLOOKUP(C2067,Clientes[ID_Cliente],Clientes[Provincia])</f>
        <v>Córdoba</v>
      </c>
      <c r="L2067" s="16" t="str">
        <f t="array" ref="L2067">CONCATENATE(_xlfn.XLOOKUP(C2067,Clientes[ID_Cliente],Clientes[Provincia]),", Argentina")</f>
        <v>Córdoba, Argentina</v>
      </c>
      <c r="M2067" s="20" t="str">
        <f t="array" ref="M2067">_xlfn.XLOOKUP(F2067,Metodos_De_Pago[ID_Metodo],Metodos_De_Pago[Metodo])</f>
        <v>Mercado Pago</v>
      </c>
      <c r="N2067" s="20" t="str">
        <f t="shared" si="2"/>
        <v>2024 03</v>
      </c>
    </row>
    <row r="2068" ht="22.5" customHeight="1">
      <c r="A2068" s="12">
        <f>IFERROR(__xludf.DUMMYFUNCTION("""COMPUTED_VALUE"""),2156.0)</f>
        <v>2156</v>
      </c>
      <c r="B2068" s="13">
        <f>IFERROR(__xludf.DUMMYFUNCTION("""COMPUTED_VALUE"""),45358.0)</f>
        <v>45358</v>
      </c>
      <c r="C2068" s="12">
        <f>IFERROR(__xludf.DUMMYFUNCTION("""COMPUTED_VALUE"""),193.0)</f>
        <v>193</v>
      </c>
      <c r="D2068" s="12">
        <f>IFERROR(__xludf.DUMMYFUNCTION("""COMPUTED_VALUE"""),26.0)</f>
        <v>26</v>
      </c>
      <c r="E2068" s="12">
        <f>IFERROR(__xludf.DUMMYFUNCTION("""COMPUTED_VALUE"""),5.0)</f>
        <v>5</v>
      </c>
      <c r="F2068" s="12">
        <f>IFERROR(__xludf.DUMMYFUNCTION("""COMPUTED_VALUE"""),1.0)</f>
        <v>1</v>
      </c>
      <c r="G2068" s="15" t="str">
        <f>IFERROR(__xludf.DUMMYFUNCTION("""COMPUTED_VALUE"""),"Completa")</f>
        <v>Completa</v>
      </c>
      <c r="H2068" s="16" t="str">
        <f t="array" ref="H2068">_xlfn.XLOOKUP(D2068,Productos[ID_Producto],Productos[Nombre_Producto])</f>
        <v>Hamburgesas congeladas</v>
      </c>
      <c r="I2068" s="17">
        <f t="array" ref="I2068">_xlfn.XLOOKUP(D2068,Productos[ID_Producto],Productos[Precio_Unitario])</f>
        <v>9.54</v>
      </c>
      <c r="J2068" s="17">
        <f t="shared" si="1"/>
        <v>47.7</v>
      </c>
      <c r="K2068" s="16" t="str">
        <f t="array" ref="K2068">_xlfn.XLOOKUP(C2068,Clientes[ID_Cliente],Clientes[Provincia])</f>
        <v>Buenos Aires</v>
      </c>
      <c r="L2068" s="16" t="str">
        <f t="array" ref="L2068">CONCATENATE(_xlfn.XLOOKUP(C2068,Clientes[ID_Cliente],Clientes[Provincia]),", Argentina")</f>
        <v>Buenos Aires, Argentina</v>
      </c>
      <c r="M2068" s="20" t="str">
        <f t="array" ref="M2068">_xlfn.XLOOKUP(F2068,Metodos_De_Pago[ID_Metodo],Metodos_De_Pago[Metodo])</f>
        <v>Efectivo</v>
      </c>
      <c r="N2068" s="20" t="str">
        <f t="shared" si="2"/>
        <v>2024 03</v>
      </c>
    </row>
    <row r="2069" ht="22.5" customHeight="1">
      <c r="A2069" s="12">
        <f>IFERROR(__xludf.DUMMYFUNCTION("""COMPUTED_VALUE"""),438.0)</f>
        <v>438</v>
      </c>
      <c r="B2069" s="13">
        <f>IFERROR(__xludf.DUMMYFUNCTION("""COMPUTED_VALUE"""),45359.0)</f>
        <v>45359</v>
      </c>
      <c r="C2069" s="12">
        <f>IFERROR(__xludf.DUMMYFUNCTION("""COMPUTED_VALUE"""),307.0)</f>
        <v>307</v>
      </c>
      <c r="D2069" s="12">
        <f>IFERROR(__xludf.DUMMYFUNCTION("""COMPUTED_VALUE"""),29.0)</f>
        <v>29</v>
      </c>
      <c r="E2069" s="12">
        <f>IFERROR(__xludf.DUMMYFUNCTION("""COMPUTED_VALUE"""),5.0)</f>
        <v>5</v>
      </c>
      <c r="F2069" s="12">
        <f>IFERROR(__xludf.DUMMYFUNCTION("""COMPUTED_VALUE"""),2.0)</f>
        <v>2</v>
      </c>
      <c r="G2069" s="15" t="str">
        <f>IFERROR(__xludf.DUMMYFUNCTION("""COMPUTED_VALUE"""),"Completa")</f>
        <v>Completa</v>
      </c>
      <c r="H2069" s="16" t="str">
        <f t="array" ref="H2069">_xlfn.XLOOKUP(D2069,Productos[ID_Producto],Productos[Nombre_Producto])</f>
        <v>Cerveza</v>
      </c>
      <c r="I2069" s="17">
        <f t="array" ref="I2069">_xlfn.XLOOKUP(D2069,Productos[ID_Producto],Productos[Precio_Unitario])</f>
        <v>11.54</v>
      </c>
      <c r="J2069" s="17">
        <f t="shared" si="1"/>
        <v>57.7</v>
      </c>
      <c r="K2069" s="16" t="str">
        <f t="array" ref="K2069">_xlfn.XLOOKUP(C2069,Clientes[ID_Cliente],Clientes[Provincia])</f>
        <v>San Luis</v>
      </c>
      <c r="L2069" s="16" t="str">
        <f t="array" ref="L2069">CONCATENATE(_xlfn.XLOOKUP(C2069,Clientes[ID_Cliente],Clientes[Provincia]),", Argentina")</f>
        <v>San Luis, Argentina</v>
      </c>
      <c r="M2069" s="20" t="str">
        <f t="array" ref="M2069">_xlfn.XLOOKUP(F2069,Metodos_De_Pago[ID_Metodo],Metodos_De_Pago[Metodo])</f>
        <v>Tarjeta de Crédito</v>
      </c>
      <c r="N2069" s="20" t="str">
        <f t="shared" si="2"/>
        <v>2024 03</v>
      </c>
    </row>
    <row r="2070" ht="22.5" customHeight="1">
      <c r="A2070" s="12">
        <f>IFERROR(__xludf.DUMMYFUNCTION("""COMPUTED_VALUE"""),1577.0)</f>
        <v>1577</v>
      </c>
      <c r="B2070" s="13">
        <f>IFERROR(__xludf.DUMMYFUNCTION("""COMPUTED_VALUE"""),45359.0)</f>
        <v>45359</v>
      </c>
      <c r="C2070" s="12">
        <f>IFERROR(__xludf.DUMMYFUNCTION("""COMPUTED_VALUE"""),25.0)</f>
        <v>25</v>
      </c>
      <c r="D2070" s="12">
        <f>IFERROR(__xludf.DUMMYFUNCTION("""COMPUTED_VALUE"""),26.0)</f>
        <v>26</v>
      </c>
      <c r="E2070" s="12">
        <f>IFERROR(__xludf.DUMMYFUNCTION("""COMPUTED_VALUE"""),5.0)</f>
        <v>5</v>
      </c>
      <c r="F2070" s="12">
        <f>IFERROR(__xludf.DUMMYFUNCTION("""COMPUTED_VALUE"""),4.0)</f>
        <v>4</v>
      </c>
      <c r="G2070" s="15" t="str">
        <f>IFERROR(__xludf.DUMMYFUNCTION("""COMPUTED_VALUE"""),"Pendiente")</f>
        <v>Pendiente</v>
      </c>
      <c r="H2070" s="16" t="str">
        <f t="array" ref="H2070">_xlfn.XLOOKUP(D2070,Productos[ID_Producto],Productos[Nombre_Producto])</f>
        <v>Hamburgesas congeladas</v>
      </c>
      <c r="I2070" s="17">
        <f t="array" ref="I2070">_xlfn.XLOOKUP(D2070,Productos[ID_Producto],Productos[Precio_Unitario])</f>
        <v>9.54</v>
      </c>
      <c r="J2070" s="17">
        <f t="shared" si="1"/>
        <v>47.7</v>
      </c>
      <c r="K2070" s="16" t="str">
        <f t="array" ref="K2070">_xlfn.XLOOKUP(C2070,Clientes[ID_Cliente],Clientes[Provincia])</f>
        <v>Neuquén</v>
      </c>
      <c r="L2070" s="16" t="str">
        <f t="array" ref="L2070">CONCATENATE(_xlfn.XLOOKUP(C2070,Clientes[ID_Cliente],Clientes[Provincia]),", Argentina")</f>
        <v>Neuquén, Argentina</v>
      </c>
      <c r="M2070" s="20" t="str">
        <f t="array" ref="M2070">_xlfn.XLOOKUP(F2070,Metodos_De_Pago[ID_Metodo],Metodos_De_Pago[Metodo])</f>
        <v>Mercado Pago</v>
      </c>
      <c r="N2070" s="20" t="str">
        <f t="shared" si="2"/>
        <v>2024 03</v>
      </c>
    </row>
    <row r="2071" ht="22.5" customHeight="1">
      <c r="A2071" s="12">
        <f>IFERROR(__xludf.DUMMYFUNCTION("""COMPUTED_VALUE"""),152.0)</f>
        <v>152</v>
      </c>
      <c r="B2071" s="13">
        <f>IFERROR(__xludf.DUMMYFUNCTION("""COMPUTED_VALUE"""),45361.0)</f>
        <v>45361</v>
      </c>
      <c r="C2071" s="12">
        <f>IFERROR(__xludf.DUMMYFUNCTION("""COMPUTED_VALUE"""),64.0)</f>
        <v>64</v>
      </c>
      <c r="D2071" s="12">
        <f>IFERROR(__xludf.DUMMYFUNCTION("""COMPUTED_VALUE"""),11.0)</f>
        <v>11</v>
      </c>
      <c r="E2071" s="12">
        <f>IFERROR(__xludf.DUMMYFUNCTION("""COMPUTED_VALUE"""),5.0)</f>
        <v>5</v>
      </c>
      <c r="F2071" s="12">
        <f>IFERROR(__xludf.DUMMYFUNCTION("""COMPUTED_VALUE"""),4.0)</f>
        <v>4</v>
      </c>
      <c r="G2071" s="15" t="str">
        <f>IFERROR(__xludf.DUMMYFUNCTION("""COMPUTED_VALUE"""),"Completa")</f>
        <v>Completa</v>
      </c>
      <c r="H2071" s="16" t="str">
        <f t="array" ref="H2071">_xlfn.XLOOKUP(D2071,Productos[ID_Producto],Productos[Nombre_Producto])</f>
        <v>Salchicha</v>
      </c>
      <c r="I2071" s="17">
        <f t="array" ref="I2071">_xlfn.XLOOKUP(D2071,Productos[ID_Producto],Productos[Precio_Unitario])</f>
        <v>11.23</v>
      </c>
      <c r="J2071" s="17">
        <f t="shared" si="1"/>
        <v>56.15</v>
      </c>
      <c r="K2071" s="16" t="str">
        <f t="array" ref="K2071">_xlfn.XLOOKUP(C2071,Clientes[ID_Cliente],Clientes[Provincia])</f>
        <v>Chaco</v>
      </c>
      <c r="L2071" s="16" t="str">
        <f t="array" ref="L2071">CONCATENATE(_xlfn.XLOOKUP(C2071,Clientes[ID_Cliente],Clientes[Provincia]),", Argentina")</f>
        <v>Chaco, Argentina</v>
      </c>
      <c r="M2071" s="20" t="str">
        <f t="array" ref="M2071">_xlfn.XLOOKUP(F2071,Metodos_De_Pago[ID_Metodo],Metodos_De_Pago[Metodo])</f>
        <v>Mercado Pago</v>
      </c>
      <c r="N2071" s="20" t="str">
        <f t="shared" si="2"/>
        <v>2024 03</v>
      </c>
    </row>
    <row r="2072" ht="22.5" customHeight="1">
      <c r="A2072" s="12">
        <f>IFERROR(__xludf.DUMMYFUNCTION("""COMPUTED_VALUE"""),1639.0)</f>
        <v>1639</v>
      </c>
      <c r="B2072" s="13">
        <f>IFERROR(__xludf.DUMMYFUNCTION("""COMPUTED_VALUE"""),45361.0)</f>
        <v>45361</v>
      </c>
      <c r="C2072" s="12">
        <f>IFERROR(__xludf.DUMMYFUNCTION("""COMPUTED_VALUE"""),230.0)</f>
        <v>230</v>
      </c>
      <c r="D2072" s="12">
        <f>IFERROR(__xludf.DUMMYFUNCTION("""COMPUTED_VALUE"""),26.0)</f>
        <v>26</v>
      </c>
      <c r="E2072" s="12">
        <f>IFERROR(__xludf.DUMMYFUNCTION("""COMPUTED_VALUE"""),5.0)</f>
        <v>5</v>
      </c>
      <c r="F2072" s="12">
        <f>IFERROR(__xludf.DUMMYFUNCTION("""COMPUTED_VALUE"""),4.0)</f>
        <v>4</v>
      </c>
      <c r="G2072" s="15" t="str">
        <f>IFERROR(__xludf.DUMMYFUNCTION("""COMPUTED_VALUE"""),"Completa")</f>
        <v>Completa</v>
      </c>
      <c r="H2072" s="16" t="str">
        <f t="array" ref="H2072">_xlfn.XLOOKUP(D2072,Productos[ID_Producto],Productos[Nombre_Producto])</f>
        <v>Hamburgesas congeladas</v>
      </c>
      <c r="I2072" s="17">
        <f t="array" ref="I2072">_xlfn.XLOOKUP(D2072,Productos[ID_Producto],Productos[Precio_Unitario])</f>
        <v>9.54</v>
      </c>
      <c r="J2072" s="17">
        <f t="shared" si="1"/>
        <v>47.7</v>
      </c>
      <c r="K2072" s="16" t="str">
        <f t="array" ref="K2072">_xlfn.XLOOKUP(C2072,Clientes[ID_Cliente],Clientes[Provincia])</f>
        <v>Córdoba</v>
      </c>
      <c r="L2072" s="16" t="str">
        <f t="array" ref="L2072">CONCATENATE(_xlfn.XLOOKUP(C2072,Clientes[ID_Cliente],Clientes[Provincia]),", Argentina")</f>
        <v>Córdoba, Argentina</v>
      </c>
      <c r="M2072" s="20" t="str">
        <f t="array" ref="M2072">_xlfn.XLOOKUP(F2072,Metodos_De_Pago[ID_Metodo],Metodos_De_Pago[Metodo])</f>
        <v>Mercado Pago</v>
      </c>
      <c r="N2072" s="20" t="str">
        <f t="shared" si="2"/>
        <v>2024 03</v>
      </c>
    </row>
    <row r="2073" ht="22.5" customHeight="1">
      <c r="A2073" s="12">
        <f>IFERROR(__xludf.DUMMYFUNCTION("""COMPUTED_VALUE"""),1148.0)</f>
        <v>1148</v>
      </c>
      <c r="B2073" s="13">
        <f>IFERROR(__xludf.DUMMYFUNCTION("""COMPUTED_VALUE"""),45362.0)</f>
        <v>45362</v>
      </c>
      <c r="C2073" s="12">
        <f>IFERROR(__xludf.DUMMYFUNCTION("""COMPUTED_VALUE"""),67.0)</f>
        <v>67</v>
      </c>
      <c r="D2073" s="12">
        <f>IFERROR(__xludf.DUMMYFUNCTION("""COMPUTED_VALUE"""),25.0)</f>
        <v>25</v>
      </c>
      <c r="E2073" s="12">
        <f>IFERROR(__xludf.DUMMYFUNCTION("""COMPUTED_VALUE"""),5.0)</f>
        <v>5</v>
      </c>
      <c r="F2073" s="12">
        <f>IFERROR(__xludf.DUMMYFUNCTION("""COMPUTED_VALUE"""),4.0)</f>
        <v>4</v>
      </c>
      <c r="G2073" s="15" t="str">
        <f>IFERROR(__xludf.DUMMYFUNCTION("""COMPUTED_VALUE"""),"Pendiente")</f>
        <v>Pendiente</v>
      </c>
      <c r="H2073" s="16" t="str">
        <f t="array" ref="H2073">_xlfn.XLOOKUP(D2073,Productos[ID_Producto],Productos[Nombre_Producto])</f>
        <v>Pizza congelada</v>
      </c>
      <c r="I2073" s="17">
        <f t="array" ref="I2073">_xlfn.XLOOKUP(D2073,Productos[ID_Producto],Productos[Precio_Unitario])</f>
        <v>15.45</v>
      </c>
      <c r="J2073" s="17">
        <f t="shared" si="1"/>
        <v>77.25</v>
      </c>
      <c r="K2073" s="16" t="str">
        <f t="array" ref="K2073">_xlfn.XLOOKUP(C2073,Clientes[ID_Cliente],Clientes[Provincia])</f>
        <v>Chaco</v>
      </c>
      <c r="L2073" s="16" t="str">
        <f t="array" ref="L2073">CONCATENATE(_xlfn.XLOOKUP(C2073,Clientes[ID_Cliente],Clientes[Provincia]),", Argentina")</f>
        <v>Chaco, Argentina</v>
      </c>
      <c r="M2073" s="20" t="str">
        <f t="array" ref="M2073">_xlfn.XLOOKUP(F2073,Metodos_De_Pago[ID_Metodo],Metodos_De_Pago[Metodo])</f>
        <v>Mercado Pago</v>
      </c>
      <c r="N2073" s="20" t="str">
        <f t="shared" si="2"/>
        <v>2024 03</v>
      </c>
    </row>
    <row r="2074" ht="22.5" customHeight="1">
      <c r="A2074" s="12">
        <f>IFERROR(__xludf.DUMMYFUNCTION("""COMPUTED_VALUE"""),437.0)</f>
        <v>437</v>
      </c>
      <c r="B2074" s="13">
        <f>IFERROR(__xludf.DUMMYFUNCTION("""COMPUTED_VALUE"""),45363.0)</f>
        <v>45363</v>
      </c>
      <c r="C2074" s="12">
        <f>IFERROR(__xludf.DUMMYFUNCTION("""COMPUTED_VALUE"""),211.0)</f>
        <v>211</v>
      </c>
      <c r="D2074" s="12">
        <f>IFERROR(__xludf.DUMMYFUNCTION("""COMPUTED_VALUE"""),15.0)</f>
        <v>15</v>
      </c>
      <c r="E2074" s="12">
        <f>IFERROR(__xludf.DUMMYFUNCTION("""COMPUTED_VALUE"""),5.0)</f>
        <v>5</v>
      </c>
      <c r="F2074" s="12">
        <f>IFERROR(__xludf.DUMMYFUNCTION("""COMPUTED_VALUE"""),1.0)</f>
        <v>1</v>
      </c>
      <c r="G2074" s="15" t="str">
        <f>IFERROR(__xludf.DUMMYFUNCTION("""COMPUTED_VALUE"""),"Completa")</f>
        <v>Completa</v>
      </c>
      <c r="H2074" s="16" t="str">
        <f t="array" ref="H2074">_xlfn.XLOOKUP(D2074,Productos[ID_Producto],Productos[Nombre_Producto])</f>
        <v>Medialunas</v>
      </c>
      <c r="I2074" s="17">
        <f t="array" ref="I2074">_xlfn.XLOOKUP(D2074,Productos[ID_Producto],Productos[Precio_Unitario])</f>
        <v>3.51</v>
      </c>
      <c r="J2074" s="17">
        <f t="shared" si="1"/>
        <v>17.55</v>
      </c>
      <c r="K2074" s="16" t="str">
        <f t="array" ref="K2074">_xlfn.XLOOKUP(C2074,Clientes[ID_Cliente],Clientes[Provincia])</f>
        <v>Córdoba</v>
      </c>
      <c r="L2074" s="16" t="str">
        <f t="array" ref="L2074">CONCATENATE(_xlfn.XLOOKUP(C2074,Clientes[ID_Cliente],Clientes[Provincia]),", Argentina")</f>
        <v>Córdoba, Argentina</v>
      </c>
      <c r="M2074" s="20" t="str">
        <f t="array" ref="M2074">_xlfn.XLOOKUP(F2074,Metodos_De_Pago[ID_Metodo],Metodos_De_Pago[Metodo])</f>
        <v>Efectivo</v>
      </c>
      <c r="N2074" s="20" t="str">
        <f t="shared" si="2"/>
        <v>2024 03</v>
      </c>
    </row>
    <row r="2075" ht="22.5" customHeight="1">
      <c r="A2075" s="12">
        <f>IFERROR(__xludf.DUMMYFUNCTION("""COMPUTED_VALUE"""),2416.0)</f>
        <v>2416</v>
      </c>
      <c r="B2075" s="13">
        <f>IFERROR(__xludf.DUMMYFUNCTION("""COMPUTED_VALUE"""),45363.0)</f>
        <v>45363</v>
      </c>
      <c r="C2075" s="12">
        <f>IFERROR(__xludf.DUMMYFUNCTION("""COMPUTED_VALUE"""),49.0)</f>
        <v>49</v>
      </c>
      <c r="D2075" s="12">
        <f>IFERROR(__xludf.DUMMYFUNCTION("""COMPUTED_VALUE"""),11.0)</f>
        <v>11</v>
      </c>
      <c r="E2075" s="12">
        <f>IFERROR(__xludf.DUMMYFUNCTION("""COMPUTED_VALUE"""),5.0)</f>
        <v>5</v>
      </c>
      <c r="F2075" s="12">
        <f>IFERROR(__xludf.DUMMYFUNCTION("""COMPUTED_VALUE"""),4.0)</f>
        <v>4</v>
      </c>
      <c r="G2075" s="15" t="str">
        <f>IFERROR(__xludf.DUMMYFUNCTION("""COMPUTED_VALUE"""),"Completa")</f>
        <v>Completa</v>
      </c>
      <c r="H2075" s="16" t="str">
        <f t="array" ref="H2075">_xlfn.XLOOKUP(D2075,Productos[ID_Producto],Productos[Nombre_Producto])</f>
        <v>Salchicha</v>
      </c>
      <c r="I2075" s="17">
        <f t="array" ref="I2075">_xlfn.XLOOKUP(D2075,Productos[ID_Producto],Productos[Precio_Unitario])</f>
        <v>11.23</v>
      </c>
      <c r="J2075" s="17">
        <f t="shared" si="1"/>
        <v>56.15</v>
      </c>
      <c r="K2075" s="16" t="str">
        <f t="array" ref="K2075">_xlfn.XLOOKUP(C2075,Clientes[ID_Cliente],Clientes[Provincia])</f>
        <v>Buenos Aires</v>
      </c>
      <c r="L2075" s="16" t="str">
        <f t="array" ref="L2075">CONCATENATE(_xlfn.XLOOKUP(C2075,Clientes[ID_Cliente],Clientes[Provincia]),", Argentina")</f>
        <v>Buenos Aires, Argentina</v>
      </c>
      <c r="M2075" s="20" t="str">
        <f t="array" ref="M2075">_xlfn.XLOOKUP(F2075,Metodos_De_Pago[ID_Metodo],Metodos_De_Pago[Metodo])</f>
        <v>Mercado Pago</v>
      </c>
      <c r="N2075" s="20" t="str">
        <f t="shared" si="2"/>
        <v>2024 03</v>
      </c>
    </row>
    <row r="2076" ht="22.5" customHeight="1">
      <c r="A2076" s="12">
        <f>IFERROR(__xludf.DUMMYFUNCTION("""COMPUTED_VALUE"""),656.0)</f>
        <v>656</v>
      </c>
      <c r="B2076" s="13">
        <f>IFERROR(__xludf.DUMMYFUNCTION("""COMPUTED_VALUE"""),45364.0)</f>
        <v>45364</v>
      </c>
      <c r="C2076" s="12">
        <f>IFERROR(__xludf.DUMMYFUNCTION("""COMPUTED_VALUE"""),35.0)</f>
        <v>35</v>
      </c>
      <c r="D2076" s="12">
        <f>IFERROR(__xludf.DUMMYFUNCTION("""COMPUTED_VALUE"""),6.0)</f>
        <v>6</v>
      </c>
      <c r="E2076" s="12">
        <f>IFERROR(__xludf.DUMMYFUNCTION("""COMPUTED_VALUE"""),5.0)</f>
        <v>5</v>
      </c>
      <c r="F2076" s="12">
        <f>IFERROR(__xludf.DUMMYFUNCTION("""COMPUTED_VALUE"""),3.0)</f>
        <v>3</v>
      </c>
      <c r="G2076" s="15" t="str">
        <f>IFERROR(__xludf.DUMMYFUNCTION("""COMPUTED_VALUE"""),"Completa")</f>
        <v>Completa</v>
      </c>
      <c r="H2076" s="16" t="str">
        <f t="array" ref="H2076">_xlfn.XLOOKUP(D2076,Productos[ID_Producto],Productos[Nombre_Producto])</f>
        <v>Asado</v>
      </c>
      <c r="I2076" s="17">
        <f t="array" ref="I2076">_xlfn.XLOOKUP(D2076,Productos[ID_Producto],Productos[Precio_Unitario])</f>
        <v>28.56</v>
      </c>
      <c r="J2076" s="17">
        <f t="shared" si="1"/>
        <v>142.8</v>
      </c>
      <c r="K2076" s="16" t="str">
        <f t="array" ref="K2076">_xlfn.XLOOKUP(C2076,Clientes[ID_Cliente],Clientes[Provincia])</f>
        <v>Salta</v>
      </c>
      <c r="L2076" s="16" t="str">
        <f t="array" ref="L2076">CONCATENATE(_xlfn.XLOOKUP(C2076,Clientes[ID_Cliente],Clientes[Provincia]),", Argentina")</f>
        <v>Salta, Argentina</v>
      </c>
      <c r="M2076" s="20" t="str">
        <f t="array" ref="M2076">_xlfn.XLOOKUP(F2076,Metodos_De_Pago[ID_Metodo],Metodos_De_Pago[Metodo])</f>
        <v>Tarjeta de Débito</v>
      </c>
      <c r="N2076" s="20" t="str">
        <f t="shared" si="2"/>
        <v>2024 03</v>
      </c>
    </row>
    <row r="2077" ht="22.5" customHeight="1">
      <c r="A2077" s="12">
        <f>IFERROR(__xludf.DUMMYFUNCTION("""COMPUTED_VALUE"""),762.0)</f>
        <v>762</v>
      </c>
      <c r="B2077" s="13">
        <f>IFERROR(__xludf.DUMMYFUNCTION("""COMPUTED_VALUE"""),45364.0)</f>
        <v>45364</v>
      </c>
      <c r="C2077" s="12">
        <f>IFERROR(__xludf.DUMMYFUNCTION("""COMPUTED_VALUE"""),81.0)</f>
        <v>81</v>
      </c>
      <c r="D2077" s="12">
        <f>IFERROR(__xludf.DUMMYFUNCTION("""COMPUTED_VALUE"""),3.0)</f>
        <v>3</v>
      </c>
      <c r="E2077" s="12">
        <f>IFERROR(__xludf.DUMMYFUNCTION("""COMPUTED_VALUE"""),5.0)</f>
        <v>5</v>
      </c>
      <c r="F2077" s="12">
        <f>IFERROR(__xludf.DUMMYFUNCTION("""COMPUTED_VALUE"""),1.0)</f>
        <v>1</v>
      </c>
      <c r="G2077" s="15" t="str">
        <f>IFERROR(__xludf.DUMMYFUNCTION("""COMPUTED_VALUE"""),"Completa")</f>
        <v>Completa</v>
      </c>
      <c r="H2077" s="16" t="str">
        <f t="array" ref="H2077">_xlfn.XLOOKUP(D2077,Productos[ID_Producto],Productos[Nombre_Producto])</f>
        <v>Queso cremoso</v>
      </c>
      <c r="I2077" s="17">
        <f t="array" ref="I2077">_xlfn.XLOOKUP(D2077,Productos[ID_Producto],Productos[Precio_Unitario])</f>
        <v>17.23</v>
      </c>
      <c r="J2077" s="17">
        <f t="shared" si="1"/>
        <v>86.15</v>
      </c>
      <c r="K2077" s="16" t="str">
        <f t="array" ref="K2077">_xlfn.XLOOKUP(C2077,Clientes[ID_Cliente],Clientes[Provincia])</f>
        <v>Buenos Aires</v>
      </c>
      <c r="L2077" s="16" t="str">
        <f t="array" ref="L2077">CONCATENATE(_xlfn.XLOOKUP(C2077,Clientes[ID_Cliente],Clientes[Provincia]),", Argentina")</f>
        <v>Buenos Aires, Argentina</v>
      </c>
      <c r="M2077" s="20" t="str">
        <f t="array" ref="M2077">_xlfn.XLOOKUP(F2077,Metodos_De_Pago[ID_Metodo],Metodos_De_Pago[Metodo])</f>
        <v>Efectivo</v>
      </c>
      <c r="N2077" s="20" t="str">
        <f t="shared" si="2"/>
        <v>2024 03</v>
      </c>
    </row>
    <row r="2078" ht="22.5" customHeight="1">
      <c r="A2078" s="12">
        <f>IFERROR(__xludf.DUMMYFUNCTION("""COMPUTED_VALUE"""),1808.0)</f>
        <v>1808</v>
      </c>
      <c r="B2078" s="13">
        <f>IFERROR(__xludf.DUMMYFUNCTION("""COMPUTED_VALUE"""),45364.0)</f>
        <v>45364</v>
      </c>
      <c r="C2078" s="12">
        <f>IFERROR(__xludf.DUMMYFUNCTION("""COMPUTED_VALUE"""),303.0)</f>
        <v>303</v>
      </c>
      <c r="D2078" s="12">
        <f>IFERROR(__xludf.DUMMYFUNCTION("""COMPUTED_VALUE"""),11.0)</f>
        <v>11</v>
      </c>
      <c r="E2078" s="12">
        <f>IFERROR(__xludf.DUMMYFUNCTION("""COMPUTED_VALUE"""),5.0)</f>
        <v>5</v>
      </c>
      <c r="F2078" s="12">
        <f>IFERROR(__xludf.DUMMYFUNCTION("""COMPUTED_VALUE"""),2.0)</f>
        <v>2</v>
      </c>
      <c r="G2078" s="15" t="str">
        <f>IFERROR(__xludf.DUMMYFUNCTION("""COMPUTED_VALUE"""),"Completa")</f>
        <v>Completa</v>
      </c>
      <c r="H2078" s="16" t="str">
        <f t="array" ref="H2078">_xlfn.XLOOKUP(D2078,Productos[ID_Producto],Productos[Nombre_Producto])</f>
        <v>Salchicha</v>
      </c>
      <c r="I2078" s="17">
        <f t="array" ref="I2078">_xlfn.XLOOKUP(D2078,Productos[ID_Producto],Productos[Precio_Unitario])</f>
        <v>11.23</v>
      </c>
      <c r="J2078" s="17">
        <f t="shared" si="1"/>
        <v>56.15</v>
      </c>
      <c r="K2078" s="16" t="str">
        <f t="array" ref="K2078">_xlfn.XLOOKUP(C2078,Clientes[ID_Cliente],Clientes[Provincia])</f>
        <v>Córdoba</v>
      </c>
      <c r="L2078" s="16" t="str">
        <f t="array" ref="L2078">CONCATENATE(_xlfn.XLOOKUP(C2078,Clientes[ID_Cliente],Clientes[Provincia]),", Argentina")</f>
        <v>Córdoba, Argentina</v>
      </c>
      <c r="M2078" s="20" t="str">
        <f t="array" ref="M2078">_xlfn.XLOOKUP(F2078,Metodos_De_Pago[ID_Metodo],Metodos_De_Pago[Metodo])</f>
        <v>Tarjeta de Crédito</v>
      </c>
      <c r="N2078" s="20" t="str">
        <f t="shared" si="2"/>
        <v>2024 03</v>
      </c>
    </row>
    <row r="2079" ht="22.5" customHeight="1">
      <c r="A2079" s="12">
        <f>IFERROR(__xludf.DUMMYFUNCTION("""COMPUTED_VALUE"""),2180.0)</f>
        <v>2180</v>
      </c>
      <c r="B2079" s="13">
        <f>IFERROR(__xludf.DUMMYFUNCTION("""COMPUTED_VALUE"""),45364.0)</f>
        <v>45364</v>
      </c>
      <c r="C2079" s="12">
        <f>IFERROR(__xludf.DUMMYFUNCTION("""COMPUTED_VALUE"""),74.0)</f>
        <v>74</v>
      </c>
      <c r="D2079" s="12">
        <f>IFERROR(__xludf.DUMMYFUNCTION("""COMPUTED_VALUE"""),18.0)</f>
        <v>18</v>
      </c>
      <c r="E2079" s="12">
        <f>IFERROR(__xludf.DUMMYFUNCTION("""COMPUTED_VALUE"""),5.0)</f>
        <v>5</v>
      </c>
      <c r="F2079" s="12">
        <f>IFERROR(__xludf.DUMMYFUNCTION("""COMPUTED_VALUE"""),3.0)</f>
        <v>3</v>
      </c>
      <c r="G2079" s="15" t="str">
        <f>IFERROR(__xludf.DUMMYFUNCTION("""COMPUTED_VALUE"""),"Completa")</f>
        <v>Completa</v>
      </c>
      <c r="H2079" s="16" t="str">
        <f t="array" ref="H2079">_xlfn.XLOOKUP(D2079,Productos[ID_Producto],Productos[Nombre_Producto])</f>
        <v>Bananas</v>
      </c>
      <c r="I2079" s="17">
        <f t="array" ref="I2079">_xlfn.XLOOKUP(D2079,Productos[ID_Producto],Productos[Precio_Unitario])</f>
        <v>7.25</v>
      </c>
      <c r="J2079" s="17">
        <f t="shared" si="1"/>
        <v>36.25</v>
      </c>
      <c r="K2079" s="16" t="str">
        <f t="array" ref="K2079">_xlfn.XLOOKUP(C2079,Clientes[ID_Cliente],Clientes[Provincia])</f>
        <v>Neuquén</v>
      </c>
      <c r="L2079" s="16" t="str">
        <f t="array" ref="L2079">CONCATENATE(_xlfn.XLOOKUP(C2079,Clientes[ID_Cliente],Clientes[Provincia]),", Argentina")</f>
        <v>Neuquén, Argentina</v>
      </c>
      <c r="M2079" s="20" t="str">
        <f t="array" ref="M2079">_xlfn.XLOOKUP(F2079,Metodos_De_Pago[ID_Metodo],Metodos_De_Pago[Metodo])</f>
        <v>Tarjeta de Débito</v>
      </c>
      <c r="N2079" s="20" t="str">
        <f t="shared" si="2"/>
        <v>2024 03</v>
      </c>
    </row>
    <row r="2080" ht="22.5" customHeight="1">
      <c r="A2080" s="12">
        <f>IFERROR(__xludf.DUMMYFUNCTION("""COMPUTED_VALUE"""),124.0)</f>
        <v>124</v>
      </c>
      <c r="B2080" s="13">
        <f>IFERROR(__xludf.DUMMYFUNCTION("""COMPUTED_VALUE"""),45365.0)</f>
        <v>45365</v>
      </c>
      <c r="C2080" s="12">
        <f>IFERROR(__xludf.DUMMYFUNCTION("""COMPUTED_VALUE"""),173.0)</f>
        <v>173</v>
      </c>
      <c r="D2080" s="12">
        <f>IFERROR(__xludf.DUMMYFUNCTION("""COMPUTED_VALUE"""),13.0)</f>
        <v>13</v>
      </c>
      <c r="E2080" s="12">
        <f>IFERROR(__xludf.DUMMYFUNCTION("""COMPUTED_VALUE"""),5.0)</f>
        <v>5</v>
      </c>
      <c r="F2080" s="12">
        <f>IFERROR(__xludf.DUMMYFUNCTION("""COMPUTED_VALUE"""),3.0)</f>
        <v>3</v>
      </c>
      <c r="G2080" s="15" t="str">
        <f>IFERROR(__xludf.DUMMYFUNCTION("""COMPUTED_VALUE"""),"Completa")</f>
        <v>Completa</v>
      </c>
      <c r="H2080" s="16" t="str">
        <f t="array" ref="H2080">_xlfn.XLOOKUP(D2080,Productos[ID_Producto],Productos[Nombre_Producto])</f>
        <v>Pan integral</v>
      </c>
      <c r="I2080" s="17">
        <f t="array" ref="I2080">_xlfn.XLOOKUP(D2080,Productos[ID_Producto],Productos[Precio_Unitario])</f>
        <v>12.56</v>
      </c>
      <c r="J2080" s="17">
        <f t="shared" si="1"/>
        <v>62.8</v>
      </c>
      <c r="K2080" s="16" t="str">
        <f t="array" ref="K2080">_xlfn.XLOOKUP(C2080,Clientes[ID_Cliente],Clientes[Provincia])</f>
        <v>Neuquén</v>
      </c>
      <c r="L2080" s="16" t="str">
        <f t="array" ref="L2080">CONCATENATE(_xlfn.XLOOKUP(C2080,Clientes[ID_Cliente],Clientes[Provincia]),", Argentina")</f>
        <v>Neuquén, Argentina</v>
      </c>
      <c r="M2080" s="20" t="str">
        <f t="array" ref="M2080">_xlfn.XLOOKUP(F2080,Metodos_De_Pago[ID_Metodo],Metodos_De_Pago[Metodo])</f>
        <v>Tarjeta de Débito</v>
      </c>
      <c r="N2080" s="20" t="str">
        <f t="shared" si="2"/>
        <v>2024 03</v>
      </c>
    </row>
    <row r="2081" ht="22.5" customHeight="1">
      <c r="A2081" s="12">
        <f>IFERROR(__xludf.DUMMYFUNCTION("""COMPUTED_VALUE"""),607.0)</f>
        <v>607</v>
      </c>
      <c r="B2081" s="13">
        <f>IFERROR(__xludf.DUMMYFUNCTION("""COMPUTED_VALUE"""),45365.0)</f>
        <v>45365</v>
      </c>
      <c r="C2081" s="12">
        <f>IFERROR(__xludf.DUMMYFUNCTION("""COMPUTED_VALUE"""),251.0)</f>
        <v>251</v>
      </c>
      <c r="D2081" s="12">
        <f>IFERROR(__xludf.DUMMYFUNCTION("""COMPUTED_VALUE"""),9.0)</f>
        <v>9</v>
      </c>
      <c r="E2081" s="12">
        <f>IFERROR(__xludf.DUMMYFUNCTION("""COMPUTED_VALUE"""),5.0)</f>
        <v>5</v>
      </c>
      <c r="F2081" s="12">
        <f>IFERROR(__xludf.DUMMYFUNCTION("""COMPUTED_VALUE"""),2.0)</f>
        <v>2</v>
      </c>
      <c r="G2081" s="15" t="str">
        <f>IFERROR(__xludf.DUMMYFUNCTION("""COMPUTED_VALUE"""),"Completa")</f>
        <v>Completa</v>
      </c>
      <c r="H2081" s="16" t="str">
        <f t="array" ref="H2081">_xlfn.XLOOKUP(D2081,Productos[ID_Producto],Productos[Nombre_Producto])</f>
        <v>Pollo</v>
      </c>
      <c r="I2081" s="17">
        <f t="array" ref="I2081">_xlfn.XLOOKUP(D2081,Productos[ID_Producto],Productos[Precio_Unitario])</f>
        <v>18.56</v>
      </c>
      <c r="J2081" s="17">
        <f t="shared" si="1"/>
        <v>92.8</v>
      </c>
      <c r="K2081" s="16" t="str">
        <f t="array" ref="K2081">_xlfn.XLOOKUP(C2081,Clientes[ID_Cliente],Clientes[Provincia])</f>
        <v>Córdoba</v>
      </c>
      <c r="L2081" s="16" t="str">
        <f t="array" ref="L2081">CONCATENATE(_xlfn.XLOOKUP(C2081,Clientes[ID_Cliente],Clientes[Provincia]),", Argentina")</f>
        <v>Córdoba, Argentina</v>
      </c>
      <c r="M2081" s="20" t="str">
        <f t="array" ref="M2081">_xlfn.XLOOKUP(F2081,Metodos_De_Pago[ID_Metodo],Metodos_De_Pago[Metodo])</f>
        <v>Tarjeta de Crédito</v>
      </c>
      <c r="N2081" s="20" t="str">
        <f t="shared" si="2"/>
        <v>2024 03</v>
      </c>
    </row>
    <row r="2082" ht="22.5" customHeight="1">
      <c r="A2082" s="12">
        <f>IFERROR(__xludf.DUMMYFUNCTION("""COMPUTED_VALUE"""),1864.0)</f>
        <v>1864</v>
      </c>
      <c r="B2082" s="13">
        <f>IFERROR(__xludf.DUMMYFUNCTION("""COMPUTED_VALUE"""),45365.0)</f>
        <v>45365</v>
      </c>
      <c r="C2082" s="12">
        <f>IFERROR(__xludf.DUMMYFUNCTION("""COMPUTED_VALUE"""),15.0)</f>
        <v>15</v>
      </c>
      <c r="D2082" s="12">
        <f>IFERROR(__xludf.DUMMYFUNCTION("""COMPUTED_VALUE"""),10.0)</f>
        <v>10</v>
      </c>
      <c r="E2082" s="12">
        <f>IFERROR(__xludf.DUMMYFUNCTION("""COMPUTED_VALUE"""),5.0)</f>
        <v>5</v>
      </c>
      <c r="F2082" s="12">
        <f>IFERROR(__xludf.DUMMYFUNCTION("""COMPUTED_VALUE"""),4.0)</f>
        <v>4</v>
      </c>
      <c r="G2082" s="15" t="str">
        <f>IFERROR(__xludf.DUMMYFUNCTION("""COMPUTED_VALUE"""),"Completa")</f>
        <v>Completa</v>
      </c>
      <c r="H2082" s="16" t="str">
        <f t="array" ref="H2082">_xlfn.XLOOKUP(D2082,Productos[ID_Producto],Productos[Nombre_Producto])</f>
        <v>Costilla de cerdo</v>
      </c>
      <c r="I2082" s="17">
        <f t="array" ref="I2082">_xlfn.XLOOKUP(D2082,Productos[ID_Producto],Productos[Precio_Unitario])</f>
        <v>14.25</v>
      </c>
      <c r="J2082" s="17">
        <f t="shared" si="1"/>
        <v>71.25</v>
      </c>
      <c r="K2082" s="16" t="str">
        <f t="array" ref="K2082">_xlfn.XLOOKUP(C2082,Clientes[ID_Cliente],Clientes[Provincia])</f>
        <v>Buenos Aires</v>
      </c>
      <c r="L2082" s="16" t="str">
        <f t="array" ref="L2082">CONCATENATE(_xlfn.XLOOKUP(C2082,Clientes[ID_Cliente],Clientes[Provincia]),", Argentina")</f>
        <v>Buenos Aires, Argentina</v>
      </c>
      <c r="M2082" s="20" t="str">
        <f t="array" ref="M2082">_xlfn.XLOOKUP(F2082,Metodos_De_Pago[ID_Metodo],Metodos_De_Pago[Metodo])</f>
        <v>Mercado Pago</v>
      </c>
      <c r="N2082" s="20" t="str">
        <f t="shared" si="2"/>
        <v>2024 03</v>
      </c>
    </row>
    <row r="2083" ht="22.5" customHeight="1">
      <c r="A2083" s="12">
        <f>IFERROR(__xludf.DUMMYFUNCTION("""COMPUTED_VALUE"""),2107.0)</f>
        <v>2107</v>
      </c>
      <c r="B2083" s="13">
        <f>IFERROR(__xludf.DUMMYFUNCTION("""COMPUTED_VALUE"""),45366.0)</f>
        <v>45366</v>
      </c>
      <c r="C2083" s="12">
        <f>IFERROR(__xludf.DUMMYFUNCTION("""COMPUTED_VALUE"""),299.0)</f>
        <v>299</v>
      </c>
      <c r="D2083" s="12">
        <f>IFERROR(__xludf.DUMMYFUNCTION("""COMPUTED_VALUE"""),3.0)</f>
        <v>3</v>
      </c>
      <c r="E2083" s="12">
        <f>IFERROR(__xludf.DUMMYFUNCTION("""COMPUTED_VALUE"""),5.0)</f>
        <v>5</v>
      </c>
      <c r="F2083" s="12">
        <f>IFERROR(__xludf.DUMMYFUNCTION("""COMPUTED_VALUE"""),3.0)</f>
        <v>3</v>
      </c>
      <c r="G2083" s="15" t="str">
        <f>IFERROR(__xludf.DUMMYFUNCTION("""COMPUTED_VALUE"""),"Completa")</f>
        <v>Completa</v>
      </c>
      <c r="H2083" s="16" t="str">
        <f t="array" ref="H2083">_xlfn.XLOOKUP(D2083,Productos[ID_Producto],Productos[Nombre_Producto])</f>
        <v>Queso cremoso</v>
      </c>
      <c r="I2083" s="17">
        <f t="array" ref="I2083">_xlfn.XLOOKUP(D2083,Productos[ID_Producto],Productos[Precio_Unitario])</f>
        <v>17.23</v>
      </c>
      <c r="J2083" s="17">
        <f t="shared" si="1"/>
        <v>86.15</v>
      </c>
      <c r="K2083" s="16" t="str">
        <f t="array" ref="K2083">_xlfn.XLOOKUP(C2083,Clientes[ID_Cliente],Clientes[Provincia])</f>
        <v>San Luis</v>
      </c>
      <c r="L2083" s="16" t="str">
        <f t="array" ref="L2083">CONCATENATE(_xlfn.XLOOKUP(C2083,Clientes[ID_Cliente],Clientes[Provincia]),", Argentina")</f>
        <v>San Luis, Argentina</v>
      </c>
      <c r="M2083" s="20" t="str">
        <f t="array" ref="M2083">_xlfn.XLOOKUP(F2083,Metodos_De_Pago[ID_Metodo],Metodos_De_Pago[Metodo])</f>
        <v>Tarjeta de Débito</v>
      </c>
      <c r="N2083" s="20" t="str">
        <f t="shared" si="2"/>
        <v>2024 03</v>
      </c>
    </row>
    <row r="2084" ht="22.5" customHeight="1">
      <c r="A2084" s="12">
        <f>IFERROR(__xludf.DUMMYFUNCTION("""COMPUTED_VALUE"""),42.0)</f>
        <v>42</v>
      </c>
      <c r="B2084" s="13">
        <f>IFERROR(__xludf.DUMMYFUNCTION("""COMPUTED_VALUE"""),45367.0)</f>
        <v>45367</v>
      </c>
      <c r="C2084" s="12">
        <f>IFERROR(__xludf.DUMMYFUNCTION("""COMPUTED_VALUE"""),259.0)</f>
        <v>259</v>
      </c>
      <c r="D2084" s="12">
        <f>IFERROR(__xludf.DUMMYFUNCTION("""COMPUTED_VALUE"""),32.0)</f>
        <v>32</v>
      </c>
      <c r="E2084" s="12">
        <f>IFERROR(__xludf.DUMMYFUNCTION("""COMPUTED_VALUE"""),5.0)</f>
        <v>5</v>
      </c>
      <c r="F2084" s="12">
        <f>IFERROR(__xludf.DUMMYFUNCTION("""COMPUTED_VALUE"""),5.0)</f>
        <v>5</v>
      </c>
      <c r="G2084" s="15" t="str">
        <f>IFERROR(__xludf.DUMMYFUNCTION("""COMPUTED_VALUE"""),"Completa")</f>
        <v>Completa</v>
      </c>
      <c r="H2084" s="16" t="str">
        <f t="array" ref="H2084">_xlfn.XLOOKUP(D2084,Productos[ID_Producto],Productos[Nombre_Producto])</f>
        <v>Galletitas de chocolate</v>
      </c>
      <c r="I2084" s="17">
        <f t="array" ref="I2084">_xlfn.XLOOKUP(D2084,Productos[ID_Producto],Productos[Precio_Unitario])</f>
        <v>6.25</v>
      </c>
      <c r="J2084" s="17">
        <f t="shared" si="1"/>
        <v>31.25</v>
      </c>
      <c r="K2084" s="16" t="str">
        <f t="array" ref="K2084">_xlfn.XLOOKUP(C2084,Clientes[ID_Cliente],Clientes[Provincia])</f>
        <v>San Luis</v>
      </c>
      <c r="L2084" s="16" t="str">
        <f t="array" ref="L2084">CONCATENATE(_xlfn.XLOOKUP(C2084,Clientes[ID_Cliente],Clientes[Provincia]),", Argentina")</f>
        <v>San Luis, Argentina</v>
      </c>
      <c r="M2084" s="20" t="str">
        <f t="array" ref="M2084">_xlfn.XLOOKUP(F2084,Metodos_De_Pago[ID_Metodo],Metodos_De_Pago[Metodo])</f>
        <v>Transferencia</v>
      </c>
      <c r="N2084" s="20" t="str">
        <f t="shared" si="2"/>
        <v>2024 03</v>
      </c>
    </row>
    <row r="2085" ht="22.5" customHeight="1">
      <c r="A2085" s="12">
        <f>IFERROR(__xludf.DUMMYFUNCTION("""COMPUTED_VALUE"""),1083.0)</f>
        <v>1083</v>
      </c>
      <c r="B2085" s="13">
        <f>IFERROR(__xludf.DUMMYFUNCTION("""COMPUTED_VALUE"""),45367.0)</f>
        <v>45367</v>
      </c>
      <c r="C2085" s="12">
        <f>IFERROR(__xludf.DUMMYFUNCTION("""COMPUTED_VALUE"""),111.0)</f>
        <v>111</v>
      </c>
      <c r="D2085" s="12">
        <f>IFERROR(__xludf.DUMMYFUNCTION("""COMPUTED_VALUE"""),26.0)</f>
        <v>26</v>
      </c>
      <c r="E2085" s="12">
        <f>IFERROR(__xludf.DUMMYFUNCTION("""COMPUTED_VALUE"""),5.0)</f>
        <v>5</v>
      </c>
      <c r="F2085" s="12">
        <f>IFERROR(__xludf.DUMMYFUNCTION("""COMPUTED_VALUE"""),4.0)</f>
        <v>4</v>
      </c>
      <c r="G2085" s="15" t="str">
        <f>IFERROR(__xludf.DUMMYFUNCTION("""COMPUTED_VALUE"""),"Completa")</f>
        <v>Completa</v>
      </c>
      <c r="H2085" s="16" t="str">
        <f t="array" ref="H2085">_xlfn.XLOOKUP(D2085,Productos[ID_Producto],Productos[Nombre_Producto])</f>
        <v>Hamburgesas congeladas</v>
      </c>
      <c r="I2085" s="17">
        <f t="array" ref="I2085">_xlfn.XLOOKUP(D2085,Productos[ID_Producto],Productos[Precio_Unitario])</f>
        <v>9.54</v>
      </c>
      <c r="J2085" s="17">
        <f t="shared" si="1"/>
        <v>47.7</v>
      </c>
      <c r="K2085" s="16" t="str">
        <f t="array" ref="K2085">_xlfn.XLOOKUP(C2085,Clientes[ID_Cliente],Clientes[Provincia])</f>
        <v>San Luis</v>
      </c>
      <c r="L2085" s="16" t="str">
        <f t="array" ref="L2085">CONCATENATE(_xlfn.XLOOKUP(C2085,Clientes[ID_Cliente],Clientes[Provincia]),", Argentina")</f>
        <v>San Luis, Argentina</v>
      </c>
      <c r="M2085" s="20" t="str">
        <f t="array" ref="M2085">_xlfn.XLOOKUP(F2085,Metodos_De_Pago[ID_Metodo],Metodos_De_Pago[Metodo])</f>
        <v>Mercado Pago</v>
      </c>
      <c r="N2085" s="20" t="str">
        <f t="shared" si="2"/>
        <v>2024 03</v>
      </c>
    </row>
    <row r="2086" ht="22.5" customHeight="1">
      <c r="A2086" s="12">
        <f>IFERROR(__xludf.DUMMYFUNCTION("""COMPUTED_VALUE"""),1561.0)</f>
        <v>1561</v>
      </c>
      <c r="B2086" s="13">
        <f>IFERROR(__xludf.DUMMYFUNCTION("""COMPUTED_VALUE"""),45367.0)</f>
        <v>45367</v>
      </c>
      <c r="C2086" s="12">
        <f>IFERROR(__xludf.DUMMYFUNCTION("""COMPUTED_VALUE"""),200.0)</f>
        <v>200</v>
      </c>
      <c r="D2086" s="12">
        <f>IFERROR(__xludf.DUMMYFUNCTION("""COMPUTED_VALUE"""),22.0)</f>
        <v>22</v>
      </c>
      <c r="E2086" s="12">
        <f>IFERROR(__xludf.DUMMYFUNCTION("""COMPUTED_VALUE"""),5.0)</f>
        <v>5</v>
      </c>
      <c r="F2086" s="12">
        <f>IFERROR(__xludf.DUMMYFUNCTION("""COMPUTED_VALUE"""),4.0)</f>
        <v>4</v>
      </c>
      <c r="G2086" s="15" t="str">
        <f>IFERROR(__xludf.DUMMYFUNCTION("""COMPUTED_VALUE"""),"Completa")</f>
        <v>Completa</v>
      </c>
      <c r="H2086" s="16" t="str">
        <f t="array" ref="H2086">_xlfn.XLOOKUP(D2086,Productos[ID_Producto],Productos[Nombre_Producto])</f>
        <v>Cebolla</v>
      </c>
      <c r="I2086" s="17">
        <f t="array" ref="I2086">_xlfn.XLOOKUP(D2086,Productos[ID_Producto],Productos[Precio_Unitario])</f>
        <v>4.21</v>
      </c>
      <c r="J2086" s="17">
        <f t="shared" si="1"/>
        <v>21.05</v>
      </c>
      <c r="K2086" s="16" t="str">
        <f t="array" ref="K2086">_xlfn.XLOOKUP(C2086,Clientes[ID_Cliente],Clientes[Provincia])</f>
        <v>Córdoba</v>
      </c>
      <c r="L2086" s="16" t="str">
        <f t="array" ref="L2086">CONCATENATE(_xlfn.XLOOKUP(C2086,Clientes[ID_Cliente],Clientes[Provincia]),", Argentina")</f>
        <v>Córdoba, Argentina</v>
      </c>
      <c r="M2086" s="20" t="str">
        <f t="array" ref="M2086">_xlfn.XLOOKUP(F2086,Metodos_De_Pago[ID_Metodo],Metodos_De_Pago[Metodo])</f>
        <v>Mercado Pago</v>
      </c>
      <c r="N2086" s="20" t="str">
        <f t="shared" si="2"/>
        <v>2024 03</v>
      </c>
    </row>
    <row r="2087" ht="22.5" customHeight="1">
      <c r="A2087" s="12">
        <f>IFERROR(__xludf.DUMMYFUNCTION("""COMPUTED_VALUE"""),2689.0)</f>
        <v>2689</v>
      </c>
      <c r="B2087" s="13">
        <f>IFERROR(__xludf.DUMMYFUNCTION("""COMPUTED_VALUE"""),45367.0)</f>
        <v>45367</v>
      </c>
      <c r="C2087" s="12">
        <f>IFERROR(__xludf.DUMMYFUNCTION("""COMPUTED_VALUE"""),108.0)</f>
        <v>108</v>
      </c>
      <c r="D2087" s="12">
        <f>IFERROR(__xludf.DUMMYFUNCTION("""COMPUTED_VALUE"""),30.0)</f>
        <v>30</v>
      </c>
      <c r="E2087" s="12">
        <f>IFERROR(__xludf.DUMMYFUNCTION("""COMPUTED_VALUE"""),5.0)</f>
        <v>5</v>
      </c>
      <c r="F2087" s="12">
        <f>IFERROR(__xludf.DUMMYFUNCTION("""COMPUTED_VALUE"""),4.0)</f>
        <v>4</v>
      </c>
      <c r="G2087" s="15" t="str">
        <f>IFERROR(__xludf.DUMMYFUNCTION("""COMPUTED_VALUE"""),"Completa")</f>
        <v>Completa</v>
      </c>
      <c r="H2087" s="16" t="str">
        <f t="array" ref="H2087">_xlfn.XLOOKUP(D2087,Productos[ID_Producto],Productos[Nombre_Producto])</f>
        <v>Vino tinto</v>
      </c>
      <c r="I2087" s="17">
        <f t="array" ref="I2087">_xlfn.XLOOKUP(D2087,Productos[ID_Producto],Productos[Precio_Unitario])</f>
        <v>13.54</v>
      </c>
      <c r="J2087" s="17">
        <f t="shared" si="1"/>
        <v>67.7</v>
      </c>
      <c r="K2087" s="16" t="str">
        <f t="array" ref="K2087">_xlfn.XLOOKUP(C2087,Clientes[ID_Cliente],Clientes[Provincia])</f>
        <v>Neuquén</v>
      </c>
      <c r="L2087" s="16" t="str">
        <f t="array" ref="L2087">CONCATENATE(_xlfn.XLOOKUP(C2087,Clientes[ID_Cliente],Clientes[Provincia]),", Argentina")</f>
        <v>Neuquén, Argentina</v>
      </c>
      <c r="M2087" s="20" t="str">
        <f t="array" ref="M2087">_xlfn.XLOOKUP(F2087,Metodos_De_Pago[ID_Metodo],Metodos_De_Pago[Metodo])</f>
        <v>Mercado Pago</v>
      </c>
      <c r="N2087" s="20" t="str">
        <f t="shared" si="2"/>
        <v>2024 03</v>
      </c>
    </row>
    <row r="2088" ht="22.5" customHeight="1">
      <c r="A2088" s="12">
        <f>IFERROR(__xludf.DUMMYFUNCTION("""COMPUTED_VALUE"""),2740.0)</f>
        <v>2740</v>
      </c>
      <c r="B2088" s="13">
        <f>IFERROR(__xludf.DUMMYFUNCTION("""COMPUTED_VALUE"""),45367.0)</f>
        <v>45367</v>
      </c>
      <c r="C2088" s="12">
        <f>IFERROR(__xludf.DUMMYFUNCTION("""COMPUTED_VALUE"""),224.0)</f>
        <v>224</v>
      </c>
      <c r="D2088" s="12">
        <f>IFERROR(__xludf.DUMMYFUNCTION("""COMPUTED_VALUE"""),7.0)</f>
        <v>7</v>
      </c>
      <c r="E2088" s="12">
        <f>IFERROR(__xludf.DUMMYFUNCTION("""COMPUTED_VALUE"""),5.0)</f>
        <v>5</v>
      </c>
      <c r="F2088" s="12">
        <f>IFERROR(__xludf.DUMMYFUNCTION("""COMPUTED_VALUE"""),4.0)</f>
        <v>4</v>
      </c>
      <c r="G2088" s="15" t="str">
        <f>IFERROR(__xludf.DUMMYFUNCTION("""COMPUTED_VALUE"""),"Completa")</f>
        <v>Completa</v>
      </c>
      <c r="H2088" s="16" t="str">
        <f t="array" ref="H2088">_xlfn.XLOOKUP(D2088,Productos[ID_Producto],Productos[Nombre_Producto])</f>
        <v>Chorizo</v>
      </c>
      <c r="I2088" s="17">
        <f t="array" ref="I2088">_xlfn.XLOOKUP(D2088,Productos[ID_Producto],Productos[Precio_Unitario])</f>
        <v>11.25</v>
      </c>
      <c r="J2088" s="17">
        <f t="shared" si="1"/>
        <v>56.25</v>
      </c>
      <c r="K2088" s="16" t="str">
        <f t="array" ref="K2088">_xlfn.XLOOKUP(C2088,Clientes[ID_Cliente],Clientes[Provincia])</f>
        <v>San Luis</v>
      </c>
      <c r="L2088" s="16" t="str">
        <f t="array" ref="L2088">CONCATENATE(_xlfn.XLOOKUP(C2088,Clientes[ID_Cliente],Clientes[Provincia]),", Argentina")</f>
        <v>San Luis, Argentina</v>
      </c>
      <c r="M2088" s="20" t="str">
        <f t="array" ref="M2088">_xlfn.XLOOKUP(F2088,Metodos_De_Pago[ID_Metodo],Metodos_De_Pago[Metodo])</f>
        <v>Mercado Pago</v>
      </c>
      <c r="N2088" s="20" t="str">
        <f t="shared" si="2"/>
        <v>2024 03</v>
      </c>
    </row>
    <row r="2089" ht="22.5" customHeight="1">
      <c r="A2089" s="12">
        <f>IFERROR(__xludf.DUMMYFUNCTION("""COMPUTED_VALUE"""),884.0)</f>
        <v>884</v>
      </c>
      <c r="B2089" s="13">
        <f>IFERROR(__xludf.DUMMYFUNCTION("""COMPUTED_VALUE"""),45368.0)</f>
        <v>45368</v>
      </c>
      <c r="C2089" s="12">
        <f>IFERROR(__xludf.DUMMYFUNCTION("""COMPUTED_VALUE"""),312.0)</f>
        <v>312</v>
      </c>
      <c r="D2089" s="12">
        <f>IFERROR(__xludf.DUMMYFUNCTION("""COMPUTED_VALUE"""),16.0)</f>
        <v>16</v>
      </c>
      <c r="E2089" s="12">
        <f>IFERROR(__xludf.DUMMYFUNCTION("""COMPUTED_VALUE"""),5.0)</f>
        <v>5</v>
      </c>
      <c r="F2089" s="12">
        <f>IFERROR(__xludf.DUMMYFUNCTION("""COMPUTED_VALUE"""),2.0)</f>
        <v>2</v>
      </c>
      <c r="G2089" s="15" t="str">
        <f>IFERROR(__xludf.DUMMYFUNCTION("""COMPUTED_VALUE"""),"Pendiente")</f>
        <v>Pendiente</v>
      </c>
      <c r="H2089" s="16" t="str">
        <f t="array" ref="H2089">_xlfn.XLOOKUP(D2089,Productos[ID_Producto],Productos[Nombre_Producto])</f>
        <v>Tortas</v>
      </c>
      <c r="I2089" s="17">
        <f t="array" ref="I2089">_xlfn.XLOOKUP(D2089,Productos[ID_Producto],Productos[Precio_Unitario])</f>
        <v>15.23</v>
      </c>
      <c r="J2089" s="17">
        <f t="shared" si="1"/>
        <v>76.15</v>
      </c>
      <c r="K2089" s="16" t="str">
        <f t="array" ref="K2089">_xlfn.XLOOKUP(C2089,Clientes[ID_Cliente],Clientes[Provincia])</f>
        <v>San Luis</v>
      </c>
      <c r="L2089" s="16" t="str">
        <f t="array" ref="L2089">CONCATENATE(_xlfn.XLOOKUP(C2089,Clientes[ID_Cliente],Clientes[Provincia]),", Argentina")</f>
        <v>San Luis, Argentina</v>
      </c>
      <c r="M2089" s="20" t="str">
        <f t="array" ref="M2089">_xlfn.XLOOKUP(F2089,Metodos_De_Pago[ID_Metodo],Metodos_De_Pago[Metodo])</f>
        <v>Tarjeta de Crédito</v>
      </c>
      <c r="N2089" s="20" t="str">
        <f t="shared" si="2"/>
        <v>2024 03</v>
      </c>
    </row>
    <row r="2090" ht="22.5" customHeight="1">
      <c r="A2090" s="12">
        <f>IFERROR(__xludf.DUMMYFUNCTION("""COMPUTED_VALUE"""),1290.0)</f>
        <v>1290</v>
      </c>
      <c r="B2090" s="13">
        <f>IFERROR(__xludf.DUMMYFUNCTION("""COMPUTED_VALUE"""),45368.0)</f>
        <v>45368</v>
      </c>
      <c r="C2090" s="12">
        <f>IFERROR(__xludf.DUMMYFUNCTION("""COMPUTED_VALUE"""),323.0)</f>
        <v>323</v>
      </c>
      <c r="D2090" s="12">
        <f>IFERROR(__xludf.DUMMYFUNCTION("""COMPUTED_VALUE"""),25.0)</f>
        <v>25</v>
      </c>
      <c r="E2090" s="12">
        <f>IFERROR(__xludf.DUMMYFUNCTION("""COMPUTED_VALUE"""),5.0)</f>
        <v>5</v>
      </c>
      <c r="F2090" s="12">
        <f>IFERROR(__xludf.DUMMYFUNCTION("""COMPUTED_VALUE"""),3.0)</f>
        <v>3</v>
      </c>
      <c r="G2090" s="15" t="str">
        <f>IFERROR(__xludf.DUMMYFUNCTION("""COMPUTED_VALUE"""),"Completa")</f>
        <v>Completa</v>
      </c>
      <c r="H2090" s="16" t="str">
        <f t="array" ref="H2090">_xlfn.XLOOKUP(D2090,Productos[ID_Producto],Productos[Nombre_Producto])</f>
        <v>Pizza congelada</v>
      </c>
      <c r="I2090" s="17">
        <f t="array" ref="I2090">_xlfn.XLOOKUP(D2090,Productos[ID_Producto],Productos[Precio_Unitario])</f>
        <v>15.45</v>
      </c>
      <c r="J2090" s="17">
        <f t="shared" si="1"/>
        <v>77.25</v>
      </c>
      <c r="K2090" s="16" t="str">
        <f t="array" ref="K2090">_xlfn.XLOOKUP(C2090,Clientes[ID_Cliente],Clientes[Provincia])</f>
        <v>Córdoba</v>
      </c>
      <c r="L2090" s="16" t="str">
        <f t="array" ref="L2090">CONCATENATE(_xlfn.XLOOKUP(C2090,Clientes[ID_Cliente],Clientes[Provincia]),", Argentina")</f>
        <v>Córdoba, Argentina</v>
      </c>
      <c r="M2090" s="20" t="str">
        <f t="array" ref="M2090">_xlfn.XLOOKUP(F2090,Metodos_De_Pago[ID_Metodo],Metodos_De_Pago[Metodo])</f>
        <v>Tarjeta de Débito</v>
      </c>
      <c r="N2090" s="20" t="str">
        <f t="shared" si="2"/>
        <v>2024 03</v>
      </c>
    </row>
    <row r="2091" ht="22.5" customHeight="1">
      <c r="A2091" s="12">
        <f>IFERROR(__xludf.DUMMYFUNCTION("""COMPUTED_VALUE"""),2917.0)</f>
        <v>2917</v>
      </c>
      <c r="B2091" s="13">
        <f>IFERROR(__xludf.DUMMYFUNCTION("""COMPUTED_VALUE"""),45369.0)</f>
        <v>45369</v>
      </c>
      <c r="C2091" s="12">
        <f>IFERROR(__xludf.DUMMYFUNCTION("""COMPUTED_VALUE"""),17.0)</f>
        <v>17</v>
      </c>
      <c r="D2091" s="12">
        <f>IFERROR(__xludf.DUMMYFUNCTION("""COMPUTED_VALUE"""),35.0)</f>
        <v>35</v>
      </c>
      <c r="E2091" s="12">
        <f>IFERROR(__xludf.DUMMYFUNCTION("""COMPUTED_VALUE"""),5.0)</f>
        <v>5</v>
      </c>
      <c r="F2091" s="12">
        <f>IFERROR(__xludf.DUMMYFUNCTION("""COMPUTED_VALUE"""),3.0)</f>
        <v>3</v>
      </c>
      <c r="G2091" s="15" t="str">
        <f>IFERROR(__xludf.DUMMYFUNCTION("""COMPUTED_VALUE"""),"Pendiente")</f>
        <v>Pendiente</v>
      </c>
      <c r="H2091" s="16" t="str">
        <f t="array" ref="H2091">_xlfn.XLOOKUP(D2091,Productos[ID_Producto],Productos[Nombre_Producto])</f>
        <v>Arroz</v>
      </c>
      <c r="I2091" s="17">
        <f t="array" ref="I2091">_xlfn.XLOOKUP(D2091,Productos[ID_Producto],Productos[Precio_Unitario])</f>
        <v>4.25</v>
      </c>
      <c r="J2091" s="17">
        <f t="shared" si="1"/>
        <v>21.25</v>
      </c>
      <c r="K2091" s="16" t="str">
        <f t="array" ref="K2091">_xlfn.XLOOKUP(C2091,Clientes[ID_Cliente],Clientes[Provincia])</f>
        <v>Buenos Aires</v>
      </c>
      <c r="L2091" s="16" t="str">
        <f t="array" ref="L2091">CONCATENATE(_xlfn.XLOOKUP(C2091,Clientes[ID_Cliente],Clientes[Provincia]),", Argentina")</f>
        <v>Buenos Aires, Argentina</v>
      </c>
      <c r="M2091" s="20" t="str">
        <f t="array" ref="M2091">_xlfn.XLOOKUP(F2091,Metodos_De_Pago[ID_Metodo],Metodos_De_Pago[Metodo])</f>
        <v>Tarjeta de Débito</v>
      </c>
      <c r="N2091" s="20" t="str">
        <f t="shared" si="2"/>
        <v>2024 03</v>
      </c>
    </row>
    <row r="2092" ht="22.5" customHeight="1">
      <c r="A2092" s="12">
        <f>IFERROR(__xludf.DUMMYFUNCTION("""COMPUTED_VALUE"""),1357.0)</f>
        <v>1357</v>
      </c>
      <c r="B2092" s="13">
        <f>IFERROR(__xludf.DUMMYFUNCTION("""COMPUTED_VALUE"""),45370.0)</f>
        <v>45370</v>
      </c>
      <c r="C2092" s="12">
        <f>IFERROR(__xludf.DUMMYFUNCTION("""COMPUTED_VALUE"""),71.0)</f>
        <v>71</v>
      </c>
      <c r="D2092" s="12">
        <f>IFERROR(__xludf.DUMMYFUNCTION("""COMPUTED_VALUE"""),23.0)</f>
        <v>23</v>
      </c>
      <c r="E2092" s="12">
        <f>IFERROR(__xludf.DUMMYFUNCTION("""COMPUTED_VALUE"""),5.0)</f>
        <v>5</v>
      </c>
      <c r="F2092" s="12">
        <f>IFERROR(__xludf.DUMMYFUNCTION("""COMPUTED_VALUE"""),1.0)</f>
        <v>1</v>
      </c>
      <c r="G2092" s="15" t="str">
        <f>IFERROR(__xludf.DUMMYFUNCTION("""COMPUTED_VALUE"""),"Pendiente")</f>
        <v>Pendiente</v>
      </c>
      <c r="H2092" s="16" t="str">
        <f t="array" ref="H2092">_xlfn.XLOOKUP(D2092,Productos[ID_Producto],Productos[Nombre_Producto])</f>
        <v>Papas fritas</v>
      </c>
      <c r="I2092" s="17">
        <f t="array" ref="I2092">_xlfn.XLOOKUP(D2092,Productos[ID_Producto],Productos[Precio_Unitario])</f>
        <v>8.23</v>
      </c>
      <c r="J2092" s="17">
        <f t="shared" si="1"/>
        <v>41.15</v>
      </c>
      <c r="K2092" s="16" t="str">
        <f t="array" ref="K2092">_xlfn.XLOOKUP(C2092,Clientes[ID_Cliente],Clientes[Provincia])</f>
        <v>Buenos Aires</v>
      </c>
      <c r="L2092" s="16" t="str">
        <f t="array" ref="L2092">CONCATENATE(_xlfn.XLOOKUP(C2092,Clientes[ID_Cliente],Clientes[Provincia]),", Argentina")</f>
        <v>Buenos Aires, Argentina</v>
      </c>
      <c r="M2092" s="20" t="str">
        <f t="array" ref="M2092">_xlfn.XLOOKUP(F2092,Metodos_De_Pago[ID_Metodo],Metodos_De_Pago[Metodo])</f>
        <v>Efectivo</v>
      </c>
      <c r="N2092" s="20" t="str">
        <f t="shared" si="2"/>
        <v>2024 03</v>
      </c>
    </row>
    <row r="2093" ht="22.5" customHeight="1">
      <c r="A2093" s="12">
        <f>IFERROR(__xludf.DUMMYFUNCTION("""COMPUTED_VALUE"""),2628.0)</f>
        <v>2628</v>
      </c>
      <c r="B2093" s="13">
        <f>IFERROR(__xludf.DUMMYFUNCTION("""COMPUTED_VALUE"""),45370.0)</f>
        <v>45370</v>
      </c>
      <c r="C2093" s="12">
        <f>IFERROR(__xludf.DUMMYFUNCTION("""COMPUTED_VALUE"""),195.0)</f>
        <v>195</v>
      </c>
      <c r="D2093" s="12">
        <f>IFERROR(__xludf.DUMMYFUNCTION("""COMPUTED_VALUE"""),14.0)</f>
        <v>14</v>
      </c>
      <c r="E2093" s="12">
        <f>IFERROR(__xludf.DUMMYFUNCTION("""COMPUTED_VALUE"""),5.0)</f>
        <v>5</v>
      </c>
      <c r="F2093" s="12">
        <f>IFERROR(__xludf.DUMMYFUNCTION("""COMPUTED_VALUE"""),2.0)</f>
        <v>2</v>
      </c>
      <c r="G2093" s="15" t="str">
        <f>IFERROR(__xludf.DUMMYFUNCTION("""COMPUTED_VALUE"""),"Completa")</f>
        <v>Completa</v>
      </c>
      <c r="H2093" s="16" t="str">
        <f t="array" ref="H2093">_xlfn.XLOOKUP(D2093,Productos[ID_Producto],Productos[Nombre_Producto])</f>
        <v>Facturas</v>
      </c>
      <c r="I2093" s="17">
        <f t="array" ref="I2093">_xlfn.XLOOKUP(D2093,Productos[ID_Producto],Productos[Precio_Unitario])</f>
        <v>12.36</v>
      </c>
      <c r="J2093" s="17">
        <f t="shared" si="1"/>
        <v>61.8</v>
      </c>
      <c r="K2093" s="16" t="str">
        <f t="array" ref="K2093">_xlfn.XLOOKUP(C2093,Clientes[ID_Cliente],Clientes[Provincia])</f>
        <v>Córdoba</v>
      </c>
      <c r="L2093" s="16" t="str">
        <f t="array" ref="L2093">CONCATENATE(_xlfn.XLOOKUP(C2093,Clientes[ID_Cliente],Clientes[Provincia]),", Argentina")</f>
        <v>Córdoba, Argentina</v>
      </c>
      <c r="M2093" s="20" t="str">
        <f t="array" ref="M2093">_xlfn.XLOOKUP(F2093,Metodos_De_Pago[ID_Metodo],Metodos_De_Pago[Metodo])</f>
        <v>Tarjeta de Crédito</v>
      </c>
      <c r="N2093" s="20" t="str">
        <f t="shared" si="2"/>
        <v>2024 03</v>
      </c>
    </row>
    <row r="2094" ht="22.5" customHeight="1">
      <c r="A2094" s="12">
        <f>IFERROR(__xludf.DUMMYFUNCTION("""COMPUTED_VALUE"""),1096.0)</f>
        <v>1096</v>
      </c>
      <c r="B2094" s="13">
        <f>IFERROR(__xludf.DUMMYFUNCTION("""COMPUTED_VALUE"""),45372.0)</f>
        <v>45372</v>
      </c>
      <c r="C2094" s="12">
        <f>IFERROR(__xludf.DUMMYFUNCTION("""COMPUTED_VALUE"""),204.0)</f>
        <v>204</v>
      </c>
      <c r="D2094" s="12">
        <f>IFERROR(__xludf.DUMMYFUNCTION("""COMPUTED_VALUE"""),37.0)</f>
        <v>37</v>
      </c>
      <c r="E2094" s="12">
        <f>IFERROR(__xludf.DUMMYFUNCTION("""COMPUTED_VALUE"""),5.0)</f>
        <v>5</v>
      </c>
      <c r="F2094" s="12">
        <f>IFERROR(__xludf.DUMMYFUNCTION("""COMPUTED_VALUE"""),4.0)</f>
        <v>4</v>
      </c>
      <c r="G2094" s="15" t="str">
        <f>IFERROR(__xludf.DUMMYFUNCTION("""COMPUTED_VALUE"""),"Completa")</f>
        <v>Completa</v>
      </c>
      <c r="H2094" s="16" t="str">
        <f t="array" ref="H2094">_xlfn.XLOOKUP(D2094,Productos[ID_Producto],Productos[Nombre_Producto])</f>
        <v>Garbanzos</v>
      </c>
      <c r="I2094" s="17">
        <f t="array" ref="I2094">_xlfn.XLOOKUP(D2094,Productos[ID_Producto],Productos[Precio_Unitario])</f>
        <v>3.65</v>
      </c>
      <c r="J2094" s="17">
        <f t="shared" si="1"/>
        <v>18.25</v>
      </c>
      <c r="K2094" s="16" t="str">
        <f t="array" ref="K2094">_xlfn.XLOOKUP(C2094,Clientes[ID_Cliente],Clientes[Provincia])</f>
        <v>Neuquén</v>
      </c>
      <c r="L2094" s="16" t="str">
        <f t="array" ref="L2094">CONCATENATE(_xlfn.XLOOKUP(C2094,Clientes[ID_Cliente],Clientes[Provincia]),", Argentina")</f>
        <v>Neuquén, Argentina</v>
      </c>
      <c r="M2094" s="20" t="str">
        <f t="array" ref="M2094">_xlfn.XLOOKUP(F2094,Metodos_De_Pago[ID_Metodo],Metodos_De_Pago[Metodo])</f>
        <v>Mercado Pago</v>
      </c>
      <c r="N2094" s="20" t="str">
        <f t="shared" si="2"/>
        <v>2024 03</v>
      </c>
    </row>
    <row r="2095" ht="22.5" customHeight="1">
      <c r="A2095" s="12">
        <f>IFERROR(__xludf.DUMMYFUNCTION("""COMPUTED_VALUE"""),608.0)</f>
        <v>608</v>
      </c>
      <c r="B2095" s="13">
        <f>IFERROR(__xludf.DUMMYFUNCTION("""COMPUTED_VALUE"""),45373.0)</f>
        <v>45373</v>
      </c>
      <c r="C2095" s="12">
        <f>IFERROR(__xludf.DUMMYFUNCTION("""COMPUTED_VALUE"""),105.0)</f>
        <v>105</v>
      </c>
      <c r="D2095" s="12">
        <f>IFERROR(__xludf.DUMMYFUNCTION("""COMPUTED_VALUE"""),14.0)</f>
        <v>14</v>
      </c>
      <c r="E2095" s="12">
        <f>IFERROR(__xludf.DUMMYFUNCTION("""COMPUTED_VALUE"""),5.0)</f>
        <v>5</v>
      </c>
      <c r="F2095" s="12">
        <f>IFERROR(__xludf.DUMMYFUNCTION("""COMPUTED_VALUE"""),3.0)</f>
        <v>3</v>
      </c>
      <c r="G2095" s="15" t="str">
        <f>IFERROR(__xludf.DUMMYFUNCTION("""COMPUTED_VALUE"""),"Completa")</f>
        <v>Completa</v>
      </c>
      <c r="H2095" s="16" t="str">
        <f t="array" ref="H2095">_xlfn.XLOOKUP(D2095,Productos[ID_Producto],Productos[Nombre_Producto])</f>
        <v>Facturas</v>
      </c>
      <c r="I2095" s="17">
        <f t="array" ref="I2095">_xlfn.XLOOKUP(D2095,Productos[ID_Producto],Productos[Precio_Unitario])</f>
        <v>12.36</v>
      </c>
      <c r="J2095" s="17">
        <f t="shared" si="1"/>
        <v>61.8</v>
      </c>
      <c r="K2095" s="16" t="str">
        <f t="array" ref="K2095">_xlfn.XLOOKUP(C2095,Clientes[ID_Cliente],Clientes[Provincia])</f>
        <v>Buenos Aires</v>
      </c>
      <c r="L2095" s="16" t="str">
        <f t="array" ref="L2095">CONCATENATE(_xlfn.XLOOKUP(C2095,Clientes[ID_Cliente],Clientes[Provincia]),", Argentina")</f>
        <v>Buenos Aires, Argentina</v>
      </c>
      <c r="M2095" s="20" t="str">
        <f t="array" ref="M2095">_xlfn.XLOOKUP(F2095,Metodos_De_Pago[ID_Metodo],Metodos_De_Pago[Metodo])</f>
        <v>Tarjeta de Débito</v>
      </c>
      <c r="N2095" s="20" t="str">
        <f t="shared" si="2"/>
        <v>2024 03</v>
      </c>
    </row>
    <row r="2096" ht="22.5" customHeight="1">
      <c r="A2096" s="12">
        <f>IFERROR(__xludf.DUMMYFUNCTION("""COMPUTED_VALUE"""),2040.0)</f>
        <v>2040</v>
      </c>
      <c r="B2096" s="13">
        <f>IFERROR(__xludf.DUMMYFUNCTION("""COMPUTED_VALUE"""),45373.0)</f>
        <v>45373</v>
      </c>
      <c r="C2096" s="12">
        <f>IFERROR(__xludf.DUMMYFUNCTION("""COMPUTED_VALUE"""),313.0)</f>
        <v>313</v>
      </c>
      <c r="D2096" s="12">
        <f>IFERROR(__xludf.DUMMYFUNCTION("""COMPUTED_VALUE"""),12.0)</f>
        <v>12</v>
      </c>
      <c r="E2096" s="12">
        <f>IFERROR(__xludf.DUMMYFUNCTION("""COMPUTED_VALUE"""),5.0)</f>
        <v>5</v>
      </c>
      <c r="F2096" s="12">
        <f>IFERROR(__xludf.DUMMYFUNCTION("""COMPUTED_VALUE"""),1.0)</f>
        <v>1</v>
      </c>
      <c r="G2096" s="15" t="str">
        <f>IFERROR(__xludf.DUMMYFUNCTION("""COMPUTED_VALUE"""),"Completa")</f>
        <v>Completa</v>
      </c>
      <c r="H2096" s="16" t="str">
        <f t="array" ref="H2096">_xlfn.XLOOKUP(D2096,Productos[ID_Producto],Productos[Nombre_Producto])</f>
        <v>Pan francés</v>
      </c>
      <c r="I2096" s="17">
        <f t="array" ref="I2096">_xlfn.XLOOKUP(D2096,Productos[ID_Producto],Productos[Precio_Unitario])</f>
        <v>8.12</v>
      </c>
      <c r="J2096" s="17">
        <f t="shared" si="1"/>
        <v>40.6</v>
      </c>
      <c r="K2096" s="16" t="str">
        <f t="array" ref="K2096">_xlfn.XLOOKUP(C2096,Clientes[ID_Cliente],Clientes[Provincia])</f>
        <v>San Luis</v>
      </c>
      <c r="L2096" s="16" t="str">
        <f t="array" ref="L2096">CONCATENATE(_xlfn.XLOOKUP(C2096,Clientes[ID_Cliente],Clientes[Provincia]),", Argentina")</f>
        <v>San Luis, Argentina</v>
      </c>
      <c r="M2096" s="20" t="str">
        <f t="array" ref="M2096">_xlfn.XLOOKUP(F2096,Metodos_De_Pago[ID_Metodo],Metodos_De_Pago[Metodo])</f>
        <v>Efectivo</v>
      </c>
      <c r="N2096" s="20" t="str">
        <f t="shared" si="2"/>
        <v>2024 03</v>
      </c>
    </row>
    <row r="2097" ht="22.5" customHeight="1">
      <c r="A2097" s="12">
        <f>IFERROR(__xludf.DUMMYFUNCTION("""COMPUTED_VALUE"""),785.0)</f>
        <v>785</v>
      </c>
      <c r="B2097" s="13">
        <f>IFERROR(__xludf.DUMMYFUNCTION("""COMPUTED_VALUE"""),45375.0)</f>
        <v>45375</v>
      </c>
      <c r="C2097" s="12">
        <f>IFERROR(__xludf.DUMMYFUNCTION("""COMPUTED_VALUE"""),132.0)</f>
        <v>132</v>
      </c>
      <c r="D2097" s="12">
        <f>IFERROR(__xludf.DUMMYFUNCTION("""COMPUTED_VALUE"""),9.0)</f>
        <v>9</v>
      </c>
      <c r="E2097" s="12">
        <f>IFERROR(__xludf.DUMMYFUNCTION("""COMPUTED_VALUE"""),5.0)</f>
        <v>5</v>
      </c>
      <c r="F2097" s="12">
        <f>IFERROR(__xludf.DUMMYFUNCTION("""COMPUTED_VALUE"""),5.0)</f>
        <v>5</v>
      </c>
      <c r="G2097" s="15" t="str">
        <f>IFERROR(__xludf.DUMMYFUNCTION("""COMPUTED_VALUE"""),"Completa")</f>
        <v>Completa</v>
      </c>
      <c r="H2097" s="16" t="str">
        <f t="array" ref="H2097">_xlfn.XLOOKUP(D2097,Productos[ID_Producto],Productos[Nombre_Producto])</f>
        <v>Pollo</v>
      </c>
      <c r="I2097" s="17">
        <f t="array" ref="I2097">_xlfn.XLOOKUP(D2097,Productos[ID_Producto],Productos[Precio_Unitario])</f>
        <v>18.56</v>
      </c>
      <c r="J2097" s="17">
        <f t="shared" si="1"/>
        <v>92.8</v>
      </c>
      <c r="K2097" s="16" t="str">
        <f t="array" ref="K2097">_xlfn.XLOOKUP(C2097,Clientes[ID_Cliente],Clientes[Provincia])</f>
        <v>Buenos Aires</v>
      </c>
      <c r="L2097" s="16" t="str">
        <f t="array" ref="L2097">CONCATENATE(_xlfn.XLOOKUP(C2097,Clientes[ID_Cliente],Clientes[Provincia]),", Argentina")</f>
        <v>Buenos Aires, Argentina</v>
      </c>
      <c r="M2097" s="20" t="str">
        <f t="array" ref="M2097">_xlfn.XLOOKUP(F2097,Metodos_De_Pago[ID_Metodo],Metodos_De_Pago[Metodo])</f>
        <v>Transferencia</v>
      </c>
      <c r="N2097" s="20" t="str">
        <f t="shared" si="2"/>
        <v>2024 03</v>
      </c>
    </row>
    <row r="2098" ht="22.5" customHeight="1">
      <c r="A2098" s="12">
        <f>IFERROR(__xludf.DUMMYFUNCTION("""COMPUTED_VALUE"""),2861.0)</f>
        <v>2861</v>
      </c>
      <c r="B2098" s="13">
        <f>IFERROR(__xludf.DUMMYFUNCTION("""COMPUTED_VALUE"""),45375.0)</f>
        <v>45375</v>
      </c>
      <c r="C2098" s="12">
        <f>IFERROR(__xludf.DUMMYFUNCTION("""COMPUTED_VALUE"""),147.0)</f>
        <v>147</v>
      </c>
      <c r="D2098" s="12">
        <f>IFERROR(__xludf.DUMMYFUNCTION("""COMPUTED_VALUE"""),21.0)</f>
        <v>21</v>
      </c>
      <c r="E2098" s="12">
        <f>IFERROR(__xludf.DUMMYFUNCTION("""COMPUTED_VALUE"""),5.0)</f>
        <v>5</v>
      </c>
      <c r="F2098" s="12">
        <f>IFERROR(__xludf.DUMMYFUNCTION("""COMPUTED_VALUE"""),4.0)</f>
        <v>4</v>
      </c>
      <c r="G2098" s="15" t="str">
        <f>IFERROR(__xludf.DUMMYFUNCTION("""COMPUTED_VALUE"""),"Completa")</f>
        <v>Completa</v>
      </c>
      <c r="H2098" s="16" t="str">
        <f t="array" ref="H2098">_xlfn.XLOOKUP(D2098,Productos[ID_Producto],Productos[Nombre_Producto])</f>
        <v>Zanahorias</v>
      </c>
      <c r="I2098" s="17">
        <f t="array" ref="I2098">_xlfn.XLOOKUP(D2098,Productos[ID_Producto],Productos[Precio_Unitario])</f>
        <v>3.25</v>
      </c>
      <c r="J2098" s="17">
        <f t="shared" si="1"/>
        <v>16.25</v>
      </c>
      <c r="K2098" s="16" t="str">
        <f t="array" ref="K2098">_xlfn.XLOOKUP(C2098,Clientes[ID_Cliente],Clientes[Provincia])</f>
        <v>San Luis</v>
      </c>
      <c r="L2098" s="16" t="str">
        <f t="array" ref="L2098">CONCATENATE(_xlfn.XLOOKUP(C2098,Clientes[ID_Cliente],Clientes[Provincia]),", Argentina")</f>
        <v>San Luis, Argentina</v>
      </c>
      <c r="M2098" s="20" t="str">
        <f t="array" ref="M2098">_xlfn.XLOOKUP(F2098,Metodos_De_Pago[ID_Metodo],Metodos_De_Pago[Metodo])</f>
        <v>Mercado Pago</v>
      </c>
      <c r="N2098" s="20" t="str">
        <f t="shared" si="2"/>
        <v>2024 03</v>
      </c>
    </row>
    <row r="2099" ht="22.5" customHeight="1">
      <c r="A2099" s="12">
        <f>IFERROR(__xludf.DUMMYFUNCTION("""COMPUTED_VALUE"""),1139.0)</f>
        <v>1139</v>
      </c>
      <c r="B2099" s="13">
        <f>IFERROR(__xludf.DUMMYFUNCTION("""COMPUTED_VALUE"""),45376.0)</f>
        <v>45376</v>
      </c>
      <c r="C2099" s="12">
        <f>IFERROR(__xludf.DUMMYFUNCTION("""COMPUTED_VALUE"""),8.0)</f>
        <v>8</v>
      </c>
      <c r="D2099" s="12">
        <f>IFERROR(__xludf.DUMMYFUNCTION("""COMPUTED_VALUE"""),36.0)</f>
        <v>36</v>
      </c>
      <c r="E2099" s="12">
        <f>IFERROR(__xludf.DUMMYFUNCTION("""COMPUTED_VALUE"""),5.0)</f>
        <v>5</v>
      </c>
      <c r="F2099" s="12">
        <f>IFERROR(__xludf.DUMMYFUNCTION("""COMPUTED_VALUE"""),1.0)</f>
        <v>1</v>
      </c>
      <c r="G2099" s="15" t="str">
        <f>IFERROR(__xludf.DUMMYFUNCTION("""COMPUTED_VALUE"""),"Completa")</f>
        <v>Completa</v>
      </c>
      <c r="H2099" s="16" t="str">
        <f t="array" ref="H2099">_xlfn.XLOOKUP(D2099,Productos[ID_Producto],Productos[Nombre_Producto])</f>
        <v>Lentejas</v>
      </c>
      <c r="I2099" s="17">
        <f t="array" ref="I2099">_xlfn.XLOOKUP(D2099,Productos[ID_Producto],Productos[Precio_Unitario])</f>
        <v>3.25</v>
      </c>
      <c r="J2099" s="17">
        <f t="shared" si="1"/>
        <v>16.25</v>
      </c>
      <c r="K2099" s="16" t="str">
        <f t="array" ref="K2099">_xlfn.XLOOKUP(C2099,Clientes[ID_Cliente],Clientes[Provincia])</f>
        <v>Buenos Aires</v>
      </c>
      <c r="L2099" s="16" t="str">
        <f t="array" ref="L2099">CONCATENATE(_xlfn.XLOOKUP(C2099,Clientes[ID_Cliente],Clientes[Provincia]),", Argentina")</f>
        <v>Buenos Aires, Argentina</v>
      </c>
      <c r="M2099" s="20" t="str">
        <f t="array" ref="M2099">_xlfn.XLOOKUP(F2099,Metodos_De_Pago[ID_Metodo],Metodos_De_Pago[Metodo])</f>
        <v>Efectivo</v>
      </c>
      <c r="N2099" s="20" t="str">
        <f t="shared" si="2"/>
        <v>2024 03</v>
      </c>
    </row>
    <row r="2100" ht="22.5" customHeight="1">
      <c r="A2100" s="12">
        <f>IFERROR(__xludf.DUMMYFUNCTION("""COMPUTED_VALUE"""),1866.0)</f>
        <v>1866</v>
      </c>
      <c r="B2100" s="13">
        <f>IFERROR(__xludf.DUMMYFUNCTION("""COMPUTED_VALUE"""),45376.0)</f>
        <v>45376</v>
      </c>
      <c r="C2100" s="12">
        <f>IFERROR(__xludf.DUMMYFUNCTION("""COMPUTED_VALUE"""),272.0)</f>
        <v>272</v>
      </c>
      <c r="D2100" s="12">
        <f>IFERROR(__xludf.DUMMYFUNCTION("""COMPUTED_VALUE"""),5.0)</f>
        <v>5</v>
      </c>
      <c r="E2100" s="12">
        <f>IFERROR(__xludf.DUMMYFUNCTION("""COMPUTED_VALUE"""),5.0)</f>
        <v>5</v>
      </c>
      <c r="F2100" s="12">
        <f>IFERROR(__xludf.DUMMYFUNCTION("""COMPUTED_VALUE"""),1.0)</f>
        <v>1</v>
      </c>
      <c r="G2100" s="15" t="str">
        <f>IFERROR(__xludf.DUMMYFUNCTION("""COMPUTED_VALUE"""),"Completa")</f>
        <v>Completa</v>
      </c>
      <c r="H2100" s="16" t="str">
        <f t="array" ref="H2100">_xlfn.XLOOKUP(D2100,Productos[ID_Producto],Productos[Nombre_Producto])</f>
        <v>Manteca</v>
      </c>
      <c r="I2100" s="17">
        <f t="array" ref="I2100">_xlfn.XLOOKUP(D2100,Productos[ID_Producto],Productos[Precio_Unitario])</f>
        <v>5.65</v>
      </c>
      <c r="J2100" s="17">
        <f t="shared" si="1"/>
        <v>28.25</v>
      </c>
      <c r="K2100" s="16" t="str">
        <f t="array" ref="K2100">_xlfn.XLOOKUP(C2100,Clientes[ID_Cliente],Clientes[Provincia])</f>
        <v>Buenos Aires</v>
      </c>
      <c r="L2100" s="16" t="str">
        <f t="array" ref="L2100">CONCATENATE(_xlfn.XLOOKUP(C2100,Clientes[ID_Cliente],Clientes[Provincia]),", Argentina")</f>
        <v>Buenos Aires, Argentina</v>
      </c>
      <c r="M2100" s="20" t="str">
        <f t="array" ref="M2100">_xlfn.XLOOKUP(F2100,Metodos_De_Pago[ID_Metodo],Metodos_De_Pago[Metodo])</f>
        <v>Efectivo</v>
      </c>
      <c r="N2100" s="20" t="str">
        <f t="shared" si="2"/>
        <v>2024 03</v>
      </c>
    </row>
    <row r="2101" ht="22.5" customHeight="1">
      <c r="A2101" s="12">
        <f>IFERROR(__xludf.DUMMYFUNCTION("""COMPUTED_VALUE"""),2164.0)</f>
        <v>2164</v>
      </c>
      <c r="B2101" s="13">
        <f>IFERROR(__xludf.DUMMYFUNCTION("""COMPUTED_VALUE"""),45376.0)</f>
        <v>45376</v>
      </c>
      <c r="C2101" s="12">
        <f>IFERROR(__xludf.DUMMYFUNCTION("""COMPUTED_VALUE"""),292.0)</f>
        <v>292</v>
      </c>
      <c r="D2101" s="12">
        <f>IFERROR(__xludf.DUMMYFUNCTION("""COMPUTED_VALUE"""),36.0)</f>
        <v>36</v>
      </c>
      <c r="E2101" s="12">
        <f>IFERROR(__xludf.DUMMYFUNCTION("""COMPUTED_VALUE"""),5.0)</f>
        <v>5</v>
      </c>
      <c r="F2101" s="12">
        <f>IFERROR(__xludf.DUMMYFUNCTION("""COMPUTED_VALUE"""),5.0)</f>
        <v>5</v>
      </c>
      <c r="G2101" s="15" t="str">
        <f>IFERROR(__xludf.DUMMYFUNCTION("""COMPUTED_VALUE"""),"Completa")</f>
        <v>Completa</v>
      </c>
      <c r="H2101" s="16" t="str">
        <f t="array" ref="H2101">_xlfn.XLOOKUP(D2101,Productos[ID_Producto],Productos[Nombre_Producto])</f>
        <v>Lentejas</v>
      </c>
      <c r="I2101" s="17">
        <f t="array" ref="I2101">_xlfn.XLOOKUP(D2101,Productos[ID_Producto],Productos[Precio_Unitario])</f>
        <v>3.25</v>
      </c>
      <c r="J2101" s="17">
        <f t="shared" si="1"/>
        <v>16.25</v>
      </c>
      <c r="K2101" s="16" t="str">
        <f t="array" ref="K2101">_xlfn.XLOOKUP(C2101,Clientes[ID_Cliente],Clientes[Provincia])</f>
        <v>Neuquén</v>
      </c>
      <c r="L2101" s="16" t="str">
        <f t="array" ref="L2101">CONCATENATE(_xlfn.XLOOKUP(C2101,Clientes[ID_Cliente],Clientes[Provincia]),", Argentina")</f>
        <v>Neuquén, Argentina</v>
      </c>
      <c r="M2101" s="20" t="str">
        <f t="array" ref="M2101">_xlfn.XLOOKUP(F2101,Metodos_De_Pago[ID_Metodo],Metodos_De_Pago[Metodo])</f>
        <v>Transferencia</v>
      </c>
      <c r="N2101" s="20" t="str">
        <f t="shared" si="2"/>
        <v>2024 03</v>
      </c>
    </row>
    <row r="2102" ht="22.5" customHeight="1">
      <c r="A2102" s="12">
        <f>IFERROR(__xludf.DUMMYFUNCTION("""COMPUTED_VALUE"""),1125.0)</f>
        <v>1125</v>
      </c>
      <c r="B2102" s="13">
        <f>IFERROR(__xludf.DUMMYFUNCTION("""COMPUTED_VALUE"""),45377.0)</f>
        <v>45377</v>
      </c>
      <c r="C2102" s="12">
        <f>IFERROR(__xludf.DUMMYFUNCTION("""COMPUTED_VALUE"""),9.0)</f>
        <v>9</v>
      </c>
      <c r="D2102" s="12">
        <f>IFERROR(__xludf.DUMMYFUNCTION("""COMPUTED_VALUE"""),26.0)</f>
        <v>26</v>
      </c>
      <c r="E2102" s="12">
        <f>IFERROR(__xludf.DUMMYFUNCTION("""COMPUTED_VALUE"""),5.0)</f>
        <v>5</v>
      </c>
      <c r="F2102" s="12">
        <f>IFERROR(__xludf.DUMMYFUNCTION("""COMPUTED_VALUE"""),4.0)</f>
        <v>4</v>
      </c>
      <c r="G2102" s="15" t="str">
        <f>IFERROR(__xludf.DUMMYFUNCTION("""COMPUTED_VALUE"""),"Pendiente")</f>
        <v>Pendiente</v>
      </c>
      <c r="H2102" s="16" t="str">
        <f t="array" ref="H2102">_xlfn.XLOOKUP(D2102,Productos[ID_Producto],Productos[Nombre_Producto])</f>
        <v>Hamburgesas congeladas</v>
      </c>
      <c r="I2102" s="17">
        <f t="array" ref="I2102">_xlfn.XLOOKUP(D2102,Productos[ID_Producto],Productos[Precio_Unitario])</f>
        <v>9.54</v>
      </c>
      <c r="J2102" s="17">
        <f t="shared" si="1"/>
        <v>47.7</v>
      </c>
      <c r="K2102" s="16" t="str">
        <f t="array" ref="K2102">_xlfn.XLOOKUP(C2102,Clientes[ID_Cliente],Clientes[Provincia])</f>
        <v>Córdoba</v>
      </c>
      <c r="L2102" s="16" t="str">
        <f t="array" ref="L2102">CONCATENATE(_xlfn.XLOOKUP(C2102,Clientes[ID_Cliente],Clientes[Provincia]),", Argentina")</f>
        <v>Córdoba, Argentina</v>
      </c>
      <c r="M2102" s="20" t="str">
        <f t="array" ref="M2102">_xlfn.XLOOKUP(F2102,Metodos_De_Pago[ID_Metodo],Metodos_De_Pago[Metodo])</f>
        <v>Mercado Pago</v>
      </c>
      <c r="N2102" s="20" t="str">
        <f t="shared" si="2"/>
        <v>2024 03</v>
      </c>
    </row>
    <row r="2103" ht="22.5" customHeight="1">
      <c r="A2103" s="12">
        <f>IFERROR(__xludf.DUMMYFUNCTION("""COMPUTED_VALUE"""),2623.0)</f>
        <v>2623</v>
      </c>
      <c r="B2103" s="13">
        <f>IFERROR(__xludf.DUMMYFUNCTION("""COMPUTED_VALUE"""),45377.0)</f>
        <v>45377</v>
      </c>
      <c r="C2103" s="12">
        <f>IFERROR(__xludf.DUMMYFUNCTION("""COMPUTED_VALUE"""),237.0)</f>
        <v>237</v>
      </c>
      <c r="D2103" s="12">
        <f>IFERROR(__xludf.DUMMYFUNCTION("""COMPUTED_VALUE"""),3.0)</f>
        <v>3</v>
      </c>
      <c r="E2103" s="12">
        <f>IFERROR(__xludf.DUMMYFUNCTION("""COMPUTED_VALUE"""),5.0)</f>
        <v>5</v>
      </c>
      <c r="F2103" s="12">
        <f>IFERROR(__xludf.DUMMYFUNCTION("""COMPUTED_VALUE"""),4.0)</f>
        <v>4</v>
      </c>
      <c r="G2103" s="15" t="str">
        <f>IFERROR(__xludf.DUMMYFUNCTION("""COMPUTED_VALUE"""),"Completa")</f>
        <v>Completa</v>
      </c>
      <c r="H2103" s="16" t="str">
        <f t="array" ref="H2103">_xlfn.XLOOKUP(D2103,Productos[ID_Producto],Productos[Nombre_Producto])</f>
        <v>Queso cremoso</v>
      </c>
      <c r="I2103" s="17">
        <f t="array" ref="I2103">_xlfn.XLOOKUP(D2103,Productos[ID_Producto],Productos[Precio_Unitario])</f>
        <v>17.23</v>
      </c>
      <c r="J2103" s="17">
        <f t="shared" si="1"/>
        <v>86.15</v>
      </c>
      <c r="K2103" s="16" t="str">
        <f t="array" ref="K2103">_xlfn.XLOOKUP(C2103,Clientes[ID_Cliente],Clientes[Provincia])</f>
        <v>Buenos Aires</v>
      </c>
      <c r="L2103" s="16" t="str">
        <f t="array" ref="L2103">CONCATENATE(_xlfn.XLOOKUP(C2103,Clientes[ID_Cliente],Clientes[Provincia]),", Argentina")</f>
        <v>Buenos Aires, Argentina</v>
      </c>
      <c r="M2103" s="20" t="str">
        <f t="array" ref="M2103">_xlfn.XLOOKUP(F2103,Metodos_De_Pago[ID_Metodo],Metodos_De_Pago[Metodo])</f>
        <v>Mercado Pago</v>
      </c>
      <c r="N2103" s="20" t="str">
        <f t="shared" si="2"/>
        <v>2024 03</v>
      </c>
    </row>
    <row r="2104" ht="22.5" customHeight="1">
      <c r="A2104" s="12">
        <f>IFERROR(__xludf.DUMMYFUNCTION("""COMPUTED_VALUE"""),559.0)</f>
        <v>559</v>
      </c>
      <c r="B2104" s="13">
        <f>IFERROR(__xludf.DUMMYFUNCTION("""COMPUTED_VALUE"""),45378.0)</f>
        <v>45378</v>
      </c>
      <c r="C2104" s="12">
        <f>IFERROR(__xludf.DUMMYFUNCTION("""COMPUTED_VALUE"""),97.0)</f>
        <v>97</v>
      </c>
      <c r="D2104" s="12">
        <f>IFERROR(__xludf.DUMMYFUNCTION("""COMPUTED_VALUE"""),24.0)</f>
        <v>24</v>
      </c>
      <c r="E2104" s="12">
        <f>IFERROR(__xludf.DUMMYFUNCTION("""COMPUTED_VALUE"""),5.0)</f>
        <v>5</v>
      </c>
      <c r="F2104" s="12">
        <f>IFERROR(__xludf.DUMMYFUNCTION("""COMPUTED_VALUE"""),2.0)</f>
        <v>2</v>
      </c>
      <c r="G2104" s="15" t="str">
        <f>IFERROR(__xludf.DUMMYFUNCTION("""COMPUTED_VALUE"""),"Completa")</f>
        <v>Completa</v>
      </c>
      <c r="H2104" s="16" t="str">
        <f t="array" ref="H2104">_xlfn.XLOOKUP(D2104,Productos[ID_Producto],Productos[Nombre_Producto])</f>
        <v>Empanadas</v>
      </c>
      <c r="I2104" s="17">
        <f t="array" ref="I2104">_xlfn.XLOOKUP(D2104,Productos[ID_Producto],Productos[Precio_Unitario])</f>
        <v>13.54</v>
      </c>
      <c r="J2104" s="17">
        <f t="shared" si="1"/>
        <v>67.7</v>
      </c>
      <c r="K2104" s="16" t="str">
        <f t="array" ref="K2104">_xlfn.XLOOKUP(C2104,Clientes[ID_Cliente],Clientes[Provincia])</f>
        <v>Buenos Aires</v>
      </c>
      <c r="L2104" s="16" t="str">
        <f t="array" ref="L2104">CONCATENATE(_xlfn.XLOOKUP(C2104,Clientes[ID_Cliente],Clientes[Provincia]),", Argentina")</f>
        <v>Buenos Aires, Argentina</v>
      </c>
      <c r="M2104" s="20" t="str">
        <f t="array" ref="M2104">_xlfn.XLOOKUP(F2104,Metodos_De_Pago[ID_Metodo],Metodos_De_Pago[Metodo])</f>
        <v>Tarjeta de Crédito</v>
      </c>
      <c r="N2104" s="20" t="str">
        <f t="shared" si="2"/>
        <v>2024 03</v>
      </c>
    </row>
    <row r="2105" ht="22.5" customHeight="1">
      <c r="A2105" s="12">
        <f>IFERROR(__xludf.DUMMYFUNCTION("""COMPUTED_VALUE"""),1278.0)</f>
        <v>1278</v>
      </c>
      <c r="B2105" s="13">
        <f>IFERROR(__xludf.DUMMYFUNCTION("""COMPUTED_VALUE"""),45378.0)</f>
        <v>45378</v>
      </c>
      <c r="C2105" s="12">
        <f>IFERROR(__xludf.DUMMYFUNCTION("""COMPUTED_VALUE"""),11.0)</f>
        <v>11</v>
      </c>
      <c r="D2105" s="12">
        <f>IFERROR(__xludf.DUMMYFUNCTION("""COMPUTED_VALUE"""),29.0)</f>
        <v>29</v>
      </c>
      <c r="E2105" s="12">
        <f>IFERROR(__xludf.DUMMYFUNCTION("""COMPUTED_VALUE"""),5.0)</f>
        <v>5</v>
      </c>
      <c r="F2105" s="12">
        <f>IFERROR(__xludf.DUMMYFUNCTION("""COMPUTED_VALUE"""),4.0)</f>
        <v>4</v>
      </c>
      <c r="G2105" s="15" t="str">
        <f>IFERROR(__xludf.DUMMYFUNCTION("""COMPUTED_VALUE"""),"Pendiente")</f>
        <v>Pendiente</v>
      </c>
      <c r="H2105" s="16" t="str">
        <f t="array" ref="H2105">_xlfn.XLOOKUP(D2105,Productos[ID_Producto],Productos[Nombre_Producto])</f>
        <v>Cerveza</v>
      </c>
      <c r="I2105" s="17">
        <f t="array" ref="I2105">_xlfn.XLOOKUP(D2105,Productos[ID_Producto],Productos[Precio_Unitario])</f>
        <v>11.54</v>
      </c>
      <c r="J2105" s="17">
        <f t="shared" si="1"/>
        <v>57.7</v>
      </c>
      <c r="K2105" s="16" t="str">
        <f t="array" ref="K2105">_xlfn.XLOOKUP(C2105,Clientes[ID_Cliente],Clientes[Provincia])</f>
        <v>Buenos Aires</v>
      </c>
      <c r="L2105" s="16" t="str">
        <f t="array" ref="L2105">CONCATENATE(_xlfn.XLOOKUP(C2105,Clientes[ID_Cliente],Clientes[Provincia]),", Argentina")</f>
        <v>Buenos Aires, Argentina</v>
      </c>
      <c r="M2105" s="20" t="str">
        <f t="array" ref="M2105">_xlfn.XLOOKUP(F2105,Metodos_De_Pago[ID_Metodo],Metodos_De_Pago[Metodo])</f>
        <v>Mercado Pago</v>
      </c>
      <c r="N2105" s="20" t="str">
        <f t="shared" si="2"/>
        <v>2024 03</v>
      </c>
    </row>
    <row r="2106" ht="22.5" customHeight="1">
      <c r="A2106" s="12">
        <f>IFERROR(__xludf.DUMMYFUNCTION("""COMPUTED_VALUE"""),1312.0)</f>
        <v>1312</v>
      </c>
      <c r="B2106" s="13">
        <f>IFERROR(__xludf.DUMMYFUNCTION("""COMPUTED_VALUE"""),45378.0)</f>
        <v>45378</v>
      </c>
      <c r="C2106" s="12">
        <f>IFERROR(__xludf.DUMMYFUNCTION("""COMPUTED_VALUE"""),215.0)</f>
        <v>215</v>
      </c>
      <c r="D2106" s="12">
        <f>IFERROR(__xludf.DUMMYFUNCTION("""COMPUTED_VALUE"""),35.0)</f>
        <v>35</v>
      </c>
      <c r="E2106" s="12">
        <f>IFERROR(__xludf.DUMMYFUNCTION("""COMPUTED_VALUE"""),5.0)</f>
        <v>5</v>
      </c>
      <c r="F2106" s="12">
        <f>IFERROR(__xludf.DUMMYFUNCTION("""COMPUTED_VALUE"""),3.0)</f>
        <v>3</v>
      </c>
      <c r="G2106" s="15" t="str">
        <f>IFERROR(__xludf.DUMMYFUNCTION("""COMPUTED_VALUE"""),"Completa")</f>
        <v>Completa</v>
      </c>
      <c r="H2106" s="16" t="str">
        <f t="array" ref="H2106">_xlfn.XLOOKUP(D2106,Productos[ID_Producto],Productos[Nombre_Producto])</f>
        <v>Arroz</v>
      </c>
      <c r="I2106" s="17">
        <f t="array" ref="I2106">_xlfn.XLOOKUP(D2106,Productos[ID_Producto],Productos[Precio_Unitario])</f>
        <v>4.25</v>
      </c>
      <c r="J2106" s="17">
        <f t="shared" si="1"/>
        <v>21.25</v>
      </c>
      <c r="K2106" s="16" t="str">
        <f t="array" ref="K2106">_xlfn.XLOOKUP(C2106,Clientes[ID_Cliente],Clientes[Provincia])</f>
        <v>Chaco</v>
      </c>
      <c r="L2106" s="16" t="str">
        <f t="array" ref="L2106">CONCATENATE(_xlfn.XLOOKUP(C2106,Clientes[ID_Cliente],Clientes[Provincia]),", Argentina")</f>
        <v>Chaco, Argentina</v>
      </c>
      <c r="M2106" s="20" t="str">
        <f t="array" ref="M2106">_xlfn.XLOOKUP(F2106,Metodos_De_Pago[ID_Metodo],Metodos_De_Pago[Metodo])</f>
        <v>Tarjeta de Débito</v>
      </c>
      <c r="N2106" s="20" t="str">
        <f t="shared" si="2"/>
        <v>2024 03</v>
      </c>
    </row>
    <row r="2107" ht="22.5" customHeight="1">
      <c r="A2107" s="12">
        <f>IFERROR(__xludf.DUMMYFUNCTION("""COMPUTED_VALUE"""),2630.0)</f>
        <v>2630</v>
      </c>
      <c r="B2107" s="13">
        <f>IFERROR(__xludf.DUMMYFUNCTION("""COMPUTED_VALUE"""),45378.0)</f>
        <v>45378</v>
      </c>
      <c r="C2107" s="12">
        <f>IFERROR(__xludf.DUMMYFUNCTION("""COMPUTED_VALUE"""),223.0)</f>
        <v>223</v>
      </c>
      <c r="D2107" s="12">
        <f>IFERROR(__xludf.DUMMYFUNCTION("""COMPUTED_VALUE"""),19.0)</f>
        <v>19</v>
      </c>
      <c r="E2107" s="12">
        <f>IFERROR(__xludf.DUMMYFUNCTION("""COMPUTED_VALUE"""),5.0)</f>
        <v>5</v>
      </c>
      <c r="F2107" s="12">
        <f>IFERROR(__xludf.DUMMYFUNCTION("""COMPUTED_VALUE"""),3.0)</f>
        <v>3</v>
      </c>
      <c r="G2107" s="15" t="str">
        <f>IFERROR(__xludf.DUMMYFUNCTION("""COMPUTED_VALUE"""),"Completa")</f>
        <v>Completa</v>
      </c>
      <c r="H2107" s="16" t="str">
        <f t="array" ref="H2107">_xlfn.XLOOKUP(D2107,Productos[ID_Producto],Productos[Nombre_Producto])</f>
        <v>Tomates</v>
      </c>
      <c r="I2107" s="17">
        <f t="array" ref="I2107">_xlfn.XLOOKUP(D2107,Productos[ID_Producto],Productos[Precio_Unitario])</f>
        <v>6.54</v>
      </c>
      <c r="J2107" s="17">
        <f t="shared" si="1"/>
        <v>32.7</v>
      </c>
      <c r="K2107" s="16" t="str">
        <f t="array" ref="K2107">_xlfn.XLOOKUP(C2107,Clientes[ID_Cliente],Clientes[Provincia])</f>
        <v>Buenos Aires</v>
      </c>
      <c r="L2107" s="16" t="str">
        <f t="array" ref="L2107">CONCATENATE(_xlfn.XLOOKUP(C2107,Clientes[ID_Cliente],Clientes[Provincia]),", Argentina")</f>
        <v>Buenos Aires, Argentina</v>
      </c>
      <c r="M2107" s="20" t="str">
        <f t="array" ref="M2107">_xlfn.XLOOKUP(F2107,Metodos_De_Pago[ID_Metodo],Metodos_De_Pago[Metodo])</f>
        <v>Tarjeta de Débito</v>
      </c>
      <c r="N2107" s="20" t="str">
        <f t="shared" si="2"/>
        <v>2024 03</v>
      </c>
    </row>
    <row r="2108" ht="22.5" customHeight="1">
      <c r="A2108" s="12">
        <f>IFERROR(__xludf.DUMMYFUNCTION("""COMPUTED_VALUE"""),988.0)</f>
        <v>988</v>
      </c>
      <c r="B2108" s="13">
        <f>IFERROR(__xludf.DUMMYFUNCTION("""COMPUTED_VALUE"""),45379.0)</f>
        <v>45379</v>
      </c>
      <c r="C2108" s="12">
        <f>IFERROR(__xludf.DUMMYFUNCTION("""COMPUTED_VALUE"""),266.0)</f>
        <v>266</v>
      </c>
      <c r="D2108" s="12">
        <f>IFERROR(__xludf.DUMMYFUNCTION("""COMPUTED_VALUE"""),21.0)</f>
        <v>21</v>
      </c>
      <c r="E2108" s="12">
        <f>IFERROR(__xludf.DUMMYFUNCTION("""COMPUTED_VALUE"""),5.0)</f>
        <v>5</v>
      </c>
      <c r="F2108" s="12">
        <f>IFERROR(__xludf.DUMMYFUNCTION("""COMPUTED_VALUE"""),2.0)</f>
        <v>2</v>
      </c>
      <c r="G2108" s="15" t="str">
        <f>IFERROR(__xludf.DUMMYFUNCTION("""COMPUTED_VALUE"""),"Completa")</f>
        <v>Completa</v>
      </c>
      <c r="H2108" s="16" t="str">
        <f t="array" ref="H2108">_xlfn.XLOOKUP(D2108,Productos[ID_Producto],Productos[Nombre_Producto])</f>
        <v>Zanahorias</v>
      </c>
      <c r="I2108" s="17">
        <f t="array" ref="I2108">_xlfn.XLOOKUP(D2108,Productos[ID_Producto],Productos[Precio_Unitario])</f>
        <v>3.25</v>
      </c>
      <c r="J2108" s="17">
        <f t="shared" si="1"/>
        <v>16.25</v>
      </c>
      <c r="K2108" s="16" t="str">
        <f t="array" ref="K2108">_xlfn.XLOOKUP(C2108,Clientes[ID_Cliente],Clientes[Provincia])</f>
        <v>Buenos Aires</v>
      </c>
      <c r="L2108" s="16" t="str">
        <f t="array" ref="L2108">CONCATENATE(_xlfn.XLOOKUP(C2108,Clientes[ID_Cliente],Clientes[Provincia]),", Argentina")</f>
        <v>Buenos Aires, Argentina</v>
      </c>
      <c r="M2108" s="20" t="str">
        <f t="array" ref="M2108">_xlfn.XLOOKUP(F2108,Metodos_De_Pago[ID_Metodo],Metodos_De_Pago[Metodo])</f>
        <v>Tarjeta de Crédito</v>
      </c>
      <c r="N2108" s="20" t="str">
        <f t="shared" si="2"/>
        <v>2024 03</v>
      </c>
    </row>
    <row r="2109" ht="22.5" customHeight="1">
      <c r="A2109" s="12">
        <f>IFERROR(__xludf.DUMMYFUNCTION("""COMPUTED_VALUE"""),468.0)</f>
        <v>468</v>
      </c>
      <c r="B2109" s="13">
        <f>IFERROR(__xludf.DUMMYFUNCTION("""COMPUTED_VALUE"""),45380.0)</f>
        <v>45380</v>
      </c>
      <c r="C2109" s="12">
        <f>IFERROR(__xludf.DUMMYFUNCTION("""COMPUTED_VALUE"""),45.0)</f>
        <v>45</v>
      </c>
      <c r="D2109" s="12">
        <f>IFERROR(__xludf.DUMMYFUNCTION("""COMPUTED_VALUE"""),17.0)</f>
        <v>17</v>
      </c>
      <c r="E2109" s="12">
        <f>IFERROR(__xludf.DUMMYFUNCTION("""COMPUTED_VALUE"""),5.0)</f>
        <v>5</v>
      </c>
      <c r="F2109" s="12">
        <f>IFERROR(__xludf.DUMMYFUNCTION("""COMPUTED_VALUE"""),1.0)</f>
        <v>1</v>
      </c>
      <c r="G2109" s="15" t="str">
        <f>IFERROR(__xludf.DUMMYFUNCTION("""COMPUTED_VALUE"""),"Completa")</f>
        <v>Completa</v>
      </c>
      <c r="H2109" s="16" t="str">
        <f t="array" ref="H2109">_xlfn.XLOOKUP(D2109,Productos[ID_Producto],Productos[Nombre_Producto])</f>
        <v>Manzanas</v>
      </c>
      <c r="I2109" s="17">
        <f t="array" ref="I2109">_xlfn.XLOOKUP(D2109,Productos[ID_Producto],Productos[Precio_Unitario])</f>
        <v>6.54</v>
      </c>
      <c r="J2109" s="17">
        <f t="shared" si="1"/>
        <v>32.7</v>
      </c>
      <c r="K2109" s="16" t="str">
        <f t="array" ref="K2109">_xlfn.XLOOKUP(C2109,Clientes[ID_Cliente],Clientes[Provincia])</f>
        <v>Buenos Aires</v>
      </c>
      <c r="L2109" s="16" t="str">
        <f t="array" ref="L2109">CONCATENATE(_xlfn.XLOOKUP(C2109,Clientes[ID_Cliente],Clientes[Provincia]),", Argentina")</f>
        <v>Buenos Aires, Argentina</v>
      </c>
      <c r="M2109" s="20" t="str">
        <f t="array" ref="M2109">_xlfn.XLOOKUP(F2109,Metodos_De_Pago[ID_Metodo],Metodos_De_Pago[Metodo])</f>
        <v>Efectivo</v>
      </c>
      <c r="N2109" s="20" t="str">
        <f t="shared" si="2"/>
        <v>2024 03</v>
      </c>
    </row>
    <row r="2110" ht="22.5" customHeight="1">
      <c r="A2110" s="12">
        <f>IFERROR(__xludf.DUMMYFUNCTION("""COMPUTED_VALUE"""),1169.0)</f>
        <v>1169</v>
      </c>
      <c r="B2110" s="13">
        <f>IFERROR(__xludf.DUMMYFUNCTION("""COMPUTED_VALUE"""),45380.0)</f>
        <v>45380</v>
      </c>
      <c r="C2110" s="12">
        <f>IFERROR(__xludf.DUMMYFUNCTION("""COMPUTED_VALUE"""),8.0)</f>
        <v>8</v>
      </c>
      <c r="D2110" s="12">
        <f>IFERROR(__xludf.DUMMYFUNCTION("""COMPUTED_VALUE"""),28.0)</f>
        <v>28</v>
      </c>
      <c r="E2110" s="12">
        <f>IFERROR(__xludf.DUMMYFUNCTION("""COMPUTED_VALUE"""),5.0)</f>
        <v>5</v>
      </c>
      <c r="F2110" s="12">
        <f>IFERROR(__xludf.DUMMYFUNCTION("""COMPUTED_VALUE"""),4.0)</f>
        <v>4</v>
      </c>
      <c r="G2110" s="15" t="str">
        <f>IFERROR(__xludf.DUMMYFUNCTION("""COMPUTED_VALUE"""),"Completa")</f>
        <v>Completa</v>
      </c>
      <c r="H2110" s="16" t="str">
        <f t="array" ref="H2110">_xlfn.XLOOKUP(D2110,Productos[ID_Producto],Productos[Nombre_Producto])</f>
        <v>Jugos de frutas</v>
      </c>
      <c r="I2110" s="17">
        <f t="array" ref="I2110">_xlfn.XLOOKUP(D2110,Productos[ID_Producto],Productos[Precio_Unitario])</f>
        <v>9.45</v>
      </c>
      <c r="J2110" s="17">
        <f t="shared" si="1"/>
        <v>47.25</v>
      </c>
      <c r="K2110" s="16" t="str">
        <f t="array" ref="K2110">_xlfn.XLOOKUP(C2110,Clientes[ID_Cliente],Clientes[Provincia])</f>
        <v>Buenos Aires</v>
      </c>
      <c r="L2110" s="16" t="str">
        <f t="array" ref="L2110">CONCATENATE(_xlfn.XLOOKUP(C2110,Clientes[ID_Cliente],Clientes[Provincia]),", Argentina")</f>
        <v>Buenos Aires, Argentina</v>
      </c>
      <c r="M2110" s="20" t="str">
        <f t="array" ref="M2110">_xlfn.XLOOKUP(F2110,Metodos_De_Pago[ID_Metodo],Metodos_De_Pago[Metodo])</f>
        <v>Mercado Pago</v>
      </c>
      <c r="N2110" s="20" t="str">
        <f t="shared" si="2"/>
        <v>2024 03</v>
      </c>
    </row>
    <row r="2111" ht="22.5" customHeight="1">
      <c r="A2111" s="12">
        <f>IFERROR(__xludf.DUMMYFUNCTION("""COMPUTED_VALUE"""),432.0)</f>
        <v>432</v>
      </c>
      <c r="B2111" s="13">
        <f>IFERROR(__xludf.DUMMYFUNCTION("""COMPUTED_VALUE"""),45381.0)</f>
        <v>45381</v>
      </c>
      <c r="C2111" s="12">
        <f>IFERROR(__xludf.DUMMYFUNCTION("""COMPUTED_VALUE"""),197.0)</f>
        <v>197</v>
      </c>
      <c r="D2111" s="12">
        <f>IFERROR(__xludf.DUMMYFUNCTION("""COMPUTED_VALUE"""),25.0)</f>
        <v>25</v>
      </c>
      <c r="E2111" s="12">
        <f>IFERROR(__xludf.DUMMYFUNCTION("""COMPUTED_VALUE"""),5.0)</f>
        <v>5</v>
      </c>
      <c r="F2111" s="12">
        <f>IFERROR(__xludf.DUMMYFUNCTION("""COMPUTED_VALUE"""),3.0)</f>
        <v>3</v>
      </c>
      <c r="G2111" s="15" t="str">
        <f>IFERROR(__xludf.DUMMYFUNCTION("""COMPUTED_VALUE"""),"Completa")</f>
        <v>Completa</v>
      </c>
      <c r="H2111" s="16" t="str">
        <f t="array" ref="H2111">_xlfn.XLOOKUP(D2111,Productos[ID_Producto],Productos[Nombre_Producto])</f>
        <v>Pizza congelada</v>
      </c>
      <c r="I2111" s="17">
        <f t="array" ref="I2111">_xlfn.XLOOKUP(D2111,Productos[ID_Producto],Productos[Precio_Unitario])</f>
        <v>15.45</v>
      </c>
      <c r="J2111" s="17">
        <f t="shared" si="1"/>
        <v>77.25</v>
      </c>
      <c r="K2111" s="16" t="str">
        <f t="array" ref="K2111">_xlfn.XLOOKUP(C2111,Clientes[ID_Cliente],Clientes[Provincia])</f>
        <v>San Luis</v>
      </c>
      <c r="L2111" s="16" t="str">
        <f t="array" ref="L2111">CONCATENATE(_xlfn.XLOOKUP(C2111,Clientes[ID_Cliente],Clientes[Provincia]),", Argentina")</f>
        <v>San Luis, Argentina</v>
      </c>
      <c r="M2111" s="20" t="str">
        <f t="array" ref="M2111">_xlfn.XLOOKUP(F2111,Metodos_De_Pago[ID_Metodo],Metodos_De_Pago[Metodo])</f>
        <v>Tarjeta de Débito</v>
      </c>
      <c r="N2111" s="20" t="str">
        <f t="shared" si="2"/>
        <v>2024 03</v>
      </c>
    </row>
    <row r="2112" ht="22.5" customHeight="1">
      <c r="A2112" s="12">
        <f>IFERROR(__xludf.DUMMYFUNCTION("""COMPUTED_VALUE"""),2863.0)</f>
        <v>2863</v>
      </c>
      <c r="B2112" s="13">
        <f>IFERROR(__xludf.DUMMYFUNCTION("""COMPUTED_VALUE"""),45381.0)</f>
        <v>45381</v>
      </c>
      <c r="C2112" s="12">
        <f>IFERROR(__xludf.DUMMYFUNCTION("""COMPUTED_VALUE"""),194.0)</f>
        <v>194</v>
      </c>
      <c r="D2112" s="12">
        <f>IFERROR(__xludf.DUMMYFUNCTION("""COMPUTED_VALUE"""),1.0)</f>
        <v>1</v>
      </c>
      <c r="E2112" s="12">
        <f>IFERROR(__xludf.DUMMYFUNCTION("""COMPUTED_VALUE"""),5.0)</f>
        <v>5</v>
      </c>
      <c r="F2112" s="12">
        <f>IFERROR(__xludf.DUMMYFUNCTION("""COMPUTED_VALUE"""),5.0)</f>
        <v>5</v>
      </c>
      <c r="G2112" s="15" t="str">
        <f>IFERROR(__xludf.DUMMYFUNCTION("""COMPUTED_VALUE"""),"Completa")</f>
        <v>Completa</v>
      </c>
      <c r="H2112" s="16" t="str">
        <f t="array" ref="H2112">_xlfn.XLOOKUP(D2112,Productos[ID_Producto],Productos[Nombre_Producto])</f>
        <v>Leche</v>
      </c>
      <c r="I2112" s="17">
        <f t="array" ref="I2112">_xlfn.XLOOKUP(D2112,Productos[ID_Producto],Productos[Precio_Unitario])</f>
        <v>12.24</v>
      </c>
      <c r="J2112" s="17">
        <f t="shared" si="1"/>
        <v>61.2</v>
      </c>
      <c r="K2112" s="16" t="str">
        <f t="array" ref="K2112">_xlfn.XLOOKUP(C2112,Clientes[ID_Cliente],Clientes[Provincia])</f>
        <v>Buenos Aires</v>
      </c>
      <c r="L2112" s="16" t="str">
        <f t="array" ref="L2112">CONCATENATE(_xlfn.XLOOKUP(C2112,Clientes[ID_Cliente],Clientes[Provincia]),", Argentina")</f>
        <v>Buenos Aires, Argentina</v>
      </c>
      <c r="M2112" s="20" t="str">
        <f t="array" ref="M2112">_xlfn.XLOOKUP(F2112,Metodos_De_Pago[ID_Metodo],Metodos_De_Pago[Metodo])</f>
        <v>Transferencia</v>
      </c>
      <c r="N2112" s="20" t="str">
        <f t="shared" si="2"/>
        <v>2024 03</v>
      </c>
    </row>
    <row r="2113" ht="22.5" customHeight="1">
      <c r="A2113" s="12">
        <f>IFERROR(__xludf.DUMMYFUNCTION("""COMPUTED_VALUE"""),1819.0)</f>
        <v>1819</v>
      </c>
      <c r="B2113" s="13">
        <f>IFERROR(__xludf.DUMMYFUNCTION("""COMPUTED_VALUE"""),45384.0)</f>
        <v>45384</v>
      </c>
      <c r="C2113" s="12">
        <f>IFERROR(__xludf.DUMMYFUNCTION("""COMPUTED_VALUE"""),192.0)</f>
        <v>192</v>
      </c>
      <c r="D2113" s="12">
        <f>IFERROR(__xludf.DUMMYFUNCTION("""COMPUTED_VALUE"""),22.0)</f>
        <v>22</v>
      </c>
      <c r="E2113" s="12">
        <f>IFERROR(__xludf.DUMMYFUNCTION("""COMPUTED_VALUE"""),5.0)</f>
        <v>5</v>
      </c>
      <c r="F2113" s="12">
        <f>IFERROR(__xludf.DUMMYFUNCTION("""COMPUTED_VALUE"""),1.0)</f>
        <v>1</v>
      </c>
      <c r="G2113" s="15" t="str">
        <f>IFERROR(__xludf.DUMMYFUNCTION("""COMPUTED_VALUE"""),"Pendiente")</f>
        <v>Pendiente</v>
      </c>
      <c r="H2113" s="16" t="str">
        <f t="array" ref="H2113">_xlfn.XLOOKUP(D2113,Productos[ID_Producto],Productos[Nombre_Producto])</f>
        <v>Cebolla</v>
      </c>
      <c r="I2113" s="17">
        <f t="array" ref="I2113">_xlfn.XLOOKUP(D2113,Productos[ID_Producto],Productos[Precio_Unitario])</f>
        <v>4.21</v>
      </c>
      <c r="J2113" s="17">
        <f t="shared" si="1"/>
        <v>21.05</v>
      </c>
      <c r="K2113" s="16" t="str">
        <f t="array" ref="K2113">_xlfn.XLOOKUP(C2113,Clientes[ID_Cliente],Clientes[Provincia])</f>
        <v>San Luis</v>
      </c>
      <c r="L2113" s="16" t="str">
        <f t="array" ref="L2113">CONCATENATE(_xlfn.XLOOKUP(C2113,Clientes[ID_Cliente],Clientes[Provincia]),", Argentina")</f>
        <v>San Luis, Argentina</v>
      </c>
      <c r="M2113" s="20" t="str">
        <f t="array" ref="M2113">_xlfn.XLOOKUP(F2113,Metodos_De_Pago[ID_Metodo],Metodos_De_Pago[Metodo])</f>
        <v>Efectivo</v>
      </c>
      <c r="N2113" s="20" t="str">
        <f t="shared" si="2"/>
        <v>2024 04</v>
      </c>
    </row>
    <row r="2114" ht="22.5" customHeight="1">
      <c r="A2114" s="12">
        <f>IFERROR(__xludf.DUMMYFUNCTION("""COMPUTED_VALUE"""),2413.0)</f>
        <v>2413</v>
      </c>
      <c r="B2114" s="13">
        <f>IFERROR(__xludf.DUMMYFUNCTION("""COMPUTED_VALUE"""),45384.0)</f>
        <v>45384</v>
      </c>
      <c r="C2114" s="12">
        <f>IFERROR(__xludf.DUMMYFUNCTION("""COMPUTED_VALUE"""),248.0)</f>
        <v>248</v>
      </c>
      <c r="D2114" s="12">
        <f>IFERROR(__xludf.DUMMYFUNCTION("""COMPUTED_VALUE"""),31.0)</f>
        <v>31</v>
      </c>
      <c r="E2114" s="12">
        <f>IFERROR(__xludf.DUMMYFUNCTION("""COMPUTED_VALUE"""),5.0)</f>
        <v>5</v>
      </c>
      <c r="F2114" s="12">
        <f>IFERROR(__xludf.DUMMYFUNCTION("""COMPUTED_VALUE"""),4.0)</f>
        <v>4</v>
      </c>
      <c r="G2114" s="15" t="str">
        <f>IFERROR(__xludf.DUMMYFUNCTION("""COMPUTED_VALUE"""),"Completa")</f>
        <v>Completa</v>
      </c>
      <c r="H2114" s="16" t="str">
        <f t="array" ref="H2114">_xlfn.XLOOKUP(D2114,Productos[ID_Producto],Productos[Nombre_Producto])</f>
        <v>Galletitas de agua</v>
      </c>
      <c r="I2114" s="17">
        <f t="array" ref="I2114">_xlfn.XLOOKUP(D2114,Productos[ID_Producto],Productos[Precio_Unitario])</f>
        <v>5.24</v>
      </c>
      <c r="J2114" s="17">
        <f t="shared" si="1"/>
        <v>26.2</v>
      </c>
      <c r="K2114" s="16" t="str">
        <f t="array" ref="K2114">_xlfn.XLOOKUP(C2114,Clientes[ID_Cliente],Clientes[Provincia])</f>
        <v>Córdoba</v>
      </c>
      <c r="L2114" s="16" t="str">
        <f t="array" ref="L2114">CONCATENATE(_xlfn.XLOOKUP(C2114,Clientes[ID_Cliente],Clientes[Provincia]),", Argentina")</f>
        <v>Córdoba, Argentina</v>
      </c>
      <c r="M2114" s="20" t="str">
        <f t="array" ref="M2114">_xlfn.XLOOKUP(F2114,Metodos_De_Pago[ID_Metodo],Metodos_De_Pago[Metodo])</f>
        <v>Mercado Pago</v>
      </c>
      <c r="N2114" s="20" t="str">
        <f t="shared" si="2"/>
        <v>2024 04</v>
      </c>
    </row>
    <row r="2115" ht="22.5" customHeight="1">
      <c r="A2115" s="12">
        <f>IFERROR(__xludf.DUMMYFUNCTION("""COMPUTED_VALUE"""),2899.0)</f>
        <v>2899</v>
      </c>
      <c r="B2115" s="13">
        <f>IFERROR(__xludf.DUMMYFUNCTION("""COMPUTED_VALUE"""),45384.0)</f>
        <v>45384</v>
      </c>
      <c r="C2115" s="12">
        <f>IFERROR(__xludf.DUMMYFUNCTION("""COMPUTED_VALUE"""),163.0)</f>
        <v>163</v>
      </c>
      <c r="D2115" s="12">
        <f>IFERROR(__xludf.DUMMYFUNCTION("""COMPUTED_VALUE"""),34.0)</f>
        <v>34</v>
      </c>
      <c r="E2115" s="12">
        <f>IFERROR(__xludf.DUMMYFUNCTION("""COMPUTED_VALUE"""),5.0)</f>
        <v>5</v>
      </c>
      <c r="F2115" s="12">
        <f>IFERROR(__xludf.DUMMYFUNCTION("""COMPUTED_VALUE"""),1.0)</f>
        <v>1</v>
      </c>
      <c r="G2115" s="15" t="str">
        <f>IFERROR(__xludf.DUMMYFUNCTION("""COMPUTED_VALUE"""),"Pendiente")</f>
        <v>Pendiente</v>
      </c>
      <c r="H2115" s="16" t="str">
        <f t="array" ref="H2115">_xlfn.XLOOKUP(D2115,Productos[ID_Producto],Productos[Nombre_Producto])</f>
        <v>Maníes</v>
      </c>
      <c r="I2115" s="17">
        <f t="array" ref="I2115">_xlfn.XLOOKUP(D2115,Productos[ID_Producto],Productos[Precio_Unitario])</f>
        <v>5.45</v>
      </c>
      <c r="J2115" s="17">
        <f t="shared" si="1"/>
        <v>27.25</v>
      </c>
      <c r="K2115" s="16" t="str">
        <f t="array" ref="K2115">_xlfn.XLOOKUP(C2115,Clientes[ID_Cliente],Clientes[Provincia])</f>
        <v>Buenos Aires</v>
      </c>
      <c r="L2115" s="16" t="str">
        <f t="array" ref="L2115">CONCATENATE(_xlfn.XLOOKUP(C2115,Clientes[ID_Cliente],Clientes[Provincia]),", Argentina")</f>
        <v>Buenos Aires, Argentina</v>
      </c>
      <c r="M2115" s="20" t="str">
        <f t="array" ref="M2115">_xlfn.XLOOKUP(F2115,Metodos_De_Pago[ID_Metodo],Metodos_De_Pago[Metodo])</f>
        <v>Efectivo</v>
      </c>
      <c r="N2115" s="20" t="str">
        <f t="shared" si="2"/>
        <v>2024 04</v>
      </c>
    </row>
    <row r="2116" ht="22.5" customHeight="1">
      <c r="A2116" s="12">
        <f>IFERROR(__xludf.DUMMYFUNCTION("""COMPUTED_VALUE"""),1913.0)</f>
        <v>1913</v>
      </c>
      <c r="B2116" s="13">
        <f>IFERROR(__xludf.DUMMYFUNCTION("""COMPUTED_VALUE"""),45385.0)</f>
        <v>45385</v>
      </c>
      <c r="C2116" s="12">
        <f>IFERROR(__xludf.DUMMYFUNCTION("""COMPUTED_VALUE"""),78.0)</f>
        <v>78</v>
      </c>
      <c r="D2116" s="12">
        <f>IFERROR(__xludf.DUMMYFUNCTION("""COMPUTED_VALUE"""),33.0)</f>
        <v>33</v>
      </c>
      <c r="E2116" s="12">
        <f>IFERROR(__xludf.DUMMYFUNCTION("""COMPUTED_VALUE"""),5.0)</f>
        <v>5</v>
      </c>
      <c r="F2116" s="12">
        <f>IFERROR(__xludf.DUMMYFUNCTION("""COMPUTED_VALUE"""),4.0)</f>
        <v>4</v>
      </c>
      <c r="G2116" s="15" t="str">
        <f>IFERROR(__xludf.DUMMYFUNCTION("""COMPUTED_VALUE"""),"Completa")</f>
        <v>Completa</v>
      </c>
      <c r="H2116" s="16" t="str">
        <f t="array" ref="H2116">_xlfn.XLOOKUP(D2116,Productos[ID_Producto],Productos[Nombre_Producto])</f>
        <v>Papas chips</v>
      </c>
      <c r="I2116" s="17">
        <f t="array" ref="I2116">_xlfn.XLOOKUP(D2116,Productos[ID_Producto],Productos[Precio_Unitario])</f>
        <v>8.54</v>
      </c>
      <c r="J2116" s="17">
        <f t="shared" si="1"/>
        <v>42.7</v>
      </c>
      <c r="K2116" s="16" t="str">
        <f t="array" ref="K2116">_xlfn.XLOOKUP(C2116,Clientes[ID_Cliente],Clientes[Provincia])</f>
        <v>Buenos Aires</v>
      </c>
      <c r="L2116" s="16" t="str">
        <f t="array" ref="L2116">CONCATENATE(_xlfn.XLOOKUP(C2116,Clientes[ID_Cliente],Clientes[Provincia]),", Argentina")</f>
        <v>Buenos Aires, Argentina</v>
      </c>
      <c r="M2116" s="20" t="str">
        <f t="array" ref="M2116">_xlfn.XLOOKUP(F2116,Metodos_De_Pago[ID_Metodo],Metodos_De_Pago[Metodo])</f>
        <v>Mercado Pago</v>
      </c>
      <c r="N2116" s="20" t="str">
        <f t="shared" si="2"/>
        <v>2024 04</v>
      </c>
    </row>
    <row r="2117" ht="22.5" customHeight="1">
      <c r="A2117" s="12">
        <f>IFERROR(__xludf.DUMMYFUNCTION("""COMPUTED_VALUE"""),2532.0)</f>
        <v>2532</v>
      </c>
      <c r="B2117" s="13">
        <f>IFERROR(__xludf.DUMMYFUNCTION("""COMPUTED_VALUE"""),45385.0)</f>
        <v>45385</v>
      </c>
      <c r="C2117" s="12">
        <f>IFERROR(__xludf.DUMMYFUNCTION("""COMPUTED_VALUE"""),28.0)</f>
        <v>28</v>
      </c>
      <c r="D2117" s="12">
        <f>IFERROR(__xludf.DUMMYFUNCTION("""COMPUTED_VALUE"""),13.0)</f>
        <v>13</v>
      </c>
      <c r="E2117" s="12">
        <f>IFERROR(__xludf.DUMMYFUNCTION("""COMPUTED_VALUE"""),5.0)</f>
        <v>5</v>
      </c>
      <c r="F2117" s="12">
        <f>IFERROR(__xludf.DUMMYFUNCTION("""COMPUTED_VALUE"""),4.0)</f>
        <v>4</v>
      </c>
      <c r="G2117" s="15" t="str">
        <f>IFERROR(__xludf.DUMMYFUNCTION("""COMPUTED_VALUE"""),"Completa")</f>
        <v>Completa</v>
      </c>
      <c r="H2117" s="16" t="str">
        <f t="array" ref="H2117">_xlfn.XLOOKUP(D2117,Productos[ID_Producto],Productos[Nombre_Producto])</f>
        <v>Pan integral</v>
      </c>
      <c r="I2117" s="17">
        <f t="array" ref="I2117">_xlfn.XLOOKUP(D2117,Productos[ID_Producto],Productos[Precio_Unitario])</f>
        <v>12.56</v>
      </c>
      <c r="J2117" s="17">
        <f t="shared" si="1"/>
        <v>62.8</v>
      </c>
      <c r="K2117" s="16" t="str">
        <f t="array" ref="K2117">_xlfn.XLOOKUP(C2117,Clientes[ID_Cliente],Clientes[Provincia])</f>
        <v>Chaco</v>
      </c>
      <c r="L2117" s="16" t="str">
        <f t="array" ref="L2117">CONCATENATE(_xlfn.XLOOKUP(C2117,Clientes[ID_Cliente],Clientes[Provincia]),", Argentina")</f>
        <v>Chaco, Argentina</v>
      </c>
      <c r="M2117" s="20" t="str">
        <f t="array" ref="M2117">_xlfn.XLOOKUP(F2117,Metodos_De_Pago[ID_Metodo],Metodos_De_Pago[Metodo])</f>
        <v>Mercado Pago</v>
      </c>
      <c r="N2117" s="20" t="str">
        <f t="shared" si="2"/>
        <v>2024 04</v>
      </c>
    </row>
    <row r="2118" ht="22.5" customHeight="1">
      <c r="A2118" s="12">
        <f>IFERROR(__xludf.DUMMYFUNCTION("""COMPUTED_VALUE"""),2571.0)</f>
        <v>2571</v>
      </c>
      <c r="B2118" s="13">
        <f>IFERROR(__xludf.DUMMYFUNCTION("""COMPUTED_VALUE"""),45385.0)</f>
        <v>45385</v>
      </c>
      <c r="C2118" s="12">
        <f>IFERROR(__xludf.DUMMYFUNCTION("""COMPUTED_VALUE"""),54.0)</f>
        <v>54</v>
      </c>
      <c r="D2118" s="12">
        <f>IFERROR(__xludf.DUMMYFUNCTION("""COMPUTED_VALUE"""),18.0)</f>
        <v>18</v>
      </c>
      <c r="E2118" s="12">
        <f>IFERROR(__xludf.DUMMYFUNCTION("""COMPUTED_VALUE"""),5.0)</f>
        <v>5</v>
      </c>
      <c r="F2118" s="12">
        <f>IFERROR(__xludf.DUMMYFUNCTION("""COMPUTED_VALUE"""),4.0)</f>
        <v>4</v>
      </c>
      <c r="G2118" s="15" t="str">
        <f>IFERROR(__xludf.DUMMYFUNCTION("""COMPUTED_VALUE"""),"Completa")</f>
        <v>Completa</v>
      </c>
      <c r="H2118" s="16" t="str">
        <f t="array" ref="H2118">_xlfn.XLOOKUP(D2118,Productos[ID_Producto],Productos[Nombre_Producto])</f>
        <v>Bananas</v>
      </c>
      <c r="I2118" s="17">
        <f t="array" ref="I2118">_xlfn.XLOOKUP(D2118,Productos[ID_Producto],Productos[Precio_Unitario])</f>
        <v>7.25</v>
      </c>
      <c r="J2118" s="17">
        <f t="shared" si="1"/>
        <v>36.25</v>
      </c>
      <c r="K2118" s="16" t="str">
        <f t="array" ref="K2118">_xlfn.XLOOKUP(C2118,Clientes[ID_Cliente],Clientes[Provincia])</f>
        <v>Buenos Aires</v>
      </c>
      <c r="L2118" s="16" t="str">
        <f t="array" ref="L2118">CONCATENATE(_xlfn.XLOOKUP(C2118,Clientes[ID_Cliente],Clientes[Provincia]),", Argentina")</f>
        <v>Buenos Aires, Argentina</v>
      </c>
      <c r="M2118" s="20" t="str">
        <f t="array" ref="M2118">_xlfn.XLOOKUP(F2118,Metodos_De_Pago[ID_Metodo],Metodos_De_Pago[Metodo])</f>
        <v>Mercado Pago</v>
      </c>
      <c r="N2118" s="20" t="str">
        <f t="shared" si="2"/>
        <v>2024 04</v>
      </c>
    </row>
    <row r="2119" ht="22.5" customHeight="1">
      <c r="A2119" s="12">
        <f>IFERROR(__xludf.DUMMYFUNCTION("""COMPUTED_VALUE"""),2795.0)</f>
        <v>2795</v>
      </c>
      <c r="B2119" s="13">
        <f>IFERROR(__xludf.DUMMYFUNCTION("""COMPUTED_VALUE"""),45385.0)</f>
        <v>45385</v>
      </c>
      <c r="C2119" s="12">
        <f>IFERROR(__xludf.DUMMYFUNCTION("""COMPUTED_VALUE"""),39.0)</f>
        <v>39</v>
      </c>
      <c r="D2119" s="12">
        <f>IFERROR(__xludf.DUMMYFUNCTION("""COMPUTED_VALUE"""),8.0)</f>
        <v>8</v>
      </c>
      <c r="E2119" s="12">
        <f>IFERROR(__xludf.DUMMYFUNCTION("""COMPUTED_VALUE"""),5.0)</f>
        <v>5</v>
      </c>
      <c r="F2119" s="12">
        <f>IFERROR(__xludf.DUMMYFUNCTION("""COMPUTED_VALUE"""),4.0)</f>
        <v>4</v>
      </c>
      <c r="G2119" s="15" t="str">
        <f>IFERROR(__xludf.DUMMYFUNCTION("""COMPUTED_VALUE"""),"Completa")</f>
        <v>Completa</v>
      </c>
      <c r="H2119" s="16" t="str">
        <f t="array" ref="H2119">_xlfn.XLOOKUP(D2119,Productos[ID_Producto],Productos[Nombre_Producto])</f>
        <v>Milanesa</v>
      </c>
      <c r="I2119" s="17">
        <f t="array" ref="I2119">_xlfn.XLOOKUP(D2119,Productos[ID_Producto],Productos[Precio_Unitario])</f>
        <v>16.21</v>
      </c>
      <c r="J2119" s="17">
        <f t="shared" si="1"/>
        <v>81.05</v>
      </c>
      <c r="K2119" s="16" t="str">
        <f t="array" ref="K2119">_xlfn.XLOOKUP(C2119,Clientes[ID_Cliente],Clientes[Provincia])</f>
        <v>Neuquén</v>
      </c>
      <c r="L2119" s="16" t="str">
        <f t="array" ref="L2119">CONCATENATE(_xlfn.XLOOKUP(C2119,Clientes[ID_Cliente],Clientes[Provincia]),", Argentina")</f>
        <v>Neuquén, Argentina</v>
      </c>
      <c r="M2119" s="20" t="str">
        <f t="array" ref="M2119">_xlfn.XLOOKUP(F2119,Metodos_De_Pago[ID_Metodo],Metodos_De_Pago[Metodo])</f>
        <v>Mercado Pago</v>
      </c>
      <c r="N2119" s="20" t="str">
        <f t="shared" si="2"/>
        <v>2024 04</v>
      </c>
    </row>
    <row r="2120" ht="22.5" customHeight="1">
      <c r="A2120" s="12">
        <f>IFERROR(__xludf.DUMMYFUNCTION("""COMPUTED_VALUE"""),491.0)</f>
        <v>491</v>
      </c>
      <c r="B2120" s="13">
        <f>IFERROR(__xludf.DUMMYFUNCTION("""COMPUTED_VALUE"""),45386.0)</f>
        <v>45386</v>
      </c>
      <c r="C2120" s="12">
        <f>IFERROR(__xludf.DUMMYFUNCTION("""COMPUTED_VALUE"""),25.0)</f>
        <v>25</v>
      </c>
      <c r="D2120" s="12">
        <f>IFERROR(__xludf.DUMMYFUNCTION("""COMPUTED_VALUE"""),5.0)</f>
        <v>5</v>
      </c>
      <c r="E2120" s="12">
        <f>IFERROR(__xludf.DUMMYFUNCTION("""COMPUTED_VALUE"""),5.0)</f>
        <v>5</v>
      </c>
      <c r="F2120" s="12">
        <f>IFERROR(__xludf.DUMMYFUNCTION("""COMPUTED_VALUE"""),5.0)</f>
        <v>5</v>
      </c>
      <c r="G2120" s="15" t="str">
        <f>IFERROR(__xludf.DUMMYFUNCTION("""COMPUTED_VALUE"""),"Completa")</f>
        <v>Completa</v>
      </c>
      <c r="H2120" s="16" t="str">
        <f t="array" ref="H2120">_xlfn.XLOOKUP(D2120,Productos[ID_Producto],Productos[Nombre_Producto])</f>
        <v>Manteca</v>
      </c>
      <c r="I2120" s="17">
        <f t="array" ref="I2120">_xlfn.XLOOKUP(D2120,Productos[ID_Producto],Productos[Precio_Unitario])</f>
        <v>5.65</v>
      </c>
      <c r="J2120" s="17">
        <f t="shared" si="1"/>
        <v>28.25</v>
      </c>
      <c r="K2120" s="16" t="str">
        <f t="array" ref="K2120">_xlfn.XLOOKUP(C2120,Clientes[ID_Cliente],Clientes[Provincia])</f>
        <v>Neuquén</v>
      </c>
      <c r="L2120" s="16" t="str">
        <f t="array" ref="L2120">CONCATENATE(_xlfn.XLOOKUP(C2120,Clientes[ID_Cliente],Clientes[Provincia]),", Argentina")</f>
        <v>Neuquén, Argentina</v>
      </c>
      <c r="M2120" s="20" t="str">
        <f t="array" ref="M2120">_xlfn.XLOOKUP(F2120,Metodos_De_Pago[ID_Metodo],Metodos_De_Pago[Metodo])</f>
        <v>Transferencia</v>
      </c>
      <c r="N2120" s="20" t="str">
        <f t="shared" si="2"/>
        <v>2024 04</v>
      </c>
    </row>
    <row r="2121" ht="22.5" customHeight="1">
      <c r="A2121" s="12">
        <f>IFERROR(__xludf.DUMMYFUNCTION("""COMPUTED_VALUE"""),1417.0)</f>
        <v>1417</v>
      </c>
      <c r="B2121" s="13">
        <f>IFERROR(__xludf.DUMMYFUNCTION("""COMPUTED_VALUE"""),45386.0)</f>
        <v>45386</v>
      </c>
      <c r="C2121" s="12">
        <f>IFERROR(__xludf.DUMMYFUNCTION("""COMPUTED_VALUE"""),126.0)</f>
        <v>126</v>
      </c>
      <c r="D2121" s="12">
        <f>IFERROR(__xludf.DUMMYFUNCTION("""COMPUTED_VALUE"""),13.0)</f>
        <v>13</v>
      </c>
      <c r="E2121" s="12">
        <f>IFERROR(__xludf.DUMMYFUNCTION("""COMPUTED_VALUE"""),5.0)</f>
        <v>5</v>
      </c>
      <c r="F2121" s="12">
        <f>IFERROR(__xludf.DUMMYFUNCTION("""COMPUTED_VALUE"""),3.0)</f>
        <v>3</v>
      </c>
      <c r="G2121" s="15" t="str">
        <f>IFERROR(__xludf.DUMMYFUNCTION("""COMPUTED_VALUE"""),"Completa")</f>
        <v>Completa</v>
      </c>
      <c r="H2121" s="16" t="str">
        <f t="array" ref="H2121">_xlfn.XLOOKUP(D2121,Productos[ID_Producto],Productos[Nombre_Producto])</f>
        <v>Pan integral</v>
      </c>
      <c r="I2121" s="17">
        <f t="array" ref="I2121">_xlfn.XLOOKUP(D2121,Productos[ID_Producto],Productos[Precio_Unitario])</f>
        <v>12.56</v>
      </c>
      <c r="J2121" s="17">
        <f t="shared" si="1"/>
        <v>62.8</v>
      </c>
      <c r="K2121" s="16" t="str">
        <f t="array" ref="K2121">_xlfn.XLOOKUP(C2121,Clientes[ID_Cliente],Clientes[Provincia])</f>
        <v>San Luis</v>
      </c>
      <c r="L2121" s="16" t="str">
        <f t="array" ref="L2121">CONCATENATE(_xlfn.XLOOKUP(C2121,Clientes[ID_Cliente],Clientes[Provincia]),", Argentina")</f>
        <v>San Luis, Argentina</v>
      </c>
      <c r="M2121" s="20" t="str">
        <f t="array" ref="M2121">_xlfn.XLOOKUP(F2121,Metodos_De_Pago[ID_Metodo],Metodos_De_Pago[Metodo])</f>
        <v>Tarjeta de Débito</v>
      </c>
      <c r="N2121" s="20" t="str">
        <f t="shared" si="2"/>
        <v>2024 04</v>
      </c>
    </row>
    <row r="2122" ht="22.5" customHeight="1">
      <c r="A2122" s="12">
        <f>IFERROR(__xludf.DUMMYFUNCTION("""COMPUTED_VALUE"""),2879.0)</f>
        <v>2879</v>
      </c>
      <c r="B2122" s="13">
        <f>IFERROR(__xludf.DUMMYFUNCTION("""COMPUTED_VALUE"""),45386.0)</f>
        <v>45386</v>
      </c>
      <c r="C2122" s="12">
        <f>IFERROR(__xludf.DUMMYFUNCTION("""COMPUTED_VALUE"""),186.0)</f>
        <v>186</v>
      </c>
      <c r="D2122" s="12">
        <f>IFERROR(__xludf.DUMMYFUNCTION("""COMPUTED_VALUE"""),3.0)</f>
        <v>3</v>
      </c>
      <c r="E2122" s="12">
        <f>IFERROR(__xludf.DUMMYFUNCTION("""COMPUTED_VALUE"""),5.0)</f>
        <v>5</v>
      </c>
      <c r="F2122" s="12">
        <f>IFERROR(__xludf.DUMMYFUNCTION("""COMPUTED_VALUE"""),4.0)</f>
        <v>4</v>
      </c>
      <c r="G2122" s="15" t="str">
        <f>IFERROR(__xludf.DUMMYFUNCTION("""COMPUTED_VALUE"""),"Completa")</f>
        <v>Completa</v>
      </c>
      <c r="H2122" s="16" t="str">
        <f t="array" ref="H2122">_xlfn.XLOOKUP(D2122,Productos[ID_Producto],Productos[Nombre_Producto])</f>
        <v>Queso cremoso</v>
      </c>
      <c r="I2122" s="17">
        <f t="array" ref="I2122">_xlfn.XLOOKUP(D2122,Productos[ID_Producto],Productos[Precio_Unitario])</f>
        <v>17.23</v>
      </c>
      <c r="J2122" s="17">
        <f t="shared" si="1"/>
        <v>86.15</v>
      </c>
      <c r="K2122" s="16" t="str">
        <f t="array" ref="K2122">_xlfn.XLOOKUP(C2122,Clientes[ID_Cliente],Clientes[Provincia])</f>
        <v>Neuquén</v>
      </c>
      <c r="L2122" s="16" t="str">
        <f t="array" ref="L2122">CONCATENATE(_xlfn.XLOOKUP(C2122,Clientes[ID_Cliente],Clientes[Provincia]),", Argentina")</f>
        <v>Neuquén, Argentina</v>
      </c>
      <c r="M2122" s="20" t="str">
        <f t="array" ref="M2122">_xlfn.XLOOKUP(F2122,Metodos_De_Pago[ID_Metodo],Metodos_De_Pago[Metodo])</f>
        <v>Mercado Pago</v>
      </c>
      <c r="N2122" s="20" t="str">
        <f t="shared" si="2"/>
        <v>2024 04</v>
      </c>
    </row>
    <row r="2123" ht="22.5" customHeight="1">
      <c r="A2123" s="12">
        <f>IFERROR(__xludf.DUMMYFUNCTION("""COMPUTED_VALUE"""),2995.0)</f>
        <v>2995</v>
      </c>
      <c r="B2123" s="13">
        <f>IFERROR(__xludf.DUMMYFUNCTION("""COMPUTED_VALUE"""),45387.0)</f>
        <v>45387</v>
      </c>
      <c r="C2123" s="12">
        <f>IFERROR(__xludf.DUMMYFUNCTION("""COMPUTED_VALUE"""),38.0)</f>
        <v>38</v>
      </c>
      <c r="D2123" s="12">
        <f>IFERROR(__xludf.DUMMYFUNCTION("""COMPUTED_VALUE"""),34.0)</f>
        <v>34</v>
      </c>
      <c r="E2123" s="12">
        <f>IFERROR(__xludf.DUMMYFUNCTION("""COMPUTED_VALUE"""),5.0)</f>
        <v>5</v>
      </c>
      <c r="F2123" s="12">
        <f>IFERROR(__xludf.DUMMYFUNCTION("""COMPUTED_VALUE"""),5.0)</f>
        <v>5</v>
      </c>
      <c r="G2123" s="15" t="str">
        <f>IFERROR(__xludf.DUMMYFUNCTION("""COMPUTED_VALUE"""),"Completa")</f>
        <v>Completa</v>
      </c>
      <c r="H2123" s="16" t="str">
        <f t="array" ref="H2123">_xlfn.XLOOKUP(D2123,Productos[ID_Producto],Productos[Nombre_Producto])</f>
        <v>Maníes</v>
      </c>
      <c r="I2123" s="17">
        <f t="array" ref="I2123">_xlfn.XLOOKUP(D2123,Productos[ID_Producto],Productos[Precio_Unitario])</f>
        <v>5.45</v>
      </c>
      <c r="J2123" s="17">
        <f t="shared" si="1"/>
        <v>27.25</v>
      </c>
      <c r="K2123" s="16" t="str">
        <f t="array" ref="K2123">_xlfn.XLOOKUP(C2123,Clientes[ID_Cliente],Clientes[Provincia])</f>
        <v>Neuquén</v>
      </c>
      <c r="L2123" s="16" t="str">
        <f t="array" ref="L2123">CONCATENATE(_xlfn.XLOOKUP(C2123,Clientes[ID_Cliente],Clientes[Provincia]),", Argentina")</f>
        <v>Neuquén, Argentina</v>
      </c>
      <c r="M2123" s="20" t="str">
        <f t="array" ref="M2123">_xlfn.XLOOKUP(F2123,Metodos_De_Pago[ID_Metodo],Metodos_De_Pago[Metodo])</f>
        <v>Transferencia</v>
      </c>
      <c r="N2123" s="20" t="str">
        <f t="shared" si="2"/>
        <v>2024 04</v>
      </c>
    </row>
    <row r="2124" ht="22.5" customHeight="1">
      <c r="A2124" s="12">
        <f>IFERROR(__xludf.DUMMYFUNCTION("""COMPUTED_VALUE"""),395.0)</f>
        <v>395</v>
      </c>
      <c r="B2124" s="13">
        <f>IFERROR(__xludf.DUMMYFUNCTION("""COMPUTED_VALUE"""),45389.0)</f>
        <v>45389</v>
      </c>
      <c r="C2124" s="12">
        <f>IFERROR(__xludf.DUMMYFUNCTION("""COMPUTED_VALUE"""),75.0)</f>
        <v>75</v>
      </c>
      <c r="D2124" s="12">
        <f>IFERROR(__xludf.DUMMYFUNCTION("""COMPUTED_VALUE"""),32.0)</f>
        <v>32</v>
      </c>
      <c r="E2124" s="12">
        <f>IFERROR(__xludf.DUMMYFUNCTION("""COMPUTED_VALUE"""),5.0)</f>
        <v>5</v>
      </c>
      <c r="F2124" s="12">
        <f>IFERROR(__xludf.DUMMYFUNCTION("""COMPUTED_VALUE"""),5.0)</f>
        <v>5</v>
      </c>
      <c r="G2124" s="15" t="str">
        <f>IFERROR(__xludf.DUMMYFUNCTION("""COMPUTED_VALUE"""),"Completa")</f>
        <v>Completa</v>
      </c>
      <c r="H2124" s="16" t="str">
        <f t="array" ref="H2124">_xlfn.XLOOKUP(D2124,Productos[ID_Producto],Productos[Nombre_Producto])</f>
        <v>Galletitas de chocolate</v>
      </c>
      <c r="I2124" s="17">
        <f t="array" ref="I2124">_xlfn.XLOOKUP(D2124,Productos[ID_Producto],Productos[Precio_Unitario])</f>
        <v>6.25</v>
      </c>
      <c r="J2124" s="17">
        <f t="shared" si="1"/>
        <v>31.25</v>
      </c>
      <c r="K2124" s="16" t="str">
        <f t="array" ref="K2124">_xlfn.XLOOKUP(C2124,Clientes[ID_Cliente],Clientes[Provincia])</f>
        <v>Chaco</v>
      </c>
      <c r="L2124" s="16" t="str">
        <f t="array" ref="L2124">CONCATENATE(_xlfn.XLOOKUP(C2124,Clientes[ID_Cliente],Clientes[Provincia]),", Argentina")</f>
        <v>Chaco, Argentina</v>
      </c>
      <c r="M2124" s="20" t="str">
        <f t="array" ref="M2124">_xlfn.XLOOKUP(F2124,Metodos_De_Pago[ID_Metodo],Metodos_De_Pago[Metodo])</f>
        <v>Transferencia</v>
      </c>
      <c r="N2124" s="20" t="str">
        <f t="shared" si="2"/>
        <v>2024 04</v>
      </c>
    </row>
    <row r="2125" ht="22.5" customHeight="1">
      <c r="A2125" s="12">
        <f>IFERROR(__xludf.DUMMYFUNCTION("""COMPUTED_VALUE"""),1220.0)</f>
        <v>1220</v>
      </c>
      <c r="B2125" s="13">
        <f>IFERROR(__xludf.DUMMYFUNCTION("""COMPUTED_VALUE"""),45389.0)</f>
        <v>45389</v>
      </c>
      <c r="C2125" s="12">
        <f>IFERROR(__xludf.DUMMYFUNCTION("""COMPUTED_VALUE"""),224.0)</f>
        <v>224</v>
      </c>
      <c r="D2125" s="12">
        <f>IFERROR(__xludf.DUMMYFUNCTION("""COMPUTED_VALUE"""),38.0)</f>
        <v>38</v>
      </c>
      <c r="E2125" s="12">
        <f>IFERROR(__xludf.DUMMYFUNCTION("""COMPUTED_VALUE"""),5.0)</f>
        <v>5</v>
      </c>
      <c r="F2125" s="12">
        <f>IFERROR(__xludf.DUMMYFUNCTION("""COMPUTED_VALUE"""),3.0)</f>
        <v>3</v>
      </c>
      <c r="G2125" s="15" t="str">
        <f>IFERROR(__xludf.DUMMYFUNCTION("""COMPUTED_VALUE"""),"Completa")</f>
        <v>Completa</v>
      </c>
      <c r="H2125" s="16" t="str">
        <f t="array" ref="H2125">_xlfn.XLOOKUP(D2125,Productos[ID_Producto],Productos[Nombre_Producto])</f>
        <v>Atún enlatado</v>
      </c>
      <c r="I2125" s="17">
        <f t="array" ref="I2125">_xlfn.XLOOKUP(D2125,Productos[ID_Producto],Productos[Precio_Unitario])</f>
        <v>6.21</v>
      </c>
      <c r="J2125" s="17">
        <f t="shared" si="1"/>
        <v>31.05</v>
      </c>
      <c r="K2125" s="16" t="str">
        <f t="array" ref="K2125">_xlfn.XLOOKUP(C2125,Clientes[ID_Cliente],Clientes[Provincia])</f>
        <v>San Luis</v>
      </c>
      <c r="L2125" s="16" t="str">
        <f t="array" ref="L2125">CONCATENATE(_xlfn.XLOOKUP(C2125,Clientes[ID_Cliente],Clientes[Provincia]),", Argentina")</f>
        <v>San Luis, Argentina</v>
      </c>
      <c r="M2125" s="20" t="str">
        <f t="array" ref="M2125">_xlfn.XLOOKUP(F2125,Metodos_De_Pago[ID_Metodo],Metodos_De_Pago[Metodo])</f>
        <v>Tarjeta de Débito</v>
      </c>
      <c r="N2125" s="20" t="str">
        <f t="shared" si="2"/>
        <v>2024 04</v>
      </c>
    </row>
    <row r="2126" ht="22.5" customHeight="1">
      <c r="A2126" s="12">
        <f>IFERROR(__xludf.DUMMYFUNCTION("""COMPUTED_VALUE"""),1470.0)</f>
        <v>1470</v>
      </c>
      <c r="B2126" s="13">
        <f>IFERROR(__xludf.DUMMYFUNCTION("""COMPUTED_VALUE"""),45390.0)</f>
        <v>45390</v>
      </c>
      <c r="C2126" s="12">
        <f>IFERROR(__xludf.DUMMYFUNCTION("""COMPUTED_VALUE"""),38.0)</f>
        <v>38</v>
      </c>
      <c r="D2126" s="12">
        <f>IFERROR(__xludf.DUMMYFUNCTION("""COMPUTED_VALUE"""),24.0)</f>
        <v>24</v>
      </c>
      <c r="E2126" s="12">
        <f>IFERROR(__xludf.DUMMYFUNCTION("""COMPUTED_VALUE"""),5.0)</f>
        <v>5</v>
      </c>
      <c r="F2126" s="12">
        <f>IFERROR(__xludf.DUMMYFUNCTION("""COMPUTED_VALUE"""),5.0)</f>
        <v>5</v>
      </c>
      <c r="G2126" s="15" t="str">
        <f>IFERROR(__xludf.DUMMYFUNCTION("""COMPUTED_VALUE"""),"Completa")</f>
        <v>Completa</v>
      </c>
      <c r="H2126" s="16" t="str">
        <f t="array" ref="H2126">_xlfn.XLOOKUP(D2126,Productos[ID_Producto],Productos[Nombre_Producto])</f>
        <v>Empanadas</v>
      </c>
      <c r="I2126" s="17">
        <f t="array" ref="I2126">_xlfn.XLOOKUP(D2126,Productos[ID_Producto],Productos[Precio_Unitario])</f>
        <v>13.54</v>
      </c>
      <c r="J2126" s="17">
        <f t="shared" si="1"/>
        <v>67.7</v>
      </c>
      <c r="K2126" s="16" t="str">
        <f t="array" ref="K2126">_xlfn.XLOOKUP(C2126,Clientes[ID_Cliente],Clientes[Provincia])</f>
        <v>Neuquén</v>
      </c>
      <c r="L2126" s="16" t="str">
        <f t="array" ref="L2126">CONCATENATE(_xlfn.XLOOKUP(C2126,Clientes[ID_Cliente],Clientes[Provincia]),", Argentina")</f>
        <v>Neuquén, Argentina</v>
      </c>
      <c r="M2126" s="20" t="str">
        <f t="array" ref="M2126">_xlfn.XLOOKUP(F2126,Metodos_De_Pago[ID_Metodo],Metodos_De_Pago[Metodo])</f>
        <v>Transferencia</v>
      </c>
      <c r="N2126" s="20" t="str">
        <f t="shared" si="2"/>
        <v>2024 04</v>
      </c>
    </row>
    <row r="2127" ht="22.5" customHeight="1">
      <c r="A2127" s="12">
        <f>IFERROR(__xludf.DUMMYFUNCTION("""COMPUTED_VALUE"""),1046.0)</f>
        <v>1046</v>
      </c>
      <c r="B2127" s="13">
        <f>IFERROR(__xludf.DUMMYFUNCTION("""COMPUTED_VALUE"""),45392.0)</f>
        <v>45392</v>
      </c>
      <c r="C2127" s="12">
        <f>IFERROR(__xludf.DUMMYFUNCTION("""COMPUTED_VALUE"""),288.0)</f>
        <v>288</v>
      </c>
      <c r="D2127" s="12">
        <f>IFERROR(__xludf.DUMMYFUNCTION("""COMPUTED_VALUE"""),1.0)</f>
        <v>1</v>
      </c>
      <c r="E2127" s="12">
        <f>IFERROR(__xludf.DUMMYFUNCTION("""COMPUTED_VALUE"""),5.0)</f>
        <v>5</v>
      </c>
      <c r="F2127" s="12">
        <f>IFERROR(__xludf.DUMMYFUNCTION("""COMPUTED_VALUE"""),3.0)</f>
        <v>3</v>
      </c>
      <c r="G2127" s="15" t="str">
        <f>IFERROR(__xludf.DUMMYFUNCTION("""COMPUTED_VALUE"""),"Completa")</f>
        <v>Completa</v>
      </c>
      <c r="H2127" s="16" t="str">
        <f t="array" ref="H2127">_xlfn.XLOOKUP(D2127,Productos[ID_Producto],Productos[Nombre_Producto])</f>
        <v>Leche</v>
      </c>
      <c r="I2127" s="17">
        <f t="array" ref="I2127">_xlfn.XLOOKUP(D2127,Productos[ID_Producto],Productos[Precio_Unitario])</f>
        <v>12.24</v>
      </c>
      <c r="J2127" s="17">
        <f t="shared" si="1"/>
        <v>61.2</v>
      </c>
      <c r="K2127" s="16" t="str">
        <f t="array" ref="K2127">_xlfn.XLOOKUP(C2127,Clientes[ID_Cliente],Clientes[Provincia])</f>
        <v>Buenos Aires</v>
      </c>
      <c r="L2127" s="16" t="str">
        <f t="array" ref="L2127">CONCATENATE(_xlfn.XLOOKUP(C2127,Clientes[ID_Cliente],Clientes[Provincia]),", Argentina")</f>
        <v>Buenos Aires, Argentina</v>
      </c>
      <c r="M2127" s="20" t="str">
        <f t="array" ref="M2127">_xlfn.XLOOKUP(F2127,Metodos_De_Pago[ID_Metodo],Metodos_De_Pago[Metodo])</f>
        <v>Tarjeta de Débito</v>
      </c>
      <c r="N2127" s="20" t="str">
        <f t="shared" si="2"/>
        <v>2024 04</v>
      </c>
    </row>
    <row r="2128" ht="22.5" customHeight="1">
      <c r="A2128" s="12">
        <f>IFERROR(__xludf.DUMMYFUNCTION("""COMPUTED_VALUE"""),1149.0)</f>
        <v>1149</v>
      </c>
      <c r="B2128" s="13">
        <f>IFERROR(__xludf.DUMMYFUNCTION("""COMPUTED_VALUE"""),45394.0)</f>
        <v>45394</v>
      </c>
      <c r="C2128" s="12">
        <f>IFERROR(__xludf.DUMMYFUNCTION("""COMPUTED_VALUE"""),272.0)</f>
        <v>272</v>
      </c>
      <c r="D2128" s="12">
        <f>IFERROR(__xludf.DUMMYFUNCTION("""COMPUTED_VALUE"""),24.0)</f>
        <v>24</v>
      </c>
      <c r="E2128" s="12">
        <f>IFERROR(__xludf.DUMMYFUNCTION("""COMPUTED_VALUE"""),5.0)</f>
        <v>5</v>
      </c>
      <c r="F2128" s="12">
        <f>IFERROR(__xludf.DUMMYFUNCTION("""COMPUTED_VALUE"""),5.0)</f>
        <v>5</v>
      </c>
      <c r="G2128" s="15" t="str">
        <f>IFERROR(__xludf.DUMMYFUNCTION("""COMPUTED_VALUE"""),"Completa")</f>
        <v>Completa</v>
      </c>
      <c r="H2128" s="16" t="str">
        <f t="array" ref="H2128">_xlfn.XLOOKUP(D2128,Productos[ID_Producto],Productos[Nombre_Producto])</f>
        <v>Empanadas</v>
      </c>
      <c r="I2128" s="17">
        <f t="array" ref="I2128">_xlfn.XLOOKUP(D2128,Productos[ID_Producto],Productos[Precio_Unitario])</f>
        <v>13.54</v>
      </c>
      <c r="J2128" s="17">
        <f t="shared" si="1"/>
        <v>67.7</v>
      </c>
      <c r="K2128" s="16" t="str">
        <f t="array" ref="K2128">_xlfn.XLOOKUP(C2128,Clientes[ID_Cliente],Clientes[Provincia])</f>
        <v>Buenos Aires</v>
      </c>
      <c r="L2128" s="16" t="str">
        <f t="array" ref="L2128">CONCATENATE(_xlfn.XLOOKUP(C2128,Clientes[ID_Cliente],Clientes[Provincia]),", Argentina")</f>
        <v>Buenos Aires, Argentina</v>
      </c>
      <c r="M2128" s="20" t="str">
        <f t="array" ref="M2128">_xlfn.XLOOKUP(F2128,Metodos_De_Pago[ID_Metodo],Metodos_De_Pago[Metodo])</f>
        <v>Transferencia</v>
      </c>
      <c r="N2128" s="20" t="str">
        <f t="shared" si="2"/>
        <v>2024 04</v>
      </c>
    </row>
    <row r="2129" ht="22.5" customHeight="1">
      <c r="A2129" s="12">
        <f>IFERROR(__xludf.DUMMYFUNCTION("""COMPUTED_VALUE"""),1698.0)</f>
        <v>1698</v>
      </c>
      <c r="B2129" s="13">
        <f>IFERROR(__xludf.DUMMYFUNCTION("""COMPUTED_VALUE"""),45394.0)</f>
        <v>45394</v>
      </c>
      <c r="C2129" s="12">
        <f>IFERROR(__xludf.DUMMYFUNCTION("""COMPUTED_VALUE"""),272.0)</f>
        <v>272</v>
      </c>
      <c r="D2129" s="12">
        <f>IFERROR(__xludf.DUMMYFUNCTION("""COMPUTED_VALUE"""),3.0)</f>
        <v>3</v>
      </c>
      <c r="E2129" s="12">
        <f>IFERROR(__xludf.DUMMYFUNCTION("""COMPUTED_VALUE"""),5.0)</f>
        <v>5</v>
      </c>
      <c r="F2129" s="12">
        <f>IFERROR(__xludf.DUMMYFUNCTION("""COMPUTED_VALUE"""),5.0)</f>
        <v>5</v>
      </c>
      <c r="G2129" s="15" t="str">
        <f>IFERROR(__xludf.DUMMYFUNCTION("""COMPUTED_VALUE"""),"Completa")</f>
        <v>Completa</v>
      </c>
      <c r="H2129" s="16" t="str">
        <f t="array" ref="H2129">_xlfn.XLOOKUP(D2129,Productos[ID_Producto],Productos[Nombre_Producto])</f>
        <v>Queso cremoso</v>
      </c>
      <c r="I2129" s="17">
        <f t="array" ref="I2129">_xlfn.XLOOKUP(D2129,Productos[ID_Producto],Productos[Precio_Unitario])</f>
        <v>17.23</v>
      </c>
      <c r="J2129" s="17">
        <f t="shared" si="1"/>
        <v>86.15</v>
      </c>
      <c r="K2129" s="16" t="str">
        <f t="array" ref="K2129">_xlfn.XLOOKUP(C2129,Clientes[ID_Cliente],Clientes[Provincia])</f>
        <v>Buenos Aires</v>
      </c>
      <c r="L2129" s="16" t="str">
        <f t="array" ref="L2129">CONCATENATE(_xlfn.XLOOKUP(C2129,Clientes[ID_Cliente],Clientes[Provincia]),", Argentina")</f>
        <v>Buenos Aires, Argentina</v>
      </c>
      <c r="M2129" s="20" t="str">
        <f t="array" ref="M2129">_xlfn.XLOOKUP(F2129,Metodos_De_Pago[ID_Metodo],Metodos_De_Pago[Metodo])</f>
        <v>Transferencia</v>
      </c>
      <c r="N2129" s="20" t="str">
        <f t="shared" si="2"/>
        <v>2024 04</v>
      </c>
    </row>
    <row r="2130" ht="22.5" customHeight="1">
      <c r="A2130" s="12">
        <f>IFERROR(__xludf.DUMMYFUNCTION("""COMPUTED_VALUE"""),2497.0)</f>
        <v>2497</v>
      </c>
      <c r="B2130" s="13">
        <f>IFERROR(__xludf.DUMMYFUNCTION("""COMPUTED_VALUE"""),45394.0)</f>
        <v>45394</v>
      </c>
      <c r="C2130" s="12">
        <f>IFERROR(__xludf.DUMMYFUNCTION("""COMPUTED_VALUE"""),105.0)</f>
        <v>105</v>
      </c>
      <c r="D2130" s="12">
        <f>IFERROR(__xludf.DUMMYFUNCTION("""COMPUTED_VALUE"""),26.0)</f>
        <v>26</v>
      </c>
      <c r="E2130" s="12">
        <f>IFERROR(__xludf.DUMMYFUNCTION("""COMPUTED_VALUE"""),5.0)</f>
        <v>5</v>
      </c>
      <c r="F2130" s="12">
        <f>IFERROR(__xludf.DUMMYFUNCTION("""COMPUTED_VALUE"""),4.0)</f>
        <v>4</v>
      </c>
      <c r="G2130" s="15" t="str">
        <f>IFERROR(__xludf.DUMMYFUNCTION("""COMPUTED_VALUE"""),"Completa")</f>
        <v>Completa</v>
      </c>
      <c r="H2130" s="16" t="str">
        <f t="array" ref="H2130">_xlfn.XLOOKUP(D2130,Productos[ID_Producto],Productos[Nombre_Producto])</f>
        <v>Hamburgesas congeladas</v>
      </c>
      <c r="I2130" s="17">
        <f t="array" ref="I2130">_xlfn.XLOOKUP(D2130,Productos[ID_Producto],Productos[Precio_Unitario])</f>
        <v>9.54</v>
      </c>
      <c r="J2130" s="17">
        <f t="shared" si="1"/>
        <v>47.7</v>
      </c>
      <c r="K2130" s="16" t="str">
        <f t="array" ref="K2130">_xlfn.XLOOKUP(C2130,Clientes[ID_Cliente],Clientes[Provincia])</f>
        <v>Buenos Aires</v>
      </c>
      <c r="L2130" s="16" t="str">
        <f t="array" ref="L2130">CONCATENATE(_xlfn.XLOOKUP(C2130,Clientes[ID_Cliente],Clientes[Provincia]),", Argentina")</f>
        <v>Buenos Aires, Argentina</v>
      </c>
      <c r="M2130" s="20" t="str">
        <f t="array" ref="M2130">_xlfn.XLOOKUP(F2130,Metodos_De_Pago[ID_Metodo],Metodos_De_Pago[Metodo])</f>
        <v>Mercado Pago</v>
      </c>
      <c r="N2130" s="20" t="str">
        <f t="shared" si="2"/>
        <v>2024 04</v>
      </c>
    </row>
    <row r="2131" ht="22.5" customHeight="1">
      <c r="A2131" s="12">
        <f>IFERROR(__xludf.DUMMYFUNCTION("""COMPUTED_VALUE"""),1574.0)</f>
        <v>1574</v>
      </c>
      <c r="B2131" s="13">
        <f>IFERROR(__xludf.DUMMYFUNCTION("""COMPUTED_VALUE"""),45395.0)</f>
        <v>45395</v>
      </c>
      <c r="C2131" s="12">
        <f>IFERROR(__xludf.DUMMYFUNCTION("""COMPUTED_VALUE"""),204.0)</f>
        <v>204</v>
      </c>
      <c r="D2131" s="12">
        <f>IFERROR(__xludf.DUMMYFUNCTION("""COMPUTED_VALUE"""),20.0)</f>
        <v>20</v>
      </c>
      <c r="E2131" s="12">
        <f>IFERROR(__xludf.DUMMYFUNCTION("""COMPUTED_VALUE"""),5.0)</f>
        <v>5</v>
      </c>
      <c r="F2131" s="12">
        <f>IFERROR(__xludf.DUMMYFUNCTION("""COMPUTED_VALUE"""),4.0)</f>
        <v>4</v>
      </c>
      <c r="G2131" s="15" t="str">
        <f>IFERROR(__xludf.DUMMYFUNCTION("""COMPUTED_VALUE"""),"Completa")</f>
        <v>Completa</v>
      </c>
      <c r="H2131" s="16" t="str">
        <f t="array" ref="H2131">_xlfn.XLOOKUP(D2131,Productos[ID_Producto],Productos[Nombre_Producto])</f>
        <v>Lechugas</v>
      </c>
      <c r="I2131" s="17">
        <f t="array" ref="I2131">_xlfn.XLOOKUP(D2131,Productos[ID_Producto],Productos[Precio_Unitario])</f>
        <v>4.25</v>
      </c>
      <c r="J2131" s="17">
        <f t="shared" si="1"/>
        <v>21.25</v>
      </c>
      <c r="K2131" s="16" t="str">
        <f t="array" ref="K2131">_xlfn.XLOOKUP(C2131,Clientes[ID_Cliente],Clientes[Provincia])</f>
        <v>Neuquén</v>
      </c>
      <c r="L2131" s="16" t="str">
        <f t="array" ref="L2131">CONCATENATE(_xlfn.XLOOKUP(C2131,Clientes[ID_Cliente],Clientes[Provincia]),", Argentina")</f>
        <v>Neuquén, Argentina</v>
      </c>
      <c r="M2131" s="20" t="str">
        <f t="array" ref="M2131">_xlfn.XLOOKUP(F2131,Metodos_De_Pago[ID_Metodo],Metodos_De_Pago[Metodo])</f>
        <v>Mercado Pago</v>
      </c>
      <c r="N2131" s="20" t="str">
        <f t="shared" si="2"/>
        <v>2024 04</v>
      </c>
    </row>
    <row r="2132" ht="22.5" customHeight="1">
      <c r="A2132" s="12">
        <f>IFERROR(__xludf.DUMMYFUNCTION("""COMPUTED_VALUE"""),2138.0)</f>
        <v>2138</v>
      </c>
      <c r="B2132" s="13">
        <f>IFERROR(__xludf.DUMMYFUNCTION("""COMPUTED_VALUE"""),45395.0)</f>
        <v>45395</v>
      </c>
      <c r="C2132" s="12">
        <f>IFERROR(__xludf.DUMMYFUNCTION("""COMPUTED_VALUE"""),281.0)</f>
        <v>281</v>
      </c>
      <c r="D2132" s="12">
        <f>IFERROR(__xludf.DUMMYFUNCTION("""COMPUTED_VALUE"""),7.0)</f>
        <v>7</v>
      </c>
      <c r="E2132" s="12">
        <f>IFERROR(__xludf.DUMMYFUNCTION("""COMPUTED_VALUE"""),5.0)</f>
        <v>5</v>
      </c>
      <c r="F2132" s="12">
        <f>IFERROR(__xludf.DUMMYFUNCTION("""COMPUTED_VALUE"""),2.0)</f>
        <v>2</v>
      </c>
      <c r="G2132" s="15" t="str">
        <f>IFERROR(__xludf.DUMMYFUNCTION("""COMPUTED_VALUE"""),"Completa")</f>
        <v>Completa</v>
      </c>
      <c r="H2132" s="16" t="str">
        <f t="array" ref="H2132">_xlfn.XLOOKUP(D2132,Productos[ID_Producto],Productos[Nombre_Producto])</f>
        <v>Chorizo</v>
      </c>
      <c r="I2132" s="17">
        <f t="array" ref="I2132">_xlfn.XLOOKUP(D2132,Productos[ID_Producto],Productos[Precio_Unitario])</f>
        <v>11.25</v>
      </c>
      <c r="J2132" s="17">
        <f t="shared" si="1"/>
        <v>56.25</v>
      </c>
      <c r="K2132" s="16" t="str">
        <f t="array" ref="K2132">_xlfn.XLOOKUP(C2132,Clientes[ID_Cliente],Clientes[Provincia])</f>
        <v>Buenos Aires</v>
      </c>
      <c r="L2132" s="16" t="str">
        <f t="array" ref="L2132">CONCATENATE(_xlfn.XLOOKUP(C2132,Clientes[ID_Cliente],Clientes[Provincia]),", Argentina")</f>
        <v>Buenos Aires, Argentina</v>
      </c>
      <c r="M2132" s="20" t="str">
        <f t="array" ref="M2132">_xlfn.XLOOKUP(F2132,Metodos_De_Pago[ID_Metodo],Metodos_De_Pago[Metodo])</f>
        <v>Tarjeta de Crédito</v>
      </c>
      <c r="N2132" s="20" t="str">
        <f t="shared" si="2"/>
        <v>2024 04</v>
      </c>
    </row>
    <row r="2133" ht="22.5" customHeight="1">
      <c r="A2133" s="12">
        <f>IFERROR(__xludf.DUMMYFUNCTION("""COMPUTED_VALUE"""),2395.0)</f>
        <v>2395</v>
      </c>
      <c r="B2133" s="13">
        <f>IFERROR(__xludf.DUMMYFUNCTION("""COMPUTED_VALUE"""),45395.0)</f>
        <v>45395</v>
      </c>
      <c r="C2133" s="12">
        <f>IFERROR(__xludf.DUMMYFUNCTION("""COMPUTED_VALUE"""),248.0)</f>
        <v>248</v>
      </c>
      <c r="D2133" s="12">
        <f>IFERROR(__xludf.DUMMYFUNCTION("""COMPUTED_VALUE"""),12.0)</f>
        <v>12</v>
      </c>
      <c r="E2133" s="12">
        <f>IFERROR(__xludf.DUMMYFUNCTION("""COMPUTED_VALUE"""),5.0)</f>
        <v>5</v>
      </c>
      <c r="F2133" s="12">
        <f>IFERROR(__xludf.DUMMYFUNCTION("""COMPUTED_VALUE"""),3.0)</f>
        <v>3</v>
      </c>
      <c r="G2133" s="15" t="str">
        <f>IFERROR(__xludf.DUMMYFUNCTION("""COMPUTED_VALUE"""),"Completa")</f>
        <v>Completa</v>
      </c>
      <c r="H2133" s="16" t="str">
        <f t="array" ref="H2133">_xlfn.XLOOKUP(D2133,Productos[ID_Producto],Productos[Nombre_Producto])</f>
        <v>Pan francés</v>
      </c>
      <c r="I2133" s="17">
        <f t="array" ref="I2133">_xlfn.XLOOKUP(D2133,Productos[ID_Producto],Productos[Precio_Unitario])</f>
        <v>8.12</v>
      </c>
      <c r="J2133" s="17">
        <f t="shared" si="1"/>
        <v>40.6</v>
      </c>
      <c r="K2133" s="16" t="str">
        <f t="array" ref="K2133">_xlfn.XLOOKUP(C2133,Clientes[ID_Cliente],Clientes[Provincia])</f>
        <v>Córdoba</v>
      </c>
      <c r="L2133" s="16" t="str">
        <f t="array" ref="L2133">CONCATENATE(_xlfn.XLOOKUP(C2133,Clientes[ID_Cliente],Clientes[Provincia]),", Argentina")</f>
        <v>Córdoba, Argentina</v>
      </c>
      <c r="M2133" s="20" t="str">
        <f t="array" ref="M2133">_xlfn.XLOOKUP(F2133,Metodos_De_Pago[ID_Metodo],Metodos_De_Pago[Metodo])</f>
        <v>Tarjeta de Débito</v>
      </c>
      <c r="N2133" s="20" t="str">
        <f t="shared" si="2"/>
        <v>2024 04</v>
      </c>
    </row>
    <row r="2134" ht="22.5" customHeight="1">
      <c r="A2134" s="12">
        <f>IFERROR(__xludf.DUMMYFUNCTION("""COMPUTED_VALUE"""),248.0)</f>
        <v>248</v>
      </c>
      <c r="B2134" s="13">
        <f>IFERROR(__xludf.DUMMYFUNCTION("""COMPUTED_VALUE"""),45396.0)</f>
        <v>45396</v>
      </c>
      <c r="C2134" s="12">
        <f>IFERROR(__xludf.DUMMYFUNCTION("""COMPUTED_VALUE"""),132.0)</f>
        <v>132</v>
      </c>
      <c r="D2134" s="12">
        <f>IFERROR(__xludf.DUMMYFUNCTION("""COMPUTED_VALUE"""),3.0)</f>
        <v>3</v>
      </c>
      <c r="E2134" s="12">
        <f>IFERROR(__xludf.DUMMYFUNCTION("""COMPUTED_VALUE"""),5.0)</f>
        <v>5</v>
      </c>
      <c r="F2134" s="12">
        <f>IFERROR(__xludf.DUMMYFUNCTION("""COMPUTED_VALUE"""),5.0)</f>
        <v>5</v>
      </c>
      <c r="G2134" s="15" t="str">
        <f>IFERROR(__xludf.DUMMYFUNCTION("""COMPUTED_VALUE"""),"Pendiente")</f>
        <v>Pendiente</v>
      </c>
      <c r="H2134" s="16" t="str">
        <f t="array" ref="H2134">_xlfn.XLOOKUP(D2134,Productos[ID_Producto],Productos[Nombre_Producto])</f>
        <v>Queso cremoso</v>
      </c>
      <c r="I2134" s="17">
        <f t="array" ref="I2134">_xlfn.XLOOKUP(D2134,Productos[ID_Producto],Productos[Precio_Unitario])</f>
        <v>17.23</v>
      </c>
      <c r="J2134" s="17">
        <f t="shared" si="1"/>
        <v>86.15</v>
      </c>
      <c r="K2134" s="16" t="str">
        <f t="array" ref="K2134">_xlfn.XLOOKUP(C2134,Clientes[ID_Cliente],Clientes[Provincia])</f>
        <v>Buenos Aires</v>
      </c>
      <c r="L2134" s="16" t="str">
        <f t="array" ref="L2134">CONCATENATE(_xlfn.XLOOKUP(C2134,Clientes[ID_Cliente],Clientes[Provincia]),", Argentina")</f>
        <v>Buenos Aires, Argentina</v>
      </c>
      <c r="M2134" s="20" t="str">
        <f t="array" ref="M2134">_xlfn.XLOOKUP(F2134,Metodos_De_Pago[ID_Metodo],Metodos_De_Pago[Metodo])</f>
        <v>Transferencia</v>
      </c>
      <c r="N2134" s="20" t="str">
        <f t="shared" si="2"/>
        <v>2024 04</v>
      </c>
    </row>
    <row r="2135" ht="22.5" customHeight="1">
      <c r="A2135" s="12">
        <f>IFERROR(__xludf.DUMMYFUNCTION("""COMPUTED_VALUE"""),864.0)</f>
        <v>864</v>
      </c>
      <c r="B2135" s="13">
        <f>IFERROR(__xludf.DUMMYFUNCTION("""COMPUTED_VALUE"""),45396.0)</f>
        <v>45396</v>
      </c>
      <c r="C2135" s="12">
        <f>IFERROR(__xludf.DUMMYFUNCTION("""COMPUTED_VALUE"""),190.0)</f>
        <v>190</v>
      </c>
      <c r="D2135" s="12">
        <f>IFERROR(__xludf.DUMMYFUNCTION("""COMPUTED_VALUE"""),21.0)</f>
        <v>21</v>
      </c>
      <c r="E2135" s="12">
        <f>IFERROR(__xludf.DUMMYFUNCTION("""COMPUTED_VALUE"""),5.0)</f>
        <v>5</v>
      </c>
      <c r="F2135" s="12">
        <f>IFERROR(__xludf.DUMMYFUNCTION("""COMPUTED_VALUE"""),4.0)</f>
        <v>4</v>
      </c>
      <c r="G2135" s="15" t="str">
        <f>IFERROR(__xludf.DUMMYFUNCTION("""COMPUTED_VALUE"""),"Completa")</f>
        <v>Completa</v>
      </c>
      <c r="H2135" s="16" t="str">
        <f t="array" ref="H2135">_xlfn.XLOOKUP(D2135,Productos[ID_Producto],Productos[Nombre_Producto])</f>
        <v>Zanahorias</v>
      </c>
      <c r="I2135" s="17">
        <f t="array" ref="I2135">_xlfn.XLOOKUP(D2135,Productos[ID_Producto],Productos[Precio_Unitario])</f>
        <v>3.25</v>
      </c>
      <c r="J2135" s="17">
        <f t="shared" si="1"/>
        <v>16.25</v>
      </c>
      <c r="K2135" s="16" t="str">
        <f t="array" ref="K2135">_xlfn.XLOOKUP(C2135,Clientes[ID_Cliente],Clientes[Provincia])</f>
        <v>Chaco</v>
      </c>
      <c r="L2135" s="16" t="str">
        <f t="array" ref="L2135">CONCATENATE(_xlfn.XLOOKUP(C2135,Clientes[ID_Cliente],Clientes[Provincia]),", Argentina")</f>
        <v>Chaco, Argentina</v>
      </c>
      <c r="M2135" s="20" t="str">
        <f t="array" ref="M2135">_xlfn.XLOOKUP(F2135,Metodos_De_Pago[ID_Metodo],Metodos_De_Pago[Metodo])</f>
        <v>Mercado Pago</v>
      </c>
      <c r="N2135" s="20" t="str">
        <f t="shared" si="2"/>
        <v>2024 04</v>
      </c>
    </row>
    <row r="2136" ht="22.5" customHeight="1">
      <c r="A2136" s="12">
        <f>IFERROR(__xludf.DUMMYFUNCTION("""COMPUTED_VALUE"""),194.0)</f>
        <v>194</v>
      </c>
      <c r="B2136" s="13">
        <f>IFERROR(__xludf.DUMMYFUNCTION("""COMPUTED_VALUE"""),45397.0)</f>
        <v>45397</v>
      </c>
      <c r="C2136" s="12">
        <f>IFERROR(__xludf.DUMMYFUNCTION("""COMPUTED_VALUE"""),45.0)</f>
        <v>45</v>
      </c>
      <c r="D2136" s="12">
        <f>IFERROR(__xludf.DUMMYFUNCTION("""COMPUTED_VALUE"""),32.0)</f>
        <v>32</v>
      </c>
      <c r="E2136" s="12">
        <f>IFERROR(__xludf.DUMMYFUNCTION("""COMPUTED_VALUE"""),5.0)</f>
        <v>5</v>
      </c>
      <c r="F2136" s="12">
        <f>IFERROR(__xludf.DUMMYFUNCTION("""COMPUTED_VALUE"""),5.0)</f>
        <v>5</v>
      </c>
      <c r="G2136" s="15" t="str">
        <f>IFERROR(__xludf.DUMMYFUNCTION("""COMPUTED_VALUE"""),"Pendiente")</f>
        <v>Pendiente</v>
      </c>
      <c r="H2136" s="16" t="str">
        <f t="array" ref="H2136">_xlfn.XLOOKUP(D2136,Productos[ID_Producto],Productos[Nombre_Producto])</f>
        <v>Galletitas de chocolate</v>
      </c>
      <c r="I2136" s="17">
        <f t="array" ref="I2136">_xlfn.XLOOKUP(D2136,Productos[ID_Producto],Productos[Precio_Unitario])</f>
        <v>6.25</v>
      </c>
      <c r="J2136" s="17">
        <f t="shared" si="1"/>
        <v>31.25</v>
      </c>
      <c r="K2136" s="16" t="str">
        <f t="array" ref="K2136">_xlfn.XLOOKUP(C2136,Clientes[ID_Cliente],Clientes[Provincia])</f>
        <v>Buenos Aires</v>
      </c>
      <c r="L2136" s="16" t="str">
        <f t="array" ref="L2136">CONCATENATE(_xlfn.XLOOKUP(C2136,Clientes[ID_Cliente],Clientes[Provincia]),", Argentina")</f>
        <v>Buenos Aires, Argentina</v>
      </c>
      <c r="M2136" s="20" t="str">
        <f t="array" ref="M2136">_xlfn.XLOOKUP(F2136,Metodos_De_Pago[ID_Metodo],Metodos_De_Pago[Metodo])</f>
        <v>Transferencia</v>
      </c>
      <c r="N2136" s="20" t="str">
        <f t="shared" si="2"/>
        <v>2024 04</v>
      </c>
    </row>
    <row r="2137" ht="22.5" customHeight="1">
      <c r="A2137" s="12">
        <f>IFERROR(__xludf.DUMMYFUNCTION("""COMPUTED_VALUE"""),1286.0)</f>
        <v>1286</v>
      </c>
      <c r="B2137" s="13">
        <f>IFERROR(__xludf.DUMMYFUNCTION("""COMPUTED_VALUE"""),45397.0)</f>
        <v>45397</v>
      </c>
      <c r="C2137" s="12">
        <f>IFERROR(__xludf.DUMMYFUNCTION("""COMPUTED_VALUE"""),110.0)</f>
        <v>110</v>
      </c>
      <c r="D2137" s="12">
        <f>IFERROR(__xludf.DUMMYFUNCTION("""COMPUTED_VALUE"""),21.0)</f>
        <v>21</v>
      </c>
      <c r="E2137" s="12">
        <f>IFERROR(__xludf.DUMMYFUNCTION("""COMPUTED_VALUE"""),5.0)</f>
        <v>5</v>
      </c>
      <c r="F2137" s="12">
        <f>IFERROR(__xludf.DUMMYFUNCTION("""COMPUTED_VALUE"""),5.0)</f>
        <v>5</v>
      </c>
      <c r="G2137" s="15" t="str">
        <f>IFERROR(__xludf.DUMMYFUNCTION("""COMPUTED_VALUE"""),"Pendiente")</f>
        <v>Pendiente</v>
      </c>
      <c r="H2137" s="16" t="str">
        <f t="array" ref="H2137">_xlfn.XLOOKUP(D2137,Productos[ID_Producto],Productos[Nombre_Producto])</f>
        <v>Zanahorias</v>
      </c>
      <c r="I2137" s="17">
        <f t="array" ref="I2137">_xlfn.XLOOKUP(D2137,Productos[ID_Producto],Productos[Precio_Unitario])</f>
        <v>3.25</v>
      </c>
      <c r="J2137" s="17">
        <f t="shared" si="1"/>
        <v>16.25</v>
      </c>
      <c r="K2137" s="16" t="str">
        <f t="array" ref="K2137">_xlfn.XLOOKUP(C2137,Clientes[ID_Cliente],Clientes[Provincia])</f>
        <v>Chaco</v>
      </c>
      <c r="L2137" s="16" t="str">
        <f t="array" ref="L2137">CONCATENATE(_xlfn.XLOOKUP(C2137,Clientes[ID_Cliente],Clientes[Provincia]),", Argentina")</f>
        <v>Chaco, Argentina</v>
      </c>
      <c r="M2137" s="20" t="str">
        <f t="array" ref="M2137">_xlfn.XLOOKUP(F2137,Metodos_De_Pago[ID_Metodo],Metodos_De_Pago[Metodo])</f>
        <v>Transferencia</v>
      </c>
      <c r="N2137" s="20" t="str">
        <f t="shared" si="2"/>
        <v>2024 04</v>
      </c>
    </row>
    <row r="2138" ht="22.5" customHeight="1">
      <c r="A2138" s="12">
        <f>IFERROR(__xludf.DUMMYFUNCTION("""COMPUTED_VALUE"""),807.0)</f>
        <v>807</v>
      </c>
      <c r="B2138" s="13">
        <f>IFERROR(__xludf.DUMMYFUNCTION("""COMPUTED_VALUE"""),45398.0)</f>
        <v>45398</v>
      </c>
      <c r="C2138" s="12">
        <f>IFERROR(__xludf.DUMMYFUNCTION("""COMPUTED_VALUE"""),181.0)</f>
        <v>181</v>
      </c>
      <c r="D2138" s="12">
        <f>IFERROR(__xludf.DUMMYFUNCTION("""COMPUTED_VALUE"""),1.0)</f>
        <v>1</v>
      </c>
      <c r="E2138" s="12">
        <f>IFERROR(__xludf.DUMMYFUNCTION("""COMPUTED_VALUE"""),5.0)</f>
        <v>5</v>
      </c>
      <c r="F2138" s="12">
        <f>IFERROR(__xludf.DUMMYFUNCTION("""COMPUTED_VALUE"""),3.0)</f>
        <v>3</v>
      </c>
      <c r="G2138" s="15" t="str">
        <f>IFERROR(__xludf.DUMMYFUNCTION("""COMPUTED_VALUE"""),"Completa")</f>
        <v>Completa</v>
      </c>
      <c r="H2138" s="16" t="str">
        <f t="array" ref="H2138">_xlfn.XLOOKUP(D2138,Productos[ID_Producto],Productos[Nombre_Producto])</f>
        <v>Leche</v>
      </c>
      <c r="I2138" s="17">
        <f t="array" ref="I2138">_xlfn.XLOOKUP(D2138,Productos[ID_Producto],Productos[Precio_Unitario])</f>
        <v>12.24</v>
      </c>
      <c r="J2138" s="17">
        <f t="shared" si="1"/>
        <v>61.2</v>
      </c>
      <c r="K2138" s="16" t="str">
        <f t="array" ref="K2138">_xlfn.XLOOKUP(C2138,Clientes[ID_Cliente],Clientes[Provincia])</f>
        <v>Neuquén</v>
      </c>
      <c r="L2138" s="16" t="str">
        <f t="array" ref="L2138">CONCATENATE(_xlfn.XLOOKUP(C2138,Clientes[ID_Cliente],Clientes[Provincia]),", Argentina")</f>
        <v>Neuquén, Argentina</v>
      </c>
      <c r="M2138" s="20" t="str">
        <f t="array" ref="M2138">_xlfn.XLOOKUP(F2138,Metodos_De_Pago[ID_Metodo],Metodos_De_Pago[Metodo])</f>
        <v>Tarjeta de Débito</v>
      </c>
      <c r="N2138" s="20" t="str">
        <f t="shared" si="2"/>
        <v>2024 04</v>
      </c>
    </row>
    <row r="2139" ht="22.5" customHeight="1">
      <c r="A2139" s="12">
        <f>IFERROR(__xludf.DUMMYFUNCTION("""COMPUTED_VALUE"""),1717.0)</f>
        <v>1717</v>
      </c>
      <c r="B2139" s="13">
        <f>IFERROR(__xludf.DUMMYFUNCTION("""COMPUTED_VALUE"""),45398.0)</f>
        <v>45398</v>
      </c>
      <c r="C2139" s="12">
        <f>IFERROR(__xludf.DUMMYFUNCTION("""COMPUTED_VALUE"""),171.0)</f>
        <v>171</v>
      </c>
      <c r="D2139" s="12">
        <f>IFERROR(__xludf.DUMMYFUNCTION("""COMPUTED_VALUE"""),33.0)</f>
        <v>33</v>
      </c>
      <c r="E2139" s="12">
        <f>IFERROR(__xludf.DUMMYFUNCTION("""COMPUTED_VALUE"""),5.0)</f>
        <v>5</v>
      </c>
      <c r="F2139" s="12">
        <f>IFERROR(__xludf.DUMMYFUNCTION("""COMPUTED_VALUE"""),5.0)</f>
        <v>5</v>
      </c>
      <c r="G2139" s="15" t="str">
        <f>IFERROR(__xludf.DUMMYFUNCTION("""COMPUTED_VALUE"""),"Completa")</f>
        <v>Completa</v>
      </c>
      <c r="H2139" s="16" t="str">
        <f t="array" ref="H2139">_xlfn.XLOOKUP(D2139,Productos[ID_Producto],Productos[Nombre_Producto])</f>
        <v>Papas chips</v>
      </c>
      <c r="I2139" s="17">
        <f t="array" ref="I2139">_xlfn.XLOOKUP(D2139,Productos[ID_Producto],Productos[Precio_Unitario])</f>
        <v>8.54</v>
      </c>
      <c r="J2139" s="17">
        <f t="shared" si="1"/>
        <v>42.7</v>
      </c>
      <c r="K2139" s="16" t="str">
        <f t="array" ref="K2139">_xlfn.XLOOKUP(C2139,Clientes[ID_Cliente],Clientes[Provincia])</f>
        <v>San Luis</v>
      </c>
      <c r="L2139" s="16" t="str">
        <f t="array" ref="L2139">CONCATENATE(_xlfn.XLOOKUP(C2139,Clientes[ID_Cliente],Clientes[Provincia]),", Argentina")</f>
        <v>San Luis, Argentina</v>
      </c>
      <c r="M2139" s="20" t="str">
        <f t="array" ref="M2139">_xlfn.XLOOKUP(F2139,Metodos_De_Pago[ID_Metodo],Metodos_De_Pago[Metodo])</f>
        <v>Transferencia</v>
      </c>
      <c r="N2139" s="20" t="str">
        <f t="shared" si="2"/>
        <v>2024 04</v>
      </c>
    </row>
    <row r="2140" ht="22.5" customHeight="1">
      <c r="A2140" s="12">
        <f>IFERROR(__xludf.DUMMYFUNCTION("""COMPUTED_VALUE"""),2407.0)</f>
        <v>2407</v>
      </c>
      <c r="B2140" s="13">
        <f>IFERROR(__xludf.DUMMYFUNCTION("""COMPUTED_VALUE"""),45398.0)</f>
        <v>45398</v>
      </c>
      <c r="C2140" s="12">
        <f>IFERROR(__xludf.DUMMYFUNCTION("""COMPUTED_VALUE"""),209.0)</f>
        <v>209</v>
      </c>
      <c r="D2140" s="12">
        <f>IFERROR(__xludf.DUMMYFUNCTION("""COMPUTED_VALUE"""),34.0)</f>
        <v>34</v>
      </c>
      <c r="E2140" s="12">
        <f>IFERROR(__xludf.DUMMYFUNCTION("""COMPUTED_VALUE"""),5.0)</f>
        <v>5</v>
      </c>
      <c r="F2140" s="12">
        <f>IFERROR(__xludf.DUMMYFUNCTION("""COMPUTED_VALUE"""),3.0)</f>
        <v>3</v>
      </c>
      <c r="G2140" s="15" t="str">
        <f>IFERROR(__xludf.DUMMYFUNCTION("""COMPUTED_VALUE"""),"Completa")</f>
        <v>Completa</v>
      </c>
      <c r="H2140" s="16" t="str">
        <f t="array" ref="H2140">_xlfn.XLOOKUP(D2140,Productos[ID_Producto],Productos[Nombre_Producto])</f>
        <v>Maníes</v>
      </c>
      <c r="I2140" s="17">
        <f t="array" ref="I2140">_xlfn.XLOOKUP(D2140,Productos[ID_Producto],Productos[Precio_Unitario])</f>
        <v>5.45</v>
      </c>
      <c r="J2140" s="17">
        <f t="shared" si="1"/>
        <v>27.25</v>
      </c>
      <c r="K2140" s="16" t="str">
        <f t="array" ref="K2140">_xlfn.XLOOKUP(C2140,Clientes[ID_Cliente],Clientes[Provincia])</f>
        <v>Buenos Aires</v>
      </c>
      <c r="L2140" s="16" t="str">
        <f t="array" ref="L2140">CONCATENATE(_xlfn.XLOOKUP(C2140,Clientes[ID_Cliente],Clientes[Provincia]),", Argentina")</f>
        <v>Buenos Aires, Argentina</v>
      </c>
      <c r="M2140" s="20" t="str">
        <f t="array" ref="M2140">_xlfn.XLOOKUP(F2140,Metodos_De_Pago[ID_Metodo],Metodos_De_Pago[Metodo])</f>
        <v>Tarjeta de Débito</v>
      </c>
      <c r="N2140" s="20" t="str">
        <f t="shared" si="2"/>
        <v>2024 04</v>
      </c>
    </row>
    <row r="2141" ht="22.5" customHeight="1">
      <c r="A2141" s="12">
        <f>IFERROR(__xludf.DUMMYFUNCTION("""COMPUTED_VALUE"""),2434.0)</f>
        <v>2434</v>
      </c>
      <c r="B2141" s="13">
        <f>IFERROR(__xludf.DUMMYFUNCTION("""COMPUTED_VALUE"""),45402.0)</f>
        <v>45402</v>
      </c>
      <c r="C2141" s="12">
        <f>IFERROR(__xludf.DUMMYFUNCTION("""COMPUTED_VALUE"""),211.0)</f>
        <v>211</v>
      </c>
      <c r="D2141" s="12">
        <f>IFERROR(__xludf.DUMMYFUNCTION("""COMPUTED_VALUE"""),28.0)</f>
        <v>28</v>
      </c>
      <c r="E2141" s="12">
        <f>IFERROR(__xludf.DUMMYFUNCTION("""COMPUTED_VALUE"""),5.0)</f>
        <v>5</v>
      </c>
      <c r="F2141" s="12">
        <f>IFERROR(__xludf.DUMMYFUNCTION("""COMPUTED_VALUE"""),3.0)</f>
        <v>3</v>
      </c>
      <c r="G2141" s="15" t="str">
        <f>IFERROR(__xludf.DUMMYFUNCTION("""COMPUTED_VALUE"""),"Pendiente")</f>
        <v>Pendiente</v>
      </c>
      <c r="H2141" s="16" t="str">
        <f t="array" ref="H2141">_xlfn.XLOOKUP(D2141,Productos[ID_Producto],Productos[Nombre_Producto])</f>
        <v>Jugos de frutas</v>
      </c>
      <c r="I2141" s="17">
        <f t="array" ref="I2141">_xlfn.XLOOKUP(D2141,Productos[ID_Producto],Productos[Precio_Unitario])</f>
        <v>9.45</v>
      </c>
      <c r="J2141" s="17">
        <f t="shared" si="1"/>
        <v>47.25</v>
      </c>
      <c r="K2141" s="16" t="str">
        <f t="array" ref="K2141">_xlfn.XLOOKUP(C2141,Clientes[ID_Cliente],Clientes[Provincia])</f>
        <v>Córdoba</v>
      </c>
      <c r="L2141" s="16" t="str">
        <f t="array" ref="L2141">CONCATENATE(_xlfn.XLOOKUP(C2141,Clientes[ID_Cliente],Clientes[Provincia]),", Argentina")</f>
        <v>Córdoba, Argentina</v>
      </c>
      <c r="M2141" s="20" t="str">
        <f t="array" ref="M2141">_xlfn.XLOOKUP(F2141,Metodos_De_Pago[ID_Metodo],Metodos_De_Pago[Metodo])</f>
        <v>Tarjeta de Débito</v>
      </c>
      <c r="N2141" s="20" t="str">
        <f t="shared" si="2"/>
        <v>2024 04</v>
      </c>
    </row>
    <row r="2142" ht="22.5" customHeight="1">
      <c r="A2142" s="12">
        <f>IFERROR(__xludf.DUMMYFUNCTION("""COMPUTED_VALUE"""),2596.0)</f>
        <v>2596</v>
      </c>
      <c r="B2142" s="13">
        <f>IFERROR(__xludf.DUMMYFUNCTION("""COMPUTED_VALUE"""),45402.0)</f>
        <v>45402</v>
      </c>
      <c r="C2142" s="12">
        <f>IFERROR(__xludf.DUMMYFUNCTION("""COMPUTED_VALUE"""),287.0)</f>
        <v>287</v>
      </c>
      <c r="D2142" s="12">
        <f>IFERROR(__xludf.DUMMYFUNCTION("""COMPUTED_VALUE"""),12.0)</f>
        <v>12</v>
      </c>
      <c r="E2142" s="12">
        <f>IFERROR(__xludf.DUMMYFUNCTION("""COMPUTED_VALUE"""),5.0)</f>
        <v>5</v>
      </c>
      <c r="F2142" s="12">
        <f>IFERROR(__xludf.DUMMYFUNCTION("""COMPUTED_VALUE"""),1.0)</f>
        <v>1</v>
      </c>
      <c r="G2142" s="15" t="str">
        <f>IFERROR(__xludf.DUMMYFUNCTION("""COMPUTED_VALUE"""),"Completa")</f>
        <v>Completa</v>
      </c>
      <c r="H2142" s="16" t="str">
        <f t="array" ref="H2142">_xlfn.XLOOKUP(D2142,Productos[ID_Producto],Productos[Nombre_Producto])</f>
        <v>Pan francés</v>
      </c>
      <c r="I2142" s="17">
        <f t="array" ref="I2142">_xlfn.XLOOKUP(D2142,Productos[ID_Producto],Productos[Precio_Unitario])</f>
        <v>8.12</v>
      </c>
      <c r="J2142" s="17">
        <f t="shared" si="1"/>
        <v>40.6</v>
      </c>
      <c r="K2142" s="16" t="str">
        <f t="array" ref="K2142">_xlfn.XLOOKUP(C2142,Clientes[ID_Cliente],Clientes[Provincia])</f>
        <v>Chaco</v>
      </c>
      <c r="L2142" s="16" t="str">
        <f t="array" ref="L2142">CONCATENATE(_xlfn.XLOOKUP(C2142,Clientes[ID_Cliente],Clientes[Provincia]),", Argentina")</f>
        <v>Chaco, Argentina</v>
      </c>
      <c r="M2142" s="20" t="str">
        <f t="array" ref="M2142">_xlfn.XLOOKUP(F2142,Metodos_De_Pago[ID_Metodo],Metodos_De_Pago[Metodo])</f>
        <v>Efectivo</v>
      </c>
      <c r="N2142" s="20" t="str">
        <f t="shared" si="2"/>
        <v>2024 04</v>
      </c>
    </row>
    <row r="2143" ht="22.5" customHeight="1">
      <c r="A2143" s="12">
        <f>IFERROR(__xludf.DUMMYFUNCTION("""COMPUTED_VALUE"""),2635.0)</f>
        <v>2635</v>
      </c>
      <c r="B2143" s="13">
        <f>IFERROR(__xludf.DUMMYFUNCTION("""COMPUTED_VALUE"""),45402.0)</f>
        <v>45402</v>
      </c>
      <c r="C2143" s="12">
        <f>IFERROR(__xludf.DUMMYFUNCTION("""COMPUTED_VALUE"""),263.0)</f>
        <v>263</v>
      </c>
      <c r="D2143" s="12">
        <f>IFERROR(__xludf.DUMMYFUNCTION("""COMPUTED_VALUE"""),34.0)</f>
        <v>34</v>
      </c>
      <c r="E2143" s="12">
        <f>IFERROR(__xludf.DUMMYFUNCTION("""COMPUTED_VALUE"""),5.0)</f>
        <v>5</v>
      </c>
      <c r="F2143" s="12">
        <f>IFERROR(__xludf.DUMMYFUNCTION("""COMPUTED_VALUE"""),1.0)</f>
        <v>1</v>
      </c>
      <c r="G2143" s="15" t="str">
        <f>IFERROR(__xludf.DUMMYFUNCTION("""COMPUTED_VALUE"""),"Completa")</f>
        <v>Completa</v>
      </c>
      <c r="H2143" s="16" t="str">
        <f t="array" ref="H2143">_xlfn.XLOOKUP(D2143,Productos[ID_Producto],Productos[Nombre_Producto])</f>
        <v>Maníes</v>
      </c>
      <c r="I2143" s="17">
        <f t="array" ref="I2143">_xlfn.XLOOKUP(D2143,Productos[ID_Producto],Productos[Precio_Unitario])</f>
        <v>5.45</v>
      </c>
      <c r="J2143" s="17">
        <f t="shared" si="1"/>
        <v>27.25</v>
      </c>
      <c r="K2143" s="16" t="str">
        <f t="array" ref="K2143">_xlfn.XLOOKUP(C2143,Clientes[ID_Cliente],Clientes[Provincia])</f>
        <v>Buenos Aires</v>
      </c>
      <c r="L2143" s="16" t="str">
        <f t="array" ref="L2143">CONCATENATE(_xlfn.XLOOKUP(C2143,Clientes[ID_Cliente],Clientes[Provincia]),", Argentina")</f>
        <v>Buenos Aires, Argentina</v>
      </c>
      <c r="M2143" s="20" t="str">
        <f t="array" ref="M2143">_xlfn.XLOOKUP(F2143,Metodos_De_Pago[ID_Metodo],Metodos_De_Pago[Metodo])</f>
        <v>Efectivo</v>
      </c>
      <c r="N2143" s="20" t="str">
        <f t="shared" si="2"/>
        <v>2024 04</v>
      </c>
    </row>
    <row r="2144" ht="22.5" customHeight="1">
      <c r="A2144" s="12">
        <f>IFERROR(__xludf.DUMMYFUNCTION("""COMPUTED_VALUE"""),1853.0)</f>
        <v>1853</v>
      </c>
      <c r="B2144" s="13">
        <f>IFERROR(__xludf.DUMMYFUNCTION("""COMPUTED_VALUE"""),45404.0)</f>
        <v>45404</v>
      </c>
      <c r="C2144" s="12">
        <f>IFERROR(__xludf.DUMMYFUNCTION("""COMPUTED_VALUE"""),273.0)</f>
        <v>273</v>
      </c>
      <c r="D2144" s="12">
        <f>IFERROR(__xludf.DUMMYFUNCTION("""COMPUTED_VALUE"""),5.0)</f>
        <v>5</v>
      </c>
      <c r="E2144" s="12">
        <f>IFERROR(__xludf.DUMMYFUNCTION("""COMPUTED_VALUE"""),5.0)</f>
        <v>5</v>
      </c>
      <c r="F2144" s="12">
        <f>IFERROR(__xludf.DUMMYFUNCTION("""COMPUTED_VALUE"""),4.0)</f>
        <v>4</v>
      </c>
      <c r="G2144" s="15" t="str">
        <f>IFERROR(__xludf.DUMMYFUNCTION("""COMPUTED_VALUE"""),"Completa")</f>
        <v>Completa</v>
      </c>
      <c r="H2144" s="16" t="str">
        <f t="array" ref="H2144">_xlfn.XLOOKUP(D2144,Productos[ID_Producto],Productos[Nombre_Producto])</f>
        <v>Manteca</v>
      </c>
      <c r="I2144" s="17">
        <f t="array" ref="I2144">_xlfn.XLOOKUP(D2144,Productos[ID_Producto],Productos[Precio_Unitario])</f>
        <v>5.65</v>
      </c>
      <c r="J2144" s="17">
        <f t="shared" si="1"/>
        <v>28.25</v>
      </c>
      <c r="K2144" s="16" t="str">
        <f t="array" ref="K2144">_xlfn.XLOOKUP(C2144,Clientes[ID_Cliente],Clientes[Provincia])</f>
        <v>San Luis</v>
      </c>
      <c r="L2144" s="16" t="str">
        <f t="array" ref="L2144">CONCATENATE(_xlfn.XLOOKUP(C2144,Clientes[ID_Cliente],Clientes[Provincia]),", Argentina")</f>
        <v>San Luis, Argentina</v>
      </c>
      <c r="M2144" s="20" t="str">
        <f t="array" ref="M2144">_xlfn.XLOOKUP(F2144,Metodos_De_Pago[ID_Metodo],Metodos_De_Pago[Metodo])</f>
        <v>Mercado Pago</v>
      </c>
      <c r="N2144" s="20" t="str">
        <f t="shared" si="2"/>
        <v>2024 04</v>
      </c>
    </row>
    <row r="2145" ht="22.5" customHeight="1">
      <c r="A2145" s="12">
        <f>IFERROR(__xludf.DUMMYFUNCTION("""COMPUTED_VALUE"""),1732.0)</f>
        <v>1732</v>
      </c>
      <c r="B2145" s="13">
        <f>IFERROR(__xludf.DUMMYFUNCTION("""COMPUTED_VALUE"""),45405.0)</f>
        <v>45405</v>
      </c>
      <c r="C2145" s="12">
        <f>IFERROR(__xludf.DUMMYFUNCTION("""COMPUTED_VALUE"""),215.0)</f>
        <v>215</v>
      </c>
      <c r="D2145" s="12">
        <f>IFERROR(__xludf.DUMMYFUNCTION("""COMPUTED_VALUE"""),38.0)</f>
        <v>38</v>
      </c>
      <c r="E2145" s="12">
        <f>IFERROR(__xludf.DUMMYFUNCTION("""COMPUTED_VALUE"""),5.0)</f>
        <v>5</v>
      </c>
      <c r="F2145" s="12">
        <f>IFERROR(__xludf.DUMMYFUNCTION("""COMPUTED_VALUE"""),4.0)</f>
        <v>4</v>
      </c>
      <c r="G2145" s="15" t="str">
        <f>IFERROR(__xludf.DUMMYFUNCTION("""COMPUTED_VALUE"""),"Completa")</f>
        <v>Completa</v>
      </c>
      <c r="H2145" s="16" t="str">
        <f t="array" ref="H2145">_xlfn.XLOOKUP(D2145,Productos[ID_Producto],Productos[Nombre_Producto])</f>
        <v>Atún enlatado</v>
      </c>
      <c r="I2145" s="17">
        <f t="array" ref="I2145">_xlfn.XLOOKUP(D2145,Productos[ID_Producto],Productos[Precio_Unitario])</f>
        <v>6.21</v>
      </c>
      <c r="J2145" s="17">
        <f t="shared" si="1"/>
        <v>31.05</v>
      </c>
      <c r="K2145" s="16" t="str">
        <f t="array" ref="K2145">_xlfn.XLOOKUP(C2145,Clientes[ID_Cliente],Clientes[Provincia])</f>
        <v>Chaco</v>
      </c>
      <c r="L2145" s="16" t="str">
        <f t="array" ref="L2145">CONCATENATE(_xlfn.XLOOKUP(C2145,Clientes[ID_Cliente],Clientes[Provincia]),", Argentina")</f>
        <v>Chaco, Argentina</v>
      </c>
      <c r="M2145" s="20" t="str">
        <f t="array" ref="M2145">_xlfn.XLOOKUP(F2145,Metodos_De_Pago[ID_Metodo],Metodos_De_Pago[Metodo])</f>
        <v>Mercado Pago</v>
      </c>
      <c r="N2145" s="20" t="str">
        <f t="shared" si="2"/>
        <v>2024 04</v>
      </c>
    </row>
    <row r="2146" ht="22.5" customHeight="1">
      <c r="A2146" s="12">
        <f>IFERROR(__xludf.DUMMYFUNCTION("""COMPUTED_VALUE"""),1060.0)</f>
        <v>1060</v>
      </c>
      <c r="B2146" s="13">
        <f>IFERROR(__xludf.DUMMYFUNCTION("""COMPUTED_VALUE"""),45407.0)</f>
        <v>45407</v>
      </c>
      <c r="C2146" s="12">
        <f>IFERROR(__xludf.DUMMYFUNCTION("""COMPUTED_VALUE"""),56.0)</f>
        <v>56</v>
      </c>
      <c r="D2146" s="12">
        <f>IFERROR(__xludf.DUMMYFUNCTION("""COMPUTED_VALUE"""),29.0)</f>
        <v>29</v>
      </c>
      <c r="E2146" s="12">
        <f>IFERROR(__xludf.DUMMYFUNCTION("""COMPUTED_VALUE"""),5.0)</f>
        <v>5</v>
      </c>
      <c r="F2146" s="12">
        <f>IFERROR(__xludf.DUMMYFUNCTION("""COMPUTED_VALUE"""),3.0)</f>
        <v>3</v>
      </c>
      <c r="G2146" s="15" t="str">
        <f>IFERROR(__xludf.DUMMYFUNCTION("""COMPUTED_VALUE"""),"Completa")</f>
        <v>Completa</v>
      </c>
      <c r="H2146" s="16" t="str">
        <f t="array" ref="H2146">_xlfn.XLOOKUP(D2146,Productos[ID_Producto],Productos[Nombre_Producto])</f>
        <v>Cerveza</v>
      </c>
      <c r="I2146" s="17">
        <f t="array" ref="I2146">_xlfn.XLOOKUP(D2146,Productos[ID_Producto],Productos[Precio_Unitario])</f>
        <v>11.54</v>
      </c>
      <c r="J2146" s="17">
        <f t="shared" si="1"/>
        <v>57.7</v>
      </c>
      <c r="K2146" s="16" t="str">
        <f t="array" ref="K2146">_xlfn.XLOOKUP(C2146,Clientes[ID_Cliente],Clientes[Provincia])</f>
        <v>Córdoba</v>
      </c>
      <c r="L2146" s="16" t="str">
        <f t="array" ref="L2146">CONCATENATE(_xlfn.XLOOKUP(C2146,Clientes[ID_Cliente],Clientes[Provincia]),", Argentina")</f>
        <v>Córdoba, Argentina</v>
      </c>
      <c r="M2146" s="20" t="str">
        <f t="array" ref="M2146">_xlfn.XLOOKUP(F2146,Metodos_De_Pago[ID_Metodo],Metodos_De_Pago[Metodo])</f>
        <v>Tarjeta de Débito</v>
      </c>
      <c r="N2146" s="20" t="str">
        <f t="shared" si="2"/>
        <v>2024 04</v>
      </c>
    </row>
    <row r="2147" ht="22.5" customHeight="1">
      <c r="A2147" s="12">
        <f>IFERROR(__xludf.DUMMYFUNCTION("""COMPUTED_VALUE"""),1657.0)</f>
        <v>1657</v>
      </c>
      <c r="B2147" s="13">
        <f>IFERROR(__xludf.DUMMYFUNCTION("""COMPUTED_VALUE"""),45407.0)</f>
        <v>45407</v>
      </c>
      <c r="C2147" s="12">
        <f>IFERROR(__xludf.DUMMYFUNCTION("""COMPUTED_VALUE"""),298.0)</f>
        <v>298</v>
      </c>
      <c r="D2147" s="12">
        <f>IFERROR(__xludf.DUMMYFUNCTION("""COMPUTED_VALUE"""),12.0)</f>
        <v>12</v>
      </c>
      <c r="E2147" s="12">
        <f>IFERROR(__xludf.DUMMYFUNCTION("""COMPUTED_VALUE"""),5.0)</f>
        <v>5</v>
      </c>
      <c r="F2147" s="12">
        <f>IFERROR(__xludf.DUMMYFUNCTION("""COMPUTED_VALUE"""),1.0)</f>
        <v>1</v>
      </c>
      <c r="G2147" s="15" t="str">
        <f>IFERROR(__xludf.DUMMYFUNCTION("""COMPUTED_VALUE"""),"Completa")</f>
        <v>Completa</v>
      </c>
      <c r="H2147" s="16" t="str">
        <f t="array" ref="H2147">_xlfn.XLOOKUP(D2147,Productos[ID_Producto],Productos[Nombre_Producto])</f>
        <v>Pan francés</v>
      </c>
      <c r="I2147" s="17">
        <f t="array" ref="I2147">_xlfn.XLOOKUP(D2147,Productos[ID_Producto],Productos[Precio_Unitario])</f>
        <v>8.12</v>
      </c>
      <c r="J2147" s="17">
        <f t="shared" si="1"/>
        <v>40.6</v>
      </c>
      <c r="K2147" s="16" t="str">
        <f t="array" ref="K2147">_xlfn.XLOOKUP(C2147,Clientes[ID_Cliente],Clientes[Provincia])</f>
        <v>Buenos Aires</v>
      </c>
      <c r="L2147" s="16" t="str">
        <f t="array" ref="L2147">CONCATENATE(_xlfn.XLOOKUP(C2147,Clientes[ID_Cliente],Clientes[Provincia]),", Argentina")</f>
        <v>Buenos Aires, Argentina</v>
      </c>
      <c r="M2147" s="20" t="str">
        <f t="array" ref="M2147">_xlfn.XLOOKUP(F2147,Metodos_De_Pago[ID_Metodo],Metodos_De_Pago[Metodo])</f>
        <v>Efectivo</v>
      </c>
      <c r="N2147" s="20" t="str">
        <f t="shared" si="2"/>
        <v>2024 04</v>
      </c>
    </row>
    <row r="2148" ht="22.5" customHeight="1">
      <c r="A2148" s="12">
        <f>IFERROR(__xludf.DUMMYFUNCTION("""COMPUTED_VALUE"""),826.0)</f>
        <v>826</v>
      </c>
      <c r="B2148" s="13">
        <f>IFERROR(__xludf.DUMMYFUNCTION("""COMPUTED_VALUE"""),45408.0)</f>
        <v>45408</v>
      </c>
      <c r="C2148" s="12">
        <f>IFERROR(__xludf.DUMMYFUNCTION("""COMPUTED_VALUE"""),137.0)</f>
        <v>137</v>
      </c>
      <c r="D2148" s="12">
        <f>IFERROR(__xludf.DUMMYFUNCTION("""COMPUTED_VALUE"""),26.0)</f>
        <v>26</v>
      </c>
      <c r="E2148" s="12">
        <f>IFERROR(__xludf.DUMMYFUNCTION("""COMPUTED_VALUE"""),5.0)</f>
        <v>5</v>
      </c>
      <c r="F2148" s="12">
        <f>IFERROR(__xludf.DUMMYFUNCTION("""COMPUTED_VALUE"""),4.0)</f>
        <v>4</v>
      </c>
      <c r="G2148" s="15" t="str">
        <f>IFERROR(__xludf.DUMMYFUNCTION("""COMPUTED_VALUE"""),"Completa")</f>
        <v>Completa</v>
      </c>
      <c r="H2148" s="16" t="str">
        <f t="array" ref="H2148">_xlfn.XLOOKUP(D2148,Productos[ID_Producto],Productos[Nombre_Producto])</f>
        <v>Hamburgesas congeladas</v>
      </c>
      <c r="I2148" s="17">
        <f t="array" ref="I2148">_xlfn.XLOOKUP(D2148,Productos[ID_Producto],Productos[Precio_Unitario])</f>
        <v>9.54</v>
      </c>
      <c r="J2148" s="17">
        <f t="shared" si="1"/>
        <v>47.7</v>
      </c>
      <c r="K2148" s="16" t="str">
        <f t="array" ref="K2148">_xlfn.XLOOKUP(C2148,Clientes[ID_Cliente],Clientes[Provincia])</f>
        <v>Neuquén</v>
      </c>
      <c r="L2148" s="16" t="str">
        <f t="array" ref="L2148">CONCATENATE(_xlfn.XLOOKUP(C2148,Clientes[ID_Cliente],Clientes[Provincia]),", Argentina")</f>
        <v>Neuquén, Argentina</v>
      </c>
      <c r="M2148" s="20" t="str">
        <f t="array" ref="M2148">_xlfn.XLOOKUP(F2148,Metodos_De_Pago[ID_Metodo],Metodos_De_Pago[Metodo])</f>
        <v>Mercado Pago</v>
      </c>
      <c r="N2148" s="20" t="str">
        <f t="shared" si="2"/>
        <v>2024 04</v>
      </c>
    </row>
    <row r="2149" ht="22.5" customHeight="1">
      <c r="A2149" s="12">
        <f>IFERROR(__xludf.DUMMYFUNCTION("""COMPUTED_VALUE"""),1733.0)</f>
        <v>1733</v>
      </c>
      <c r="B2149" s="13">
        <f>IFERROR(__xludf.DUMMYFUNCTION("""COMPUTED_VALUE"""),45408.0)</f>
        <v>45408</v>
      </c>
      <c r="C2149" s="12">
        <f>IFERROR(__xludf.DUMMYFUNCTION("""COMPUTED_VALUE"""),185.0)</f>
        <v>185</v>
      </c>
      <c r="D2149" s="12">
        <f>IFERROR(__xludf.DUMMYFUNCTION("""COMPUTED_VALUE"""),10.0)</f>
        <v>10</v>
      </c>
      <c r="E2149" s="12">
        <f>IFERROR(__xludf.DUMMYFUNCTION("""COMPUTED_VALUE"""),5.0)</f>
        <v>5</v>
      </c>
      <c r="F2149" s="12">
        <f>IFERROR(__xludf.DUMMYFUNCTION("""COMPUTED_VALUE"""),5.0)</f>
        <v>5</v>
      </c>
      <c r="G2149" s="15" t="str">
        <f>IFERROR(__xludf.DUMMYFUNCTION("""COMPUTED_VALUE"""),"Completa")</f>
        <v>Completa</v>
      </c>
      <c r="H2149" s="16" t="str">
        <f t="array" ref="H2149">_xlfn.XLOOKUP(D2149,Productos[ID_Producto],Productos[Nombre_Producto])</f>
        <v>Costilla de cerdo</v>
      </c>
      <c r="I2149" s="17">
        <f t="array" ref="I2149">_xlfn.XLOOKUP(D2149,Productos[ID_Producto],Productos[Precio_Unitario])</f>
        <v>14.25</v>
      </c>
      <c r="J2149" s="17">
        <f t="shared" si="1"/>
        <v>71.25</v>
      </c>
      <c r="K2149" s="16" t="str">
        <f t="array" ref="K2149">_xlfn.XLOOKUP(C2149,Clientes[ID_Cliente],Clientes[Provincia])</f>
        <v>Córdoba</v>
      </c>
      <c r="L2149" s="16" t="str">
        <f t="array" ref="L2149">CONCATENATE(_xlfn.XLOOKUP(C2149,Clientes[ID_Cliente],Clientes[Provincia]),", Argentina")</f>
        <v>Córdoba, Argentina</v>
      </c>
      <c r="M2149" s="20" t="str">
        <f t="array" ref="M2149">_xlfn.XLOOKUP(F2149,Metodos_De_Pago[ID_Metodo],Metodos_De_Pago[Metodo])</f>
        <v>Transferencia</v>
      </c>
      <c r="N2149" s="20" t="str">
        <f t="shared" si="2"/>
        <v>2024 04</v>
      </c>
    </row>
    <row r="2150" ht="22.5" customHeight="1">
      <c r="A2150" s="12">
        <f>IFERROR(__xludf.DUMMYFUNCTION("""COMPUTED_VALUE"""),2741.0)</f>
        <v>2741</v>
      </c>
      <c r="B2150" s="13">
        <f>IFERROR(__xludf.DUMMYFUNCTION("""COMPUTED_VALUE"""),45408.0)</f>
        <v>45408</v>
      </c>
      <c r="C2150" s="12">
        <f>IFERROR(__xludf.DUMMYFUNCTION("""COMPUTED_VALUE"""),48.0)</f>
        <v>48</v>
      </c>
      <c r="D2150" s="12">
        <f>IFERROR(__xludf.DUMMYFUNCTION("""COMPUTED_VALUE"""),25.0)</f>
        <v>25</v>
      </c>
      <c r="E2150" s="12">
        <f>IFERROR(__xludf.DUMMYFUNCTION("""COMPUTED_VALUE"""),5.0)</f>
        <v>5</v>
      </c>
      <c r="F2150" s="12">
        <f>IFERROR(__xludf.DUMMYFUNCTION("""COMPUTED_VALUE"""),5.0)</f>
        <v>5</v>
      </c>
      <c r="G2150" s="15" t="str">
        <f>IFERROR(__xludf.DUMMYFUNCTION("""COMPUTED_VALUE"""),"Completa")</f>
        <v>Completa</v>
      </c>
      <c r="H2150" s="16" t="str">
        <f t="array" ref="H2150">_xlfn.XLOOKUP(D2150,Productos[ID_Producto],Productos[Nombre_Producto])</f>
        <v>Pizza congelada</v>
      </c>
      <c r="I2150" s="17">
        <f t="array" ref="I2150">_xlfn.XLOOKUP(D2150,Productos[ID_Producto],Productos[Precio_Unitario])</f>
        <v>15.45</v>
      </c>
      <c r="J2150" s="17">
        <f t="shared" si="1"/>
        <v>77.25</v>
      </c>
      <c r="K2150" s="16" t="str">
        <f t="array" ref="K2150">_xlfn.XLOOKUP(C2150,Clientes[ID_Cliente],Clientes[Provincia])</f>
        <v>Neuquén</v>
      </c>
      <c r="L2150" s="16" t="str">
        <f t="array" ref="L2150">CONCATENATE(_xlfn.XLOOKUP(C2150,Clientes[ID_Cliente],Clientes[Provincia]),", Argentina")</f>
        <v>Neuquén, Argentina</v>
      </c>
      <c r="M2150" s="20" t="str">
        <f t="array" ref="M2150">_xlfn.XLOOKUP(F2150,Metodos_De_Pago[ID_Metodo],Metodos_De_Pago[Metodo])</f>
        <v>Transferencia</v>
      </c>
      <c r="N2150" s="20" t="str">
        <f t="shared" si="2"/>
        <v>2024 04</v>
      </c>
    </row>
    <row r="2151" ht="22.5" customHeight="1">
      <c r="A2151" s="12">
        <f>IFERROR(__xludf.DUMMYFUNCTION("""COMPUTED_VALUE"""),1505.0)</f>
        <v>1505</v>
      </c>
      <c r="B2151" s="13">
        <f>IFERROR(__xludf.DUMMYFUNCTION("""COMPUTED_VALUE"""),45409.0)</f>
        <v>45409</v>
      </c>
      <c r="C2151" s="12">
        <f>IFERROR(__xludf.DUMMYFUNCTION("""COMPUTED_VALUE"""),13.0)</f>
        <v>13</v>
      </c>
      <c r="D2151" s="12">
        <f>IFERROR(__xludf.DUMMYFUNCTION("""COMPUTED_VALUE"""),8.0)</f>
        <v>8</v>
      </c>
      <c r="E2151" s="12">
        <f>IFERROR(__xludf.DUMMYFUNCTION("""COMPUTED_VALUE"""),5.0)</f>
        <v>5</v>
      </c>
      <c r="F2151" s="12">
        <f>IFERROR(__xludf.DUMMYFUNCTION("""COMPUTED_VALUE"""),4.0)</f>
        <v>4</v>
      </c>
      <c r="G2151" s="15" t="str">
        <f>IFERROR(__xludf.DUMMYFUNCTION("""COMPUTED_VALUE"""),"Completa")</f>
        <v>Completa</v>
      </c>
      <c r="H2151" s="16" t="str">
        <f t="array" ref="H2151">_xlfn.XLOOKUP(D2151,Productos[ID_Producto],Productos[Nombre_Producto])</f>
        <v>Milanesa</v>
      </c>
      <c r="I2151" s="17">
        <f t="array" ref="I2151">_xlfn.XLOOKUP(D2151,Productos[ID_Producto],Productos[Precio_Unitario])</f>
        <v>16.21</v>
      </c>
      <c r="J2151" s="17">
        <f t="shared" si="1"/>
        <v>81.05</v>
      </c>
      <c r="K2151" s="16" t="str">
        <f t="array" ref="K2151">_xlfn.XLOOKUP(C2151,Clientes[ID_Cliente],Clientes[Provincia])</f>
        <v>Córdoba</v>
      </c>
      <c r="L2151" s="16" t="str">
        <f t="array" ref="L2151">CONCATENATE(_xlfn.XLOOKUP(C2151,Clientes[ID_Cliente],Clientes[Provincia]),", Argentina")</f>
        <v>Córdoba, Argentina</v>
      </c>
      <c r="M2151" s="20" t="str">
        <f t="array" ref="M2151">_xlfn.XLOOKUP(F2151,Metodos_De_Pago[ID_Metodo],Metodos_De_Pago[Metodo])</f>
        <v>Mercado Pago</v>
      </c>
      <c r="N2151" s="20" t="str">
        <f t="shared" si="2"/>
        <v>2024 04</v>
      </c>
    </row>
    <row r="2152" ht="22.5" customHeight="1">
      <c r="A2152" s="12">
        <f>IFERROR(__xludf.DUMMYFUNCTION("""COMPUTED_VALUE"""),2281.0)</f>
        <v>2281</v>
      </c>
      <c r="B2152" s="13">
        <f>IFERROR(__xludf.DUMMYFUNCTION("""COMPUTED_VALUE"""),45409.0)</f>
        <v>45409</v>
      </c>
      <c r="C2152" s="12">
        <f>IFERROR(__xludf.DUMMYFUNCTION("""COMPUTED_VALUE"""),283.0)</f>
        <v>283</v>
      </c>
      <c r="D2152" s="12">
        <f>IFERROR(__xludf.DUMMYFUNCTION("""COMPUTED_VALUE"""),10.0)</f>
        <v>10</v>
      </c>
      <c r="E2152" s="12">
        <f>IFERROR(__xludf.DUMMYFUNCTION("""COMPUTED_VALUE"""),5.0)</f>
        <v>5</v>
      </c>
      <c r="F2152" s="12">
        <f>IFERROR(__xludf.DUMMYFUNCTION("""COMPUTED_VALUE"""),4.0)</f>
        <v>4</v>
      </c>
      <c r="G2152" s="15" t="str">
        <f>IFERROR(__xludf.DUMMYFUNCTION("""COMPUTED_VALUE"""),"Pendiente")</f>
        <v>Pendiente</v>
      </c>
      <c r="H2152" s="16" t="str">
        <f t="array" ref="H2152">_xlfn.XLOOKUP(D2152,Productos[ID_Producto],Productos[Nombre_Producto])</f>
        <v>Costilla de cerdo</v>
      </c>
      <c r="I2152" s="17">
        <f t="array" ref="I2152">_xlfn.XLOOKUP(D2152,Productos[ID_Producto],Productos[Precio_Unitario])</f>
        <v>14.25</v>
      </c>
      <c r="J2152" s="17">
        <f t="shared" si="1"/>
        <v>71.25</v>
      </c>
      <c r="K2152" s="16" t="str">
        <f t="array" ref="K2152">_xlfn.XLOOKUP(C2152,Clientes[ID_Cliente],Clientes[Provincia])</f>
        <v>Buenos Aires</v>
      </c>
      <c r="L2152" s="16" t="str">
        <f t="array" ref="L2152">CONCATENATE(_xlfn.XLOOKUP(C2152,Clientes[ID_Cliente],Clientes[Provincia]),", Argentina")</f>
        <v>Buenos Aires, Argentina</v>
      </c>
      <c r="M2152" s="20" t="str">
        <f t="array" ref="M2152">_xlfn.XLOOKUP(F2152,Metodos_De_Pago[ID_Metodo],Metodos_De_Pago[Metodo])</f>
        <v>Mercado Pago</v>
      </c>
      <c r="N2152" s="20" t="str">
        <f t="shared" si="2"/>
        <v>2024 04</v>
      </c>
    </row>
    <row r="2153" ht="22.5" customHeight="1">
      <c r="A2153" s="12">
        <f>IFERROR(__xludf.DUMMYFUNCTION("""COMPUTED_VALUE"""),1211.0)</f>
        <v>1211</v>
      </c>
      <c r="B2153" s="13">
        <f>IFERROR(__xludf.DUMMYFUNCTION("""COMPUTED_VALUE"""),45411.0)</f>
        <v>45411</v>
      </c>
      <c r="C2153" s="12">
        <f>IFERROR(__xludf.DUMMYFUNCTION("""COMPUTED_VALUE"""),104.0)</f>
        <v>104</v>
      </c>
      <c r="D2153" s="12">
        <f>IFERROR(__xludf.DUMMYFUNCTION("""COMPUTED_VALUE"""),4.0)</f>
        <v>4</v>
      </c>
      <c r="E2153" s="12">
        <f>IFERROR(__xludf.DUMMYFUNCTION("""COMPUTED_VALUE"""),5.0)</f>
        <v>5</v>
      </c>
      <c r="F2153" s="12">
        <f>IFERROR(__xludf.DUMMYFUNCTION("""COMPUTED_VALUE"""),5.0)</f>
        <v>5</v>
      </c>
      <c r="G2153" s="15" t="str">
        <f>IFERROR(__xludf.DUMMYFUNCTION("""COMPUTED_VALUE"""),"Completa")</f>
        <v>Completa</v>
      </c>
      <c r="H2153" s="16" t="str">
        <f t="array" ref="H2153">_xlfn.XLOOKUP(D2153,Productos[ID_Producto],Productos[Nombre_Producto])</f>
        <v>Queso rallado</v>
      </c>
      <c r="I2153" s="17">
        <f t="array" ref="I2153">_xlfn.XLOOKUP(D2153,Productos[ID_Producto],Productos[Precio_Unitario])</f>
        <v>19.23</v>
      </c>
      <c r="J2153" s="17">
        <f t="shared" si="1"/>
        <v>96.15</v>
      </c>
      <c r="K2153" s="16" t="str">
        <f t="array" ref="K2153">_xlfn.XLOOKUP(C2153,Clientes[ID_Cliente],Clientes[Provincia])</f>
        <v>Buenos Aires</v>
      </c>
      <c r="L2153" s="16" t="str">
        <f t="array" ref="L2153">CONCATENATE(_xlfn.XLOOKUP(C2153,Clientes[ID_Cliente],Clientes[Provincia]),", Argentina")</f>
        <v>Buenos Aires, Argentina</v>
      </c>
      <c r="M2153" s="20" t="str">
        <f t="array" ref="M2153">_xlfn.XLOOKUP(F2153,Metodos_De_Pago[ID_Metodo],Metodos_De_Pago[Metodo])</f>
        <v>Transferencia</v>
      </c>
      <c r="N2153" s="20" t="str">
        <f t="shared" si="2"/>
        <v>2024 04</v>
      </c>
    </row>
    <row r="2154" ht="22.5" customHeight="1">
      <c r="A2154" s="12">
        <f>IFERROR(__xludf.DUMMYFUNCTION("""COMPUTED_VALUE"""),2659.0)</f>
        <v>2659</v>
      </c>
      <c r="B2154" s="13">
        <f>IFERROR(__xludf.DUMMYFUNCTION("""COMPUTED_VALUE"""),45413.0)</f>
        <v>45413</v>
      </c>
      <c r="C2154" s="12">
        <f>IFERROR(__xludf.DUMMYFUNCTION("""COMPUTED_VALUE"""),274.0)</f>
        <v>274</v>
      </c>
      <c r="D2154" s="12">
        <f>IFERROR(__xludf.DUMMYFUNCTION("""COMPUTED_VALUE"""),13.0)</f>
        <v>13</v>
      </c>
      <c r="E2154" s="12">
        <f>IFERROR(__xludf.DUMMYFUNCTION("""COMPUTED_VALUE"""),5.0)</f>
        <v>5</v>
      </c>
      <c r="F2154" s="12">
        <f>IFERROR(__xludf.DUMMYFUNCTION("""COMPUTED_VALUE"""),4.0)</f>
        <v>4</v>
      </c>
      <c r="G2154" s="15" t="str">
        <f>IFERROR(__xludf.DUMMYFUNCTION("""COMPUTED_VALUE"""),"Completa")</f>
        <v>Completa</v>
      </c>
      <c r="H2154" s="16" t="str">
        <f t="array" ref="H2154">_xlfn.XLOOKUP(D2154,Productos[ID_Producto],Productos[Nombre_Producto])</f>
        <v>Pan integral</v>
      </c>
      <c r="I2154" s="17">
        <f t="array" ref="I2154">_xlfn.XLOOKUP(D2154,Productos[ID_Producto],Productos[Precio_Unitario])</f>
        <v>12.56</v>
      </c>
      <c r="J2154" s="17">
        <f t="shared" si="1"/>
        <v>62.8</v>
      </c>
      <c r="K2154" s="16" t="str">
        <f t="array" ref="K2154">_xlfn.XLOOKUP(C2154,Clientes[ID_Cliente],Clientes[Provincia])</f>
        <v>Buenos Aires</v>
      </c>
      <c r="L2154" s="16" t="str">
        <f t="array" ref="L2154">CONCATENATE(_xlfn.XLOOKUP(C2154,Clientes[ID_Cliente],Clientes[Provincia]),", Argentina")</f>
        <v>Buenos Aires, Argentina</v>
      </c>
      <c r="M2154" s="20" t="str">
        <f t="array" ref="M2154">_xlfn.XLOOKUP(F2154,Metodos_De_Pago[ID_Metodo],Metodos_De_Pago[Metodo])</f>
        <v>Mercado Pago</v>
      </c>
      <c r="N2154" s="20" t="str">
        <f t="shared" si="2"/>
        <v>2024 05</v>
      </c>
    </row>
    <row r="2155" ht="22.5" customHeight="1">
      <c r="A2155" s="12">
        <f>IFERROR(__xludf.DUMMYFUNCTION("""COMPUTED_VALUE"""),2890.0)</f>
        <v>2890</v>
      </c>
      <c r="B2155" s="13">
        <f>IFERROR(__xludf.DUMMYFUNCTION("""COMPUTED_VALUE"""),45413.0)</f>
        <v>45413</v>
      </c>
      <c r="C2155" s="12">
        <f>IFERROR(__xludf.DUMMYFUNCTION("""COMPUTED_VALUE"""),156.0)</f>
        <v>156</v>
      </c>
      <c r="D2155" s="12">
        <f>IFERROR(__xludf.DUMMYFUNCTION("""COMPUTED_VALUE"""),8.0)</f>
        <v>8</v>
      </c>
      <c r="E2155" s="12">
        <f>IFERROR(__xludf.DUMMYFUNCTION("""COMPUTED_VALUE"""),5.0)</f>
        <v>5</v>
      </c>
      <c r="F2155" s="12">
        <f>IFERROR(__xludf.DUMMYFUNCTION("""COMPUTED_VALUE"""),4.0)</f>
        <v>4</v>
      </c>
      <c r="G2155" s="15" t="str">
        <f>IFERROR(__xludf.DUMMYFUNCTION("""COMPUTED_VALUE"""),"Completa")</f>
        <v>Completa</v>
      </c>
      <c r="H2155" s="16" t="str">
        <f t="array" ref="H2155">_xlfn.XLOOKUP(D2155,Productos[ID_Producto],Productos[Nombre_Producto])</f>
        <v>Milanesa</v>
      </c>
      <c r="I2155" s="17">
        <f t="array" ref="I2155">_xlfn.XLOOKUP(D2155,Productos[ID_Producto],Productos[Precio_Unitario])</f>
        <v>16.21</v>
      </c>
      <c r="J2155" s="17">
        <f t="shared" si="1"/>
        <v>81.05</v>
      </c>
      <c r="K2155" s="16" t="str">
        <f t="array" ref="K2155">_xlfn.XLOOKUP(C2155,Clientes[ID_Cliente],Clientes[Provincia])</f>
        <v>Neuquén</v>
      </c>
      <c r="L2155" s="16" t="str">
        <f t="array" ref="L2155">CONCATENATE(_xlfn.XLOOKUP(C2155,Clientes[ID_Cliente],Clientes[Provincia]),", Argentina")</f>
        <v>Neuquén, Argentina</v>
      </c>
      <c r="M2155" s="20" t="str">
        <f t="array" ref="M2155">_xlfn.XLOOKUP(F2155,Metodos_De_Pago[ID_Metodo],Metodos_De_Pago[Metodo])</f>
        <v>Mercado Pago</v>
      </c>
      <c r="N2155" s="20" t="str">
        <f t="shared" si="2"/>
        <v>2024 05</v>
      </c>
    </row>
    <row r="2156" ht="22.5" customHeight="1">
      <c r="A2156" s="12">
        <f>IFERROR(__xludf.DUMMYFUNCTION("""COMPUTED_VALUE"""),692.0)</f>
        <v>692</v>
      </c>
      <c r="B2156" s="13">
        <f>IFERROR(__xludf.DUMMYFUNCTION("""COMPUTED_VALUE"""),45414.0)</f>
        <v>45414</v>
      </c>
      <c r="C2156" s="12">
        <f>IFERROR(__xludf.DUMMYFUNCTION("""COMPUTED_VALUE"""),303.0)</f>
        <v>303</v>
      </c>
      <c r="D2156" s="12">
        <f>IFERROR(__xludf.DUMMYFUNCTION("""COMPUTED_VALUE"""),3.0)</f>
        <v>3</v>
      </c>
      <c r="E2156" s="12">
        <f>IFERROR(__xludf.DUMMYFUNCTION("""COMPUTED_VALUE"""),5.0)</f>
        <v>5</v>
      </c>
      <c r="F2156" s="12">
        <f>IFERROR(__xludf.DUMMYFUNCTION("""COMPUTED_VALUE"""),5.0)</f>
        <v>5</v>
      </c>
      <c r="G2156" s="15" t="str">
        <f>IFERROR(__xludf.DUMMYFUNCTION("""COMPUTED_VALUE"""),"Completa")</f>
        <v>Completa</v>
      </c>
      <c r="H2156" s="16" t="str">
        <f t="array" ref="H2156">_xlfn.XLOOKUP(D2156,Productos[ID_Producto],Productos[Nombre_Producto])</f>
        <v>Queso cremoso</v>
      </c>
      <c r="I2156" s="17">
        <f t="array" ref="I2156">_xlfn.XLOOKUP(D2156,Productos[ID_Producto],Productos[Precio_Unitario])</f>
        <v>17.23</v>
      </c>
      <c r="J2156" s="17">
        <f t="shared" si="1"/>
        <v>86.15</v>
      </c>
      <c r="K2156" s="16" t="str">
        <f t="array" ref="K2156">_xlfn.XLOOKUP(C2156,Clientes[ID_Cliente],Clientes[Provincia])</f>
        <v>Córdoba</v>
      </c>
      <c r="L2156" s="16" t="str">
        <f t="array" ref="L2156">CONCATENATE(_xlfn.XLOOKUP(C2156,Clientes[ID_Cliente],Clientes[Provincia]),", Argentina")</f>
        <v>Córdoba, Argentina</v>
      </c>
      <c r="M2156" s="20" t="str">
        <f t="array" ref="M2156">_xlfn.XLOOKUP(F2156,Metodos_De_Pago[ID_Metodo],Metodos_De_Pago[Metodo])</f>
        <v>Transferencia</v>
      </c>
      <c r="N2156" s="20" t="str">
        <f t="shared" si="2"/>
        <v>2024 05</v>
      </c>
    </row>
    <row r="2157" ht="22.5" customHeight="1">
      <c r="A2157" s="12">
        <f>IFERROR(__xludf.DUMMYFUNCTION("""COMPUTED_VALUE"""),2938.0)</f>
        <v>2938</v>
      </c>
      <c r="B2157" s="13">
        <f>IFERROR(__xludf.DUMMYFUNCTION("""COMPUTED_VALUE"""),45414.0)</f>
        <v>45414</v>
      </c>
      <c r="C2157" s="12">
        <f>IFERROR(__xludf.DUMMYFUNCTION("""COMPUTED_VALUE"""),12.0)</f>
        <v>12</v>
      </c>
      <c r="D2157" s="12">
        <f>IFERROR(__xludf.DUMMYFUNCTION("""COMPUTED_VALUE"""),31.0)</f>
        <v>31</v>
      </c>
      <c r="E2157" s="12">
        <f>IFERROR(__xludf.DUMMYFUNCTION("""COMPUTED_VALUE"""),5.0)</f>
        <v>5</v>
      </c>
      <c r="F2157" s="12">
        <f>IFERROR(__xludf.DUMMYFUNCTION("""COMPUTED_VALUE"""),4.0)</f>
        <v>4</v>
      </c>
      <c r="G2157" s="15" t="str">
        <f>IFERROR(__xludf.DUMMYFUNCTION("""COMPUTED_VALUE"""),"Completa")</f>
        <v>Completa</v>
      </c>
      <c r="H2157" s="16" t="str">
        <f t="array" ref="H2157">_xlfn.XLOOKUP(D2157,Productos[ID_Producto],Productos[Nombre_Producto])</f>
        <v>Galletitas de agua</v>
      </c>
      <c r="I2157" s="17">
        <f t="array" ref="I2157">_xlfn.XLOOKUP(D2157,Productos[ID_Producto],Productos[Precio_Unitario])</f>
        <v>5.24</v>
      </c>
      <c r="J2157" s="17">
        <f t="shared" si="1"/>
        <v>26.2</v>
      </c>
      <c r="K2157" s="16" t="str">
        <f t="array" ref="K2157">_xlfn.XLOOKUP(C2157,Clientes[ID_Cliente],Clientes[Provincia])</f>
        <v>Neuquén</v>
      </c>
      <c r="L2157" s="16" t="str">
        <f t="array" ref="L2157">CONCATENATE(_xlfn.XLOOKUP(C2157,Clientes[ID_Cliente],Clientes[Provincia]),", Argentina")</f>
        <v>Neuquén, Argentina</v>
      </c>
      <c r="M2157" s="20" t="str">
        <f t="array" ref="M2157">_xlfn.XLOOKUP(F2157,Metodos_De_Pago[ID_Metodo],Metodos_De_Pago[Metodo])</f>
        <v>Mercado Pago</v>
      </c>
      <c r="N2157" s="20" t="str">
        <f t="shared" si="2"/>
        <v>2024 05</v>
      </c>
    </row>
    <row r="2158" ht="22.5" customHeight="1">
      <c r="A2158" s="12">
        <f>IFERROR(__xludf.DUMMYFUNCTION("""COMPUTED_VALUE"""),60.0)</f>
        <v>60</v>
      </c>
      <c r="B2158" s="13">
        <f>IFERROR(__xludf.DUMMYFUNCTION("""COMPUTED_VALUE"""),45415.0)</f>
        <v>45415</v>
      </c>
      <c r="C2158" s="12">
        <f>IFERROR(__xludf.DUMMYFUNCTION("""COMPUTED_VALUE"""),53.0)</f>
        <v>53</v>
      </c>
      <c r="D2158" s="12">
        <f>IFERROR(__xludf.DUMMYFUNCTION("""COMPUTED_VALUE"""),20.0)</f>
        <v>20</v>
      </c>
      <c r="E2158" s="12">
        <f>IFERROR(__xludf.DUMMYFUNCTION("""COMPUTED_VALUE"""),5.0)</f>
        <v>5</v>
      </c>
      <c r="F2158" s="12">
        <f>IFERROR(__xludf.DUMMYFUNCTION("""COMPUTED_VALUE"""),3.0)</f>
        <v>3</v>
      </c>
      <c r="G2158" s="15" t="str">
        <f>IFERROR(__xludf.DUMMYFUNCTION("""COMPUTED_VALUE"""),"Completa")</f>
        <v>Completa</v>
      </c>
      <c r="H2158" s="16" t="str">
        <f t="array" ref="H2158">_xlfn.XLOOKUP(D2158,Productos[ID_Producto],Productos[Nombre_Producto])</f>
        <v>Lechugas</v>
      </c>
      <c r="I2158" s="17">
        <f t="array" ref="I2158">_xlfn.XLOOKUP(D2158,Productos[ID_Producto],Productos[Precio_Unitario])</f>
        <v>4.25</v>
      </c>
      <c r="J2158" s="17">
        <f t="shared" si="1"/>
        <v>21.25</v>
      </c>
      <c r="K2158" s="16" t="str">
        <f t="array" ref="K2158">_xlfn.XLOOKUP(C2158,Clientes[ID_Cliente],Clientes[Provincia])</f>
        <v>Córdoba</v>
      </c>
      <c r="L2158" s="16" t="str">
        <f t="array" ref="L2158">CONCATENATE(_xlfn.XLOOKUP(C2158,Clientes[ID_Cliente],Clientes[Provincia]),", Argentina")</f>
        <v>Córdoba, Argentina</v>
      </c>
      <c r="M2158" s="20" t="str">
        <f t="array" ref="M2158">_xlfn.XLOOKUP(F2158,Metodos_De_Pago[ID_Metodo],Metodos_De_Pago[Metodo])</f>
        <v>Tarjeta de Débito</v>
      </c>
      <c r="N2158" s="20" t="str">
        <f t="shared" si="2"/>
        <v>2024 05</v>
      </c>
    </row>
    <row r="2159" ht="22.5" customHeight="1">
      <c r="A2159" s="12">
        <f>IFERROR(__xludf.DUMMYFUNCTION("""COMPUTED_VALUE"""),1655.0)</f>
        <v>1655</v>
      </c>
      <c r="B2159" s="13">
        <f>IFERROR(__xludf.DUMMYFUNCTION("""COMPUTED_VALUE"""),45415.0)</f>
        <v>45415</v>
      </c>
      <c r="C2159" s="12">
        <f>IFERROR(__xludf.DUMMYFUNCTION("""COMPUTED_VALUE"""),293.0)</f>
        <v>293</v>
      </c>
      <c r="D2159" s="12">
        <f>IFERROR(__xludf.DUMMYFUNCTION("""COMPUTED_VALUE"""),27.0)</f>
        <v>27</v>
      </c>
      <c r="E2159" s="12">
        <f>IFERROR(__xludf.DUMMYFUNCTION("""COMPUTED_VALUE"""),5.0)</f>
        <v>5</v>
      </c>
      <c r="F2159" s="12">
        <f>IFERROR(__xludf.DUMMYFUNCTION("""COMPUTED_VALUE"""),4.0)</f>
        <v>4</v>
      </c>
      <c r="G2159" s="15" t="str">
        <f>IFERROR(__xludf.DUMMYFUNCTION("""COMPUTED_VALUE"""),"Completa")</f>
        <v>Completa</v>
      </c>
      <c r="H2159" s="16" t="str">
        <f t="array" ref="H2159">_xlfn.XLOOKUP(D2159,Productos[ID_Producto],Productos[Nombre_Producto])</f>
        <v>Agua mineral</v>
      </c>
      <c r="I2159" s="17">
        <f t="array" ref="I2159">_xlfn.XLOOKUP(D2159,Productos[ID_Producto],Productos[Precio_Unitario])</f>
        <v>6.21</v>
      </c>
      <c r="J2159" s="17">
        <f t="shared" si="1"/>
        <v>31.05</v>
      </c>
      <c r="K2159" s="16" t="str">
        <f t="array" ref="K2159">_xlfn.XLOOKUP(C2159,Clientes[ID_Cliente],Clientes[Provincia])</f>
        <v>Neuquén</v>
      </c>
      <c r="L2159" s="16" t="str">
        <f t="array" ref="L2159">CONCATENATE(_xlfn.XLOOKUP(C2159,Clientes[ID_Cliente],Clientes[Provincia]),", Argentina")</f>
        <v>Neuquén, Argentina</v>
      </c>
      <c r="M2159" s="20" t="str">
        <f t="array" ref="M2159">_xlfn.XLOOKUP(F2159,Metodos_De_Pago[ID_Metodo],Metodos_De_Pago[Metodo])</f>
        <v>Mercado Pago</v>
      </c>
      <c r="N2159" s="20" t="str">
        <f t="shared" si="2"/>
        <v>2024 05</v>
      </c>
    </row>
    <row r="2160" ht="22.5" customHeight="1">
      <c r="A2160" s="12">
        <f>IFERROR(__xludf.DUMMYFUNCTION("""COMPUTED_VALUE"""),2898.0)</f>
        <v>2898</v>
      </c>
      <c r="B2160" s="13">
        <f>IFERROR(__xludf.DUMMYFUNCTION("""COMPUTED_VALUE"""),45415.0)</f>
        <v>45415</v>
      </c>
      <c r="C2160" s="12">
        <f>IFERROR(__xludf.DUMMYFUNCTION("""COMPUTED_VALUE"""),188.0)</f>
        <v>188</v>
      </c>
      <c r="D2160" s="12">
        <f>IFERROR(__xludf.DUMMYFUNCTION("""COMPUTED_VALUE"""),1.0)</f>
        <v>1</v>
      </c>
      <c r="E2160" s="12">
        <f>IFERROR(__xludf.DUMMYFUNCTION("""COMPUTED_VALUE"""),5.0)</f>
        <v>5</v>
      </c>
      <c r="F2160" s="12">
        <f>IFERROR(__xludf.DUMMYFUNCTION("""COMPUTED_VALUE"""),4.0)</f>
        <v>4</v>
      </c>
      <c r="G2160" s="15" t="str">
        <f>IFERROR(__xludf.DUMMYFUNCTION("""COMPUTED_VALUE"""),"Completa")</f>
        <v>Completa</v>
      </c>
      <c r="H2160" s="16" t="str">
        <f t="array" ref="H2160">_xlfn.XLOOKUP(D2160,Productos[ID_Producto],Productos[Nombre_Producto])</f>
        <v>Leche</v>
      </c>
      <c r="I2160" s="17">
        <f t="array" ref="I2160">_xlfn.XLOOKUP(D2160,Productos[ID_Producto],Productos[Precio_Unitario])</f>
        <v>12.24</v>
      </c>
      <c r="J2160" s="17">
        <f t="shared" si="1"/>
        <v>61.2</v>
      </c>
      <c r="K2160" s="16" t="str">
        <f t="array" ref="K2160">_xlfn.XLOOKUP(C2160,Clientes[ID_Cliente],Clientes[Provincia])</f>
        <v>San Luis</v>
      </c>
      <c r="L2160" s="16" t="str">
        <f t="array" ref="L2160">CONCATENATE(_xlfn.XLOOKUP(C2160,Clientes[ID_Cliente],Clientes[Provincia]),", Argentina")</f>
        <v>San Luis, Argentina</v>
      </c>
      <c r="M2160" s="20" t="str">
        <f t="array" ref="M2160">_xlfn.XLOOKUP(F2160,Metodos_De_Pago[ID_Metodo],Metodos_De_Pago[Metodo])</f>
        <v>Mercado Pago</v>
      </c>
      <c r="N2160" s="20" t="str">
        <f t="shared" si="2"/>
        <v>2024 05</v>
      </c>
    </row>
    <row r="2161" ht="22.5" customHeight="1">
      <c r="A2161" s="12">
        <f>IFERROR(__xludf.DUMMYFUNCTION("""COMPUTED_VALUE"""),1613.0)</f>
        <v>1613</v>
      </c>
      <c r="B2161" s="13">
        <f>IFERROR(__xludf.DUMMYFUNCTION("""COMPUTED_VALUE"""),45416.0)</f>
        <v>45416</v>
      </c>
      <c r="C2161" s="12">
        <f>IFERROR(__xludf.DUMMYFUNCTION("""COMPUTED_VALUE"""),12.0)</f>
        <v>12</v>
      </c>
      <c r="D2161" s="12">
        <f>IFERROR(__xludf.DUMMYFUNCTION("""COMPUTED_VALUE"""),3.0)</f>
        <v>3</v>
      </c>
      <c r="E2161" s="12">
        <f>IFERROR(__xludf.DUMMYFUNCTION("""COMPUTED_VALUE"""),5.0)</f>
        <v>5</v>
      </c>
      <c r="F2161" s="12">
        <f>IFERROR(__xludf.DUMMYFUNCTION("""COMPUTED_VALUE"""),1.0)</f>
        <v>1</v>
      </c>
      <c r="G2161" s="15" t="str">
        <f>IFERROR(__xludf.DUMMYFUNCTION("""COMPUTED_VALUE"""),"Completa")</f>
        <v>Completa</v>
      </c>
      <c r="H2161" s="16" t="str">
        <f t="array" ref="H2161">_xlfn.XLOOKUP(D2161,Productos[ID_Producto],Productos[Nombre_Producto])</f>
        <v>Queso cremoso</v>
      </c>
      <c r="I2161" s="17">
        <f t="array" ref="I2161">_xlfn.XLOOKUP(D2161,Productos[ID_Producto],Productos[Precio_Unitario])</f>
        <v>17.23</v>
      </c>
      <c r="J2161" s="17">
        <f t="shared" si="1"/>
        <v>86.15</v>
      </c>
      <c r="K2161" s="16" t="str">
        <f t="array" ref="K2161">_xlfn.XLOOKUP(C2161,Clientes[ID_Cliente],Clientes[Provincia])</f>
        <v>Neuquén</v>
      </c>
      <c r="L2161" s="16" t="str">
        <f t="array" ref="L2161">CONCATENATE(_xlfn.XLOOKUP(C2161,Clientes[ID_Cliente],Clientes[Provincia]),", Argentina")</f>
        <v>Neuquén, Argentina</v>
      </c>
      <c r="M2161" s="20" t="str">
        <f t="array" ref="M2161">_xlfn.XLOOKUP(F2161,Metodos_De_Pago[ID_Metodo],Metodos_De_Pago[Metodo])</f>
        <v>Efectivo</v>
      </c>
      <c r="N2161" s="20" t="str">
        <f t="shared" si="2"/>
        <v>2024 05</v>
      </c>
    </row>
    <row r="2162" ht="22.5" customHeight="1">
      <c r="A2162" s="12">
        <f>IFERROR(__xludf.DUMMYFUNCTION("""COMPUTED_VALUE"""),2473.0)</f>
        <v>2473</v>
      </c>
      <c r="B2162" s="13">
        <f>IFERROR(__xludf.DUMMYFUNCTION("""COMPUTED_VALUE"""),45417.0)</f>
        <v>45417</v>
      </c>
      <c r="C2162" s="12">
        <f>IFERROR(__xludf.DUMMYFUNCTION("""COMPUTED_VALUE"""),181.0)</f>
        <v>181</v>
      </c>
      <c r="D2162" s="12">
        <f>IFERROR(__xludf.DUMMYFUNCTION("""COMPUTED_VALUE"""),37.0)</f>
        <v>37</v>
      </c>
      <c r="E2162" s="12">
        <f>IFERROR(__xludf.DUMMYFUNCTION("""COMPUTED_VALUE"""),5.0)</f>
        <v>5</v>
      </c>
      <c r="F2162" s="12">
        <f>IFERROR(__xludf.DUMMYFUNCTION("""COMPUTED_VALUE"""),4.0)</f>
        <v>4</v>
      </c>
      <c r="G2162" s="15" t="str">
        <f>IFERROR(__xludf.DUMMYFUNCTION("""COMPUTED_VALUE"""),"Completa")</f>
        <v>Completa</v>
      </c>
      <c r="H2162" s="16" t="str">
        <f t="array" ref="H2162">_xlfn.XLOOKUP(D2162,Productos[ID_Producto],Productos[Nombre_Producto])</f>
        <v>Garbanzos</v>
      </c>
      <c r="I2162" s="17">
        <f t="array" ref="I2162">_xlfn.XLOOKUP(D2162,Productos[ID_Producto],Productos[Precio_Unitario])</f>
        <v>3.65</v>
      </c>
      <c r="J2162" s="17">
        <f t="shared" si="1"/>
        <v>18.25</v>
      </c>
      <c r="K2162" s="16" t="str">
        <f t="array" ref="K2162">_xlfn.XLOOKUP(C2162,Clientes[ID_Cliente],Clientes[Provincia])</f>
        <v>Neuquén</v>
      </c>
      <c r="L2162" s="16" t="str">
        <f t="array" ref="L2162">CONCATENATE(_xlfn.XLOOKUP(C2162,Clientes[ID_Cliente],Clientes[Provincia]),", Argentina")</f>
        <v>Neuquén, Argentina</v>
      </c>
      <c r="M2162" s="20" t="str">
        <f t="array" ref="M2162">_xlfn.XLOOKUP(F2162,Metodos_De_Pago[ID_Metodo],Metodos_De_Pago[Metodo])</f>
        <v>Mercado Pago</v>
      </c>
      <c r="N2162" s="20" t="str">
        <f t="shared" si="2"/>
        <v>2024 05</v>
      </c>
    </row>
    <row r="2163" ht="22.5" customHeight="1">
      <c r="A2163" s="12">
        <f>IFERROR(__xludf.DUMMYFUNCTION("""COMPUTED_VALUE"""),1517.0)</f>
        <v>1517</v>
      </c>
      <c r="B2163" s="13">
        <f>IFERROR(__xludf.DUMMYFUNCTION("""COMPUTED_VALUE"""),45418.0)</f>
        <v>45418</v>
      </c>
      <c r="C2163" s="12">
        <f>IFERROR(__xludf.DUMMYFUNCTION("""COMPUTED_VALUE"""),106.0)</f>
        <v>106</v>
      </c>
      <c r="D2163" s="12">
        <f>IFERROR(__xludf.DUMMYFUNCTION("""COMPUTED_VALUE"""),31.0)</f>
        <v>31</v>
      </c>
      <c r="E2163" s="12">
        <f>IFERROR(__xludf.DUMMYFUNCTION("""COMPUTED_VALUE"""),5.0)</f>
        <v>5</v>
      </c>
      <c r="F2163" s="12">
        <f>IFERROR(__xludf.DUMMYFUNCTION("""COMPUTED_VALUE"""),5.0)</f>
        <v>5</v>
      </c>
      <c r="G2163" s="15" t="str">
        <f>IFERROR(__xludf.DUMMYFUNCTION("""COMPUTED_VALUE"""),"Completa")</f>
        <v>Completa</v>
      </c>
      <c r="H2163" s="16" t="str">
        <f t="array" ref="H2163">_xlfn.XLOOKUP(D2163,Productos[ID_Producto],Productos[Nombre_Producto])</f>
        <v>Galletitas de agua</v>
      </c>
      <c r="I2163" s="17">
        <f t="array" ref="I2163">_xlfn.XLOOKUP(D2163,Productos[ID_Producto],Productos[Precio_Unitario])</f>
        <v>5.24</v>
      </c>
      <c r="J2163" s="17">
        <f t="shared" si="1"/>
        <v>26.2</v>
      </c>
      <c r="K2163" s="16" t="str">
        <f t="array" ref="K2163">_xlfn.XLOOKUP(C2163,Clientes[ID_Cliente],Clientes[Provincia])</f>
        <v>Chaco</v>
      </c>
      <c r="L2163" s="16" t="str">
        <f t="array" ref="L2163">CONCATENATE(_xlfn.XLOOKUP(C2163,Clientes[ID_Cliente],Clientes[Provincia]),", Argentina")</f>
        <v>Chaco, Argentina</v>
      </c>
      <c r="M2163" s="20" t="str">
        <f t="array" ref="M2163">_xlfn.XLOOKUP(F2163,Metodos_De_Pago[ID_Metodo],Metodos_De_Pago[Metodo])</f>
        <v>Transferencia</v>
      </c>
      <c r="N2163" s="20" t="str">
        <f t="shared" si="2"/>
        <v>2024 05</v>
      </c>
    </row>
    <row r="2164" ht="22.5" customHeight="1">
      <c r="A2164" s="12">
        <f>IFERROR(__xludf.DUMMYFUNCTION("""COMPUTED_VALUE"""),2379.0)</f>
        <v>2379</v>
      </c>
      <c r="B2164" s="13">
        <f>IFERROR(__xludf.DUMMYFUNCTION("""COMPUTED_VALUE"""),45418.0)</f>
        <v>45418</v>
      </c>
      <c r="C2164" s="12">
        <f>IFERROR(__xludf.DUMMYFUNCTION("""COMPUTED_VALUE"""),321.0)</f>
        <v>321</v>
      </c>
      <c r="D2164" s="12">
        <f>IFERROR(__xludf.DUMMYFUNCTION("""COMPUTED_VALUE"""),13.0)</f>
        <v>13</v>
      </c>
      <c r="E2164" s="12">
        <f>IFERROR(__xludf.DUMMYFUNCTION("""COMPUTED_VALUE"""),5.0)</f>
        <v>5</v>
      </c>
      <c r="F2164" s="12">
        <f>IFERROR(__xludf.DUMMYFUNCTION("""COMPUTED_VALUE"""),1.0)</f>
        <v>1</v>
      </c>
      <c r="G2164" s="15" t="str">
        <f>IFERROR(__xludf.DUMMYFUNCTION("""COMPUTED_VALUE"""),"Completa")</f>
        <v>Completa</v>
      </c>
      <c r="H2164" s="16" t="str">
        <f t="array" ref="H2164">_xlfn.XLOOKUP(D2164,Productos[ID_Producto],Productos[Nombre_Producto])</f>
        <v>Pan integral</v>
      </c>
      <c r="I2164" s="17">
        <f t="array" ref="I2164">_xlfn.XLOOKUP(D2164,Productos[ID_Producto],Productos[Precio_Unitario])</f>
        <v>12.56</v>
      </c>
      <c r="J2164" s="17">
        <f t="shared" si="1"/>
        <v>62.8</v>
      </c>
      <c r="K2164" s="16" t="str">
        <f t="array" ref="K2164">_xlfn.XLOOKUP(C2164,Clientes[ID_Cliente],Clientes[Provincia])</f>
        <v>San Luis</v>
      </c>
      <c r="L2164" s="16" t="str">
        <f t="array" ref="L2164">CONCATENATE(_xlfn.XLOOKUP(C2164,Clientes[ID_Cliente],Clientes[Provincia]),", Argentina")</f>
        <v>San Luis, Argentina</v>
      </c>
      <c r="M2164" s="20" t="str">
        <f t="array" ref="M2164">_xlfn.XLOOKUP(F2164,Metodos_De_Pago[ID_Metodo],Metodos_De_Pago[Metodo])</f>
        <v>Efectivo</v>
      </c>
      <c r="N2164" s="20" t="str">
        <f t="shared" si="2"/>
        <v>2024 05</v>
      </c>
    </row>
    <row r="2165" ht="22.5" customHeight="1">
      <c r="A2165" s="12">
        <f>IFERROR(__xludf.DUMMYFUNCTION("""COMPUTED_VALUE"""),2110.0)</f>
        <v>2110</v>
      </c>
      <c r="B2165" s="13">
        <f>IFERROR(__xludf.DUMMYFUNCTION("""COMPUTED_VALUE"""),45419.0)</f>
        <v>45419</v>
      </c>
      <c r="C2165" s="12">
        <f>IFERROR(__xludf.DUMMYFUNCTION("""COMPUTED_VALUE"""),27.0)</f>
        <v>27</v>
      </c>
      <c r="D2165" s="12">
        <f>IFERROR(__xludf.DUMMYFUNCTION("""COMPUTED_VALUE"""),29.0)</f>
        <v>29</v>
      </c>
      <c r="E2165" s="12">
        <f>IFERROR(__xludf.DUMMYFUNCTION("""COMPUTED_VALUE"""),5.0)</f>
        <v>5</v>
      </c>
      <c r="F2165" s="12">
        <f>IFERROR(__xludf.DUMMYFUNCTION("""COMPUTED_VALUE"""),2.0)</f>
        <v>2</v>
      </c>
      <c r="G2165" s="15" t="str">
        <f>IFERROR(__xludf.DUMMYFUNCTION("""COMPUTED_VALUE"""),"Pendiente")</f>
        <v>Pendiente</v>
      </c>
      <c r="H2165" s="16" t="str">
        <f t="array" ref="H2165">_xlfn.XLOOKUP(D2165,Productos[ID_Producto],Productos[Nombre_Producto])</f>
        <v>Cerveza</v>
      </c>
      <c r="I2165" s="17">
        <f t="array" ref="I2165">_xlfn.XLOOKUP(D2165,Productos[ID_Producto],Productos[Precio_Unitario])</f>
        <v>11.54</v>
      </c>
      <c r="J2165" s="17">
        <f t="shared" si="1"/>
        <v>57.7</v>
      </c>
      <c r="K2165" s="16" t="str">
        <f t="array" ref="K2165">_xlfn.XLOOKUP(C2165,Clientes[ID_Cliente],Clientes[Provincia])</f>
        <v>Buenos Aires</v>
      </c>
      <c r="L2165" s="16" t="str">
        <f t="array" ref="L2165">CONCATENATE(_xlfn.XLOOKUP(C2165,Clientes[ID_Cliente],Clientes[Provincia]),", Argentina")</f>
        <v>Buenos Aires, Argentina</v>
      </c>
      <c r="M2165" s="20" t="str">
        <f t="array" ref="M2165">_xlfn.XLOOKUP(F2165,Metodos_De_Pago[ID_Metodo],Metodos_De_Pago[Metodo])</f>
        <v>Tarjeta de Crédito</v>
      </c>
      <c r="N2165" s="20" t="str">
        <f t="shared" si="2"/>
        <v>2024 05</v>
      </c>
    </row>
    <row r="2166" ht="22.5" customHeight="1">
      <c r="A2166" s="12">
        <f>IFERROR(__xludf.DUMMYFUNCTION("""COMPUTED_VALUE"""),897.0)</f>
        <v>897</v>
      </c>
      <c r="B2166" s="13">
        <f>IFERROR(__xludf.DUMMYFUNCTION("""COMPUTED_VALUE"""),45420.0)</f>
        <v>45420</v>
      </c>
      <c r="C2166" s="12">
        <f>IFERROR(__xludf.DUMMYFUNCTION("""COMPUTED_VALUE"""),234.0)</f>
        <v>234</v>
      </c>
      <c r="D2166" s="12">
        <f>IFERROR(__xludf.DUMMYFUNCTION("""COMPUTED_VALUE"""),23.0)</f>
        <v>23</v>
      </c>
      <c r="E2166" s="12">
        <f>IFERROR(__xludf.DUMMYFUNCTION("""COMPUTED_VALUE"""),5.0)</f>
        <v>5</v>
      </c>
      <c r="F2166" s="12">
        <f>IFERROR(__xludf.DUMMYFUNCTION("""COMPUTED_VALUE"""),4.0)</f>
        <v>4</v>
      </c>
      <c r="G2166" s="15" t="str">
        <f>IFERROR(__xludf.DUMMYFUNCTION("""COMPUTED_VALUE"""),"Completa")</f>
        <v>Completa</v>
      </c>
      <c r="H2166" s="16" t="str">
        <f t="array" ref="H2166">_xlfn.XLOOKUP(D2166,Productos[ID_Producto],Productos[Nombre_Producto])</f>
        <v>Papas fritas</v>
      </c>
      <c r="I2166" s="17">
        <f t="array" ref="I2166">_xlfn.XLOOKUP(D2166,Productos[ID_Producto],Productos[Precio_Unitario])</f>
        <v>8.23</v>
      </c>
      <c r="J2166" s="17">
        <f t="shared" si="1"/>
        <v>41.15</v>
      </c>
      <c r="K2166" s="16" t="str">
        <f t="array" ref="K2166">_xlfn.XLOOKUP(C2166,Clientes[ID_Cliente],Clientes[Provincia])</f>
        <v>Buenos Aires</v>
      </c>
      <c r="L2166" s="16" t="str">
        <f t="array" ref="L2166">CONCATENATE(_xlfn.XLOOKUP(C2166,Clientes[ID_Cliente],Clientes[Provincia]),", Argentina")</f>
        <v>Buenos Aires, Argentina</v>
      </c>
      <c r="M2166" s="20" t="str">
        <f t="array" ref="M2166">_xlfn.XLOOKUP(F2166,Metodos_De_Pago[ID_Metodo],Metodos_De_Pago[Metodo])</f>
        <v>Mercado Pago</v>
      </c>
      <c r="N2166" s="20" t="str">
        <f t="shared" si="2"/>
        <v>2024 05</v>
      </c>
    </row>
    <row r="2167" ht="22.5" customHeight="1">
      <c r="A2167" s="12">
        <f>IFERROR(__xludf.DUMMYFUNCTION("""COMPUTED_VALUE"""),2487.0)</f>
        <v>2487</v>
      </c>
      <c r="B2167" s="13">
        <f>IFERROR(__xludf.DUMMYFUNCTION("""COMPUTED_VALUE"""),45420.0)</f>
        <v>45420</v>
      </c>
      <c r="C2167" s="12">
        <f>IFERROR(__xludf.DUMMYFUNCTION("""COMPUTED_VALUE"""),250.0)</f>
        <v>250</v>
      </c>
      <c r="D2167" s="12">
        <f>IFERROR(__xludf.DUMMYFUNCTION("""COMPUTED_VALUE"""),35.0)</f>
        <v>35</v>
      </c>
      <c r="E2167" s="12">
        <f>IFERROR(__xludf.DUMMYFUNCTION("""COMPUTED_VALUE"""),5.0)</f>
        <v>5</v>
      </c>
      <c r="F2167" s="12">
        <f>IFERROR(__xludf.DUMMYFUNCTION("""COMPUTED_VALUE"""),3.0)</f>
        <v>3</v>
      </c>
      <c r="G2167" s="15" t="str">
        <f>IFERROR(__xludf.DUMMYFUNCTION("""COMPUTED_VALUE"""),"Pendiente")</f>
        <v>Pendiente</v>
      </c>
      <c r="H2167" s="16" t="str">
        <f t="array" ref="H2167">_xlfn.XLOOKUP(D2167,Productos[ID_Producto],Productos[Nombre_Producto])</f>
        <v>Arroz</v>
      </c>
      <c r="I2167" s="17">
        <f t="array" ref="I2167">_xlfn.XLOOKUP(D2167,Productos[ID_Producto],Productos[Precio_Unitario])</f>
        <v>4.25</v>
      </c>
      <c r="J2167" s="17">
        <f t="shared" si="1"/>
        <v>21.25</v>
      </c>
      <c r="K2167" s="16" t="str">
        <f t="array" ref="K2167">_xlfn.XLOOKUP(C2167,Clientes[ID_Cliente],Clientes[Provincia])</f>
        <v>Córdoba</v>
      </c>
      <c r="L2167" s="16" t="str">
        <f t="array" ref="L2167">CONCATENATE(_xlfn.XLOOKUP(C2167,Clientes[ID_Cliente],Clientes[Provincia]),", Argentina")</f>
        <v>Córdoba, Argentina</v>
      </c>
      <c r="M2167" s="20" t="str">
        <f t="array" ref="M2167">_xlfn.XLOOKUP(F2167,Metodos_De_Pago[ID_Metodo],Metodos_De_Pago[Metodo])</f>
        <v>Tarjeta de Débito</v>
      </c>
      <c r="N2167" s="20" t="str">
        <f t="shared" si="2"/>
        <v>2024 05</v>
      </c>
    </row>
    <row r="2168" ht="22.5" customHeight="1">
      <c r="A2168" s="12">
        <f>IFERROR(__xludf.DUMMYFUNCTION("""COMPUTED_VALUE"""),2193.0)</f>
        <v>2193</v>
      </c>
      <c r="B2168" s="13">
        <f>IFERROR(__xludf.DUMMYFUNCTION("""COMPUTED_VALUE"""),45421.0)</f>
        <v>45421</v>
      </c>
      <c r="C2168" s="12">
        <f>IFERROR(__xludf.DUMMYFUNCTION("""COMPUTED_VALUE"""),244.0)</f>
        <v>244</v>
      </c>
      <c r="D2168" s="12">
        <f>IFERROR(__xludf.DUMMYFUNCTION("""COMPUTED_VALUE"""),30.0)</f>
        <v>30</v>
      </c>
      <c r="E2168" s="12">
        <f>IFERROR(__xludf.DUMMYFUNCTION("""COMPUTED_VALUE"""),5.0)</f>
        <v>5</v>
      </c>
      <c r="F2168" s="12">
        <f>IFERROR(__xludf.DUMMYFUNCTION("""COMPUTED_VALUE"""),1.0)</f>
        <v>1</v>
      </c>
      <c r="G2168" s="15" t="str">
        <f>IFERROR(__xludf.DUMMYFUNCTION("""COMPUTED_VALUE"""),"Completa")</f>
        <v>Completa</v>
      </c>
      <c r="H2168" s="16" t="str">
        <f t="array" ref="H2168">_xlfn.XLOOKUP(D2168,Productos[ID_Producto],Productos[Nombre_Producto])</f>
        <v>Vino tinto</v>
      </c>
      <c r="I2168" s="17">
        <f t="array" ref="I2168">_xlfn.XLOOKUP(D2168,Productos[ID_Producto],Productos[Precio_Unitario])</f>
        <v>13.54</v>
      </c>
      <c r="J2168" s="17">
        <f t="shared" si="1"/>
        <v>67.7</v>
      </c>
      <c r="K2168" s="16" t="str">
        <f t="array" ref="K2168">_xlfn.XLOOKUP(C2168,Clientes[ID_Cliente],Clientes[Provincia])</f>
        <v>Buenos Aires</v>
      </c>
      <c r="L2168" s="16" t="str">
        <f t="array" ref="L2168">CONCATENATE(_xlfn.XLOOKUP(C2168,Clientes[ID_Cliente],Clientes[Provincia]),", Argentina")</f>
        <v>Buenos Aires, Argentina</v>
      </c>
      <c r="M2168" s="20" t="str">
        <f t="array" ref="M2168">_xlfn.XLOOKUP(F2168,Metodos_De_Pago[ID_Metodo],Metodos_De_Pago[Metodo])</f>
        <v>Efectivo</v>
      </c>
      <c r="N2168" s="20" t="str">
        <f t="shared" si="2"/>
        <v>2024 05</v>
      </c>
    </row>
    <row r="2169" ht="22.5" customHeight="1">
      <c r="A2169" s="12">
        <f>IFERROR(__xludf.DUMMYFUNCTION("""COMPUTED_VALUE"""),2452.0)</f>
        <v>2452</v>
      </c>
      <c r="B2169" s="13">
        <f>IFERROR(__xludf.DUMMYFUNCTION("""COMPUTED_VALUE"""),45421.0)</f>
        <v>45421</v>
      </c>
      <c r="C2169" s="12">
        <f>IFERROR(__xludf.DUMMYFUNCTION("""COMPUTED_VALUE"""),215.0)</f>
        <v>215</v>
      </c>
      <c r="D2169" s="12">
        <f>IFERROR(__xludf.DUMMYFUNCTION("""COMPUTED_VALUE"""),32.0)</f>
        <v>32</v>
      </c>
      <c r="E2169" s="12">
        <f>IFERROR(__xludf.DUMMYFUNCTION("""COMPUTED_VALUE"""),5.0)</f>
        <v>5</v>
      </c>
      <c r="F2169" s="12">
        <f>IFERROR(__xludf.DUMMYFUNCTION("""COMPUTED_VALUE"""),1.0)</f>
        <v>1</v>
      </c>
      <c r="G2169" s="15" t="str">
        <f>IFERROR(__xludf.DUMMYFUNCTION("""COMPUTED_VALUE"""),"Completa")</f>
        <v>Completa</v>
      </c>
      <c r="H2169" s="16" t="str">
        <f t="array" ref="H2169">_xlfn.XLOOKUP(D2169,Productos[ID_Producto],Productos[Nombre_Producto])</f>
        <v>Galletitas de chocolate</v>
      </c>
      <c r="I2169" s="17">
        <f t="array" ref="I2169">_xlfn.XLOOKUP(D2169,Productos[ID_Producto],Productos[Precio_Unitario])</f>
        <v>6.25</v>
      </c>
      <c r="J2169" s="17">
        <f t="shared" si="1"/>
        <v>31.25</v>
      </c>
      <c r="K2169" s="16" t="str">
        <f t="array" ref="K2169">_xlfn.XLOOKUP(C2169,Clientes[ID_Cliente],Clientes[Provincia])</f>
        <v>Chaco</v>
      </c>
      <c r="L2169" s="16" t="str">
        <f t="array" ref="L2169">CONCATENATE(_xlfn.XLOOKUP(C2169,Clientes[ID_Cliente],Clientes[Provincia]),", Argentina")</f>
        <v>Chaco, Argentina</v>
      </c>
      <c r="M2169" s="20" t="str">
        <f t="array" ref="M2169">_xlfn.XLOOKUP(F2169,Metodos_De_Pago[ID_Metodo],Metodos_De_Pago[Metodo])</f>
        <v>Efectivo</v>
      </c>
      <c r="N2169" s="20" t="str">
        <f t="shared" si="2"/>
        <v>2024 05</v>
      </c>
    </row>
    <row r="2170" ht="22.5" customHeight="1">
      <c r="A2170" s="12">
        <f>IFERROR(__xludf.DUMMYFUNCTION("""COMPUTED_VALUE"""),2485.0)</f>
        <v>2485</v>
      </c>
      <c r="B2170" s="13">
        <f>IFERROR(__xludf.DUMMYFUNCTION("""COMPUTED_VALUE"""),45421.0)</f>
        <v>45421</v>
      </c>
      <c r="C2170" s="12">
        <f>IFERROR(__xludf.DUMMYFUNCTION("""COMPUTED_VALUE"""),66.0)</f>
        <v>66</v>
      </c>
      <c r="D2170" s="12">
        <f>IFERROR(__xludf.DUMMYFUNCTION("""COMPUTED_VALUE"""),6.0)</f>
        <v>6</v>
      </c>
      <c r="E2170" s="12">
        <f>IFERROR(__xludf.DUMMYFUNCTION("""COMPUTED_VALUE"""),5.0)</f>
        <v>5</v>
      </c>
      <c r="F2170" s="12">
        <f>IFERROR(__xludf.DUMMYFUNCTION("""COMPUTED_VALUE"""),5.0)</f>
        <v>5</v>
      </c>
      <c r="G2170" s="15" t="str">
        <f>IFERROR(__xludf.DUMMYFUNCTION("""COMPUTED_VALUE"""),"Completa")</f>
        <v>Completa</v>
      </c>
      <c r="H2170" s="16" t="str">
        <f t="array" ref="H2170">_xlfn.XLOOKUP(D2170,Productos[ID_Producto],Productos[Nombre_Producto])</f>
        <v>Asado</v>
      </c>
      <c r="I2170" s="17">
        <f t="array" ref="I2170">_xlfn.XLOOKUP(D2170,Productos[ID_Producto],Productos[Precio_Unitario])</f>
        <v>28.56</v>
      </c>
      <c r="J2170" s="17">
        <f t="shared" si="1"/>
        <v>142.8</v>
      </c>
      <c r="K2170" s="16" t="str">
        <f t="array" ref="K2170">_xlfn.XLOOKUP(C2170,Clientes[ID_Cliente],Clientes[Provincia])</f>
        <v>Buenos Aires</v>
      </c>
      <c r="L2170" s="16" t="str">
        <f t="array" ref="L2170">CONCATENATE(_xlfn.XLOOKUP(C2170,Clientes[ID_Cliente],Clientes[Provincia]),", Argentina")</f>
        <v>Buenos Aires, Argentina</v>
      </c>
      <c r="M2170" s="20" t="str">
        <f t="array" ref="M2170">_xlfn.XLOOKUP(F2170,Metodos_De_Pago[ID_Metodo],Metodos_De_Pago[Metodo])</f>
        <v>Transferencia</v>
      </c>
      <c r="N2170" s="20" t="str">
        <f t="shared" si="2"/>
        <v>2024 05</v>
      </c>
    </row>
    <row r="2171" ht="22.5" customHeight="1">
      <c r="A2171" s="12">
        <f>IFERROR(__xludf.DUMMYFUNCTION("""COMPUTED_VALUE"""),1351.0)</f>
        <v>1351</v>
      </c>
      <c r="B2171" s="13">
        <f>IFERROR(__xludf.DUMMYFUNCTION("""COMPUTED_VALUE"""),45423.0)</f>
        <v>45423</v>
      </c>
      <c r="C2171" s="12">
        <f>IFERROR(__xludf.DUMMYFUNCTION("""COMPUTED_VALUE"""),222.0)</f>
        <v>222</v>
      </c>
      <c r="D2171" s="12">
        <f>IFERROR(__xludf.DUMMYFUNCTION("""COMPUTED_VALUE"""),4.0)</f>
        <v>4</v>
      </c>
      <c r="E2171" s="12">
        <f>IFERROR(__xludf.DUMMYFUNCTION("""COMPUTED_VALUE"""),5.0)</f>
        <v>5</v>
      </c>
      <c r="F2171" s="12">
        <f>IFERROR(__xludf.DUMMYFUNCTION("""COMPUTED_VALUE"""),5.0)</f>
        <v>5</v>
      </c>
      <c r="G2171" s="15" t="str">
        <f>IFERROR(__xludf.DUMMYFUNCTION("""COMPUTED_VALUE"""),"Completa")</f>
        <v>Completa</v>
      </c>
      <c r="H2171" s="16" t="str">
        <f t="array" ref="H2171">_xlfn.XLOOKUP(D2171,Productos[ID_Producto],Productos[Nombre_Producto])</f>
        <v>Queso rallado</v>
      </c>
      <c r="I2171" s="17">
        <f t="array" ref="I2171">_xlfn.XLOOKUP(D2171,Productos[ID_Producto],Productos[Precio_Unitario])</f>
        <v>19.23</v>
      </c>
      <c r="J2171" s="17">
        <f t="shared" si="1"/>
        <v>96.15</v>
      </c>
      <c r="K2171" s="16" t="str">
        <f t="array" ref="K2171">_xlfn.XLOOKUP(C2171,Clientes[ID_Cliente],Clientes[Provincia])</f>
        <v>Córdoba</v>
      </c>
      <c r="L2171" s="16" t="str">
        <f t="array" ref="L2171">CONCATENATE(_xlfn.XLOOKUP(C2171,Clientes[ID_Cliente],Clientes[Provincia]),", Argentina")</f>
        <v>Córdoba, Argentina</v>
      </c>
      <c r="M2171" s="20" t="str">
        <f t="array" ref="M2171">_xlfn.XLOOKUP(F2171,Metodos_De_Pago[ID_Metodo],Metodos_De_Pago[Metodo])</f>
        <v>Transferencia</v>
      </c>
      <c r="N2171" s="20" t="str">
        <f t="shared" si="2"/>
        <v>2024 05</v>
      </c>
    </row>
    <row r="2172" ht="22.5" customHeight="1">
      <c r="A2172" s="12">
        <f>IFERROR(__xludf.DUMMYFUNCTION("""COMPUTED_VALUE"""),1847.0)</f>
        <v>1847</v>
      </c>
      <c r="B2172" s="13">
        <f>IFERROR(__xludf.DUMMYFUNCTION("""COMPUTED_VALUE"""),45423.0)</f>
        <v>45423</v>
      </c>
      <c r="C2172" s="12">
        <f>IFERROR(__xludf.DUMMYFUNCTION("""COMPUTED_VALUE"""),56.0)</f>
        <v>56</v>
      </c>
      <c r="D2172" s="12">
        <f>IFERROR(__xludf.DUMMYFUNCTION("""COMPUTED_VALUE"""),18.0)</f>
        <v>18</v>
      </c>
      <c r="E2172" s="12">
        <f>IFERROR(__xludf.DUMMYFUNCTION("""COMPUTED_VALUE"""),5.0)</f>
        <v>5</v>
      </c>
      <c r="F2172" s="12">
        <f>IFERROR(__xludf.DUMMYFUNCTION("""COMPUTED_VALUE"""),4.0)</f>
        <v>4</v>
      </c>
      <c r="G2172" s="15" t="str">
        <f>IFERROR(__xludf.DUMMYFUNCTION("""COMPUTED_VALUE"""),"Pendiente")</f>
        <v>Pendiente</v>
      </c>
      <c r="H2172" s="16" t="str">
        <f t="array" ref="H2172">_xlfn.XLOOKUP(D2172,Productos[ID_Producto],Productos[Nombre_Producto])</f>
        <v>Bananas</v>
      </c>
      <c r="I2172" s="17">
        <f t="array" ref="I2172">_xlfn.XLOOKUP(D2172,Productos[ID_Producto],Productos[Precio_Unitario])</f>
        <v>7.25</v>
      </c>
      <c r="J2172" s="17">
        <f t="shared" si="1"/>
        <v>36.25</v>
      </c>
      <c r="K2172" s="16" t="str">
        <f t="array" ref="K2172">_xlfn.XLOOKUP(C2172,Clientes[ID_Cliente],Clientes[Provincia])</f>
        <v>Córdoba</v>
      </c>
      <c r="L2172" s="16" t="str">
        <f t="array" ref="L2172">CONCATENATE(_xlfn.XLOOKUP(C2172,Clientes[ID_Cliente],Clientes[Provincia]),", Argentina")</f>
        <v>Córdoba, Argentina</v>
      </c>
      <c r="M2172" s="20" t="str">
        <f t="array" ref="M2172">_xlfn.XLOOKUP(F2172,Metodos_De_Pago[ID_Metodo],Metodos_De_Pago[Metodo])</f>
        <v>Mercado Pago</v>
      </c>
      <c r="N2172" s="20" t="str">
        <f t="shared" si="2"/>
        <v>2024 05</v>
      </c>
    </row>
    <row r="2173" ht="22.5" customHeight="1">
      <c r="A2173" s="12">
        <f>IFERROR(__xludf.DUMMYFUNCTION("""COMPUTED_VALUE"""),2520.0)</f>
        <v>2520</v>
      </c>
      <c r="B2173" s="13">
        <f>IFERROR(__xludf.DUMMYFUNCTION("""COMPUTED_VALUE"""),45423.0)</f>
        <v>45423</v>
      </c>
      <c r="C2173" s="12">
        <f>IFERROR(__xludf.DUMMYFUNCTION("""COMPUTED_VALUE"""),103.0)</f>
        <v>103</v>
      </c>
      <c r="D2173" s="12">
        <f>IFERROR(__xludf.DUMMYFUNCTION("""COMPUTED_VALUE"""),10.0)</f>
        <v>10</v>
      </c>
      <c r="E2173" s="12">
        <f>IFERROR(__xludf.DUMMYFUNCTION("""COMPUTED_VALUE"""),5.0)</f>
        <v>5</v>
      </c>
      <c r="F2173" s="12">
        <f>IFERROR(__xludf.DUMMYFUNCTION("""COMPUTED_VALUE"""),5.0)</f>
        <v>5</v>
      </c>
      <c r="G2173" s="15" t="str">
        <f>IFERROR(__xludf.DUMMYFUNCTION("""COMPUTED_VALUE"""),"Completa")</f>
        <v>Completa</v>
      </c>
      <c r="H2173" s="16" t="str">
        <f t="array" ref="H2173">_xlfn.XLOOKUP(D2173,Productos[ID_Producto],Productos[Nombre_Producto])</f>
        <v>Costilla de cerdo</v>
      </c>
      <c r="I2173" s="17">
        <f t="array" ref="I2173">_xlfn.XLOOKUP(D2173,Productos[ID_Producto],Productos[Precio_Unitario])</f>
        <v>14.25</v>
      </c>
      <c r="J2173" s="17">
        <f t="shared" si="1"/>
        <v>71.25</v>
      </c>
      <c r="K2173" s="16" t="str">
        <f t="array" ref="K2173">_xlfn.XLOOKUP(C2173,Clientes[ID_Cliente],Clientes[Provincia])</f>
        <v>Neuquén</v>
      </c>
      <c r="L2173" s="16" t="str">
        <f t="array" ref="L2173">CONCATENATE(_xlfn.XLOOKUP(C2173,Clientes[ID_Cliente],Clientes[Provincia]),", Argentina")</f>
        <v>Neuquén, Argentina</v>
      </c>
      <c r="M2173" s="20" t="str">
        <f t="array" ref="M2173">_xlfn.XLOOKUP(F2173,Metodos_De_Pago[ID_Metodo],Metodos_De_Pago[Metodo])</f>
        <v>Transferencia</v>
      </c>
      <c r="N2173" s="20" t="str">
        <f t="shared" si="2"/>
        <v>2024 05</v>
      </c>
    </row>
    <row r="2174" ht="22.5" customHeight="1">
      <c r="A2174" s="12">
        <f>IFERROR(__xludf.DUMMYFUNCTION("""COMPUTED_VALUE"""),1923.0)</f>
        <v>1923</v>
      </c>
      <c r="B2174" s="13">
        <f>IFERROR(__xludf.DUMMYFUNCTION("""COMPUTED_VALUE"""),45424.0)</f>
        <v>45424</v>
      </c>
      <c r="C2174" s="12">
        <f>IFERROR(__xludf.DUMMYFUNCTION("""COMPUTED_VALUE"""),112.0)</f>
        <v>112</v>
      </c>
      <c r="D2174" s="12">
        <f>IFERROR(__xludf.DUMMYFUNCTION("""COMPUTED_VALUE"""),18.0)</f>
        <v>18</v>
      </c>
      <c r="E2174" s="12">
        <f>IFERROR(__xludf.DUMMYFUNCTION("""COMPUTED_VALUE"""),5.0)</f>
        <v>5</v>
      </c>
      <c r="F2174" s="12">
        <f>IFERROR(__xludf.DUMMYFUNCTION("""COMPUTED_VALUE"""),5.0)</f>
        <v>5</v>
      </c>
      <c r="G2174" s="15" t="str">
        <f>IFERROR(__xludf.DUMMYFUNCTION("""COMPUTED_VALUE"""),"Completa")</f>
        <v>Completa</v>
      </c>
      <c r="H2174" s="16" t="str">
        <f t="array" ref="H2174">_xlfn.XLOOKUP(D2174,Productos[ID_Producto],Productos[Nombre_Producto])</f>
        <v>Bananas</v>
      </c>
      <c r="I2174" s="17">
        <f t="array" ref="I2174">_xlfn.XLOOKUP(D2174,Productos[ID_Producto],Productos[Precio_Unitario])</f>
        <v>7.25</v>
      </c>
      <c r="J2174" s="17">
        <f t="shared" si="1"/>
        <v>36.25</v>
      </c>
      <c r="K2174" s="16" t="str">
        <f t="array" ref="K2174">_xlfn.XLOOKUP(C2174,Clientes[ID_Cliente],Clientes[Provincia])</f>
        <v>Chaco</v>
      </c>
      <c r="L2174" s="16" t="str">
        <f t="array" ref="L2174">CONCATENATE(_xlfn.XLOOKUP(C2174,Clientes[ID_Cliente],Clientes[Provincia]),", Argentina")</f>
        <v>Chaco, Argentina</v>
      </c>
      <c r="M2174" s="20" t="str">
        <f t="array" ref="M2174">_xlfn.XLOOKUP(F2174,Metodos_De_Pago[ID_Metodo],Metodos_De_Pago[Metodo])</f>
        <v>Transferencia</v>
      </c>
      <c r="N2174" s="20" t="str">
        <f t="shared" si="2"/>
        <v>2024 05</v>
      </c>
    </row>
    <row r="2175" ht="22.5" customHeight="1">
      <c r="A2175" s="12">
        <f>IFERROR(__xludf.DUMMYFUNCTION("""COMPUTED_VALUE"""),37.0)</f>
        <v>37</v>
      </c>
      <c r="B2175" s="13">
        <f>IFERROR(__xludf.DUMMYFUNCTION("""COMPUTED_VALUE"""),45426.0)</f>
        <v>45426</v>
      </c>
      <c r="C2175" s="12">
        <f>IFERROR(__xludf.DUMMYFUNCTION("""COMPUTED_VALUE"""),12.0)</f>
        <v>12</v>
      </c>
      <c r="D2175" s="12">
        <f>IFERROR(__xludf.DUMMYFUNCTION("""COMPUTED_VALUE"""),36.0)</f>
        <v>36</v>
      </c>
      <c r="E2175" s="12">
        <f>IFERROR(__xludf.DUMMYFUNCTION("""COMPUTED_VALUE"""),5.0)</f>
        <v>5</v>
      </c>
      <c r="F2175" s="12">
        <f>IFERROR(__xludf.DUMMYFUNCTION("""COMPUTED_VALUE"""),4.0)</f>
        <v>4</v>
      </c>
      <c r="G2175" s="15" t="str">
        <f>IFERROR(__xludf.DUMMYFUNCTION("""COMPUTED_VALUE"""),"Completa")</f>
        <v>Completa</v>
      </c>
      <c r="H2175" s="16" t="str">
        <f t="array" ref="H2175">_xlfn.XLOOKUP(D2175,Productos[ID_Producto],Productos[Nombre_Producto])</f>
        <v>Lentejas</v>
      </c>
      <c r="I2175" s="17">
        <f t="array" ref="I2175">_xlfn.XLOOKUP(D2175,Productos[ID_Producto],Productos[Precio_Unitario])</f>
        <v>3.25</v>
      </c>
      <c r="J2175" s="17">
        <f t="shared" si="1"/>
        <v>16.25</v>
      </c>
      <c r="K2175" s="16" t="str">
        <f t="array" ref="K2175">_xlfn.XLOOKUP(C2175,Clientes[ID_Cliente],Clientes[Provincia])</f>
        <v>Neuquén</v>
      </c>
      <c r="L2175" s="16" t="str">
        <f t="array" ref="L2175">CONCATENATE(_xlfn.XLOOKUP(C2175,Clientes[ID_Cliente],Clientes[Provincia]),", Argentina")</f>
        <v>Neuquén, Argentina</v>
      </c>
      <c r="M2175" s="20" t="str">
        <f t="array" ref="M2175">_xlfn.XLOOKUP(F2175,Metodos_De_Pago[ID_Metodo],Metodos_De_Pago[Metodo])</f>
        <v>Mercado Pago</v>
      </c>
      <c r="N2175" s="20" t="str">
        <f t="shared" si="2"/>
        <v>2024 05</v>
      </c>
    </row>
    <row r="2176" ht="22.5" customHeight="1">
      <c r="A2176" s="12">
        <f>IFERROR(__xludf.DUMMYFUNCTION("""COMPUTED_VALUE"""),1933.0)</f>
        <v>1933</v>
      </c>
      <c r="B2176" s="13">
        <f>IFERROR(__xludf.DUMMYFUNCTION("""COMPUTED_VALUE"""),45426.0)</f>
        <v>45426</v>
      </c>
      <c r="C2176" s="12">
        <f>IFERROR(__xludf.DUMMYFUNCTION("""COMPUTED_VALUE"""),314.0)</f>
        <v>314</v>
      </c>
      <c r="D2176" s="12">
        <f>IFERROR(__xludf.DUMMYFUNCTION("""COMPUTED_VALUE"""),12.0)</f>
        <v>12</v>
      </c>
      <c r="E2176" s="12">
        <f>IFERROR(__xludf.DUMMYFUNCTION("""COMPUTED_VALUE"""),5.0)</f>
        <v>5</v>
      </c>
      <c r="F2176" s="12">
        <f>IFERROR(__xludf.DUMMYFUNCTION("""COMPUTED_VALUE"""),3.0)</f>
        <v>3</v>
      </c>
      <c r="G2176" s="15" t="str">
        <f>IFERROR(__xludf.DUMMYFUNCTION("""COMPUTED_VALUE"""),"Completa")</f>
        <v>Completa</v>
      </c>
      <c r="H2176" s="16" t="str">
        <f t="array" ref="H2176">_xlfn.XLOOKUP(D2176,Productos[ID_Producto],Productos[Nombre_Producto])</f>
        <v>Pan francés</v>
      </c>
      <c r="I2176" s="17">
        <f t="array" ref="I2176">_xlfn.XLOOKUP(D2176,Productos[ID_Producto],Productos[Precio_Unitario])</f>
        <v>8.12</v>
      </c>
      <c r="J2176" s="17">
        <f t="shared" si="1"/>
        <v>40.6</v>
      </c>
      <c r="K2176" s="16" t="str">
        <f t="array" ref="K2176">_xlfn.XLOOKUP(C2176,Clientes[ID_Cliente],Clientes[Provincia])</f>
        <v>Neuquén</v>
      </c>
      <c r="L2176" s="16" t="str">
        <f t="array" ref="L2176">CONCATENATE(_xlfn.XLOOKUP(C2176,Clientes[ID_Cliente],Clientes[Provincia]),", Argentina")</f>
        <v>Neuquén, Argentina</v>
      </c>
      <c r="M2176" s="20" t="str">
        <f t="array" ref="M2176">_xlfn.XLOOKUP(F2176,Metodos_De_Pago[ID_Metodo],Metodos_De_Pago[Metodo])</f>
        <v>Tarjeta de Débito</v>
      </c>
      <c r="N2176" s="20" t="str">
        <f t="shared" si="2"/>
        <v>2024 05</v>
      </c>
    </row>
    <row r="2177" ht="22.5" customHeight="1">
      <c r="A2177" s="12">
        <f>IFERROR(__xludf.DUMMYFUNCTION("""COMPUTED_VALUE"""),505.0)</f>
        <v>505</v>
      </c>
      <c r="B2177" s="13">
        <f>IFERROR(__xludf.DUMMYFUNCTION("""COMPUTED_VALUE"""),45427.0)</f>
        <v>45427</v>
      </c>
      <c r="C2177" s="12">
        <f>IFERROR(__xludf.DUMMYFUNCTION("""COMPUTED_VALUE"""),316.0)</f>
        <v>316</v>
      </c>
      <c r="D2177" s="12">
        <f>IFERROR(__xludf.DUMMYFUNCTION("""COMPUTED_VALUE"""),38.0)</f>
        <v>38</v>
      </c>
      <c r="E2177" s="12">
        <f>IFERROR(__xludf.DUMMYFUNCTION("""COMPUTED_VALUE"""),5.0)</f>
        <v>5</v>
      </c>
      <c r="F2177" s="12">
        <f>IFERROR(__xludf.DUMMYFUNCTION("""COMPUTED_VALUE"""),4.0)</f>
        <v>4</v>
      </c>
      <c r="G2177" s="15" t="str">
        <f>IFERROR(__xludf.DUMMYFUNCTION("""COMPUTED_VALUE"""),"Completa")</f>
        <v>Completa</v>
      </c>
      <c r="H2177" s="16" t="str">
        <f t="array" ref="H2177">_xlfn.XLOOKUP(D2177,Productos[ID_Producto],Productos[Nombre_Producto])</f>
        <v>Atún enlatado</v>
      </c>
      <c r="I2177" s="17">
        <f t="array" ref="I2177">_xlfn.XLOOKUP(D2177,Productos[ID_Producto],Productos[Precio_Unitario])</f>
        <v>6.21</v>
      </c>
      <c r="J2177" s="17">
        <f t="shared" si="1"/>
        <v>31.05</v>
      </c>
      <c r="K2177" s="16" t="str">
        <f t="array" ref="K2177">_xlfn.XLOOKUP(C2177,Clientes[ID_Cliente],Clientes[Provincia])</f>
        <v>Córdoba</v>
      </c>
      <c r="L2177" s="16" t="str">
        <f t="array" ref="L2177">CONCATENATE(_xlfn.XLOOKUP(C2177,Clientes[ID_Cliente],Clientes[Provincia]),", Argentina")</f>
        <v>Córdoba, Argentina</v>
      </c>
      <c r="M2177" s="20" t="str">
        <f t="array" ref="M2177">_xlfn.XLOOKUP(F2177,Metodos_De_Pago[ID_Metodo],Metodos_De_Pago[Metodo])</f>
        <v>Mercado Pago</v>
      </c>
      <c r="N2177" s="20" t="str">
        <f t="shared" si="2"/>
        <v>2024 05</v>
      </c>
    </row>
    <row r="2178" ht="22.5" customHeight="1">
      <c r="A2178" s="12">
        <f>IFERROR(__xludf.DUMMYFUNCTION("""COMPUTED_VALUE"""),1860.0)</f>
        <v>1860</v>
      </c>
      <c r="B2178" s="13">
        <f>IFERROR(__xludf.DUMMYFUNCTION("""COMPUTED_VALUE"""),45427.0)</f>
        <v>45427</v>
      </c>
      <c r="C2178" s="12">
        <f>IFERROR(__xludf.DUMMYFUNCTION("""COMPUTED_VALUE"""),54.0)</f>
        <v>54</v>
      </c>
      <c r="D2178" s="12">
        <f>IFERROR(__xludf.DUMMYFUNCTION("""COMPUTED_VALUE"""),28.0)</f>
        <v>28</v>
      </c>
      <c r="E2178" s="12">
        <f>IFERROR(__xludf.DUMMYFUNCTION("""COMPUTED_VALUE"""),5.0)</f>
        <v>5</v>
      </c>
      <c r="F2178" s="12">
        <f>IFERROR(__xludf.DUMMYFUNCTION("""COMPUTED_VALUE"""),3.0)</f>
        <v>3</v>
      </c>
      <c r="G2178" s="15" t="str">
        <f>IFERROR(__xludf.DUMMYFUNCTION("""COMPUTED_VALUE"""),"Completa")</f>
        <v>Completa</v>
      </c>
      <c r="H2178" s="16" t="str">
        <f t="array" ref="H2178">_xlfn.XLOOKUP(D2178,Productos[ID_Producto],Productos[Nombre_Producto])</f>
        <v>Jugos de frutas</v>
      </c>
      <c r="I2178" s="17">
        <f t="array" ref="I2178">_xlfn.XLOOKUP(D2178,Productos[ID_Producto],Productos[Precio_Unitario])</f>
        <v>9.45</v>
      </c>
      <c r="J2178" s="17">
        <f t="shared" si="1"/>
        <v>47.25</v>
      </c>
      <c r="K2178" s="16" t="str">
        <f t="array" ref="K2178">_xlfn.XLOOKUP(C2178,Clientes[ID_Cliente],Clientes[Provincia])</f>
        <v>Buenos Aires</v>
      </c>
      <c r="L2178" s="16" t="str">
        <f t="array" ref="L2178">CONCATENATE(_xlfn.XLOOKUP(C2178,Clientes[ID_Cliente],Clientes[Provincia]),", Argentina")</f>
        <v>Buenos Aires, Argentina</v>
      </c>
      <c r="M2178" s="20" t="str">
        <f t="array" ref="M2178">_xlfn.XLOOKUP(F2178,Metodos_De_Pago[ID_Metodo],Metodos_De_Pago[Metodo])</f>
        <v>Tarjeta de Débito</v>
      </c>
      <c r="N2178" s="20" t="str">
        <f t="shared" si="2"/>
        <v>2024 05</v>
      </c>
    </row>
    <row r="2179" ht="22.5" customHeight="1">
      <c r="A2179" s="12">
        <f>IFERROR(__xludf.DUMMYFUNCTION("""COMPUTED_VALUE"""),1415.0)</f>
        <v>1415</v>
      </c>
      <c r="B2179" s="13">
        <f>IFERROR(__xludf.DUMMYFUNCTION("""COMPUTED_VALUE"""),45429.0)</f>
        <v>45429</v>
      </c>
      <c r="C2179" s="12">
        <f>IFERROR(__xludf.DUMMYFUNCTION("""COMPUTED_VALUE"""),119.0)</f>
        <v>119</v>
      </c>
      <c r="D2179" s="12">
        <f>IFERROR(__xludf.DUMMYFUNCTION("""COMPUTED_VALUE"""),8.0)</f>
        <v>8</v>
      </c>
      <c r="E2179" s="12">
        <f>IFERROR(__xludf.DUMMYFUNCTION("""COMPUTED_VALUE"""),5.0)</f>
        <v>5</v>
      </c>
      <c r="F2179" s="12">
        <f>IFERROR(__xludf.DUMMYFUNCTION("""COMPUTED_VALUE"""),4.0)</f>
        <v>4</v>
      </c>
      <c r="G2179" s="15" t="str">
        <f>IFERROR(__xludf.DUMMYFUNCTION("""COMPUTED_VALUE"""),"Completa")</f>
        <v>Completa</v>
      </c>
      <c r="H2179" s="16" t="str">
        <f t="array" ref="H2179">_xlfn.XLOOKUP(D2179,Productos[ID_Producto],Productos[Nombre_Producto])</f>
        <v>Milanesa</v>
      </c>
      <c r="I2179" s="17">
        <f t="array" ref="I2179">_xlfn.XLOOKUP(D2179,Productos[ID_Producto],Productos[Precio_Unitario])</f>
        <v>16.21</v>
      </c>
      <c r="J2179" s="17">
        <f t="shared" si="1"/>
        <v>81.05</v>
      </c>
      <c r="K2179" s="16" t="str">
        <f t="array" ref="K2179">_xlfn.XLOOKUP(C2179,Clientes[ID_Cliente],Clientes[Provincia])</f>
        <v>Neuquén</v>
      </c>
      <c r="L2179" s="16" t="str">
        <f t="array" ref="L2179">CONCATENATE(_xlfn.XLOOKUP(C2179,Clientes[ID_Cliente],Clientes[Provincia]),", Argentina")</f>
        <v>Neuquén, Argentina</v>
      </c>
      <c r="M2179" s="20" t="str">
        <f t="array" ref="M2179">_xlfn.XLOOKUP(F2179,Metodos_De_Pago[ID_Metodo],Metodos_De_Pago[Metodo])</f>
        <v>Mercado Pago</v>
      </c>
      <c r="N2179" s="20" t="str">
        <f t="shared" si="2"/>
        <v>2024 05</v>
      </c>
    </row>
    <row r="2180" ht="22.5" customHeight="1">
      <c r="A2180" s="12">
        <f>IFERROR(__xludf.DUMMYFUNCTION("""COMPUTED_VALUE"""),1569.0)</f>
        <v>1569</v>
      </c>
      <c r="B2180" s="13">
        <f>IFERROR(__xludf.DUMMYFUNCTION("""COMPUTED_VALUE"""),45429.0)</f>
        <v>45429</v>
      </c>
      <c r="C2180" s="12">
        <f>IFERROR(__xludf.DUMMYFUNCTION("""COMPUTED_VALUE"""),194.0)</f>
        <v>194</v>
      </c>
      <c r="D2180" s="12">
        <f>IFERROR(__xludf.DUMMYFUNCTION("""COMPUTED_VALUE"""),33.0)</f>
        <v>33</v>
      </c>
      <c r="E2180" s="12">
        <f>IFERROR(__xludf.DUMMYFUNCTION("""COMPUTED_VALUE"""),5.0)</f>
        <v>5</v>
      </c>
      <c r="F2180" s="12">
        <f>IFERROR(__xludf.DUMMYFUNCTION("""COMPUTED_VALUE"""),3.0)</f>
        <v>3</v>
      </c>
      <c r="G2180" s="15" t="str">
        <f>IFERROR(__xludf.DUMMYFUNCTION("""COMPUTED_VALUE"""),"Completa")</f>
        <v>Completa</v>
      </c>
      <c r="H2180" s="16" t="str">
        <f t="array" ref="H2180">_xlfn.XLOOKUP(D2180,Productos[ID_Producto],Productos[Nombre_Producto])</f>
        <v>Papas chips</v>
      </c>
      <c r="I2180" s="17">
        <f t="array" ref="I2180">_xlfn.XLOOKUP(D2180,Productos[ID_Producto],Productos[Precio_Unitario])</f>
        <v>8.54</v>
      </c>
      <c r="J2180" s="17">
        <f t="shared" si="1"/>
        <v>42.7</v>
      </c>
      <c r="K2180" s="16" t="str">
        <f t="array" ref="K2180">_xlfn.XLOOKUP(C2180,Clientes[ID_Cliente],Clientes[Provincia])</f>
        <v>Buenos Aires</v>
      </c>
      <c r="L2180" s="16" t="str">
        <f t="array" ref="L2180">CONCATENATE(_xlfn.XLOOKUP(C2180,Clientes[ID_Cliente],Clientes[Provincia]),", Argentina")</f>
        <v>Buenos Aires, Argentina</v>
      </c>
      <c r="M2180" s="20" t="str">
        <f t="array" ref="M2180">_xlfn.XLOOKUP(F2180,Metodos_De_Pago[ID_Metodo],Metodos_De_Pago[Metodo])</f>
        <v>Tarjeta de Débito</v>
      </c>
      <c r="N2180" s="20" t="str">
        <f t="shared" si="2"/>
        <v>2024 05</v>
      </c>
    </row>
    <row r="2181" ht="22.5" customHeight="1">
      <c r="A2181" s="12">
        <f>IFERROR(__xludf.DUMMYFUNCTION("""COMPUTED_VALUE"""),1838.0)</f>
        <v>1838</v>
      </c>
      <c r="B2181" s="13">
        <f>IFERROR(__xludf.DUMMYFUNCTION("""COMPUTED_VALUE"""),45431.0)</f>
        <v>45431</v>
      </c>
      <c r="C2181" s="12">
        <f>IFERROR(__xludf.DUMMYFUNCTION("""COMPUTED_VALUE"""),299.0)</f>
        <v>299</v>
      </c>
      <c r="D2181" s="12">
        <f>IFERROR(__xludf.DUMMYFUNCTION("""COMPUTED_VALUE"""),26.0)</f>
        <v>26</v>
      </c>
      <c r="E2181" s="12">
        <f>IFERROR(__xludf.DUMMYFUNCTION("""COMPUTED_VALUE"""),5.0)</f>
        <v>5</v>
      </c>
      <c r="F2181" s="12">
        <f>IFERROR(__xludf.DUMMYFUNCTION("""COMPUTED_VALUE"""),4.0)</f>
        <v>4</v>
      </c>
      <c r="G2181" s="15" t="str">
        <f>IFERROR(__xludf.DUMMYFUNCTION("""COMPUTED_VALUE"""),"Completa")</f>
        <v>Completa</v>
      </c>
      <c r="H2181" s="16" t="str">
        <f t="array" ref="H2181">_xlfn.XLOOKUP(D2181,Productos[ID_Producto],Productos[Nombre_Producto])</f>
        <v>Hamburgesas congeladas</v>
      </c>
      <c r="I2181" s="17">
        <f t="array" ref="I2181">_xlfn.XLOOKUP(D2181,Productos[ID_Producto],Productos[Precio_Unitario])</f>
        <v>9.54</v>
      </c>
      <c r="J2181" s="17">
        <f t="shared" si="1"/>
        <v>47.7</v>
      </c>
      <c r="K2181" s="16" t="str">
        <f t="array" ref="K2181">_xlfn.XLOOKUP(C2181,Clientes[ID_Cliente],Clientes[Provincia])</f>
        <v>San Luis</v>
      </c>
      <c r="L2181" s="16" t="str">
        <f t="array" ref="L2181">CONCATENATE(_xlfn.XLOOKUP(C2181,Clientes[ID_Cliente],Clientes[Provincia]),", Argentina")</f>
        <v>San Luis, Argentina</v>
      </c>
      <c r="M2181" s="20" t="str">
        <f t="array" ref="M2181">_xlfn.XLOOKUP(F2181,Metodos_De_Pago[ID_Metodo],Metodos_De_Pago[Metodo])</f>
        <v>Mercado Pago</v>
      </c>
      <c r="N2181" s="20" t="str">
        <f t="shared" si="2"/>
        <v>2024 05</v>
      </c>
    </row>
    <row r="2182" ht="22.5" customHeight="1">
      <c r="A2182" s="12">
        <f>IFERROR(__xludf.DUMMYFUNCTION("""COMPUTED_VALUE"""),380.0)</f>
        <v>380</v>
      </c>
      <c r="B2182" s="13">
        <f>IFERROR(__xludf.DUMMYFUNCTION("""COMPUTED_VALUE"""),45433.0)</f>
        <v>45433</v>
      </c>
      <c r="C2182" s="12">
        <f>IFERROR(__xludf.DUMMYFUNCTION("""COMPUTED_VALUE"""),24.0)</f>
        <v>24</v>
      </c>
      <c r="D2182" s="12">
        <f>IFERROR(__xludf.DUMMYFUNCTION("""COMPUTED_VALUE"""),5.0)</f>
        <v>5</v>
      </c>
      <c r="E2182" s="12">
        <f>IFERROR(__xludf.DUMMYFUNCTION("""COMPUTED_VALUE"""),5.0)</f>
        <v>5</v>
      </c>
      <c r="F2182" s="12">
        <f>IFERROR(__xludf.DUMMYFUNCTION("""COMPUTED_VALUE"""),4.0)</f>
        <v>4</v>
      </c>
      <c r="G2182" s="15" t="str">
        <f>IFERROR(__xludf.DUMMYFUNCTION("""COMPUTED_VALUE"""),"Pendiente")</f>
        <v>Pendiente</v>
      </c>
      <c r="H2182" s="16" t="str">
        <f t="array" ref="H2182">_xlfn.XLOOKUP(D2182,Productos[ID_Producto],Productos[Nombre_Producto])</f>
        <v>Manteca</v>
      </c>
      <c r="I2182" s="17">
        <f t="array" ref="I2182">_xlfn.XLOOKUP(D2182,Productos[ID_Producto],Productos[Precio_Unitario])</f>
        <v>5.65</v>
      </c>
      <c r="J2182" s="17">
        <f t="shared" si="1"/>
        <v>28.25</v>
      </c>
      <c r="K2182" s="16" t="str">
        <f t="array" ref="K2182">_xlfn.XLOOKUP(C2182,Clientes[ID_Cliente],Clientes[Provincia])</f>
        <v>San Luis</v>
      </c>
      <c r="L2182" s="16" t="str">
        <f t="array" ref="L2182">CONCATENATE(_xlfn.XLOOKUP(C2182,Clientes[ID_Cliente],Clientes[Provincia]),", Argentina")</f>
        <v>San Luis, Argentina</v>
      </c>
      <c r="M2182" s="20" t="str">
        <f t="array" ref="M2182">_xlfn.XLOOKUP(F2182,Metodos_De_Pago[ID_Metodo],Metodos_De_Pago[Metodo])</f>
        <v>Mercado Pago</v>
      </c>
      <c r="N2182" s="20" t="str">
        <f t="shared" si="2"/>
        <v>2024 05</v>
      </c>
    </row>
    <row r="2183" ht="22.5" customHeight="1">
      <c r="A2183" s="12">
        <f>IFERROR(__xludf.DUMMYFUNCTION("""COMPUTED_VALUE"""),1448.0)</f>
        <v>1448</v>
      </c>
      <c r="B2183" s="13">
        <f>IFERROR(__xludf.DUMMYFUNCTION("""COMPUTED_VALUE"""),45433.0)</f>
        <v>45433</v>
      </c>
      <c r="C2183" s="12">
        <f>IFERROR(__xludf.DUMMYFUNCTION("""COMPUTED_VALUE"""),289.0)</f>
        <v>289</v>
      </c>
      <c r="D2183" s="12">
        <f>IFERROR(__xludf.DUMMYFUNCTION("""COMPUTED_VALUE"""),26.0)</f>
        <v>26</v>
      </c>
      <c r="E2183" s="12">
        <f>IFERROR(__xludf.DUMMYFUNCTION("""COMPUTED_VALUE"""),5.0)</f>
        <v>5</v>
      </c>
      <c r="F2183" s="12">
        <f>IFERROR(__xludf.DUMMYFUNCTION("""COMPUTED_VALUE"""),5.0)</f>
        <v>5</v>
      </c>
      <c r="G2183" s="15" t="str">
        <f>IFERROR(__xludf.DUMMYFUNCTION("""COMPUTED_VALUE"""),"Completa")</f>
        <v>Completa</v>
      </c>
      <c r="H2183" s="16" t="str">
        <f t="array" ref="H2183">_xlfn.XLOOKUP(D2183,Productos[ID_Producto],Productos[Nombre_Producto])</f>
        <v>Hamburgesas congeladas</v>
      </c>
      <c r="I2183" s="17">
        <f t="array" ref="I2183">_xlfn.XLOOKUP(D2183,Productos[ID_Producto],Productos[Precio_Unitario])</f>
        <v>9.54</v>
      </c>
      <c r="J2183" s="17">
        <f t="shared" si="1"/>
        <v>47.7</v>
      </c>
      <c r="K2183" s="16" t="str">
        <f t="array" ref="K2183">_xlfn.XLOOKUP(C2183,Clientes[ID_Cliente],Clientes[Provincia])</f>
        <v>San Luis</v>
      </c>
      <c r="L2183" s="16" t="str">
        <f t="array" ref="L2183">CONCATENATE(_xlfn.XLOOKUP(C2183,Clientes[ID_Cliente],Clientes[Provincia]),", Argentina")</f>
        <v>San Luis, Argentina</v>
      </c>
      <c r="M2183" s="20" t="str">
        <f t="array" ref="M2183">_xlfn.XLOOKUP(F2183,Metodos_De_Pago[ID_Metodo],Metodos_De_Pago[Metodo])</f>
        <v>Transferencia</v>
      </c>
      <c r="N2183" s="20" t="str">
        <f t="shared" si="2"/>
        <v>2024 05</v>
      </c>
    </row>
    <row r="2184" ht="22.5" customHeight="1">
      <c r="A2184" s="12">
        <f>IFERROR(__xludf.DUMMYFUNCTION("""COMPUTED_VALUE"""),1888.0)</f>
        <v>1888</v>
      </c>
      <c r="B2184" s="13">
        <f>IFERROR(__xludf.DUMMYFUNCTION("""COMPUTED_VALUE"""),45433.0)</f>
        <v>45433</v>
      </c>
      <c r="C2184" s="12">
        <f>IFERROR(__xludf.DUMMYFUNCTION("""COMPUTED_VALUE"""),281.0)</f>
        <v>281</v>
      </c>
      <c r="D2184" s="12">
        <f>IFERROR(__xludf.DUMMYFUNCTION("""COMPUTED_VALUE"""),32.0)</f>
        <v>32</v>
      </c>
      <c r="E2184" s="12">
        <f>IFERROR(__xludf.DUMMYFUNCTION("""COMPUTED_VALUE"""),5.0)</f>
        <v>5</v>
      </c>
      <c r="F2184" s="12">
        <f>IFERROR(__xludf.DUMMYFUNCTION("""COMPUTED_VALUE"""),3.0)</f>
        <v>3</v>
      </c>
      <c r="G2184" s="15" t="str">
        <f>IFERROR(__xludf.DUMMYFUNCTION("""COMPUTED_VALUE"""),"Completa")</f>
        <v>Completa</v>
      </c>
      <c r="H2184" s="16" t="str">
        <f t="array" ref="H2184">_xlfn.XLOOKUP(D2184,Productos[ID_Producto],Productos[Nombre_Producto])</f>
        <v>Galletitas de chocolate</v>
      </c>
      <c r="I2184" s="17">
        <f t="array" ref="I2184">_xlfn.XLOOKUP(D2184,Productos[ID_Producto],Productos[Precio_Unitario])</f>
        <v>6.25</v>
      </c>
      <c r="J2184" s="17">
        <f t="shared" si="1"/>
        <v>31.25</v>
      </c>
      <c r="K2184" s="16" t="str">
        <f t="array" ref="K2184">_xlfn.XLOOKUP(C2184,Clientes[ID_Cliente],Clientes[Provincia])</f>
        <v>Buenos Aires</v>
      </c>
      <c r="L2184" s="16" t="str">
        <f t="array" ref="L2184">CONCATENATE(_xlfn.XLOOKUP(C2184,Clientes[ID_Cliente],Clientes[Provincia]),", Argentina")</f>
        <v>Buenos Aires, Argentina</v>
      </c>
      <c r="M2184" s="20" t="str">
        <f t="array" ref="M2184">_xlfn.XLOOKUP(F2184,Metodos_De_Pago[ID_Metodo],Metodos_De_Pago[Metodo])</f>
        <v>Tarjeta de Débito</v>
      </c>
      <c r="N2184" s="20" t="str">
        <f t="shared" si="2"/>
        <v>2024 05</v>
      </c>
    </row>
    <row r="2185" ht="22.5" customHeight="1">
      <c r="A2185" s="12">
        <f>IFERROR(__xludf.DUMMYFUNCTION("""COMPUTED_VALUE"""),2712.0)</f>
        <v>2712</v>
      </c>
      <c r="B2185" s="13">
        <f>IFERROR(__xludf.DUMMYFUNCTION("""COMPUTED_VALUE"""),45433.0)</f>
        <v>45433</v>
      </c>
      <c r="C2185" s="12">
        <f>IFERROR(__xludf.DUMMYFUNCTION("""COMPUTED_VALUE"""),303.0)</f>
        <v>303</v>
      </c>
      <c r="D2185" s="12">
        <f>IFERROR(__xludf.DUMMYFUNCTION("""COMPUTED_VALUE"""),30.0)</f>
        <v>30</v>
      </c>
      <c r="E2185" s="12">
        <f>IFERROR(__xludf.DUMMYFUNCTION("""COMPUTED_VALUE"""),5.0)</f>
        <v>5</v>
      </c>
      <c r="F2185" s="12">
        <f>IFERROR(__xludf.DUMMYFUNCTION("""COMPUTED_VALUE"""),1.0)</f>
        <v>1</v>
      </c>
      <c r="G2185" s="15" t="str">
        <f>IFERROR(__xludf.DUMMYFUNCTION("""COMPUTED_VALUE"""),"Completa")</f>
        <v>Completa</v>
      </c>
      <c r="H2185" s="16" t="str">
        <f t="array" ref="H2185">_xlfn.XLOOKUP(D2185,Productos[ID_Producto],Productos[Nombre_Producto])</f>
        <v>Vino tinto</v>
      </c>
      <c r="I2185" s="17">
        <f t="array" ref="I2185">_xlfn.XLOOKUP(D2185,Productos[ID_Producto],Productos[Precio_Unitario])</f>
        <v>13.54</v>
      </c>
      <c r="J2185" s="17">
        <f t="shared" si="1"/>
        <v>67.7</v>
      </c>
      <c r="K2185" s="16" t="str">
        <f t="array" ref="K2185">_xlfn.XLOOKUP(C2185,Clientes[ID_Cliente],Clientes[Provincia])</f>
        <v>Córdoba</v>
      </c>
      <c r="L2185" s="16" t="str">
        <f t="array" ref="L2185">CONCATENATE(_xlfn.XLOOKUP(C2185,Clientes[ID_Cliente],Clientes[Provincia]),", Argentina")</f>
        <v>Córdoba, Argentina</v>
      </c>
      <c r="M2185" s="20" t="str">
        <f t="array" ref="M2185">_xlfn.XLOOKUP(F2185,Metodos_De_Pago[ID_Metodo],Metodos_De_Pago[Metodo])</f>
        <v>Efectivo</v>
      </c>
      <c r="N2185" s="20" t="str">
        <f t="shared" si="2"/>
        <v>2024 05</v>
      </c>
    </row>
    <row r="2186" ht="22.5" customHeight="1">
      <c r="A2186" s="12">
        <f>IFERROR(__xludf.DUMMYFUNCTION("""COMPUTED_VALUE"""),281.0)</f>
        <v>281</v>
      </c>
      <c r="B2186" s="13">
        <f>IFERROR(__xludf.DUMMYFUNCTION("""COMPUTED_VALUE"""),45436.0)</f>
        <v>45436</v>
      </c>
      <c r="C2186" s="12">
        <f>IFERROR(__xludf.DUMMYFUNCTION("""COMPUTED_VALUE"""),2.0)</f>
        <v>2</v>
      </c>
      <c r="D2186" s="12">
        <f>IFERROR(__xludf.DUMMYFUNCTION("""COMPUTED_VALUE"""),5.0)</f>
        <v>5</v>
      </c>
      <c r="E2186" s="12">
        <f>IFERROR(__xludf.DUMMYFUNCTION("""COMPUTED_VALUE"""),5.0)</f>
        <v>5</v>
      </c>
      <c r="F2186" s="12">
        <f>IFERROR(__xludf.DUMMYFUNCTION("""COMPUTED_VALUE"""),4.0)</f>
        <v>4</v>
      </c>
      <c r="G2186" s="15" t="str">
        <f>IFERROR(__xludf.DUMMYFUNCTION("""COMPUTED_VALUE"""),"Pendiente")</f>
        <v>Pendiente</v>
      </c>
      <c r="H2186" s="16" t="str">
        <f t="array" ref="H2186">_xlfn.XLOOKUP(D2186,Productos[ID_Producto],Productos[Nombre_Producto])</f>
        <v>Manteca</v>
      </c>
      <c r="I2186" s="17">
        <f t="array" ref="I2186">_xlfn.XLOOKUP(D2186,Productos[ID_Producto],Productos[Precio_Unitario])</f>
        <v>5.65</v>
      </c>
      <c r="J2186" s="17">
        <f t="shared" si="1"/>
        <v>28.25</v>
      </c>
      <c r="K2186" s="16" t="str">
        <f t="array" ref="K2186">_xlfn.XLOOKUP(C2186,Clientes[ID_Cliente],Clientes[Provincia])</f>
        <v>Neuquén</v>
      </c>
      <c r="L2186" s="16" t="str">
        <f t="array" ref="L2186">CONCATENATE(_xlfn.XLOOKUP(C2186,Clientes[ID_Cliente],Clientes[Provincia]),", Argentina")</f>
        <v>Neuquén, Argentina</v>
      </c>
      <c r="M2186" s="20" t="str">
        <f t="array" ref="M2186">_xlfn.XLOOKUP(F2186,Metodos_De_Pago[ID_Metodo],Metodos_De_Pago[Metodo])</f>
        <v>Mercado Pago</v>
      </c>
      <c r="N2186" s="20" t="str">
        <f t="shared" si="2"/>
        <v>2024 05</v>
      </c>
    </row>
    <row r="2187" ht="22.5" customHeight="1">
      <c r="A2187" s="12">
        <f>IFERROR(__xludf.DUMMYFUNCTION("""COMPUTED_VALUE"""),1350.0)</f>
        <v>1350</v>
      </c>
      <c r="B2187" s="13">
        <f>IFERROR(__xludf.DUMMYFUNCTION("""COMPUTED_VALUE"""),45436.0)</f>
        <v>45436</v>
      </c>
      <c r="C2187" s="12">
        <f>IFERROR(__xludf.DUMMYFUNCTION("""COMPUTED_VALUE"""),248.0)</f>
        <v>248</v>
      </c>
      <c r="D2187" s="12">
        <f>IFERROR(__xludf.DUMMYFUNCTION("""COMPUTED_VALUE"""),26.0)</f>
        <v>26</v>
      </c>
      <c r="E2187" s="12">
        <f>IFERROR(__xludf.DUMMYFUNCTION("""COMPUTED_VALUE"""),5.0)</f>
        <v>5</v>
      </c>
      <c r="F2187" s="12">
        <f>IFERROR(__xludf.DUMMYFUNCTION("""COMPUTED_VALUE"""),3.0)</f>
        <v>3</v>
      </c>
      <c r="G2187" s="15" t="str">
        <f>IFERROR(__xludf.DUMMYFUNCTION("""COMPUTED_VALUE"""),"Completa")</f>
        <v>Completa</v>
      </c>
      <c r="H2187" s="16" t="str">
        <f t="array" ref="H2187">_xlfn.XLOOKUP(D2187,Productos[ID_Producto],Productos[Nombre_Producto])</f>
        <v>Hamburgesas congeladas</v>
      </c>
      <c r="I2187" s="17">
        <f t="array" ref="I2187">_xlfn.XLOOKUP(D2187,Productos[ID_Producto],Productos[Precio_Unitario])</f>
        <v>9.54</v>
      </c>
      <c r="J2187" s="17">
        <f t="shared" si="1"/>
        <v>47.7</v>
      </c>
      <c r="K2187" s="16" t="str">
        <f t="array" ref="K2187">_xlfn.XLOOKUP(C2187,Clientes[ID_Cliente],Clientes[Provincia])</f>
        <v>Córdoba</v>
      </c>
      <c r="L2187" s="16" t="str">
        <f t="array" ref="L2187">CONCATENATE(_xlfn.XLOOKUP(C2187,Clientes[ID_Cliente],Clientes[Provincia]),", Argentina")</f>
        <v>Córdoba, Argentina</v>
      </c>
      <c r="M2187" s="20" t="str">
        <f t="array" ref="M2187">_xlfn.XLOOKUP(F2187,Metodos_De_Pago[ID_Metodo],Metodos_De_Pago[Metodo])</f>
        <v>Tarjeta de Débito</v>
      </c>
      <c r="N2187" s="20" t="str">
        <f t="shared" si="2"/>
        <v>2024 05</v>
      </c>
    </row>
    <row r="2188" ht="22.5" customHeight="1">
      <c r="A2188" s="12">
        <f>IFERROR(__xludf.DUMMYFUNCTION("""COMPUTED_VALUE"""),2384.0)</f>
        <v>2384</v>
      </c>
      <c r="B2188" s="13">
        <f>IFERROR(__xludf.DUMMYFUNCTION("""COMPUTED_VALUE"""),45436.0)</f>
        <v>45436</v>
      </c>
      <c r="C2188" s="12">
        <f>IFERROR(__xludf.DUMMYFUNCTION("""COMPUTED_VALUE"""),238.0)</f>
        <v>238</v>
      </c>
      <c r="D2188" s="12">
        <f>IFERROR(__xludf.DUMMYFUNCTION("""COMPUTED_VALUE"""),16.0)</f>
        <v>16</v>
      </c>
      <c r="E2188" s="12">
        <f>IFERROR(__xludf.DUMMYFUNCTION("""COMPUTED_VALUE"""),5.0)</f>
        <v>5</v>
      </c>
      <c r="F2188" s="12">
        <f>IFERROR(__xludf.DUMMYFUNCTION("""COMPUTED_VALUE"""),1.0)</f>
        <v>1</v>
      </c>
      <c r="G2188" s="15" t="str">
        <f>IFERROR(__xludf.DUMMYFUNCTION("""COMPUTED_VALUE"""),"Completa")</f>
        <v>Completa</v>
      </c>
      <c r="H2188" s="16" t="str">
        <f t="array" ref="H2188">_xlfn.XLOOKUP(D2188,Productos[ID_Producto],Productos[Nombre_Producto])</f>
        <v>Tortas</v>
      </c>
      <c r="I2188" s="17">
        <f t="array" ref="I2188">_xlfn.XLOOKUP(D2188,Productos[ID_Producto],Productos[Precio_Unitario])</f>
        <v>15.23</v>
      </c>
      <c r="J2188" s="17">
        <f t="shared" si="1"/>
        <v>76.15</v>
      </c>
      <c r="K2188" s="16" t="str">
        <f t="array" ref="K2188">_xlfn.XLOOKUP(C2188,Clientes[ID_Cliente],Clientes[Provincia])</f>
        <v>Buenos Aires</v>
      </c>
      <c r="L2188" s="16" t="str">
        <f t="array" ref="L2188">CONCATENATE(_xlfn.XLOOKUP(C2188,Clientes[ID_Cliente],Clientes[Provincia]),", Argentina")</f>
        <v>Buenos Aires, Argentina</v>
      </c>
      <c r="M2188" s="20" t="str">
        <f t="array" ref="M2188">_xlfn.XLOOKUP(F2188,Metodos_De_Pago[ID_Metodo],Metodos_De_Pago[Metodo])</f>
        <v>Efectivo</v>
      </c>
      <c r="N2188" s="20" t="str">
        <f t="shared" si="2"/>
        <v>2024 05</v>
      </c>
    </row>
    <row r="2189" ht="22.5" customHeight="1">
      <c r="A2189" s="12">
        <f>IFERROR(__xludf.DUMMYFUNCTION("""COMPUTED_VALUE"""),2448.0)</f>
        <v>2448</v>
      </c>
      <c r="B2189" s="13">
        <f>IFERROR(__xludf.DUMMYFUNCTION("""COMPUTED_VALUE"""),45436.0)</f>
        <v>45436</v>
      </c>
      <c r="C2189" s="12">
        <f>IFERROR(__xludf.DUMMYFUNCTION("""COMPUTED_VALUE"""),242.0)</f>
        <v>242</v>
      </c>
      <c r="D2189" s="12">
        <f>IFERROR(__xludf.DUMMYFUNCTION("""COMPUTED_VALUE"""),37.0)</f>
        <v>37</v>
      </c>
      <c r="E2189" s="12">
        <f>IFERROR(__xludf.DUMMYFUNCTION("""COMPUTED_VALUE"""),5.0)</f>
        <v>5</v>
      </c>
      <c r="F2189" s="12">
        <f>IFERROR(__xludf.DUMMYFUNCTION("""COMPUTED_VALUE"""),1.0)</f>
        <v>1</v>
      </c>
      <c r="G2189" s="15" t="str">
        <f>IFERROR(__xludf.DUMMYFUNCTION("""COMPUTED_VALUE"""),"Pendiente")</f>
        <v>Pendiente</v>
      </c>
      <c r="H2189" s="16" t="str">
        <f t="array" ref="H2189">_xlfn.XLOOKUP(D2189,Productos[ID_Producto],Productos[Nombre_Producto])</f>
        <v>Garbanzos</v>
      </c>
      <c r="I2189" s="17">
        <f t="array" ref="I2189">_xlfn.XLOOKUP(D2189,Productos[ID_Producto],Productos[Precio_Unitario])</f>
        <v>3.65</v>
      </c>
      <c r="J2189" s="17">
        <f t="shared" si="1"/>
        <v>18.25</v>
      </c>
      <c r="K2189" s="16" t="str">
        <f t="array" ref="K2189">_xlfn.XLOOKUP(C2189,Clientes[ID_Cliente],Clientes[Provincia])</f>
        <v>Chaco</v>
      </c>
      <c r="L2189" s="16" t="str">
        <f t="array" ref="L2189">CONCATENATE(_xlfn.XLOOKUP(C2189,Clientes[ID_Cliente],Clientes[Provincia]),", Argentina")</f>
        <v>Chaco, Argentina</v>
      </c>
      <c r="M2189" s="20" t="str">
        <f t="array" ref="M2189">_xlfn.XLOOKUP(F2189,Metodos_De_Pago[ID_Metodo],Metodos_De_Pago[Metodo])</f>
        <v>Efectivo</v>
      </c>
      <c r="N2189" s="20" t="str">
        <f t="shared" si="2"/>
        <v>2024 05</v>
      </c>
    </row>
    <row r="2190" ht="22.5" customHeight="1">
      <c r="A2190" s="12">
        <f>IFERROR(__xludf.DUMMYFUNCTION("""COMPUTED_VALUE"""),1141.0)</f>
        <v>1141</v>
      </c>
      <c r="B2190" s="13">
        <f>IFERROR(__xludf.DUMMYFUNCTION("""COMPUTED_VALUE"""),45437.0)</f>
        <v>45437</v>
      </c>
      <c r="C2190" s="12">
        <f>IFERROR(__xludf.DUMMYFUNCTION("""COMPUTED_VALUE"""),56.0)</f>
        <v>56</v>
      </c>
      <c r="D2190" s="12">
        <f>IFERROR(__xludf.DUMMYFUNCTION("""COMPUTED_VALUE"""),22.0)</f>
        <v>22</v>
      </c>
      <c r="E2190" s="12">
        <f>IFERROR(__xludf.DUMMYFUNCTION("""COMPUTED_VALUE"""),5.0)</f>
        <v>5</v>
      </c>
      <c r="F2190" s="12">
        <f>IFERROR(__xludf.DUMMYFUNCTION("""COMPUTED_VALUE"""),4.0)</f>
        <v>4</v>
      </c>
      <c r="G2190" s="15" t="str">
        <f>IFERROR(__xludf.DUMMYFUNCTION("""COMPUTED_VALUE"""),"Pendiente")</f>
        <v>Pendiente</v>
      </c>
      <c r="H2190" s="16" t="str">
        <f t="array" ref="H2190">_xlfn.XLOOKUP(D2190,Productos[ID_Producto],Productos[Nombre_Producto])</f>
        <v>Cebolla</v>
      </c>
      <c r="I2190" s="17">
        <f t="array" ref="I2190">_xlfn.XLOOKUP(D2190,Productos[ID_Producto],Productos[Precio_Unitario])</f>
        <v>4.21</v>
      </c>
      <c r="J2190" s="17">
        <f t="shared" si="1"/>
        <v>21.05</v>
      </c>
      <c r="K2190" s="16" t="str">
        <f t="array" ref="K2190">_xlfn.XLOOKUP(C2190,Clientes[ID_Cliente],Clientes[Provincia])</f>
        <v>Córdoba</v>
      </c>
      <c r="L2190" s="16" t="str">
        <f t="array" ref="L2190">CONCATENATE(_xlfn.XLOOKUP(C2190,Clientes[ID_Cliente],Clientes[Provincia]),", Argentina")</f>
        <v>Córdoba, Argentina</v>
      </c>
      <c r="M2190" s="20" t="str">
        <f t="array" ref="M2190">_xlfn.XLOOKUP(F2190,Metodos_De_Pago[ID_Metodo],Metodos_De_Pago[Metodo])</f>
        <v>Mercado Pago</v>
      </c>
      <c r="N2190" s="20" t="str">
        <f t="shared" si="2"/>
        <v>2024 05</v>
      </c>
    </row>
    <row r="2191" ht="22.5" customHeight="1">
      <c r="A2191" s="12">
        <f>IFERROR(__xludf.DUMMYFUNCTION("""COMPUTED_VALUE"""),2441.0)</f>
        <v>2441</v>
      </c>
      <c r="B2191" s="13">
        <f>IFERROR(__xludf.DUMMYFUNCTION("""COMPUTED_VALUE"""),45438.0)</f>
        <v>45438</v>
      </c>
      <c r="C2191" s="12">
        <f>IFERROR(__xludf.DUMMYFUNCTION("""COMPUTED_VALUE"""),205.0)</f>
        <v>205</v>
      </c>
      <c r="D2191" s="12">
        <f>IFERROR(__xludf.DUMMYFUNCTION("""COMPUTED_VALUE"""),23.0)</f>
        <v>23</v>
      </c>
      <c r="E2191" s="12">
        <f>IFERROR(__xludf.DUMMYFUNCTION("""COMPUTED_VALUE"""),5.0)</f>
        <v>5</v>
      </c>
      <c r="F2191" s="12">
        <f>IFERROR(__xludf.DUMMYFUNCTION("""COMPUTED_VALUE"""),4.0)</f>
        <v>4</v>
      </c>
      <c r="G2191" s="15" t="str">
        <f>IFERROR(__xludf.DUMMYFUNCTION("""COMPUTED_VALUE"""),"Pendiente")</f>
        <v>Pendiente</v>
      </c>
      <c r="H2191" s="16" t="str">
        <f t="array" ref="H2191">_xlfn.XLOOKUP(D2191,Productos[ID_Producto],Productos[Nombre_Producto])</f>
        <v>Papas fritas</v>
      </c>
      <c r="I2191" s="17">
        <f t="array" ref="I2191">_xlfn.XLOOKUP(D2191,Productos[ID_Producto],Productos[Precio_Unitario])</f>
        <v>8.23</v>
      </c>
      <c r="J2191" s="17">
        <f t="shared" si="1"/>
        <v>41.15</v>
      </c>
      <c r="K2191" s="16" t="str">
        <f t="array" ref="K2191">_xlfn.XLOOKUP(C2191,Clientes[ID_Cliente],Clientes[Provincia])</f>
        <v>Neuquén</v>
      </c>
      <c r="L2191" s="16" t="str">
        <f t="array" ref="L2191">CONCATENATE(_xlfn.XLOOKUP(C2191,Clientes[ID_Cliente],Clientes[Provincia]),", Argentina")</f>
        <v>Neuquén, Argentina</v>
      </c>
      <c r="M2191" s="20" t="str">
        <f t="array" ref="M2191">_xlfn.XLOOKUP(F2191,Metodos_De_Pago[ID_Metodo],Metodos_De_Pago[Metodo])</f>
        <v>Mercado Pago</v>
      </c>
      <c r="N2191" s="20" t="str">
        <f t="shared" si="2"/>
        <v>2024 05</v>
      </c>
    </row>
    <row r="2192" ht="22.5" customHeight="1">
      <c r="A2192" s="12">
        <f>IFERROR(__xludf.DUMMYFUNCTION("""COMPUTED_VALUE"""),1066.0)</f>
        <v>1066</v>
      </c>
      <c r="B2192" s="13">
        <f>IFERROR(__xludf.DUMMYFUNCTION("""COMPUTED_VALUE"""),45440.0)</f>
        <v>45440</v>
      </c>
      <c r="C2192" s="12">
        <f>IFERROR(__xludf.DUMMYFUNCTION("""COMPUTED_VALUE"""),182.0)</f>
        <v>182</v>
      </c>
      <c r="D2192" s="12">
        <f>IFERROR(__xludf.DUMMYFUNCTION("""COMPUTED_VALUE"""),29.0)</f>
        <v>29</v>
      </c>
      <c r="E2192" s="12">
        <f>IFERROR(__xludf.DUMMYFUNCTION("""COMPUTED_VALUE"""),5.0)</f>
        <v>5</v>
      </c>
      <c r="F2192" s="12">
        <f>IFERROR(__xludf.DUMMYFUNCTION("""COMPUTED_VALUE"""),1.0)</f>
        <v>1</v>
      </c>
      <c r="G2192" s="15" t="str">
        <f>IFERROR(__xludf.DUMMYFUNCTION("""COMPUTED_VALUE"""),"Completa")</f>
        <v>Completa</v>
      </c>
      <c r="H2192" s="16" t="str">
        <f t="array" ref="H2192">_xlfn.XLOOKUP(D2192,Productos[ID_Producto],Productos[Nombre_Producto])</f>
        <v>Cerveza</v>
      </c>
      <c r="I2192" s="17">
        <f t="array" ref="I2192">_xlfn.XLOOKUP(D2192,Productos[ID_Producto],Productos[Precio_Unitario])</f>
        <v>11.54</v>
      </c>
      <c r="J2192" s="17">
        <f t="shared" si="1"/>
        <v>57.7</v>
      </c>
      <c r="K2192" s="16" t="str">
        <f t="array" ref="K2192">_xlfn.XLOOKUP(C2192,Clientes[ID_Cliente],Clientes[Provincia])</f>
        <v>Córdoba</v>
      </c>
      <c r="L2192" s="16" t="str">
        <f t="array" ref="L2192">CONCATENATE(_xlfn.XLOOKUP(C2192,Clientes[ID_Cliente],Clientes[Provincia]),", Argentina")</f>
        <v>Córdoba, Argentina</v>
      </c>
      <c r="M2192" s="20" t="str">
        <f t="array" ref="M2192">_xlfn.XLOOKUP(F2192,Metodos_De_Pago[ID_Metodo],Metodos_De_Pago[Metodo])</f>
        <v>Efectivo</v>
      </c>
      <c r="N2192" s="20" t="str">
        <f t="shared" si="2"/>
        <v>2024 05</v>
      </c>
    </row>
    <row r="2193" ht="22.5" customHeight="1">
      <c r="A2193" s="12">
        <f>IFERROR(__xludf.DUMMYFUNCTION("""COMPUTED_VALUE"""),1576.0)</f>
        <v>1576</v>
      </c>
      <c r="B2193" s="13">
        <f>IFERROR(__xludf.DUMMYFUNCTION("""COMPUTED_VALUE"""),45440.0)</f>
        <v>45440</v>
      </c>
      <c r="C2193" s="12">
        <f>IFERROR(__xludf.DUMMYFUNCTION("""COMPUTED_VALUE"""),127.0)</f>
        <v>127</v>
      </c>
      <c r="D2193" s="12">
        <f>IFERROR(__xludf.DUMMYFUNCTION("""COMPUTED_VALUE"""),25.0)</f>
        <v>25</v>
      </c>
      <c r="E2193" s="12">
        <f>IFERROR(__xludf.DUMMYFUNCTION("""COMPUTED_VALUE"""),5.0)</f>
        <v>5</v>
      </c>
      <c r="F2193" s="12">
        <f>IFERROR(__xludf.DUMMYFUNCTION("""COMPUTED_VALUE"""),1.0)</f>
        <v>1</v>
      </c>
      <c r="G2193" s="15" t="str">
        <f>IFERROR(__xludf.DUMMYFUNCTION("""COMPUTED_VALUE"""),"Completa")</f>
        <v>Completa</v>
      </c>
      <c r="H2193" s="16" t="str">
        <f t="array" ref="H2193">_xlfn.XLOOKUP(D2193,Productos[ID_Producto],Productos[Nombre_Producto])</f>
        <v>Pizza congelada</v>
      </c>
      <c r="I2193" s="17">
        <f t="array" ref="I2193">_xlfn.XLOOKUP(D2193,Productos[ID_Producto],Productos[Precio_Unitario])</f>
        <v>15.45</v>
      </c>
      <c r="J2193" s="17">
        <f t="shared" si="1"/>
        <v>77.25</v>
      </c>
      <c r="K2193" s="16" t="str">
        <f t="array" ref="K2193">_xlfn.XLOOKUP(C2193,Clientes[ID_Cliente],Clientes[Provincia])</f>
        <v>Buenos Aires</v>
      </c>
      <c r="L2193" s="16" t="str">
        <f t="array" ref="L2193">CONCATENATE(_xlfn.XLOOKUP(C2193,Clientes[ID_Cliente],Clientes[Provincia]),", Argentina")</f>
        <v>Buenos Aires, Argentina</v>
      </c>
      <c r="M2193" s="20" t="str">
        <f t="array" ref="M2193">_xlfn.XLOOKUP(F2193,Metodos_De_Pago[ID_Metodo],Metodos_De_Pago[Metodo])</f>
        <v>Efectivo</v>
      </c>
      <c r="N2193" s="20" t="str">
        <f t="shared" si="2"/>
        <v>2024 05</v>
      </c>
    </row>
    <row r="2194" ht="22.5" customHeight="1">
      <c r="A2194" s="12">
        <f>IFERROR(__xludf.DUMMYFUNCTION("""COMPUTED_VALUE"""),554.0)</f>
        <v>554</v>
      </c>
      <c r="B2194" s="13">
        <f>IFERROR(__xludf.DUMMYFUNCTION("""COMPUTED_VALUE"""),45441.0)</f>
        <v>45441</v>
      </c>
      <c r="C2194" s="12">
        <f>IFERROR(__xludf.DUMMYFUNCTION("""COMPUTED_VALUE"""),132.0)</f>
        <v>132</v>
      </c>
      <c r="D2194" s="12">
        <f>IFERROR(__xludf.DUMMYFUNCTION("""COMPUTED_VALUE"""),30.0)</f>
        <v>30</v>
      </c>
      <c r="E2194" s="12">
        <f>IFERROR(__xludf.DUMMYFUNCTION("""COMPUTED_VALUE"""),5.0)</f>
        <v>5</v>
      </c>
      <c r="F2194" s="12">
        <f>IFERROR(__xludf.DUMMYFUNCTION("""COMPUTED_VALUE"""),4.0)</f>
        <v>4</v>
      </c>
      <c r="G2194" s="15" t="str">
        <f>IFERROR(__xludf.DUMMYFUNCTION("""COMPUTED_VALUE"""),"Completa")</f>
        <v>Completa</v>
      </c>
      <c r="H2194" s="16" t="str">
        <f t="array" ref="H2194">_xlfn.XLOOKUP(D2194,Productos[ID_Producto],Productos[Nombre_Producto])</f>
        <v>Vino tinto</v>
      </c>
      <c r="I2194" s="17">
        <f t="array" ref="I2194">_xlfn.XLOOKUP(D2194,Productos[ID_Producto],Productos[Precio_Unitario])</f>
        <v>13.54</v>
      </c>
      <c r="J2194" s="17">
        <f t="shared" si="1"/>
        <v>67.7</v>
      </c>
      <c r="K2194" s="16" t="str">
        <f t="array" ref="K2194">_xlfn.XLOOKUP(C2194,Clientes[ID_Cliente],Clientes[Provincia])</f>
        <v>Buenos Aires</v>
      </c>
      <c r="L2194" s="16" t="str">
        <f t="array" ref="L2194">CONCATENATE(_xlfn.XLOOKUP(C2194,Clientes[ID_Cliente],Clientes[Provincia]),", Argentina")</f>
        <v>Buenos Aires, Argentina</v>
      </c>
      <c r="M2194" s="20" t="str">
        <f t="array" ref="M2194">_xlfn.XLOOKUP(F2194,Metodos_De_Pago[ID_Metodo],Metodos_De_Pago[Metodo])</f>
        <v>Mercado Pago</v>
      </c>
      <c r="N2194" s="20" t="str">
        <f t="shared" si="2"/>
        <v>2024 05</v>
      </c>
    </row>
    <row r="2195" ht="22.5" customHeight="1">
      <c r="A2195" s="12">
        <f>IFERROR(__xludf.DUMMYFUNCTION("""COMPUTED_VALUE"""),642.0)</f>
        <v>642</v>
      </c>
      <c r="B2195" s="13">
        <f>IFERROR(__xludf.DUMMYFUNCTION("""COMPUTED_VALUE"""),45441.0)</f>
        <v>45441</v>
      </c>
      <c r="C2195" s="12">
        <f>IFERROR(__xludf.DUMMYFUNCTION("""COMPUTED_VALUE"""),240.0)</f>
        <v>240</v>
      </c>
      <c r="D2195" s="12">
        <f>IFERROR(__xludf.DUMMYFUNCTION("""COMPUTED_VALUE"""),26.0)</f>
        <v>26</v>
      </c>
      <c r="E2195" s="12">
        <f>IFERROR(__xludf.DUMMYFUNCTION("""COMPUTED_VALUE"""),5.0)</f>
        <v>5</v>
      </c>
      <c r="F2195" s="12">
        <f>IFERROR(__xludf.DUMMYFUNCTION("""COMPUTED_VALUE"""),2.0)</f>
        <v>2</v>
      </c>
      <c r="G2195" s="15" t="str">
        <f>IFERROR(__xludf.DUMMYFUNCTION("""COMPUTED_VALUE"""),"Completa")</f>
        <v>Completa</v>
      </c>
      <c r="H2195" s="16" t="str">
        <f t="array" ref="H2195">_xlfn.XLOOKUP(D2195,Productos[ID_Producto],Productos[Nombre_Producto])</f>
        <v>Hamburgesas congeladas</v>
      </c>
      <c r="I2195" s="17">
        <f t="array" ref="I2195">_xlfn.XLOOKUP(D2195,Productos[ID_Producto],Productos[Precio_Unitario])</f>
        <v>9.54</v>
      </c>
      <c r="J2195" s="17">
        <f t="shared" si="1"/>
        <v>47.7</v>
      </c>
      <c r="K2195" s="16" t="str">
        <f t="array" ref="K2195">_xlfn.XLOOKUP(C2195,Clientes[ID_Cliente],Clientes[Provincia])</f>
        <v>Buenos Aires</v>
      </c>
      <c r="L2195" s="16" t="str">
        <f t="array" ref="L2195">CONCATENATE(_xlfn.XLOOKUP(C2195,Clientes[ID_Cliente],Clientes[Provincia]),", Argentina")</f>
        <v>Buenos Aires, Argentina</v>
      </c>
      <c r="M2195" s="20" t="str">
        <f t="array" ref="M2195">_xlfn.XLOOKUP(F2195,Metodos_De_Pago[ID_Metodo],Metodos_De_Pago[Metodo])</f>
        <v>Tarjeta de Crédito</v>
      </c>
      <c r="N2195" s="20" t="str">
        <f t="shared" si="2"/>
        <v>2024 05</v>
      </c>
    </row>
    <row r="2196" ht="22.5" customHeight="1">
      <c r="A2196" s="12">
        <f>IFERROR(__xludf.DUMMYFUNCTION("""COMPUTED_VALUE"""),717.0)</f>
        <v>717</v>
      </c>
      <c r="B2196" s="13">
        <f>IFERROR(__xludf.DUMMYFUNCTION("""COMPUTED_VALUE"""),45441.0)</f>
        <v>45441</v>
      </c>
      <c r="C2196" s="12">
        <f>IFERROR(__xludf.DUMMYFUNCTION("""COMPUTED_VALUE"""),304.0)</f>
        <v>304</v>
      </c>
      <c r="D2196" s="12">
        <f>IFERROR(__xludf.DUMMYFUNCTION("""COMPUTED_VALUE"""),38.0)</f>
        <v>38</v>
      </c>
      <c r="E2196" s="12">
        <f>IFERROR(__xludf.DUMMYFUNCTION("""COMPUTED_VALUE"""),5.0)</f>
        <v>5</v>
      </c>
      <c r="F2196" s="12">
        <f>IFERROR(__xludf.DUMMYFUNCTION("""COMPUTED_VALUE"""),4.0)</f>
        <v>4</v>
      </c>
      <c r="G2196" s="15" t="str">
        <f>IFERROR(__xludf.DUMMYFUNCTION("""COMPUTED_VALUE"""),"Completa")</f>
        <v>Completa</v>
      </c>
      <c r="H2196" s="16" t="str">
        <f t="array" ref="H2196">_xlfn.XLOOKUP(D2196,Productos[ID_Producto],Productos[Nombre_Producto])</f>
        <v>Atún enlatado</v>
      </c>
      <c r="I2196" s="17">
        <f t="array" ref="I2196">_xlfn.XLOOKUP(D2196,Productos[ID_Producto],Productos[Precio_Unitario])</f>
        <v>6.21</v>
      </c>
      <c r="J2196" s="17">
        <f t="shared" si="1"/>
        <v>31.05</v>
      </c>
      <c r="K2196" s="16" t="str">
        <f t="array" ref="K2196">_xlfn.XLOOKUP(C2196,Clientes[ID_Cliente],Clientes[Provincia])</f>
        <v>San Luis</v>
      </c>
      <c r="L2196" s="16" t="str">
        <f t="array" ref="L2196">CONCATENATE(_xlfn.XLOOKUP(C2196,Clientes[ID_Cliente],Clientes[Provincia]),", Argentina")</f>
        <v>San Luis, Argentina</v>
      </c>
      <c r="M2196" s="20" t="str">
        <f t="array" ref="M2196">_xlfn.XLOOKUP(F2196,Metodos_De_Pago[ID_Metodo],Metodos_De_Pago[Metodo])</f>
        <v>Mercado Pago</v>
      </c>
      <c r="N2196" s="20" t="str">
        <f t="shared" si="2"/>
        <v>2024 05</v>
      </c>
    </row>
    <row r="2197" ht="22.5" customHeight="1">
      <c r="A2197" s="12">
        <f>IFERROR(__xludf.DUMMYFUNCTION("""COMPUTED_VALUE"""),2831.0)</f>
        <v>2831</v>
      </c>
      <c r="B2197" s="13">
        <f>IFERROR(__xludf.DUMMYFUNCTION("""COMPUTED_VALUE"""),45441.0)</f>
        <v>45441</v>
      </c>
      <c r="C2197" s="12">
        <f>IFERROR(__xludf.DUMMYFUNCTION("""COMPUTED_VALUE"""),180.0)</f>
        <v>180</v>
      </c>
      <c r="D2197" s="12">
        <f>IFERROR(__xludf.DUMMYFUNCTION("""COMPUTED_VALUE"""),15.0)</f>
        <v>15</v>
      </c>
      <c r="E2197" s="12">
        <f>IFERROR(__xludf.DUMMYFUNCTION("""COMPUTED_VALUE"""),5.0)</f>
        <v>5</v>
      </c>
      <c r="F2197" s="12">
        <f>IFERROR(__xludf.DUMMYFUNCTION("""COMPUTED_VALUE"""),4.0)</f>
        <v>4</v>
      </c>
      <c r="G2197" s="15" t="str">
        <f>IFERROR(__xludf.DUMMYFUNCTION("""COMPUTED_VALUE"""),"Pendiente")</f>
        <v>Pendiente</v>
      </c>
      <c r="H2197" s="16" t="str">
        <f t="array" ref="H2197">_xlfn.XLOOKUP(D2197,Productos[ID_Producto],Productos[Nombre_Producto])</f>
        <v>Medialunas</v>
      </c>
      <c r="I2197" s="17">
        <f t="array" ref="I2197">_xlfn.XLOOKUP(D2197,Productos[ID_Producto],Productos[Precio_Unitario])</f>
        <v>3.51</v>
      </c>
      <c r="J2197" s="17">
        <f t="shared" si="1"/>
        <v>17.55</v>
      </c>
      <c r="K2197" s="16" t="str">
        <f t="array" ref="K2197">_xlfn.XLOOKUP(C2197,Clientes[ID_Cliente],Clientes[Provincia])</f>
        <v>Buenos Aires</v>
      </c>
      <c r="L2197" s="16" t="str">
        <f t="array" ref="L2197">CONCATENATE(_xlfn.XLOOKUP(C2197,Clientes[ID_Cliente],Clientes[Provincia]),", Argentina")</f>
        <v>Buenos Aires, Argentina</v>
      </c>
      <c r="M2197" s="20" t="str">
        <f t="array" ref="M2197">_xlfn.XLOOKUP(F2197,Metodos_De_Pago[ID_Metodo],Metodos_De_Pago[Metodo])</f>
        <v>Mercado Pago</v>
      </c>
      <c r="N2197" s="20" t="str">
        <f t="shared" si="2"/>
        <v>2024 05</v>
      </c>
    </row>
    <row r="2198" ht="22.5" customHeight="1">
      <c r="A2198" s="12">
        <f>IFERROR(__xludf.DUMMYFUNCTION("""COMPUTED_VALUE"""),6.0)</f>
        <v>6</v>
      </c>
      <c r="B2198" s="13">
        <f>IFERROR(__xludf.DUMMYFUNCTION("""COMPUTED_VALUE"""),45442.0)</f>
        <v>45442</v>
      </c>
      <c r="C2198" s="12">
        <f>IFERROR(__xludf.DUMMYFUNCTION("""COMPUTED_VALUE"""),70.0)</f>
        <v>70</v>
      </c>
      <c r="D2198" s="12">
        <f>IFERROR(__xludf.DUMMYFUNCTION("""COMPUTED_VALUE"""),27.0)</f>
        <v>27</v>
      </c>
      <c r="E2198" s="12">
        <f>IFERROR(__xludf.DUMMYFUNCTION("""COMPUTED_VALUE"""),5.0)</f>
        <v>5</v>
      </c>
      <c r="F2198" s="12">
        <f>IFERROR(__xludf.DUMMYFUNCTION("""COMPUTED_VALUE"""),4.0)</f>
        <v>4</v>
      </c>
      <c r="G2198" s="15" t="str">
        <f>IFERROR(__xludf.DUMMYFUNCTION("""COMPUTED_VALUE"""),"Pendiente")</f>
        <v>Pendiente</v>
      </c>
      <c r="H2198" s="16" t="str">
        <f t="array" ref="H2198">_xlfn.XLOOKUP(D2198,Productos[ID_Producto],Productos[Nombre_Producto])</f>
        <v>Agua mineral</v>
      </c>
      <c r="I2198" s="17">
        <f t="array" ref="I2198">_xlfn.XLOOKUP(D2198,Productos[ID_Producto],Productos[Precio_Unitario])</f>
        <v>6.21</v>
      </c>
      <c r="J2198" s="17">
        <f t="shared" si="1"/>
        <v>31.05</v>
      </c>
      <c r="K2198" s="16" t="str">
        <f t="array" ref="K2198">_xlfn.XLOOKUP(C2198,Clientes[ID_Cliente],Clientes[Provincia])</f>
        <v>Córdoba</v>
      </c>
      <c r="L2198" s="16" t="str">
        <f t="array" ref="L2198">CONCATENATE(_xlfn.XLOOKUP(C2198,Clientes[ID_Cliente],Clientes[Provincia]),", Argentina")</f>
        <v>Córdoba, Argentina</v>
      </c>
      <c r="M2198" s="20" t="str">
        <f t="array" ref="M2198">_xlfn.XLOOKUP(F2198,Metodos_De_Pago[ID_Metodo],Metodos_De_Pago[Metodo])</f>
        <v>Mercado Pago</v>
      </c>
      <c r="N2198" s="20" t="str">
        <f t="shared" si="2"/>
        <v>2024 05</v>
      </c>
    </row>
    <row r="2199" ht="22.5" customHeight="1">
      <c r="A2199" s="12">
        <f>IFERROR(__xludf.DUMMYFUNCTION("""COMPUTED_VALUE"""),185.0)</f>
        <v>185</v>
      </c>
      <c r="B2199" s="13">
        <f>IFERROR(__xludf.DUMMYFUNCTION("""COMPUTED_VALUE"""),45442.0)</f>
        <v>45442</v>
      </c>
      <c r="C2199" s="12">
        <f>IFERROR(__xludf.DUMMYFUNCTION("""COMPUTED_VALUE"""),97.0)</f>
        <v>97</v>
      </c>
      <c r="D2199" s="12">
        <f>IFERROR(__xludf.DUMMYFUNCTION("""COMPUTED_VALUE"""),28.0)</f>
        <v>28</v>
      </c>
      <c r="E2199" s="12">
        <f>IFERROR(__xludf.DUMMYFUNCTION("""COMPUTED_VALUE"""),5.0)</f>
        <v>5</v>
      </c>
      <c r="F2199" s="12">
        <f>IFERROR(__xludf.DUMMYFUNCTION("""COMPUTED_VALUE"""),4.0)</f>
        <v>4</v>
      </c>
      <c r="G2199" s="15" t="str">
        <f>IFERROR(__xludf.DUMMYFUNCTION("""COMPUTED_VALUE"""),"Completa")</f>
        <v>Completa</v>
      </c>
      <c r="H2199" s="16" t="str">
        <f t="array" ref="H2199">_xlfn.XLOOKUP(D2199,Productos[ID_Producto],Productos[Nombre_Producto])</f>
        <v>Jugos de frutas</v>
      </c>
      <c r="I2199" s="17">
        <f t="array" ref="I2199">_xlfn.XLOOKUP(D2199,Productos[ID_Producto],Productos[Precio_Unitario])</f>
        <v>9.45</v>
      </c>
      <c r="J2199" s="17">
        <f t="shared" si="1"/>
        <v>47.25</v>
      </c>
      <c r="K2199" s="16" t="str">
        <f t="array" ref="K2199">_xlfn.XLOOKUP(C2199,Clientes[ID_Cliente],Clientes[Provincia])</f>
        <v>Buenos Aires</v>
      </c>
      <c r="L2199" s="16" t="str">
        <f t="array" ref="L2199">CONCATENATE(_xlfn.XLOOKUP(C2199,Clientes[ID_Cliente],Clientes[Provincia]),", Argentina")</f>
        <v>Buenos Aires, Argentina</v>
      </c>
      <c r="M2199" s="20" t="str">
        <f t="array" ref="M2199">_xlfn.XLOOKUP(F2199,Metodos_De_Pago[ID_Metodo],Metodos_De_Pago[Metodo])</f>
        <v>Mercado Pago</v>
      </c>
      <c r="N2199" s="20" t="str">
        <f t="shared" si="2"/>
        <v>2024 05</v>
      </c>
    </row>
    <row r="2200" ht="22.5" customHeight="1">
      <c r="A2200" s="12">
        <f>IFERROR(__xludf.DUMMYFUNCTION("""COMPUTED_VALUE"""),187.0)</f>
        <v>187</v>
      </c>
      <c r="B2200" s="13">
        <f>IFERROR(__xludf.DUMMYFUNCTION("""COMPUTED_VALUE"""),45443.0)</f>
        <v>45443</v>
      </c>
      <c r="C2200" s="12">
        <f>IFERROR(__xludf.DUMMYFUNCTION("""COMPUTED_VALUE"""),118.0)</f>
        <v>118</v>
      </c>
      <c r="D2200" s="12">
        <f>IFERROR(__xludf.DUMMYFUNCTION("""COMPUTED_VALUE"""),8.0)</f>
        <v>8</v>
      </c>
      <c r="E2200" s="12">
        <f>IFERROR(__xludf.DUMMYFUNCTION("""COMPUTED_VALUE"""),5.0)</f>
        <v>5</v>
      </c>
      <c r="F2200" s="12">
        <f>IFERROR(__xludf.DUMMYFUNCTION("""COMPUTED_VALUE"""),2.0)</f>
        <v>2</v>
      </c>
      <c r="G2200" s="15" t="str">
        <f>IFERROR(__xludf.DUMMYFUNCTION("""COMPUTED_VALUE"""),"Completa")</f>
        <v>Completa</v>
      </c>
      <c r="H2200" s="16" t="str">
        <f t="array" ref="H2200">_xlfn.XLOOKUP(D2200,Productos[ID_Producto],Productos[Nombre_Producto])</f>
        <v>Milanesa</v>
      </c>
      <c r="I2200" s="17">
        <f t="array" ref="I2200">_xlfn.XLOOKUP(D2200,Productos[ID_Producto],Productos[Precio_Unitario])</f>
        <v>16.21</v>
      </c>
      <c r="J2200" s="17">
        <f t="shared" si="1"/>
        <v>81.05</v>
      </c>
      <c r="K2200" s="16" t="str">
        <f t="array" ref="K2200">_xlfn.XLOOKUP(C2200,Clientes[ID_Cliente],Clientes[Provincia])</f>
        <v>Córdoba</v>
      </c>
      <c r="L2200" s="16" t="str">
        <f t="array" ref="L2200">CONCATENATE(_xlfn.XLOOKUP(C2200,Clientes[ID_Cliente],Clientes[Provincia]),", Argentina")</f>
        <v>Córdoba, Argentina</v>
      </c>
      <c r="M2200" s="20" t="str">
        <f t="array" ref="M2200">_xlfn.XLOOKUP(F2200,Metodos_De_Pago[ID_Metodo],Metodos_De_Pago[Metodo])</f>
        <v>Tarjeta de Crédito</v>
      </c>
      <c r="N2200" s="20" t="str">
        <f t="shared" si="2"/>
        <v>2024 05</v>
      </c>
    </row>
    <row r="2201" ht="22.5" customHeight="1">
      <c r="A2201" s="12">
        <f>IFERROR(__xludf.DUMMYFUNCTION("""COMPUTED_VALUE"""),1427.0)</f>
        <v>1427</v>
      </c>
      <c r="B2201" s="13">
        <f>IFERROR(__xludf.DUMMYFUNCTION("""COMPUTED_VALUE"""),45443.0)</f>
        <v>45443</v>
      </c>
      <c r="C2201" s="12">
        <f>IFERROR(__xludf.DUMMYFUNCTION("""COMPUTED_VALUE"""),234.0)</f>
        <v>234</v>
      </c>
      <c r="D2201" s="12">
        <f>IFERROR(__xludf.DUMMYFUNCTION("""COMPUTED_VALUE"""),24.0)</f>
        <v>24</v>
      </c>
      <c r="E2201" s="12">
        <f>IFERROR(__xludf.DUMMYFUNCTION("""COMPUTED_VALUE"""),5.0)</f>
        <v>5</v>
      </c>
      <c r="F2201" s="12">
        <f>IFERROR(__xludf.DUMMYFUNCTION("""COMPUTED_VALUE"""),5.0)</f>
        <v>5</v>
      </c>
      <c r="G2201" s="15" t="str">
        <f>IFERROR(__xludf.DUMMYFUNCTION("""COMPUTED_VALUE"""),"Completa")</f>
        <v>Completa</v>
      </c>
      <c r="H2201" s="16" t="str">
        <f t="array" ref="H2201">_xlfn.XLOOKUP(D2201,Productos[ID_Producto],Productos[Nombre_Producto])</f>
        <v>Empanadas</v>
      </c>
      <c r="I2201" s="17">
        <f t="array" ref="I2201">_xlfn.XLOOKUP(D2201,Productos[ID_Producto],Productos[Precio_Unitario])</f>
        <v>13.54</v>
      </c>
      <c r="J2201" s="17">
        <f t="shared" si="1"/>
        <v>67.7</v>
      </c>
      <c r="K2201" s="16" t="str">
        <f t="array" ref="K2201">_xlfn.XLOOKUP(C2201,Clientes[ID_Cliente],Clientes[Provincia])</f>
        <v>Buenos Aires</v>
      </c>
      <c r="L2201" s="16" t="str">
        <f t="array" ref="L2201">CONCATENATE(_xlfn.XLOOKUP(C2201,Clientes[ID_Cliente],Clientes[Provincia]),", Argentina")</f>
        <v>Buenos Aires, Argentina</v>
      </c>
      <c r="M2201" s="20" t="str">
        <f t="array" ref="M2201">_xlfn.XLOOKUP(F2201,Metodos_De_Pago[ID_Metodo],Metodos_De_Pago[Metodo])</f>
        <v>Transferencia</v>
      </c>
      <c r="N2201" s="20" t="str">
        <f t="shared" si="2"/>
        <v>2024 05</v>
      </c>
    </row>
    <row r="2202" ht="22.5" customHeight="1">
      <c r="A2202" s="12">
        <f>IFERROR(__xludf.DUMMYFUNCTION("""COMPUTED_VALUE"""),1985.0)</f>
        <v>1985</v>
      </c>
      <c r="B2202" s="13">
        <f>IFERROR(__xludf.DUMMYFUNCTION("""COMPUTED_VALUE"""),45443.0)</f>
        <v>45443</v>
      </c>
      <c r="C2202" s="12">
        <f>IFERROR(__xludf.DUMMYFUNCTION("""COMPUTED_VALUE"""),84.0)</f>
        <v>84</v>
      </c>
      <c r="D2202" s="12">
        <f>IFERROR(__xludf.DUMMYFUNCTION("""COMPUTED_VALUE"""),34.0)</f>
        <v>34</v>
      </c>
      <c r="E2202" s="12">
        <f>IFERROR(__xludf.DUMMYFUNCTION("""COMPUTED_VALUE"""),5.0)</f>
        <v>5</v>
      </c>
      <c r="F2202" s="12">
        <f>IFERROR(__xludf.DUMMYFUNCTION("""COMPUTED_VALUE"""),1.0)</f>
        <v>1</v>
      </c>
      <c r="G2202" s="15" t="str">
        <f>IFERROR(__xludf.DUMMYFUNCTION("""COMPUTED_VALUE"""),"Completa")</f>
        <v>Completa</v>
      </c>
      <c r="H2202" s="16" t="str">
        <f t="array" ref="H2202">_xlfn.XLOOKUP(D2202,Productos[ID_Producto],Productos[Nombre_Producto])</f>
        <v>Maníes</v>
      </c>
      <c r="I2202" s="17">
        <f t="array" ref="I2202">_xlfn.XLOOKUP(D2202,Productos[ID_Producto],Productos[Precio_Unitario])</f>
        <v>5.45</v>
      </c>
      <c r="J2202" s="17">
        <f t="shared" si="1"/>
        <v>27.25</v>
      </c>
      <c r="K2202" s="16" t="str">
        <f t="array" ref="K2202">_xlfn.XLOOKUP(C2202,Clientes[ID_Cliente],Clientes[Provincia])</f>
        <v>Buenos Aires</v>
      </c>
      <c r="L2202" s="16" t="str">
        <f t="array" ref="L2202">CONCATENATE(_xlfn.XLOOKUP(C2202,Clientes[ID_Cliente],Clientes[Provincia]),", Argentina")</f>
        <v>Buenos Aires, Argentina</v>
      </c>
      <c r="M2202" s="20" t="str">
        <f t="array" ref="M2202">_xlfn.XLOOKUP(F2202,Metodos_De_Pago[ID_Metodo],Metodos_De_Pago[Metodo])</f>
        <v>Efectivo</v>
      </c>
      <c r="N2202" s="20" t="str">
        <f t="shared" si="2"/>
        <v>2024 05</v>
      </c>
    </row>
    <row r="2203" ht="22.5" customHeight="1">
      <c r="A2203" s="12">
        <f>IFERROR(__xludf.DUMMYFUNCTION("""COMPUTED_VALUE"""),1054.0)</f>
        <v>1054</v>
      </c>
      <c r="B2203" s="13">
        <f>IFERROR(__xludf.DUMMYFUNCTION("""COMPUTED_VALUE"""),45444.0)</f>
        <v>45444</v>
      </c>
      <c r="C2203" s="12">
        <f>IFERROR(__xludf.DUMMYFUNCTION("""COMPUTED_VALUE"""),300.0)</f>
        <v>300</v>
      </c>
      <c r="D2203" s="12">
        <f>IFERROR(__xludf.DUMMYFUNCTION("""COMPUTED_VALUE"""),31.0)</f>
        <v>31</v>
      </c>
      <c r="E2203" s="12">
        <f>IFERROR(__xludf.DUMMYFUNCTION("""COMPUTED_VALUE"""),5.0)</f>
        <v>5</v>
      </c>
      <c r="F2203" s="12">
        <f>IFERROR(__xludf.DUMMYFUNCTION("""COMPUTED_VALUE"""),4.0)</f>
        <v>4</v>
      </c>
      <c r="G2203" s="15" t="str">
        <f>IFERROR(__xludf.DUMMYFUNCTION("""COMPUTED_VALUE"""),"Completa")</f>
        <v>Completa</v>
      </c>
      <c r="H2203" s="16" t="str">
        <f t="array" ref="H2203">_xlfn.XLOOKUP(D2203,Productos[ID_Producto],Productos[Nombre_Producto])</f>
        <v>Galletitas de agua</v>
      </c>
      <c r="I2203" s="17">
        <f t="array" ref="I2203">_xlfn.XLOOKUP(D2203,Productos[ID_Producto],Productos[Precio_Unitario])</f>
        <v>5.24</v>
      </c>
      <c r="J2203" s="17">
        <f t="shared" si="1"/>
        <v>26.2</v>
      </c>
      <c r="K2203" s="16" t="str">
        <f t="array" ref="K2203">_xlfn.XLOOKUP(C2203,Clientes[ID_Cliente],Clientes[Provincia])</f>
        <v>Chaco</v>
      </c>
      <c r="L2203" s="16" t="str">
        <f t="array" ref="L2203">CONCATENATE(_xlfn.XLOOKUP(C2203,Clientes[ID_Cliente],Clientes[Provincia]),", Argentina")</f>
        <v>Chaco, Argentina</v>
      </c>
      <c r="M2203" s="20" t="str">
        <f t="array" ref="M2203">_xlfn.XLOOKUP(F2203,Metodos_De_Pago[ID_Metodo],Metodos_De_Pago[Metodo])</f>
        <v>Mercado Pago</v>
      </c>
      <c r="N2203" s="20" t="str">
        <f t="shared" si="2"/>
        <v>2024 06</v>
      </c>
    </row>
    <row r="2204" ht="22.5" customHeight="1">
      <c r="A2204" s="12">
        <f>IFERROR(__xludf.DUMMYFUNCTION("""COMPUTED_VALUE"""),1562.0)</f>
        <v>1562</v>
      </c>
      <c r="B2204" s="13">
        <f>IFERROR(__xludf.DUMMYFUNCTION("""COMPUTED_VALUE"""),45444.0)</f>
        <v>45444</v>
      </c>
      <c r="C2204" s="12">
        <f>IFERROR(__xludf.DUMMYFUNCTION("""COMPUTED_VALUE"""),213.0)</f>
        <v>213</v>
      </c>
      <c r="D2204" s="12">
        <f>IFERROR(__xludf.DUMMYFUNCTION("""COMPUTED_VALUE"""),31.0)</f>
        <v>31</v>
      </c>
      <c r="E2204" s="12">
        <f>IFERROR(__xludf.DUMMYFUNCTION("""COMPUTED_VALUE"""),5.0)</f>
        <v>5</v>
      </c>
      <c r="F2204" s="12">
        <f>IFERROR(__xludf.DUMMYFUNCTION("""COMPUTED_VALUE"""),5.0)</f>
        <v>5</v>
      </c>
      <c r="G2204" s="15" t="str">
        <f>IFERROR(__xludf.DUMMYFUNCTION("""COMPUTED_VALUE"""),"Pendiente")</f>
        <v>Pendiente</v>
      </c>
      <c r="H2204" s="16" t="str">
        <f t="array" ref="H2204">_xlfn.XLOOKUP(D2204,Productos[ID_Producto],Productos[Nombre_Producto])</f>
        <v>Galletitas de agua</v>
      </c>
      <c r="I2204" s="17">
        <f t="array" ref="I2204">_xlfn.XLOOKUP(D2204,Productos[ID_Producto],Productos[Precio_Unitario])</f>
        <v>5.24</v>
      </c>
      <c r="J2204" s="17">
        <f t="shared" si="1"/>
        <v>26.2</v>
      </c>
      <c r="K2204" s="16" t="str">
        <f t="array" ref="K2204">_xlfn.XLOOKUP(C2204,Clientes[ID_Cliente],Clientes[Provincia])</f>
        <v>Córdoba</v>
      </c>
      <c r="L2204" s="16" t="str">
        <f t="array" ref="L2204">CONCATENATE(_xlfn.XLOOKUP(C2204,Clientes[ID_Cliente],Clientes[Provincia]),", Argentina")</f>
        <v>Córdoba, Argentina</v>
      </c>
      <c r="M2204" s="20" t="str">
        <f t="array" ref="M2204">_xlfn.XLOOKUP(F2204,Metodos_De_Pago[ID_Metodo],Metodos_De_Pago[Metodo])</f>
        <v>Transferencia</v>
      </c>
      <c r="N2204" s="20" t="str">
        <f t="shared" si="2"/>
        <v>2024 06</v>
      </c>
    </row>
    <row r="2205" ht="22.5" customHeight="1">
      <c r="A2205" s="12">
        <f>IFERROR(__xludf.DUMMYFUNCTION("""COMPUTED_VALUE"""),2579.0)</f>
        <v>2579</v>
      </c>
      <c r="B2205" s="13">
        <f>IFERROR(__xludf.DUMMYFUNCTION("""COMPUTED_VALUE"""),45444.0)</f>
        <v>45444</v>
      </c>
      <c r="C2205" s="12">
        <f>IFERROR(__xludf.DUMMYFUNCTION("""COMPUTED_VALUE"""),66.0)</f>
        <v>66</v>
      </c>
      <c r="D2205" s="12">
        <f>IFERROR(__xludf.DUMMYFUNCTION("""COMPUTED_VALUE"""),27.0)</f>
        <v>27</v>
      </c>
      <c r="E2205" s="12">
        <f>IFERROR(__xludf.DUMMYFUNCTION("""COMPUTED_VALUE"""),5.0)</f>
        <v>5</v>
      </c>
      <c r="F2205" s="12">
        <f>IFERROR(__xludf.DUMMYFUNCTION("""COMPUTED_VALUE"""),5.0)</f>
        <v>5</v>
      </c>
      <c r="G2205" s="15" t="str">
        <f>IFERROR(__xludf.DUMMYFUNCTION("""COMPUTED_VALUE"""),"Pendiente")</f>
        <v>Pendiente</v>
      </c>
      <c r="H2205" s="16" t="str">
        <f t="array" ref="H2205">_xlfn.XLOOKUP(D2205,Productos[ID_Producto],Productos[Nombre_Producto])</f>
        <v>Agua mineral</v>
      </c>
      <c r="I2205" s="17">
        <f t="array" ref="I2205">_xlfn.XLOOKUP(D2205,Productos[ID_Producto],Productos[Precio_Unitario])</f>
        <v>6.21</v>
      </c>
      <c r="J2205" s="17">
        <f t="shared" si="1"/>
        <v>31.05</v>
      </c>
      <c r="K2205" s="16" t="str">
        <f t="array" ref="K2205">_xlfn.XLOOKUP(C2205,Clientes[ID_Cliente],Clientes[Provincia])</f>
        <v>Buenos Aires</v>
      </c>
      <c r="L2205" s="16" t="str">
        <f t="array" ref="L2205">CONCATENATE(_xlfn.XLOOKUP(C2205,Clientes[ID_Cliente],Clientes[Provincia]),", Argentina")</f>
        <v>Buenos Aires, Argentina</v>
      </c>
      <c r="M2205" s="20" t="str">
        <f t="array" ref="M2205">_xlfn.XLOOKUP(F2205,Metodos_De_Pago[ID_Metodo],Metodos_De_Pago[Metodo])</f>
        <v>Transferencia</v>
      </c>
      <c r="N2205" s="20" t="str">
        <f t="shared" si="2"/>
        <v>2024 06</v>
      </c>
    </row>
    <row r="2206" ht="22.5" customHeight="1">
      <c r="A2206" s="12">
        <f>IFERROR(__xludf.DUMMYFUNCTION("""COMPUTED_VALUE"""),177.0)</f>
        <v>177</v>
      </c>
      <c r="B2206" s="13">
        <f>IFERROR(__xludf.DUMMYFUNCTION("""COMPUTED_VALUE"""),45445.0)</f>
        <v>45445</v>
      </c>
      <c r="C2206" s="12">
        <f>IFERROR(__xludf.DUMMYFUNCTION("""COMPUTED_VALUE"""),316.0)</f>
        <v>316</v>
      </c>
      <c r="D2206" s="12">
        <f>IFERROR(__xludf.DUMMYFUNCTION("""COMPUTED_VALUE"""),21.0)</f>
        <v>21</v>
      </c>
      <c r="E2206" s="12">
        <f>IFERROR(__xludf.DUMMYFUNCTION("""COMPUTED_VALUE"""),5.0)</f>
        <v>5</v>
      </c>
      <c r="F2206" s="12">
        <f>IFERROR(__xludf.DUMMYFUNCTION("""COMPUTED_VALUE"""),4.0)</f>
        <v>4</v>
      </c>
      <c r="G2206" s="15" t="str">
        <f>IFERROR(__xludf.DUMMYFUNCTION("""COMPUTED_VALUE"""),"Completa")</f>
        <v>Completa</v>
      </c>
      <c r="H2206" s="16" t="str">
        <f t="array" ref="H2206">_xlfn.XLOOKUP(D2206,Productos[ID_Producto],Productos[Nombre_Producto])</f>
        <v>Zanahorias</v>
      </c>
      <c r="I2206" s="17">
        <f t="array" ref="I2206">_xlfn.XLOOKUP(D2206,Productos[ID_Producto],Productos[Precio_Unitario])</f>
        <v>3.25</v>
      </c>
      <c r="J2206" s="17">
        <f t="shared" si="1"/>
        <v>16.25</v>
      </c>
      <c r="K2206" s="16" t="str">
        <f t="array" ref="K2206">_xlfn.XLOOKUP(C2206,Clientes[ID_Cliente],Clientes[Provincia])</f>
        <v>Córdoba</v>
      </c>
      <c r="L2206" s="16" t="str">
        <f t="array" ref="L2206">CONCATENATE(_xlfn.XLOOKUP(C2206,Clientes[ID_Cliente],Clientes[Provincia]),", Argentina")</f>
        <v>Córdoba, Argentina</v>
      </c>
      <c r="M2206" s="20" t="str">
        <f t="array" ref="M2206">_xlfn.XLOOKUP(F2206,Metodos_De_Pago[ID_Metodo],Metodos_De_Pago[Metodo])</f>
        <v>Mercado Pago</v>
      </c>
      <c r="N2206" s="20" t="str">
        <f t="shared" si="2"/>
        <v>2024 06</v>
      </c>
    </row>
    <row r="2207" ht="22.5" customHeight="1">
      <c r="A2207" s="12">
        <f>IFERROR(__xludf.DUMMYFUNCTION("""COMPUTED_VALUE"""),425.0)</f>
        <v>425</v>
      </c>
      <c r="B2207" s="13">
        <f>IFERROR(__xludf.DUMMYFUNCTION("""COMPUTED_VALUE"""),45445.0)</f>
        <v>45445</v>
      </c>
      <c r="C2207" s="12">
        <f>IFERROR(__xludf.DUMMYFUNCTION("""COMPUTED_VALUE"""),138.0)</f>
        <v>138</v>
      </c>
      <c r="D2207" s="12">
        <f>IFERROR(__xludf.DUMMYFUNCTION("""COMPUTED_VALUE"""),5.0)</f>
        <v>5</v>
      </c>
      <c r="E2207" s="12">
        <f>IFERROR(__xludf.DUMMYFUNCTION("""COMPUTED_VALUE"""),5.0)</f>
        <v>5</v>
      </c>
      <c r="F2207" s="12">
        <f>IFERROR(__xludf.DUMMYFUNCTION("""COMPUTED_VALUE"""),4.0)</f>
        <v>4</v>
      </c>
      <c r="G2207" s="15" t="str">
        <f>IFERROR(__xludf.DUMMYFUNCTION("""COMPUTED_VALUE"""),"Completa")</f>
        <v>Completa</v>
      </c>
      <c r="H2207" s="16" t="str">
        <f t="array" ref="H2207">_xlfn.XLOOKUP(D2207,Productos[ID_Producto],Productos[Nombre_Producto])</f>
        <v>Manteca</v>
      </c>
      <c r="I2207" s="17">
        <f t="array" ref="I2207">_xlfn.XLOOKUP(D2207,Productos[ID_Producto],Productos[Precio_Unitario])</f>
        <v>5.65</v>
      </c>
      <c r="J2207" s="17">
        <f t="shared" si="1"/>
        <v>28.25</v>
      </c>
      <c r="K2207" s="16" t="str">
        <f t="array" ref="K2207">_xlfn.XLOOKUP(C2207,Clientes[ID_Cliente],Clientes[Provincia])</f>
        <v>Buenos Aires</v>
      </c>
      <c r="L2207" s="16" t="str">
        <f t="array" ref="L2207">CONCATENATE(_xlfn.XLOOKUP(C2207,Clientes[ID_Cliente],Clientes[Provincia]),", Argentina")</f>
        <v>Buenos Aires, Argentina</v>
      </c>
      <c r="M2207" s="20" t="str">
        <f t="array" ref="M2207">_xlfn.XLOOKUP(F2207,Metodos_De_Pago[ID_Metodo],Metodos_De_Pago[Metodo])</f>
        <v>Mercado Pago</v>
      </c>
      <c r="N2207" s="20" t="str">
        <f t="shared" si="2"/>
        <v>2024 06</v>
      </c>
    </row>
    <row r="2208" ht="22.5" customHeight="1">
      <c r="A2208" s="12">
        <f>IFERROR(__xludf.DUMMYFUNCTION("""COMPUTED_VALUE"""),922.0)</f>
        <v>922</v>
      </c>
      <c r="B2208" s="13">
        <f>IFERROR(__xludf.DUMMYFUNCTION("""COMPUTED_VALUE"""),45445.0)</f>
        <v>45445</v>
      </c>
      <c r="C2208" s="12">
        <f>IFERROR(__xludf.DUMMYFUNCTION("""COMPUTED_VALUE"""),210.0)</f>
        <v>210</v>
      </c>
      <c r="D2208" s="12">
        <f>IFERROR(__xludf.DUMMYFUNCTION("""COMPUTED_VALUE"""),24.0)</f>
        <v>24</v>
      </c>
      <c r="E2208" s="12">
        <f>IFERROR(__xludf.DUMMYFUNCTION("""COMPUTED_VALUE"""),5.0)</f>
        <v>5</v>
      </c>
      <c r="F2208" s="12">
        <f>IFERROR(__xludf.DUMMYFUNCTION("""COMPUTED_VALUE"""),5.0)</f>
        <v>5</v>
      </c>
      <c r="G2208" s="15" t="str">
        <f>IFERROR(__xludf.DUMMYFUNCTION("""COMPUTED_VALUE"""),"Completa")</f>
        <v>Completa</v>
      </c>
      <c r="H2208" s="16" t="str">
        <f t="array" ref="H2208">_xlfn.XLOOKUP(D2208,Productos[ID_Producto],Productos[Nombre_Producto])</f>
        <v>Empanadas</v>
      </c>
      <c r="I2208" s="17">
        <f t="array" ref="I2208">_xlfn.XLOOKUP(D2208,Productos[ID_Producto],Productos[Precio_Unitario])</f>
        <v>13.54</v>
      </c>
      <c r="J2208" s="17">
        <f t="shared" si="1"/>
        <v>67.7</v>
      </c>
      <c r="K2208" s="16" t="str">
        <f t="array" ref="K2208">_xlfn.XLOOKUP(C2208,Clientes[ID_Cliente],Clientes[Provincia])</f>
        <v>Córdoba</v>
      </c>
      <c r="L2208" s="16" t="str">
        <f t="array" ref="L2208">CONCATENATE(_xlfn.XLOOKUP(C2208,Clientes[ID_Cliente],Clientes[Provincia]),", Argentina")</f>
        <v>Córdoba, Argentina</v>
      </c>
      <c r="M2208" s="20" t="str">
        <f t="array" ref="M2208">_xlfn.XLOOKUP(F2208,Metodos_De_Pago[ID_Metodo],Metodos_De_Pago[Metodo])</f>
        <v>Transferencia</v>
      </c>
      <c r="N2208" s="20" t="str">
        <f t="shared" si="2"/>
        <v>2024 06</v>
      </c>
    </row>
    <row r="2209" ht="22.5" customHeight="1">
      <c r="A2209" s="12">
        <f>IFERROR(__xludf.DUMMYFUNCTION("""COMPUTED_VALUE"""),1187.0)</f>
        <v>1187</v>
      </c>
      <c r="B2209" s="13">
        <f>IFERROR(__xludf.DUMMYFUNCTION("""COMPUTED_VALUE"""),45445.0)</f>
        <v>45445</v>
      </c>
      <c r="C2209" s="12">
        <f>IFERROR(__xludf.DUMMYFUNCTION("""COMPUTED_VALUE"""),154.0)</f>
        <v>154</v>
      </c>
      <c r="D2209" s="12">
        <f>IFERROR(__xludf.DUMMYFUNCTION("""COMPUTED_VALUE"""),5.0)</f>
        <v>5</v>
      </c>
      <c r="E2209" s="12">
        <f>IFERROR(__xludf.DUMMYFUNCTION("""COMPUTED_VALUE"""),5.0)</f>
        <v>5</v>
      </c>
      <c r="F2209" s="12">
        <f>IFERROR(__xludf.DUMMYFUNCTION("""COMPUTED_VALUE"""),3.0)</f>
        <v>3</v>
      </c>
      <c r="G2209" s="15" t="str">
        <f>IFERROR(__xludf.DUMMYFUNCTION("""COMPUTED_VALUE"""),"Completa")</f>
        <v>Completa</v>
      </c>
      <c r="H2209" s="16" t="str">
        <f t="array" ref="H2209">_xlfn.XLOOKUP(D2209,Productos[ID_Producto],Productos[Nombre_Producto])</f>
        <v>Manteca</v>
      </c>
      <c r="I2209" s="17">
        <f t="array" ref="I2209">_xlfn.XLOOKUP(D2209,Productos[ID_Producto],Productos[Precio_Unitario])</f>
        <v>5.65</v>
      </c>
      <c r="J2209" s="17">
        <f t="shared" si="1"/>
        <v>28.25</v>
      </c>
      <c r="K2209" s="16" t="str">
        <f t="array" ref="K2209">_xlfn.XLOOKUP(C2209,Clientes[ID_Cliente],Clientes[Provincia])</f>
        <v>Neuquén</v>
      </c>
      <c r="L2209" s="16" t="str">
        <f t="array" ref="L2209">CONCATENATE(_xlfn.XLOOKUP(C2209,Clientes[ID_Cliente],Clientes[Provincia]),", Argentina")</f>
        <v>Neuquén, Argentina</v>
      </c>
      <c r="M2209" s="20" t="str">
        <f t="array" ref="M2209">_xlfn.XLOOKUP(F2209,Metodos_De_Pago[ID_Metodo],Metodos_De_Pago[Metodo])</f>
        <v>Tarjeta de Débito</v>
      </c>
      <c r="N2209" s="20" t="str">
        <f t="shared" si="2"/>
        <v>2024 06</v>
      </c>
    </row>
    <row r="2210" ht="22.5" customHeight="1">
      <c r="A2210" s="12">
        <f>IFERROR(__xludf.DUMMYFUNCTION("""COMPUTED_VALUE"""),284.0)</f>
        <v>284</v>
      </c>
      <c r="B2210" s="13">
        <f>IFERROR(__xludf.DUMMYFUNCTION("""COMPUTED_VALUE"""),45446.0)</f>
        <v>45446</v>
      </c>
      <c r="C2210" s="12">
        <f>IFERROR(__xludf.DUMMYFUNCTION("""COMPUTED_VALUE"""),176.0)</f>
        <v>176</v>
      </c>
      <c r="D2210" s="12">
        <f>IFERROR(__xludf.DUMMYFUNCTION("""COMPUTED_VALUE"""),36.0)</f>
        <v>36</v>
      </c>
      <c r="E2210" s="12">
        <f>IFERROR(__xludf.DUMMYFUNCTION("""COMPUTED_VALUE"""),5.0)</f>
        <v>5</v>
      </c>
      <c r="F2210" s="12">
        <f>IFERROR(__xludf.DUMMYFUNCTION("""COMPUTED_VALUE"""),4.0)</f>
        <v>4</v>
      </c>
      <c r="G2210" s="15" t="str">
        <f>IFERROR(__xludf.DUMMYFUNCTION("""COMPUTED_VALUE"""),"Completa")</f>
        <v>Completa</v>
      </c>
      <c r="H2210" s="16" t="str">
        <f t="array" ref="H2210">_xlfn.XLOOKUP(D2210,Productos[ID_Producto],Productos[Nombre_Producto])</f>
        <v>Lentejas</v>
      </c>
      <c r="I2210" s="17">
        <f t="array" ref="I2210">_xlfn.XLOOKUP(D2210,Productos[ID_Producto],Productos[Precio_Unitario])</f>
        <v>3.25</v>
      </c>
      <c r="J2210" s="17">
        <f t="shared" si="1"/>
        <v>16.25</v>
      </c>
      <c r="K2210" s="16" t="str">
        <f t="array" ref="K2210">_xlfn.XLOOKUP(C2210,Clientes[ID_Cliente],Clientes[Provincia])</f>
        <v>Chaco</v>
      </c>
      <c r="L2210" s="16" t="str">
        <f t="array" ref="L2210">CONCATENATE(_xlfn.XLOOKUP(C2210,Clientes[ID_Cliente],Clientes[Provincia]),", Argentina")</f>
        <v>Chaco, Argentina</v>
      </c>
      <c r="M2210" s="20" t="str">
        <f t="array" ref="M2210">_xlfn.XLOOKUP(F2210,Metodos_De_Pago[ID_Metodo],Metodos_De_Pago[Metodo])</f>
        <v>Mercado Pago</v>
      </c>
      <c r="N2210" s="20" t="str">
        <f t="shared" si="2"/>
        <v>2024 06</v>
      </c>
    </row>
    <row r="2211" ht="22.5" customHeight="1">
      <c r="A2211" s="12">
        <f>IFERROR(__xludf.DUMMYFUNCTION("""COMPUTED_VALUE"""),1935.0)</f>
        <v>1935</v>
      </c>
      <c r="B2211" s="13">
        <f>IFERROR(__xludf.DUMMYFUNCTION("""COMPUTED_VALUE"""),45446.0)</f>
        <v>45446</v>
      </c>
      <c r="C2211" s="12">
        <f>IFERROR(__xludf.DUMMYFUNCTION("""COMPUTED_VALUE"""),311.0)</f>
        <v>311</v>
      </c>
      <c r="D2211" s="12">
        <f>IFERROR(__xludf.DUMMYFUNCTION("""COMPUTED_VALUE"""),8.0)</f>
        <v>8</v>
      </c>
      <c r="E2211" s="12">
        <f>IFERROR(__xludf.DUMMYFUNCTION("""COMPUTED_VALUE"""),5.0)</f>
        <v>5</v>
      </c>
      <c r="F2211" s="12">
        <f>IFERROR(__xludf.DUMMYFUNCTION("""COMPUTED_VALUE"""),5.0)</f>
        <v>5</v>
      </c>
      <c r="G2211" s="15" t="str">
        <f>IFERROR(__xludf.DUMMYFUNCTION("""COMPUTED_VALUE"""),"Completa")</f>
        <v>Completa</v>
      </c>
      <c r="H2211" s="16" t="str">
        <f t="array" ref="H2211">_xlfn.XLOOKUP(D2211,Productos[ID_Producto],Productos[Nombre_Producto])</f>
        <v>Milanesa</v>
      </c>
      <c r="I2211" s="17">
        <f t="array" ref="I2211">_xlfn.XLOOKUP(D2211,Productos[ID_Producto],Productos[Precio_Unitario])</f>
        <v>16.21</v>
      </c>
      <c r="J2211" s="17">
        <f t="shared" si="1"/>
        <v>81.05</v>
      </c>
      <c r="K2211" s="16" t="str">
        <f t="array" ref="K2211">_xlfn.XLOOKUP(C2211,Clientes[ID_Cliente],Clientes[Provincia])</f>
        <v>Buenos Aires</v>
      </c>
      <c r="L2211" s="16" t="str">
        <f t="array" ref="L2211">CONCATENATE(_xlfn.XLOOKUP(C2211,Clientes[ID_Cliente],Clientes[Provincia]),", Argentina")</f>
        <v>Buenos Aires, Argentina</v>
      </c>
      <c r="M2211" s="20" t="str">
        <f t="array" ref="M2211">_xlfn.XLOOKUP(F2211,Metodos_De_Pago[ID_Metodo],Metodos_De_Pago[Metodo])</f>
        <v>Transferencia</v>
      </c>
      <c r="N2211" s="20" t="str">
        <f t="shared" si="2"/>
        <v>2024 06</v>
      </c>
    </row>
    <row r="2212" ht="22.5" customHeight="1">
      <c r="A2212" s="12">
        <f>IFERROR(__xludf.DUMMYFUNCTION("""COMPUTED_VALUE"""),2057.0)</f>
        <v>2057</v>
      </c>
      <c r="B2212" s="13">
        <f>IFERROR(__xludf.DUMMYFUNCTION("""COMPUTED_VALUE"""),45446.0)</f>
        <v>45446</v>
      </c>
      <c r="C2212" s="12">
        <f>IFERROR(__xludf.DUMMYFUNCTION("""COMPUTED_VALUE"""),81.0)</f>
        <v>81</v>
      </c>
      <c r="D2212" s="12">
        <f>IFERROR(__xludf.DUMMYFUNCTION("""COMPUTED_VALUE"""),9.0)</f>
        <v>9</v>
      </c>
      <c r="E2212" s="12">
        <f>IFERROR(__xludf.DUMMYFUNCTION("""COMPUTED_VALUE"""),5.0)</f>
        <v>5</v>
      </c>
      <c r="F2212" s="12">
        <f>IFERROR(__xludf.DUMMYFUNCTION("""COMPUTED_VALUE"""),1.0)</f>
        <v>1</v>
      </c>
      <c r="G2212" s="15" t="str">
        <f>IFERROR(__xludf.DUMMYFUNCTION("""COMPUTED_VALUE"""),"Completa")</f>
        <v>Completa</v>
      </c>
      <c r="H2212" s="16" t="str">
        <f t="array" ref="H2212">_xlfn.XLOOKUP(D2212,Productos[ID_Producto],Productos[Nombre_Producto])</f>
        <v>Pollo</v>
      </c>
      <c r="I2212" s="17">
        <f t="array" ref="I2212">_xlfn.XLOOKUP(D2212,Productos[ID_Producto],Productos[Precio_Unitario])</f>
        <v>18.56</v>
      </c>
      <c r="J2212" s="17">
        <f t="shared" si="1"/>
        <v>92.8</v>
      </c>
      <c r="K2212" s="16" t="str">
        <f t="array" ref="K2212">_xlfn.XLOOKUP(C2212,Clientes[ID_Cliente],Clientes[Provincia])</f>
        <v>Buenos Aires</v>
      </c>
      <c r="L2212" s="16" t="str">
        <f t="array" ref="L2212">CONCATENATE(_xlfn.XLOOKUP(C2212,Clientes[ID_Cliente],Clientes[Provincia]),", Argentina")</f>
        <v>Buenos Aires, Argentina</v>
      </c>
      <c r="M2212" s="20" t="str">
        <f t="array" ref="M2212">_xlfn.XLOOKUP(F2212,Metodos_De_Pago[ID_Metodo],Metodos_De_Pago[Metodo])</f>
        <v>Efectivo</v>
      </c>
      <c r="N2212" s="20" t="str">
        <f t="shared" si="2"/>
        <v>2024 06</v>
      </c>
    </row>
    <row r="2213" ht="22.5" customHeight="1">
      <c r="A2213" s="12">
        <f>IFERROR(__xludf.DUMMYFUNCTION("""COMPUTED_VALUE"""),2476.0)</f>
        <v>2476</v>
      </c>
      <c r="B2213" s="13">
        <f>IFERROR(__xludf.DUMMYFUNCTION("""COMPUTED_VALUE"""),45446.0)</f>
        <v>45446</v>
      </c>
      <c r="C2213" s="12">
        <f>IFERROR(__xludf.DUMMYFUNCTION("""COMPUTED_VALUE"""),69.0)</f>
        <v>69</v>
      </c>
      <c r="D2213" s="12">
        <f>IFERROR(__xludf.DUMMYFUNCTION("""COMPUTED_VALUE"""),21.0)</f>
        <v>21</v>
      </c>
      <c r="E2213" s="12">
        <f>IFERROR(__xludf.DUMMYFUNCTION("""COMPUTED_VALUE"""),5.0)</f>
        <v>5</v>
      </c>
      <c r="F2213" s="12">
        <f>IFERROR(__xludf.DUMMYFUNCTION("""COMPUTED_VALUE"""),1.0)</f>
        <v>1</v>
      </c>
      <c r="G2213" s="15" t="str">
        <f>IFERROR(__xludf.DUMMYFUNCTION("""COMPUTED_VALUE"""),"Completa")</f>
        <v>Completa</v>
      </c>
      <c r="H2213" s="16" t="str">
        <f t="array" ref="H2213">_xlfn.XLOOKUP(D2213,Productos[ID_Producto],Productos[Nombre_Producto])</f>
        <v>Zanahorias</v>
      </c>
      <c r="I2213" s="17">
        <f t="array" ref="I2213">_xlfn.XLOOKUP(D2213,Productos[ID_Producto],Productos[Precio_Unitario])</f>
        <v>3.25</v>
      </c>
      <c r="J2213" s="17">
        <f t="shared" si="1"/>
        <v>16.25</v>
      </c>
      <c r="K2213" s="16" t="str">
        <f t="array" ref="K2213">_xlfn.XLOOKUP(C2213,Clientes[ID_Cliente],Clientes[Provincia])</f>
        <v>San Luis</v>
      </c>
      <c r="L2213" s="16" t="str">
        <f t="array" ref="L2213">CONCATENATE(_xlfn.XLOOKUP(C2213,Clientes[ID_Cliente],Clientes[Provincia]),", Argentina")</f>
        <v>San Luis, Argentina</v>
      </c>
      <c r="M2213" s="20" t="str">
        <f t="array" ref="M2213">_xlfn.XLOOKUP(F2213,Metodos_De_Pago[ID_Metodo],Metodos_De_Pago[Metodo])</f>
        <v>Efectivo</v>
      </c>
      <c r="N2213" s="20" t="str">
        <f t="shared" si="2"/>
        <v>2024 06</v>
      </c>
    </row>
    <row r="2214" ht="22.5" customHeight="1">
      <c r="A2214" s="12">
        <f>IFERROR(__xludf.DUMMYFUNCTION("""COMPUTED_VALUE"""),996.0)</f>
        <v>996</v>
      </c>
      <c r="B2214" s="13">
        <f>IFERROR(__xludf.DUMMYFUNCTION("""COMPUTED_VALUE"""),45447.0)</f>
        <v>45447</v>
      </c>
      <c r="C2214" s="12">
        <f>IFERROR(__xludf.DUMMYFUNCTION("""COMPUTED_VALUE"""),242.0)</f>
        <v>242</v>
      </c>
      <c r="D2214" s="12">
        <f>IFERROR(__xludf.DUMMYFUNCTION("""COMPUTED_VALUE"""),13.0)</f>
        <v>13</v>
      </c>
      <c r="E2214" s="12">
        <f>IFERROR(__xludf.DUMMYFUNCTION("""COMPUTED_VALUE"""),5.0)</f>
        <v>5</v>
      </c>
      <c r="F2214" s="12">
        <f>IFERROR(__xludf.DUMMYFUNCTION("""COMPUTED_VALUE"""),3.0)</f>
        <v>3</v>
      </c>
      <c r="G2214" s="15" t="str">
        <f>IFERROR(__xludf.DUMMYFUNCTION("""COMPUTED_VALUE"""),"Completa")</f>
        <v>Completa</v>
      </c>
      <c r="H2214" s="16" t="str">
        <f t="array" ref="H2214">_xlfn.XLOOKUP(D2214,Productos[ID_Producto],Productos[Nombre_Producto])</f>
        <v>Pan integral</v>
      </c>
      <c r="I2214" s="17">
        <f t="array" ref="I2214">_xlfn.XLOOKUP(D2214,Productos[ID_Producto],Productos[Precio_Unitario])</f>
        <v>12.56</v>
      </c>
      <c r="J2214" s="17">
        <f t="shared" si="1"/>
        <v>62.8</v>
      </c>
      <c r="K2214" s="16" t="str">
        <f t="array" ref="K2214">_xlfn.XLOOKUP(C2214,Clientes[ID_Cliente],Clientes[Provincia])</f>
        <v>Chaco</v>
      </c>
      <c r="L2214" s="16" t="str">
        <f t="array" ref="L2214">CONCATENATE(_xlfn.XLOOKUP(C2214,Clientes[ID_Cliente],Clientes[Provincia]),", Argentina")</f>
        <v>Chaco, Argentina</v>
      </c>
      <c r="M2214" s="20" t="str">
        <f t="array" ref="M2214">_xlfn.XLOOKUP(F2214,Metodos_De_Pago[ID_Metodo],Metodos_De_Pago[Metodo])</f>
        <v>Tarjeta de Débito</v>
      </c>
      <c r="N2214" s="20" t="str">
        <f t="shared" si="2"/>
        <v>2024 06</v>
      </c>
    </row>
    <row r="2215" ht="22.5" customHeight="1">
      <c r="A2215" s="12">
        <f>IFERROR(__xludf.DUMMYFUNCTION("""COMPUTED_VALUE"""),1225.0)</f>
        <v>1225</v>
      </c>
      <c r="B2215" s="13">
        <f>IFERROR(__xludf.DUMMYFUNCTION("""COMPUTED_VALUE"""),45448.0)</f>
        <v>45448</v>
      </c>
      <c r="C2215" s="12">
        <f>IFERROR(__xludf.DUMMYFUNCTION("""COMPUTED_VALUE"""),134.0)</f>
        <v>134</v>
      </c>
      <c r="D2215" s="12">
        <f>IFERROR(__xludf.DUMMYFUNCTION("""COMPUTED_VALUE"""),29.0)</f>
        <v>29</v>
      </c>
      <c r="E2215" s="12">
        <f>IFERROR(__xludf.DUMMYFUNCTION("""COMPUTED_VALUE"""),5.0)</f>
        <v>5</v>
      </c>
      <c r="F2215" s="12">
        <f>IFERROR(__xludf.DUMMYFUNCTION("""COMPUTED_VALUE"""),4.0)</f>
        <v>4</v>
      </c>
      <c r="G2215" s="15" t="str">
        <f>IFERROR(__xludf.DUMMYFUNCTION("""COMPUTED_VALUE"""),"Completa")</f>
        <v>Completa</v>
      </c>
      <c r="H2215" s="16" t="str">
        <f t="array" ref="H2215">_xlfn.XLOOKUP(D2215,Productos[ID_Producto],Productos[Nombre_Producto])</f>
        <v>Cerveza</v>
      </c>
      <c r="I2215" s="17">
        <f t="array" ref="I2215">_xlfn.XLOOKUP(D2215,Productos[ID_Producto],Productos[Precio_Unitario])</f>
        <v>11.54</v>
      </c>
      <c r="J2215" s="17">
        <f t="shared" si="1"/>
        <v>57.7</v>
      </c>
      <c r="K2215" s="16" t="str">
        <f t="array" ref="K2215">_xlfn.XLOOKUP(C2215,Clientes[ID_Cliente],Clientes[Provincia])</f>
        <v>San Luis</v>
      </c>
      <c r="L2215" s="16" t="str">
        <f t="array" ref="L2215">CONCATENATE(_xlfn.XLOOKUP(C2215,Clientes[ID_Cliente],Clientes[Provincia]),", Argentina")</f>
        <v>San Luis, Argentina</v>
      </c>
      <c r="M2215" s="20" t="str">
        <f t="array" ref="M2215">_xlfn.XLOOKUP(F2215,Metodos_De_Pago[ID_Metodo],Metodos_De_Pago[Metodo])</f>
        <v>Mercado Pago</v>
      </c>
      <c r="N2215" s="20" t="str">
        <f t="shared" si="2"/>
        <v>2024 06</v>
      </c>
    </row>
    <row r="2216" ht="22.5" customHeight="1">
      <c r="A2216" s="12">
        <f>IFERROR(__xludf.DUMMYFUNCTION("""COMPUTED_VALUE"""),2705.0)</f>
        <v>2705</v>
      </c>
      <c r="B2216" s="13">
        <f>IFERROR(__xludf.DUMMYFUNCTION("""COMPUTED_VALUE"""),45448.0)</f>
        <v>45448</v>
      </c>
      <c r="C2216" s="12">
        <f>IFERROR(__xludf.DUMMYFUNCTION("""COMPUTED_VALUE"""),305.0)</f>
        <v>305</v>
      </c>
      <c r="D2216" s="12">
        <f>IFERROR(__xludf.DUMMYFUNCTION("""COMPUTED_VALUE"""),23.0)</f>
        <v>23</v>
      </c>
      <c r="E2216" s="12">
        <f>IFERROR(__xludf.DUMMYFUNCTION("""COMPUTED_VALUE"""),5.0)</f>
        <v>5</v>
      </c>
      <c r="F2216" s="12">
        <f>IFERROR(__xludf.DUMMYFUNCTION("""COMPUTED_VALUE"""),4.0)</f>
        <v>4</v>
      </c>
      <c r="G2216" s="15" t="str">
        <f>IFERROR(__xludf.DUMMYFUNCTION("""COMPUTED_VALUE"""),"Completa")</f>
        <v>Completa</v>
      </c>
      <c r="H2216" s="16" t="str">
        <f t="array" ref="H2216">_xlfn.XLOOKUP(D2216,Productos[ID_Producto],Productos[Nombre_Producto])</f>
        <v>Papas fritas</v>
      </c>
      <c r="I2216" s="17">
        <f t="array" ref="I2216">_xlfn.XLOOKUP(D2216,Productos[ID_Producto],Productos[Precio_Unitario])</f>
        <v>8.23</v>
      </c>
      <c r="J2216" s="17">
        <f t="shared" si="1"/>
        <v>41.15</v>
      </c>
      <c r="K2216" s="16" t="str">
        <f t="array" ref="K2216">_xlfn.XLOOKUP(C2216,Clientes[ID_Cliente],Clientes[Provincia])</f>
        <v>Neuquén</v>
      </c>
      <c r="L2216" s="16" t="str">
        <f t="array" ref="L2216">CONCATENATE(_xlfn.XLOOKUP(C2216,Clientes[ID_Cliente],Clientes[Provincia]),", Argentina")</f>
        <v>Neuquén, Argentina</v>
      </c>
      <c r="M2216" s="20" t="str">
        <f t="array" ref="M2216">_xlfn.XLOOKUP(F2216,Metodos_De_Pago[ID_Metodo],Metodos_De_Pago[Metodo])</f>
        <v>Mercado Pago</v>
      </c>
      <c r="N2216" s="20" t="str">
        <f t="shared" si="2"/>
        <v>2024 06</v>
      </c>
    </row>
    <row r="2217" ht="22.5" customHeight="1">
      <c r="A2217" s="12">
        <f>IFERROR(__xludf.DUMMYFUNCTION("""COMPUTED_VALUE"""),2002.0)</f>
        <v>2002</v>
      </c>
      <c r="B2217" s="13">
        <f>IFERROR(__xludf.DUMMYFUNCTION("""COMPUTED_VALUE"""),45449.0)</f>
        <v>45449</v>
      </c>
      <c r="C2217" s="12">
        <f>IFERROR(__xludf.DUMMYFUNCTION("""COMPUTED_VALUE"""),130.0)</f>
        <v>130</v>
      </c>
      <c r="D2217" s="12">
        <f>IFERROR(__xludf.DUMMYFUNCTION("""COMPUTED_VALUE"""),11.0)</f>
        <v>11</v>
      </c>
      <c r="E2217" s="12">
        <f>IFERROR(__xludf.DUMMYFUNCTION("""COMPUTED_VALUE"""),5.0)</f>
        <v>5</v>
      </c>
      <c r="F2217" s="12">
        <f>IFERROR(__xludf.DUMMYFUNCTION("""COMPUTED_VALUE"""),4.0)</f>
        <v>4</v>
      </c>
      <c r="G2217" s="15" t="str">
        <f>IFERROR(__xludf.DUMMYFUNCTION("""COMPUTED_VALUE"""),"Completa")</f>
        <v>Completa</v>
      </c>
      <c r="H2217" s="16" t="str">
        <f t="array" ref="H2217">_xlfn.XLOOKUP(D2217,Productos[ID_Producto],Productos[Nombre_Producto])</f>
        <v>Salchicha</v>
      </c>
      <c r="I2217" s="17">
        <f t="array" ref="I2217">_xlfn.XLOOKUP(D2217,Productos[ID_Producto],Productos[Precio_Unitario])</f>
        <v>11.23</v>
      </c>
      <c r="J2217" s="17">
        <f t="shared" si="1"/>
        <v>56.15</v>
      </c>
      <c r="K2217" s="16" t="str">
        <f t="array" ref="K2217">_xlfn.XLOOKUP(C2217,Clientes[ID_Cliente],Clientes[Provincia])</f>
        <v>Buenos Aires</v>
      </c>
      <c r="L2217" s="16" t="str">
        <f t="array" ref="L2217">CONCATENATE(_xlfn.XLOOKUP(C2217,Clientes[ID_Cliente],Clientes[Provincia]),", Argentina")</f>
        <v>Buenos Aires, Argentina</v>
      </c>
      <c r="M2217" s="20" t="str">
        <f t="array" ref="M2217">_xlfn.XLOOKUP(F2217,Metodos_De_Pago[ID_Metodo],Metodos_De_Pago[Metodo])</f>
        <v>Mercado Pago</v>
      </c>
      <c r="N2217" s="20" t="str">
        <f t="shared" si="2"/>
        <v>2024 06</v>
      </c>
    </row>
    <row r="2218" ht="22.5" customHeight="1">
      <c r="A2218" s="12">
        <f>IFERROR(__xludf.DUMMYFUNCTION("""COMPUTED_VALUE"""),1165.0)</f>
        <v>1165</v>
      </c>
      <c r="B2218" s="13">
        <f>IFERROR(__xludf.DUMMYFUNCTION("""COMPUTED_VALUE"""),45450.0)</f>
        <v>45450</v>
      </c>
      <c r="C2218" s="12">
        <f>IFERROR(__xludf.DUMMYFUNCTION("""COMPUTED_VALUE"""),30.0)</f>
        <v>30</v>
      </c>
      <c r="D2218" s="12">
        <f>IFERROR(__xludf.DUMMYFUNCTION("""COMPUTED_VALUE"""),13.0)</f>
        <v>13</v>
      </c>
      <c r="E2218" s="12">
        <f>IFERROR(__xludf.DUMMYFUNCTION("""COMPUTED_VALUE"""),5.0)</f>
        <v>5</v>
      </c>
      <c r="F2218" s="12">
        <f>IFERROR(__xludf.DUMMYFUNCTION("""COMPUTED_VALUE"""),5.0)</f>
        <v>5</v>
      </c>
      <c r="G2218" s="15" t="str">
        <f>IFERROR(__xludf.DUMMYFUNCTION("""COMPUTED_VALUE"""),"Pendiente")</f>
        <v>Pendiente</v>
      </c>
      <c r="H2218" s="16" t="str">
        <f t="array" ref="H2218">_xlfn.XLOOKUP(D2218,Productos[ID_Producto],Productos[Nombre_Producto])</f>
        <v>Pan integral</v>
      </c>
      <c r="I2218" s="17">
        <f t="array" ref="I2218">_xlfn.XLOOKUP(D2218,Productos[ID_Producto],Productos[Precio_Unitario])</f>
        <v>12.56</v>
      </c>
      <c r="J2218" s="17">
        <f t="shared" si="1"/>
        <v>62.8</v>
      </c>
      <c r="K2218" s="16" t="str">
        <f t="array" ref="K2218">_xlfn.XLOOKUP(C2218,Clientes[ID_Cliente],Clientes[Provincia])</f>
        <v>Buenos Aires</v>
      </c>
      <c r="L2218" s="16" t="str">
        <f t="array" ref="L2218">CONCATENATE(_xlfn.XLOOKUP(C2218,Clientes[ID_Cliente],Clientes[Provincia]),", Argentina")</f>
        <v>Buenos Aires, Argentina</v>
      </c>
      <c r="M2218" s="20" t="str">
        <f t="array" ref="M2218">_xlfn.XLOOKUP(F2218,Metodos_De_Pago[ID_Metodo],Metodos_De_Pago[Metodo])</f>
        <v>Transferencia</v>
      </c>
      <c r="N2218" s="20" t="str">
        <f t="shared" si="2"/>
        <v>2024 06</v>
      </c>
    </row>
    <row r="2219" ht="22.5" customHeight="1">
      <c r="A2219" s="12">
        <f>IFERROR(__xludf.DUMMYFUNCTION("""COMPUTED_VALUE"""),2855.0)</f>
        <v>2855</v>
      </c>
      <c r="B2219" s="13">
        <f>IFERROR(__xludf.DUMMYFUNCTION("""COMPUTED_VALUE"""),45450.0)</f>
        <v>45450</v>
      </c>
      <c r="C2219" s="12">
        <f>IFERROR(__xludf.DUMMYFUNCTION("""COMPUTED_VALUE"""),53.0)</f>
        <v>53</v>
      </c>
      <c r="D2219" s="12">
        <f>IFERROR(__xludf.DUMMYFUNCTION("""COMPUTED_VALUE"""),7.0)</f>
        <v>7</v>
      </c>
      <c r="E2219" s="12">
        <f>IFERROR(__xludf.DUMMYFUNCTION("""COMPUTED_VALUE"""),5.0)</f>
        <v>5</v>
      </c>
      <c r="F2219" s="12">
        <f>IFERROR(__xludf.DUMMYFUNCTION("""COMPUTED_VALUE"""),5.0)</f>
        <v>5</v>
      </c>
      <c r="G2219" s="15" t="str">
        <f>IFERROR(__xludf.DUMMYFUNCTION("""COMPUTED_VALUE"""),"Completa")</f>
        <v>Completa</v>
      </c>
      <c r="H2219" s="16" t="str">
        <f t="array" ref="H2219">_xlfn.XLOOKUP(D2219,Productos[ID_Producto],Productos[Nombre_Producto])</f>
        <v>Chorizo</v>
      </c>
      <c r="I2219" s="17">
        <f t="array" ref="I2219">_xlfn.XLOOKUP(D2219,Productos[ID_Producto],Productos[Precio_Unitario])</f>
        <v>11.25</v>
      </c>
      <c r="J2219" s="17">
        <f t="shared" si="1"/>
        <v>56.25</v>
      </c>
      <c r="K2219" s="16" t="str">
        <f t="array" ref="K2219">_xlfn.XLOOKUP(C2219,Clientes[ID_Cliente],Clientes[Provincia])</f>
        <v>Córdoba</v>
      </c>
      <c r="L2219" s="16" t="str">
        <f t="array" ref="L2219">CONCATENATE(_xlfn.XLOOKUP(C2219,Clientes[ID_Cliente],Clientes[Provincia]),", Argentina")</f>
        <v>Córdoba, Argentina</v>
      </c>
      <c r="M2219" s="20" t="str">
        <f t="array" ref="M2219">_xlfn.XLOOKUP(F2219,Metodos_De_Pago[ID_Metodo],Metodos_De_Pago[Metodo])</f>
        <v>Transferencia</v>
      </c>
      <c r="N2219" s="20" t="str">
        <f t="shared" si="2"/>
        <v>2024 06</v>
      </c>
    </row>
    <row r="2220" ht="22.5" customHeight="1">
      <c r="A2220" s="12">
        <f>IFERROR(__xludf.DUMMYFUNCTION("""COMPUTED_VALUE"""),495.0)</f>
        <v>495</v>
      </c>
      <c r="B2220" s="13">
        <f>IFERROR(__xludf.DUMMYFUNCTION("""COMPUTED_VALUE"""),45451.0)</f>
        <v>45451</v>
      </c>
      <c r="C2220" s="12">
        <f>IFERROR(__xludf.DUMMYFUNCTION("""COMPUTED_VALUE"""),153.0)</f>
        <v>153</v>
      </c>
      <c r="D2220" s="12">
        <f>IFERROR(__xludf.DUMMYFUNCTION("""COMPUTED_VALUE"""),35.0)</f>
        <v>35</v>
      </c>
      <c r="E2220" s="12">
        <f>IFERROR(__xludf.DUMMYFUNCTION("""COMPUTED_VALUE"""),5.0)</f>
        <v>5</v>
      </c>
      <c r="F2220" s="12">
        <f>IFERROR(__xludf.DUMMYFUNCTION("""COMPUTED_VALUE"""),1.0)</f>
        <v>1</v>
      </c>
      <c r="G2220" s="15" t="str">
        <f>IFERROR(__xludf.DUMMYFUNCTION("""COMPUTED_VALUE"""),"Completa")</f>
        <v>Completa</v>
      </c>
      <c r="H2220" s="16" t="str">
        <f t="array" ref="H2220">_xlfn.XLOOKUP(D2220,Productos[ID_Producto],Productos[Nombre_Producto])</f>
        <v>Arroz</v>
      </c>
      <c r="I2220" s="17">
        <f t="array" ref="I2220">_xlfn.XLOOKUP(D2220,Productos[ID_Producto],Productos[Precio_Unitario])</f>
        <v>4.25</v>
      </c>
      <c r="J2220" s="17">
        <f t="shared" si="1"/>
        <v>21.25</v>
      </c>
      <c r="K2220" s="16" t="str">
        <f t="array" ref="K2220">_xlfn.XLOOKUP(C2220,Clientes[ID_Cliente],Clientes[Provincia])</f>
        <v>San Luis</v>
      </c>
      <c r="L2220" s="16" t="str">
        <f t="array" ref="L2220">CONCATENATE(_xlfn.XLOOKUP(C2220,Clientes[ID_Cliente],Clientes[Provincia]),", Argentina")</f>
        <v>San Luis, Argentina</v>
      </c>
      <c r="M2220" s="20" t="str">
        <f t="array" ref="M2220">_xlfn.XLOOKUP(F2220,Metodos_De_Pago[ID_Metodo],Metodos_De_Pago[Metodo])</f>
        <v>Efectivo</v>
      </c>
      <c r="N2220" s="20" t="str">
        <f t="shared" si="2"/>
        <v>2024 06</v>
      </c>
    </row>
    <row r="2221" ht="22.5" customHeight="1">
      <c r="A2221" s="12">
        <f>IFERROR(__xludf.DUMMYFUNCTION("""COMPUTED_VALUE"""),1787.0)</f>
        <v>1787</v>
      </c>
      <c r="B2221" s="13">
        <f>IFERROR(__xludf.DUMMYFUNCTION("""COMPUTED_VALUE"""),45451.0)</f>
        <v>45451</v>
      </c>
      <c r="C2221" s="12">
        <f>IFERROR(__xludf.DUMMYFUNCTION("""COMPUTED_VALUE"""),203.0)</f>
        <v>203</v>
      </c>
      <c r="D2221" s="12">
        <f>IFERROR(__xludf.DUMMYFUNCTION("""COMPUTED_VALUE"""),22.0)</f>
        <v>22</v>
      </c>
      <c r="E2221" s="12">
        <f>IFERROR(__xludf.DUMMYFUNCTION("""COMPUTED_VALUE"""),5.0)</f>
        <v>5</v>
      </c>
      <c r="F2221" s="12">
        <f>IFERROR(__xludf.DUMMYFUNCTION("""COMPUTED_VALUE"""),5.0)</f>
        <v>5</v>
      </c>
      <c r="G2221" s="15" t="str">
        <f>IFERROR(__xludf.DUMMYFUNCTION("""COMPUTED_VALUE"""),"Completa")</f>
        <v>Completa</v>
      </c>
      <c r="H2221" s="16" t="str">
        <f t="array" ref="H2221">_xlfn.XLOOKUP(D2221,Productos[ID_Producto],Productos[Nombre_Producto])</f>
        <v>Cebolla</v>
      </c>
      <c r="I2221" s="17">
        <f t="array" ref="I2221">_xlfn.XLOOKUP(D2221,Productos[ID_Producto],Productos[Precio_Unitario])</f>
        <v>4.21</v>
      </c>
      <c r="J2221" s="17">
        <f t="shared" si="1"/>
        <v>21.05</v>
      </c>
      <c r="K2221" s="16" t="str">
        <f t="array" ref="K2221">_xlfn.XLOOKUP(C2221,Clientes[ID_Cliente],Clientes[Provincia])</f>
        <v>Buenos Aires</v>
      </c>
      <c r="L2221" s="16" t="str">
        <f t="array" ref="L2221">CONCATENATE(_xlfn.XLOOKUP(C2221,Clientes[ID_Cliente],Clientes[Provincia]),", Argentina")</f>
        <v>Buenos Aires, Argentina</v>
      </c>
      <c r="M2221" s="20" t="str">
        <f t="array" ref="M2221">_xlfn.XLOOKUP(F2221,Metodos_De_Pago[ID_Metodo],Metodos_De_Pago[Metodo])</f>
        <v>Transferencia</v>
      </c>
      <c r="N2221" s="20" t="str">
        <f t="shared" si="2"/>
        <v>2024 06</v>
      </c>
    </row>
    <row r="2222" ht="22.5" customHeight="1">
      <c r="A2222" s="12">
        <f>IFERROR(__xludf.DUMMYFUNCTION("""COMPUTED_VALUE"""),2009.0)</f>
        <v>2009</v>
      </c>
      <c r="B2222" s="13">
        <f>IFERROR(__xludf.DUMMYFUNCTION("""COMPUTED_VALUE"""),45451.0)</f>
        <v>45451</v>
      </c>
      <c r="C2222" s="12">
        <f>IFERROR(__xludf.DUMMYFUNCTION("""COMPUTED_VALUE"""),238.0)</f>
        <v>238</v>
      </c>
      <c r="D2222" s="12">
        <f>IFERROR(__xludf.DUMMYFUNCTION("""COMPUTED_VALUE"""),30.0)</f>
        <v>30</v>
      </c>
      <c r="E2222" s="12">
        <f>IFERROR(__xludf.DUMMYFUNCTION("""COMPUTED_VALUE"""),5.0)</f>
        <v>5</v>
      </c>
      <c r="F2222" s="12">
        <f>IFERROR(__xludf.DUMMYFUNCTION("""COMPUTED_VALUE"""),5.0)</f>
        <v>5</v>
      </c>
      <c r="G2222" s="15" t="str">
        <f>IFERROR(__xludf.DUMMYFUNCTION("""COMPUTED_VALUE"""),"Completa")</f>
        <v>Completa</v>
      </c>
      <c r="H2222" s="16" t="str">
        <f t="array" ref="H2222">_xlfn.XLOOKUP(D2222,Productos[ID_Producto],Productos[Nombre_Producto])</f>
        <v>Vino tinto</v>
      </c>
      <c r="I2222" s="17">
        <f t="array" ref="I2222">_xlfn.XLOOKUP(D2222,Productos[ID_Producto],Productos[Precio_Unitario])</f>
        <v>13.54</v>
      </c>
      <c r="J2222" s="17">
        <f t="shared" si="1"/>
        <v>67.7</v>
      </c>
      <c r="K2222" s="16" t="str">
        <f t="array" ref="K2222">_xlfn.XLOOKUP(C2222,Clientes[ID_Cliente],Clientes[Provincia])</f>
        <v>Buenos Aires</v>
      </c>
      <c r="L2222" s="16" t="str">
        <f t="array" ref="L2222">CONCATENATE(_xlfn.XLOOKUP(C2222,Clientes[ID_Cliente],Clientes[Provincia]),", Argentina")</f>
        <v>Buenos Aires, Argentina</v>
      </c>
      <c r="M2222" s="20" t="str">
        <f t="array" ref="M2222">_xlfn.XLOOKUP(F2222,Metodos_De_Pago[ID_Metodo],Metodos_De_Pago[Metodo])</f>
        <v>Transferencia</v>
      </c>
      <c r="N2222" s="20" t="str">
        <f t="shared" si="2"/>
        <v>2024 06</v>
      </c>
    </row>
    <row r="2223" ht="22.5" customHeight="1">
      <c r="A2223" s="12">
        <f>IFERROR(__xludf.DUMMYFUNCTION("""COMPUTED_VALUE"""),2967.0)</f>
        <v>2967</v>
      </c>
      <c r="B2223" s="13">
        <f>IFERROR(__xludf.DUMMYFUNCTION("""COMPUTED_VALUE"""),45454.0)</f>
        <v>45454</v>
      </c>
      <c r="C2223" s="12">
        <f>IFERROR(__xludf.DUMMYFUNCTION("""COMPUTED_VALUE"""),234.0)</f>
        <v>234</v>
      </c>
      <c r="D2223" s="12">
        <f>IFERROR(__xludf.DUMMYFUNCTION("""COMPUTED_VALUE"""),17.0)</f>
        <v>17</v>
      </c>
      <c r="E2223" s="12">
        <f>IFERROR(__xludf.DUMMYFUNCTION("""COMPUTED_VALUE"""),5.0)</f>
        <v>5</v>
      </c>
      <c r="F2223" s="12">
        <f>IFERROR(__xludf.DUMMYFUNCTION("""COMPUTED_VALUE"""),4.0)</f>
        <v>4</v>
      </c>
      <c r="G2223" s="15" t="str">
        <f>IFERROR(__xludf.DUMMYFUNCTION("""COMPUTED_VALUE"""),"Completa")</f>
        <v>Completa</v>
      </c>
      <c r="H2223" s="16" t="str">
        <f t="array" ref="H2223">_xlfn.XLOOKUP(D2223,Productos[ID_Producto],Productos[Nombre_Producto])</f>
        <v>Manzanas</v>
      </c>
      <c r="I2223" s="17">
        <f t="array" ref="I2223">_xlfn.XLOOKUP(D2223,Productos[ID_Producto],Productos[Precio_Unitario])</f>
        <v>6.54</v>
      </c>
      <c r="J2223" s="17">
        <f t="shared" si="1"/>
        <v>32.7</v>
      </c>
      <c r="K2223" s="16" t="str">
        <f t="array" ref="K2223">_xlfn.XLOOKUP(C2223,Clientes[ID_Cliente],Clientes[Provincia])</f>
        <v>Buenos Aires</v>
      </c>
      <c r="L2223" s="16" t="str">
        <f t="array" ref="L2223">CONCATENATE(_xlfn.XLOOKUP(C2223,Clientes[ID_Cliente],Clientes[Provincia]),", Argentina")</f>
        <v>Buenos Aires, Argentina</v>
      </c>
      <c r="M2223" s="20" t="str">
        <f t="array" ref="M2223">_xlfn.XLOOKUP(F2223,Metodos_De_Pago[ID_Metodo],Metodos_De_Pago[Metodo])</f>
        <v>Mercado Pago</v>
      </c>
      <c r="N2223" s="20" t="str">
        <f t="shared" si="2"/>
        <v>2024 06</v>
      </c>
    </row>
    <row r="2224" ht="22.5" customHeight="1">
      <c r="A2224" s="12">
        <f>IFERROR(__xludf.DUMMYFUNCTION("""COMPUTED_VALUE"""),1135.0)</f>
        <v>1135</v>
      </c>
      <c r="B2224" s="13">
        <f>IFERROR(__xludf.DUMMYFUNCTION("""COMPUTED_VALUE"""),45455.0)</f>
        <v>45455</v>
      </c>
      <c r="C2224" s="12">
        <f>IFERROR(__xludf.DUMMYFUNCTION("""COMPUTED_VALUE"""),86.0)</f>
        <v>86</v>
      </c>
      <c r="D2224" s="12">
        <f>IFERROR(__xludf.DUMMYFUNCTION("""COMPUTED_VALUE"""),9.0)</f>
        <v>9</v>
      </c>
      <c r="E2224" s="12">
        <f>IFERROR(__xludf.DUMMYFUNCTION("""COMPUTED_VALUE"""),5.0)</f>
        <v>5</v>
      </c>
      <c r="F2224" s="12">
        <f>IFERROR(__xludf.DUMMYFUNCTION("""COMPUTED_VALUE"""),2.0)</f>
        <v>2</v>
      </c>
      <c r="G2224" s="15" t="str">
        <f>IFERROR(__xludf.DUMMYFUNCTION("""COMPUTED_VALUE"""),"Completa")</f>
        <v>Completa</v>
      </c>
      <c r="H2224" s="16" t="str">
        <f t="array" ref="H2224">_xlfn.XLOOKUP(D2224,Productos[ID_Producto],Productos[Nombre_Producto])</f>
        <v>Pollo</v>
      </c>
      <c r="I2224" s="17">
        <f t="array" ref="I2224">_xlfn.XLOOKUP(D2224,Productos[ID_Producto],Productos[Precio_Unitario])</f>
        <v>18.56</v>
      </c>
      <c r="J2224" s="17">
        <f t="shared" si="1"/>
        <v>92.8</v>
      </c>
      <c r="K2224" s="16" t="str">
        <f t="array" ref="K2224">_xlfn.XLOOKUP(C2224,Clientes[ID_Cliente],Clientes[Provincia])</f>
        <v>Neuquén</v>
      </c>
      <c r="L2224" s="16" t="str">
        <f t="array" ref="L2224">CONCATENATE(_xlfn.XLOOKUP(C2224,Clientes[ID_Cliente],Clientes[Provincia]),", Argentina")</f>
        <v>Neuquén, Argentina</v>
      </c>
      <c r="M2224" s="20" t="str">
        <f t="array" ref="M2224">_xlfn.XLOOKUP(F2224,Metodos_De_Pago[ID_Metodo],Metodos_De_Pago[Metodo])</f>
        <v>Tarjeta de Crédito</v>
      </c>
      <c r="N2224" s="20" t="str">
        <f t="shared" si="2"/>
        <v>2024 06</v>
      </c>
    </row>
    <row r="2225" ht="22.5" customHeight="1">
      <c r="A2225" s="12">
        <f>IFERROR(__xludf.DUMMYFUNCTION("""COMPUTED_VALUE"""),1636.0)</f>
        <v>1636</v>
      </c>
      <c r="B2225" s="13">
        <f>IFERROR(__xludf.DUMMYFUNCTION("""COMPUTED_VALUE"""),45455.0)</f>
        <v>45455</v>
      </c>
      <c r="C2225" s="12">
        <f>IFERROR(__xludf.DUMMYFUNCTION("""COMPUTED_VALUE"""),152.0)</f>
        <v>152</v>
      </c>
      <c r="D2225" s="12">
        <f>IFERROR(__xludf.DUMMYFUNCTION("""COMPUTED_VALUE"""),12.0)</f>
        <v>12</v>
      </c>
      <c r="E2225" s="12">
        <f>IFERROR(__xludf.DUMMYFUNCTION("""COMPUTED_VALUE"""),5.0)</f>
        <v>5</v>
      </c>
      <c r="F2225" s="12">
        <f>IFERROR(__xludf.DUMMYFUNCTION("""COMPUTED_VALUE"""),4.0)</f>
        <v>4</v>
      </c>
      <c r="G2225" s="15" t="str">
        <f>IFERROR(__xludf.DUMMYFUNCTION("""COMPUTED_VALUE"""),"Completa")</f>
        <v>Completa</v>
      </c>
      <c r="H2225" s="16" t="str">
        <f t="array" ref="H2225">_xlfn.XLOOKUP(D2225,Productos[ID_Producto],Productos[Nombre_Producto])</f>
        <v>Pan francés</v>
      </c>
      <c r="I2225" s="17">
        <f t="array" ref="I2225">_xlfn.XLOOKUP(D2225,Productos[ID_Producto],Productos[Precio_Unitario])</f>
        <v>8.12</v>
      </c>
      <c r="J2225" s="17">
        <f t="shared" si="1"/>
        <v>40.6</v>
      </c>
      <c r="K2225" s="16" t="str">
        <f t="array" ref="K2225">_xlfn.XLOOKUP(C2225,Clientes[ID_Cliente],Clientes[Provincia])</f>
        <v>Salta</v>
      </c>
      <c r="L2225" s="16" t="str">
        <f t="array" ref="L2225">CONCATENATE(_xlfn.XLOOKUP(C2225,Clientes[ID_Cliente],Clientes[Provincia]),", Argentina")</f>
        <v>Salta, Argentina</v>
      </c>
      <c r="M2225" s="20" t="str">
        <f t="array" ref="M2225">_xlfn.XLOOKUP(F2225,Metodos_De_Pago[ID_Metodo],Metodos_De_Pago[Metodo])</f>
        <v>Mercado Pago</v>
      </c>
      <c r="N2225" s="20" t="str">
        <f t="shared" si="2"/>
        <v>2024 06</v>
      </c>
    </row>
    <row r="2226" ht="22.5" customHeight="1">
      <c r="A2226" s="12">
        <f>IFERROR(__xludf.DUMMYFUNCTION("""COMPUTED_VALUE"""),2737.0)</f>
        <v>2737</v>
      </c>
      <c r="B2226" s="13">
        <f>IFERROR(__xludf.DUMMYFUNCTION("""COMPUTED_VALUE"""),45455.0)</f>
        <v>45455</v>
      </c>
      <c r="C2226" s="12">
        <f>IFERROR(__xludf.DUMMYFUNCTION("""COMPUTED_VALUE"""),285.0)</f>
        <v>285</v>
      </c>
      <c r="D2226" s="12">
        <f>IFERROR(__xludf.DUMMYFUNCTION("""COMPUTED_VALUE"""),19.0)</f>
        <v>19</v>
      </c>
      <c r="E2226" s="12">
        <f>IFERROR(__xludf.DUMMYFUNCTION("""COMPUTED_VALUE"""),5.0)</f>
        <v>5</v>
      </c>
      <c r="F2226" s="12">
        <f>IFERROR(__xludf.DUMMYFUNCTION("""COMPUTED_VALUE"""),3.0)</f>
        <v>3</v>
      </c>
      <c r="G2226" s="15" t="str">
        <f>IFERROR(__xludf.DUMMYFUNCTION("""COMPUTED_VALUE"""),"Completa")</f>
        <v>Completa</v>
      </c>
      <c r="H2226" s="16" t="str">
        <f t="array" ref="H2226">_xlfn.XLOOKUP(D2226,Productos[ID_Producto],Productos[Nombre_Producto])</f>
        <v>Tomates</v>
      </c>
      <c r="I2226" s="17">
        <f t="array" ref="I2226">_xlfn.XLOOKUP(D2226,Productos[ID_Producto],Productos[Precio_Unitario])</f>
        <v>6.54</v>
      </c>
      <c r="J2226" s="17">
        <f t="shared" si="1"/>
        <v>32.7</v>
      </c>
      <c r="K2226" s="16" t="str">
        <f t="array" ref="K2226">_xlfn.XLOOKUP(C2226,Clientes[ID_Cliente],Clientes[Provincia])</f>
        <v>Neuquén</v>
      </c>
      <c r="L2226" s="16" t="str">
        <f t="array" ref="L2226">CONCATENATE(_xlfn.XLOOKUP(C2226,Clientes[ID_Cliente],Clientes[Provincia]),", Argentina")</f>
        <v>Neuquén, Argentina</v>
      </c>
      <c r="M2226" s="20" t="str">
        <f t="array" ref="M2226">_xlfn.XLOOKUP(F2226,Metodos_De_Pago[ID_Metodo],Metodos_De_Pago[Metodo])</f>
        <v>Tarjeta de Débito</v>
      </c>
      <c r="N2226" s="20" t="str">
        <f t="shared" si="2"/>
        <v>2024 06</v>
      </c>
    </row>
    <row r="2227" ht="22.5" customHeight="1">
      <c r="A2227" s="12">
        <f>IFERROR(__xludf.DUMMYFUNCTION("""COMPUTED_VALUE"""),2767.0)</f>
        <v>2767</v>
      </c>
      <c r="B2227" s="13">
        <f>IFERROR(__xludf.DUMMYFUNCTION("""COMPUTED_VALUE"""),45457.0)</f>
        <v>45457</v>
      </c>
      <c r="C2227" s="12">
        <f>IFERROR(__xludf.DUMMYFUNCTION("""COMPUTED_VALUE"""),245.0)</f>
        <v>245</v>
      </c>
      <c r="D2227" s="12">
        <f>IFERROR(__xludf.DUMMYFUNCTION("""COMPUTED_VALUE"""),29.0)</f>
        <v>29</v>
      </c>
      <c r="E2227" s="12">
        <f>IFERROR(__xludf.DUMMYFUNCTION("""COMPUTED_VALUE"""),5.0)</f>
        <v>5</v>
      </c>
      <c r="F2227" s="12">
        <f>IFERROR(__xludf.DUMMYFUNCTION("""COMPUTED_VALUE"""),5.0)</f>
        <v>5</v>
      </c>
      <c r="G2227" s="15" t="str">
        <f>IFERROR(__xludf.DUMMYFUNCTION("""COMPUTED_VALUE"""),"Completa")</f>
        <v>Completa</v>
      </c>
      <c r="H2227" s="16" t="str">
        <f t="array" ref="H2227">_xlfn.XLOOKUP(D2227,Productos[ID_Producto],Productos[Nombre_Producto])</f>
        <v>Cerveza</v>
      </c>
      <c r="I2227" s="17">
        <f t="array" ref="I2227">_xlfn.XLOOKUP(D2227,Productos[ID_Producto],Productos[Precio_Unitario])</f>
        <v>11.54</v>
      </c>
      <c r="J2227" s="17">
        <f t="shared" si="1"/>
        <v>57.7</v>
      </c>
      <c r="K2227" s="16" t="str">
        <f t="array" ref="K2227">_xlfn.XLOOKUP(C2227,Clientes[ID_Cliente],Clientes[Provincia])</f>
        <v>Chaco</v>
      </c>
      <c r="L2227" s="16" t="str">
        <f t="array" ref="L2227">CONCATENATE(_xlfn.XLOOKUP(C2227,Clientes[ID_Cliente],Clientes[Provincia]),", Argentina")</f>
        <v>Chaco, Argentina</v>
      </c>
      <c r="M2227" s="20" t="str">
        <f t="array" ref="M2227">_xlfn.XLOOKUP(F2227,Metodos_De_Pago[ID_Metodo],Metodos_De_Pago[Metodo])</f>
        <v>Transferencia</v>
      </c>
      <c r="N2227" s="20" t="str">
        <f t="shared" si="2"/>
        <v>2024 06</v>
      </c>
    </row>
    <row r="2228" ht="22.5" customHeight="1">
      <c r="A2228" s="12">
        <f>IFERROR(__xludf.DUMMYFUNCTION("""COMPUTED_VALUE"""),2955.0)</f>
        <v>2955</v>
      </c>
      <c r="B2228" s="13">
        <f>IFERROR(__xludf.DUMMYFUNCTION("""COMPUTED_VALUE"""),45457.0)</f>
        <v>45457</v>
      </c>
      <c r="C2228" s="12">
        <f>IFERROR(__xludf.DUMMYFUNCTION("""COMPUTED_VALUE"""),311.0)</f>
        <v>311</v>
      </c>
      <c r="D2228" s="12">
        <f>IFERROR(__xludf.DUMMYFUNCTION("""COMPUTED_VALUE"""),20.0)</f>
        <v>20</v>
      </c>
      <c r="E2228" s="12">
        <f>IFERROR(__xludf.DUMMYFUNCTION("""COMPUTED_VALUE"""),5.0)</f>
        <v>5</v>
      </c>
      <c r="F2228" s="12">
        <f>IFERROR(__xludf.DUMMYFUNCTION("""COMPUTED_VALUE"""),1.0)</f>
        <v>1</v>
      </c>
      <c r="G2228" s="15" t="str">
        <f>IFERROR(__xludf.DUMMYFUNCTION("""COMPUTED_VALUE"""),"Completa")</f>
        <v>Completa</v>
      </c>
      <c r="H2228" s="16" t="str">
        <f t="array" ref="H2228">_xlfn.XLOOKUP(D2228,Productos[ID_Producto],Productos[Nombre_Producto])</f>
        <v>Lechugas</v>
      </c>
      <c r="I2228" s="17">
        <f t="array" ref="I2228">_xlfn.XLOOKUP(D2228,Productos[ID_Producto],Productos[Precio_Unitario])</f>
        <v>4.25</v>
      </c>
      <c r="J2228" s="17">
        <f t="shared" si="1"/>
        <v>21.25</v>
      </c>
      <c r="K2228" s="16" t="str">
        <f t="array" ref="K2228">_xlfn.XLOOKUP(C2228,Clientes[ID_Cliente],Clientes[Provincia])</f>
        <v>Buenos Aires</v>
      </c>
      <c r="L2228" s="16" t="str">
        <f t="array" ref="L2228">CONCATENATE(_xlfn.XLOOKUP(C2228,Clientes[ID_Cliente],Clientes[Provincia]),", Argentina")</f>
        <v>Buenos Aires, Argentina</v>
      </c>
      <c r="M2228" s="20" t="str">
        <f t="array" ref="M2228">_xlfn.XLOOKUP(F2228,Metodos_De_Pago[ID_Metodo],Metodos_De_Pago[Metodo])</f>
        <v>Efectivo</v>
      </c>
      <c r="N2228" s="20" t="str">
        <f t="shared" si="2"/>
        <v>2024 06</v>
      </c>
    </row>
    <row r="2229" ht="22.5" customHeight="1">
      <c r="A2229" s="12">
        <f>IFERROR(__xludf.DUMMYFUNCTION("""COMPUTED_VALUE"""),244.0)</f>
        <v>244</v>
      </c>
      <c r="B2229" s="13">
        <f>IFERROR(__xludf.DUMMYFUNCTION("""COMPUTED_VALUE"""),45458.0)</f>
        <v>45458</v>
      </c>
      <c r="C2229" s="12">
        <f>IFERROR(__xludf.DUMMYFUNCTION("""COMPUTED_VALUE"""),188.0)</f>
        <v>188</v>
      </c>
      <c r="D2229" s="12">
        <f>IFERROR(__xludf.DUMMYFUNCTION("""COMPUTED_VALUE"""),7.0)</f>
        <v>7</v>
      </c>
      <c r="E2229" s="12">
        <f>IFERROR(__xludf.DUMMYFUNCTION("""COMPUTED_VALUE"""),5.0)</f>
        <v>5</v>
      </c>
      <c r="F2229" s="12">
        <f>IFERROR(__xludf.DUMMYFUNCTION("""COMPUTED_VALUE"""),1.0)</f>
        <v>1</v>
      </c>
      <c r="G2229" s="15" t="str">
        <f>IFERROR(__xludf.DUMMYFUNCTION("""COMPUTED_VALUE"""),"Completa")</f>
        <v>Completa</v>
      </c>
      <c r="H2229" s="16" t="str">
        <f t="array" ref="H2229">_xlfn.XLOOKUP(D2229,Productos[ID_Producto],Productos[Nombre_Producto])</f>
        <v>Chorizo</v>
      </c>
      <c r="I2229" s="17">
        <f t="array" ref="I2229">_xlfn.XLOOKUP(D2229,Productos[ID_Producto],Productos[Precio_Unitario])</f>
        <v>11.25</v>
      </c>
      <c r="J2229" s="17">
        <f t="shared" si="1"/>
        <v>56.25</v>
      </c>
      <c r="K2229" s="16" t="str">
        <f t="array" ref="K2229">_xlfn.XLOOKUP(C2229,Clientes[ID_Cliente],Clientes[Provincia])</f>
        <v>San Luis</v>
      </c>
      <c r="L2229" s="16" t="str">
        <f t="array" ref="L2229">CONCATENATE(_xlfn.XLOOKUP(C2229,Clientes[ID_Cliente],Clientes[Provincia]),", Argentina")</f>
        <v>San Luis, Argentina</v>
      </c>
      <c r="M2229" s="20" t="str">
        <f t="array" ref="M2229">_xlfn.XLOOKUP(F2229,Metodos_De_Pago[ID_Metodo],Metodos_De_Pago[Metodo])</f>
        <v>Efectivo</v>
      </c>
      <c r="N2229" s="20" t="str">
        <f t="shared" si="2"/>
        <v>2024 06</v>
      </c>
    </row>
    <row r="2230" ht="22.5" customHeight="1">
      <c r="A2230" s="12">
        <f>IFERROR(__xludf.DUMMYFUNCTION("""COMPUTED_VALUE"""),694.0)</f>
        <v>694</v>
      </c>
      <c r="B2230" s="13">
        <f>IFERROR(__xludf.DUMMYFUNCTION("""COMPUTED_VALUE"""),45458.0)</f>
        <v>45458</v>
      </c>
      <c r="C2230" s="12">
        <f>IFERROR(__xludf.DUMMYFUNCTION("""COMPUTED_VALUE"""),114.0)</f>
        <v>114</v>
      </c>
      <c r="D2230" s="12">
        <f>IFERROR(__xludf.DUMMYFUNCTION("""COMPUTED_VALUE"""),19.0)</f>
        <v>19</v>
      </c>
      <c r="E2230" s="12">
        <f>IFERROR(__xludf.DUMMYFUNCTION("""COMPUTED_VALUE"""),5.0)</f>
        <v>5</v>
      </c>
      <c r="F2230" s="12">
        <f>IFERROR(__xludf.DUMMYFUNCTION("""COMPUTED_VALUE"""),5.0)</f>
        <v>5</v>
      </c>
      <c r="G2230" s="15" t="str">
        <f>IFERROR(__xludf.DUMMYFUNCTION("""COMPUTED_VALUE"""),"Completa")</f>
        <v>Completa</v>
      </c>
      <c r="H2230" s="16" t="str">
        <f t="array" ref="H2230">_xlfn.XLOOKUP(D2230,Productos[ID_Producto],Productos[Nombre_Producto])</f>
        <v>Tomates</v>
      </c>
      <c r="I2230" s="17">
        <f t="array" ref="I2230">_xlfn.XLOOKUP(D2230,Productos[ID_Producto],Productos[Precio_Unitario])</f>
        <v>6.54</v>
      </c>
      <c r="J2230" s="17">
        <f t="shared" si="1"/>
        <v>32.7</v>
      </c>
      <c r="K2230" s="16" t="str">
        <f t="array" ref="K2230">_xlfn.XLOOKUP(C2230,Clientes[ID_Cliente],Clientes[Provincia])</f>
        <v>Córdoba</v>
      </c>
      <c r="L2230" s="16" t="str">
        <f t="array" ref="L2230">CONCATENATE(_xlfn.XLOOKUP(C2230,Clientes[ID_Cliente],Clientes[Provincia]),", Argentina")</f>
        <v>Córdoba, Argentina</v>
      </c>
      <c r="M2230" s="20" t="str">
        <f t="array" ref="M2230">_xlfn.XLOOKUP(F2230,Metodos_De_Pago[ID_Metodo],Metodos_De_Pago[Metodo])</f>
        <v>Transferencia</v>
      </c>
      <c r="N2230" s="20" t="str">
        <f t="shared" si="2"/>
        <v>2024 06</v>
      </c>
    </row>
    <row r="2231" ht="22.5" customHeight="1">
      <c r="A2231" s="12">
        <f>IFERROR(__xludf.DUMMYFUNCTION("""COMPUTED_VALUE"""),1324.0)</f>
        <v>1324</v>
      </c>
      <c r="B2231" s="13">
        <f>IFERROR(__xludf.DUMMYFUNCTION("""COMPUTED_VALUE"""),45458.0)</f>
        <v>45458</v>
      </c>
      <c r="C2231" s="12">
        <f>IFERROR(__xludf.DUMMYFUNCTION("""COMPUTED_VALUE"""),41.0)</f>
        <v>41</v>
      </c>
      <c r="D2231" s="12">
        <f>IFERROR(__xludf.DUMMYFUNCTION("""COMPUTED_VALUE"""),18.0)</f>
        <v>18</v>
      </c>
      <c r="E2231" s="12">
        <f>IFERROR(__xludf.DUMMYFUNCTION("""COMPUTED_VALUE"""),5.0)</f>
        <v>5</v>
      </c>
      <c r="F2231" s="12">
        <f>IFERROR(__xludf.DUMMYFUNCTION("""COMPUTED_VALUE"""),5.0)</f>
        <v>5</v>
      </c>
      <c r="G2231" s="15" t="str">
        <f>IFERROR(__xludf.DUMMYFUNCTION("""COMPUTED_VALUE"""),"Completa")</f>
        <v>Completa</v>
      </c>
      <c r="H2231" s="16" t="str">
        <f t="array" ref="H2231">_xlfn.XLOOKUP(D2231,Productos[ID_Producto],Productos[Nombre_Producto])</f>
        <v>Bananas</v>
      </c>
      <c r="I2231" s="17">
        <f t="array" ref="I2231">_xlfn.XLOOKUP(D2231,Productos[ID_Producto],Productos[Precio_Unitario])</f>
        <v>7.25</v>
      </c>
      <c r="J2231" s="17">
        <f t="shared" si="1"/>
        <v>36.25</v>
      </c>
      <c r="K2231" s="16" t="str">
        <f t="array" ref="K2231">_xlfn.XLOOKUP(C2231,Clientes[ID_Cliente],Clientes[Provincia])</f>
        <v>Neuquén</v>
      </c>
      <c r="L2231" s="16" t="str">
        <f t="array" ref="L2231">CONCATENATE(_xlfn.XLOOKUP(C2231,Clientes[ID_Cliente],Clientes[Provincia]),", Argentina")</f>
        <v>Neuquén, Argentina</v>
      </c>
      <c r="M2231" s="20" t="str">
        <f t="array" ref="M2231">_xlfn.XLOOKUP(F2231,Metodos_De_Pago[ID_Metodo],Metodos_De_Pago[Metodo])</f>
        <v>Transferencia</v>
      </c>
      <c r="N2231" s="20" t="str">
        <f t="shared" si="2"/>
        <v>2024 06</v>
      </c>
    </row>
    <row r="2232" ht="22.5" customHeight="1">
      <c r="A2232" s="12">
        <f>IFERROR(__xludf.DUMMYFUNCTION("""COMPUTED_VALUE"""),1803.0)</f>
        <v>1803</v>
      </c>
      <c r="B2232" s="13">
        <f>IFERROR(__xludf.DUMMYFUNCTION("""COMPUTED_VALUE"""),45458.0)</f>
        <v>45458</v>
      </c>
      <c r="C2232" s="12">
        <f>IFERROR(__xludf.DUMMYFUNCTION("""COMPUTED_VALUE"""),100.0)</f>
        <v>100</v>
      </c>
      <c r="D2232" s="12">
        <f>IFERROR(__xludf.DUMMYFUNCTION("""COMPUTED_VALUE"""),27.0)</f>
        <v>27</v>
      </c>
      <c r="E2232" s="12">
        <f>IFERROR(__xludf.DUMMYFUNCTION("""COMPUTED_VALUE"""),5.0)</f>
        <v>5</v>
      </c>
      <c r="F2232" s="12">
        <f>IFERROR(__xludf.DUMMYFUNCTION("""COMPUTED_VALUE"""),4.0)</f>
        <v>4</v>
      </c>
      <c r="G2232" s="15" t="str">
        <f>IFERROR(__xludf.DUMMYFUNCTION("""COMPUTED_VALUE"""),"Completa")</f>
        <v>Completa</v>
      </c>
      <c r="H2232" s="16" t="str">
        <f t="array" ref="H2232">_xlfn.XLOOKUP(D2232,Productos[ID_Producto],Productos[Nombre_Producto])</f>
        <v>Agua mineral</v>
      </c>
      <c r="I2232" s="17">
        <f t="array" ref="I2232">_xlfn.XLOOKUP(D2232,Productos[ID_Producto],Productos[Precio_Unitario])</f>
        <v>6.21</v>
      </c>
      <c r="J2232" s="17">
        <f t="shared" si="1"/>
        <v>31.05</v>
      </c>
      <c r="K2232" s="16" t="str">
        <f t="array" ref="K2232">_xlfn.XLOOKUP(C2232,Clientes[ID_Cliente],Clientes[Provincia])</f>
        <v>Chaco</v>
      </c>
      <c r="L2232" s="16" t="str">
        <f t="array" ref="L2232">CONCATENATE(_xlfn.XLOOKUP(C2232,Clientes[ID_Cliente],Clientes[Provincia]),", Argentina")</f>
        <v>Chaco, Argentina</v>
      </c>
      <c r="M2232" s="20" t="str">
        <f t="array" ref="M2232">_xlfn.XLOOKUP(F2232,Metodos_De_Pago[ID_Metodo],Metodos_De_Pago[Metodo])</f>
        <v>Mercado Pago</v>
      </c>
      <c r="N2232" s="20" t="str">
        <f t="shared" si="2"/>
        <v>2024 06</v>
      </c>
    </row>
    <row r="2233" ht="22.5" customHeight="1">
      <c r="A2233" s="12">
        <f>IFERROR(__xludf.DUMMYFUNCTION("""COMPUTED_VALUE"""),1902.0)</f>
        <v>1902</v>
      </c>
      <c r="B2233" s="13">
        <f>IFERROR(__xludf.DUMMYFUNCTION("""COMPUTED_VALUE"""),45458.0)</f>
        <v>45458</v>
      </c>
      <c r="C2233" s="12">
        <f>IFERROR(__xludf.DUMMYFUNCTION("""COMPUTED_VALUE"""),55.0)</f>
        <v>55</v>
      </c>
      <c r="D2233" s="12">
        <f>IFERROR(__xludf.DUMMYFUNCTION("""COMPUTED_VALUE"""),37.0)</f>
        <v>37</v>
      </c>
      <c r="E2233" s="12">
        <f>IFERROR(__xludf.DUMMYFUNCTION("""COMPUTED_VALUE"""),5.0)</f>
        <v>5</v>
      </c>
      <c r="F2233" s="12">
        <f>IFERROR(__xludf.DUMMYFUNCTION("""COMPUTED_VALUE"""),4.0)</f>
        <v>4</v>
      </c>
      <c r="G2233" s="15" t="str">
        <f>IFERROR(__xludf.DUMMYFUNCTION("""COMPUTED_VALUE"""),"Completa")</f>
        <v>Completa</v>
      </c>
      <c r="H2233" s="16" t="str">
        <f t="array" ref="H2233">_xlfn.XLOOKUP(D2233,Productos[ID_Producto],Productos[Nombre_Producto])</f>
        <v>Garbanzos</v>
      </c>
      <c r="I2233" s="17">
        <f t="array" ref="I2233">_xlfn.XLOOKUP(D2233,Productos[ID_Producto],Productos[Precio_Unitario])</f>
        <v>3.65</v>
      </c>
      <c r="J2233" s="17">
        <f t="shared" si="1"/>
        <v>18.25</v>
      </c>
      <c r="K2233" s="16" t="str">
        <f t="array" ref="K2233">_xlfn.XLOOKUP(C2233,Clientes[ID_Cliente],Clientes[Provincia])</f>
        <v>Neuquén</v>
      </c>
      <c r="L2233" s="16" t="str">
        <f t="array" ref="L2233">CONCATENATE(_xlfn.XLOOKUP(C2233,Clientes[ID_Cliente],Clientes[Provincia]),", Argentina")</f>
        <v>Neuquén, Argentina</v>
      </c>
      <c r="M2233" s="20" t="str">
        <f t="array" ref="M2233">_xlfn.XLOOKUP(F2233,Metodos_De_Pago[ID_Metodo],Metodos_De_Pago[Metodo])</f>
        <v>Mercado Pago</v>
      </c>
      <c r="N2233" s="20" t="str">
        <f t="shared" si="2"/>
        <v>2024 06</v>
      </c>
    </row>
    <row r="2234" ht="22.5" customHeight="1">
      <c r="A2234" s="12">
        <f>IFERROR(__xludf.DUMMYFUNCTION("""COMPUTED_VALUE"""),2435.0)</f>
        <v>2435</v>
      </c>
      <c r="B2234" s="13">
        <f>IFERROR(__xludf.DUMMYFUNCTION("""COMPUTED_VALUE"""),45458.0)</f>
        <v>45458</v>
      </c>
      <c r="C2234" s="12">
        <f>IFERROR(__xludf.DUMMYFUNCTION("""COMPUTED_VALUE"""),80.0)</f>
        <v>80</v>
      </c>
      <c r="D2234" s="12">
        <f>IFERROR(__xludf.DUMMYFUNCTION("""COMPUTED_VALUE"""),35.0)</f>
        <v>35</v>
      </c>
      <c r="E2234" s="12">
        <f>IFERROR(__xludf.DUMMYFUNCTION("""COMPUTED_VALUE"""),5.0)</f>
        <v>5</v>
      </c>
      <c r="F2234" s="12">
        <f>IFERROR(__xludf.DUMMYFUNCTION("""COMPUTED_VALUE"""),4.0)</f>
        <v>4</v>
      </c>
      <c r="G2234" s="15" t="str">
        <f>IFERROR(__xludf.DUMMYFUNCTION("""COMPUTED_VALUE"""),"Completa")</f>
        <v>Completa</v>
      </c>
      <c r="H2234" s="16" t="str">
        <f t="array" ref="H2234">_xlfn.XLOOKUP(D2234,Productos[ID_Producto],Productos[Nombre_Producto])</f>
        <v>Arroz</v>
      </c>
      <c r="I2234" s="17">
        <f t="array" ref="I2234">_xlfn.XLOOKUP(D2234,Productos[ID_Producto],Productos[Precio_Unitario])</f>
        <v>4.25</v>
      </c>
      <c r="J2234" s="17">
        <f t="shared" si="1"/>
        <v>21.25</v>
      </c>
      <c r="K2234" s="16" t="str">
        <f t="array" ref="K2234">_xlfn.XLOOKUP(C2234,Clientes[ID_Cliente],Clientes[Provincia])</f>
        <v>Chaco</v>
      </c>
      <c r="L2234" s="16" t="str">
        <f t="array" ref="L2234">CONCATENATE(_xlfn.XLOOKUP(C2234,Clientes[ID_Cliente],Clientes[Provincia]),", Argentina")</f>
        <v>Chaco, Argentina</v>
      </c>
      <c r="M2234" s="20" t="str">
        <f t="array" ref="M2234">_xlfn.XLOOKUP(F2234,Metodos_De_Pago[ID_Metodo],Metodos_De_Pago[Metodo])</f>
        <v>Mercado Pago</v>
      </c>
      <c r="N2234" s="20" t="str">
        <f t="shared" si="2"/>
        <v>2024 06</v>
      </c>
    </row>
    <row r="2235" ht="22.5" customHeight="1">
      <c r="A2235" s="12">
        <f>IFERROR(__xludf.DUMMYFUNCTION("""COMPUTED_VALUE"""),1881.0)</f>
        <v>1881</v>
      </c>
      <c r="B2235" s="13">
        <f>IFERROR(__xludf.DUMMYFUNCTION("""COMPUTED_VALUE"""),45459.0)</f>
        <v>45459</v>
      </c>
      <c r="C2235" s="12">
        <f>IFERROR(__xludf.DUMMYFUNCTION("""COMPUTED_VALUE"""),218.0)</f>
        <v>218</v>
      </c>
      <c r="D2235" s="12">
        <f>IFERROR(__xludf.DUMMYFUNCTION("""COMPUTED_VALUE"""),24.0)</f>
        <v>24</v>
      </c>
      <c r="E2235" s="12">
        <f>IFERROR(__xludf.DUMMYFUNCTION("""COMPUTED_VALUE"""),5.0)</f>
        <v>5</v>
      </c>
      <c r="F2235" s="12">
        <f>IFERROR(__xludf.DUMMYFUNCTION("""COMPUTED_VALUE"""),3.0)</f>
        <v>3</v>
      </c>
      <c r="G2235" s="15" t="str">
        <f>IFERROR(__xludf.DUMMYFUNCTION("""COMPUTED_VALUE"""),"Completa")</f>
        <v>Completa</v>
      </c>
      <c r="H2235" s="16" t="str">
        <f t="array" ref="H2235">_xlfn.XLOOKUP(D2235,Productos[ID_Producto],Productos[Nombre_Producto])</f>
        <v>Empanadas</v>
      </c>
      <c r="I2235" s="17">
        <f t="array" ref="I2235">_xlfn.XLOOKUP(D2235,Productos[ID_Producto],Productos[Precio_Unitario])</f>
        <v>13.54</v>
      </c>
      <c r="J2235" s="17">
        <f t="shared" si="1"/>
        <v>67.7</v>
      </c>
      <c r="K2235" s="16" t="str">
        <f t="array" ref="K2235">_xlfn.XLOOKUP(C2235,Clientes[ID_Cliente],Clientes[Provincia])</f>
        <v>Córdoba</v>
      </c>
      <c r="L2235" s="16" t="str">
        <f t="array" ref="L2235">CONCATENATE(_xlfn.XLOOKUP(C2235,Clientes[ID_Cliente],Clientes[Provincia]),", Argentina")</f>
        <v>Córdoba, Argentina</v>
      </c>
      <c r="M2235" s="20" t="str">
        <f t="array" ref="M2235">_xlfn.XLOOKUP(F2235,Metodos_De_Pago[ID_Metodo],Metodos_De_Pago[Metodo])</f>
        <v>Tarjeta de Débito</v>
      </c>
      <c r="N2235" s="20" t="str">
        <f t="shared" si="2"/>
        <v>2024 06</v>
      </c>
    </row>
    <row r="2236" ht="22.5" customHeight="1">
      <c r="A2236" s="12">
        <f>IFERROR(__xludf.DUMMYFUNCTION("""COMPUTED_VALUE"""),1234.0)</f>
        <v>1234</v>
      </c>
      <c r="B2236" s="13">
        <f>IFERROR(__xludf.DUMMYFUNCTION("""COMPUTED_VALUE"""),45460.0)</f>
        <v>45460</v>
      </c>
      <c r="C2236" s="12">
        <f>IFERROR(__xludf.DUMMYFUNCTION("""COMPUTED_VALUE"""),276.0)</f>
        <v>276</v>
      </c>
      <c r="D2236" s="12">
        <f>IFERROR(__xludf.DUMMYFUNCTION("""COMPUTED_VALUE"""),25.0)</f>
        <v>25</v>
      </c>
      <c r="E2236" s="12">
        <f>IFERROR(__xludf.DUMMYFUNCTION("""COMPUTED_VALUE"""),5.0)</f>
        <v>5</v>
      </c>
      <c r="F2236" s="12">
        <f>IFERROR(__xludf.DUMMYFUNCTION("""COMPUTED_VALUE"""),5.0)</f>
        <v>5</v>
      </c>
      <c r="G2236" s="15" t="str">
        <f>IFERROR(__xludf.DUMMYFUNCTION("""COMPUTED_VALUE"""),"Cancelada")</f>
        <v>Cancelada</v>
      </c>
      <c r="H2236" s="16" t="str">
        <f t="array" ref="H2236">_xlfn.XLOOKUP(D2236,Productos[ID_Producto],Productos[Nombre_Producto])</f>
        <v>Pizza congelada</v>
      </c>
      <c r="I2236" s="17">
        <f t="array" ref="I2236">_xlfn.XLOOKUP(D2236,Productos[ID_Producto],Productos[Precio_Unitario])</f>
        <v>15.45</v>
      </c>
      <c r="J2236" s="17">
        <f t="shared" si="1"/>
        <v>77.25</v>
      </c>
      <c r="K2236" s="16" t="str">
        <f t="array" ref="K2236">_xlfn.XLOOKUP(C2236,Clientes[ID_Cliente],Clientes[Provincia])</f>
        <v>Neuquén</v>
      </c>
      <c r="L2236" s="16" t="str">
        <f t="array" ref="L2236">CONCATENATE(_xlfn.XLOOKUP(C2236,Clientes[ID_Cliente],Clientes[Provincia]),", Argentina")</f>
        <v>Neuquén, Argentina</v>
      </c>
      <c r="M2236" s="20" t="str">
        <f t="array" ref="M2236">_xlfn.XLOOKUP(F2236,Metodos_De_Pago[ID_Metodo],Metodos_De_Pago[Metodo])</f>
        <v>Transferencia</v>
      </c>
      <c r="N2236" s="20" t="str">
        <f t="shared" si="2"/>
        <v>2024 06</v>
      </c>
    </row>
    <row r="2237" ht="22.5" customHeight="1">
      <c r="A2237" s="12">
        <f>IFERROR(__xludf.DUMMYFUNCTION("""COMPUTED_VALUE"""),450.0)</f>
        <v>450</v>
      </c>
      <c r="B2237" s="13">
        <f>IFERROR(__xludf.DUMMYFUNCTION("""COMPUTED_VALUE"""),45461.0)</f>
        <v>45461</v>
      </c>
      <c r="C2237" s="12">
        <f>IFERROR(__xludf.DUMMYFUNCTION("""COMPUTED_VALUE"""),235.0)</f>
        <v>235</v>
      </c>
      <c r="D2237" s="12">
        <f>IFERROR(__xludf.DUMMYFUNCTION("""COMPUTED_VALUE"""),4.0)</f>
        <v>4</v>
      </c>
      <c r="E2237" s="12">
        <f>IFERROR(__xludf.DUMMYFUNCTION("""COMPUTED_VALUE"""),5.0)</f>
        <v>5</v>
      </c>
      <c r="F2237" s="12">
        <f>IFERROR(__xludf.DUMMYFUNCTION("""COMPUTED_VALUE"""),5.0)</f>
        <v>5</v>
      </c>
      <c r="G2237" s="15" t="str">
        <f>IFERROR(__xludf.DUMMYFUNCTION("""COMPUTED_VALUE"""),"Completa")</f>
        <v>Completa</v>
      </c>
      <c r="H2237" s="16" t="str">
        <f t="array" ref="H2237">_xlfn.XLOOKUP(D2237,Productos[ID_Producto],Productos[Nombre_Producto])</f>
        <v>Queso rallado</v>
      </c>
      <c r="I2237" s="17">
        <f t="array" ref="I2237">_xlfn.XLOOKUP(D2237,Productos[ID_Producto],Productos[Precio_Unitario])</f>
        <v>19.23</v>
      </c>
      <c r="J2237" s="17">
        <f t="shared" si="1"/>
        <v>96.15</v>
      </c>
      <c r="K2237" s="16" t="str">
        <f t="array" ref="K2237">_xlfn.XLOOKUP(C2237,Clientes[ID_Cliente],Clientes[Provincia])</f>
        <v>Chaco</v>
      </c>
      <c r="L2237" s="16" t="str">
        <f t="array" ref="L2237">CONCATENATE(_xlfn.XLOOKUP(C2237,Clientes[ID_Cliente],Clientes[Provincia]),", Argentina")</f>
        <v>Chaco, Argentina</v>
      </c>
      <c r="M2237" s="20" t="str">
        <f t="array" ref="M2237">_xlfn.XLOOKUP(F2237,Metodos_De_Pago[ID_Metodo],Metodos_De_Pago[Metodo])</f>
        <v>Transferencia</v>
      </c>
      <c r="N2237" s="20" t="str">
        <f t="shared" si="2"/>
        <v>2024 06</v>
      </c>
    </row>
    <row r="2238" ht="22.5" customHeight="1">
      <c r="A2238" s="12">
        <f>IFERROR(__xludf.DUMMYFUNCTION("""COMPUTED_VALUE"""),1341.0)</f>
        <v>1341</v>
      </c>
      <c r="B2238" s="13">
        <f>IFERROR(__xludf.DUMMYFUNCTION("""COMPUTED_VALUE"""),45461.0)</f>
        <v>45461</v>
      </c>
      <c r="C2238" s="12">
        <f>IFERROR(__xludf.DUMMYFUNCTION("""COMPUTED_VALUE"""),133.0)</f>
        <v>133</v>
      </c>
      <c r="D2238" s="12">
        <f>IFERROR(__xludf.DUMMYFUNCTION("""COMPUTED_VALUE"""),15.0)</f>
        <v>15</v>
      </c>
      <c r="E2238" s="12">
        <f>IFERROR(__xludf.DUMMYFUNCTION("""COMPUTED_VALUE"""),5.0)</f>
        <v>5</v>
      </c>
      <c r="F2238" s="12">
        <f>IFERROR(__xludf.DUMMYFUNCTION("""COMPUTED_VALUE"""),1.0)</f>
        <v>1</v>
      </c>
      <c r="G2238" s="15" t="str">
        <f>IFERROR(__xludf.DUMMYFUNCTION("""COMPUTED_VALUE"""),"Pendiente")</f>
        <v>Pendiente</v>
      </c>
      <c r="H2238" s="16" t="str">
        <f t="array" ref="H2238">_xlfn.XLOOKUP(D2238,Productos[ID_Producto],Productos[Nombre_Producto])</f>
        <v>Medialunas</v>
      </c>
      <c r="I2238" s="17">
        <f t="array" ref="I2238">_xlfn.XLOOKUP(D2238,Productos[ID_Producto],Productos[Precio_Unitario])</f>
        <v>3.51</v>
      </c>
      <c r="J2238" s="17">
        <f t="shared" si="1"/>
        <v>17.55</v>
      </c>
      <c r="K2238" s="16" t="str">
        <f t="array" ref="K2238">_xlfn.XLOOKUP(C2238,Clientes[ID_Cliente],Clientes[Provincia])</f>
        <v>Buenos Aires</v>
      </c>
      <c r="L2238" s="16" t="str">
        <f t="array" ref="L2238">CONCATENATE(_xlfn.XLOOKUP(C2238,Clientes[ID_Cliente],Clientes[Provincia]),", Argentina")</f>
        <v>Buenos Aires, Argentina</v>
      </c>
      <c r="M2238" s="20" t="str">
        <f t="array" ref="M2238">_xlfn.XLOOKUP(F2238,Metodos_De_Pago[ID_Metodo],Metodos_De_Pago[Metodo])</f>
        <v>Efectivo</v>
      </c>
      <c r="N2238" s="20" t="str">
        <f t="shared" si="2"/>
        <v>2024 06</v>
      </c>
    </row>
    <row r="2239" ht="22.5" customHeight="1">
      <c r="A2239" s="12">
        <f>IFERROR(__xludf.DUMMYFUNCTION("""COMPUTED_VALUE"""),865.0)</f>
        <v>865</v>
      </c>
      <c r="B2239" s="13">
        <f>IFERROR(__xludf.DUMMYFUNCTION("""COMPUTED_VALUE"""),45462.0)</f>
        <v>45462</v>
      </c>
      <c r="C2239" s="12">
        <f>IFERROR(__xludf.DUMMYFUNCTION("""COMPUTED_VALUE"""),60.0)</f>
        <v>60</v>
      </c>
      <c r="D2239" s="12">
        <f>IFERROR(__xludf.DUMMYFUNCTION("""COMPUTED_VALUE"""),2.0)</f>
        <v>2</v>
      </c>
      <c r="E2239" s="12">
        <f>IFERROR(__xludf.DUMMYFUNCTION("""COMPUTED_VALUE"""),5.0)</f>
        <v>5</v>
      </c>
      <c r="F2239" s="12">
        <f>IFERROR(__xludf.DUMMYFUNCTION("""COMPUTED_VALUE"""),1.0)</f>
        <v>1</v>
      </c>
      <c r="G2239" s="15" t="str">
        <f>IFERROR(__xludf.DUMMYFUNCTION("""COMPUTED_VALUE"""),"Completa")</f>
        <v>Completa</v>
      </c>
      <c r="H2239" s="16" t="str">
        <f t="array" ref="H2239">_xlfn.XLOOKUP(D2239,Productos[ID_Producto],Productos[Nombre_Producto])</f>
        <v>Yogur</v>
      </c>
      <c r="I2239" s="17">
        <f t="array" ref="I2239">_xlfn.XLOOKUP(D2239,Productos[ID_Producto],Productos[Precio_Unitario])</f>
        <v>5.21</v>
      </c>
      <c r="J2239" s="17">
        <f t="shared" si="1"/>
        <v>26.05</v>
      </c>
      <c r="K2239" s="16" t="str">
        <f t="array" ref="K2239">_xlfn.XLOOKUP(C2239,Clientes[ID_Cliente],Clientes[Provincia])</f>
        <v>Chaco</v>
      </c>
      <c r="L2239" s="16" t="str">
        <f t="array" ref="L2239">CONCATENATE(_xlfn.XLOOKUP(C2239,Clientes[ID_Cliente],Clientes[Provincia]),", Argentina")</f>
        <v>Chaco, Argentina</v>
      </c>
      <c r="M2239" s="20" t="str">
        <f t="array" ref="M2239">_xlfn.XLOOKUP(F2239,Metodos_De_Pago[ID_Metodo],Metodos_De_Pago[Metodo])</f>
        <v>Efectivo</v>
      </c>
      <c r="N2239" s="20" t="str">
        <f t="shared" si="2"/>
        <v>2024 06</v>
      </c>
    </row>
    <row r="2240" ht="22.5" customHeight="1">
      <c r="A2240" s="12">
        <f>IFERROR(__xludf.DUMMYFUNCTION("""COMPUTED_VALUE"""),1509.0)</f>
        <v>1509</v>
      </c>
      <c r="B2240" s="13">
        <f>IFERROR(__xludf.DUMMYFUNCTION("""COMPUTED_VALUE"""),45463.0)</f>
        <v>45463</v>
      </c>
      <c r="C2240" s="12">
        <f>IFERROR(__xludf.DUMMYFUNCTION("""COMPUTED_VALUE"""),36.0)</f>
        <v>36</v>
      </c>
      <c r="D2240" s="12">
        <f>IFERROR(__xludf.DUMMYFUNCTION("""COMPUTED_VALUE"""),18.0)</f>
        <v>18</v>
      </c>
      <c r="E2240" s="12">
        <f>IFERROR(__xludf.DUMMYFUNCTION("""COMPUTED_VALUE"""),5.0)</f>
        <v>5</v>
      </c>
      <c r="F2240" s="12">
        <f>IFERROR(__xludf.DUMMYFUNCTION("""COMPUTED_VALUE"""),4.0)</f>
        <v>4</v>
      </c>
      <c r="G2240" s="15" t="str">
        <f>IFERROR(__xludf.DUMMYFUNCTION("""COMPUTED_VALUE"""),"Completa")</f>
        <v>Completa</v>
      </c>
      <c r="H2240" s="16" t="str">
        <f t="array" ref="H2240">_xlfn.XLOOKUP(D2240,Productos[ID_Producto],Productos[Nombre_Producto])</f>
        <v>Bananas</v>
      </c>
      <c r="I2240" s="17">
        <f t="array" ref="I2240">_xlfn.XLOOKUP(D2240,Productos[ID_Producto],Productos[Precio_Unitario])</f>
        <v>7.25</v>
      </c>
      <c r="J2240" s="17">
        <f t="shared" si="1"/>
        <v>36.25</v>
      </c>
      <c r="K2240" s="16" t="str">
        <f t="array" ref="K2240">_xlfn.XLOOKUP(C2240,Clientes[ID_Cliente],Clientes[Provincia])</f>
        <v>Buenos Aires</v>
      </c>
      <c r="L2240" s="16" t="str">
        <f t="array" ref="L2240">CONCATENATE(_xlfn.XLOOKUP(C2240,Clientes[ID_Cliente],Clientes[Provincia]),", Argentina")</f>
        <v>Buenos Aires, Argentina</v>
      </c>
      <c r="M2240" s="20" t="str">
        <f t="array" ref="M2240">_xlfn.XLOOKUP(F2240,Metodos_De_Pago[ID_Metodo],Metodos_De_Pago[Metodo])</f>
        <v>Mercado Pago</v>
      </c>
      <c r="N2240" s="20" t="str">
        <f t="shared" si="2"/>
        <v>2024 06</v>
      </c>
    </row>
    <row r="2241" ht="22.5" customHeight="1">
      <c r="A2241" s="12">
        <f>IFERROR(__xludf.DUMMYFUNCTION("""COMPUTED_VALUE"""),2257.0)</f>
        <v>2257</v>
      </c>
      <c r="B2241" s="13">
        <f>IFERROR(__xludf.DUMMYFUNCTION("""COMPUTED_VALUE"""),45463.0)</f>
        <v>45463</v>
      </c>
      <c r="C2241" s="12">
        <f>IFERROR(__xludf.DUMMYFUNCTION("""COMPUTED_VALUE"""),137.0)</f>
        <v>137</v>
      </c>
      <c r="D2241" s="12">
        <f>IFERROR(__xludf.DUMMYFUNCTION("""COMPUTED_VALUE"""),15.0)</f>
        <v>15</v>
      </c>
      <c r="E2241" s="12">
        <f>IFERROR(__xludf.DUMMYFUNCTION("""COMPUTED_VALUE"""),5.0)</f>
        <v>5</v>
      </c>
      <c r="F2241" s="12">
        <f>IFERROR(__xludf.DUMMYFUNCTION("""COMPUTED_VALUE"""),3.0)</f>
        <v>3</v>
      </c>
      <c r="G2241" s="15" t="str">
        <f>IFERROR(__xludf.DUMMYFUNCTION("""COMPUTED_VALUE"""),"Completa")</f>
        <v>Completa</v>
      </c>
      <c r="H2241" s="16" t="str">
        <f t="array" ref="H2241">_xlfn.XLOOKUP(D2241,Productos[ID_Producto],Productos[Nombre_Producto])</f>
        <v>Medialunas</v>
      </c>
      <c r="I2241" s="17">
        <f t="array" ref="I2241">_xlfn.XLOOKUP(D2241,Productos[ID_Producto],Productos[Precio_Unitario])</f>
        <v>3.51</v>
      </c>
      <c r="J2241" s="17">
        <f t="shared" si="1"/>
        <v>17.55</v>
      </c>
      <c r="K2241" s="16" t="str">
        <f t="array" ref="K2241">_xlfn.XLOOKUP(C2241,Clientes[ID_Cliente],Clientes[Provincia])</f>
        <v>Neuquén</v>
      </c>
      <c r="L2241" s="16" t="str">
        <f t="array" ref="L2241">CONCATENATE(_xlfn.XLOOKUP(C2241,Clientes[ID_Cliente],Clientes[Provincia]),", Argentina")</f>
        <v>Neuquén, Argentina</v>
      </c>
      <c r="M2241" s="20" t="str">
        <f t="array" ref="M2241">_xlfn.XLOOKUP(F2241,Metodos_De_Pago[ID_Metodo],Metodos_De_Pago[Metodo])</f>
        <v>Tarjeta de Débito</v>
      </c>
      <c r="N2241" s="20" t="str">
        <f t="shared" si="2"/>
        <v>2024 06</v>
      </c>
    </row>
    <row r="2242" ht="22.5" customHeight="1">
      <c r="A2242" s="12">
        <f>IFERROR(__xludf.DUMMYFUNCTION("""COMPUTED_VALUE"""),743.0)</f>
        <v>743</v>
      </c>
      <c r="B2242" s="13">
        <f>IFERROR(__xludf.DUMMYFUNCTION("""COMPUTED_VALUE"""),45465.0)</f>
        <v>45465</v>
      </c>
      <c r="C2242" s="12">
        <f>IFERROR(__xludf.DUMMYFUNCTION("""COMPUTED_VALUE"""),271.0)</f>
        <v>271</v>
      </c>
      <c r="D2242" s="12">
        <f>IFERROR(__xludf.DUMMYFUNCTION("""COMPUTED_VALUE"""),5.0)</f>
        <v>5</v>
      </c>
      <c r="E2242" s="12">
        <f>IFERROR(__xludf.DUMMYFUNCTION("""COMPUTED_VALUE"""),5.0)</f>
        <v>5</v>
      </c>
      <c r="F2242" s="12">
        <f>IFERROR(__xludf.DUMMYFUNCTION("""COMPUTED_VALUE"""),5.0)</f>
        <v>5</v>
      </c>
      <c r="G2242" s="15" t="str">
        <f>IFERROR(__xludf.DUMMYFUNCTION("""COMPUTED_VALUE"""),"Completa")</f>
        <v>Completa</v>
      </c>
      <c r="H2242" s="16" t="str">
        <f t="array" ref="H2242">_xlfn.XLOOKUP(D2242,Productos[ID_Producto],Productos[Nombre_Producto])</f>
        <v>Manteca</v>
      </c>
      <c r="I2242" s="17">
        <f t="array" ref="I2242">_xlfn.XLOOKUP(D2242,Productos[ID_Producto],Productos[Precio_Unitario])</f>
        <v>5.65</v>
      </c>
      <c r="J2242" s="17">
        <f t="shared" si="1"/>
        <v>28.25</v>
      </c>
      <c r="K2242" s="16" t="str">
        <f t="array" ref="K2242">_xlfn.XLOOKUP(C2242,Clientes[ID_Cliente],Clientes[Provincia])</f>
        <v>Neuquén</v>
      </c>
      <c r="L2242" s="16" t="str">
        <f t="array" ref="L2242">CONCATENATE(_xlfn.XLOOKUP(C2242,Clientes[ID_Cliente],Clientes[Provincia]),", Argentina")</f>
        <v>Neuquén, Argentina</v>
      </c>
      <c r="M2242" s="20" t="str">
        <f t="array" ref="M2242">_xlfn.XLOOKUP(F2242,Metodos_De_Pago[ID_Metodo],Metodos_De_Pago[Metodo])</f>
        <v>Transferencia</v>
      </c>
      <c r="N2242" s="20" t="str">
        <f t="shared" si="2"/>
        <v>2024 06</v>
      </c>
    </row>
    <row r="2243" ht="22.5" customHeight="1">
      <c r="A2243" s="12">
        <f>IFERROR(__xludf.DUMMYFUNCTION("""COMPUTED_VALUE"""),2780.0)</f>
        <v>2780</v>
      </c>
      <c r="B2243" s="13">
        <f>IFERROR(__xludf.DUMMYFUNCTION("""COMPUTED_VALUE"""),45466.0)</f>
        <v>45466</v>
      </c>
      <c r="C2243" s="12">
        <f>IFERROR(__xludf.DUMMYFUNCTION("""COMPUTED_VALUE"""),216.0)</f>
        <v>216</v>
      </c>
      <c r="D2243" s="12">
        <f>IFERROR(__xludf.DUMMYFUNCTION("""COMPUTED_VALUE"""),1.0)</f>
        <v>1</v>
      </c>
      <c r="E2243" s="12">
        <f>IFERROR(__xludf.DUMMYFUNCTION("""COMPUTED_VALUE"""),5.0)</f>
        <v>5</v>
      </c>
      <c r="F2243" s="12">
        <f>IFERROR(__xludf.DUMMYFUNCTION("""COMPUTED_VALUE"""),2.0)</f>
        <v>2</v>
      </c>
      <c r="G2243" s="15" t="str">
        <f>IFERROR(__xludf.DUMMYFUNCTION("""COMPUTED_VALUE"""),"Completa")</f>
        <v>Completa</v>
      </c>
      <c r="H2243" s="16" t="str">
        <f t="array" ref="H2243">_xlfn.XLOOKUP(D2243,Productos[ID_Producto],Productos[Nombre_Producto])</f>
        <v>Leche</v>
      </c>
      <c r="I2243" s="17">
        <f t="array" ref="I2243">_xlfn.XLOOKUP(D2243,Productos[ID_Producto],Productos[Precio_Unitario])</f>
        <v>12.24</v>
      </c>
      <c r="J2243" s="17">
        <f t="shared" si="1"/>
        <v>61.2</v>
      </c>
      <c r="K2243" s="16" t="str">
        <f t="array" ref="K2243">_xlfn.XLOOKUP(C2243,Clientes[ID_Cliente],Clientes[Provincia])</f>
        <v>Córdoba</v>
      </c>
      <c r="L2243" s="16" t="str">
        <f t="array" ref="L2243">CONCATENATE(_xlfn.XLOOKUP(C2243,Clientes[ID_Cliente],Clientes[Provincia]),", Argentina")</f>
        <v>Córdoba, Argentina</v>
      </c>
      <c r="M2243" s="20" t="str">
        <f t="array" ref="M2243">_xlfn.XLOOKUP(F2243,Metodos_De_Pago[ID_Metodo],Metodos_De_Pago[Metodo])</f>
        <v>Tarjeta de Crédito</v>
      </c>
      <c r="N2243" s="20" t="str">
        <f t="shared" si="2"/>
        <v>2024 06</v>
      </c>
    </row>
    <row r="2244" ht="22.5" customHeight="1">
      <c r="A2244" s="12">
        <f>IFERROR(__xludf.DUMMYFUNCTION("""COMPUTED_VALUE"""),595.0)</f>
        <v>595</v>
      </c>
      <c r="B2244" s="13">
        <f>IFERROR(__xludf.DUMMYFUNCTION("""COMPUTED_VALUE"""),45467.0)</f>
        <v>45467</v>
      </c>
      <c r="C2244" s="12">
        <f>IFERROR(__xludf.DUMMYFUNCTION("""COMPUTED_VALUE"""),271.0)</f>
        <v>271</v>
      </c>
      <c r="D2244" s="12">
        <f>IFERROR(__xludf.DUMMYFUNCTION("""COMPUTED_VALUE"""),27.0)</f>
        <v>27</v>
      </c>
      <c r="E2244" s="12">
        <f>IFERROR(__xludf.DUMMYFUNCTION("""COMPUTED_VALUE"""),5.0)</f>
        <v>5</v>
      </c>
      <c r="F2244" s="12">
        <f>IFERROR(__xludf.DUMMYFUNCTION("""COMPUTED_VALUE"""),4.0)</f>
        <v>4</v>
      </c>
      <c r="G2244" s="15" t="str">
        <f>IFERROR(__xludf.DUMMYFUNCTION("""COMPUTED_VALUE"""),"Completa")</f>
        <v>Completa</v>
      </c>
      <c r="H2244" s="16" t="str">
        <f t="array" ref="H2244">_xlfn.XLOOKUP(D2244,Productos[ID_Producto],Productos[Nombre_Producto])</f>
        <v>Agua mineral</v>
      </c>
      <c r="I2244" s="17">
        <f t="array" ref="I2244">_xlfn.XLOOKUP(D2244,Productos[ID_Producto],Productos[Precio_Unitario])</f>
        <v>6.21</v>
      </c>
      <c r="J2244" s="17">
        <f t="shared" si="1"/>
        <v>31.05</v>
      </c>
      <c r="K2244" s="16" t="str">
        <f t="array" ref="K2244">_xlfn.XLOOKUP(C2244,Clientes[ID_Cliente],Clientes[Provincia])</f>
        <v>Neuquén</v>
      </c>
      <c r="L2244" s="16" t="str">
        <f t="array" ref="L2244">CONCATENATE(_xlfn.XLOOKUP(C2244,Clientes[ID_Cliente],Clientes[Provincia]),", Argentina")</f>
        <v>Neuquén, Argentina</v>
      </c>
      <c r="M2244" s="20" t="str">
        <f t="array" ref="M2244">_xlfn.XLOOKUP(F2244,Metodos_De_Pago[ID_Metodo],Metodos_De_Pago[Metodo])</f>
        <v>Mercado Pago</v>
      </c>
      <c r="N2244" s="20" t="str">
        <f t="shared" si="2"/>
        <v>2024 06</v>
      </c>
    </row>
    <row r="2245" ht="22.5" customHeight="1">
      <c r="A2245" s="12">
        <f>IFERROR(__xludf.DUMMYFUNCTION("""COMPUTED_VALUE"""),376.0)</f>
        <v>376</v>
      </c>
      <c r="B2245" s="13">
        <f>IFERROR(__xludf.DUMMYFUNCTION("""COMPUTED_VALUE"""),45468.0)</f>
        <v>45468</v>
      </c>
      <c r="C2245" s="12">
        <f>IFERROR(__xludf.DUMMYFUNCTION("""COMPUTED_VALUE"""),201.0)</f>
        <v>201</v>
      </c>
      <c r="D2245" s="12">
        <f>IFERROR(__xludf.DUMMYFUNCTION("""COMPUTED_VALUE"""),8.0)</f>
        <v>8</v>
      </c>
      <c r="E2245" s="12">
        <f>IFERROR(__xludf.DUMMYFUNCTION("""COMPUTED_VALUE"""),5.0)</f>
        <v>5</v>
      </c>
      <c r="F2245" s="12">
        <f>IFERROR(__xludf.DUMMYFUNCTION("""COMPUTED_VALUE"""),5.0)</f>
        <v>5</v>
      </c>
      <c r="G2245" s="15" t="str">
        <f>IFERROR(__xludf.DUMMYFUNCTION("""COMPUTED_VALUE"""),"Completa")</f>
        <v>Completa</v>
      </c>
      <c r="H2245" s="16" t="str">
        <f t="array" ref="H2245">_xlfn.XLOOKUP(D2245,Productos[ID_Producto],Productos[Nombre_Producto])</f>
        <v>Milanesa</v>
      </c>
      <c r="I2245" s="17">
        <f t="array" ref="I2245">_xlfn.XLOOKUP(D2245,Productos[ID_Producto],Productos[Precio_Unitario])</f>
        <v>16.21</v>
      </c>
      <c r="J2245" s="17">
        <f t="shared" si="1"/>
        <v>81.05</v>
      </c>
      <c r="K2245" s="16" t="str">
        <f t="array" ref="K2245">_xlfn.XLOOKUP(C2245,Clientes[ID_Cliente],Clientes[Provincia])</f>
        <v>Neuquén</v>
      </c>
      <c r="L2245" s="16" t="str">
        <f t="array" ref="L2245">CONCATENATE(_xlfn.XLOOKUP(C2245,Clientes[ID_Cliente],Clientes[Provincia]),", Argentina")</f>
        <v>Neuquén, Argentina</v>
      </c>
      <c r="M2245" s="20" t="str">
        <f t="array" ref="M2245">_xlfn.XLOOKUP(F2245,Metodos_De_Pago[ID_Metodo],Metodos_De_Pago[Metodo])</f>
        <v>Transferencia</v>
      </c>
      <c r="N2245" s="20" t="str">
        <f t="shared" si="2"/>
        <v>2024 06</v>
      </c>
    </row>
    <row r="2246" ht="22.5" customHeight="1">
      <c r="A2246" s="12">
        <f>IFERROR(__xludf.DUMMYFUNCTION("""COMPUTED_VALUE"""),570.0)</f>
        <v>570</v>
      </c>
      <c r="B2246" s="13">
        <f>IFERROR(__xludf.DUMMYFUNCTION("""COMPUTED_VALUE"""),45469.0)</f>
        <v>45469</v>
      </c>
      <c r="C2246" s="12">
        <f>IFERROR(__xludf.DUMMYFUNCTION("""COMPUTED_VALUE"""),185.0)</f>
        <v>185</v>
      </c>
      <c r="D2246" s="12">
        <f>IFERROR(__xludf.DUMMYFUNCTION("""COMPUTED_VALUE"""),19.0)</f>
        <v>19</v>
      </c>
      <c r="E2246" s="12">
        <f>IFERROR(__xludf.DUMMYFUNCTION("""COMPUTED_VALUE"""),5.0)</f>
        <v>5</v>
      </c>
      <c r="F2246" s="12">
        <f>IFERROR(__xludf.DUMMYFUNCTION("""COMPUTED_VALUE"""),3.0)</f>
        <v>3</v>
      </c>
      <c r="G2246" s="15" t="str">
        <f>IFERROR(__xludf.DUMMYFUNCTION("""COMPUTED_VALUE"""),"Completa")</f>
        <v>Completa</v>
      </c>
      <c r="H2246" s="16" t="str">
        <f t="array" ref="H2246">_xlfn.XLOOKUP(D2246,Productos[ID_Producto],Productos[Nombre_Producto])</f>
        <v>Tomates</v>
      </c>
      <c r="I2246" s="17">
        <f t="array" ref="I2246">_xlfn.XLOOKUP(D2246,Productos[ID_Producto],Productos[Precio_Unitario])</f>
        <v>6.54</v>
      </c>
      <c r="J2246" s="17">
        <f t="shared" si="1"/>
        <v>32.7</v>
      </c>
      <c r="K2246" s="16" t="str">
        <f t="array" ref="K2246">_xlfn.XLOOKUP(C2246,Clientes[ID_Cliente],Clientes[Provincia])</f>
        <v>Córdoba</v>
      </c>
      <c r="L2246" s="16" t="str">
        <f t="array" ref="L2246">CONCATENATE(_xlfn.XLOOKUP(C2246,Clientes[ID_Cliente],Clientes[Provincia]),", Argentina")</f>
        <v>Córdoba, Argentina</v>
      </c>
      <c r="M2246" s="20" t="str">
        <f t="array" ref="M2246">_xlfn.XLOOKUP(F2246,Metodos_De_Pago[ID_Metodo],Metodos_De_Pago[Metodo])</f>
        <v>Tarjeta de Débito</v>
      </c>
      <c r="N2246" s="20" t="str">
        <f t="shared" si="2"/>
        <v>2024 06</v>
      </c>
    </row>
    <row r="2247" ht="22.5" customHeight="1">
      <c r="A2247" s="12">
        <f>IFERROR(__xludf.DUMMYFUNCTION("""COMPUTED_VALUE"""),2633.0)</f>
        <v>2633</v>
      </c>
      <c r="B2247" s="13">
        <f>IFERROR(__xludf.DUMMYFUNCTION("""COMPUTED_VALUE"""),45469.0)</f>
        <v>45469</v>
      </c>
      <c r="C2247" s="12">
        <f>IFERROR(__xludf.DUMMYFUNCTION("""COMPUTED_VALUE"""),13.0)</f>
        <v>13</v>
      </c>
      <c r="D2247" s="12">
        <f>IFERROR(__xludf.DUMMYFUNCTION("""COMPUTED_VALUE"""),4.0)</f>
        <v>4</v>
      </c>
      <c r="E2247" s="12">
        <f>IFERROR(__xludf.DUMMYFUNCTION("""COMPUTED_VALUE"""),5.0)</f>
        <v>5</v>
      </c>
      <c r="F2247" s="12">
        <f>IFERROR(__xludf.DUMMYFUNCTION("""COMPUTED_VALUE"""),5.0)</f>
        <v>5</v>
      </c>
      <c r="G2247" s="15" t="str">
        <f>IFERROR(__xludf.DUMMYFUNCTION("""COMPUTED_VALUE"""),"Completa")</f>
        <v>Completa</v>
      </c>
      <c r="H2247" s="16" t="str">
        <f t="array" ref="H2247">_xlfn.XLOOKUP(D2247,Productos[ID_Producto],Productos[Nombre_Producto])</f>
        <v>Queso rallado</v>
      </c>
      <c r="I2247" s="17">
        <f t="array" ref="I2247">_xlfn.XLOOKUP(D2247,Productos[ID_Producto],Productos[Precio_Unitario])</f>
        <v>19.23</v>
      </c>
      <c r="J2247" s="17">
        <f t="shared" si="1"/>
        <v>96.15</v>
      </c>
      <c r="K2247" s="16" t="str">
        <f t="array" ref="K2247">_xlfn.XLOOKUP(C2247,Clientes[ID_Cliente],Clientes[Provincia])</f>
        <v>Córdoba</v>
      </c>
      <c r="L2247" s="16" t="str">
        <f t="array" ref="L2247">CONCATENATE(_xlfn.XLOOKUP(C2247,Clientes[ID_Cliente],Clientes[Provincia]),", Argentina")</f>
        <v>Córdoba, Argentina</v>
      </c>
      <c r="M2247" s="20" t="str">
        <f t="array" ref="M2247">_xlfn.XLOOKUP(F2247,Metodos_De_Pago[ID_Metodo],Metodos_De_Pago[Metodo])</f>
        <v>Transferencia</v>
      </c>
      <c r="N2247" s="20" t="str">
        <f t="shared" si="2"/>
        <v>2024 06</v>
      </c>
    </row>
    <row r="2248" ht="22.5" customHeight="1">
      <c r="A2248" s="12">
        <f>IFERROR(__xludf.DUMMYFUNCTION("""COMPUTED_VALUE"""),2881.0)</f>
        <v>2881</v>
      </c>
      <c r="B2248" s="13">
        <f>IFERROR(__xludf.DUMMYFUNCTION("""COMPUTED_VALUE"""),45470.0)</f>
        <v>45470</v>
      </c>
      <c r="C2248" s="12">
        <f>IFERROR(__xludf.DUMMYFUNCTION("""COMPUTED_VALUE"""),163.0)</f>
        <v>163</v>
      </c>
      <c r="D2248" s="12">
        <f>IFERROR(__xludf.DUMMYFUNCTION("""COMPUTED_VALUE"""),9.0)</f>
        <v>9</v>
      </c>
      <c r="E2248" s="12">
        <f>IFERROR(__xludf.DUMMYFUNCTION("""COMPUTED_VALUE"""),5.0)</f>
        <v>5</v>
      </c>
      <c r="F2248" s="12">
        <f>IFERROR(__xludf.DUMMYFUNCTION("""COMPUTED_VALUE"""),3.0)</f>
        <v>3</v>
      </c>
      <c r="G2248" s="15" t="str">
        <f>IFERROR(__xludf.DUMMYFUNCTION("""COMPUTED_VALUE"""),"Completa")</f>
        <v>Completa</v>
      </c>
      <c r="H2248" s="16" t="str">
        <f t="array" ref="H2248">_xlfn.XLOOKUP(D2248,Productos[ID_Producto],Productos[Nombre_Producto])</f>
        <v>Pollo</v>
      </c>
      <c r="I2248" s="17">
        <f t="array" ref="I2248">_xlfn.XLOOKUP(D2248,Productos[ID_Producto],Productos[Precio_Unitario])</f>
        <v>18.56</v>
      </c>
      <c r="J2248" s="17">
        <f t="shared" si="1"/>
        <v>92.8</v>
      </c>
      <c r="K2248" s="16" t="str">
        <f t="array" ref="K2248">_xlfn.XLOOKUP(C2248,Clientes[ID_Cliente],Clientes[Provincia])</f>
        <v>Buenos Aires</v>
      </c>
      <c r="L2248" s="16" t="str">
        <f t="array" ref="L2248">CONCATENATE(_xlfn.XLOOKUP(C2248,Clientes[ID_Cliente],Clientes[Provincia]),", Argentina")</f>
        <v>Buenos Aires, Argentina</v>
      </c>
      <c r="M2248" s="20" t="str">
        <f t="array" ref="M2248">_xlfn.XLOOKUP(F2248,Metodos_De_Pago[ID_Metodo],Metodos_De_Pago[Metodo])</f>
        <v>Tarjeta de Débito</v>
      </c>
      <c r="N2248" s="20" t="str">
        <f t="shared" si="2"/>
        <v>2024 06</v>
      </c>
    </row>
    <row r="2249" ht="22.5" customHeight="1">
      <c r="A2249" s="12">
        <f>IFERROR(__xludf.DUMMYFUNCTION("""COMPUTED_VALUE"""),268.0)</f>
        <v>268</v>
      </c>
      <c r="B2249" s="13">
        <f>IFERROR(__xludf.DUMMYFUNCTION("""COMPUTED_VALUE"""),45471.0)</f>
        <v>45471</v>
      </c>
      <c r="C2249" s="12">
        <f>IFERROR(__xludf.DUMMYFUNCTION("""COMPUTED_VALUE"""),119.0)</f>
        <v>119</v>
      </c>
      <c r="D2249" s="12">
        <f>IFERROR(__xludf.DUMMYFUNCTION("""COMPUTED_VALUE"""),32.0)</f>
        <v>32</v>
      </c>
      <c r="E2249" s="12">
        <f>IFERROR(__xludf.DUMMYFUNCTION("""COMPUTED_VALUE"""),5.0)</f>
        <v>5</v>
      </c>
      <c r="F2249" s="12">
        <f>IFERROR(__xludf.DUMMYFUNCTION("""COMPUTED_VALUE"""),1.0)</f>
        <v>1</v>
      </c>
      <c r="G2249" s="15" t="str">
        <f>IFERROR(__xludf.DUMMYFUNCTION("""COMPUTED_VALUE"""),"Completa")</f>
        <v>Completa</v>
      </c>
      <c r="H2249" s="16" t="str">
        <f t="array" ref="H2249">_xlfn.XLOOKUP(D2249,Productos[ID_Producto],Productos[Nombre_Producto])</f>
        <v>Galletitas de chocolate</v>
      </c>
      <c r="I2249" s="17">
        <f t="array" ref="I2249">_xlfn.XLOOKUP(D2249,Productos[ID_Producto],Productos[Precio_Unitario])</f>
        <v>6.25</v>
      </c>
      <c r="J2249" s="17">
        <f t="shared" si="1"/>
        <v>31.25</v>
      </c>
      <c r="K2249" s="16" t="str">
        <f t="array" ref="K2249">_xlfn.XLOOKUP(C2249,Clientes[ID_Cliente],Clientes[Provincia])</f>
        <v>Neuquén</v>
      </c>
      <c r="L2249" s="16" t="str">
        <f t="array" ref="L2249">CONCATENATE(_xlfn.XLOOKUP(C2249,Clientes[ID_Cliente],Clientes[Provincia]),", Argentina")</f>
        <v>Neuquén, Argentina</v>
      </c>
      <c r="M2249" s="20" t="str">
        <f t="array" ref="M2249">_xlfn.XLOOKUP(F2249,Metodos_De_Pago[ID_Metodo],Metodos_De_Pago[Metodo])</f>
        <v>Efectivo</v>
      </c>
      <c r="N2249" s="20" t="str">
        <f t="shared" si="2"/>
        <v>2024 06</v>
      </c>
    </row>
    <row r="2250" ht="22.5" customHeight="1">
      <c r="A2250" s="12">
        <f>IFERROR(__xludf.DUMMYFUNCTION("""COMPUTED_VALUE"""),1695.0)</f>
        <v>1695</v>
      </c>
      <c r="B2250" s="13">
        <f>IFERROR(__xludf.DUMMYFUNCTION("""COMPUTED_VALUE"""),45471.0)</f>
        <v>45471</v>
      </c>
      <c r="C2250" s="12">
        <f>IFERROR(__xludf.DUMMYFUNCTION("""COMPUTED_VALUE"""),103.0)</f>
        <v>103</v>
      </c>
      <c r="D2250" s="12">
        <f>IFERROR(__xludf.DUMMYFUNCTION("""COMPUTED_VALUE"""),16.0)</f>
        <v>16</v>
      </c>
      <c r="E2250" s="12">
        <f>IFERROR(__xludf.DUMMYFUNCTION("""COMPUTED_VALUE"""),5.0)</f>
        <v>5</v>
      </c>
      <c r="F2250" s="12">
        <f>IFERROR(__xludf.DUMMYFUNCTION("""COMPUTED_VALUE"""),3.0)</f>
        <v>3</v>
      </c>
      <c r="G2250" s="15" t="str">
        <f>IFERROR(__xludf.DUMMYFUNCTION("""COMPUTED_VALUE"""),"Completa")</f>
        <v>Completa</v>
      </c>
      <c r="H2250" s="16" t="str">
        <f t="array" ref="H2250">_xlfn.XLOOKUP(D2250,Productos[ID_Producto],Productos[Nombre_Producto])</f>
        <v>Tortas</v>
      </c>
      <c r="I2250" s="17">
        <f t="array" ref="I2250">_xlfn.XLOOKUP(D2250,Productos[ID_Producto],Productos[Precio_Unitario])</f>
        <v>15.23</v>
      </c>
      <c r="J2250" s="17">
        <f t="shared" si="1"/>
        <v>76.15</v>
      </c>
      <c r="K2250" s="16" t="str">
        <f t="array" ref="K2250">_xlfn.XLOOKUP(C2250,Clientes[ID_Cliente],Clientes[Provincia])</f>
        <v>Neuquén</v>
      </c>
      <c r="L2250" s="16" t="str">
        <f t="array" ref="L2250">CONCATENATE(_xlfn.XLOOKUP(C2250,Clientes[ID_Cliente],Clientes[Provincia]),", Argentina")</f>
        <v>Neuquén, Argentina</v>
      </c>
      <c r="M2250" s="20" t="str">
        <f t="array" ref="M2250">_xlfn.XLOOKUP(F2250,Metodos_De_Pago[ID_Metodo],Metodos_De_Pago[Metodo])</f>
        <v>Tarjeta de Débito</v>
      </c>
      <c r="N2250" s="20" t="str">
        <f t="shared" si="2"/>
        <v>2024 06</v>
      </c>
    </row>
    <row r="2251" ht="22.5" customHeight="1">
      <c r="A2251" s="12">
        <f>IFERROR(__xludf.DUMMYFUNCTION("""COMPUTED_VALUE"""),1950.0)</f>
        <v>1950</v>
      </c>
      <c r="B2251" s="13">
        <f>IFERROR(__xludf.DUMMYFUNCTION("""COMPUTED_VALUE"""),45471.0)</f>
        <v>45471</v>
      </c>
      <c r="C2251" s="12">
        <f>IFERROR(__xludf.DUMMYFUNCTION("""COMPUTED_VALUE"""),111.0)</f>
        <v>111</v>
      </c>
      <c r="D2251" s="12">
        <f>IFERROR(__xludf.DUMMYFUNCTION("""COMPUTED_VALUE"""),15.0)</f>
        <v>15</v>
      </c>
      <c r="E2251" s="12">
        <f>IFERROR(__xludf.DUMMYFUNCTION("""COMPUTED_VALUE"""),5.0)</f>
        <v>5</v>
      </c>
      <c r="F2251" s="12">
        <f>IFERROR(__xludf.DUMMYFUNCTION("""COMPUTED_VALUE"""),1.0)</f>
        <v>1</v>
      </c>
      <c r="G2251" s="15" t="str">
        <f>IFERROR(__xludf.DUMMYFUNCTION("""COMPUTED_VALUE"""),"Pendiente")</f>
        <v>Pendiente</v>
      </c>
      <c r="H2251" s="16" t="str">
        <f t="array" ref="H2251">_xlfn.XLOOKUP(D2251,Productos[ID_Producto],Productos[Nombre_Producto])</f>
        <v>Medialunas</v>
      </c>
      <c r="I2251" s="17">
        <f t="array" ref="I2251">_xlfn.XLOOKUP(D2251,Productos[ID_Producto],Productos[Precio_Unitario])</f>
        <v>3.51</v>
      </c>
      <c r="J2251" s="17">
        <f t="shared" si="1"/>
        <v>17.55</v>
      </c>
      <c r="K2251" s="16" t="str">
        <f t="array" ref="K2251">_xlfn.XLOOKUP(C2251,Clientes[ID_Cliente],Clientes[Provincia])</f>
        <v>San Luis</v>
      </c>
      <c r="L2251" s="16" t="str">
        <f t="array" ref="L2251">CONCATENATE(_xlfn.XLOOKUP(C2251,Clientes[ID_Cliente],Clientes[Provincia]),", Argentina")</f>
        <v>San Luis, Argentina</v>
      </c>
      <c r="M2251" s="20" t="str">
        <f t="array" ref="M2251">_xlfn.XLOOKUP(F2251,Metodos_De_Pago[ID_Metodo],Metodos_De_Pago[Metodo])</f>
        <v>Efectivo</v>
      </c>
      <c r="N2251" s="20" t="str">
        <f t="shared" si="2"/>
        <v>2024 06</v>
      </c>
    </row>
    <row r="2252" ht="22.5" customHeight="1">
      <c r="A2252" s="12">
        <f>IFERROR(__xludf.DUMMYFUNCTION("""COMPUTED_VALUE"""),1462.0)</f>
        <v>1462</v>
      </c>
      <c r="B2252" s="13">
        <f>IFERROR(__xludf.DUMMYFUNCTION("""COMPUTED_VALUE"""),45472.0)</f>
        <v>45472</v>
      </c>
      <c r="C2252" s="12">
        <f>IFERROR(__xludf.DUMMYFUNCTION("""COMPUTED_VALUE"""),86.0)</f>
        <v>86</v>
      </c>
      <c r="D2252" s="12">
        <f>IFERROR(__xludf.DUMMYFUNCTION("""COMPUTED_VALUE"""),11.0)</f>
        <v>11</v>
      </c>
      <c r="E2252" s="12">
        <f>IFERROR(__xludf.DUMMYFUNCTION("""COMPUTED_VALUE"""),5.0)</f>
        <v>5</v>
      </c>
      <c r="F2252" s="12">
        <f>IFERROR(__xludf.DUMMYFUNCTION("""COMPUTED_VALUE"""),5.0)</f>
        <v>5</v>
      </c>
      <c r="G2252" s="15" t="str">
        <f>IFERROR(__xludf.DUMMYFUNCTION("""COMPUTED_VALUE"""),"Completa")</f>
        <v>Completa</v>
      </c>
      <c r="H2252" s="16" t="str">
        <f t="array" ref="H2252">_xlfn.XLOOKUP(D2252,Productos[ID_Producto],Productos[Nombre_Producto])</f>
        <v>Salchicha</v>
      </c>
      <c r="I2252" s="17">
        <f t="array" ref="I2252">_xlfn.XLOOKUP(D2252,Productos[ID_Producto],Productos[Precio_Unitario])</f>
        <v>11.23</v>
      </c>
      <c r="J2252" s="17">
        <f t="shared" si="1"/>
        <v>56.15</v>
      </c>
      <c r="K2252" s="16" t="str">
        <f t="array" ref="K2252">_xlfn.XLOOKUP(C2252,Clientes[ID_Cliente],Clientes[Provincia])</f>
        <v>Neuquén</v>
      </c>
      <c r="L2252" s="16" t="str">
        <f t="array" ref="L2252">CONCATENATE(_xlfn.XLOOKUP(C2252,Clientes[ID_Cliente],Clientes[Provincia]),", Argentina")</f>
        <v>Neuquén, Argentina</v>
      </c>
      <c r="M2252" s="20" t="str">
        <f t="array" ref="M2252">_xlfn.XLOOKUP(F2252,Metodos_De_Pago[ID_Metodo],Metodos_De_Pago[Metodo])</f>
        <v>Transferencia</v>
      </c>
      <c r="N2252" s="20" t="str">
        <f t="shared" si="2"/>
        <v>2024 06</v>
      </c>
    </row>
    <row r="2253" ht="22.5" customHeight="1">
      <c r="A2253" s="12">
        <f>IFERROR(__xludf.DUMMYFUNCTION("""COMPUTED_VALUE"""),1851.0)</f>
        <v>1851</v>
      </c>
      <c r="B2253" s="13">
        <f>IFERROR(__xludf.DUMMYFUNCTION("""COMPUTED_VALUE"""),45473.0)</f>
        <v>45473</v>
      </c>
      <c r="C2253" s="12">
        <f>IFERROR(__xludf.DUMMYFUNCTION("""COMPUTED_VALUE"""),318.0)</f>
        <v>318</v>
      </c>
      <c r="D2253" s="12">
        <f>IFERROR(__xludf.DUMMYFUNCTION("""COMPUTED_VALUE"""),35.0)</f>
        <v>35</v>
      </c>
      <c r="E2253" s="12">
        <f>IFERROR(__xludf.DUMMYFUNCTION("""COMPUTED_VALUE"""),5.0)</f>
        <v>5</v>
      </c>
      <c r="F2253" s="12">
        <f>IFERROR(__xludf.DUMMYFUNCTION("""COMPUTED_VALUE"""),4.0)</f>
        <v>4</v>
      </c>
      <c r="G2253" s="15" t="str">
        <f>IFERROR(__xludf.DUMMYFUNCTION("""COMPUTED_VALUE"""),"Pendiente")</f>
        <v>Pendiente</v>
      </c>
      <c r="H2253" s="16" t="str">
        <f t="array" ref="H2253">_xlfn.XLOOKUP(D2253,Productos[ID_Producto],Productos[Nombre_Producto])</f>
        <v>Arroz</v>
      </c>
      <c r="I2253" s="17">
        <f t="array" ref="I2253">_xlfn.XLOOKUP(D2253,Productos[ID_Producto],Productos[Precio_Unitario])</f>
        <v>4.25</v>
      </c>
      <c r="J2253" s="17">
        <f t="shared" si="1"/>
        <v>21.25</v>
      </c>
      <c r="K2253" s="16" t="str">
        <f t="array" ref="K2253">_xlfn.XLOOKUP(C2253,Clientes[ID_Cliente],Clientes[Provincia])</f>
        <v>Buenos Aires</v>
      </c>
      <c r="L2253" s="16" t="str">
        <f t="array" ref="L2253">CONCATENATE(_xlfn.XLOOKUP(C2253,Clientes[ID_Cliente],Clientes[Provincia]),", Argentina")</f>
        <v>Buenos Aires, Argentina</v>
      </c>
      <c r="M2253" s="20" t="str">
        <f t="array" ref="M2253">_xlfn.XLOOKUP(F2253,Metodos_De_Pago[ID_Metodo],Metodos_De_Pago[Metodo])</f>
        <v>Mercado Pago</v>
      </c>
      <c r="N2253" s="20" t="str">
        <f t="shared" si="2"/>
        <v>2024 06</v>
      </c>
    </row>
    <row r="2254" ht="22.5" customHeight="1">
      <c r="A2254" s="12">
        <f>IFERROR(__xludf.DUMMYFUNCTION("""COMPUTED_VALUE"""),2150.0)</f>
        <v>2150</v>
      </c>
      <c r="B2254" s="13">
        <f>IFERROR(__xludf.DUMMYFUNCTION("""COMPUTED_VALUE"""),45475.0)</f>
        <v>45475</v>
      </c>
      <c r="C2254" s="12">
        <f>IFERROR(__xludf.DUMMYFUNCTION("""COMPUTED_VALUE"""),214.0)</f>
        <v>214</v>
      </c>
      <c r="D2254" s="12">
        <f>IFERROR(__xludf.DUMMYFUNCTION("""COMPUTED_VALUE"""),25.0)</f>
        <v>25</v>
      </c>
      <c r="E2254" s="12">
        <f>IFERROR(__xludf.DUMMYFUNCTION("""COMPUTED_VALUE"""),5.0)</f>
        <v>5</v>
      </c>
      <c r="F2254" s="12">
        <f>IFERROR(__xludf.DUMMYFUNCTION("""COMPUTED_VALUE"""),5.0)</f>
        <v>5</v>
      </c>
      <c r="G2254" s="15" t="str">
        <f>IFERROR(__xludf.DUMMYFUNCTION("""COMPUTED_VALUE"""),"Completa")</f>
        <v>Completa</v>
      </c>
      <c r="H2254" s="16" t="str">
        <f t="array" ref="H2254">_xlfn.XLOOKUP(D2254,Productos[ID_Producto],Productos[Nombre_Producto])</f>
        <v>Pizza congelada</v>
      </c>
      <c r="I2254" s="17">
        <f t="array" ref="I2254">_xlfn.XLOOKUP(D2254,Productos[ID_Producto],Productos[Precio_Unitario])</f>
        <v>15.45</v>
      </c>
      <c r="J2254" s="17">
        <f t="shared" si="1"/>
        <v>77.25</v>
      </c>
      <c r="K2254" s="16" t="str">
        <f t="array" ref="K2254">_xlfn.XLOOKUP(C2254,Clientes[ID_Cliente],Clientes[Provincia])</f>
        <v>Neuquén</v>
      </c>
      <c r="L2254" s="16" t="str">
        <f t="array" ref="L2254">CONCATENATE(_xlfn.XLOOKUP(C2254,Clientes[ID_Cliente],Clientes[Provincia]),", Argentina")</f>
        <v>Neuquén, Argentina</v>
      </c>
      <c r="M2254" s="20" t="str">
        <f t="array" ref="M2254">_xlfn.XLOOKUP(F2254,Metodos_De_Pago[ID_Metodo],Metodos_De_Pago[Metodo])</f>
        <v>Transferencia</v>
      </c>
      <c r="N2254" s="20" t="str">
        <f t="shared" si="2"/>
        <v>2024 07</v>
      </c>
    </row>
    <row r="2255" ht="22.5" customHeight="1">
      <c r="A2255" s="12">
        <f>IFERROR(__xludf.DUMMYFUNCTION("""COMPUTED_VALUE"""),644.0)</f>
        <v>644</v>
      </c>
      <c r="B2255" s="13">
        <f>IFERROR(__xludf.DUMMYFUNCTION("""COMPUTED_VALUE"""),45479.0)</f>
        <v>45479</v>
      </c>
      <c r="C2255" s="12">
        <f>IFERROR(__xludf.DUMMYFUNCTION("""COMPUTED_VALUE"""),232.0)</f>
        <v>232</v>
      </c>
      <c r="D2255" s="12">
        <f>IFERROR(__xludf.DUMMYFUNCTION("""COMPUTED_VALUE"""),9.0)</f>
        <v>9</v>
      </c>
      <c r="E2255" s="12">
        <f>IFERROR(__xludf.DUMMYFUNCTION("""COMPUTED_VALUE"""),5.0)</f>
        <v>5</v>
      </c>
      <c r="F2255" s="12">
        <f>IFERROR(__xludf.DUMMYFUNCTION("""COMPUTED_VALUE"""),2.0)</f>
        <v>2</v>
      </c>
      <c r="G2255" s="15" t="str">
        <f>IFERROR(__xludf.DUMMYFUNCTION("""COMPUTED_VALUE"""),"Pendiente")</f>
        <v>Pendiente</v>
      </c>
      <c r="H2255" s="16" t="str">
        <f t="array" ref="H2255">_xlfn.XLOOKUP(D2255,Productos[ID_Producto],Productos[Nombre_Producto])</f>
        <v>Pollo</v>
      </c>
      <c r="I2255" s="17">
        <f t="array" ref="I2255">_xlfn.XLOOKUP(D2255,Productos[ID_Producto],Productos[Precio_Unitario])</f>
        <v>18.56</v>
      </c>
      <c r="J2255" s="17">
        <f t="shared" si="1"/>
        <v>92.8</v>
      </c>
      <c r="K2255" s="16" t="str">
        <f t="array" ref="K2255">_xlfn.XLOOKUP(C2255,Clientes[ID_Cliente],Clientes[Provincia])</f>
        <v>Buenos Aires</v>
      </c>
      <c r="L2255" s="16" t="str">
        <f t="array" ref="L2255">CONCATENATE(_xlfn.XLOOKUP(C2255,Clientes[ID_Cliente],Clientes[Provincia]),", Argentina")</f>
        <v>Buenos Aires, Argentina</v>
      </c>
      <c r="M2255" s="20" t="str">
        <f t="array" ref="M2255">_xlfn.XLOOKUP(F2255,Metodos_De_Pago[ID_Metodo],Metodos_De_Pago[Metodo])</f>
        <v>Tarjeta de Crédito</v>
      </c>
      <c r="N2255" s="20" t="str">
        <f t="shared" si="2"/>
        <v>2024 07</v>
      </c>
    </row>
    <row r="2256" ht="22.5" customHeight="1">
      <c r="A2256" s="12">
        <f>IFERROR(__xludf.DUMMYFUNCTION("""COMPUTED_VALUE"""),1091.0)</f>
        <v>1091</v>
      </c>
      <c r="B2256" s="13">
        <f>IFERROR(__xludf.DUMMYFUNCTION("""COMPUTED_VALUE"""),45479.0)</f>
        <v>45479</v>
      </c>
      <c r="C2256" s="12">
        <f>IFERROR(__xludf.DUMMYFUNCTION("""COMPUTED_VALUE"""),250.0)</f>
        <v>250</v>
      </c>
      <c r="D2256" s="12">
        <f>IFERROR(__xludf.DUMMYFUNCTION("""COMPUTED_VALUE"""),15.0)</f>
        <v>15</v>
      </c>
      <c r="E2256" s="12">
        <f>IFERROR(__xludf.DUMMYFUNCTION("""COMPUTED_VALUE"""),5.0)</f>
        <v>5</v>
      </c>
      <c r="F2256" s="12">
        <f>IFERROR(__xludf.DUMMYFUNCTION("""COMPUTED_VALUE"""),4.0)</f>
        <v>4</v>
      </c>
      <c r="G2256" s="15" t="str">
        <f>IFERROR(__xludf.DUMMYFUNCTION("""COMPUTED_VALUE"""),"Completa")</f>
        <v>Completa</v>
      </c>
      <c r="H2256" s="16" t="str">
        <f t="array" ref="H2256">_xlfn.XLOOKUP(D2256,Productos[ID_Producto],Productos[Nombre_Producto])</f>
        <v>Medialunas</v>
      </c>
      <c r="I2256" s="17">
        <f t="array" ref="I2256">_xlfn.XLOOKUP(D2256,Productos[ID_Producto],Productos[Precio_Unitario])</f>
        <v>3.51</v>
      </c>
      <c r="J2256" s="17">
        <f t="shared" si="1"/>
        <v>17.55</v>
      </c>
      <c r="K2256" s="16" t="str">
        <f t="array" ref="K2256">_xlfn.XLOOKUP(C2256,Clientes[ID_Cliente],Clientes[Provincia])</f>
        <v>Córdoba</v>
      </c>
      <c r="L2256" s="16" t="str">
        <f t="array" ref="L2256">CONCATENATE(_xlfn.XLOOKUP(C2256,Clientes[ID_Cliente],Clientes[Provincia]),", Argentina")</f>
        <v>Córdoba, Argentina</v>
      </c>
      <c r="M2256" s="20" t="str">
        <f t="array" ref="M2256">_xlfn.XLOOKUP(F2256,Metodos_De_Pago[ID_Metodo],Metodos_De_Pago[Metodo])</f>
        <v>Mercado Pago</v>
      </c>
      <c r="N2256" s="20" t="str">
        <f t="shared" si="2"/>
        <v>2024 07</v>
      </c>
    </row>
    <row r="2257" ht="22.5" customHeight="1">
      <c r="A2257" s="12">
        <f>IFERROR(__xludf.DUMMYFUNCTION("""COMPUTED_VALUE"""),2168.0)</f>
        <v>2168</v>
      </c>
      <c r="B2257" s="13">
        <f>IFERROR(__xludf.DUMMYFUNCTION("""COMPUTED_VALUE"""),45479.0)</f>
        <v>45479</v>
      </c>
      <c r="C2257" s="12">
        <f>IFERROR(__xludf.DUMMYFUNCTION("""COMPUTED_VALUE"""),38.0)</f>
        <v>38</v>
      </c>
      <c r="D2257" s="12">
        <f>IFERROR(__xludf.DUMMYFUNCTION("""COMPUTED_VALUE"""),18.0)</f>
        <v>18</v>
      </c>
      <c r="E2257" s="12">
        <f>IFERROR(__xludf.DUMMYFUNCTION("""COMPUTED_VALUE"""),5.0)</f>
        <v>5</v>
      </c>
      <c r="F2257" s="12">
        <f>IFERROR(__xludf.DUMMYFUNCTION("""COMPUTED_VALUE"""),3.0)</f>
        <v>3</v>
      </c>
      <c r="G2257" s="15" t="str">
        <f>IFERROR(__xludf.DUMMYFUNCTION("""COMPUTED_VALUE"""),"Completa")</f>
        <v>Completa</v>
      </c>
      <c r="H2257" s="16" t="str">
        <f t="array" ref="H2257">_xlfn.XLOOKUP(D2257,Productos[ID_Producto],Productos[Nombre_Producto])</f>
        <v>Bananas</v>
      </c>
      <c r="I2257" s="17">
        <f t="array" ref="I2257">_xlfn.XLOOKUP(D2257,Productos[ID_Producto],Productos[Precio_Unitario])</f>
        <v>7.25</v>
      </c>
      <c r="J2257" s="17">
        <f t="shared" si="1"/>
        <v>36.25</v>
      </c>
      <c r="K2257" s="16" t="str">
        <f t="array" ref="K2257">_xlfn.XLOOKUP(C2257,Clientes[ID_Cliente],Clientes[Provincia])</f>
        <v>Neuquén</v>
      </c>
      <c r="L2257" s="16" t="str">
        <f t="array" ref="L2257">CONCATENATE(_xlfn.XLOOKUP(C2257,Clientes[ID_Cliente],Clientes[Provincia]),", Argentina")</f>
        <v>Neuquén, Argentina</v>
      </c>
      <c r="M2257" s="20" t="str">
        <f t="array" ref="M2257">_xlfn.XLOOKUP(F2257,Metodos_De_Pago[ID_Metodo],Metodos_De_Pago[Metodo])</f>
        <v>Tarjeta de Débito</v>
      </c>
      <c r="N2257" s="20" t="str">
        <f t="shared" si="2"/>
        <v>2024 07</v>
      </c>
    </row>
    <row r="2258" ht="22.5" customHeight="1">
      <c r="A2258" s="12">
        <f>IFERROR(__xludf.DUMMYFUNCTION("""COMPUTED_VALUE"""),2900.0)</f>
        <v>2900</v>
      </c>
      <c r="B2258" s="13">
        <f>IFERROR(__xludf.DUMMYFUNCTION("""COMPUTED_VALUE"""),45479.0)</f>
        <v>45479</v>
      </c>
      <c r="C2258" s="12">
        <f>IFERROR(__xludf.DUMMYFUNCTION("""COMPUTED_VALUE"""),152.0)</f>
        <v>152</v>
      </c>
      <c r="D2258" s="12">
        <f>IFERROR(__xludf.DUMMYFUNCTION("""COMPUTED_VALUE"""),12.0)</f>
        <v>12</v>
      </c>
      <c r="E2258" s="12">
        <f>IFERROR(__xludf.DUMMYFUNCTION("""COMPUTED_VALUE"""),5.0)</f>
        <v>5</v>
      </c>
      <c r="F2258" s="12">
        <f>IFERROR(__xludf.DUMMYFUNCTION("""COMPUTED_VALUE"""),4.0)</f>
        <v>4</v>
      </c>
      <c r="G2258" s="15" t="str">
        <f>IFERROR(__xludf.DUMMYFUNCTION("""COMPUTED_VALUE"""),"Completa")</f>
        <v>Completa</v>
      </c>
      <c r="H2258" s="16" t="str">
        <f t="array" ref="H2258">_xlfn.XLOOKUP(D2258,Productos[ID_Producto],Productos[Nombre_Producto])</f>
        <v>Pan francés</v>
      </c>
      <c r="I2258" s="17">
        <f t="array" ref="I2258">_xlfn.XLOOKUP(D2258,Productos[ID_Producto],Productos[Precio_Unitario])</f>
        <v>8.12</v>
      </c>
      <c r="J2258" s="17">
        <f t="shared" si="1"/>
        <v>40.6</v>
      </c>
      <c r="K2258" s="16" t="str">
        <f t="array" ref="K2258">_xlfn.XLOOKUP(C2258,Clientes[ID_Cliente],Clientes[Provincia])</f>
        <v>Salta</v>
      </c>
      <c r="L2258" s="16" t="str">
        <f t="array" ref="L2258">CONCATENATE(_xlfn.XLOOKUP(C2258,Clientes[ID_Cliente],Clientes[Provincia]),", Argentina")</f>
        <v>Salta, Argentina</v>
      </c>
      <c r="M2258" s="20" t="str">
        <f t="array" ref="M2258">_xlfn.XLOOKUP(F2258,Metodos_De_Pago[ID_Metodo],Metodos_De_Pago[Metodo])</f>
        <v>Mercado Pago</v>
      </c>
      <c r="N2258" s="20" t="str">
        <f t="shared" si="2"/>
        <v>2024 07</v>
      </c>
    </row>
    <row r="2259" ht="22.5" customHeight="1">
      <c r="A2259" s="12">
        <f>IFERROR(__xludf.DUMMYFUNCTION("""COMPUTED_VALUE"""),2976.0)</f>
        <v>2976</v>
      </c>
      <c r="B2259" s="13">
        <f>IFERROR(__xludf.DUMMYFUNCTION("""COMPUTED_VALUE"""),45479.0)</f>
        <v>45479</v>
      </c>
      <c r="C2259" s="12">
        <f>IFERROR(__xludf.DUMMYFUNCTION("""COMPUTED_VALUE"""),214.0)</f>
        <v>214</v>
      </c>
      <c r="D2259" s="12">
        <f>IFERROR(__xludf.DUMMYFUNCTION("""COMPUTED_VALUE"""),29.0)</f>
        <v>29</v>
      </c>
      <c r="E2259" s="12">
        <f>IFERROR(__xludf.DUMMYFUNCTION("""COMPUTED_VALUE"""),5.0)</f>
        <v>5</v>
      </c>
      <c r="F2259" s="12">
        <f>IFERROR(__xludf.DUMMYFUNCTION("""COMPUTED_VALUE"""),3.0)</f>
        <v>3</v>
      </c>
      <c r="G2259" s="15" t="str">
        <f>IFERROR(__xludf.DUMMYFUNCTION("""COMPUTED_VALUE"""),"Completa")</f>
        <v>Completa</v>
      </c>
      <c r="H2259" s="16" t="str">
        <f t="array" ref="H2259">_xlfn.XLOOKUP(D2259,Productos[ID_Producto],Productos[Nombre_Producto])</f>
        <v>Cerveza</v>
      </c>
      <c r="I2259" s="17">
        <f t="array" ref="I2259">_xlfn.XLOOKUP(D2259,Productos[ID_Producto],Productos[Precio_Unitario])</f>
        <v>11.54</v>
      </c>
      <c r="J2259" s="17">
        <f t="shared" si="1"/>
        <v>57.7</v>
      </c>
      <c r="K2259" s="16" t="str">
        <f t="array" ref="K2259">_xlfn.XLOOKUP(C2259,Clientes[ID_Cliente],Clientes[Provincia])</f>
        <v>Neuquén</v>
      </c>
      <c r="L2259" s="16" t="str">
        <f t="array" ref="L2259">CONCATENATE(_xlfn.XLOOKUP(C2259,Clientes[ID_Cliente],Clientes[Provincia]),", Argentina")</f>
        <v>Neuquén, Argentina</v>
      </c>
      <c r="M2259" s="20" t="str">
        <f t="array" ref="M2259">_xlfn.XLOOKUP(F2259,Metodos_De_Pago[ID_Metodo],Metodos_De_Pago[Metodo])</f>
        <v>Tarjeta de Débito</v>
      </c>
      <c r="N2259" s="20" t="str">
        <f t="shared" si="2"/>
        <v>2024 07</v>
      </c>
    </row>
    <row r="2260" ht="22.5" customHeight="1">
      <c r="A2260" s="12">
        <f>IFERROR(__xludf.DUMMYFUNCTION("""COMPUTED_VALUE"""),957.0)</f>
        <v>957</v>
      </c>
      <c r="B2260" s="13">
        <f>IFERROR(__xludf.DUMMYFUNCTION("""COMPUTED_VALUE"""),45480.0)</f>
        <v>45480</v>
      </c>
      <c r="C2260" s="12">
        <f>IFERROR(__xludf.DUMMYFUNCTION("""COMPUTED_VALUE"""),198.0)</f>
        <v>198</v>
      </c>
      <c r="D2260" s="12">
        <f>IFERROR(__xludf.DUMMYFUNCTION("""COMPUTED_VALUE"""),17.0)</f>
        <v>17</v>
      </c>
      <c r="E2260" s="12">
        <f>IFERROR(__xludf.DUMMYFUNCTION("""COMPUTED_VALUE"""),5.0)</f>
        <v>5</v>
      </c>
      <c r="F2260" s="12">
        <f>IFERROR(__xludf.DUMMYFUNCTION("""COMPUTED_VALUE"""),4.0)</f>
        <v>4</v>
      </c>
      <c r="G2260" s="15" t="str">
        <f>IFERROR(__xludf.DUMMYFUNCTION("""COMPUTED_VALUE"""),"Completa")</f>
        <v>Completa</v>
      </c>
      <c r="H2260" s="16" t="str">
        <f t="array" ref="H2260">_xlfn.XLOOKUP(D2260,Productos[ID_Producto],Productos[Nombre_Producto])</f>
        <v>Manzanas</v>
      </c>
      <c r="I2260" s="17">
        <f t="array" ref="I2260">_xlfn.XLOOKUP(D2260,Productos[ID_Producto],Productos[Precio_Unitario])</f>
        <v>6.54</v>
      </c>
      <c r="J2260" s="17">
        <f t="shared" si="1"/>
        <v>32.7</v>
      </c>
      <c r="K2260" s="16" t="str">
        <f t="array" ref="K2260">_xlfn.XLOOKUP(C2260,Clientes[ID_Cliente],Clientes[Provincia])</f>
        <v>Salta</v>
      </c>
      <c r="L2260" s="16" t="str">
        <f t="array" ref="L2260">CONCATENATE(_xlfn.XLOOKUP(C2260,Clientes[ID_Cliente],Clientes[Provincia]),", Argentina")</f>
        <v>Salta, Argentina</v>
      </c>
      <c r="M2260" s="20" t="str">
        <f t="array" ref="M2260">_xlfn.XLOOKUP(F2260,Metodos_De_Pago[ID_Metodo],Metodos_De_Pago[Metodo])</f>
        <v>Mercado Pago</v>
      </c>
      <c r="N2260" s="20" t="str">
        <f t="shared" si="2"/>
        <v>2024 07</v>
      </c>
    </row>
    <row r="2261" ht="22.5" customHeight="1">
      <c r="A2261" s="12">
        <f>IFERROR(__xludf.DUMMYFUNCTION("""COMPUTED_VALUE"""),1123.0)</f>
        <v>1123</v>
      </c>
      <c r="B2261" s="13">
        <f>IFERROR(__xludf.DUMMYFUNCTION("""COMPUTED_VALUE"""),45481.0)</f>
        <v>45481</v>
      </c>
      <c r="C2261" s="12">
        <f>IFERROR(__xludf.DUMMYFUNCTION("""COMPUTED_VALUE"""),164.0)</f>
        <v>164</v>
      </c>
      <c r="D2261" s="12">
        <f>IFERROR(__xludf.DUMMYFUNCTION("""COMPUTED_VALUE"""),9.0)</f>
        <v>9</v>
      </c>
      <c r="E2261" s="12">
        <f>IFERROR(__xludf.DUMMYFUNCTION("""COMPUTED_VALUE"""),5.0)</f>
        <v>5</v>
      </c>
      <c r="F2261" s="12">
        <f>IFERROR(__xludf.DUMMYFUNCTION("""COMPUTED_VALUE"""),4.0)</f>
        <v>4</v>
      </c>
      <c r="G2261" s="15" t="str">
        <f>IFERROR(__xludf.DUMMYFUNCTION("""COMPUTED_VALUE"""),"Completa")</f>
        <v>Completa</v>
      </c>
      <c r="H2261" s="16" t="str">
        <f t="array" ref="H2261">_xlfn.XLOOKUP(D2261,Productos[ID_Producto],Productos[Nombre_Producto])</f>
        <v>Pollo</v>
      </c>
      <c r="I2261" s="17">
        <f t="array" ref="I2261">_xlfn.XLOOKUP(D2261,Productos[ID_Producto],Productos[Precio_Unitario])</f>
        <v>18.56</v>
      </c>
      <c r="J2261" s="17">
        <f t="shared" si="1"/>
        <v>92.8</v>
      </c>
      <c r="K2261" s="16" t="str">
        <f t="array" ref="K2261">_xlfn.XLOOKUP(C2261,Clientes[ID_Cliente],Clientes[Provincia])</f>
        <v>Córdoba</v>
      </c>
      <c r="L2261" s="16" t="str">
        <f t="array" ref="L2261">CONCATENATE(_xlfn.XLOOKUP(C2261,Clientes[ID_Cliente],Clientes[Provincia]),", Argentina")</f>
        <v>Córdoba, Argentina</v>
      </c>
      <c r="M2261" s="20" t="str">
        <f t="array" ref="M2261">_xlfn.XLOOKUP(F2261,Metodos_De_Pago[ID_Metodo],Metodos_De_Pago[Metodo])</f>
        <v>Mercado Pago</v>
      </c>
      <c r="N2261" s="20" t="str">
        <f t="shared" si="2"/>
        <v>2024 07</v>
      </c>
    </row>
    <row r="2262" ht="22.5" customHeight="1">
      <c r="A2262" s="12">
        <f>IFERROR(__xludf.DUMMYFUNCTION("""COMPUTED_VALUE"""),2256.0)</f>
        <v>2256</v>
      </c>
      <c r="B2262" s="13">
        <f>IFERROR(__xludf.DUMMYFUNCTION("""COMPUTED_VALUE"""),45481.0)</f>
        <v>45481</v>
      </c>
      <c r="C2262" s="12">
        <f>IFERROR(__xludf.DUMMYFUNCTION("""COMPUTED_VALUE"""),242.0)</f>
        <v>242</v>
      </c>
      <c r="D2262" s="12">
        <f>IFERROR(__xludf.DUMMYFUNCTION("""COMPUTED_VALUE"""),31.0)</f>
        <v>31</v>
      </c>
      <c r="E2262" s="12">
        <f>IFERROR(__xludf.DUMMYFUNCTION("""COMPUTED_VALUE"""),5.0)</f>
        <v>5</v>
      </c>
      <c r="F2262" s="12">
        <f>IFERROR(__xludf.DUMMYFUNCTION("""COMPUTED_VALUE"""),2.0)</f>
        <v>2</v>
      </c>
      <c r="G2262" s="15" t="str">
        <f>IFERROR(__xludf.DUMMYFUNCTION("""COMPUTED_VALUE"""),"Completa")</f>
        <v>Completa</v>
      </c>
      <c r="H2262" s="16" t="str">
        <f t="array" ref="H2262">_xlfn.XLOOKUP(D2262,Productos[ID_Producto],Productos[Nombre_Producto])</f>
        <v>Galletitas de agua</v>
      </c>
      <c r="I2262" s="17">
        <f t="array" ref="I2262">_xlfn.XLOOKUP(D2262,Productos[ID_Producto],Productos[Precio_Unitario])</f>
        <v>5.24</v>
      </c>
      <c r="J2262" s="17">
        <f t="shared" si="1"/>
        <v>26.2</v>
      </c>
      <c r="K2262" s="16" t="str">
        <f t="array" ref="K2262">_xlfn.XLOOKUP(C2262,Clientes[ID_Cliente],Clientes[Provincia])</f>
        <v>Chaco</v>
      </c>
      <c r="L2262" s="16" t="str">
        <f t="array" ref="L2262">CONCATENATE(_xlfn.XLOOKUP(C2262,Clientes[ID_Cliente],Clientes[Provincia]),", Argentina")</f>
        <v>Chaco, Argentina</v>
      </c>
      <c r="M2262" s="20" t="str">
        <f t="array" ref="M2262">_xlfn.XLOOKUP(F2262,Metodos_De_Pago[ID_Metodo],Metodos_De_Pago[Metodo])</f>
        <v>Tarjeta de Crédito</v>
      </c>
      <c r="N2262" s="20" t="str">
        <f t="shared" si="2"/>
        <v>2024 07</v>
      </c>
    </row>
    <row r="2263" ht="22.5" customHeight="1">
      <c r="A2263" s="12">
        <f>IFERROR(__xludf.DUMMYFUNCTION("""COMPUTED_VALUE"""),457.0)</f>
        <v>457</v>
      </c>
      <c r="B2263" s="13">
        <f>IFERROR(__xludf.DUMMYFUNCTION("""COMPUTED_VALUE"""),45482.0)</f>
        <v>45482</v>
      </c>
      <c r="C2263" s="12">
        <f>IFERROR(__xludf.DUMMYFUNCTION("""COMPUTED_VALUE"""),154.0)</f>
        <v>154</v>
      </c>
      <c r="D2263" s="12">
        <f>IFERROR(__xludf.DUMMYFUNCTION("""COMPUTED_VALUE"""),31.0)</f>
        <v>31</v>
      </c>
      <c r="E2263" s="12">
        <f>IFERROR(__xludf.DUMMYFUNCTION("""COMPUTED_VALUE"""),5.0)</f>
        <v>5</v>
      </c>
      <c r="F2263" s="12">
        <f>IFERROR(__xludf.DUMMYFUNCTION("""COMPUTED_VALUE"""),5.0)</f>
        <v>5</v>
      </c>
      <c r="G2263" s="15" t="str">
        <f>IFERROR(__xludf.DUMMYFUNCTION("""COMPUTED_VALUE"""),"Pendiente")</f>
        <v>Pendiente</v>
      </c>
      <c r="H2263" s="16" t="str">
        <f t="array" ref="H2263">_xlfn.XLOOKUP(D2263,Productos[ID_Producto],Productos[Nombre_Producto])</f>
        <v>Galletitas de agua</v>
      </c>
      <c r="I2263" s="17">
        <f t="array" ref="I2263">_xlfn.XLOOKUP(D2263,Productos[ID_Producto],Productos[Precio_Unitario])</f>
        <v>5.24</v>
      </c>
      <c r="J2263" s="17">
        <f t="shared" si="1"/>
        <v>26.2</v>
      </c>
      <c r="K2263" s="16" t="str">
        <f t="array" ref="K2263">_xlfn.XLOOKUP(C2263,Clientes[ID_Cliente],Clientes[Provincia])</f>
        <v>Neuquén</v>
      </c>
      <c r="L2263" s="16" t="str">
        <f t="array" ref="L2263">CONCATENATE(_xlfn.XLOOKUP(C2263,Clientes[ID_Cliente],Clientes[Provincia]),", Argentina")</f>
        <v>Neuquén, Argentina</v>
      </c>
      <c r="M2263" s="20" t="str">
        <f t="array" ref="M2263">_xlfn.XLOOKUP(F2263,Metodos_De_Pago[ID_Metodo],Metodos_De_Pago[Metodo])</f>
        <v>Transferencia</v>
      </c>
      <c r="N2263" s="20" t="str">
        <f t="shared" si="2"/>
        <v>2024 07</v>
      </c>
    </row>
    <row r="2264" ht="22.5" customHeight="1">
      <c r="A2264" s="12">
        <f>IFERROR(__xludf.DUMMYFUNCTION("""COMPUTED_VALUE"""),798.0)</f>
        <v>798</v>
      </c>
      <c r="B2264" s="13">
        <f>IFERROR(__xludf.DUMMYFUNCTION("""COMPUTED_VALUE"""),45482.0)</f>
        <v>45482</v>
      </c>
      <c r="C2264" s="12">
        <f>IFERROR(__xludf.DUMMYFUNCTION("""COMPUTED_VALUE"""),10.0)</f>
        <v>10</v>
      </c>
      <c r="D2264" s="12">
        <f>IFERROR(__xludf.DUMMYFUNCTION("""COMPUTED_VALUE"""),24.0)</f>
        <v>24</v>
      </c>
      <c r="E2264" s="12">
        <f>IFERROR(__xludf.DUMMYFUNCTION("""COMPUTED_VALUE"""),5.0)</f>
        <v>5</v>
      </c>
      <c r="F2264" s="12">
        <f>IFERROR(__xludf.DUMMYFUNCTION("""COMPUTED_VALUE"""),4.0)</f>
        <v>4</v>
      </c>
      <c r="G2264" s="15" t="str">
        <f>IFERROR(__xludf.DUMMYFUNCTION("""COMPUTED_VALUE"""),"Completa")</f>
        <v>Completa</v>
      </c>
      <c r="H2264" s="16" t="str">
        <f t="array" ref="H2264">_xlfn.XLOOKUP(D2264,Productos[ID_Producto],Productos[Nombre_Producto])</f>
        <v>Empanadas</v>
      </c>
      <c r="I2264" s="17">
        <f t="array" ref="I2264">_xlfn.XLOOKUP(D2264,Productos[ID_Producto],Productos[Precio_Unitario])</f>
        <v>13.54</v>
      </c>
      <c r="J2264" s="17">
        <f t="shared" si="1"/>
        <v>67.7</v>
      </c>
      <c r="K2264" s="16" t="str">
        <f t="array" ref="K2264">_xlfn.XLOOKUP(C2264,Clientes[ID_Cliente],Clientes[Provincia])</f>
        <v>Buenos Aires</v>
      </c>
      <c r="L2264" s="16" t="str">
        <f t="array" ref="L2264">CONCATENATE(_xlfn.XLOOKUP(C2264,Clientes[ID_Cliente],Clientes[Provincia]),", Argentina")</f>
        <v>Buenos Aires, Argentina</v>
      </c>
      <c r="M2264" s="20" t="str">
        <f t="array" ref="M2264">_xlfn.XLOOKUP(F2264,Metodos_De_Pago[ID_Metodo],Metodos_De_Pago[Metodo])</f>
        <v>Mercado Pago</v>
      </c>
      <c r="N2264" s="20" t="str">
        <f t="shared" si="2"/>
        <v>2024 07</v>
      </c>
    </row>
    <row r="2265" ht="22.5" customHeight="1">
      <c r="A2265" s="12">
        <f>IFERROR(__xludf.DUMMYFUNCTION("""COMPUTED_VALUE"""),1475.0)</f>
        <v>1475</v>
      </c>
      <c r="B2265" s="13">
        <f>IFERROR(__xludf.DUMMYFUNCTION("""COMPUTED_VALUE"""),45482.0)</f>
        <v>45482</v>
      </c>
      <c r="C2265" s="12">
        <f>IFERROR(__xludf.DUMMYFUNCTION("""COMPUTED_VALUE"""),39.0)</f>
        <v>39</v>
      </c>
      <c r="D2265" s="12">
        <f>IFERROR(__xludf.DUMMYFUNCTION("""COMPUTED_VALUE"""),33.0)</f>
        <v>33</v>
      </c>
      <c r="E2265" s="12">
        <f>IFERROR(__xludf.DUMMYFUNCTION("""COMPUTED_VALUE"""),5.0)</f>
        <v>5</v>
      </c>
      <c r="F2265" s="12">
        <f>IFERROR(__xludf.DUMMYFUNCTION("""COMPUTED_VALUE"""),5.0)</f>
        <v>5</v>
      </c>
      <c r="G2265" s="15" t="str">
        <f>IFERROR(__xludf.DUMMYFUNCTION("""COMPUTED_VALUE"""),"Completa")</f>
        <v>Completa</v>
      </c>
      <c r="H2265" s="16" t="str">
        <f t="array" ref="H2265">_xlfn.XLOOKUP(D2265,Productos[ID_Producto],Productos[Nombre_Producto])</f>
        <v>Papas chips</v>
      </c>
      <c r="I2265" s="17">
        <f t="array" ref="I2265">_xlfn.XLOOKUP(D2265,Productos[ID_Producto],Productos[Precio_Unitario])</f>
        <v>8.54</v>
      </c>
      <c r="J2265" s="17">
        <f t="shared" si="1"/>
        <v>42.7</v>
      </c>
      <c r="K2265" s="16" t="str">
        <f t="array" ref="K2265">_xlfn.XLOOKUP(C2265,Clientes[ID_Cliente],Clientes[Provincia])</f>
        <v>Neuquén</v>
      </c>
      <c r="L2265" s="16" t="str">
        <f t="array" ref="L2265">CONCATENATE(_xlfn.XLOOKUP(C2265,Clientes[ID_Cliente],Clientes[Provincia]),", Argentina")</f>
        <v>Neuquén, Argentina</v>
      </c>
      <c r="M2265" s="20" t="str">
        <f t="array" ref="M2265">_xlfn.XLOOKUP(F2265,Metodos_De_Pago[ID_Metodo],Metodos_De_Pago[Metodo])</f>
        <v>Transferencia</v>
      </c>
      <c r="N2265" s="20" t="str">
        <f t="shared" si="2"/>
        <v>2024 07</v>
      </c>
    </row>
    <row r="2266" ht="22.5" customHeight="1">
      <c r="A2266" s="12">
        <f>IFERROR(__xludf.DUMMYFUNCTION("""COMPUTED_VALUE"""),2064.0)</f>
        <v>2064</v>
      </c>
      <c r="B2266" s="13">
        <f>IFERROR(__xludf.DUMMYFUNCTION("""COMPUTED_VALUE"""),45482.0)</f>
        <v>45482</v>
      </c>
      <c r="C2266" s="12">
        <f>IFERROR(__xludf.DUMMYFUNCTION("""COMPUTED_VALUE"""),306.0)</f>
        <v>306</v>
      </c>
      <c r="D2266" s="12">
        <f>IFERROR(__xludf.DUMMYFUNCTION("""COMPUTED_VALUE"""),30.0)</f>
        <v>30</v>
      </c>
      <c r="E2266" s="12">
        <f>IFERROR(__xludf.DUMMYFUNCTION("""COMPUTED_VALUE"""),5.0)</f>
        <v>5</v>
      </c>
      <c r="F2266" s="12">
        <f>IFERROR(__xludf.DUMMYFUNCTION("""COMPUTED_VALUE"""),4.0)</f>
        <v>4</v>
      </c>
      <c r="G2266" s="15" t="str">
        <f>IFERROR(__xludf.DUMMYFUNCTION("""COMPUTED_VALUE"""),"Completa")</f>
        <v>Completa</v>
      </c>
      <c r="H2266" s="16" t="str">
        <f t="array" ref="H2266">_xlfn.XLOOKUP(D2266,Productos[ID_Producto],Productos[Nombre_Producto])</f>
        <v>Vino tinto</v>
      </c>
      <c r="I2266" s="17">
        <f t="array" ref="I2266">_xlfn.XLOOKUP(D2266,Productos[ID_Producto],Productos[Precio_Unitario])</f>
        <v>13.54</v>
      </c>
      <c r="J2266" s="17">
        <f t="shared" si="1"/>
        <v>67.7</v>
      </c>
      <c r="K2266" s="16" t="str">
        <f t="array" ref="K2266">_xlfn.XLOOKUP(C2266,Clientes[ID_Cliente],Clientes[Provincia])</f>
        <v>San Luis</v>
      </c>
      <c r="L2266" s="16" t="str">
        <f t="array" ref="L2266">CONCATENATE(_xlfn.XLOOKUP(C2266,Clientes[ID_Cliente],Clientes[Provincia]),", Argentina")</f>
        <v>San Luis, Argentina</v>
      </c>
      <c r="M2266" s="20" t="str">
        <f t="array" ref="M2266">_xlfn.XLOOKUP(F2266,Metodos_De_Pago[ID_Metodo],Metodos_De_Pago[Metodo])</f>
        <v>Mercado Pago</v>
      </c>
      <c r="N2266" s="20" t="str">
        <f t="shared" si="2"/>
        <v>2024 07</v>
      </c>
    </row>
    <row r="2267" ht="22.5" customHeight="1">
      <c r="A2267" s="12">
        <f>IFERROR(__xludf.DUMMYFUNCTION("""COMPUTED_VALUE"""),2639.0)</f>
        <v>2639</v>
      </c>
      <c r="B2267" s="13">
        <f>IFERROR(__xludf.DUMMYFUNCTION("""COMPUTED_VALUE"""),45482.0)</f>
        <v>45482</v>
      </c>
      <c r="C2267" s="12">
        <f>IFERROR(__xludf.DUMMYFUNCTION("""COMPUTED_VALUE"""),228.0)</f>
        <v>228</v>
      </c>
      <c r="D2267" s="12">
        <f>IFERROR(__xludf.DUMMYFUNCTION("""COMPUTED_VALUE"""),35.0)</f>
        <v>35</v>
      </c>
      <c r="E2267" s="12">
        <f>IFERROR(__xludf.DUMMYFUNCTION("""COMPUTED_VALUE"""),5.0)</f>
        <v>5</v>
      </c>
      <c r="F2267" s="12">
        <f>IFERROR(__xludf.DUMMYFUNCTION("""COMPUTED_VALUE"""),5.0)</f>
        <v>5</v>
      </c>
      <c r="G2267" s="15" t="str">
        <f>IFERROR(__xludf.DUMMYFUNCTION("""COMPUTED_VALUE"""),"Completa")</f>
        <v>Completa</v>
      </c>
      <c r="H2267" s="16" t="str">
        <f t="array" ref="H2267">_xlfn.XLOOKUP(D2267,Productos[ID_Producto],Productos[Nombre_Producto])</f>
        <v>Arroz</v>
      </c>
      <c r="I2267" s="17">
        <f t="array" ref="I2267">_xlfn.XLOOKUP(D2267,Productos[ID_Producto],Productos[Precio_Unitario])</f>
        <v>4.25</v>
      </c>
      <c r="J2267" s="17">
        <f t="shared" si="1"/>
        <v>21.25</v>
      </c>
      <c r="K2267" s="16" t="str">
        <f t="array" ref="K2267">_xlfn.XLOOKUP(C2267,Clientes[ID_Cliente],Clientes[Provincia])</f>
        <v>Córdoba</v>
      </c>
      <c r="L2267" s="16" t="str">
        <f t="array" ref="L2267">CONCATENATE(_xlfn.XLOOKUP(C2267,Clientes[ID_Cliente],Clientes[Provincia]),", Argentina")</f>
        <v>Córdoba, Argentina</v>
      </c>
      <c r="M2267" s="20" t="str">
        <f t="array" ref="M2267">_xlfn.XLOOKUP(F2267,Metodos_De_Pago[ID_Metodo],Metodos_De_Pago[Metodo])</f>
        <v>Transferencia</v>
      </c>
      <c r="N2267" s="20" t="str">
        <f t="shared" si="2"/>
        <v>2024 07</v>
      </c>
    </row>
    <row r="2268" ht="22.5" customHeight="1">
      <c r="A2268" s="12">
        <f>IFERROR(__xludf.DUMMYFUNCTION("""COMPUTED_VALUE"""),1393.0)</f>
        <v>1393</v>
      </c>
      <c r="B2268" s="13">
        <f>IFERROR(__xludf.DUMMYFUNCTION("""COMPUTED_VALUE"""),45483.0)</f>
        <v>45483</v>
      </c>
      <c r="C2268" s="12">
        <f>IFERROR(__xludf.DUMMYFUNCTION("""COMPUTED_VALUE"""),121.0)</f>
        <v>121</v>
      </c>
      <c r="D2268" s="12">
        <f>IFERROR(__xludf.DUMMYFUNCTION("""COMPUTED_VALUE"""),27.0)</f>
        <v>27</v>
      </c>
      <c r="E2268" s="12">
        <f>IFERROR(__xludf.DUMMYFUNCTION("""COMPUTED_VALUE"""),5.0)</f>
        <v>5</v>
      </c>
      <c r="F2268" s="12">
        <f>IFERROR(__xludf.DUMMYFUNCTION("""COMPUTED_VALUE"""),3.0)</f>
        <v>3</v>
      </c>
      <c r="G2268" s="15" t="str">
        <f>IFERROR(__xludf.DUMMYFUNCTION("""COMPUTED_VALUE"""),"Completa")</f>
        <v>Completa</v>
      </c>
      <c r="H2268" s="16" t="str">
        <f t="array" ref="H2268">_xlfn.XLOOKUP(D2268,Productos[ID_Producto],Productos[Nombre_Producto])</f>
        <v>Agua mineral</v>
      </c>
      <c r="I2268" s="17">
        <f t="array" ref="I2268">_xlfn.XLOOKUP(D2268,Productos[ID_Producto],Productos[Precio_Unitario])</f>
        <v>6.21</v>
      </c>
      <c r="J2268" s="17">
        <f t="shared" si="1"/>
        <v>31.05</v>
      </c>
      <c r="K2268" s="16" t="str">
        <f t="array" ref="K2268">_xlfn.XLOOKUP(C2268,Clientes[ID_Cliente],Clientes[Provincia])</f>
        <v>San Luis</v>
      </c>
      <c r="L2268" s="16" t="str">
        <f t="array" ref="L2268">CONCATENATE(_xlfn.XLOOKUP(C2268,Clientes[ID_Cliente],Clientes[Provincia]),", Argentina")</f>
        <v>San Luis, Argentina</v>
      </c>
      <c r="M2268" s="20" t="str">
        <f t="array" ref="M2268">_xlfn.XLOOKUP(F2268,Metodos_De_Pago[ID_Metodo],Metodos_De_Pago[Metodo])</f>
        <v>Tarjeta de Débito</v>
      </c>
      <c r="N2268" s="20" t="str">
        <f t="shared" si="2"/>
        <v>2024 07</v>
      </c>
    </row>
    <row r="2269" ht="22.5" customHeight="1">
      <c r="A2269" s="12">
        <f>IFERROR(__xludf.DUMMYFUNCTION("""COMPUTED_VALUE"""),2255.0)</f>
        <v>2255</v>
      </c>
      <c r="B2269" s="13">
        <f>IFERROR(__xludf.DUMMYFUNCTION("""COMPUTED_VALUE"""),45484.0)</f>
        <v>45484</v>
      </c>
      <c r="C2269" s="12">
        <f>IFERROR(__xludf.DUMMYFUNCTION("""COMPUTED_VALUE"""),180.0)</f>
        <v>180</v>
      </c>
      <c r="D2269" s="12">
        <f>IFERROR(__xludf.DUMMYFUNCTION("""COMPUTED_VALUE"""),35.0)</f>
        <v>35</v>
      </c>
      <c r="E2269" s="12">
        <f>IFERROR(__xludf.DUMMYFUNCTION("""COMPUTED_VALUE"""),5.0)</f>
        <v>5</v>
      </c>
      <c r="F2269" s="12">
        <f>IFERROR(__xludf.DUMMYFUNCTION("""COMPUTED_VALUE"""),1.0)</f>
        <v>1</v>
      </c>
      <c r="G2269" s="15" t="str">
        <f>IFERROR(__xludf.DUMMYFUNCTION("""COMPUTED_VALUE"""),"Completa")</f>
        <v>Completa</v>
      </c>
      <c r="H2269" s="16" t="str">
        <f t="array" ref="H2269">_xlfn.XLOOKUP(D2269,Productos[ID_Producto],Productos[Nombre_Producto])</f>
        <v>Arroz</v>
      </c>
      <c r="I2269" s="17">
        <f t="array" ref="I2269">_xlfn.XLOOKUP(D2269,Productos[ID_Producto],Productos[Precio_Unitario])</f>
        <v>4.25</v>
      </c>
      <c r="J2269" s="17">
        <f t="shared" si="1"/>
        <v>21.25</v>
      </c>
      <c r="K2269" s="16" t="str">
        <f t="array" ref="K2269">_xlfn.XLOOKUP(C2269,Clientes[ID_Cliente],Clientes[Provincia])</f>
        <v>Buenos Aires</v>
      </c>
      <c r="L2269" s="16" t="str">
        <f t="array" ref="L2269">CONCATENATE(_xlfn.XLOOKUP(C2269,Clientes[ID_Cliente],Clientes[Provincia]),", Argentina")</f>
        <v>Buenos Aires, Argentina</v>
      </c>
      <c r="M2269" s="20" t="str">
        <f t="array" ref="M2269">_xlfn.XLOOKUP(F2269,Metodos_De_Pago[ID_Metodo],Metodos_De_Pago[Metodo])</f>
        <v>Efectivo</v>
      </c>
      <c r="N2269" s="20" t="str">
        <f t="shared" si="2"/>
        <v>2024 07</v>
      </c>
    </row>
    <row r="2270" ht="22.5" customHeight="1">
      <c r="A2270" s="12">
        <f>IFERROR(__xludf.DUMMYFUNCTION("""COMPUTED_VALUE"""),646.0)</f>
        <v>646</v>
      </c>
      <c r="B2270" s="13">
        <f>IFERROR(__xludf.DUMMYFUNCTION("""COMPUTED_VALUE"""),45485.0)</f>
        <v>45485</v>
      </c>
      <c r="C2270" s="12">
        <f>IFERROR(__xludf.DUMMYFUNCTION("""COMPUTED_VALUE"""),25.0)</f>
        <v>25</v>
      </c>
      <c r="D2270" s="12">
        <f>IFERROR(__xludf.DUMMYFUNCTION("""COMPUTED_VALUE"""),27.0)</f>
        <v>27</v>
      </c>
      <c r="E2270" s="12">
        <f>IFERROR(__xludf.DUMMYFUNCTION("""COMPUTED_VALUE"""),5.0)</f>
        <v>5</v>
      </c>
      <c r="F2270" s="12">
        <f>IFERROR(__xludf.DUMMYFUNCTION("""COMPUTED_VALUE"""),4.0)</f>
        <v>4</v>
      </c>
      <c r="G2270" s="15" t="str">
        <f>IFERROR(__xludf.DUMMYFUNCTION("""COMPUTED_VALUE"""),"Completa")</f>
        <v>Completa</v>
      </c>
      <c r="H2270" s="16" t="str">
        <f t="array" ref="H2270">_xlfn.XLOOKUP(D2270,Productos[ID_Producto],Productos[Nombre_Producto])</f>
        <v>Agua mineral</v>
      </c>
      <c r="I2270" s="17">
        <f t="array" ref="I2270">_xlfn.XLOOKUP(D2270,Productos[ID_Producto],Productos[Precio_Unitario])</f>
        <v>6.21</v>
      </c>
      <c r="J2270" s="17">
        <f t="shared" si="1"/>
        <v>31.05</v>
      </c>
      <c r="K2270" s="16" t="str">
        <f t="array" ref="K2270">_xlfn.XLOOKUP(C2270,Clientes[ID_Cliente],Clientes[Provincia])</f>
        <v>Neuquén</v>
      </c>
      <c r="L2270" s="16" t="str">
        <f t="array" ref="L2270">CONCATENATE(_xlfn.XLOOKUP(C2270,Clientes[ID_Cliente],Clientes[Provincia]),", Argentina")</f>
        <v>Neuquén, Argentina</v>
      </c>
      <c r="M2270" s="20" t="str">
        <f t="array" ref="M2270">_xlfn.XLOOKUP(F2270,Metodos_De_Pago[ID_Metodo],Metodos_De_Pago[Metodo])</f>
        <v>Mercado Pago</v>
      </c>
      <c r="N2270" s="20" t="str">
        <f t="shared" si="2"/>
        <v>2024 07</v>
      </c>
    </row>
    <row r="2271" ht="22.5" customHeight="1">
      <c r="A2271" s="12">
        <f>IFERROR(__xludf.DUMMYFUNCTION("""COMPUTED_VALUE"""),1459.0)</f>
        <v>1459</v>
      </c>
      <c r="B2271" s="13">
        <f>IFERROR(__xludf.DUMMYFUNCTION("""COMPUTED_VALUE"""),45485.0)</f>
        <v>45485</v>
      </c>
      <c r="C2271" s="12">
        <f>IFERROR(__xludf.DUMMYFUNCTION("""COMPUTED_VALUE"""),176.0)</f>
        <v>176</v>
      </c>
      <c r="D2271" s="12">
        <f>IFERROR(__xludf.DUMMYFUNCTION("""COMPUTED_VALUE"""),37.0)</f>
        <v>37</v>
      </c>
      <c r="E2271" s="12">
        <f>IFERROR(__xludf.DUMMYFUNCTION("""COMPUTED_VALUE"""),5.0)</f>
        <v>5</v>
      </c>
      <c r="F2271" s="12">
        <f>IFERROR(__xludf.DUMMYFUNCTION("""COMPUTED_VALUE"""),2.0)</f>
        <v>2</v>
      </c>
      <c r="G2271" s="15" t="str">
        <f>IFERROR(__xludf.DUMMYFUNCTION("""COMPUTED_VALUE"""),"Completa")</f>
        <v>Completa</v>
      </c>
      <c r="H2271" s="16" t="str">
        <f t="array" ref="H2271">_xlfn.XLOOKUP(D2271,Productos[ID_Producto],Productos[Nombre_Producto])</f>
        <v>Garbanzos</v>
      </c>
      <c r="I2271" s="17">
        <f t="array" ref="I2271">_xlfn.XLOOKUP(D2271,Productos[ID_Producto],Productos[Precio_Unitario])</f>
        <v>3.65</v>
      </c>
      <c r="J2271" s="17">
        <f t="shared" si="1"/>
        <v>18.25</v>
      </c>
      <c r="K2271" s="16" t="str">
        <f t="array" ref="K2271">_xlfn.XLOOKUP(C2271,Clientes[ID_Cliente],Clientes[Provincia])</f>
        <v>Chaco</v>
      </c>
      <c r="L2271" s="16" t="str">
        <f t="array" ref="L2271">CONCATENATE(_xlfn.XLOOKUP(C2271,Clientes[ID_Cliente],Clientes[Provincia]),", Argentina")</f>
        <v>Chaco, Argentina</v>
      </c>
      <c r="M2271" s="20" t="str">
        <f t="array" ref="M2271">_xlfn.XLOOKUP(F2271,Metodos_De_Pago[ID_Metodo],Metodos_De_Pago[Metodo])</f>
        <v>Tarjeta de Crédito</v>
      </c>
      <c r="N2271" s="20" t="str">
        <f t="shared" si="2"/>
        <v>2024 07</v>
      </c>
    </row>
    <row r="2272" ht="22.5" customHeight="1">
      <c r="A2272" s="12">
        <f>IFERROR(__xludf.DUMMYFUNCTION("""COMPUTED_VALUE"""),1676.0)</f>
        <v>1676</v>
      </c>
      <c r="B2272" s="13">
        <f>IFERROR(__xludf.DUMMYFUNCTION("""COMPUTED_VALUE"""),45485.0)</f>
        <v>45485</v>
      </c>
      <c r="C2272" s="12">
        <f>IFERROR(__xludf.DUMMYFUNCTION("""COMPUTED_VALUE"""),324.0)</f>
        <v>324</v>
      </c>
      <c r="D2272" s="12">
        <f>IFERROR(__xludf.DUMMYFUNCTION("""COMPUTED_VALUE"""),36.0)</f>
        <v>36</v>
      </c>
      <c r="E2272" s="12">
        <f>IFERROR(__xludf.DUMMYFUNCTION("""COMPUTED_VALUE"""),5.0)</f>
        <v>5</v>
      </c>
      <c r="F2272" s="12">
        <f>IFERROR(__xludf.DUMMYFUNCTION("""COMPUTED_VALUE"""),4.0)</f>
        <v>4</v>
      </c>
      <c r="G2272" s="15" t="str">
        <f>IFERROR(__xludf.DUMMYFUNCTION("""COMPUTED_VALUE"""),"Completa")</f>
        <v>Completa</v>
      </c>
      <c r="H2272" s="16" t="str">
        <f t="array" ref="H2272">_xlfn.XLOOKUP(D2272,Productos[ID_Producto],Productos[Nombre_Producto])</f>
        <v>Lentejas</v>
      </c>
      <c r="I2272" s="17">
        <f t="array" ref="I2272">_xlfn.XLOOKUP(D2272,Productos[ID_Producto],Productos[Precio_Unitario])</f>
        <v>3.25</v>
      </c>
      <c r="J2272" s="17">
        <f t="shared" si="1"/>
        <v>16.25</v>
      </c>
      <c r="K2272" s="16" t="str">
        <f t="array" ref="K2272">_xlfn.XLOOKUP(C2272,Clientes[ID_Cliente],Clientes[Provincia])</f>
        <v>Chaco</v>
      </c>
      <c r="L2272" s="16" t="str">
        <f t="array" ref="L2272">CONCATENATE(_xlfn.XLOOKUP(C2272,Clientes[ID_Cliente],Clientes[Provincia]),", Argentina")</f>
        <v>Chaco, Argentina</v>
      </c>
      <c r="M2272" s="20" t="str">
        <f t="array" ref="M2272">_xlfn.XLOOKUP(F2272,Metodos_De_Pago[ID_Metodo],Metodos_De_Pago[Metodo])</f>
        <v>Mercado Pago</v>
      </c>
      <c r="N2272" s="20" t="str">
        <f t="shared" si="2"/>
        <v>2024 07</v>
      </c>
    </row>
    <row r="2273" ht="22.5" customHeight="1">
      <c r="A2273" s="12">
        <f>IFERROR(__xludf.DUMMYFUNCTION("""COMPUTED_VALUE"""),2743.0)</f>
        <v>2743</v>
      </c>
      <c r="B2273" s="13">
        <f>IFERROR(__xludf.DUMMYFUNCTION("""COMPUTED_VALUE"""),45486.0)</f>
        <v>45486</v>
      </c>
      <c r="C2273" s="12">
        <f>IFERROR(__xludf.DUMMYFUNCTION("""COMPUTED_VALUE"""),251.0)</f>
        <v>251</v>
      </c>
      <c r="D2273" s="12">
        <f>IFERROR(__xludf.DUMMYFUNCTION("""COMPUTED_VALUE"""),5.0)</f>
        <v>5</v>
      </c>
      <c r="E2273" s="12">
        <f>IFERROR(__xludf.DUMMYFUNCTION("""COMPUTED_VALUE"""),5.0)</f>
        <v>5</v>
      </c>
      <c r="F2273" s="12">
        <f>IFERROR(__xludf.DUMMYFUNCTION("""COMPUTED_VALUE"""),4.0)</f>
        <v>4</v>
      </c>
      <c r="G2273" s="15" t="str">
        <f>IFERROR(__xludf.DUMMYFUNCTION("""COMPUTED_VALUE"""),"Completa")</f>
        <v>Completa</v>
      </c>
      <c r="H2273" s="16" t="str">
        <f t="array" ref="H2273">_xlfn.XLOOKUP(D2273,Productos[ID_Producto],Productos[Nombre_Producto])</f>
        <v>Manteca</v>
      </c>
      <c r="I2273" s="17">
        <f t="array" ref="I2273">_xlfn.XLOOKUP(D2273,Productos[ID_Producto],Productos[Precio_Unitario])</f>
        <v>5.65</v>
      </c>
      <c r="J2273" s="17">
        <f t="shared" si="1"/>
        <v>28.25</v>
      </c>
      <c r="K2273" s="16" t="str">
        <f t="array" ref="K2273">_xlfn.XLOOKUP(C2273,Clientes[ID_Cliente],Clientes[Provincia])</f>
        <v>Córdoba</v>
      </c>
      <c r="L2273" s="16" t="str">
        <f t="array" ref="L2273">CONCATENATE(_xlfn.XLOOKUP(C2273,Clientes[ID_Cliente],Clientes[Provincia]),", Argentina")</f>
        <v>Córdoba, Argentina</v>
      </c>
      <c r="M2273" s="20" t="str">
        <f t="array" ref="M2273">_xlfn.XLOOKUP(F2273,Metodos_De_Pago[ID_Metodo],Metodos_De_Pago[Metodo])</f>
        <v>Mercado Pago</v>
      </c>
      <c r="N2273" s="20" t="str">
        <f t="shared" si="2"/>
        <v>2024 07</v>
      </c>
    </row>
    <row r="2274" ht="22.5" customHeight="1">
      <c r="A2274" s="12">
        <f>IFERROR(__xludf.DUMMYFUNCTION("""COMPUTED_VALUE"""),768.0)</f>
        <v>768</v>
      </c>
      <c r="B2274" s="13">
        <f>IFERROR(__xludf.DUMMYFUNCTION("""COMPUTED_VALUE"""),45490.0)</f>
        <v>45490</v>
      </c>
      <c r="C2274" s="12">
        <f>IFERROR(__xludf.DUMMYFUNCTION("""COMPUTED_VALUE"""),168.0)</f>
        <v>168</v>
      </c>
      <c r="D2274" s="12">
        <f>IFERROR(__xludf.DUMMYFUNCTION("""COMPUTED_VALUE"""),19.0)</f>
        <v>19</v>
      </c>
      <c r="E2274" s="12">
        <f>IFERROR(__xludf.DUMMYFUNCTION("""COMPUTED_VALUE"""),5.0)</f>
        <v>5</v>
      </c>
      <c r="F2274" s="12">
        <f>IFERROR(__xludf.DUMMYFUNCTION("""COMPUTED_VALUE"""),3.0)</f>
        <v>3</v>
      </c>
      <c r="G2274" s="15" t="str">
        <f>IFERROR(__xludf.DUMMYFUNCTION("""COMPUTED_VALUE"""),"Completa")</f>
        <v>Completa</v>
      </c>
      <c r="H2274" s="16" t="str">
        <f t="array" ref="H2274">_xlfn.XLOOKUP(D2274,Productos[ID_Producto],Productos[Nombre_Producto])</f>
        <v>Tomates</v>
      </c>
      <c r="I2274" s="17">
        <f t="array" ref="I2274">_xlfn.XLOOKUP(D2274,Productos[ID_Producto],Productos[Precio_Unitario])</f>
        <v>6.54</v>
      </c>
      <c r="J2274" s="17">
        <f t="shared" si="1"/>
        <v>32.7</v>
      </c>
      <c r="K2274" s="16" t="str">
        <f t="array" ref="K2274">_xlfn.XLOOKUP(C2274,Clientes[ID_Cliente],Clientes[Provincia])</f>
        <v>Córdoba</v>
      </c>
      <c r="L2274" s="16" t="str">
        <f t="array" ref="L2274">CONCATENATE(_xlfn.XLOOKUP(C2274,Clientes[ID_Cliente],Clientes[Provincia]),", Argentina")</f>
        <v>Córdoba, Argentina</v>
      </c>
      <c r="M2274" s="20" t="str">
        <f t="array" ref="M2274">_xlfn.XLOOKUP(F2274,Metodos_De_Pago[ID_Metodo],Metodos_De_Pago[Metodo])</f>
        <v>Tarjeta de Débito</v>
      </c>
      <c r="N2274" s="20" t="str">
        <f t="shared" si="2"/>
        <v>2024 07</v>
      </c>
    </row>
    <row r="2275" ht="22.5" customHeight="1">
      <c r="A2275" s="12">
        <f>IFERROR(__xludf.DUMMYFUNCTION("""COMPUTED_VALUE"""),241.0)</f>
        <v>241</v>
      </c>
      <c r="B2275" s="13">
        <f>IFERROR(__xludf.DUMMYFUNCTION("""COMPUTED_VALUE"""),45492.0)</f>
        <v>45492</v>
      </c>
      <c r="C2275" s="12">
        <f>IFERROR(__xludf.DUMMYFUNCTION("""COMPUTED_VALUE"""),158.0)</f>
        <v>158</v>
      </c>
      <c r="D2275" s="12">
        <f>IFERROR(__xludf.DUMMYFUNCTION("""COMPUTED_VALUE"""),7.0)</f>
        <v>7</v>
      </c>
      <c r="E2275" s="12">
        <f>IFERROR(__xludf.DUMMYFUNCTION("""COMPUTED_VALUE"""),5.0)</f>
        <v>5</v>
      </c>
      <c r="F2275" s="12">
        <f>IFERROR(__xludf.DUMMYFUNCTION("""COMPUTED_VALUE"""),3.0)</f>
        <v>3</v>
      </c>
      <c r="G2275" s="15" t="str">
        <f>IFERROR(__xludf.DUMMYFUNCTION("""COMPUTED_VALUE"""),"Pendiente")</f>
        <v>Pendiente</v>
      </c>
      <c r="H2275" s="16" t="str">
        <f t="array" ref="H2275">_xlfn.XLOOKUP(D2275,Productos[ID_Producto],Productos[Nombre_Producto])</f>
        <v>Chorizo</v>
      </c>
      <c r="I2275" s="17">
        <f t="array" ref="I2275">_xlfn.XLOOKUP(D2275,Productos[ID_Producto],Productos[Precio_Unitario])</f>
        <v>11.25</v>
      </c>
      <c r="J2275" s="17">
        <f t="shared" si="1"/>
        <v>56.25</v>
      </c>
      <c r="K2275" s="16" t="str">
        <f t="array" ref="K2275">_xlfn.XLOOKUP(C2275,Clientes[ID_Cliente],Clientes[Provincia])</f>
        <v>Buenos Aires</v>
      </c>
      <c r="L2275" s="16" t="str">
        <f t="array" ref="L2275">CONCATENATE(_xlfn.XLOOKUP(C2275,Clientes[ID_Cliente],Clientes[Provincia]),", Argentina")</f>
        <v>Buenos Aires, Argentina</v>
      </c>
      <c r="M2275" s="20" t="str">
        <f t="array" ref="M2275">_xlfn.XLOOKUP(F2275,Metodos_De_Pago[ID_Metodo],Metodos_De_Pago[Metodo])</f>
        <v>Tarjeta de Débito</v>
      </c>
      <c r="N2275" s="20" t="str">
        <f t="shared" si="2"/>
        <v>2024 07</v>
      </c>
    </row>
    <row r="2276" ht="22.5" customHeight="1">
      <c r="A2276" s="12">
        <f>IFERROR(__xludf.DUMMYFUNCTION("""COMPUTED_VALUE"""),514.0)</f>
        <v>514</v>
      </c>
      <c r="B2276" s="13">
        <f>IFERROR(__xludf.DUMMYFUNCTION("""COMPUTED_VALUE"""),45493.0)</f>
        <v>45493</v>
      </c>
      <c r="C2276" s="12">
        <f>IFERROR(__xludf.DUMMYFUNCTION("""COMPUTED_VALUE"""),298.0)</f>
        <v>298</v>
      </c>
      <c r="D2276" s="12">
        <f>IFERROR(__xludf.DUMMYFUNCTION("""COMPUTED_VALUE"""),38.0)</f>
        <v>38</v>
      </c>
      <c r="E2276" s="12">
        <f>IFERROR(__xludf.DUMMYFUNCTION("""COMPUTED_VALUE"""),5.0)</f>
        <v>5</v>
      </c>
      <c r="F2276" s="12">
        <f>IFERROR(__xludf.DUMMYFUNCTION("""COMPUTED_VALUE"""),5.0)</f>
        <v>5</v>
      </c>
      <c r="G2276" s="15" t="str">
        <f>IFERROR(__xludf.DUMMYFUNCTION("""COMPUTED_VALUE"""),"Completa")</f>
        <v>Completa</v>
      </c>
      <c r="H2276" s="16" t="str">
        <f t="array" ref="H2276">_xlfn.XLOOKUP(D2276,Productos[ID_Producto],Productos[Nombre_Producto])</f>
        <v>Atún enlatado</v>
      </c>
      <c r="I2276" s="17">
        <f t="array" ref="I2276">_xlfn.XLOOKUP(D2276,Productos[ID_Producto],Productos[Precio_Unitario])</f>
        <v>6.21</v>
      </c>
      <c r="J2276" s="17">
        <f t="shared" si="1"/>
        <v>31.05</v>
      </c>
      <c r="K2276" s="16" t="str">
        <f t="array" ref="K2276">_xlfn.XLOOKUP(C2276,Clientes[ID_Cliente],Clientes[Provincia])</f>
        <v>Buenos Aires</v>
      </c>
      <c r="L2276" s="16" t="str">
        <f t="array" ref="L2276">CONCATENATE(_xlfn.XLOOKUP(C2276,Clientes[ID_Cliente],Clientes[Provincia]),", Argentina")</f>
        <v>Buenos Aires, Argentina</v>
      </c>
      <c r="M2276" s="20" t="str">
        <f t="array" ref="M2276">_xlfn.XLOOKUP(F2276,Metodos_De_Pago[ID_Metodo],Metodos_De_Pago[Metodo])</f>
        <v>Transferencia</v>
      </c>
      <c r="N2276" s="20" t="str">
        <f t="shared" si="2"/>
        <v>2024 07</v>
      </c>
    </row>
    <row r="2277" ht="22.5" customHeight="1">
      <c r="A2277" s="12">
        <f>IFERROR(__xludf.DUMMYFUNCTION("""COMPUTED_VALUE"""),555.0)</f>
        <v>555</v>
      </c>
      <c r="B2277" s="13">
        <f>IFERROR(__xludf.DUMMYFUNCTION("""COMPUTED_VALUE"""),45495.0)</f>
        <v>45495</v>
      </c>
      <c r="C2277" s="12">
        <f>IFERROR(__xludf.DUMMYFUNCTION("""COMPUTED_VALUE"""),234.0)</f>
        <v>234</v>
      </c>
      <c r="D2277" s="12">
        <f>IFERROR(__xludf.DUMMYFUNCTION("""COMPUTED_VALUE"""),27.0)</f>
        <v>27</v>
      </c>
      <c r="E2277" s="12">
        <f>IFERROR(__xludf.DUMMYFUNCTION("""COMPUTED_VALUE"""),5.0)</f>
        <v>5</v>
      </c>
      <c r="F2277" s="12">
        <f>IFERROR(__xludf.DUMMYFUNCTION("""COMPUTED_VALUE"""),3.0)</f>
        <v>3</v>
      </c>
      <c r="G2277" s="15" t="str">
        <f>IFERROR(__xludf.DUMMYFUNCTION("""COMPUTED_VALUE"""),"Completa")</f>
        <v>Completa</v>
      </c>
      <c r="H2277" s="16" t="str">
        <f t="array" ref="H2277">_xlfn.XLOOKUP(D2277,Productos[ID_Producto],Productos[Nombre_Producto])</f>
        <v>Agua mineral</v>
      </c>
      <c r="I2277" s="17">
        <f t="array" ref="I2277">_xlfn.XLOOKUP(D2277,Productos[ID_Producto],Productos[Precio_Unitario])</f>
        <v>6.21</v>
      </c>
      <c r="J2277" s="17">
        <f t="shared" si="1"/>
        <v>31.05</v>
      </c>
      <c r="K2277" s="16" t="str">
        <f t="array" ref="K2277">_xlfn.XLOOKUP(C2277,Clientes[ID_Cliente],Clientes[Provincia])</f>
        <v>Buenos Aires</v>
      </c>
      <c r="L2277" s="16" t="str">
        <f t="array" ref="L2277">CONCATENATE(_xlfn.XLOOKUP(C2277,Clientes[ID_Cliente],Clientes[Provincia]),", Argentina")</f>
        <v>Buenos Aires, Argentina</v>
      </c>
      <c r="M2277" s="20" t="str">
        <f t="array" ref="M2277">_xlfn.XLOOKUP(F2277,Metodos_De_Pago[ID_Metodo],Metodos_De_Pago[Metodo])</f>
        <v>Tarjeta de Débito</v>
      </c>
      <c r="N2277" s="20" t="str">
        <f t="shared" si="2"/>
        <v>2024 07</v>
      </c>
    </row>
    <row r="2278" ht="22.5" customHeight="1">
      <c r="A2278" s="12">
        <f>IFERROR(__xludf.DUMMYFUNCTION("""COMPUTED_VALUE"""),1848.0)</f>
        <v>1848</v>
      </c>
      <c r="B2278" s="13">
        <f>IFERROR(__xludf.DUMMYFUNCTION("""COMPUTED_VALUE"""),45495.0)</f>
        <v>45495</v>
      </c>
      <c r="C2278" s="12">
        <f>IFERROR(__xludf.DUMMYFUNCTION("""COMPUTED_VALUE"""),323.0)</f>
        <v>323</v>
      </c>
      <c r="D2278" s="12">
        <f>IFERROR(__xludf.DUMMYFUNCTION("""COMPUTED_VALUE"""),2.0)</f>
        <v>2</v>
      </c>
      <c r="E2278" s="12">
        <f>IFERROR(__xludf.DUMMYFUNCTION("""COMPUTED_VALUE"""),5.0)</f>
        <v>5</v>
      </c>
      <c r="F2278" s="12">
        <f>IFERROR(__xludf.DUMMYFUNCTION("""COMPUTED_VALUE"""),2.0)</f>
        <v>2</v>
      </c>
      <c r="G2278" s="15" t="str">
        <f>IFERROR(__xludf.DUMMYFUNCTION("""COMPUTED_VALUE"""),"Completa")</f>
        <v>Completa</v>
      </c>
      <c r="H2278" s="16" t="str">
        <f t="array" ref="H2278">_xlfn.XLOOKUP(D2278,Productos[ID_Producto],Productos[Nombre_Producto])</f>
        <v>Yogur</v>
      </c>
      <c r="I2278" s="17">
        <f t="array" ref="I2278">_xlfn.XLOOKUP(D2278,Productos[ID_Producto],Productos[Precio_Unitario])</f>
        <v>5.21</v>
      </c>
      <c r="J2278" s="17">
        <f t="shared" si="1"/>
        <v>26.05</v>
      </c>
      <c r="K2278" s="16" t="str">
        <f t="array" ref="K2278">_xlfn.XLOOKUP(C2278,Clientes[ID_Cliente],Clientes[Provincia])</f>
        <v>Córdoba</v>
      </c>
      <c r="L2278" s="16" t="str">
        <f t="array" ref="L2278">CONCATENATE(_xlfn.XLOOKUP(C2278,Clientes[ID_Cliente],Clientes[Provincia]),", Argentina")</f>
        <v>Córdoba, Argentina</v>
      </c>
      <c r="M2278" s="20" t="str">
        <f t="array" ref="M2278">_xlfn.XLOOKUP(F2278,Metodos_De_Pago[ID_Metodo],Metodos_De_Pago[Metodo])</f>
        <v>Tarjeta de Crédito</v>
      </c>
      <c r="N2278" s="20" t="str">
        <f t="shared" si="2"/>
        <v>2024 07</v>
      </c>
    </row>
    <row r="2279" ht="22.5" customHeight="1">
      <c r="A2279" s="12">
        <f>IFERROR(__xludf.DUMMYFUNCTION("""COMPUTED_VALUE"""),574.0)</f>
        <v>574</v>
      </c>
      <c r="B2279" s="13">
        <f>IFERROR(__xludf.DUMMYFUNCTION("""COMPUTED_VALUE"""),45496.0)</f>
        <v>45496</v>
      </c>
      <c r="C2279" s="12">
        <f>IFERROR(__xludf.DUMMYFUNCTION("""COMPUTED_VALUE"""),17.0)</f>
        <v>17</v>
      </c>
      <c r="D2279" s="12">
        <f>IFERROR(__xludf.DUMMYFUNCTION("""COMPUTED_VALUE"""),17.0)</f>
        <v>17</v>
      </c>
      <c r="E2279" s="12">
        <f>IFERROR(__xludf.DUMMYFUNCTION("""COMPUTED_VALUE"""),5.0)</f>
        <v>5</v>
      </c>
      <c r="F2279" s="12">
        <f>IFERROR(__xludf.DUMMYFUNCTION("""COMPUTED_VALUE"""),5.0)</f>
        <v>5</v>
      </c>
      <c r="G2279" s="15" t="str">
        <f>IFERROR(__xludf.DUMMYFUNCTION("""COMPUTED_VALUE"""),"Completa")</f>
        <v>Completa</v>
      </c>
      <c r="H2279" s="16" t="str">
        <f t="array" ref="H2279">_xlfn.XLOOKUP(D2279,Productos[ID_Producto],Productos[Nombre_Producto])</f>
        <v>Manzanas</v>
      </c>
      <c r="I2279" s="17">
        <f t="array" ref="I2279">_xlfn.XLOOKUP(D2279,Productos[ID_Producto],Productos[Precio_Unitario])</f>
        <v>6.54</v>
      </c>
      <c r="J2279" s="17">
        <f t="shared" si="1"/>
        <v>32.7</v>
      </c>
      <c r="K2279" s="16" t="str">
        <f t="array" ref="K2279">_xlfn.XLOOKUP(C2279,Clientes[ID_Cliente],Clientes[Provincia])</f>
        <v>Buenos Aires</v>
      </c>
      <c r="L2279" s="16" t="str">
        <f t="array" ref="L2279">CONCATENATE(_xlfn.XLOOKUP(C2279,Clientes[ID_Cliente],Clientes[Provincia]),", Argentina")</f>
        <v>Buenos Aires, Argentina</v>
      </c>
      <c r="M2279" s="20" t="str">
        <f t="array" ref="M2279">_xlfn.XLOOKUP(F2279,Metodos_De_Pago[ID_Metodo],Metodos_De_Pago[Metodo])</f>
        <v>Transferencia</v>
      </c>
      <c r="N2279" s="20" t="str">
        <f t="shared" si="2"/>
        <v>2024 07</v>
      </c>
    </row>
    <row r="2280" ht="22.5" customHeight="1">
      <c r="A2280" s="12">
        <f>IFERROR(__xludf.DUMMYFUNCTION("""COMPUTED_VALUE"""),1500.0)</f>
        <v>1500</v>
      </c>
      <c r="B2280" s="13">
        <f>IFERROR(__xludf.DUMMYFUNCTION("""COMPUTED_VALUE"""),45496.0)</f>
        <v>45496</v>
      </c>
      <c r="C2280" s="12">
        <f>IFERROR(__xludf.DUMMYFUNCTION("""COMPUTED_VALUE"""),141.0)</f>
        <v>141</v>
      </c>
      <c r="D2280" s="12">
        <f>IFERROR(__xludf.DUMMYFUNCTION("""COMPUTED_VALUE"""),23.0)</f>
        <v>23</v>
      </c>
      <c r="E2280" s="12">
        <f>IFERROR(__xludf.DUMMYFUNCTION("""COMPUTED_VALUE"""),5.0)</f>
        <v>5</v>
      </c>
      <c r="F2280" s="12">
        <f>IFERROR(__xludf.DUMMYFUNCTION("""COMPUTED_VALUE"""),4.0)</f>
        <v>4</v>
      </c>
      <c r="G2280" s="15" t="str">
        <f>IFERROR(__xludf.DUMMYFUNCTION("""COMPUTED_VALUE"""),"Pendiente")</f>
        <v>Pendiente</v>
      </c>
      <c r="H2280" s="16" t="str">
        <f t="array" ref="H2280">_xlfn.XLOOKUP(D2280,Productos[ID_Producto],Productos[Nombre_Producto])</f>
        <v>Papas fritas</v>
      </c>
      <c r="I2280" s="17">
        <f t="array" ref="I2280">_xlfn.XLOOKUP(D2280,Productos[ID_Producto],Productos[Precio_Unitario])</f>
        <v>8.23</v>
      </c>
      <c r="J2280" s="17">
        <f t="shared" si="1"/>
        <v>41.15</v>
      </c>
      <c r="K2280" s="16" t="str">
        <f t="array" ref="K2280">_xlfn.XLOOKUP(C2280,Clientes[ID_Cliente],Clientes[Provincia])</f>
        <v>Chaco</v>
      </c>
      <c r="L2280" s="16" t="str">
        <f t="array" ref="L2280">CONCATENATE(_xlfn.XLOOKUP(C2280,Clientes[ID_Cliente],Clientes[Provincia]),", Argentina")</f>
        <v>Chaco, Argentina</v>
      </c>
      <c r="M2280" s="20" t="str">
        <f t="array" ref="M2280">_xlfn.XLOOKUP(F2280,Metodos_De_Pago[ID_Metodo],Metodos_De_Pago[Metodo])</f>
        <v>Mercado Pago</v>
      </c>
      <c r="N2280" s="20" t="str">
        <f t="shared" si="2"/>
        <v>2024 07</v>
      </c>
    </row>
    <row r="2281" ht="22.5" customHeight="1">
      <c r="A2281" s="12">
        <f>IFERROR(__xludf.DUMMYFUNCTION("""COMPUTED_VALUE"""),392.0)</f>
        <v>392</v>
      </c>
      <c r="B2281" s="13">
        <f>IFERROR(__xludf.DUMMYFUNCTION("""COMPUTED_VALUE"""),45499.0)</f>
        <v>45499</v>
      </c>
      <c r="C2281" s="12">
        <f>IFERROR(__xludf.DUMMYFUNCTION("""COMPUTED_VALUE"""),150.0)</f>
        <v>150</v>
      </c>
      <c r="D2281" s="12">
        <f>IFERROR(__xludf.DUMMYFUNCTION("""COMPUTED_VALUE"""),15.0)</f>
        <v>15</v>
      </c>
      <c r="E2281" s="12">
        <f>IFERROR(__xludf.DUMMYFUNCTION("""COMPUTED_VALUE"""),5.0)</f>
        <v>5</v>
      </c>
      <c r="F2281" s="12">
        <f>IFERROR(__xludf.DUMMYFUNCTION("""COMPUTED_VALUE"""),5.0)</f>
        <v>5</v>
      </c>
      <c r="G2281" s="15" t="str">
        <f>IFERROR(__xludf.DUMMYFUNCTION("""COMPUTED_VALUE"""),"Completa")</f>
        <v>Completa</v>
      </c>
      <c r="H2281" s="16" t="str">
        <f t="array" ref="H2281">_xlfn.XLOOKUP(D2281,Productos[ID_Producto],Productos[Nombre_Producto])</f>
        <v>Medialunas</v>
      </c>
      <c r="I2281" s="17">
        <f t="array" ref="I2281">_xlfn.XLOOKUP(D2281,Productos[ID_Producto],Productos[Precio_Unitario])</f>
        <v>3.51</v>
      </c>
      <c r="J2281" s="17">
        <f t="shared" si="1"/>
        <v>17.55</v>
      </c>
      <c r="K2281" s="16" t="str">
        <f t="array" ref="K2281">_xlfn.XLOOKUP(C2281,Clientes[ID_Cliente],Clientes[Provincia])</f>
        <v>Buenos Aires</v>
      </c>
      <c r="L2281" s="16" t="str">
        <f t="array" ref="L2281">CONCATENATE(_xlfn.XLOOKUP(C2281,Clientes[ID_Cliente],Clientes[Provincia]),", Argentina")</f>
        <v>Buenos Aires, Argentina</v>
      </c>
      <c r="M2281" s="20" t="str">
        <f t="array" ref="M2281">_xlfn.XLOOKUP(F2281,Metodos_De_Pago[ID_Metodo],Metodos_De_Pago[Metodo])</f>
        <v>Transferencia</v>
      </c>
      <c r="N2281" s="20" t="str">
        <f t="shared" si="2"/>
        <v>2024 07</v>
      </c>
    </row>
    <row r="2282" ht="22.5" customHeight="1">
      <c r="A2282" s="12">
        <f>IFERROR(__xludf.DUMMYFUNCTION("""COMPUTED_VALUE"""),410.0)</f>
        <v>410</v>
      </c>
      <c r="B2282" s="13">
        <f>IFERROR(__xludf.DUMMYFUNCTION("""COMPUTED_VALUE"""),45499.0)</f>
        <v>45499</v>
      </c>
      <c r="C2282" s="12">
        <f>IFERROR(__xludf.DUMMYFUNCTION("""COMPUTED_VALUE"""),165.0)</f>
        <v>165</v>
      </c>
      <c r="D2282" s="12">
        <f>IFERROR(__xludf.DUMMYFUNCTION("""COMPUTED_VALUE"""),34.0)</f>
        <v>34</v>
      </c>
      <c r="E2282" s="12">
        <f>IFERROR(__xludf.DUMMYFUNCTION("""COMPUTED_VALUE"""),5.0)</f>
        <v>5</v>
      </c>
      <c r="F2282" s="12">
        <f>IFERROR(__xludf.DUMMYFUNCTION("""COMPUTED_VALUE"""),2.0)</f>
        <v>2</v>
      </c>
      <c r="G2282" s="15" t="str">
        <f>IFERROR(__xludf.DUMMYFUNCTION("""COMPUTED_VALUE"""),"Pendiente")</f>
        <v>Pendiente</v>
      </c>
      <c r="H2282" s="16" t="str">
        <f t="array" ref="H2282">_xlfn.XLOOKUP(D2282,Productos[ID_Producto],Productos[Nombre_Producto])</f>
        <v>Maníes</v>
      </c>
      <c r="I2282" s="17">
        <f t="array" ref="I2282">_xlfn.XLOOKUP(D2282,Productos[ID_Producto],Productos[Precio_Unitario])</f>
        <v>5.45</v>
      </c>
      <c r="J2282" s="17">
        <f t="shared" si="1"/>
        <v>27.25</v>
      </c>
      <c r="K2282" s="16" t="str">
        <f t="array" ref="K2282">_xlfn.XLOOKUP(C2282,Clientes[ID_Cliente],Clientes[Provincia])</f>
        <v>Buenos Aires</v>
      </c>
      <c r="L2282" s="16" t="str">
        <f t="array" ref="L2282">CONCATENATE(_xlfn.XLOOKUP(C2282,Clientes[ID_Cliente],Clientes[Provincia]),", Argentina")</f>
        <v>Buenos Aires, Argentina</v>
      </c>
      <c r="M2282" s="20" t="str">
        <f t="array" ref="M2282">_xlfn.XLOOKUP(F2282,Metodos_De_Pago[ID_Metodo],Metodos_De_Pago[Metodo])</f>
        <v>Tarjeta de Crédito</v>
      </c>
      <c r="N2282" s="20" t="str">
        <f t="shared" si="2"/>
        <v>2024 07</v>
      </c>
    </row>
    <row r="2283" ht="22.5" customHeight="1">
      <c r="A2283" s="12">
        <f>IFERROR(__xludf.DUMMYFUNCTION("""COMPUTED_VALUE"""),1004.0)</f>
        <v>1004</v>
      </c>
      <c r="B2283" s="13">
        <f>IFERROR(__xludf.DUMMYFUNCTION("""COMPUTED_VALUE"""),45499.0)</f>
        <v>45499</v>
      </c>
      <c r="C2283" s="12">
        <f>IFERROR(__xludf.DUMMYFUNCTION("""COMPUTED_VALUE"""),71.0)</f>
        <v>71</v>
      </c>
      <c r="D2283" s="12">
        <f>IFERROR(__xludf.DUMMYFUNCTION("""COMPUTED_VALUE"""),29.0)</f>
        <v>29</v>
      </c>
      <c r="E2283" s="12">
        <f>IFERROR(__xludf.DUMMYFUNCTION("""COMPUTED_VALUE"""),5.0)</f>
        <v>5</v>
      </c>
      <c r="F2283" s="12">
        <f>IFERROR(__xludf.DUMMYFUNCTION("""COMPUTED_VALUE"""),5.0)</f>
        <v>5</v>
      </c>
      <c r="G2283" s="15" t="str">
        <f>IFERROR(__xludf.DUMMYFUNCTION("""COMPUTED_VALUE"""),"Completa")</f>
        <v>Completa</v>
      </c>
      <c r="H2283" s="16" t="str">
        <f t="array" ref="H2283">_xlfn.XLOOKUP(D2283,Productos[ID_Producto],Productos[Nombre_Producto])</f>
        <v>Cerveza</v>
      </c>
      <c r="I2283" s="17">
        <f t="array" ref="I2283">_xlfn.XLOOKUP(D2283,Productos[ID_Producto],Productos[Precio_Unitario])</f>
        <v>11.54</v>
      </c>
      <c r="J2283" s="17">
        <f t="shared" si="1"/>
        <v>57.7</v>
      </c>
      <c r="K2283" s="16" t="str">
        <f t="array" ref="K2283">_xlfn.XLOOKUP(C2283,Clientes[ID_Cliente],Clientes[Provincia])</f>
        <v>Buenos Aires</v>
      </c>
      <c r="L2283" s="16" t="str">
        <f t="array" ref="L2283">CONCATENATE(_xlfn.XLOOKUP(C2283,Clientes[ID_Cliente],Clientes[Provincia]),", Argentina")</f>
        <v>Buenos Aires, Argentina</v>
      </c>
      <c r="M2283" s="20" t="str">
        <f t="array" ref="M2283">_xlfn.XLOOKUP(F2283,Metodos_De_Pago[ID_Metodo],Metodos_De_Pago[Metodo])</f>
        <v>Transferencia</v>
      </c>
      <c r="N2283" s="20" t="str">
        <f t="shared" si="2"/>
        <v>2024 07</v>
      </c>
    </row>
    <row r="2284" ht="22.5" customHeight="1">
      <c r="A2284" s="12">
        <f>IFERROR(__xludf.DUMMYFUNCTION("""COMPUTED_VALUE"""),2760.0)</f>
        <v>2760</v>
      </c>
      <c r="B2284" s="13">
        <f>IFERROR(__xludf.DUMMYFUNCTION("""COMPUTED_VALUE"""),45499.0)</f>
        <v>45499</v>
      </c>
      <c r="C2284" s="12">
        <f>IFERROR(__xludf.DUMMYFUNCTION("""COMPUTED_VALUE"""),159.0)</f>
        <v>159</v>
      </c>
      <c r="D2284" s="12">
        <f>IFERROR(__xludf.DUMMYFUNCTION("""COMPUTED_VALUE"""),16.0)</f>
        <v>16</v>
      </c>
      <c r="E2284" s="12">
        <f>IFERROR(__xludf.DUMMYFUNCTION("""COMPUTED_VALUE"""),5.0)</f>
        <v>5</v>
      </c>
      <c r="F2284" s="12">
        <f>IFERROR(__xludf.DUMMYFUNCTION("""COMPUTED_VALUE"""),4.0)</f>
        <v>4</v>
      </c>
      <c r="G2284" s="15" t="str">
        <f>IFERROR(__xludf.DUMMYFUNCTION("""COMPUTED_VALUE"""),"Completa")</f>
        <v>Completa</v>
      </c>
      <c r="H2284" s="16" t="str">
        <f t="array" ref="H2284">_xlfn.XLOOKUP(D2284,Productos[ID_Producto],Productos[Nombre_Producto])</f>
        <v>Tortas</v>
      </c>
      <c r="I2284" s="17">
        <f t="array" ref="I2284">_xlfn.XLOOKUP(D2284,Productos[ID_Producto],Productos[Precio_Unitario])</f>
        <v>15.23</v>
      </c>
      <c r="J2284" s="17">
        <f t="shared" si="1"/>
        <v>76.15</v>
      </c>
      <c r="K2284" s="16" t="str">
        <f t="array" ref="K2284">_xlfn.XLOOKUP(C2284,Clientes[ID_Cliente],Clientes[Provincia])</f>
        <v>Chaco</v>
      </c>
      <c r="L2284" s="16" t="str">
        <f t="array" ref="L2284">CONCATENATE(_xlfn.XLOOKUP(C2284,Clientes[ID_Cliente],Clientes[Provincia]),", Argentina")</f>
        <v>Chaco, Argentina</v>
      </c>
      <c r="M2284" s="20" t="str">
        <f t="array" ref="M2284">_xlfn.XLOOKUP(F2284,Metodos_De_Pago[ID_Metodo],Metodos_De_Pago[Metodo])</f>
        <v>Mercado Pago</v>
      </c>
      <c r="N2284" s="20" t="str">
        <f t="shared" si="2"/>
        <v>2024 07</v>
      </c>
    </row>
    <row r="2285" ht="22.5" customHeight="1">
      <c r="A2285" s="12">
        <f>IFERROR(__xludf.DUMMYFUNCTION("""COMPUTED_VALUE"""),2836.0)</f>
        <v>2836</v>
      </c>
      <c r="B2285" s="13">
        <f>IFERROR(__xludf.DUMMYFUNCTION("""COMPUTED_VALUE"""),45499.0)</f>
        <v>45499</v>
      </c>
      <c r="C2285" s="12">
        <f>IFERROR(__xludf.DUMMYFUNCTION("""COMPUTED_VALUE"""),139.0)</f>
        <v>139</v>
      </c>
      <c r="D2285" s="12">
        <f>IFERROR(__xludf.DUMMYFUNCTION("""COMPUTED_VALUE"""),13.0)</f>
        <v>13</v>
      </c>
      <c r="E2285" s="12">
        <f>IFERROR(__xludf.DUMMYFUNCTION("""COMPUTED_VALUE"""),5.0)</f>
        <v>5</v>
      </c>
      <c r="F2285" s="12">
        <f>IFERROR(__xludf.DUMMYFUNCTION("""COMPUTED_VALUE"""),1.0)</f>
        <v>1</v>
      </c>
      <c r="G2285" s="15" t="str">
        <f>IFERROR(__xludf.DUMMYFUNCTION("""COMPUTED_VALUE"""),"Completa")</f>
        <v>Completa</v>
      </c>
      <c r="H2285" s="16" t="str">
        <f t="array" ref="H2285">_xlfn.XLOOKUP(D2285,Productos[ID_Producto],Productos[Nombre_Producto])</f>
        <v>Pan integral</v>
      </c>
      <c r="I2285" s="17">
        <f t="array" ref="I2285">_xlfn.XLOOKUP(D2285,Productos[ID_Producto],Productos[Precio_Unitario])</f>
        <v>12.56</v>
      </c>
      <c r="J2285" s="17">
        <f t="shared" si="1"/>
        <v>62.8</v>
      </c>
      <c r="K2285" s="16" t="str">
        <f t="array" ref="K2285">_xlfn.XLOOKUP(C2285,Clientes[ID_Cliente],Clientes[Provincia])</f>
        <v>Buenos Aires</v>
      </c>
      <c r="L2285" s="16" t="str">
        <f t="array" ref="L2285">CONCATENATE(_xlfn.XLOOKUP(C2285,Clientes[ID_Cliente],Clientes[Provincia]),", Argentina")</f>
        <v>Buenos Aires, Argentina</v>
      </c>
      <c r="M2285" s="20" t="str">
        <f t="array" ref="M2285">_xlfn.XLOOKUP(F2285,Metodos_De_Pago[ID_Metodo],Metodos_De_Pago[Metodo])</f>
        <v>Efectivo</v>
      </c>
      <c r="N2285" s="20" t="str">
        <f t="shared" si="2"/>
        <v>2024 07</v>
      </c>
    </row>
    <row r="2286" ht="22.5" customHeight="1">
      <c r="A2286" s="12">
        <f>IFERROR(__xludf.DUMMYFUNCTION("""COMPUTED_VALUE"""),475.0)</f>
        <v>475</v>
      </c>
      <c r="B2286" s="13">
        <f>IFERROR(__xludf.DUMMYFUNCTION("""COMPUTED_VALUE"""),45500.0)</f>
        <v>45500</v>
      </c>
      <c r="C2286" s="12">
        <f>IFERROR(__xludf.DUMMYFUNCTION("""COMPUTED_VALUE"""),314.0)</f>
        <v>314</v>
      </c>
      <c r="D2286" s="12">
        <f>IFERROR(__xludf.DUMMYFUNCTION("""COMPUTED_VALUE"""),36.0)</f>
        <v>36</v>
      </c>
      <c r="E2286" s="12">
        <f>IFERROR(__xludf.DUMMYFUNCTION("""COMPUTED_VALUE"""),5.0)</f>
        <v>5</v>
      </c>
      <c r="F2286" s="12">
        <f>IFERROR(__xludf.DUMMYFUNCTION("""COMPUTED_VALUE"""),1.0)</f>
        <v>1</v>
      </c>
      <c r="G2286" s="15" t="str">
        <f>IFERROR(__xludf.DUMMYFUNCTION("""COMPUTED_VALUE"""),"Completa")</f>
        <v>Completa</v>
      </c>
      <c r="H2286" s="16" t="str">
        <f t="array" ref="H2286">_xlfn.XLOOKUP(D2286,Productos[ID_Producto],Productos[Nombre_Producto])</f>
        <v>Lentejas</v>
      </c>
      <c r="I2286" s="17">
        <f t="array" ref="I2286">_xlfn.XLOOKUP(D2286,Productos[ID_Producto],Productos[Precio_Unitario])</f>
        <v>3.25</v>
      </c>
      <c r="J2286" s="17">
        <f t="shared" si="1"/>
        <v>16.25</v>
      </c>
      <c r="K2286" s="16" t="str">
        <f t="array" ref="K2286">_xlfn.XLOOKUP(C2286,Clientes[ID_Cliente],Clientes[Provincia])</f>
        <v>Neuquén</v>
      </c>
      <c r="L2286" s="16" t="str">
        <f t="array" ref="L2286">CONCATENATE(_xlfn.XLOOKUP(C2286,Clientes[ID_Cliente],Clientes[Provincia]),", Argentina")</f>
        <v>Neuquén, Argentina</v>
      </c>
      <c r="M2286" s="20" t="str">
        <f t="array" ref="M2286">_xlfn.XLOOKUP(F2286,Metodos_De_Pago[ID_Metodo],Metodos_De_Pago[Metodo])</f>
        <v>Efectivo</v>
      </c>
      <c r="N2286" s="20" t="str">
        <f t="shared" si="2"/>
        <v>2024 07</v>
      </c>
    </row>
    <row r="2287" ht="22.5" customHeight="1">
      <c r="A2287" s="12">
        <f>IFERROR(__xludf.DUMMYFUNCTION("""COMPUTED_VALUE"""),2237.0)</f>
        <v>2237</v>
      </c>
      <c r="B2287" s="13">
        <f>IFERROR(__xludf.DUMMYFUNCTION("""COMPUTED_VALUE"""),45500.0)</f>
        <v>45500</v>
      </c>
      <c r="C2287" s="12">
        <f>IFERROR(__xludf.DUMMYFUNCTION("""COMPUTED_VALUE"""),233.0)</f>
        <v>233</v>
      </c>
      <c r="D2287" s="12">
        <f>IFERROR(__xludf.DUMMYFUNCTION("""COMPUTED_VALUE"""),38.0)</f>
        <v>38</v>
      </c>
      <c r="E2287" s="12">
        <f>IFERROR(__xludf.DUMMYFUNCTION("""COMPUTED_VALUE"""),5.0)</f>
        <v>5</v>
      </c>
      <c r="F2287" s="12">
        <f>IFERROR(__xludf.DUMMYFUNCTION("""COMPUTED_VALUE"""),4.0)</f>
        <v>4</v>
      </c>
      <c r="G2287" s="15" t="str">
        <f>IFERROR(__xludf.DUMMYFUNCTION("""COMPUTED_VALUE"""),"Completa")</f>
        <v>Completa</v>
      </c>
      <c r="H2287" s="16" t="str">
        <f t="array" ref="H2287">_xlfn.XLOOKUP(D2287,Productos[ID_Producto],Productos[Nombre_Producto])</f>
        <v>Atún enlatado</v>
      </c>
      <c r="I2287" s="17">
        <f t="array" ref="I2287">_xlfn.XLOOKUP(D2287,Productos[ID_Producto],Productos[Precio_Unitario])</f>
        <v>6.21</v>
      </c>
      <c r="J2287" s="17">
        <f t="shared" si="1"/>
        <v>31.05</v>
      </c>
      <c r="K2287" s="16" t="str">
        <f t="array" ref="K2287">_xlfn.XLOOKUP(C2287,Clientes[ID_Cliente],Clientes[Provincia])</f>
        <v>Córdoba</v>
      </c>
      <c r="L2287" s="16" t="str">
        <f t="array" ref="L2287">CONCATENATE(_xlfn.XLOOKUP(C2287,Clientes[ID_Cliente],Clientes[Provincia]),", Argentina")</f>
        <v>Córdoba, Argentina</v>
      </c>
      <c r="M2287" s="20" t="str">
        <f t="array" ref="M2287">_xlfn.XLOOKUP(F2287,Metodos_De_Pago[ID_Metodo],Metodos_De_Pago[Metodo])</f>
        <v>Mercado Pago</v>
      </c>
      <c r="N2287" s="20" t="str">
        <f t="shared" si="2"/>
        <v>2024 07</v>
      </c>
    </row>
    <row r="2288" ht="22.5" customHeight="1">
      <c r="A2288" s="12">
        <f>IFERROR(__xludf.DUMMYFUNCTION("""COMPUTED_VALUE"""),411.0)</f>
        <v>411</v>
      </c>
      <c r="B2288" s="13">
        <f>IFERROR(__xludf.DUMMYFUNCTION("""COMPUTED_VALUE"""),45501.0)</f>
        <v>45501</v>
      </c>
      <c r="C2288" s="12">
        <f>IFERROR(__xludf.DUMMYFUNCTION("""COMPUTED_VALUE"""),142.0)</f>
        <v>142</v>
      </c>
      <c r="D2288" s="12">
        <f>IFERROR(__xludf.DUMMYFUNCTION("""COMPUTED_VALUE"""),23.0)</f>
        <v>23</v>
      </c>
      <c r="E2288" s="12">
        <f>IFERROR(__xludf.DUMMYFUNCTION("""COMPUTED_VALUE"""),5.0)</f>
        <v>5</v>
      </c>
      <c r="F2288" s="12">
        <f>IFERROR(__xludf.DUMMYFUNCTION("""COMPUTED_VALUE"""),4.0)</f>
        <v>4</v>
      </c>
      <c r="G2288" s="15" t="str">
        <f>IFERROR(__xludf.DUMMYFUNCTION("""COMPUTED_VALUE"""),"Completa")</f>
        <v>Completa</v>
      </c>
      <c r="H2288" s="16" t="str">
        <f t="array" ref="H2288">_xlfn.XLOOKUP(D2288,Productos[ID_Producto],Productos[Nombre_Producto])</f>
        <v>Papas fritas</v>
      </c>
      <c r="I2288" s="17">
        <f t="array" ref="I2288">_xlfn.XLOOKUP(D2288,Productos[ID_Producto],Productos[Precio_Unitario])</f>
        <v>8.23</v>
      </c>
      <c r="J2288" s="17">
        <f t="shared" si="1"/>
        <v>41.15</v>
      </c>
      <c r="K2288" s="16" t="str">
        <f t="array" ref="K2288">_xlfn.XLOOKUP(C2288,Clientes[ID_Cliente],Clientes[Provincia])</f>
        <v>San Luis</v>
      </c>
      <c r="L2288" s="16" t="str">
        <f t="array" ref="L2288">CONCATENATE(_xlfn.XLOOKUP(C2288,Clientes[ID_Cliente],Clientes[Provincia]),", Argentina")</f>
        <v>San Luis, Argentina</v>
      </c>
      <c r="M2288" s="20" t="str">
        <f t="array" ref="M2288">_xlfn.XLOOKUP(F2288,Metodos_De_Pago[ID_Metodo],Metodos_De_Pago[Metodo])</f>
        <v>Mercado Pago</v>
      </c>
      <c r="N2288" s="20" t="str">
        <f t="shared" si="2"/>
        <v>2024 07</v>
      </c>
    </row>
    <row r="2289" ht="22.5" customHeight="1">
      <c r="A2289" s="12">
        <f>IFERROR(__xludf.DUMMYFUNCTION("""COMPUTED_VALUE"""),257.0)</f>
        <v>257</v>
      </c>
      <c r="B2289" s="13">
        <f>IFERROR(__xludf.DUMMYFUNCTION("""COMPUTED_VALUE"""),45502.0)</f>
        <v>45502</v>
      </c>
      <c r="C2289" s="12">
        <f>IFERROR(__xludf.DUMMYFUNCTION("""COMPUTED_VALUE"""),249.0)</f>
        <v>249</v>
      </c>
      <c r="D2289" s="12">
        <f>IFERROR(__xludf.DUMMYFUNCTION("""COMPUTED_VALUE"""),28.0)</f>
        <v>28</v>
      </c>
      <c r="E2289" s="12">
        <f>IFERROR(__xludf.DUMMYFUNCTION("""COMPUTED_VALUE"""),5.0)</f>
        <v>5</v>
      </c>
      <c r="F2289" s="12">
        <f>IFERROR(__xludf.DUMMYFUNCTION("""COMPUTED_VALUE"""),4.0)</f>
        <v>4</v>
      </c>
      <c r="G2289" s="15" t="str">
        <f>IFERROR(__xludf.DUMMYFUNCTION("""COMPUTED_VALUE"""),"Pendiente")</f>
        <v>Pendiente</v>
      </c>
      <c r="H2289" s="16" t="str">
        <f t="array" ref="H2289">_xlfn.XLOOKUP(D2289,Productos[ID_Producto],Productos[Nombre_Producto])</f>
        <v>Jugos de frutas</v>
      </c>
      <c r="I2289" s="17">
        <f t="array" ref="I2289">_xlfn.XLOOKUP(D2289,Productos[ID_Producto],Productos[Precio_Unitario])</f>
        <v>9.45</v>
      </c>
      <c r="J2289" s="17">
        <f t="shared" si="1"/>
        <v>47.25</v>
      </c>
      <c r="K2289" s="16" t="str">
        <f t="array" ref="K2289">_xlfn.XLOOKUP(C2289,Clientes[ID_Cliente],Clientes[Provincia])</f>
        <v>Buenos Aires</v>
      </c>
      <c r="L2289" s="16" t="str">
        <f t="array" ref="L2289">CONCATENATE(_xlfn.XLOOKUP(C2289,Clientes[ID_Cliente],Clientes[Provincia]),", Argentina")</f>
        <v>Buenos Aires, Argentina</v>
      </c>
      <c r="M2289" s="20" t="str">
        <f t="array" ref="M2289">_xlfn.XLOOKUP(F2289,Metodos_De_Pago[ID_Metodo],Metodos_De_Pago[Metodo])</f>
        <v>Mercado Pago</v>
      </c>
      <c r="N2289" s="20" t="str">
        <f t="shared" si="2"/>
        <v>2024 07</v>
      </c>
    </row>
    <row r="2290" ht="22.5" customHeight="1">
      <c r="A2290" s="12">
        <f>IFERROR(__xludf.DUMMYFUNCTION("""COMPUTED_VALUE"""),202.0)</f>
        <v>202</v>
      </c>
      <c r="B2290" s="13">
        <f>IFERROR(__xludf.DUMMYFUNCTION("""COMPUTED_VALUE"""),45503.0)</f>
        <v>45503</v>
      </c>
      <c r="C2290" s="12">
        <f>IFERROR(__xludf.DUMMYFUNCTION("""COMPUTED_VALUE"""),170.0)</f>
        <v>170</v>
      </c>
      <c r="D2290" s="12">
        <f>IFERROR(__xludf.DUMMYFUNCTION("""COMPUTED_VALUE"""),6.0)</f>
        <v>6</v>
      </c>
      <c r="E2290" s="12">
        <f>IFERROR(__xludf.DUMMYFUNCTION("""COMPUTED_VALUE"""),5.0)</f>
        <v>5</v>
      </c>
      <c r="F2290" s="12">
        <f>IFERROR(__xludf.DUMMYFUNCTION("""COMPUTED_VALUE"""),4.0)</f>
        <v>4</v>
      </c>
      <c r="G2290" s="15" t="str">
        <f>IFERROR(__xludf.DUMMYFUNCTION("""COMPUTED_VALUE"""),"Completa")</f>
        <v>Completa</v>
      </c>
      <c r="H2290" s="16" t="str">
        <f t="array" ref="H2290">_xlfn.XLOOKUP(D2290,Productos[ID_Producto],Productos[Nombre_Producto])</f>
        <v>Asado</v>
      </c>
      <c r="I2290" s="17">
        <f t="array" ref="I2290">_xlfn.XLOOKUP(D2290,Productos[ID_Producto],Productos[Precio_Unitario])</f>
        <v>28.56</v>
      </c>
      <c r="J2290" s="17">
        <f t="shared" si="1"/>
        <v>142.8</v>
      </c>
      <c r="K2290" s="16" t="str">
        <f t="array" ref="K2290">_xlfn.XLOOKUP(C2290,Clientes[ID_Cliente],Clientes[Provincia])</f>
        <v>Córdoba</v>
      </c>
      <c r="L2290" s="16" t="str">
        <f t="array" ref="L2290">CONCATENATE(_xlfn.XLOOKUP(C2290,Clientes[ID_Cliente],Clientes[Provincia]),", Argentina")</f>
        <v>Córdoba, Argentina</v>
      </c>
      <c r="M2290" s="20" t="str">
        <f t="array" ref="M2290">_xlfn.XLOOKUP(F2290,Metodos_De_Pago[ID_Metodo],Metodos_De_Pago[Metodo])</f>
        <v>Mercado Pago</v>
      </c>
      <c r="N2290" s="20" t="str">
        <f t="shared" si="2"/>
        <v>2024 07</v>
      </c>
    </row>
    <row r="2291" ht="22.5" customHeight="1">
      <c r="A2291" s="12">
        <f>IFERROR(__xludf.DUMMYFUNCTION("""COMPUTED_VALUE"""),1672.0)</f>
        <v>1672</v>
      </c>
      <c r="B2291" s="13">
        <f>IFERROR(__xludf.DUMMYFUNCTION("""COMPUTED_VALUE"""),45503.0)</f>
        <v>45503</v>
      </c>
      <c r="C2291" s="12">
        <f>IFERROR(__xludf.DUMMYFUNCTION("""COMPUTED_VALUE"""),188.0)</f>
        <v>188</v>
      </c>
      <c r="D2291" s="12">
        <f>IFERROR(__xludf.DUMMYFUNCTION("""COMPUTED_VALUE"""),8.0)</f>
        <v>8</v>
      </c>
      <c r="E2291" s="12">
        <f>IFERROR(__xludf.DUMMYFUNCTION("""COMPUTED_VALUE"""),5.0)</f>
        <v>5</v>
      </c>
      <c r="F2291" s="12">
        <f>IFERROR(__xludf.DUMMYFUNCTION("""COMPUTED_VALUE"""),5.0)</f>
        <v>5</v>
      </c>
      <c r="G2291" s="15" t="str">
        <f>IFERROR(__xludf.DUMMYFUNCTION("""COMPUTED_VALUE"""),"Completa")</f>
        <v>Completa</v>
      </c>
      <c r="H2291" s="16" t="str">
        <f t="array" ref="H2291">_xlfn.XLOOKUP(D2291,Productos[ID_Producto],Productos[Nombre_Producto])</f>
        <v>Milanesa</v>
      </c>
      <c r="I2291" s="17">
        <f t="array" ref="I2291">_xlfn.XLOOKUP(D2291,Productos[ID_Producto],Productos[Precio_Unitario])</f>
        <v>16.21</v>
      </c>
      <c r="J2291" s="17">
        <f t="shared" si="1"/>
        <v>81.05</v>
      </c>
      <c r="K2291" s="16" t="str">
        <f t="array" ref="K2291">_xlfn.XLOOKUP(C2291,Clientes[ID_Cliente],Clientes[Provincia])</f>
        <v>San Luis</v>
      </c>
      <c r="L2291" s="16" t="str">
        <f t="array" ref="L2291">CONCATENATE(_xlfn.XLOOKUP(C2291,Clientes[ID_Cliente],Clientes[Provincia]),", Argentina")</f>
        <v>San Luis, Argentina</v>
      </c>
      <c r="M2291" s="20" t="str">
        <f t="array" ref="M2291">_xlfn.XLOOKUP(F2291,Metodos_De_Pago[ID_Metodo],Metodos_De_Pago[Metodo])</f>
        <v>Transferencia</v>
      </c>
      <c r="N2291" s="20" t="str">
        <f t="shared" si="2"/>
        <v>2024 07</v>
      </c>
    </row>
    <row r="2292" ht="22.5" customHeight="1">
      <c r="A2292" s="12">
        <f>IFERROR(__xludf.DUMMYFUNCTION("""COMPUTED_VALUE"""),2423.0)</f>
        <v>2423</v>
      </c>
      <c r="B2292" s="13">
        <f>IFERROR(__xludf.DUMMYFUNCTION("""COMPUTED_VALUE"""),45503.0)</f>
        <v>45503</v>
      </c>
      <c r="C2292" s="12">
        <f>IFERROR(__xludf.DUMMYFUNCTION("""COMPUTED_VALUE"""),157.0)</f>
        <v>157</v>
      </c>
      <c r="D2292" s="12">
        <f>IFERROR(__xludf.DUMMYFUNCTION("""COMPUTED_VALUE"""),1.0)</f>
        <v>1</v>
      </c>
      <c r="E2292" s="12">
        <f>IFERROR(__xludf.DUMMYFUNCTION("""COMPUTED_VALUE"""),5.0)</f>
        <v>5</v>
      </c>
      <c r="F2292" s="12">
        <f>IFERROR(__xludf.DUMMYFUNCTION("""COMPUTED_VALUE"""),3.0)</f>
        <v>3</v>
      </c>
      <c r="G2292" s="15" t="str">
        <f>IFERROR(__xludf.DUMMYFUNCTION("""COMPUTED_VALUE"""),"Completa")</f>
        <v>Completa</v>
      </c>
      <c r="H2292" s="16" t="str">
        <f t="array" ref="H2292">_xlfn.XLOOKUP(D2292,Productos[ID_Producto],Productos[Nombre_Producto])</f>
        <v>Leche</v>
      </c>
      <c r="I2292" s="17">
        <f t="array" ref="I2292">_xlfn.XLOOKUP(D2292,Productos[ID_Producto],Productos[Precio_Unitario])</f>
        <v>12.24</v>
      </c>
      <c r="J2292" s="17">
        <f t="shared" si="1"/>
        <v>61.2</v>
      </c>
      <c r="K2292" s="16" t="str">
        <f t="array" ref="K2292">_xlfn.XLOOKUP(C2292,Clientes[ID_Cliente],Clientes[Provincia])</f>
        <v>Neuquén</v>
      </c>
      <c r="L2292" s="16" t="str">
        <f t="array" ref="L2292">CONCATENATE(_xlfn.XLOOKUP(C2292,Clientes[ID_Cliente],Clientes[Provincia]),", Argentina")</f>
        <v>Neuquén, Argentina</v>
      </c>
      <c r="M2292" s="20" t="str">
        <f t="array" ref="M2292">_xlfn.XLOOKUP(F2292,Metodos_De_Pago[ID_Metodo],Metodos_De_Pago[Metodo])</f>
        <v>Tarjeta de Débito</v>
      </c>
      <c r="N2292" s="20" t="str">
        <f t="shared" si="2"/>
        <v>2024 07</v>
      </c>
    </row>
    <row r="2293" ht="22.5" customHeight="1">
      <c r="A2293" s="12">
        <f>IFERROR(__xludf.DUMMYFUNCTION("""COMPUTED_VALUE"""),929.0)</f>
        <v>929</v>
      </c>
      <c r="B2293" s="13">
        <f>IFERROR(__xludf.DUMMYFUNCTION("""COMPUTED_VALUE"""),45505.0)</f>
        <v>45505</v>
      </c>
      <c r="C2293" s="12">
        <f>IFERROR(__xludf.DUMMYFUNCTION("""COMPUTED_VALUE"""),164.0)</f>
        <v>164</v>
      </c>
      <c r="D2293" s="12">
        <f>IFERROR(__xludf.DUMMYFUNCTION("""COMPUTED_VALUE"""),31.0)</f>
        <v>31</v>
      </c>
      <c r="E2293" s="12">
        <f>IFERROR(__xludf.DUMMYFUNCTION("""COMPUTED_VALUE"""),5.0)</f>
        <v>5</v>
      </c>
      <c r="F2293" s="12">
        <f>IFERROR(__xludf.DUMMYFUNCTION("""COMPUTED_VALUE"""),3.0)</f>
        <v>3</v>
      </c>
      <c r="G2293" s="15" t="str">
        <f>IFERROR(__xludf.DUMMYFUNCTION("""COMPUTED_VALUE"""),"Pendiente")</f>
        <v>Pendiente</v>
      </c>
      <c r="H2293" s="16" t="str">
        <f t="array" ref="H2293">_xlfn.XLOOKUP(D2293,Productos[ID_Producto],Productos[Nombre_Producto])</f>
        <v>Galletitas de agua</v>
      </c>
      <c r="I2293" s="17">
        <f t="array" ref="I2293">_xlfn.XLOOKUP(D2293,Productos[ID_Producto],Productos[Precio_Unitario])</f>
        <v>5.24</v>
      </c>
      <c r="J2293" s="17">
        <f t="shared" si="1"/>
        <v>26.2</v>
      </c>
      <c r="K2293" s="16" t="str">
        <f t="array" ref="K2293">_xlfn.XLOOKUP(C2293,Clientes[ID_Cliente],Clientes[Provincia])</f>
        <v>Córdoba</v>
      </c>
      <c r="L2293" s="16" t="str">
        <f t="array" ref="L2293">CONCATENATE(_xlfn.XLOOKUP(C2293,Clientes[ID_Cliente],Clientes[Provincia]),", Argentina")</f>
        <v>Córdoba, Argentina</v>
      </c>
      <c r="M2293" s="20" t="str">
        <f t="array" ref="M2293">_xlfn.XLOOKUP(F2293,Metodos_De_Pago[ID_Metodo],Metodos_De_Pago[Metodo])</f>
        <v>Tarjeta de Débito</v>
      </c>
      <c r="N2293" s="20" t="str">
        <f t="shared" si="2"/>
        <v>2024 08</v>
      </c>
    </row>
    <row r="2294" ht="22.5" customHeight="1">
      <c r="A2294" s="12">
        <f>IFERROR(__xludf.DUMMYFUNCTION("""COMPUTED_VALUE"""),2502.0)</f>
        <v>2502</v>
      </c>
      <c r="B2294" s="13">
        <f>IFERROR(__xludf.DUMMYFUNCTION("""COMPUTED_VALUE"""),45505.0)</f>
        <v>45505</v>
      </c>
      <c r="C2294" s="12">
        <f>IFERROR(__xludf.DUMMYFUNCTION("""COMPUTED_VALUE"""),326.0)</f>
        <v>326</v>
      </c>
      <c r="D2294" s="12">
        <f>IFERROR(__xludf.DUMMYFUNCTION("""COMPUTED_VALUE"""),31.0)</f>
        <v>31</v>
      </c>
      <c r="E2294" s="12">
        <f>IFERROR(__xludf.DUMMYFUNCTION("""COMPUTED_VALUE"""),5.0)</f>
        <v>5</v>
      </c>
      <c r="F2294" s="12">
        <f>IFERROR(__xludf.DUMMYFUNCTION("""COMPUTED_VALUE"""),1.0)</f>
        <v>1</v>
      </c>
      <c r="G2294" s="15" t="str">
        <f>IFERROR(__xludf.DUMMYFUNCTION("""COMPUTED_VALUE"""),"Completa")</f>
        <v>Completa</v>
      </c>
      <c r="H2294" s="16" t="str">
        <f t="array" ref="H2294">_xlfn.XLOOKUP(D2294,Productos[ID_Producto],Productos[Nombre_Producto])</f>
        <v>Galletitas de agua</v>
      </c>
      <c r="I2294" s="17">
        <f t="array" ref="I2294">_xlfn.XLOOKUP(D2294,Productos[ID_Producto],Productos[Precio_Unitario])</f>
        <v>5.24</v>
      </c>
      <c r="J2294" s="17">
        <f t="shared" si="1"/>
        <v>26.2</v>
      </c>
      <c r="K2294" s="16" t="str">
        <f t="array" ref="K2294">_xlfn.XLOOKUP(C2294,Clientes[ID_Cliente],Clientes[Provincia])</f>
        <v>San Luis</v>
      </c>
      <c r="L2294" s="16" t="str">
        <f t="array" ref="L2294">CONCATENATE(_xlfn.XLOOKUP(C2294,Clientes[ID_Cliente],Clientes[Provincia]),", Argentina")</f>
        <v>San Luis, Argentina</v>
      </c>
      <c r="M2294" s="20" t="str">
        <f t="array" ref="M2294">_xlfn.XLOOKUP(F2294,Metodos_De_Pago[ID_Metodo],Metodos_De_Pago[Metodo])</f>
        <v>Efectivo</v>
      </c>
      <c r="N2294" s="20" t="str">
        <f t="shared" si="2"/>
        <v>2024 08</v>
      </c>
    </row>
    <row r="2295" ht="22.5" customHeight="1">
      <c r="A2295" s="12">
        <f>IFERROR(__xludf.DUMMYFUNCTION("""COMPUTED_VALUE"""),550.0)</f>
        <v>550</v>
      </c>
      <c r="B2295" s="13">
        <f>IFERROR(__xludf.DUMMYFUNCTION("""COMPUTED_VALUE"""),45506.0)</f>
        <v>45506</v>
      </c>
      <c r="C2295" s="12">
        <f>IFERROR(__xludf.DUMMYFUNCTION("""COMPUTED_VALUE"""),221.0)</f>
        <v>221</v>
      </c>
      <c r="D2295" s="12">
        <f>IFERROR(__xludf.DUMMYFUNCTION("""COMPUTED_VALUE"""),4.0)</f>
        <v>4</v>
      </c>
      <c r="E2295" s="12">
        <f>IFERROR(__xludf.DUMMYFUNCTION("""COMPUTED_VALUE"""),5.0)</f>
        <v>5</v>
      </c>
      <c r="F2295" s="12">
        <f>IFERROR(__xludf.DUMMYFUNCTION("""COMPUTED_VALUE"""),1.0)</f>
        <v>1</v>
      </c>
      <c r="G2295" s="15" t="str">
        <f>IFERROR(__xludf.DUMMYFUNCTION("""COMPUTED_VALUE"""),"Completa")</f>
        <v>Completa</v>
      </c>
      <c r="H2295" s="16" t="str">
        <f t="array" ref="H2295">_xlfn.XLOOKUP(D2295,Productos[ID_Producto],Productos[Nombre_Producto])</f>
        <v>Queso rallado</v>
      </c>
      <c r="I2295" s="17">
        <f t="array" ref="I2295">_xlfn.XLOOKUP(D2295,Productos[ID_Producto],Productos[Precio_Unitario])</f>
        <v>19.23</v>
      </c>
      <c r="J2295" s="17">
        <f t="shared" si="1"/>
        <v>96.15</v>
      </c>
      <c r="K2295" s="16" t="str">
        <f t="array" ref="K2295">_xlfn.XLOOKUP(C2295,Clientes[ID_Cliente],Clientes[Provincia])</f>
        <v>Buenos Aires</v>
      </c>
      <c r="L2295" s="16" t="str">
        <f t="array" ref="L2295">CONCATENATE(_xlfn.XLOOKUP(C2295,Clientes[ID_Cliente],Clientes[Provincia]),", Argentina")</f>
        <v>Buenos Aires, Argentina</v>
      </c>
      <c r="M2295" s="20" t="str">
        <f t="array" ref="M2295">_xlfn.XLOOKUP(F2295,Metodos_De_Pago[ID_Metodo],Metodos_De_Pago[Metodo])</f>
        <v>Efectivo</v>
      </c>
      <c r="N2295" s="20" t="str">
        <f t="shared" si="2"/>
        <v>2024 08</v>
      </c>
    </row>
    <row r="2296" ht="22.5" customHeight="1">
      <c r="A2296" s="12">
        <f>IFERROR(__xludf.DUMMYFUNCTION("""COMPUTED_VALUE"""),1496.0)</f>
        <v>1496</v>
      </c>
      <c r="B2296" s="13">
        <f>IFERROR(__xludf.DUMMYFUNCTION("""COMPUTED_VALUE"""),45506.0)</f>
        <v>45506</v>
      </c>
      <c r="C2296" s="12">
        <f>IFERROR(__xludf.DUMMYFUNCTION("""COMPUTED_VALUE"""),213.0)</f>
        <v>213</v>
      </c>
      <c r="D2296" s="12">
        <f>IFERROR(__xludf.DUMMYFUNCTION("""COMPUTED_VALUE"""),9.0)</f>
        <v>9</v>
      </c>
      <c r="E2296" s="12">
        <f>IFERROR(__xludf.DUMMYFUNCTION("""COMPUTED_VALUE"""),5.0)</f>
        <v>5</v>
      </c>
      <c r="F2296" s="12">
        <f>IFERROR(__xludf.DUMMYFUNCTION("""COMPUTED_VALUE"""),5.0)</f>
        <v>5</v>
      </c>
      <c r="G2296" s="15" t="str">
        <f>IFERROR(__xludf.DUMMYFUNCTION("""COMPUTED_VALUE"""),"Pendiente")</f>
        <v>Pendiente</v>
      </c>
      <c r="H2296" s="16" t="str">
        <f t="array" ref="H2296">_xlfn.XLOOKUP(D2296,Productos[ID_Producto],Productos[Nombre_Producto])</f>
        <v>Pollo</v>
      </c>
      <c r="I2296" s="17">
        <f t="array" ref="I2296">_xlfn.XLOOKUP(D2296,Productos[ID_Producto],Productos[Precio_Unitario])</f>
        <v>18.56</v>
      </c>
      <c r="J2296" s="17">
        <f t="shared" si="1"/>
        <v>92.8</v>
      </c>
      <c r="K2296" s="16" t="str">
        <f t="array" ref="K2296">_xlfn.XLOOKUP(C2296,Clientes[ID_Cliente],Clientes[Provincia])</f>
        <v>Córdoba</v>
      </c>
      <c r="L2296" s="16" t="str">
        <f t="array" ref="L2296">CONCATENATE(_xlfn.XLOOKUP(C2296,Clientes[ID_Cliente],Clientes[Provincia]),", Argentina")</f>
        <v>Córdoba, Argentina</v>
      </c>
      <c r="M2296" s="20" t="str">
        <f t="array" ref="M2296">_xlfn.XLOOKUP(F2296,Metodos_De_Pago[ID_Metodo],Metodos_De_Pago[Metodo])</f>
        <v>Transferencia</v>
      </c>
      <c r="N2296" s="20" t="str">
        <f t="shared" si="2"/>
        <v>2024 08</v>
      </c>
    </row>
    <row r="2297" ht="22.5" customHeight="1">
      <c r="A2297" s="12">
        <f>IFERROR(__xludf.DUMMYFUNCTION("""COMPUTED_VALUE"""),2361.0)</f>
        <v>2361</v>
      </c>
      <c r="B2297" s="13">
        <f>IFERROR(__xludf.DUMMYFUNCTION("""COMPUTED_VALUE"""),45506.0)</f>
        <v>45506</v>
      </c>
      <c r="C2297" s="12">
        <f>IFERROR(__xludf.DUMMYFUNCTION("""COMPUTED_VALUE"""),164.0)</f>
        <v>164</v>
      </c>
      <c r="D2297" s="12">
        <f>IFERROR(__xludf.DUMMYFUNCTION("""COMPUTED_VALUE"""),21.0)</f>
        <v>21</v>
      </c>
      <c r="E2297" s="12">
        <f>IFERROR(__xludf.DUMMYFUNCTION("""COMPUTED_VALUE"""),5.0)</f>
        <v>5</v>
      </c>
      <c r="F2297" s="12">
        <f>IFERROR(__xludf.DUMMYFUNCTION("""COMPUTED_VALUE"""),5.0)</f>
        <v>5</v>
      </c>
      <c r="G2297" s="15" t="str">
        <f>IFERROR(__xludf.DUMMYFUNCTION("""COMPUTED_VALUE"""),"Pendiente")</f>
        <v>Pendiente</v>
      </c>
      <c r="H2297" s="16" t="str">
        <f t="array" ref="H2297">_xlfn.XLOOKUP(D2297,Productos[ID_Producto],Productos[Nombre_Producto])</f>
        <v>Zanahorias</v>
      </c>
      <c r="I2297" s="17">
        <f t="array" ref="I2297">_xlfn.XLOOKUP(D2297,Productos[ID_Producto],Productos[Precio_Unitario])</f>
        <v>3.25</v>
      </c>
      <c r="J2297" s="17">
        <f t="shared" si="1"/>
        <v>16.25</v>
      </c>
      <c r="K2297" s="16" t="str">
        <f t="array" ref="K2297">_xlfn.XLOOKUP(C2297,Clientes[ID_Cliente],Clientes[Provincia])</f>
        <v>Córdoba</v>
      </c>
      <c r="L2297" s="16" t="str">
        <f t="array" ref="L2297">CONCATENATE(_xlfn.XLOOKUP(C2297,Clientes[ID_Cliente],Clientes[Provincia]),", Argentina")</f>
        <v>Córdoba, Argentina</v>
      </c>
      <c r="M2297" s="20" t="str">
        <f t="array" ref="M2297">_xlfn.XLOOKUP(F2297,Metodos_De_Pago[ID_Metodo],Metodos_De_Pago[Metodo])</f>
        <v>Transferencia</v>
      </c>
      <c r="N2297" s="20" t="str">
        <f t="shared" si="2"/>
        <v>2024 08</v>
      </c>
    </row>
    <row r="2298" ht="22.5" customHeight="1">
      <c r="A2298" s="12">
        <f>IFERROR(__xludf.DUMMYFUNCTION("""COMPUTED_VALUE"""),2265.0)</f>
        <v>2265</v>
      </c>
      <c r="B2298" s="13">
        <f>IFERROR(__xludf.DUMMYFUNCTION("""COMPUTED_VALUE"""),45507.0)</f>
        <v>45507</v>
      </c>
      <c r="C2298" s="12">
        <f>IFERROR(__xludf.DUMMYFUNCTION("""COMPUTED_VALUE"""),37.0)</f>
        <v>37</v>
      </c>
      <c r="D2298" s="12">
        <f>IFERROR(__xludf.DUMMYFUNCTION("""COMPUTED_VALUE"""),26.0)</f>
        <v>26</v>
      </c>
      <c r="E2298" s="12">
        <f>IFERROR(__xludf.DUMMYFUNCTION("""COMPUTED_VALUE"""),5.0)</f>
        <v>5</v>
      </c>
      <c r="F2298" s="12">
        <f>IFERROR(__xludf.DUMMYFUNCTION("""COMPUTED_VALUE"""),4.0)</f>
        <v>4</v>
      </c>
      <c r="G2298" s="15" t="str">
        <f>IFERROR(__xludf.DUMMYFUNCTION("""COMPUTED_VALUE"""),"Completa")</f>
        <v>Completa</v>
      </c>
      <c r="H2298" s="16" t="str">
        <f t="array" ref="H2298">_xlfn.XLOOKUP(D2298,Productos[ID_Producto],Productos[Nombre_Producto])</f>
        <v>Hamburgesas congeladas</v>
      </c>
      <c r="I2298" s="17">
        <f t="array" ref="I2298">_xlfn.XLOOKUP(D2298,Productos[ID_Producto],Productos[Precio_Unitario])</f>
        <v>9.54</v>
      </c>
      <c r="J2298" s="17">
        <f t="shared" si="1"/>
        <v>47.7</v>
      </c>
      <c r="K2298" s="16" t="str">
        <f t="array" ref="K2298">_xlfn.XLOOKUP(C2298,Clientes[ID_Cliente],Clientes[Provincia])</f>
        <v>San Luis</v>
      </c>
      <c r="L2298" s="16" t="str">
        <f t="array" ref="L2298">CONCATENATE(_xlfn.XLOOKUP(C2298,Clientes[ID_Cliente],Clientes[Provincia]),", Argentina")</f>
        <v>San Luis, Argentina</v>
      </c>
      <c r="M2298" s="20" t="str">
        <f t="array" ref="M2298">_xlfn.XLOOKUP(F2298,Metodos_De_Pago[ID_Metodo],Metodos_De_Pago[Metodo])</f>
        <v>Mercado Pago</v>
      </c>
      <c r="N2298" s="20" t="str">
        <f t="shared" si="2"/>
        <v>2024 08</v>
      </c>
    </row>
    <row r="2299" ht="22.5" customHeight="1">
      <c r="A2299" s="12">
        <f>IFERROR(__xludf.DUMMYFUNCTION("""COMPUTED_VALUE"""),1557.0)</f>
        <v>1557</v>
      </c>
      <c r="B2299" s="13">
        <f>IFERROR(__xludf.DUMMYFUNCTION("""COMPUTED_VALUE"""),45508.0)</f>
        <v>45508</v>
      </c>
      <c r="C2299" s="12">
        <f>IFERROR(__xludf.DUMMYFUNCTION("""COMPUTED_VALUE"""),165.0)</f>
        <v>165</v>
      </c>
      <c r="D2299" s="12">
        <f>IFERROR(__xludf.DUMMYFUNCTION("""COMPUTED_VALUE"""),37.0)</f>
        <v>37</v>
      </c>
      <c r="E2299" s="12">
        <f>IFERROR(__xludf.DUMMYFUNCTION("""COMPUTED_VALUE"""),5.0)</f>
        <v>5</v>
      </c>
      <c r="F2299" s="12">
        <f>IFERROR(__xludf.DUMMYFUNCTION("""COMPUTED_VALUE"""),1.0)</f>
        <v>1</v>
      </c>
      <c r="G2299" s="15" t="str">
        <f>IFERROR(__xludf.DUMMYFUNCTION("""COMPUTED_VALUE"""),"Completa")</f>
        <v>Completa</v>
      </c>
      <c r="H2299" s="16" t="str">
        <f t="array" ref="H2299">_xlfn.XLOOKUP(D2299,Productos[ID_Producto],Productos[Nombre_Producto])</f>
        <v>Garbanzos</v>
      </c>
      <c r="I2299" s="17">
        <f t="array" ref="I2299">_xlfn.XLOOKUP(D2299,Productos[ID_Producto],Productos[Precio_Unitario])</f>
        <v>3.65</v>
      </c>
      <c r="J2299" s="17">
        <f t="shared" si="1"/>
        <v>18.25</v>
      </c>
      <c r="K2299" s="16" t="str">
        <f t="array" ref="K2299">_xlfn.XLOOKUP(C2299,Clientes[ID_Cliente],Clientes[Provincia])</f>
        <v>Buenos Aires</v>
      </c>
      <c r="L2299" s="16" t="str">
        <f t="array" ref="L2299">CONCATENATE(_xlfn.XLOOKUP(C2299,Clientes[ID_Cliente],Clientes[Provincia]),", Argentina")</f>
        <v>Buenos Aires, Argentina</v>
      </c>
      <c r="M2299" s="20" t="str">
        <f t="array" ref="M2299">_xlfn.XLOOKUP(F2299,Metodos_De_Pago[ID_Metodo],Metodos_De_Pago[Metodo])</f>
        <v>Efectivo</v>
      </c>
      <c r="N2299" s="20" t="str">
        <f t="shared" si="2"/>
        <v>2024 08</v>
      </c>
    </row>
    <row r="2300" ht="22.5" customHeight="1">
      <c r="A2300" s="12">
        <f>IFERROR(__xludf.DUMMYFUNCTION("""COMPUTED_VALUE"""),591.0)</f>
        <v>591</v>
      </c>
      <c r="B2300" s="13">
        <f>IFERROR(__xludf.DUMMYFUNCTION("""COMPUTED_VALUE"""),45509.0)</f>
        <v>45509</v>
      </c>
      <c r="C2300" s="12">
        <f>IFERROR(__xludf.DUMMYFUNCTION("""COMPUTED_VALUE"""),111.0)</f>
        <v>111</v>
      </c>
      <c r="D2300" s="12">
        <f>IFERROR(__xludf.DUMMYFUNCTION("""COMPUTED_VALUE"""),37.0)</f>
        <v>37</v>
      </c>
      <c r="E2300" s="12">
        <f>IFERROR(__xludf.DUMMYFUNCTION("""COMPUTED_VALUE"""),5.0)</f>
        <v>5</v>
      </c>
      <c r="F2300" s="12">
        <f>IFERROR(__xludf.DUMMYFUNCTION("""COMPUTED_VALUE"""),2.0)</f>
        <v>2</v>
      </c>
      <c r="G2300" s="15" t="str">
        <f>IFERROR(__xludf.DUMMYFUNCTION("""COMPUTED_VALUE"""),"Pendiente")</f>
        <v>Pendiente</v>
      </c>
      <c r="H2300" s="16" t="str">
        <f t="array" ref="H2300">_xlfn.XLOOKUP(D2300,Productos[ID_Producto],Productos[Nombre_Producto])</f>
        <v>Garbanzos</v>
      </c>
      <c r="I2300" s="17">
        <f t="array" ref="I2300">_xlfn.XLOOKUP(D2300,Productos[ID_Producto],Productos[Precio_Unitario])</f>
        <v>3.65</v>
      </c>
      <c r="J2300" s="17">
        <f t="shared" si="1"/>
        <v>18.25</v>
      </c>
      <c r="K2300" s="16" t="str">
        <f t="array" ref="K2300">_xlfn.XLOOKUP(C2300,Clientes[ID_Cliente],Clientes[Provincia])</f>
        <v>San Luis</v>
      </c>
      <c r="L2300" s="16" t="str">
        <f t="array" ref="L2300">CONCATENATE(_xlfn.XLOOKUP(C2300,Clientes[ID_Cliente],Clientes[Provincia]),", Argentina")</f>
        <v>San Luis, Argentina</v>
      </c>
      <c r="M2300" s="20" t="str">
        <f t="array" ref="M2300">_xlfn.XLOOKUP(F2300,Metodos_De_Pago[ID_Metodo],Metodos_De_Pago[Metodo])</f>
        <v>Tarjeta de Crédito</v>
      </c>
      <c r="N2300" s="20" t="str">
        <f t="shared" si="2"/>
        <v>2024 08</v>
      </c>
    </row>
    <row r="2301" ht="22.5" customHeight="1">
      <c r="A2301" s="12">
        <f>IFERROR(__xludf.DUMMYFUNCTION("""COMPUTED_VALUE"""),2357.0)</f>
        <v>2357</v>
      </c>
      <c r="B2301" s="13">
        <f>IFERROR(__xludf.DUMMYFUNCTION("""COMPUTED_VALUE"""),45509.0)</f>
        <v>45509</v>
      </c>
      <c r="C2301" s="12">
        <f>IFERROR(__xludf.DUMMYFUNCTION("""COMPUTED_VALUE"""),125.0)</f>
        <v>125</v>
      </c>
      <c r="D2301" s="12">
        <f>IFERROR(__xludf.DUMMYFUNCTION("""COMPUTED_VALUE"""),32.0)</f>
        <v>32</v>
      </c>
      <c r="E2301" s="12">
        <f>IFERROR(__xludf.DUMMYFUNCTION("""COMPUTED_VALUE"""),5.0)</f>
        <v>5</v>
      </c>
      <c r="F2301" s="12">
        <f>IFERROR(__xludf.DUMMYFUNCTION("""COMPUTED_VALUE"""),5.0)</f>
        <v>5</v>
      </c>
      <c r="G2301" s="15" t="str">
        <f>IFERROR(__xludf.DUMMYFUNCTION("""COMPUTED_VALUE"""),"Completa")</f>
        <v>Completa</v>
      </c>
      <c r="H2301" s="16" t="str">
        <f t="array" ref="H2301">_xlfn.XLOOKUP(D2301,Productos[ID_Producto],Productos[Nombre_Producto])</f>
        <v>Galletitas de chocolate</v>
      </c>
      <c r="I2301" s="17">
        <f t="array" ref="I2301">_xlfn.XLOOKUP(D2301,Productos[ID_Producto],Productos[Precio_Unitario])</f>
        <v>6.25</v>
      </c>
      <c r="J2301" s="17">
        <f t="shared" si="1"/>
        <v>31.25</v>
      </c>
      <c r="K2301" s="16" t="str">
        <f t="array" ref="K2301">_xlfn.XLOOKUP(C2301,Clientes[ID_Cliente],Clientes[Provincia])</f>
        <v>Neuquén</v>
      </c>
      <c r="L2301" s="16" t="str">
        <f t="array" ref="L2301">CONCATENATE(_xlfn.XLOOKUP(C2301,Clientes[ID_Cliente],Clientes[Provincia]),", Argentina")</f>
        <v>Neuquén, Argentina</v>
      </c>
      <c r="M2301" s="20" t="str">
        <f t="array" ref="M2301">_xlfn.XLOOKUP(F2301,Metodos_De_Pago[ID_Metodo],Metodos_De_Pago[Metodo])</f>
        <v>Transferencia</v>
      </c>
      <c r="N2301" s="20" t="str">
        <f t="shared" si="2"/>
        <v>2024 08</v>
      </c>
    </row>
    <row r="2302" ht="22.5" customHeight="1">
      <c r="A2302" s="12">
        <f>IFERROR(__xludf.DUMMYFUNCTION("""COMPUTED_VALUE"""),1767.0)</f>
        <v>1767</v>
      </c>
      <c r="B2302" s="13">
        <f>IFERROR(__xludf.DUMMYFUNCTION("""COMPUTED_VALUE"""),45510.0)</f>
        <v>45510</v>
      </c>
      <c r="C2302" s="12">
        <f>IFERROR(__xludf.DUMMYFUNCTION("""COMPUTED_VALUE"""),215.0)</f>
        <v>215</v>
      </c>
      <c r="D2302" s="12">
        <f>IFERROR(__xludf.DUMMYFUNCTION("""COMPUTED_VALUE"""),36.0)</f>
        <v>36</v>
      </c>
      <c r="E2302" s="12">
        <f>IFERROR(__xludf.DUMMYFUNCTION("""COMPUTED_VALUE"""),5.0)</f>
        <v>5</v>
      </c>
      <c r="F2302" s="12">
        <f>IFERROR(__xludf.DUMMYFUNCTION("""COMPUTED_VALUE"""),3.0)</f>
        <v>3</v>
      </c>
      <c r="G2302" s="15" t="str">
        <f>IFERROR(__xludf.DUMMYFUNCTION("""COMPUTED_VALUE"""),"Completa")</f>
        <v>Completa</v>
      </c>
      <c r="H2302" s="16" t="str">
        <f t="array" ref="H2302">_xlfn.XLOOKUP(D2302,Productos[ID_Producto],Productos[Nombre_Producto])</f>
        <v>Lentejas</v>
      </c>
      <c r="I2302" s="17">
        <f t="array" ref="I2302">_xlfn.XLOOKUP(D2302,Productos[ID_Producto],Productos[Precio_Unitario])</f>
        <v>3.25</v>
      </c>
      <c r="J2302" s="17">
        <f t="shared" si="1"/>
        <v>16.25</v>
      </c>
      <c r="K2302" s="16" t="str">
        <f t="array" ref="K2302">_xlfn.XLOOKUP(C2302,Clientes[ID_Cliente],Clientes[Provincia])</f>
        <v>Chaco</v>
      </c>
      <c r="L2302" s="16" t="str">
        <f t="array" ref="L2302">CONCATENATE(_xlfn.XLOOKUP(C2302,Clientes[ID_Cliente],Clientes[Provincia]),", Argentina")</f>
        <v>Chaco, Argentina</v>
      </c>
      <c r="M2302" s="20" t="str">
        <f t="array" ref="M2302">_xlfn.XLOOKUP(F2302,Metodos_De_Pago[ID_Metodo],Metodos_De_Pago[Metodo])</f>
        <v>Tarjeta de Débito</v>
      </c>
      <c r="N2302" s="20" t="str">
        <f t="shared" si="2"/>
        <v>2024 08</v>
      </c>
    </row>
    <row r="2303" ht="22.5" customHeight="1">
      <c r="A2303" s="12">
        <f>IFERROR(__xludf.DUMMYFUNCTION("""COMPUTED_VALUE"""),126.0)</f>
        <v>126</v>
      </c>
      <c r="B2303" s="13">
        <f>IFERROR(__xludf.DUMMYFUNCTION("""COMPUTED_VALUE"""),45511.0)</f>
        <v>45511</v>
      </c>
      <c r="C2303" s="12">
        <f>IFERROR(__xludf.DUMMYFUNCTION("""COMPUTED_VALUE"""),24.0)</f>
        <v>24</v>
      </c>
      <c r="D2303" s="12">
        <f>IFERROR(__xludf.DUMMYFUNCTION("""COMPUTED_VALUE"""),26.0)</f>
        <v>26</v>
      </c>
      <c r="E2303" s="12">
        <f>IFERROR(__xludf.DUMMYFUNCTION("""COMPUTED_VALUE"""),5.0)</f>
        <v>5</v>
      </c>
      <c r="F2303" s="12">
        <f>IFERROR(__xludf.DUMMYFUNCTION("""COMPUTED_VALUE"""),3.0)</f>
        <v>3</v>
      </c>
      <c r="G2303" s="15" t="str">
        <f>IFERROR(__xludf.DUMMYFUNCTION("""COMPUTED_VALUE"""),"Completa")</f>
        <v>Completa</v>
      </c>
      <c r="H2303" s="16" t="str">
        <f t="array" ref="H2303">_xlfn.XLOOKUP(D2303,Productos[ID_Producto],Productos[Nombre_Producto])</f>
        <v>Hamburgesas congeladas</v>
      </c>
      <c r="I2303" s="17">
        <f t="array" ref="I2303">_xlfn.XLOOKUP(D2303,Productos[ID_Producto],Productos[Precio_Unitario])</f>
        <v>9.54</v>
      </c>
      <c r="J2303" s="17">
        <f t="shared" si="1"/>
        <v>47.7</v>
      </c>
      <c r="K2303" s="16" t="str">
        <f t="array" ref="K2303">_xlfn.XLOOKUP(C2303,Clientes[ID_Cliente],Clientes[Provincia])</f>
        <v>San Luis</v>
      </c>
      <c r="L2303" s="16" t="str">
        <f t="array" ref="L2303">CONCATENATE(_xlfn.XLOOKUP(C2303,Clientes[ID_Cliente],Clientes[Provincia]),", Argentina")</f>
        <v>San Luis, Argentina</v>
      </c>
      <c r="M2303" s="20" t="str">
        <f t="array" ref="M2303">_xlfn.XLOOKUP(F2303,Metodos_De_Pago[ID_Metodo],Metodos_De_Pago[Metodo])</f>
        <v>Tarjeta de Débito</v>
      </c>
      <c r="N2303" s="20" t="str">
        <f t="shared" si="2"/>
        <v>2024 08</v>
      </c>
    </row>
    <row r="2304" ht="22.5" customHeight="1">
      <c r="A2304" s="12">
        <f>IFERROR(__xludf.DUMMYFUNCTION("""COMPUTED_VALUE"""),1038.0)</f>
        <v>1038</v>
      </c>
      <c r="B2304" s="13">
        <f>IFERROR(__xludf.DUMMYFUNCTION("""COMPUTED_VALUE"""),45511.0)</f>
        <v>45511</v>
      </c>
      <c r="C2304" s="12">
        <f>IFERROR(__xludf.DUMMYFUNCTION("""COMPUTED_VALUE"""),119.0)</f>
        <v>119</v>
      </c>
      <c r="D2304" s="12">
        <f>IFERROR(__xludf.DUMMYFUNCTION("""COMPUTED_VALUE"""),34.0)</f>
        <v>34</v>
      </c>
      <c r="E2304" s="12">
        <f>IFERROR(__xludf.DUMMYFUNCTION("""COMPUTED_VALUE"""),5.0)</f>
        <v>5</v>
      </c>
      <c r="F2304" s="12">
        <f>IFERROR(__xludf.DUMMYFUNCTION("""COMPUTED_VALUE"""),3.0)</f>
        <v>3</v>
      </c>
      <c r="G2304" s="15" t="str">
        <f>IFERROR(__xludf.DUMMYFUNCTION("""COMPUTED_VALUE"""),"Completa")</f>
        <v>Completa</v>
      </c>
      <c r="H2304" s="16" t="str">
        <f t="array" ref="H2304">_xlfn.XLOOKUP(D2304,Productos[ID_Producto],Productos[Nombre_Producto])</f>
        <v>Maníes</v>
      </c>
      <c r="I2304" s="17">
        <f t="array" ref="I2304">_xlfn.XLOOKUP(D2304,Productos[ID_Producto],Productos[Precio_Unitario])</f>
        <v>5.45</v>
      </c>
      <c r="J2304" s="17">
        <f t="shared" si="1"/>
        <v>27.25</v>
      </c>
      <c r="K2304" s="16" t="str">
        <f t="array" ref="K2304">_xlfn.XLOOKUP(C2304,Clientes[ID_Cliente],Clientes[Provincia])</f>
        <v>Neuquén</v>
      </c>
      <c r="L2304" s="16" t="str">
        <f t="array" ref="L2304">CONCATENATE(_xlfn.XLOOKUP(C2304,Clientes[ID_Cliente],Clientes[Provincia]),", Argentina")</f>
        <v>Neuquén, Argentina</v>
      </c>
      <c r="M2304" s="20" t="str">
        <f t="array" ref="M2304">_xlfn.XLOOKUP(F2304,Metodos_De_Pago[ID_Metodo],Metodos_De_Pago[Metodo])</f>
        <v>Tarjeta de Débito</v>
      </c>
      <c r="N2304" s="20" t="str">
        <f t="shared" si="2"/>
        <v>2024 08</v>
      </c>
    </row>
    <row r="2305" ht="22.5" customHeight="1">
      <c r="A2305" s="12">
        <f>IFERROR(__xludf.DUMMYFUNCTION("""COMPUTED_VALUE"""),1058.0)</f>
        <v>1058</v>
      </c>
      <c r="B2305" s="13">
        <f>IFERROR(__xludf.DUMMYFUNCTION("""COMPUTED_VALUE"""),45511.0)</f>
        <v>45511</v>
      </c>
      <c r="C2305" s="12">
        <f>IFERROR(__xludf.DUMMYFUNCTION("""COMPUTED_VALUE"""),67.0)</f>
        <v>67</v>
      </c>
      <c r="D2305" s="12">
        <f>IFERROR(__xludf.DUMMYFUNCTION("""COMPUTED_VALUE"""),15.0)</f>
        <v>15</v>
      </c>
      <c r="E2305" s="12">
        <f>IFERROR(__xludf.DUMMYFUNCTION("""COMPUTED_VALUE"""),5.0)</f>
        <v>5</v>
      </c>
      <c r="F2305" s="12">
        <f>IFERROR(__xludf.DUMMYFUNCTION("""COMPUTED_VALUE"""),1.0)</f>
        <v>1</v>
      </c>
      <c r="G2305" s="15" t="str">
        <f>IFERROR(__xludf.DUMMYFUNCTION("""COMPUTED_VALUE"""),"Completa")</f>
        <v>Completa</v>
      </c>
      <c r="H2305" s="16" t="str">
        <f t="array" ref="H2305">_xlfn.XLOOKUP(D2305,Productos[ID_Producto],Productos[Nombre_Producto])</f>
        <v>Medialunas</v>
      </c>
      <c r="I2305" s="17">
        <f t="array" ref="I2305">_xlfn.XLOOKUP(D2305,Productos[ID_Producto],Productos[Precio_Unitario])</f>
        <v>3.51</v>
      </c>
      <c r="J2305" s="17">
        <f t="shared" si="1"/>
        <v>17.55</v>
      </c>
      <c r="K2305" s="16" t="str">
        <f t="array" ref="K2305">_xlfn.XLOOKUP(C2305,Clientes[ID_Cliente],Clientes[Provincia])</f>
        <v>Chaco</v>
      </c>
      <c r="L2305" s="16" t="str">
        <f t="array" ref="L2305">CONCATENATE(_xlfn.XLOOKUP(C2305,Clientes[ID_Cliente],Clientes[Provincia]),", Argentina")</f>
        <v>Chaco, Argentina</v>
      </c>
      <c r="M2305" s="20" t="str">
        <f t="array" ref="M2305">_xlfn.XLOOKUP(F2305,Metodos_De_Pago[ID_Metodo],Metodos_De_Pago[Metodo])</f>
        <v>Efectivo</v>
      </c>
      <c r="N2305" s="20" t="str">
        <f t="shared" si="2"/>
        <v>2024 08</v>
      </c>
    </row>
    <row r="2306" ht="22.5" customHeight="1">
      <c r="A2306" s="12">
        <f>IFERROR(__xludf.DUMMYFUNCTION("""COMPUTED_VALUE"""),1527.0)</f>
        <v>1527</v>
      </c>
      <c r="B2306" s="13">
        <f>IFERROR(__xludf.DUMMYFUNCTION("""COMPUTED_VALUE"""),45511.0)</f>
        <v>45511</v>
      </c>
      <c r="C2306" s="12">
        <f>IFERROR(__xludf.DUMMYFUNCTION("""COMPUTED_VALUE"""),203.0)</f>
        <v>203</v>
      </c>
      <c r="D2306" s="12">
        <f>IFERROR(__xludf.DUMMYFUNCTION("""COMPUTED_VALUE"""),29.0)</f>
        <v>29</v>
      </c>
      <c r="E2306" s="12">
        <f>IFERROR(__xludf.DUMMYFUNCTION("""COMPUTED_VALUE"""),5.0)</f>
        <v>5</v>
      </c>
      <c r="F2306" s="12">
        <f>IFERROR(__xludf.DUMMYFUNCTION("""COMPUTED_VALUE"""),3.0)</f>
        <v>3</v>
      </c>
      <c r="G2306" s="15" t="str">
        <f>IFERROR(__xludf.DUMMYFUNCTION("""COMPUTED_VALUE"""),"Completa")</f>
        <v>Completa</v>
      </c>
      <c r="H2306" s="16" t="str">
        <f t="array" ref="H2306">_xlfn.XLOOKUP(D2306,Productos[ID_Producto],Productos[Nombre_Producto])</f>
        <v>Cerveza</v>
      </c>
      <c r="I2306" s="17">
        <f t="array" ref="I2306">_xlfn.XLOOKUP(D2306,Productos[ID_Producto],Productos[Precio_Unitario])</f>
        <v>11.54</v>
      </c>
      <c r="J2306" s="17">
        <f t="shared" si="1"/>
        <v>57.7</v>
      </c>
      <c r="K2306" s="16" t="str">
        <f t="array" ref="K2306">_xlfn.XLOOKUP(C2306,Clientes[ID_Cliente],Clientes[Provincia])</f>
        <v>Buenos Aires</v>
      </c>
      <c r="L2306" s="16" t="str">
        <f t="array" ref="L2306">CONCATENATE(_xlfn.XLOOKUP(C2306,Clientes[ID_Cliente],Clientes[Provincia]),", Argentina")</f>
        <v>Buenos Aires, Argentina</v>
      </c>
      <c r="M2306" s="20" t="str">
        <f t="array" ref="M2306">_xlfn.XLOOKUP(F2306,Metodos_De_Pago[ID_Metodo],Metodos_De_Pago[Metodo])</f>
        <v>Tarjeta de Débito</v>
      </c>
      <c r="N2306" s="20" t="str">
        <f t="shared" si="2"/>
        <v>2024 08</v>
      </c>
    </row>
    <row r="2307" ht="22.5" customHeight="1">
      <c r="A2307" s="12">
        <f>IFERROR(__xludf.DUMMYFUNCTION("""COMPUTED_VALUE"""),1166.0)</f>
        <v>1166</v>
      </c>
      <c r="B2307" s="13">
        <f>IFERROR(__xludf.DUMMYFUNCTION("""COMPUTED_VALUE"""),45513.0)</f>
        <v>45513</v>
      </c>
      <c r="C2307" s="12">
        <f>IFERROR(__xludf.DUMMYFUNCTION("""COMPUTED_VALUE"""),151.0)</f>
        <v>151</v>
      </c>
      <c r="D2307" s="12">
        <f>IFERROR(__xludf.DUMMYFUNCTION("""COMPUTED_VALUE"""),9.0)</f>
        <v>9</v>
      </c>
      <c r="E2307" s="12">
        <f>IFERROR(__xludf.DUMMYFUNCTION("""COMPUTED_VALUE"""),5.0)</f>
        <v>5</v>
      </c>
      <c r="F2307" s="12">
        <f>IFERROR(__xludf.DUMMYFUNCTION("""COMPUTED_VALUE"""),4.0)</f>
        <v>4</v>
      </c>
      <c r="G2307" s="15" t="str">
        <f>IFERROR(__xludf.DUMMYFUNCTION("""COMPUTED_VALUE"""),"Completa")</f>
        <v>Completa</v>
      </c>
      <c r="H2307" s="16" t="str">
        <f t="array" ref="H2307">_xlfn.XLOOKUP(D2307,Productos[ID_Producto],Productos[Nombre_Producto])</f>
        <v>Pollo</v>
      </c>
      <c r="I2307" s="17">
        <f t="array" ref="I2307">_xlfn.XLOOKUP(D2307,Productos[ID_Producto],Productos[Precio_Unitario])</f>
        <v>18.56</v>
      </c>
      <c r="J2307" s="17">
        <f t="shared" si="1"/>
        <v>92.8</v>
      </c>
      <c r="K2307" s="16" t="str">
        <f t="array" ref="K2307">_xlfn.XLOOKUP(C2307,Clientes[ID_Cliente],Clientes[Provincia])</f>
        <v>Buenos Aires</v>
      </c>
      <c r="L2307" s="16" t="str">
        <f t="array" ref="L2307">CONCATENATE(_xlfn.XLOOKUP(C2307,Clientes[ID_Cliente],Clientes[Provincia]),", Argentina")</f>
        <v>Buenos Aires, Argentina</v>
      </c>
      <c r="M2307" s="20" t="str">
        <f t="array" ref="M2307">_xlfn.XLOOKUP(F2307,Metodos_De_Pago[ID_Metodo],Metodos_De_Pago[Metodo])</f>
        <v>Mercado Pago</v>
      </c>
      <c r="N2307" s="20" t="str">
        <f t="shared" si="2"/>
        <v>2024 08</v>
      </c>
    </row>
    <row r="2308" ht="22.5" customHeight="1">
      <c r="A2308" s="12">
        <f>IFERROR(__xludf.DUMMYFUNCTION("""COMPUTED_VALUE"""),703.0)</f>
        <v>703</v>
      </c>
      <c r="B2308" s="13">
        <f>IFERROR(__xludf.DUMMYFUNCTION("""COMPUTED_VALUE"""),45514.0)</f>
        <v>45514</v>
      </c>
      <c r="C2308" s="12">
        <f>IFERROR(__xludf.DUMMYFUNCTION("""COMPUTED_VALUE"""),126.0)</f>
        <v>126</v>
      </c>
      <c r="D2308" s="12">
        <f>IFERROR(__xludf.DUMMYFUNCTION("""COMPUTED_VALUE"""),24.0)</f>
        <v>24</v>
      </c>
      <c r="E2308" s="12">
        <f>IFERROR(__xludf.DUMMYFUNCTION("""COMPUTED_VALUE"""),5.0)</f>
        <v>5</v>
      </c>
      <c r="F2308" s="12">
        <f>IFERROR(__xludf.DUMMYFUNCTION("""COMPUTED_VALUE"""),4.0)</f>
        <v>4</v>
      </c>
      <c r="G2308" s="15" t="str">
        <f>IFERROR(__xludf.DUMMYFUNCTION("""COMPUTED_VALUE"""),"Completa")</f>
        <v>Completa</v>
      </c>
      <c r="H2308" s="16" t="str">
        <f t="array" ref="H2308">_xlfn.XLOOKUP(D2308,Productos[ID_Producto],Productos[Nombre_Producto])</f>
        <v>Empanadas</v>
      </c>
      <c r="I2308" s="17">
        <f t="array" ref="I2308">_xlfn.XLOOKUP(D2308,Productos[ID_Producto],Productos[Precio_Unitario])</f>
        <v>13.54</v>
      </c>
      <c r="J2308" s="17">
        <f t="shared" si="1"/>
        <v>67.7</v>
      </c>
      <c r="K2308" s="16" t="str">
        <f t="array" ref="K2308">_xlfn.XLOOKUP(C2308,Clientes[ID_Cliente],Clientes[Provincia])</f>
        <v>San Luis</v>
      </c>
      <c r="L2308" s="16" t="str">
        <f t="array" ref="L2308">CONCATENATE(_xlfn.XLOOKUP(C2308,Clientes[ID_Cliente],Clientes[Provincia]),", Argentina")</f>
        <v>San Luis, Argentina</v>
      </c>
      <c r="M2308" s="20" t="str">
        <f t="array" ref="M2308">_xlfn.XLOOKUP(F2308,Metodos_De_Pago[ID_Metodo],Metodos_De_Pago[Metodo])</f>
        <v>Mercado Pago</v>
      </c>
      <c r="N2308" s="20" t="str">
        <f t="shared" si="2"/>
        <v>2024 08</v>
      </c>
    </row>
    <row r="2309" ht="22.5" customHeight="1">
      <c r="A2309" s="12">
        <f>IFERROR(__xludf.DUMMYFUNCTION("""COMPUTED_VALUE"""),427.0)</f>
        <v>427</v>
      </c>
      <c r="B2309" s="13">
        <f>IFERROR(__xludf.DUMMYFUNCTION("""COMPUTED_VALUE"""),45515.0)</f>
        <v>45515</v>
      </c>
      <c r="C2309" s="12">
        <f>IFERROR(__xludf.DUMMYFUNCTION("""COMPUTED_VALUE"""),132.0)</f>
        <v>132</v>
      </c>
      <c r="D2309" s="12">
        <f>IFERROR(__xludf.DUMMYFUNCTION("""COMPUTED_VALUE"""),34.0)</f>
        <v>34</v>
      </c>
      <c r="E2309" s="12">
        <f>IFERROR(__xludf.DUMMYFUNCTION("""COMPUTED_VALUE"""),5.0)</f>
        <v>5</v>
      </c>
      <c r="F2309" s="12">
        <f>IFERROR(__xludf.DUMMYFUNCTION("""COMPUTED_VALUE"""),3.0)</f>
        <v>3</v>
      </c>
      <c r="G2309" s="15" t="str">
        <f>IFERROR(__xludf.DUMMYFUNCTION("""COMPUTED_VALUE"""),"Completa")</f>
        <v>Completa</v>
      </c>
      <c r="H2309" s="16" t="str">
        <f t="array" ref="H2309">_xlfn.XLOOKUP(D2309,Productos[ID_Producto],Productos[Nombre_Producto])</f>
        <v>Maníes</v>
      </c>
      <c r="I2309" s="17">
        <f t="array" ref="I2309">_xlfn.XLOOKUP(D2309,Productos[ID_Producto],Productos[Precio_Unitario])</f>
        <v>5.45</v>
      </c>
      <c r="J2309" s="17">
        <f t="shared" si="1"/>
        <v>27.25</v>
      </c>
      <c r="K2309" s="16" t="str">
        <f t="array" ref="K2309">_xlfn.XLOOKUP(C2309,Clientes[ID_Cliente],Clientes[Provincia])</f>
        <v>Buenos Aires</v>
      </c>
      <c r="L2309" s="16" t="str">
        <f t="array" ref="L2309">CONCATENATE(_xlfn.XLOOKUP(C2309,Clientes[ID_Cliente],Clientes[Provincia]),", Argentina")</f>
        <v>Buenos Aires, Argentina</v>
      </c>
      <c r="M2309" s="20" t="str">
        <f t="array" ref="M2309">_xlfn.XLOOKUP(F2309,Metodos_De_Pago[ID_Metodo],Metodos_De_Pago[Metodo])</f>
        <v>Tarjeta de Débito</v>
      </c>
      <c r="N2309" s="20" t="str">
        <f t="shared" si="2"/>
        <v>2024 08</v>
      </c>
    </row>
    <row r="2310" ht="22.5" customHeight="1">
      <c r="A2310" s="12">
        <f>IFERROR(__xludf.DUMMYFUNCTION("""COMPUTED_VALUE"""),1008.0)</f>
        <v>1008</v>
      </c>
      <c r="B2310" s="13">
        <f>IFERROR(__xludf.DUMMYFUNCTION("""COMPUTED_VALUE"""),45515.0)</f>
        <v>45515</v>
      </c>
      <c r="C2310" s="12">
        <f>IFERROR(__xludf.DUMMYFUNCTION("""COMPUTED_VALUE"""),204.0)</f>
        <v>204</v>
      </c>
      <c r="D2310" s="12">
        <f>IFERROR(__xludf.DUMMYFUNCTION("""COMPUTED_VALUE"""),11.0)</f>
        <v>11</v>
      </c>
      <c r="E2310" s="12">
        <f>IFERROR(__xludf.DUMMYFUNCTION("""COMPUTED_VALUE"""),5.0)</f>
        <v>5</v>
      </c>
      <c r="F2310" s="12">
        <f>IFERROR(__xludf.DUMMYFUNCTION("""COMPUTED_VALUE"""),5.0)</f>
        <v>5</v>
      </c>
      <c r="G2310" s="15" t="str">
        <f>IFERROR(__xludf.DUMMYFUNCTION("""COMPUTED_VALUE"""),"Completa")</f>
        <v>Completa</v>
      </c>
      <c r="H2310" s="16" t="str">
        <f t="array" ref="H2310">_xlfn.XLOOKUP(D2310,Productos[ID_Producto],Productos[Nombre_Producto])</f>
        <v>Salchicha</v>
      </c>
      <c r="I2310" s="17">
        <f t="array" ref="I2310">_xlfn.XLOOKUP(D2310,Productos[ID_Producto],Productos[Precio_Unitario])</f>
        <v>11.23</v>
      </c>
      <c r="J2310" s="17">
        <f t="shared" si="1"/>
        <v>56.15</v>
      </c>
      <c r="K2310" s="16" t="str">
        <f t="array" ref="K2310">_xlfn.XLOOKUP(C2310,Clientes[ID_Cliente],Clientes[Provincia])</f>
        <v>Neuquén</v>
      </c>
      <c r="L2310" s="16" t="str">
        <f t="array" ref="L2310">CONCATENATE(_xlfn.XLOOKUP(C2310,Clientes[ID_Cliente],Clientes[Provincia]),", Argentina")</f>
        <v>Neuquén, Argentina</v>
      </c>
      <c r="M2310" s="20" t="str">
        <f t="array" ref="M2310">_xlfn.XLOOKUP(F2310,Metodos_De_Pago[ID_Metodo],Metodos_De_Pago[Metodo])</f>
        <v>Transferencia</v>
      </c>
      <c r="N2310" s="20" t="str">
        <f t="shared" si="2"/>
        <v>2024 08</v>
      </c>
    </row>
    <row r="2311" ht="22.5" customHeight="1">
      <c r="A2311" s="12">
        <f>IFERROR(__xludf.DUMMYFUNCTION("""COMPUTED_VALUE"""),987.0)</f>
        <v>987</v>
      </c>
      <c r="B2311" s="13">
        <f>IFERROR(__xludf.DUMMYFUNCTION("""COMPUTED_VALUE"""),45518.0)</f>
        <v>45518</v>
      </c>
      <c r="C2311" s="12">
        <f>IFERROR(__xludf.DUMMYFUNCTION("""COMPUTED_VALUE"""),274.0)</f>
        <v>274</v>
      </c>
      <c r="D2311" s="12">
        <f>IFERROR(__xludf.DUMMYFUNCTION("""COMPUTED_VALUE"""),33.0)</f>
        <v>33</v>
      </c>
      <c r="E2311" s="12">
        <f>IFERROR(__xludf.DUMMYFUNCTION("""COMPUTED_VALUE"""),5.0)</f>
        <v>5</v>
      </c>
      <c r="F2311" s="12">
        <f>IFERROR(__xludf.DUMMYFUNCTION("""COMPUTED_VALUE"""),2.0)</f>
        <v>2</v>
      </c>
      <c r="G2311" s="15" t="str">
        <f>IFERROR(__xludf.DUMMYFUNCTION("""COMPUTED_VALUE"""),"Completa")</f>
        <v>Completa</v>
      </c>
      <c r="H2311" s="16" t="str">
        <f t="array" ref="H2311">_xlfn.XLOOKUP(D2311,Productos[ID_Producto],Productos[Nombre_Producto])</f>
        <v>Papas chips</v>
      </c>
      <c r="I2311" s="17">
        <f t="array" ref="I2311">_xlfn.XLOOKUP(D2311,Productos[ID_Producto],Productos[Precio_Unitario])</f>
        <v>8.54</v>
      </c>
      <c r="J2311" s="17">
        <f t="shared" si="1"/>
        <v>42.7</v>
      </c>
      <c r="K2311" s="16" t="str">
        <f t="array" ref="K2311">_xlfn.XLOOKUP(C2311,Clientes[ID_Cliente],Clientes[Provincia])</f>
        <v>Buenos Aires</v>
      </c>
      <c r="L2311" s="16" t="str">
        <f t="array" ref="L2311">CONCATENATE(_xlfn.XLOOKUP(C2311,Clientes[ID_Cliente],Clientes[Provincia]),", Argentina")</f>
        <v>Buenos Aires, Argentina</v>
      </c>
      <c r="M2311" s="20" t="str">
        <f t="array" ref="M2311">_xlfn.XLOOKUP(F2311,Metodos_De_Pago[ID_Metodo],Metodos_De_Pago[Metodo])</f>
        <v>Tarjeta de Crédito</v>
      </c>
      <c r="N2311" s="20" t="str">
        <f t="shared" si="2"/>
        <v>2024 08</v>
      </c>
    </row>
    <row r="2312" ht="22.5" customHeight="1">
      <c r="A2312" s="12">
        <f>IFERROR(__xludf.DUMMYFUNCTION("""COMPUTED_VALUE"""),1212.0)</f>
        <v>1212</v>
      </c>
      <c r="B2312" s="13">
        <f>IFERROR(__xludf.DUMMYFUNCTION("""COMPUTED_VALUE"""),45518.0)</f>
        <v>45518</v>
      </c>
      <c r="C2312" s="12">
        <f>IFERROR(__xludf.DUMMYFUNCTION("""COMPUTED_VALUE"""),58.0)</f>
        <v>58</v>
      </c>
      <c r="D2312" s="12">
        <f>IFERROR(__xludf.DUMMYFUNCTION("""COMPUTED_VALUE"""),20.0)</f>
        <v>20</v>
      </c>
      <c r="E2312" s="12">
        <f>IFERROR(__xludf.DUMMYFUNCTION("""COMPUTED_VALUE"""),5.0)</f>
        <v>5</v>
      </c>
      <c r="F2312" s="12">
        <f>IFERROR(__xludf.DUMMYFUNCTION("""COMPUTED_VALUE"""),1.0)</f>
        <v>1</v>
      </c>
      <c r="G2312" s="15" t="str">
        <f>IFERROR(__xludf.DUMMYFUNCTION("""COMPUTED_VALUE"""),"Completa")</f>
        <v>Completa</v>
      </c>
      <c r="H2312" s="16" t="str">
        <f t="array" ref="H2312">_xlfn.XLOOKUP(D2312,Productos[ID_Producto],Productos[Nombre_Producto])</f>
        <v>Lechugas</v>
      </c>
      <c r="I2312" s="17">
        <f t="array" ref="I2312">_xlfn.XLOOKUP(D2312,Productos[ID_Producto],Productos[Precio_Unitario])</f>
        <v>4.25</v>
      </c>
      <c r="J2312" s="17">
        <f t="shared" si="1"/>
        <v>21.25</v>
      </c>
      <c r="K2312" s="16" t="str">
        <f t="array" ref="K2312">_xlfn.XLOOKUP(C2312,Clientes[ID_Cliente],Clientes[Provincia])</f>
        <v>Buenos Aires</v>
      </c>
      <c r="L2312" s="16" t="str">
        <f t="array" ref="L2312">CONCATENATE(_xlfn.XLOOKUP(C2312,Clientes[ID_Cliente],Clientes[Provincia]),", Argentina")</f>
        <v>Buenos Aires, Argentina</v>
      </c>
      <c r="M2312" s="20" t="str">
        <f t="array" ref="M2312">_xlfn.XLOOKUP(F2312,Metodos_De_Pago[ID_Metodo],Metodos_De_Pago[Metodo])</f>
        <v>Efectivo</v>
      </c>
      <c r="N2312" s="20" t="str">
        <f t="shared" si="2"/>
        <v>2024 08</v>
      </c>
    </row>
    <row r="2313" ht="22.5" customHeight="1">
      <c r="A2313" s="12">
        <f>IFERROR(__xludf.DUMMYFUNCTION("""COMPUTED_VALUE"""),2565.0)</f>
        <v>2565</v>
      </c>
      <c r="B2313" s="13">
        <f>IFERROR(__xludf.DUMMYFUNCTION("""COMPUTED_VALUE"""),45518.0)</f>
        <v>45518</v>
      </c>
      <c r="C2313" s="12">
        <f>IFERROR(__xludf.DUMMYFUNCTION("""COMPUTED_VALUE"""),318.0)</f>
        <v>318</v>
      </c>
      <c r="D2313" s="12">
        <f>IFERROR(__xludf.DUMMYFUNCTION("""COMPUTED_VALUE"""),19.0)</f>
        <v>19</v>
      </c>
      <c r="E2313" s="12">
        <f>IFERROR(__xludf.DUMMYFUNCTION("""COMPUTED_VALUE"""),5.0)</f>
        <v>5</v>
      </c>
      <c r="F2313" s="12">
        <f>IFERROR(__xludf.DUMMYFUNCTION("""COMPUTED_VALUE"""),1.0)</f>
        <v>1</v>
      </c>
      <c r="G2313" s="15" t="str">
        <f>IFERROR(__xludf.DUMMYFUNCTION("""COMPUTED_VALUE"""),"Completa")</f>
        <v>Completa</v>
      </c>
      <c r="H2313" s="16" t="str">
        <f t="array" ref="H2313">_xlfn.XLOOKUP(D2313,Productos[ID_Producto],Productos[Nombre_Producto])</f>
        <v>Tomates</v>
      </c>
      <c r="I2313" s="17">
        <f t="array" ref="I2313">_xlfn.XLOOKUP(D2313,Productos[ID_Producto],Productos[Precio_Unitario])</f>
        <v>6.54</v>
      </c>
      <c r="J2313" s="17">
        <f t="shared" si="1"/>
        <v>32.7</v>
      </c>
      <c r="K2313" s="16" t="str">
        <f t="array" ref="K2313">_xlfn.XLOOKUP(C2313,Clientes[ID_Cliente],Clientes[Provincia])</f>
        <v>Buenos Aires</v>
      </c>
      <c r="L2313" s="16" t="str">
        <f t="array" ref="L2313">CONCATENATE(_xlfn.XLOOKUP(C2313,Clientes[ID_Cliente],Clientes[Provincia]),", Argentina")</f>
        <v>Buenos Aires, Argentina</v>
      </c>
      <c r="M2313" s="20" t="str">
        <f t="array" ref="M2313">_xlfn.XLOOKUP(F2313,Metodos_De_Pago[ID_Metodo],Metodos_De_Pago[Metodo])</f>
        <v>Efectivo</v>
      </c>
      <c r="N2313" s="20" t="str">
        <f t="shared" si="2"/>
        <v>2024 08</v>
      </c>
    </row>
    <row r="2314" ht="22.5" customHeight="1">
      <c r="A2314" s="12">
        <f>IFERROR(__xludf.DUMMYFUNCTION("""COMPUTED_VALUE"""),1471.0)</f>
        <v>1471</v>
      </c>
      <c r="B2314" s="13">
        <f>IFERROR(__xludf.DUMMYFUNCTION("""COMPUTED_VALUE"""),45519.0)</f>
        <v>45519</v>
      </c>
      <c r="C2314" s="12">
        <f>IFERROR(__xludf.DUMMYFUNCTION("""COMPUTED_VALUE"""),123.0)</f>
        <v>123</v>
      </c>
      <c r="D2314" s="12">
        <f>IFERROR(__xludf.DUMMYFUNCTION("""COMPUTED_VALUE"""),25.0)</f>
        <v>25</v>
      </c>
      <c r="E2314" s="12">
        <f>IFERROR(__xludf.DUMMYFUNCTION("""COMPUTED_VALUE"""),5.0)</f>
        <v>5</v>
      </c>
      <c r="F2314" s="12">
        <f>IFERROR(__xludf.DUMMYFUNCTION("""COMPUTED_VALUE"""),5.0)</f>
        <v>5</v>
      </c>
      <c r="G2314" s="15" t="str">
        <f>IFERROR(__xludf.DUMMYFUNCTION("""COMPUTED_VALUE"""),"Completa")</f>
        <v>Completa</v>
      </c>
      <c r="H2314" s="16" t="str">
        <f t="array" ref="H2314">_xlfn.XLOOKUP(D2314,Productos[ID_Producto],Productos[Nombre_Producto])</f>
        <v>Pizza congelada</v>
      </c>
      <c r="I2314" s="17">
        <f t="array" ref="I2314">_xlfn.XLOOKUP(D2314,Productos[ID_Producto],Productos[Precio_Unitario])</f>
        <v>15.45</v>
      </c>
      <c r="J2314" s="17">
        <f t="shared" si="1"/>
        <v>77.25</v>
      </c>
      <c r="K2314" s="16" t="str">
        <f t="array" ref="K2314">_xlfn.XLOOKUP(C2314,Clientes[ID_Cliente],Clientes[Provincia])</f>
        <v>Neuquén</v>
      </c>
      <c r="L2314" s="16" t="str">
        <f t="array" ref="L2314">CONCATENATE(_xlfn.XLOOKUP(C2314,Clientes[ID_Cliente],Clientes[Provincia]),", Argentina")</f>
        <v>Neuquén, Argentina</v>
      </c>
      <c r="M2314" s="20" t="str">
        <f t="array" ref="M2314">_xlfn.XLOOKUP(F2314,Metodos_De_Pago[ID_Metodo],Metodos_De_Pago[Metodo])</f>
        <v>Transferencia</v>
      </c>
      <c r="N2314" s="20" t="str">
        <f t="shared" si="2"/>
        <v>2024 08</v>
      </c>
    </row>
    <row r="2315" ht="22.5" customHeight="1">
      <c r="A2315" s="12">
        <f>IFERROR(__xludf.DUMMYFUNCTION("""COMPUTED_VALUE"""),2015.0)</f>
        <v>2015</v>
      </c>
      <c r="B2315" s="13">
        <f>IFERROR(__xludf.DUMMYFUNCTION("""COMPUTED_VALUE"""),45519.0)</f>
        <v>45519</v>
      </c>
      <c r="C2315" s="12">
        <f>IFERROR(__xludf.DUMMYFUNCTION("""COMPUTED_VALUE"""),33.0)</f>
        <v>33</v>
      </c>
      <c r="D2315" s="12">
        <f>IFERROR(__xludf.DUMMYFUNCTION("""COMPUTED_VALUE"""),5.0)</f>
        <v>5</v>
      </c>
      <c r="E2315" s="12">
        <f>IFERROR(__xludf.DUMMYFUNCTION("""COMPUTED_VALUE"""),5.0)</f>
        <v>5</v>
      </c>
      <c r="F2315" s="12">
        <f>IFERROR(__xludf.DUMMYFUNCTION("""COMPUTED_VALUE"""),5.0)</f>
        <v>5</v>
      </c>
      <c r="G2315" s="15" t="str">
        <f>IFERROR(__xludf.DUMMYFUNCTION("""COMPUTED_VALUE"""),"Completa")</f>
        <v>Completa</v>
      </c>
      <c r="H2315" s="16" t="str">
        <f t="array" ref="H2315">_xlfn.XLOOKUP(D2315,Productos[ID_Producto],Productos[Nombre_Producto])</f>
        <v>Manteca</v>
      </c>
      <c r="I2315" s="17">
        <f t="array" ref="I2315">_xlfn.XLOOKUP(D2315,Productos[ID_Producto],Productos[Precio_Unitario])</f>
        <v>5.65</v>
      </c>
      <c r="J2315" s="17">
        <f t="shared" si="1"/>
        <v>28.25</v>
      </c>
      <c r="K2315" s="16" t="str">
        <f t="array" ref="K2315">_xlfn.XLOOKUP(C2315,Clientes[ID_Cliente],Clientes[Provincia])</f>
        <v>Chaco</v>
      </c>
      <c r="L2315" s="16" t="str">
        <f t="array" ref="L2315">CONCATENATE(_xlfn.XLOOKUP(C2315,Clientes[ID_Cliente],Clientes[Provincia]),", Argentina")</f>
        <v>Chaco, Argentina</v>
      </c>
      <c r="M2315" s="20" t="str">
        <f t="array" ref="M2315">_xlfn.XLOOKUP(F2315,Metodos_De_Pago[ID_Metodo],Metodos_De_Pago[Metodo])</f>
        <v>Transferencia</v>
      </c>
      <c r="N2315" s="20" t="str">
        <f t="shared" si="2"/>
        <v>2024 08</v>
      </c>
    </row>
    <row r="2316" ht="22.5" customHeight="1">
      <c r="A2316" s="12">
        <f>IFERROR(__xludf.DUMMYFUNCTION("""COMPUTED_VALUE"""),204.0)</f>
        <v>204</v>
      </c>
      <c r="B2316" s="13">
        <f>IFERROR(__xludf.DUMMYFUNCTION("""COMPUTED_VALUE"""),45520.0)</f>
        <v>45520</v>
      </c>
      <c r="C2316" s="12">
        <f>IFERROR(__xludf.DUMMYFUNCTION("""COMPUTED_VALUE"""),292.0)</f>
        <v>292</v>
      </c>
      <c r="D2316" s="12">
        <f>IFERROR(__xludf.DUMMYFUNCTION("""COMPUTED_VALUE"""),6.0)</f>
        <v>6</v>
      </c>
      <c r="E2316" s="12">
        <f>IFERROR(__xludf.DUMMYFUNCTION("""COMPUTED_VALUE"""),5.0)</f>
        <v>5</v>
      </c>
      <c r="F2316" s="12">
        <f>IFERROR(__xludf.DUMMYFUNCTION("""COMPUTED_VALUE"""),2.0)</f>
        <v>2</v>
      </c>
      <c r="G2316" s="15" t="str">
        <f>IFERROR(__xludf.DUMMYFUNCTION("""COMPUTED_VALUE"""),"Completa")</f>
        <v>Completa</v>
      </c>
      <c r="H2316" s="16" t="str">
        <f t="array" ref="H2316">_xlfn.XLOOKUP(D2316,Productos[ID_Producto],Productos[Nombre_Producto])</f>
        <v>Asado</v>
      </c>
      <c r="I2316" s="17">
        <f t="array" ref="I2316">_xlfn.XLOOKUP(D2316,Productos[ID_Producto],Productos[Precio_Unitario])</f>
        <v>28.56</v>
      </c>
      <c r="J2316" s="17">
        <f t="shared" si="1"/>
        <v>142.8</v>
      </c>
      <c r="K2316" s="16" t="str">
        <f t="array" ref="K2316">_xlfn.XLOOKUP(C2316,Clientes[ID_Cliente],Clientes[Provincia])</f>
        <v>Neuquén</v>
      </c>
      <c r="L2316" s="16" t="str">
        <f t="array" ref="L2316">CONCATENATE(_xlfn.XLOOKUP(C2316,Clientes[ID_Cliente],Clientes[Provincia]),", Argentina")</f>
        <v>Neuquén, Argentina</v>
      </c>
      <c r="M2316" s="20" t="str">
        <f t="array" ref="M2316">_xlfn.XLOOKUP(F2316,Metodos_De_Pago[ID_Metodo],Metodos_De_Pago[Metodo])</f>
        <v>Tarjeta de Crédito</v>
      </c>
      <c r="N2316" s="20" t="str">
        <f t="shared" si="2"/>
        <v>2024 08</v>
      </c>
    </row>
    <row r="2317" ht="22.5" customHeight="1">
      <c r="A2317" s="12">
        <f>IFERROR(__xludf.DUMMYFUNCTION("""COMPUTED_VALUE"""),1189.0)</f>
        <v>1189</v>
      </c>
      <c r="B2317" s="13">
        <f>IFERROR(__xludf.DUMMYFUNCTION("""COMPUTED_VALUE"""),45521.0)</f>
        <v>45521</v>
      </c>
      <c r="C2317" s="12">
        <f>IFERROR(__xludf.DUMMYFUNCTION("""COMPUTED_VALUE"""),31.0)</f>
        <v>31</v>
      </c>
      <c r="D2317" s="12">
        <f>IFERROR(__xludf.DUMMYFUNCTION("""COMPUTED_VALUE"""),10.0)</f>
        <v>10</v>
      </c>
      <c r="E2317" s="12">
        <f>IFERROR(__xludf.DUMMYFUNCTION("""COMPUTED_VALUE"""),5.0)</f>
        <v>5</v>
      </c>
      <c r="F2317" s="12">
        <f>IFERROR(__xludf.DUMMYFUNCTION("""COMPUTED_VALUE"""),5.0)</f>
        <v>5</v>
      </c>
      <c r="G2317" s="15" t="str">
        <f>IFERROR(__xludf.DUMMYFUNCTION("""COMPUTED_VALUE"""),"Completa")</f>
        <v>Completa</v>
      </c>
      <c r="H2317" s="16" t="str">
        <f t="array" ref="H2317">_xlfn.XLOOKUP(D2317,Productos[ID_Producto],Productos[Nombre_Producto])</f>
        <v>Costilla de cerdo</v>
      </c>
      <c r="I2317" s="17">
        <f t="array" ref="I2317">_xlfn.XLOOKUP(D2317,Productos[ID_Producto],Productos[Precio_Unitario])</f>
        <v>14.25</v>
      </c>
      <c r="J2317" s="17">
        <f t="shared" si="1"/>
        <v>71.25</v>
      </c>
      <c r="K2317" s="16" t="str">
        <f t="array" ref="K2317">_xlfn.XLOOKUP(C2317,Clientes[ID_Cliente],Clientes[Provincia])</f>
        <v>Córdoba</v>
      </c>
      <c r="L2317" s="16" t="str">
        <f t="array" ref="L2317">CONCATENATE(_xlfn.XLOOKUP(C2317,Clientes[ID_Cliente],Clientes[Provincia]),", Argentina")</f>
        <v>Córdoba, Argentina</v>
      </c>
      <c r="M2317" s="20" t="str">
        <f t="array" ref="M2317">_xlfn.XLOOKUP(F2317,Metodos_De_Pago[ID_Metodo],Metodos_De_Pago[Metodo])</f>
        <v>Transferencia</v>
      </c>
      <c r="N2317" s="20" t="str">
        <f t="shared" si="2"/>
        <v>2024 08</v>
      </c>
    </row>
    <row r="2318" ht="22.5" customHeight="1">
      <c r="A2318" s="12">
        <f>IFERROR(__xludf.DUMMYFUNCTION("""COMPUTED_VALUE"""),1553.0)</f>
        <v>1553</v>
      </c>
      <c r="B2318" s="13">
        <f>IFERROR(__xludf.DUMMYFUNCTION("""COMPUTED_VALUE"""),45521.0)</f>
        <v>45521</v>
      </c>
      <c r="C2318" s="12">
        <f>IFERROR(__xludf.DUMMYFUNCTION("""COMPUTED_VALUE"""),25.0)</f>
        <v>25</v>
      </c>
      <c r="D2318" s="12">
        <f>IFERROR(__xludf.DUMMYFUNCTION("""COMPUTED_VALUE"""),8.0)</f>
        <v>8</v>
      </c>
      <c r="E2318" s="12">
        <f>IFERROR(__xludf.DUMMYFUNCTION("""COMPUTED_VALUE"""),5.0)</f>
        <v>5</v>
      </c>
      <c r="F2318" s="12">
        <f>IFERROR(__xludf.DUMMYFUNCTION("""COMPUTED_VALUE"""),5.0)</f>
        <v>5</v>
      </c>
      <c r="G2318" s="15" t="str">
        <f>IFERROR(__xludf.DUMMYFUNCTION("""COMPUTED_VALUE"""),"Completa")</f>
        <v>Completa</v>
      </c>
      <c r="H2318" s="16" t="str">
        <f t="array" ref="H2318">_xlfn.XLOOKUP(D2318,Productos[ID_Producto],Productos[Nombre_Producto])</f>
        <v>Milanesa</v>
      </c>
      <c r="I2318" s="17">
        <f t="array" ref="I2318">_xlfn.XLOOKUP(D2318,Productos[ID_Producto],Productos[Precio_Unitario])</f>
        <v>16.21</v>
      </c>
      <c r="J2318" s="17">
        <f t="shared" si="1"/>
        <v>81.05</v>
      </c>
      <c r="K2318" s="16" t="str">
        <f t="array" ref="K2318">_xlfn.XLOOKUP(C2318,Clientes[ID_Cliente],Clientes[Provincia])</f>
        <v>Neuquén</v>
      </c>
      <c r="L2318" s="16" t="str">
        <f t="array" ref="L2318">CONCATENATE(_xlfn.XLOOKUP(C2318,Clientes[ID_Cliente],Clientes[Provincia]),", Argentina")</f>
        <v>Neuquén, Argentina</v>
      </c>
      <c r="M2318" s="20" t="str">
        <f t="array" ref="M2318">_xlfn.XLOOKUP(F2318,Metodos_De_Pago[ID_Metodo],Metodos_De_Pago[Metodo])</f>
        <v>Transferencia</v>
      </c>
      <c r="N2318" s="20" t="str">
        <f t="shared" si="2"/>
        <v>2024 08</v>
      </c>
    </row>
    <row r="2319" ht="22.5" customHeight="1">
      <c r="A2319" s="12">
        <f>IFERROR(__xludf.DUMMYFUNCTION("""COMPUTED_VALUE"""),266.0)</f>
        <v>266</v>
      </c>
      <c r="B2319" s="13">
        <f>IFERROR(__xludf.DUMMYFUNCTION("""COMPUTED_VALUE"""),45522.0)</f>
        <v>45522</v>
      </c>
      <c r="C2319" s="12">
        <f>IFERROR(__xludf.DUMMYFUNCTION("""COMPUTED_VALUE"""),78.0)</f>
        <v>78</v>
      </c>
      <c r="D2319" s="12">
        <f>IFERROR(__xludf.DUMMYFUNCTION("""COMPUTED_VALUE"""),2.0)</f>
        <v>2</v>
      </c>
      <c r="E2319" s="12">
        <f>IFERROR(__xludf.DUMMYFUNCTION("""COMPUTED_VALUE"""),5.0)</f>
        <v>5</v>
      </c>
      <c r="F2319" s="12">
        <f>IFERROR(__xludf.DUMMYFUNCTION("""COMPUTED_VALUE"""),4.0)</f>
        <v>4</v>
      </c>
      <c r="G2319" s="15" t="str">
        <f>IFERROR(__xludf.DUMMYFUNCTION("""COMPUTED_VALUE"""),"Completa")</f>
        <v>Completa</v>
      </c>
      <c r="H2319" s="16" t="str">
        <f t="array" ref="H2319">_xlfn.XLOOKUP(D2319,Productos[ID_Producto],Productos[Nombre_Producto])</f>
        <v>Yogur</v>
      </c>
      <c r="I2319" s="17">
        <f t="array" ref="I2319">_xlfn.XLOOKUP(D2319,Productos[ID_Producto],Productos[Precio_Unitario])</f>
        <v>5.21</v>
      </c>
      <c r="J2319" s="17">
        <f t="shared" si="1"/>
        <v>26.05</v>
      </c>
      <c r="K2319" s="16" t="str">
        <f t="array" ref="K2319">_xlfn.XLOOKUP(C2319,Clientes[ID_Cliente],Clientes[Provincia])</f>
        <v>Buenos Aires</v>
      </c>
      <c r="L2319" s="16" t="str">
        <f t="array" ref="L2319">CONCATENATE(_xlfn.XLOOKUP(C2319,Clientes[ID_Cliente],Clientes[Provincia]),", Argentina")</f>
        <v>Buenos Aires, Argentina</v>
      </c>
      <c r="M2319" s="20" t="str">
        <f t="array" ref="M2319">_xlfn.XLOOKUP(F2319,Metodos_De_Pago[ID_Metodo],Metodos_De_Pago[Metodo])</f>
        <v>Mercado Pago</v>
      </c>
      <c r="N2319" s="20" t="str">
        <f t="shared" si="2"/>
        <v>2024 08</v>
      </c>
    </row>
    <row r="2320" ht="22.5" customHeight="1">
      <c r="A2320" s="12">
        <f>IFERROR(__xludf.DUMMYFUNCTION("""COMPUTED_VALUE"""),1891.0)</f>
        <v>1891</v>
      </c>
      <c r="B2320" s="13">
        <f>IFERROR(__xludf.DUMMYFUNCTION("""COMPUTED_VALUE"""),45522.0)</f>
        <v>45522</v>
      </c>
      <c r="C2320" s="12">
        <f>IFERROR(__xludf.DUMMYFUNCTION("""COMPUTED_VALUE"""),83.0)</f>
        <v>83</v>
      </c>
      <c r="D2320" s="12">
        <f>IFERROR(__xludf.DUMMYFUNCTION("""COMPUTED_VALUE"""),32.0)</f>
        <v>32</v>
      </c>
      <c r="E2320" s="12">
        <f>IFERROR(__xludf.DUMMYFUNCTION("""COMPUTED_VALUE"""),5.0)</f>
        <v>5</v>
      </c>
      <c r="F2320" s="12">
        <f>IFERROR(__xludf.DUMMYFUNCTION("""COMPUTED_VALUE"""),3.0)</f>
        <v>3</v>
      </c>
      <c r="G2320" s="15" t="str">
        <f>IFERROR(__xludf.DUMMYFUNCTION("""COMPUTED_VALUE"""),"Completa")</f>
        <v>Completa</v>
      </c>
      <c r="H2320" s="16" t="str">
        <f t="array" ref="H2320">_xlfn.XLOOKUP(D2320,Productos[ID_Producto],Productos[Nombre_Producto])</f>
        <v>Galletitas de chocolate</v>
      </c>
      <c r="I2320" s="17">
        <f t="array" ref="I2320">_xlfn.XLOOKUP(D2320,Productos[ID_Producto],Productos[Precio_Unitario])</f>
        <v>6.25</v>
      </c>
      <c r="J2320" s="17">
        <f t="shared" si="1"/>
        <v>31.25</v>
      </c>
      <c r="K2320" s="16" t="str">
        <f t="array" ref="K2320">_xlfn.XLOOKUP(C2320,Clientes[ID_Cliente],Clientes[Provincia])</f>
        <v>Buenos Aires</v>
      </c>
      <c r="L2320" s="16" t="str">
        <f t="array" ref="L2320">CONCATENATE(_xlfn.XLOOKUP(C2320,Clientes[ID_Cliente],Clientes[Provincia]),", Argentina")</f>
        <v>Buenos Aires, Argentina</v>
      </c>
      <c r="M2320" s="20" t="str">
        <f t="array" ref="M2320">_xlfn.XLOOKUP(F2320,Metodos_De_Pago[ID_Metodo],Metodos_De_Pago[Metodo])</f>
        <v>Tarjeta de Débito</v>
      </c>
      <c r="N2320" s="20" t="str">
        <f t="shared" si="2"/>
        <v>2024 08</v>
      </c>
    </row>
    <row r="2321" ht="22.5" customHeight="1">
      <c r="A2321" s="12">
        <f>IFERROR(__xludf.DUMMYFUNCTION("""COMPUTED_VALUE"""),2044.0)</f>
        <v>2044</v>
      </c>
      <c r="B2321" s="13">
        <f>IFERROR(__xludf.DUMMYFUNCTION("""COMPUTED_VALUE"""),45524.0)</f>
        <v>45524</v>
      </c>
      <c r="C2321" s="12">
        <f>IFERROR(__xludf.DUMMYFUNCTION("""COMPUTED_VALUE"""),246.0)</f>
        <v>246</v>
      </c>
      <c r="D2321" s="12">
        <f>IFERROR(__xludf.DUMMYFUNCTION("""COMPUTED_VALUE"""),8.0)</f>
        <v>8</v>
      </c>
      <c r="E2321" s="12">
        <f>IFERROR(__xludf.DUMMYFUNCTION("""COMPUTED_VALUE"""),5.0)</f>
        <v>5</v>
      </c>
      <c r="F2321" s="12">
        <f>IFERROR(__xludf.DUMMYFUNCTION("""COMPUTED_VALUE"""),1.0)</f>
        <v>1</v>
      </c>
      <c r="G2321" s="15" t="str">
        <f>IFERROR(__xludf.DUMMYFUNCTION("""COMPUTED_VALUE"""),"Completa")</f>
        <v>Completa</v>
      </c>
      <c r="H2321" s="16" t="str">
        <f t="array" ref="H2321">_xlfn.XLOOKUP(D2321,Productos[ID_Producto],Productos[Nombre_Producto])</f>
        <v>Milanesa</v>
      </c>
      <c r="I2321" s="17">
        <f t="array" ref="I2321">_xlfn.XLOOKUP(D2321,Productos[ID_Producto],Productos[Precio_Unitario])</f>
        <v>16.21</v>
      </c>
      <c r="J2321" s="17">
        <f t="shared" si="1"/>
        <v>81.05</v>
      </c>
      <c r="K2321" s="16" t="str">
        <f t="array" ref="K2321">_xlfn.XLOOKUP(C2321,Clientes[ID_Cliente],Clientes[Provincia])</f>
        <v>Chaco</v>
      </c>
      <c r="L2321" s="16" t="str">
        <f t="array" ref="L2321">CONCATENATE(_xlfn.XLOOKUP(C2321,Clientes[ID_Cliente],Clientes[Provincia]),", Argentina")</f>
        <v>Chaco, Argentina</v>
      </c>
      <c r="M2321" s="20" t="str">
        <f t="array" ref="M2321">_xlfn.XLOOKUP(F2321,Metodos_De_Pago[ID_Metodo],Metodos_De_Pago[Metodo])</f>
        <v>Efectivo</v>
      </c>
      <c r="N2321" s="20" t="str">
        <f t="shared" si="2"/>
        <v>2024 08</v>
      </c>
    </row>
    <row r="2322" ht="22.5" customHeight="1">
      <c r="A2322" s="12">
        <f>IFERROR(__xludf.DUMMYFUNCTION("""COMPUTED_VALUE"""),2415.0)</f>
        <v>2415</v>
      </c>
      <c r="B2322" s="13">
        <f>IFERROR(__xludf.DUMMYFUNCTION("""COMPUTED_VALUE"""),45524.0)</f>
        <v>45524</v>
      </c>
      <c r="C2322" s="12">
        <f>IFERROR(__xludf.DUMMYFUNCTION("""COMPUTED_VALUE"""),108.0)</f>
        <v>108</v>
      </c>
      <c r="D2322" s="12">
        <f>IFERROR(__xludf.DUMMYFUNCTION("""COMPUTED_VALUE"""),12.0)</f>
        <v>12</v>
      </c>
      <c r="E2322" s="12">
        <f>IFERROR(__xludf.DUMMYFUNCTION("""COMPUTED_VALUE"""),5.0)</f>
        <v>5</v>
      </c>
      <c r="F2322" s="12">
        <f>IFERROR(__xludf.DUMMYFUNCTION("""COMPUTED_VALUE"""),4.0)</f>
        <v>4</v>
      </c>
      <c r="G2322" s="15" t="str">
        <f>IFERROR(__xludf.DUMMYFUNCTION("""COMPUTED_VALUE"""),"Completa")</f>
        <v>Completa</v>
      </c>
      <c r="H2322" s="16" t="str">
        <f t="array" ref="H2322">_xlfn.XLOOKUP(D2322,Productos[ID_Producto],Productos[Nombre_Producto])</f>
        <v>Pan francés</v>
      </c>
      <c r="I2322" s="17">
        <f t="array" ref="I2322">_xlfn.XLOOKUP(D2322,Productos[ID_Producto],Productos[Precio_Unitario])</f>
        <v>8.12</v>
      </c>
      <c r="J2322" s="17">
        <f t="shared" si="1"/>
        <v>40.6</v>
      </c>
      <c r="K2322" s="16" t="str">
        <f t="array" ref="K2322">_xlfn.XLOOKUP(C2322,Clientes[ID_Cliente],Clientes[Provincia])</f>
        <v>Neuquén</v>
      </c>
      <c r="L2322" s="16" t="str">
        <f t="array" ref="L2322">CONCATENATE(_xlfn.XLOOKUP(C2322,Clientes[ID_Cliente],Clientes[Provincia]),", Argentina")</f>
        <v>Neuquén, Argentina</v>
      </c>
      <c r="M2322" s="20" t="str">
        <f t="array" ref="M2322">_xlfn.XLOOKUP(F2322,Metodos_De_Pago[ID_Metodo],Metodos_De_Pago[Metodo])</f>
        <v>Mercado Pago</v>
      </c>
      <c r="N2322" s="20" t="str">
        <f t="shared" si="2"/>
        <v>2024 08</v>
      </c>
    </row>
    <row r="2323" ht="22.5" customHeight="1">
      <c r="A2323" s="12">
        <f>IFERROR(__xludf.DUMMYFUNCTION("""COMPUTED_VALUE"""),2625.0)</f>
        <v>2625</v>
      </c>
      <c r="B2323" s="13">
        <f>IFERROR(__xludf.DUMMYFUNCTION("""COMPUTED_VALUE"""),45525.0)</f>
        <v>45525</v>
      </c>
      <c r="C2323" s="12">
        <f>IFERROR(__xludf.DUMMYFUNCTION("""COMPUTED_VALUE"""),188.0)</f>
        <v>188</v>
      </c>
      <c r="D2323" s="12">
        <f>IFERROR(__xludf.DUMMYFUNCTION("""COMPUTED_VALUE"""),35.0)</f>
        <v>35</v>
      </c>
      <c r="E2323" s="12">
        <f>IFERROR(__xludf.DUMMYFUNCTION("""COMPUTED_VALUE"""),5.0)</f>
        <v>5</v>
      </c>
      <c r="F2323" s="12">
        <f>IFERROR(__xludf.DUMMYFUNCTION("""COMPUTED_VALUE"""),4.0)</f>
        <v>4</v>
      </c>
      <c r="G2323" s="15" t="str">
        <f>IFERROR(__xludf.DUMMYFUNCTION("""COMPUTED_VALUE"""),"Completa")</f>
        <v>Completa</v>
      </c>
      <c r="H2323" s="16" t="str">
        <f t="array" ref="H2323">_xlfn.XLOOKUP(D2323,Productos[ID_Producto],Productos[Nombre_Producto])</f>
        <v>Arroz</v>
      </c>
      <c r="I2323" s="17">
        <f t="array" ref="I2323">_xlfn.XLOOKUP(D2323,Productos[ID_Producto],Productos[Precio_Unitario])</f>
        <v>4.25</v>
      </c>
      <c r="J2323" s="17">
        <f t="shared" si="1"/>
        <v>21.25</v>
      </c>
      <c r="K2323" s="16" t="str">
        <f t="array" ref="K2323">_xlfn.XLOOKUP(C2323,Clientes[ID_Cliente],Clientes[Provincia])</f>
        <v>San Luis</v>
      </c>
      <c r="L2323" s="16" t="str">
        <f t="array" ref="L2323">CONCATENATE(_xlfn.XLOOKUP(C2323,Clientes[ID_Cliente],Clientes[Provincia]),", Argentina")</f>
        <v>San Luis, Argentina</v>
      </c>
      <c r="M2323" s="20" t="str">
        <f t="array" ref="M2323">_xlfn.XLOOKUP(F2323,Metodos_De_Pago[ID_Metodo],Metodos_De_Pago[Metodo])</f>
        <v>Mercado Pago</v>
      </c>
      <c r="N2323" s="20" t="str">
        <f t="shared" si="2"/>
        <v>2024 08</v>
      </c>
    </row>
    <row r="2324" ht="22.5" customHeight="1">
      <c r="A2324" s="12">
        <f>IFERROR(__xludf.DUMMYFUNCTION("""COMPUTED_VALUE"""),1981.0)</f>
        <v>1981</v>
      </c>
      <c r="B2324" s="13">
        <f>IFERROR(__xludf.DUMMYFUNCTION("""COMPUTED_VALUE"""),45528.0)</f>
        <v>45528</v>
      </c>
      <c r="C2324" s="12">
        <f>IFERROR(__xludf.DUMMYFUNCTION("""COMPUTED_VALUE"""),70.0)</f>
        <v>70</v>
      </c>
      <c r="D2324" s="12">
        <f>IFERROR(__xludf.DUMMYFUNCTION("""COMPUTED_VALUE"""),35.0)</f>
        <v>35</v>
      </c>
      <c r="E2324" s="12">
        <f>IFERROR(__xludf.DUMMYFUNCTION("""COMPUTED_VALUE"""),5.0)</f>
        <v>5</v>
      </c>
      <c r="F2324" s="12">
        <f>IFERROR(__xludf.DUMMYFUNCTION("""COMPUTED_VALUE"""),1.0)</f>
        <v>1</v>
      </c>
      <c r="G2324" s="15" t="str">
        <f>IFERROR(__xludf.DUMMYFUNCTION("""COMPUTED_VALUE"""),"Completa")</f>
        <v>Completa</v>
      </c>
      <c r="H2324" s="16" t="str">
        <f t="array" ref="H2324">_xlfn.XLOOKUP(D2324,Productos[ID_Producto],Productos[Nombre_Producto])</f>
        <v>Arroz</v>
      </c>
      <c r="I2324" s="17">
        <f t="array" ref="I2324">_xlfn.XLOOKUP(D2324,Productos[ID_Producto],Productos[Precio_Unitario])</f>
        <v>4.25</v>
      </c>
      <c r="J2324" s="17">
        <f t="shared" si="1"/>
        <v>21.25</v>
      </c>
      <c r="K2324" s="16" t="str">
        <f t="array" ref="K2324">_xlfn.XLOOKUP(C2324,Clientes[ID_Cliente],Clientes[Provincia])</f>
        <v>Córdoba</v>
      </c>
      <c r="L2324" s="16" t="str">
        <f t="array" ref="L2324">CONCATENATE(_xlfn.XLOOKUP(C2324,Clientes[ID_Cliente],Clientes[Provincia]),", Argentina")</f>
        <v>Córdoba, Argentina</v>
      </c>
      <c r="M2324" s="20" t="str">
        <f t="array" ref="M2324">_xlfn.XLOOKUP(F2324,Metodos_De_Pago[ID_Metodo],Metodos_De_Pago[Metodo])</f>
        <v>Efectivo</v>
      </c>
      <c r="N2324" s="20" t="str">
        <f t="shared" si="2"/>
        <v>2024 08</v>
      </c>
    </row>
    <row r="2325" ht="22.5" customHeight="1">
      <c r="A2325" s="12">
        <f>IFERROR(__xludf.DUMMYFUNCTION("""COMPUTED_VALUE"""),2697.0)</f>
        <v>2697</v>
      </c>
      <c r="B2325" s="13">
        <f>IFERROR(__xludf.DUMMYFUNCTION("""COMPUTED_VALUE"""),45530.0)</f>
        <v>45530</v>
      </c>
      <c r="C2325" s="12">
        <f>IFERROR(__xludf.DUMMYFUNCTION("""COMPUTED_VALUE"""),218.0)</f>
        <v>218</v>
      </c>
      <c r="D2325" s="12">
        <f>IFERROR(__xludf.DUMMYFUNCTION("""COMPUTED_VALUE"""),24.0)</f>
        <v>24</v>
      </c>
      <c r="E2325" s="12">
        <f>IFERROR(__xludf.DUMMYFUNCTION("""COMPUTED_VALUE"""),5.0)</f>
        <v>5</v>
      </c>
      <c r="F2325" s="12">
        <f>IFERROR(__xludf.DUMMYFUNCTION("""COMPUTED_VALUE"""),4.0)</f>
        <v>4</v>
      </c>
      <c r="G2325" s="15" t="str">
        <f>IFERROR(__xludf.DUMMYFUNCTION("""COMPUTED_VALUE"""),"Completa")</f>
        <v>Completa</v>
      </c>
      <c r="H2325" s="16" t="str">
        <f t="array" ref="H2325">_xlfn.XLOOKUP(D2325,Productos[ID_Producto],Productos[Nombre_Producto])</f>
        <v>Empanadas</v>
      </c>
      <c r="I2325" s="17">
        <f t="array" ref="I2325">_xlfn.XLOOKUP(D2325,Productos[ID_Producto],Productos[Precio_Unitario])</f>
        <v>13.54</v>
      </c>
      <c r="J2325" s="17">
        <f t="shared" si="1"/>
        <v>67.7</v>
      </c>
      <c r="K2325" s="16" t="str">
        <f t="array" ref="K2325">_xlfn.XLOOKUP(C2325,Clientes[ID_Cliente],Clientes[Provincia])</f>
        <v>Córdoba</v>
      </c>
      <c r="L2325" s="16" t="str">
        <f t="array" ref="L2325">CONCATENATE(_xlfn.XLOOKUP(C2325,Clientes[ID_Cliente],Clientes[Provincia]),", Argentina")</f>
        <v>Córdoba, Argentina</v>
      </c>
      <c r="M2325" s="20" t="str">
        <f t="array" ref="M2325">_xlfn.XLOOKUP(F2325,Metodos_De_Pago[ID_Metodo],Metodos_De_Pago[Metodo])</f>
        <v>Mercado Pago</v>
      </c>
      <c r="N2325" s="20" t="str">
        <f t="shared" si="2"/>
        <v>2024 08</v>
      </c>
    </row>
    <row r="2326" ht="22.5" customHeight="1">
      <c r="A2326" s="12">
        <f>IFERROR(__xludf.DUMMYFUNCTION("""COMPUTED_VALUE"""),206.0)</f>
        <v>206</v>
      </c>
      <c r="B2326" s="13">
        <f>IFERROR(__xludf.DUMMYFUNCTION("""COMPUTED_VALUE"""),45531.0)</f>
        <v>45531</v>
      </c>
      <c r="C2326" s="12">
        <f>IFERROR(__xludf.DUMMYFUNCTION("""COMPUTED_VALUE"""),96.0)</f>
        <v>96</v>
      </c>
      <c r="D2326" s="12">
        <f>IFERROR(__xludf.DUMMYFUNCTION("""COMPUTED_VALUE"""),30.0)</f>
        <v>30</v>
      </c>
      <c r="E2326" s="12">
        <f>IFERROR(__xludf.DUMMYFUNCTION("""COMPUTED_VALUE"""),5.0)</f>
        <v>5</v>
      </c>
      <c r="F2326" s="12">
        <f>IFERROR(__xludf.DUMMYFUNCTION("""COMPUTED_VALUE"""),4.0)</f>
        <v>4</v>
      </c>
      <c r="G2326" s="15" t="str">
        <f>IFERROR(__xludf.DUMMYFUNCTION("""COMPUTED_VALUE"""),"Completa")</f>
        <v>Completa</v>
      </c>
      <c r="H2326" s="16" t="str">
        <f t="array" ref="H2326">_xlfn.XLOOKUP(D2326,Productos[ID_Producto],Productos[Nombre_Producto])</f>
        <v>Vino tinto</v>
      </c>
      <c r="I2326" s="17">
        <f t="array" ref="I2326">_xlfn.XLOOKUP(D2326,Productos[ID_Producto],Productos[Precio_Unitario])</f>
        <v>13.54</v>
      </c>
      <c r="J2326" s="17">
        <f t="shared" si="1"/>
        <v>67.7</v>
      </c>
      <c r="K2326" s="16" t="str">
        <f t="array" ref="K2326">_xlfn.XLOOKUP(C2326,Clientes[ID_Cliente],Clientes[Provincia])</f>
        <v>Buenos Aires</v>
      </c>
      <c r="L2326" s="16" t="str">
        <f t="array" ref="L2326">CONCATENATE(_xlfn.XLOOKUP(C2326,Clientes[ID_Cliente],Clientes[Provincia]),", Argentina")</f>
        <v>Buenos Aires, Argentina</v>
      </c>
      <c r="M2326" s="20" t="str">
        <f t="array" ref="M2326">_xlfn.XLOOKUP(F2326,Metodos_De_Pago[ID_Metodo],Metodos_De_Pago[Metodo])</f>
        <v>Mercado Pago</v>
      </c>
      <c r="N2326" s="20" t="str">
        <f t="shared" si="2"/>
        <v>2024 08</v>
      </c>
    </row>
    <row r="2327" ht="22.5" customHeight="1">
      <c r="A2327" s="12">
        <f>IFERROR(__xludf.DUMMYFUNCTION("""COMPUTED_VALUE"""),903.0)</f>
        <v>903</v>
      </c>
      <c r="B2327" s="13">
        <f>IFERROR(__xludf.DUMMYFUNCTION("""COMPUTED_VALUE"""),45531.0)</f>
        <v>45531</v>
      </c>
      <c r="C2327" s="12">
        <f>IFERROR(__xludf.DUMMYFUNCTION("""COMPUTED_VALUE"""),257.0)</f>
        <v>257</v>
      </c>
      <c r="D2327" s="12">
        <f>IFERROR(__xludf.DUMMYFUNCTION("""COMPUTED_VALUE"""),5.0)</f>
        <v>5</v>
      </c>
      <c r="E2327" s="12">
        <f>IFERROR(__xludf.DUMMYFUNCTION("""COMPUTED_VALUE"""),5.0)</f>
        <v>5</v>
      </c>
      <c r="F2327" s="12">
        <f>IFERROR(__xludf.DUMMYFUNCTION("""COMPUTED_VALUE"""),5.0)</f>
        <v>5</v>
      </c>
      <c r="G2327" s="15" t="str">
        <f>IFERROR(__xludf.DUMMYFUNCTION("""COMPUTED_VALUE"""),"Completa")</f>
        <v>Completa</v>
      </c>
      <c r="H2327" s="16" t="str">
        <f t="array" ref="H2327">_xlfn.XLOOKUP(D2327,Productos[ID_Producto],Productos[Nombre_Producto])</f>
        <v>Manteca</v>
      </c>
      <c r="I2327" s="17">
        <f t="array" ref="I2327">_xlfn.XLOOKUP(D2327,Productos[ID_Producto],Productos[Precio_Unitario])</f>
        <v>5.65</v>
      </c>
      <c r="J2327" s="17">
        <f t="shared" si="1"/>
        <v>28.25</v>
      </c>
      <c r="K2327" s="16" t="str">
        <f t="array" ref="K2327">_xlfn.XLOOKUP(C2327,Clientes[ID_Cliente],Clientes[Provincia])</f>
        <v>Chaco</v>
      </c>
      <c r="L2327" s="16" t="str">
        <f t="array" ref="L2327">CONCATENATE(_xlfn.XLOOKUP(C2327,Clientes[ID_Cliente],Clientes[Provincia]),", Argentina")</f>
        <v>Chaco, Argentina</v>
      </c>
      <c r="M2327" s="20" t="str">
        <f t="array" ref="M2327">_xlfn.XLOOKUP(F2327,Metodos_De_Pago[ID_Metodo],Metodos_De_Pago[Metodo])</f>
        <v>Transferencia</v>
      </c>
      <c r="N2327" s="20" t="str">
        <f t="shared" si="2"/>
        <v>2024 08</v>
      </c>
    </row>
    <row r="2328" ht="22.5" customHeight="1">
      <c r="A2328" s="12">
        <f>IFERROR(__xludf.DUMMYFUNCTION("""COMPUTED_VALUE"""),984.0)</f>
        <v>984</v>
      </c>
      <c r="B2328" s="13">
        <f>IFERROR(__xludf.DUMMYFUNCTION("""COMPUTED_VALUE"""),45533.0)</f>
        <v>45533</v>
      </c>
      <c r="C2328" s="12">
        <f>IFERROR(__xludf.DUMMYFUNCTION("""COMPUTED_VALUE"""),121.0)</f>
        <v>121</v>
      </c>
      <c r="D2328" s="12">
        <f>IFERROR(__xludf.DUMMYFUNCTION("""COMPUTED_VALUE"""),6.0)</f>
        <v>6</v>
      </c>
      <c r="E2328" s="12">
        <f>IFERROR(__xludf.DUMMYFUNCTION("""COMPUTED_VALUE"""),5.0)</f>
        <v>5</v>
      </c>
      <c r="F2328" s="12">
        <f>IFERROR(__xludf.DUMMYFUNCTION("""COMPUTED_VALUE"""),4.0)</f>
        <v>4</v>
      </c>
      <c r="G2328" s="15" t="str">
        <f>IFERROR(__xludf.DUMMYFUNCTION("""COMPUTED_VALUE"""),"Completa")</f>
        <v>Completa</v>
      </c>
      <c r="H2328" s="16" t="str">
        <f t="array" ref="H2328">_xlfn.XLOOKUP(D2328,Productos[ID_Producto],Productos[Nombre_Producto])</f>
        <v>Asado</v>
      </c>
      <c r="I2328" s="17">
        <f t="array" ref="I2328">_xlfn.XLOOKUP(D2328,Productos[ID_Producto],Productos[Precio_Unitario])</f>
        <v>28.56</v>
      </c>
      <c r="J2328" s="17">
        <f t="shared" si="1"/>
        <v>142.8</v>
      </c>
      <c r="K2328" s="16" t="str">
        <f t="array" ref="K2328">_xlfn.XLOOKUP(C2328,Clientes[ID_Cliente],Clientes[Provincia])</f>
        <v>San Luis</v>
      </c>
      <c r="L2328" s="16" t="str">
        <f t="array" ref="L2328">CONCATENATE(_xlfn.XLOOKUP(C2328,Clientes[ID_Cliente],Clientes[Provincia]),", Argentina")</f>
        <v>San Luis, Argentina</v>
      </c>
      <c r="M2328" s="20" t="str">
        <f t="array" ref="M2328">_xlfn.XLOOKUP(F2328,Metodos_De_Pago[ID_Metodo],Metodos_De_Pago[Metodo])</f>
        <v>Mercado Pago</v>
      </c>
      <c r="N2328" s="20" t="str">
        <f t="shared" si="2"/>
        <v>2024 08</v>
      </c>
    </row>
    <row r="2329" ht="22.5" customHeight="1">
      <c r="A2329" s="12">
        <f>IFERROR(__xludf.DUMMYFUNCTION("""COMPUTED_VALUE"""),1055.0)</f>
        <v>1055</v>
      </c>
      <c r="B2329" s="13">
        <f>IFERROR(__xludf.DUMMYFUNCTION("""COMPUTED_VALUE"""),45533.0)</f>
        <v>45533</v>
      </c>
      <c r="C2329" s="12">
        <f>IFERROR(__xludf.DUMMYFUNCTION("""COMPUTED_VALUE"""),229.0)</f>
        <v>229</v>
      </c>
      <c r="D2329" s="12">
        <f>IFERROR(__xludf.DUMMYFUNCTION("""COMPUTED_VALUE"""),34.0)</f>
        <v>34</v>
      </c>
      <c r="E2329" s="12">
        <f>IFERROR(__xludf.DUMMYFUNCTION("""COMPUTED_VALUE"""),5.0)</f>
        <v>5</v>
      </c>
      <c r="F2329" s="12">
        <f>IFERROR(__xludf.DUMMYFUNCTION("""COMPUTED_VALUE"""),1.0)</f>
        <v>1</v>
      </c>
      <c r="G2329" s="15" t="str">
        <f>IFERROR(__xludf.DUMMYFUNCTION("""COMPUTED_VALUE"""),"Completa")</f>
        <v>Completa</v>
      </c>
      <c r="H2329" s="16" t="str">
        <f t="array" ref="H2329">_xlfn.XLOOKUP(D2329,Productos[ID_Producto],Productos[Nombre_Producto])</f>
        <v>Maníes</v>
      </c>
      <c r="I2329" s="17">
        <f t="array" ref="I2329">_xlfn.XLOOKUP(D2329,Productos[ID_Producto],Productos[Precio_Unitario])</f>
        <v>5.45</v>
      </c>
      <c r="J2329" s="17">
        <f t="shared" si="1"/>
        <v>27.25</v>
      </c>
      <c r="K2329" s="16" t="str">
        <f t="array" ref="K2329">_xlfn.XLOOKUP(C2329,Clientes[ID_Cliente],Clientes[Provincia])</f>
        <v>San Luis</v>
      </c>
      <c r="L2329" s="16" t="str">
        <f t="array" ref="L2329">CONCATENATE(_xlfn.XLOOKUP(C2329,Clientes[ID_Cliente],Clientes[Provincia]),", Argentina")</f>
        <v>San Luis, Argentina</v>
      </c>
      <c r="M2329" s="20" t="str">
        <f t="array" ref="M2329">_xlfn.XLOOKUP(F2329,Metodos_De_Pago[ID_Metodo],Metodos_De_Pago[Metodo])</f>
        <v>Efectivo</v>
      </c>
      <c r="N2329" s="20" t="str">
        <f t="shared" si="2"/>
        <v>2024 08</v>
      </c>
    </row>
    <row r="2330" ht="22.5" customHeight="1">
      <c r="A2330" s="12">
        <f>IFERROR(__xludf.DUMMYFUNCTION("""COMPUTED_VALUE"""),665.0)</f>
        <v>665</v>
      </c>
      <c r="B2330" s="13">
        <f>IFERROR(__xludf.DUMMYFUNCTION("""COMPUTED_VALUE"""),45535.0)</f>
        <v>45535</v>
      </c>
      <c r="C2330" s="12">
        <f>IFERROR(__xludf.DUMMYFUNCTION("""COMPUTED_VALUE"""),151.0)</f>
        <v>151</v>
      </c>
      <c r="D2330" s="12">
        <f>IFERROR(__xludf.DUMMYFUNCTION("""COMPUTED_VALUE"""),10.0)</f>
        <v>10</v>
      </c>
      <c r="E2330" s="12">
        <f>IFERROR(__xludf.DUMMYFUNCTION("""COMPUTED_VALUE"""),5.0)</f>
        <v>5</v>
      </c>
      <c r="F2330" s="12">
        <f>IFERROR(__xludf.DUMMYFUNCTION("""COMPUTED_VALUE"""),4.0)</f>
        <v>4</v>
      </c>
      <c r="G2330" s="15" t="str">
        <f>IFERROR(__xludf.DUMMYFUNCTION("""COMPUTED_VALUE"""),"Completa")</f>
        <v>Completa</v>
      </c>
      <c r="H2330" s="16" t="str">
        <f t="array" ref="H2330">_xlfn.XLOOKUP(D2330,Productos[ID_Producto],Productos[Nombre_Producto])</f>
        <v>Costilla de cerdo</v>
      </c>
      <c r="I2330" s="17">
        <f t="array" ref="I2330">_xlfn.XLOOKUP(D2330,Productos[ID_Producto],Productos[Precio_Unitario])</f>
        <v>14.25</v>
      </c>
      <c r="J2330" s="17">
        <f t="shared" si="1"/>
        <v>71.25</v>
      </c>
      <c r="K2330" s="16" t="str">
        <f t="array" ref="K2330">_xlfn.XLOOKUP(C2330,Clientes[ID_Cliente],Clientes[Provincia])</f>
        <v>Buenos Aires</v>
      </c>
      <c r="L2330" s="16" t="str">
        <f t="array" ref="L2330">CONCATENATE(_xlfn.XLOOKUP(C2330,Clientes[ID_Cliente],Clientes[Provincia]),", Argentina")</f>
        <v>Buenos Aires, Argentina</v>
      </c>
      <c r="M2330" s="20" t="str">
        <f t="array" ref="M2330">_xlfn.XLOOKUP(F2330,Metodos_De_Pago[ID_Metodo],Metodos_De_Pago[Metodo])</f>
        <v>Mercado Pago</v>
      </c>
      <c r="N2330" s="20" t="str">
        <f t="shared" si="2"/>
        <v>2024 08</v>
      </c>
    </row>
    <row r="2331" ht="22.5" customHeight="1">
      <c r="A2331" s="12">
        <f>IFERROR(__xludf.DUMMYFUNCTION("""COMPUTED_VALUE"""),1326.0)</f>
        <v>1326</v>
      </c>
      <c r="B2331" s="13">
        <f>IFERROR(__xludf.DUMMYFUNCTION("""COMPUTED_VALUE"""),45535.0)</f>
        <v>45535</v>
      </c>
      <c r="C2331" s="12">
        <f>IFERROR(__xludf.DUMMYFUNCTION("""COMPUTED_VALUE"""),307.0)</f>
        <v>307</v>
      </c>
      <c r="D2331" s="12">
        <f>IFERROR(__xludf.DUMMYFUNCTION("""COMPUTED_VALUE"""),34.0)</f>
        <v>34</v>
      </c>
      <c r="E2331" s="12">
        <f>IFERROR(__xludf.DUMMYFUNCTION("""COMPUTED_VALUE"""),5.0)</f>
        <v>5</v>
      </c>
      <c r="F2331" s="12">
        <f>IFERROR(__xludf.DUMMYFUNCTION("""COMPUTED_VALUE"""),4.0)</f>
        <v>4</v>
      </c>
      <c r="G2331" s="15" t="str">
        <f>IFERROR(__xludf.DUMMYFUNCTION("""COMPUTED_VALUE"""),"Completa")</f>
        <v>Completa</v>
      </c>
      <c r="H2331" s="16" t="str">
        <f t="array" ref="H2331">_xlfn.XLOOKUP(D2331,Productos[ID_Producto],Productos[Nombre_Producto])</f>
        <v>Maníes</v>
      </c>
      <c r="I2331" s="17">
        <f t="array" ref="I2331">_xlfn.XLOOKUP(D2331,Productos[ID_Producto],Productos[Precio_Unitario])</f>
        <v>5.45</v>
      </c>
      <c r="J2331" s="17">
        <f t="shared" si="1"/>
        <v>27.25</v>
      </c>
      <c r="K2331" s="16" t="str">
        <f t="array" ref="K2331">_xlfn.XLOOKUP(C2331,Clientes[ID_Cliente],Clientes[Provincia])</f>
        <v>San Luis</v>
      </c>
      <c r="L2331" s="16" t="str">
        <f t="array" ref="L2331">CONCATENATE(_xlfn.XLOOKUP(C2331,Clientes[ID_Cliente],Clientes[Provincia]),", Argentina")</f>
        <v>San Luis, Argentina</v>
      </c>
      <c r="M2331" s="20" t="str">
        <f t="array" ref="M2331">_xlfn.XLOOKUP(F2331,Metodos_De_Pago[ID_Metodo],Metodos_De_Pago[Metodo])</f>
        <v>Mercado Pago</v>
      </c>
      <c r="N2331" s="20" t="str">
        <f t="shared" si="2"/>
        <v>2024 08</v>
      </c>
    </row>
    <row r="2332" ht="22.5" customHeight="1">
      <c r="A2332" s="12">
        <f>IFERROR(__xludf.DUMMYFUNCTION("""COMPUTED_VALUE"""),632.0)</f>
        <v>632</v>
      </c>
      <c r="B2332" s="13">
        <f>IFERROR(__xludf.DUMMYFUNCTION("""COMPUTED_VALUE"""),45536.0)</f>
        <v>45536</v>
      </c>
      <c r="C2332" s="12">
        <f>IFERROR(__xludf.DUMMYFUNCTION("""COMPUTED_VALUE"""),50.0)</f>
        <v>50</v>
      </c>
      <c r="D2332" s="12">
        <f>IFERROR(__xludf.DUMMYFUNCTION("""COMPUTED_VALUE"""),36.0)</f>
        <v>36</v>
      </c>
      <c r="E2332" s="12">
        <f>IFERROR(__xludf.DUMMYFUNCTION("""COMPUTED_VALUE"""),5.0)</f>
        <v>5</v>
      </c>
      <c r="F2332" s="12">
        <f>IFERROR(__xludf.DUMMYFUNCTION("""COMPUTED_VALUE"""),5.0)</f>
        <v>5</v>
      </c>
      <c r="G2332" s="15" t="str">
        <f>IFERROR(__xludf.DUMMYFUNCTION("""COMPUTED_VALUE"""),"Completa")</f>
        <v>Completa</v>
      </c>
      <c r="H2332" s="16" t="str">
        <f t="array" ref="H2332">_xlfn.XLOOKUP(D2332,Productos[ID_Producto],Productos[Nombre_Producto])</f>
        <v>Lentejas</v>
      </c>
      <c r="I2332" s="17">
        <f t="array" ref="I2332">_xlfn.XLOOKUP(D2332,Productos[ID_Producto],Productos[Precio_Unitario])</f>
        <v>3.25</v>
      </c>
      <c r="J2332" s="17">
        <f t="shared" si="1"/>
        <v>16.25</v>
      </c>
      <c r="K2332" s="16" t="str">
        <f t="array" ref="K2332">_xlfn.XLOOKUP(C2332,Clientes[ID_Cliente],Clientes[Provincia])</f>
        <v>Buenos Aires</v>
      </c>
      <c r="L2332" s="16" t="str">
        <f t="array" ref="L2332">CONCATENATE(_xlfn.XLOOKUP(C2332,Clientes[ID_Cliente],Clientes[Provincia]),", Argentina")</f>
        <v>Buenos Aires, Argentina</v>
      </c>
      <c r="M2332" s="20" t="str">
        <f t="array" ref="M2332">_xlfn.XLOOKUP(F2332,Metodos_De_Pago[ID_Metodo],Metodos_De_Pago[Metodo])</f>
        <v>Transferencia</v>
      </c>
      <c r="N2332" s="20" t="str">
        <f t="shared" si="2"/>
        <v>2024 09</v>
      </c>
    </row>
    <row r="2333" ht="22.5" customHeight="1">
      <c r="A2333" s="12">
        <f>IFERROR(__xludf.DUMMYFUNCTION("""COMPUTED_VALUE"""),1300.0)</f>
        <v>1300</v>
      </c>
      <c r="B2333" s="13">
        <f>IFERROR(__xludf.DUMMYFUNCTION("""COMPUTED_VALUE"""),45536.0)</f>
        <v>45536</v>
      </c>
      <c r="C2333" s="12">
        <f>IFERROR(__xludf.DUMMYFUNCTION("""COMPUTED_VALUE"""),201.0)</f>
        <v>201</v>
      </c>
      <c r="D2333" s="12">
        <f>IFERROR(__xludf.DUMMYFUNCTION("""COMPUTED_VALUE"""),25.0)</f>
        <v>25</v>
      </c>
      <c r="E2333" s="12">
        <f>IFERROR(__xludf.DUMMYFUNCTION("""COMPUTED_VALUE"""),5.0)</f>
        <v>5</v>
      </c>
      <c r="F2333" s="12">
        <f>IFERROR(__xludf.DUMMYFUNCTION("""COMPUTED_VALUE"""),4.0)</f>
        <v>4</v>
      </c>
      <c r="G2333" s="15" t="str">
        <f>IFERROR(__xludf.DUMMYFUNCTION("""COMPUTED_VALUE"""),"Completa")</f>
        <v>Completa</v>
      </c>
      <c r="H2333" s="16" t="str">
        <f t="array" ref="H2333">_xlfn.XLOOKUP(D2333,Productos[ID_Producto],Productos[Nombre_Producto])</f>
        <v>Pizza congelada</v>
      </c>
      <c r="I2333" s="17">
        <f t="array" ref="I2333">_xlfn.XLOOKUP(D2333,Productos[ID_Producto],Productos[Precio_Unitario])</f>
        <v>15.45</v>
      </c>
      <c r="J2333" s="17">
        <f t="shared" si="1"/>
        <v>77.25</v>
      </c>
      <c r="K2333" s="16" t="str">
        <f t="array" ref="K2333">_xlfn.XLOOKUP(C2333,Clientes[ID_Cliente],Clientes[Provincia])</f>
        <v>Neuquén</v>
      </c>
      <c r="L2333" s="16" t="str">
        <f t="array" ref="L2333">CONCATENATE(_xlfn.XLOOKUP(C2333,Clientes[ID_Cliente],Clientes[Provincia]),", Argentina")</f>
        <v>Neuquén, Argentina</v>
      </c>
      <c r="M2333" s="20" t="str">
        <f t="array" ref="M2333">_xlfn.XLOOKUP(F2333,Metodos_De_Pago[ID_Metodo],Metodos_De_Pago[Metodo])</f>
        <v>Mercado Pago</v>
      </c>
      <c r="N2333" s="20" t="str">
        <f t="shared" si="2"/>
        <v>2024 09</v>
      </c>
    </row>
    <row r="2334" ht="22.5" customHeight="1">
      <c r="A2334" s="12">
        <f>IFERROR(__xludf.DUMMYFUNCTION("""COMPUTED_VALUE"""),587.0)</f>
        <v>587</v>
      </c>
      <c r="B2334" s="13">
        <f>IFERROR(__xludf.DUMMYFUNCTION("""COMPUTED_VALUE"""),45537.0)</f>
        <v>45537</v>
      </c>
      <c r="C2334" s="12">
        <f>IFERROR(__xludf.DUMMYFUNCTION("""COMPUTED_VALUE"""),317.0)</f>
        <v>317</v>
      </c>
      <c r="D2334" s="12">
        <f>IFERROR(__xludf.DUMMYFUNCTION("""COMPUTED_VALUE"""),20.0)</f>
        <v>20</v>
      </c>
      <c r="E2334" s="12">
        <f>IFERROR(__xludf.DUMMYFUNCTION("""COMPUTED_VALUE"""),5.0)</f>
        <v>5</v>
      </c>
      <c r="F2334" s="12">
        <f>IFERROR(__xludf.DUMMYFUNCTION("""COMPUTED_VALUE"""),1.0)</f>
        <v>1</v>
      </c>
      <c r="G2334" s="15" t="str">
        <f>IFERROR(__xludf.DUMMYFUNCTION("""COMPUTED_VALUE"""),"Completa")</f>
        <v>Completa</v>
      </c>
      <c r="H2334" s="16" t="str">
        <f t="array" ref="H2334">_xlfn.XLOOKUP(D2334,Productos[ID_Producto],Productos[Nombre_Producto])</f>
        <v>Lechugas</v>
      </c>
      <c r="I2334" s="17">
        <f t="array" ref="I2334">_xlfn.XLOOKUP(D2334,Productos[ID_Producto],Productos[Precio_Unitario])</f>
        <v>4.25</v>
      </c>
      <c r="J2334" s="17">
        <f t="shared" si="1"/>
        <v>21.25</v>
      </c>
      <c r="K2334" s="16" t="str">
        <f t="array" ref="K2334">_xlfn.XLOOKUP(C2334,Clientes[ID_Cliente],Clientes[Provincia])</f>
        <v>Chaco</v>
      </c>
      <c r="L2334" s="16" t="str">
        <f t="array" ref="L2334">CONCATENATE(_xlfn.XLOOKUP(C2334,Clientes[ID_Cliente],Clientes[Provincia]),", Argentina")</f>
        <v>Chaco, Argentina</v>
      </c>
      <c r="M2334" s="20" t="str">
        <f t="array" ref="M2334">_xlfn.XLOOKUP(F2334,Metodos_De_Pago[ID_Metodo],Metodos_De_Pago[Metodo])</f>
        <v>Efectivo</v>
      </c>
      <c r="N2334" s="20" t="str">
        <f t="shared" si="2"/>
        <v>2024 09</v>
      </c>
    </row>
    <row r="2335" ht="22.5" customHeight="1">
      <c r="A2335" s="12">
        <f>IFERROR(__xludf.DUMMYFUNCTION("""COMPUTED_VALUE"""),1203.0)</f>
        <v>1203</v>
      </c>
      <c r="B2335" s="13">
        <f>IFERROR(__xludf.DUMMYFUNCTION("""COMPUTED_VALUE"""),45537.0)</f>
        <v>45537</v>
      </c>
      <c r="C2335" s="12">
        <f>IFERROR(__xludf.DUMMYFUNCTION("""COMPUTED_VALUE"""),257.0)</f>
        <v>257</v>
      </c>
      <c r="D2335" s="12">
        <f>IFERROR(__xludf.DUMMYFUNCTION("""COMPUTED_VALUE"""),38.0)</f>
        <v>38</v>
      </c>
      <c r="E2335" s="12">
        <f>IFERROR(__xludf.DUMMYFUNCTION("""COMPUTED_VALUE"""),5.0)</f>
        <v>5</v>
      </c>
      <c r="F2335" s="12">
        <f>IFERROR(__xludf.DUMMYFUNCTION("""COMPUTED_VALUE"""),5.0)</f>
        <v>5</v>
      </c>
      <c r="G2335" s="15" t="str">
        <f>IFERROR(__xludf.DUMMYFUNCTION("""COMPUTED_VALUE"""),"Completa")</f>
        <v>Completa</v>
      </c>
      <c r="H2335" s="16" t="str">
        <f t="array" ref="H2335">_xlfn.XLOOKUP(D2335,Productos[ID_Producto],Productos[Nombre_Producto])</f>
        <v>Atún enlatado</v>
      </c>
      <c r="I2335" s="17">
        <f t="array" ref="I2335">_xlfn.XLOOKUP(D2335,Productos[ID_Producto],Productos[Precio_Unitario])</f>
        <v>6.21</v>
      </c>
      <c r="J2335" s="17">
        <f t="shared" si="1"/>
        <v>31.05</v>
      </c>
      <c r="K2335" s="16" t="str">
        <f t="array" ref="K2335">_xlfn.XLOOKUP(C2335,Clientes[ID_Cliente],Clientes[Provincia])</f>
        <v>Chaco</v>
      </c>
      <c r="L2335" s="16" t="str">
        <f t="array" ref="L2335">CONCATENATE(_xlfn.XLOOKUP(C2335,Clientes[ID_Cliente],Clientes[Provincia]),", Argentina")</f>
        <v>Chaco, Argentina</v>
      </c>
      <c r="M2335" s="20" t="str">
        <f t="array" ref="M2335">_xlfn.XLOOKUP(F2335,Metodos_De_Pago[ID_Metodo],Metodos_De_Pago[Metodo])</f>
        <v>Transferencia</v>
      </c>
      <c r="N2335" s="20" t="str">
        <f t="shared" si="2"/>
        <v>2024 09</v>
      </c>
    </row>
    <row r="2336" ht="22.5" customHeight="1">
      <c r="A2336" s="12">
        <f>IFERROR(__xludf.DUMMYFUNCTION("""COMPUTED_VALUE"""),1789.0)</f>
        <v>1789</v>
      </c>
      <c r="B2336" s="13">
        <f>IFERROR(__xludf.DUMMYFUNCTION("""COMPUTED_VALUE"""),45537.0)</f>
        <v>45537</v>
      </c>
      <c r="C2336" s="12">
        <f>IFERROR(__xludf.DUMMYFUNCTION("""COMPUTED_VALUE"""),115.0)</f>
        <v>115</v>
      </c>
      <c r="D2336" s="12">
        <f>IFERROR(__xludf.DUMMYFUNCTION("""COMPUTED_VALUE"""),30.0)</f>
        <v>30</v>
      </c>
      <c r="E2336" s="12">
        <f>IFERROR(__xludf.DUMMYFUNCTION("""COMPUTED_VALUE"""),5.0)</f>
        <v>5</v>
      </c>
      <c r="F2336" s="12">
        <f>IFERROR(__xludf.DUMMYFUNCTION("""COMPUTED_VALUE"""),1.0)</f>
        <v>1</v>
      </c>
      <c r="G2336" s="15" t="str">
        <f>IFERROR(__xludf.DUMMYFUNCTION("""COMPUTED_VALUE"""),"Completa")</f>
        <v>Completa</v>
      </c>
      <c r="H2336" s="16" t="str">
        <f t="array" ref="H2336">_xlfn.XLOOKUP(D2336,Productos[ID_Producto],Productos[Nombre_Producto])</f>
        <v>Vino tinto</v>
      </c>
      <c r="I2336" s="17">
        <f t="array" ref="I2336">_xlfn.XLOOKUP(D2336,Productos[ID_Producto],Productos[Precio_Unitario])</f>
        <v>13.54</v>
      </c>
      <c r="J2336" s="17">
        <f t="shared" si="1"/>
        <v>67.7</v>
      </c>
      <c r="K2336" s="16" t="str">
        <f t="array" ref="K2336">_xlfn.XLOOKUP(C2336,Clientes[ID_Cliente],Clientes[Provincia])</f>
        <v>San Luis</v>
      </c>
      <c r="L2336" s="16" t="str">
        <f t="array" ref="L2336">CONCATENATE(_xlfn.XLOOKUP(C2336,Clientes[ID_Cliente],Clientes[Provincia]),", Argentina")</f>
        <v>San Luis, Argentina</v>
      </c>
      <c r="M2336" s="20" t="str">
        <f t="array" ref="M2336">_xlfn.XLOOKUP(F2336,Metodos_De_Pago[ID_Metodo],Metodos_De_Pago[Metodo])</f>
        <v>Efectivo</v>
      </c>
      <c r="N2336" s="20" t="str">
        <f t="shared" si="2"/>
        <v>2024 09</v>
      </c>
    </row>
    <row r="2337" ht="22.5" customHeight="1">
      <c r="A2337" s="12">
        <f>IFERROR(__xludf.DUMMYFUNCTION("""COMPUTED_VALUE"""),998.0)</f>
        <v>998</v>
      </c>
      <c r="B2337" s="13">
        <f>IFERROR(__xludf.DUMMYFUNCTION("""COMPUTED_VALUE"""),45538.0)</f>
        <v>45538</v>
      </c>
      <c r="C2337" s="12">
        <f>IFERROR(__xludf.DUMMYFUNCTION("""COMPUTED_VALUE"""),152.0)</f>
        <v>152</v>
      </c>
      <c r="D2337" s="12">
        <f>IFERROR(__xludf.DUMMYFUNCTION("""COMPUTED_VALUE"""),25.0)</f>
        <v>25</v>
      </c>
      <c r="E2337" s="12">
        <f>IFERROR(__xludf.DUMMYFUNCTION("""COMPUTED_VALUE"""),5.0)</f>
        <v>5</v>
      </c>
      <c r="F2337" s="12">
        <f>IFERROR(__xludf.DUMMYFUNCTION("""COMPUTED_VALUE"""),3.0)</f>
        <v>3</v>
      </c>
      <c r="G2337" s="15" t="str">
        <f>IFERROR(__xludf.DUMMYFUNCTION("""COMPUTED_VALUE"""),"Completa")</f>
        <v>Completa</v>
      </c>
      <c r="H2337" s="16" t="str">
        <f t="array" ref="H2337">_xlfn.XLOOKUP(D2337,Productos[ID_Producto],Productos[Nombre_Producto])</f>
        <v>Pizza congelada</v>
      </c>
      <c r="I2337" s="17">
        <f t="array" ref="I2337">_xlfn.XLOOKUP(D2337,Productos[ID_Producto],Productos[Precio_Unitario])</f>
        <v>15.45</v>
      </c>
      <c r="J2337" s="17">
        <f t="shared" si="1"/>
        <v>77.25</v>
      </c>
      <c r="K2337" s="16" t="str">
        <f t="array" ref="K2337">_xlfn.XLOOKUP(C2337,Clientes[ID_Cliente],Clientes[Provincia])</f>
        <v>Salta</v>
      </c>
      <c r="L2337" s="16" t="str">
        <f t="array" ref="L2337">CONCATENATE(_xlfn.XLOOKUP(C2337,Clientes[ID_Cliente],Clientes[Provincia]),", Argentina")</f>
        <v>Salta, Argentina</v>
      </c>
      <c r="M2337" s="20" t="str">
        <f t="array" ref="M2337">_xlfn.XLOOKUP(F2337,Metodos_De_Pago[ID_Metodo],Metodos_De_Pago[Metodo])</f>
        <v>Tarjeta de Débito</v>
      </c>
      <c r="N2337" s="20" t="str">
        <f t="shared" si="2"/>
        <v>2024 09</v>
      </c>
    </row>
    <row r="2338" ht="22.5" customHeight="1">
      <c r="A2338" s="12">
        <f>IFERROR(__xludf.DUMMYFUNCTION("""COMPUTED_VALUE"""),2538.0)</f>
        <v>2538</v>
      </c>
      <c r="B2338" s="13">
        <f>IFERROR(__xludf.DUMMYFUNCTION("""COMPUTED_VALUE"""),45539.0)</f>
        <v>45539</v>
      </c>
      <c r="C2338" s="12">
        <f>IFERROR(__xludf.DUMMYFUNCTION("""COMPUTED_VALUE"""),141.0)</f>
        <v>141</v>
      </c>
      <c r="D2338" s="12">
        <f>IFERROR(__xludf.DUMMYFUNCTION("""COMPUTED_VALUE"""),30.0)</f>
        <v>30</v>
      </c>
      <c r="E2338" s="12">
        <f>IFERROR(__xludf.DUMMYFUNCTION("""COMPUTED_VALUE"""),5.0)</f>
        <v>5</v>
      </c>
      <c r="F2338" s="12">
        <f>IFERROR(__xludf.DUMMYFUNCTION("""COMPUTED_VALUE"""),3.0)</f>
        <v>3</v>
      </c>
      <c r="G2338" s="15" t="str">
        <f>IFERROR(__xludf.DUMMYFUNCTION("""COMPUTED_VALUE"""),"Completa")</f>
        <v>Completa</v>
      </c>
      <c r="H2338" s="16" t="str">
        <f t="array" ref="H2338">_xlfn.XLOOKUP(D2338,Productos[ID_Producto],Productos[Nombre_Producto])</f>
        <v>Vino tinto</v>
      </c>
      <c r="I2338" s="17">
        <f t="array" ref="I2338">_xlfn.XLOOKUP(D2338,Productos[ID_Producto],Productos[Precio_Unitario])</f>
        <v>13.54</v>
      </c>
      <c r="J2338" s="17">
        <f t="shared" si="1"/>
        <v>67.7</v>
      </c>
      <c r="K2338" s="16" t="str">
        <f t="array" ref="K2338">_xlfn.XLOOKUP(C2338,Clientes[ID_Cliente],Clientes[Provincia])</f>
        <v>Chaco</v>
      </c>
      <c r="L2338" s="16" t="str">
        <f t="array" ref="L2338">CONCATENATE(_xlfn.XLOOKUP(C2338,Clientes[ID_Cliente],Clientes[Provincia]),", Argentina")</f>
        <v>Chaco, Argentina</v>
      </c>
      <c r="M2338" s="20" t="str">
        <f t="array" ref="M2338">_xlfn.XLOOKUP(F2338,Metodos_De_Pago[ID_Metodo],Metodos_De_Pago[Metodo])</f>
        <v>Tarjeta de Débito</v>
      </c>
      <c r="N2338" s="20" t="str">
        <f t="shared" si="2"/>
        <v>2024 09</v>
      </c>
    </row>
    <row r="2339" ht="22.5" customHeight="1">
      <c r="A2339" s="12">
        <f>IFERROR(__xludf.DUMMYFUNCTION("""COMPUTED_VALUE"""),476.0)</f>
        <v>476</v>
      </c>
      <c r="B2339" s="13">
        <f>IFERROR(__xludf.DUMMYFUNCTION("""COMPUTED_VALUE"""),45540.0)</f>
        <v>45540</v>
      </c>
      <c r="C2339" s="12">
        <f>IFERROR(__xludf.DUMMYFUNCTION("""COMPUTED_VALUE"""),209.0)</f>
        <v>209</v>
      </c>
      <c r="D2339" s="12">
        <f>IFERROR(__xludf.DUMMYFUNCTION("""COMPUTED_VALUE"""),38.0)</f>
        <v>38</v>
      </c>
      <c r="E2339" s="12">
        <f>IFERROR(__xludf.DUMMYFUNCTION("""COMPUTED_VALUE"""),5.0)</f>
        <v>5</v>
      </c>
      <c r="F2339" s="12">
        <f>IFERROR(__xludf.DUMMYFUNCTION("""COMPUTED_VALUE"""),2.0)</f>
        <v>2</v>
      </c>
      <c r="G2339" s="15" t="str">
        <f>IFERROR(__xludf.DUMMYFUNCTION("""COMPUTED_VALUE"""),"Completa")</f>
        <v>Completa</v>
      </c>
      <c r="H2339" s="16" t="str">
        <f t="array" ref="H2339">_xlfn.XLOOKUP(D2339,Productos[ID_Producto],Productos[Nombre_Producto])</f>
        <v>Atún enlatado</v>
      </c>
      <c r="I2339" s="17">
        <f t="array" ref="I2339">_xlfn.XLOOKUP(D2339,Productos[ID_Producto],Productos[Precio_Unitario])</f>
        <v>6.21</v>
      </c>
      <c r="J2339" s="17">
        <f t="shared" si="1"/>
        <v>31.05</v>
      </c>
      <c r="K2339" s="16" t="str">
        <f t="array" ref="K2339">_xlfn.XLOOKUP(C2339,Clientes[ID_Cliente],Clientes[Provincia])</f>
        <v>Buenos Aires</v>
      </c>
      <c r="L2339" s="16" t="str">
        <f t="array" ref="L2339">CONCATENATE(_xlfn.XLOOKUP(C2339,Clientes[ID_Cliente],Clientes[Provincia]),", Argentina")</f>
        <v>Buenos Aires, Argentina</v>
      </c>
      <c r="M2339" s="20" t="str">
        <f t="array" ref="M2339">_xlfn.XLOOKUP(F2339,Metodos_De_Pago[ID_Metodo],Metodos_De_Pago[Metodo])</f>
        <v>Tarjeta de Crédito</v>
      </c>
      <c r="N2339" s="20" t="str">
        <f t="shared" si="2"/>
        <v>2024 09</v>
      </c>
    </row>
    <row r="2340" ht="22.5" customHeight="1">
      <c r="A2340" s="12">
        <f>IFERROR(__xludf.DUMMYFUNCTION("""COMPUTED_VALUE"""),862.0)</f>
        <v>862</v>
      </c>
      <c r="B2340" s="13">
        <f>IFERROR(__xludf.DUMMYFUNCTION("""COMPUTED_VALUE"""),45541.0)</f>
        <v>45541</v>
      </c>
      <c r="C2340" s="12">
        <f>IFERROR(__xludf.DUMMYFUNCTION("""COMPUTED_VALUE"""),284.0)</f>
        <v>284</v>
      </c>
      <c r="D2340" s="12">
        <f>IFERROR(__xludf.DUMMYFUNCTION("""COMPUTED_VALUE"""),17.0)</f>
        <v>17</v>
      </c>
      <c r="E2340" s="12">
        <f>IFERROR(__xludf.DUMMYFUNCTION("""COMPUTED_VALUE"""),5.0)</f>
        <v>5</v>
      </c>
      <c r="F2340" s="12">
        <f>IFERROR(__xludf.DUMMYFUNCTION("""COMPUTED_VALUE"""),4.0)</f>
        <v>4</v>
      </c>
      <c r="G2340" s="15" t="str">
        <f>IFERROR(__xludf.DUMMYFUNCTION("""COMPUTED_VALUE"""),"Completa")</f>
        <v>Completa</v>
      </c>
      <c r="H2340" s="16" t="str">
        <f t="array" ref="H2340">_xlfn.XLOOKUP(D2340,Productos[ID_Producto],Productos[Nombre_Producto])</f>
        <v>Manzanas</v>
      </c>
      <c r="I2340" s="17">
        <f t="array" ref="I2340">_xlfn.XLOOKUP(D2340,Productos[ID_Producto],Productos[Precio_Unitario])</f>
        <v>6.54</v>
      </c>
      <c r="J2340" s="17">
        <f t="shared" si="1"/>
        <v>32.7</v>
      </c>
      <c r="K2340" s="16" t="str">
        <f t="array" ref="K2340">_xlfn.XLOOKUP(C2340,Clientes[ID_Cliente],Clientes[Provincia])</f>
        <v>Salta</v>
      </c>
      <c r="L2340" s="16" t="str">
        <f t="array" ref="L2340">CONCATENATE(_xlfn.XLOOKUP(C2340,Clientes[ID_Cliente],Clientes[Provincia]),", Argentina")</f>
        <v>Salta, Argentina</v>
      </c>
      <c r="M2340" s="20" t="str">
        <f t="array" ref="M2340">_xlfn.XLOOKUP(F2340,Metodos_De_Pago[ID_Metodo],Metodos_De_Pago[Metodo])</f>
        <v>Mercado Pago</v>
      </c>
      <c r="N2340" s="20" t="str">
        <f t="shared" si="2"/>
        <v>2024 09</v>
      </c>
    </row>
    <row r="2341" ht="22.5" customHeight="1">
      <c r="A2341" s="12">
        <f>IFERROR(__xludf.DUMMYFUNCTION("""COMPUTED_VALUE"""),1526.0)</f>
        <v>1526</v>
      </c>
      <c r="B2341" s="13">
        <f>IFERROR(__xludf.DUMMYFUNCTION("""COMPUTED_VALUE"""),45541.0)</f>
        <v>45541</v>
      </c>
      <c r="C2341" s="12">
        <f>IFERROR(__xludf.DUMMYFUNCTION("""COMPUTED_VALUE"""),229.0)</f>
        <v>229</v>
      </c>
      <c r="D2341" s="12">
        <f>IFERROR(__xludf.DUMMYFUNCTION("""COMPUTED_VALUE"""),19.0)</f>
        <v>19</v>
      </c>
      <c r="E2341" s="12">
        <f>IFERROR(__xludf.DUMMYFUNCTION("""COMPUTED_VALUE"""),5.0)</f>
        <v>5</v>
      </c>
      <c r="F2341" s="12">
        <f>IFERROR(__xludf.DUMMYFUNCTION("""COMPUTED_VALUE"""),3.0)</f>
        <v>3</v>
      </c>
      <c r="G2341" s="15" t="str">
        <f>IFERROR(__xludf.DUMMYFUNCTION("""COMPUTED_VALUE"""),"Completa")</f>
        <v>Completa</v>
      </c>
      <c r="H2341" s="16" t="str">
        <f t="array" ref="H2341">_xlfn.XLOOKUP(D2341,Productos[ID_Producto],Productos[Nombre_Producto])</f>
        <v>Tomates</v>
      </c>
      <c r="I2341" s="17">
        <f t="array" ref="I2341">_xlfn.XLOOKUP(D2341,Productos[ID_Producto],Productos[Precio_Unitario])</f>
        <v>6.54</v>
      </c>
      <c r="J2341" s="17">
        <f t="shared" si="1"/>
        <v>32.7</v>
      </c>
      <c r="K2341" s="16" t="str">
        <f t="array" ref="K2341">_xlfn.XLOOKUP(C2341,Clientes[ID_Cliente],Clientes[Provincia])</f>
        <v>San Luis</v>
      </c>
      <c r="L2341" s="16" t="str">
        <f t="array" ref="L2341">CONCATENATE(_xlfn.XLOOKUP(C2341,Clientes[ID_Cliente],Clientes[Provincia]),", Argentina")</f>
        <v>San Luis, Argentina</v>
      </c>
      <c r="M2341" s="20" t="str">
        <f t="array" ref="M2341">_xlfn.XLOOKUP(F2341,Metodos_De_Pago[ID_Metodo],Metodos_De_Pago[Metodo])</f>
        <v>Tarjeta de Débito</v>
      </c>
      <c r="N2341" s="20" t="str">
        <f t="shared" si="2"/>
        <v>2024 09</v>
      </c>
    </row>
    <row r="2342" ht="22.5" customHeight="1">
      <c r="A2342" s="12">
        <f>IFERROR(__xludf.DUMMYFUNCTION("""COMPUTED_VALUE"""),882.0)</f>
        <v>882</v>
      </c>
      <c r="B2342" s="13">
        <f>IFERROR(__xludf.DUMMYFUNCTION("""COMPUTED_VALUE"""),45542.0)</f>
        <v>45542</v>
      </c>
      <c r="C2342" s="12">
        <f>IFERROR(__xludf.DUMMYFUNCTION("""COMPUTED_VALUE"""),288.0)</f>
        <v>288</v>
      </c>
      <c r="D2342" s="12">
        <f>IFERROR(__xludf.DUMMYFUNCTION("""COMPUTED_VALUE"""),32.0)</f>
        <v>32</v>
      </c>
      <c r="E2342" s="12">
        <f>IFERROR(__xludf.DUMMYFUNCTION("""COMPUTED_VALUE"""),5.0)</f>
        <v>5</v>
      </c>
      <c r="F2342" s="12">
        <f>IFERROR(__xludf.DUMMYFUNCTION("""COMPUTED_VALUE"""),2.0)</f>
        <v>2</v>
      </c>
      <c r="G2342" s="15" t="str">
        <f>IFERROR(__xludf.DUMMYFUNCTION("""COMPUTED_VALUE"""),"Completa")</f>
        <v>Completa</v>
      </c>
      <c r="H2342" s="16" t="str">
        <f t="array" ref="H2342">_xlfn.XLOOKUP(D2342,Productos[ID_Producto],Productos[Nombre_Producto])</f>
        <v>Galletitas de chocolate</v>
      </c>
      <c r="I2342" s="17">
        <f t="array" ref="I2342">_xlfn.XLOOKUP(D2342,Productos[ID_Producto],Productos[Precio_Unitario])</f>
        <v>6.25</v>
      </c>
      <c r="J2342" s="17">
        <f t="shared" si="1"/>
        <v>31.25</v>
      </c>
      <c r="K2342" s="16" t="str">
        <f t="array" ref="K2342">_xlfn.XLOOKUP(C2342,Clientes[ID_Cliente],Clientes[Provincia])</f>
        <v>Buenos Aires</v>
      </c>
      <c r="L2342" s="16" t="str">
        <f t="array" ref="L2342">CONCATENATE(_xlfn.XLOOKUP(C2342,Clientes[ID_Cliente],Clientes[Provincia]),", Argentina")</f>
        <v>Buenos Aires, Argentina</v>
      </c>
      <c r="M2342" s="20" t="str">
        <f t="array" ref="M2342">_xlfn.XLOOKUP(F2342,Metodos_De_Pago[ID_Metodo],Metodos_De_Pago[Metodo])</f>
        <v>Tarjeta de Crédito</v>
      </c>
      <c r="N2342" s="20" t="str">
        <f t="shared" si="2"/>
        <v>2024 09</v>
      </c>
    </row>
    <row r="2343" ht="22.5" customHeight="1">
      <c r="A2343" s="12">
        <f>IFERROR(__xludf.DUMMYFUNCTION("""COMPUTED_VALUE"""),2075.0)</f>
        <v>2075</v>
      </c>
      <c r="B2343" s="13">
        <f>IFERROR(__xludf.DUMMYFUNCTION("""COMPUTED_VALUE"""),45542.0)</f>
        <v>45542</v>
      </c>
      <c r="C2343" s="12">
        <f>IFERROR(__xludf.DUMMYFUNCTION("""COMPUTED_VALUE"""),245.0)</f>
        <v>245</v>
      </c>
      <c r="D2343" s="12">
        <f>IFERROR(__xludf.DUMMYFUNCTION("""COMPUTED_VALUE"""),11.0)</f>
        <v>11</v>
      </c>
      <c r="E2343" s="12">
        <f>IFERROR(__xludf.DUMMYFUNCTION("""COMPUTED_VALUE"""),5.0)</f>
        <v>5</v>
      </c>
      <c r="F2343" s="12">
        <f>IFERROR(__xludf.DUMMYFUNCTION("""COMPUTED_VALUE"""),2.0)</f>
        <v>2</v>
      </c>
      <c r="G2343" s="15" t="str">
        <f>IFERROR(__xludf.DUMMYFUNCTION("""COMPUTED_VALUE"""),"Pendiente")</f>
        <v>Pendiente</v>
      </c>
      <c r="H2343" s="16" t="str">
        <f t="array" ref="H2343">_xlfn.XLOOKUP(D2343,Productos[ID_Producto],Productos[Nombre_Producto])</f>
        <v>Salchicha</v>
      </c>
      <c r="I2343" s="17">
        <f t="array" ref="I2343">_xlfn.XLOOKUP(D2343,Productos[ID_Producto],Productos[Precio_Unitario])</f>
        <v>11.23</v>
      </c>
      <c r="J2343" s="17">
        <f t="shared" si="1"/>
        <v>56.15</v>
      </c>
      <c r="K2343" s="16" t="str">
        <f t="array" ref="K2343">_xlfn.XLOOKUP(C2343,Clientes[ID_Cliente],Clientes[Provincia])</f>
        <v>Chaco</v>
      </c>
      <c r="L2343" s="16" t="str">
        <f t="array" ref="L2343">CONCATENATE(_xlfn.XLOOKUP(C2343,Clientes[ID_Cliente],Clientes[Provincia]),", Argentina")</f>
        <v>Chaco, Argentina</v>
      </c>
      <c r="M2343" s="20" t="str">
        <f t="array" ref="M2343">_xlfn.XLOOKUP(F2343,Metodos_De_Pago[ID_Metodo],Metodos_De_Pago[Metodo])</f>
        <v>Tarjeta de Crédito</v>
      </c>
      <c r="N2343" s="20" t="str">
        <f t="shared" si="2"/>
        <v>2024 09</v>
      </c>
    </row>
    <row r="2344" ht="22.5" customHeight="1">
      <c r="A2344" s="12">
        <f>IFERROR(__xludf.DUMMYFUNCTION("""COMPUTED_VALUE"""),2455.0)</f>
        <v>2455</v>
      </c>
      <c r="B2344" s="13">
        <f>IFERROR(__xludf.DUMMYFUNCTION("""COMPUTED_VALUE"""),45542.0)</f>
        <v>45542</v>
      </c>
      <c r="C2344" s="12">
        <f>IFERROR(__xludf.DUMMYFUNCTION("""COMPUTED_VALUE"""),316.0)</f>
        <v>316</v>
      </c>
      <c r="D2344" s="12">
        <f>IFERROR(__xludf.DUMMYFUNCTION("""COMPUTED_VALUE"""),6.0)</f>
        <v>6</v>
      </c>
      <c r="E2344" s="12">
        <f>IFERROR(__xludf.DUMMYFUNCTION("""COMPUTED_VALUE"""),5.0)</f>
        <v>5</v>
      </c>
      <c r="F2344" s="12">
        <f>IFERROR(__xludf.DUMMYFUNCTION("""COMPUTED_VALUE"""),5.0)</f>
        <v>5</v>
      </c>
      <c r="G2344" s="15" t="str">
        <f>IFERROR(__xludf.DUMMYFUNCTION("""COMPUTED_VALUE"""),"Pendiente")</f>
        <v>Pendiente</v>
      </c>
      <c r="H2344" s="16" t="str">
        <f t="array" ref="H2344">_xlfn.XLOOKUP(D2344,Productos[ID_Producto],Productos[Nombre_Producto])</f>
        <v>Asado</v>
      </c>
      <c r="I2344" s="17">
        <f t="array" ref="I2344">_xlfn.XLOOKUP(D2344,Productos[ID_Producto],Productos[Precio_Unitario])</f>
        <v>28.56</v>
      </c>
      <c r="J2344" s="17">
        <f t="shared" si="1"/>
        <v>142.8</v>
      </c>
      <c r="K2344" s="16" t="str">
        <f t="array" ref="K2344">_xlfn.XLOOKUP(C2344,Clientes[ID_Cliente],Clientes[Provincia])</f>
        <v>Córdoba</v>
      </c>
      <c r="L2344" s="16" t="str">
        <f t="array" ref="L2344">CONCATENATE(_xlfn.XLOOKUP(C2344,Clientes[ID_Cliente],Clientes[Provincia]),", Argentina")</f>
        <v>Córdoba, Argentina</v>
      </c>
      <c r="M2344" s="20" t="str">
        <f t="array" ref="M2344">_xlfn.XLOOKUP(F2344,Metodos_De_Pago[ID_Metodo],Metodos_De_Pago[Metodo])</f>
        <v>Transferencia</v>
      </c>
      <c r="N2344" s="20" t="str">
        <f t="shared" si="2"/>
        <v>2024 09</v>
      </c>
    </row>
    <row r="2345" ht="22.5" customHeight="1">
      <c r="A2345" s="12">
        <f>IFERROR(__xludf.DUMMYFUNCTION("""COMPUTED_VALUE"""),2592.0)</f>
        <v>2592</v>
      </c>
      <c r="B2345" s="13">
        <f>IFERROR(__xludf.DUMMYFUNCTION("""COMPUTED_VALUE"""),45543.0)</f>
        <v>45543</v>
      </c>
      <c r="C2345" s="12">
        <f>IFERROR(__xludf.DUMMYFUNCTION("""COMPUTED_VALUE"""),98.0)</f>
        <v>98</v>
      </c>
      <c r="D2345" s="12">
        <f>IFERROR(__xludf.DUMMYFUNCTION("""COMPUTED_VALUE"""),8.0)</f>
        <v>8</v>
      </c>
      <c r="E2345" s="12">
        <f>IFERROR(__xludf.DUMMYFUNCTION("""COMPUTED_VALUE"""),5.0)</f>
        <v>5</v>
      </c>
      <c r="F2345" s="12">
        <f>IFERROR(__xludf.DUMMYFUNCTION("""COMPUTED_VALUE"""),5.0)</f>
        <v>5</v>
      </c>
      <c r="G2345" s="15" t="str">
        <f>IFERROR(__xludf.DUMMYFUNCTION("""COMPUTED_VALUE"""),"Completa")</f>
        <v>Completa</v>
      </c>
      <c r="H2345" s="16" t="str">
        <f t="array" ref="H2345">_xlfn.XLOOKUP(D2345,Productos[ID_Producto],Productos[Nombre_Producto])</f>
        <v>Milanesa</v>
      </c>
      <c r="I2345" s="17">
        <f t="array" ref="I2345">_xlfn.XLOOKUP(D2345,Productos[ID_Producto],Productos[Precio_Unitario])</f>
        <v>16.21</v>
      </c>
      <c r="J2345" s="17">
        <f t="shared" si="1"/>
        <v>81.05</v>
      </c>
      <c r="K2345" s="16" t="str">
        <f t="array" ref="K2345">_xlfn.XLOOKUP(C2345,Clientes[ID_Cliente],Clientes[Provincia])</f>
        <v>Córdoba</v>
      </c>
      <c r="L2345" s="16" t="str">
        <f t="array" ref="L2345">CONCATENATE(_xlfn.XLOOKUP(C2345,Clientes[ID_Cliente],Clientes[Provincia]),", Argentina")</f>
        <v>Córdoba, Argentina</v>
      </c>
      <c r="M2345" s="20" t="str">
        <f t="array" ref="M2345">_xlfn.XLOOKUP(F2345,Metodos_De_Pago[ID_Metodo],Metodos_De_Pago[Metodo])</f>
        <v>Transferencia</v>
      </c>
      <c r="N2345" s="20" t="str">
        <f t="shared" si="2"/>
        <v>2024 09</v>
      </c>
    </row>
    <row r="2346" ht="22.5" customHeight="1">
      <c r="A2346" s="12">
        <f>IFERROR(__xludf.DUMMYFUNCTION("""COMPUTED_VALUE"""),1854.0)</f>
        <v>1854</v>
      </c>
      <c r="B2346" s="13">
        <f>IFERROR(__xludf.DUMMYFUNCTION("""COMPUTED_VALUE"""),45546.0)</f>
        <v>45546</v>
      </c>
      <c r="C2346" s="12">
        <f>IFERROR(__xludf.DUMMYFUNCTION("""COMPUTED_VALUE"""),303.0)</f>
        <v>303</v>
      </c>
      <c r="D2346" s="12">
        <f>IFERROR(__xludf.DUMMYFUNCTION("""COMPUTED_VALUE"""),4.0)</f>
        <v>4</v>
      </c>
      <c r="E2346" s="12">
        <f>IFERROR(__xludf.DUMMYFUNCTION("""COMPUTED_VALUE"""),5.0)</f>
        <v>5</v>
      </c>
      <c r="F2346" s="12">
        <f>IFERROR(__xludf.DUMMYFUNCTION("""COMPUTED_VALUE"""),4.0)</f>
        <v>4</v>
      </c>
      <c r="G2346" s="15" t="str">
        <f>IFERROR(__xludf.DUMMYFUNCTION("""COMPUTED_VALUE"""),"Completa")</f>
        <v>Completa</v>
      </c>
      <c r="H2346" s="16" t="str">
        <f t="array" ref="H2346">_xlfn.XLOOKUP(D2346,Productos[ID_Producto],Productos[Nombre_Producto])</f>
        <v>Queso rallado</v>
      </c>
      <c r="I2346" s="17">
        <f t="array" ref="I2346">_xlfn.XLOOKUP(D2346,Productos[ID_Producto],Productos[Precio_Unitario])</f>
        <v>19.23</v>
      </c>
      <c r="J2346" s="17">
        <f t="shared" si="1"/>
        <v>96.15</v>
      </c>
      <c r="K2346" s="16" t="str">
        <f t="array" ref="K2346">_xlfn.XLOOKUP(C2346,Clientes[ID_Cliente],Clientes[Provincia])</f>
        <v>Córdoba</v>
      </c>
      <c r="L2346" s="16" t="str">
        <f t="array" ref="L2346">CONCATENATE(_xlfn.XLOOKUP(C2346,Clientes[ID_Cliente],Clientes[Provincia]),", Argentina")</f>
        <v>Córdoba, Argentina</v>
      </c>
      <c r="M2346" s="20" t="str">
        <f t="array" ref="M2346">_xlfn.XLOOKUP(F2346,Metodos_De_Pago[ID_Metodo],Metodos_De_Pago[Metodo])</f>
        <v>Mercado Pago</v>
      </c>
      <c r="N2346" s="20" t="str">
        <f t="shared" si="2"/>
        <v>2024 09</v>
      </c>
    </row>
    <row r="2347" ht="22.5" customHeight="1">
      <c r="A2347" s="12">
        <f>IFERROR(__xludf.DUMMYFUNCTION("""COMPUTED_VALUE"""),2809.0)</f>
        <v>2809</v>
      </c>
      <c r="B2347" s="13">
        <f>IFERROR(__xludf.DUMMYFUNCTION("""COMPUTED_VALUE"""),45546.0)</f>
        <v>45546</v>
      </c>
      <c r="C2347" s="12">
        <f>IFERROR(__xludf.DUMMYFUNCTION("""COMPUTED_VALUE"""),276.0)</f>
        <v>276</v>
      </c>
      <c r="D2347" s="12">
        <f>IFERROR(__xludf.DUMMYFUNCTION("""COMPUTED_VALUE"""),8.0)</f>
        <v>8</v>
      </c>
      <c r="E2347" s="12">
        <f>IFERROR(__xludf.DUMMYFUNCTION("""COMPUTED_VALUE"""),5.0)</f>
        <v>5</v>
      </c>
      <c r="F2347" s="12">
        <f>IFERROR(__xludf.DUMMYFUNCTION("""COMPUTED_VALUE"""),5.0)</f>
        <v>5</v>
      </c>
      <c r="G2347" s="15" t="str">
        <f>IFERROR(__xludf.DUMMYFUNCTION("""COMPUTED_VALUE"""),"Pendiente")</f>
        <v>Pendiente</v>
      </c>
      <c r="H2347" s="16" t="str">
        <f t="array" ref="H2347">_xlfn.XLOOKUP(D2347,Productos[ID_Producto],Productos[Nombre_Producto])</f>
        <v>Milanesa</v>
      </c>
      <c r="I2347" s="17">
        <f t="array" ref="I2347">_xlfn.XLOOKUP(D2347,Productos[ID_Producto],Productos[Precio_Unitario])</f>
        <v>16.21</v>
      </c>
      <c r="J2347" s="17">
        <f t="shared" si="1"/>
        <v>81.05</v>
      </c>
      <c r="K2347" s="16" t="str">
        <f t="array" ref="K2347">_xlfn.XLOOKUP(C2347,Clientes[ID_Cliente],Clientes[Provincia])</f>
        <v>Neuquén</v>
      </c>
      <c r="L2347" s="16" t="str">
        <f t="array" ref="L2347">CONCATENATE(_xlfn.XLOOKUP(C2347,Clientes[ID_Cliente],Clientes[Provincia]),", Argentina")</f>
        <v>Neuquén, Argentina</v>
      </c>
      <c r="M2347" s="20" t="str">
        <f t="array" ref="M2347">_xlfn.XLOOKUP(F2347,Metodos_De_Pago[ID_Metodo],Metodos_De_Pago[Metodo])</f>
        <v>Transferencia</v>
      </c>
      <c r="N2347" s="20" t="str">
        <f t="shared" si="2"/>
        <v>2024 09</v>
      </c>
    </row>
    <row r="2348" ht="22.5" customHeight="1">
      <c r="A2348" s="12">
        <f>IFERROR(__xludf.DUMMYFUNCTION("""COMPUTED_VALUE"""),2708.0)</f>
        <v>2708</v>
      </c>
      <c r="B2348" s="13">
        <f>IFERROR(__xludf.DUMMYFUNCTION("""COMPUTED_VALUE"""),45547.0)</f>
        <v>45547</v>
      </c>
      <c r="C2348" s="12">
        <f>IFERROR(__xludf.DUMMYFUNCTION("""COMPUTED_VALUE"""),233.0)</f>
        <v>233</v>
      </c>
      <c r="D2348" s="12">
        <f>IFERROR(__xludf.DUMMYFUNCTION("""COMPUTED_VALUE"""),29.0)</f>
        <v>29</v>
      </c>
      <c r="E2348" s="12">
        <f>IFERROR(__xludf.DUMMYFUNCTION("""COMPUTED_VALUE"""),5.0)</f>
        <v>5</v>
      </c>
      <c r="F2348" s="12">
        <f>IFERROR(__xludf.DUMMYFUNCTION("""COMPUTED_VALUE"""),3.0)</f>
        <v>3</v>
      </c>
      <c r="G2348" s="15" t="str">
        <f>IFERROR(__xludf.DUMMYFUNCTION("""COMPUTED_VALUE"""),"Completa")</f>
        <v>Completa</v>
      </c>
      <c r="H2348" s="16" t="str">
        <f t="array" ref="H2348">_xlfn.XLOOKUP(D2348,Productos[ID_Producto],Productos[Nombre_Producto])</f>
        <v>Cerveza</v>
      </c>
      <c r="I2348" s="17">
        <f t="array" ref="I2348">_xlfn.XLOOKUP(D2348,Productos[ID_Producto],Productos[Precio_Unitario])</f>
        <v>11.54</v>
      </c>
      <c r="J2348" s="17">
        <f t="shared" si="1"/>
        <v>57.7</v>
      </c>
      <c r="K2348" s="16" t="str">
        <f t="array" ref="K2348">_xlfn.XLOOKUP(C2348,Clientes[ID_Cliente],Clientes[Provincia])</f>
        <v>Córdoba</v>
      </c>
      <c r="L2348" s="16" t="str">
        <f t="array" ref="L2348">CONCATENATE(_xlfn.XLOOKUP(C2348,Clientes[ID_Cliente],Clientes[Provincia]),", Argentina")</f>
        <v>Córdoba, Argentina</v>
      </c>
      <c r="M2348" s="20" t="str">
        <f t="array" ref="M2348">_xlfn.XLOOKUP(F2348,Metodos_De_Pago[ID_Metodo],Metodos_De_Pago[Metodo])</f>
        <v>Tarjeta de Débito</v>
      </c>
      <c r="N2348" s="20" t="str">
        <f t="shared" si="2"/>
        <v>2024 09</v>
      </c>
    </row>
    <row r="2349" ht="22.5" customHeight="1">
      <c r="A2349" s="12">
        <f>IFERROR(__xludf.DUMMYFUNCTION("""COMPUTED_VALUE"""),596.0)</f>
        <v>596</v>
      </c>
      <c r="B2349" s="13">
        <f>IFERROR(__xludf.DUMMYFUNCTION("""COMPUTED_VALUE"""),45550.0)</f>
        <v>45550</v>
      </c>
      <c r="C2349" s="12">
        <f>IFERROR(__xludf.DUMMYFUNCTION("""COMPUTED_VALUE"""),169.0)</f>
        <v>169</v>
      </c>
      <c r="D2349" s="12">
        <f>IFERROR(__xludf.DUMMYFUNCTION("""COMPUTED_VALUE"""),1.0)</f>
        <v>1</v>
      </c>
      <c r="E2349" s="12">
        <f>IFERROR(__xludf.DUMMYFUNCTION("""COMPUTED_VALUE"""),5.0)</f>
        <v>5</v>
      </c>
      <c r="F2349" s="12">
        <f>IFERROR(__xludf.DUMMYFUNCTION("""COMPUTED_VALUE"""),5.0)</f>
        <v>5</v>
      </c>
      <c r="G2349" s="15" t="str">
        <f>IFERROR(__xludf.DUMMYFUNCTION("""COMPUTED_VALUE"""),"Completa")</f>
        <v>Completa</v>
      </c>
      <c r="H2349" s="16" t="str">
        <f t="array" ref="H2349">_xlfn.XLOOKUP(D2349,Productos[ID_Producto],Productos[Nombre_Producto])</f>
        <v>Leche</v>
      </c>
      <c r="I2349" s="17">
        <f t="array" ref="I2349">_xlfn.XLOOKUP(D2349,Productos[ID_Producto],Productos[Precio_Unitario])</f>
        <v>12.24</v>
      </c>
      <c r="J2349" s="17">
        <f t="shared" si="1"/>
        <v>61.2</v>
      </c>
      <c r="K2349" s="16" t="str">
        <f t="array" ref="K2349">_xlfn.XLOOKUP(C2349,Clientes[ID_Cliente],Clientes[Provincia])</f>
        <v>Córdoba</v>
      </c>
      <c r="L2349" s="16" t="str">
        <f t="array" ref="L2349">CONCATENATE(_xlfn.XLOOKUP(C2349,Clientes[ID_Cliente],Clientes[Provincia]),", Argentina")</f>
        <v>Córdoba, Argentina</v>
      </c>
      <c r="M2349" s="20" t="str">
        <f t="array" ref="M2349">_xlfn.XLOOKUP(F2349,Metodos_De_Pago[ID_Metodo],Metodos_De_Pago[Metodo])</f>
        <v>Transferencia</v>
      </c>
      <c r="N2349" s="20" t="str">
        <f t="shared" si="2"/>
        <v>2024 09</v>
      </c>
    </row>
    <row r="2350" ht="22.5" customHeight="1">
      <c r="A2350" s="12">
        <f>IFERROR(__xludf.DUMMYFUNCTION("""COMPUTED_VALUE"""),634.0)</f>
        <v>634</v>
      </c>
      <c r="B2350" s="13">
        <f>IFERROR(__xludf.DUMMYFUNCTION("""COMPUTED_VALUE"""),45550.0)</f>
        <v>45550</v>
      </c>
      <c r="C2350" s="12">
        <f>IFERROR(__xludf.DUMMYFUNCTION("""COMPUTED_VALUE"""),14.0)</f>
        <v>14</v>
      </c>
      <c r="D2350" s="12">
        <f>IFERROR(__xludf.DUMMYFUNCTION("""COMPUTED_VALUE"""),8.0)</f>
        <v>8</v>
      </c>
      <c r="E2350" s="12">
        <f>IFERROR(__xludf.DUMMYFUNCTION("""COMPUTED_VALUE"""),5.0)</f>
        <v>5</v>
      </c>
      <c r="F2350" s="12">
        <f>IFERROR(__xludf.DUMMYFUNCTION("""COMPUTED_VALUE"""),1.0)</f>
        <v>1</v>
      </c>
      <c r="G2350" s="15" t="str">
        <f>IFERROR(__xludf.DUMMYFUNCTION("""COMPUTED_VALUE"""),"Completa")</f>
        <v>Completa</v>
      </c>
      <c r="H2350" s="16" t="str">
        <f t="array" ref="H2350">_xlfn.XLOOKUP(D2350,Productos[ID_Producto],Productos[Nombre_Producto])</f>
        <v>Milanesa</v>
      </c>
      <c r="I2350" s="17">
        <f t="array" ref="I2350">_xlfn.XLOOKUP(D2350,Productos[ID_Producto],Productos[Precio_Unitario])</f>
        <v>16.21</v>
      </c>
      <c r="J2350" s="17">
        <f t="shared" si="1"/>
        <v>81.05</v>
      </c>
      <c r="K2350" s="16" t="str">
        <f t="array" ref="K2350">_xlfn.XLOOKUP(C2350,Clientes[ID_Cliente],Clientes[Provincia])</f>
        <v>Buenos Aires</v>
      </c>
      <c r="L2350" s="16" t="str">
        <f t="array" ref="L2350">CONCATENATE(_xlfn.XLOOKUP(C2350,Clientes[ID_Cliente],Clientes[Provincia]),", Argentina")</f>
        <v>Buenos Aires, Argentina</v>
      </c>
      <c r="M2350" s="20" t="str">
        <f t="array" ref="M2350">_xlfn.XLOOKUP(F2350,Metodos_De_Pago[ID_Metodo],Metodos_De_Pago[Metodo])</f>
        <v>Efectivo</v>
      </c>
      <c r="N2350" s="20" t="str">
        <f t="shared" si="2"/>
        <v>2024 09</v>
      </c>
    </row>
    <row r="2351" ht="22.5" customHeight="1">
      <c r="A2351" s="12">
        <f>IFERROR(__xludf.DUMMYFUNCTION("""COMPUTED_VALUE"""),2941.0)</f>
        <v>2941</v>
      </c>
      <c r="B2351" s="13">
        <f>IFERROR(__xludf.DUMMYFUNCTION("""COMPUTED_VALUE"""),45551.0)</f>
        <v>45551</v>
      </c>
      <c r="C2351" s="12">
        <f>IFERROR(__xludf.DUMMYFUNCTION("""COMPUTED_VALUE"""),85.0)</f>
        <v>85</v>
      </c>
      <c r="D2351" s="12">
        <f>IFERROR(__xludf.DUMMYFUNCTION("""COMPUTED_VALUE"""),38.0)</f>
        <v>38</v>
      </c>
      <c r="E2351" s="12">
        <f>IFERROR(__xludf.DUMMYFUNCTION("""COMPUTED_VALUE"""),5.0)</f>
        <v>5</v>
      </c>
      <c r="F2351" s="12">
        <f>IFERROR(__xludf.DUMMYFUNCTION("""COMPUTED_VALUE"""),3.0)</f>
        <v>3</v>
      </c>
      <c r="G2351" s="15" t="str">
        <f>IFERROR(__xludf.DUMMYFUNCTION("""COMPUTED_VALUE"""),"Completa")</f>
        <v>Completa</v>
      </c>
      <c r="H2351" s="16" t="str">
        <f t="array" ref="H2351">_xlfn.XLOOKUP(D2351,Productos[ID_Producto],Productos[Nombre_Producto])</f>
        <v>Atún enlatado</v>
      </c>
      <c r="I2351" s="17">
        <f t="array" ref="I2351">_xlfn.XLOOKUP(D2351,Productos[ID_Producto],Productos[Precio_Unitario])</f>
        <v>6.21</v>
      </c>
      <c r="J2351" s="17">
        <f t="shared" si="1"/>
        <v>31.05</v>
      </c>
      <c r="K2351" s="16" t="str">
        <f t="array" ref="K2351">_xlfn.XLOOKUP(C2351,Clientes[ID_Cliente],Clientes[Provincia])</f>
        <v>San Luis</v>
      </c>
      <c r="L2351" s="16" t="str">
        <f t="array" ref="L2351">CONCATENATE(_xlfn.XLOOKUP(C2351,Clientes[ID_Cliente],Clientes[Provincia]),", Argentina")</f>
        <v>San Luis, Argentina</v>
      </c>
      <c r="M2351" s="20" t="str">
        <f t="array" ref="M2351">_xlfn.XLOOKUP(F2351,Metodos_De_Pago[ID_Metodo],Metodos_De_Pago[Metodo])</f>
        <v>Tarjeta de Débito</v>
      </c>
      <c r="N2351" s="20" t="str">
        <f t="shared" si="2"/>
        <v>2024 09</v>
      </c>
    </row>
    <row r="2352" ht="22.5" customHeight="1">
      <c r="A2352" s="12">
        <f>IFERROR(__xludf.DUMMYFUNCTION("""COMPUTED_VALUE"""),576.0)</f>
        <v>576</v>
      </c>
      <c r="B2352" s="13">
        <f>IFERROR(__xludf.DUMMYFUNCTION("""COMPUTED_VALUE"""),45552.0)</f>
        <v>45552</v>
      </c>
      <c r="C2352" s="12">
        <f>IFERROR(__xludf.DUMMYFUNCTION("""COMPUTED_VALUE"""),30.0)</f>
        <v>30</v>
      </c>
      <c r="D2352" s="12">
        <f>IFERROR(__xludf.DUMMYFUNCTION("""COMPUTED_VALUE"""),27.0)</f>
        <v>27</v>
      </c>
      <c r="E2352" s="12">
        <f>IFERROR(__xludf.DUMMYFUNCTION("""COMPUTED_VALUE"""),5.0)</f>
        <v>5</v>
      </c>
      <c r="F2352" s="12">
        <f>IFERROR(__xludf.DUMMYFUNCTION("""COMPUTED_VALUE"""),1.0)</f>
        <v>1</v>
      </c>
      <c r="G2352" s="15" t="str">
        <f>IFERROR(__xludf.DUMMYFUNCTION("""COMPUTED_VALUE"""),"Completa")</f>
        <v>Completa</v>
      </c>
      <c r="H2352" s="16" t="str">
        <f t="array" ref="H2352">_xlfn.XLOOKUP(D2352,Productos[ID_Producto],Productos[Nombre_Producto])</f>
        <v>Agua mineral</v>
      </c>
      <c r="I2352" s="17">
        <f t="array" ref="I2352">_xlfn.XLOOKUP(D2352,Productos[ID_Producto],Productos[Precio_Unitario])</f>
        <v>6.21</v>
      </c>
      <c r="J2352" s="17">
        <f t="shared" si="1"/>
        <v>31.05</v>
      </c>
      <c r="K2352" s="16" t="str">
        <f t="array" ref="K2352">_xlfn.XLOOKUP(C2352,Clientes[ID_Cliente],Clientes[Provincia])</f>
        <v>Buenos Aires</v>
      </c>
      <c r="L2352" s="16" t="str">
        <f t="array" ref="L2352">CONCATENATE(_xlfn.XLOOKUP(C2352,Clientes[ID_Cliente],Clientes[Provincia]),", Argentina")</f>
        <v>Buenos Aires, Argentina</v>
      </c>
      <c r="M2352" s="20" t="str">
        <f t="array" ref="M2352">_xlfn.XLOOKUP(F2352,Metodos_De_Pago[ID_Metodo],Metodos_De_Pago[Metodo])</f>
        <v>Efectivo</v>
      </c>
      <c r="N2352" s="20" t="str">
        <f t="shared" si="2"/>
        <v>2024 09</v>
      </c>
    </row>
    <row r="2353" ht="22.5" customHeight="1">
      <c r="A2353" s="12">
        <f>IFERROR(__xludf.DUMMYFUNCTION("""COMPUTED_VALUE"""),934.0)</f>
        <v>934</v>
      </c>
      <c r="B2353" s="13">
        <f>IFERROR(__xludf.DUMMYFUNCTION("""COMPUTED_VALUE"""),45552.0)</f>
        <v>45552</v>
      </c>
      <c r="C2353" s="12">
        <f>IFERROR(__xludf.DUMMYFUNCTION("""COMPUTED_VALUE"""),213.0)</f>
        <v>213</v>
      </c>
      <c r="D2353" s="12">
        <f>IFERROR(__xludf.DUMMYFUNCTION("""COMPUTED_VALUE"""),26.0)</f>
        <v>26</v>
      </c>
      <c r="E2353" s="12">
        <f>IFERROR(__xludf.DUMMYFUNCTION("""COMPUTED_VALUE"""),5.0)</f>
        <v>5</v>
      </c>
      <c r="F2353" s="12">
        <f>IFERROR(__xludf.DUMMYFUNCTION("""COMPUTED_VALUE"""),4.0)</f>
        <v>4</v>
      </c>
      <c r="G2353" s="15" t="str">
        <f>IFERROR(__xludf.DUMMYFUNCTION("""COMPUTED_VALUE"""),"Completa")</f>
        <v>Completa</v>
      </c>
      <c r="H2353" s="16" t="str">
        <f t="array" ref="H2353">_xlfn.XLOOKUP(D2353,Productos[ID_Producto],Productos[Nombre_Producto])</f>
        <v>Hamburgesas congeladas</v>
      </c>
      <c r="I2353" s="17">
        <f t="array" ref="I2353">_xlfn.XLOOKUP(D2353,Productos[ID_Producto],Productos[Precio_Unitario])</f>
        <v>9.54</v>
      </c>
      <c r="J2353" s="17">
        <f t="shared" si="1"/>
        <v>47.7</v>
      </c>
      <c r="K2353" s="16" t="str">
        <f t="array" ref="K2353">_xlfn.XLOOKUP(C2353,Clientes[ID_Cliente],Clientes[Provincia])</f>
        <v>Córdoba</v>
      </c>
      <c r="L2353" s="16" t="str">
        <f t="array" ref="L2353">CONCATENATE(_xlfn.XLOOKUP(C2353,Clientes[ID_Cliente],Clientes[Provincia]),", Argentina")</f>
        <v>Córdoba, Argentina</v>
      </c>
      <c r="M2353" s="20" t="str">
        <f t="array" ref="M2353">_xlfn.XLOOKUP(F2353,Metodos_De_Pago[ID_Metodo],Metodos_De_Pago[Metodo])</f>
        <v>Mercado Pago</v>
      </c>
      <c r="N2353" s="20" t="str">
        <f t="shared" si="2"/>
        <v>2024 09</v>
      </c>
    </row>
    <row r="2354" ht="22.5" customHeight="1">
      <c r="A2354" s="12">
        <f>IFERROR(__xludf.DUMMYFUNCTION("""COMPUTED_VALUE"""),1346.0)</f>
        <v>1346</v>
      </c>
      <c r="B2354" s="13">
        <f>IFERROR(__xludf.DUMMYFUNCTION("""COMPUTED_VALUE"""),45552.0)</f>
        <v>45552</v>
      </c>
      <c r="C2354" s="12">
        <f>IFERROR(__xludf.DUMMYFUNCTION("""COMPUTED_VALUE"""),278.0)</f>
        <v>278</v>
      </c>
      <c r="D2354" s="12">
        <f>IFERROR(__xludf.DUMMYFUNCTION("""COMPUTED_VALUE"""),3.0)</f>
        <v>3</v>
      </c>
      <c r="E2354" s="12">
        <f>IFERROR(__xludf.DUMMYFUNCTION("""COMPUTED_VALUE"""),5.0)</f>
        <v>5</v>
      </c>
      <c r="F2354" s="12">
        <f>IFERROR(__xludf.DUMMYFUNCTION("""COMPUTED_VALUE"""),1.0)</f>
        <v>1</v>
      </c>
      <c r="G2354" s="15" t="str">
        <f>IFERROR(__xludf.DUMMYFUNCTION("""COMPUTED_VALUE"""),"Completa")</f>
        <v>Completa</v>
      </c>
      <c r="H2354" s="16" t="str">
        <f t="array" ref="H2354">_xlfn.XLOOKUP(D2354,Productos[ID_Producto],Productos[Nombre_Producto])</f>
        <v>Queso cremoso</v>
      </c>
      <c r="I2354" s="17">
        <f t="array" ref="I2354">_xlfn.XLOOKUP(D2354,Productos[ID_Producto],Productos[Precio_Unitario])</f>
        <v>17.23</v>
      </c>
      <c r="J2354" s="17">
        <f t="shared" si="1"/>
        <v>86.15</v>
      </c>
      <c r="K2354" s="16" t="str">
        <f t="array" ref="K2354">_xlfn.XLOOKUP(C2354,Clientes[ID_Cliente],Clientes[Provincia])</f>
        <v>Córdoba</v>
      </c>
      <c r="L2354" s="16" t="str">
        <f t="array" ref="L2354">CONCATENATE(_xlfn.XLOOKUP(C2354,Clientes[ID_Cliente],Clientes[Provincia]),", Argentina")</f>
        <v>Córdoba, Argentina</v>
      </c>
      <c r="M2354" s="20" t="str">
        <f t="array" ref="M2354">_xlfn.XLOOKUP(F2354,Metodos_De_Pago[ID_Metodo],Metodos_De_Pago[Metodo])</f>
        <v>Efectivo</v>
      </c>
      <c r="N2354" s="20" t="str">
        <f t="shared" si="2"/>
        <v>2024 09</v>
      </c>
    </row>
    <row r="2355" ht="22.5" customHeight="1">
      <c r="A2355" s="12">
        <f>IFERROR(__xludf.DUMMYFUNCTION("""COMPUTED_VALUE"""),2208.0)</f>
        <v>2208</v>
      </c>
      <c r="B2355" s="13">
        <f>IFERROR(__xludf.DUMMYFUNCTION("""COMPUTED_VALUE"""),45552.0)</f>
        <v>45552</v>
      </c>
      <c r="C2355" s="12">
        <f>IFERROR(__xludf.DUMMYFUNCTION("""COMPUTED_VALUE"""),324.0)</f>
        <v>324</v>
      </c>
      <c r="D2355" s="12">
        <f>IFERROR(__xludf.DUMMYFUNCTION("""COMPUTED_VALUE"""),17.0)</f>
        <v>17</v>
      </c>
      <c r="E2355" s="12">
        <f>IFERROR(__xludf.DUMMYFUNCTION("""COMPUTED_VALUE"""),5.0)</f>
        <v>5</v>
      </c>
      <c r="F2355" s="12">
        <f>IFERROR(__xludf.DUMMYFUNCTION("""COMPUTED_VALUE"""),5.0)</f>
        <v>5</v>
      </c>
      <c r="G2355" s="15" t="str">
        <f>IFERROR(__xludf.DUMMYFUNCTION("""COMPUTED_VALUE"""),"Completa")</f>
        <v>Completa</v>
      </c>
      <c r="H2355" s="16" t="str">
        <f t="array" ref="H2355">_xlfn.XLOOKUP(D2355,Productos[ID_Producto],Productos[Nombre_Producto])</f>
        <v>Manzanas</v>
      </c>
      <c r="I2355" s="17">
        <f t="array" ref="I2355">_xlfn.XLOOKUP(D2355,Productos[ID_Producto],Productos[Precio_Unitario])</f>
        <v>6.54</v>
      </c>
      <c r="J2355" s="17">
        <f t="shared" si="1"/>
        <v>32.7</v>
      </c>
      <c r="K2355" s="16" t="str">
        <f t="array" ref="K2355">_xlfn.XLOOKUP(C2355,Clientes[ID_Cliente],Clientes[Provincia])</f>
        <v>Chaco</v>
      </c>
      <c r="L2355" s="16" t="str">
        <f t="array" ref="L2355">CONCATENATE(_xlfn.XLOOKUP(C2355,Clientes[ID_Cliente],Clientes[Provincia]),", Argentina")</f>
        <v>Chaco, Argentina</v>
      </c>
      <c r="M2355" s="20" t="str">
        <f t="array" ref="M2355">_xlfn.XLOOKUP(F2355,Metodos_De_Pago[ID_Metodo],Metodos_De_Pago[Metodo])</f>
        <v>Transferencia</v>
      </c>
      <c r="N2355" s="20" t="str">
        <f t="shared" si="2"/>
        <v>2024 09</v>
      </c>
    </row>
    <row r="2356" ht="22.5" customHeight="1">
      <c r="A2356" s="12">
        <f>IFERROR(__xludf.DUMMYFUNCTION("""COMPUTED_VALUE"""),2223.0)</f>
        <v>2223</v>
      </c>
      <c r="B2356" s="13">
        <f>IFERROR(__xludf.DUMMYFUNCTION("""COMPUTED_VALUE"""),45552.0)</f>
        <v>45552</v>
      </c>
      <c r="C2356" s="12">
        <f>IFERROR(__xludf.DUMMYFUNCTION("""COMPUTED_VALUE"""),219.0)</f>
        <v>219</v>
      </c>
      <c r="D2356" s="12">
        <f>IFERROR(__xludf.DUMMYFUNCTION("""COMPUTED_VALUE"""),6.0)</f>
        <v>6</v>
      </c>
      <c r="E2356" s="12">
        <f>IFERROR(__xludf.DUMMYFUNCTION("""COMPUTED_VALUE"""),5.0)</f>
        <v>5</v>
      </c>
      <c r="F2356" s="12">
        <f>IFERROR(__xludf.DUMMYFUNCTION("""COMPUTED_VALUE"""),1.0)</f>
        <v>1</v>
      </c>
      <c r="G2356" s="15" t="str">
        <f>IFERROR(__xludf.DUMMYFUNCTION("""COMPUTED_VALUE"""),"Completa")</f>
        <v>Completa</v>
      </c>
      <c r="H2356" s="16" t="str">
        <f t="array" ref="H2356">_xlfn.XLOOKUP(D2356,Productos[ID_Producto],Productos[Nombre_Producto])</f>
        <v>Asado</v>
      </c>
      <c r="I2356" s="17">
        <f t="array" ref="I2356">_xlfn.XLOOKUP(D2356,Productos[ID_Producto],Productos[Precio_Unitario])</f>
        <v>28.56</v>
      </c>
      <c r="J2356" s="17">
        <f t="shared" si="1"/>
        <v>142.8</v>
      </c>
      <c r="K2356" s="16" t="str">
        <f t="array" ref="K2356">_xlfn.XLOOKUP(C2356,Clientes[ID_Cliente],Clientes[Provincia])</f>
        <v>Neuquén</v>
      </c>
      <c r="L2356" s="16" t="str">
        <f t="array" ref="L2356">CONCATENATE(_xlfn.XLOOKUP(C2356,Clientes[ID_Cliente],Clientes[Provincia]),", Argentina")</f>
        <v>Neuquén, Argentina</v>
      </c>
      <c r="M2356" s="20" t="str">
        <f t="array" ref="M2356">_xlfn.XLOOKUP(F2356,Metodos_De_Pago[ID_Metodo],Metodos_De_Pago[Metodo])</f>
        <v>Efectivo</v>
      </c>
      <c r="N2356" s="20" t="str">
        <f t="shared" si="2"/>
        <v>2024 09</v>
      </c>
    </row>
    <row r="2357" ht="22.5" customHeight="1">
      <c r="A2357" s="12">
        <f>IFERROR(__xludf.DUMMYFUNCTION("""COMPUTED_VALUE"""),1929.0)</f>
        <v>1929</v>
      </c>
      <c r="B2357" s="13">
        <f>IFERROR(__xludf.DUMMYFUNCTION("""COMPUTED_VALUE"""),45555.0)</f>
        <v>45555</v>
      </c>
      <c r="C2357" s="12">
        <f>IFERROR(__xludf.DUMMYFUNCTION("""COMPUTED_VALUE"""),252.0)</f>
        <v>252</v>
      </c>
      <c r="D2357" s="12">
        <f>IFERROR(__xludf.DUMMYFUNCTION("""COMPUTED_VALUE"""),31.0)</f>
        <v>31</v>
      </c>
      <c r="E2357" s="12">
        <f>IFERROR(__xludf.DUMMYFUNCTION("""COMPUTED_VALUE"""),5.0)</f>
        <v>5</v>
      </c>
      <c r="F2357" s="12">
        <f>IFERROR(__xludf.DUMMYFUNCTION("""COMPUTED_VALUE"""),3.0)</f>
        <v>3</v>
      </c>
      <c r="G2357" s="15" t="str">
        <f>IFERROR(__xludf.DUMMYFUNCTION("""COMPUTED_VALUE"""),"Completa")</f>
        <v>Completa</v>
      </c>
      <c r="H2357" s="16" t="str">
        <f t="array" ref="H2357">_xlfn.XLOOKUP(D2357,Productos[ID_Producto],Productos[Nombre_Producto])</f>
        <v>Galletitas de agua</v>
      </c>
      <c r="I2357" s="17">
        <f t="array" ref="I2357">_xlfn.XLOOKUP(D2357,Productos[ID_Producto],Productos[Precio_Unitario])</f>
        <v>5.24</v>
      </c>
      <c r="J2357" s="17">
        <f t="shared" si="1"/>
        <v>26.2</v>
      </c>
      <c r="K2357" s="16" t="str">
        <f t="array" ref="K2357">_xlfn.XLOOKUP(C2357,Clientes[ID_Cliente],Clientes[Provincia])</f>
        <v>Neuquén</v>
      </c>
      <c r="L2357" s="16" t="str">
        <f t="array" ref="L2357">CONCATENATE(_xlfn.XLOOKUP(C2357,Clientes[ID_Cliente],Clientes[Provincia]),", Argentina")</f>
        <v>Neuquén, Argentina</v>
      </c>
      <c r="M2357" s="20" t="str">
        <f t="array" ref="M2357">_xlfn.XLOOKUP(F2357,Metodos_De_Pago[ID_Metodo],Metodos_De_Pago[Metodo])</f>
        <v>Tarjeta de Débito</v>
      </c>
      <c r="N2357" s="20" t="str">
        <f t="shared" si="2"/>
        <v>2024 09</v>
      </c>
    </row>
    <row r="2358" ht="22.5" customHeight="1">
      <c r="A2358" s="12">
        <f>IFERROR(__xludf.DUMMYFUNCTION("""COMPUTED_VALUE"""),2069.0)</f>
        <v>2069</v>
      </c>
      <c r="B2358" s="13">
        <f>IFERROR(__xludf.DUMMYFUNCTION("""COMPUTED_VALUE"""),45556.0)</f>
        <v>45556</v>
      </c>
      <c r="C2358" s="12">
        <f>IFERROR(__xludf.DUMMYFUNCTION("""COMPUTED_VALUE"""),243.0)</f>
        <v>243</v>
      </c>
      <c r="D2358" s="12">
        <f>IFERROR(__xludf.DUMMYFUNCTION("""COMPUTED_VALUE"""),37.0)</f>
        <v>37</v>
      </c>
      <c r="E2358" s="12">
        <f>IFERROR(__xludf.DUMMYFUNCTION("""COMPUTED_VALUE"""),5.0)</f>
        <v>5</v>
      </c>
      <c r="F2358" s="12">
        <f>IFERROR(__xludf.DUMMYFUNCTION("""COMPUTED_VALUE"""),4.0)</f>
        <v>4</v>
      </c>
      <c r="G2358" s="15" t="str">
        <f>IFERROR(__xludf.DUMMYFUNCTION("""COMPUTED_VALUE"""),"Completa")</f>
        <v>Completa</v>
      </c>
      <c r="H2358" s="16" t="str">
        <f t="array" ref="H2358">_xlfn.XLOOKUP(D2358,Productos[ID_Producto],Productos[Nombre_Producto])</f>
        <v>Garbanzos</v>
      </c>
      <c r="I2358" s="17">
        <f t="array" ref="I2358">_xlfn.XLOOKUP(D2358,Productos[ID_Producto],Productos[Precio_Unitario])</f>
        <v>3.65</v>
      </c>
      <c r="J2358" s="17">
        <f t="shared" si="1"/>
        <v>18.25</v>
      </c>
      <c r="K2358" s="16" t="str">
        <f t="array" ref="K2358">_xlfn.XLOOKUP(C2358,Clientes[ID_Cliente],Clientes[Provincia])</f>
        <v>Buenos Aires</v>
      </c>
      <c r="L2358" s="16" t="str">
        <f t="array" ref="L2358">CONCATENATE(_xlfn.XLOOKUP(C2358,Clientes[ID_Cliente],Clientes[Provincia]),", Argentina")</f>
        <v>Buenos Aires, Argentina</v>
      </c>
      <c r="M2358" s="20" t="str">
        <f t="array" ref="M2358">_xlfn.XLOOKUP(F2358,Metodos_De_Pago[ID_Metodo],Metodos_De_Pago[Metodo])</f>
        <v>Mercado Pago</v>
      </c>
      <c r="N2358" s="20" t="str">
        <f t="shared" si="2"/>
        <v>2024 09</v>
      </c>
    </row>
    <row r="2359" ht="22.5" customHeight="1">
      <c r="A2359" s="12">
        <f>IFERROR(__xludf.DUMMYFUNCTION("""COMPUTED_VALUE"""),2783.0)</f>
        <v>2783</v>
      </c>
      <c r="B2359" s="13">
        <f>IFERROR(__xludf.DUMMYFUNCTION("""COMPUTED_VALUE"""),45557.0)</f>
        <v>45557</v>
      </c>
      <c r="C2359" s="12">
        <f>IFERROR(__xludf.DUMMYFUNCTION("""COMPUTED_VALUE"""),61.0)</f>
        <v>61</v>
      </c>
      <c r="D2359" s="12">
        <f>IFERROR(__xludf.DUMMYFUNCTION("""COMPUTED_VALUE"""),10.0)</f>
        <v>10</v>
      </c>
      <c r="E2359" s="12">
        <f>IFERROR(__xludf.DUMMYFUNCTION("""COMPUTED_VALUE"""),5.0)</f>
        <v>5</v>
      </c>
      <c r="F2359" s="12">
        <f>IFERROR(__xludf.DUMMYFUNCTION("""COMPUTED_VALUE"""),1.0)</f>
        <v>1</v>
      </c>
      <c r="G2359" s="15" t="str">
        <f>IFERROR(__xludf.DUMMYFUNCTION("""COMPUTED_VALUE"""),"Completa")</f>
        <v>Completa</v>
      </c>
      <c r="H2359" s="16" t="str">
        <f t="array" ref="H2359">_xlfn.XLOOKUP(D2359,Productos[ID_Producto],Productos[Nombre_Producto])</f>
        <v>Costilla de cerdo</v>
      </c>
      <c r="I2359" s="17">
        <f t="array" ref="I2359">_xlfn.XLOOKUP(D2359,Productos[ID_Producto],Productos[Precio_Unitario])</f>
        <v>14.25</v>
      </c>
      <c r="J2359" s="17">
        <f t="shared" si="1"/>
        <v>71.25</v>
      </c>
      <c r="K2359" s="16" t="str">
        <f t="array" ref="K2359">_xlfn.XLOOKUP(C2359,Clientes[ID_Cliente],Clientes[Provincia])</f>
        <v>Buenos Aires</v>
      </c>
      <c r="L2359" s="16" t="str">
        <f t="array" ref="L2359">CONCATENATE(_xlfn.XLOOKUP(C2359,Clientes[ID_Cliente],Clientes[Provincia]),", Argentina")</f>
        <v>Buenos Aires, Argentina</v>
      </c>
      <c r="M2359" s="20" t="str">
        <f t="array" ref="M2359">_xlfn.XLOOKUP(F2359,Metodos_De_Pago[ID_Metodo],Metodos_De_Pago[Metodo])</f>
        <v>Efectivo</v>
      </c>
      <c r="N2359" s="20" t="str">
        <f t="shared" si="2"/>
        <v>2024 09</v>
      </c>
    </row>
    <row r="2360" ht="22.5" customHeight="1">
      <c r="A2360" s="12">
        <f>IFERROR(__xludf.DUMMYFUNCTION("""COMPUTED_VALUE"""),534.0)</f>
        <v>534</v>
      </c>
      <c r="B2360" s="13">
        <f>IFERROR(__xludf.DUMMYFUNCTION("""COMPUTED_VALUE"""),45558.0)</f>
        <v>45558</v>
      </c>
      <c r="C2360" s="12">
        <f>IFERROR(__xludf.DUMMYFUNCTION("""COMPUTED_VALUE"""),56.0)</f>
        <v>56</v>
      </c>
      <c r="D2360" s="12">
        <f>IFERROR(__xludf.DUMMYFUNCTION("""COMPUTED_VALUE"""),1.0)</f>
        <v>1</v>
      </c>
      <c r="E2360" s="12">
        <f>IFERROR(__xludf.DUMMYFUNCTION("""COMPUTED_VALUE"""),5.0)</f>
        <v>5</v>
      </c>
      <c r="F2360" s="12">
        <f>IFERROR(__xludf.DUMMYFUNCTION("""COMPUTED_VALUE"""),1.0)</f>
        <v>1</v>
      </c>
      <c r="G2360" s="15" t="str">
        <f>IFERROR(__xludf.DUMMYFUNCTION("""COMPUTED_VALUE"""),"Completa")</f>
        <v>Completa</v>
      </c>
      <c r="H2360" s="16" t="str">
        <f t="array" ref="H2360">_xlfn.XLOOKUP(D2360,Productos[ID_Producto],Productos[Nombre_Producto])</f>
        <v>Leche</v>
      </c>
      <c r="I2360" s="17">
        <f t="array" ref="I2360">_xlfn.XLOOKUP(D2360,Productos[ID_Producto],Productos[Precio_Unitario])</f>
        <v>12.24</v>
      </c>
      <c r="J2360" s="17">
        <f t="shared" si="1"/>
        <v>61.2</v>
      </c>
      <c r="K2360" s="16" t="str">
        <f t="array" ref="K2360">_xlfn.XLOOKUP(C2360,Clientes[ID_Cliente],Clientes[Provincia])</f>
        <v>Córdoba</v>
      </c>
      <c r="L2360" s="16" t="str">
        <f t="array" ref="L2360">CONCATENATE(_xlfn.XLOOKUP(C2360,Clientes[ID_Cliente],Clientes[Provincia]),", Argentina")</f>
        <v>Córdoba, Argentina</v>
      </c>
      <c r="M2360" s="20" t="str">
        <f t="array" ref="M2360">_xlfn.XLOOKUP(F2360,Metodos_De_Pago[ID_Metodo],Metodos_De_Pago[Metodo])</f>
        <v>Efectivo</v>
      </c>
      <c r="N2360" s="20" t="str">
        <f t="shared" si="2"/>
        <v>2024 09</v>
      </c>
    </row>
    <row r="2361" ht="22.5" customHeight="1">
      <c r="A2361" s="12">
        <f>IFERROR(__xludf.DUMMYFUNCTION("""COMPUTED_VALUE"""),462.0)</f>
        <v>462</v>
      </c>
      <c r="B2361" s="13">
        <f>IFERROR(__xludf.DUMMYFUNCTION("""COMPUTED_VALUE"""),45559.0)</f>
        <v>45559</v>
      </c>
      <c r="C2361" s="12">
        <f>IFERROR(__xludf.DUMMYFUNCTION("""COMPUTED_VALUE"""),100.0)</f>
        <v>100</v>
      </c>
      <c r="D2361" s="12">
        <f>IFERROR(__xludf.DUMMYFUNCTION("""COMPUTED_VALUE"""),32.0)</f>
        <v>32</v>
      </c>
      <c r="E2361" s="12">
        <f>IFERROR(__xludf.DUMMYFUNCTION("""COMPUTED_VALUE"""),5.0)</f>
        <v>5</v>
      </c>
      <c r="F2361" s="12">
        <f>IFERROR(__xludf.DUMMYFUNCTION("""COMPUTED_VALUE"""),4.0)</f>
        <v>4</v>
      </c>
      <c r="G2361" s="15" t="str">
        <f>IFERROR(__xludf.DUMMYFUNCTION("""COMPUTED_VALUE"""),"Completa")</f>
        <v>Completa</v>
      </c>
      <c r="H2361" s="16" t="str">
        <f t="array" ref="H2361">_xlfn.XLOOKUP(D2361,Productos[ID_Producto],Productos[Nombre_Producto])</f>
        <v>Galletitas de chocolate</v>
      </c>
      <c r="I2361" s="17">
        <f t="array" ref="I2361">_xlfn.XLOOKUP(D2361,Productos[ID_Producto],Productos[Precio_Unitario])</f>
        <v>6.25</v>
      </c>
      <c r="J2361" s="17">
        <f t="shared" si="1"/>
        <v>31.25</v>
      </c>
      <c r="K2361" s="16" t="str">
        <f t="array" ref="K2361">_xlfn.XLOOKUP(C2361,Clientes[ID_Cliente],Clientes[Provincia])</f>
        <v>Chaco</v>
      </c>
      <c r="L2361" s="16" t="str">
        <f t="array" ref="L2361">CONCATENATE(_xlfn.XLOOKUP(C2361,Clientes[ID_Cliente],Clientes[Provincia]),", Argentina")</f>
        <v>Chaco, Argentina</v>
      </c>
      <c r="M2361" s="20" t="str">
        <f t="array" ref="M2361">_xlfn.XLOOKUP(F2361,Metodos_De_Pago[ID_Metodo],Metodos_De_Pago[Metodo])</f>
        <v>Mercado Pago</v>
      </c>
      <c r="N2361" s="20" t="str">
        <f t="shared" si="2"/>
        <v>2024 09</v>
      </c>
    </row>
    <row r="2362" ht="22.5" customHeight="1">
      <c r="A2362" s="12">
        <f>IFERROR(__xludf.DUMMYFUNCTION("""COMPUTED_VALUE"""),2377.0)</f>
        <v>2377</v>
      </c>
      <c r="B2362" s="13">
        <f>IFERROR(__xludf.DUMMYFUNCTION("""COMPUTED_VALUE"""),45559.0)</f>
        <v>45559</v>
      </c>
      <c r="C2362" s="12">
        <f>IFERROR(__xludf.DUMMYFUNCTION("""COMPUTED_VALUE"""),224.0)</f>
        <v>224</v>
      </c>
      <c r="D2362" s="12">
        <f>IFERROR(__xludf.DUMMYFUNCTION("""COMPUTED_VALUE"""),26.0)</f>
        <v>26</v>
      </c>
      <c r="E2362" s="12">
        <f>IFERROR(__xludf.DUMMYFUNCTION("""COMPUTED_VALUE"""),5.0)</f>
        <v>5</v>
      </c>
      <c r="F2362" s="12">
        <f>IFERROR(__xludf.DUMMYFUNCTION("""COMPUTED_VALUE"""),4.0)</f>
        <v>4</v>
      </c>
      <c r="G2362" s="15" t="str">
        <f>IFERROR(__xludf.DUMMYFUNCTION("""COMPUTED_VALUE"""),"Completa")</f>
        <v>Completa</v>
      </c>
      <c r="H2362" s="16" t="str">
        <f t="array" ref="H2362">_xlfn.XLOOKUP(D2362,Productos[ID_Producto],Productos[Nombre_Producto])</f>
        <v>Hamburgesas congeladas</v>
      </c>
      <c r="I2362" s="17">
        <f t="array" ref="I2362">_xlfn.XLOOKUP(D2362,Productos[ID_Producto],Productos[Precio_Unitario])</f>
        <v>9.54</v>
      </c>
      <c r="J2362" s="17">
        <f t="shared" si="1"/>
        <v>47.7</v>
      </c>
      <c r="K2362" s="16" t="str">
        <f t="array" ref="K2362">_xlfn.XLOOKUP(C2362,Clientes[ID_Cliente],Clientes[Provincia])</f>
        <v>San Luis</v>
      </c>
      <c r="L2362" s="16" t="str">
        <f t="array" ref="L2362">CONCATENATE(_xlfn.XLOOKUP(C2362,Clientes[ID_Cliente],Clientes[Provincia]),", Argentina")</f>
        <v>San Luis, Argentina</v>
      </c>
      <c r="M2362" s="20" t="str">
        <f t="array" ref="M2362">_xlfn.XLOOKUP(F2362,Metodos_De_Pago[ID_Metodo],Metodos_De_Pago[Metodo])</f>
        <v>Mercado Pago</v>
      </c>
      <c r="N2362" s="20" t="str">
        <f t="shared" si="2"/>
        <v>2024 09</v>
      </c>
    </row>
    <row r="2363" ht="22.5" customHeight="1">
      <c r="A2363" s="12">
        <f>IFERROR(__xludf.DUMMYFUNCTION("""COMPUTED_VALUE"""),2682.0)</f>
        <v>2682</v>
      </c>
      <c r="B2363" s="13">
        <f>IFERROR(__xludf.DUMMYFUNCTION("""COMPUTED_VALUE"""),45560.0)</f>
        <v>45560</v>
      </c>
      <c r="C2363" s="12">
        <f>IFERROR(__xludf.DUMMYFUNCTION("""COMPUTED_VALUE"""),8.0)</f>
        <v>8</v>
      </c>
      <c r="D2363" s="12">
        <f>IFERROR(__xludf.DUMMYFUNCTION("""COMPUTED_VALUE"""),17.0)</f>
        <v>17</v>
      </c>
      <c r="E2363" s="12">
        <f>IFERROR(__xludf.DUMMYFUNCTION("""COMPUTED_VALUE"""),5.0)</f>
        <v>5</v>
      </c>
      <c r="F2363" s="12">
        <f>IFERROR(__xludf.DUMMYFUNCTION("""COMPUTED_VALUE"""),4.0)</f>
        <v>4</v>
      </c>
      <c r="G2363" s="15" t="str">
        <f>IFERROR(__xludf.DUMMYFUNCTION("""COMPUTED_VALUE"""),"Completa")</f>
        <v>Completa</v>
      </c>
      <c r="H2363" s="16" t="str">
        <f t="array" ref="H2363">_xlfn.XLOOKUP(D2363,Productos[ID_Producto],Productos[Nombre_Producto])</f>
        <v>Manzanas</v>
      </c>
      <c r="I2363" s="17">
        <f t="array" ref="I2363">_xlfn.XLOOKUP(D2363,Productos[ID_Producto],Productos[Precio_Unitario])</f>
        <v>6.54</v>
      </c>
      <c r="J2363" s="17">
        <f t="shared" si="1"/>
        <v>32.7</v>
      </c>
      <c r="K2363" s="16" t="str">
        <f t="array" ref="K2363">_xlfn.XLOOKUP(C2363,Clientes[ID_Cliente],Clientes[Provincia])</f>
        <v>Buenos Aires</v>
      </c>
      <c r="L2363" s="16" t="str">
        <f t="array" ref="L2363">CONCATENATE(_xlfn.XLOOKUP(C2363,Clientes[ID_Cliente],Clientes[Provincia]),", Argentina")</f>
        <v>Buenos Aires, Argentina</v>
      </c>
      <c r="M2363" s="20" t="str">
        <f t="array" ref="M2363">_xlfn.XLOOKUP(F2363,Metodos_De_Pago[ID_Metodo],Metodos_De_Pago[Metodo])</f>
        <v>Mercado Pago</v>
      </c>
      <c r="N2363" s="20" t="str">
        <f t="shared" si="2"/>
        <v>2024 09</v>
      </c>
    </row>
    <row r="2364" ht="22.5" customHeight="1">
      <c r="A2364" s="12">
        <f>IFERROR(__xludf.DUMMYFUNCTION("""COMPUTED_VALUE"""),2833.0)</f>
        <v>2833</v>
      </c>
      <c r="B2364" s="13">
        <f>IFERROR(__xludf.DUMMYFUNCTION("""COMPUTED_VALUE"""),45560.0)</f>
        <v>45560</v>
      </c>
      <c r="C2364" s="12">
        <f>IFERROR(__xludf.DUMMYFUNCTION("""COMPUTED_VALUE"""),202.0)</f>
        <v>202</v>
      </c>
      <c r="D2364" s="12">
        <f>IFERROR(__xludf.DUMMYFUNCTION("""COMPUTED_VALUE"""),36.0)</f>
        <v>36</v>
      </c>
      <c r="E2364" s="12">
        <f>IFERROR(__xludf.DUMMYFUNCTION("""COMPUTED_VALUE"""),5.0)</f>
        <v>5</v>
      </c>
      <c r="F2364" s="12">
        <f>IFERROR(__xludf.DUMMYFUNCTION("""COMPUTED_VALUE"""),1.0)</f>
        <v>1</v>
      </c>
      <c r="G2364" s="15" t="str">
        <f>IFERROR(__xludf.DUMMYFUNCTION("""COMPUTED_VALUE"""),"Completa")</f>
        <v>Completa</v>
      </c>
      <c r="H2364" s="16" t="str">
        <f t="array" ref="H2364">_xlfn.XLOOKUP(D2364,Productos[ID_Producto],Productos[Nombre_Producto])</f>
        <v>Lentejas</v>
      </c>
      <c r="I2364" s="17">
        <f t="array" ref="I2364">_xlfn.XLOOKUP(D2364,Productos[ID_Producto],Productos[Precio_Unitario])</f>
        <v>3.25</v>
      </c>
      <c r="J2364" s="17">
        <f t="shared" si="1"/>
        <v>16.25</v>
      </c>
      <c r="K2364" s="16" t="str">
        <f t="array" ref="K2364">_xlfn.XLOOKUP(C2364,Clientes[ID_Cliente],Clientes[Provincia])</f>
        <v>Chaco</v>
      </c>
      <c r="L2364" s="16" t="str">
        <f t="array" ref="L2364">CONCATENATE(_xlfn.XLOOKUP(C2364,Clientes[ID_Cliente],Clientes[Provincia]),", Argentina")</f>
        <v>Chaco, Argentina</v>
      </c>
      <c r="M2364" s="20" t="str">
        <f t="array" ref="M2364">_xlfn.XLOOKUP(F2364,Metodos_De_Pago[ID_Metodo],Metodos_De_Pago[Metodo])</f>
        <v>Efectivo</v>
      </c>
      <c r="N2364" s="20" t="str">
        <f t="shared" si="2"/>
        <v>2024 09</v>
      </c>
    </row>
    <row r="2365" ht="22.5" customHeight="1">
      <c r="A2365" s="12">
        <f>IFERROR(__xludf.DUMMYFUNCTION("""COMPUTED_VALUE"""),4.0)</f>
        <v>4</v>
      </c>
      <c r="B2365" s="13">
        <f>IFERROR(__xludf.DUMMYFUNCTION("""COMPUTED_VALUE"""),45561.0)</f>
        <v>45561</v>
      </c>
      <c r="C2365" s="12">
        <f>IFERROR(__xludf.DUMMYFUNCTION("""COMPUTED_VALUE"""),111.0)</f>
        <v>111</v>
      </c>
      <c r="D2365" s="12">
        <f>IFERROR(__xludf.DUMMYFUNCTION("""COMPUTED_VALUE"""),37.0)</f>
        <v>37</v>
      </c>
      <c r="E2365" s="12">
        <f>IFERROR(__xludf.DUMMYFUNCTION("""COMPUTED_VALUE"""),5.0)</f>
        <v>5</v>
      </c>
      <c r="F2365" s="12">
        <f>IFERROR(__xludf.DUMMYFUNCTION("""COMPUTED_VALUE"""),4.0)</f>
        <v>4</v>
      </c>
      <c r="G2365" s="15" t="str">
        <f>IFERROR(__xludf.DUMMYFUNCTION("""COMPUTED_VALUE"""),"Completa")</f>
        <v>Completa</v>
      </c>
      <c r="H2365" s="16" t="str">
        <f t="array" ref="H2365">_xlfn.XLOOKUP(D2365,Productos[ID_Producto],Productos[Nombre_Producto])</f>
        <v>Garbanzos</v>
      </c>
      <c r="I2365" s="17">
        <f t="array" ref="I2365">_xlfn.XLOOKUP(D2365,Productos[ID_Producto],Productos[Precio_Unitario])</f>
        <v>3.65</v>
      </c>
      <c r="J2365" s="17">
        <f t="shared" si="1"/>
        <v>18.25</v>
      </c>
      <c r="K2365" s="16" t="str">
        <f t="array" ref="K2365">_xlfn.XLOOKUP(C2365,Clientes[ID_Cliente],Clientes[Provincia])</f>
        <v>San Luis</v>
      </c>
      <c r="L2365" s="16" t="str">
        <f t="array" ref="L2365">CONCATENATE(_xlfn.XLOOKUP(C2365,Clientes[ID_Cliente],Clientes[Provincia]),", Argentina")</f>
        <v>San Luis, Argentina</v>
      </c>
      <c r="M2365" s="20" t="str">
        <f t="array" ref="M2365">_xlfn.XLOOKUP(F2365,Metodos_De_Pago[ID_Metodo],Metodos_De_Pago[Metodo])</f>
        <v>Mercado Pago</v>
      </c>
      <c r="N2365" s="20" t="str">
        <f t="shared" si="2"/>
        <v>2024 09</v>
      </c>
    </row>
    <row r="2366" ht="22.5" customHeight="1">
      <c r="A2366" s="12">
        <f>IFERROR(__xludf.DUMMYFUNCTION("""COMPUTED_VALUE"""),224.0)</f>
        <v>224</v>
      </c>
      <c r="B2366" s="13">
        <f>IFERROR(__xludf.DUMMYFUNCTION("""COMPUTED_VALUE"""),45561.0)</f>
        <v>45561</v>
      </c>
      <c r="C2366" s="12">
        <f>IFERROR(__xludf.DUMMYFUNCTION("""COMPUTED_VALUE"""),294.0)</f>
        <v>294</v>
      </c>
      <c r="D2366" s="12">
        <f>IFERROR(__xludf.DUMMYFUNCTION("""COMPUTED_VALUE"""),10.0)</f>
        <v>10</v>
      </c>
      <c r="E2366" s="12">
        <f>IFERROR(__xludf.DUMMYFUNCTION("""COMPUTED_VALUE"""),5.0)</f>
        <v>5</v>
      </c>
      <c r="F2366" s="12">
        <f>IFERROR(__xludf.DUMMYFUNCTION("""COMPUTED_VALUE"""),4.0)</f>
        <v>4</v>
      </c>
      <c r="G2366" s="15" t="str">
        <f>IFERROR(__xludf.DUMMYFUNCTION("""COMPUTED_VALUE"""),"Completa")</f>
        <v>Completa</v>
      </c>
      <c r="H2366" s="16" t="str">
        <f t="array" ref="H2366">_xlfn.XLOOKUP(D2366,Productos[ID_Producto],Productos[Nombre_Producto])</f>
        <v>Costilla de cerdo</v>
      </c>
      <c r="I2366" s="17">
        <f t="array" ref="I2366">_xlfn.XLOOKUP(D2366,Productos[ID_Producto],Productos[Precio_Unitario])</f>
        <v>14.25</v>
      </c>
      <c r="J2366" s="17">
        <f t="shared" si="1"/>
        <v>71.25</v>
      </c>
      <c r="K2366" s="16" t="str">
        <f t="array" ref="K2366">_xlfn.XLOOKUP(C2366,Clientes[ID_Cliente],Clientes[Provincia])</f>
        <v>Córdoba</v>
      </c>
      <c r="L2366" s="16" t="str">
        <f t="array" ref="L2366">CONCATENATE(_xlfn.XLOOKUP(C2366,Clientes[ID_Cliente],Clientes[Provincia]),", Argentina")</f>
        <v>Córdoba, Argentina</v>
      </c>
      <c r="M2366" s="20" t="str">
        <f t="array" ref="M2366">_xlfn.XLOOKUP(F2366,Metodos_De_Pago[ID_Metodo],Metodos_De_Pago[Metodo])</f>
        <v>Mercado Pago</v>
      </c>
      <c r="N2366" s="20" t="str">
        <f t="shared" si="2"/>
        <v>2024 09</v>
      </c>
    </row>
    <row r="2367" ht="22.5" customHeight="1">
      <c r="A2367" s="12">
        <f>IFERROR(__xludf.DUMMYFUNCTION("""COMPUTED_VALUE"""),647.0)</f>
        <v>647</v>
      </c>
      <c r="B2367" s="13">
        <f>IFERROR(__xludf.DUMMYFUNCTION("""COMPUTED_VALUE"""),45562.0)</f>
        <v>45562</v>
      </c>
      <c r="C2367" s="12">
        <f>IFERROR(__xludf.DUMMYFUNCTION("""COMPUTED_VALUE"""),286.0)</f>
        <v>286</v>
      </c>
      <c r="D2367" s="12">
        <f>IFERROR(__xludf.DUMMYFUNCTION("""COMPUTED_VALUE"""),19.0)</f>
        <v>19</v>
      </c>
      <c r="E2367" s="12">
        <f>IFERROR(__xludf.DUMMYFUNCTION("""COMPUTED_VALUE"""),5.0)</f>
        <v>5</v>
      </c>
      <c r="F2367" s="12">
        <f>IFERROR(__xludf.DUMMYFUNCTION("""COMPUTED_VALUE"""),1.0)</f>
        <v>1</v>
      </c>
      <c r="G2367" s="15" t="str">
        <f>IFERROR(__xludf.DUMMYFUNCTION("""COMPUTED_VALUE"""),"Completa")</f>
        <v>Completa</v>
      </c>
      <c r="H2367" s="16" t="str">
        <f t="array" ref="H2367">_xlfn.XLOOKUP(D2367,Productos[ID_Producto],Productos[Nombre_Producto])</f>
        <v>Tomates</v>
      </c>
      <c r="I2367" s="17">
        <f t="array" ref="I2367">_xlfn.XLOOKUP(D2367,Productos[ID_Producto],Productos[Precio_Unitario])</f>
        <v>6.54</v>
      </c>
      <c r="J2367" s="17">
        <f t="shared" si="1"/>
        <v>32.7</v>
      </c>
      <c r="K2367" s="16" t="str">
        <f t="array" ref="K2367">_xlfn.XLOOKUP(C2367,Clientes[ID_Cliente],Clientes[Provincia])</f>
        <v>Córdoba</v>
      </c>
      <c r="L2367" s="16" t="str">
        <f t="array" ref="L2367">CONCATENATE(_xlfn.XLOOKUP(C2367,Clientes[ID_Cliente],Clientes[Provincia]),", Argentina")</f>
        <v>Córdoba, Argentina</v>
      </c>
      <c r="M2367" s="20" t="str">
        <f t="array" ref="M2367">_xlfn.XLOOKUP(F2367,Metodos_De_Pago[ID_Metodo],Metodos_De_Pago[Metodo])</f>
        <v>Efectivo</v>
      </c>
      <c r="N2367" s="20" t="str">
        <f t="shared" si="2"/>
        <v>2024 09</v>
      </c>
    </row>
    <row r="2368" ht="22.5" customHeight="1">
      <c r="A2368" s="12">
        <f>IFERROR(__xludf.DUMMYFUNCTION("""COMPUTED_VALUE"""),1670.0)</f>
        <v>1670</v>
      </c>
      <c r="B2368" s="13">
        <f>IFERROR(__xludf.DUMMYFUNCTION("""COMPUTED_VALUE"""),45562.0)</f>
        <v>45562</v>
      </c>
      <c r="C2368" s="12">
        <f>IFERROR(__xludf.DUMMYFUNCTION("""COMPUTED_VALUE"""),95.0)</f>
        <v>95</v>
      </c>
      <c r="D2368" s="12">
        <f>IFERROR(__xludf.DUMMYFUNCTION("""COMPUTED_VALUE"""),4.0)</f>
        <v>4</v>
      </c>
      <c r="E2368" s="12">
        <f>IFERROR(__xludf.DUMMYFUNCTION("""COMPUTED_VALUE"""),5.0)</f>
        <v>5</v>
      </c>
      <c r="F2368" s="12">
        <f>IFERROR(__xludf.DUMMYFUNCTION("""COMPUTED_VALUE"""),3.0)</f>
        <v>3</v>
      </c>
      <c r="G2368" s="15" t="str">
        <f>IFERROR(__xludf.DUMMYFUNCTION("""COMPUTED_VALUE"""),"Completa")</f>
        <v>Completa</v>
      </c>
      <c r="H2368" s="16" t="str">
        <f t="array" ref="H2368">_xlfn.XLOOKUP(D2368,Productos[ID_Producto],Productos[Nombre_Producto])</f>
        <v>Queso rallado</v>
      </c>
      <c r="I2368" s="17">
        <f t="array" ref="I2368">_xlfn.XLOOKUP(D2368,Productos[ID_Producto],Productos[Precio_Unitario])</f>
        <v>19.23</v>
      </c>
      <c r="J2368" s="17">
        <f t="shared" si="1"/>
        <v>96.15</v>
      </c>
      <c r="K2368" s="16" t="str">
        <f t="array" ref="K2368">_xlfn.XLOOKUP(C2368,Clientes[ID_Cliente],Clientes[Provincia])</f>
        <v>Buenos Aires</v>
      </c>
      <c r="L2368" s="16" t="str">
        <f t="array" ref="L2368">CONCATENATE(_xlfn.XLOOKUP(C2368,Clientes[ID_Cliente],Clientes[Provincia]),", Argentina")</f>
        <v>Buenos Aires, Argentina</v>
      </c>
      <c r="M2368" s="20" t="str">
        <f t="array" ref="M2368">_xlfn.XLOOKUP(F2368,Metodos_De_Pago[ID_Metodo],Metodos_De_Pago[Metodo])</f>
        <v>Tarjeta de Débito</v>
      </c>
      <c r="N2368" s="20" t="str">
        <f t="shared" si="2"/>
        <v>2024 09</v>
      </c>
    </row>
    <row r="2369" ht="22.5" customHeight="1">
      <c r="A2369" s="12">
        <f>IFERROR(__xludf.DUMMYFUNCTION("""COMPUTED_VALUE"""),1946.0)</f>
        <v>1946</v>
      </c>
      <c r="B2369" s="13">
        <f>IFERROR(__xludf.DUMMYFUNCTION("""COMPUTED_VALUE"""),45562.0)</f>
        <v>45562</v>
      </c>
      <c r="C2369" s="12">
        <f>IFERROR(__xludf.DUMMYFUNCTION("""COMPUTED_VALUE"""),277.0)</f>
        <v>277</v>
      </c>
      <c r="D2369" s="12">
        <f>IFERROR(__xludf.DUMMYFUNCTION("""COMPUTED_VALUE"""),2.0)</f>
        <v>2</v>
      </c>
      <c r="E2369" s="12">
        <f>IFERROR(__xludf.DUMMYFUNCTION("""COMPUTED_VALUE"""),5.0)</f>
        <v>5</v>
      </c>
      <c r="F2369" s="12">
        <f>IFERROR(__xludf.DUMMYFUNCTION("""COMPUTED_VALUE"""),3.0)</f>
        <v>3</v>
      </c>
      <c r="G2369" s="15" t="str">
        <f>IFERROR(__xludf.DUMMYFUNCTION("""COMPUTED_VALUE"""),"Completa")</f>
        <v>Completa</v>
      </c>
      <c r="H2369" s="16" t="str">
        <f t="array" ref="H2369">_xlfn.XLOOKUP(D2369,Productos[ID_Producto],Productos[Nombre_Producto])</f>
        <v>Yogur</v>
      </c>
      <c r="I2369" s="17">
        <f t="array" ref="I2369">_xlfn.XLOOKUP(D2369,Productos[ID_Producto],Productos[Precio_Unitario])</f>
        <v>5.21</v>
      </c>
      <c r="J2369" s="17">
        <f t="shared" si="1"/>
        <v>26.05</v>
      </c>
      <c r="K2369" s="16" t="str">
        <f t="array" ref="K2369">_xlfn.XLOOKUP(C2369,Clientes[ID_Cliente],Clientes[Provincia])</f>
        <v>Neuquén</v>
      </c>
      <c r="L2369" s="16" t="str">
        <f t="array" ref="L2369">CONCATENATE(_xlfn.XLOOKUP(C2369,Clientes[ID_Cliente],Clientes[Provincia]),", Argentina")</f>
        <v>Neuquén, Argentina</v>
      </c>
      <c r="M2369" s="20" t="str">
        <f t="array" ref="M2369">_xlfn.XLOOKUP(F2369,Metodos_De_Pago[ID_Metodo],Metodos_De_Pago[Metodo])</f>
        <v>Tarjeta de Débito</v>
      </c>
      <c r="N2369" s="20" t="str">
        <f t="shared" si="2"/>
        <v>2024 09</v>
      </c>
    </row>
    <row r="2370" ht="22.5" customHeight="1">
      <c r="A2370" s="12">
        <f>IFERROR(__xludf.DUMMYFUNCTION("""COMPUTED_VALUE"""),2553.0)</f>
        <v>2553</v>
      </c>
      <c r="B2370" s="13">
        <f>IFERROR(__xludf.DUMMYFUNCTION("""COMPUTED_VALUE"""),45562.0)</f>
        <v>45562</v>
      </c>
      <c r="C2370" s="12">
        <f>IFERROR(__xludf.DUMMYFUNCTION("""COMPUTED_VALUE"""),120.0)</f>
        <v>120</v>
      </c>
      <c r="D2370" s="12">
        <f>IFERROR(__xludf.DUMMYFUNCTION("""COMPUTED_VALUE"""),3.0)</f>
        <v>3</v>
      </c>
      <c r="E2370" s="12">
        <f>IFERROR(__xludf.DUMMYFUNCTION("""COMPUTED_VALUE"""),5.0)</f>
        <v>5</v>
      </c>
      <c r="F2370" s="12">
        <f>IFERROR(__xludf.DUMMYFUNCTION("""COMPUTED_VALUE"""),4.0)</f>
        <v>4</v>
      </c>
      <c r="G2370" s="15" t="str">
        <f>IFERROR(__xludf.DUMMYFUNCTION("""COMPUTED_VALUE"""),"Completa")</f>
        <v>Completa</v>
      </c>
      <c r="H2370" s="16" t="str">
        <f t="array" ref="H2370">_xlfn.XLOOKUP(D2370,Productos[ID_Producto],Productos[Nombre_Producto])</f>
        <v>Queso cremoso</v>
      </c>
      <c r="I2370" s="17">
        <f t="array" ref="I2370">_xlfn.XLOOKUP(D2370,Productos[ID_Producto],Productos[Precio_Unitario])</f>
        <v>17.23</v>
      </c>
      <c r="J2370" s="17">
        <f t="shared" si="1"/>
        <v>86.15</v>
      </c>
      <c r="K2370" s="16" t="str">
        <f t="array" ref="K2370">_xlfn.XLOOKUP(C2370,Clientes[ID_Cliente],Clientes[Provincia])</f>
        <v>Buenos Aires</v>
      </c>
      <c r="L2370" s="16" t="str">
        <f t="array" ref="L2370">CONCATENATE(_xlfn.XLOOKUP(C2370,Clientes[ID_Cliente],Clientes[Provincia]),", Argentina")</f>
        <v>Buenos Aires, Argentina</v>
      </c>
      <c r="M2370" s="20" t="str">
        <f t="array" ref="M2370">_xlfn.XLOOKUP(F2370,Metodos_De_Pago[ID_Metodo],Metodos_De_Pago[Metodo])</f>
        <v>Mercado Pago</v>
      </c>
      <c r="N2370" s="20" t="str">
        <f t="shared" si="2"/>
        <v>2024 09</v>
      </c>
    </row>
    <row r="2371" ht="22.5" customHeight="1">
      <c r="A2371" s="12">
        <f>IFERROR(__xludf.DUMMYFUNCTION("""COMPUTED_VALUE"""),233.0)</f>
        <v>233</v>
      </c>
      <c r="B2371" s="13">
        <f>IFERROR(__xludf.DUMMYFUNCTION("""COMPUTED_VALUE"""),45563.0)</f>
        <v>45563</v>
      </c>
      <c r="C2371" s="12">
        <f>IFERROR(__xludf.DUMMYFUNCTION("""COMPUTED_VALUE"""),315.0)</f>
        <v>315</v>
      </c>
      <c r="D2371" s="12">
        <f>IFERROR(__xludf.DUMMYFUNCTION("""COMPUTED_VALUE"""),10.0)</f>
        <v>10</v>
      </c>
      <c r="E2371" s="12">
        <f>IFERROR(__xludf.DUMMYFUNCTION("""COMPUTED_VALUE"""),5.0)</f>
        <v>5</v>
      </c>
      <c r="F2371" s="12">
        <f>IFERROR(__xludf.DUMMYFUNCTION("""COMPUTED_VALUE"""),5.0)</f>
        <v>5</v>
      </c>
      <c r="G2371" s="15" t="str">
        <f>IFERROR(__xludf.DUMMYFUNCTION("""COMPUTED_VALUE"""),"Completa")</f>
        <v>Completa</v>
      </c>
      <c r="H2371" s="16" t="str">
        <f t="array" ref="H2371">_xlfn.XLOOKUP(D2371,Productos[ID_Producto],Productos[Nombre_Producto])</f>
        <v>Costilla de cerdo</v>
      </c>
      <c r="I2371" s="17">
        <f t="array" ref="I2371">_xlfn.XLOOKUP(D2371,Productos[ID_Producto],Productos[Precio_Unitario])</f>
        <v>14.25</v>
      </c>
      <c r="J2371" s="17">
        <f t="shared" si="1"/>
        <v>71.25</v>
      </c>
      <c r="K2371" s="16" t="str">
        <f t="array" ref="K2371">_xlfn.XLOOKUP(C2371,Clientes[ID_Cliente],Clientes[Provincia])</f>
        <v>Buenos Aires</v>
      </c>
      <c r="L2371" s="16" t="str">
        <f t="array" ref="L2371">CONCATENATE(_xlfn.XLOOKUP(C2371,Clientes[ID_Cliente],Clientes[Provincia]),", Argentina")</f>
        <v>Buenos Aires, Argentina</v>
      </c>
      <c r="M2371" s="20" t="str">
        <f t="array" ref="M2371">_xlfn.XLOOKUP(F2371,Metodos_De_Pago[ID_Metodo],Metodos_De_Pago[Metodo])</f>
        <v>Transferencia</v>
      </c>
      <c r="N2371" s="20" t="str">
        <f t="shared" si="2"/>
        <v>2024 09</v>
      </c>
    </row>
    <row r="2372" ht="22.5" customHeight="1">
      <c r="A2372" s="12">
        <f>IFERROR(__xludf.DUMMYFUNCTION("""COMPUTED_VALUE"""),1179.0)</f>
        <v>1179</v>
      </c>
      <c r="B2372" s="13">
        <f>IFERROR(__xludf.DUMMYFUNCTION("""COMPUTED_VALUE"""),45563.0)</f>
        <v>45563</v>
      </c>
      <c r="C2372" s="12">
        <f>IFERROR(__xludf.DUMMYFUNCTION("""COMPUTED_VALUE"""),98.0)</f>
        <v>98</v>
      </c>
      <c r="D2372" s="12">
        <f>IFERROR(__xludf.DUMMYFUNCTION("""COMPUTED_VALUE"""),10.0)</f>
        <v>10</v>
      </c>
      <c r="E2372" s="12">
        <f>IFERROR(__xludf.DUMMYFUNCTION("""COMPUTED_VALUE"""),5.0)</f>
        <v>5</v>
      </c>
      <c r="F2372" s="12">
        <f>IFERROR(__xludf.DUMMYFUNCTION("""COMPUTED_VALUE"""),4.0)</f>
        <v>4</v>
      </c>
      <c r="G2372" s="15" t="str">
        <f>IFERROR(__xludf.DUMMYFUNCTION("""COMPUTED_VALUE"""),"Completa")</f>
        <v>Completa</v>
      </c>
      <c r="H2372" s="16" t="str">
        <f t="array" ref="H2372">_xlfn.XLOOKUP(D2372,Productos[ID_Producto],Productos[Nombre_Producto])</f>
        <v>Costilla de cerdo</v>
      </c>
      <c r="I2372" s="17">
        <f t="array" ref="I2372">_xlfn.XLOOKUP(D2372,Productos[ID_Producto],Productos[Precio_Unitario])</f>
        <v>14.25</v>
      </c>
      <c r="J2372" s="17">
        <f t="shared" si="1"/>
        <v>71.25</v>
      </c>
      <c r="K2372" s="16" t="str">
        <f t="array" ref="K2372">_xlfn.XLOOKUP(C2372,Clientes[ID_Cliente],Clientes[Provincia])</f>
        <v>Córdoba</v>
      </c>
      <c r="L2372" s="16" t="str">
        <f t="array" ref="L2372">CONCATENATE(_xlfn.XLOOKUP(C2372,Clientes[ID_Cliente],Clientes[Provincia]),", Argentina")</f>
        <v>Córdoba, Argentina</v>
      </c>
      <c r="M2372" s="20" t="str">
        <f t="array" ref="M2372">_xlfn.XLOOKUP(F2372,Metodos_De_Pago[ID_Metodo],Metodos_De_Pago[Metodo])</f>
        <v>Mercado Pago</v>
      </c>
      <c r="N2372" s="20" t="str">
        <f t="shared" si="2"/>
        <v>2024 09</v>
      </c>
    </row>
    <row r="2373" ht="22.5" customHeight="1">
      <c r="A2373" s="12">
        <f>IFERROR(__xludf.DUMMYFUNCTION("""COMPUTED_VALUE"""),745.0)</f>
        <v>745</v>
      </c>
      <c r="B2373" s="13">
        <f>IFERROR(__xludf.DUMMYFUNCTION("""COMPUTED_VALUE"""),45564.0)</f>
        <v>45564</v>
      </c>
      <c r="C2373" s="12">
        <f>IFERROR(__xludf.DUMMYFUNCTION("""COMPUTED_VALUE"""),230.0)</f>
        <v>230</v>
      </c>
      <c r="D2373" s="12">
        <f>IFERROR(__xludf.DUMMYFUNCTION("""COMPUTED_VALUE"""),9.0)</f>
        <v>9</v>
      </c>
      <c r="E2373" s="12">
        <f>IFERROR(__xludf.DUMMYFUNCTION("""COMPUTED_VALUE"""),5.0)</f>
        <v>5</v>
      </c>
      <c r="F2373" s="12">
        <f>IFERROR(__xludf.DUMMYFUNCTION("""COMPUTED_VALUE"""),5.0)</f>
        <v>5</v>
      </c>
      <c r="G2373" s="15" t="str">
        <f>IFERROR(__xludf.DUMMYFUNCTION("""COMPUTED_VALUE"""),"Completa")</f>
        <v>Completa</v>
      </c>
      <c r="H2373" s="16" t="str">
        <f t="array" ref="H2373">_xlfn.XLOOKUP(D2373,Productos[ID_Producto],Productos[Nombre_Producto])</f>
        <v>Pollo</v>
      </c>
      <c r="I2373" s="17">
        <f t="array" ref="I2373">_xlfn.XLOOKUP(D2373,Productos[ID_Producto],Productos[Precio_Unitario])</f>
        <v>18.56</v>
      </c>
      <c r="J2373" s="17">
        <f t="shared" si="1"/>
        <v>92.8</v>
      </c>
      <c r="K2373" s="16" t="str">
        <f t="array" ref="K2373">_xlfn.XLOOKUP(C2373,Clientes[ID_Cliente],Clientes[Provincia])</f>
        <v>Córdoba</v>
      </c>
      <c r="L2373" s="16" t="str">
        <f t="array" ref="L2373">CONCATENATE(_xlfn.XLOOKUP(C2373,Clientes[ID_Cliente],Clientes[Provincia]),", Argentina")</f>
        <v>Córdoba, Argentina</v>
      </c>
      <c r="M2373" s="20" t="str">
        <f t="array" ref="M2373">_xlfn.XLOOKUP(F2373,Metodos_De_Pago[ID_Metodo],Metodos_De_Pago[Metodo])</f>
        <v>Transferencia</v>
      </c>
      <c r="N2373" s="20" t="str">
        <f t="shared" si="2"/>
        <v>2024 09</v>
      </c>
    </row>
    <row r="2374" ht="22.5" customHeight="1">
      <c r="A2374" s="12">
        <f>IFERROR(__xludf.DUMMYFUNCTION("""COMPUTED_VALUE"""),2765.0)</f>
        <v>2765</v>
      </c>
      <c r="B2374" s="13">
        <f>IFERROR(__xludf.DUMMYFUNCTION("""COMPUTED_VALUE"""),45564.0)</f>
        <v>45564</v>
      </c>
      <c r="C2374" s="12">
        <f>IFERROR(__xludf.DUMMYFUNCTION("""COMPUTED_VALUE"""),183.0)</f>
        <v>183</v>
      </c>
      <c r="D2374" s="12">
        <f>IFERROR(__xludf.DUMMYFUNCTION("""COMPUTED_VALUE"""),21.0)</f>
        <v>21</v>
      </c>
      <c r="E2374" s="12">
        <f>IFERROR(__xludf.DUMMYFUNCTION("""COMPUTED_VALUE"""),5.0)</f>
        <v>5</v>
      </c>
      <c r="F2374" s="12">
        <f>IFERROR(__xludf.DUMMYFUNCTION("""COMPUTED_VALUE"""),4.0)</f>
        <v>4</v>
      </c>
      <c r="G2374" s="15" t="str">
        <f>IFERROR(__xludf.DUMMYFUNCTION("""COMPUTED_VALUE"""),"Completa")</f>
        <v>Completa</v>
      </c>
      <c r="H2374" s="16" t="str">
        <f t="array" ref="H2374">_xlfn.XLOOKUP(D2374,Productos[ID_Producto],Productos[Nombre_Producto])</f>
        <v>Zanahorias</v>
      </c>
      <c r="I2374" s="17">
        <f t="array" ref="I2374">_xlfn.XLOOKUP(D2374,Productos[ID_Producto],Productos[Precio_Unitario])</f>
        <v>3.25</v>
      </c>
      <c r="J2374" s="17">
        <f t="shared" si="1"/>
        <v>16.25</v>
      </c>
      <c r="K2374" s="16" t="str">
        <f t="array" ref="K2374">_xlfn.XLOOKUP(C2374,Clientes[ID_Cliente],Clientes[Provincia])</f>
        <v>Neuquén</v>
      </c>
      <c r="L2374" s="16" t="str">
        <f t="array" ref="L2374">CONCATENATE(_xlfn.XLOOKUP(C2374,Clientes[ID_Cliente],Clientes[Provincia]),", Argentina")</f>
        <v>Neuquén, Argentina</v>
      </c>
      <c r="M2374" s="20" t="str">
        <f t="array" ref="M2374">_xlfn.XLOOKUP(F2374,Metodos_De_Pago[ID_Metodo],Metodos_De_Pago[Metodo])</f>
        <v>Mercado Pago</v>
      </c>
      <c r="N2374" s="20" t="str">
        <f t="shared" si="2"/>
        <v>2024 09</v>
      </c>
    </row>
    <row r="2375" ht="22.5" customHeight="1">
      <c r="A2375" s="12">
        <f>IFERROR(__xludf.DUMMYFUNCTION("""COMPUTED_VALUE"""),2392.0)</f>
        <v>2392</v>
      </c>
      <c r="B2375" s="13">
        <f>IFERROR(__xludf.DUMMYFUNCTION("""COMPUTED_VALUE"""),45565.0)</f>
        <v>45565</v>
      </c>
      <c r="C2375" s="12">
        <f>IFERROR(__xludf.DUMMYFUNCTION("""COMPUTED_VALUE"""),58.0)</f>
        <v>58</v>
      </c>
      <c r="D2375" s="12">
        <f>IFERROR(__xludf.DUMMYFUNCTION("""COMPUTED_VALUE"""),6.0)</f>
        <v>6</v>
      </c>
      <c r="E2375" s="12">
        <f>IFERROR(__xludf.DUMMYFUNCTION("""COMPUTED_VALUE"""),5.0)</f>
        <v>5</v>
      </c>
      <c r="F2375" s="12">
        <f>IFERROR(__xludf.DUMMYFUNCTION("""COMPUTED_VALUE"""),4.0)</f>
        <v>4</v>
      </c>
      <c r="G2375" s="15" t="str">
        <f>IFERROR(__xludf.DUMMYFUNCTION("""COMPUTED_VALUE"""),"Completa")</f>
        <v>Completa</v>
      </c>
      <c r="H2375" s="16" t="str">
        <f t="array" ref="H2375">_xlfn.XLOOKUP(D2375,Productos[ID_Producto],Productos[Nombre_Producto])</f>
        <v>Asado</v>
      </c>
      <c r="I2375" s="17">
        <f t="array" ref="I2375">_xlfn.XLOOKUP(D2375,Productos[ID_Producto],Productos[Precio_Unitario])</f>
        <v>28.56</v>
      </c>
      <c r="J2375" s="17">
        <f t="shared" si="1"/>
        <v>142.8</v>
      </c>
      <c r="K2375" s="16" t="str">
        <f t="array" ref="K2375">_xlfn.XLOOKUP(C2375,Clientes[ID_Cliente],Clientes[Provincia])</f>
        <v>Buenos Aires</v>
      </c>
      <c r="L2375" s="16" t="str">
        <f t="array" ref="L2375">CONCATENATE(_xlfn.XLOOKUP(C2375,Clientes[ID_Cliente],Clientes[Provincia]),", Argentina")</f>
        <v>Buenos Aires, Argentina</v>
      </c>
      <c r="M2375" s="20" t="str">
        <f t="array" ref="M2375">_xlfn.XLOOKUP(F2375,Metodos_De_Pago[ID_Metodo],Metodos_De_Pago[Metodo])</f>
        <v>Mercado Pago</v>
      </c>
      <c r="N2375" s="20" t="str">
        <f t="shared" si="2"/>
        <v>2024 09</v>
      </c>
    </row>
    <row r="2376" ht="22.5" customHeight="1">
      <c r="A2376" s="12">
        <f>IFERROR(__xludf.DUMMYFUNCTION("""COMPUTED_VALUE"""),2757.0)</f>
        <v>2757</v>
      </c>
      <c r="B2376" s="13">
        <f>IFERROR(__xludf.DUMMYFUNCTION("""COMPUTED_VALUE"""),45566.0)</f>
        <v>45566</v>
      </c>
      <c r="C2376" s="12">
        <f>IFERROR(__xludf.DUMMYFUNCTION("""COMPUTED_VALUE"""),35.0)</f>
        <v>35</v>
      </c>
      <c r="D2376" s="12">
        <f>IFERROR(__xludf.DUMMYFUNCTION("""COMPUTED_VALUE"""),27.0)</f>
        <v>27</v>
      </c>
      <c r="E2376" s="12">
        <f>IFERROR(__xludf.DUMMYFUNCTION("""COMPUTED_VALUE"""),5.0)</f>
        <v>5</v>
      </c>
      <c r="F2376" s="12">
        <f>IFERROR(__xludf.DUMMYFUNCTION("""COMPUTED_VALUE"""),4.0)</f>
        <v>4</v>
      </c>
      <c r="G2376" s="15" t="str">
        <f>IFERROR(__xludf.DUMMYFUNCTION("""COMPUTED_VALUE"""),"Completa")</f>
        <v>Completa</v>
      </c>
      <c r="H2376" s="16" t="str">
        <f t="array" ref="H2376">_xlfn.XLOOKUP(D2376,Productos[ID_Producto],Productos[Nombre_Producto])</f>
        <v>Agua mineral</v>
      </c>
      <c r="I2376" s="17">
        <f t="array" ref="I2376">_xlfn.XLOOKUP(D2376,Productos[ID_Producto],Productos[Precio_Unitario])</f>
        <v>6.21</v>
      </c>
      <c r="J2376" s="17">
        <f t="shared" si="1"/>
        <v>31.05</v>
      </c>
      <c r="K2376" s="16" t="str">
        <f t="array" ref="K2376">_xlfn.XLOOKUP(C2376,Clientes[ID_Cliente],Clientes[Provincia])</f>
        <v>Salta</v>
      </c>
      <c r="L2376" s="16" t="str">
        <f t="array" ref="L2376">CONCATENATE(_xlfn.XLOOKUP(C2376,Clientes[ID_Cliente],Clientes[Provincia]),", Argentina")</f>
        <v>Salta, Argentina</v>
      </c>
      <c r="M2376" s="20" t="str">
        <f t="array" ref="M2376">_xlfn.XLOOKUP(F2376,Metodos_De_Pago[ID_Metodo],Metodos_De_Pago[Metodo])</f>
        <v>Mercado Pago</v>
      </c>
      <c r="N2376" s="20" t="str">
        <f t="shared" si="2"/>
        <v>2024 10</v>
      </c>
    </row>
    <row r="2377" ht="22.5" customHeight="1">
      <c r="A2377" s="12">
        <f>IFERROR(__xludf.DUMMYFUNCTION("""COMPUTED_VALUE"""),517.0)</f>
        <v>517</v>
      </c>
      <c r="B2377" s="13">
        <f>IFERROR(__xludf.DUMMYFUNCTION("""COMPUTED_VALUE"""),45567.0)</f>
        <v>45567</v>
      </c>
      <c r="C2377" s="12">
        <f>IFERROR(__xludf.DUMMYFUNCTION("""COMPUTED_VALUE"""),307.0)</f>
        <v>307</v>
      </c>
      <c r="D2377" s="12">
        <f>IFERROR(__xludf.DUMMYFUNCTION("""COMPUTED_VALUE"""),38.0)</f>
        <v>38</v>
      </c>
      <c r="E2377" s="12">
        <f>IFERROR(__xludf.DUMMYFUNCTION("""COMPUTED_VALUE"""),5.0)</f>
        <v>5</v>
      </c>
      <c r="F2377" s="12">
        <f>IFERROR(__xludf.DUMMYFUNCTION("""COMPUTED_VALUE"""),2.0)</f>
        <v>2</v>
      </c>
      <c r="G2377" s="15" t="str">
        <f>IFERROR(__xludf.DUMMYFUNCTION("""COMPUTED_VALUE"""),"Completa")</f>
        <v>Completa</v>
      </c>
      <c r="H2377" s="16" t="str">
        <f t="array" ref="H2377">_xlfn.XLOOKUP(D2377,Productos[ID_Producto],Productos[Nombre_Producto])</f>
        <v>Atún enlatado</v>
      </c>
      <c r="I2377" s="17">
        <f t="array" ref="I2377">_xlfn.XLOOKUP(D2377,Productos[ID_Producto],Productos[Precio_Unitario])</f>
        <v>6.21</v>
      </c>
      <c r="J2377" s="17">
        <f t="shared" si="1"/>
        <v>31.05</v>
      </c>
      <c r="K2377" s="16" t="str">
        <f t="array" ref="K2377">_xlfn.XLOOKUP(C2377,Clientes[ID_Cliente],Clientes[Provincia])</f>
        <v>San Luis</v>
      </c>
      <c r="L2377" s="16" t="str">
        <f t="array" ref="L2377">CONCATENATE(_xlfn.XLOOKUP(C2377,Clientes[ID_Cliente],Clientes[Provincia]),", Argentina")</f>
        <v>San Luis, Argentina</v>
      </c>
      <c r="M2377" s="20" t="str">
        <f t="array" ref="M2377">_xlfn.XLOOKUP(F2377,Metodos_De_Pago[ID_Metodo],Metodos_De_Pago[Metodo])</f>
        <v>Tarjeta de Crédito</v>
      </c>
      <c r="N2377" s="20" t="str">
        <f t="shared" si="2"/>
        <v>2024 10</v>
      </c>
    </row>
    <row r="2378" ht="22.5" customHeight="1">
      <c r="A2378" s="12">
        <f>IFERROR(__xludf.DUMMYFUNCTION("""COMPUTED_VALUE"""),261.0)</f>
        <v>261</v>
      </c>
      <c r="B2378" s="13">
        <f>IFERROR(__xludf.DUMMYFUNCTION("""COMPUTED_VALUE"""),45568.0)</f>
        <v>45568</v>
      </c>
      <c r="C2378" s="12">
        <f>IFERROR(__xludf.DUMMYFUNCTION("""COMPUTED_VALUE"""),74.0)</f>
        <v>74</v>
      </c>
      <c r="D2378" s="12">
        <f>IFERROR(__xludf.DUMMYFUNCTION("""COMPUTED_VALUE"""),6.0)</f>
        <v>6</v>
      </c>
      <c r="E2378" s="12">
        <f>IFERROR(__xludf.DUMMYFUNCTION("""COMPUTED_VALUE"""),5.0)</f>
        <v>5</v>
      </c>
      <c r="F2378" s="12">
        <f>IFERROR(__xludf.DUMMYFUNCTION("""COMPUTED_VALUE"""),5.0)</f>
        <v>5</v>
      </c>
      <c r="G2378" s="15" t="str">
        <f>IFERROR(__xludf.DUMMYFUNCTION("""COMPUTED_VALUE"""),"Completa")</f>
        <v>Completa</v>
      </c>
      <c r="H2378" s="16" t="str">
        <f t="array" ref="H2378">_xlfn.XLOOKUP(D2378,Productos[ID_Producto],Productos[Nombre_Producto])</f>
        <v>Asado</v>
      </c>
      <c r="I2378" s="17">
        <f t="array" ref="I2378">_xlfn.XLOOKUP(D2378,Productos[ID_Producto],Productos[Precio_Unitario])</f>
        <v>28.56</v>
      </c>
      <c r="J2378" s="17">
        <f t="shared" si="1"/>
        <v>142.8</v>
      </c>
      <c r="K2378" s="16" t="str">
        <f t="array" ref="K2378">_xlfn.XLOOKUP(C2378,Clientes[ID_Cliente],Clientes[Provincia])</f>
        <v>Neuquén</v>
      </c>
      <c r="L2378" s="16" t="str">
        <f t="array" ref="L2378">CONCATENATE(_xlfn.XLOOKUP(C2378,Clientes[ID_Cliente],Clientes[Provincia]),", Argentina")</f>
        <v>Neuquén, Argentina</v>
      </c>
      <c r="M2378" s="20" t="str">
        <f t="array" ref="M2378">_xlfn.XLOOKUP(F2378,Metodos_De_Pago[ID_Metodo],Metodos_De_Pago[Metodo])</f>
        <v>Transferencia</v>
      </c>
      <c r="N2378" s="20" t="str">
        <f t="shared" si="2"/>
        <v>2024 10</v>
      </c>
    </row>
    <row r="2379" ht="22.5" customHeight="1">
      <c r="A2379" s="12">
        <f>IFERROR(__xludf.DUMMYFUNCTION("""COMPUTED_VALUE"""),274.0)</f>
        <v>274</v>
      </c>
      <c r="B2379" s="13">
        <f>IFERROR(__xludf.DUMMYFUNCTION("""COMPUTED_VALUE"""),45568.0)</f>
        <v>45568</v>
      </c>
      <c r="C2379" s="12">
        <f>IFERROR(__xludf.DUMMYFUNCTION("""COMPUTED_VALUE"""),105.0)</f>
        <v>105</v>
      </c>
      <c r="D2379" s="12">
        <f>IFERROR(__xludf.DUMMYFUNCTION("""COMPUTED_VALUE"""),23.0)</f>
        <v>23</v>
      </c>
      <c r="E2379" s="12">
        <f>IFERROR(__xludf.DUMMYFUNCTION("""COMPUTED_VALUE"""),5.0)</f>
        <v>5</v>
      </c>
      <c r="F2379" s="12">
        <f>IFERROR(__xludf.DUMMYFUNCTION("""COMPUTED_VALUE"""),4.0)</f>
        <v>4</v>
      </c>
      <c r="G2379" s="15" t="str">
        <f>IFERROR(__xludf.DUMMYFUNCTION("""COMPUTED_VALUE"""),"Completa")</f>
        <v>Completa</v>
      </c>
      <c r="H2379" s="16" t="str">
        <f t="array" ref="H2379">_xlfn.XLOOKUP(D2379,Productos[ID_Producto],Productos[Nombre_Producto])</f>
        <v>Papas fritas</v>
      </c>
      <c r="I2379" s="17">
        <f t="array" ref="I2379">_xlfn.XLOOKUP(D2379,Productos[ID_Producto],Productos[Precio_Unitario])</f>
        <v>8.23</v>
      </c>
      <c r="J2379" s="17">
        <f t="shared" si="1"/>
        <v>41.15</v>
      </c>
      <c r="K2379" s="16" t="str">
        <f t="array" ref="K2379">_xlfn.XLOOKUP(C2379,Clientes[ID_Cliente],Clientes[Provincia])</f>
        <v>Buenos Aires</v>
      </c>
      <c r="L2379" s="16" t="str">
        <f t="array" ref="L2379">CONCATENATE(_xlfn.XLOOKUP(C2379,Clientes[ID_Cliente],Clientes[Provincia]),", Argentina")</f>
        <v>Buenos Aires, Argentina</v>
      </c>
      <c r="M2379" s="20" t="str">
        <f t="array" ref="M2379">_xlfn.XLOOKUP(F2379,Metodos_De_Pago[ID_Metodo],Metodos_De_Pago[Metodo])</f>
        <v>Mercado Pago</v>
      </c>
      <c r="N2379" s="20" t="str">
        <f t="shared" si="2"/>
        <v>2024 10</v>
      </c>
    </row>
    <row r="2380" ht="22.5" customHeight="1">
      <c r="A2380" s="12">
        <f>IFERROR(__xludf.DUMMYFUNCTION("""COMPUTED_VALUE"""),2041.0)</f>
        <v>2041</v>
      </c>
      <c r="B2380" s="13">
        <f>IFERROR(__xludf.DUMMYFUNCTION("""COMPUTED_VALUE"""),45568.0)</f>
        <v>45568</v>
      </c>
      <c r="C2380" s="12">
        <f>IFERROR(__xludf.DUMMYFUNCTION("""COMPUTED_VALUE"""),219.0)</f>
        <v>219</v>
      </c>
      <c r="D2380" s="12">
        <f>IFERROR(__xludf.DUMMYFUNCTION("""COMPUTED_VALUE"""),28.0)</f>
        <v>28</v>
      </c>
      <c r="E2380" s="12">
        <f>IFERROR(__xludf.DUMMYFUNCTION("""COMPUTED_VALUE"""),5.0)</f>
        <v>5</v>
      </c>
      <c r="F2380" s="12">
        <f>IFERROR(__xludf.DUMMYFUNCTION("""COMPUTED_VALUE"""),5.0)</f>
        <v>5</v>
      </c>
      <c r="G2380" s="15" t="str">
        <f>IFERROR(__xludf.DUMMYFUNCTION("""COMPUTED_VALUE"""),"Completa")</f>
        <v>Completa</v>
      </c>
      <c r="H2380" s="16" t="str">
        <f t="array" ref="H2380">_xlfn.XLOOKUP(D2380,Productos[ID_Producto],Productos[Nombre_Producto])</f>
        <v>Jugos de frutas</v>
      </c>
      <c r="I2380" s="17">
        <f t="array" ref="I2380">_xlfn.XLOOKUP(D2380,Productos[ID_Producto],Productos[Precio_Unitario])</f>
        <v>9.45</v>
      </c>
      <c r="J2380" s="17">
        <f t="shared" si="1"/>
        <v>47.25</v>
      </c>
      <c r="K2380" s="16" t="str">
        <f t="array" ref="K2380">_xlfn.XLOOKUP(C2380,Clientes[ID_Cliente],Clientes[Provincia])</f>
        <v>Neuquén</v>
      </c>
      <c r="L2380" s="16" t="str">
        <f t="array" ref="L2380">CONCATENATE(_xlfn.XLOOKUP(C2380,Clientes[ID_Cliente],Clientes[Provincia]),", Argentina")</f>
        <v>Neuquén, Argentina</v>
      </c>
      <c r="M2380" s="20" t="str">
        <f t="array" ref="M2380">_xlfn.XLOOKUP(F2380,Metodos_De_Pago[ID_Metodo],Metodos_De_Pago[Metodo])</f>
        <v>Transferencia</v>
      </c>
      <c r="N2380" s="20" t="str">
        <f t="shared" si="2"/>
        <v>2024 10</v>
      </c>
    </row>
    <row r="2381" ht="22.5" customHeight="1">
      <c r="A2381" s="12">
        <f>IFERROR(__xludf.DUMMYFUNCTION("""COMPUTED_VALUE"""),2461.0)</f>
        <v>2461</v>
      </c>
      <c r="B2381" s="13">
        <f>IFERROR(__xludf.DUMMYFUNCTION("""COMPUTED_VALUE"""),45568.0)</f>
        <v>45568</v>
      </c>
      <c r="C2381" s="12">
        <f>IFERROR(__xludf.DUMMYFUNCTION("""COMPUTED_VALUE"""),185.0)</f>
        <v>185</v>
      </c>
      <c r="D2381" s="12">
        <f>IFERROR(__xludf.DUMMYFUNCTION("""COMPUTED_VALUE"""),20.0)</f>
        <v>20</v>
      </c>
      <c r="E2381" s="12">
        <f>IFERROR(__xludf.DUMMYFUNCTION("""COMPUTED_VALUE"""),5.0)</f>
        <v>5</v>
      </c>
      <c r="F2381" s="12">
        <f>IFERROR(__xludf.DUMMYFUNCTION("""COMPUTED_VALUE"""),5.0)</f>
        <v>5</v>
      </c>
      <c r="G2381" s="15" t="str">
        <f>IFERROR(__xludf.DUMMYFUNCTION("""COMPUTED_VALUE"""),"Completa")</f>
        <v>Completa</v>
      </c>
      <c r="H2381" s="16" t="str">
        <f t="array" ref="H2381">_xlfn.XLOOKUP(D2381,Productos[ID_Producto],Productos[Nombre_Producto])</f>
        <v>Lechugas</v>
      </c>
      <c r="I2381" s="17">
        <f t="array" ref="I2381">_xlfn.XLOOKUP(D2381,Productos[ID_Producto],Productos[Precio_Unitario])</f>
        <v>4.25</v>
      </c>
      <c r="J2381" s="17">
        <f t="shared" si="1"/>
        <v>21.25</v>
      </c>
      <c r="K2381" s="16" t="str">
        <f t="array" ref="K2381">_xlfn.XLOOKUP(C2381,Clientes[ID_Cliente],Clientes[Provincia])</f>
        <v>Córdoba</v>
      </c>
      <c r="L2381" s="16" t="str">
        <f t="array" ref="L2381">CONCATENATE(_xlfn.XLOOKUP(C2381,Clientes[ID_Cliente],Clientes[Provincia]),", Argentina")</f>
        <v>Córdoba, Argentina</v>
      </c>
      <c r="M2381" s="20" t="str">
        <f t="array" ref="M2381">_xlfn.XLOOKUP(F2381,Metodos_De_Pago[ID_Metodo],Metodos_De_Pago[Metodo])</f>
        <v>Transferencia</v>
      </c>
      <c r="N2381" s="20" t="str">
        <f t="shared" si="2"/>
        <v>2024 10</v>
      </c>
    </row>
    <row r="2382" ht="22.5" customHeight="1">
      <c r="A2382" s="12">
        <f>IFERROR(__xludf.DUMMYFUNCTION("""COMPUTED_VALUE"""),1435.0)</f>
        <v>1435</v>
      </c>
      <c r="B2382" s="13">
        <f>IFERROR(__xludf.DUMMYFUNCTION("""COMPUTED_VALUE"""),45569.0)</f>
        <v>45569</v>
      </c>
      <c r="C2382" s="12">
        <f>IFERROR(__xludf.DUMMYFUNCTION("""COMPUTED_VALUE"""),52.0)</f>
        <v>52</v>
      </c>
      <c r="D2382" s="12">
        <f>IFERROR(__xludf.DUMMYFUNCTION("""COMPUTED_VALUE"""),31.0)</f>
        <v>31</v>
      </c>
      <c r="E2382" s="12">
        <f>IFERROR(__xludf.DUMMYFUNCTION("""COMPUTED_VALUE"""),5.0)</f>
        <v>5</v>
      </c>
      <c r="F2382" s="12">
        <f>IFERROR(__xludf.DUMMYFUNCTION("""COMPUTED_VALUE"""),4.0)</f>
        <v>4</v>
      </c>
      <c r="G2382" s="15" t="str">
        <f>IFERROR(__xludf.DUMMYFUNCTION("""COMPUTED_VALUE"""),"Cancelada")</f>
        <v>Cancelada</v>
      </c>
      <c r="H2382" s="16" t="str">
        <f t="array" ref="H2382">_xlfn.XLOOKUP(D2382,Productos[ID_Producto],Productos[Nombre_Producto])</f>
        <v>Galletitas de agua</v>
      </c>
      <c r="I2382" s="17">
        <f t="array" ref="I2382">_xlfn.XLOOKUP(D2382,Productos[ID_Producto],Productos[Precio_Unitario])</f>
        <v>5.24</v>
      </c>
      <c r="J2382" s="17">
        <f t="shared" si="1"/>
        <v>26.2</v>
      </c>
      <c r="K2382" s="16" t="str">
        <f t="array" ref="K2382">_xlfn.XLOOKUP(C2382,Clientes[ID_Cliente],Clientes[Provincia])</f>
        <v>Neuquén</v>
      </c>
      <c r="L2382" s="16" t="str">
        <f t="array" ref="L2382">CONCATENATE(_xlfn.XLOOKUP(C2382,Clientes[ID_Cliente],Clientes[Provincia]),", Argentina")</f>
        <v>Neuquén, Argentina</v>
      </c>
      <c r="M2382" s="20" t="str">
        <f t="array" ref="M2382">_xlfn.XLOOKUP(F2382,Metodos_De_Pago[ID_Metodo],Metodos_De_Pago[Metodo])</f>
        <v>Mercado Pago</v>
      </c>
      <c r="N2382" s="20" t="str">
        <f t="shared" si="2"/>
        <v>2024 10</v>
      </c>
    </row>
    <row r="2383" ht="22.5" customHeight="1">
      <c r="A2383" s="12">
        <f>IFERROR(__xludf.DUMMYFUNCTION("""COMPUTED_VALUE"""),2202.0)</f>
        <v>2202</v>
      </c>
      <c r="B2383" s="13">
        <f>IFERROR(__xludf.DUMMYFUNCTION("""COMPUTED_VALUE"""),45569.0)</f>
        <v>45569</v>
      </c>
      <c r="C2383" s="12">
        <f>IFERROR(__xludf.DUMMYFUNCTION("""COMPUTED_VALUE"""),276.0)</f>
        <v>276</v>
      </c>
      <c r="D2383" s="12">
        <f>IFERROR(__xludf.DUMMYFUNCTION("""COMPUTED_VALUE"""),6.0)</f>
        <v>6</v>
      </c>
      <c r="E2383" s="12">
        <f>IFERROR(__xludf.DUMMYFUNCTION("""COMPUTED_VALUE"""),5.0)</f>
        <v>5</v>
      </c>
      <c r="F2383" s="12">
        <f>IFERROR(__xludf.DUMMYFUNCTION("""COMPUTED_VALUE"""),5.0)</f>
        <v>5</v>
      </c>
      <c r="G2383" s="15" t="str">
        <f>IFERROR(__xludf.DUMMYFUNCTION("""COMPUTED_VALUE"""),"Completa")</f>
        <v>Completa</v>
      </c>
      <c r="H2383" s="16" t="str">
        <f t="array" ref="H2383">_xlfn.XLOOKUP(D2383,Productos[ID_Producto],Productos[Nombre_Producto])</f>
        <v>Asado</v>
      </c>
      <c r="I2383" s="17">
        <f t="array" ref="I2383">_xlfn.XLOOKUP(D2383,Productos[ID_Producto],Productos[Precio_Unitario])</f>
        <v>28.56</v>
      </c>
      <c r="J2383" s="17">
        <f t="shared" si="1"/>
        <v>142.8</v>
      </c>
      <c r="K2383" s="16" t="str">
        <f t="array" ref="K2383">_xlfn.XLOOKUP(C2383,Clientes[ID_Cliente],Clientes[Provincia])</f>
        <v>Neuquén</v>
      </c>
      <c r="L2383" s="16" t="str">
        <f t="array" ref="L2383">CONCATENATE(_xlfn.XLOOKUP(C2383,Clientes[ID_Cliente],Clientes[Provincia]),", Argentina")</f>
        <v>Neuquén, Argentina</v>
      </c>
      <c r="M2383" s="20" t="str">
        <f t="array" ref="M2383">_xlfn.XLOOKUP(F2383,Metodos_De_Pago[ID_Metodo],Metodos_De_Pago[Metodo])</f>
        <v>Transferencia</v>
      </c>
      <c r="N2383" s="20" t="str">
        <f t="shared" si="2"/>
        <v>2024 10</v>
      </c>
    </row>
    <row r="2384" ht="22.5" customHeight="1">
      <c r="A2384" s="12">
        <f>IFERROR(__xludf.DUMMYFUNCTION("""COMPUTED_VALUE"""),722.0)</f>
        <v>722</v>
      </c>
      <c r="B2384" s="13">
        <f>IFERROR(__xludf.DUMMYFUNCTION("""COMPUTED_VALUE"""),45570.0)</f>
        <v>45570</v>
      </c>
      <c r="C2384" s="12">
        <f>IFERROR(__xludf.DUMMYFUNCTION("""COMPUTED_VALUE"""),136.0)</f>
        <v>136</v>
      </c>
      <c r="D2384" s="12">
        <f>IFERROR(__xludf.DUMMYFUNCTION("""COMPUTED_VALUE"""),31.0)</f>
        <v>31</v>
      </c>
      <c r="E2384" s="12">
        <f>IFERROR(__xludf.DUMMYFUNCTION("""COMPUTED_VALUE"""),5.0)</f>
        <v>5</v>
      </c>
      <c r="F2384" s="12">
        <f>IFERROR(__xludf.DUMMYFUNCTION("""COMPUTED_VALUE"""),4.0)</f>
        <v>4</v>
      </c>
      <c r="G2384" s="15" t="str">
        <f>IFERROR(__xludf.DUMMYFUNCTION("""COMPUTED_VALUE"""),"Completa")</f>
        <v>Completa</v>
      </c>
      <c r="H2384" s="16" t="str">
        <f t="array" ref="H2384">_xlfn.XLOOKUP(D2384,Productos[ID_Producto],Productos[Nombre_Producto])</f>
        <v>Galletitas de agua</v>
      </c>
      <c r="I2384" s="17">
        <f t="array" ref="I2384">_xlfn.XLOOKUP(D2384,Productos[ID_Producto],Productos[Precio_Unitario])</f>
        <v>5.24</v>
      </c>
      <c r="J2384" s="17">
        <f t="shared" si="1"/>
        <v>26.2</v>
      </c>
      <c r="K2384" s="16" t="str">
        <f t="array" ref="K2384">_xlfn.XLOOKUP(C2384,Clientes[ID_Cliente],Clientes[Provincia])</f>
        <v>Neuquén</v>
      </c>
      <c r="L2384" s="16" t="str">
        <f t="array" ref="L2384">CONCATENATE(_xlfn.XLOOKUP(C2384,Clientes[ID_Cliente],Clientes[Provincia]),", Argentina")</f>
        <v>Neuquén, Argentina</v>
      </c>
      <c r="M2384" s="20" t="str">
        <f t="array" ref="M2384">_xlfn.XLOOKUP(F2384,Metodos_De_Pago[ID_Metodo],Metodos_De_Pago[Metodo])</f>
        <v>Mercado Pago</v>
      </c>
      <c r="N2384" s="20" t="str">
        <f t="shared" si="2"/>
        <v>2024 10</v>
      </c>
    </row>
    <row r="2385" ht="22.5" customHeight="1">
      <c r="A2385" s="12">
        <f>IFERROR(__xludf.DUMMYFUNCTION("""COMPUTED_VALUE"""),1635.0)</f>
        <v>1635</v>
      </c>
      <c r="B2385" s="13">
        <f>IFERROR(__xludf.DUMMYFUNCTION("""COMPUTED_VALUE"""),45570.0)</f>
        <v>45570</v>
      </c>
      <c r="C2385" s="12">
        <f>IFERROR(__xludf.DUMMYFUNCTION("""COMPUTED_VALUE"""),94.0)</f>
        <v>94</v>
      </c>
      <c r="D2385" s="12">
        <f>IFERROR(__xludf.DUMMYFUNCTION("""COMPUTED_VALUE"""),20.0)</f>
        <v>20</v>
      </c>
      <c r="E2385" s="12">
        <f>IFERROR(__xludf.DUMMYFUNCTION("""COMPUTED_VALUE"""),5.0)</f>
        <v>5</v>
      </c>
      <c r="F2385" s="12">
        <f>IFERROR(__xludf.DUMMYFUNCTION("""COMPUTED_VALUE"""),1.0)</f>
        <v>1</v>
      </c>
      <c r="G2385" s="15" t="str">
        <f>IFERROR(__xludf.DUMMYFUNCTION("""COMPUTED_VALUE"""),"Completa")</f>
        <v>Completa</v>
      </c>
      <c r="H2385" s="16" t="str">
        <f t="array" ref="H2385">_xlfn.XLOOKUP(D2385,Productos[ID_Producto],Productos[Nombre_Producto])</f>
        <v>Lechugas</v>
      </c>
      <c r="I2385" s="17">
        <f t="array" ref="I2385">_xlfn.XLOOKUP(D2385,Productos[ID_Producto],Productos[Precio_Unitario])</f>
        <v>4.25</v>
      </c>
      <c r="J2385" s="17">
        <f t="shared" si="1"/>
        <v>21.25</v>
      </c>
      <c r="K2385" s="16" t="str">
        <f t="array" ref="K2385">_xlfn.XLOOKUP(C2385,Clientes[ID_Cliente],Clientes[Provincia])</f>
        <v>Córdoba</v>
      </c>
      <c r="L2385" s="16" t="str">
        <f t="array" ref="L2385">CONCATENATE(_xlfn.XLOOKUP(C2385,Clientes[ID_Cliente],Clientes[Provincia]),", Argentina")</f>
        <v>Córdoba, Argentina</v>
      </c>
      <c r="M2385" s="20" t="str">
        <f t="array" ref="M2385">_xlfn.XLOOKUP(F2385,Metodos_De_Pago[ID_Metodo],Metodos_De_Pago[Metodo])</f>
        <v>Efectivo</v>
      </c>
      <c r="N2385" s="20" t="str">
        <f t="shared" si="2"/>
        <v>2024 10</v>
      </c>
    </row>
    <row r="2386" ht="22.5" customHeight="1">
      <c r="A2386" s="12">
        <f>IFERROR(__xludf.DUMMYFUNCTION("""COMPUTED_VALUE"""),2090.0)</f>
        <v>2090</v>
      </c>
      <c r="B2386" s="13">
        <f>IFERROR(__xludf.DUMMYFUNCTION("""COMPUTED_VALUE"""),45570.0)</f>
        <v>45570</v>
      </c>
      <c r="C2386" s="12">
        <f>IFERROR(__xludf.DUMMYFUNCTION("""COMPUTED_VALUE"""),299.0)</f>
        <v>299</v>
      </c>
      <c r="D2386" s="12">
        <f>IFERROR(__xludf.DUMMYFUNCTION("""COMPUTED_VALUE"""),19.0)</f>
        <v>19</v>
      </c>
      <c r="E2386" s="12">
        <f>IFERROR(__xludf.DUMMYFUNCTION("""COMPUTED_VALUE"""),5.0)</f>
        <v>5</v>
      </c>
      <c r="F2386" s="12">
        <f>IFERROR(__xludf.DUMMYFUNCTION("""COMPUTED_VALUE"""),1.0)</f>
        <v>1</v>
      </c>
      <c r="G2386" s="15" t="str">
        <f>IFERROR(__xludf.DUMMYFUNCTION("""COMPUTED_VALUE"""),"Completa")</f>
        <v>Completa</v>
      </c>
      <c r="H2386" s="16" t="str">
        <f t="array" ref="H2386">_xlfn.XLOOKUP(D2386,Productos[ID_Producto],Productos[Nombre_Producto])</f>
        <v>Tomates</v>
      </c>
      <c r="I2386" s="17">
        <f t="array" ref="I2386">_xlfn.XLOOKUP(D2386,Productos[ID_Producto],Productos[Precio_Unitario])</f>
        <v>6.54</v>
      </c>
      <c r="J2386" s="17">
        <f t="shared" si="1"/>
        <v>32.7</v>
      </c>
      <c r="K2386" s="16" t="str">
        <f t="array" ref="K2386">_xlfn.XLOOKUP(C2386,Clientes[ID_Cliente],Clientes[Provincia])</f>
        <v>San Luis</v>
      </c>
      <c r="L2386" s="16" t="str">
        <f t="array" ref="L2386">CONCATENATE(_xlfn.XLOOKUP(C2386,Clientes[ID_Cliente],Clientes[Provincia]),", Argentina")</f>
        <v>San Luis, Argentina</v>
      </c>
      <c r="M2386" s="20" t="str">
        <f t="array" ref="M2386">_xlfn.XLOOKUP(F2386,Metodos_De_Pago[ID_Metodo],Metodos_De_Pago[Metodo])</f>
        <v>Efectivo</v>
      </c>
      <c r="N2386" s="20" t="str">
        <f t="shared" si="2"/>
        <v>2024 10</v>
      </c>
    </row>
    <row r="2387" ht="22.5" customHeight="1">
      <c r="A2387" s="12">
        <f>IFERROR(__xludf.DUMMYFUNCTION("""COMPUTED_VALUE"""),1560.0)</f>
        <v>1560</v>
      </c>
      <c r="B2387" s="13">
        <f>IFERROR(__xludf.DUMMYFUNCTION("""COMPUTED_VALUE"""),45571.0)</f>
        <v>45571</v>
      </c>
      <c r="C2387" s="12">
        <f>IFERROR(__xludf.DUMMYFUNCTION("""COMPUTED_VALUE"""),240.0)</f>
        <v>240</v>
      </c>
      <c r="D2387" s="12">
        <f>IFERROR(__xludf.DUMMYFUNCTION("""COMPUTED_VALUE"""),9.0)</f>
        <v>9</v>
      </c>
      <c r="E2387" s="12">
        <f>IFERROR(__xludf.DUMMYFUNCTION("""COMPUTED_VALUE"""),5.0)</f>
        <v>5</v>
      </c>
      <c r="F2387" s="12">
        <f>IFERROR(__xludf.DUMMYFUNCTION("""COMPUTED_VALUE"""),3.0)</f>
        <v>3</v>
      </c>
      <c r="G2387" s="15" t="str">
        <f>IFERROR(__xludf.DUMMYFUNCTION("""COMPUTED_VALUE"""),"Pendiente")</f>
        <v>Pendiente</v>
      </c>
      <c r="H2387" s="16" t="str">
        <f t="array" ref="H2387">_xlfn.XLOOKUP(D2387,Productos[ID_Producto],Productos[Nombre_Producto])</f>
        <v>Pollo</v>
      </c>
      <c r="I2387" s="17">
        <f t="array" ref="I2387">_xlfn.XLOOKUP(D2387,Productos[ID_Producto],Productos[Precio_Unitario])</f>
        <v>18.56</v>
      </c>
      <c r="J2387" s="17">
        <f t="shared" si="1"/>
        <v>92.8</v>
      </c>
      <c r="K2387" s="16" t="str">
        <f t="array" ref="K2387">_xlfn.XLOOKUP(C2387,Clientes[ID_Cliente],Clientes[Provincia])</f>
        <v>Buenos Aires</v>
      </c>
      <c r="L2387" s="16" t="str">
        <f t="array" ref="L2387">CONCATENATE(_xlfn.XLOOKUP(C2387,Clientes[ID_Cliente],Clientes[Provincia]),", Argentina")</f>
        <v>Buenos Aires, Argentina</v>
      </c>
      <c r="M2387" s="20" t="str">
        <f t="array" ref="M2387">_xlfn.XLOOKUP(F2387,Metodos_De_Pago[ID_Metodo],Metodos_De_Pago[Metodo])</f>
        <v>Tarjeta de Débito</v>
      </c>
      <c r="N2387" s="20" t="str">
        <f t="shared" si="2"/>
        <v>2024 10</v>
      </c>
    </row>
    <row r="2388" ht="22.5" customHeight="1">
      <c r="A2388" s="12">
        <f>IFERROR(__xludf.DUMMYFUNCTION("""COMPUTED_VALUE"""),2122.0)</f>
        <v>2122</v>
      </c>
      <c r="B2388" s="13">
        <f>IFERROR(__xludf.DUMMYFUNCTION("""COMPUTED_VALUE"""),45572.0)</f>
        <v>45572</v>
      </c>
      <c r="C2388" s="12">
        <f>IFERROR(__xludf.DUMMYFUNCTION("""COMPUTED_VALUE"""),120.0)</f>
        <v>120</v>
      </c>
      <c r="D2388" s="12">
        <f>IFERROR(__xludf.DUMMYFUNCTION("""COMPUTED_VALUE"""),2.0)</f>
        <v>2</v>
      </c>
      <c r="E2388" s="12">
        <f>IFERROR(__xludf.DUMMYFUNCTION("""COMPUTED_VALUE"""),5.0)</f>
        <v>5</v>
      </c>
      <c r="F2388" s="12">
        <f>IFERROR(__xludf.DUMMYFUNCTION("""COMPUTED_VALUE"""),5.0)</f>
        <v>5</v>
      </c>
      <c r="G2388" s="15" t="str">
        <f>IFERROR(__xludf.DUMMYFUNCTION("""COMPUTED_VALUE"""),"Completa")</f>
        <v>Completa</v>
      </c>
      <c r="H2388" s="16" t="str">
        <f t="array" ref="H2388">_xlfn.XLOOKUP(D2388,Productos[ID_Producto],Productos[Nombre_Producto])</f>
        <v>Yogur</v>
      </c>
      <c r="I2388" s="17">
        <f t="array" ref="I2388">_xlfn.XLOOKUP(D2388,Productos[ID_Producto],Productos[Precio_Unitario])</f>
        <v>5.21</v>
      </c>
      <c r="J2388" s="17">
        <f t="shared" si="1"/>
        <v>26.05</v>
      </c>
      <c r="K2388" s="16" t="str">
        <f t="array" ref="K2388">_xlfn.XLOOKUP(C2388,Clientes[ID_Cliente],Clientes[Provincia])</f>
        <v>Buenos Aires</v>
      </c>
      <c r="L2388" s="16" t="str">
        <f t="array" ref="L2388">CONCATENATE(_xlfn.XLOOKUP(C2388,Clientes[ID_Cliente],Clientes[Provincia]),", Argentina")</f>
        <v>Buenos Aires, Argentina</v>
      </c>
      <c r="M2388" s="20" t="str">
        <f t="array" ref="M2388">_xlfn.XLOOKUP(F2388,Metodos_De_Pago[ID_Metodo],Metodos_De_Pago[Metodo])</f>
        <v>Transferencia</v>
      </c>
      <c r="N2388" s="20" t="str">
        <f t="shared" si="2"/>
        <v>2024 10</v>
      </c>
    </row>
    <row r="2389" ht="22.5" customHeight="1">
      <c r="A2389" s="12">
        <f>IFERROR(__xludf.DUMMYFUNCTION("""COMPUTED_VALUE"""),553.0)</f>
        <v>553</v>
      </c>
      <c r="B2389" s="13">
        <f>IFERROR(__xludf.DUMMYFUNCTION("""COMPUTED_VALUE"""),45573.0)</f>
        <v>45573</v>
      </c>
      <c r="C2389" s="12">
        <f>IFERROR(__xludf.DUMMYFUNCTION("""COMPUTED_VALUE"""),255.0)</f>
        <v>255</v>
      </c>
      <c r="D2389" s="12">
        <f>IFERROR(__xludf.DUMMYFUNCTION("""COMPUTED_VALUE"""),21.0)</f>
        <v>21</v>
      </c>
      <c r="E2389" s="12">
        <f>IFERROR(__xludf.DUMMYFUNCTION("""COMPUTED_VALUE"""),5.0)</f>
        <v>5</v>
      </c>
      <c r="F2389" s="12">
        <f>IFERROR(__xludf.DUMMYFUNCTION("""COMPUTED_VALUE"""),4.0)</f>
        <v>4</v>
      </c>
      <c r="G2389" s="15" t="str">
        <f>IFERROR(__xludf.DUMMYFUNCTION("""COMPUTED_VALUE"""),"Completa")</f>
        <v>Completa</v>
      </c>
      <c r="H2389" s="16" t="str">
        <f t="array" ref="H2389">_xlfn.XLOOKUP(D2389,Productos[ID_Producto],Productos[Nombre_Producto])</f>
        <v>Zanahorias</v>
      </c>
      <c r="I2389" s="17">
        <f t="array" ref="I2389">_xlfn.XLOOKUP(D2389,Productos[ID_Producto],Productos[Precio_Unitario])</f>
        <v>3.25</v>
      </c>
      <c r="J2389" s="17">
        <f t="shared" si="1"/>
        <v>16.25</v>
      </c>
      <c r="K2389" s="16" t="str">
        <f t="array" ref="K2389">_xlfn.XLOOKUP(C2389,Clientes[ID_Cliente],Clientes[Provincia])</f>
        <v>Buenos Aires</v>
      </c>
      <c r="L2389" s="16" t="str">
        <f t="array" ref="L2389">CONCATENATE(_xlfn.XLOOKUP(C2389,Clientes[ID_Cliente],Clientes[Provincia]),", Argentina")</f>
        <v>Buenos Aires, Argentina</v>
      </c>
      <c r="M2389" s="20" t="str">
        <f t="array" ref="M2389">_xlfn.XLOOKUP(F2389,Metodos_De_Pago[ID_Metodo],Metodos_De_Pago[Metodo])</f>
        <v>Mercado Pago</v>
      </c>
      <c r="N2389" s="20" t="str">
        <f t="shared" si="2"/>
        <v>2024 10</v>
      </c>
    </row>
    <row r="2390" ht="22.5" customHeight="1">
      <c r="A2390" s="12">
        <f>IFERROR(__xludf.DUMMYFUNCTION("""COMPUTED_VALUE"""),769.0)</f>
        <v>769</v>
      </c>
      <c r="B2390" s="13">
        <f>IFERROR(__xludf.DUMMYFUNCTION("""COMPUTED_VALUE"""),45574.0)</f>
        <v>45574</v>
      </c>
      <c r="C2390" s="12">
        <f>IFERROR(__xludf.DUMMYFUNCTION("""COMPUTED_VALUE"""),289.0)</f>
        <v>289</v>
      </c>
      <c r="D2390" s="12">
        <f>IFERROR(__xludf.DUMMYFUNCTION("""COMPUTED_VALUE"""),17.0)</f>
        <v>17</v>
      </c>
      <c r="E2390" s="12">
        <f>IFERROR(__xludf.DUMMYFUNCTION("""COMPUTED_VALUE"""),5.0)</f>
        <v>5</v>
      </c>
      <c r="F2390" s="12">
        <f>IFERROR(__xludf.DUMMYFUNCTION("""COMPUTED_VALUE"""),3.0)</f>
        <v>3</v>
      </c>
      <c r="G2390" s="15" t="str">
        <f>IFERROR(__xludf.DUMMYFUNCTION("""COMPUTED_VALUE"""),"Completa")</f>
        <v>Completa</v>
      </c>
      <c r="H2390" s="16" t="str">
        <f t="array" ref="H2390">_xlfn.XLOOKUP(D2390,Productos[ID_Producto],Productos[Nombre_Producto])</f>
        <v>Manzanas</v>
      </c>
      <c r="I2390" s="17">
        <f t="array" ref="I2390">_xlfn.XLOOKUP(D2390,Productos[ID_Producto],Productos[Precio_Unitario])</f>
        <v>6.54</v>
      </c>
      <c r="J2390" s="17">
        <f t="shared" si="1"/>
        <v>32.7</v>
      </c>
      <c r="K2390" s="16" t="str">
        <f t="array" ref="K2390">_xlfn.XLOOKUP(C2390,Clientes[ID_Cliente],Clientes[Provincia])</f>
        <v>San Luis</v>
      </c>
      <c r="L2390" s="16" t="str">
        <f t="array" ref="L2390">CONCATENATE(_xlfn.XLOOKUP(C2390,Clientes[ID_Cliente],Clientes[Provincia]),", Argentina")</f>
        <v>San Luis, Argentina</v>
      </c>
      <c r="M2390" s="20" t="str">
        <f t="array" ref="M2390">_xlfn.XLOOKUP(F2390,Metodos_De_Pago[ID_Metodo],Metodos_De_Pago[Metodo])</f>
        <v>Tarjeta de Débito</v>
      </c>
      <c r="N2390" s="20" t="str">
        <f t="shared" si="2"/>
        <v>2024 10</v>
      </c>
    </row>
    <row r="2391" ht="22.5" customHeight="1">
      <c r="A2391" s="12">
        <f>IFERROR(__xludf.DUMMYFUNCTION("""COMPUTED_VALUE"""),2684.0)</f>
        <v>2684</v>
      </c>
      <c r="B2391" s="13">
        <f>IFERROR(__xludf.DUMMYFUNCTION("""COMPUTED_VALUE"""),45575.0)</f>
        <v>45575</v>
      </c>
      <c r="C2391" s="12">
        <f>IFERROR(__xludf.DUMMYFUNCTION("""COMPUTED_VALUE"""),282.0)</f>
        <v>282</v>
      </c>
      <c r="D2391" s="12">
        <f>IFERROR(__xludf.DUMMYFUNCTION("""COMPUTED_VALUE"""),35.0)</f>
        <v>35</v>
      </c>
      <c r="E2391" s="12">
        <f>IFERROR(__xludf.DUMMYFUNCTION("""COMPUTED_VALUE"""),5.0)</f>
        <v>5</v>
      </c>
      <c r="F2391" s="12">
        <f>IFERROR(__xludf.DUMMYFUNCTION("""COMPUTED_VALUE"""),2.0)</f>
        <v>2</v>
      </c>
      <c r="G2391" s="15" t="str">
        <f>IFERROR(__xludf.DUMMYFUNCTION("""COMPUTED_VALUE"""),"Completa")</f>
        <v>Completa</v>
      </c>
      <c r="H2391" s="16" t="str">
        <f t="array" ref="H2391">_xlfn.XLOOKUP(D2391,Productos[ID_Producto],Productos[Nombre_Producto])</f>
        <v>Arroz</v>
      </c>
      <c r="I2391" s="17">
        <f t="array" ref="I2391">_xlfn.XLOOKUP(D2391,Productos[ID_Producto],Productos[Precio_Unitario])</f>
        <v>4.25</v>
      </c>
      <c r="J2391" s="17">
        <f t="shared" si="1"/>
        <v>21.25</v>
      </c>
      <c r="K2391" s="16" t="str">
        <f t="array" ref="K2391">_xlfn.XLOOKUP(C2391,Clientes[ID_Cliente],Clientes[Provincia])</f>
        <v>Córdoba</v>
      </c>
      <c r="L2391" s="16" t="str">
        <f t="array" ref="L2391">CONCATENATE(_xlfn.XLOOKUP(C2391,Clientes[ID_Cliente],Clientes[Provincia]),", Argentina")</f>
        <v>Córdoba, Argentina</v>
      </c>
      <c r="M2391" s="20" t="str">
        <f t="array" ref="M2391">_xlfn.XLOOKUP(F2391,Metodos_De_Pago[ID_Metodo],Metodos_De_Pago[Metodo])</f>
        <v>Tarjeta de Crédito</v>
      </c>
      <c r="N2391" s="20" t="str">
        <f t="shared" si="2"/>
        <v>2024 10</v>
      </c>
    </row>
    <row r="2392" ht="22.5" customHeight="1">
      <c r="A2392" s="12">
        <f>IFERROR(__xludf.DUMMYFUNCTION("""COMPUTED_VALUE"""),993.0)</f>
        <v>993</v>
      </c>
      <c r="B2392" s="13">
        <f>IFERROR(__xludf.DUMMYFUNCTION("""COMPUTED_VALUE"""),45576.0)</f>
        <v>45576</v>
      </c>
      <c r="C2392" s="12">
        <f>IFERROR(__xludf.DUMMYFUNCTION("""COMPUTED_VALUE"""),313.0)</f>
        <v>313</v>
      </c>
      <c r="D2392" s="12">
        <f>IFERROR(__xludf.DUMMYFUNCTION("""COMPUTED_VALUE"""),10.0)</f>
        <v>10</v>
      </c>
      <c r="E2392" s="12">
        <f>IFERROR(__xludf.DUMMYFUNCTION("""COMPUTED_VALUE"""),5.0)</f>
        <v>5</v>
      </c>
      <c r="F2392" s="12">
        <f>IFERROR(__xludf.DUMMYFUNCTION("""COMPUTED_VALUE"""),4.0)</f>
        <v>4</v>
      </c>
      <c r="G2392" s="15" t="str">
        <f>IFERROR(__xludf.DUMMYFUNCTION("""COMPUTED_VALUE"""),"Completa")</f>
        <v>Completa</v>
      </c>
      <c r="H2392" s="16" t="str">
        <f t="array" ref="H2392">_xlfn.XLOOKUP(D2392,Productos[ID_Producto],Productos[Nombre_Producto])</f>
        <v>Costilla de cerdo</v>
      </c>
      <c r="I2392" s="17">
        <f t="array" ref="I2392">_xlfn.XLOOKUP(D2392,Productos[ID_Producto],Productos[Precio_Unitario])</f>
        <v>14.25</v>
      </c>
      <c r="J2392" s="17">
        <f t="shared" si="1"/>
        <v>71.25</v>
      </c>
      <c r="K2392" s="16" t="str">
        <f t="array" ref="K2392">_xlfn.XLOOKUP(C2392,Clientes[ID_Cliente],Clientes[Provincia])</f>
        <v>San Luis</v>
      </c>
      <c r="L2392" s="16" t="str">
        <f t="array" ref="L2392">CONCATENATE(_xlfn.XLOOKUP(C2392,Clientes[ID_Cliente],Clientes[Provincia]),", Argentina")</f>
        <v>San Luis, Argentina</v>
      </c>
      <c r="M2392" s="20" t="str">
        <f t="array" ref="M2392">_xlfn.XLOOKUP(F2392,Metodos_De_Pago[ID_Metodo],Metodos_De_Pago[Metodo])</f>
        <v>Mercado Pago</v>
      </c>
      <c r="N2392" s="20" t="str">
        <f t="shared" si="2"/>
        <v>2024 10</v>
      </c>
    </row>
    <row r="2393" ht="22.5" customHeight="1">
      <c r="A2393" s="12">
        <f>IFERROR(__xludf.DUMMYFUNCTION("""COMPUTED_VALUE"""),2104.0)</f>
        <v>2104</v>
      </c>
      <c r="B2393" s="13">
        <f>IFERROR(__xludf.DUMMYFUNCTION("""COMPUTED_VALUE"""),45576.0)</f>
        <v>45576</v>
      </c>
      <c r="C2393" s="12">
        <f>IFERROR(__xludf.DUMMYFUNCTION("""COMPUTED_VALUE"""),320.0)</f>
        <v>320</v>
      </c>
      <c r="D2393" s="12">
        <f>IFERROR(__xludf.DUMMYFUNCTION("""COMPUTED_VALUE"""),15.0)</f>
        <v>15</v>
      </c>
      <c r="E2393" s="12">
        <f>IFERROR(__xludf.DUMMYFUNCTION("""COMPUTED_VALUE"""),5.0)</f>
        <v>5</v>
      </c>
      <c r="F2393" s="12">
        <f>IFERROR(__xludf.DUMMYFUNCTION("""COMPUTED_VALUE"""),4.0)</f>
        <v>4</v>
      </c>
      <c r="G2393" s="15" t="str">
        <f>IFERROR(__xludf.DUMMYFUNCTION("""COMPUTED_VALUE"""),"Pendiente")</f>
        <v>Pendiente</v>
      </c>
      <c r="H2393" s="16" t="str">
        <f t="array" ref="H2393">_xlfn.XLOOKUP(D2393,Productos[ID_Producto],Productos[Nombre_Producto])</f>
        <v>Medialunas</v>
      </c>
      <c r="I2393" s="17">
        <f t="array" ref="I2393">_xlfn.XLOOKUP(D2393,Productos[ID_Producto],Productos[Precio_Unitario])</f>
        <v>3.51</v>
      </c>
      <c r="J2393" s="17">
        <f t="shared" si="1"/>
        <v>17.55</v>
      </c>
      <c r="K2393" s="16" t="str">
        <f t="array" ref="K2393">_xlfn.XLOOKUP(C2393,Clientes[ID_Cliente],Clientes[Provincia])</f>
        <v>Córdoba</v>
      </c>
      <c r="L2393" s="16" t="str">
        <f t="array" ref="L2393">CONCATENATE(_xlfn.XLOOKUP(C2393,Clientes[ID_Cliente],Clientes[Provincia]),", Argentina")</f>
        <v>Córdoba, Argentina</v>
      </c>
      <c r="M2393" s="20" t="str">
        <f t="array" ref="M2393">_xlfn.XLOOKUP(F2393,Metodos_De_Pago[ID_Metodo],Metodos_De_Pago[Metodo])</f>
        <v>Mercado Pago</v>
      </c>
      <c r="N2393" s="20" t="str">
        <f t="shared" si="2"/>
        <v>2024 10</v>
      </c>
    </row>
    <row r="2394" ht="22.5" customHeight="1">
      <c r="A2394" s="12">
        <f>IFERROR(__xludf.DUMMYFUNCTION("""COMPUTED_VALUE"""),2953.0)</f>
        <v>2953</v>
      </c>
      <c r="B2394" s="13">
        <f>IFERROR(__xludf.DUMMYFUNCTION("""COMPUTED_VALUE"""),45576.0)</f>
        <v>45576</v>
      </c>
      <c r="C2394" s="12">
        <f>IFERROR(__xludf.DUMMYFUNCTION("""COMPUTED_VALUE"""),1.0)</f>
        <v>1</v>
      </c>
      <c r="D2394" s="12">
        <f>IFERROR(__xludf.DUMMYFUNCTION("""COMPUTED_VALUE"""),22.0)</f>
        <v>22</v>
      </c>
      <c r="E2394" s="12">
        <f>IFERROR(__xludf.DUMMYFUNCTION("""COMPUTED_VALUE"""),5.0)</f>
        <v>5</v>
      </c>
      <c r="F2394" s="12">
        <f>IFERROR(__xludf.DUMMYFUNCTION("""COMPUTED_VALUE"""),4.0)</f>
        <v>4</v>
      </c>
      <c r="G2394" s="15" t="str">
        <f>IFERROR(__xludf.DUMMYFUNCTION("""COMPUTED_VALUE"""),"Completa")</f>
        <v>Completa</v>
      </c>
      <c r="H2394" s="16" t="str">
        <f t="array" ref="H2394">_xlfn.XLOOKUP(D2394,Productos[ID_Producto],Productos[Nombre_Producto])</f>
        <v>Cebolla</v>
      </c>
      <c r="I2394" s="17">
        <f t="array" ref="I2394">_xlfn.XLOOKUP(D2394,Productos[ID_Producto],Productos[Precio_Unitario])</f>
        <v>4.21</v>
      </c>
      <c r="J2394" s="17">
        <f t="shared" si="1"/>
        <v>21.05</v>
      </c>
      <c r="K2394" s="16" t="str">
        <f t="array" ref="K2394">_xlfn.XLOOKUP(C2394,Clientes[ID_Cliente],Clientes[Provincia])</f>
        <v>Neuquén</v>
      </c>
      <c r="L2394" s="16" t="str">
        <f t="array" ref="L2394">CONCATENATE(_xlfn.XLOOKUP(C2394,Clientes[ID_Cliente],Clientes[Provincia]),", Argentina")</f>
        <v>Neuquén, Argentina</v>
      </c>
      <c r="M2394" s="20" t="str">
        <f t="array" ref="M2394">_xlfn.XLOOKUP(F2394,Metodos_De_Pago[ID_Metodo],Metodos_De_Pago[Metodo])</f>
        <v>Mercado Pago</v>
      </c>
      <c r="N2394" s="20" t="str">
        <f t="shared" si="2"/>
        <v>2024 10</v>
      </c>
    </row>
    <row r="2395" ht="22.5" customHeight="1">
      <c r="A2395" s="12">
        <f>IFERROR(__xludf.DUMMYFUNCTION("""COMPUTED_VALUE"""),1836.0)</f>
        <v>1836</v>
      </c>
      <c r="B2395" s="13">
        <f>IFERROR(__xludf.DUMMYFUNCTION("""COMPUTED_VALUE"""),45578.0)</f>
        <v>45578</v>
      </c>
      <c r="C2395" s="12">
        <f>IFERROR(__xludf.DUMMYFUNCTION("""COMPUTED_VALUE"""),141.0)</f>
        <v>141</v>
      </c>
      <c r="D2395" s="12">
        <f>IFERROR(__xludf.DUMMYFUNCTION("""COMPUTED_VALUE"""),18.0)</f>
        <v>18</v>
      </c>
      <c r="E2395" s="12">
        <f>IFERROR(__xludf.DUMMYFUNCTION("""COMPUTED_VALUE"""),5.0)</f>
        <v>5</v>
      </c>
      <c r="F2395" s="12">
        <f>IFERROR(__xludf.DUMMYFUNCTION("""COMPUTED_VALUE"""),1.0)</f>
        <v>1</v>
      </c>
      <c r="G2395" s="15" t="str">
        <f>IFERROR(__xludf.DUMMYFUNCTION("""COMPUTED_VALUE"""),"Completa")</f>
        <v>Completa</v>
      </c>
      <c r="H2395" s="16" t="str">
        <f t="array" ref="H2395">_xlfn.XLOOKUP(D2395,Productos[ID_Producto],Productos[Nombre_Producto])</f>
        <v>Bananas</v>
      </c>
      <c r="I2395" s="17">
        <f t="array" ref="I2395">_xlfn.XLOOKUP(D2395,Productos[ID_Producto],Productos[Precio_Unitario])</f>
        <v>7.25</v>
      </c>
      <c r="J2395" s="17">
        <f t="shared" si="1"/>
        <v>36.25</v>
      </c>
      <c r="K2395" s="16" t="str">
        <f t="array" ref="K2395">_xlfn.XLOOKUP(C2395,Clientes[ID_Cliente],Clientes[Provincia])</f>
        <v>Chaco</v>
      </c>
      <c r="L2395" s="16" t="str">
        <f t="array" ref="L2395">CONCATENATE(_xlfn.XLOOKUP(C2395,Clientes[ID_Cliente],Clientes[Provincia]),", Argentina")</f>
        <v>Chaco, Argentina</v>
      </c>
      <c r="M2395" s="20" t="str">
        <f t="array" ref="M2395">_xlfn.XLOOKUP(F2395,Metodos_De_Pago[ID_Metodo],Metodos_De_Pago[Metodo])</f>
        <v>Efectivo</v>
      </c>
      <c r="N2395" s="20" t="str">
        <f t="shared" si="2"/>
        <v>2024 10</v>
      </c>
    </row>
    <row r="2396" ht="22.5" customHeight="1">
      <c r="A2396" s="12">
        <f>IFERROR(__xludf.DUMMYFUNCTION("""COMPUTED_VALUE"""),2370.0)</f>
        <v>2370</v>
      </c>
      <c r="B2396" s="13">
        <f>IFERROR(__xludf.DUMMYFUNCTION("""COMPUTED_VALUE"""),45578.0)</f>
        <v>45578</v>
      </c>
      <c r="C2396" s="12">
        <f>IFERROR(__xludf.DUMMYFUNCTION("""COMPUTED_VALUE"""),19.0)</f>
        <v>19</v>
      </c>
      <c r="D2396" s="12">
        <f>IFERROR(__xludf.DUMMYFUNCTION("""COMPUTED_VALUE"""),28.0)</f>
        <v>28</v>
      </c>
      <c r="E2396" s="12">
        <f>IFERROR(__xludf.DUMMYFUNCTION("""COMPUTED_VALUE"""),5.0)</f>
        <v>5</v>
      </c>
      <c r="F2396" s="12">
        <f>IFERROR(__xludf.DUMMYFUNCTION("""COMPUTED_VALUE"""),2.0)</f>
        <v>2</v>
      </c>
      <c r="G2396" s="15" t="str">
        <f>IFERROR(__xludf.DUMMYFUNCTION("""COMPUTED_VALUE"""),"Completa")</f>
        <v>Completa</v>
      </c>
      <c r="H2396" s="16" t="str">
        <f t="array" ref="H2396">_xlfn.XLOOKUP(D2396,Productos[ID_Producto],Productos[Nombre_Producto])</f>
        <v>Jugos de frutas</v>
      </c>
      <c r="I2396" s="17">
        <f t="array" ref="I2396">_xlfn.XLOOKUP(D2396,Productos[ID_Producto],Productos[Precio_Unitario])</f>
        <v>9.45</v>
      </c>
      <c r="J2396" s="17">
        <f t="shared" si="1"/>
        <v>47.25</v>
      </c>
      <c r="K2396" s="16" t="str">
        <f t="array" ref="K2396">_xlfn.XLOOKUP(C2396,Clientes[ID_Cliente],Clientes[Provincia])</f>
        <v>Córdoba</v>
      </c>
      <c r="L2396" s="16" t="str">
        <f t="array" ref="L2396">CONCATENATE(_xlfn.XLOOKUP(C2396,Clientes[ID_Cliente],Clientes[Provincia]),", Argentina")</f>
        <v>Córdoba, Argentina</v>
      </c>
      <c r="M2396" s="20" t="str">
        <f t="array" ref="M2396">_xlfn.XLOOKUP(F2396,Metodos_De_Pago[ID_Metodo],Metodos_De_Pago[Metodo])</f>
        <v>Tarjeta de Crédito</v>
      </c>
      <c r="N2396" s="20" t="str">
        <f t="shared" si="2"/>
        <v>2024 10</v>
      </c>
    </row>
    <row r="2397" ht="22.5" customHeight="1">
      <c r="A2397" s="12">
        <f>IFERROR(__xludf.DUMMYFUNCTION("""COMPUTED_VALUE"""),564.0)</f>
        <v>564</v>
      </c>
      <c r="B2397" s="13">
        <f>IFERROR(__xludf.DUMMYFUNCTION("""COMPUTED_VALUE"""),45579.0)</f>
        <v>45579</v>
      </c>
      <c r="C2397" s="12">
        <f>IFERROR(__xludf.DUMMYFUNCTION("""COMPUTED_VALUE"""),11.0)</f>
        <v>11</v>
      </c>
      <c r="D2397" s="12">
        <f>IFERROR(__xludf.DUMMYFUNCTION("""COMPUTED_VALUE"""),35.0)</f>
        <v>35</v>
      </c>
      <c r="E2397" s="12">
        <f>IFERROR(__xludf.DUMMYFUNCTION("""COMPUTED_VALUE"""),5.0)</f>
        <v>5</v>
      </c>
      <c r="F2397" s="12">
        <f>IFERROR(__xludf.DUMMYFUNCTION("""COMPUTED_VALUE"""),1.0)</f>
        <v>1</v>
      </c>
      <c r="G2397" s="15" t="str">
        <f>IFERROR(__xludf.DUMMYFUNCTION("""COMPUTED_VALUE"""),"Completa")</f>
        <v>Completa</v>
      </c>
      <c r="H2397" s="16" t="str">
        <f t="array" ref="H2397">_xlfn.XLOOKUP(D2397,Productos[ID_Producto],Productos[Nombre_Producto])</f>
        <v>Arroz</v>
      </c>
      <c r="I2397" s="17">
        <f t="array" ref="I2397">_xlfn.XLOOKUP(D2397,Productos[ID_Producto],Productos[Precio_Unitario])</f>
        <v>4.25</v>
      </c>
      <c r="J2397" s="17">
        <f t="shared" si="1"/>
        <v>21.25</v>
      </c>
      <c r="K2397" s="16" t="str">
        <f t="array" ref="K2397">_xlfn.XLOOKUP(C2397,Clientes[ID_Cliente],Clientes[Provincia])</f>
        <v>Buenos Aires</v>
      </c>
      <c r="L2397" s="16" t="str">
        <f t="array" ref="L2397">CONCATENATE(_xlfn.XLOOKUP(C2397,Clientes[ID_Cliente],Clientes[Provincia]),", Argentina")</f>
        <v>Buenos Aires, Argentina</v>
      </c>
      <c r="M2397" s="20" t="str">
        <f t="array" ref="M2397">_xlfn.XLOOKUP(F2397,Metodos_De_Pago[ID_Metodo],Metodos_De_Pago[Metodo])</f>
        <v>Efectivo</v>
      </c>
      <c r="N2397" s="20" t="str">
        <f t="shared" si="2"/>
        <v>2024 10</v>
      </c>
    </row>
    <row r="2398" ht="22.5" customHeight="1">
      <c r="A2398" s="12">
        <f>IFERROR(__xludf.DUMMYFUNCTION("""COMPUTED_VALUE"""),1768.0)</f>
        <v>1768</v>
      </c>
      <c r="B2398" s="13">
        <f>IFERROR(__xludf.DUMMYFUNCTION("""COMPUTED_VALUE"""),45579.0)</f>
        <v>45579</v>
      </c>
      <c r="C2398" s="12">
        <f>IFERROR(__xludf.DUMMYFUNCTION("""COMPUTED_VALUE"""),260.0)</f>
        <v>260</v>
      </c>
      <c r="D2398" s="12">
        <f>IFERROR(__xludf.DUMMYFUNCTION("""COMPUTED_VALUE"""),21.0)</f>
        <v>21</v>
      </c>
      <c r="E2398" s="12">
        <f>IFERROR(__xludf.DUMMYFUNCTION("""COMPUTED_VALUE"""),5.0)</f>
        <v>5</v>
      </c>
      <c r="F2398" s="12">
        <f>IFERROR(__xludf.DUMMYFUNCTION("""COMPUTED_VALUE"""),4.0)</f>
        <v>4</v>
      </c>
      <c r="G2398" s="15" t="str">
        <f>IFERROR(__xludf.DUMMYFUNCTION("""COMPUTED_VALUE"""),"Completa")</f>
        <v>Completa</v>
      </c>
      <c r="H2398" s="16" t="str">
        <f t="array" ref="H2398">_xlfn.XLOOKUP(D2398,Productos[ID_Producto],Productos[Nombre_Producto])</f>
        <v>Zanahorias</v>
      </c>
      <c r="I2398" s="17">
        <f t="array" ref="I2398">_xlfn.XLOOKUP(D2398,Productos[ID_Producto],Productos[Precio_Unitario])</f>
        <v>3.25</v>
      </c>
      <c r="J2398" s="17">
        <f t="shared" si="1"/>
        <v>16.25</v>
      </c>
      <c r="K2398" s="16" t="str">
        <f t="array" ref="K2398">_xlfn.XLOOKUP(C2398,Clientes[ID_Cliente],Clientes[Provincia])</f>
        <v>Buenos Aires</v>
      </c>
      <c r="L2398" s="16" t="str">
        <f t="array" ref="L2398">CONCATENATE(_xlfn.XLOOKUP(C2398,Clientes[ID_Cliente],Clientes[Provincia]),", Argentina")</f>
        <v>Buenos Aires, Argentina</v>
      </c>
      <c r="M2398" s="20" t="str">
        <f t="array" ref="M2398">_xlfn.XLOOKUP(F2398,Metodos_De_Pago[ID_Metodo],Metodos_De_Pago[Metodo])</f>
        <v>Mercado Pago</v>
      </c>
      <c r="N2398" s="20" t="str">
        <f t="shared" si="2"/>
        <v>2024 10</v>
      </c>
    </row>
    <row r="2399" ht="22.5" customHeight="1">
      <c r="A2399" s="12">
        <f>IFERROR(__xludf.DUMMYFUNCTION("""COMPUTED_VALUE"""),2374.0)</f>
        <v>2374</v>
      </c>
      <c r="B2399" s="13">
        <f>IFERROR(__xludf.DUMMYFUNCTION("""COMPUTED_VALUE"""),45579.0)</f>
        <v>45579</v>
      </c>
      <c r="C2399" s="12">
        <f>IFERROR(__xludf.DUMMYFUNCTION("""COMPUTED_VALUE"""),8.0)</f>
        <v>8</v>
      </c>
      <c r="D2399" s="12">
        <f>IFERROR(__xludf.DUMMYFUNCTION("""COMPUTED_VALUE"""),2.0)</f>
        <v>2</v>
      </c>
      <c r="E2399" s="12">
        <f>IFERROR(__xludf.DUMMYFUNCTION("""COMPUTED_VALUE"""),5.0)</f>
        <v>5</v>
      </c>
      <c r="F2399" s="12">
        <f>IFERROR(__xludf.DUMMYFUNCTION("""COMPUTED_VALUE"""),5.0)</f>
        <v>5</v>
      </c>
      <c r="G2399" s="15" t="str">
        <f>IFERROR(__xludf.DUMMYFUNCTION("""COMPUTED_VALUE"""),"Completa")</f>
        <v>Completa</v>
      </c>
      <c r="H2399" s="16" t="str">
        <f t="array" ref="H2399">_xlfn.XLOOKUP(D2399,Productos[ID_Producto],Productos[Nombre_Producto])</f>
        <v>Yogur</v>
      </c>
      <c r="I2399" s="17">
        <f t="array" ref="I2399">_xlfn.XLOOKUP(D2399,Productos[ID_Producto],Productos[Precio_Unitario])</f>
        <v>5.21</v>
      </c>
      <c r="J2399" s="17">
        <f t="shared" si="1"/>
        <v>26.05</v>
      </c>
      <c r="K2399" s="16" t="str">
        <f t="array" ref="K2399">_xlfn.XLOOKUP(C2399,Clientes[ID_Cliente],Clientes[Provincia])</f>
        <v>Buenos Aires</v>
      </c>
      <c r="L2399" s="16" t="str">
        <f t="array" ref="L2399">CONCATENATE(_xlfn.XLOOKUP(C2399,Clientes[ID_Cliente],Clientes[Provincia]),", Argentina")</f>
        <v>Buenos Aires, Argentina</v>
      </c>
      <c r="M2399" s="20" t="str">
        <f t="array" ref="M2399">_xlfn.XLOOKUP(F2399,Metodos_De_Pago[ID_Metodo],Metodos_De_Pago[Metodo])</f>
        <v>Transferencia</v>
      </c>
      <c r="N2399" s="20" t="str">
        <f t="shared" si="2"/>
        <v>2024 10</v>
      </c>
    </row>
    <row r="2400" ht="22.5" customHeight="1">
      <c r="A2400" s="12">
        <f>IFERROR(__xludf.DUMMYFUNCTION("""COMPUTED_VALUE"""),945.0)</f>
        <v>945</v>
      </c>
      <c r="B2400" s="13">
        <f>IFERROR(__xludf.DUMMYFUNCTION("""COMPUTED_VALUE"""),45580.0)</f>
        <v>45580</v>
      </c>
      <c r="C2400" s="12">
        <f>IFERROR(__xludf.DUMMYFUNCTION("""COMPUTED_VALUE"""),241.0)</f>
        <v>241</v>
      </c>
      <c r="D2400" s="12">
        <f>IFERROR(__xludf.DUMMYFUNCTION("""COMPUTED_VALUE"""),30.0)</f>
        <v>30</v>
      </c>
      <c r="E2400" s="12">
        <f>IFERROR(__xludf.DUMMYFUNCTION("""COMPUTED_VALUE"""),5.0)</f>
        <v>5</v>
      </c>
      <c r="F2400" s="12">
        <f>IFERROR(__xludf.DUMMYFUNCTION("""COMPUTED_VALUE"""),3.0)</f>
        <v>3</v>
      </c>
      <c r="G2400" s="15" t="str">
        <f>IFERROR(__xludf.DUMMYFUNCTION("""COMPUTED_VALUE"""),"Completa")</f>
        <v>Completa</v>
      </c>
      <c r="H2400" s="16" t="str">
        <f t="array" ref="H2400">_xlfn.XLOOKUP(D2400,Productos[ID_Producto],Productos[Nombre_Producto])</f>
        <v>Vino tinto</v>
      </c>
      <c r="I2400" s="17">
        <f t="array" ref="I2400">_xlfn.XLOOKUP(D2400,Productos[ID_Producto],Productos[Precio_Unitario])</f>
        <v>13.54</v>
      </c>
      <c r="J2400" s="17">
        <f t="shared" si="1"/>
        <v>67.7</v>
      </c>
      <c r="K2400" s="16" t="str">
        <f t="array" ref="K2400">_xlfn.XLOOKUP(C2400,Clientes[ID_Cliente],Clientes[Provincia])</f>
        <v>Buenos Aires</v>
      </c>
      <c r="L2400" s="16" t="str">
        <f t="array" ref="L2400">CONCATENATE(_xlfn.XLOOKUP(C2400,Clientes[ID_Cliente],Clientes[Provincia]),", Argentina")</f>
        <v>Buenos Aires, Argentina</v>
      </c>
      <c r="M2400" s="20" t="str">
        <f t="array" ref="M2400">_xlfn.XLOOKUP(F2400,Metodos_De_Pago[ID_Metodo],Metodos_De_Pago[Metodo])</f>
        <v>Tarjeta de Débito</v>
      </c>
      <c r="N2400" s="20" t="str">
        <f t="shared" si="2"/>
        <v>2024 10</v>
      </c>
    </row>
    <row r="2401" ht="22.5" customHeight="1">
      <c r="A2401" s="12">
        <f>IFERROR(__xludf.DUMMYFUNCTION("""COMPUTED_VALUE"""),2120.0)</f>
        <v>2120</v>
      </c>
      <c r="B2401" s="13">
        <f>IFERROR(__xludf.DUMMYFUNCTION("""COMPUTED_VALUE"""),45582.0)</f>
        <v>45582</v>
      </c>
      <c r="C2401" s="12">
        <f>IFERROR(__xludf.DUMMYFUNCTION("""COMPUTED_VALUE"""),316.0)</f>
        <v>316</v>
      </c>
      <c r="D2401" s="12">
        <f>IFERROR(__xludf.DUMMYFUNCTION("""COMPUTED_VALUE"""),13.0)</f>
        <v>13</v>
      </c>
      <c r="E2401" s="12">
        <f>IFERROR(__xludf.DUMMYFUNCTION("""COMPUTED_VALUE"""),5.0)</f>
        <v>5</v>
      </c>
      <c r="F2401" s="12">
        <f>IFERROR(__xludf.DUMMYFUNCTION("""COMPUTED_VALUE"""),3.0)</f>
        <v>3</v>
      </c>
      <c r="G2401" s="15" t="str">
        <f>IFERROR(__xludf.DUMMYFUNCTION("""COMPUTED_VALUE"""),"Completa")</f>
        <v>Completa</v>
      </c>
      <c r="H2401" s="16" t="str">
        <f t="array" ref="H2401">_xlfn.XLOOKUP(D2401,Productos[ID_Producto],Productos[Nombre_Producto])</f>
        <v>Pan integral</v>
      </c>
      <c r="I2401" s="17">
        <f t="array" ref="I2401">_xlfn.XLOOKUP(D2401,Productos[ID_Producto],Productos[Precio_Unitario])</f>
        <v>12.56</v>
      </c>
      <c r="J2401" s="17">
        <f t="shared" si="1"/>
        <v>62.8</v>
      </c>
      <c r="K2401" s="16" t="str">
        <f t="array" ref="K2401">_xlfn.XLOOKUP(C2401,Clientes[ID_Cliente],Clientes[Provincia])</f>
        <v>Córdoba</v>
      </c>
      <c r="L2401" s="16" t="str">
        <f t="array" ref="L2401">CONCATENATE(_xlfn.XLOOKUP(C2401,Clientes[ID_Cliente],Clientes[Provincia]),", Argentina")</f>
        <v>Córdoba, Argentina</v>
      </c>
      <c r="M2401" s="20" t="str">
        <f t="array" ref="M2401">_xlfn.XLOOKUP(F2401,Metodos_De_Pago[ID_Metodo],Metodos_De_Pago[Metodo])</f>
        <v>Tarjeta de Débito</v>
      </c>
      <c r="N2401" s="20" t="str">
        <f t="shared" si="2"/>
        <v>2024 10</v>
      </c>
    </row>
    <row r="2402" ht="22.5" customHeight="1">
      <c r="A2402" s="12">
        <f>IFERROR(__xludf.DUMMYFUNCTION("""COMPUTED_VALUE"""),630.0)</f>
        <v>630</v>
      </c>
      <c r="B2402" s="13">
        <f>IFERROR(__xludf.DUMMYFUNCTION("""COMPUTED_VALUE"""),45583.0)</f>
        <v>45583</v>
      </c>
      <c r="C2402" s="12">
        <f>IFERROR(__xludf.DUMMYFUNCTION("""COMPUTED_VALUE"""),290.0)</f>
        <v>290</v>
      </c>
      <c r="D2402" s="12">
        <f>IFERROR(__xludf.DUMMYFUNCTION("""COMPUTED_VALUE"""),18.0)</f>
        <v>18</v>
      </c>
      <c r="E2402" s="12">
        <f>IFERROR(__xludf.DUMMYFUNCTION("""COMPUTED_VALUE"""),5.0)</f>
        <v>5</v>
      </c>
      <c r="F2402" s="12">
        <f>IFERROR(__xludf.DUMMYFUNCTION("""COMPUTED_VALUE"""),2.0)</f>
        <v>2</v>
      </c>
      <c r="G2402" s="15" t="str">
        <f>IFERROR(__xludf.DUMMYFUNCTION("""COMPUTED_VALUE"""),"Completa")</f>
        <v>Completa</v>
      </c>
      <c r="H2402" s="16" t="str">
        <f t="array" ref="H2402">_xlfn.XLOOKUP(D2402,Productos[ID_Producto],Productos[Nombre_Producto])</f>
        <v>Bananas</v>
      </c>
      <c r="I2402" s="17">
        <f t="array" ref="I2402">_xlfn.XLOOKUP(D2402,Productos[ID_Producto],Productos[Precio_Unitario])</f>
        <v>7.25</v>
      </c>
      <c r="J2402" s="17">
        <f t="shared" si="1"/>
        <v>36.25</v>
      </c>
      <c r="K2402" s="16" t="str">
        <f t="array" ref="K2402">_xlfn.XLOOKUP(C2402,Clientes[ID_Cliente],Clientes[Provincia])</f>
        <v>Buenos Aires</v>
      </c>
      <c r="L2402" s="16" t="str">
        <f t="array" ref="L2402">CONCATENATE(_xlfn.XLOOKUP(C2402,Clientes[ID_Cliente],Clientes[Provincia]),", Argentina")</f>
        <v>Buenos Aires, Argentina</v>
      </c>
      <c r="M2402" s="20" t="str">
        <f t="array" ref="M2402">_xlfn.XLOOKUP(F2402,Metodos_De_Pago[ID_Metodo],Metodos_De_Pago[Metodo])</f>
        <v>Tarjeta de Crédito</v>
      </c>
      <c r="N2402" s="20" t="str">
        <f t="shared" si="2"/>
        <v>2024 10</v>
      </c>
    </row>
    <row r="2403" ht="22.5" customHeight="1">
      <c r="A2403" s="12">
        <f>IFERROR(__xludf.DUMMYFUNCTION("""COMPUTED_VALUE"""),2131.0)</f>
        <v>2131</v>
      </c>
      <c r="B2403" s="13">
        <f>IFERROR(__xludf.DUMMYFUNCTION("""COMPUTED_VALUE"""),45583.0)</f>
        <v>45583</v>
      </c>
      <c r="C2403" s="12">
        <f>IFERROR(__xludf.DUMMYFUNCTION("""COMPUTED_VALUE"""),315.0)</f>
        <v>315</v>
      </c>
      <c r="D2403" s="12">
        <f>IFERROR(__xludf.DUMMYFUNCTION("""COMPUTED_VALUE"""),5.0)</f>
        <v>5</v>
      </c>
      <c r="E2403" s="12">
        <f>IFERROR(__xludf.DUMMYFUNCTION("""COMPUTED_VALUE"""),5.0)</f>
        <v>5</v>
      </c>
      <c r="F2403" s="12">
        <f>IFERROR(__xludf.DUMMYFUNCTION("""COMPUTED_VALUE"""),5.0)</f>
        <v>5</v>
      </c>
      <c r="G2403" s="15" t="str">
        <f>IFERROR(__xludf.DUMMYFUNCTION("""COMPUTED_VALUE"""),"Completa")</f>
        <v>Completa</v>
      </c>
      <c r="H2403" s="16" t="str">
        <f t="array" ref="H2403">_xlfn.XLOOKUP(D2403,Productos[ID_Producto],Productos[Nombre_Producto])</f>
        <v>Manteca</v>
      </c>
      <c r="I2403" s="17">
        <f t="array" ref="I2403">_xlfn.XLOOKUP(D2403,Productos[ID_Producto],Productos[Precio_Unitario])</f>
        <v>5.65</v>
      </c>
      <c r="J2403" s="17">
        <f t="shared" si="1"/>
        <v>28.25</v>
      </c>
      <c r="K2403" s="16" t="str">
        <f t="array" ref="K2403">_xlfn.XLOOKUP(C2403,Clientes[ID_Cliente],Clientes[Provincia])</f>
        <v>Buenos Aires</v>
      </c>
      <c r="L2403" s="16" t="str">
        <f t="array" ref="L2403">CONCATENATE(_xlfn.XLOOKUP(C2403,Clientes[ID_Cliente],Clientes[Provincia]),", Argentina")</f>
        <v>Buenos Aires, Argentina</v>
      </c>
      <c r="M2403" s="20" t="str">
        <f t="array" ref="M2403">_xlfn.XLOOKUP(F2403,Metodos_De_Pago[ID_Metodo],Metodos_De_Pago[Metodo])</f>
        <v>Transferencia</v>
      </c>
      <c r="N2403" s="20" t="str">
        <f t="shared" si="2"/>
        <v>2024 10</v>
      </c>
    </row>
    <row r="2404" ht="22.5" customHeight="1">
      <c r="A2404" s="12">
        <f>IFERROR(__xludf.DUMMYFUNCTION("""COMPUTED_VALUE"""),2386.0)</f>
        <v>2386</v>
      </c>
      <c r="B2404" s="13">
        <f>IFERROR(__xludf.DUMMYFUNCTION("""COMPUTED_VALUE"""),45583.0)</f>
        <v>45583</v>
      </c>
      <c r="C2404" s="12">
        <f>IFERROR(__xludf.DUMMYFUNCTION("""COMPUTED_VALUE"""),102.0)</f>
        <v>102</v>
      </c>
      <c r="D2404" s="12">
        <f>IFERROR(__xludf.DUMMYFUNCTION("""COMPUTED_VALUE"""),15.0)</f>
        <v>15</v>
      </c>
      <c r="E2404" s="12">
        <f>IFERROR(__xludf.DUMMYFUNCTION("""COMPUTED_VALUE"""),5.0)</f>
        <v>5</v>
      </c>
      <c r="F2404" s="12">
        <f>IFERROR(__xludf.DUMMYFUNCTION("""COMPUTED_VALUE"""),5.0)</f>
        <v>5</v>
      </c>
      <c r="G2404" s="15" t="str">
        <f>IFERROR(__xludf.DUMMYFUNCTION("""COMPUTED_VALUE"""),"Completa")</f>
        <v>Completa</v>
      </c>
      <c r="H2404" s="16" t="str">
        <f t="array" ref="H2404">_xlfn.XLOOKUP(D2404,Productos[ID_Producto],Productos[Nombre_Producto])</f>
        <v>Medialunas</v>
      </c>
      <c r="I2404" s="17">
        <f t="array" ref="I2404">_xlfn.XLOOKUP(D2404,Productos[ID_Producto],Productos[Precio_Unitario])</f>
        <v>3.51</v>
      </c>
      <c r="J2404" s="17">
        <f t="shared" si="1"/>
        <v>17.55</v>
      </c>
      <c r="K2404" s="16" t="str">
        <f t="array" ref="K2404">_xlfn.XLOOKUP(C2404,Clientes[ID_Cliente],Clientes[Provincia])</f>
        <v>Neuquén</v>
      </c>
      <c r="L2404" s="16" t="str">
        <f t="array" ref="L2404">CONCATENATE(_xlfn.XLOOKUP(C2404,Clientes[ID_Cliente],Clientes[Provincia]),", Argentina")</f>
        <v>Neuquén, Argentina</v>
      </c>
      <c r="M2404" s="20" t="str">
        <f t="array" ref="M2404">_xlfn.XLOOKUP(F2404,Metodos_De_Pago[ID_Metodo],Metodos_De_Pago[Metodo])</f>
        <v>Transferencia</v>
      </c>
      <c r="N2404" s="20" t="str">
        <f t="shared" si="2"/>
        <v>2024 10</v>
      </c>
    </row>
    <row r="2405" ht="22.5" customHeight="1">
      <c r="A2405" s="12">
        <f>IFERROR(__xludf.DUMMYFUNCTION("""COMPUTED_VALUE"""),2312.0)</f>
        <v>2312</v>
      </c>
      <c r="B2405" s="13">
        <f>IFERROR(__xludf.DUMMYFUNCTION("""COMPUTED_VALUE"""),45584.0)</f>
        <v>45584</v>
      </c>
      <c r="C2405" s="12">
        <f>IFERROR(__xludf.DUMMYFUNCTION("""COMPUTED_VALUE"""),22.0)</f>
        <v>22</v>
      </c>
      <c r="D2405" s="12">
        <f>IFERROR(__xludf.DUMMYFUNCTION("""COMPUTED_VALUE"""),20.0)</f>
        <v>20</v>
      </c>
      <c r="E2405" s="12">
        <f>IFERROR(__xludf.DUMMYFUNCTION("""COMPUTED_VALUE"""),5.0)</f>
        <v>5</v>
      </c>
      <c r="F2405" s="12">
        <f>IFERROR(__xludf.DUMMYFUNCTION("""COMPUTED_VALUE"""),5.0)</f>
        <v>5</v>
      </c>
      <c r="G2405" s="15" t="str">
        <f>IFERROR(__xludf.DUMMYFUNCTION("""COMPUTED_VALUE"""),"Completa")</f>
        <v>Completa</v>
      </c>
      <c r="H2405" s="16" t="str">
        <f t="array" ref="H2405">_xlfn.XLOOKUP(D2405,Productos[ID_Producto],Productos[Nombre_Producto])</f>
        <v>Lechugas</v>
      </c>
      <c r="I2405" s="17">
        <f t="array" ref="I2405">_xlfn.XLOOKUP(D2405,Productos[ID_Producto],Productos[Precio_Unitario])</f>
        <v>4.25</v>
      </c>
      <c r="J2405" s="17">
        <f t="shared" si="1"/>
        <v>21.25</v>
      </c>
      <c r="K2405" s="16" t="str">
        <f t="array" ref="K2405">_xlfn.XLOOKUP(C2405,Clientes[ID_Cliente],Clientes[Provincia])</f>
        <v>Córdoba</v>
      </c>
      <c r="L2405" s="16" t="str">
        <f t="array" ref="L2405">CONCATENATE(_xlfn.XLOOKUP(C2405,Clientes[ID_Cliente],Clientes[Provincia]),", Argentina")</f>
        <v>Córdoba, Argentina</v>
      </c>
      <c r="M2405" s="20" t="str">
        <f t="array" ref="M2405">_xlfn.XLOOKUP(F2405,Metodos_De_Pago[ID_Metodo],Metodos_De_Pago[Metodo])</f>
        <v>Transferencia</v>
      </c>
      <c r="N2405" s="20" t="str">
        <f t="shared" si="2"/>
        <v>2024 10</v>
      </c>
    </row>
    <row r="2406" ht="22.5" customHeight="1">
      <c r="A2406" s="12">
        <f>IFERROR(__xludf.DUMMYFUNCTION("""COMPUTED_VALUE"""),910.0)</f>
        <v>910</v>
      </c>
      <c r="B2406" s="13">
        <f>IFERROR(__xludf.DUMMYFUNCTION("""COMPUTED_VALUE"""),45585.0)</f>
        <v>45585</v>
      </c>
      <c r="C2406" s="12">
        <f>IFERROR(__xludf.DUMMYFUNCTION("""COMPUTED_VALUE"""),208.0)</f>
        <v>208</v>
      </c>
      <c r="D2406" s="12">
        <f>IFERROR(__xludf.DUMMYFUNCTION("""COMPUTED_VALUE"""),24.0)</f>
        <v>24</v>
      </c>
      <c r="E2406" s="12">
        <f>IFERROR(__xludf.DUMMYFUNCTION("""COMPUTED_VALUE"""),5.0)</f>
        <v>5</v>
      </c>
      <c r="F2406" s="12">
        <f>IFERROR(__xludf.DUMMYFUNCTION("""COMPUTED_VALUE"""),5.0)</f>
        <v>5</v>
      </c>
      <c r="G2406" s="15" t="str">
        <f>IFERROR(__xludf.DUMMYFUNCTION("""COMPUTED_VALUE"""),"Completa")</f>
        <v>Completa</v>
      </c>
      <c r="H2406" s="16" t="str">
        <f t="array" ref="H2406">_xlfn.XLOOKUP(D2406,Productos[ID_Producto],Productos[Nombre_Producto])</f>
        <v>Empanadas</v>
      </c>
      <c r="I2406" s="17">
        <f t="array" ref="I2406">_xlfn.XLOOKUP(D2406,Productos[ID_Producto],Productos[Precio_Unitario])</f>
        <v>13.54</v>
      </c>
      <c r="J2406" s="17">
        <f t="shared" si="1"/>
        <v>67.7</v>
      </c>
      <c r="K2406" s="16" t="str">
        <f t="array" ref="K2406">_xlfn.XLOOKUP(C2406,Clientes[ID_Cliente],Clientes[Provincia])</f>
        <v>Buenos Aires</v>
      </c>
      <c r="L2406" s="16" t="str">
        <f t="array" ref="L2406">CONCATENATE(_xlfn.XLOOKUP(C2406,Clientes[ID_Cliente],Clientes[Provincia]),", Argentina")</f>
        <v>Buenos Aires, Argentina</v>
      </c>
      <c r="M2406" s="20" t="str">
        <f t="array" ref="M2406">_xlfn.XLOOKUP(F2406,Metodos_De_Pago[ID_Metodo],Metodos_De_Pago[Metodo])</f>
        <v>Transferencia</v>
      </c>
      <c r="N2406" s="20" t="str">
        <f t="shared" si="2"/>
        <v>2024 10</v>
      </c>
    </row>
    <row r="2407" ht="22.5" customHeight="1">
      <c r="A2407" s="12">
        <f>IFERROR(__xludf.DUMMYFUNCTION("""COMPUTED_VALUE"""),1716.0)</f>
        <v>1716</v>
      </c>
      <c r="B2407" s="13">
        <f>IFERROR(__xludf.DUMMYFUNCTION("""COMPUTED_VALUE"""),45585.0)</f>
        <v>45585</v>
      </c>
      <c r="C2407" s="12">
        <f>IFERROR(__xludf.DUMMYFUNCTION("""COMPUTED_VALUE"""),15.0)</f>
        <v>15</v>
      </c>
      <c r="D2407" s="12">
        <f>IFERROR(__xludf.DUMMYFUNCTION("""COMPUTED_VALUE"""),34.0)</f>
        <v>34</v>
      </c>
      <c r="E2407" s="12">
        <f>IFERROR(__xludf.DUMMYFUNCTION("""COMPUTED_VALUE"""),5.0)</f>
        <v>5</v>
      </c>
      <c r="F2407" s="12">
        <f>IFERROR(__xludf.DUMMYFUNCTION("""COMPUTED_VALUE"""),1.0)</f>
        <v>1</v>
      </c>
      <c r="G2407" s="15" t="str">
        <f>IFERROR(__xludf.DUMMYFUNCTION("""COMPUTED_VALUE"""),"Completa")</f>
        <v>Completa</v>
      </c>
      <c r="H2407" s="16" t="str">
        <f t="array" ref="H2407">_xlfn.XLOOKUP(D2407,Productos[ID_Producto],Productos[Nombre_Producto])</f>
        <v>Maníes</v>
      </c>
      <c r="I2407" s="17">
        <f t="array" ref="I2407">_xlfn.XLOOKUP(D2407,Productos[ID_Producto],Productos[Precio_Unitario])</f>
        <v>5.45</v>
      </c>
      <c r="J2407" s="17">
        <f t="shared" si="1"/>
        <v>27.25</v>
      </c>
      <c r="K2407" s="16" t="str">
        <f t="array" ref="K2407">_xlfn.XLOOKUP(C2407,Clientes[ID_Cliente],Clientes[Provincia])</f>
        <v>Buenos Aires</v>
      </c>
      <c r="L2407" s="16" t="str">
        <f t="array" ref="L2407">CONCATENATE(_xlfn.XLOOKUP(C2407,Clientes[ID_Cliente],Clientes[Provincia]),", Argentina")</f>
        <v>Buenos Aires, Argentina</v>
      </c>
      <c r="M2407" s="20" t="str">
        <f t="array" ref="M2407">_xlfn.XLOOKUP(F2407,Metodos_De_Pago[ID_Metodo],Metodos_De_Pago[Metodo])</f>
        <v>Efectivo</v>
      </c>
      <c r="N2407" s="20" t="str">
        <f t="shared" si="2"/>
        <v>2024 10</v>
      </c>
    </row>
    <row r="2408" ht="22.5" customHeight="1">
      <c r="A2408" s="12">
        <f>IFERROR(__xludf.DUMMYFUNCTION("""COMPUTED_VALUE"""),1911.0)</f>
        <v>1911</v>
      </c>
      <c r="B2408" s="13">
        <f>IFERROR(__xludf.DUMMYFUNCTION("""COMPUTED_VALUE"""),45585.0)</f>
        <v>45585</v>
      </c>
      <c r="C2408" s="12">
        <f>IFERROR(__xludf.DUMMYFUNCTION("""COMPUTED_VALUE"""),64.0)</f>
        <v>64</v>
      </c>
      <c r="D2408" s="12">
        <f>IFERROR(__xludf.DUMMYFUNCTION("""COMPUTED_VALUE"""),10.0)</f>
        <v>10</v>
      </c>
      <c r="E2408" s="12">
        <f>IFERROR(__xludf.DUMMYFUNCTION("""COMPUTED_VALUE"""),5.0)</f>
        <v>5</v>
      </c>
      <c r="F2408" s="12">
        <f>IFERROR(__xludf.DUMMYFUNCTION("""COMPUTED_VALUE"""),4.0)</f>
        <v>4</v>
      </c>
      <c r="G2408" s="15" t="str">
        <f>IFERROR(__xludf.DUMMYFUNCTION("""COMPUTED_VALUE"""),"Pendiente")</f>
        <v>Pendiente</v>
      </c>
      <c r="H2408" s="16" t="str">
        <f t="array" ref="H2408">_xlfn.XLOOKUP(D2408,Productos[ID_Producto],Productos[Nombre_Producto])</f>
        <v>Costilla de cerdo</v>
      </c>
      <c r="I2408" s="17">
        <f t="array" ref="I2408">_xlfn.XLOOKUP(D2408,Productos[ID_Producto],Productos[Precio_Unitario])</f>
        <v>14.25</v>
      </c>
      <c r="J2408" s="17">
        <f t="shared" si="1"/>
        <v>71.25</v>
      </c>
      <c r="K2408" s="16" t="str">
        <f t="array" ref="K2408">_xlfn.XLOOKUP(C2408,Clientes[ID_Cliente],Clientes[Provincia])</f>
        <v>Chaco</v>
      </c>
      <c r="L2408" s="16" t="str">
        <f t="array" ref="L2408">CONCATENATE(_xlfn.XLOOKUP(C2408,Clientes[ID_Cliente],Clientes[Provincia]),", Argentina")</f>
        <v>Chaco, Argentina</v>
      </c>
      <c r="M2408" s="20" t="str">
        <f t="array" ref="M2408">_xlfn.XLOOKUP(F2408,Metodos_De_Pago[ID_Metodo],Metodos_De_Pago[Metodo])</f>
        <v>Mercado Pago</v>
      </c>
      <c r="N2408" s="20" t="str">
        <f t="shared" si="2"/>
        <v>2024 10</v>
      </c>
    </row>
    <row r="2409" ht="22.5" customHeight="1">
      <c r="A2409" s="12">
        <f>IFERROR(__xludf.DUMMYFUNCTION("""COMPUTED_VALUE"""),2781.0)</f>
        <v>2781</v>
      </c>
      <c r="B2409" s="13">
        <f>IFERROR(__xludf.DUMMYFUNCTION("""COMPUTED_VALUE"""),45585.0)</f>
        <v>45585</v>
      </c>
      <c r="C2409" s="12">
        <f>IFERROR(__xludf.DUMMYFUNCTION("""COMPUTED_VALUE"""),224.0)</f>
        <v>224</v>
      </c>
      <c r="D2409" s="12">
        <f>IFERROR(__xludf.DUMMYFUNCTION("""COMPUTED_VALUE"""),25.0)</f>
        <v>25</v>
      </c>
      <c r="E2409" s="12">
        <f>IFERROR(__xludf.DUMMYFUNCTION("""COMPUTED_VALUE"""),5.0)</f>
        <v>5</v>
      </c>
      <c r="F2409" s="12">
        <f>IFERROR(__xludf.DUMMYFUNCTION("""COMPUTED_VALUE"""),5.0)</f>
        <v>5</v>
      </c>
      <c r="G2409" s="15" t="str">
        <f>IFERROR(__xludf.DUMMYFUNCTION("""COMPUTED_VALUE"""),"Completa")</f>
        <v>Completa</v>
      </c>
      <c r="H2409" s="16" t="str">
        <f t="array" ref="H2409">_xlfn.XLOOKUP(D2409,Productos[ID_Producto],Productos[Nombre_Producto])</f>
        <v>Pizza congelada</v>
      </c>
      <c r="I2409" s="17">
        <f t="array" ref="I2409">_xlfn.XLOOKUP(D2409,Productos[ID_Producto],Productos[Precio_Unitario])</f>
        <v>15.45</v>
      </c>
      <c r="J2409" s="17">
        <f t="shared" si="1"/>
        <v>77.25</v>
      </c>
      <c r="K2409" s="16" t="str">
        <f t="array" ref="K2409">_xlfn.XLOOKUP(C2409,Clientes[ID_Cliente],Clientes[Provincia])</f>
        <v>San Luis</v>
      </c>
      <c r="L2409" s="16" t="str">
        <f t="array" ref="L2409">CONCATENATE(_xlfn.XLOOKUP(C2409,Clientes[ID_Cliente],Clientes[Provincia]),", Argentina")</f>
        <v>San Luis, Argentina</v>
      </c>
      <c r="M2409" s="20" t="str">
        <f t="array" ref="M2409">_xlfn.XLOOKUP(F2409,Metodos_De_Pago[ID_Metodo],Metodos_De_Pago[Metodo])</f>
        <v>Transferencia</v>
      </c>
      <c r="N2409" s="20" t="str">
        <f t="shared" si="2"/>
        <v>2024 10</v>
      </c>
    </row>
    <row r="2410" ht="22.5" customHeight="1">
      <c r="A2410" s="12">
        <f>IFERROR(__xludf.DUMMYFUNCTION("""COMPUTED_VALUE"""),1275.0)</f>
        <v>1275</v>
      </c>
      <c r="B2410" s="13">
        <f>IFERROR(__xludf.DUMMYFUNCTION("""COMPUTED_VALUE"""),45586.0)</f>
        <v>45586</v>
      </c>
      <c r="C2410" s="12">
        <f>IFERROR(__xludf.DUMMYFUNCTION("""COMPUTED_VALUE"""),18.0)</f>
        <v>18</v>
      </c>
      <c r="D2410" s="12">
        <f>IFERROR(__xludf.DUMMYFUNCTION("""COMPUTED_VALUE"""),15.0)</f>
        <v>15</v>
      </c>
      <c r="E2410" s="12">
        <f>IFERROR(__xludf.DUMMYFUNCTION("""COMPUTED_VALUE"""),5.0)</f>
        <v>5</v>
      </c>
      <c r="F2410" s="12">
        <f>IFERROR(__xludf.DUMMYFUNCTION("""COMPUTED_VALUE"""),4.0)</f>
        <v>4</v>
      </c>
      <c r="G2410" s="15" t="str">
        <f>IFERROR(__xludf.DUMMYFUNCTION("""COMPUTED_VALUE"""),"Completa")</f>
        <v>Completa</v>
      </c>
      <c r="H2410" s="16" t="str">
        <f t="array" ref="H2410">_xlfn.XLOOKUP(D2410,Productos[ID_Producto],Productos[Nombre_Producto])</f>
        <v>Medialunas</v>
      </c>
      <c r="I2410" s="17">
        <f t="array" ref="I2410">_xlfn.XLOOKUP(D2410,Productos[ID_Producto],Productos[Precio_Unitario])</f>
        <v>3.51</v>
      </c>
      <c r="J2410" s="17">
        <f t="shared" si="1"/>
        <v>17.55</v>
      </c>
      <c r="K2410" s="16" t="str">
        <f t="array" ref="K2410">_xlfn.XLOOKUP(C2410,Clientes[ID_Cliente],Clientes[Provincia])</f>
        <v>Córdoba</v>
      </c>
      <c r="L2410" s="16" t="str">
        <f t="array" ref="L2410">CONCATENATE(_xlfn.XLOOKUP(C2410,Clientes[ID_Cliente],Clientes[Provincia]),", Argentina")</f>
        <v>Córdoba, Argentina</v>
      </c>
      <c r="M2410" s="20" t="str">
        <f t="array" ref="M2410">_xlfn.XLOOKUP(F2410,Metodos_De_Pago[ID_Metodo],Metodos_De_Pago[Metodo])</f>
        <v>Mercado Pago</v>
      </c>
      <c r="N2410" s="20" t="str">
        <f t="shared" si="2"/>
        <v>2024 10</v>
      </c>
    </row>
    <row r="2411" ht="22.5" customHeight="1">
      <c r="A2411" s="12">
        <f>IFERROR(__xludf.DUMMYFUNCTION("""COMPUTED_VALUE"""),760.0)</f>
        <v>760</v>
      </c>
      <c r="B2411" s="13">
        <f>IFERROR(__xludf.DUMMYFUNCTION("""COMPUTED_VALUE"""),45587.0)</f>
        <v>45587</v>
      </c>
      <c r="C2411" s="12">
        <f>IFERROR(__xludf.DUMMYFUNCTION("""COMPUTED_VALUE"""),4.0)</f>
        <v>4</v>
      </c>
      <c r="D2411" s="12">
        <f>IFERROR(__xludf.DUMMYFUNCTION("""COMPUTED_VALUE"""),28.0)</f>
        <v>28</v>
      </c>
      <c r="E2411" s="12">
        <f>IFERROR(__xludf.DUMMYFUNCTION("""COMPUTED_VALUE"""),5.0)</f>
        <v>5</v>
      </c>
      <c r="F2411" s="12">
        <f>IFERROR(__xludf.DUMMYFUNCTION("""COMPUTED_VALUE"""),4.0)</f>
        <v>4</v>
      </c>
      <c r="G2411" s="15" t="str">
        <f>IFERROR(__xludf.DUMMYFUNCTION("""COMPUTED_VALUE"""),"Completa")</f>
        <v>Completa</v>
      </c>
      <c r="H2411" s="16" t="str">
        <f t="array" ref="H2411">_xlfn.XLOOKUP(D2411,Productos[ID_Producto],Productos[Nombre_Producto])</f>
        <v>Jugos de frutas</v>
      </c>
      <c r="I2411" s="17">
        <f t="array" ref="I2411">_xlfn.XLOOKUP(D2411,Productos[ID_Producto],Productos[Precio_Unitario])</f>
        <v>9.45</v>
      </c>
      <c r="J2411" s="17">
        <f t="shared" si="1"/>
        <v>47.25</v>
      </c>
      <c r="K2411" s="16" t="str">
        <f t="array" ref="K2411">_xlfn.XLOOKUP(C2411,Clientes[ID_Cliente],Clientes[Provincia])</f>
        <v>Buenos Aires</v>
      </c>
      <c r="L2411" s="16" t="str">
        <f t="array" ref="L2411">CONCATENATE(_xlfn.XLOOKUP(C2411,Clientes[ID_Cliente],Clientes[Provincia]),", Argentina")</f>
        <v>Buenos Aires, Argentina</v>
      </c>
      <c r="M2411" s="20" t="str">
        <f t="array" ref="M2411">_xlfn.XLOOKUP(F2411,Metodos_De_Pago[ID_Metodo],Metodos_De_Pago[Metodo])</f>
        <v>Mercado Pago</v>
      </c>
      <c r="N2411" s="20" t="str">
        <f t="shared" si="2"/>
        <v>2024 10</v>
      </c>
    </row>
    <row r="2412" ht="22.5" customHeight="1">
      <c r="A2412" s="12">
        <f>IFERROR(__xludf.DUMMYFUNCTION("""COMPUTED_VALUE"""),1191.0)</f>
        <v>1191</v>
      </c>
      <c r="B2412" s="13">
        <f>IFERROR(__xludf.DUMMYFUNCTION("""COMPUTED_VALUE"""),45588.0)</f>
        <v>45588</v>
      </c>
      <c r="C2412" s="12">
        <f>IFERROR(__xludf.DUMMYFUNCTION("""COMPUTED_VALUE"""),285.0)</f>
        <v>285</v>
      </c>
      <c r="D2412" s="12">
        <f>IFERROR(__xludf.DUMMYFUNCTION("""COMPUTED_VALUE"""),10.0)</f>
        <v>10</v>
      </c>
      <c r="E2412" s="12">
        <f>IFERROR(__xludf.DUMMYFUNCTION("""COMPUTED_VALUE"""),5.0)</f>
        <v>5</v>
      </c>
      <c r="F2412" s="12">
        <f>IFERROR(__xludf.DUMMYFUNCTION("""COMPUTED_VALUE"""),1.0)</f>
        <v>1</v>
      </c>
      <c r="G2412" s="15" t="str">
        <f>IFERROR(__xludf.DUMMYFUNCTION("""COMPUTED_VALUE"""),"Completa")</f>
        <v>Completa</v>
      </c>
      <c r="H2412" s="16" t="str">
        <f t="array" ref="H2412">_xlfn.XLOOKUP(D2412,Productos[ID_Producto],Productos[Nombre_Producto])</f>
        <v>Costilla de cerdo</v>
      </c>
      <c r="I2412" s="17">
        <f t="array" ref="I2412">_xlfn.XLOOKUP(D2412,Productos[ID_Producto],Productos[Precio_Unitario])</f>
        <v>14.25</v>
      </c>
      <c r="J2412" s="17">
        <f t="shared" si="1"/>
        <v>71.25</v>
      </c>
      <c r="K2412" s="16" t="str">
        <f t="array" ref="K2412">_xlfn.XLOOKUP(C2412,Clientes[ID_Cliente],Clientes[Provincia])</f>
        <v>Neuquén</v>
      </c>
      <c r="L2412" s="16" t="str">
        <f t="array" ref="L2412">CONCATENATE(_xlfn.XLOOKUP(C2412,Clientes[ID_Cliente],Clientes[Provincia]),", Argentina")</f>
        <v>Neuquén, Argentina</v>
      </c>
      <c r="M2412" s="20" t="str">
        <f t="array" ref="M2412">_xlfn.XLOOKUP(F2412,Metodos_De_Pago[ID_Metodo],Metodos_De_Pago[Metodo])</f>
        <v>Efectivo</v>
      </c>
      <c r="N2412" s="20" t="str">
        <f t="shared" si="2"/>
        <v>2024 10</v>
      </c>
    </row>
    <row r="2413" ht="22.5" customHeight="1">
      <c r="A2413" s="12">
        <f>IFERROR(__xludf.DUMMYFUNCTION("""COMPUTED_VALUE"""),1936.0)</f>
        <v>1936</v>
      </c>
      <c r="B2413" s="13">
        <f>IFERROR(__xludf.DUMMYFUNCTION("""COMPUTED_VALUE"""),45588.0)</f>
        <v>45588</v>
      </c>
      <c r="C2413" s="12">
        <f>IFERROR(__xludf.DUMMYFUNCTION("""COMPUTED_VALUE"""),89.0)</f>
        <v>89</v>
      </c>
      <c r="D2413" s="12">
        <f>IFERROR(__xludf.DUMMYFUNCTION("""COMPUTED_VALUE"""),29.0)</f>
        <v>29</v>
      </c>
      <c r="E2413" s="12">
        <f>IFERROR(__xludf.DUMMYFUNCTION("""COMPUTED_VALUE"""),5.0)</f>
        <v>5</v>
      </c>
      <c r="F2413" s="12">
        <f>IFERROR(__xludf.DUMMYFUNCTION("""COMPUTED_VALUE"""),1.0)</f>
        <v>1</v>
      </c>
      <c r="G2413" s="15" t="str">
        <f>IFERROR(__xludf.DUMMYFUNCTION("""COMPUTED_VALUE"""),"Pendiente")</f>
        <v>Pendiente</v>
      </c>
      <c r="H2413" s="16" t="str">
        <f t="array" ref="H2413">_xlfn.XLOOKUP(D2413,Productos[ID_Producto],Productos[Nombre_Producto])</f>
        <v>Cerveza</v>
      </c>
      <c r="I2413" s="17">
        <f t="array" ref="I2413">_xlfn.XLOOKUP(D2413,Productos[ID_Producto],Productos[Precio_Unitario])</f>
        <v>11.54</v>
      </c>
      <c r="J2413" s="17">
        <f t="shared" si="1"/>
        <v>57.7</v>
      </c>
      <c r="K2413" s="16" t="str">
        <f t="array" ref="K2413">_xlfn.XLOOKUP(C2413,Clientes[ID_Cliente],Clientes[Provincia])</f>
        <v>Neuquén</v>
      </c>
      <c r="L2413" s="16" t="str">
        <f t="array" ref="L2413">CONCATENATE(_xlfn.XLOOKUP(C2413,Clientes[ID_Cliente],Clientes[Provincia]),", Argentina")</f>
        <v>Neuquén, Argentina</v>
      </c>
      <c r="M2413" s="20" t="str">
        <f t="array" ref="M2413">_xlfn.XLOOKUP(F2413,Metodos_De_Pago[ID_Metodo],Metodos_De_Pago[Metodo])</f>
        <v>Efectivo</v>
      </c>
      <c r="N2413" s="20" t="str">
        <f t="shared" si="2"/>
        <v>2024 10</v>
      </c>
    </row>
    <row r="2414" ht="22.5" customHeight="1">
      <c r="A2414" s="12">
        <f>IFERROR(__xludf.DUMMYFUNCTION("""COMPUTED_VALUE"""),2589.0)</f>
        <v>2589</v>
      </c>
      <c r="B2414" s="13">
        <f>IFERROR(__xludf.DUMMYFUNCTION("""COMPUTED_VALUE"""),45588.0)</f>
        <v>45588</v>
      </c>
      <c r="C2414" s="12">
        <f>IFERROR(__xludf.DUMMYFUNCTION("""COMPUTED_VALUE"""),274.0)</f>
        <v>274</v>
      </c>
      <c r="D2414" s="12">
        <f>IFERROR(__xludf.DUMMYFUNCTION("""COMPUTED_VALUE"""),22.0)</f>
        <v>22</v>
      </c>
      <c r="E2414" s="12">
        <f>IFERROR(__xludf.DUMMYFUNCTION("""COMPUTED_VALUE"""),5.0)</f>
        <v>5</v>
      </c>
      <c r="F2414" s="12">
        <f>IFERROR(__xludf.DUMMYFUNCTION("""COMPUTED_VALUE"""),4.0)</f>
        <v>4</v>
      </c>
      <c r="G2414" s="15" t="str">
        <f>IFERROR(__xludf.DUMMYFUNCTION("""COMPUTED_VALUE"""),"Completa")</f>
        <v>Completa</v>
      </c>
      <c r="H2414" s="16" t="str">
        <f t="array" ref="H2414">_xlfn.XLOOKUP(D2414,Productos[ID_Producto],Productos[Nombre_Producto])</f>
        <v>Cebolla</v>
      </c>
      <c r="I2414" s="17">
        <f t="array" ref="I2414">_xlfn.XLOOKUP(D2414,Productos[ID_Producto],Productos[Precio_Unitario])</f>
        <v>4.21</v>
      </c>
      <c r="J2414" s="17">
        <f t="shared" si="1"/>
        <v>21.05</v>
      </c>
      <c r="K2414" s="16" t="str">
        <f t="array" ref="K2414">_xlfn.XLOOKUP(C2414,Clientes[ID_Cliente],Clientes[Provincia])</f>
        <v>Buenos Aires</v>
      </c>
      <c r="L2414" s="16" t="str">
        <f t="array" ref="L2414">CONCATENATE(_xlfn.XLOOKUP(C2414,Clientes[ID_Cliente],Clientes[Provincia]),", Argentina")</f>
        <v>Buenos Aires, Argentina</v>
      </c>
      <c r="M2414" s="20" t="str">
        <f t="array" ref="M2414">_xlfn.XLOOKUP(F2414,Metodos_De_Pago[ID_Metodo],Metodos_De_Pago[Metodo])</f>
        <v>Mercado Pago</v>
      </c>
      <c r="N2414" s="20" t="str">
        <f t="shared" si="2"/>
        <v>2024 10</v>
      </c>
    </row>
    <row r="2415" ht="22.5" customHeight="1">
      <c r="A2415" s="12">
        <f>IFERROR(__xludf.DUMMYFUNCTION("""COMPUTED_VALUE"""),1728.0)</f>
        <v>1728</v>
      </c>
      <c r="B2415" s="13">
        <f>IFERROR(__xludf.DUMMYFUNCTION("""COMPUTED_VALUE"""),45591.0)</f>
        <v>45591</v>
      </c>
      <c r="C2415" s="12">
        <f>IFERROR(__xludf.DUMMYFUNCTION("""COMPUTED_VALUE"""),46.0)</f>
        <v>46</v>
      </c>
      <c r="D2415" s="12">
        <f>IFERROR(__xludf.DUMMYFUNCTION("""COMPUTED_VALUE"""),19.0)</f>
        <v>19</v>
      </c>
      <c r="E2415" s="12">
        <f>IFERROR(__xludf.DUMMYFUNCTION("""COMPUTED_VALUE"""),5.0)</f>
        <v>5</v>
      </c>
      <c r="F2415" s="12">
        <f>IFERROR(__xludf.DUMMYFUNCTION("""COMPUTED_VALUE"""),4.0)</f>
        <v>4</v>
      </c>
      <c r="G2415" s="15" t="str">
        <f>IFERROR(__xludf.DUMMYFUNCTION("""COMPUTED_VALUE"""),"Completa")</f>
        <v>Completa</v>
      </c>
      <c r="H2415" s="16" t="str">
        <f t="array" ref="H2415">_xlfn.XLOOKUP(D2415,Productos[ID_Producto],Productos[Nombre_Producto])</f>
        <v>Tomates</v>
      </c>
      <c r="I2415" s="17">
        <f t="array" ref="I2415">_xlfn.XLOOKUP(D2415,Productos[ID_Producto],Productos[Precio_Unitario])</f>
        <v>6.54</v>
      </c>
      <c r="J2415" s="17">
        <f t="shared" si="1"/>
        <v>32.7</v>
      </c>
      <c r="K2415" s="16" t="str">
        <f t="array" ref="K2415">_xlfn.XLOOKUP(C2415,Clientes[ID_Cliente],Clientes[Provincia])</f>
        <v>Córdoba</v>
      </c>
      <c r="L2415" s="16" t="str">
        <f t="array" ref="L2415">CONCATENATE(_xlfn.XLOOKUP(C2415,Clientes[ID_Cliente],Clientes[Provincia]),", Argentina")</f>
        <v>Córdoba, Argentina</v>
      </c>
      <c r="M2415" s="20" t="str">
        <f t="array" ref="M2415">_xlfn.XLOOKUP(F2415,Metodos_De_Pago[ID_Metodo],Metodos_De_Pago[Metodo])</f>
        <v>Mercado Pago</v>
      </c>
      <c r="N2415" s="20" t="str">
        <f t="shared" si="2"/>
        <v>2024 10</v>
      </c>
    </row>
    <row r="2416" ht="22.5" customHeight="1">
      <c r="A2416" s="12">
        <f>IFERROR(__xludf.DUMMYFUNCTION("""COMPUTED_VALUE"""),2514.0)</f>
        <v>2514</v>
      </c>
      <c r="B2416" s="13">
        <f>IFERROR(__xludf.DUMMYFUNCTION("""COMPUTED_VALUE"""),45591.0)</f>
        <v>45591</v>
      </c>
      <c r="C2416" s="12">
        <f>IFERROR(__xludf.DUMMYFUNCTION("""COMPUTED_VALUE"""),255.0)</f>
        <v>255</v>
      </c>
      <c r="D2416" s="12">
        <f>IFERROR(__xludf.DUMMYFUNCTION("""COMPUTED_VALUE"""),21.0)</f>
        <v>21</v>
      </c>
      <c r="E2416" s="12">
        <f>IFERROR(__xludf.DUMMYFUNCTION("""COMPUTED_VALUE"""),5.0)</f>
        <v>5</v>
      </c>
      <c r="F2416" s="12">
        <f>IFERROR(__xludf.DUMMYFUNCTION("""COMPUTED_VALUE"""),1.0)</f>
        <v>1</v>
      </c>
      <c r="G2416" s="15" t="str">
        <f>IFERROR(__xludf.DUMMYFUNCTION("""COMPUTED_VALUE"""),"Completa")</f>
        <v>Completa</v>
      </c>
      <c r="H2416" s="16" t="str">
        <f t="array" ref="H2416">_xlfn.XLOOKUP(D2416,Productos[ID_Producto],Productos[Nombre_Producto])</f>
        <v>Zanahorias</v>
      </c>
      <c r="I2416" s="17">
        <f t="array" ref="I2416">_xlfn.XLOOKUP(D2416,Productos[ID_Producto],Productos[Precio_Unitario])</f>
        <v>3.25</v>
      </c>
      <c r="J2416" s="17">
        <f t="shared" si="1"/>
        <v>16.25</v>
      </c>
      <c r="K2416" s="16" t="str">
        <f t="array" ref="K2416">_xlfn.XLOOKUP(C2416,Clientes[ID_Cliente],Clientes[Provincia])</f>
        <v>Buenos Aires</v>
      </c>
      <c r="L2416" s="16" t="str">
        <f t="array" ref="L2416">CONCATENATE(_xlfn.XLOOKUP(C2416,Clientes[ID_Cliente],Clientes[Provincia]),", Argentina")</f>
        <v>Buenos Aires, Argentina</v>
      </c>
      <c r="M2416" s="20" t="str">
        <f t="array" ref="M2416">_xlfn.XLOOKUP(F2416,Metodos_De_Pago[ID_Metodo],Metodos_De_Pago[Metodo])</f>
        <v>Efectivo</v>
      </c>
      <c r="N2416" s="20" t="str">
        <f t="shared" si="2"/>
        <v>2024 10</v>
      </c>
    </row>
    <row r="2417" ht="22.5" customHeight="1">
      <c r="A2417" s="12">
        <f>IFERROR(__xludf.DUMMYFUNCTION("""COMPUTED_VALUE"""),2488.0)</f>
        <v>2488</v>
      </c>
      <c r="B2417" s="13">
        <f>IFERROR(__xludf.DUMMYFUNCTION("""COMPUTED_VALUE"""),45593.0)</f>
        <v>45593</v>
      </c>
      <c r="C2417" s="12">
        <f>IFERROR(__xludf.DUMMYFUNCTION("""COMPUTED_VALUE"""),55.0)</f>
        <v>55</v>
      </c>
      <c r="D2417" s="12">
        <f>IFERROR(__xludf.DUMMYFUNCTION("""COMPUTED_VALUE"""),10.0)</f>
        <v>10</v>
      </c>
      <c r="E2417" s="12">
        <f>IFERROR(__xludf.DUMMYFUNCTION("""COMPUTED_VALUE"""),5.0)</f>
        <v>5</v>
      </c>
      <c r="F2417" s="12">
        <f>IFERROR(__xludf.DUMMYFUNCTION("""COMPUTED_VALUE"""),5.0)</f>
        <v>5</v>
      </c>
      <c r="G2417" s="15" t="str">
        <f>IFERROR(__xludf.DUMMYFUNCTION("""COMPUTED_VALUE"""),"Completa")</f>
        <v>Completa</v>
      </c>
      <c r="H2417" s="16" t="str">
        <f t="array" ref="H2417">_xlfn.XLOOKUP(D2417,Productos[ID_Producto],Productos[Nombre_Producto])</f>
        <v>Costilla de cerdo</v>
      </c>
      <c r="I2417" s="17">
        <f t="array" ref="I2417">_xlfn.XLOOKUP(D2417,Productos[ID_Producto],Productos[Precio_Unitario])</f>
        <v>14.25</v>
      </c>
      <c r="J2417" s="17">
        <f t="shared" si="1"/>
        <v>71.25</v>
      </c>
      <c r="K2417" s="16" t="str">
        <f t="array" ref="K2417">_xlfn.XLOOKUP(C2417,Clientes[ID_Cliente],Clientes[Provincia])</f>
        <v>Neuquén</v>
      </c>
      <c r="L2417" s="16" t="str">
        <f t="array" ref="L2417">CONCATENATE(_xlfn.XLOOKUP(C2417,Clientes[ID_Cliente],Clientes[Provincia]),", Argentina")</f>
        <v>Neuquén, Argentina</v>
      </c>
      <c r="M2417" s="20" t="str">
        <f t="array" ref="M2417">_xlfn.XLOOKUP(F2417,Metodos_De_Pago[ID_Metodo],Metodos_De_Pago[Metodo])</f>
        <v>Transferencia</v>
      </c>
      <c r="N2417" s="20" t="str">
        <f t="shared" si="2"/>
        <v>2024 10</v>
      </c>
    </row>
    <row r="2418" ht="22.5" customHeight="1">
      <c r="A2418" s="12">
        <f>IFERROR(__xludf.DUMMYFUNCTION("""COMPUTED_VALUE"""),2494.0)</f>
        <v>2494</v>
      </c>
      <c r="B2418" s="13">
        <f>IFERROR(__xludf.DUMMYFUNCTION("""COMPUTED_VALUE"""),45593.0)</f>
        <v>45593</v>
      </c>
      <c r="C2418" s="12">
        <f>IFERROR(__xludf.DUMMYFUNCTION("""COMPUTED_VALUE"""),211.0)</f>
        <v>211</v>
      </c>
      <c r="D2418" s="12">
        <f>IFERROR(__xludf.DUMMYFUNCTION("""COMPUTED_VALUE"""),33.0)</f>
        <v>33</v>
      </c>
      <c r="E2418" s="12">
        <f>IFERROR(__xludf.DUMMYFUNCTION("""COMPUTED_VALUE"""),5.0)</f>
        <v>5</v>
      </c>
      <c r="F2418" s="12">
        <f>IFERROR(__xludf.DUMMYFUNCTION("""COMPUTED_VALUE"""),1.0)</f>
        <v>1</v>
      </c>
      <c r="G2418" s="15" t="str">
        <f>IFERROR(__xludf.DUMMYFUNCTION("""COMPUTED_VALUE"""),"Completa")</f>
        <v>Completa</v>
      </c>
      <c r="H2418" s="16" t="str">
        <f t="array" ref="H2418">_xlfn.XLOOKUP(D2418,Productos[ID_Producto],Productos[Nombre_Producto])</f>
        <v>Papas chips</v>
      </c>
      <c r="I2418" s="17">
        <f t="array" ref="I2418">_xlfn.XLOOKUP(D2418,Productos[ID_Producto],Productos[Precio_Unitario])</f>
        <v>8.54</v>
      </c>
      <c r="J2418" s="17">
        <f t="shared" si="1"/>
        <v>42.7</v>
      </c>
      <c r="K2418" s="16" t="str">
        <f t="array" ref="K2418">_xlfn.XLOOKUP(C2418,Clientes[ID_Cliente],Clientes[Provincia])</f>
        <v>Córdoba</v>
      </c>
      <c r="L2418" s="16" t="str">
        <f t="array" ref="L2418">CONCATENATE(_xlfn.XLOOKUP(C2418,Clientes[ID_Cliente],Clientes[Provincia]),", Argentina")</f>
        <v>Córdoba, Argentina</v>
      </c>
      <c r="M2418" s="20" t="str">
        <f t="array" ref="M2418">_xlfn.XLOOKUP(F2418,Metodos_De_Pago[ID_Metodo],Metodos_De_Pago[Metodo])</f>
        <v>Efectivo</v>
      </c>
      <c r="N2418" s="20" t="str">
        <f t="shared" si="2"/>
        <v>2024 10</v>
      </c>
    </row>
    <row r="2419" ht="22.5" customHeight="1">
      <c r="A2419" s="12">
        <f>IFERROR(__xludf.DUMMYFUNCTION("""COMPUTED_VALUE"""),1367.0)</f>
        <v>1367</v>
      </c>
      <c r="B2419" s="13">
        <f>IFERROR(__xludf.DUMMYFUNCTION("""COMPUTED_VALUE"""),45594.0)</f>
        <v>45594</v>
      </c>
      <c r="C2419" s="12">
        <f>IFERROR(__xludf.DUMMYFUNCTION("""COMPUTED_VALUE"""),248.0)</f>
        <v>248</v>
      </c>
      <c r="D2419" s="12">
        <f>IFERROR(__xludf.DUMMYFUNCTION("""COMPUTED_VALUE"""),9.0)</f>
        <v>9</v>
      </c>
      <c r="E2419" s="12">
        <f>IFERROR(__xludf.DUMMYFUNCTION("""COMPUTED_VALUE"""),5.0)</f>
        <v>5</v>
      </c>
      <c r="F2419" s="12">
        <f>IFERROR(__xludf.DUMMYFUNCTION("""COMPUTED_VALUE"""),5.0)</f>
        <v>5</v>
      </c>
      <c r="G2419" s="15" t="str">
        <f>IFERROR(__xludf.DUMMYFUNCTION("""COMPUTED_VALUE"""),"Completa")</f>
        <v>Completa</v>
      </c>
      <c r="H2419" s="16" t="str">
        <f t="array" ref="H2419">_xlfn.XLOOKUP(D2419,Productos[ID_Producto],Productos[Nombre_Producto])</f>
        <v>Pollo</v>
      </c>
      <c r="I2419" s="17">
        <f t="array" ref="I2419">_xlfn.XLOOKUP(D2419,Productos[ID_Producto],Productos[Precio_Unitario])</f>
        <v>18.56</v>
      </c>
      <c r="J2419" s="17">
        <f t="shared" si="1"/>
        <v>92.8</v>
      </c>
      <c r="K2419" s="16" t="str">
        <f t="array" ref="K2419">_xlfn.XLOOKUP(C2419,Clientes[ID_Cliente],Clientes[Provincia])</f>
        <v>Córdoba</v>
      </c>
      <c r="L2419" s="16" t="str">
        <f t="array" ref="L2419">CONCATENATE(_xlfn.XLOOKUP(C2419,Clientes[ID_Cliente],Clientes[Provincia]),", Argentina")</f>
        <v>Córdoba, Argentina</v>
      </c>
      <c r="M2419" s="20" t="str">
        <f t="array" ref="M2419">_xlfn.XLOOKUP(F2419,Metodos_De_Pago[ID_Metodo],Metodos_De_Pago[Metodo])</f>
        <v>Transferencia</v>
      </c>
      <c r="N2419" s="20" t="str">
        <f t="shared" si="2"/>
        <v>2024 10</v>
      </c>
    </row>
    <row r="2420" ht="22.5" customHeight="1">
      <c r="A2420" s="12">
        <f>IFERROR(__xludf.DUMMYFUNCTION("""COMPUTED_VALUE"""),2078.0)</f>
        <v>2078</v>
      </c>
      <c r="B2420" s="13">
        <f>IFERROR(__xludf.DUMMYFUNCTION("""COMPUTED_VALUE"""),45594.0)</f>
        <v>45594</v>
      </c>
      <c r="C2420" s="12">
        <f>IFERROR(__xludf.DUMMYFUNCTION("""COMPUTED_VALUE"""),60.0)</f>
        <v>60</v>
      </c>
      <c r="D2420" s="12">
        <f>IFERROR(__xludf.DUMMYFUNCTION("""COMPUTED_VALUE"""),23.0)</f>
        <v>23</v>
      </c>
      <c r="E2420" s="12">
        <f>IFERROR(__xludf.DUMMYFUNCTION("""COMPUTED_VALUE"""),5.0)</f>
        <v>5</v>
      </c>
      <c r="F2420" s="12">
        <f>IFERROR(__xludf.DUMMYFUNCTION("""COMPUTED_VALUE"""),5.0)</f>
        <v>5</v>
      </c>
      <c r="G2420" s="15" t="str">
        <f>IFERROR(__xludf.DUMMYFUNCTION("""COMPUTED_VALUE"""),"Completa")</f>
        <v>Completa</v>
      </c>
      <c r="H2420" s="16" t="str">
        <f t="array" ref="H2420">_xlfn.XLOOKUP(D2420,Productos[ID_Producto],Productos[Nombre_Producto])</f>
        <v>Papas fritas</v>
      </c>
      <c r="I2420" s="17">
        <f t="array" ref="I2420">_xlfn.XLOOKUP(D2420,Productos[ID_Producto],Productos[Precio_Unitario])</f>
        <v>8.23</v>
      </c>
      <c r="J2420" s="17">
        <f t="shared" si="1"/>
        <v>41.15</v>
      </c>
      <c r="K2420" s="16" t="str">
        <f t="array" ref="K2420">_xlfn.XLOOKUP(C2420,Clientes[ID_Cliente],Clientes[Provincia])</f>
        <v>Chaco</v>
      </c>
      <c r="L2420" s="16" t="str">
        <f t="array" ref="L2420">CONCATENATE(_xlfn.XLOOKUP(C2420,Clientes[ID_Cliente],Clientes[Provincia]),", Argentina")</f>
        <v>Chaco, Argentina</v>
      </c>
      <c r="M2420" s="20" t="str">
        <f t="array" ref="M2420">_xlfn.XLOOKUP(F2420,Metodos_De_Pago[ID_Metodo],Metodos_De_Pago[Metodo])</f>
        <v>Transferencia</v>
      </c>
      <c r="N2420" s="20" t="str">
        <f t="shared" si="2"/>
        <v>2024 10</v>
      </c>
    </row>
    <row r="2421" ht="22.5" customHeight="1">
      <c r="A2421" s="12">
        <f>IFERROR(__xludf.DUMMYFUNCTION("""COMPUTED_VALUE"""),1483.0)</f>
        <v>1483</v>
      </c>
      <c r="B2421" s="13">
        <f>IFERROR(__xludf.DUMMYFUNCTION("""COMPUTED_VALUE"""),45595.0)</f>
        <v>45595</v>
      </c>
      <c r="C2421" s="12">
        <f>IFERROR(__xludf.DUMMYFUNCTION("""COMPUTED_VALUE"""),303.0)</f>
        <v>303</v>
      </c>
      <c r="D2421" s="12">
        <f>IFERROR(__xludf.DUMMYFUNCTION("""COMPUTED_VALUE"""),23.0)</f>
        <v>23</v>
      </c>
      <c r="E2421" s="12">
        <f>IFERROR(__xludf.DUMMYFUNCTION("""COMPUTED_VALUE"""),5.0)</f>
        <v>5</v>
      </c>
      <c r="F2421" s="12">
        <f>IFERROR(__xludf.DUMMYFUNCTION("""COMPUTED_VALUE"""),1.0)</f>
        <v>1</v>
      </c>
      <c r="G2421" s="15" t="str">
        <f>IFERROR(__xludf.DUMMYFUNCTION("""COMPUTED_VALUE"""),"Completa")</f>
        <v>Completa</v>
      </c>
      <c r="H2421" s="16" t="str">
        <f t="array" ref="H2421">_xlfn.XLOOKUP(D2421,Productos[ID_Producto],Productos[Nombre_Producto])</f>
        <v>Papas fritas</v>
      </c>
      <c r="I2421" s="17">
        <f t="array" ref="I2421">_xlfn.XLOOKUP(D2421,Productos[ID_Producto],Productos[Precio_Unitario])</f>
        <v>8.23</v>
      </c>
      <c r="J2421" s="17">
        <f t="shared" si="1"/>
        <v>41.15</v>
      </c>
      <c r="K2421" s="16" t="str">
        <f t="array" ref="K2421">_xlfn.XLOOKUP(C2421,Clientes[ID_Cliente],Clientes[Provincia])</f>
        <v>Córdoba</v>
      </c>
      <c r="L2421" s="16" t="str">
        <f t="array" ref="L2421">CONCATENATE(_xlfn.XLOOKUP(C2421,Clientes[ID_Cliente],Clientes[Provincia]),", Argentina")</f>
        <v>Córdoba, Argentina</v>
      </c>
      <c r="M2421" s="20" t="str">
        <f t="array" ref="M2421">_xlfn.XLOOKUP(F2421,Metodos_De_Pago[ID_Metodo],Metodos_De_Pago[Metodo])</f>
        <v>Efectivo</v>
      </c>
      <c r="N2421" s="20" t="str">
        <f t="shared" si="2"/>
        <v>2024 10</v>
      </c>
    </row>
    <row r="2422" ht="22.5" customHeight="1">
      <c r="A2422" s="12">
        <f>IFERROR(__xludf.DUMMYFUNCTION("""COMPUTED_VALUE"""),234.0)</f>
        <v>234</v>
      </c>
      <c r="B2422" s="13">
        <f>IFERROR(__xludf.DUMMYFUNCTION("""COMPUTED_VALUE"""),45596.0)</f>
        <v>45596</v>
      </c>
      <c r="C2422" s="12">
        <f>IFERROR(__xludf.DUMMYFUNCTION("""COMPUTED_VALUE"""),255.0)</f>
        <v>255</v>
      </c>
      <c r="D2422" s="12">
        <f>IFERROR(__xludf.DUMMYFUNCTION("""COMPUTED_VALUE"""),37.0)</f>
        <v>37</v>
      </c>
      <c r="E2422" s="12">
        <f>IFERROR(__xludf.DUMMYFUNCTION("""COMPUTED_VALUE"""),5.0)</f>
        <v>5</v>
      </c>
      <c r="F2422" s="12">
        <f>IFERROR(__xludf.DUMMYFUNCTION("""COMPUTED_VALUE"""),5.0)</f>
        <v>5</v>
      </c>
      <c r="G2422" s="15" t="str">
        <f>IFERROR(__xludf.DUMMYFUNCTION("""COMPUTED_VALUE"""),"Completa")</f>
        <v>Completa</v>
      </c>
      <c r="H2422" s="16" t="str">
        <f t="array" ref="H2422">_xlfn.XLOOKUP(D2422,Productos[ID_Producto],Productos[Nombre_Producto])</f>
        <v>Garbanzos</v>
      </c>
      <c r="I2422" s="17">
        <f t="array" ref="I2422">_xlfn.XLOOKUP(D2422,Productos[ID_Producto],Productos[Precio_Unitario])</f>
        <v>3.65</v>
      </c>
      <c r="J2422" s="17">
        <f t="shared" si="1"/>
        <v>18.25</v>
      </c>
      <c r="K2422" s="16" t="str">
        <f t="array" ref="K2422">_xlfn.XLOOKUP(C2422,Clientes[ID_Cliente],Clientes[Provincia])</f>
        <v>Buenos Aires</v>
      </c>
      <c r="L2422" s="16" t="str">
        <f t="array" ref="L2422">CONCATENATE(_xlfn.XLOOKUP(C2422,Clientes[ID_Cliente],Clientes[Provincia]),", Argentina")</f>
        <v>Buenos Aires, Argentina</v>
      </c>
      <c r="M2422" s="20" t="str">
        <f t="array" ref="M2422">_xlfn.XLOOKUP(F2422,Metodos_De_Pago[ID_Metodo],Metodos_De_Pago[Metodo])</f>
        <v>Transferencia</v>
      </c>
      <c r="N2422" s="20" t="str">
        <f t="shared" si="2"/>
        <v>2024 10</v>
      </c>
    </row>
    <row r="2423" ht="22.5" customHeight="1">
      <c r="A2423" s="12">
        <f>IFERROR(__xludf.DUMMYFUNCTION("""COMPUTED_VALUE"""),1972.0)</f>
        <v>1972</v>
      </c>
      <c r="B2423" s="13">
        <f>IFERROR(__xludf.DUMMYFUNCTION("""COMPUTED_VALUE"""),45596.0)</f>
        <v>45596</v>
      </c>
      <c r="C2423" s="12">
        <f>IFERROR(__xludf.DUMMYFUNCTION("""COMPUTED_VALUE"""),305.0)</f>
        <v>305</v>
      </c>
      <c r="D2423" s="12">
        <f>IFERROR(__xludf.DUMMYFUNCTION("""COMPUTED_VALUE"""),22.0)</f>
        <v>22</v>
      </c>
      <c r="E2423" s="12">
        <f>IFERROR(__xludf.DUMMYFUNCTION("""COMPUTED_VALUE"""),5.0)</f>
        <v>5</v>
      </c>
      <c r="F2423" s="12">
        <f>IFERROR(__xludf.DUMMYFUNCTION("""COMPUTED_VALUE"""),2.0)</f>
        <v>2</v>
      </c>
      <c r="G2423" s="15" t="str">
        <f>IFERROR(__xludf.DUMMYFUNCTION("""COMPUTED_VALUE"""),"Completa")</f>
        <v>Completa</v>
      </c>
      <c r="H2423" s="16" t="str">
        <f t="array" ref="H2423">_xlfn.XLOOKUP(D2423,Productos[ID_Producto],Productos[Nombre_Producto])</f>
        <v>Cebolla</v>
      </c>
      <c r="I2423" s="17">
        <f t="array" ref="I2423">_xlfn.XLOOKUP(D2423,Productos[ID_Producto],Productos[Precio_Unitario])</f>
        <v>4.21</v>
      </c>
      <c r="J2423" s="17">
        <f t="shared" si="1"/>
        <v>21.05</v>
      </c>
      <c r="K2423" s="16" t="str">
        <f t="array" ref="K2423">_xlfn.XLOOKUP(C2423,Clientes[ID_Cliente],Clientes[Provincia])</f>
        <v>Neuquén</v>
      </c>
      <c r="L2423" s="16" t="str">
        <f t="array" ref="L2423">CONCATENATE(_xlfn.XLOOKUP(C2423,Clientes[ID_Cliente],Clientes[Provincia]),", Argentina")</f>
        <v>Neuquén, Argentina</v>
      </c>
      <c r="M2423" s="20" t="str">
        <f t="array" ref="M2423">_xlfn.XLOOKUP(F2423,Metodos_De_Pago[ID_Metodo],Metodos_De_Pago[Metodo])</f>
        <v>Tarjeta de Crédito</v>
      </c>
      <c r="N2423" s="20" t="str">
        <f t="shared" si="2"/>
        <v>2024 10</v>
      </c>
    </row>
    <row r="2424" ht="22.5" customHeight="1">
      <c r="A2424" s="12">
        <f>IFERROR(__xludf.DUMMYFUNCTION("""COMPUTED_VALUE"""),2247.0)</f>
        <v>2247</v>
      </c>
      <c r="B2424" s="13">
        <f>IFERROR(__xludf.DUMMYFUNCTION("""COMPUTED_VALUE"""),45597.0)</f>
        <v>45597</v>
      </c>
      <c r="C2424" s="12">
        <f>IFERROR(__xludf.DUMMYFUNCTION("""COMPUTED_VALUE"""),15.0)</f>
        <v>15</v>
      </c>
      <c r="D2424" s="12">
        <f>IFERROR(__xludf.DUMMYFUNCTION("""COMPUTED_VALUE"""),12.0)</f>
        <v>12</v>
      </c>
      <c r="E2424" s="12">
        <f>IFERROR(__xludf.DUMMYFUNCTION("""COMPUTED_VALUE"""),5.0)</f>
        <v>5</v>
      </c>
      <c r="F2424" s="12">
        <f>IFERROR(__xludf.DUMMYFUNCTION("""COMPUTED_VALUE"""),4.0)</f>
        <v>4</v>
      </c>
      <c r="G2424" s="15" t="str">
        <f>IFERROR(__xludf.DUMMYFUNCTION("""COMPUTED_VALUE"""),"Completa")</f>
        <v>Completa</v>
      </c>
      <c r="H2424" s="16" t="str">
        <f t="array" ref="H2424">_xlfn.XLOOKUP(D2424,Productos[ID_Producto],Productos[Nombre_Producto])</f>
        <v>Pan francés</v>
      </c>
      <c r="I2424" s="17">
        <f t="array" ref="I2424">_xlfn.XLOOKUP(D2424,Productos[ID_Producto],Productos[Precio_Unitario])</f>
        <v>8.12</v>
      </c>
      <c r="J2424" s="17">
        <f t="shared" si="1"/>
        <v>40.6</v>
      </c>
      <c r="K2424" s="16" t="str">
        <f t="array" ref="K2424">_xlfn.XLOOKUP(C2424,Clientes[ID_Cliente],Clientes[Provincia])</f>
        <v>Buenos Aires</v>
      </c>
      <c r="L2424" s="16" t="str">
        <f t="array" ref="L2424">CONCATENATE(_xlfn.XLOOKUP(C2424,Clientes[ID_Cliente],Clientes[Provincia]),", Argentina")</f>
        <v>Buenos Aires, Argentina</v>
      </c>
      <c r="M2424" s="20" t="str">
        <f t="array" ref="M2424">_xlfn.XLOOKUP(F2424,Metodos_De_Pago[ID_Metodo],Metodos_De_Pago[Metodo])</f>
        <v>Mercado Pago</v>
      </c>
      <c r="N2424" s="20" t="str">
        <f t="shared" si="2"/>
        <v>2024 11</v>
      </c>
    </row>
    <row r="2425" ht="22.5" customHeight="1">
      <c r="A2425" s="12">
        <f>IFERROR(__xludf.DUMMYFUNCTION("""COMPUTED_VALUE"""),283.0)</f>
        <v>283</v>
      </c>
      <c r="B2425" s="13">
        <f>IFERROR(__xludf.DUMMYFUNCTION("""COMPUTED_VALUE"""),45598.0)</f>
        <v>45598</v>
      </c>
      <c r="C2425" s="12">
        <f>IFERROR(__xludf.DUMMYFUNCTION("""COMPUTED_VALUE"""),292.0)</f>
        <v>292</v>
      </c>
      <c r="D2425" s="12">
        <f>IFERROR(__xludf.DUMMYFUNCTION("""COMPUTED_VALUE"""),21.0)</f>
        <v>21</v>
      </c>
      <c r="E2425" s="12">
        <f>IFERROR(__xludf.DUMMYFUNCTION("""COMPUTED_VALUE"""),5.0)</f>
        <v>5</v>
      </c>
      <c r="F2425" s="12">
        <f>IFERROR(__xludf.DUMMYFUNCTION("""COMPUTED_VALUE"""),1.0)</f>
        <v>1</v>
      </c>
      <c r="G2425" s="15" t="str">
        <f>IFERROR(__xludf.DUMMYFUNCTION("""COMPUTED_VALUE"""),"Pendiente")</f>
        <v>Pendiente</v>
      </c>
      <c r="H2425" s="16" t="str">
        <f t="array" ref="H2425">_xlfn.XLOOKUP(D2425,Productos[ID_Producto],Productos[Nombre_Producto])</f>
        <v>Zanahorias</v>
      </c>
      <c r="I2425" s="17">
        <f t="array" ref="I2425">_xlfn.XLOOKUP(D2425,Productos[ID_Producto],Productos[Precio_Unitario])</f>
        <v>3.25</v>
      </c>
      <c r="J2425" s="17">
        <f t="shared" si="1"/>
        <v>16.25</v>
      </c>
      <c r="K2425" s="16" t="str">
        <f t="array" ref="K2425">_xlfn.XLOOKUP(C2425,Clientes[ID_Cliente],Clientes[Provincia])</f>
        <v>Neuquén</v>
      </c>
      <c r="L2425" s="16" t="str">
        <f t="array" ref="L2425">CONCATENATE(_xlfn.XLOOKUP(C2425,Clientes[ID_Cliente],Clientes[Provincia]),", Argentina")</f>
        <v>Neuquén, Argentina</v>
      </c>
      <c r="M2425" s="20" t="str">
        <f t="array" ref="M2425">_xlfn.XLOOKUP(F2425,Metodos_De_Pago[ID_Metodo],Metodos_De_Pago[Metodo])</f>
        <v>Efectivo</v>
      </c>
      <c r="N2425" s="20" t="str">
        <f t="shared" si="2"/>
        <v>2024 11</v>
      </c>
    </row>
    <row r="2426" ht="22.5" customHeight="1">
      <c r="A2426" s="12">
        <f>IFERROR(__xludf.DUMMYFUNCTION("""COMPUTED_VALUE"""),890.0)</f>
        <v>890</v>
      </c>
      <c r="B2426" s="13">
        <f>IFERROR(__xludf.DUMMYFUNCTION("""COMPUTED_VALUE"""),45599.0)</f>
        <v>45599</v>
      </c>
      <c r="C2426" s="12">
        <f>IFERROR(__xludf.DUMMYFUNCTION("""COMPUTED_VALUE"""),296.0)</f>
        <v>296</v>
      </c>
      <c r="D2426" s="12">
        <f>IFERROR(__xludf.DUMMYFUNCTION("""COMPUTED_VALUE"""),7.0)</f>
        <v>7</v>
      </c>
      <c r="E2426" s="12">
        <f>IFERROR(__xludf.DUMMYFUNCTION("""COMPUTED_VALUE"""),5.0)</f>
        <v>5</v>
      </c>
      <c r="F2426" s="12">
        <f>IFERROR(__xludf.DUMMYFUNCTION("""COMPUTED_VALUE"""),4.0)</f>
        <v>4</v>
      </c>
      <c r="G2426" s="15" t="str">
        <f>IFERROR(__xludf.DUMMYFUNCTION("""COMPUTED_VALUE"""),"Completa")</f>
        <v>Completa</v>
      </c>
      <c r="H2426" s="16" t="str">
        <f t="array" ref="H2426">_xlfn.XLOOKUP(D2426,Productos[ID_Producto],Productos[Nombre_Producto])</f>
        <v>Chorizo</v>
      </c>
      <c r="I2426" s="17">
        <f t="array" ref="I2426">_xlfn.XLOOKUP(D2426,Productos[ID_Producto],Productos[Precio_Unitario])</f>
        <v>11.25</v>
      </c>
      <c r="J2426" s="17">
        <f t="shared" si="1"/>
        <v>56.25</v>
      </c>
      <c r="K2426" s="16" t="str">
        <f t="array" ref="K2426">_xlfn.XLOOKUP(C2426,Clientes[ID_Cliente],Clientes[Provincia])</f>
        <v>Buenos Aires</v>
      </c>
      <c r="L2426" s="16" t="str">
        <f t="array" ref="L2426">CONCATENATE(_xlfn.XLOOKUP(C2426,Clientes[ID_Cliente],Clientes[Provincia]),", Argentina")</f>
        <v>Buenos Aires, Argentina</v>
      </c>
      <c r="M2426" s="20" t="str">
        <f t="array" ref="M2426">_xlfn.XLOOKUP(F2426,Metodos_De_Pago[ID_Metodo],Metodos_De_Pago[Metodo])</f>
        <v>Mercado Pago</v>
      </c>
      <c r="N2426" s="20" t="str">
        <f t="shared" si="2"/>
        <v>2024 11</v>
      </c>
    </row>
    <row r="2427" ht="22.5" customHeight="1">
      <c r="A2427" s="12">
        <f>IFERROR(__xludf.DUMMYFUNCTION("""COMPUTED_VALUE"""),76.0)</f>
        <v>76</v>
      </c>
      <c r="B2427" s="13">
        <f>IFERROR(__xludf.DUMMYFUNCTION("""COMPUTED_VALUE"""),45600.0)</f>
        <v>45600</v>
      </c>
      <c r="C2427" s="12">
        <f>IFERROR(__xludf.DUMMYFUNCTION("""COMPUTED_VALUE"""),147.0)</f>
        <v>147</v>
      </c>
      <c r="D2427" s="12">
        <f>IFERROR(__xludf.DUMMYFUNCTION("""COMPUTED_VALUE"""),36.0)</f>
        <v>36</v>
      </c>
      <c r="E2427" s="12">
        <f>IFERROR(__xludf.DUMMYFUNCTION("""COMPUTED_VALUE"""),5.0)</f>
        <v>5</v>
      </c>
      <c r="F2427" s="12">
        <f>IFERROR(__xludf.DUMMYFUNCTION("""COMPUTED_VALUE"""),3.0)</f>
        <v>3</v>
      </c>
      <c r="G2427" s="15" t="str">
        <f>IFERROR(__xludf.DUMMYFUNCTION("""COMPUTED_VALUE"""),"Completa")</f>
        <v>Completa</v>
      </c>
      <c r="H2427" s="16" t="str">
        <f t="array" ref="H2427">_xlfn.XLOOKUP(D2427,Productos[ID_Producto],Productos[Nombre_Producto])</f>
        <v>Lentejas</v>
      </c>
      <c r="I2427" s="17">
        <f t="array" ref="I2427">_xlfn.XLOOKUP(D2427,Productos[ID_Producto],Productos[Precio_Unitario])</f>
        <v>3.25</v>
      </c>
      <c r="J2427" s="17">
        <f t="shared" si="1"/>
        <v>16.25</v>
      </c>
      <c r="K2427" s="16" t="str">
        <f t="array" ref="K2427">_xlfn.XLOOKUP(C2427,Clientes[ID_Cliente],Clientes[Provincia])</f>
        <v>San Luis</v>
      </c>
      <c r="L2427" s="16" t="str">
        <f t="array" ref="L2427">CONCATENATE(_xlfn.XLOOKUP(C2427,Clientes[ID_Cliente],Clientes[Provincia]),", Argentina")</f>
        <v>San Luis, Argentina</v>
      </c>
      <c r="M2427" s="20" t="str">
        <f t="array" ref="M2427">_xlfn.XLOOKUP(F2427,Metodos_De_Pago[ID_Metodo],Metodos_De_Pago[Metodo])</f>
        <v>Tarjeta de Débito</v>
      </c>
      <c r="N2427" s="20" t="str">
        <f t="shared" si="2"/>
        <v>2024 11</v>
      </c>
    </row>
    <row r="2428" ht="22.5" customHeight="1">
      <c r="A2428" s="12">
        <f>IFERROR(__xludf.DUMMYFUNCTION("""COMPUTED_VALUE"""),2121.0)</f>
        <v>2121</v>
      </c>
      <c r="B2428" s="13">
        <f>IFERROR(__xludf.DUMMYFUNCTION("""COMPUTED_VALUE"""),45600.0)</f>
        <v>45600</v>
      </c>
      <c r="C2428" s="12">
        <f>IFERROR(__xludf.DUMMYFUNCTION("""COMPUTED_VALUE"""),261.0)</f>
        <v>261</v>
      </c>
      <c r="D2428" s="12">
        <f>IFERROR(__xludf.DUMMYFUNCTION("""COMPUTED_VALUE"""),30.0)</f>
        <v>30</v>
      </c>
      <c r="E2428" s="12">
        <f>IFERROR(__xludf.DUMMYFUNCTION("""COMPUTED_VALUE"""),5.0)</f>
        <v>5</v>
      </c>
      <c r="F2428" s="12">
        <f>IFERROR(__xludf.DUMMYFUNCTION("""COMPUTED_VALUE"""),4.0)</f>
        <v>4</v>
      </c>
      <c r="G2428" s="15" t="str">
        <f>IFERROR(__xludf.DUMMYFUNCTION("""COMPUTED_VALUE"""),"Completa")</f>
        <v>Completa</v>
      </c>
      <c r="H2428" s="16" t="str">
        <f t="array" ref="H2428">_xlfn.XLOOKUP(D2428,Productos[ID_Producto],Productos[Nombre_Producto])</f>
        <v>Vino tinto</v>
      </c>
      <c r="I2428" s="17">
        <f t="array" ref="I2428">_xlfn.XLOOKUP(D2428,Productos[ID_Producto],Productos[Precio_Unitario])</f>
        <v>13.54</v>
      </c>
      <c r="J2428" s="17">
        <f t="shared" si="1"/>
        <v>67.7</v>
      </c>
      <c r="K2428" s="16" t="str">
        <f t="array" ref="K2428">_xlfn.XLOOKUP(C2428,Clientes[ID_Cliente],Clientes[Provincia])</f>
        <v>Salta</v>
      </c>
      <c r="L2428" s="16" t="str">
        <f t="array" ref="L2428">CONCATENATE(_xlfn.XLOOKUP(C2428,Clientes[ID_Cliente],Clientes[Provincia]),", Argentina")</f>
        <v>Salta, Argentina</v>
      </c>
      <c r="M2428" s="20" t="str">
        <f t="array" ref="M2428">_xlfn.XLOOKUP(F2428,Metodos_De_Pago[ID_Metodo],Metodos_De_Pago[Metodo])</f>
        <v>Mercado Pago</v>
      </c>
      <c r="N2428" s="20" t="str">
        <f t="shared" si="2"/>
        <v>2024 11</v>
      </c>
    </row>
    <row r="2429" ht="22.5" customHeight="1">
      <c r="A2429" s="12">
        <f>IFERROR(__xludf.DUMMYFUNCTION("""COMPUTED_VALUE"""),1073.0)</f>
        <v>1073</v>
      </c>
      <c r="B2429" s="13">
        <f>IFERROR(__xludf.DUMMYFUNCTION("""COMPUTED_VALUE"""),45601.0)</f>
        <v>45601</v>
      </c>
      <c r="C2429" s="12">
        <f>IFERROR(__xludf.DUMMYFUNCTION("""COMPUTED_VALUE"""),173.0)</f>
        <v>173</v>
      </c>
      <c r="D2429" s="12">
        <f>IFERROR(__xludf.DUMMYFUNCTION("""COMPUTED_VALUE"""),35.0)</f>
        <v>35</v>
      </c>
      <c r="E2429" s="12">
        <f>IFERROR(__xludf.DUMMYFUNCTION("""COMPUTED_VALUE"""),5.0)</f>
        <v>5</v>
      </c>
      <c r="F2429" s="12">
        <f>IFERROR(__xludf.DUMMYFUNCTION("""COMPUTED_VALUE"""),5.0)</f>
        <v>5</v>
      </c>
      <c r="G2429" s="15" t="str">
        <f>IFERROR(__xludf.DUMMYFUNCTION("""COMPUTED_VALUE"""),"Pendiente")</f>
        <v>Pendiente</v>
      </c>
      <c r="H2429" s="16" t="str">
        <f t="array" ref="H2429">_xlfn.XLOOKUP(D2429,Productos[ID_Producto],Productos[Nombre_Producto])</f>
        <v>Arroz</v>
      </c>
      <c r="I2429" s="17">
        <f t="array" ref="I2429">_xlfn.XLOOKUP(D2429,Productos[ID_Producto],Productos[Precio_Unitario])</f>
        <v>4.25</v>
      </c>
      <c r="J2429" s="17">
        <f t="shared" si="1"/>
        <v>21.25</v>
      </c>
      <c r="K2429" s="16" t="str">
        <f t="array" ref="K2429">_xlfn.XLOOKUP(C2429,Clientes[ID_Cliente],Clientes[Provincia])</f>
        <v>Neuquén</v>
      </c>
      <c r="L2429" s="16" t="str">
        <f t="array" ref="L2429">CONCATENATE(_xlfn.XLOOKUP(C2429,Clientes[ID_Cliente],Clientes[Provincia]),", Argentina")</f>
        <v>Neuquén, Argentina</v>
      </c>
      <c r="M2429" s="20" t="str">
        <f t="array" ref="M2429">_xlfn.XLOOKUP(F2429,Metodos_De_Pago[ID_Metodo],Metodos_De_Pago[Metodo])</f>
        <v>Transferencia</v>
      </c>
      <c r="N2429" s="20" t="str">
        <f t="shared" si="2"/>
        <v>2024 11</v>
      </c>
    </row>
    <row r="2430" ht="22.5" customHeight="1">
      <c r="A2430" s="12">
        <f>IFERROR(__xludf.DUMMYFUNCTION("""COMPUTED_VALUE"""),1939.0)</f>
        <v>1939</v>
      </c>
      <c r="B2430" s="13">
        <f>IFERROR(__xludf.DUMMYFUNCTION("""COMPUTED_VALUE"""),45601.0)</f>
        <v>45601</v>
      </c>
      <c r="C2430" s="12">
        <f>IFERROR(__xludf.DUMMYFUNCTION("""COMPUTED_VALUE"""),141.0)</f>
        <v>141</v>
      </c>
      <c r="D2430" s="12">
        <f>IFERROR(__xludf.DUMMYFUNCTION("""COMPUTED_VALUE"""),27.0)</f>
        <v>27</v>
      </c>
      <c r="E2430" s="12">
        <f>IFERROR(__xludf.DUMMYFUNCTION("""COMPUTED_VALUE"""),5.0)</f>
        <v>5</v>
      </c>
      <c r="F2430" s="12">
        <f>IFERROR(__xludf.DUMMYFUNCTION("""COMPUTED_VALUE"""),5.0)</f>
        <v>5</v>
      </c>
      <c r="G2430" s="15" t="str">
        <f>IFERROR(__xludf.DUMMYFUNCTION("""COMPUTED_VALUE"""),"Completa")</f>
        <v>Completa</v>
      </c>
      <c r="H2430" s="16" t="str">
        <f t="array" ref="H2430">_xlfn.XLOOKUP(D2430,Productos[ID_Producto],Productos[Nombre_Producto])</f>
        <v>Agua mineral</v>
      </c>
      <c r="I2430" s="17">
        <f t="array" ref="I2430">_xlfn.XLOOKUP(D2430,Productos[ID_Producto],Productos[Precio_Unitario])</f>
        <v>6.21</v>
      </c>
      <c r="J2430" s="17">
        <f t="shared" si="1"/>
        <v>31.05</v>
      </c>
      <c r="K2430" s="16" t="str">
        <f t="array" ref="K2430">_xlfn.XLOOKUP(C2430,Clientes[ID_Cliente],Clientes[Provincia])</f>
        <v>Chaco</v>
      </c>
      <c r="L2430" s="16" t="str">
        <f t="array" ref="L2430">CONCATENATE(_xlfn.XLOOKUP(C2430,Clientes[ID_Cliente],Clientes[Provincia]),", Argentina")</f>
        <v>Chaco, Argentina</v>
      </c>
      <c r="M2430" s="20" t="str">
        <f t="array" ref="M2430">_xlfn.XLOOKUP(F2430,Metodos_De_Pago[ID_Metodo],Metodos_De_Pago[Metodo])</f>
        <v>Transferencia</v>
      </c>
      <c r="N2430" s="20" t="str">
        <f t="shared" si="2"/>
        <v>2024 11</v>
      </c>
    </row>
    <row r="2431" ht="22.5" customHeight="1">
      <c r="A2431" s="12">
        <f>IFERROR(__xludf.DUMMYFUNCTION("""COMPUTED_VALUE"""),155.0)</f>
        <v>155</v>
      </c>
      <c r="B2431" s="13">
        <f>IFERROR(__xludf.DUMMYFUNCTION("""COMPUTED_VALUE"""),45602.0)</f>
        <v>45602</v>
      </c>
      <c r="C2431" s="12">
        <f>IFERROR(__xludf.DUMMYFUNCTION("""COMPUTED_VALUE"""),125.0)</f>
        <v>125</v>
      </c>
      <c r="D2431" s="12">
        <f>IFERROR(__xludf.DUMMYFUNCTION("""COMPUTED_VALUE"""),2.0)</f>
        <v>2</v>
      </c>
      <c r="E2431" s="12">
        <f>IFERROR(__xludf.DUMMYFUNCTION("""COMPUTED_VALUE"""),5.0)</f>
        <v>5</v>
      </c>
      <c r="F2431" s="12">
        <f>IFERROR(__xludf.DUMMYFUNCTION("""COMPUTED_VALUE"""),3.0)</f>
        <v>3</v>
      </c>
      <c r="G2431" s="15" t="str">
        <f>IFERROR(__xludf.DUMMYFUNCTION("""COMPUTED_VALUE"""),"Pendiente")</f>
        <v>Pendiente</v>
      </c>
      <c r="H2431" s="16" t="str">
        <f t="array" ref="H2431">_xlfn.XLOOKUP(D2431,Productos[ID_Producto],Productos[Nombre_Producto])</f>
        <v>Yogur</v>
      </c>
      <c r="I2431" s="17">
        <f t="array" ref="I2431">_xlfn.XLOOKUP(D2431,Productos[ID_Producto],Productos[Precio_Unitario])</f>
        <v>5.21</v>
      </c>
      <c r="J2431" s="17">
        <f t="shared" si="1"/>
        <v>26.05</v>
      </c>
      <c r="K2431" s="16" t="str">
        <f t="array" ref="K2431">_xlfn.XLOOKUP(C2431,Clientes[ID_Cliente],Clientes[Provincia])</f>
        <v>Neuquén</v>
      </c>
      <c r="L2431" s="16" t="str">
        <f t="array" ref="L2431">CONCATENATE(_xlfn.XLOOKUP(C2431,Clientes[ID_Cliente],Clientes[Provincia]),", Argentina")</f>
        <v>Neuquén, Argentina</v>
      </c>
      <c r="M2431" s="20" t="str">
        <f t="array" ref="M2431">_xlfn.XLOOKUP(F2431,Metodos_De_Pago[ID_Metodo],Metodos_De_Pago[Metodo])</f>
        <v>Tarjeta de Débito</v>
      </c>
      <c r="N2431" s="20" t="str">
        <f t="shared" si="2"/>
        <v>2024 11</v>
      </c>
    </row>
    <row r="2432" ht="22.5" customHeight="1">
      <c r="A2432" s="12">
        <f>IFERROR(__xludf.DUMMYFUNCTION("""COMPUTED_VALUE"""),667.0)</f>
        <v>667</v>
      </c>
      <c r="B2432" s="13">
        <f>IFERROR(__xludf.DUMMYFUNCTION("""COMPUTED_VALUE"""),45603.0)</f>
        <v>45603</v>
      </c>
      <c r="C2432" s="12">
        <f>IFERROR(__xludf.DUMMYFUNCTION("""COMPUTED_VALUE"""),189.0)</f>
        <v>189</v>
      </c>
      <c r="D2432" s="12">
        <f>IFERROR(__xludf.DUMMYFUNCTION("""COMPUTED_VALUE"""),16.0)</f>
        <v>16</v>
      </c>
      <c r="E2432" s="12">
        <f>IFERROR(__xludf.DUMMYFUNCTION("""COMPUTED_VALUE"""),5.0)</f>
        <v>5</v>
      </c>
      <c r="F2432" s="12">
        <f>IFERROR(__xludf.DUMMYFUNCTION("""COMPUTED_VALUE"""),3.0)</f>
        <v>3</v>
      </c>
      <c r="G2432" s="15" t="str">
        <f>IFERROR(__xludf.DUMMYFUNCTION("""COMPUTED_VALUE"""),"Completa")</f>
        <v>Completa</v>
      </c>
      <c r="H2432" s="16" t="str">
        <f t="array" ref="H2432">_xlfn.XLOOKUP(D2432,Productos[ID_Producto],Productos[Nombre_Producto])</f>
        <v>Tortas</v>
      </c>
      <c r="I2432" s="17">
        <f t="array" ref="I2432">_xlfn.XLOOKUP(D2432,Productos[ID_Producto],Productos[Precio_Unitario])</f>
        <v>15.23</v>
      </c>
      <c r="J2432" s="17">
        <f t="shared" si="1"/>
        <v>76.15</v>
      </c>
      <c r="K2432" s="16" t="str">
        <f t="array" ref="K2432">_xlfn.XLOOKUP(C2432,Clientes[ID_Cliente],Clientes[Provincia])</f>
        <v>Neuquén</v>
      </c>
      <c r="L2432" s="16" t="str">
        <f t="array" ref="L2432">CONCATENATE(_xlfn.XLOOKUP(C2432,Clientes[ID_Cliente],Clientes[Provincia]),", Argentina")</f>
        <v>Neuquén, Argentina</v>
      </c>
      <c r="M2432" s="20" t="str">
        <f t="array" ref="M2432">_xlfn.XLOOKUP(F2432,Metodos_De_Pago[ID_Metodo],Metodos_De_Pago[Metodo])</f>
        <v>Tarjeta de Débito</v>
      </c>
      <c r="N2432" s="20" t="str">
        <f t="shared" si="2"/>
        <v>2024 11</v>
      </c>
    </row>
    <row r="2433" ht="22.5" customHeight="1">
      <c r="A2433" s="12">
        <f>IFERROR(__xludf.DUMMYFUNCTION("""COMPUTED_VALUE"""),1965.0)</f>
        <v>1965</v>
      </c>
      <c r="B2433" s="13">
        <f>IFERROR(__xludf.DUMMYFUNCTION("""COMPUTED_VALUE"""),45603.0)</f>
        <v>45603</v>
      </c>
      <c r="C2433" s="12">
        <f>IFERROR(__xludf.DUMMYFUNCTION("""COMPUTED_VALUE"""),185.0)</f>
        <v>185</v>
      </c>
      <c r="D2433" s="12">
        <f>IFERROR(__xludf.DUMMYFUNCTION("""COMPUTED_VALUE"""),36.0)</f>
        <v>36</v>
      </c>
      <c r="E2433" s="12">
        <f>IFERROR(__xludf.DUMMYFUNCTION("""COMPUTED_VALUE"""),5.0)</f>
        <v>5</v>
      </c>
      <c r="F2433" s="12">
        <f>IFERROR(__xludf.DUMMYFUNCTION("""COMPUTED_VALUE"""),4.0)</f>
        <v>4</v>
      </c>
      <c r="G2433" s="15" t="str">
        <f>IFERROR(__xludf.DUMMYFUNCTION("""COMPUTED_VALUE"""),"Completa")</f>
        <v>Completa</v>
      </c>
      <c r="H2433" s="16" t="str">
        <f t="array" ref="H2433">_xlfn.XLOOKUP(D2433,Productos[ID_Producto],Productos[Nombre_Producto])</f>
        <v>Lentejas</v>
      </c>
      <c r="I2433" s="17">
        <f t="array" ref="I2433">_xlfn.XLOOKUP(D2433,Productos[ID_Producto],Productos[Precio_Unitario])</f>
        <v>3.25</v>
      </c>
      <c r="J2433" s="17">
        <f t="shared" si="1"/>
        <v>16.25</v>
      </c>
      <c r="K2433" s="16" t="str">
        <f t="array" ref="K2433">_xlfn.XLOOKUP(C2433,Clientes[ID_Cliente],Clientes[Provincia])</f>
        <v>Córdoba</v>
      </c>
      <c r="L2433" s="16" t="str">
        <f t="array" ref="L2433">CONCATENATE(_xlfn.XLOOKUP(C2433,Clientes[ID_Cliente],Clientes[Provincia]),", Argentina")</f>
        <v>Córdoba, Argentina</v>
      </c>
      <c r="M2433" s="20" t="str">
        <f t="array" ref="M2433">_xlfn.XLOOKUP(F2433,Metodos_De_Pago[ID_Metodo],Metodos_De_Pago[Metodo])</f>
        <v>Mercado Pago</v>
      </c>
      <c r="N2433" s="20" t="str">
        <f t="shared" si="2"/>
        <v>2024 11</v>
      </c>
    </row>
    <row r="2434" ht="22.5" customHeight="1">
      <c r="A2434" s="12">
        <f>IFERROR(__xludf.DUMMYFUNCTION("""COMPUTED_VALUE"""),2960.0)</f>
        <v>2960</v>
      </c>
      <c r="B2434" s="13">
        <f>IFERROR(__xludf.DUMMYFUNCTION("""COMPUTED_VALUE"""),45604.0)</f>
        <v>45604</v>
      </c>
      <c r="C2434" s="12">
        <f>IFERROR(__xludf.DUMMYFUNCTION("""COMPUTED_VALUE"""),240.0)</f>
        <v>240</v>
      </c>
      <c r="D2434" s="12">
        <f>IFERROR(__xludf.DUMMYFUNCTION("""COMPUTED_VALUE"""),38.0)</f>
        <v>38</v>
      </c>
      <c r="E2434" s="12">
        <f>IFERROR(__xludf.DUMMYFUNCTION("""COMPUTED_VALUE"""),5.0)</f>
        <v>5</v>
      </c>
      <c r="F2434" s="12">
        <f>IFERROR(__xludf.DUMMYFUNCTION("""COMPUTED_VALUE"""),4.0)</f>
        <v>4</v>
      </c>
      <c r="G2434" s="15" t="str">
        <f>IFERROR(__xludf.DUMMYFUNCTION("""COMPUTED_VALUE"""),"Completa")</f>
        <v>Completa</v>
      </c>
      <c r="H2434" s="16" t="str">
        <f t="array" ref="H2434">_xlfn.XLOOKUP(D2434,Productos[ID_Producto],Productos[Nombre_Producto])</f>
        <v>Atún enlatado</v>
      </c>
      <c r="I2434" s="17">
        <f t="array" ref="I2434">_xlfn.XLOOKUP(D2434,Productos[ID_Producto],Productos[Precio_Unitario])</f>
        <v>6.21</v>
      </c>
      <c r="J2434" s="17">
        <f t="shared" si="1"/>
        <v>31.05</v>
      </c>
      <c r="K2434" s="16" t="str">
        <f t="array" ref="K2434">_xlfn.XLOOKUP(C2434,Clientes[ID_Cliente],Clientes[Provincia])</f>
        <v>Buenos Aires</v>
      </c>
      <c r="L2434" s="16" t="str">
        <f t="array" ref="L2434">CONCATENATE(_xlfn.XLOOKUP(C2434,Clientes[ID_Cliente],Clientes[Provincia]),", Argentina")</f>
        <v>Buenos Aires, Argentina</v>
      </c>
      <c r="M2434" s="20" t="str">
        <f t="array" ref="M2434">_xlfn.XLOOKUP(F2434,Metodos_De_Pago[ID_Metodo],Metodos_De_Pago[Metodo])</f>
        <v>Mercado Pago</v>
      </c>
      <c r="N2434" s="20" t="str">
        <f t="shared" si="2"/>
        <v>2024 11</v>
      </c>
    </row>
    <row r="2435" ht="22.5" customHeight="1">
      <c r="A2435" s="12">
        <f>IFERROR(__xludf.DUMMYFUNCTION("""COMPUTED_VALUE"""),188.0)</f>
        <v>188</v>
      </c>
      <c r="B2435" s="13">
        <f>IFERROR(__xludf.DUMMYFUNCTION("""COMPUTED_VALUE"""),45605.0)</f>
        <v>45605</v>
      </c>
      <c r="C2435" s="12">
        <f>IFERROR(__xludf.DUMMYFUNCTION("""COMPUTED_VALUE"""),323.0)</f>
        <v>323</v>
      </c>
      <c r="D2435" s="12">
        <f>IFERROR(__xludf.DUMMYFUNCTION("""COMPUTED_VALUE"""),36.0)</f>
        <v>36</v>
      </c>
      <c r="E2435" s="12">
        <f>IFERROR(__xludf.DUMMYFUNCTION("""COMPUTED_VALUE"""),5.0)</f>
        <v>5</v>
      </c>
      <c r="F2435" s="12">
        <f>IFERROR(__xludf.DUMMYFUNCTION("""COMPUTED_VALUE"""),5.0)</f>
        <v>5</v>
      </c>
      <c r="G2435" s="15" t="str">
        <f>IFERROR(__xludf.DUMMYFUNCTION("""COMPUTED_VALUE"""),"Pendiente")</f>
        <v>Pendiente</v>
      </c>
      <c r="H2435" s="16" t="str">
        <f t="array" ref="H2435">_xlfn.XLOOKUP(D2435,Productos[ID_Producto],Productos[Nombre_Producto])</f>
        <v>Lentejas</v>
      </c>
      <c r="I2435" s="17">
        <f t="array" ref="I2435">_xlfn.XLOOKUP(D2435,Productos[ID_Producto],Productos[Precio_Unitario])</f>
        <v>3.25</v>
      </c>
      <c r="J2435" s="17">
        <f t="shared" si="1"/>
        <v>16.25</v>
      </c>
      <c r="K2435" s="16" t="str">
        <f t="array" ref="K2435">_xlfn.XLOOKUP(C2435,Clientes[ID_Cliente],Clientes[Provincia])</f>
        <v>Córdoba</v>
      </c>
      <c r="L2435" s="16" t="str">
        <f t="array" ref="L2435">CONCATENATE(_xlfn.XLOOKUP(C2435,Clientes[ID_Cliente],Clientes[Provincia]),", Argentina")</f>
        <v>Córdoba, Argentina</v>
      </c>
      <c r="M2435" s="20" t="str">
        <f t="array" ref="M2435">_xlfn.XLOOKUP(F2435,Metodos_De_Pago[ID_Metodo],Metodos_De_Pago[Metodo])</f>
        <v>Transferencia</v>
      </c>
      <c r="N2435" s="20" t="str">
        <f t="shared" si="2"/>
        <v>2024 11</v>
      </c>
    </row>
    <row r="2436" ht="22.5" customHeight="1">
      <c r="A2436" s="12">
        <f>IFERROR(__xludf.DUMMYFUNCTION("""COMPUTED_VALUE"""),913.0)</f>
        <v>913</v>
      </c>
      <c r="B2436" s="13">
        <f>IFERROR(__xludf.DUMMYFUNCTION("""COMPUTED_VALUE"""),45605.0)</f>
        <v>45605</v>
      </c>
      <c r="C2436" s="12">
        <f>IFERROR(__xludf.DUMMYFUNCTION("""COMPUTED_VALUE"""),36.0)</f>
        <v>36</v>
      </c>
      <c r="D2436" s="12">
        <f>IFERROR(__xludf.DUMMYFUNCTION("""COMPUTED_VALUE"""),27.0)</f>
        <v>27</v>
      </c>
      <c r="E2436" s="12">
        <f>IFERROR(__xludf.DUMMYFUNCTION("""COMPUTED_VALUE"""),5.0)</f>
        <v>5</v>
      </c>
      <c r="F2436" s="12">
        <f>IFERROR(__xludf.DUMMYFUNCTION("""COMPUTED_VALUE"""),5.0)</f>
        <v>5</v>
      </c>
      <c r="G2436" s="15" t="str">
        <f>IFERROR(__xludf.DUMMYFUNCTION("""COMPUTED_VALUE"""),"Completa")</f>
        <v>Completa</v>
      </c>
      <c r="H2436" s="16" t="str">
        <f t="array" ref="H2436">_xlfn.XLOOKUP(D2436,Productos[ID_Producto],Productos[Nombre_Producto])</f>
        <v>Agua mineral</v>
      </c>
      <c r="I2436" s="17">
        <f t="array" ref="I2436">_xlfn.XLOOKUP(D2436,Productos[ID_Producto],Productos[Precio_Unitario])</f>
        <v>6.21</v>
      </c>
      <c r="J2436" s="17">
        <f t="shared" si="1"/>
        <v>31.05</v>
      </c>
      <c r="K2436" s="16" t="str">
        <f t="array" ref="K2436">_xlfn.XLOOKUP(C2436,Clientes[ID_Cliente],Clientes[Provincia])</f>
        <v>Buenos Aires</v>
      </c>
      <c r="L2436" s="16" t="str">
        <f t="array" ref="L2436">CONCATENATE(_xlfn.XLOOKUP(C2436,Clientes[ID_Cliente],Clientes[Provincia]),", Argentina")</f>
        <v>Buenos Aires, Argentina</v>
      </c>
      <c r="M2436" s="20" t="str">
        <f t="array" ref="M2436">_xlfn.XLOOKUP(F2436,Metodos_De_Pago[ID_Metodo],Metodos_De_Pago[Metodo])</f>
        <v>Transferencia</v>
      </c>
      <c r="N2436" s="20" t="str">
        <f t="shared" si="2"/>
        <v>2024 11</v>
      </c>
    </row>
    <row r="2437" ht="22.5" customHeight="1">
      <c r="A2437" s="12">
        <f>IFERROR(__xludf.DUMMYFUNCTION("""COMPUTED_VALUE"""),658.0)</f>
        <v>658</v>
      </c>
      <c r="B2437" s="13">
        <f>IFERROR(__xludf.DUMMYFUNCTION("""COMPUTED_VALUE"""),45606.0)</f>
        <v>45606</v>
      </c>
      <c r="C2437" s="12">
        <f>IFERROR(__xludf.DUMMYFUNCTION("""COMPUTED_VALUE"""),29.0)</f>
        <v>29</v>
      </c>
      <c r="D2437" s="12">
        <f>IFERROR(__xludf.DUMMYFUNCTION("""COMPUTED_VALUE"""),24.0)</f>
        <v>24</v>
      </c>
      <c r="E2437" s="12">
        <f>IFERROR(__xludf.DUMMYFUNCTION("""COMPUTED_VALUE"""),5.0)</f>
        <v>5</v>
      </c>
      <c r="F2437" s="12">
        <f>IFERROR(__xludf.DUMMYFUNCTION("""COMPUTED_VALUE"""),5.0)</f>
        <v>5</v>
      </c>
      <c r="G2437" s="15" t="str">
        <f>IFERROR(__xludf.DUMMYFUNCTION("""COMPUTED_VALUE"""),"Completa")</f>
        <v>Completa</v>
      </c>
      <c r="H2437" s="16" t="str">
        <f t="array" ref="H2437">_xlfn.XLOOKUP(D2437,Productos[ID_Producto],Productos[Nombre_Producto])</f>
        <v>Empanadas</v>
      </c>
      <c r="I2437" s="17">
        <f t="array" ref="I2437">_xlfn.XLOOKUP(D2437,Productos[ID_Producto],Productos[Precio_Unitario])</f>
        <v>13.54</v>
      </c>
      <c r="J2437" s="17">
        <f t="shared" si="1"/>
        <v>67.7</v>
      </c>
      <c r="K2437" s="16" t="str">
        <f t="array" ref="K2437">_xlfn.XLOOKUP(C2437,Clientes[ID_Cliente],Clientes[Provincia])</f>
        <v>Chaco</v>
      </c>
      <c r="L2437" s="16" t="str">
        <f t="array" ref="L2437">CONCATENATE(_xlfn.XLOOKUP(C2437,Clientes[ID_Cliente],Clientes[Provincia]),", Argentina")</f>
        <v>Chaco, Argentina</v>
      </c>
      <c r="M2437" s="20" t="str">
        <f t="array" ref="M2437">_xlfn.XLOOKUP(F2437,Metodos_De_Pago[ID_Metodo],Metodos_De_Pago[Metodo])</f>
        <v>Transferencia</v>
      </c>
      <c r="N2437" s="20" t="str">
        <f t="shared" si="2"/>
        <v>2024 11</v>
      </c>
    </row>
    <row r="2438" ht="22.5" customHeight="1">
      <c r="A2438" s="12">
        <f>IFERROR(__xludf.DUMMYFUNCTION("""COMPUTED_VALUE"""),1158.0)</f>
        <v>1158</v>
      </c>
      <c r="B2438" s="13">
        <f>IFERROR(__xludf.DUMMYFUNCTION("""COMPUTED_VALUE"""),45606.0)</f>
        <v>45606</v>
      </c>
      <c r="C2438" s="12">
        <f>IFERROR(__xludf.DUMMYFUNCTION("""COMPUTED_VALUE"""),88.0)</f>
        <v>88</v>
      </c>
      <c r="D2438" s="12">
        <f>IFERROR(__xludf.DUMMYFUNCTION("""COMPUTED_VALUE"""),17.0)</f>
        <v>17</v>
      </c>
      <c r="E2438" s="12">
        <f>IFERROR(__xludf.DUMMYFUNCTION("""COMPUTED_VALUE"""),5.0)</f>
        <v>5</v>
      </c>
      <c r="F2438" s="12">
        <f>IFERROR(__xludf.DUMMYFUNCTION("""COMPUTED_VALUE"""),3.0)</f>
        <v>3</v>
      </c>
      <c r="G2438" s="15" t="str">
        <f>IFERROR(__xludf.DUMMYFUNCTION("""COMPUTED_VALUE"""),"Completa")</f>
        <v>Completa</v>
      </c>
      <c r="H2438" s="16" t="str">
        <f t="array" ref="H2438">_xlfn.XLOOKUP(D2438,Productos[ID_Producto],Productos[Nombre_Producto])</f>
        <v>Manzanas</v>
      </c>
      <c r="I2438" s="17">
        <f t="array" ref="I2438">_xlfn.XLOOKUP(D2438,Productos[ID_Producto],Productos[Precio_Unitario])</f>
        <v>6.54</v>
      </c>
      <c r="J2438" s="17">
        <f t="shared" si="1"/>
        <v>32.7</v>
      </c>
      <c r="K2438" s="16" t="str">
        <f t="array" ref="K2438">_xlfn.XLOOKUP(C2438,Clientes[ID_Cliente],Clientes[Provincia])</f>
        <v>Neuquén</v>
      </c>
      <c r="L2438" s="16" t="str">
        <f t="array" ref="L2438">CONCATENATE(_xlfn.XLOOKUP(C2438,Clientes[ID_Cliente],Clientes[Provincia]),", Argentina")</f>
        <v>Neuquén, Argentina</v>
      </c>
      <c r="M2438" s="20" t="str">
        <f t="array" ref="M2438">_xlfn.XLOOKUP(F2438,Metodos_De_Pago[ID_Metodo],Metodos_De_Pago[Metodo])</f>
        <v>Tarjeta de Débito</v>
      </c>
      <c r="N2438" s="20" t="str">
        <f t="shared" si="2"/>
        <v>2024 11</v>
      </c>
    </row>
    <row r="2439" ht="22.5" customHeight="1">
      <c r="A2439" s="12">
        <f>IFERROR(__xludf.DUMMYFUNCTION("""COMPUTED_VALUE"""),2292.0)</f>
        <v>2292</v>
      </c>
      <c r="B2439" s="13">
        <f>IFERROR(__xludf.DUMMYFUNCTION("""COMPUTED_VALUE"""),45607.0)</f>
        <v>45607</v>
      </c>
      <c r="C2439" s="12">
        <f>IFERROR(__xludf.DUMMYFUNCTION("""COMPUTED_VALUE"""),225.0)</f>
        <v>225</v>
      </c>
      <c r="D2439" s="12">
        <f>IFERROR(__xludf.DUMMYFUNCTION("""COMPUTED_VALUE"""),8.0)</f>
        <v>8</v>
      </c>
      <c r="E2439" s="12">
        <f>IFERROR(__xludf.DUMMYFUNCTION("""COMPUTED_VALUE"""),5.0)</f>
        <v>5</v>
      </c>
      <c r="F2439" s="12">
        <f>IFERROR(__xludf.DUMMYFUNCTION("""COMPUTED_VALUE"""),5.0)</f>
        <v>5</v>
      </c>
      <c r="G2439" s="15" t="str">
        <f>IFERROR(__xludf.DUMMYFUNCTION("""COMPUTED_VALUE"""),"Completa")</f>
        <v>Completa</v>
      </c>
      <c r="H2439" s="16" t="str">
        <f t="array" ref="H2439">_xlfn.XLOOKUP(D2439,Productos[ID_Producto],Productos[Nombre_Producto])</f>
        <v>Milanesa</v>
      </c>
      <c r="I2439" s="17">
        <f t="array" ref="I2439">_xlfn.XLOOKUP(D2439,Productos[ID_Producto],Productos[Precio_Unitario])</f>
        <v>16.21</v>
      </c>
      <c r="J2439" s="17">
        <f t="shared" si="1"/>
        <v>81.05</v>
      </c>
      <c r="K2439" s="16" t="str">
        <f t="array" ref="K2439">_xlfn.XLOOKUP(C2439,Clientes[ID_Cliente],Clientes[Provincia])</f>
        <v>Buenos Aires</v>
      </c>
      <c r="L2439" s="16" t="str">
        <f t="array" ref="L2439">CONCATENATE(_xlfn.XLOOKUP(C2439,Clientes[ID_Cliente],Clientes[Provincia]),", Argentina")</f>
        <v>Buenos Aires, Argentina</v>
      </c>
      <c r="M2439" s="20" t="str">
        <f t="array" ref="M2439">_xlfn.XLOOKUP(F2439,Metodos_De_Pago[ID_Metodo],Metodos_De_Pago[Metodo])</f>
        <v>Transferencia</v>
      </c>
      <c r="N2439" s="20" t="str">
        <f t="shared" si="2"/>
        <v>2024 11</v>
      </c>
    </row>
    <row r="2440" ht="22.5" customHeight="1">
      <c r="A2440" s="12">
        <f>IFERROR(__xludf.DUMMYFUNCTION("""COMPUTED_VALUE"""),12.0)</f>
        <v>12</v>
      </c>
      <c r="B2440" s="13">
        <f>IFERROR(__xludf.DUMMYFUNCTION("""COMPUTED_VALUE"""),45608.0)</f>
        <v>45608</v>
      </c>
      <c r="C2440" s="12">
        <f>IFERROR(__xludf.DUMMYFUNCTION("""COMPUTED_VALUE"""),247.0)</f>
        <v>247</v>
      </c>
      <c r="D2440" s="12">
        <f>IFERROR(__xludf.DUMMYFUNCTION("""COMPUTED_VALUE"""),20.0)</f>
        <v>20</v>
      </c>
      <c r="E2440" s="12">
        <f>IFERROR(__xludf.DUMMYFUNCTION("""COMPUTED_VALUE"""),5.0)</f>
        <v>5</v>
      </c>
      <c r="F2440" s="12">
        <f>IFERROR(__xludf.DUMMYFUNCTION("""COMPUTED_VALUE"""),1.0)</f>
        <v>1</v>
      </c>
      <c r="G2440" s="15" t="str">
        <f>IFERROR(__xludf.DUMMYFUNCTION("""COMPUTED_VALUE"""),"Completa")</f>
        <v>Completa</v>
      </c>
      <c r="H2440" s="16" t="str">
        <f t="array" ref="H2440">_xlfn.XLOOKUP(D2440,Productos[ID_Producto],Productos[Nombre_Producto])</f>
        <v>Lechugas</v>
      </c>
      <c r="I2440" s="17">
        <f t="array" ref="I2440">_xlfn.XLOOKUP(D2440,Productos[ID_Producto],Productos[Precio_Unitario])</f>
        <v>4.25</v>
      </c>
      <c r="J2440" s="17">
        <f t="shared" si="1"/>
        <v>21.25</v>
      </c>
      <c r="K2440" s="16" t="str">
        <f t="array" ref="K2440">_xlfn.XLOOKUP(C2440,Clientes[ID_Cliente],Clientes[Provincia])</f>
        <v>Buenos Aires</v>
      </c>
      <c r="L2440" s="16" t="str">
        <f t="array" ref="L2440">CONCATENATE(_xlfn.XLOOKUP(C2440,Clientes[ID_Cliente],Clientes[Provincia]),", Argentina")</f>
        <v>Buenos Aires, Argentina</v>
      </c>
      <c r="M2440" s="20" t="str">
        <f t="array" ref="M2440">_xlfn.XLOOKUP(F2440,Metodos_De_Pago[ID_Metodo],Metodos_De_Pago[Metodo])</f>
        <v>Efectivo</v>
      </c>
      <c r="N2440" s="20" t="str">
        <f t="shared" si="2"/>
        <v>2024 11</v>
      </c>
    </row>
    <row r="2441" ht="22.5" customHeight="1">
      <c r="A2441" s="12">
        <f>IFERROR(__xludf.DUMMYFUNCTION("""COMPUTED_VALUE"""),781.0)</f>
        <v>781</v>
      </c>
      <c r="B2441" s="13">
        <f>IFERROR(__xludf.DUMMYFUNCTION("""COMPUTED_VALUE"""),45608.0)</f>
        <v>45608</v>
      </c>
      <c r="C2441" s="12">
        <f>IFERROR(__xludf.DUMMYFUNCTION("""COMPUTED_VALUE"""),68.0)</f>
        <v>68</v>
      </c>
      <c r="D2441" s="12">
        <f>IFERROR(__xludf.DUMMYFUNCTION("""COMPUTED_VALUE"""),12.0)</f>
        <v>12</v>
      </c>
      <c r="E2441" s="12">
        <f>IFERROR(__xludf.DUMMYFUNCTION("""COMPUTED_VALUE"""),5.0)</f>
        <v>5</v>
      </c>
      <c r="F2441" s="12">
        <f>IFERROR(__xludf.DUMMYFUNCTION("""COMPUTED_VALUE"""),4.0)</f>
        <v>4</v>
      </c>
      <c r="G2441" s="15" t="str">
        <f>IFERROR(__xludf.DUMMYFUNCTION("""COMPUTED_VALUE"""),"Completa")</f>
        <v>Completa</v>
      </c>
      <c r="H2441" s="16" t="str">
        <f t="array" ref="H2441">_xlfn.XLOOKUP(D2441,Productos[ID_Producto],Productos[Nombre_Producto])</f>
        <v>Pan francés</v>
      </c>
      <c r="I2441" s="17">
        <f t="array" ref="I2441">_xlfn.XLOOKUP(D2441,Productos[ID_Producto],Productos[Precio_Unitario])</f>
        <v>8.12</v>
      </c>
      <c r="J2441" s="17">
        <f t="shared" si="1"/>
        <v>40.6</v>
      </c>
      <c r="K2441" s="16" t="str">
        <f t="array" ref="K2441">_xlfn.XLOOKUP(C2441,Clientes[ID_Cliente],Clientes[Provincia])</f>
        <v>Neuquén</v>
      </c>
      <c r="L2441" s="16" t="str">
        <f t="array" ref="L2441">CONCATENATE(_xlfn.XLOOKUP(C2441,Clientes[ID_Cliente],Clientes[Provincia]),", Argentina")</f>
        <v>Neuquén, Argentina</v>
      </c>
      <c r="M2441" s="20" t="str">
        <f t="array" ref="M2441">_xlfn.XLOOKUP(F2441,Metodos_De_Pago[ID_Metodo],Metodos_De_Pago[Metodo])</f>
        <v>Mercado Pago</v>
      </c>
      <c r="N2441" s="20" t="str">
        <f t="shared" si="2"/>
        <v>2024 11</v>
      </c>
    </row>
    <row r="2442" ht="22.5" customHeight="1">
      <c r="A2442" s="12">
        <f>IFERROR(__xludf.DUMMYFUNCTION("""COMPUTED_VALUE"""),1662.0)</f>
        <v>1662</v>
      </c>
      <c r="B2442" s="13">
        <f>IFERROR(__xludf.DUMMYFUNCTION("""COMPUTED_VALUE"""),45608.0)</f>
        <v>45608</v>
      </c>
      <c r="C2442" s="12">
        <f>IFERROR(__xludf.DUMMYFUNCTION("""COMPUTED_VALUE"""),133.0)</f>
        <v>133</v>
      </c>
      <c r="D2442" s="12">
        <f>IFERROR(__xludf.DUMMYFUNCTION("""COMPUTED_VALUE"""),26.0)</f>
        <v>26</v>
      </c>
      <c r="E2442" s="12">
        <f>IFERROR(__xludf.DUMMYFUNCTION("""COMPUTED_VALUE"""),5.0)</f>
        <v>5</v>
      </c>
      <c r="F2442" s="12">
        <f>IFERROR(__xludf.DUMMYFUNCTION("""COMPUTED_VALUE"""),4.0)</f>
        <v>4</v>
      </c>
      <c r="G2442" s="15" t="str">
        <f>IFERROR(__xludf.DUMMYFUNCTION("""COMPUTED_VALUE"""),"Pendiente")</f>
        <v>Pendiente</v>
      </c>
      <c r="H2442" s="16" t="str">
        <f t="array" ref="H2442">_xlfn.XLOOKUP(D2442,Productos[ID_Producto],Productos[Nombre_Producto])</f>
        <v>Hamburgesas congeladas</v>
      </c>
      <c r="I2442" s="17">
        <f t="array" ref="I2442">_xlfn.XLOOKUP(D2442,Productos[ID_Producto],Productos[Precio_Unitario])</f>
        <v>9.54</v>
      </c>
      <c r="J2442" s="17">
        <f t="shared" si="1"/>
        <v>47.7</v>
      </c>
      <c r="K2442" s="16" t="str">
        <f t="array" ref="K2442">_xlfn.XLOOKUP(C2442,Clientes[ID_Cliente],Clientes[Provincia])</f>
        <v>Buenos Aires</v>
      </c>
      <c r="L2442" s="16" t="str">
        <f t="array" ref="L2442">CONCATENATE(_xlfn.XLOOKUP(C2442,Clientes[ID_Cliente],Clientes[Provincia]),", Argentina")</f>
        <v>Buenos Aires, Argentina</v>
      </c>
      <c r="M2442" s="20" t="str">
        <f t="array" ref="M2442">_xlfn.XLOOKUP(F2442,Metodos_De_Pago[ID_Metodo],Metodos_De_Pago[Metodo])</f>
        <v>Mercado Pago</v>
      </c>
      <c r="N2442" s="20" t="str">
        <f t="shared" si="2"/>
        <v>2024 11</v>
      </c>
    </row>
    <row r="2443" ht="22.5" customHeight="1">
      <c r="A2443" s="12">
        <f>IFERROR(__xludf.DUMMYFUNCTION("""COMPUTED_VALUE"""),107.0)</f>
        <v>107</v>
      </c>
      <c r="B2443" s="13">
        <f>IFERROR(__xludf.DUMMYFUNCTION("""COMPUTED_VALUE"""),45609.0)</f>
        <v>45609</v>
      </c>
      <c r="C2443" s="12">
        <f>IFERROR(__xludf.DUMMYFUNCTION("""COMPUTED_VALUE"""),7.0)</f>
        <v>7</v>
      </c>
      <c r="D2443" s="12">
        <f>IFERROR(__xludf.DUMMYFUNCTION("""COMPUTED_VALUE"""),24.0)</f>
        <v>24</v>
      </c>
      <c r="E2443" s="12">
        <f>IFERROR(__xludf.DUMMYFUNCTION("""COMPUTED_VALUE"""),5.0)</f>
        <v>5</v>
      </c>
      <c r="F2443" s="12">
        <f>IFERROR(__xludf.DUMMYFUNCTION("""COMPUTED_VALUE"""),5.0)</f>
        <v>5</v>
      </c>
      <c r="G2443" s="15" t="str">
        <f>IFERROR(__xludf.DUMMYFUNCTION("""COMPUTED_VALUE"""),"Completa")</f>
        <v>Completa</v>
      </c>
      <c r="H2443" s="16" t="str">
        <f t="array" ref="H2443">_xlfn.XLOOKUP(D2443,Productos[ID_Producto],Productos[Nombre_Producto])</f>
        <v>Empanadas</v>
      </c>
      <c r="I2443" s="17">
        <f t="array" ref="I2443">_xlfn.XLOOKUP(D2443,Productos[ID_Producto],Productos[Precio_Unitario])</f>
        <v>13.54</v>
      </c>
      <c r="J2443" s="17">
        <f t="shared" si="1"/>
        <v>67.7</v>
      </c>
      <c r="K2443" s="16" t="str">
        <f t="array" ref="K2443">_xlfn.XLOOKUP(C2443,Clientes[ID_Cliente],Clientes[Provincia])</f>
        <v>San Luis</v>
      </c>
      <c r="L2443" s="16" t="str">
        <f t="array" ref="L2443">CONCATENATE(_xlfn.XLOOKUP(C2443,Clientes[ID_Cliente],Clientes[Provincia]),", Argentina")</f>
        <v>San Luis, Argentina</v>
      </c>
      <c r="M2443" s="20" t="str">
        <f t="array" ref="M2443">_xlfn.XLOOKUP(F2443,Metodos_De_Pago[ID_Metodo],Metodos_De_Pago[Metodo])</f>
        <v>Transferencia</v>
      </c>
      <c r="N2443" s="20" t="str">
        <f t="shared" si="2"/>
        <v>2024 11</v>
      </c>
    </row>
    <row r="2444" ht="22.5" customHeight="1">
      <c r="A2444" s="12">
        <f>IFERROR(__xludf.DUMMYFUNCTION("""COMPUTED_VALUE"""),2868.0)</f>
        <v>2868</v>
      </c>
      <c r="B2444" s="13">
        <f>IFERROR(__xludf.DUMMYFUNCTION("""COMPUTED_VALUE"""),45609.0)</f>
        <v>45609</v>
      </c>
      <c r="C2444" s="12">
        <f>IFERROR(__xludf.DUMMYFUNCTION("""COMPUTED_VALUE"""),94.0)</f>
        <v>94</v>
      </c>
      <c r="D2444" s="12">
        <f>IFERROR(__xludf.DUMMYFUNCTION("""COMPUTED_VALUE"""),25.0)</f>
        <v>25</v>
      </c>
      <c r="E2444" s="12">
        <f>IFERROR(__xludf.DUMMYFUNCTION("""COMPUTED_VALUE"""),5.0)</f>
        <v>5</v>
      </c>
      <c r="F2444" s="12">
        <f>IFERROR(__xludf.DUMMYFUNCTION("""COMPUTED_VALUE"""),4.0)</f>
        <v>4</v>
      </c>
      <c r="G2444" s="15" t="str">
        <f>IFERROR(__xludf.DUMMYFUNCTION("""COMPUTED_VALUE"""),"Completa")</f>
        <v>Completa</v>
      </c>
      <c r="H2444" s="16" t="str">
        <f t="array" ref="H2444">_xlfn.XLOOKUP(D2444,Productos[ID_Producto],Productos[Nombre_Producto])</f>
        <v>Pizza congelada</v>
      </c>
      <c r="I2444" s="17">
        <f t="array" ref="I2444">_xlfn.XLOOKUP(D2444,Productos[ID_Producto],Productos[Precio_Unitario])</f>
        <v>15.45</v>
      </c>
      <c r="J2444" s="17">
        <f t="shared" si="1"/>
        <v>77.25</v>
      </c>
      <c r="K2444" s="16" t="str">
        <f t="array" ref="K2444">_xlfn.XLOOKUP(C2444,Clientes[ID_Cliente],Clientes[Provincia])</f>
        <v>Córdoba</v>
      </c>
      <c r="L2444" s="16" t="str">
        <f t="array" ref="L2444">CONCATENATE(_xlfn.XLOOKUP(C2444,Clientes[ID_Cliente],Clientes[Provincia]),", Argentina")</f>
        <v>Córdoba, Argentina</v>
      </c>
      <c r="M2444" s="20" t="str">
        <f t="array" ref="M2444">_xlfn.XLOOKUP(F2444,Metodos_De_Pago[ID_Metodo],Metodos_De_Pago[Metodo])</f>
        <v>Mercado Pago</v>
      </c>
      <c r="N2444" s="20" t="str">
        <f t="shared" si="2"/>
        <v>2024 11</v>
      </c>
    </row>
    <row r="2445" ht="22.5" customHeight="1">
      <c r="A2445" s="12">
        <f>IFERROR(__xludf.DUMMYFUNCTION("""COMPUTED_VALUE"""),65.0)</f>
        <v>65</v>
      </c>
      <c r="B2445" s="13">
        <f>IFERROR(__xludf.DUMMYFUNCTION("""COMPUTED_VALUE"""),45614.0)</f>
        <v>45614</v>
      </c>
      <c r="C2445" s="12">
        <f>IFERROR(__xludf.DUMMYFUNCTION("""COMPUTED_VALUE"""),205.0)</f>
        <v>205</v>
      </c>
      <c r="D2445" s="12">
        <f>IFERROR(__xludf.DUMMYFUNCTION("""COMPUTED_VALUE"""),27.0)</f>
        <v>27</v>
      </c>
      <c r="E2445" s="12">
        <f>IFERROR(__xludf.DUMMYFUNCTION("""COMPUTED_VALUE"""),5.0)</f>
        <v>5</v>
      </c>
      <c r="F2445" s="12">
        <f>IFERROR(__xludf.DUMMYFUNCTION("""COMPUTED_VALUE"""),3.0)</f>
        <v>3</v>
      </c>
      <c r="G2445" s="15" t="str">
        <f>IFERROR(__xludf.DUMMYFUNCTION("""COMPUTED_VALUE"""),"Completa")</f>
        <v>Completa</v>
      </c>
      <c r="H2445" s="16" t="str">
        <f t="array" ref="H2445">_xlfn.XLOOKUP(D2445,Productos[ID_Producto],Productos[Nombre_Producto])</f>
        <v>Agua mineral</v>
      </c>
      <c r="I2445" s="17">
        <f t="array" ref="I2445">_xlfn.XLOOKUP(D2445,Productos[ID_Producto],Productos[Precio_Unitario])</f>
        <v>6.21</v>
      </c>
      <c r="J2445" s="17">
        <f t="shared" si="1"/>
        <v>31.05</v>
      </c>
      <c r="K2445" s="16" t="str">
        <f t="array" ref="K2445">_xlfn.XLOOKUP(C2445,Clientes[ID_Cliente],Clientes[Provincia])</f>
        <v>Neuquén</v>
      </c>
      <c r="L2445" s="16" t="str">
        <f t="array" ref="L2445">CONCATENATE(_xlfn.XLOOKUP(C2445,Clientes[ID_Cliente],Clientes[Provincia]),", Argentina")</f>
        <v>Neuquén, Argentina</v>
      </c>
      <c r="M2445" s="20" t="str">
        <f t="array" ref="M2445">_xlfn.XLOOKUP(F2445,Metodos_De_Pago[ID_Metodo],Metodos_De_Pago[Metodo])</f>
        <v>Tarjeta de Débito</v>
      </c>
      <c r="N2445" s="20" t="str">
        <f t="shared" si="2"/>
        <v>2024 11</v>
      </c>
    </row>
    <row r="2446" ht="22.5" customHeight="1">
      <c r="A2446" s="12">
        <f>IFERROR(__xludf.DUMMYFUNCTION("""COMPUTED_VALUE"""),2203.0)</f>
        <v>2203</v>
      </c>
      <c r="B2446" s="13">
        <f>IFERROR(__xludf.DUMMYFUNCTION("""COMPUTED_VALUE"""),45614.0)</f>
        <v>45614</v>
      </c>
      <c r="C2446" s="12">
        <f>IFERROR(__xludf.DUMMYFUNCTION("""COMPUTED_VALUE"""),68.0)</f>
        <v>68</v>
      </c>
      <c r="D2446" s="12">
        <f>IFERROR(__xludf.DUMMYFUNCTION("""COMPUTED_VALUE"""),14.0)</f>
        <v>14</v>
      </c>
      <c r="E2446" s="12">
        <f>IFERROR(__xludf.DUMMYFUNCTION("""COMPUTED_VALUE"""),5.0)</f>
        <v>5</v>
      </c>
      <c r="F2446" s="12">
        <f>IFERROR(__xludf.DUMMYFUNCTION("""COMPUTED_VALUE"""),5.0)</f>
        <v>5</v>
      </c>
      <c r="G2446" s="15" t="str">
        <f>IFERROR(__xludf.DUMMYFUNCTION("""COMPUTED_VALUE"""),"Completa")</f>
        <v>Completa</v>
      </c>
      <c r="H2446" s="16" t="str">
        <f t="array" ref="H2446">_xlfn.XLOOKUP(D2446,Productos[ID_Producto],Productos[Nombre_Producto])</f>
        <v>Facturas</v>
      </c>
      <c r="I2446" s="17">
        <f t="array" ref="I2446">_xlfn.XLOOKUP(D2446,Productos[ID_Producto],Productos[Precio_Unitario])</f>
        <v>12.36</v>
      </c>
      <c r="J2446" s="17">
        <f t="shared" si="1"/>
        <v>61.8</v>
      </c>
      <c r="K2446" s="16" t="str">
        <f t="array" ref="K2446">_xlfn.XLOOKUP(C2446,Clientes[ID_Cliente],Clientes[Provincia])</f>
        <v>Neuquén</v>
      </c>
      <c r="L2446" s="16" t="str">
        <f t="array" ref="L2446">CONCATENATE(_xlfn.XLOOKUP(C2446,Clientes[ID_Cliente],Clientes[Provincia]),", Argentina")</f>
        <v>Neuquén, Argentina</v>
      </c>
      <c r="M2446" s="20" t="str">
        <f t="array" ref="M2446">_xlfn.XLOOKUP(F2446,Metodos_De_Pago[ID_Metodo],Metodos_De_Pago[Metodo])</f>
        <v>Transferencia</v>
      </c>
      <c r="N2446" s="20" t="str">
        <f t="shared" si="2"/>
        <v>2024 11</v>
      </c>
    </row>
    <row r="2447" ht="22.5" customHeight="1">
      <c r="A2447" s="12">
        <f>IFERROR(__xludf.DUMMYFUNCTION("""COMPUTED_VALUE"""),2431.0)</f>
        <v>2431</v>
      </c>
      <c r="B2447" s="13">
        <f>IFERROR(__xludf.DUMMYFUNCTION("""COMPUTED_VALUE"""),45616.0)</f>
        <v>45616</v>
      </c>
      <c r="C2447" s="12">
        <f>IFERROR(__xludf.DUMMYFUNCTION("""COMPUTED_VALUE"""),31.0)</f>
        <v>31</v>
      </c>
      <c r="D2447" s="12">
        <f>IFERROR(__xludf.DUMMYFUNCTION("""COMPUTED_VALUE"""),26.0)</f>
        <v>26</v>
      </c>
      <c r="E2447" s="12">
        <f>IFERROR(__xludf.DUMMYFUNCTION("""COMPUTED_VALUE"""),5.0)</f>
        <v>5</v>
      </c>
      <c r="F2447" s="12">
        <f>IFERROR(__xludf.DUMMYFUNCTION("""COMPUTED_VALUE"""),2.0)</f>
        <v>2</v>
      </c>
      <c r="G2447" s="15" t="str">
        <f>IFERROR(__xludf.DUMMYFUNCTION("""COMPUTED_VALUE"""),"Completa")</f>
        <v>Completa</v>
      </c>
      <c r="H2447" s="16" t="str">
        <f t="array" ref="H2447">_xlfn.XLOOKUP(D2447,Productos[ID_Producto],Productos[Nombre_Producto])</f>
        <v>Hamburgesas congeladas</v>
      </c>
      <c r="I2447" s="17">
        <f t="array" ref="I2447">_xlfn.XLOOKUP(D2447,Productos[ID_Producto],Productos[Precio_Unitario])</f>
        <v>9.54</v>
      </c>
      <c r="J2447" s="17">
        <f t="shared" si="1"/>
        <v>47.7</v>
      </c>
      <c r="K2447" s="16" t="str">
        <f t="array" ref="K2447">_xlfn.XLOOKUP(C2447,Clientes[ID_Cliente],Clientes[Provincia])</f>
        <v>Córdoba</v>
      </c>
      <c r="L2447" s="16" t="str">
        <f t="array" ref="L2447">CONCATENATE(_xlfn.XLOOKUP(C2447,Clientes[ID_Cliente],Clientes[Provincia]),", Argentina")</f>
        <v>Córdoba, Argentina</v>
      </c>
      <c r="M2447" s="20" t="str">
        <f t="array" ref="M2447">_xlfn.XLOOKUP(F2447,Metodos_De_Pago[ID_Metodo],Metodos_De_Pago[Metodo])</f>
        <v>Tarjeta de Crédito</v>
      </c>
      <c r="N2447" s="20" t="str">
        <f t="shared" si="2"/>
        <v>2024 11</v>
      </c>
    </row>
    <row r="2448" ht="22.5" customHeight="1">
      <c r="A2448" s="12">
        <f>IFERROR(__xludf.DUMMYFUNCTION("""COMPUTED_VALUE"""),662.0)</f>
        <v>662</v>
      </c>
      <c r="B2448" s="13">
        <f>IFERROR(__xludf.DUMMYFUNCTION("""COMPUTED_VALUE"""),45617.0)</f>
        <v>45617</v>
      </c>
      <c r="C2448" s="12">
        <f>IFERROR(__xludf.DUMMYFUNCTION("""COMPUTED_VALUE"""),214.0)</f>
        <v>214</v>
      </c>
      <c r="D2448" s="12">
        <f>IFERROR(__xludf.DUMMYFUNCTION("""COMPUTED_VALUE"""),34.0)</f>
        <v>34</v>
      </c>
      <c r="E2448" s="12">
        <f>IFERROR(__xludf.DUMMYFUNCTION("""COMPUTED_VALUE"""),5.0)</f>
        <v>5</v>
      </c>
      <c r="F2448" s="12">
        <f>IFERROR(__xludf.DUMMYFUNCTION("""COMPUTED_VALUE"""),5.0)</f>
        <v>5</v>
      </c>
      <c r="G2448" s="15" t="str">
        <f>IFERROR(__xludf.DUMMYFUNCTION("""COMPUTED_VALUE"""),"Completa")</f>
        <v>Completa</v>
      </c>
      <c r="H2448" s="16" t="str">
        <f t="array" ref="H2448">_xlfn.XLOOKUP(D2448,Productos[ID_Producto],Productos[Nombre_Producto])</f>
        <v>Maníes</v>
      </c>
      <c r="I2448" s="17">
        <f t="array" ref="I2448">_xlfn.XLOOKUP(D2448,Productos[ID_Producto],Productos[Precio_Unitario])</f>
        <v>5.45</v>
      </c>
      <c r="J2448" s="17">
        <f t="shared" si="1"/>
        <v>27.25</v>
      </c>
      <c r="K2448" s="16" t="str">
        <f t="array" ref="K2448">_xlfn.XLOOKUP(C2448,Clientes[ID_Cliente],Clientes[Provincia])</f>
        <v>Neuquén</v>
      </c>
      <c r="L2448" s="16" t="str">
        <f t="array" ref="L2448">CONCATENATE(_xlfn.XLOOKUP(C2448,Clientes[ID_Cliente],Clientes[Provincia]),", Argentina")</f>
        <v>Neuquén, Argentina</v>
      </c>
      <c r="M2448" s="20" t="str">
        <f t="array" ref="M2448">_xlfn.XLOOKUP(F2448,Metodos_De_Pago[ID_Metodo],Metodos_De_Pago[Metodo])</f>
        <v>Transferencia</v>
      </c>
      <c r="N2448" s="20" t="str">
        <f t="shared" si="2"/>
        <v>2024 11</v>
      </c>
    </row>
    <row r="2449" ht="22.5" customHeight="1">
      <c r="A2449" s="12">
        <f>IFERROR(__xludf.DUMMYFUNCTION("""COMPUTED_VALUE"""),2079.0)</f>
        <v>2079</v>
      </c>
      <c r="B2449" s="13">
        <f>IFERROR(__xludf.DUMMYFUNCTION("""COMPUTED_VALUE"""),45617.0)</f>
        <v>45617</v>
      </c>
      <c r="C2449" s="12">
        <f>IFERROR(__xludf.DUMMYFUNCTION("""COMPUTED_VALUE"""),11.0)</f>
        <v>11</v>
      </c>
      <c r="D2449" s="12">
        <f>IFERROR(__xludf.DUMMYFUNCTION("""COMPUTED_VALUE"""),11.0)</f>
        <v>11</v>
      </c>
      <c r="E2449" s="12">
        <f>IFERROR(__xludf.DUMMYFUNCTION("""COMPUTED_VALUE"""),5.0)</f>
        <v>5</v>
      </c>
      <c r="F2449" s="12">
        <f>IFERROR(__xludf.DUMMYFUNCTION("""COMPUTED_VALUE"""),2.0)</f>
        <v>2</v>
      </c>
      <c r="G2449" s="15" t="str">
        <f>IFERROR(__xludf.DUMMYFUNCTION("""COMPUTED_VALUE"""),"Pendiente")</f>
        <v>Pendiente</v>
      </c>
      <c r="H2449" s="16" t="str">
        <f t="array" ref="H2449">_xlfn.XLOOKUP(D2449,Productos[ID_Producto],Productos[Nombre_Producto])</f>
        <v>Salchicha</v>
      </c>
      <c r="I2449" s="17">
        <f t="array" ref="I2449">_xlfn.XLOOKUP(D2449,Productos[ID_Producto],Productos[Precio_Unitario])</f>
        <v>11.23</v>
      </c>
      <c r="J2449" s="17">
        <f t="shared" si="1"/>
        <v>56.15</v>
      </c>
      <c r="K2449" s="16" t="str">
        <f t="array" ref="K2449">_xlfn.XLOOKUP(C2449,Clientes[ID_Cliente],Clientes[Provincia])</f>
        <v>Buenos Aires</v>
      </c>
      <c r="L2449" s="16" t="str">
        <f t="array" ref="L2449">CONCATENATE(_xlfn.XLOOKUP(C2449,Clientes[ID_Cliente],Clientes[Provincia]),", Argentina")</f>
        <v>Buenos Aires, Argentina</v>
      </c>
      <c r="M2449" s="20" t="str">
        <f t="array" ref="M2449">_xlfn.XLOOKUP(F2449,Metodos_De_Pago[ID_Metodo],Metodos_De_Pago[Metodo])</f>
        <v>Tarjeta de Crédito</v>
      </c>
      <c r="N2449" s="20" t="str">
        <f t="shared" si="2"/>
        <v>2024 11</v>
      </c>
    </row>
    <row r="2450" ht="22.5" customHeight="1">
      <c r="A2450" s="12">
        <f>IFERROR(__xludf.DUMMYFUNCTION("""COMPUTED_VALUE"""),111.0)</f>
        <v>111</v>
      </c>
      <c r="B2450" s="13">
        <f>IFERROR(__xludf.DUMMYFUNCTION("""COMPUTED_VALUE"""),45618.0)</f>
        <v>45618</v>
      </c>
      <c r="C2450" s="12">
        <f>IFERROR(__xludf.DUMMYFUNCTION("""COMPUTED_VALUE"""),103.0)</f>
        <v>103</v>
      </c>
      <c r="D2450" s="12">
        <f>IFERROR(__xludf.DUMMYFUNCTION("""COMPUTED_VALUE"""),29.0)</f>
        <v>29</v>
      </c>
      <c r="E2450" s="12">
        <f>IFERROR(__xludf.DUMMYFUNCTION("""COMPUTED_VALUE"""),5.0)</f>
        <v>5</v>
      </c>
      <c r="F2450" s="12">
        <f>IFERROR(__xludf.DUMMYFUNCTION("""COMPUTED_VALUE"""),2.0)</f>
        <v>2</v>
      </c>
      <c r="G2450" s="15" t="str">
        <f>IFERROR(__xludf.DUMMYFUNCTION("""COMPUTED_VALUE"""),"Completa")</f>
        <v>Completa</v>
      </c>
      <c r="H2450" s="16" t="str">
        <f t="array" ref="H2450">_xlfn.XLOOKUP(D2450,Productos[ID_Producto],Productos[Nombre_Producto])</f>
        <v>Cerveza</v>
      </c>
      <c r="I2450" s="17">
        <f t="array" ref="I2450">_xlfn.XLOOKUP(D2450,Productos[ID_Producto],Productos[Precio_Unitario])</f>
        <v>11.54</v>
      </c>
      <c r="J2450" s="17">
        <f t="shared" si="1"/>
        <v>57.7</v>
      </c>
      <c r="K2450" s="16" t="str">
        <f t="array" ref="K2450">_xlfn.XLOOKUP(C2450,Clientes[ID_Cliente],Clientes[Provincia])</f>
        <v>Neuquén</v>
      </c>
      <c r="L2450" s="16" t="str">
        <f t="array" ref="L2450">CONCATENATE(_xlfn.XLOOKUP(C2450,Clientes[ID_Cliente],Clientes[Provincia]),", Argentina")</f>
        <v>Neuquén, Argentina</v>
      </c>
      <c r="M2450" s="20" t="str">
        <f t="array" ref="M2450">_xlfn.XLOOKUP(F2450,Metodos_De_Pago[ID_Metodo],Metodos_De_Pago[Metodo])</f>
        <v>Tarjeta de Crédito</v>
      </c>
      <c r="N2450" s="20" t="str">
        <f t="shared" si="2"/>
        <v>2024 11</v>
      </c>
    </row>
    <row r="2451" ht="22.5" customHeight="1">
      <c r="A2451" s="12">
        <f>IFERROR(__xludf.DUMMYFUNCTION("""COMPUTED_VALUE"""),1296.0)</f>
        <v>1296</v>
      </c>
      <c r="B2451" s="13">
        <f>IFERROR(__xludf.DUMMYFUNCTION("""COMPUTED_VALUE"""),45618.0)</f>
        <v>45618</v>
      </c>
      <c r="C2451" s="12">
        <f>IFERROR(__xludf.DUMMYFUNCTION("""COMPUTED_VALUE"""),174.0)</f>
        <v>174</v>
      </c>
      <c r="D2451" s="12">
        <f>IFERROR(__xludf.DUMMYFUNCTION("""COMPUTED_VALUE"""),12.0)</f>
        <v>12</v>
      </c>
      <c r="E2451" s="12">
        <f>IFERROR(__xludf.DUMMYFUNCTION("""COMPUTED_VALUE"""),5.0)</f>
        <v>5</v>
      </c>
      <c r="F2451" s="12">
        <f>IFERROR(__xludf.DUMMYFUNCTION("""COMPUTED_VALUE"""),3.0)</f>
        <v>3</v>
      </c>
      <c r="G2451" s="15" t="str">
        <f>IFERROR(__xludf.DUMMYFUNCTION("""COMPUTED_VALUE"""),"Pendiente")</f>
        <v>Pendiente</v>
      </c>
      <c r="H2451" s="16" t="str">
        <f t="array" ref="H2451">_xlfn.XLOOKUP(D2451,Productos[ID_Producto],Productos[Nombre_Producto])</f>
        <v>Pan francés</v>
      </c>
      <c r="I2451" s="17">
        <f t="array" ref="I2451">_xlfn.XLOOKUP(D2451,Productos[ID_Producto],Productos[Precio_Unitario])</f>
        <v>8.12</v>
      </c>
      <c r="J2451" s="17">
        <f t="shared" si="1"/>
        <v>40.6</v>
      </c>
      <c r="K2451" s="16" t="str">
        <f t="array" ref="K2451">_xlfn.XLOOKUP(C2451,Clientes[ID_Cliente],Clientes[Provincia])</f>
        <v>Neuquén</v>
      </c>
      <c r="L2451" s="16" t="str">
        <f t="array" ref="L2451">CONCATENATE(_xlfn.XLOOKUP(C2451,Clientes[ID_Cliente],Clientes[Provincia]),", Argentina")</f>
        <v>Neuquén, Argentina</v>
      </c>
      <c r="M2451" s="20" t="str">
        <f t="array" ref="M2451">_xlfn.XLOOKUP(F2451,Metodos_De_Pago[ID_Metodo],Metodos_De_Pago[Metodo])</f>
        <v>Tarjeta de Débito</v>
      </c>
      <c r="N2451" s="20" t="str">
        <f t="shared" si="2"/>
        <v>2024 11</v>
      </c>
    </row>
    <row r="2452" ht="22.5" customHeight="1">
      <c r="A2452" s="12">
        <f>IFERROR(__xludf.DUMMYFUNCTION("""COMPUTED_VALUE"""),2125.0)</f>
        <v>2125</v>
      </c>
      <c r="B2452" s="13">
        <f>IFERROR(__xludf.DUMMYFUNCTION("""COMPUTED_VALUE"""),45618.0)</f>
        <v>45618</v>
      </c>
      <c r="C2452" s="12">
        <f>IFERROR(__xludf.DUMMYFUNCTION("""COMPUTED_VALUE"""),231.0)</f>
        <v>231</v>
      </c>
      <c r="D2452" s="12">
        <f>IFERROR(__xludf.DUMMYFUNCTION("""COMPUTED_VALUE"""),5.0)</f>
        <v>5</v>
      </c>
      <c r="E2452" s="12">
        <f>IFERROR(__xludf.DUMMYFUNCTION("""COMPUTED_VALUE"""),5.0)</f>
        <v>5</v>
      </c>
      <c r="F2452" s="12">
        <f>IFERROR(__xludf.DUMMYFUNCTION("""COMPUTED_VALUE"""),5.0)</f>
        <v>5</v>
      </c>
      <c r="G2452" s="15" t="str">
        <f>IFERROR(__xludf.DUMMYFUNCTION("""COMPUTED_VALUE"""),"Completa")</f>
        <v>Completa</v>
      </c>
      <c r="H2452" s="16" t="str">
        <f t="array" ref="H2452">_xlfn.XLOOKUP(D2452,Productos[ID_Producto],Productos[Nombre_Producto])</f>
        <v>Manteca</v>
      </c>
      <c r="I2452" s="17">
        <f t="array" ref="I2452">_xlfn.XLOOKUP(D2452,Productos[ID_Producto],Productos[Precio_Unitario])</f>
        <v>5.65</v>
      </c>
      <c r="J2452" s="17">
        <f t="shared" si="1"/>
        <v>28.25</v>
      </c>
      <c r="K2452" s="16" t="str">
        <f t="array" ref="K2452">_xlfn.XLOOKUP(C2452,Clientes[ID_Cliente],Clientes[Provincia])</f>
        <v>Neuquén</v>
      </c>
      <c r="L2452" s="16" t="str">
        <f t="array" ref="L2452">CONCATENATE(_xlfn.XLOOKUP(C2452,Clientes[ID_Cliente],Clientes[Provincia]),", Argentina")</f>
        <v>Neuquén, Argentina</v>
      </c>
      <c r="M2452" s="20" t="str">
        <f t="array" ref="M2452">_xlfn.XLOOKUP(F2452,Metodos_De_Pago[ID_Metodo],Metodos_De_Pago[Metodo])</f>
        <v>Transferencia</v>
      </c>
      <c r="N2452" s="20" t="str">
        <f t="shared" si="2"/>
        <v>2024 11</v>
      </c>
    </row>
    <row r="2453" ht="22.5" customHeight="1">
      <c r="A2453" s="12">
        <f>IFERROR(__xludf.DUMMYFUNCTION("""COMPUTED_VALUE"""),256.0)</f>
        <v>256</v>
      </c>
      <c r="B2453" s="13">
        <f>IFERROR(__xludf.DUMMYFUNCTION("""COMPUTED_VALUE"""),45620.0)</f>
        <v>45620</v>
      </c>
      <c r="C2453" s="12">
        <f>IFERROR(__xludf.DUMMYFUNCTION("""COMPUTED_VALUE"""),34.0)</f>
        <v>34</v>
      </c>
      <c r="D2453" s="12">
        <f>IFERROR(__xludf.DUMMYFUNCTION("""COMPUTED_VALUE"""),8.0)</f>
        <v>8</v>
      </c>
      <c r="E2453" s="12">
        <f>IFERROR(__xludf.DUMMYFUNCTION("""COMPUTED_VALUE"""),5.0)</f>
        <v>5</v>
      </c>
      <c r="F2453" s="12">
        <f>IFERROR(__xludf.DUMMYFUNCTION("""COMPUTED_VALUE"""),5.0)</f>
        <v>5</v>
      </c>
      <c r="G2453" s="15" t="str">
        <f>IFERROR(__xludf.DUMMYFUNCTION("""COMPUTED_VALUE"""),"Pendiente")</f>
        <v>Pendiente</v>
      </c>
      <c r="H2453" s="16" t="str">
        <f t="array" ref="H2453">_xlfn.XLOOKUP(D2453,Productos[ID_Producto],Productos[Nombre_Producto])</f>
        <v>Milanesa</v>
      </c>
      <c r="I2453" s="17">
        <f t="array" ref="I2453">_xlfn.XLOOKUP(D2453,Productos[ID_Producto],Productos[Precio_Unitario])</f>
        <v>16.21</v>
      </c>
      <c r="J2453" s="17">
        <f t="shared" si="1"/>
        <v>81.05</v>
      </c>
      <c r="K2453" s="16" t="str">
        <f t="array" ref="K2453">_xlfn.XLOOKUP(C2453,Clientes[ID_Cliente],Clientes[Provincia])</f>
        <v>San Luis</v>
      </c>
      <c r="L2453" s="16" t="str">
        <f t="array" ref="L2453">CONCATENATE(_xlfn.XLOOKUP(C2453,Clientes[ID_Cliente],Clientes[Provincia]),", Argentina")</f>
        <v>San Luis, Argentina</v>
      </c>
      <c r="M2453" s="20" t="str">
        <f t="array" ref="M2453">_xlfn.XLOOKUP(F2453,Metodos_De_Pago[ID_Metodo],Metodos_De_Pago[Metodo])</f>
        <v>Transferencia</v>
      </c>
      <c r="N2453" s="20" t="str">
        <f t="shared" si="2"/>
        <v>2024 11</v>
      </c>
    </row>
    <row r="2454" ht="22.5" customHeight="1">
      <c r="A2454" s="12">
        <f>IFERROR(__xludf.DUMMYFUNCTION("""COMPUTED_VALUE"""),1413.0)</f>
        <v>1413</v>
      </c>
      <c r="B2454" s="13">
        <f>IFERROR(__xludf.DUMMYFUNCTION("""COMPUTED_VALUE"""),45620.0)</f>
        <v>45620</v>
      </c>
      <c r="C2454" s="12">
        <f>IFERROR(__xludf.DUMMYFUNCTION("""COMPUTED_VALUE"""),175.0)</f>
        <v>175</v>
      </c>
      <c r="D2454" s="12">
        <f>IFERROR(__xludf.DUMMYFUNCTION("""COMPUTED_VALUE"""),8.0)</f>
        <v>8</v>
      </c>
      <c r="E2454" s="12">
        <f>IFERROR(__xludf.DUMMYFUNCTION("""COMPUTED_VALUE"""),5.0)</f>
        <v>5</v>
      </c>
      <c r="F2454" s="12">
        <f>IFERROR(__xludf.DUMMYFUNCTION("""COMPUTED_VALUE"""),1.0)</f>
        <v>1</v>
      </c>
      <c r="G2454" s="15" t="str">
        <f>IFERROR(__xludf.DUMMYFUNCTION("""COMPUTED_VALUE"""),"Completa")</f>
        <v>Completa</v>
      </c>
      <c r="H2454" s="16" t="str">
        <f t="array" ref="H2454">_xlfn.XLOOKUP(D2454,Productos[ID_Producto],Productos[Nombre_Producto])</f>
        <v>Milanesa</v>
      </c>
      <c r="I2454" s="17">
        <f t="array" ref="I2454">_xlfn.XLOOKUP(D2454,Productos[ID_Producto],Productos[Precio_Unitario])</f>
        <v>16.21</v>
      </c>
      <c r="J2454" s="17">
        <f t="shared" si="1"/>
        <v>81.05</v>
      </c>
      <c r="K2454" s="16" t="str">
        <f t="array" ref="K2454">_xlfn.XLOOKUP(C2454,Clientes[ID_Cliente],Clientes[Provincia])</f>
        <v>Buenos Aires</v>
      </c>
      <c r="L2454" s="16" t="str">
        <f t="array" ref="L2454">CONCATENATE(_xlfn.XLOOKUP(C2454,Clientes[ID_Cliente],Clientes[Provincia]),", Argentina")</f>
        <v>Buenos Aires, Argentina</v>
      </c>
      <c r="M2454" s="20" t="str">
        <f t="array" ref="M2454">_xlfn.XLOOKUP(F2454,Metodos_De_Pago[ID_Metodo],Metodos_De_Pago[Metodo])</f>
        <v>Efectivo</v>
      </c>
      <c r="N2454" s="20" t="str">
        <f t="shared" si="2"/>
        <v>2024 11</v>
      </c>
    </row>
    <row r="2455" ht="22.5" customHeight="1">
      <c r="A2455" s="12">
        <f>IFERROR(__xludf.DUMMYFUNCTION("""COMPUTED_VALUE"""),1958.0)</f>
        <v>1958</v>
      </c>
      <c r="B2455" s="13">
        <f>IFERROR(__xludf.DUMMYFUNCTION("""COMPUTED_VALUE"""),45620.0)</f>
        <v>45620</v>
      </c>
      <c r="C2455" s="12">
        <f>IFERROR(__xludf.DUMMYFUNCTION("""COMPUTED_VALUE"""),310.0)</f>
        <v>310</v>
      </c>
      <c r="D2455" s="12">
        <f>IFERROR(__xludf.DUMMYFUNCTION("""COMPUTED_VALUE"""),23.0)</f>
        <v>23</v>
      </c>
      <c r="E2455" s="12">
        <f>IFERROR(__xludf.DUMMYFUNCTION("""COMPUTED_VALUE"""),5.0)</f>
        <v>5</v>
      </c>
      <c r="F2455" s="12">
        <f>IFERROR(__xludf.DUMMYFUNCTION("""COMPUTED_VALUE"""),4.0)</f>
        <v>4</v>
      </c>
      <c r="G2455" s="15" t="str">
        <f>IFERROR(__xludf.DUMMYFUNCTION("""COMPUTED_VALUE"""),"Completa")</f>
        <v>Completa</v>
      </c>
      <c r="H2455" s="16" t="str">
        <f t="array" ref="H2455">_xlfn.XLOOKUP(D2455,Productos[ID_Producto],Productos[Nombre_Producto])</f>
        <v>Papas fritas</v>
      </c>
      <c r="I2455" s="17">
        <f t="array" ref="I2455">_xlfn.XLOOKUP(D2455,Productos[ID_Producto],Productos[Precio_Unitario])</f>
        <v>8.23</v>
      </c>
      <c r="J2455" s="17">
        <f t="shared" si="1"/>
        <v>41.15</v>
      </c>
      <c r="K2455" s="16" t="str">
        <f t="array" ref="K2455">_xlfn.XLOOKUP(C2455,Clientes[ID_Cliente],Clientes[Provincia])</f>
        <v>Neuquén</v>
      </c>
      <c r="L2455" s="16" t="str">
        <f t="array" ref="L2455">CONCATENATE(_xlfn.XLOOKUP(C2455,Clientes[ID_Cliente],Clientes[Provincia]),", Argentina")</f>
        <v>Neuquén, Argentina</v>
      </c>
      <c r="M2455" s="20" t="str">
        <f t="array" ref="M2455">_xlfn.XLOOKUP(F2455,Metodos_De_Pago[ID_Metodo],Metodos_De_Pago[Metodo])</f>
        <v>Mercado Pago</v>
      </c>
      <c r="N2455" s="20" t="str">
        <f t="shared" si="2"/>
        <v>2024 11</v>
      </c>
    </row>
    <row r="2456" ht="22.5" customHeight="1">
      <c r="A2456" s="12">
        <f>IFERROR(__xludf.DUMMYFUNCTION("""COMPUTED_VALUE"""),558.0)</f>
        <v>558</v>
      </c>
      <c r="B2456" s="13">
        <f>IFERROR(__xludf.DUMMYFUNCTION("""COMPUTED_VALUE"""),45621.0)</f>
        <v>45621</v>
      </c>
      <c r="C2456" s="12">
        <f>IFERROR(__xludf.DUMMYFUNCTION("""COMPUTED_VALUE"""),33.0)</f>
        <v>33</v>
      </c>
      <c r="D2456" s="12">
        <f>IFERROR(__xludf.DUMMYFUNCTION("""COMPUTED_VALUE"""),26.0)</f>
        <v>26</v>
      </c>
      <c r="E2456" s="12">
        <f>IFERROR(__xludf.DUMMYFUNCTION("""COMPUTED_VALUE"""),5.0)</f>
        <v>5</v>
      </c>
      <c r="F2456" s="12">
        <f>IFERROR(__xludf.DUMMYFUNCTION("""COMPUTED_VALUE"""),1.0)</f>
        <v>1</v>
      </c>
      <c r="G2456" s="15" t="str">
        <f>IFERROR(__xludf.DUMMYFUNCTION("""COMPUTED_VALUE"""),"Pendiente")</f>
        <v>Pendiente</v>
      </c>
      <c r="H2456" s="16" t="str">
        <f t="array" ref="H2456">_xlfn.XLOOKUP(D2456,Productos[ID_Producto],Productos[Nombre_Producto])</f>
        <v>Hamburgesas congeladas</v>
      </c>
      <c r="I2456" s="17">
        <f t="array" ref="I2456">_xlfn.XLOOKUP(D2456,Productos[ID_Producto],Productos[Precio_Unitario])</f>
        <v>9.54</v>
      </c>
      <c r="J2456" s="17">
        <f t="shared" si="1"/>
        <v>47.7</v>
      </c>
      <c r="K2456" s="16" t="str">
        <f t="array" ref="K2456">_xlfn.XLOOKUP(C2456,Clientes[ID_Cliente],Clientes[Provincia])</f>
        <v>Chaco</v>
      </c>
      <c r="L2456" s="16" t="str">
        <f t="array" ref="L2456">CONCATENATE(_xlfn.XLOOKUP(C2456,Clientes[ID_Cliente],Clientes[Provincia]),", Argentina")</f>
        <v>Chaco, Argentina</v>
      </c>
      <c r="M2456" s="20" t="str">
        <f t="array" ref="M2456">_xlfn.XLOOKUP(F2456,Metodos_De_Pago[ID_Metodo],Metodos_De_Pago[Metodo])</f>
        <v>Efectivo</v>
      </c>
      <c r="N2456" s="20" t="str">
        <f t="shared" si="2"/>
        <v>2024 11</v>
      </c>
    </row>
    <row r="2457" ht="22.5" customHeight="1">
      <c r="A2457" s="12">
        <f>IFERROR(__xludf.DUMMYFUNCTION("""COMPUTED_VALUE"""),501.0)</f>
        <v>501</v>
      </c>
      <c r="B2457" s="13">
        <f>IFERROR(__xludf.DUMMYFUNCTION("""COMPUTED_VALUE"""),45622.0)</f>
        <v>45622</v>
      </c>
      <c r="C2457" s="12">
        <f>IFERROR(__xludf.DUMMYFUNCTION("""COMPUTED_VALUE"""),317.0)</f>
        <v>317</v>
      </c>
      <c r="D2457" s="12">
        <f>IFERROR(__xludf.DUMMYFUNCTION("""COMPUTED_VALUE"""),35.0)</f>
        <v>35</v>
      </c>
      <c r="E2457" s="12">
        <f>IFERROR(__xludf.DUMMYFUNCTION("""COMPUTED_VALUE"""),5.0)</f>
        <v>5</v>
      </c>
      <c r="F2457" s="12">
        <f>IFERROR(__xludf.DUMMYFUNCTION("""COMPUTED_VALUE"""),4.0)</f>
        <v>4</v>
      </c>
      <c r="G2457" s="15" t="str">
        <f>IFERROR(__xludf.DUMMYFUNCTION("""COMPUTED_VALUE"""),"Completa")</f>
        <v>Completa</v>
      </c>
      <c r="H2457" s="16" t="str">
        <f t="array" ref="H2457">_xlfn.XLOOKUP(D2457,Productos[ID_Producto],Productos[Nombre_Producto])</f>
        <v>Arroz</v>
      </c>
      <c r="I2457" s="17">
        <f t="array" ref="I2457">_xlfn.XLOOKUP(D2457,Productos[ID_Producto],Productos[Precio_Unitario])</f>
        <v>4.25</v>
      </c>
      <c r="J2457" s="17">
        <f t="shared" si="1"/>
        <v>21.25</v>
      </c>
      <c r="K2457" s="16" t="str">
        <f t="array" ref="K2457">_xlfn.XLOOKUP(C2457,Clientes[ID_Cliente],Clientes[Provincia])</f>
        <v>Chaco</v>
      </c>
      <c r="L2457" s="16" t="str">
        <f t="array" ref="L2457">CONCATENATE(_xlfn.XLOOKUP(C2457,Clientes[ID_Cliente],Clientes[Provincia]),", Argentina")</f>
        <v>Chaco, Argentina</v>
      </c>
      <c r="M2457" s="20" t="str">
        <f t="array" ref="M2457">_xlfn.XLOOKUP(F2457,Metodos_De_Pago[ID_Metodo],Metodos_De_Pago[Metodo])</f>
        <v>Mercado Pago</v>
      </c>
      <c r="N2457" s="20" t="str">
        <f t="shared" si="2"/>
        <v>2024 11</v>
      </c>
    </row>
    <row r="2458" ht="22.5" customHeight="1">
      <c r="A2458" s="12">
        <f>IFERROR(__xludf.DUMMYFUNCTION("""COMPUTED_VALUE"""),2698.0)</f>
        <v>2698</v>
      </c>
      <c r="B2458" s="13">
        <f>IFERROR(__xludf.DUMMYFUNCTION("""COMPUTED_VALUE"""),45622.0)</f>
        <v>45622</v>
      </c>
      <c r="C2458" s="12">
        <f>IFERROR(__xludf.DUMMYFUNCTION("""COMPUTED_VALUE"""),146.0)</f>
        <v>146</v>
      </c>
      <c r="D2458" s="12">
        <f>IFERROR(__xludf.DUMMYFUNCTION("""COMPUTED_VALUE"""),28.0)</f>
        <v>28</v>
      </c>
      <c r="E2458" s="12">
        <f>IFERROR(__xludf.DUMMYFUNCTION("""COMPUTED_VALUE"""),5.0)</f>
        <v>5</v>
      </c>
      <c r="F2458" s="12">
        <f>IFERROR(__xludf.DUMMYFUNCTION("""COMPUTED_VALUE"""),2.0)</f>
        <v>2</v>
      </c>
      <c r="G2458" s="15" t="str">
        <f>IFERROR(__xludf.DUMMYFUNCTION("""COMPUTED_VALUE"""),"Completa")</f>
        <v>Completa</v>
      </c>
      <c r="H2458" s="16" t="str">
        <f t="array" ref="H2458">_xlfn.XLOOKUP(D2458,Productos[ID_Producto],Productos[Nombre_Producto])</f>
        <v>Jugos de frutas</v>
      </c>
      <c r="I2458" s="17">
        <f t="array" ref="I2458">_xlfn.XLOOKUP(D2458,Productos[ID_Producto],Productos[Precio_Unitario])</f>
        <v>9.45</v>
      </c>
      <c r="J2458" s="17">
        <f t="shared" si="1"/>
        <v>47.25</v>
      </c>
      <c r="K2458" s="16" t="str">
        <f t="array" ref="K2458">_xlfn.XLOOKUP(C2458,Clientes[ID_Cliente],Clientes[Provincia])</f>
        <v>San Luis</v>
      </c>
      <c r="L2458" s="16" t="str">
        <f t="array" ref="L2458">CONCATENATE(_xlfn.XLOOKUP(C2458,Clientes[ID_Cliente],Clientes[Provincia]),", Argentina")</f>
        <v>San Luis, Argentina</v>
      </c>
      <c r="M2458" s="20" t="str">
        <f t="array" ref="M2458">_xlfn.XLOOKUP(F2458,Metodos_De_Pago[ID_Metodo],Metodos_De_Pago[Metodo])</f>
        <v>Tarjeta de Crédito</v>
      </c>
      <c r="N2458" s="20" t="str">
        <f t="shared" si="2"/>
        <v>2024 11</v>
      </c>
    </row>
    <row r="2459" ht="22.5" customHeight="1">
      <c r="A2459" s="12">
        <f>IFERROR(__xludf.DUMMYFUNCTION("""COMPUTED_VALUE"""),1566.0)</f>
        <v>1566</v>
      </c>
      <c r="B2459" s="13">
        <f>IFERROR(__xludf.DUMMYFUNCTION("""COMPUTED_VALUE"""),45623.0)</f>
        <v>45623</v>
      </c>
      <c r="C2459" s="12">
        <f>IFERROR(__xludf.DUMMYFUNCTION("""COMPUTED_VALUE"""),206.0)</f>
        <v>206</v>
      </c>
      <c r="D2459" s="12">
        <f>IFERROR(__xludf.DUMMYFUNCTION("""COMPUTED_VALUE"""),10.0)</f>
        <v>10</v>
      </c>
      <c r="E2459" s="12">
        <f>IFERROR(__xludf.DUMMYFUNCTION("""COMPUTED_VALUE"""),5.0)</f>
        <v>5</v>
      </c>
      <c r="F2459" s="12">
        <f>IFERROR(__xludf.DUMMYFUNCTION("""COMPUTED_VALUE"""),5.0)</f>
        <v>5</v>
      </c>
      <c r="G2459" s="15" t="str">
        <f>IFERROR(__xludf.DUMMYFUNCTION("""COMPUTED_VALUE"""),"Pendiente")</f>
        <v>Pendiente</v>
      </c>
      <c r="H2459" s="16" t="str">
        <f t="array" ref="H2459">_xlfn.XLOOKUP(D2459,Productos[ID_Producto],Productos[Nombre_Producto])</f>
        <v>Costilla de cerdo</v>
      </c>
      <c r="I2459" s="17">
        <f t="array" ref="I2459">_xlfn.XLOOKUP(D2459,Productos[ID_Producto],Productos[Precio_Unitario])</f>
        <v>14.25</v>
      </c>
      <c r="J2459" s="17">
        <f t="shared" si="1"/>
        <v>71.25</v>
      </c>
      <c r="K2459" s="16" t="str">
        <f t="array" ref="K2459">_xlfn.XLOOKUP(C2459,Clientes[ID_Cliente],Clientes[Provincia])</f>
        <v>Chaco</v>
      </c>
      <c r="L2459" s="16" t="str">
        <f t="array" ref="L2459">CONCATENATE(_xlfn.XLOOKUP(C2459,Clientes[ID_Cliente],Clientes[Provincia]),", Argentina")</f>
        <v>Chaco, Argentina</v>
      </c>
      <c r="M2459" s="20" t="str">
        <f t="array" ref="M2459">_xlfn.XLOOKUP(F2459,Metodos_De_Pago[ID_Metodo],Metodos_De_Pago[Metodo])</f>
        <v>Transferencia</v>
      </c>
      <c r="N2459" s="20" t="str">
        <f t="shared" si="2"/>
        <v>2024 11</v>
      </c>
    </row>
    <row r="2460" ht="22.5" customHeight="1">
      <c r="A2460" s="12">
        <f>IFERROR(__xludf.DUMMYFUNCTION("""COMPUTED_VALUE"""),2595.0)</f>
        <v>2595</v>
      </c>
      <c r="B2460" s="13">
        <f>IFERROR(__xludf.DUMMYFUNCTION("""COMPUTED_VALUE"""),45624.0)</f>
        <v>45624</v>
      </c>
      <c r="C2460" s="12">
        <f>IFERROR(__xludf.DUMMYFUNCTION("""COMPUTED_VALUE"""),196.0)</f>
        <v>196</v>
      </c>
      <c r="D2460" s="12">
        <f>IFERROR(__xludf.DUMMYFUNCTION("""COMPUTED_VALUE"""),32.0)</f>
        <v>32</v>
      </c>
      <c r="E2460" s="12">
        <f>IFERROR(__xludf.DUMMYFUNCTION("""COMPUTED_VALUE"""),5.0)</f>
        <v>5</v>
      </c>
      <c r="F2460" s="12">
        <f>IFERROR(__xludf.DUMMYFUNCTION("""COMPUTED_VALUE"""),4.0)</f>
        <v>4</v>
      </c>
      <c r="G2460" s="15" t="str">
        <f>IFERROR(__xludf.DUMMYFUNCTION("""COMPUTED_VALUE"""),"Completa")</f>
        <v>Completa</v>
      </c>
      <c r="H2460" s="16" t="str">
        <f t="array" ref="H2460">_xlfn.XLOOKUP(D2460,Productos[ID_Producto],Productos[Nombre_Producto])</f>
        <v>Galletitas de chocolate</v>
      </c>
      <c r="I2460" s="17">
        <f t="array" ref="I2460">_xlfn.XLOOKUP(D2460,Productos[ID_Producto],Productos[Precio_Unitario])</f>
        <v>6.25</v>
      </c>
      <c r="J2460" s="17">
        <f t="shared" si="1"/>
        <v>31.25</v>
      </c>
      <c r="K2460" s="16" t="str">
        <f t="array" ref="K2460">_xlfn.XLOOKUP(C2460,Clientes[ID_Cliente],Clientes[Provincia])</f>
        <v>San Luis</v>
      </c>
      <c r="L2460" s="16" t="str">
        <f t="array" ref="L2460">CONCATENATE(_xlfn.XLOOKUP(C2460,Clientes[ID_Cliente],Clientes[Provincia]),", Argentina")</f>
        <v>San Luis, Argentina</v>
      </c>
      <c r="M2460" s="20" t="str">
        <f t="array" ref="M2460">_xlfn.XLOOKUP(F2460,Metodos_De_Pago[ID_Metodo],Metodos_De_Pago[Metodo])</f>
        <v>Mercado Pago</v>
      </c>
      <c r="N2460" s="20" t="str">
        <f t="shared" si="2"/>
        <v>2024 11</v>
      </c>
    </row>
    <row r="2461" ht="22.5" customHeight="1">
      <c r="A2461" s="12">
        <f>IFERROR(__xludf.DUMMYFUNCTION("""COMPUTED_VALUE"""),161.0)</f>
        <v>161</v>
      </c>
      <c r="B2461" s="13">
        <f>IFERROR(__xludf.DUMMYFUNCTION("""COMPUTED_VALUE"""),45625.0)</f>
        <v>45625</v>
      </c>
      <c r="C2461" s="12">
        <f>IFERROR(__xludf.DUMMYFUNCTION("""COMPUTED_VALUE"""),134.0)</f>
        <v>134</v>
      </c>
      <c r="D2461" s="12">
        <f>IFERROR(__xludf.DUMMYFUNCTION("""COMPUTED_VALUE"""),14.0)</f>
        <v>14</v>
      </c>
      <c r="E2461" s="12">
        <f>IFERROR(__xludf.DUMMYFUNCTION("""COMPUTED_VALUE"""),5.0)</f>
        <v>5</v>
      </c>
      <c r="F2461" s="12">
        <f>IFERROR(__xludf.DUMMYFUNCTION("""COMPUTED_VALUE"""),3.0)</f>
        <v>3</v>
      </c>
      <c r="G2461" s="15" t="str">
        <f>IFERROR(__xludf.DUMMYFUNCTION("""COMPUTED_VALUE"""),"Completa")</f>
        <v>Completa</v>
      </c>
      <c r="H2461" s="16" t="str">
        <f t="array" ref="H2461">_xlfn.XLOOKUP(D2461,Productos[ID_Producto],Productos[Nombre_Producto])</f>
        <v>Facturas</v>
      </c>
      <c r="I2461" s="17">
        <f t="array" ref="I2461">_xlfn.XLOOKUP(D2461,Productos[ID_Producto],Productos[Precio_Unitario])</f>
        <v>12.36</v>
      </c>
      <c r="J2461" s="17">
        <f t="shared" si="1"/>
        <v>61.8</v>
      </c>
      <c r="K2461" s="16" t="str">
        <f t="array" ref="K2461">_xlfn.XLOOKUP(C2461,Clientes[ID_Cliente],Clientes[Provincia])</f>
        <v>San Luis</v>
      </c>
      <c r="L2461" s="16" t="str">
        <f t="array" ref="L2461">CONCATENATE(_xlfn.XLOOKUP(C2461,Clientes[ID_Cliente],Clientes[Provincia]),", Argentina")</f>
        <v>San Luis, Argentina</v>
      </c>
      <c r="M2461" s="20" t="str">
        <f t="array" ref="M2461">_xlfn.XLOOKUP(F2461,Metodos_De_Pago[ID_Metodo],Metodos_De_Pago[Metodo])</f>
        <v>Tarjeta de Débito</v>
      </c>
      <c r="N2461" s="20" t="str">
        <f t="shared" si="2"/>
        <v>2024 11</v>
      </c>
    </row>
    <row r="2462" ht="22.5" customHeight="1">
      <c r="A2462" s="12">
        <f>IFERROR(__xludf.DUMMYFUNCTION("""COMPUTED_VALUE"""),1694.0)</f>
        <v>1694</v>
      </c>
      <c r="B2462" s="13">
        <f>IFERROR(__xludf.DUMMYFUNCTION("""COMPUTED_VALUE"""),45626.0)</f>
        <v>45626</v>
      </c>
      <c r="C2462" s="12">
        <f>IFERROR(__xludf.DUMMYFUNCTION("""COMPUTED_VALUE"""),64.0)</f>
        <v>64</v>
      </c>
      <c r="D2462" s="12">
        <f>IFERROR(__xludf.DUMMYFUNCTION("""COMPUTED_VALUE"""),28.0)</f>
        <v>28</v>
      </c>
      <c r="E2462" s="12">
        <f>IFERROR(__xludf.DUMMYFUNCTION("""COMPUTED_VALUE"""),5.0)</f>
        <v>5</v>
      </c>
      <c r="F2462" s="12">
        <f>IFERROR(__xludf.DUMMYFUNCTION("""COMPUTED_VALUE"""),1.0)</f>
        <v>1</v>
      </c>
      <c r="G2462" s="15" t="str">
        <f>IFERROR(__xludf.DUMMYFUNCTION("""COMPUTED_VALUE"""),"Completa")</f>
        <v>Completa</v>
      </c>
      <c r="H2462" s="16" t="str">
        <f t="array" ref="H2462">_xlfn.XLOOKUP(D2462,Productos[ID_Producto],Productos[Nombre_Producto])</f>
        <v>Jugos de frutas</v>
      </c>
      <c r="I2462" s="17">
        <f t="array" ref="I2462">_xlfn.XLOOKUP(D2462,Productos[ID_Producto],Productos[Precio_Unitario])</f>
        <v>9.45</v>
      </c>
      <c r="J2462" s="17">
        <f t="shared" si="1"/>
        <v>47.25</v>
      </c>
      <c r="K2462" s="16" t="str">
        <f t="array" ref="K2462">_xlfn.XLOOKUP(C2462,Clientes[ID_Cliente],Clientes[Provincia])</f>
        <v>Chaco</v>
      </c>
      <c r="L2462" s="16" t="str">
        <f t="array" ref="L2462">CONCATENATE(_xlfn.XLOOKUP(C2462,Clientes[ID_Cliente],Clientes[Provincia]),", Argentina")</f>
        <v>Chaco, Argentina</v>
      </c>
      <c r="M2462" s="20" t="str">
        <f t="array" ref="M2462">_xlfn.XLOOKUP(F2462,Metodos_De_Pago[ID_Metodo],Metodos_De_Pago[Metodo])</f>
        <v>Efectivo</v>
      </c>
      <c r="N2462" s="20" t="str">
        <f t="shared" si="2"/>
        <v>2024 11</v>
      </c>
    </row>
    <row r="2463" ht="22.5" customHeight="1">
      <c r="A2463" s="12">
        <f>IFERROR(__xludf.DUMMYFUNCTION("""COMPUTED_VALUE"""),1884.0)</f>
        <v>1884</v>
      </c>
      <c r="B2463" s="13">
        <f>IFERROR(__xludf.DUMMYFUNCTION("""COMPUTED_VALUE"""),45628.0)</f>
        <v>45628</v>
      </c>
      <c r="C2463" s="12">
        <f>IFERROR(__xludf.DUMMYFUNCTION("""COMPUTED_VALUE"""),98.0)</f>
        <v>98</v>
      </c>
      <c r="D2463" s="12">
        <f>IFERROR(__xludf.DUMMYFUNCTION("""COMPUTED_VALUE"""),33.0)</f>
        <v>33</v>
      </c>
      <c r="E2463" s="12">
        <f>IFERROR(__xludf.DUMMYFUNCTION("""COMPUTED_VALUE"""),5.0)</f>
        <v>5</v>
      </c>
      <c r="F2463" s="12">
        <f>IFERROR(__xludf.DUMMYFUNCTION("""COMPUTED_VALUE"""),3.0)</f>
        <v>3</v>
      </c>
      <c r="G2463" s="15" t="str">
        <f>IFERROR(__xludf.DUMMYFUNCTION("""COMPUTED_VALUE"""),"Completa")</f>
        <v>Completa</v>
      </c>
      <c r="H2463" s="16" t="str">
        <f t="array" ref="H2463">_xlfn.XLOOKUP(D2463,Productos[ID_Producto],Productos[Nombre_Producto])</f>
        <v>Papas chips</v>
      </c>
      <c r="I2463" s="17">
        <f t="array" ref="I2463">_xlfn.XLOOKUP(D2463,Productos[ID_Producto],Productos[Precio_Unitario])</f>
        <v>8.54</v>
      </c>
      <c r="J2463" s="17">
        <f t="shared" si="1"/>
        <v>42.7</v>
      </c>
      <c r="K2463" s="16" t="str">
        <f t="array" ref="K2463">_xlfn.XLOOKUP(C2463,Clientes[ID_Cliente],Clientes[Provincia])</f>
        <v>Córdoba</v>
      </c>
      <c r="L2463" s="16" t="str">
        <f t="array" ref="L2463">CONCATENATE(_xlfn.XLOOKUP(C2463,Clientes[ID_Cliente],Clientes[Provincia]),", Argentina")</f>
        <v>Córdoba, Argentina</v>
      </c>
      <c r="M2463" s="20" t="str">
        <f t="array" ref="M2463">_xlfn.XLOOKUP(F2463,Metodos_De_Pago[ID_Metodo],Metodos_De_Pago[Metodo])</f>
        <v>Tarjeta de Débito</v>
      </c>
      <c r="N2463" s="20" t="str">
        <f t="shared" si="2"/>
        <v>2024 12</v>
      </c>
    </row>
    <row r="2464" ht="22.5" customHeight="1">
      <c r="A2464" s="12">
        <f>IFERROR(__xludf.DUMMYFUNCTION("""COMPUTED_VALUE"""),2856.0)</f>
        <v>2856</v>
      </c>
      <c r="B2464" s="13">
        <f>IFERROR(__xludf.DUMMYFUNCTION("""COMPUTED_VALUE"""),45628.0)</f>
        <v>45628</v>
      </c>
      <c r="C2464" s="12">
        <f>IFERROR(__xludf.DUMMYFUNCTION("""COMPUTED_VALUE"""),87.0)</f>
        <v>87</v>
      </c>
      <c r="D2464" s="12">
        <f>IFERROR(__xludf.DUMMYFUNCTION("""COMPUTED_VALUE"""),36.0)</f>
        <v>36</v>
      </c>
      <c r="E2464" s="12">
        <f>IFERROR(__xludf.DUMMYFUNCTION("""COMPUTED_VALUE"""),5.0)</f>
        <v>5</v>
      </c>
      <c r="F2464" s="12">
        <f>IFERROR(__xludf.DUMMYFUNCTION("""COMPUTED_VALUE"""),4.0)</f>
        <v>4</v>
      </c>
      <c r="G2464" s="15" t="str">
        <f>IFERROR(__xludf.DUMMYFUNCTION("""COMPUTED_VALUE"""),"Completa")</f>
        <v>Completa</v>
      </c>
      <c r="H2464" s="16" t="str">
        <f t="array" ref="H2464">_xlfn.XLOOKUP(D2464,Productos[ID_Producto],Productos[Nombre_Producto])</f>
        <v>Lentejas</v>
      </c>
      <c r="I2464" s="17">
        <f t="array" ref="I2464">_xlfn.XLOOKUP(D2464,Productos[ID_Producto],Productos[Precio_Unitario])</f>
        <v>3.25</v>
      </c>
      <c r="J2464" s="17">
        <f t="shared" si="1"/>
        <v>16.25</v>
      </c>
      <c r="K2464" s="16" t="str">
        <f t="array" ref="K2464">_xlfn.XLOOKUP(C2464,Clientes[ID_Cliente],Clientes[Provincia])</f>
        <v>Neuquén</v>
      </c>
      <c r="L2464" s="16" t="str">
        <f t="array" ref="L2464">CONCATENATE(_xlfn.XLOOKUP(C2464,Clientes[ID_Cliente],Clientes[Provincia]),", Argentina")</f>
        <v>Neuquén, Argentina</v>
      </c>
      <c r="M2464" s="20" t="str">
        <f t="array" ref="M2464">_xlfn.XLOOKUP(F2464,Metodos_De_Pago[ID_Metodo],Metodos_De_Pago[Metodo])</f>
        <v>Mercado Pago</v>
      </c>
      <c r="N2464" s="20" t="str">
        <f t="shared" si="2"/>
        <v>2024 12</v>
      </c>
    </row>
    <row r="2465" ht="22.5" customHeight="1">
      <c r="A2465" s="12">
        <f>IFERROR(__xludf.DUMMYFUNCTION("""COMPUTED_VALUE"""),122.0)</f>
        <v>122</v>
      </c>
      <c r="B2465" s="13">
        <f>IFERROR(__xludf.DUMMYFUNCTION("""COMPUTED_VALUE"""),45630.0)</f>
        <v>45630</v>
      </c>
      <c r="C2465" s="12">
        <f>IFERROR(__xludf.DUMMYFUNCTION("""COMPUTED_VALUE"""),237.0)</f>
        <v>237</v>
      </c>
      <c r="D2465" s="12">
        <f>IFERROR(__xludf.DUMMYFUNCTION("""COMPUTED_VALUE"""),14.0)</f>
        <v>14</v>
      </c>
      <c r="E2465" s="12">
        <f>IFERROR(__xludf.DUMMYFUNCTION("""COMPUTED_VALUE"""),5.0)</f>
        <v>5</v>
      </c>
      <c r="F2465" s="12">
        <f>IFERROR(__xludf.DUMMYFUNCTION("""COMPUTED_VALUE"""),1.0)</f>
        <v>1</v>
      </c>
      <c r="G2465" s="15" t="str">
        <f>IFERROR(__xludf.DUMMYFUNCTION("""COMPUTED_VALUE"""),"Completa")</f>
        <v>Completa</v>
      </c>
      <c r="H2465" s="16" t="str">
        <f t="array" ref="H2465">_xlfn.XLOOKUP(D2465,Productos[ID_Producto],Productos[Nombre_Producto])</f>
        <v>Facturas</v>
      </c>
      <c r="I2465" s="17">
        <f t="array" ref="I2465">_xlfn.XLOOKUP(D2465,Productos[ID_Producto],Productos[Precio_Unitario])</f>
        <v>12.36</v>
      </c>
      <c r="J2465" s="17">
        <f t="shared" si="1"/>
        <v>61.8</v>
      </c>
      <c r="K2465" s="16" t="str">
        <f t="array" ref="K2465">_xlfn.XLOOKUP(C2465,Clientes[ID_Cliente],Clientes[Provincia])</f>
        <v>Buenos Aires</v>
      </c>
      <c r="L2465" s="16" t="str">
        <f t="array" ref="L2465">CONCATENATE(_xlfn.XLOOKUP(C2465,Clientes[ID_Cliente],Clientes[Provincia]),", Argentina")</f>
        <v>Buenos Aires, Argentina</v>
      </c>
      <c r="M2465" s="20" t="str">
        <f t="array" ref="M2465">_xlfn.XLOOKUP(F2465,Metodos_De_Pago[ID_Metodo],Metodos_De_Pago[Metodo])</f>
        <v>Efectivo</v>
      </c>
      <c r="N2465" s="20" t="str">
        <f t="shared" si="2"/>
        <v>2024 12</v>
      </c>
    </row>
    <row r="2466" ht="22.5" customHeight="1">
      <c r="A2466" s="12">
        <f>IFERROR(__xludf.DUMMYFUNCTION("""COMPUTED_VALUE"""),2349.0)</f>
        <v>2349</v>
      </c>
      <c r="B2466" s="13">
        <f>IFERROR(__xludf.DUMMYFUNCTION("""COMPUTED_VALUE"""),45630.0)</f>
        <v>45630</v>
      </c>
      <c r="C2466" s="12">
        <f>IFERROR(__xludf.DUMMYFUNCTION("""COMPUTED_VALUE"""),90.0)</f>
        <v>90</v>
      </c>
      <c r="D2466" s="12">
        <f>IFERROR(__xludf.DUMMYFUNCTION("""COMPUTED_VALUE"""),9.0)</f>
        <v>9</v>
      </c>
      <c r="E2466" s="12">
        <f>IFERROR(__xludf.DUMMYFUNCTION("""COMPUTED_VALUE"""),5.0)</f>
        <v>5</v>
      </c>
      <c r="F2466" s="12">
        <f>IFERROR(__xludf.DUMMYFUNCTION("""COMPUTED_VALUE"""),1.0)</f>
        <v>1</v>
      </c>
      <c r="G2466" s="15" t="str">
        <f>IFERROR(__xludf.DUMMYFUNCTION("""COMPUTED_VALUE"""),"Completa")</f>
        <v>Completa</v>
      </c>
      <c r="H2466" s="16" t="str">
        <f t="array" ref="H2466">_xlfn.XLOOKUP(D2466,Productos[ID_Producto],Productos[Nombre_Producto])</f>
        <v>Pollo</v>
      </c>
      <c r="I2466" s="17">
        <f t="array" ref="I2466">_xlfn.XLOOKUP(D2466,Productos[ID_Producto],Productos[Precio_Unitario])</f>
        <v>18.56</v>
      </c>
      <c r="J2466" s="17">
        <f t="shared" si="1"/>
        <v>92.8</v>
      </c>
      <c r="K2466" s="16" t="str">
        <f t="array" ref="K2466">_xlfn.XLOOKUP(C2466,Clientes[ID_Cliente],Clientes[Provincia])</f>
        <v>Buenos Aires</v>
      </c>
      <c r="L2466" s="16" t="str">
        <f t="array" ref="L2466">CONCATENATE(_xlfn.XLOOKUP(C2466,Clientes[ID_Cliente],Clientes[Provincia]),", Argentina")</f>
        <v>Buenos Aires, Argentina</v>
      </c>
      <c r="M2466" s="20" t="str">
        <f t="array" ref="M2466">_xlfn.XLOOKUP(F2466,Metodos_De_Pago[ID_Metodo],Metodos_De_Pago[Metodo])</f>
        <v>Efectivo</v>
      </c>
      <c r="N2466" s="20" t="str">
        <f t="shared" si="2"/>
        <v>2024 12</v>
      </c>
    </row>
    <row r="2467" ht="22.5" customHeight="1">
      <c r="A2467" s="12">
        <f>IFERROR(__xludf.DUMMYFUNCTION("""COMPUTED_VALUE"""),424.0)</f>
        <v>424</v>
      </c>
      <c r="B2467" s="13">
        <f>IFERROR(__xludf.DUMMYFUNCTION("""COMPUTED_VALUE"""),45631.0)</f>
        <v>45631</v>
      </c>
      <c r="C2467" s="12">
        <f>IFERROR(__xludf.DUMMYFUNCTION("""COMPUTED_VALUE"""),259.0)</f>
        <v>259</v>
      </c>
      <c r="D2467" s="12">
        <f>IFERROR(__xludf.DUMMYFUNCTION("""COMPUTED_VALUE"""),2.0)</f>
        <v>2</v>
      </c>
      <c r="E2467" s="12">
        <f>IFERROR(__xludf.DUMMYFUNCTION("""COMPUTED_VALUE"""),5.0)</f>
        <v>5</v>
      </c>
      <c r="F2467" s="12">
        <f>IFERROR(__xludf.DUMMYFUNCTION("""COMPUTED_VALUE"""),3.0)</f>
        <v>3</v>
      </c>
      <c r="G2467" s="15" t="str">
        <f>IFERROR(__xludf.DUMMYFUNCTION("""COMPUTED_VALUE"""),"Completa")</f>
        <v>Completa</v>
      </c>
      <c r="H2467" s="16" t="str">
        <f t="array" ref="H2467">_xlfn.XLOOKUP(D2467,Productos[ID_Producto],Productos[Nombre_Producto])</f>
        <v>Yogur</v>
      </c>
      <c r="I2467" s="17">
        <f t="array" ref="I2467">_xlfn.XLOOKUP(D2467,Productos[ID_Producto],Productos[Precio_Unitario])</f>
        <v>5.21</v>
      </c>
      <c r="J2467" s="17">
        <f t="shared" si="1"/>
        <v>26.05</v>
      </c>
      <c r="K2467" s="16" t="str">
        <f t="array" ref="K2467">_xlfn.XLOOKUP(C2467,Clientes[ID_Cliente],Clientes[Provincia])</f>
        <v>San Luis</v>
      </c>
      <c r="L2467" s="16" t="str">
        <f t="array" ref="L2467">CONCATENATE(_xlfn.XLOOKUP(C2467,Clientes[ID_Cliente],Clientes[Provincia]),", Argentina")</f>
        <v>San Luis, Argentina</v>
      </c>
      <c r="M2467" s="20" t="str">
        <f t="array" ref="M2467">_xlfn.XLOOKUP(F2467,Metodos_De_Pago[ID_Metodo],Metodos_De_Pago[Metodo])</f>
        <v>Tarjeta de Débito</v>
      </c>
      <c r="N2467" s="20" t="str">
        <f t="shared" si="2"/>
        <v>2024 12</v>
      </c>
    </row>
    <row r="2468" ht="22.5" customHeight="1">
      <c r="A2468" s="12">
        <f>IFERROR(__xludf.DUMMYFUNCTION("""COMPUTED_VALUE"""),643.0)</f>
        <v>643</v>
      </c>
      <c r="B2468" s="13">
        <f>IFERROR(__xludf.DUMMYFUNCTION("""COMPUTED_VALUE"""),45632.0)</f>
        <v>45632</v>
      </c>
      <c r="C2468" s="12">
        <f>IFERROR(__xludf.DUMMYFUNCTION("""COMPUTED_VALUE"""),93.0)</f>
        <v>93</v>
      </c>
      <c r="D2468" s="12">
        <f>IFERROR(__xludf.DUMMYFUNCTION("""COMPUTED_VALUE"""),15.0)</f>
        <v>15</v>
      </c>
      <c r="E2468" s="12">
        <f>IFERROR(__xludf.DUMMYFUNCTION("""COMPUTED_VALUE"""),5.0)</f>
        <v>5</v>
      </c>
      <c r="F2468" s="12">
        <f>IFERROR(__xludf.DUMMYFUNCTION("""COMPUTED_VALUE"""),2.0)</f>
        <v>2</v>
      </c>
      <c r="G2468" s="15" t="str">
        <f>IFERROR(__xludf.DUMMYFUNCTION("""COMPUTED_VALUE"""),"Completa")</f>
        <v>Completa</v>
      </c>
      <c r="H2468" s="16" t="str">
        <f t="array" ref="H2468">_xlfn.XLOOKUP(D2468,Productos[ID_Producto],Productos[Nombre_Producto])</f>
        <v>Medialunas</v>
      </c>
      <c r="I2468" s="17">
        <f t="array" ref="I2468">_xlfn.XLOOKUP(D2468,Productos[ID_Producto],Productos[Precio_Unitario])</f>
        <v>3.51</v>
      </c>
      <c r="J2468" s="17">
        <f t="shared" si="1"/>
        <v>17.55</v>
      </c>
      <c r="K2468" s="16" t="str">
        <f t="array" ref="K2468">_xlfn.XLOOKUP(C2468,Clientes[ID_Cliente],Clientes[Provincia])</f>
        <v>Buenos Aires</v>
      </c>
      <c r="L2468" s="16" t="str">
        <f t="array" ref="L2468">CONCATENATE(_xlfn.XLOOKUP(C2468,Clientes[ID_Cliente],Clientes[Provincia]),", Argentina")</f>
        <v>Buenos Aires, Argentina</v>
      </c>
      <c r="M2468" s="20" t="str">
        <f t="array" ref="M2468">_xlfn.XLOOKUP(F2468,Metodos_De_Pago[ID_Metodo],Metodos_De_Pago[Metodo])</f>
        <v>Tarjeta de Crédito</v>
      </c>
      <c r="N2468" s="20" t="str">
        <f t="shared" si="2"/>
        <v>2024 12</v>
      </c>
    </row>
    <row r="2469" ht="22.5" customHeight="1">
      <c r="A2469" s="12">
        <f>IFERROR(__xludf.DUMMYFUNCTION("""COMPUTED_VALUE"""),742.0)</f>
        <v>742</v>
      </c>
      <c r="B2469" s="13">
        <f>IFERROR(__xludf.DUMMYFUNCTION("""COMPUTED_VALUE"""),45632.0)</f>
        <v>45632</v>
      </c>
      <c r="C2469" s="12">
        <f>IFERROR(__xludf.DUMMYFUNCTION("""COMPUTED_VALUE"""),45.0)</f>
        <v>45</v>
      </c>
      <c r="D2469" s="12">
        <f>IFERROR(__xludf.DUMMYFUNCTION("""COMPUTED_VALUE"""),11.0)</f>
        <v>11</v>
      </c>
      <c r="E2469" s="12">
        <f>IFERROR(__xludf.DUMMYFUNCTION("""COMPUTED_VALUE"""),5.0)</f>
        <v>5</v>
      </c>
      <c r="F2469" s="12">
        <f>IFERROR(__xludf.DUMMYFUNCTION("""COMPUTED_VALUE"""),5.0)</f>
        <v>5</v>
      </c>
      <c r="G2469" s="15" t="str">
        <f>IFERROR(__xludf.DUMMYFUNCTION("""COMPUTED_VALUE"""),"Completa")</f>
        <v>Completa</v>
      </c>
      <c r="H2469" s="16" t="str">
        <f t="array" ref="H2469">_xlfn.XLOOKUP(D2469,Productos[ID_Producto],Productos[Nombre_Producto])</f>
        <v>Salchicha</v>
      </c>
      <c r="I2469" s="17">
        <f t="array" ref="I2469">_xlfn.XLOOKUP(D2469,Productos[ID_Producto],Productos[Precio_Unitario])</f>
        <v>11.23</v>
      </c>
      <c r="J2469" s="17">
        <f t="shared" si="1"/>
        <v>56.15</v>
      </c>
      <c r="K2469" s="16" t="str">
        <f t="array" ref="K2469">_xlfn.XLOOKUP(C2469,Clientes[ID_Cliente],Clientes[Provincia])</f>
        <v>Buenos Aires</v>
      </c>
      <c r="L2469" s="16" t="str">
        <f t="array" ref="L2469">CONCATENATE(_xlfn.XLOOKUP(C2469,Clientes[ID_Cliente],Clientes[Provincia]),", Argentina")</f>
        <v>Buenos Aires, Argentina</v>
      </c>
      <c r="M2469" s="20" t="str">
        <f t="array" ref="M2469">_xlfn.XLOOKUP(F2469,Metodos_De_Pago[ID_Metodo],Metodos_De_Pago[Metodo])</f>
        <v>Transferencia</v>
      </c>
      <c r="N2469" s="20" t="str">
        <f t="shared" si="2"/>
        <v>2024 12</v>
      </c>
    </row>
    <row r="2470" ht="22.5" customHeight="1">
      <c r="A2470" s="12">
        <f>IFERROR(__xludf.DUMMYFUNCTION("""COMPUTED_VALUE"""),2380.0)</f>
        <v>2380</v>
      </c>
      <c r="B2470" s="13">
        <f>IFERROR(__xludf.DUMMYFUNCTION("""COMPUTED_VALUE"""),45632.0)</f>
        <v>45632</v>
      </c>
      <c r="C2470" s="12">
        <f>IFERROR(__xludf.DUMMYFUNCTION("""COMPUTED_VALUE"""),175.0)</f>
        <v>175</v>
      </c>
      <c r="D2470" s="12">
        <f>IFERROR(__xludf.DUMMYFUNCTION("""COMPUTED_VALUE"""),12.0)</f>
        <v>12</v>
      </c>
      <c r="E2470" s="12">
        <f>IFERROR(__xludf.DUMMYFUNCTION("""COMPUTED_VALUE"""),5.0)</f>
        <v>5</v>
      </c>
      <c r="F2470" s="12">
        <f>IFERROR(__xludf.DUMMYFUNCTION("""COMPUTED_VALUE"""),3.0)</f>
        <v>3</v>
      </c>
      <c r="G2470" s="15" t="str">
        <f>IFERROR(__xludf.DUMMYFUNCTION("""COMPUTED_VALUE"""),"Completa")</f>
        <v>Completa</v>
      </c>
      <c r="H2470" s="16" t="str">
        <f t="array" ref="H2470">_xlfn.XLOOKUP(D2470,Productos[ID_Producto],Productos[Nombre_Producto])</f>
        <v>Pan francés</v>
      </c>
      <c r="I2470" s="17">
        <f t="array" ref="I2470">_xlfn.XLOOKUP(D2470,Productos[ID_Producto],Productos[Precio_Unitario])</f>
        <v>8.12</v>
      </c>
      <c r="J2470" s="17">
        <f t="shared" si="1"/>
        <v>40.6</v>
      </c>
      <c r="K2470" s="16" t="str">
        <f t="array" ref="K2470">_xlfn.XLOOKUP(C2470,Clientes[ID_Cliente],Clientes[Provincia])</f>
        <v>Buenos Aires</v>
      </c>
      <c r="L2470" s="16" t="str">
        <f t="array" ref="L2470">CONCATENATE(_xlfn.XLOOKUP(C2470,Clientes[ID_Cliente],Clientes[Provincia]),", Argentina")</f>
        <v>Buenos Aires, Argentina</v>
      </c>
      <c r="M2470" s="20" t="str">
        <f t="array" ref="M2470">_xlfn.XLOOKUP(F2470,Metodos_De_Pago[ID_Metodo],Metodos_De_Pago[Metodo])</f>
        <v>Tarjeta de Débito</v>
      </c>
      <c r="N2470" s="20" t="str">
        <f t="shared" si="2"/>
        <v>2024 12</v>
      </c>
    </row>
    <row r="2471" ht="22.5" customHeight="1">
      <c r="A2471" s="12">
        <f>IFERROR(__xludf.DUMMYFUNCTION("""COMPUTED_VALUE"""),318.0)</f>
        <v>318</v>
      </c>
      <c r="B2471" s="13">
        <f>IFERROR(__xludf.DUMMYFUNCTION("""COMPUTED_VALUE"""),45636.0)</f>
        <v>45636</v>
      </c>
      <c r="C2471" s="12">
        <f>IFERROR(__xludf.DUMMYFUNCTION("""COMPUTED_VALUE"""),258.0)</f>
        <v>258</v>
      </c>
      <c r="D2471" s="12">
        <f>IFERROR(__xludf.DUMMYFUNCTION("""COMPUTED_VALUE"""),1.0)</f>
        <v>1</v>
      </c>
      <c r="E2471" s="12">
        <f>IFERROR(__xludf.DUMMYFUNCTION("""COMPUTED_VALUE"""),5.0)</f>
        <v>5</v>
      </c>
      <c r="F2471" s="12">
        <f>IFERROR(__xludf.DUMMYFUNCTION("""COMPUTED_VALUE"""),1.0)</f>
        <v>1</v>
      </c>
      <c r="G2471" s="15" t="str">
        <f>IFERROR(__xludf.DUMMYFUNCTION("""COMPUTED_VALUE"""),"Completa")</f>
        <v>Completa</v>
      </c>
      <c r="H2471" s="16" t="str">
        <f t="array" ref="H2471">_xlfn.XLOOKUP(D2471,Productos[ID_Producto],Productos[Nombre_Producto])</f>
        <v>Leche</v>
      </c>
      <c r="I2471" s="17">
        <f t="array" ref="I2471">_xlfn.XLOOKUP(D2471,Productos[ID_Producto],Productos[Precio_Unitario])</f>
        <v>12.24</v>
      </c>
      <c r="J2471" s="17">
        <f t="shared" si="1"/>
        <v>61.2</v>
      </c>
      <c r="K2471" s="16" t="str">
        <f t="array" ref="K2471">_xlfn.XLOOKUP(C2471,Clientes[ID_Cliente],Clientes[Provincia])</f>
        <v>Córdoba</v>
      </c>
      <c r="L2471" s="16" t="str">
        <f t="array" ref="L2471">CONCATENATE(_xlfn.XLOOKUP(C2471,Clientes[ID_Cliente],Clientes[Provincia]),", Argentina")</f>
        <v>Córdoba, Argentina</v>
      </c>
      <c r="M2471" s="20" t="str">
        <f t="array" ref="M2471">_xlfn.XLOOKUP(F2471,Metodos_De_Pago[ID_Metodo],Metodos_De_Pago[Metodo])</f>
        <v>Efectivo</v>
      </c>
      <c r="N2471" s="20" t="str">
        <f t="shared" si="2"/>
        <v>2024 12</v>
      </c>
    </row>
    <row r="2472" ht="22.5" customHeight="1">
      <c r="A2472" s="12">
        <f>IFERROR(__xludf.DUMMYFUNCTION("""COMPUTED_VALUE"""),2287.0)</f>
        <v>2287</v>
      </c>
      <c r="B2472" s="13">
        <f>IFERROR(__xludf.DUMMYFUNCTION("""COMPUTED_VALUE"""),45637.0)</f>
        <v>45637</v>
      </c>
      <c r="C2472" s="12">
        <f>IFERROR(__xludf.DUMMYFUNCTION("""COMPUTED_VALUE"""),5.0)</f>
        <v>5</v>
      </c>
      <c r="D2472" s="12">
        <f>IFERROR(__xludf.DUMMYFUNCTION("""COMPUTED_VALUE"""),13.0)</f>
        <v>13</v>
      </c>
      <c r="E2472" s="12">
        <f>IFERROR(__xludf.DUMMYFUNCTION("""COMPUTED_VALUE"""),5.0)</f>
        <v>5</v>
      </c>
      <c r="F2472" s="12">
        <f>IFERROR(__xludf.DUMMYFUNCTION("""COMPUTED_VALUE"""),3.0)</f>
        <v>3</v>
      </c>
      <c r="G2472" s="15" t="str">
        <f>IFERROR(__xludf.DUMMYFUNCTION("""COMPUTED_VALUE"""),"Completa")</f>
        <v>Completa</v>
      </c>
      <c r="H2472" s="16" t="str">
        <f t="array" ref="H2472">_xlfn.XLOOKUP(D2472,Productos[ID_Producto],Productos[Nombre_Producto])</f>
        <v>Pan integral</v>
      </c>
      <c r="I2472" s="17">
        <f t="array" ref="I2472">_xlfn.XLOOKUP(D2472,Productos[ID_Producto],Productos[Precio_Unitario])</f>
        <v>12.56</v>
      </c>
      <c r="J2472" s="17">
        <f t="shared" si="1"/>
        <v>62.8</v>
      </c>
      <c r="K2472" s="16" t="str">
        <f t="array" ref="K2472">_xlfn.XLOOKUP(C2472,Clientes[ID_Cliente],Clientes[Provincia])</f>
        <v>Córdoba</v>
      </c>
      <c r="L2472" s="16" t="str">
        <f t="array" ref="L2472">CONCATENATE(_xlfn.XLOOKUP(C2472,Clientes[ID_Cliente],Clientes[Provincia]),", Argentina")</f>
        <v>Córdoba, Argentina</v>
      </c>
      <c r="M2472" s="20" t="str">
        <f t="array" ref="M2472">_xlfn.XLOOKUP(F2472,Metodos_De_Pago[ID_Metodo],Metodos_De_Pago[Metodo])</f>
        <v>Tarjeta de Débito</v>
      </c>
      <c r="N2472" s="20" t="str">
        <f t="shared" si="2"/>
        <v>2024 12</v>
      </c>
    </row>
    <row r="2473" ht="22.5" customHeight="1">
      <c r="A2473" s="12">
        <f>IFERROR(__xludf.DUMMYFUNCTION("""COMPUTED_VALUE"""),229.0)</f>
        <v>229</v>
      </c>
      <c r="B2473" s="13">
        <f>IFERROR(__xludf.DUMMYFUNCTION("""COMPUTED_VALUE"""),45638.0)</f>
        <v>45638</v>
      </c>
      <c r="C2473" s="12">
        <f>IFERROR(__xludf.DUMMYFUNCTION("""COMPUTED_VALUE"""),153.0)</f>
        <v>153</v>
      </c>
      <c r="D2473" s="12">
        <f>IFERROR(__xludf.DUMMYFUNCTION("""COMPUTED_VALUE"""),14.0)</f>
        <v>14</v>
      </c>
      <c r="E2473" s="12">
        <f>IFERROR(__xludf.DUMMYFUNCTION("""COMPUTED_VALUE"""),5.0)</f>
        <v>5</v>
      </c>
      <c r="F2473" s="12">
        <f>IFERROR(__xludf.DUMMYFUNCTION("""COMPUTED_VALUE"""),4.0)</f>
        <v>4</v>
      </c>
      <c r="G2473" s="15" t="str">
        <f>IFERROR(__xludf.DUMMYFUNCTION("""COMPUTED_VALUE"""),"Completa")</f>
        <v>Completa</v>
      </c>
      <c r="H2473" s="16" t="str">
        <f t="array" ref="H2473">_xlfn.XLOOKUP(D2473,Productos[ID_Producto],Productos[Nombre_Producto])</f>
        <v>Facturas</v>
      </c>
      <c r="I2473" s="17">
        <f t="array" ref="I2473">_xlfn.XLOOKUP(D2473,Productos[ID_Producto],Productos[Precio_Unitario])</f>
        <v>12.36</v>
      </c>
      <c r="J2473" s="17">
        <f t="shared" si="1"/>
        <v>61.8</v>
      </c>
      <c r="K2473" s="16" t="str">
        <f t="array" ref="K2473">_xlfn.XLOOKUP(C2473,Clientes[ID_Cliente],Clientes[Provincia])</f>
        <v>San Luis</v>
      </c>
      <c r="L2473" s="16" t="str">
        <f t="array" ref="L2473">CONCATENATE(_xlfn.XLOOKUP(C2473,Clientes[ID_Cliente],Clientes[Provincia]),", Argentina")</f>
        <v>San Luis, Argentina</v>
      </c>
      <c r="M2473" s="20" t="str">
        <f t="array" ref="M2473">_xlfn.XLOOKUP(F2473,Metodos_De_Pago[ID_Metodo],Metodos_De_Pago[Metodo])</f>
        <v>Mercado Pago</v>
      </c>
      <c r="N2473" s="20" t="str">
        <f t="shared" si="2"/>
        <v>2024 12</v>
      </c>
    </row>
    <row r="2474" ht="22.5" customHeight="1">
      <c r="A2474" s="12">
        <f>IFERROR(__xludf.DUMMYFUNCTION("""COMPUTED_VALUE"""),1846.0)</f>
        <v>1846</v>
      </c>
      <c r="B2474" s="13">
        <f>IFERROR(__xludf.DUMMYFUNCTION("""COMPUTED_VALUE"""),45638.0)</f>
        <v>45638</v>
      </c>
      <c r="C2474" s="12">
        <f>IFERROR(__xludf.DUMMYFUNCTION("""COMPUTED_VALUE"""),23.0)</f>
        <v>23</v>
      </c>
      <c r="D2474" s="12">
        <f>IFERROR(__xludf.DUMMYFUNCTION("""COMPUTED_VALUE"""),12.0)</f>
        <v>12</v>
      </c>
      <c r="E2474" s="12">
        <f>IFERROR(__xludf.DUMMYFUNCTION("""COMPUTED_VALUE"""),5.0)</f>
        <v>5</v>
      </c>
      <c r="F2474" s="12">
        <f>IFERROR(__xludf.DUMMYFUNCTION("""COMPUTED_VALUE"""),4.0)</f>
        <v>4</v>
      </c>
      <c r="G2474" s="15" t="str">
        <f>IFERROR(__xludf.DUMMYFUNCTION("""COMPUTED_VALUE"""),"Completa")</f>
        <v>Completa</v>
      </c>
      <c r="H2474" s="16" t="str">
        <f t="array" ref="H2474">_xlfn.XLOOKUP(D2474,Productos[ID_Producto],Productos[Nombre_Producto])</f>
        <v>Pan francés</v>
      </c>
      <c r="I2474" s="17">
        <f t="array" ref="I2474">_xlfn.XLOOKUP(D2474,Productos[ID_Producto],Productos[Precio_Unitario])</f>
        <v>8.12</v>
      </c>
      <c r="J2474" s="17">
        <f t="shared" si="1"/>
        <v>40.6</v>
      </c>
      <c r="K2474" s="16" t="str">
        <f t="array" ref="K2474">_xlfn.XLOOKUP(C2474,Clientes[ID_Cliente],Clientes[Provincia])</f>
        <v>Neuquén</v>
      </c>
      <c r="L2474" s="16" t="str">
        <f t="array" ref="L2474">CONCATENATE(_xlfn.XLOOKUP(C2474,Clientes[ID_Cliente],Clientes[Provincia]),", Argentina")</f>
        <v>Neuquén, Argentina</v>
      </c>
      <c r="M2474" s="20" t="str">
        <f t="array" ref="M2474">_xlfn.XLOOKUP(F2474,Metodos_De_Pago[ID_Metodo],Metodos_De_Pago[Metodo])</f>
        <v>Mercado Pago</v>
      </c>
      <c r="N2474" s="20" t="str">
        <f t="shared" si="2"/>
        <v>2024 12</v>
      </c>
    </row>
    <row r="2475" ht="22.5" customHeight="1">
      <c r="A2475" s="12">
        <f>IFERROR(__xludf.DUMMYFUNCTION("""COMPUTED_VALUE"""),316.0)</f>
        <v>316</v>
      </c>
      <c r="B2475" s="13">
        <f>IFERROR(__xludf.DUMMYFUNCTION("""COMPUTED_VALUE"""),45639.0)</f>
        <v>45639</v>
      </c>
      <c r="C2475" s="12">
        <f>IFERROR(__xludf.DUMMYFUNCTION("""COMPUTED_VALUE"""),119.0)</f>
        <v>119</v>
      </c>
      <c r="D2475" s="12">
        <f>IFERROR(__xludf.DUMMYFUNCTION("""COMPUTED_VALUE"""),29.0)</f>
        <v>29</v>
      </c>
      <c r="E2475" s="12">
        <f>IFERROR(__xludf.DUMMYFUNCTION("""COMPUTED_VALUE"""),5.0)</f>
        <v>5</v>
      </c>
      <c r="F2475" s="12">
        <f>IFERROR(__xludf.DUMMYFUNCTION("""COMPUTED_VALUE"""),1.0)</f>
        <v>1</v>
      </c>
      <c r="G2475" s="15" t="str">
        <f>IFERROR(__xludf.DUMMYFUNCTION("""COMPUTED_VALUE"""),"Completa")</f>
        <v>Completa</v>
      </c>
      <c r="H2475" s="16" t="str">
        <f t="array" ref="H2475">_xlfn.XLOOKUP(D2475,Productos[ID_Producto],Productos[Nombre_Producto])</f>
        <v>Cerveza</v>
      </c>
      <c r="I2475" s="17">
        <f t="array" ref="I2475">_xlfn.XLOOKUP(D2475,Productos[ID_Producto],Productos[Precio_Unitario])</f>
        <v>11.54</v>
      </c>
      <c r="J2475" s="17">
        <f t="shared" si="1"/>
        <v>57.7</v>
      </c>
      <c r="K2475" s="16" t="str">
        <f t="array" ref="K2475">_xlfn.XLOOKUP(C2475,Clientes[ID_Cliente],Clientes[Provincia])</f>
        <v>Neuquén</v>
      </c>
      <c r="L2475" s="16" t="str">
        <f t="array" ref="L2475">CONCATENATE(_xlfn.XLOOKUP(C2475,Clientes[ID_Cliente],Clientes[Provincia]),", Argentina")</f>
        <v>Neuquén, Argentina</v>
      </c>
      <c r="M2475" s="20" t="str">
        <f t="array" ref="M2475">_xlfn.XLOOKUP(F2475,Metodos_De_Pago[ID_Metodo],Metodos_De_Pago[Metodo])</f>
        <v>Efectivo</v>
      </c>
      <c r="N2475" s="20" t="str">
        <f t="shared" si="2"/>
        <v>2024 12</v>
      </c>
    </row>
    <row r="2476" ht="22.5" customHeight="1">
      <c r="A2476" s="12">
        <f>IFERROR(__xludf.DUMMYFUNCTION("""COMPUTED_VALUE"""),1206.0)</f>
        <v>1206</v>
      </c>
      <c r="B2476" s="13">
        <f>IFERROR(__xludf.DUMMYFUNCTION("""COMPUTED_VALUE"""),45639.0)</f>
        <v>45639</v>
      </c>
      <c r="C2476" s="12">
        <f>IFERROR(__xludf.DUMMYFUNCTION("""COMPUTED_VALUE"""),177.0)</f>
        <v>177</v>
      </c>
      <c r="D2476" s="12">
        <f>IFERROR(__xludf.DUMMYFUNCTION("""COMPUTED_VALUE"""),25.0)</f>
        <v>25</v>
      </c>
      <c r="E2476" s="12">
        <f>IFERROR(__xludf.DUMMYFUNCTION("""COMPUTED_VALUE"""),5.0)</f>
        <v>5</v>
      </c>
      <c r="F2476" s="12">
        <f>IFERROR(__xludf.DUMMYFUNCTION("""COMPUTED_VALUE"""),5.0)</f>
        <v>5</v>
      </c>
      <c r="G2476" s="15" t="str">
        <f>IFERROR(__xludf.DUMMYFUNCTION("""COMPUTED_VALUE"""),"Completa")</f>
        <v>Completa</v>
      </c>
      <c r="H2476" s="16" t="str">
        <f t="array" ref="H2476">_xlfn.XLOOKUP(D2476,Productos[ID_Producto],Productos[Nombre_Producto])</f>
        <v>Pizza congelada</v>
      </c>
      <c r="I2476" s="17">
        <f t="array" ref="I2476">_xlfn.XLOOKUP(D2476,Productos[ID_Producto],Productos[Precio_Unitario])</f>
        <v>15.45</v>
      </c>
      <c r="J2476" s="17">
        <f t="shared" si="1"/>
        <v>77.25</v>
      </c>
      <c r="K2476" s="16" t="str">
        <f t="array" ref="K2476">_xlfn.XLOOKUP(C2476,Clientes[ID_Cliente],Clientes[Provincia])</f>
        <v>Chaco</v>
      </c>
      <c r="L2476" s="16" t="str">
        <f t="array" ref="L2476">CONCATENATE(_xlfn.XLOOKUP(C2476,Clientes[ID_Cliente],Clientes[Provincia]),", Argentina")</f>
        <v>Chaco, Argentina</v>
      </c>
      <c r="M2476" s="20" t="str">
        <f t="array" ref="M2476">_xlfn.XLOOKUP(F2476,Metodos_De_Pago[ID_Metodo],Metodos_De_Pago[Metodo])</f>
        <v>Transferencia</v>
      </c>
      <c r="N2476" s="20" t="str">
        <f t="shared" si="2"/>
        <v>2024 12</v>
      </c>
    </row>
    <row r="2477" ht="22.5" customHeight="1">
      <c r="A2477" s="12">
        <f>IFERROR(__xludf.DUMMYFUNCTION("""COMPUTED_VALUE"""),2233.0)</f>
        <v>2233</v>
      </c>
      <c r="B2477" s="13">
        <f>IFERROR(__xludf.DUMMYFUNCTION("""COMPUTED_VALUE"""),45639.0)</f>
        <v>45639</v>
      </c>
      <c r="C2477" s="12">
        <f>IFERROR(__xludf.DUMMYFUNCTION("""COMPUTED_VALUE"""),1.0)</f>
        <v>1</v>
      </c>
      <c r="D2477" s="12">
        <f>IFERROR(__xludf.DUMMYFUNCTION("""COMPUTED_VALUE"""),32.0)</f>
        <v>32</v>
      </c>
      <c r="E2477" s="12">
        <f>IFERROR(__xludf.DUMMYFUNCTION("""COMPUTED_VALUE"""),5.0)</f>
        <v>5</v>
      </c>
      <c r="F2477" s="12">
        <f>IFERROR(__xludf.DUMMYFUNCTION("""COMPUTED_VALUE"""),3.0)</f>
        <v>3</v>
      </c>
      <c r="G2477" s="15" t="str">
        <f>IFERROR(__xludf.DUMMYFUNCTION("""COMPUTED_VALUE"""),"Completa")</f>
        <v>Completa</v>
      </c>
      <c r="H2477" s="16" t="str">
        <f t="array" ref="H2477">_xlfn.XLOOKUP(D2477,Productos[ID_Producto],Productos[Nombre_Producto])</f>
        <v>Galletitas de chocolate</v>
      </c>
      <c r="I2477" s="17">
        <f t="array" ref="I2477">_xlfn.XLOOKUP(D2477,Productos[ID_Producto],Productos[Precio_Unitario])</f>
        <v>6.25</v>
      </c>
      <c r="J2477" s="17">
        <f t="shared" si="1"/>
        <v>31.25</v>
      </c>
      <c r="K2477" s="16" t="str">
        <f t="array" ref="K2477">_xlfn.XLOOKUP(C2477,Clientes[ID_Cliente],Clientes[Provincia])</f>
        <v>Neuquén</v>
      </c>
      <c r="L2477" s="16" t="str">
        <f t="array" ref="L2477">CONCATENATE(_xlfn.XLOOKUP(C2477,Clientes[ID_Cliente],Clientes[Provincia]),", Argentina")</f>
        <v>Neuquén, Argentina</v>
      </c>
      <c r="M2477" s="20" t="str">
        <f t="array" ref="M2477">_xlfn.XLOOKUP(F2477,Metodos_De_Pago[ID_Metodo],Metodos_De_Pago[Metodo])</f>
        <v>Tarjeta de Débito</v>
      </c>
      <c r="N2477" s="20" t="str">
        <f t="shared" si="2"/>
        <v>2024 12</v>
      </c>
    </row>
    <row r="2478" ht="22.5" customHeight="1">
      <c r="A2478" s="12">
        <f>IFERROR(__xludf.DUMMYFUNCTION("""COMPUTED_VALUE"""),2704.0)</f>
        <v>2704</v>
      </c>
      <c r="B2478" s="13">
        <f>IFERROR(__xludf.DUMMYFUNCTION("""COMPUTED_VALUE"""),45640.0)</f>
        <v>45640</v>
      </c>
      <c r="C2478" s="12">
        <f>IFERROR(__xludf.DUMMYFUNCTION("""COMPUTED_VALUE"""),14.0)</f>
        <v>14</v>
      </c>
      <c r="D2478" s="12">
        <f>IFERROR(__xludf.DUMMYFUNCTION("""COMPUTED_VALUE"""),17.0)</f>
        <v>17</v>
      </c>
      <c r="E2478" s="12">
        <f>IFERROR(__xludf.DUMMYFUNCTION("""COMPUTED_VALUE"""),5.0)</f>
        <v>5</v>
      </c>
      <c r="F2478" s="12">
        <f>IFERROR(__xludf.DUMMYFUNCTION("""COMPUTED_VALUE"""),1.0)</f>
        <v>1</v>
      </c>
      <c r="G2478" s="15" t="str">
        <f>IFERROR(__xludf.DUMMYFUNCTION("""COMPUTED_VALUE"""),"Completa")</f>
        <v>Completa</v>
      </c>
      <c r="H2478" s="16" t="str">
        <f t="array" ref="H2478">_xlfn.XLOOKUP(D2478,Productos[ID_Producto],Productos[Nombre_Producto])</f>
        <v>Manzanas</v>
      </c>
      <c r="I2478" s="17">
        <f t="array" ref="I2478">_xlfn.XLOOKUP(D2478,Productos[ID_Producto],Productos[Precio_Unitario])</f>
        <v>6.54</v>
      </c>
      <c r="J2478" s="17">
        <f t="shared" si="1"/>
        <v>32.7</v>
      </c>
      <c r="K2478" s="16" t="str">
        <f t="array" ref="K2478">_xlfn.XLOOKUP(C2478,Clientes[ID_Cliente],Clientes[Provincia])</f>
        <v>Buenos Aires</v>
      </c>
      <c r="L2478" s="16" t="str">
        <f t="array" ref="L2478">CONCATENATE(_xlfn.XLOOKUP(C2478,Clientes[ID_Cliente],Clientes[Provincia]),", Argentina")</f>
        <v>Buenos Aires, Argentina</v>
      </c>
      <c r="M2478" s="20" t="str">
        <f t="array" ref="M2478">_xlfn.XLOOKUP(F2478,Metodos_De_Pago[ID_Metodo],Metodos_De_Pago[Metodo])</f>
        <v>Efectivo</v>
      </c>
      <c r="N2478" s="20" t="str">
        <f t="shared" si="2"/>
        <v>2024 12</v>
      </c>
    </row>
    <row r="2479" ht="22.5" customHeight="1">
      <c r="A2479" s="12">
        <f>IFERROR(__xludf.DUMMYFUNCTION("""COMPUTED_VALUE"""),1918.0)</f>
        <v>1918</v>
      </c>
      <c r="B2479" s="13">
        <f>IFERROR(__xludf.DUMMYFUNCTION("""COMPUTED_VALUE"""),45641.0)</f>
        <v>45641</v>
      </c>
      <c r="C2479" s="12">
        <f>IFERROR(__xludf.DUMMYFUNCTION("""COMPUTED_VALUE"""),216.0)</f>
        <v>216</v>
      </c>
      <c r="D2479" s="12">
        <f>IFERROR(__xludf.DUMMYFUNCTION("""COMPUTED_VALUE"""),3.0)</f>
        <v>3</v>
      </c>
      <c r="E2479" s="12">
        <f>IFERROR(__xludf.DUMMYFUNCTION("""COMPUTED_VALUE"""),5.0)</f>
        <v>5</v>
      </c>
      <c r="F2479" s="12">
        <f>IFERROR(__xludf.DUMMYFUNCTION("""COMPUTED_VALUE"""),4.0)</f>
        <v>4</v>
      </c>
      <c r="G2479" s="15" t="str">
        <f>IFERROR(__xludf.DUMMYFUNCTION("""COMPUTED_VALUE"""),"Pendiente")</f>
        <v>Pendiente</v>
      </c>
      <c r="H2479" s="16" t="str">
        <f t="array" ref="H2479">_xlfn.XLOOKUP(D2479,Productos[ID_Producto],Productos[Nombre_Producto])</f>
        <v>Queso cremoso</v>
      </c>
      <c r="I2479" s="17">
        <f t="array" ref="I2479">_xlfn.XLOOKUP(D2479,Productos[ID_Producto],Productos[Precio_Unitario])</f>
        <v>17.23</v>
      </c>
      <c r="J2479" s="17">
        <f t="shared" si="1"/>
        <v>86.15</v>
      </c>
      <c r="K2479" s="16" t="str">
        <f t="array" ref="K2479">_xlfn.XLOOKUP(C2479,Clientes[ID_Cliente],Clientes[Provincia])</f>
        <v>Córdoba</v>
      </c>
      <c r="L2479" s="16" t="str">
        <f t="array" ref="L2479">CONCATENATE(_xlfn.XLOOKUP(C2479,Clientes[ID_Cliente],Clientes[Provincia]),", Argentina")</f>
        <v>Córdoba, Argentina</v>
      </c>
      <c r="M2479" s="20" t="str">
        <f t="array" ref="M2479">_xlfn.XLOOKUP(F2479,Metodos_De_Pago[ID_Metodo],Metodos_De_Pago[Metodo])</f>
        <v>Mercado Pago</v>
      </c>
      <c r="N2479" s="20" t="str">
        <f t="shared" si="2"/>
        <v>2024 12</v>
      </c>
    </row>
    <row r="2480" ht="22.5" customHeight="1">
      <c r="A2480" s="12">
        <f>IFERROR(__xludf.DUMMYFUNCTION("""COMPUTED_VALUE"""),138.0)</f>
        <v>138</v>
      </c>
      <c r="B2480" s="13">
        <f>IFERROR(__xludf.DUMMYFUNCTION("""COMPUTED_VALUE"""),45642.0)</f>
        <v>45642</v>
      </c>
      <c r="C2480" s="12">
        <f>IFERROR(__xludf.DUMMYFUNCTION("""COMPUTED_VALUE"""),148.0)</f>
        <v>148</v>
      </c>
      <c r="D2480" s="12">
        <f>IFERROR(__xludf.DUMMYFUNCTION("""COMPUTED_VALUE"""),19.0)</f>
        <v>19</v>
      </c>
      <c r="E2480" s="12">
        <f>IFERROR(__xludf.DUMMYFUNCTION("""COMPUTED_VALUE"""),5.0)</f>
        <v>5</v>
      </c>
      <c r="F2480" s="12">
        <f>IFERROR(__xludf.DUMMYFUNCTION("""COMPUTED_VALUE"""),5.0)</f>
        <v>5</v>
      </c>
      <c r="G2480" s="15" t="str">
        <f>IFERROR(__xludf.DUMMYFUNCTION("""COMPUTED_VALUE"""),"Completa")</f>
        <v>Completa</v>
      </c>
      <c r="H2480" s="16" t="str">
        <f t="array" ref="H2480">_xlfn.XLOOKUP(D2480,Productos[ID_Producto],Productos[Nombre_Producto])</f>
        <v>Tomates</v>
      </c>
      <c r="I2480" s="17">
        <f t="array" ref="I2480">_xlfn.XLOOKUP(D2480,Productos[ID_Producto],Productos[Precio_Unitario])</f>
        <v>6.54</v>
      </c>
      <c r="J2480" s="17">
        <f t="shared" si="1"/>
        <v>32.7</v>
      </c>
      <c r="K2480" s="16" t="str">
        <f t="array" ref="K2480">_xlfn.XLOOKUP(C2480,Clientes[ID_Cliente],Clientes[Provincia])</f>
        <v>Córdoba</v>
      </c>
      <c r="L2480" s="16" t="str">
        <f t="array" ref="L2480">CONCATENATE(_xlfn.XLOOKUP(C2480,Clientes[ID_Cliente],Clientes[Provincia]),", Argentina")</f>
        <v>Córdoba, Argentina</v>
      </c>
      <c r="M2480" s="20" t="str">
        <f t="array" ref="M2480">_xlfn.XLOOKUP(F2480,Metodos_De_Pago[ID_Metodo],Metodos_De_Pago[Metodo])</f>
        <v>Transferencia</v>
      </c>
      <c r="N2480" s="20" t="str">
        <f t="shared" si="2"/>
        <v>2024 12</v>
      </c>
    </row>
    <row r="2481" ht="22.5" customHeight="1">
      <c r="A2481" s="12">
        <f>IFERROR(__xludf.DUMMYFUNCTION("""COMPUTED_VALUE"""),355.0)</f>
        <v>355</v>
      </c>
      <c r="B2481" s="13">
        <f>IFERROR(__xludf.DUMMYFUNCTION("""COMPUTED_VALUE"""),45642.0)</f>
        <v>45642</v>
      </c>
      <c r="C2481" s="12">
        <f>IFERROR(__xludf.DUMMYFUNCTION("""COMPUTED_VALUE"""),308.0)</f>
        <v>308</v>
      </c>
      <c r="D2481" s="12">
        <f>IFERROR(__xludf.DUMMYFUNCTION("""COMPUTED_VALUE"""),25.0)</f>
        <v>25</v>
      </c>
      <c r="E2481" s="12">
        <f>IFERROR(__xludf.DUMMYFUNCTION("""COMPUTED_VALUE"""),5.0)</f>
        <v>5</v>
      </c>
      <c r="F2481" s="12">
        <f>IFERROR(__xludf.DUMMYFUNCTION("""COMPUTED_VALUE"""),5.0)</f>
        <v>5</v>
      </c>
      <c r="G2481" s="15" t="str">
        <f>IFERROR(__xludf.DUMMYFUNCTION("""COMPUTED_VALUE"""),"Completa")</f>
        <v>Completa</v>
      </c>
      <c r="H2481" s="16" t="str">
        <f t="array" ref="H2481">_xlfn.XLOOKUP(D2481,Productos[ID_Producto],Productos[Nombre_Producto])</f>
        <v>Pizza congelada</v>
      </c>
      <c r="I2481" s="17">
        <f t="array" ref="I2481">_xlfn.XLOOKUP(D2481,Productos[ID_Producto],Productos[Precio_Unitario])</f>
        <v>15.45</v>
      </c>
      <c r="J2481" s="17">
        <f t="shared" si="1"/>
        <v>77.25</v>
      </c>
      <c r="K2481" s="16" t="str">
        <f t="array" ref="K2481">_xlfn.XLOOKUP(C2481,Clientes[ID_Cliente],Clientes[Provincia])</f>
        <v>Córdoba</v>
      </c>
      <c r="L2481" s="16" t="str">
        <f t="array" ref="L2481">CONCATENATE(_xlfn.XLOOKUP(C2481,Clientes[ID_Cliente],Clientes[Provincia]),", Argentina")</f>
        <v>Córdoba, Argentina</v>
      </c>
      <c r="M2481" s="20" t="str">
        <f t="array" ref="M2481">_xlfn.XLOOKUP(F2481,Metodos_De_Pago[ID_Metodo],Metodos_De_Pago[Metodo])</f>
        <v>Transferencia</v>
      </c>
      <c r="N2481" s="20" t="str">
        <f t="shared" si="2"/>
        <v>2024 12</v>
      </c>
    </row>
    <row r="2482" ht="22.5" customHeight="1">
      <c r="A2482" s="12">
        <f>IFERROR(__xludf.DUMMYFUNCTION("""COMPUTED_VALUE"""),1940.0)</f>
        <v>1940</v>
      </c>
      <c r="B2482" s="13">
        <f>IFERROR(__xludf.DUMMYFUNCTION("""COMPUTED_VALUE"""),45642.0)</f>
        <v>45642</v>
      </c>
      <c r="C2482" s="12">
        <f>IFERROR(__xludf.DUMMYFUNCTION("""COMPUTED_VALUE"""),87.0)</f>
        <v>87</v>
      </c>
      <c r="D2482" s="12">
        <f>IFERROR(__xludf.DUMMYFUNCTION("""COMPUTED_VALUE"""),28.0)</f>
        <v>28</v>
      </c>
      <c r="E2482" s="12">
        <f>IFERROR(__xludf.DUMMYFUNCTION("""COMPUTED_VALUE"""),5.0)</f>
        <v>5</v>
      </c>
      <c r="F2482" s="12">
        <f>IFERROR(__xludf.DUMMYFUNCTION("""COMPUTED_VALUE"""),5.0)</f>
        <v>5</v>
      </c>
      <c r="G2482" s="15" t="str">
        <f>IFERROR(__xludf.DUMMYFUNCTION("""COMPUTED_VALUE"""),"Completa")</f>
        <v>Completa</v>
      </c>
      <c r="H2482" s="16" t="str">
        <f t="array" ref="H2482">_xlfn.XLOOKUP(D2482,Productos[ID_Producto],Productos[Nombre_Producto])</f>
        <v>Jugos de frutas</v>
      </c>
      <c r="I2482" s="17">
        <f t="array" ref="I2482">_xlfn.XLOOKUP(D2482,Productos[ID_Producto],Productos[Precio_Unitario])</f>
        <v>9.45</v>
      </c>
      <c r="J2482" s="17">
        <f t="shared" si="1"/>
        <v>47.25</v>
      </c>
      <c r="K2482" s="16" t="str">
        <f t="array" ref="K2482">_xlfn.XLOOKUP(C2482,Clientes[ID_Cliente],Clientes[Provincia])</f>
        <v>Neuquén</v>
      </c>
      <c r="L2482" s="16" t="str">
        <f t="array" ref="L2482">CONCATENATE(_xlfn.XLOOKUP(C2482,Clientes[ID_Cliente],Clientes[Provincia]),", Argentina")</f>
        <v>Neuquén, Argentina</v>
      </c>
      <c r="M2482" s="20" t="str">
        <f t="array" ref="M2482">_xlfn.XLOOKUP(F2482,Metodos_De_Pago[ID_Metodo],Metodos_De_Pago[Metodo])</f>
        <v>Transferencia</v>
      </c>
      <c r="N2482" s="20" t="str">
        <f t="shared" si="2"/>
        <v>2024 12</v>
      </c>
    </row>
    <row r="2483" ht="22.5" customHeight="1">
      <c r="A2483" s="12">
        <f>IFERROR(__xludf.DUMMYFUNCTION("""COMPUTED_VALUE"""),567.0)</f>
        <v>567</v>
      </c>
      <c r="B2483" s="13">
        <f>IFERROR(__xludf.DUMMYFUNCTION("""COMPUTED_VALUE"""),45644.0)</f>
        <v>45644</v>
      </c>
      <c r="C2483" s="12">
        <f>IFERROR(__xludf.DUMMYFUNCTION("""COMPUTED_VALUE"""),255.0)</f>
        <v>255</v>
      </c>
      <c r="D2483" s="12">
        <f>IFERROR(__xludf.DUMMYFUNCTION("""COMPUTED_VALUE"""),35.0)</f>
        <v>35</v>
      </c>
      <c r="E2483" s="12">
        <f>IFERROR(__xludf.DUMMYFUNCTION("""COMPUTED_VALUE"""),5.0)</f>
        <v>5</v>
      </c>
      <c r="F2483" s="12">
        <f>IFERROR(__xludf.DUMMYFUNCTION("""COMPUTED_VALUE"""),5.0)</f>
        <v>5</v>
      </c>
      <c r="G2483" s="15" t="str">
        <f>IFERROR(__xludf.DUMMYFUNCTION("""COMPUTED_VALUE"""),"Completa")</f>
        <v>Completa</v>
      </c>
      <c r="H2483" s="16" t="str">
        <f t="array" ref="H2483">_xlfn.XLOOKUP(D2483,Productos[ID_Producto],Productos[Nombre_Producto])</f>
        <v>Arroz</v>
      </c>
      <c r="I2483" s="17">
        <f t="array" ref="I2483">_xlfn.XLOOKUP(D2483,Productos[ID_Producto],Productos[Precio_Unitario])</f>
        <v>4.25</v>
      </c>
      <c r="J2483" s="17">
        <f t="shared" si="1"/>
        <v>21.25</v>
      </c>
      <c r="K2483" s="16" t="str">
        <f t="array" ref="K2483">_xlfn.XLOOKUP(C2483,Clientes[ID_Cliente],Clientes[Provincia])</f>
        <v>Buenos Aires</v>
      </c>
      <c r="L2483" s="16" t="str">
        <f t="array" ref="L2483">CONCATENATE(_xlfn.XLOOKUP(C2483,Clientes[ID_Cliente],Clientes[Provincia]),", Argentina")</f>
        <v>Buenos Aires, Argentina</v>
      </c>
      <c r="M2483" s="20" t="str">
        <f t="array" ref="M2483">_xlfn.XLOOKUP(F2483,Metodos_De_Pago[ID_Metodo],Metodos_De_Pago[Metodo])</f>
        <v>Transferencia</v>
      </c>
      <c r="N2483" s="20" t="str">
        <f t="shared" si="2"/>
        <v>2024 12</v>
      </c>
    </row>
    <row r="2484" ht="22.5" customHeight="1">
      <c r="A2484" s="12">
        <f>IFERROR(__xludf.DUMMYFUNCTION("""COMPUTED_VALUE"""),1807.0)</f>
        <v>1807</v>
      </c>
      <c r="B2484" s="13">
        <f>IFERROR(__xludf.DUMMYFUNCTION("""COMPUTED_VALUE"""),45645.0)</f>
        <v>45645</v>
      </c>
      <c r="C2484" s="12">
        <f>IFERROR(__xludf.DUMMYFUNCTION("""COMPUTED_VALUE"""),205.0)</f>
        <v>205</v>
      </c>
      <c r="D2484" s="12">
        <f>IFERROR(__xludf.DUMMYFUNCTION("""COMPUTED_VALUE"""),29.0)</f>
        <v>29</v>
      </c>
      <c r="E2484" s="12">
        <f>IFERROR(__xludf.DUMMYFUNCTION("""COMPUTED_VALUE"""),5.0)</f>
        <v>5</v>
      </c>
      <c r="F2484" s="12">
        <f>IFERROR(__xludf.DUMMYFUNCTION("""COMPUTED_VALUE"""),5.0)</f>
        <v>5</v>
      </c>
      <c r="G2484" s="15" t="str">
        <f>IFERROR(__xludf.DUMMYFUNCTION("""COMPUTED_VALUE"""),"Completa")</f>
        <v>Completa</v>
      </c>
      <c r="H2484" s="16" t="str">
        <f t="array" ref="H2484">_xlfn.XLOOKUP(D2484,Productos[ID_Producto],Productos[Nombre_Producto])</f>
        <v>Cerveza</v>
      </c>
      <c r="I2484" s="17">
        <f t="array" ref="I2484">_xlfn.XLOOKUP(D2484,Productos[ID_Producto],Productos[Precio_Unitario])</f>
        <v>11.54</v>
      </c>
      <c r="J2484" s="17">
        <f t="shared" si="1"/>
        <v>57.7</v>
      </c>
      <c r="K2484" s="16" t="str">
        <f t="array" ref="K2484">_xlfn.XLOOKUP(C2484,Clientes[ID_Cliente],Clientes[Provincia])</f>
        <v>Neuquén</v>
      </c>
      <c r="L2484" s="16" t="str">
        <f t="array" ref="L2484">CONCATENATE(_xlfn.XLOOKUP(C2484,Clientes[ID_Cliente],Clientes[Provincia]),", Argentina")</f>
        <v>Neuquén, Argentina</v>
      </c>
      <c r="M2484" s="20" t="str">
        <f t="array" ref="M2484">_xlfn.XLOOKUP(F2484,Metodos_De_Pago[ID_Metodo],Metodos_De_Pago[Metodo])</f>
        <v>Transferencia</v>
      </c>
      <c r="N2484" s="20" t="str">
        <f t="shared" si="2"/>
        <v>2024 12</v>
      </c>
    </row>
    <row r="2485" ht="22.5" customHeight="1">
      <c r="A2485" s="12">
        <f>IFERROR(__xludf.DUMMYFUNCTION("""COMPUTED_VALUE"""),396.0)</f>
        <v>396</v>
      </c>
      <c r="B2485" s="13">
        <f>IFERROR(__xludf.DUMMYFUNCTION("""COMPUTED_VALUE"""),45646.0)</f>
        <v>45646</v>
      </c>
      <c r="C2485" s="12">
        <f>IFERROR(__xludf.DUMMYFUNCTION("""COMPUTED_VALUE"""),295.0)</f>
        <v>295</v>
      </c>
      <c r="D2485" s="12">
        <f>IFERROR(__xludf.DUMMYFUNCTION("""COMPUTED_VALUE"""),1.0)</f>
        <v>1</v>
      </c>
      <c r="E2485" s="12">
        <f>IFERROR(__xludf.DUMMYFUNCTION("""COMPUTED_VALUE"""),5.0)</f>
        <v>5</v>
      </c>
      <c r="F2485" s="12">
        <f>IFERROR(__xludf.DUMMYFUNCTION("""COMPUTED_VALUE"""),3.0)</f>
        <v>3</v>
      </c>
      <c r="G2485" s="15" t="str">
        <f>IFERROR(__xludf.DUMMYFUNCTION("""COMPUTED_VALUE"""),"Completa")</f>
        <v>Completa</v>
      </c>
      <c r="H2485" s="16" t="str">
        <f t="array" ref="H2485">_xlfn.XLOOKUP(D2485,Productos[ID_Producto],Productos[Nombre_Producto])</f>
        <v>Leche</v>
      </c>
      <c r="I2485" s="17">
        <f t="array" ref="I2485">_xlfn.XLOOKUP(D2485,Productos[ID_Producto],Productos[Precio_Unitario])</f>
        <v>12.24</v>
      </c>
      <c r="J2485" s="17">
        <f t="shared" si="1"/>
        <v>61.2</v>
      </c>
      <c r="K2485" s="16" t="str">
        <f t="array" ref="K2485">_xlfn.XLOOKUP(C2485,Clientes[ID_Cliente],Clientes[Provincia])</f>
        <v>San Luis</v>
      </c>
      <c r="L2485" s="16" t="str">
        <f t="array" ref="L2485">CONCATENATE(_xlfn.XLOOKUP(C2485,Clientes[ID_Cliente],Clientes[Provincia]),", Argentina")</f>
        <v>San Luis, Argentina</v>
      </c>
      <c r="M2485" s="20" t="str">
        <f t="array" ref="M2485">_xlfn.XLOOKUP(F2485,Metodos_De_Pago[ID_Metodo],Metodos_De_Pago[Metodo])</f>
        <v>Tarjeta de Débito</v>
      </c>
      <c r="N2485" s="20" t="str">
        <f t="shared" si="2"/>
        <v>2024 12</v>
      </c>
    </row>
    <row r="2486" ht="22.5" customHeight="1">
      <c r="A2486" s="12">
        <f>IFERROR(__xludf.DUMMYFUNCTION("""COMPUTED_VALUE"""),1451.0)</f>
        <v>1451</v>
      </c>
      <c r="B2486" s="13">
        <f>IFERROR(__xludf.DUMMYFUNCTION("""COMPUTED_VALUE"""),45646.0)</f>
        <v>45646</v>
      </c>
      <c r="C2486" s="12">
        <f>IFERROR(__xludf.DUMMYFUNCTION("""COMPUTED_VALUE"""),131.0)</f>
        <v>131</v>
      </c>
      <c r="D2486" s="12">
        <f>IFERROR(__xludf.DUMMYFUNCTION("""COMPUTED_VALUE"""),27.0)</f>
        <v>27</v>
      </c>
      <c r="E2486" s="12">
        <f>IFERROR(__xludf.DUMMYFUNCTION("""COMPUTED_VALUE"""),5.0)</f>
        <v>5</v>
      </c>
      <c r="F2486" s="12">
        <f>IFERROR(__xludf.DUMMYFUNCTION("""COMPUTED_VALUE"""),5.0)</f>
        <v>5</v>
      </c>
      <c r="G2486" s="15" t="str">
        <f>IFERROR(__xludf.DUMMYFUNCTION("""COMPUTED_VALUE"""),"Completa")</f>
        <v>Completa</v>
      </c>
      <c r="H2486" s="16" t="str">
        <f t="array" ref="H2486">_xlfn.XLOOKUP(D2486,Productos[ID_Producto],Productos[Nombre_Producto])</f>
        <v>Agua mineral</v>
      </c>
      <c r="I2486" s="17">
        <f t="array" ref="I2486">_xlfn.XLOOKUP(D2486,Productos[ID_Producto],Productos[Precio_Unitario])</f>
        <v>6.21</v>
      </c>
      <c r="J2486" s="17">
        <f t="shared" si="1"/>
        <v>31.05</v>
      </c>
      <c r="K2486" s="16" t="str">
        <f t="array" ref="K2486">_xlfn.XLOOKUP(C2486,Clientes[ID_Cliente],Clientes[Provincia])</f>
        <v>Buenos Aires</v>
      </c>
      <c r="L2486" s="16" t="str">
        <f t="array" ref="L2486">CONCATENATE(_xlfn.XLOOKUP(C2486,Clientes[ID_Cliente],Clientes[Provincia]),", Argentina")</f>
        <v>Buenos Aires, Argentina</v>
      </c>
      <c r="M2486" s="20" t="str">
        <f t="array" ref="M2486">_xlfn.XLOOKUP(F2486,Metodos_De_Pago[ID_Metodo],Metodos_De_Pago[Metodo])</f>
        <v>Transferencia</v>
      </c>
      <c r="N2486" s="20" t="str">
        <f t="shared" si="2"/>
        <v>2024 12</v>
      </c>
    </row>
    <row r="2487" ht="22.5" customHeight="1">
      <c r="A2487" s="12">
        <f>IFERROR(__xludf.DUMMYFUNCTION("""COMPUTED_VALUE"""),2096.0)</f>
        <v>2096</v>
      </c>
      <c r="B2487" s="13">
        <f>IFERROR(__xludf.DUMMYFUNCTION("""COMPUTED_VALUE"""),45646.0)</f>
        <v>45646</v>
      </c>
      <c r="C2487" s="12">
        <f>IFERROR(__xludf.DUMMYFUNCTION("""COMPUTED_VALUE"""),308.0)</f>
        <v>308</v>
      </c>
      <c r="D2487" s="12">
        <f>IFERROR(__xludf.DUMMYFUNCTION("""COMPUTED_VALUE"""),25.0)</f>
        <v>25</v>
      </c>
      <c r="E2487" s="12">
        <f>IFERROR(__xludf.DUMMYFUNCTION("""COMPUTED_VALUE"""),5.0)</f>
        <v>5</v>
      </c>
      <c r="F2487" s="12">
        <f>IFERROR(__xludf.DUMMYFUNCTION("""COMPUTED_VALUE"""),2.0)</f>
        <v>2</v>
      </c>
      <c r="G2487" s="15" t="str">
        <f>IFERROR(__xludf.DUMMYFUNCTION("""COMPUTED_VALUE"""),"Completa")</f>
        <v>Completa</v>
      </c>
      <c r="H2487" s="16" t="str">
        <f t="array" ref="H2487">_xlfn.XLOOKUP(D2487,Productos[ID_Producto],Productos[Nombre_Producto])</f>
        <v>Pizza congelada</v>
      </c>
      <c r="I2487" s="17">
        <f t="array" ref="I2487">_xlfn.XLOOKUP(D2487,Productos[ID_Producto],Productos[Precio_Unitario])</f>
        <v>15.45</v>
      </c>
      <c r="J2487" s="17">
        <f t="shared" si="1"/>
        <v>77.25</v>
      </c>
      <c r="K2487" s="16" t="str">
        <f t="array" ref="K2487">_xlfn.XLOOKUP(C2487,Clientes[ID_Cliente],Clientes[Provincia])</f>
        <v>Córdoba</v>
      </c>
      <c r="L2487" s="16" t="str">
        <f t="array" ref="L2487">CONCATENATE(_xlfn.XLOOKUP(C2487,Clientes[ID_Cliente],Clientes[Provincia]),", Argentina")</f>
        <v>Córdoba, Argentina</v>
      </c>
      <c r="M2487" s="20" t="str">
        <f t="array" ref="M2487">_xlfn.XLOOKUP(F2487,Metodos_De_Pago[ID_Metodo],Metodos_De_Pago[Metodo])</f>
        <v>Tarjeta de Crédito</v>
      </c>
      <c r="N2487" s="20" t="str">
        <f t="shared" si="2"/>
        <v>2024 12</v>
      </c>
    </row>
    <row r="2488" ht="22.5" customHeight="1">
      <c r="A2488" s="12">
        <f>IFERROR(__xludf.DUMMYFUNCTION("""COMPUTED_VALUE"""),2283.0)</f>
        <v>2283</v>
      </c>
      <c r="B2488" s="13">
        <f>IFERROR(__xludf.DUMMYFUNCTION("""COMPUTED_VALUE"""),45646.0)</f>
        <v>45646</v>
      </c>
      <c r="C2488" s="12">
        <f>IFERROR(__xludf.DUMMYFUNCTION("""COMPUTED_VALUE"""),113.0)</f>
        <v>113</v>
      </c>
      <c r="D2488" s="12">
        <f>IFERROR(__xludf.DUMMYFUNCTION("""COMPUTED_VALUE"""),6.0)</f>
        <v>6</v>
      </c>
      <c r="E2488" s="12">
        <f>IFERROR(__xludf.DUMMYFUNCTION("""COMPUTED_VALUE"""),5.0)</f>
        <v>5</v>
      </c>
      <c r="F2488" s="12">
        <f>IFERROR(__xludf.DUMMYFUNCTION("""COMPUTED_VALUE"""),2.0)</f>
        <v>2</v>
      </c>
      <c r="G2488" s="15" t="str">
        <f>IFERROR(__xludf.DUMMYFUNCTION("""COMPUTED_VALUE"""),"Completa")</f>
        <v>Completa</v>
      </c>
      <c r="H2488" s="16" t="str">
        <f t="array" ref="H2488">_xlfn.XLOOKUP(D2488,Productos[ID_Producto],Productos[Nombre_Producto])</f>
        <v>Asado</v>
      </c>
      <c r="I2488" s="17">
        <f t="array" ref="I2488">_xlfn.XLOOKUP(D2488,Productos[ID_Producto],Productos[Precio_Unitario])</f>
        <v>28.56</v>
      </c>
      <c r="J2488" s="17">
        <f t="shared" si="1"/>
        <v>142.8</v>
      </c>
      <c r="K2488" s="16" t="str">
        <f t="array" ref="K2488">_xlfn.XLOOKUP(C2488,Clientes[ID_Cliente],Clientes[Provincia])</f>
        <v>Buenos Aires</v>
      </c>
      <c r="L2488" s="16" t="str">
        <f t="array" ref="L2488">CONCATENATE(_xlfn.XLOOKUP(C2488,Clientes[ID_Cliente],Clientes[Provincia]),", Argentina")</f>
        <v>Buenos Aires, Argentina</v>
      </c>
      <c r="M2488" s="20" t="str">
        <f t="array" ref="M2488">_xlfn.XLOOKUP(F2488,Metodos_De_Pago[ID_Metodo],Metodos_De_Pago[Metodo])</f>
        <v>Tarjeta de Crédito</v>
      </c>
      <c r="N2488" s="20" t="str">
        <f t="shared" si="2"/>
        <v>2024 12</v>
      </c>
    </row>
    <row r="2489" ht="22.5" customHeight="1">
      <c r="A2489" s="12">
        <f>IFERROR(__xludf.DUMMYFUNCTION("""COMPUTED_VALUE"""),748.0)</f>
        <v>748</v>
      </c>
      <c r="B2489" s="13">
        <f>IFERROR(__xludf.DUMMYFUNCTION("""COMPUTED_VALUE"""),45647.0)</f>
        <v>45647</v>
      </c>
      <c r="C2489" s="12">
        <f>IFERROR(__xludf.DUMMYFUNCTION("""COMPUTED_VALUE"""),326.0)</f>
        <v>326</v>
      </c>
      <c r="D2489" s="12">
        <f>IFERROR(__xludf.DUMMYFUNCTION("""COMPUTED_VALUE"""),10.0)</f>
        <v>10</v>
      </c>
      <c r="E2489" s="12">
        <f>IFERROR(__xludf.DUMMYFUNCTION("""COMPUTED_VALUE"""),5.0)</f>
        <v>5</v>
      </c>
      <c r="F2489" s="12">
        <f>IFERROR(__xludf.DUMMYFUNCTION("""COMPUTED_VALUE"""),3.0)</f>
        <v>3</v>
      </c>
      <c r="G2489" s="15" t="str">
        <f>IFERROR(__xludf.DUMMYFUNCTION("""COMPUTED_VALUE"""),"Completa")</f>
        <v>Completa</v>
      </c>
      <c r="H2489" s="16" t="str">
        <f t="array" ref="H2489">_xlfn.XLOOKUP(D2489,Productos[ID_Producto],Productos[Nombre_Producto])</f>
        <v>Costilla de cerdo</v>
      </c>
      <c r="I2489" s="17">
        <f t="array" ref="I2489">_xlfn.XLOOKUP(D2489,Productos[ID_Producto],Productos[Precio_Unitario])</f>
        <v>14.25</v>
      </c>
      <c r="J2489" s="17">
        <f t="shared" si="1"/>
        <v>71.25</v>
      </c>
      <c r="K2489" s="16" t="str">
        <f t="array" ref="K2489">_xlfn.XLOOKUP(C2489,Clientes[ID_Cliente],Clientes[Provincia])</f>
        <v>San Luis</v>
      </c>
      <c r="L2489" s="16" t="str">
        <f t="array" ref="L2489">CONCATENATE(_xlfn.XLOOKUP(C2489,Clientes[ID_Cliente],Clientes[Provincia]),", Argentina")</f>
        <v>San Luis, Argentina</v>
      </c>
      <c r="M2489" s="20" t="str">
        <f t="array" ref="M2489">_xlfn.XLOOKUP(F2489,Metodos_De_Pago[ID_Metodo],Metodos_De_Pago[Metodo])</f>
        <v>Tarjeta de Débito</v>
      </c>
      <c r="N2489" s="20" t="str">
        <f t="shared" si="2"/>
        <v>2024 12</v>
      </c>
    </row>
    <row r="2490" ht="22.5" customHeight="1">
      <c r="A2490" s="12">
        <f>IFERROR(__xludf.DUMMYFUNCTION("""COMPUTED_VALUE"""),1861.0)</f>
        <v>1861</v>
      </c>
      <c r="B2490" s="13">
        <f>IFERROR(__xludf.DUMMYFUNCTION("""COMPUTED_VALUE"""),45647.0)</f>
        <v>45647</v>
      </c>
      <c r="C2490" s="12">
        <f>IFERROR(__xludf.DUMMYFUNCTION("""COMPUTED_VALUE"""),117.0)</f>
        <v>117</v>
      </c>
      <c r="D2490" s="12">
        <f>IFERROR(__xludf.DUMMYFUNCTION("""COMPUTED_VALUE"""),29.0)</f>
        <v>29</v>
      </c>
      <c r="E2490" s="12">
        <f>IFERROR(__xludf.DUMMYFUNCTION("""COMPUTED_VALUE"""),5.0)</f>
        <v>5</v>
      </c>
      <c r="F2490" s="12">
        <f>IFERROR(__xludf.DUMMYFUNCTION("""COMPUTED_VALUE"""),5.0)</f>
        <v>5</v>
      </c>
      <c r="G2490" s="15" t="str">
        <f>IFERROR(__xludf.DUMMYFUNCTION("""COMPUTED_VALUE"""),"Completa")</f>
        <v>Completa</v>
      </c>
      <c r="H2490" s="16" t="str">
        <f t="array" ref="H2490">_xlfn.XLOOKUP(D2490,Productos[ID_Producto],Productos[Nombre_Producto])</f>
        <v>Cerveza</v>
      </c>
      <c r="I2490" s="17">
        <f t="array" ref="I2490">_xlfn.XLOOKUP(D2490,Productos[ID_Producto],Productos[Precio_Unitario])</f>
        <v>11.54</v>
      </c>
      <c r="J2490" s="17">
        <f t="shared" si="1"/>
        <v>57.7</v>
      </c>
      <c r="K2490" s="16" t="str">
        <f t="array" ref="K2490">_xlfn.XLOOKUP(C2490,Clientes[ID_Cliente],Clientes[Provincia])</f>
        <v>Salta</v>
      </c>
      <c r="L2490" s="16" t="str">
        <f t="array" ref="L2490">CONCATENATE(_xlfn.XLOOKUP(C2490,Clientes[ID_Cliente],Clientes[Provincia]),", Argentina")</f>
        <v>Salta, Argentina</v>
      </c>
      <c r="M2490" s="20" t="str">
        <f t="array" ref="M2490">_xlfn.XLOOKUP(F2490,Metodos_De_Pago[ID_Metodo],Metodos_De_Pago[Metodo])</f>
        <v>Transferencia</v>
      </c>
      <c r="N2490" s="20" t="str">
        <f t="shared" si="2"/>
        <v>2024 12</v>
      </c>
    </row>
    <row r="2491" ht="22.5" customHeight="1">
      <c r="A2491" s="12">
        <f>IFERROR(__xludf.DUMMYFUNCTION("""COMPUTED_VALUE"""),2734.0)</f>
        <v>2734</v>
      </c>
      <c r="B2491" s="13">
        <f>IFERROR(__xludf.DUMMYFUNCTION("""COMPUTED_VALUE"""),45647.0)</f>
        <v>45647</v>
      </c>
      <c r="C2491" s="12">
        <f>IFERROR(__xludf.DUMMYFUNCTION("""COMPUTED_VALUE"""),116.0)</f>
        <v>116</v>
      </c>
      <c r="D2491" s="12">
        <f>IFERROR(__xludf.DUMMYFUNCTION("""COMPUTED_VALUE"""),22.0)</f>
        <v>22</v>
      </c>
      <c r="E2491" s="12">
        <f>IFERROR(__xludf.DUMMYFUNCTION("""COMPUTED_VALUE"""),5.0)</f>
        <v>5</v>
      </c>
      <c r="F2491" s="12">
        <f>IFERROR(__xludf.DUMMYFUNCTION("""COMPUTED_VALUE"""),4.0)</f>
        <v>4</v>
      </c>
      <c r="G2491" s="15" t="str">
        <f>IFERROR(__xludf.DUMMYFUNCTION("""COMPUTED_VALUE"""),"Completa")</f>
        <v>Completa</v>
      </c>
      <c r="H2491" s="16" t="str">
        <f t="array" ref="H2491">_xlfn.XLOOKUP(D2491,Productos[ID_Producto],Productos[Nombre_Producto])</f>
        <v>Cebolla</v>
      </c>
      <c r="I2491" s="17">
        <f t="array" ref="I2491">_xlfn.XLOOKUP(D2491,Productos[ID_Producto],Productos[Precio_Unitario])</f>
        <v>4.21</v>
      </c>
      <c r="J2491" s="17">
        <f t="shared" si="1"/>
        <v>21.05</v>
      </c>
      <c r="K2491" s="16" t="str">
        <f t="array" ref="K2491">_xlfn.XLOOKUP(C2491,Clientes[ID_Cliente],Clientes[Provincia])</f>
        <v>Buenos Aires</v>
      </c>
      <c r="L2491" s="16" t="str">
        <f t="array" ref="L2491">CONCATENATE(_xlfn.XLOOKUP(C2491,Clientes[ID_Cliente],Clientes[Provincia]),", Argentina")</f>
        <v>Buenos Aires, Argentina</v>
      </c>
      <c r="M2491" s="20" t="str">
        <f t="array" ref="M2491">_xlfn.XLOOKUP(F2491,Metodos_De_Pago[ID_Metodo],Metodos_De_Pago[Metodo])</f>
        <v>Mercado Pago</v>
      </c>
      <c r="N2491" s="20" t="str">
        <f t="shared" si="2"/>
        <v>2024 12</v>
      </c>
    </row>
    <row r="2492" ht="22.5" customHeight="1">
      <c r="A2492" s="12">
        <f>IFERROR(__xludf.DUMMYFUNCTION("""COMPUTED_VALUE"""),1160.0)</f>
        <v>1160</v>
      </c>
      <c r="B2492" s="13">
        <f>IFERROR(__xludf.DUMMYFUNCTION("""COMPUTED_VALUE"""),45648.0)</f>
        <v>45648</v>
      </c>
      <c r="C2492" s="12">
        <f>IFERROR(__xludf.DUMMYFUNCTION("""COMPUTED_VALUE"""),108.0)</f>
        <v>108</v>
      </c>
      <c r="D2492" s="12">
        <f>IFERROR(__xludf.DUMMYFUNCTION("""COMPUTED_VALUE"""),2.0)</f>
        <v>2</v>
      </c>
      <c r="E2492" s="12">
        <f>IFERROR(__xludf.DUMMYFUNCTION("""COMPUTED_VALUE"""),5.0)</f>
        <v>5</v>
      </c>
      <c r="F2492" s="12">
        <f>IFERROR(__xludf.DUMMYFUNCTION("""COMPUTED_VALUE"""),3.0)</f>
        <v>3</v>
      </c>
      <c r="G2492" s="15" t="str">
        <f>IFERROR(__xludf.DUMMYFUNCTION("""COMPUTED_VALUE"""),"Completa")</f>
        <v>Completa</v>
      </c>
      <c r="H2492" s="16" t="str">
        <f t="array" ref="H2492">_xlfn.XLOOKUP(D2492,Productos[ID_Producto],Productos[Nombre_Producto])</f>
        <v>Yogur</v>
      </c>
      <c r="I2492" s="17">
        <f t="array" ref="I2492">_xlfn.XLOOKUP(D2492,Productos[ID_Producto],Productos[Precio_Unitario])</f>
        <v>5.21</v>
      </c>
      <c r="J2492" s="17">
        <f t="shared" si="1"/>
        <v>26.05</v>
      </c>
      <c r="K2492" s="16" t="str">
        <f t="array" ref="K2492">_xlfn.XLOOKUP(C2492,Clientes[ID_Cliente],Clientes[Provincia])</f>
        <v>Neuquén</v>
      </c>
      <c r="L2492" s="16" t="str">
        <f t="array" ref="L2492">CONCATENATE(_xlfn.XLOOKUP(C2492,Clientes[ID_Cliente],Clientes[Provincia]),", Argentina")</f>
        <v>Neuquén, Argentina</v>
      </c>
      <c r="M2492" s="20" t="str">
        <f t="array" ref="M2492">_xlfn.XLOOKUP(F2492,Metodos_De_Pago[ID_Metodo],Metodos_De_Pago[Metodo])</f>
        <v>Tarjeta de Débito</v>
      </c>
      <c r="N2492" s="20" t="str">
        <f t="shared" si="2"/>
        <v>2024 12</v>
      </c>
    </row>
    <row r="2493" ht="22.5" customHeight="1">
      <c r="A2493" s="12">
        <f>IFERROR(__xludf.DUMMYFUNCTION("""COMPUTED_VALUE"""),992.0)</f>
        <v>992</v>
      </c>
      <c r="B2493" s="13">
        <f>IFERROR(__xludf.DUMMYFUNCTION("""COMPUTED_VALUE"""),45649.0)</f>
        <v>45649</v>
      </c>
      <c r="C2493" s="12">
        <f>IFERROR(__xludf.DUMMYFUNCTION("""COMPUTED_VALUE"""),283.0)</f>
        <v>283</v>
      </c>
      <c r="D2493" s="12">
        <f>IFERROR(__xludf.DUMMYFUNCTION("""COMPUTED_VALUE"""),35.0)</f>
        <v>35</v>
      </c>
      <c r="E2493" s="12">
        <f>IFERROR(__xludf.DUMMYFUNCTION("""COMPUTED_VALUE"""),5.0)</f>
        <v>5</v>
      </c>
      <c r="F2493" s="12">
        <f>IFERROR(__xludf.DUMMYFUNCTION("""COMPUTED_VALUE"""),3.0)</f>
        <v>3</v>
      </c>
      <c r="G2493" s="15" t="str">
        <f>IFERROR(__xludf.DUMMYFUNCTION("""COMPUTED_VALUE"""),"Completa")</f>
        <v>Completa</v>
      </c>
      <c r="H2493" s="16" t="str">
        <f t="array" ref="H2493">_xlfn.XLOOKUP(D2493,Productos[ID_Producto],Productos[Nombre_Producto])</f>
        <v>Arroz</v>
      </c>
      <c r="I2493" s="17">
        <f t="array" ref="I2493">_xlfn.XLOOKUP(D2493,Productos[ID_Producto],Productos[Precio_Unitario])</f>
        <v>4.25</v>
      </c>
      <c r="J2493" s="17">
        <f t="shared" si="1"/>
        <v>21.25</v>
      </c>
      <c r="K2493" s="16" t="str">
        <f t="array" ref="K2493">_xlfn.XLOOKUP(C2493,Clientes[ID_Cliente],Clientes[Provincia])</f>
        <v>Buenos Aires</v>
      </c>
      <c r="L2493" s="16" t="str">
        <f t="array" ref="L2493">CONCATENATE(_xlfn.XLOOKUP(C2493,Clientes[ID_Cliente],Clientes[Provincia]),", Argentina")</f>
        <v>Buenos Aires, Argentina</v>
      </c>
      <c r="M2493" s="20" t="str">
        <f t="array" ref="M2493">_xlfn.XLOOKUP(F2493,Metodos_De_Pago[ID_Metodo],Metodos_De_Pago[Metodo])</f>
        <v>Tarjeta de Débito</v>
      </c>
      <c r="N2493" s="20" t="str">
        <f t="shared" si="2"/>
        <v>2024 12</v>
      </c>
    </row>
    <row r="2494" ht="22.5" customHeight="1">
      <c r="A2494" s="12">
        <f>IFERROR(__xludf.DUMMYFUNCTION("""COMPUTED_VALUE"""),1264.0)</f>
        <v>1264</v>
      </c>
      <c r="B2494" s="13">
        <f>IFERROR(__xludf.DUMMYFUNCTION("""COMPUTED_VALUE"""),45649.0)</f>
        <v>45649</v>
      </c>
      <c r="C2494" s="12">
        <f>IFERROR(__xludf.DUMMYFUNCTION("""COMPUTED_VALUE"""),188.0)</f>
        <v>188</v>
      </c>
      <c r="D2494" s="12">
        <f>IFERROR(__xludf.DUMMYFUNCTION("""COMPUTED_VALUE"""),16.0)</f>
        <v>16</v>
      </c>
      <c r="E2494" s="12">
        <f>IFERROR(__xludf.DUMMYFUNCTION("""COMPUTED_VALUE"""),5.0)</f>
        <v>5</v>
      </c>
      <c r="F2494" s="12">
        <f>IFERROR(__xludf.DUMMYFUNCTION("""COMPUTED_VALUE"""),1.0)</f>
        <v>1</v>
      </c>
      <c r="G2494" s="15" t="str">
        <f>IFERROR(__xludf.DUMMYFUNCTION("""COMPUTED_VALUE"""),"Pendiente")</f>
        <v>Pendiente</v>
      </c>
      <c r="H2494" s="16" t="str">
        <f t="array" ref="H2494">_xlfn.XLOOKUP(D2494,Productos[ID_Producto],Productos[Nombre_Producto])</f>
        <v>Tortas</v>
      </c>
      <c r="I2494" s="17">
        <f t="array" ref="I2494">_xlfn.XLOOKUP(D2494,Productos[ID_Producto],Productos[Precio_Unitario])</f>
        <v>15.23</v>
      </c>
      <c r="J2494" s="17">
        <f t="shared" si="1"/>
        <v>76.15</v>
      </c>
      <c r="K2494" s="16" t="str">
        <f t="array" ref="K2494">_xlfn.XLOOKUP(C2494,Clientes[ID_Cliente],Clientes[Provincia])</f>
        <v>San Luis</v>
      </c>
      <c r="L2494" s="16" t="str">
        <f t="array" ref="L2494">CONCATENATE(_xlfn.XLOOKUP(C2494,Clientes[ID_Cliente],Clientes[Provincia]),", Argentina")</f>
        <v>San Luis, Argentina</v>
      </c>
      <c r="M2494" s="20" t="str">
        <f t="array" ref="M2494">_xlfn.XLOOKUP(F2494,Metodos_De_Pago[ID_Metodo],Metodos_De_Pago[Metodo])</f>
        <v>Efectivo</v>
      </c>
      <c r="N2494" s="20" t="str">
        <f t="shared" si="2"/>
        <v>2024 12</v>
      </c>
    </row>
    <row r="2495" ht="22.5" customHeight="1">
      <c r="A2495" s="12">
        <f>IFERROR(__xludf.DUMMYFUNCTION("""COMPUTED_VALUE"""),1492.0)</f>
        <v>1492</v>
      </c>
      <c r="B2495" s="13">
        <f>IFERROR(__xludf.DUMMYFUNCTION("""COMPUTED_VALUE"""),45650.0)</f>
        <v>45650</v>
      </c>
      <c r="C2495" s="12">
        <f>IFERROR(__xludf.DUMMYFUNCTION("""COMPUTED_VALUE"""),316.0)</f>
        <v>316</v>
      </c>
      <c r="D2495" s="12">
        <f>IFERROR(__xludf.DUMMYFUNCTION("""COMPUTED_VALUE"""),11.0)</f>
        <v>11</v>
      </c>
      <c r="E2495" s="12">
        <f>IFERROR(__xludf.DUMMYFUNCTION("""COMPUTED_VALUE"""),5.0)</f>
        <v>5</v>
      </c>
      <c r="F2495" s="12">
        <f>IFERROR(__xludf.DUMMYFUNCTION("""COMPUTED_VALUE"""),5.0)</f>
        <v>5</v>
      </c>
      <c r="G2495" s="15" t="str">
        <f>IFERROR(__xludf.DUMMYFUNCTION("""COMPUTED_VALUE"""),"Completa")</f>
        <v>Completa</v>
      </c>
      <c r="H2495" s="16" t="str">
        <f t="array" ref="H2495">_xlfn.XLOOKUP(D2495,Productos[ID_Producto],Productos[Nombre_Producto])</f>
        <v>Salchicha</v>
      </c>
      <c r="I2495" s="17">
        <f t="array" ref="I2495">_xlfn.XLOOKUP(D2495,Productos[ID_Producto],Productos[Precio_Unitario])</f>
        <v>11.23</v>
      </c>
      <c r="J2495" s="17">
        <f t="shared" si="1"/>
        <v>56.15</v>
      </c>
      <c r="K2495" s="16" t="str">
        <f t="array" ref="K2495">_xlfn.XLOOKUP(C2495,Clientes[ID_Cliente],Clientes[Provincia])</f>
        <v>Córdoba</v>
      </c>
      <c r="L2495" s="16" t="str">
        <f t="array" ref="L2495">CONCATENATE(_xlfn.XLOOKUP(C2495,Clientes[ID_Cliente],Clientes[Provincia]),", Argentina")</f>
        <v>Córdoba, Argentina</v>
      </c>
      <c r="M2495" s="20" t="str">
        <f t="array" ref="M2495">_xlfn.XLOOKUP(F2495,Metodos_De_Pago[ID_Metodo],Metodos_De_Pago[Metodo])</f>
        <v>Transferencia</v>
      </c>
      <c r="N2495" s="20" t="str">
        <f t="shared" si="2"/>
        <v>2024 12</v>
      </c>
    </row>
    <row r="2496" ht="22.5" customHeight="1">
      <c r="A2496" s="12">
        <f>IFERROR(__xludf.DUMMYFUNCTION("""COMPUTED_VALUE"""),2003.0)</f>
        <v>2003</v>
      </c>
      <c r="B2496" s="13">
        <f>IFERROR(__xludf.DUMMYFUNCTION("""COMPUTED_VALUE"""),45650.0)</f>
        <v>45650</v>
      </c>
      <c r="C2496" s="12">
        <f>IFERROR(__xludf.DUMMYFUNCTION("""COMPUTED_VALUE"""),161.0)</f>
        <v>161</v>
      </c>
      <c r="D2496" s="12">
        <f>IFERROR(__xludf.DUMMYFUNCTION("""COMPUTED_VALUE"""),3.0)</f>
        <v>3</v>
      </c>
      <c r="E2496" s="12">
        <f>IFERROR(__xludf.DUMMYFUNCTION("""COMPUTED_VALUE"""),5.0)</f>
        <v>5</v>
      </c>
      <c r="F2496" s="12">
        <f>IFERROR(__xludf.DUMMYFUNCTION("""COMPUTED_VALUE"""),1.0)</f>
        <v>1</v>
      </c>
      <c r="G2496" s="15" t="str">
        <f>IFERROR(__xludf.DUMMYFUNCTION("""COMPUTED_VALUE"""),"Completa")</f>
        <v>Completa</v>
      </c>
      <c r="H2496" s="16" t="str">
        <f t="array" ref="H2496">_xlfn.XLOOKUP(D2496,Productos[ID_Producto],Productos[Nombre_Producto])</f>
        <v>Queso cremoso</v>
      </c>
      <c r="I2496" s="17">
        <f t="array" ref="I2496">_xlfn.XLOOKUP(D2496,Productos[ID_Producto],Productos[Precio_Unitario])</f>
        <v>17.23</v>
      </c>
      <c r="J2496" s="17">
        <f t="shared" si="1"/>
        <v>86.15</v>
      </c>
      <c r="K2496" s="16" t="str">
        <f t="array" ref="K2496">_xlfn.XLOOKUP(C2496,Clientes[ID_Cliente],Clientes[Provincia])</f>
        <v>Neuquén</v>
      </c>
      <c r="L2496" s="16" t="str">
        <f t="array" ref="L2496">CONCATENATE(_xlfn.XLOOKUP(C2496,Clientes[ID_Cliente],Clientes[Provincia]),", Argentina")</f>
        <v>Neuquén, Argentina</v>
      </c>
      <c r="M2496" s="20" t="str">
        <f t="array" ref="M2496">_xlfn.XLOOKUP(F2496,Metodos_De_Pago[ID_Metodo],Metodos_De_Pago[Metodo])</f>
        <v>Efectivo</v>
      </c>
      <c r="N2496" s="20" t="str">
        <f t="shared" si="2"/>
        <v>2024 12</v>
      </c>
    </row>
    <row r="2497" ht="22.5" customHeight="1">
      <c r="A2497" s="12">
        <f>IFERROR(__xludf.DUMMYFUNCTION("""COMPUTED_VALUE"""),2160.0)</f>
        <v>2160</v>
      </c>
      <c r="B2497" s="13">
        <f>IFERROR(__xludf.DUMMYFUNCTION("""COMPUTED_VALUE"""),45650.0)</f>
        <v>45650</v>
      </c>
      <c r="C2497" s="12">
        <f>IFERROR(__xludf.DUMMYFUNCTION("""COMPUTED_VALUE"""),321.0)</f>
        <v>321</v>
      </c>
      <c r="D2497" s="12">
        <f>IFERROR(__xludf.DUMMYFUNCTION("""COMPUTED_VALUE"""),13.0)</f>
        <v>13</v>
      </c>
      <c r="E2497" s="12">
        <f>IFERROR(__xludf.DUMMYFUNCTION("""COMPUTED_VALUE"""),5.0)</f>
        <v>5</v>
      </c>
      <c r="F2497" s="12">
        <f>IFERROR(__xludf.DUMMYFUNCTION("""COMPUTED_VALUE"""),4.0)</f>
        <v>4</v>
      </c>
      <c r="G2497" s="15" t="str">
        <f>IFERROR(__xludf.DUMMYFUNCTION("""COMPUTED_VALUE"""),"Completa")</f>
        <v>Completa</v>
      </c>
      <c r="H2497" s="16" t="str">
        <f t="array" ref="H2497">_xlfn.XLOOKUP(D2497,Productos[ID_Producto],Productos[Nombre_Producto])</f>
        <v>Pan integral</v>
      </c>
      <c r="I2497" s="17">
        <f t="array" ref="I2497">_xlfn.XLOOKUP(D2497,Productos[ID_Producto],Productos[Precio_Unitario])</f>
        <v>12.56</v>
      </c>
      <c r="J2497" s="17">
        <f t="shared" si="1"/>
        <v>62.8</v>
      </c>
      <c r="K2497" s="16" t="str">
        <f t="array" ref="K2497">_xlfn.XLOOKUP(C2497,Clientes[ID_Cliente],Clientes[Provincia])</f>
        <v>San Luis</v>
      </c>
      <c r="L2497" s="16" t="str">
        <f t="array" ref="L2497">CONCATENATE(_xlfn.XLOOKUP(C2497,Clientes[ID_Cliente],Clientes[Provincia]),", Argentina")</f>
        <v>San Luis, Argentina</v>
      </c>
      <c r="M2497" s="20" t="str">
        <f t="array" ref="M2497">_xlfn.XLOOKUP(F2497,Metodos_De_Pago[ID_Metodo],Metodos_De_Pago[Metodo])</f>
        <v>Mercado Pago</v>
      </c>
      <c r="N2497" s="20" t="str">
        <f t="shared" si="2"/>
        <v>2024 12</v>
      </c>
    </row>
    <row r="2498" ht="22.5" customHeight="1">
      <c r="A2498" s="12">
        <f>IFERROR(__xludf.DUMMYFUNCTION("""COMPUTED_VALUE"""),2453.0)</f>
        <v>2453</v>
      </c>
      <c r="B2498" s="13">
        <f>IFERROR(__xludf.DUMMYFUNCTION("""COMPUTED_VALUE"""),45650.0)</f>
        <v>45650</v>
      </c>
      <c r="C2498" s="12">
        <f>IFERROR(__xludf.DUMMYFUNCTION("""COMPUTED_VALUE"""),217.0)</f>
        <v>217</v>
      </c>
      <c r="D2498" s="12">
        <f>IFERROR(__xludf.DUMMYFUNCTION("""COMPUTED_VALUE"""),26.0)</f>
        <v>26</v>
      </c>
      <c r="E2498" s="12">
        <f>IFERROR(__xludf.DUMMYFUNCTION("""COMPUTED_VALUE"""),5.0)</f>
        <v>5</v>
      </c>
      <c r="F2498" s="12">
        <f>IFERROR(__xludf.DUMMYFUNCTION("""COMPUTED_VALUE"""),1.0)</f>
        <v>1</v>
      </c>
      <c r="G2498" s="15" t="str">
        <f>IFERROR(__xludf.DUMMYFUNCTION("""COMPUTED_VALUE"""),"Completa")</f>
        <v>Completa</v>
      </c>
      <c r="H2498" s="16" t="str">
        <f t="array" ref="H2498">_xlfn.XLOOKUP(D2498,Productos[ID_Producto],Productos[Nombre_Producto])</f>
        <v>Hamburgesas congeladas</v>
      </c>
      <c r="I2498" s="17">
        <f t="array" ref="I2498">_xlfn.XLOOKUP(D2498,Productos[ID_Producto],Productos[Precio_Unitario])</f>
        <v>9.54</v>
      </c>
      <c r="J2498" s="17">
        <f t="shared" si="1"/>
        <v>47.7</v>
      </c>
      <c r="K2498" s="16" t="str">
        <f t="array" ref="K2498">_xlfn.XLOOKUP(C2498,Clientes[ID_Cliente],Clientes[Provincia])</f>
        <v>Córdoba</v>
      </c>
      <c r="L2498" s="16" t="str">
        <f t="array" ref="L2498">CONCATENATE(_xlfn.XLOOKUP(C2498,Clientes[ID_Cliente],Clientes[Provincia]),", Argentina")</f>
        <v>Córdoba, Argentina</v>
      </c>
      <c r="M2498" s="20" t="str">
        <f t="array" ref="M2498">_xlfn.XLOOKUP(F2498,Metodos_De_Pago[ID_Metodo],Metodos_De_Pago[Metodo])</f>
        <v>Efectivo</v>
      </c>
      <c r="N2498" s="20" t="str">
        <f t="shared" si="2"/>
        <v>2024 12</v>
      </c>
    </row>
    <row r="2499" ht="22.5" customHeight="1">
      <c r="A2499" s="12">
        <f>IFERROR(__xludf.DUMMYFUNCTION("""COMPUTED_VALUE"""),162.0)</f>
        <v>162</v>
      </c>
      <c r="B2499" s="13">
        <f>IFERROR(__xludf.DUMMYFUNCTION("""COMPUTED_VALUE"""),45651.0)</f>
        <v>45651</v>
      </c>
      <c r="C2499" s="12">
        <f>IFERROR(__xludf.DUMMYFUNCTION("""COMPUTED_VALUE"""),319.0)</f>
        <v>319</v>
      </c>
      <c r="D2499" s="12">
        <f>IFERROR(__xludf.DUMMYFUNCTION("""COMPUTED_VALUE"""),16.0)</f>
        <v>16</v>
      </c>
      <c r="E2499" s="12">
        <f>IFERROR(__xludf.DUMMYFUNCTION("""COMPUTED_VALUE"""),5.0)</f>
        <v>5</v>
      </c>
      <c r="F2499" s="12">
        <f>IFERROR(__xludf.DUMMYFUNCTION("""COMPUTED_VALUE"""),3.0)</f>
        <v>3</v>
      </c>
      <c r="G2499" s="15" t="str">
        <f>IFERROR(__xludf.DUMMYFUNCTION("""COMPUTED_VALUE"""),"Completa")</f>
        <v>Completa</v>
      </c>
      <c r="H2499" s="16" t="str">
        <f t="array" ref="H2499">_xlfn.XLOOKUP(D2499,Productos[ID_Producto],Productos[Nombre_Producto])</f>
        <v>Tortas</v>
      </c>
      <c r="I2499" s="17">
        <f t="array" ref="I2499">_xlfn.XLOOKUP(D2499,Productos[ID_Producto],Productos[Precio_Unitario])</f>
        <v>15.23</v>
      </c>
      <c r="J2499" s="17">
        <f t="shared" si="1"/>
        <v>76.15</v>
      </c>
      <c r="K2499" s="16" t="str">
        <f t="array" ref="K2499">_xlfn.XLOOKUP(C2499,Clientes[ID_Cliente],Clientes[Provincia])</f>
        <v>Neuquén</v>
      </c>
      <c r="L2499" s="16" t="str">
        <f t="array" ref="L2499">CONCATENATE(_xlfn.XLOOKUP(C2499,Clientes[ID_Cliente],Clientes[Provincia]),", Argentina")</f>
        <v>Neuquén, Argentina</v>
      </c>
      <c r="M2499" s="20" t="str">
        <f t="array" ref="M2499">_xlfn.XLOOKUP(F2499,Metodos_De_Pago[ID_Metodo],Metodos_De_Pago[Metodo])</f>
        <v>Tarjeta de Débito</v>
      </c>
      <c r="N2499" s="20" t="str">
        <f t="shared" si="2"/>
        <v>2024 12</v>
      </c>
    </row>
    <row r="2500" ht="22.5" customHeight="1">
      <c r="A2500" s="12">
        <f>IFERROR(__xludf.DUMMYFUNCTION("""COMPUTED_VALUE"""),870.0)</f>
        <v>870</v>
      </c>
      <c r="B2500" s="13">
        <f>IFERROR(__xludf.DUMMYFUNCTION("""COMPUTED_VALUE"""),45651.0)</f>
        <v>45651</v>
      </c>
      <c r="C2500" s="12">
        <f>IFERROR(__xludf.DUMMYFUNCTION("""COMPUTED_VALUE"""),113.0)</f>
        <v>113</v>
      </c>
      <c r="D2500" s="12">
        <f>IFERROR(__xludf.DUMMYFUNCTION("""COMPUTED_VALUE"""),12.0)</f>
        <v>12</v>
      </c>
      <c r="E2500" s="12">
        <f>IFERROR(__xludf.DUMMYFUNCTION("""COMPUTED_VALUE"""),5.0)</f>
        <v>5</v>
      </c>
      <c r="F2500" s="12">
        <f>IFERROR(__xludf.DUMMYFUNCTION("""COMPUTED_VALUE"""),3.0)</f>
        <v>3</v>
      </c>
      <c r="G2500" s="15" t="str">
        <f>IFERROR(__xludf.DUMMYFUNCTION("""COMPUTED_VALUE"""),"Completa")</f>
        <v>Completa</v>
      </c>
      <c r="H2500" s="16" t="str">
        <f t="array" ref="H2500">_xlfn.XLOOKUP(D2500,Productos[ID_Producto],Productos[Nombre_Producto])</f>
        <v>Pan francés</v>
      </c>
      <c r="I2500" s="17">
        <f t="array" ref="I2500">_xlfn.XLOOKUP(D2500,Productos[ID_Producto],Productos[Precio_Unitario])</f>
        <v>8.12</v>
      </c>
      <c r="J2500" s="17">
        <f t="shared" si="1"/>
        <v>40.6</v>
      </c>
      <c r="K2500" s="16" t="str">
        <f t="array" ref="K2500">_xlfn.XLOOKUP(C2500,Clientes[ID_Cliente],Clientes[Provincia])</f>
        <v>Buenos Aires</v>
      </c>
      <c r="L2500" s="16" t="str">
        <f t="array" ref="L2500">CONCATENATE(_xlfn.XLOOKUP(C2500,Clientes[ID_Cliente],Clientes[Provincia]),", Argentina")</f>
        <v>Buenos Aires, Argentina</v>
      </c>
      <c r="M2500" s="20" t="str">
        <f t="array" ref="M2500">_xlfn.XLOOKUP(F2500,Metodos_De_Pago[ID_Metodo],Metodos_De_Pago[Metodo])</f>
        <v>Tarjeta de Débito</v>
      </c>
      <c r="N2500" s="20" t="str">
        <f t="shared" si="2"/>
        <v>2024 12</v>
      </c>
    </row>
    <row r="2501" ht="22.5" customHeight="1">
      <c r="A2501" s="12">
        <f>IFERROR(__xludf.DUMMYFUNCTION("""COMPUTED_VALUE"""),1977.0)</f>
        <v>1977</v>
      </c>
      <c r="B2501" s="13">
        <f>IFERROR(__xludf.DUMMYFUNCTION("""COMPUTED_VALUE"""),45651.0)</f>
        <v>45651</v>
      </c>
      <c r="C2501" s="12">
        <f>IFERROR(__xludf.DUMMYFUNCTION("""COMPUTED_VALUE"""),36.0)</f>
        <v>36</v>
      </c>
      <c r="D2501" s="12">
        <f>IFERROR(__xludf.DUMMYFUNCTION("""COMPUTED_VALUE"""),38.0)</f>
        <v>38</v>
      </c>
      <c r="E2501" s="12">
        <f>IFERROR(__xludf.DUMMYFUNCTION("""COMPUTED_VALUE"""),5.0)</f>
        <v>5</v>
      </c>
      <c r="F2501" s="12">
        <f>IFERROR(__xludf.DUMMYFUNCTION("""COMPUTED_VALUE"""),5.0)</f>
        <v>5</v>
      </c>
      <c r="G2501" s="15" t="str">
        <f>IFERROR(__xludf.DUMMYFUNCTION("""COMPUTED_VALUE"""),"Completa")</f>
        <v>Completa</v>
      </c>
      <c r="H2501" s="16" t="str">
        <f t="array" ref="H2501">_xlfn.XLOOKUP(D2501,Productos[ID_Producto],Productos[Nombre_Producto])</f>
        <v>Atún enlatado</v>
      </c>
      <c r="I2501" s="17">
        <f t="array" ref="I2501">_xlfn.XLOOKUP(D2501,Productos[ID_Producto],Productos[Precio_Unitario])</f>
        <v>6.21</v>
      </c>
      <c r="J2501" s="17">
        <f t="shared" si="1"/>
        <v>31.05</v>
      </c>
      <c r="K2501" s="16" t="str">
        <f t="array" ref="K2501">_xlfn.XLOOKUP(C2501,Clientes[ID_Cliente],Clientes[Provincia])</f>
        <v>Buenos Aires</v>
      </c>
      <c r="L2501" s="16" t="str">
        <f t="array" ref="L2501">CONCATENATE(_xlfn.XLOOKUP(C2501,Clientes[ID_Cliente],Clientes[Provincia]),", Argentina")</f>
        <v>Buenos Aires, Argentina</v>
      </c>
      <c r="M2501" s="20" t="str">
        <f t="array" ref="M2501">_xlfn.XLOOKUP(F2501,Metodos_De_Pago[ID_Metodo],Metodos_De_Pago[Metodo])</f>
        <v>Transferencia</v>
      </c>
      <c r="N2501" s="20" t="str">
        <f t="shared" si="2"/>
        <v>2024 12</v>
      </c>
    </row>
    <row r="2502" ht="22.5" customHeight="1">
      <c r="A2502" s="12">
        <f>IFERROR(__xludf.DUMMYFUNCTION("""COMPUTED_VALUE"""),198.0)</f>
        <v>198</v>
      </c>
      <c r="B2502" s="13">
        <f>IFERROR(__xludf.DUMMYFUNCTION("""COMPUTED_VALUE"""),45654.0)</f>
        <v>45654</v>
      </c>
      <c r="C2502" s="12">
        <f>IFERROR(__xludf.DUMMYFUNCTION("""COMPUTED_VALUE"""),106.0)</f>
        <v>106</v>
      </c>
      <c r="D2502" s="12">
        <f>IFERROR(__xludf.DUMMYFUNCTION("""COMPUTED_VALUE"""),7.0)</f>
        <v>7</v>
      </c>
      <c r="E2502" s="12">
        <f>IFERROR(__xludf.DUMMYFUNCTION("""COMPUTED_VALUE"""),5.0)</f>
        <v>5</v>
      </c>
      <c r="F2502" s="12">
        <f>IFERROR(__xludf.DUMMYFUNCTION("""COMPUTED_VALUE"""),4.0)</f>
        <v>4</v>
      </c>
      <c r="G2502" s="15" t="str">
        <f>IFERROR(__xludf.DUMMYFUNCTION("""COMPUTED_VALUE"""),"Completa")</f>
        <v>Completa</v>
      </c>
      <c r="H2502" s="16" t="str">
        <f t="array" ref="H2502">_xlfn.XLOOKUP(D2502,Productos[ID_Producto],Productos[Nombre_Producto])</f>
        <v>Chorizo</v>
      </c>
      <c r="I2502" s="17">
        <f t="array" ref="I2502">_xlfn.XLOOKUP(D2502,Productos[ID_Producto],Productos[Precio_Unitario])</f>
        <v>11.25</v>
      </c>
      <c r="J2502" s="17">
        <f t="shared" si="1"/>
        <v>56.25</v>
      </c>
      <c r="K2502" s="16" t="str">
        <f t="array" ref="K2502">_xlfn.XLOOKUP(C2502,Clientes[ID_Cliente],Clientes[Provincia])</f>
        <v>Chaco</v>
      </c>
      <c r="L2502" s="16" t="str">
        <f t="array" ref="L2502">CONCATENATE(_xlfn.XLOOKUP(C2502,Clientes[ID_Cliente],Clientes[Provincia]),", Argentina")</f>
        <v>Chaco, Argentina</v>
      </c>
      <c r="M2502" s="20" t="str">
        <f t="array" ref="M2502">_xlfn.XLOOKUP(F2502,Metodos_De_Pago[ID_Metodo],Metodos_De_Pago[Metodo])</f>
        <v>Mercado Pago</v>
      </c>
      <c r="N2502" s="20" t="str">
        <f t="shared" si="2"/>
        <v>2024 12</v>
      </c>
    </row>
    <row r="2503" ht="22.5" customHeight="1">
      <c r="A2503" s="12">
        <f>IFERROR(__xludf.DUMMYFUNCTION("""COMPUTED_VALUE"""),1013.0)</f>
        <v>1013</v>
      </c>
      <c r="B2503" s="13">
        <f>IFERROR(__xludf.DUMMYFUNCTION("""COMPUTED_VALUE"""),45654.0)</f>
        <v>45654</v>
      </c>
      <c r="C2503" s="12">
        <f>IFERROR(__xludf.DUMMYFUNCTION("""COMPUTED_VALUE"""),72.0)</f>
        <v>72</v>
      </c>
      <c r="D2503" s="12">
        <f>IFERROR(__xludf.DUMMYFUNCTION("""COMPUTED_VALUE"""),9.0)</f>
        <v>9</v>
      </c>
      <c r="E2503" s="12">
        <f>IFERROR(__xludf.DUMMYFUNCTION("""COMPUTED_VALUE"""),5.0)</f>
        <v>5</v>
      </c>
      <c r="F2503" s="12">
        <f>IFERROR(__xludf.DUMMYFUNCTION("""COMPUTED_VALUE"""),4.0)</f>
        <v>4</v>
      </c>
      <c r="G2503" s="15" t="str">
        <f>IFERROR(__xludf.DUMMYFUNCTION("""COMPUTED_VALUE"""),"Completa")</f>
        <v>Completa</v>
      </c>
      <c r="H2503" s="16" t="str">
        <f t="array" ref="H2503">_xlfn.XLOOKUP(D2503,Productos[ID_Producto],Productos[Nombre_Producto])</f>
        <v>Pollo</v>
      </c>
      <c r="I2503" s="17">
        <f t="array" ref="I2503">_xlfn.XLOOKUP(D2503,Productos[ID_Producto],Productos[Precio_Unitario])</f>
        <v>18.56</v>
      </c>
      <c r="J2503" s="17">
        <f t="shared" si="1"/>
        <v>92.8</v>
      </c>
      <c r="K2503" s="16" t="str">
        <f t="array" ref="K2503">_xlfn.XLOOKUP(C2503,Clientes[ID_Cliente],Clientes[Provincia])</f>
        <v>Córdoba</v>
      </c>
      <c r="L2503" s="16" t="str">
        <f t="array" ref="L2503">CONCATENATE(_xlfn.XLOOKUP(C2503,Clientes[ID_Cliente],Clientes[Provincia]),", Argentina")</f>
        <v>Córdoba, Argentina</v>
      </c>
      <c r="M2503" s="20" t="str">
        <f t="array" ref="M2503">_xlfn.XLOOKUP(F2503,Metodos_De_Pago[ID_Metodo],Metodos_De_Pago[Metodo])</f>
        <v>Mercado Pago</v>
      </c>
      <c r="N2503" s="20" t="str">
        <f t="shared" si="2"/>
        <v>2024 12</v>
      </c>
    </row>
    <row r="2504" ht="22.5" customHeight="1">
      <c r="A2504" s="12">
        <f>IFERROR(__xludf.DUMMYFUNCTION("""COMPUTED_VALUE"""),1511.0)</f>
        <v>1511</v>
      </c>
      <c r="B2504" s="13">
        <f>IFERROR(__xludf.DUMMYFUNCTION("""COMPUTED_VALUE"""),45655.0)</f>
        <v>45655</v>
      </c>
      <c r="C2504" s="12">
        <f>IFERROR(__xludf.DUMMYFUNCTION("""COMPUTED_VALUE"""),141.0)</f>
        <v>141</v>
      </c>
      <c r="D2504" s="12">
        <f>IFERROR(__xludf.DUMMYFUNCTION("""COMPUTED_VALUE"""),31.0)</f>
        <v>31</v>
      </c>
      <c r="E2504" s="12">
        <f>IFERROR(__xludf.DUMMYFUNCTION("""COMPUTED_VALUE"""),5.0)</f>
        <v>5</v>
      </c>
      <c r="F2504" s="12">
        <f>IFERROR(__xludf.DUMMYFUNCTION("""COMPUTED_VALUE"""),4.0)</f>
        <v>4</v>
      </c>
      <c r="G2504" s="15" t="str">
        <f>IFERROR(__xludf.DUMMYFUNCTION("""COMPUTED_VALUE"""),"Completa")</f>
        <v>Completa</v>
      </c>
      <c r="H2504" s="16" t="str">
        <f t="array" ref="H2504">_xlfn.XLOOKUP(D2504,Productos[ID_Producto],Productos[Nombre_Producto])</f>
        <v>Galletitas de agua</v>
      </c>
      <c r="I2504" s="17">
        <f t="array" ref="I2504">_xlfn.XLOOKUP(D2504,Productos[ID_Producto],Productos[Precio_Unitario])</f>
        <v>5.24</v>
      </c>
      <c r="J2504" s="17">
        <f t="shared" si="1"/>
        <v>26.2</v>
      </c>
      <c r="K2504" s="16" t="str">
        <f t="array" ref="K2504">_xlfn.XLOOKUP(C2504,Clientes[ID_Cliente],Clientes[Provincia])</f>
        <v>Chaco</v>
      </c>
      <c r="L2504" s="16" t="str">
        <f t="array" ref="L2504">CONCATENATE(_xlfn.XLOOKUP(C2504,Clientes[ID_Cliente],Clientes[Provincia]),", Argentina")</f>
        <v>Chaco, Argentina</v>
      </c>
      <c r="M2504" s="20" t="str">
        <f t="array" ref="M2504">_xlfn.XLOOKUP(F2504,Metodos_De_Pago[ID_Metodo],Metodos_De_Pago[Metodo])</f>
        <v>Mercado Pago</v>
      </c>
      <c r="N2504" s="20" t="str">
        <f t="shared" si="2"/>
        <v>2024 12</v>
      </c>
    </row>
    <row r="2505" ht="22.5" customHeight="1">
      <c r="A2505" s="12">
        <f>IFERROR(__xludf.DUMMYFUNCTION("""COMPUTED_VALUE"""),2643.0)</f>
        <v>2643</v>
      </c>
      <c r="B2505" s="13">
        <f>IFERROR(__xludf.DUMMYFUNCTION("""COMPUTED_VALUE"""),45655.0)</f>
        <v>45655</v>
      </c>
      <c r="C2505" s="12">
        <f>IFERROR(__xludf.DUMMYFUNCTION("""COMPUTED_VALUE"""),121.0)</f>
        <v>121</v>
      </c>
      <c r="D2505" s="12">
        <f>IFERROR(__xludf.DUMMYFUNCTION("""COMPUTED_VALUE"""),12.0)</f>
        <v>12</v>
      </c>
      <c r="E2505" s="12">
        <f>IFERROR(__xludf.DUMMYFUNCTION("""COMPUTED_VALUE"""),5.0)</f>
        <v>5</v>
      </c>
      <c r="F2505" s="12">
        <f>IFERROR(__xludf.DUMMYFUNCTION("""COMPUTED_VALUE"""),4.0)</f>
        <v>4</v>
      </c>
      <c r="G2505" s="15" t="str">
        <f>IFERROR(__xludf.DUMMYFUNCTION("""COMPUTED_VALUE"""),"Completa")</f>
        <v>Completa</v>
      </c>
      <c r="H2505" s="16" t="str">
        <f t="array" ref="H2505">_xlfn.XLOOKUP(D2505,Productos[ID_Producto],Productos[Nombre_Producto])</f>
        <v>Pan francés</v>
      </c>
      <c r="I2505" s="17">
        <f t="array" ref="I2505">_xlfn.XLOOKUP(D2505,Productos[ID_Producto],Productos[Precio_Unitario])</f>
        <v>8.12</v>
      </c>
      <c r="J2505" s="17">
        <f t="shared" si="1"/>
        <v>40.6</v>
      </c>
      <c r="K2505" s="16" t="str">
        <f t="array" ref="K2505">_xlfn.XLOOKUP(C2505,Clientes[ID_Cliente],Clientes[Provincia])</f>
        <v>San Luis</v>
      </c>
      <c r="L2505" s="16" t="str">
        <f t="array" ref="L2505">CONCATENATE(_xlfn.XLOOKUP(C2505,Clientes[ID_Cliente],Clientes[Provincia]),", Argentina")</f>
        <v>San Luis, Argentina</v>
      </c>
      <c r="M2505" s="20" t="str">
        <f t="array" ref="M2505">_xlfn.XLOOKUP(F2505,Metodos_De_Pago[ID_Metodo],Metodos_De_Pago[Metodo])</f>
        <v>Mercado Pago</v>
      </c>
      <c r="N2505" s="20" t="str">
        <f t="shared" si="2"/>
        <v>2024 12</v>
      </c>
    </row>
    <row r="2506" ht="22.5" customHeight="1">
      <c r="A2506" s="12">
        <f>IFERROR(__xludf.DUMMYFUNCTION("""COMPUTED_VALUE"""),563.0)</f>
        <v>563</v>
      </c>
      <c r="B2506" s="13">
        <f>IFERROR(__xludf.DUMMYFUNCTION("""COMPUTED_VALUE"""),45656.0)</f>
        <v>45656</v>
      </c>
      <c r="C2506" s="12">
        <f>IFERROR(__xludf.DUMMYFUNCTION("""COMPUTED_VALUE"""),272.0)</f>
        <v>272</v>
      </c>
      <c r="D2506" s="12">
        <f>IFERROR(__xludf.DUMMYFUNCTION("""COMPUTED_VALUE"""),25.0)</f>
        <v>25</v>
      </c>
      <c r="E2506" s="12">
        <f>IFERROR(__xludf.DUMMYFUNCTION("""COMPUTED_VALUE"""),5.0)</f>
        <v>5</v>
      </c>
      <c r="F2506" s="12">
        <f>IFERROR(__xludf.DUMMYFUNCTION("""COMPUTED_VALUE"""),4.0)</f>
        <v>4</v>
      </c>
      <c r="G2506" s="15" t="str">
        <f>IFERROR(__xludf.DUMMYFUNCTION("""COMPUTED_VALUE"""),"Completa")</f>
        <v>Completa</v>
      </c>
      <c r="H2506" s="16" t="str">
        <f t="array" ref="H2506">_xlfn.XLOOKUP(D2506,Productos[ID_Producto],Productos[Nombre_Producto])</f>
        <v>Pizza congelada</v>
      </c>
      <c r="I2506" s="17">
        <f t="array" ref="I2506">_xlfn.XLOOKUP(D2506,Productos[ID_Producto],Productos[Precio_Unitario])</f>
        <v>15.45</v>
      </c>
      <c r="J2506" s="17">
        <f t="shared" si="1"/>
        <v>77.25</v>
      </c>
      <c r="K2506" s="16" t="str">
        <f t="array" ref="K2506">_xlfn.XLOOKUP(C2506,Clientes[ID_Cliente],Clientes[Provincia])</f>
        <v>Buenos Aires</v>
      </c>
      <c r="L2506" s="16" t="str">
        <f t="array" ref="L2506">CONCATENATE(_xlfn.XLOOKUP(C2506,Clientes[ID_Cliente],Clientes[Provincia]),", Argentina")</f>
        <v>Buenos Aires, Argentina</v>
      </c>
      <c r="M2506" s="20" t="str">
        <f t="array" ref="M2506">_xlfn.XLOOKUP(F2506,Metodos_De_Pago[ID_Metodo],Metodos_De_Pago[Metodo])</f>
        <v>Mercado Pago</v>
      </c>
      <c r="N2506" s="20" t="str">
        <f t="shared" si="2"/>
        <v>2024 12</v>
      </c>
    </row>
    <row r="2507" ht="22.5" customHeight="1">
      <c r="A2507" s="12">
        <f>IFERROR(__xludf.DUMMYFUNCTION("""COMPUTED_VALUE"""),900.0)</f>
        <v>900</v>
      </c>
      <c r="B2507" s="13">
        <f>IFERROR(__xludf.DUMMYFUNCTION("""COMPUTED_VALUE"""),45656.0)</f>
        <v>45656</v>
      </c>
      <c r="C2507" s="12">
        <f>IFERROR(__xludf.DUMMYFUNCTION("""COMPUTED_VALUE"""),248.0)</f>
        <v>248</v>
      </c>
      <c r="D2507" s="12">
        <f>IFERROR(__xludf.DUMMYFUNCTION("""COMPUTED_VALUE"""),10.0)</f>
        <v>10</v>
      </c>
      <c r="E2507" s="12">
        <f>IFERROR(__xludf.DUMMYFUNCTION("""COMPUTED_VALUE"""),5.0)</f>
        <v>5</v>
      </c>
      <c r="F2507" s="12">
        <f>IFERROR(__xludf.DUMMYFUNCTION("""COMPUTED_VALUE"""),1.0)</f>
        <v>1</v>
      </c>
      <c r="G2507" s="15" t="str">
        <f>IFERROR(__xludf.DUMMYFUNCTION("""COMPUTED_VALUE"""),"Completa")</f>
        <v>Completa</v>
      </c>
      <c r="H2507" s="16" t="str">
        <f t="array" ref="H2507">_xlfn.XLOOKUP(D2507,Productos[ID_Producto],Productos[Nombre_Producto])</f>
        <v>Costilla de cerdo</v>
      </c>
      <c r="I2507" s="17">
        <f t="array" ref="I2507">_xlfn.XLOOKUP(D2507,Productos[ID_Producto],Productos[Precio_Unitario])</f>
        <v>14.25</v>
      </c>
      <c r="J2507" s="17">
        <f t="shared" si="1"/>
        <v>71.25</v>
      </c>
      <c r="K2507" s="16" t="str">
        <f t="array" ref="K2507">_xlfn.XLOOKUP(C2507,Clientes[ID_Cliente],Clientes[Provincia])</f>
        <v>Córdoba</v>
      </c>
      <c r="L2507" s="16" t="str">
        <f t="array" ref="L2507">CONCATENATE(_xlfn.XLOOKUP(C2507,Clientes[ID_Cliente],Clientes[Provincia]),", Argentina")</f>
        <v>Córdoba, Argentina</v>
      </c>
      <c r="M2507" s="20" t="str">
        <f t="array" ref="M2507">_xlfn.XLOOKUP(F2507,Metodos_De_Pago[ID_Metodo],Metodos_De_Pago[Metodo])</f>
        <v>Efectivo</v>
      </c>
      <c r="N2507" s="20" t="str">
        <f t="shared" si="2"/>
        <v>2024 12</v>
      </c>
    </row>
    <row r="2508" ht="22.5" customHeight="1">
      <c r="A2508" s="12">
        <f>IFERROR(__xludf.DUMMYFUNCTION("""COMPUTED_VALUE"""),2578.0)</f>
        <v>2578</v>
      </c>
      <c r="B2508" s="13">
        <f>IFERROR(__xludf.DUMMYFUNCTION("""COMPUTED_VALUE"""),45322.0)</f>
        <v>45322</v>
      </c>
      <c r="C2508" s="12">
        <f>IFERROR(__xludf.DUMMYFUNCTION("""COMPUTED_VALUE"""),201.0)</f>
        <v>201</v>
      </c>
      <c r="D2508" s="12">
        <f>IFERROR(__xludf.DUMMYFUNCTION("""COMPUTED_VALUE"""),31.0)</f>
        <v>31</v>
      </c>
      <c r="E2508" s="12">
        <f>IFERROR(__xludf.DUMMYFUNCTION("""COMPUTED_VALUE"""),6.0)</f>
        <v>6</v>
      </c>
      <c r="F2508" s="12">
        <f>IFERROR(__xludf.DUMMYFUNCTION("""COMPUTED_VALUE"""),3.0)</f>
        <v>3</v>
      </c>
      <c r="G2508" s="15" t="str">
        <f>IFERROR(__xludf.DUMMYFUNCTION("""COMPUTED_VALUE"""),"Completa")</f>
        <v>Completa</v>
      </c>
      <c r="H2508" s="16" t="str">
        <f t="array" ref="H2508">_xlfn.XLOOKUP(D2508,Productos[ID_Producto],Productos[Nombre_Producto])</f>
        <v>Galletitas de agua</v>
      </c>
      <c r="I2508" s="17">
        <f t="array" ref="I2508">_xlfn.XLOOKUP(D2508,Productos[ID_Producto],Productos[Precio_Unitario])</f>
        <v>5.24</v>
      </c>
      <c r="J2508" s="17">
        <f t="shared" si="1"/>
        <v>31.44</v>
      </c>
      <c r="K2508" s="16" t="str">
        <f t="array" ref="K2508">_xlfn.XLOOKUP(C2508,Clientes[ID_Cliente],Clientes[Provincia])</f>
        <v>Neuquén</v>
      </c>
      <c r="L2508" s="16" t="str">
        <f t="array" ref="L2508">CONCATENATE(_xlfn.XLOOKUP(C2508,Clientes[ID_Cliente],Clientes[Provincia]),", Argentina")</f>
        <v>Neuquén, Argentina</v>
      </c>
      <c r="M2508" s="20" t="str">
        <f t="array" ref="M2508">_xlfn.XLOOKUP(F2508,Metodos_De_Pago[ID_Metodo],Metodos_De_Pago[Metodo])</f>
        <v>Tarjeta de Débito</v>
      </c>
      <c r="N2508" s="20" t="str">
        <f t="shared" si="2"/>
        <v>2024 01</v>
      </c>
    </row>
    <row r="2509" ht="22.5" customHeight="1">
      <c r="A2509" s="12">
        <f>IFERROR(__xludf.DUMMYFUNCTION("""COMPUTED_VALUE"""),492.0)</f>
        <v>492</v>
      </c>
      <c r="B2509" s="13">
        <f>IFERROR(__xludf.DUMMYFUNCTION("""COMPUTED_VALUE"""),45323.0)</f>
        <v>45323</v>
      </c>
      <c r="C2509" s="12">
        <f>IFERROR(__xludf.DUMMYFUNCTION("""COMPUTED_VALUE"""),114.0)</f>
        <v>114</v>
      </c>
      <c r="D2509" s="12">
        <f>IFERROR(__xludf.DUMMYFUNCTION("""COMPUTED_VALUE"""),29.0)</f>
        <v>29</v>
      </c>
      <c r="E2509" s="12">
        <f>IFERROR(__xludf.DUMMYFUNCTION("""COMPUTED_VALUE"""),6.0)</f>
        <v>6</v>
      </c>
      <c r="F2509" s="12">
        <f>IFERROR(__xludf.DUMMYFUNCTION("""COMPUTED_VALUE"""),4.0)</f>
        <v>4</v>
      </c>
      <c r="G2509" s="15" t="str">
        <f>IFERROR(__xludf.DUMMYFUNCTION("""COMPUTED_VALUE"""),"Completa")</f>
        <v>Completa</v>
      </c>
      <c r="H2509" s="16" t="str">
        <f t="array" ref="H2509">_xlfn.XLOOKUP(D2509,Productos[ID_Producto],Productos[Nombre_Producto])</f>
        <v>Cerveza</v>
      </c>
      <c r="I2509" s="17">
        <f t="array" ref="I2509">_xlfn.XLOOKUP(D2509,Productos[ID_Producto],Productos[Precio_Unitario])</f>
        <v>11.54</v>
      </c>
      <c r="J2509" s="17">
        <f t="shared" si="1"/>
        <v>69.24</v>
      </c>
      <c r="K2509" s="16" t="str">
        <f t="array" ref="K2509">_xlfn.XLOOKUP(C2509,Clientes[ID_Cliente],Clientes[Provincia])</f>
        <v>Córdoba</v>
      </c>
      <c r="L2509" s="16" t="str">
        <f t="array" ref="L2509">CONCATENATE(_xlfn.XLOOKUP(C2509,Clientes[ID_Cliente],Clientes[Provincia]),", Argentina")</f>
        <v>Córdoba, Argentina</v>
      </c>
      <c r="M2509" s="20" t="str">
        <f t="array" ref="M2509">_xlfn.XLOOKUP(F2509,Metodos_De_Pago[ID_Metodo],Metodos_De_Pago[Metodo])</f>
        <v>Mercado Pago</v>
      </c>
      <c r="N2509" s="20" t="str">
        <f t="shared" si="2"/>
        <v>2024 02</v>
      </c>
    </row>
    <row r="2510" ht="22.5" customHeight="1">
      <c r="A2510" s="12">
        <f>IFERROR(__xludf.DUMMYFUNCTION("""COMPUTED_VALUE"""),1565.0)</f>
        <v>1565</v>
      </c>
      <c r="B2510" s="13">
        <f>IFERROR(__xludf.DUMMYFUNCTION("""COMPUTED_VALUE"""),45323.0)</f>
        <v>45323</v>
      </c>
      <c r="C2510" s="12">
        <f>IFERROR(__xludf.DUMMYFUNCTION("""COMPUTED_VALUE"""),97.0)</f>
        <v>97</v>
      </c>
      <c r="D2510" s="12">
        <f>IFERROR(__xludf.DUMMYFUNCTION("""COMPUTED_VALUE"""),6.0)</f>
        <v>6</v>
      </c>
      <c r="E2510" s="12">
        <f>IFERROR(__xludf.DUMMYFUNCTION("""COMPUTED_VALUE"""),6.0)</f>
        <v>6</v>
      </c>
      <c r="F2510" s="12">
        <f>IFERROR(__xludf.DUMMYFUNCTION("""COMPUTED_VALUE"""),2.0)</f>
        <v>2</v>
      </c>
      <c r="G2510" s="15" t="str">
        <f>IFERROR(__xludf.DUMMYFUNCTION("""COMPUTED_VALUE"""),"Completa")</f>
        <v>Completa</v>
      </c>
      <c r="H2510" s="16" t="str">
        <f t="array" ref="H2510">_xlfn.XLOOKUP(D2510,Productos[ID_Producto],Productos[Nombre_Producto])</f>
        <v>Asado</v>
      </c>
      <c r="I2510" s="17">
        <f t="array" ref="I2510">_xlfn.XLOOKUP(D2510,Productos[ID_Producto],Productos[Precio_Unitario])</f>
        <v>28.56</v>
      </c>
      <c r="J2510" s="17">
        <f t="shared" si="1"/>
        <v>171.36</v>
      </c>
      <c r="K2510" s="16" t="str">
        <f t="array" ref="K2510">_xlfn.XLOOKUP(C2510,Clientes[ID_Cliente],Clientes[Provincia])</f>
        <v>Buenos Aires</v>
      </c>
      <c r="L2510" s="16" t="str">
        <f t="array" ref="L2510">CONCATENATE(_xlfn.XLOOKUP(C2510,Clientes[ID_Cliente],Clientes[Provincia]),", Argentina")</f>
        <v>Buenos Aires, Argentina</v>
      </c>
      <c r="M2510" s="20" t="str">
        <f t="array" ref="M2510">_xlfn.XLOOKUP(F2510,Metodos_De_Pago[ID_Metodo],Metodos_De_Pago[Metodo])</f>
        <v>Tarjeta de Crédito</v>
      </c>
      <c r="N2510" s="20" t="str">
        <f t="shared" si="2"/>
        <v>2024 02</v>
      </c>
    </row>
    <row r="2511" ht="22.5" customHeight="1">
      <c r="A2511" s="12">
        <f>IFERROR(__xludf.DUMMYFUNCTION("""COMPUTED_VALUE"""),272.0)</f>
        <v>272</v>
      </c>
      <c r="B2511" s="13">
        <f>IFERROR(__xludf.DUMMYFUNCTION("""COMPUTED_VALUE"""),45324.0)</f>
        <v>45324</v>
      </c>
      <c r="C2511" s="12">
        <f>IFERROR(__xludf.DUMMYFUNCTION("""COMPUTED_VALUE"""),60.0)</f>
        <v>60</v>
      </c>
      <c r="D2511" s="12">
        <f>IFERROR(__xludf.DUMMYFUNCTION("""COMPUTED_VALUE"""),3.0)</f>
        <v>3</v>
      </c>
      <c r="E2511" s="12">
        <f>IFERROR(__xludf.DUMMYFUNCTION("""COMPUTED_VALUE"""),6.0)</f>
        <v>6</v>
      </c>
      <c r="F2511" s="12">
        <f>IFERROR(__xludf.DUMMYFUNCTION("""COMPUTED_VALUE"""),4.0)</f>
        <v>4</v>
      </c>
      <c r="G2511" s="15" t="str">
        <f>IFERROR(__xludf.DUMMYFUNCTION("""COMPUTED_VALUE"""),"Completa")</f>
        <v>Completa</v>
      </c>
      <c r="H2511" s="16" t="str">
        <f t="array" ref="H2511">_xlfn.XLOOKUP(D2511,Productos[ID_Producto],Productos[Nombre_Producto])</f>
        <v>Queso cremoso</v>
      </c>
      <c r="I2511" s="17">
        <f t="array" ref="I2511">_xlfn.XLOOKUP(D2511,Productos[ID_Producto],Productos[Precio_Unitario])</f>
        <v>17.23</v>
      </c>
      <c r="J2511" s="17">
        <f t="shared" si="1"/>
        <v>103.38</v>
      </c>
      <c r="K2511" s="16" t="str">
        <f t="array" ref="K2511">_xlfn.XLOOKUP(C2511,Clientes[ID_Cliente],Clientes[Provincia])</f>
        <v>Chaco</v>
      </c>
      <c r="L2511" s="16" t="str">
        <f t="array" ref="L2511">CONCATENATE(_xlfn.XLOOKUP(C2511,Clientes[ID_Cliente],Clientes[Provincia]),", Argentina")</f>
        <v>Chaco, Argentina</v>
      </c>
      <c r="M2511" s="20" t="str">
        <f t="array" ref="M2511">_xlfn.XLOOKUP(F2511,Metodos_De_Pago[ID_Metodo],Metodos_De_Pago[Metodo])</f>
        <v>Mercado Pago</v>
      </c>
      <c r="N2511" s="20" t="str">
        <f t="shared" si="2"/>
        <v>2024 02</v>
      </c>
    </row>
    <row r="2512" ht="22.5" customHeight="1">
      <c r="A2512" s="12">
        <f>IFERROR(__xludf.DUMMYFUNCTION("""COMPUTED_VALUE"""),1595.0)</f>
        <v>1595</v>
      </c>
      <c r="B2512" s="13">
        <f>IFERROR(__xludf.DUMMYFUNCTION("""COMPUTED_VALUE"""),45324.0)</f>
        <v>45324</v>
      </c>
      <c r="C2512" s="12">
        <f>IFERROR(__xludf.DUMMYFUNCTION("""COMPUTED_VALUE"""),129.0)</f>
        <v>129</v>
      </c>
      <c r="D2512" s="12">
        <f>IFERROR(__xludf.DUMMYFUNCTION("""COMPUTED_VALUE"""),31.0)</f>
        <v>31</v>
      </c>
      <c r="E2512" s="12">
        <f>IFERROR(__xludf.DUMMYFUNCTION("""COMPUTED_VALUE"""),6.0)</f>
        <v>6</v>
      </c>
      <c r="F2512" s="12">
        <f>IFERROR(__xludf.DUMMYFUNCTION("""COMPUTED_VALUE"""),1.0)</f>
        <v>1</v>
      </c>
      <c r="G2512" s="15" t="str">
        <f>IFERROR(__xludf.DUMMYFUNCTION("""COMPUTED_VALUE"""),"Completa")</f>
        <v>Completa</v>
      </c>
      <c r="H2512" s="16" t="str">
        <f t="array" ref="H2512">_xlfn.XLOOKUP(D2512,Productos[ID_Producto],Productos[Nombre_Producto])</f>
        <v>Galletitas de agua</v>
      </c>
      <c r="I2512" s="17">
        <f t="array" ref="I2512">_xlfn.XLOOKUP(D2512,Productos[ID_Producto],Productos[Precio_Unitario])</f>
        <v>5.24</v>
      </c>
      <c r="J2512" s="17">
        <f t="shared" si="1"/>
        <v>31.44</v>
      </c>
      <c r="K2512" s="16" t="str">
        <f t="array" ref="K2512">_xlfn.XLOOKUP(C2512,Clientes[ID_Cliente],Clientes[Provincia])</f>
        <v>Neuquén</v>
      </c>
      <c r="L2512" s="16" t="str">
        <f t="array" ref="L2512">CONCATENATE(_xlfn.XLOOKUP(C2512,Clientes[ID_Cliente],Clientes[Provincia]),", Argentina")</f>
        <v>Neuquén, Argentina</v>
      </c>
      <c r="M2512" s="20" t="str">
        <f t="array" ref="M2512">_xlfn.XLOOKUP(F2512,Metodos_De_Pago[ID_Metodo],Metodos_De_Pago[Metodo])</f>
        <v>Efectivo</v>
      </c>
      <c r="N2512" s="20" t="str">
        <f t="shared" si="2"/>
        <v>2024 02</v>
      </c>
    </row>
    <row r="2513" ht="22.5" customHeight="1">
      <c r="A2513" s="12">
        <f>IFERROR(__xludf.DUMMYFUNCTION("""COMPUTED_VALUE"""),277.0)</f>
        <v>277</v>
      </c>
      <c r="B2513" s="13">
        <f>IFERROR(__xludf.DUMMYFUNCTION("""COMPUTED_VALUE"""),45327.0)</f>
        <v>45327</v>
      </c>
      <c r="C2513" s="12">
        <f>IFERROR(__xludf.DUMMYFUNCTION("""COMPUTED_VALUE"""),159.0)</f>
        <v>159</v>
      </c>
      <c r="D2513" s="12">
        <f>IFERROR(__xludf.DUMMYFUNCTION("""COMPUTED_VALUE"""),4.0)</f>
        <v>4</v>
      </c>
      <c r="E2513" s="12">
        <f>IFERROR(__xludf.DUMMYFUNCTION("""COMPUTED_VALUE"""),6.0)</f>
        <v>6</v>
      </c>
      <c r="F2513" s="12">
        <f>IFERROR(__xludf.DUMMYFUNCTION("""COMPUTED_VALUE"""),4.0)</f>
        <v>4</v>
      </c>
      <c r="G2513" s="15" t="str">
        <f>IFERROR(__xludf.DUMMYFUNCTION("""COMPUTED_VALUE"""),"Completa")</f>
        <v>Completa</v>
      </c>
      <c r="H2513" s="16" t="str">
        <f t="array" ref="H2513">_xlfn.XLOOKUP(D2513,Productos[ID_Producto],Productos[Nombre_Producto])</f>
        <v>Queso rallado</v>
      </c>
      <c r="I2513" s="17">
        <f t="array" ref="I2513">_xlfn.XLOOKUP(D2513,Productos[ID_Producto],Productos[Precio_Unitario])</f>
        <v>19.23</v>
      </c>
      <c r="J2513" s="17">
        <f t="shared" si="1"/>
        <v>115.38</v>
      </c>
      <c r="K2513" s="16" t="str">
        <f t="array" ref="K2513">_xlfn.XLOOKUP(C2513,Clientes[ID_Cliente],Clientes[Provincia])</f>
        <v>Chaco</v>
      </c>
      <c r="L2513" s="16" t="str">
        <f t="array" ref="L2513">CONCATENATE(_xlfn.XLOOKUP(C2513,Clientes[ID_Cliente],Clientes[Provincia]),", Argentina")</f>
        <v>Chaco, Argentina</v>
      </c>
      <c r="M2513" s="20" t="str">
        <f t="array" ref="M2513">_xlfn.XLOOKUP(F2513,Metodos_De_Pago[ID_Metodo],Metodos_De_Pago[Metodo])</f>
        <v>Mercado Pago</v>
      </c>
      <c r="N2513" s="20" t="str">
        <f t="shared" si="2"/>
        <v>2024 02</v>
      </c>
    </row>
    <row r="2514" ht="22.5" customHeight="1">
      <c r="A2514" s="12">
        <f>IFERROR(__xludf.DUMMYFUNCTION("""COMPUTED_VALUE"""),497.0)</f>
        <v>497</v>
      </c>
      <c r="B2514" s="13">
        <f>IFERROR(__xludf.DUMMYFUNCTION("""COMPUTED_VALUE"""),45327.0)</f>
        <v>45327</v>
      </c>
      <c r="C2514" s="12">
        <f>IFERROR(__xludf.DUMMYFUNCTION("""COMPUTED_VALUE"""),169.0)</f>
        <v>169</v>
      </c>
      <c r="D2514" s="12">
        <f>IFERROR(__xludf.DUMMYFUNCTION("""COMPUTED_VALUE"""),5.0)</f>
        <v>5</v>
      </c>
      <c r="E2514" s="12">
        <f>IFERROR(__xludf.DUMMYFUNCTION("""COMPUTED_VALUE"""),6.0)</f>
        <v>6</v>
      </c>
      <c r="F2514" s="12">
        <f>IFERROR(__xludf.DUMMYFUNCTION("""COMPUTED_VALUE"""),3.0)</f>
        <v>3</v>
      </c>
      <c r="G2514" s="15" t="str">
        <f>IFERROR(__xludf.DUMMYFUNCTION("""COMPUTED_VALUE"""),"Completa")</f>
        <v>Completa</v>
      </c>
      <c r="H2514" s="16" t="str">
        <f t="array" ref="H2514">_xlfn.XLOOKUP(D2514,Productos[ID_Producto],Productos[Nombre_Producto])</f>
        <v>Manteca</v>
      </c>
      <c r="I2514" s="17">
        <f t="array" ref="I2514">_xlfn.XLOOKUP(D2514,Productos[ID_Producto],Productos[Precio_Unitario])</f>
        <v>5.65</v>
      </c>
      <c r="J2514" s="17">
        <f t="shared" si="1"/>
        <v>33.9</v>
      </c>
      <c r="K2514" s="16" t="str">
        <f t="array" ref="K2514">_xlfn.XLOOKUP(C2514,Clientes[ID_Cliente],Clientes[Provincia])</f>
        <v>Córdoba</v>
      </c>
      <c r="L2514" s="16" t="str">
        <f t="array" ref="L2514">CONCATENATE(_xlfn.XLOOKUP(C2514,Clientes[ID_Cliente],Clientes[Provincia]),", Argentina")</f>
        <v>Córdoba, Argentina</v>
      </c>
      <c r="M2514" s="20" t="str">
        <f t="array" ref="M2514">_xlfn.XLOOKUP(F2514,Metodos_De_Pago[ID_Metodo],Metodos_De_Pago[Metodo])</f>
        <v>Tarjeta de Débito</v>
      </c>
      <c r="N2514" s="20" t="str">
        <f t="shared" si="2"/>
        <v>2024 02</v>
      </c>
    </row>
    <row r="2515" ht="22.5" customHeight="1">
      <c r="A2515" s="12">
        <f>IFERROR(__xludf.DUMMYFUNCTION("""COMPUTED_VALUE"""),1449.0)</f>
        <v>1449</v>
      </c>
      <c r="B2515" s="13">
        <f>IFERROR(__xludf.DUMMYFUNCTION("""COMPUTED_VALUE"""),45327.0)</f>
        <v>45327</v>
      </c>
      <c r="C2515" s="12">
        <f>IFERROR(__xludf.DUMMYFUNCTION("""COMPUTED_VALUE"""),172.0)</f>
        <v>172</v>
      </c>
      <c r="D2515" s="12">
        <f>IFERROR(__xludf.DUMMYFUNCTION("""COMPUTED_VALUE"""),29.0)</f>
        <v>29</v>
      </c>
      <c r="E2515" s="12">
        <f>IFERROR(__xludf.DUMMYFUNCTION("""COMPUTED_VALUE"""),6.0)</f>
        <v>6</v>
      </c>
      <c r="F2515" s="12">
        <f>IFERROR(__xludf.DUMMYFUNCTION("""COMPUTED_VALUE"""),2.0)</f>
        <v>2</v>
      </c>
      <c r="G2515" s="15" t="str">
        <f>IFERROR(__xludf.DUMMYFUNCTION("""COMPUTED_VALUE"""),"Completa")</f>
        <v>Completa</v>
      </c>
      <c r="H2515" s="16" t="str">
        <f t="array" ref="H2515">_xlfn.XLOOKUP(D2515,Productos[ID_Producto],Productos[Nombre_Producto])</f>
        <v>Cerveza</v>
      </c>
      <c r="I2515" s="17">
        <f t="array" ref="I2515">_xlfn.XLOOKUP(D2515,Productos[ID_Producto],Productos[Precio_Unitario])</f>
        <v>11.54</v>
      </c>
      <c r="J2515" s="17">
        <f t="shared" si="1"/>
        <v>69.24</v>
      </c>
      <c r="K2515" s="16" t="str">
        <f t="array" ref="K2515">_xlfn.XLOOKUP(C2515,Clientes[ID_Cliente],Clientes[Provincia])</f>
        <v>Buenos Aires</v>
      </c>
      <c r="L2515" s="16" t="str">
        <f t="array" ref="L2515">CONCATENATE(_xlfn.XLOOKUP(C2515,Clientes[ID_Cliente],Clientes[Provincia]),", Argentina")</f>
        <v>Buenos Aires, Argentina</v>
      </c>
      <c r="M2515" s="20" t="str">
        <f t="array" ref="M2515">_xlfn.XLOOKUP(F2515,Metodos_De_Pago[ID_Metodo],Metodos_De_Pago[Metodo])</f>
        <v>Tarjeta de Crédito</v>
      </c>
      <c r="N2515" s="20" t="str">
        <f t="shared" si="2"/>
        <v>2024 02</v>
      </c>
    </row>
    <row r="2516" ht="22.5" customHeight="1">
      <c r="A2516" s="12">
        <f>IFERROR(__xludf.DUMMYFUNCTION("""COMPUTED_VALUE"""),809.0)</f>
        <v>809</v>
      </c>
      <c r="B2516" s="13">
        <f>IFERROR(__xludf.DUMMYFUNCTION("""COMPUTED_VALUE"""),45328.0)</f>
        <v>45328</v>
      </c>
      <c r="C2516" s="12">
        <f>IFERROR(__xludf.DUMMYFUNCTION("""COMPUTED_VALUE"""),159.0)</f>
        <v>159</v>
      </c>
      <c r="D2516" s="12">
        <f>IFERROR(__xludf.DUMMYFUNCTION("""COMPUTED_VALUE"""),19.0)</f>
        <v>19</v>
      </c>
      <c r="E2516" s="12">
        <f>IFERROR(__xludf.DUMMYFUNCTION("""COMPUTED_VALUE"""),6.0)</f>
        <v>6</v>
      </c>
      <c r="F2516" s="12">
        <f>IFERROR(__xludf.DUMMYFUNCTION("""COMPUTED_VALUE"""),5.0)</f>
        <v>5</v>
      </c>
      <c r="G2516" s="15" t="str">
        <f>IFERROR(__xludf.DUMMYFUNCTION("""COMPUTED_VALUE"""),"Pendiente")</f>
        <v>Pendiente</v>
      </c>
      <c r="H2516" s="16" t="str">
        <f t="array" ref="H2516">_xlfn.XLOOKUP(D2516,Productos[ID_Producto],Productos[Nombre_Producto])</f>
        <v>Tomates</v>
      </c>
      <c r="I2516" s="17">
        <f t="array" ref="I2516">_xlfn.XLOOKUP(D2516,Productos[ID_Producto],Productos[Precio_Unitario])</f>
        <v>6.54</v>
      </c>
      <c r="J2516" s="17">
        <f t="shared" si="1"/>
        <v>39.24</v>
      </c>
      <c r="K2516" s="16" t="str">
        <f t="array" ref="K2516">_xlfn.XLOOKUP(C2516,Clientes[ID_Cliente],Clientes[Provincia])</f>
        <v>Chaco</v>
      </c>
      <c r="L2516" s="16" t="str">
        <f t="array" ref="L2516">CONCATENATE(_xlfn.XLOOKUP(C2516,Clientes[ID_Cliente],Clientes[Provincia]),", Argentina")</f>
        <v>Chaco, Argentina</v>
      </c>
      <c r="M2516" s="20" t="str">
        <f t="array" ref="M2516">_xlfn.XLOOKUP(F2516,Metodos_De_Pago[ID_Metodo],Metodos_De_Pago[Metodo])</f>
        <v>Transferencia</v>
      </c>
      <c r="N2516" s="20" t="str">
        <f t="shared" si="2"/>
        <v>2024 02</v>
      </c>
    </row>
    <row r="2517" ht="22.5" customHeight="1">
      <c r="A2517" s="12">
        <f>IFERROR(__xludf.DUMMYFUNCTION("""COMPUTED_VALUE"""),1735.0)</f>
        <v>1735</v>
      </c>
      <c r="B2517" s="13">
        <f>IFERROR(__xludf.DUMMYFUNCTION("""COMPUTED_VALUE"""),45328.0)</f>
        <v>45328</v>
      </c>
      <c r="C2517" s="12">
        <f>IFERROR(__xludf.DUMMYFUNCTION("""COMPUTED_VALUE"""),130.0)</f>
        <v>130</v>
      </c>
      <c r="D2517" s="12">
        <f>IFERROR(__xludf.DUMMYFUNCTION("""COMPUTED_VALUE"""),8.0)</f>
        <v>8</v>
      </c>
      <c r="E2517" s="12">
        <f>IFERROR(__xludf.DUMMYFUNCTION("""COMPUTED_VALUE"""),6.0)</f>
        <v>6</v>
      </c>
      <c r="F2517" s="12">
        <f>IFERROR(__xludf.DUMMYFUNCTION("""COMPUTED_VALUE"""),5.0)</f>
        <v>5</v>
      </c>
      <c r="G2517" s="15" t="str">
        <f>IFERROR(__xludf.DUMMYFUNCTION("""COMPUTED_VALUE"""),"Completa")</f>
        <v>Completa</v>
      </c>
      <c r="H2517" s="16" t="str">
        <f t="array" ref="H2517">_xlfn.XLOOKUP(D2517,Productos[ID_Producto],Productos[Nombre_Producto])</f>
        <v>Milanesa</v>
      </c>
      <c r="I2517" s="17">
        <f t="array" ref="I2517">_xlfn.XLOOKUP(D2517,Productos[ID_Producto],Productos[Precio_Unitario])</f>
        <v>16.21</v>
      </c>
      <c r="J2517" s="17">
        <f t="shared" si="1"/>
        <v>97.26</v>
      </c>
      <c r="K2517" s="16" t="str">
        <f t="array" ref="K2517">_xlfn.XLOOKUP(C2517,Clientes[ID_Cliente],Clientes[Provincia])</f>
        <v>Buenos Aires</v>
      </c>
      <c r="L2517" s="16" t="str">
        <f t="array" ref="L2517">CONCATENATE(_xlfn.XLOOKUP(C2517,Clientes[ID_Cliente],Clientes[Provincia]),", Argentina")</f>
        <v>Buenos Aires, Argentina</v>
      </c>
      <c r="M2517" s="20" t="str">
        <f t="array" ref="M2517">_xlfn.XLOOKUP(F2517,Metodos_De_Pago[ID_Metodo],Metodos_De_Pago[Metodo])</f>
        <v>Transferencia</v>
      </c>
      <c r="N2517" s="20" t="str">
        <f t="shared" si="2"/>
        <v>2024 02</v>
      </c>
    </row>
    <row r="2518" ht="22.5" customHeight="1">
      <c r="A2518" s="12">
        <f>IFERROR(__xludf.DUMMYFUNCTION("""COMPUTED_VALUE"""),2540.0)</f>
        <v>2540</v>
      </c>
      <c r="B2518" s="13">
        <f>IFERROR(__xludf.DUMMYFUNCTION("""COMPUTED_VALUE"""),45328.0)</f>
        <v>45328</v>
      </c>
      <c r="C2518" s="12">
        <f>IFERROR(__xludf.DUMMYFUNCTION("""COMPUTED_VALUE"""),75.0)</f>
        <v>75</v>
      </c>
      <c r="D2518" s="12">
        <f>IFERROR(__xludf.DUMMYFUNCTION("""COMPUTED_VALUE"""),28.0)</f>
        <v>28</v>
      </c>
      <c r="E2518" s="12">
        <f>IFERROR(__xludf.DUMMYFUNCTION("""COMPUTED_VALUE"""),6.0)</f>
        <v>6</v>
      </c>
      <c r="F2518" s="12">
        <f>IFERROR(__xludf.DUMMYFUNCTION("""COMPUTED_VALUE"""),1.0)</f>
        <v>1</v>
      </c>
      <c r="G2518" s="15" t="str">
        <f>IFERROR(__xludf.DUMMYFUNCTION("""COMPUTED_VALUE"""),"Pendiente")</f>
        <v>Pendiente</v>
      </c>
      <c r="H2518" s="16" t="str">
        <f t="array" ref="H2518">_xlfn.XLOOKUP(D2518,Productos[ID_Producto],Productos[Nombre_Producto])</f>
        <v>Jugos de frutas</v>
      </c>
      <c r="I2518" s="17">
        <f t="array" ref="I2518">_xlfn.XLOOKUP(D2518,Productos[ID_Producto],Productos[Precio_Unitario])</f>
        <v>9.45</v>
      </c>
      <c r="J2518" s="17">
        <f t="shared" si="1"/>
        <v>56.7</v>
      </c>
      <c r="K2518" s="16" t="str">
        <f t="array" ref="K2518">_xlfn.XLOOKUP(C2518,Clientes[ID_Cliente],Clientes[Provincia])</f>
        <v>Chaco</v>
      </c>
      <c r="L2518" s="16" t="str">
        <f t="array" ref="L2518">CONCATENATE(_xlfn.XLOOKUP(C2518,Clientes[ID_Cliente],Clientes[Provincia]),", Argentina")</f>
        <v>Chaco, Argentina</v>
      </c>
      <c r="M2518" s="20" t="str">
        <f t="array" ref="M2518">_xlfn.XLOOKUP(F2518,Metodos_De_Pago[ID_Metodo],Metodos_De_Pago[Metodo])</f>
        <v>Efectivo</v>
      </c>
      <c r="N2518" s="20" t="str">
        <f t="shared" si="2"/>
        <v>2024 02</v>
      </c>
    </row>
    <row r="2519" ht="22.5" customHeight="1">
      <c r="A2519" s="12">
        <f>IFERROR(__xludf.DUMMYFUNCTION("""COMPUTED_VALUE"""),441.0)</f>
        <v>441</v>
      </c>
      <c r="B2519" s="13">
        <f>IFERROR(__xludf.DUMMYFUNCTION("""COMPUTED_VALUE"""),45329.0)</f>
        <v>45329</v>
      </c>
      <c r="C2519" s="12">
        <f>IFERROR(__xludf.DUMMYFUNCTION("""COMPUTED_VALUE"""),21.0)</f>
        <v>21</v>
      </c>
      <c r="D2519" s="12">
        <f>IFERROR(__xludf.DUMMYFUNCTION("""COMPUTED_VALUE"""),7.0)</f>
        <v>7</v>
      </c>
      <c r="E2519" s="12">
        <f>IFERROR(__xludf.DUMMYFUNCTION("""COMPUTED_VALUE"""),6.0)</f>
        <v>6</v>
      </c>
      <c r="F2519" s="12">
        <f>IFERROR(__xludf.DUMMYFUNCTION("""COMPUTED_VALUE"""),3.0)</f>
        <v>3</v>
      </c>
      <c r="G2519" s="15" t="str">
        <f>IFERROR(__xludf.DUMMYFUNCTION("""COMPUTED_VALUE"""),"Completa")</f>
        <v>Completa</v>
      </c>
      <c r="H2519" s="16" t="str">
        <f t="array" ref="H2519">_xlfn.XLOOKUP(D2519,Productos[ID_Producto],Productos[Nombre_Producto])</f>
        <v>Chorizo</v>
      </c>
      <c r="I2519" s="17">
        <f t="array" ref="I2519">_xlfn.XLOOKUP(D2519,Productos[ID_Producto],Productos[Precio_Unitario])</f>
        <v>11.25</v>
      </c>
      <c r="J2519" s="17">
        <f t="shared" si="1"/>
        <v>67.5</v>
      </c>
      <c r="K2519" s="16" t="str">
        <f t="array" ref="K2519">_xlfn.XLOOKUP(C2519,Clientes[ID_Cliente],Clientes[Provincia])</f>
        <v>Buenos Aires</v>
      </c>
      <c r="L2519" s="16" t="str">
        <f t="array" ref="L2519">CONCATENATE(_xlfn.XLOOKUP(C2519,Clientes[ID_Cliente],Clientes[Provincia]),", Argentina")</f>
        <v>Buenos Aires, Argentina</v>
      </c>
      <c r="M2519" s="20" t="str">
        <f t="array" ref="M2519">_xlfn.XLOOKUP(F2519,Metodos_De_Pago[ID_Metodo],Metodos_De_Pago[Metodo])</f>
        <v>Tarjeta de Débito</v>
      </c>
      <c r="N2519" s="20" t="str">
        <f t="shared" si="2"/>
        <v>2024 02</v>
      </c>
    </row>
    <row r="2520" ht="22.5" customHeight="1">
      <c r="A2520" s="12">
        <f>IFERROR(__xludf.DUMMYFUNCTION("""COMPUTED_VALUE"""),471.0)</f>
        <v>471</v>
      </c>
      <c r="B2520" s="13">
        <f>IFERROR(__xludf.DUMMYFUNCTION("""COMPUTED_VALUE"""),45329.0)</f>
        <v>45329</v>
      </c>
      <c r="C2520" s="12">
        <f>IFERROR(__xludf.DUMMYFUNCTION("""COMPUTED_VALUE"""),108.0)</f>
        <v>108</v>
      </c>
      <c r="D2520" s="12">
        <f>IFERROR(__xludf.DUMMYFUNCTION("""COMPUTED_VALUE"""),12.0)</f>
        <v>12</v>
      </c>
      <c r="E2520" s="12">
        <f>IFERROR(__xludf.DUMMYFUNCTION("""COMPUTED_VALUE"""),6.0)</f>
        <v>6</v>
      </c>
      <c r="F2520" s="12">
        <f>IFERROR(__xludf.DUMMYFUNCTION("""COMPUTED_VALUE"""),5.0)</f>
        <v>5</v>
      </c>
      <c r="G2520" s="15" t="str">
        <f>IFERROR(__xludf.DUMMYFUNCTION("""COMPUTED_VALUE"""),"Pendiente")</f>
        <v>Pendiente</v>
      </c>
      <c r="H2520" s="16" t="str">
        <f t="array" ref="H2520">_xlfn.XLOOKUP(D2520,Productos[ID_Producto],Productos[Nombre_Producto])</f>
        <v>Pan francés</v>
      </c>
      <c r="I2520" s="17">
        <f t="array" ref="I2520">_xlfn.XLOOKUP(D2520,Productos[ID_Producto],Productos[Precio_Unitario])</f>
        <v>8.12</v>
      </c>
      <c r="J2520" s="17">
        <f t="shared" si="1"/>
        <v>48.72</v>
      </c>
      <c r="K2520" s="16" t="str">
        <f t="array" ref="K2520">_xlfn.XLOOKUP(C2520,Clientes[ID_Cliente],Clientes[Provincia])</f>
        <v>Neuquén</v>
      </c>
      <c r="L2520" s="16" t="str">
        <f t="array" ref="L2520">CONCATENATE(_xlfn.XLOOKUP(C2520,Clientes[ID_Cliente],Clientes[Provincia]),", Argentina")</f>
        <v>Neuquén, Argentina</v>
      </c>
      <c r="M2520" s="20" t="str">
        <f t="array" ref="M2520">_xlfn.XLOOKUP(F2520,Metodos_De_Pago[ID_Metodo],Metodos_De_Pago[Metodo])</f>
        <v>Transferencia</v>
      </c>
      <c r="N2520" s="20" t="str">
        <f t="shared" si="2"/>
        <v>2024 02</v>
      </c>
    </row>
    <row r="2521" ht="22.5" customHeight="1">
      <c r="A2521" s="12">
        <f>IFERROR(__xludf.DUMMYFUNCTION("""COMPUTED_VALUE"""),1725.0)</f>
        <v>1725</v>
      </c>
      <c r="B2521" s="13">
        <f>IFERROR(__xludf.DUMMYFUNCTION("""COMPUTED_VALUE"""),45331.0)</f>
        <v>45331</v>
      </c>
      <c r="C2521" s="12">
        <f>IFERROR(__xludf.DUMMYFUNCTION("""COMPUTED_VALUE"""),293.0)</f>
        <v>293</v>
      </c>
      <c r="D2521" s="12">
        <f>IFERROR(__xludf.DUMMYFUNCTION("""COMPUTED_VALUE"""),25.0)</f>
        <v>25</v>
      </c>
      <c r="E2521" s="12">
        <f>IFERROR(__xludf.DUMMYFUNCTION("""COMPUTED_VALUE"""),6.0)</f>
        <v>6</v>
      </c>
      <c r="F2521" s="12">
        <f>IFERROR(__xludf.DUMMYFUNCTION("""COMPUTED_VALUE"""),4.0)</f>
        <v>4</v>
      </c>
      <c r="G2521" s="15" t="str">
        <f>IFERROR(__xludf.DUMMYFUNCTION("""COMPUTED_VALUE"""),"Completa")</f>
        <v>Completa</v>
      </c>
      <c r="H2521" s="16" t="str">
        <f t="array" ref="H2521">_xlfn.XLOOKUP(D2521,Productos[ID_Producto],Productos[Nombre_Producto])</f>
        <v>Pizza congelada</v>
      </c>
      <c r="I2521" s="17">
        <f t="array" ref="I2521">_xlfn.XLOOKUP(D2521,Productos[ID_Producto],Productos[Precio_Unitario])</f>
        <v>15.45</v>
      </c>
      <c r="J2521" s="17">
        <f t="shared" si="1"/>
        <v>92.7</v>
      </c>
      <c r="K2521" s="16" t="str">
        <f t="array" ref="K2521">_xlfn.XLOOKUP(C2521,Clientes[ID_Cliente],Clientes[Provincia])</f>
        <v>Neuquén</v>
      </c>
      <c r="L2521" s="16" t="str">
        <f t="array" ref="L2521">CONCATENATE(_xlfn.XLOOKUP(C2521,Clientes[ID_Cliente],Clientes[Provincia]),", Argentina")</f>
        <v>Neuquén, Argentina</v>
      </c>
      <c r="M2521" s="20" t="str">
        <f t="array" ref="M2521">_xlfn.XLOOKUP(F2521,Metodos_De_Pago[ID_Metodo],Metodos_De_Pago[Metodo])</f>
        <v>Mercado Pago</v>
      </c>
      <c r="N2521" s="20" t="str">
        <f t="shared" si="2"/>
        <v>2024 02</v>
      </c>
    </row>
    <row r="2522" ht="22.5" customHeight="1">
      <c r="A2522" s="12">
        <f>IFERROR(__xludf.DUMMYFUNCTION("""COMPUTED_VALUE"""),2610.0)</f>
        <v>2610</v>
      </c>
      <c r="B2522" s="13">
        <f>IFERROR(__xludf.DUMMYFUNCTION("""COMPUTED_VALUE"""),45331.0)</f>
        <v>45331</v>
      </c>
      <c r="C2522" s="12">
        <f>IFERROR(__xludf.DUMMYFUNCTION("""COMPUTED_VALUE"""),78.0)</f>
        <v>78</v>
      </c>
      <c r="D2522" s="12">
        <f>IFERROR(__xludf.DUMMYFUNCTION("""COMPUTED_VALUE"""),1.0)</f>
        <v>1</v>
      </c>
      <c r="E2522" s="12">
        <f>IFERROR(__xludf.DUMMYFUNCTION("""COMPUTED_VALUE"""),6.0)</f>
        <v>6</v>
      </c>
      <c r="F2522" s="12">
        <f>IFERROR(__xludf.DUMMYFUNCTION("""COMPUTED_VALUE"""),4.0)</f>
        <v>4</v>
      </c>
      <c r="G2522" s="15" t="str">
        <f>IFERROR(__xludf.DUMMYFUNCTION("""COMPUTED_VALUE"""),"Completa")</f>
        <v>Completa</v>
      </c>
      <c r="H2522" s="16" t="str">
        <f t="array" ref="H2522">_xlfn.XLOOKUP(D2522,Productos[ID_Producto],Productos[Nombre_Producto])</f>
        <v>Leche</v>
      </c>
      <c r="I2522" s="17">
        <f t="array" ref="I2522">_xlfn.XLOOKUP(D2522,Productos[ID_Producto],Productos[Precio_Unitario])</f>
        <v>12.24</v>
      </c>
      <c r="J2522" s="17">
        <f t="shared" si="1"/>
        <v>73.44</v>
      </c>
      <c r="K2522" s="16" t="str">
        <f t="array" ref="K2522">_xlfn.XLOOKUP(C2522,Clientes[ID_Cliente],Clientes[Provincia])</f>
        <v>Buenos Aires</v>
      </c>
      <c r="L2522" s="16" t="str">
        <f t="array" ref="L2522">CONCATENATE(_xlfn.XLOOKUP(C2522,Clientes[ID_Cliente],Clientes[Provincia]),", Argentina")</f>
        <v>Buenos Aires, Argentina</v>
      </c>
      <c r="M2522" s="20" t="str">
        <f t="array" ref="M2522">_xlfn.XLOOKUP(F2522,Metodos_De_Pago[ID_Metodo],Metodos_De_Pago[Metodo])</f>
        <v>Mercado Pago</v>
      </c>
      <c r="N2522" s="20" t="str">
        <f t="shared" si="2"/>
        <v>2024 02</v>
      </c>
    </row>
    <row r="2523" ht="22.5" customHeight="1">
      <c r="A2523" s="12">
        <f>IFERROR(__xludf.DUMMYFUNCTION("""COMPUTED_VALUE"""),1600.0)</f>
        <v>1600</v>
      </c>
      <c r="B2523" s="13">
        <f>IFERROR(__xludf.DUMMYFUNCTION("""COMPUTED_VALUE"""),45332.0)</f>
        <v>45332</v>
      </c>
      <c r="C2523" s="12">
        <f>IFERROR(__xludf.DUMMYFUNCTION("""COMPUTED_VALUE"""),230.0)</f>
        <v>230</v>
      </c>
      <c r="D2523" s="12">
        <f>IFERROR(__xludf.DUMMYFUNCTION("""COMPUTED_VALUE"""),24.0)</f>
        <v>24</v>
      </c>
      <c r="E2523" s="12">
        <f>IFERROR(__xludf.DUMMYFUNCTION("""COMPUTED_VALUE"""),6.0)</f>
        <v>6</v>
      </c>
      <c r="F2523" s="12">
        <f>IFERROR(__xludf.DUMMYFUNCTION("""COMPUTED_VALUE"""),3.0)</f>
        <v>3</v>
      </c>
      <c r="G2523" s="15" t="str">
        <f>IFERROR(__xludf.DUMMYFUNCTION("""COMPUTED_VALUE"""),"Completa")</f>
        <v>Completa</v>
      </c>
      <c r="H2523" s="16" t="str">
        <f t="array" ref="H2523">_xlfn.XLOOKUP(D2523,Productos[ID_Producto],Productos[Nombre_Producto])</f>
        <v>Empanadas</v>
      </c>
      <c r="I2523" s="17">
        <f t="array" ref="I2523">_xlfn.XLOOKUP(D2523,Productos[ID_Producto],Productos[Precio_Unitario])</f>
        <v>13.54</v>
      </c>
      <c r="J2523" s="17">
        <f t="shared" si="1"/>
        <v>81.24</v>
      </c>
      <c r="K2523" s="16" t="str">
        <f t="array" ref="K2523">_xlfn.XLOOKUP(C2523,Clientes[ID_Cliente],Clientes[Provincia])</f>
        <v>Córdoba</v>
      </c>
      <c r="L2523" s="16" t="str">
        <f t="array" ref="L2523">CONCATENATE(_xlfn.XLOOKUP(C2523,Clientes[ID_Cliente],Clientes[Provincia]),", Argentina")</f>
        <v>Córdoba, Argentina</v>
      </c>
      <c r="M2523" s="20" t="str">
        <f t="array" ref="M2523">_xlfn.XLOOKUP(F2523,Metodos_De_Pago[ID_Metodo],Metodos_De_Pago[Metodo])</f>
        <v>Tarjeta de Débito</v>
      </c>
      <c r="N2523" s="20" t="str">
        <f t="shared" si="2"/>
        <v>2024 02</v>
      </c>
    </row>
    <row r="2524" ht="22.5" customHeight="1">
      <c r="A2524" s="12">
        <f>IFERROR(__xludf.DUMMYFUNCTION("""COMPUTED_VALUE"""),1651.0)</f>
        <v>1651</v>
      </c>
      <c r="B2524" s="13">
        <f>IFERROR(__xludf.DUMMYFUNCTION("""COMPUTED_VALUE"""),45333.0)</f>
        <v>45333</v>
      </c>
      <c r="C2524" s="12">
        <f>IFERROR(__xludf.DUMMYFUNCTION("""COMPUTED_VALUE"""),85.0)</f>
        <v>85</v>
      </c>
      <c r="D2524" s="12">
        <f>IFERROR(__xludf.DUMMYFUNCTION("""COMPUTED_VALUE"""),13.0)</f>
        <v>13</v>
      </c>
      <c r="E2524" s="12">
        <f>IFERROR(__xludf.DUMMYFUNCTION("""COMPUTED_VALUE"""),6.0)</f>
        <v>6</v>
      </c>
      <c r="F2524" s="12">
        <f>IFERROR(__xludf.DUMMYFUNCTION("""COMPUTED_VALUE"""),4.0)</f>
        <v>4</v>
      </c>
      <c r="G2524" s="15" t="str">
        <f>IFERROR(__xludf.DUMMYFUNCTION("""COMPUTED_VALUE"""),"Completa")</f>
        <v>Completa</v>
      </c>
      <c r="H2524" s="16" t="str">
        <f t="array" ref="H2524">_xlfn.XLOOKUP(D2524,Productos[ID_Producto],Productos[Nombre_Producto])</f>
        <v>Pan integral</v>
      </c>
      <c r="I2524" s="17">
        <f t="array" ref="I2524">_xlfn.XLOOKUP(D2524,Productos[ID_Producto],Productos[Precio_Unitario])</f>
        <v>12.56</v>
      </c>
      <c r="J2524" s="17">
        <f t="shared" si="1"/>
        <v>75.36</v>
      </c>
      <c r="K2524" s="16" t="str">
        <f t="array" ref="K2524">_xlfn.XLOOKUP(C2524,Clientes[ID_Cliente],Clientes[Provincia])</f>
        <v>San Luis</v>
      </c>
      <c r="L2524" s="16" t="str">
        <f t="array" ref="L2524">CONCATENATE(_xlfn.XLOOKUP(C2524,Clientes[ID_Cliente],Clientes[Provincia]),", Argentina")</f>
        <v>San Luis, Argentina</v>
      </c>
      <c r="M2524" s="20" t="str">
        <f t="array" ref="M2524">_xlfn.XLOOKUP(F2524,Metodos_De_Pago[ID_Metodo],Metodos_De_Pago[Metodo])</f>
        <v>Mercado Pago</v>
      </c>
      <c r="N2524" s="20" t="str">
        <f t="shared" si="2"/>
        <v>2024 02</v>
      </c>
    </row>
    <row r="2525" ht="22.5" customHeight="1">
      <c r="A2525" s="12">
        <f>IFERROR(__xludf.DUMMYFUNCTION("""COMPUTED_VALUE"""),1540.0)</f>
        <v>1540</v>
      </c>
      <c r="B2525" s="13">
        <f>IFERROR(__xludf.DUMMYFUNCTION("""COMPUTED_VALUE"""),45334.0)</f>
        <v>45334</v>
      </c>
      <c r="C2525" s="12">
        <f>IFERROR(__xludf.DUMMYFUNCTION("""COMPUTED_VALUE"""),273.0)</f>
        <v>273</v>
      </c>
      <c r="D2525" s="12">
        <f>IFERROR(__xludf.DUMMYFUNCTION("""COMPUTED_VALUE"""),14.0)</f>
        <v>14</v>
      </c>
      <c r="E2525" s="12">
        <f>IFERROR(__xludf.DUMMYFUNCTION("""COMPUTED_VALUE"""),6.0)</f>
        <v>6</v>
      </c>
      <c r="F2525" s="12">
        <f>IFERROR(__xludf.DUMMYFUNCTION("""COMPUTED_VALUE"""),3.0)</f>
        <v>3</v>
      </c>
      <c r="G2525" s="15" t="str">
        <f>IFERROR(__xludf.DUMMYFUNCTION("""COMPUTED_VALUE"""),"Completa")</f>
        <v>Completa</v>
      </c>
      <c r="H2525" s="16" t="str">
        <f t="array" ref="H2525">_xlfn.XLOOKUP(D2525,Productos[ID_Producto],Productos[Nombre_Producto])</f>
        <v>Facturas</v>
      </c>
      <c r="I2525" s="17">
        <f t="array" ref="I2525">_xlfn.XLOOKUP(D2525,Productos[ID_Producto],Productos[Precio_Unitario])</f>
        <v>12.36</v>
      </c>
      <c r="J2525" s="17">
        <f t="shared" si="1"/>
        <v>74.16</v>
      </c>
      <c r="K2525" s="16" t="str">
        <f t="array" ref="K2525">_xlfn.XLOOKUP(C2525,Clientes[ID_Cliente],Clientes[Provincia])</f>
        <v>San Luis</v>
      </c>
      <c r="L2525" s="16" t="str">
        <f t="array" ref="L2525">CONCATENATE(_xlfn.XLOOKUP(C2525,Clientes[ID_Cliente],Clientes[Provincia]),", Argentina")</f>
        <v>San Luis, Argentina</v>
      </c>
      <c r="M2525" s="20" t="str">
        <f t="array" ref="M2525">_xlfn.XLOOKUP(F2525,Metodos_De_Pago[ID_Metodo],Metodos_De_Pago[Metodo])</f>
        <v>Tarjeta de Débito</v>
      </c>
      <c r="N2525" s="20" t="str">
        <f t="shared" si="2"/>
        <v>2024 02</v>
      </c>
    </row>
    <row r="2526" ht="22.5" customHeight="1">
      <c r="A2526" s="12">
        <f>IFERROR(__xludf.DUMMYFUNCTION("""COMPUTED_VALUE"""),1975.0)</f>
        <v>1975</v>
      </c>
      <c r="B2526" s="13">
        <f>IFERROR(__xludf.DUMMYFUNCTION("""COMPUTED_VALUE"""),45336.0)</f>
        <v>45336</v>
      </c>
      <c r="C2526" s="12">
        <f>IFERROR(__xludf.DUMMYFUNCTION("""COMPUTED_VALUE"""),118.0)</f>
        <v>118</v>
      </c>
      <c r="D2526" s="12">
        <f>IFERROR(__xludf.DUMMYFUNCTION("""COMPUTED_VALUE"""),4.0)</f>
        <v>4</v>
      </c>
      <c r="E2526" s="12">
        <f>IFERROR(__xludf.DUMMYFUNCTION("""COMPUTED_VALUE"""),6.0)</f>
        <v>6</v>
      </c>
      <c r="F2526" s="12">
        <f>IFERROR(__xludf.DUMMYFUNCTION("""COMPUTED_VALUE"""),5.0)</f>
        <v>5</v>
      </c>
      <c r="G2526" s="15" t="str">
        <f>IFERROR(__xludf.DUMMYFUNCTION("""COMPUTED_VALUE"""),"Completa")</f>
        <v>Completa</v>
      </c>
      <c r="H2526" s="16" t="str">
        <f t="array" ref="H2526">_xlfn.XLOOKUP(D2526,Productos[ID_Producto],Productos[Nombre_Producto])</f>
        <v>Queso rallado</v>
      </c>
      <c r="I2526" s="17">
        <f t="array" ref="I2526">_xlfn.XLOOKUP(D2526,Productos[ID_Producto],Productos[Precio_Unitario])</f>
        <v>19.23</v>
      </c>
      <c r="J2526" s="17">
        <f t="shared" si="1"/>
        <v>115.38</v>
      </c>
      <c r="K2526" s="16" t="str">
        <f t="array" ref="K2526">_xlfn.XLOOKUP(C2526,Clientes[ID_Cliente],Clientes[Provincia])</f>
        <v>Córdoba</v>
      </c>
      <c r="L2526" s="16" t="str">
        <f t="array" ref="L2526">CONCATENATE(_xlfn.XLOOKUP(C2526,Clientes[ID_Cliente],Clientes[Provincia]),", Argentina")</f>
        <v>Córdoba, Argentina</v>
      </c>
      <c r="M2526" s="20" t="str">
        <f t="array" ref="M2526">_xlfn.XLOOKUP(F2526,Metodos_De_Pago[ID_Metodo],Metodos_De_Pago[Metodo])</f>
        <v>Transferencia</v>
      </c>
      <c r="N2526" s="20" t="str">
        <f t="shared" si="2"/>
        <v>2024 02</v>
      </c>
    </row>
    <row r="2527" ht="22.5" customHeight="1">
      <c r="A2527" s="12">
        <f>IFERROR(__xludf.DUMMYFUNCTION("""COMPUTED_VALUE"""),2559.0)</f>
        <v>2559</v>
      </c>
      <c r="B2527" s="13">
        <f>IFERROR(__xludf.DUMMYFUNCTION("""COMPUTED_VALUE"""),45336.0)</f>
        <v>45336</v>
      </c>
      <c r="C2527" s="12">
        <f>IFERROR(__xludf.DUMMYFUNCTION("""COMPUTED_VALUE"""),87.0)</f>
        <v>87</v>
      </c>
      <c r="D2527" s="12">
        <f>IFERROR(__xludf.DUMMYFUNCTION("""COMPUTED_VALUE"""),15.0)</f>
        <v>15</v>
      </c>
      <c r="E2527" s="12">
        <f>IFERROR(__xludf.DUMMYFUNCTION("""COMPUTED_VALUE"""),6.0)</f>
        <v>6</v>
      </c>
      <c r="F2527" s="12">
        <f>IFERROR(__xludf.DUMMYFUNCTION("""COMPUTED_VALUE"""),1.0)</f>
        <v>1</v>
      </c>
      <c r="G2527" s="15" t="str">
        <f>IFERROR(__xludf.DUMMYFUNCTION("""COMPUTED_VALUE"""),"Pendiente")</f>
        <v>Pendiente</v>
      </c>
      <c r="H2527" s="16" t="str">
        <f t="array" ref="H2527">_xlfn.XLOOKUP(D2527,Productos[ID_Producto],Productos[Nombre_Producto])</f>
        <v>Medialunas</v>
      </c>
      <c r="I2527" s="17">
        <f t="array" ref="I2527">_xlfn.XLOOKUP(D2527,Productos[ID_Producto],Productos[Precio_Unitario])</f>
        <v>3.51</v>
      </c>
      <c r="J2527" s="17">
        <f t="shared" si="1"/>
        <v>21.06</v>
      </c>
      <c r="K2527" s="16" t="str">
        <f t="array" ref="K2527">_xlfn.XLOOKUP(C2527,Clientes[ID_Cliente],Clientes[Provincia])</f>
        <v>Neuquén</v>
      </c>
      <c r="L2527" s="16" t="str">
        <f t="array" ref="L2527">CONCATENATE(_xlfn.XLOOKUP(C2527,Clientes[ID_Cliente],Clientes[Provincia]),", Argentina")</f>
        <v>Neuquén, Argentina</v>
      </c>
      <c r="M2527" s="20" t="str">
        <f t="array" ref="M2527">_xlfn.XLOOKUP(F2527,Metodos_De_Pago[ID_Metodo],Metodos_De_Pago[Metodo])</f>
        <v>Efectivo</v>
      </c>
      <c r="N2527" s="20" t="str">
        <f t="shared" si="2"/>
        <v>2024 02</v>
      </c>
    </row>
    <row r="2528" ht="22.5" customHeight="1">
      <c r="A2528" s="12">
        <f>IFERROR(__xludf.DUMMYFUNCTION("""COMPUTED_VALUE"""),627.0)</f>
        <v>627</v>
      </c>
      <c r="B2528" s="13">
        <f>IFERROR(__xludf.DUMMYFUNCTION("""COMPUTED_VALUE"""),45337.0)</f>
        <v>45337</v>
      </c>
      <c r="C2528" s="12">
        <f>IFERROR(__xludf.DUMMYFUNCTION("""COMPUTED_VALUE"""),312.0)</f>
        <v>312</v>
      </c>
      <c r="D2528" s="12">
        <f>IFERROR(__xludf.DUMMYFUNCTION("""COMPUTED_VALUE"""),24.0)</f>
        <v>24</v>
      </c>
      <c r="E2528" s="12">
        <f>IFERROR(__xludf.DUMMYFUNCTION("""COMPUTED_VALUE"""),6.0)</f>
        <v>6</v>
      </c>
      <c r="F2528" s="12">
        <f>IFERROR(__xludf.DUMMYFUNCTION("""COMPUTED_VALUE"""),5.0)</f>
        <v>5</v>
      </c>
      <c r="G2528" s="15" t="str">
        <f>IFERROR(__xludf.DUMMYFUNCTION("""COMPUTED_VALUE"""),"Completa")</f>
        <v>Completa</v>
      </c>
      <c r="H2528" s="16" t="str">
        <f t="array" ref="H2528">_xlfn.XLOOKUP(D2528,Productos[ID_Producto],Productos[Nombre_Producto])</f>
        <v>Empanadas</v>
      </c>
      <c r="I2528" s="17">
        <f t="array" ref="I2528">_xlfn.XLOOKUP(D2528,Productos[ID_Producto],Productos[Precio_Unitario])</f>
        <v>13.54</v>
      </c>
      <c r="J2528" s="17">
        <f t="shared" si="1"/>
        <v>81.24</v>
      </c>
      <c r="K2528" s="16" t="str">
        <f t="array" ref="K2528">_xlfn.XLOOKUP(C2528,Clientes[ID_Cliente],Clientes[Provincia])</f>
        <v>San Luis</v>
      </c>
      <c r="L2528" s="16" t="str">
        <f t="array" ref="L2528">CONCATENATE(_xlfn.XLOOKUP(C2528,Clientes[ID_Cliente],Clientes[Provincia]),", Argentina")</f>
        <v>San Luis, Argentina</v>
      </c>
      <c r="M2528" s="20" t="str">
        <f t="array" ref="M2528">_xlfn.XLOOKUP(F2528,Metodos_De_Pago[ID_Metodo],Metodos_De_Pago[Metodo])</f>
        <v>Transferencia</v>
      </c>
      <c r="N2528" s="20" t="str">
        <f t="shared" si="2"/>
        <v>2024 02</v>
      </c>
    </row>
    <row r="2529" ht="22.5" customHeight="1">
      <c r="A2529" s="12">
        <f>IFERROR(__xludf.DUMMYFUNCTION("""COMPUTED_VALUE"""),2362.0)</f>
        <v>2362</v>
      </c>
      <c r="B2529" s="13">
        <f>IFERROR(__xludf.DUMMYFUNCTION("""COMPUTED_VALUE"""),45338.0)</f>
        <v>45338</v>
      </c>
      <c r="C2529" s="12">
        <f>IFERROR(__xludf.DUMMYFUNCTION("""COMPUTED_VALUE"""),109.0)</f>
        <v>109</v>
      </c>
      <c r="D2529" s="12">
        <f>IFERROR(__xludf.DUMMYFUNCTION("""COMPUTED_VALUE"""),36.0)</f>
        <v>36</v>
      </c>
      <c r="E2529" s="12">
        <f>IFERROR(__xludf.DUMMYFUNCTION("""COMPUTED_VALUE"""),6.0)</f>
        <v>6</v>
      </c>
      <c r="F2529" s="12">
        <f>IFERROR(__xludf.DUMMYFUNCTION("""COMPUTED_VALUE"""),1.0)</f>
        <v>1</v>
      </c>
      <c r="G2529" s="15" t="str">
        <f>IFERROR(__xludf.DUMMYFUNCTION("""COMPUTED_VALUE"""),"Completa")</f>
        <v>Completa</v>
      </c>
      <c r="H2529" s="16" t="str">
        <f t="array" ref="H2529">_xlfn.XLOOKUP(D2529,Productos[ID_Producto],Productos[Nombre_Producto])</f>
        <v>Lentejas</v>
      </c>
      <c r="I2529" s="17">
        <f t="array" ref="I2529">_xlfn.XLOOKUP(D2529,Productos[ID_Producto],Productos[Precio_Unitario])</f>
        <v>3.25</v>
      </c>
      <c r="J2529" s="17">
        <f t="shared" si="1"/>
        <v>19.5</v>
      </c>
      <c r="K2529" s="16" t="str">
        <f t="array" ref="K2529">_xlfn.XLOOKUP(C2529,Clientes[ID_Cliente],Clientes[Provincia])</f>
        <v>San Luis</v>
      </c>
      <c r="L2529" s="16" t="str">
        <f t="array" ref="L2529">CONCATENATE(_xlfn.XLOOKUP(C2529,Clientes[ID_Cliente],Clientes[Provincia]),", Argentina")</f>
        <v>San Luis, Argentina</v>
      </c>
      <c r="M2529" s="20" t="str">
        <f t="array" ref="M2529">_xlfn.XLOOKUP(F2529,Metodos_De_Pago[ID_Metodo],Metodos_De_Pago[Metodo])</f>
        <v>Efectivo</v>
      </c>
      <c r="N2529" s="20" t="str">
        <f t="shared" si="2"/>
        <v>2024 02</v>
      </c>
    </row>
    <row r="2530" ht="22.5" customHeight="1">
      <c r="A2530" s="12">
        <f>IFERROR(__xludf.DUMMYFUNCTION("""COMPUTED_VALUE"""),386.0)</f>
        <v>386</v>
      </c>
      <c r="B2530" s="13">
        <f>IFERROR(__xludf.DUMMYFUNCTION("""COMPUTED_VALUE"""),45339.0)</f>
        <v>45339</v>
      </c>
      <c r="C2530" s="12">
        <f>IFERROR(__xludf.DUMMYFUNCTION("""COMPUTED_VALUE"""),250.0)</f>
        <v>250</v>
      </c>
      <c r="D2530" s="12">
        <f>IFERROR(__xludf.DUMMYFUNCTION("""COMPUTED_VALUE"""),32.0)</f>
        <v>32</v>
      </c>
      <c r="E2530" s="12">
        <f>IFERROR(__xludf.DUMMYFUNCTION("""COMPUTED_VALUE"""),6.0)</f>
        <v>6</v>
      </c>
      <c r="F2530" s="12">
        <f>IFERROR(__xludf.DUMMYFUNCTION("""COMPUTED_VALUE"""),5.0)</f>
        <v>5</v>
      </c>
      <c r="G2530" s="15" t="str">
        <f>IFERROR(__xludf.DUMMYFUNCTION("""COMPUTED_VALUE"""),"Pendiente")</f>
        <v>Pendiente</v>
      </c>
      <c r="H2530" s="16" t="str">
        <f t="array" ref="H2530">_xlfn.XLOOKUP(D2530,Productos[ID_Producto],Productos[Nombre_Producto])</f>
        <v>Galletitas de chocolate</v>
      </c>
      <c r="I2530" s="17">
        <f t="array" ref="I2530">_xlfn.XLOOKUP(D2530,Productos[ID_Producto],Productos[Precio_Unitario])</f>
        <v>6.25</v>
      </c>
      <c r="J2530" s="17">
        <f t="shared" si="1"/>
        <v>37.5</v>
      </c>
      <c r="K2530" s="16" t="str">
        <f t="array" ref="K2530">_xlfn.XLOOKUP(C2530,Clientes[ID_Cliente],Clientes[Provincia])</f>
        <v>Córdoba</v>
      </c>
      <c r="L2530" s="16" t="str">
        <f t="array" ref="L2530">CONCATENATE(_xlfn.XLOOKUP(C2530,Clientes[ID_Cliente],Clientes[Provincia]),", Argentina")</f>
        <v>Córdoba, Argentina</v>
      </c>
      <c r="M2530" s="20" t="str">
        <f t="array" ref="M2530">_xlfn.XLOOKUP(F2530,Metodos_De_Pago[ID_Metodo],Metodos_De_Pago[Metodo])</f>
        <v>Transferencia</v>
      </c>
      <c r="N2530" s="20" t="str">
        <f t="shared" si="2"/>
        <v>2024 02</v>
      </c>
    </row>
    <row r="2531" ht="22.5" customHeight="1">
      <c r="A2531" s="12">
        <f>IFERROR(__xludf.DUMMYFUNCTION("""COMPUTED_VALUE"""),1079.0)</f>
        <v>1079</v>
      </c>
      <c r="B2531" s="13">
        <f>IFERROR(__xludf.DUMMYFUNCTION("""COMPUTED_VALUE"""),45339.0)</f>
        <v>45339</v>
      </c>
      <c r="C2531" s="12">
        <f>IFERROR(__xludf.DUMMYFUNCTION("""COMPUTED_VALUE"""),8.0)</f>
        <v>8</v>
      </c>
      <c r="D2531" s="12">
        <f>IFERROR(__xludf.DUMMYFUNCTION("""COMPUTED_VALUE"""),31.0)</f>
        <v>31</v>
      </c>
      <c r="E2531" s="12">
        <f>IFERROR(__xludf.DUMMYFUNCTION("""COMPUTED_VALUE"""),6.0)</f>
        <v>6</v>
      </c>
      <c r="F2531" s="12">
        <f>IFERROR(__xludf.DUMMYFUNCTION("""COMPUTED_VALUE"""),3.0)</f>
        <v>3</v>
      </c>
      <c r="G2531" s="15" t="str">
        <f>IFERROR(__xludf.DUMMYFUNCTION("""COMPUTED_VALUE"""),"Completa")</f>
        <v>Completa</v>
      </c>
      <c r="H2531" s="16" t="str">
        <f t="array" ref="H2531">_xlfn.XLOOKUP(D2531,Productos[ID_Producto],Productos[Nombre_Producto])</f>
        <v>Galletitas de agua</v>
      </c>
      <c r="I2531" s="17">
        <f t="array" ref="I2531">_xlfn.XLOOKUP(D2531,Productos[ID_Producto],Productos[Precio_Unitario])</f>
        <v>5.24</v>
      </c>
      <c r="J2531" s="17">
        <f t="shared" si="1"/>
        <v>31.44</v>
      </c>
      <c r="K2531" s="16" t="str">
        <f t="array" ref="K2531">_xlfn.XLOOKUP(C2531,Clientes[ID_Cliente],Clientes[Provincia])</f>
        <v>Buenos Aires</v>
      </c>
      <c r="L2531" s="16" t="str">
        <f t="array" ref="L2531">CONCATENATE(_xlfn.XLOOKUP(C2531,Clientes[ID_Cliente],Clientes[Provincia]),", Argentina")</f>
        <v>Buenos Aires, Argentina</v>
      </c>
      <c r="M2531" s="20" t="str">
        <f t="array" ref="M2531">_xlfn.XLOOKUP(F2531,Metodos_De_Pago[ID_Metodo],Metodos_De_Pago[Metodo])</f>
        <v>Tarjeta de Débito</v>
      </c>
      <c r="N2531" s="20" t="str">
        <f t="shared" si="2"/>
        <v>2024 02</v>
      </c>
    </row>
    <row r="2532" ht="22.5" customHeight="1">
      <c r="A2532" s="12">
        <f>IFERROR(__xludf.DUMMYFUNCTION("""COMPUTED_VALUE"""),2634.0)</f>
        <v>2634</v>
      </c>
      <c r="B2532" s="13">
        <f>IFERROR(__xludf.DUMMYFUNCTION("""COMPUTED_VALUE"""),45339.0)</f>
        <v>45339</v>
      </c>
      <c r="C2532" s="12">
        <f>IFERROR(__xludf.DUMMYFUNCTION("""COMPUTED_VALUE"""),31.0)</f>
        <v>31</v>
      </c>
      <c r="D2532" s="12">
        <f>IFERROR(__xludf.DUMMYFUNCTION("""COMPUTED_VALUE"""),15.0)</f>
        <v>15</v>
      </c>
      <c r="E2532" s="12">
        <f>IFERROR(__xludf.DUMMYFUNCTION("""COMPUTED_VALUE"""),6.0)</f>
        <v>6</v>
      </c>
      <c r="F2532" s="12">
        <f>IFERROR(__xludf.DUMMYFUNCTION("""COMPUTED_VALUE"""),5.0)</f>
        <v>5</v>
      </c>
      <c r="G2532" s="15" t="str">
        <f>IFERROR(__xludf.DUMMYFUNCTION("""COMPUTED_VALUE"""),"Completa")</f>
        <v>Completa</v>
      </c>
      <c r="H2532" s="16" t="str">
        <f t="array" ref="H2532">_xlfn.XLOOKUP(D2532,Productos[ID_Producto],Productos[Nombre_Producto])</f>
        <v>Medialunas</v>
      </c>
      <c r="I2532" s="17">
        <f t="array" ref="I2532">_xlfn.XLOOKUP(D2532,Productos[ID_Producto],Productos[Precio_Unitario])</f>
        <v>3.51</v>
      </c>
      <c r="J2532" s="17">
        <f t="shared" si="1"/>
        <v>21.06</v>
      </c>
      <c r="K2532" s="16" t="str">
        <f t="array" ref="K2532">_xlfn.XLOOKUP(C2532,Clientes[ID_Cliente],Clientes[Provincia])</f>
        <v>Córdoba</v>
      </c>
      <c r="L2532" s="16" t="str">
        <f t="array" ref="L2532">CONCATENATE(_xlfn.XLOOKUP(C2532,Clientes[ID_Cliente],Clientes[Provincia]),", Argentina")</f>
        <v>Córdoba, Argentina</v>
      </c>
      <c r="M2532" s="20" t="str">
        <f t="array" ref="M2532">_xlfn.XLOOKUP(F2532,Metodos_De_Pago[ID_Metodo],Metodos_De_Pago[Metodo])</f>
        <v>Transferencia</v>
      </c>
      <c r="N2532" s="20" t="str">
        <f t="shared" si="2"/>
        <v>2024 02</v>
      </c>
    </row>
    <row r="2533" ht="22.5" customHeight="1">
      <c r="A2533" s="12">
        <f>IFERROR(__xludf.DUMMYFUNCTION("""COMPUTED_VALUE"""),1007.0)</f>
        <v>1007</v>
      </c>
      <c r="B2533" s="13">
        <f>IFERROR(__xludf.DUMMYFUNCTION("""COMPUTED_VALUE"""),45340.0)</f>
        <v>45340</v>
      </c>
      <c r="C2533" s="12">
        <f>IFERROR(__xludf.DUMMYFUNCTION("""COMPUTED_VALUE"""),77.0)</f>
        <v>77</v>
      </c>
      <c r="D2533" s="12">
        <f>IFERROR(__xludf.DUMMYFUNCTION("""COMPUTED_VALUE"""),11.0)</f>
        <v>11</v>
      </c>
      <c r="E2533" s="12">
        <f>IFERROR(__xludf.DUMMYFUNCTION("""COMPUTED_VALUE"""),6.0)</f>
        <v>6</v>
      </c>
      <c r="F2533" s="12">
        <f>IFERROR(__xludf.DUMMYFUNCTION("""COMPUTED_VALUE"""),5.0)</f>
        <v>5</v>
      </c>
      <c r="G2533" s="15" t="str">
        <f>IFERROR(__xludf.DUMMYFUNCTION("""COMPUTED_VALUE"""),"Completa")</f>
        <v>Completa</v>
      </c>
      <c r="H2533" s="16" t="str">
        <f t="array" ref="H2533">_xlfn.XLOOKUP(D2533,Productos[ID_Producto],Productos[Nombre_Producto])</f>
        <v>Salchicha</v>
      </c>
      <c r="I2533" s="17">
        <f t="array" ref="I2533">_xlfn.XLOOKUP(D2533,Productos[ID_Producto],Productos[Precio_Unitario])</f>
        <v>11.23</v>
      </c>
      <c r="J2533" s="17">
        <f t="shared" si="1"/>
        <v>67.38</v>
      </c>
      <c r="K2533" s="16" t="str">
        <f t="array" ref="K2533">_xlfn.XLOOKUP(C2533,Clientes[ID_Cliente],Clientes[Provincia])</f>
        <v>Buenos Aires</v>
      </c>
      <c r="L2533" s="16" t="str">
        <f t="array" ref="L2533">CONCATENATE(_xlfn.XLOOKUP(C2533,Clientes[ID_Cliente],Clientes[Provincia]),", Argentina")</f>
        <v>Buenos Aires, Argentina</v>
      </c>
      <c r="M2533" s="20" t="str">
        <f t="array" ref="M2533">_xlfn.XLOOKUP(F2533,Metodos_De_Pago[ID_Metodo],Metodos_De_Pago[Metodo])</f>
        <v>Transferencia</v>
      </c>
      <c r="N2533" s="20" t="str">
        <f t="shared" si="2"/>
        <v>2024 02</v>
      </c>
    </row>
    <row r="2534" ht="22.5" customHeight="1">
      <c r="A2534" s="12">
        <f>IFERROR(__xludf.DUMMYFUNCTION("""COMPUTED_VALUE"""),11.0)</f>
        <v>11</v>
      </c>
      <c r="B2534" s="13">
        <f>IFERROR(__xludf.DUMMYFUNCTION("""COMPUTED_VALUE"""),45342.0)</f>
        <v>45342</v>
      </c>
      <c r="C2534" s="12">
        <f>IFERROR(__xludf.DUMMYFUNCTION("""COMPUTED_VALUE"""),237.0)</f>
        <v>237</v>
      </c>
      <c r="D2534" s="12">
        <f>IFERROR(__xludf.DUMMYFUNCTION("""COMPUTED_VALUE"""),25.0)</f>
        <v>25</v>
      </c>
      <c r="E2534" s="12">
        <f>IFERROR(__xludf.DUMMYFUNCTION("""COMPUTED_VALUE"""),6.0)</f>
        <v>6</v>
      </c>
      <c r="F2534" s="12">
        <f>IFERROR(__xludf.DUMMYFUNCTION("""COMPUTED_VALUE"""),1.0)</f>
        <v>1</v>
      </c>
      <c r="G2534" s="15" t="str">
        <f>IFERROR(__xludf.DUMMYFUNCTION("""COMPUTED_VALUE"""),"Completa")</f>
        <v>Completa</v>
      </c>
      <c r="H2534" s="16" t="str">
        <f t="array" ref="H2534">_xlfn.XLOOKUP(D2534,Productos[ID_Producto],Productos[Nombre_Producto])</f>
        <v>Pizza congelada</v>
      </c>
      <c r="I2534" s="17">
        <f t="array" ref="I2534">_xlfn.XLOOKUP(D2534,Productos[ID_Producto],Productos[Precio_Unitario])</f>
        <v>15.45</v>
      </c>
      <c r="J2534" s="17">
        <f t="shared" si="1"/>
        <v>92.7</v>
      </c>
      <c r="K2534" s="16" t="str">
        <f t="array" ref="K2534">_xlfn.XLOOKUP(C2534,Clientes[ID_Cliente],Clientes[Provincia])</f>
        <v>Buenos Aires</v>
      </c>
      <c r="L2534" s="16" t="str">
        <f t="array" ref="L2534">CONCATENATE(_xlfn.XLOOKUP(C2534,Clientes[ID_Cliente],Clientes[Provincia]),", Argentina")</f>
        <v>Buenos Aires, Argentina</v>
      </c>
      <c r="M2534" s="20" t="str">
        <f t="array" ref="M2534">_xlfn.XLOOKUP(F2534,Metodos_De_Pago[ID_Metodo],Metodos_De_Pago[Metodo])</f>
        <v>Efectivo</v>
      </c>
      <c r="N2534" s="20" t="str">
        <f t="shared" si="2"/>
        <v>2024 02</v>
      </c>
    </row>
    <row r="2535" ht="22.5" customHeight="1">
      <c r="A2535" s="12">
        <f>IFERROR(__xludf.DUMMYFUNCTION("""COMPUTED_VALUE"""),1184.0)</f>
        <v>1184</v>
      </c>
      <c r="B2535" s="13">
        <f>IFERROR(__xludf.DUMMYFUNCTION("""COMPUTED_VALUE"""),45344.0)</f>
        <v>45344</v>
      </c>
      <c r="C2535" s="12">
        <f>IFERROR(__xludf.DUMMYFUNCTION("""COMPUTED_VALUE"""),106.0)</f>
        <v>106</v>
      </c>
      <c r="D2535" s="12">
        <f>IFERROR(__xludf.DUMMYFUNCTION("""COMPUTED_VALUE"""),38.0)</f>
        <v>38</v>
      </c>
      <c r="E2535" s="12">
        <f>IFERROR(__xludf.DUMMYFUNCTION("""COMPUTED_VALUE"""),6.0)</f>
        <v>6</v>
      </c>
      <c r="F2535" s="12">
        <f>IFERROR(__xludf.DUMMYFUNCTION("""COMPUTED_VALUE"""),5.0)</f>
        <v>5</v>
      </c>
      <c r="G2535" s="15" t="str">
        <f>IFERROR(__xludf.DUMMYFUNCTION("""COMPUTED_VALUE"""),"Completa")</f>
        <v>Completa</v>
      </c>
      <c r="H2535" s="16" t="str">
        <f t="array" ref="H2535">_xlfn.XLOOKUP(D2535,Productos[ID_Producto],Productos[Nombre_Producto])</f>
        <v>Atún enlatado</v>
      </c>
      <c r="I2535" s="17">
        <f t="array" ref="I2535">_xlfn.XLOOKUP(D2535,Productos[ID_Producto],Productos[Precio_Unitario])</f>
        <v>6.21</v>
      </c>
      <c r="J2535" s="17">
        <f t="shared" si="1"/>
        <v>37.26</v>
      </c>
      <c r="K2535" s="16" t="str">
        <f t="array" ref="K2535">_xlfn.XLOOKUP(C2535,Clientes[ID_Cliente],Clientes[Provincia])</f>
        <v>Chaco</v>
      </c>
      <c r="L2535" s="16" t="str">
        <f t="array" ref="L2535">CONCATENATE(_xlfn.XLOOKUP(C2535,Clientes[ID_Cliente],Clientes[Provincia]),", Argentina")</f>
        <v>Chaco, Argentina</v>
      </c>
      <c r="M2535" s="20" t="str">
        <f t="array" ref="M2535">_xlfn.XLOOKUP(F2535,Metodos_De_Pago[ID_Metodo],Metodos_De_Pago[Metodo])</f>
        <v>Transferencia</v>
      </c>
      <c r="N2535" s="20" t="str">
        <f t="shared" si="2"/>
        <v>2024 02</v>
      </c>
    </row>
    <row r="2536" ht="22.5" customHeight="1">
      <c r="A2536" s="12">
        <f>IFERROR(__xludf.DUMMYFUNCTION("""COMPUTED_VALUE"""),2235.0)</f>
        <v>2235</v>
      </c>
      <c r="B2536" s="13">
        <f>IFERROR(__xludf.DUMMYFUNCTION("""COMPUTED_VALUE"""),45344.0)</f>
        <v>45344</v>
      </c>
      <c r="C2536" s="12">
        <f>IFERROR(__xludf.DUMMYFUNCTION("""COMPUTED_VALUE"""),20.0)</f>
        <v>20</v>
      </c>
      <c r="D2536" s="12">
        <f>IFERROR(__xludf.DUMMYFUNCTION("""COMPUTED_VALUE"""),28.0)</f>
        <v>28</v>
      </c>
      <c r="E2536" s="12">
        <f>IFERROR(__xludf.DUMMYFUNCTION("""COMPUTED_VALUE"""),6.0)</f>
        <v>6</v>
      </c>
      <c r="F2536" s="12">
        <f>IFERROR(__xludf.DUMMYFUNCTION("""COMPUTED_VALUE"""),5.0)</f>
        <v>5</v>
      </c>
      <c r="G2536" s="15" t="str">
        <f>IFERROR(__xludf.DUMMYFUNCTION("""COMPUTED_VALUE"""),"Completa")</f>
        <v>Completa</v>
      </c>
      <c r="H2536" s="16" t="str">
        <f t="array" ref="H2536">_xlfn.XLOOKUP(D2536,Productos[ID_Producto],Productos[Nombre_Producto])</f>
        <v>Jugos de frutas</v>
      </c>
      <c r="I2536" s="17">
        <f t="array" ref="I2536">_xlfn.XLOOKUP(D2536,Productos[ID_Producto],Productos[Precio_Unitario])</f>
        <v>9.45</v>
      </c>
      <c r="J2536" s="17">
        <f t="shared" si="1"/>
        <v>56.7</v>
      </c>
      <c r="K2536" s="16" t="str">
        <f t="array" ref="K2536">_xlfn.XLOOKUP(C2536,Clientes[ID_Cliente],Clientes[Provincia])</f>
        <v>San Luis</v>
      </c>
      <c r="L2536" s="16" t="str">
        <f t="array" ref="L2536">CONCATENATE(_xlfn.XLOOKUP(C2536,Clientes[ID_Cliente],Clientes[Provincia]),", Argentina")</f>
        <v>San Luis, Argentina</v>
      </c>
      <c r="M2536" s="20" t="str">
        <f t="array" ref="M2536">_xlfn.XLOOKUP(F2536,Metodos_De_Pago[ID_Metodo],Metodos_De_Pago[Metodo])</f>
        <v>Transferencia</v>
      </c>
      <c r="N2536" s="20" t="str">
        <f t="shared" si="2"/>
        <v>2024 02</v>
      </c>
    </row>
    <row r="2537" ht="22.5" customHeight="1">
      <c r="A2537" s="12">
        <f>IFERROR(__xludf.DUMMYFUNCTION("""COMPUTED_VALUE"""),1287.0)</f>
        <v>1287</v>
      </c>
      <c r="B2537" s="13">
        <f>IFERROR(__xludf.DUMMYFUNCTION("""COMPUTED_VALUE"""),45348.0)</f>
        <v>45348</v>
      </c>
      <c r="C2537" s="12">
        <f>IFERROR(__xludf.DUMMYFUNCTION("""COMPUTED_VALUE"""),22.0)</f>
        <v>22</v>
      </c>
      <c r="D2537" s="12">
        <f>IFERROR(__xludf.DUMMYFUNCTION("""COMPUTED_VALUE"""),25.0)</f>
        <v>25</v>
      </c>
      <c r="E2537" s="12">
        <f>IFERROR(__xludf.DUMMYFUNCTION("""COMPUTED_VALUE"""),6.0)</f>
        <v>6</v>
      </c>
      <c r="F2537" s="12">
        <f>IFERROR(__xludf.DUMMYFUNCTION("""COMPUTED_VALUE"""),1.0)</f>
        <v>1</v>
      </c>
      <c r="G2537" s="15" t="str">
        <f>IFERROR(__xludf.DUMMYFUNCTION("""COMPUTED_VALUE"""),"Completa")</f>
        <v>Completa</v>
      </c>
      <c r="H2537" s="16" t="str">
        <f t="array" ref="H2537">_xlfn.XLOOKUP(D2537,Productos[ID_Producto],Productos[Nombre_Producto])</f>
        <v>Pizza congelada</v>
      </c>
      <c r="I2537" s="17">
        <f t="array" ref="I2537">_xlfn.XLOOKUP(D2537,Productos[ID_Producto],Productos[Precio_Unitario])</f>
        <v>15.45</v>
      </c>
      <c r="J2537" s="17">
        <f t="shared" si="1"/>
        <v>92.7</v>
      </c>
      <c r="K2537" s="16" t="str">
        <f t="array" ref="K2537">_xlfn.XLOOKUP(C2537,Clientes[ID_Cliente],Clientes[Provincia])</f>
        <v>Córdoba</v>
      </c>
      <c r="L2537" s="16" t="str">
        <f t="array" ref="L2537">CONCATENATE(_xlfn.XLOOKUP(C2537,Clientes[ID_Cliente],Clientes[Provincia]),", Argentina")</f>
        <v>Córdoba, Argentina</v>
      </c>
      <c r="M2537" s="20" t="str">
        <f t="array" ref="M2537">_xlfn.XLOOKUP(F2537,Metodos_De_Pago[ID_Metodo],Metodos_De_Pago[Metodo])</f>
        <v>Efectivo</v>
      </c>
      <c r="N2537" s="20" t="str">
        <f t="shared" si="2"/>
        <v>2024 02</v>
      </c>
    </row>
    <row r="2538" ht="22.5" customHeight="1">
      <c r="A2538" s="12">
        <f>IFERROR(__xludf.DUMMYFUNCTION("""COMPUTED_VALUE"""),1841.0)</f>
        <v>1841</v>
      </c>
      <c r="B2538" s="13">
        <f>IFERROR(__xludf.DUMMYFUNCTION("""COMPUTED_VALUE"""),45349.0)</f>
        <v>45349</v>
      </c>
      <c r="C2538" s="12">
        <f>IFERROR(__xludf.DUMMYFUNCTION("""COMPUTED_VALUE"""),37.0)</f>
        <v>37</v>
      </c>
      <c r="D2538" s="12">
        <f>IFERROR(__xludf.DUMMYFUNCTION("""COMPUTED_VALUE"""),38.0)</f>
        <v>38</v>
      </c>
      <c r="E2538" s="12">
        <f>IFERROR(__xludf.DUMMYFUNCTION("""COMPUTED_VALUE"""),6.0)</f>
        <v>6</v>
      </c>
      <c r="F2538" s="12">
        <f>IFERROR(__xludf.DUMMYFUNCTION("""COMPUTED_VALUE"""),5.0)</f>
        <v>5</v>
      </c>
      <c r="G2538" s="15" t="str">
        <f>IFERROR(__xludf.DUMMYFUNCTION("""COMPUTED_VALUE"""),"Completa")</f>
        <v>Completa</v>
      </c>
      <c r="H2538" s="16" t="str">
        <f t="array" ref="H2538">_xlfn.XLOOKUP(D2538,Productos[ID_Producto],Productos[Nombre_Producto])</f>
        <v>Atún enlatado</v>
      </c>
      <c r="I2538" s="17">
        <f t="array" ref="I2538">_xlfn.XLOOKUP(D2538,Productos[ID_Producto],Productos[Precio_Unitario])</f>
        <v>6.21</v>
      </c>
      <c r="J2538" s="17">
        <f t="shared" si="1"/>
        <v>37.26</v>
      </c>
      <c r="K2538" s="16" t="str">
        <f t="array" ref="K2538">_xlfn.XLOOKUP(C2538,Clientes[ID_Cliente],Clientes[Provincia])</f>
        <v>San Luis</v>
      </c>
      <c r="L2538" s="16" t="str">
        <f t="array" ref="L2538">CONCATENATE(_xlfn.XLOOKUP(C2538,Clientes[ID_Cliente],Clientes[Provincia]),", Argentina")</f>
        <v>San Luis, Argentina</v>
      </c>
      <c r="M2538" s="20" t="str">
        <f t="array" ref="M2538">_xlfn.XLOOKUP(F2538,Metodos_De_Pago[ID_Metodo],Metodos_De_Pago[Metodo])</f>
        <v>Transferencia</v>
      </c>
      <c r="N2538" s="20" t="str">
        <f t="shared" si="2"/>
        <v>2024 02</v>
      </c>
    </row>
    <row r="2539" ht="22.5" customHeight="1">
      <c r="A2539" s="12">
        <f>IFERROR(__xludf.DUMMYFUNCTION("""COMPUTED_VALUE"""),2272.0)</f>
        <v>2272</v>
      </c>
      <c r="B2539" s="13">
        <f>IFERROR(__xludf.DUMMYFUNCTION("""COMPUTED_VALUE"""),45349.0)</f>
        <v>45349</v>
      </c>
      <c r="C2539" s="12">
        <f>IFERROR(__xludf.DUMMYFUNCTION("""COMPUTED_VALUE"""),85.0)</f>
        <v>85</v>
      </c>
      <c r="D2539" s="12">
        <f>IFERROR(__xludf.DUMMYFUNCTION("""COMPUTED_VALUE"""),16.0)</f>
        <v>16</v>
      </c>
      <c r="E2539" s="12">
        <f>IFERROR(__xludf.DUMMYFUNCTION("""COMPUTED_VALUE"""),6.0)</f>
        <v>6</v>
      </c>
      <c r="F2539" s="12">
        <f>IFERROR(__xludf.DUMMYFUNCTION("""COMPUTED_VALUE"""),4.0)</f>
        <v>4</v>
      </c>
      <c r="G2539" s="15" t="str">
        <f>IFERROR(__xludf.DUMMYFUNCTION("""COMPUTED_VALUE"""),"Completa")</f>
        <v>Completa</v>
      </c>
      <c r="H2539" s="16" t="str">
        <f t="array" ref="H2539">_xlfn.XLOOKUP(D2539,Productos[ID_Producto],Productos[Nombre_Producto])</f>
        <v>Tortas</v>
      </c>
      <c r="I2539" s="17">
        <f t="array" ref="I2539">_xlfn.XLOOKUP(D2539,Productos[ID_Producto],Productos[Precio_Unitario])</f>
        <v>15.23</v>
      </c>
      <c r="J2539" s="17">
        <f t="shared" si="1"/>
        <v>91.38</v>
      </c>
      <c r="K2539" s="16" t="str">
        <f t="array" ref="K2539">_xlfn.XLOOKUP(C2539,Clientes[ID_Cliente],Clientes[Provincia])</f>
        <v>San Luis</v>
      </c>
      <c r="L2539" s="16" t="str">
        <f t="array" ref="L2539">CONCATENATE(_xlfn.XLOOKUP(C2539,Clientes[ID_Cliente],Clientes[Provincia]),", Argentina")</f>
        <v>San Luis, Argentina</v>
      </c>
      <c r="M2539" s="20" t="str">
        <f t="array" ref="M2539">_xlfn.XLOOKUP(F2539,Metodos_De_Pago[ID_Metodo],Metodos_De_Pago[Metodo])</f>
        <v>Mercado Pago</v>
      </c>
      <c r="N2539" s="20" t="str">
        <f t="shared" si="2"/>
        <v>2024 02</v>
      </c>
    </row>
    <row r="2540" ht="22.5" customHeight="1">
      <c r="A2540" s="12">
        <f>IFERROR(__xludf.DUMMYFUNCTION("""COMPUTED_VALUE"""),271.0)</f>
        <v>271</v>
      </c>
      <c r="B2540" s="13">
        <f>IFERROR(__xludf.DUMMYFUNCTION("""COMPUTED_VALUE"""),45350.0)</f>
        <v>45350</v>
      </c>
      <c r="C2540" s="12">
        <f>IFERROR(__xludf.DUMMYFUNCTION("""COMPUTED_VALUE"""),66.0)</f>
        <v>66</v>
      </c>
      <c r="D2540" s="12">
        <f>IFERROR(__xludf.DUMMYFUNCTION("""COMPUTED_VALUE"""),6.0)</f>
        <v>6</v>
      </c>
      <c r="E2540" s="12">
        <f>IFERROR(__xludf.DUMMYFUNCTION("""COMPUTED_VALUE"""),6.0)</f>
        <v>6</v>
      </c>
      <c r="F2540" s="12">
        <f>IFERROR(__xludf.DUMMYFUNCTION("""COMPUTED_VALUE"""),4.0)</f>
        <v>4</v>
      </c>
      <c r="G2540" s="15" t="str">
        <f>IFERROR(__xludf.DUMMYFUNCTION("""COMPUTED_VALUE"""),"Completa")</f>
        <v>Completa</v>
      </c>
      <c r="H2540" s="16" t="str">
        <f t="array" ref="H2540">_xlfn.XLOOKUP(D2540,Productos[ID_Producto],Productos[Nombre_Producto])</f>
        <v>Asado</v>
      </c>
      <c r="I2540" s="17">
        <f t="array" ref="I2540">_xlfn.XLOOKUP(D2540,Productos[ID_Producto],Productos[Precio_Unitario])</f>
        <v>28.56</v>
      </c>
      <c r="J2540" s="17">
        <f t="shared" si="1"/>
        <v>171.36</v>
      </c>
      <c r="K2540" s="16" t="str">
        <f t="array" ref="K2540">_xlfn.XLOOKUP(C2540,Clientes[ID_Cliente],Clientes[Provincia])</f>
        <v>Buenos Aires</v>
      </c>
      <c r="L2540" s="16" t="str">
        <f t="array" ref="L2540">CONCATENATE(_xlfn.XLOOKUP(C2540,Clientes[ID_Cliente],Clientes[Provincia]),", Argentina")</f>
        <v>Buenos Aires, Argentina</v>
      </c>
      <c r="M2540" s="20" t="str">
        <f t="array" ref="M2540">_xlfn.XLOOKUP(F2540,Metodos_De_Pago[ID_Metodo],Metodos_De_Pago[Metodo])</f>
        <v>Mercado Pago</v>
      </c>
      <c r="N2540" s="20" t="str">
        <f t="shared" si="2"/>
        <v>2024 02</v>
      </c>
    </row>
    <row r="2541" ht="22.5" customHeight="1">
      <c r="A2541" s="12">
        <f>IFERROR(__xludf.DUMMYFUNCTION("""COMPUTED_VALUE"""),795.0)</f>
        <v>795</v>
      </c>
      <c r="B2541" s="13">
        <f>IFERROR(__xludf.DUMMYFUNCTION("""COMPUTED_VALUE"""),45350.0)</f>
        <v>45350</v>
      </c>
      <c r="C2541" s="12">
        <f>IFERROR(__xludf.DUMMYFUNCTION("""COMPUTED_VALUE"""),256.0)</f>
        <v>256</v>
      </c>
      <c r="D2541" s="12">
        <f>IFERROR(__xludf.DUMMYFUNCTION("""COMPUTED_VALUE"""),25.0)</f>
        <v>25</v>
      </c>
      <c r="E2541" s="12">
        <f>IFERROR(__xludf.DUMMYFUNCTION("""COMPUTED_VALUE"""),6.0)</f>
        <v>6</v>
      </c>
      <c r="F2541" s="12">
        <f>IFERROR(__xludf.DUMMYFUNCTION("""COMPUTED_VALUE"""),5.0)</f>
        <v>5</v>
      </c>
      <c r="G2541" s="15" t="str">
        <f>IFERROR(__xludf.DUMMYFUNCTION("""COMPUTED_VALUE"""),"Completa")</f>
        <v>Completa</v>
      </c>
      <c r="H2541" s="16" t="str">
        <f t="array" ref="H2541">_xlfn.XLOOKUP(D2541,Productos[ID_Producto],Productos[Nombre_Producto])</f>
        <v>Pizza congelada</v>
      </c>
      <c r="I2541" s="17">
        <f t="array" ref="I2541">_xlfn.XLOOKUP(D2541,Productos[ID_Producto],Productos[Precio_Unitario])</f>
        <v>15.45</v>
      </c>
      <c r="J2541" s="17">
        <f t="shared" si="1"/>
        <v>92.7</v>
      </c>
      <c r="K2541" s="16" t="str">
        <f t="array" ref="K2541">_xlfn.XLOOKUP(C2541,Clientes[ID_Cliente],Clientes[Provincia])</f>
        <v>Buenos Aires</v>
      </c>
      <c r="L2541" s="16" t="str">
        <f t="array" ref="L2541">CONCATENATE(_xlfn.XLOOKUP(C2541,Clientes[ID_Cliente],Clientes[Provincia]),", Argentina")</f>
        <v>Buenos Aires, Argentina</v>
      </c>
      <c r="M2541" s="20" t="str">
        <f t="array" ref="M2541">_xlfn.XLOOKUP(F2541,Metodos_De_Pago[ID_Metodo],Metodos_De_Pago[Metodo])</f>
        <v>Transferencia</v>
      </c>
      <c r="N2541" s="20" t="str">
        <f t="shared" si="2"/>
        <v>2024 02</v>
      </c>
    </row>
    <row r="2542" ht="22.5" customHeight="1">
      <c r="A2542" s="12">
        <f>IFERROR(__xludf.DUMMYFUNCTION("""COMPUTED_VALUE"""),1037.0)</f>
        <v>1037</v>
      </c>
      <c r="B2542" s="13">
        <f>IFERROR(__xludf.DUMMYFUNCTION("""COMPUTED_VALUE"""),45351.0)</f>
        <v>45351</v>
      </c>
      <c r="C2542" s="12">
        <f>IFERROR(__xludf.DUMMYFUNCTION("""COMPUTED_VALUE"""),48.0)</f>
        <v>48</v>
      </c>
      <c r="D2542" s="12">
        <f>IFERROR(__xludf.DUMMYFUNCTION("""COMPUTED_VALUE"""),30.0)</f>
        <v>30</v>
      </c>
      <c r="E2542" s="12">
        <f>IFERROR(__xludf.DUMMYFUNCTION("""COMPUTED_VALUE"""),6.0)</f>
        <v>6</v>
      </c>
      <c r="F2542" s="12">
        <f>IFERROR(__xludf.DUMMYFUNCTION("""COMPUTED_VALUE"""),4.0)</f>
        <v>4</v>
      </c>
      <c r="G2542" s="15" t="str">
        <f>IFERROR(__xludf.DUMMYFUNCTION("""COMPUTED_VALUE"""),"Completa")</f>
        <v>Completa</v>
      </c>
      <c r="H2542" s="16" t="str">
        <f t="array" ref="H2542">_xlfn.XLOOKUP(D2542,Productos[ID_Producto],Productos[Nombre_Producto])</f>
        <v>Vino tinto</v>
      </c>
      <c r="I2542" s="17">
        <f t="array" ref="I2542">_xlfn.XLOOKUP(D2542,Productos[ID_Producto],Productos[Precio_Unitario])</f>
        <v>13.54</v>
      </c>
      <c r="J2542" s="17">
        <f t="shared" si="1"/>
        <v>81.24</v>
      </c>
      <c r="K2542" s="16" t="str">
        <f t="array" ref="K2542">_xlfn.XLOOKUP(C2542,Clientes[ID_Cliente],Clientes[Provincia])</f>
        <v>Neuquén</v>
      </c>
      <c r="L2542" s="16" t="str">
        <f t="array" ref="L2542">CONCATENATE(_xlfn.XLOOKUP(C2542,Clientes[ID_Cliente],Clientes[Provincia]),", Argentina")</f>
        <v>Neuquén, Argentina</v>
      </c>
      <c r="M2542" s="20" t="str">
        <f t="array" ref="M2542">_xlfn.XLOOKUP(F2542,Metodos_De_Pago[ID_Metodo],Metodos_De_Pago[Metodo])</f>
        <v>Mercado Pago</v>
      </c>
      <c r="N2542" s="20" t="str">
        <f t="shared" si="2"/>
        <v>2024 02</v>
      </c>
    </row>
    <row r="2543" ht="22.5" customHeight="1">
      <c r="A2543" s="12">
        <f>IFERROR(__xludf.DUMMYFUNCTION("""COMPUTED_VALUE"""),2059.0)</f>
        <v>2059</v>
      </c>
      <c r="B2543" s="13">
        <f>IFERROR(__xludf.DUMMYFUNCTION("""COMPUTED_VALUE"""),45351.0)</f>
        <v>45351</v>
      </c>
      <c r="C2543" s="12">
        <f>IFERROR(__xludf.DUMMYFUNCTION("""COMPUTED_VALUE"""),84.0)</f>
        <v>84</v>
      </c>
      <c r="D2543" s="12">
        <f>IFERROR(__xludf.DUMMYFUNCTION("""COMPUTED_VALUE"""),20.0)</f>
        <v>20</v>
      </c>
      <c r="E2543" s="12">
        <f>IFERROR(__xludf.DUMMYFUNCTION("""COMPUTED_VALUE"""),6.0)</f>
        <v>6</v>
      </c>
      <c r="F2543" s="12">
        <f>IFERROR(__xludf.DUMMYFUNCTION("""COMPUTED_VALUE"""),3.0)</f>
        <v>3</v>
      </c>
      <c r="G2543" s="15" t="str">
        <f>IFERROR(__xludf.DUMMYFUNCTION("""COMPUTED_VALUE"""),"Completa")</f>
        <v>Completa</v>
      </c>
      <c r="H2543" s="16" t="str">
        <f t="array" ref="H2543">_xlfn.XLOOKUP(D2543,Productos[ID_Producto],Productos[Nombre_Producto])</f>
        <v>Lechugas</v>
      </c>
      <c r="I2543" s="17">
        <f t="array" ref="I2543">_xlfn.XLOOKUP(D2543,Productos[ID_Producto],Productos[Precio_Unitario])</f>
        <v>4.25</v>
      </c>
      <c r="J2543" s="17">
        <f t="shared" si="1"/>
        <v>25.5</v>
      </c>
      <c r="K2543" s="16" t="str">
        <f t="array" ref="K2543">_xlfn.XLOOKUP(C2543,Clientes[ID_Cliente],Clientes[Provincia])</f>
        <v>Buenos Aires</v>
      </c>
      <c r="L2543" s="16" t="str">
        <f t="array" ref="L2543">CONCATENATE(_xlfn.XLOOKUP(C2543,Clientes[ID_Cliente],Clientes[Provincia]),", Argentina")</f>
        <v>Buenos Aires, Argentina</v>
      </c>
      <c r="M2543" s="20" t="str">
        <f t="array" ref="M2543">_xlfn.XLOOKUP(F2543,Metodos_De_Pago[ID_Metodo],Metodos_De_Pago[Metodo])</f>
        <v>Tarjeta de Débito</v>
      </c>
      <c r="N2543" s="20" t="str">
        <f t="shared" si="2"/>
        <v>2024 02</v>
      </c>
    </row>
    <row r="2544" ht="22.5" customHeight="1">
      <c r="A2544" s="12">
        <f>IFERROR(__xludf.DUMMYFUNCTION("""COMPUTED_VALUE"""),2845.0)</f>
        <v>2845</v>
      </c>
      <c r="B2544" s="13">
        <f>IFERROR(__xludf.DUMMYFUNCTION("""COMPUTED_VALUE"""),45352.0)</f>
        <v>45352</v>
      </c>
      <c r="C2544" s="12">
        <f>IFERROR(__xludf.DUMMYFUNCTION("""COMPUTED_VALUE"""),71.0)</f>
        <v>71</v>
      </c>
      <c r="D2544" s="12">
        <f>IFERROR(__xludf.DUMMYFUNCTION("""COMPUTED_VALUE"""),5.0)</f>
        <v>5</v>
      </c>
      <c r="E2544" s="12">
        <f>IFERROR(__xludf.DUMMYFUNCTION("""COMPUTED_VALUE"""),6.0)</f>
        <v>6</v>
      </c>
      <c r="F2544" s="12">
        <f>IFERROR(__xludf.DUMMYFUNCTION("""COMPUTED_VALUE"""),3.0)</f>
        <v>3</v>
      </c>
      <c r="G2544" s="15" t="str">
        <f>IFERROR(__xludf.DUMMYFUNCTION("""COMPUTED_VALUE"""),"Completa")</f>
        <v>Completa</v>
      </c>
      <c r="H2544" s="16" t="str">
        <f t="array" ref="H2544">_xlfn.XLOOKUP(D2544,Productos[ID_Producto],Productos[Nombre_Producto])</f>
        <v>Manteca</v>
      </c>
      <c r="I2544" s="17">
        <f t="array" ref="I2544">_xlfn.XLOOKUP(D2544,Productos[ID_Producto],Productos[Precio_Unitario])</f>
        <v>5.65</v>
      </c>
      <c r="J2544" s="17">
        <f t="shared" si="1"/>
        <v>33.9</v>
      </c>
      <c r="K2544" s="16" t="str">
        <f t="array" ref="K2544">_xlfn.XLOOKUP(C2544,Clientes[ID_Cliente],Clientes[Provincia])</f>
        <v>Buenos Aires</v>
      </c>
      <c r="L2544" s="16" t="str">
        <f t="array" ref="L2544">CONCATENATE(_xlfn.XLOOKUP(C2544,Clientes[ID_Cliente],Clientes[Provincia]),", Argentina")</f>
        <v>Buenos Aires, Argentina</v>
      </c>
      <c r="M2544" s="20" t="str">
        <f t="array" ref="M2544">_xlfn.XLOOKUP(F2544,Metodos_De_Pago[ID_Metodo],Metodos_De_Pago[Metodo])</f>
        <v>Tarjeta de Débito</v>
      </c>
      <c r="N2544" s="20" t="str">
        <f t="shared" si="2"/>
        <v>2024 03</v>
      </c>
    </row>
    <row r="2545" ht="22.5" customHeight="1">
      <c r="A2545" s="12">
        <f>IFERROR(__xludf.DUMMYFUNCTION("""COMPUTED_VALUE"""),786.0)</f>
        <v>786</v>
      </c>
      <c r="B2545" s="13">
        <f>IFERROR(__xludf.DUMMYFUNCTION("""COMPUTED_VALUE"""),45353.0)</f>
        <v>45353</v>
      </c>
      <c r="C2545" s="12">
        <f>IFERROR(__xludf.DUMMYFUNCTION("""COMPUTED_VALUE"""),292.0)</f>
        <v>292</v>
      </c>
      <c r="D2545" s="12">
        <f>IFERROR(__xludf.DUMMYFUNCTION("""COMPUTED_VALUE"""),19.0)</f>
        <v>19</v>
      </c>
      <c r="E2545" s="12">
        <f>IFERROR(__xludf.DUMMYFUNCTION("""COMPUTED_VALUE"""),6.0)</f>
        <v>6</v>
      </c>
      <c r="F2545" s="12">
        <f>IFERROR(__xludf.DUMMYFUNCTION("""COMPUTED_VALUE"""),4.0)</f>
        <v>4</v>
      </c>
      <c r="G2545" s="15" t="str">
        <f>IFERROR(__xludf.DUMMYFUNCTION("""COMPUTED_VALUE"""),"Pendiente")</f>
        <v>Pendiente</v>
      </c>
      <c r="H2545" s="16" t="str">
        <f t="array" ref="H2545">_xlfn.XLOOKUP(D2545,Productos[ID_Producto],Productos[Nombre_Producto])</f>
        <v>Tomates</v>
      </c>
      <c r="I2545" s="17">
        <f t="array" ref="I2545">_xlfn.XLOOKUP(D2545,Productos[ID_Producto],Productos[Precio_Unitario])</f>
        <v>6.54</v>
      </c>
      <c r="J2545" s="17">
        <f t="shared" si="1"/>
        <v>39.24</v>
      </c>
      <c r="K2545" s="16" t="str">
        <f t="array" ref="K2545">_xlfn.XLOOKUP(C2545,Clientes[ID_Cliente],Clientes[Provincia])</f>
        <v>Neuquén</v>
      </c>
      <c r="L2545" s="16" t="str">
        <f t="array" ref="L2545">CONCATENATE(_xlfn.XLOOKUP(C2545,Clientes[ID_Cliente],Clientes[Provincia]),", Argentina")</f>
        <v>Neuquén, Argentina</v>
      </c>
      <c r="M2545" s="20" t="str">
        <f t="array" ref="M2545">_xlfn.XLOOKUP(F2545,Metodos_De_Pago[ID_Metodo],Metodos_De_Pago[Metodo])</f>
        <v>Mercado Pago</v>
      </c>
      <c r="N2545" s="20" t="str">
        <f t="shared" si="2"/>
        <v>2024 03</v>
      </c>
    </row>
    <row r="2546" ht="22.5" customHeight="1">
      <c r="A2546" s="12">
        <f>IFERROR(__xludf.DUMMYFUNCTION("""COMPUTED_VALUE"""),1730.0)</f>
        <v>1730</v>
      </c>
      <c r="B2546" s="13">
        <f>IFERROR(__xludf.DUMMYFUNCTION("""COMPUTED_VALUE"""),45354.0)</f>
        <v>45354</v>
      </c>
      <c r="C2546" s="12">
        <f>IFERROR(__xludf.DUMMYFUNCTION("""COMPUTED_VALUE"""),160.0)</f>
        <v>160</v>
      </c>
      <c r="D2546" s="12">
        <f>IFERROR(__xludf.DUMMYFUNCTION("""COMPUTED_VALUE"""),33.0)</f>
        <v>33</v>
      </c>
      <c r="E2546" s="12">
        <f>IFERROR(__xludf.DUMMYFUNCTION("""COMPUTED_VALUE"""),6.0)</f>
        <v>6</v>
      </c>
      <c r="F2546" s="12">
        <f>IFERROR(__xludf.DUMMYFUNCTION("""COMPUTED_VALUE"""),3.0)</f>
        <v>3</v>
      </c>
      <c r="G2546" s="15" t="str">
        <f>IFERROR(__xludf.DUMMYFUNCTION("""COMPUTED_VALUE"""),"Completa")</f>
        <v>Completa</v>
      </c>
      <c r="H2546" s="16" t="str">
        <f t="array" ref="H2546">_xlfn.XLOOKUP(D2546,Productos[ID_Producto],Productos[Nombre_Producto])</f>
        <v>Papas chips</v>
      </c>
      <c r="I2546" s="17">
        <f t="array" ref="I2546">_xlfn.XLOOKUP(D2546,Productos[ID_Producto],Productos[Precio_Unitario])</f>
        <v>8.54</v>
      </c>
      <c r="J2546" s="17">
        <f t="shared" si="1"/>
        <v>51.24</v>
      </c>
      <c r="K2546" s="16" t="str">
        <f t="array" ref="K2546">_xlfn.XLOOKUP(C2546,Clientes[ID_Cliente],Clientes[Provincia])</f>
        <v>Córdoba</v>
      </c>
      <c r="L2546" s="16" t="str">
        <f t="array" ref="L2546">CONCATENATE(_xlfn.XLOOKUP(C2546,Clientes[ID_Cliente],Clientes[Provincia]),", Argentina")</f>
        <v>Córdoba, Argentina</v>
      </c>
      <c r="M2546" s="20" t="str">
        <f t="array" ref="M2546">_xlfn.XLOOKUP(F2546,Metodos_De_Pago[ID_Metodo],Metodos_De_Pago[Metodo])</f>
        <v>Tarjeta de Débito</v>
      </c>
      <c r="N2546" s="20" t="str">
        <f t="shared" si="2"/>
        <v>2024 03</v>
      </c>
    </row>
    <row r="2547" ht="22.5" customHeight="1">
      <c r="A2547" s="12">
        <f>IFERROR(__xludf.DUMMYFUNCTION("""COMPUTED_VALUE"""),1867.0)</f>
        <v>1867</v>
      </c>
      <c r="B2547" s="13">
        <f>IFERROR(__xludf.DUMMYFUNCTION("""COMPUTED_VALUE"""),45354.0)</f>
        <v>45354</v>
      </c>
      <c r="C2547" s="12">
        <f>IFERROR(__xludf.DUMMYFUNCTION("""COMPUTED_VALUE"""),132.0)</f>
        <v>132</v>
      </c>
      <c r="D2547" s="12">
        <f>IFERROR(__xludf.DUMMYFUNCTION("""COMPUTED_VALUE"""),22.0)</f>
        <v>22</v>
      </c>
      <c r="E2547" s="12">
        <f>IFERROR(__xludf.DUMMYFUNCTION("""COMPUTED_VALUE"""),6.0)</f>
        <v>6</v>
      </c>
      <c r="F2547" s="12">
        <f>IFERROR(__xludf.DUMMYFUNCTION("""COMPUTED_VALUE"""),5.0)</f>
        <v>5</v>
      </c>
      <c r="G2547" s="15" t="str">
        <f>IFERROR(__xludf.DUMMYFUNCTION("""COMPUTED_VALUE"""),"Pendiente")</f>
        <v>Pendiente</v>
      </c>
      <c r="H2547" s="16" t="str">
        <f t="array" ref="H2547">_xlfn.XLOOKUP(D2547,Productos[ID_Producto],Productos[Nombre_Producto])</f>
        <v>Cebolla</v>
      </c>
      <c r="I2547" s="17">
        <f t="array" ref="I2547">_xlfn.XLOOKUP(D2547,Productos[ID_Producto],Productos[Precio_Unitario])</f>
        <v>4.21</v>
      </c>
      <c r="J2547" s="17">
        <f t="shared" si="1"/>
        <v>25.26</v>
      </c>
      <c r="K2547" s="16" t="str">
        <f t="array" ref="K2547">_xlfn.XLOOKUP(C2547,Clientes[ID_Cliente],Clientes[Provincia])</f>
        <v>Buenos Aires</v>
      </c>
      <c r="L2547" s="16" t="str">
        <f t="array" ref="L2547">CONCATENATE(_xlfn.XLOOKUP(C2547,Clientes[ID_Cliente],Clientes[Provincia]),", Argentina")</f>
        <v>Buenos Aires, Argentina</v>
      </c>
      <c r="M2547" s="20" t="str">
        <f t="array" ref="M2547">_xlfn.XLOOKUP(F2547,Metodos_De_Pago[ID_Metodo],Metodos_De_Pago[Metodo])</f>
        <v>Transferencia</v>
      </c>
      <c r="N2547" s="20" t="str">
        <f t="shared" si="2"/>
        <v>2024 03</v>
      </c>
    </row>
    <row r="2548" ht="22.5" customHeight="1">
      <c r="A2548" s="12">
        <f>IFERROR(__xludf.DUMMYFUNCTION("""COMPUTED_VALUE"""),2042.0)</f>
        <v>2042</v>
      </c>
      <c r="B2548" s="13">
        <f>IFERROR(__xludf.DUMMYFUNCTION("""COMPUTED_VALUE"""),45354.0)</f>
        <v>45354</v>
      </c>
      <c r="C2548" s="12">
        <f>IFERROR(__xludf.DUMMYFUNCTION("""COMPUTED_VALUE"""),221.0)</f>
        <v>221</v>
      </c>
      <c r="D2548" s="12">
        <f>IFERROR(__xludf.DUMMYFUNCTION("""COMPUTED_VALUE"""),22.0)</f>
        <v>22</v>
      </c>
      <c r="E2548" s="12">
        <f>IFERROR(__xludf.DUMMYFUNCTION("""COMPUTED_VALUE"""),6.0)</f>
        <v>6</v>
      </c>
      <c r="F2548" s="12">
        <f>IFERROR(__xludf.DUMMYFUNCTION("""COMPUTED_VALUE"""),5.0)</f>
        <v>5</v>
      </c>
      <c r="G2548" s="15" t="str">
        <f>IFERROR(__xludf.DUMMYFUNCTION("""COMPUTED_VALUE"""),"Completa")</f>
        <v>Completa</v>
      </c>
      <c r="H2548" s="16" t="str">
        <f t="array" ref="H2548">_xlfn.XLOOKUP(D2548,Productos[ID_Producto],Productos[Nombre_Producto])</f>
        <v>Cebolla</v>
      </c>
      <c r="I2548" s="17">
        <f t="array" ref="I2548">_xlfn.XLOOKUP(D2548,Productos[ID_Producto],Productos[Precio_Unitario])</f>
        <v>4.21</v>
      </c>
      <c r="J2548" s="17">
        <f t="shared" si="1"/>
        <v>25.26</v>
      </c>
      <c r="K2548" s="16" t="str">
        <f t="array" ref="K2548">_xlfn.XLOOKUP(C2548,Clientes[ID_Cliente],Clientes[Provincia])</f>
        <v>Buenos Aires</v>
      </c>
      <c r="L2548" s="16" t="str">
        <f t="array" ref="L2548">CONCATENATE(_xlfn.XLOOKUP(C2548,Clientes[ID_Cliente],Clientes[Provincia]),", Argentina")</f>
        <v>Buenos Aires, Argentina</v>
      </c>
      <c r="M2548" s="20" t="str">
        <f t="array" ref="M2548">_xlfn.XLOOKUP(F2548,Metodos_De_Pago[ID_Metodo],Metodos_De_Pago[Metodo])</f>
        <v>Transferencia</v>
      </c>
      <c r="N2548" s="20" t="str">
        <f t="shared" si="2"/>
        <v>2024 03</v>
      </c>
    </row>
    <row r="2549" ht="22.5" customHeight="1">
      <c r="A2549" s="12">
        <f>IFERROR(__xludf.DUMMYFUNCTION("""COMPUTED_VALUE"""),2913.0)</f>
        <v>2913</v>
      </c>
      <c r="B2549" s="13">
        <f>IFERROR(__xludf.DUMMYFUNCTION("""COMPUTED_VALUE"""),45355.0)</f>
        <v>45355</v>
      </c>
      <c r="C2549" s="12">
        <f>IFERROR(__xludf.DUMMYFUNCTION("""COMPUTED_VALUE"""),283.0)</f>
        <v>283</v>
      </c>
      <c r="D2549" s="12">
        <f>IFERROR(__xludf.DUMMYFUNCTION("""COMPUTED_VALUE"""),10.0)</f>
        <v>10</v>
      </c>
      <c r="E2549" s="12">
        <f>IFERROR(__xludf.DUMMYFUNCTION("""COMPUTED_VALUE"""),6.0)</f>
        <v>6</v>
      </c>
      <c r="F2549" s="12">
        <f>IFERROR(__xludf.DUMMYFUNCTION("""COMPUTED_VALUE"""),5.0)</f>
        <v>5</v>
      </c>
      <c r="G2549" s="15" t="str">
        <f>IFERROR(__xludf.DUMMYFUNCTION("""COMPUTED_VALUE"""),"Completa")</f>
        <v>Completa</v>
      </c>
      <c r="H2549" s="16" t="str">
        <f t="array" ref="H2549">_xlfn.XLOOKUP(D2549,Productos[ID_Producto],Productos[Nombre_Producto])</f>
        <v>Costilla de cerdo</v>
      </c>
      <c r="I2549" s="17">
        <f t="array" ref="I2549">_xlfn.XLOOKUP(D2549,Productos[ID_Producto],Productos[Precio_Unitario])</f>
        <v>14.25</v>
      </c>
      <c r="J2549" s="17">
        <f t="shared" si="1"/>
        <v>85.5</v>
      </c>
      <c r="K2549" s="16" t="str">
        <f t="array" ref="K2549">_xlfn.XLOOKUP(C2549,Clientes[ID_Cliente],Clientes[Provincia])</f>
        <v>Buenos Aires</v>
      </c>
      <c r="L2549" s="16" t="str">
        <f t="array" ref="L2549">CONCATENATE(_xlfn.XLOOKUP(C2549,Clientes[ID_Cliente],Clientes[Provincia]),", Argentina")</f>
        <v>Buenos Aires, Argentina</v>
      </c>
      <c r="M2549" s="20" t="str">
        <f t="array" ref="M2549">_xlfn.XLOOKUP(F2549,Metodos_De_Pago[ID_Metodo],Metodos_De_Pago[Metodo])</f>
        <v>Transferencia</v>
      </c>
      <c r="N2549" s="20" t="str">
        <f t="shared" si="2"/>
        <v>2024 03</v>
      </c>
    </row>
    <row r="2550" ht="22.5" customHeight="1">
      <c r="A2550" s="12">
        <f>IFERROR(__xludf.DUMMYFUNCTION("""COMPUTED_VALUE"""),311.0)</f>
        <v>311</v>
      </c>
      <c r="B2550" s="13">
        <f>IFERROR(__xludf.DUMMYFUNCTION("""COMPUTED_VALUE"""),45357.0)</f>
        <v>45357</v>
      </c>
      <c r="C2550" s="12">
        <f>IFERROR(__xludf.DUMMYFUNCTION("""COMPUTED_VALUE"""),68.0)</f>
        <v>68</v>
      </c>
      <c r="D2550" s="12">
        <f>IFERROR(__xludf.DUMMYFUNCTION("""COMPUTED_VALUE"""),24.0)</f>
        <v>24</v>
      </c>
      <c r="E2550" s="12">
        <f>IFERROR(__xludf.DUMMYFUNCTION("""COMPUTED_VALUE"""),6.0)</f>
        <v>6</v>
      </c>
      <c r="F2550" s="12">
        <f>IFERROR(__xludf.DUMMYFUNCTION("""COMPUTED_VALUE"""),4.0)</f>
        <v>4</v>
      </c>
      <c r="G2550" s="15" t="str">
        <f>IFERROR(__xludf.DUMMYFUNCTION("""COMPUTED_VALUE"""),"Completa")</f>
        <v>Completa</v>
      </c>
      <c r="H2550" s="16" t="str">
        <f t="array" ref="H2550">_xlfn.XLOOKUP(D2550,Productos[ID_Producto],Productos[Nombre_Producto])</f>
        <v>Empanadas</v>
      </c>
      <c r="I2550" s="17">
        <f t="array" ref="I2550">_xlfn.XLOOKUP(D2550,Productos[ID_Producto],Productos[Precio_Unitario])</f>
        <v>13.54</v>
      </c>
      <c r="J2550" s="17">
        <f t="shared" si="1"/>
        <v>81.24</v>
      </c>
      <c r="K2550" s="16" t="str">
        <f t="array" ref="K2550">_xlfn.XLOOKUP(C2550,Clientes[ID_Cliente],Clientes[Provincia])</f>
        <v>Neuquén</v>
      </c>
      <c r="L2550" s="16" t="str">
        <f t="array" ref="L2550">CONCATENATE(_xlfn.XLOOKUP(C2550,Clientes[ID_Cliente],Clientes[Provincia]),", Argentina")</f>
        <v>Neuquén, Argentina</v>
      </c>
      <c r="M2550" s="20" t="str">
        <f t="array" ref="M2550">_xlfn.XLOOKUP(F2550,Metodos_De_Pago[ID_Metodo],Metodos_De_Pago[Metodo])</f>
        <v>Mercado Pago</v>
      </c>
      <c r="N2550" s="20" t="str">
        <f t="shared" si="2"/>
        <v>2024 03</v>
      </c>
    </row>
    <row r="2551" ht="22.5" customHeight="1">
      <c r="A2551" s="12">
        <f>IFERROR(__xludf.DUMMYFUNCTION("""COMPUTED_VALUE"""),2665.0)</f>
        <v>2665</v>
      </c>
      <c r="B2551" s="13">
        <f>IFERROR(__xludf.DUMMYFUNCTION("""COMPUTED_VALUE"""),45357.0)</f>
        <v>45357</v>
      </c>
      <c r="C2551" s="12">
        <f>IFERROR(__xludf.DUMMYFUNCTION("""COMPUTED_VALUE"""),36.0)</f>
        <v>36</v>
      </c>
      <c r="D2551" s="12">
        <f>IFERROR(__xludf.DUMMYFUNCTION("""COMPUTED_VALUE"""),20.0)</f>
        <v>20</v>
      </c>
      <c r="E2551" s="12">
        <f>IFERROR(__xludf.DUMMYFUNCTION("""COMPUTED_VALUE"""),6.0)</f>
        <v>6</v>
      </c>
      <c r="F2551" s="12">
        <f>IFERROR(__xludf.DUMMYFUNCTION("""COMPUTED_VALUE"""),5.0)</f>
        <v>5</v>
      </c>
      <c r="G2551" s="15" t="str">
        <f>IFERROR(__xludf.DUMMYFUNCTION("""COMPUTED_VALUE"""),"Pendiente")</f>
        <v>Pendiente</v>
      </c>
      <c r="H2551" s="16" t="str">
        <f t="array" ref="H2551">_xlfn.XLOOKUP(D2551,Productos[ID_Producto],Productos[Nombre_Producto])</f>
        <v>Lechugas</v>
      </c>
      <c r="I2551" s="17">
        <f t="array" ref="I2551">_xlfn.XLOOKUP(D2551,Productos[ID_Producto],Productos[Precio_Unitario])</f>
        <v>4.25</v>
      </c>
      <c r="J2551" s="17">
        <f t="shared" si="1"/>
        <v>25.5</v>
      </c>
      <c r="K2551" s="16" t="str">
        <f t="array" ref="K2551">_xlfn.XLOOKUP(C2551,Clientes[ID_Cliente],Clientes[Provincia])</f>
        <v>Buenos Aires</v>
      </c>
      <c r="L2551" s="16" t="str">
        <f t="array" ref="L2551">CONCATENATE(_xlfn.XLOOKUP(C2551,Clientes[ID_Cliente],Clientes[Provincia]),", Argentina")</f>
        <v>Buenos Aires, Argentina</v>
      </c>
      <c r="M2551" s="20" t="str">
        <f t="array" ref="M2551">_xlfn.XLOOKUP(F2551,Metodos_De_Pago[ID_Metodo],Metodos_De_Pago[Metodo])</f>
        <v>Transferencia</v>
      </c>
      <c r="N2551" s="20" t="str">
        <f t="shared" si="2"/>
        <v>2024 03</v>
      </c>
    </row>
    <row r="2552" ht="22.5" customHeight="1">
      <c r="A2552" s="12">
        <f>IFERROR(__xludf.DUMMYFUNCTION("""COMPUTED_VALUE"""),2732.0)</f>
        <v>2732</v>
      </c>
      <c r="B2552" s="13">
        <f>IFERROR(__xludf.DUMMYFUNCTION("""COMPUTED_VALUE"""),45358.0)</f>
        <v>45358</v>
      </c>
      <c r="C2552" s="12">
        <f>IFERROR(__xludf.DUMMYFUNCTION("""COMPUTED_VALUE"""),311.0)</f>
        <v>311</v>
      </c>
      <c r="D2552" s="12">
        <f>IFERROR(__xludf.DUMMYFUNCTION("""COMPUTED_VALUE"""),4.0)</f>
        <v>4</v>
      </c>
      <c r="E2552" s="12">
        <f>IFERROR(__xludf.DUMMYFUNCTION("""COMPUTED_VALUE"""),6.0)</f>
        <v>6</v>
      </c>
      <c r="F2552" s="12">
        <f>IFERROR(__xludf.DUMMYFUNCTION("""COMPUTED_VALUE"""),3.0)</f>
        <v>3</v>
      </c>
      <c r="G2552" s="15" t="str">
        <f>IFERROR(__xludf.DUMMYFUNCTION("""COMPUTED_VALUE"""),"Completa")</f>
        <v>Completa</v>
      </c>
      <c r="H2552" s="16" t="str">
        <f t="array" ref="H2552">_xlfn.XLOOKUP(D2552,Productos[ID_Producto],Productos[Nombre_Producto])</f>
        <v>Queso rallado</v>
      </c>
      <c r="I2552" s="17">
        <f t="array" ref="I2552">_xlfn.XLOOKUP(D2552,Productos[ID_Producto],Productos[Precio_Unitario])</f>
        <v>19.23</v>
      </c>
      <c r="J2552" s="17">
        <f t="shared" si="1"/>
        <v>115.38</v>
      </c>
      <c r="K2552" s="16" t="str">
        <f t="array" ref="K2552">_xlfn.XLOOKUP(C2552,Clientes[ID_Cliente],Clientes[Provincia])</f>
        <v>Buenos Aires</v>
      </c>
      <c r="L2552" s="16" t="str">
        <f t="array" ref="L2552">CONCATENATE(_xlfn.XLOOKUP(C2552,Clientes[ID_Cliente],Clientes[Provincia]),", Argentina")</f>
        <v>Buenos Aires, Argentina</v>
      </c>
      <c r="M2552" s="20" t="str">
        <f t="array" ref="M2552">_xlfn.XLOOKUP(F2552,Metodos_De_Pago[ID_Metodo],Metodos_De_Pago[Metodo])</f>
        <v>Tarjeta de Débito</v>
      </c>
      <c r="N2552" s="20" t="str">
        <f t="shared" si="2"/>
        <v>2024 03</v>
      </c>
    </row>
    <row r="2553" ht="22.5" customHeight="1">
      <c r="A2553" s="12">
        <f>IFERROR(__xludf.DUMMYFUNCTION("""COMPUTED_VALUE"""),620.0)</f>
        <v>620</v>
      </c>
      <c r="B2553" s="13">
        <f>IFERROR(__xludf.DUMMYFUNCTION("""COMPUTED_VALUE"""),45359.0)</f>
        <v>45359</v>
      </c>
      <c r="C2553" s="12">
        <f>IFERROR(__xludf.DUMMYFUNCTION("""COMPUTED_VALUE"""),257.0)</f>
        <v>257</v>
      </c>
      <c r="D2553" s="12">
        <f>IFERROR(__xludf.DUMMYFUNCTION("""COMPUTED_VALUE"""),21.0)</f>
        <v>21</v>
      </c>
      <c r="E2553" s="12">
        <f>IFERROR(__xludf.DUMMYFUNCTION("""COMPUTED_VALUE"""),6.0)</f>
        <v>6</v>
      </c>
      <c r="F2553" s="12">
        <f>IFERROR(__xludf.DUMMYFUNCTION("""COMPUTED_VALUE"""),3.0)</f>
        <v>3</v>
      </c>
      <c r="G2553" s="15" t="str">
        <f>IFERROR(__xludf.DUMMYFUNCTION("""COMPUTED_VALUE"""),"Completa")</f>
        <v>Completa</v>
      </c>
      <c r="H2553" s="16" t="str">
        <f t="array" ref="H2553">_xlfn.XLOOKUP(D2553,Productos[ID_Producto],Productos[Nombre_Producto])</f>
        <v>Zanahorias</v>
      </c>
      <c r="I2553" s="17">
        <f t="array" ref="I2553">_xlfn.XLOOKUP(D2553,Productos[ID_Producto],Productos[Precio_Unitario])</f>
        <v>3.25</v>
      </c>
      <c r="J2553" s="17">
        <f t="shared" si="1"/>
        <v>19.5</v>
      </c>
      <c r="K2553" s="16" t="str">
        <f t="array" ref="K2553">_xlfn.XLOOKUP(C2553,Clientes[ID_Cliente],Clientes[Provincia])</f>
        <v>Chaco</v>
      </c>
      <c r="L2553" s="16" t="str">
        <f t="array" ref="L2553">CONCATENATE(_xlfn.XLOOKUP(C2553,Clientes[ID_Cliente],Clientes[Provincia]),", Argentina")</f>
        <v>Chaco, Argentina</v>
      </c>
      <c r="M2553" s="20" t="str">
        <f t="array" ref="M2553">_xlfn.XLOOKUP(F2553,Metodos_De_Pago[ID_Metodo],Metodos_De_Pago[Metodo])</f>
        <v>Tarjeta de Débito</v>
      </c>
      <c r="N2553" s="20" t="str">
        <f t="shared" si="2"/>
        <v>2024 03</v>
      </c>
    </row>
    <row r="2554" ht="22.5" customHeight="1">
      <c r="A2554" s="12">
        <f>IFERROR(__xludf.DUMMYFUNCTION("""COMPUTED_VALUE"""),1226.0)</f>
        <v>1226</v>
      </c>
      <c r="B2554" s="13">
        <f>IFERROR(__xludf.DUMMYFUNCTION("""COMPUTED_VALUE"""),45359.0)</f>
        <v>45359</v>
      </c>
      <c r="C2554" s="12">
        <f>IFERROR(__xludf.DUMMYFUNCTION("""COMPUTED_VALUE"""),91.0)</f>
        <v>91</v>
      </c>
      <c r="D2554" s="12">
        <f>IFERROR(__xludf.DUMMYFUNCTION("""COMPUTED_VALUE"""),35.0)</f>
        <v>35</v>
      </c>
      <c r="E2554" s="12">
        <f>IFERROR(__xludf.DUMMYFUNCTION("""COMPUTED_VALUE"""),6.0)</f>
        <v>6</v>
      </c>
      <c r="F2554" s="12">
        <f>IFERROR(__xludf.DUMMYFUNCTION("""COMPUTED_VALUE"""),5.0)</f>
        <v>5</v>
      </c>
      <c r="G2554" s="15" t="str">
        <f>IFERROR(__xludf.DUMMYFUNCTION("""COMPUTED_VALUE"""),"Completa")</f>
        <v>Completa</v>
      </c>
      <c r="H2554" s="16" t="str">
        <f t="array" ref="H2554">_xlfn.XLOOKUP(D2554,Productos[ID_Producto],Productos[Nombre_Producto])</f>
        <v>Arroz</v>
      </c>
      <c r="I2554" s="17">
        <f t="array" ref="I2554">_xlfn.XLOOKUP(D2554,Productos[ID_Producto],Productos[Precio_Unitario])</f>
        <v>4.25</v>
      </c>
      <c r="J2554" s="17">
        <f t="shared" si="1"/>
        <v>25.5</v>
      </c>
      <c r="K2554" s="16" t="str">
        <f t="array" ref="K2554">_xlfn.XLOOKUP(C2554,Clientes[ID_Cliente],Clientes[Provincia])</f>
        <v>Buenos Aires</v>
      </c>
      <c r="L2554" s="16" t="str">
        <f t="array" ref="L2554">CONCATENATE(_xlfn.XLOOKUP(C2554,Clientes[ID_Cliente],Clientes[Provincia]),", Argentina")</f>
        <v>Buenos Aires, Argentina</v>
      </c>
      <c r="M2554" s="20" t="str">
        <f t="array" ref="M2554">_xlfn.XLOOKUP(F2554,Metodos_De_Pago[ID_Metodo],Metodos_De_Pago[Metodo])</f>
        <v>Transferencia</v>
      </c>
      <c r="N2554" s="20" t="str">
        <f t="shared" si="2"/>
        <v>2024 03</v>
      </c>
    </row>
    <row r="2555" ht="22.5" customHeight="1">
      <c r="A2555" s="12">
        <f>IFERROR(__xludf.DUMMYFUNCTION("""COMPUTED_VALUE"""),444.0)</f>
        <v>444</v>
      </c>
      <c r="B2555" s="13">
        <f>IFERROR(__xludf.DUMMYFUNCTION("""COMPUTED_VALUE"""),45360.0)</f>
        <v>45360</v>
      </c>
      <c r="C2555" s="12">
        <f>IFERROR(__xludf.DUMMYFUNCTION("""COMPUTED_VALUE"""),164.0)</f>
        <v>164</v>
      </c>
      <c r="D2555" s="12">
        <f>IFERROR(__xludf.DUMMYFUNCTION("""COMPUTED_VALUE"""),9.0)</f>
        <v>9</v>
      </c>
      <c r="E2555" s="12">
        <f>IFERROR(__xludf.DUMMYFUNCTION("""COMPUTED_VALUE"""),6.0)</f>
        <v>6</v>
      </c>
      <c r="F2555" s="12">
        <f>IFERROR(__xludf.DUMMYFUNCTION("""COMPUTED_VALUE"""),5.0)</f>
        <v>5</v>
      </c>
      <c r="G2555" s="15" t="str">
        <f>IFERROR(__xludf.DUMMYFUNCTION("""COMPUTED_VALUE"""),"Completa")</f>
        <v>Completa</v>
      </c>
      <c r="H2555" s="16" t="str">
        <f t="array" ref="H2555">_xlfn.XLOOKUP(D2555,Productos[ID_Producto],Productos[Nombre_Producto])</f>
        <v>Pollo</v>
      </c>
      <c r="I2555" s="17">
        <f t="array" ref="I2555">_xlfn.XLOOKUP(D2555,Productos[ID_Producto],Productos[Precio_Unitario])</f>
        <v>18.56</v>
      </c>
      <c r="J2555" s="17">
        <f t="shared" si="1"/>
        <v>111.36</v>
      </c>
      <c r="K2555" s="16" t="str">
        <f t="array" ref="K2555">_xlfn.XLOOKUP(C2555,Clientes[ID_Cliente],Clientes[Provincia])</f>
        <v>Córdoba</v>
      </c>
      <c r="L2555" s="16" t="str">
        <f t="array" ref="L2555">CONCATENATE(_xlfn.XLOOKUP(C2555,Clientes[ID_Cliente],Clientes[Provincia]),", Argentina")</f>
        <v>Córdoba, Argentina</v>
      </c>
      <c r="M2555" s="20" t="str">
        <f t="array" ref="M2555">_xlfn.XLOOKUP(F2555,Metodos_De_Pago[ID_Metodo],Metodos_De_Pago[Metodo])</f>
        <v>Transferencia</v>
      </c>
      <c r="N2555" s="20" t="str">
        <f t="shared" si="2"/>
        <v>2024 03</v>
      </c>
    </row>
    <row r="2556" ht="22.5" customHeight="1">
      <c r="A2556" s="12">
        <f>IFERROR(__xludf.DUMMYFUNCTION("""COMPUTED_VALUE"""),790.0)</f>
        <v>790</v>
      </c>
      <c r="B2556" s="13">
        <f>IFERROR(__xludf.DUMMYFUNCTION("""COMPUTED_VALUE"""),45360.0)</f>
        <v>45360</v>
      </c>
      <c r="C2556" s="12">
        <f>IFERROR(__xludf.DUMMYFUNCTION("""COMPUTED_VALUE"""),119.0)</f>
        <v>119</v>
      </c>
      <c r="D2556" s="12">
        <f>IFERROR(__xludf.DUMMYFUNCTION("""COMPUTED_VALUE"""),24.0)</f>
        <v>24</v>
      </c>
      <c r="E2556" s="12">
        <f>IFERROR(__xludf.DUMMYFUNCTION("""COMPUTED_VALUE"""),6.0)</f>
        <v>6</v>
      </c>
      <c r="F2556" s="12">
        <f>IFERROR(__xludf.DUMMYFUNCTION("""COMPUTED_VALUE"""),1.0)</f>
        <v>1</v>
      </c>
      <c r="G2556" s="15" t="str">
        <f>IFERROR(__xludf.DUMMYFUNCTION("""COMPUTED_VALUE"""),"Completa")</f>
        <v>Completa</v>
      </c>
      <c r="H2556" s="16" t="str">
        <f t="array" ref="H2556">_xlfn.XLOOKUP(D2556,Productos[ID_Producto],Productos[Nombre_Producto])</f>
        <v>Empanadas</v>
      </c>
      <c r="I2556" s="17">
        <f t="array" ref="I2556">_xlfn.XLOOKUP(D2556,Productos[ID_Producto],Productos[Precio_Unitario])</f>
        <v>13.54</v>
      </c>
      <c r="J2556" s="17">
        <f t="shared" si="1"/>
        <v>81.24</v>
      </c>
      <c r="K2556" s="16" t="str">
        <f t="array" ref="K2556">_xlfn.XLOOKUP(C2556,Clientes[ID_Cliente],Clientes[Provincia])</f>
        <v>Neuquén</v>
      </c>
      <c r="L2556" s="16" t="str">
        <f t="array" ref="L2556">CONCATENATE(_xlfn.XLOOKUP(C2556,Clientes[ID_Cliente],Clientes[Provincia]),", Argentina")</f>
        <v>Neuquén, Argentina</v>
      </c>
      <c r="M2556" s="20" t="str">
        <f t="array" ref="M2556">_xlfn.XLOOKUP(F2556,Metodos_De_Pago[ID_Metodo],Metodos_De_Pago[Metodo])</f>
        <v>Efectivo</v>
      </c>
      <c r="N2556" s="20" t="str">
        <f t="shared" si="2"/>
        <v>2024 03</v>
      </c>
    </row>
    <row r="2557" ht="22.5" customHeight="1">
      <c r="A2557" s="12">
        <f>IFERROR(__xludf.DUMMYFUNCTION("""COMPUTED_VALUE"""),2769.0)</f>
        <v>2769</v>
      </c>
      <c r="B2557" s="13">
        <f>IFERROR(__xludf.DUMMYFUNCTION("""COMPUTED_VALUE"""),45360.0)</f>
        <v>45360</v>
      </c>
      <c r="C2557" s="12">
        <f>IFERROR(__xludf.DUMMYFUNCTION("""COMPUTED_VALUE"""),33.0)</f>
        <v>33</v>
      </c>
      <c r="D2557" s="12">
        <f>IFERROR(__xludf.DUMMYFUNCTION("""COMPUTED_VALUE"""),24.0)</f>
        <v>24</v>
      </c>
      <c r="E2557" s="12">
        <f>IFERROR(__xludf.DUMMYFUNCTION("""COMPUTED_VALUE"""),6.0)</f>
        <v>6</v>
      </c>
      <c r="F2557" s="12">
        <f>IFERROR(__xludf.DUMMYFUNCTION("""COMPUTED_VALUE"""),3.0)</f>
        <v>3</v>
      </c>
      <c r="G2557" s="15" t="str">
        <f>IFERROR(__xludf.DUMMYFUNCTION("""COMPUTED_VALUE"""),"Completa")</f>
        <v>Completa</v>
      </c>
      <c r="H2557" s="16" t="str">
        <f t="array" ref="H2557">_xlfn.XLOOKUP(D2557,Productos[ID_Producto],Productos[Nombre_Producto])</f>
        <v>Empanadas</v>
      </c>
      <c r="I2557" s="17">
        <f t="array" ref="I2557">_xlfn.XLOOKUP(D2557,Productos[ID_Producto],Productos[Precio_Unitario])</f>
        <v>13.54</v>
      </c>
      <c r="J2557" s="17">
        <f t="shared" si="1"/>
        <v>81.24</v>
      </c>
      <c r="K2557" s="16" t="str">
        <f t="array" ref="K2557">_xlfn.XLOOKUP(C2557,Clientes[ID_Cliente],Clientes[Provincia])</f>
        <v>Chaco</v>
      </c>
      <c r="L2557" s="16" t="str">
        <f t="array" ref="L2557">CONCATENATE(_xlfn.XLOOKUP(C2557,Clientes[ID_Cliente],Clientes[Provincia]),", Argentina")</f>
        <v>Chaco, Argentina</v>
      </c>
      <c r="M2557" s="20" t="str">
        <f t="array" ref="M2557">_xlfn.XLOOKUP(F2557,Metodos_De_Pago[ID_Metodo],Metodos_De_Pago[Metodo])</f>
        <v>Tarjeta de Débito</v>
      </c>
      <c r="N2557" s="20" t="str">
        <f t="shared" si="2"/>
        <v>2024 03</v>
      </c>
    </row>
    <row r="2558" ht="22.5" customHeight="1">
      <c r="A2558" s="12">
        <f>IFERROR(__xludf.DUMMYFUNCTION("""COMPUTED_VALUE"""),35.0)</f>
        <v>35</v>
      </c>
      <c r="B2558" s="13">
        <f>IFERROR(__xludf.DUMMYFUNCTION("""COMPUTED_VALUE"""),45361.0)</f>
        <v>45361</v>
      </c>
      <c r="C2558" s="12">
        <f>IFERROR(__xludf.DUMMYFUNCTION("""COMPUTED_VALUE"""),62.0)</f>
        <v>62</v>
      </c>
      <c r="D2558" s="12">
        <f>IFERROR(__xludf.DUMMYFUNCTION("""COMPUTED_VALUE"""),9.0)</f>
        <v>9</v>
      </c>
      <c r="E2558" s="12">
        <f>IFERROR(__xludf.DUMMYFUNCTION("""COMPUTED_VALUE"""),6.0)</f>
        <v>6</v>
      </c>
      <c r="F2558" s="12">
        <f>IFERROR(__xludf.DUMMYFUNCTION("""COMPUTED_VALUE"""),3.0)</f>
        <v>3</v>
      </c>
      <c r="G2558" s="15" t="str">
        <f>IFERROR(__xludf.DUMMYFUNCTION("""COMPUTED_VALUE"""),"Completa")</f>
        <v>Completa</v>
      </c>
      <c r="H2558" s="16" t="str">
        <f t="array" ref="H2558">_xlfn.XLOOKUP(D2558,Productos[ID_Producto],Productos[Nombre_Producto])</f>
        <v>Pollo</v>
      </c>
      <c r="I2558" s="17">
        <f t="array" ref="I2558">_xlfn.XLOOKUP(D2558,Productos[ID_Producto],Productos[Precio_Unitario])</f>
        <v>18.56</v>
      </c>
      <c r="J2558" s="17">
        <f t="shared" si="1"/>
        <v>111.36</v>
      </c>
      <c r="K2558" s="16" t="str">
        <f t="array" ref="K2558">_xlfn.XLOOKUP(C2558,Clientes[ID_Cliente],Clientes[Provincia])</f>
        <v>Chaco</v>
      </c>
      <c r="L2558" s="16" t="str">
        <f t="array" ref="L2558">CONCATENATE(_xlfn.XLOOKUP(C2558,Clientes[ID_Cliente],Clientes[Provincia]),", Argentina")</f>
        <v>Chaco, Argentina</v>
      </c>
      <c r="M2558" s="20" t="str">
        <f t="array" ref="M2558">_xlfn.XLOOKUP(F2558,Metodos_De_Pago[ID_Metodo],Metodos_De_Pago[Metodo])</f>
        <v>Tarjeta de Débito</v>
      </c>
      <c r="N2558" s="20" t="str">
        <f t="shared" si="2"/>
        <v>2024 03</v>
      </c>
    </row>
    <row r="2559" ht="22.5" customHeight="1">
      <c r="A2559" s="12">
        <f>IFERROR(__xludf.DUMMYFUNCTION("""COMPUTED_VALUE"""),1142.0)</f>
        <v>1142</v>
      </c>
      <c r="B2559" s="13">
        <f>IFERROR(__xludf.DUMMYFUNCTION("""COMPUTED_VALUE"""),45361.0)</f>
        <v>45361</v>
      </c>
      <c r="C2559" s="12">
        <f>IFERROR(__xludf.DUMMYFUNCTION("""COMPUTED_VALUE"""),164.0)</f>
        <v>164</v>
      </c>
      <c r="D2559" s="12">
        <f>IFERROR(__xludf.DUMMYFUNCTION("""COMPUTED_VALUE"""),13.0)</f>
        <v>13</v>
      </c>
      <c r="E2559" s="12">
        <f>IFERROR(__xludf.DUMMYFUNCTION("""COMPUTED_VALUE"""),6.0)</f>
        <v>6</v>
      </c>
      <c r="F2559" s="12">
        <f>IFERROR(__xludf.DUMMYFUNCTION("""COMPUTED_VALUE"""),1.0)</f>
        <v>1</v>
      </c>
      <c r="G2559" s="15" t="str">
        <f>IFERROR(__xludf.DUMMYFUNCTION("""COMPUTED_VALUE"""),"Completa")</f>
        <v>Completa</v>
      </c>
      <c r="H2559" s="16" t="str">
        <f t="array" ref="H2559">_xlfn.XLOOKUP(D2559,Productos[ID_Producto],Productos[Nombre_Producto])</f>
        <v>Pan integral</v>
      </c>
      <c r="I2559" s="17">
        <f t="array" ref="I2559">_xlfn.XLOOKUP(D2559,Productos[ID_Producto],Productos[Precio_Unitario])</f>
        <v>12.56</v>
      </c>
      <c r="J2559" s="17">
        <f t="shared" si="1"/>
        <v>75.36</v>
      </c>
      <c r="K2559" s="16" t="str">
        <f t="array" ref="K2559">_xlfn.XLOOKUP(C2559,Clientes[ID_Cliente],Clientes[Provincia])</f>
        <v>Córdoba</v>
      </c>
      <c r="L2559" s="16" t="str">
        <f t="array" ref="L2559">CONCATENATE(_xlfn.XLOOKUP(C2559,Clientes[ID_Cliente],Clientes[Provincia]),", Argentina")</f>
        <v>Córdoba, Argentina</v>
      </c>
      <c r="M2559" s="20" t="str">
        <f t="array" ref="M2559">_xlfn.XLOOKUP(F2559,Metodos_De_Pago[ID_Metodo],Metodos_De_Pago[Metodo])</f>
        <v>Efectivo</v>
      </c>
      <c r="N2559" s="20" t="str">
        <f t="shared" si="2"/>
        <v>2024 03</v>
      </c>
    </row>
    <row r="2560" ht="22.5" customHeight="1">
      <c r="A2560" s="12">
        <f>IFERROR(__xludf.DUMMYFUNCTION("""COMPUTED_VALUE"""),2678.0)</f>
        <v>2678</v>
      </c>
      <c r="B2560" s="13">
        <f>IFERROR(__xludf.DUMMYFUNCTION("""COMPUTED_VALUE"""),45361.0)</f>
        <v>45361</v>
      </c>
      <c r="C2560" s="12">
        <f>IFERROR(__xludf.DUMMYFUNCTION("""COMPUTED_VALUE"""),11.0)</f>
        <v>11</v>
      </c>
      <c r="D2560" s="12">
        <f>IFERROR(__xludf.DUMMYFUNCTION("""COMPUTED_VALUE"""),31.0)</f>
        <v>31</v>
      </c>
      <c r="E2560" s="12">
        <f>IFERROR(__xludf.DUMMYFUNCTION("""COMPUTED_VALUE"""),6.0)</f>
        <v>6</v>
      </c>
      <c r="F2560" s="12">
        <f>IFERROR(__xludf.DUMMYFUNCTION("""COMPUTED_VALUE"""),5.0)</f>
        <v>5</v>
      </c>
      <c r="G2560" s="15" t="str">
        <f>IFERROR(__xludf.DUMMYFUNCTION("""COMPUTED_VALUE"""),"Pendiente")</f>
        <v>Pendiente</v>
      </c>
      <c r="H2560" s="16" t="str">
        <f t="array" ref="H2560">_xlfn.XLOOKUP(D2560,Productos[ID_Producto],Productos[Nombre_Producto])</f>
        <v>Galletitas de agua</v>
      </c>
      <c r="I2560" s="17">
        <f t="array" ref="I2560">_xlfn.XLOOKUP(D2560,Productos[ID_Producto],Productos[Precio_Unitario])</f>
        <v>5.24</v>
      </c>
      <c r="J2560" s="17">
        <f t="shared" si="1"/>
        <v>31.44</v>
      </c>
      <c r="K2560" s="16" t="str">
        <f t="array" ref="K2560">_xlfn.XLOOKUP(C2560,Clientes[ID_Cliente],Clientes[Provincia])</f>
        <v>Buenos Aires</v>
      </c>
      <c r="L2560" s="16" t="str">
        <f t="array" ref="L2560">CONCATENATE(_xlfn.XLOOKUP(C2560,Clientes[ID_Cliente],Clientes[Provincia]),", Argentina")</f>
        <v>Buenos Aires, Argentina</v>
      </c>
      <c r="M2560" s="20" t="str">
        <f t="array" ref="M2560">_xlfn.XLOOKUP(F2560,Metodos_De_Pago[ID_Metodo],Metodos_De_Pago[Metodo])</f>
        <v>Transferencia</v>
      </c>
      <c r="N2560" s="20" t="str">
        <f t="shared" si="2"/>
        <v>2024 03</v>
      </c>
    </row>
    <row r="2561" ht="22.5" customHeight="1">
      <c r="A2561" s="12">
        <f>IFERROR(__xludf.DUMMYFUNCTION("""COMPUTED_VALUE"""),971.0)</f>
        <v>971</v>
      </c>
      <c r="B2561" s="13">
        <f>IFERROR(__xludf.DUMMYFUNCTION("""COMPUTED_VALUE"""),45363.0)</f>
        <v>45363</v>
      </c>
      <c r="C2561" s="12">
        <f>IFERROR(__xludf.DUMMYFUNCTION("""COMPUTED_VALUE"""),213.0)</f>
        <v>213</v>
      </c>
      <c r="D2561" s="12">
        <f>IFERROR(__xludf.DUMMYFUNCTION("""COMPUTED_VALUE"""),29.0)</f>
        <v>29</v>
      </c>
      <c r="E2561" s="12">
        <f>IFERROR(__xludf.DUMMYFUNCTION("""COMPUTED_VALUE"""),6.0)</f>
        <v>6</v>
      </c>
      <c r="F2561" s="12">
        <f>IFERROR(__xludf.DUMMYFUNCTION("""COMPUTED_VALUE"""),4.0)</f>
        <v>4</v>
      </c>
      <c r="G2561" s="15" t="str">
        <f>IFERROR(__xludf.DUMMYFUNCTION("""COMPUTED_VALUE"""),"Completa")</f>
        <v>Completa</v>
      </c>
      <c r="H2561" s="16" t="str">
        <f t="array" ref="H2561">_xlfn.XLOOKUP(D2561,Productos[ID_Producto],Productos[Nombre_Producto])</f>
        <v>Cerveza</v>
      </c>
      <c r="I2561" s="17">
        <f t="array" ref="I2561">_xlfn.XLOOKUP(D2561,Productos[ID_Producto],Productos[Precio_Unitario])</f>
        <v>11.54</v>
      </c>
      <c r="J2561" s="17">
        <f t="shared" si="1"/>
        <v>69.24</v>
      </c>
      <c r="K2561" s="16" t="str">
        <f t="array" ref="K2561">_xlfn.XLOOKUP(C2561,Clientes[ID_Cliente],Clientes[Provincia])</f>
        <v>Córdoba</v>
      </c>
      <c r="L2561" s="16" t="str">
        <f t="array" ref="L2561">CONCATENATE(_xlfn.XLOOKUP(C2561,Clientes[ID_Cliente],Clientes[Provincia]),", Argentina")</f>
        <v>Córdoba, Argentina</v>
      </c>
      <c r="M2561" s="20" t="str">
        <f t="array" ref="M2561">_xlfn.XLOOKUP(F2561,Metodos_De_Pago[ID_Metodo],Metodos_De_Pago[Metodo])</f>
        <v>Mercado Pago</v>
      </c>
      <c r="N2561" s="20" t="str">
        <f t="shared" si="2"/>
        <v>2024 03</v>
      </c>
    </row>
    <row r="2562" ht="22.5" customHeight="1">
      <c r="A2562" s="12">
        <f>IFERROR(__xludf.DUMMYFUNCTION("""COMPUTED_VALUE"""),2019.0)</f>
        <v>2019</v>
      </c>
      <c r="B2562" s="13">
        <f>IFERROR(__xludf.DUMMYFUNCTION("""COMPUTED_VALUE"""),45363.0)</f>
        <v>45363</v>
      </c>
      <c r="C2562" s="12">
        <f>IFERROR(__xludf.DUMMYFUNCTION("""COMPUTED_VALUE"""),49.0)</f>
        <v>49</v>
      </c>
      <c r="D2562" s="12">
        <f>IFERROR(__xludf.DUMMYFUNCTION("""COMPUTED_VALUE"""),13.0)</f>
        <v>13</v>
      </c>
      <c r="E2562" s="12">
        <f>IFERROR(__xludf.DUMMYFUNCTION("""COMPUTED_VALUE"""),6.0)</f>
        <v>6</v>
      </c>
      <c r="F2562" s="12">
        <f>IFERROR(__xludf.DUMMYFUNCTION("""COMPUTED_VALUE"""),4.0)</f>
        <v>4</v>
      </c>
      <c r="G2562" s="15" t="str">
        <f>IFERROR(__xludf.DUMMYFUNCTION("""COMPUTED_VALUE"""),"Completa")</f>
        <v>Completa</v>
      </c>
      <c r="H2562" s="16" t="str">
        <f t="array" ref="H2562">_xlfn.XLOOKUP(D2562,Productos[ID_Producto],Productos[Nombre_Producto])</f>
        <v>Pan integral</v>
      </c>
      <c r="I2562" s="17">
        <f t="array" ref="I2562">_xlfn.XLOOKUP(D2562,Productos[ID_Producto],Productos[Precio_Unitario])</f>
        <v>12.56</v>
      </c>
      <c r="J2562" s="17">
        <f t="shared" si="1"/>
        <v>75.36</v>
      </c>
      <c r="K2562" s="16" t="str">
        <f t="array" ref="K2562">_xlfn.XLOOKUP(C2562,Clientes[ID_Cliente],Clientes[Provincia])</f>
        <v>Buenos Aires</v>
      </c>
      <c r="L2562" s="16" t="str">
        <f t="array" ref="L2562">CONCATENATE(_xlfn.XLOOKUP(C2562,Clientes[ID_Cliente],Clientes[Provincia]),", Argentina")</f>
        <v>Buenos Aires, Argentina</v>
      </c>
      <c r="M2562" s="20" t="str">
        <f t="array" ref="M2562">_xlfn.XLOOKUP(F2562,Metodos_De_Pago[ID_Metodo],Metodos_De_Pago[Metodo])</f>
        <v>Mercado Pago</v>
      </c>
      <c r="N2562" s="20" t="str">
        <f t="shared" si="2"/>
        <v>2024 03</v>
      </c>
    </row>
    <row r="2563" ht="22.5" customHeight="1">
      <c r="A2563" s="12">
        <f>IFERROR(__xludf.DUMMYFUNCTION("""COMPUTED_VALUE"""),2291.0)</f>
        <v>2291</v>
      </c>
      <c r="B2563" s="13">
        <f>IFERROR(__xludf.DUMMYFUNCTION("""COMPUTED_VALUE"""),45363.0)</f>
        <v>45363</v>
      </c>
      <c r="C2563" s="12">
        <f>IFERROR(__xludf.DUMMYFUNCTION("""COMPUTED_VALUE"""),69.0)</f>
        <v>69</v>
      </c>
      <c r="D2563" s="12">
        <f>IFERROR(__xludf.DUMMYFUNCTION("""COMPUTED_VALUE"""),6.0)</f>
        <v>6</v>
      </c>
      <c r="E2563" s="12">
        <f>IFERROR(__xludf.DUMMYFUNCTION("""COMPUTED_VALUE"""),6.0)</f>
        <v>6</v>
      </c>
      <c r="F2563" s="12">
        <f>IFERROR(__xludf.DUMMYFUNCTION("""COMPUTED_VALUE"""),5.0)</f>
        <v>5</v>
      </c>
      <c r="G2563" s="15" t="str">
        <f>IFERROR(__xludf.DUMMYFUNCTION("""COMPUTED_VALUE"""),"Completa")</f>
        <v>Completa</v>
      </c>
      <c r="H2563" s="16" t="str">
        <f t="array" ref="H2563">_xlfn.XLOOKUP(D2563,Productos[ID_Producto],Productos[Nombre_Producto])</f>
        <v>Asado</v>
      </c>
      <c r="I2563" s="17">
        <f t="array" ref="I2563">_xlfn.XLOOKUP(D2563,Productos[ID_Producto],Productos[Precio_Unitario])</f>
        <v>28.56</v>
      </c>
      <c r="J2563" s="17">
        <f t="shared" si="1"/>
        <v>171.36</v>
      </c>
      <c r="K2563" s="16" t="str">
        <f t="array" ref="K2563">_xlfn.XLOOKUP(C2563,Clientes[ID_Cliente],Clientes[Provincia])</f>
        <v>San Luis</v>
      </c>
      <c r="L2563" s="16" t="str">
        <f t="array" ref="L2563">CONCATENATE(_xlfn.XLOOKUP(C2563,Clientes[ID_Cliente],Clientes[Provincia]),", Argentina")</f>
        <v>San Luis, Argentina</v>
      </c>
      <c r="M2563" s="20" t="str">
        <f t="array" ref="M2563">_xlfn.XLOOKUP(F2563,Metodos_De_Pago[ID_Metodo],Metodos_De_Pago[Metodo])</f>
        <v>Transferencia</v>
      </c>
      <c r="N2563" s="20" t="str">
        <f t="shared" si="2"/>
        <v>2024 03</v>
      </c>
    </row>
    <row r="2564" ht="22.5" customHeight="1">
      <c r="A2564" s="12">
        <f>IFERROR(__xludf.DUMMYFUNCTION("""COMPUTED_VALUE"""),2519.0)</f>
        <v>2519</v>
      </c>
      <c r="B2564" s="13">
        <f>IFERROR(__xludf.DUMMYFUNCTION("""COMPUTED_VALUE"""),45363.0)</f>
        <v>45363</v>
      </c>
      <c r="C2564" s="12">
        <f>IFERROR(__xludf.DUMMYFUNCTION("""COMPUTED_VALUE"""),30.0)</f>
        <v>30</v>
      </c>
      <c r="D2564" s="12">
        <f>IFERROR(__xludf.DUMMYFUNCTION("""COMPUTED_VALUE"""),3.0)</f>
        <v>3</v>
      </c>
      <c r="E2564" s="12">
        <f>IFERROR(__xludf.DUMMYFUNCTION("""COMPUTED_VALUE"""),6.0)</f>
        <v>6</v>
      </c>
      <c r="F2564" s="12">
        <f>IFERROR(__xludf.DUMMYFUNCTION("""COMPUTED_VALUE"""),1.0)</f>
        <v>1</v>
      </c>
      <c r="G2564" s="15" t="str">
        <f>IFERROR(__xludf.DUMMYFUNCTION("""COMPUTED_VALUE"""),"Completa")</f>
        <v>Completa</v>
      </c>
      <c r="H2564" s="16" t="str">
        <f t="array" ref="H2564">_xlfn.XLOOKUP(D2564,Productos[ID_Producto],Productos[Nombre_Producto])</f>
        <v>Queso cremoso</v>
      </c>
      <c r="I2564" s="17">
        <f t="array" ref="I2564">_xlfn.XLOOKUP(D2564,Productos[ID_Producto],Productos[Precio_Unitario])</f>
        <v>17.23</v>
      </c>
      <c r="J2564" s="17">
        <f t="shared" si="1"/>
        <v>103.38</v>
      </c>
      <c r="K2564" s="16" t="str">
        <f t="array" ref="K2564">_xlfn.XLOOKUP(C2564,Clientes[ID_Cliente],Clientes[Provincia])</f>
        <v>Buenos Aires</v>
      </c>
      <c r="L2564" s="16" t="str">
        <f t="array" ref="L2564">CONCATENATE(_xlfn.XLOOKUP(C2564,Clientes[ID_Cliente],Clientes[Provincia]),", Argentina")</f>
        <v>Buenos Aires, Argentina</v>
      </c>
      <c r="M2564" s="20" t="str">
        <f t="array" ref="M2564">_xlfn.XLOOKUP(F2564,Metodos_De_Pago[ID_Metodo],Metodos_De_Pago[Metodo])</f>
        <v>Efectivo</v>
      </c>
      <c r="N2564" s="20" t="str">
        <f t="shared" si="2"/>
        <v>2024 03</v>
      </c>
    </row>
    <row r="2565" ht="22.5" customHeight="1">
      <c r="A2565" s="12">
        <f>IFERROR(__xludf.DUMMYFUNCTION("""COMPUTED_VALUE"""),2989.0)</f>
        <v>2989</v>
      </c>
      <c r="B2565" s="13">
        <f>IFERROR(__xludf.DUMMYFUNCTION("""COMPUTED_VALUE"""),45363.0)</f>
        <v>45363</v>
      </c>
      <c r="C2565" s="12">
        <f>IFERROR(__xludf.DUMMYFUNCTION("""COMPUTED_VALUE"""),147.0)</f>
        <v>147</v>
      </c>
      <c r="D2565" s="12">
        <f>IFERROR(__xludf.DUMMYFUNCTION("""COMPUTED_VALUE"""),31.0)</f>
        <v>31</v>
      </c>
      <c r="E2565" s="12">
        <f>IFERROR(__xludf.DUMMYFUNCTION("""COMPUTED_VALUE"""),6.0)</f>
        <v>6</v>
      </c>
      <c r="F2565" s="12">
        <f>IFERROR(__xludf.DUMMYFUNCTION("""COMPUTED_VALUE"""),3.0)</f>
        <v>3</v>
      </c>
      <c r="G2565" s="15" t="str">
        <f>IFERROR(__xludf.DUMMYFUNCTION("""COMPUTED_VALUE"""),"Completa")</f>
        <v>Completa</v>
      </c>
      <c r="H2565" s="16" t="str">
        <f t="array" ref="H2565">_xlfn.XLOOKUP(D2565,Productos[ID_Producto],Productos[Nombre_Producto])</f>
        <v>Galletitas de agua</v>
      </c>
      <c r="I2565" s="17">
        <f t="array" ref="I2565">_xlfn.XLOOKUP(D2565,Productos[ID_Producto],Productos[Precio_Unitario])</f>
        <v>5.24</v>
      </c>
      <c r="J2565" s="17">
        <f t="shared" si="1"/>
        <v>31.44</v>
      </c>
      <c r="K2565" s="16" t="str">
        <f t="array" ref="K2565">_xlfn.XLOOKUP(C2565,Clientes[ID_Cliente],Clientes[Provincia])</f>
        <v>San Luis</v>
      </c>
      <c r="L2565" s="16" t="str">
        <f t="array" ref="L2565">CONCATENATE(_xlfn.XLOOKUP(C2565,Clientes[ID_Cliente],Clientes[Provincia]),", Argentina")</f>
        <v>San Luis, Argentina</v>
      </c>
      <c r="M2565" s="20" t="str">
        <f t="array" ref="M2565">_xlfn.XLOOKUP(F2565,Metodos_De_Pago[ID_Metodo],Metodos_De_Pago[Metodo])</f>
        <v>Tarjeta de Débito</v>
      </c>
      <c r="N2565" s="20" t="str">
        <f t="shared" si="2"/>
        <v>2024 03</v>
      </c>
    </row>
    <row r="2566" ht="22.5" customHeight="1">
      <c r="A2566" s="12">
        <f>IFERROR(__xludf.DUMMYFUNCTION("""COMPUTED_VALUE"""),537.0)</f>
        <v>537</v>
      </c>
      <c r="B2566" s="13">
        <f>IFERROR(__xludf.DUMMYFUNCTION("""COMPUTED_VALUE"""),45364.0)</f>
        <v>45364</v>
      </c>
      <c r="C2566" s="12">
        <f>IFERROR(__xludf.DUMMYFUNCTION("""COMPUTED_VALUE"""),262.0)</f>
        <v>262</v>
      </c>
      <c r="D2566" s="12">
        <f>IFERROR(__xludf.DUMMYFUNCTION("""COMPUTED_VALUE"""),3.0)</f>
        <v>3</v>
      </c>
      <c r="E2566" s="12">
        <f>IFERROR(__xludf.DUMMYFUNCTION("""COMPUTED_VALUE"""),6.0)</f>
        <v>6</v>
      </c>
      <c r="F2566" s="12">
        <f>IFERROR(__xludf.DUMMYFUNCTION("""COMPUTED_VALUE"""),2.0)</f>
        <v>2</v>
      </c>
      <c r="G2566" s="15" t="str">
        <f>IFERROR(__xludf.DUMMYFUNCTION("""COMPUTED_VALUE"""),"Completa")</f>
        <v>Completa</v>
      </c>
      <c r="H2566" s="16" t="str">
        <f t="array" ref="H2566">_xlfn.XLOOKUP(D2566,Productos[ID_Producto],Productos[Nombre_Producto])</f>
        <v>Queso cremoso</v>
      </c>
      <c r="I2566" s="17">
        <f t="array" ref="I2566">_xlfn.XLOOKUP(D2566,Productos[ID_Producto],Productos[Precio_Unitario])</f>
        <v>17.23</v>
      </c>
      <c r="J2566" s="17">
        <f t="shared" si="1"/>
        <v>103.38</v>
      </c>
      <c r="K2566" s="16" t="str">
        <f t="array" ref="K2566">_xlfn.XLOOKUP(C2566,Clientes[ID_Cliente],Clientes[Provincia])</f>
        <v>Buenos Aires</v>
      </c>
      <c r="L2566" s="16" t="str">
        <f t="array" ref="L2566">CONCATENATE(_xlfn.XLOOKUP(C2566,Clientes[ID_Cliente],Clientes[Provincia]),", Argentina")</f>
        <v>Buenos Aires, Argentina</v>
      </c>
      <c r="M2566" s="20" t="str">
        <f t="array" ref="M2566">_xlfn.XLOOKUP(F2566,Metodos_De_Pago[ID_Metodo],Metodos_De_Pago[Metodo])</f>
        <v>Tarjeta de Crédito</v>
      </c>
      <c r="N2566" s="20" t="str">
        <f t="shared" si="2"/>
        <v>2024 03</v>
      </c>
    </row>
    <row r="2567" ht="22.5" customHeight="1">
      <c r="A2567" s="12">
        <f>IFERROR(__xludf.DUMMYFUNCTION("""COMPUTED_VALUE"""),1228.0)</f>
        <v>1228</v>
      </c>
      <c r="B2567" s="13">
        <f>IFERROR(__xludf.DUMMYFUNCTION("""COMPUTED_VALUE"""),45365.0)</f>
        <v>45365</v>
      </c>
      <c r="C2567" s="12">
        <f>IFERROR(__xludf.DUMMYFUNCTION("""COMPUTED_VALUE"""),291.0)</f>
        <v>291</v>
      </c>
      <c r="D2567" s="12">
        <f>IFERROR(__xludf.DUMMYFUNCTION("""COMPUTED_VALUE"""),1.0)</f>
        <v>1</v>
      </c>
      <c r="E2567" s="12">
        <f>IFERROR(__xludf.DUMMYFUNCTION("""COMPUTED_VALUE"""),6.0)</f>
        <v>6</v>
      </c>
      <c r="F2567" s="12">
        <f>IFERROR(__xludf.DUMMYFUNCTION("""COMPUTED_VALUE"""),1.0)</f>
        <v>1</v>
      </c>
      <c r="G2567" s="15" t="str">
        <f>IFERROR(__xludf.DUMMYFUNCTION("""COMPUTED_VALUE"""),"Completa")</f>
        <v>Completa</v>
      </c>
      <c r="H2567" s="16" t="str">
        <f t="array" ref="H2567">_xlfn.XLOOKUP(D2567,Productos[ID_Producto],Productos[Nombre_Producto])</f>
        <v>Leche</v>
      </c>
      <c r="I2567" s="17">
        <f t="array" ref="I2567">_xlfn.XLOOKUP(D2567,Productos[ID_Producto],Productos[Precio_Unitario])</f>
        <v>12.24</v>
      </c>
      <c r="J2567" s="17">
        <f t="shared" si="1"/>
        <v>73.44</v>
      </c>
      <c r="K2567" s="16" t="str">
        <f t="array" ref="K2567">_xlfn.XLOOKUP(C2567,Clientes[ID_Cliente],Clientes[Provincia])</f>
        <v>Chaco</v>
      </c>
      <c r="L2567" s="16" t="str">
        <f t="array" ref="L2567">CONCATENATE(_xlfn.XLOOKUP(C2567,Clientes[ID_Cliente],Clientes[Provincia]),", Argentina")</f>
        <v>Chaco, Argentina</v>
      </c>
      <c r="M2567" s="20" t="str">
        <f t="array" ref="M2567">_xlfn.XLOOKUP(F2567,Metodos_De_Pago[ID_Metodo],Metodos_De_Pago[Metodo])</f>
        <v>Efectivo</v>
      </c>
      <c r="N2567" s="20" t="str">
        <f t="shared" si="2"/>
        <v>2024 03</v>
      </c>
    </row>
    <row r="2568" ht="22.5" customHeight="1">
      <c r="A2568" s="12">
        <f>IFERROR(__xludf.DUMMYFUNCTION("""COMPUTED_VALUE"""),2660.0)</f>
        <v>2660</v>
      </c>
      <c r="B2568" s="13">
        <f>IFERROR(__xludf.DUMMYFUNCTION("""COMPUTED_VALUE"""),45366.0)</f>
        <v>45366</v>
      </c>
      <c r="C2568" s="12">
        <f>IFERROR(__xludf.DUMMYFUNCTION("""COMPUTED_VALUE"""),28.0)</f>
        <v>28</v>
      </c>
      <c r="D2568" s="12">
        <f>IFERROR(__xludf.DUMMYFUNCTION("""COMPUTED_VALUE"""),7.0)</f>
        <v>7</v>
      </c>
      <c r="E2568" s="12">
        <f>IFERROR(__xludf.DUMMYFUNCTION("""COMPUTED_VALUE"""),6.0)</f>
        <v>6</v>
      </c>
      <c r="F2568" s="12">
        <f>IFERROR(__xludf.DUMMYFUNCTION("""COMPUTED_VALUE"""),4.0)</f>
        <v>4</v>
      </c>
      <c r="G2568" s="15" t="str">
        <f>IFERROR(__xludf.DUMMYFUNCTION("""COMPUTED_VALUE"""),"Completa")</f>
        <v>Completa</v>
      </c>
      <c r="H2568" s="16" t="str">
        <f t="array" ref="H2568">_xlfn.XLOOKUP(D2568,Productos[ID_Producto],Productos[Nombre_Producto])</f>
        <v>Chorizo</v>
      </c>
      <c r="I2568" s="17">
        <f t="array" ref="I2568">_xlfn.XLOOKUP(D2568,Productos[ID_Producto],Productos[Precio_Unitario])</f>
        <v>11.25</v>
      </c>
      <c r="J2568" s="17">
        <f t="shared" si="1"/>
        <v>67.5</v>
      </c>
      <c r="K2568" s="16" t="str">
        <f t="array" ref="K2568">_xlfn.XLOOKUP(C2568,Clientes[ID_Cliente],Clientes[Provincia])</f>
        <v>Chaco</v>
      </c>
      <c r="L2568" s="16" t="str">
        <f t="array" ref="L2568">CONCATENATE(_xlfn.XLOOKUP(C2568,Clientes[ID_Cliente],Clientes[Provincia]),", Argentina")</f>
        <v>Chaco, Argentina</v>
      </c>
      <c r="M2568" s="20" t="str">
        <f t="array" ref="M2568">_xlfn.XLOOKUP(F2568,Metodos_De_Pago[ID_Metodo],Metodos_De_Pago[Metodo])</f>
        <v>Mercado Pago</v>
      </c>
      <c r="N2568" s="20" t="str">
        <f t="shared" si="2"/>
        <v>2024 03</v>
      </c>
    </row>
    <row r="2569" ht="22.5" customHeight="1">
      <c r="A2569" s="12">
        <f>IFERROR(__xludf.DUMMYFUNCTION("""COMPUTED_VALUE"""),2808.0)</f>
        <v>2808</v>
      </c>
      <c r="B2569" s="13">
        <f>IFERROR(__xludf.DUMMYFUNCTION("""COMPUTED_VALUE"""),45366.0)</f>
        <v>45366</v>
      </c>
      <c r="C2569" s="12">
        <f>IFERROR(__xludf.DUMMYFUNCTION("""COMPUTED_VALUE"""),11.0)</f>
        <v>11</v>
      </c>
      <c r="D2569" s="12">
        <f>IFERROR(__xludf.DUMMYFUNCTION("""COMPUTED_VALUE"""),38.0)</f>
        <v>38</v>
      </c>
      <c r="E2569" s="12">
        <f>IFERROR(__xludf.DUMMYFUNCTION("""COMPUTED_VALUE"""),6.0)</f>
        <v>6</v>
      </c>
      <c r="F2569" s="12">
        <f>IFERROR(__xludf.DUMMYFUNCTION("""COMPUTED_VALUE"""),4.0)</f>
        <v>4</v>
      </c>
      <c r="G2569" s="15" t="str">
        <f>IFERROR(__xludf.DUMMYFUNCTION("""COMPUTED_VALUE"""),"Completa")</f>
        <v>Completa</v>
      </c>
      <c r="H2569" s="16" t="str">
        <f t="array" ref="H2569">_xlfn.XLOOKUP(D2569,Productos[ID_Producto],Productos[Nombre_Producto])</f>
        <v>Atún enlatado</v>
      </c>
      <c r="I2569" s="17">
        <f t="array" ref="I2569">_xlfn.XLOOKUP(D2569,Productos[ID_Producto],Productos[Precio_Unitario])</f>
        <v>6.21</v>
      </c>
      <c r="J2569" s="17">
        <f t="shared" si="1"/>
        <v>37.26</v>
      </c>
      <c r="K2569" s="16" t="str">
        <f t="array" ref="K2569">_xlfn.XLOOKUP(C2569,Clientes[ID_Cliente],Clientes[Provincia])</f>
        <v>Buenos Aires</v>
      </c>
      <c r="L2569" s="16" t="str">
        <f t="array" ref="L2569">CONCATENATE(_xlfn.XLOOKUP(C2569,Clientes[ID_Cliente],Clientes[Provincia]),", Argentina")</f>
        <v>Buenos Aires, Argentina</v>
      </c>
      <c r="M2569" s="20" t="str">
        <f t="array" ref="M2569">_xlfn.XLOOKUP(F2569,Metodos_De_Pago[ID_Metodo],Metodos_De_Pago[Metodo])</f>
        <v>Mercado Pago</v>
      </c>
      <c r="N2569" s="20" t="str">
        <f t="shared" si="2"/>
        <v>2024 03</v>
      </c>
    </row>
    <row r="2570" ht="22.5" customHeight="1">
      <c r="A2570" s="12">
        <f>IFERROR(__xludf.DUMMYFUNCTION("""COMPUTED_VALUE"""),40.0)</f>
        <v>40</v>
      </c>
      <c r="B2570" s="13">
        <f>IFERROR(__xludf.DUMMYFUNCTION("""COMPUTED_VALUE"""),45367.0)</f>
        <v>45367</v>
      </c>
      <c r="C2570" s="12">
        <f>IFERROR(__xludf.DUMMYFUNCTION("""COMPUTED_VALUE"""),125.0)</f>
        <v>125</v>
      </c>
      <c r="D2570" s="12">
        <f>IFERROR(__xludf.DUMMYFUNCTION("""COMPUTED_VALUE"""),34.0)</f>
        <v>34</v>
      </c>
      <c r="E2570" s="12">
        <f>IFERROR(__xludf.DUMMYFUNCTION("""COMPUTED_VALUE"""),6.0)</f>
        <v>6</v>
      </c>
      <c r="F2570" s="12">
        <f>IFERROR(__xludf.DUMMYFUNCTION("""COMPUTED_VALUE"""),1.0)</f>
        <v>1</v>
      </c>
      <c r="G2570" s="15" t="str">
        <f>IFERROR(__xludf.DUMMYFUNCTION("""COMPUTED_VALUE"""),"Completa")</f>
        <v>Completa</v>
      </c>
      <c r="H2570" s="16" t="str">
        <f t="array" ref="H2570">_xlfn.XLOOKUP(D2570,Productos[ID_Producto],Productos[Nombre_Producto])</f>
        <v>Maníes</v>
      </c>
      <c r="I2570" s="17">
        <f t="array" ref="I2570">_xlfn.XLOOKUP(D2570,Productos[ID_Producto],Productos[Precio_Unitario])</f>
        <v>5.45</v>
      </c>
      <c r="J2570" s="17">
        <f t="shared" si="1"/>
        <v>32.7</v>
      </c>
      <c r="K2570" s="16" t="str">
        <f t="array" ref="K2570">_xlfn.XLOOKUP(C2570,Clientes[ID_Cliente],Clientes[Provincia])</f>
        <v>Neuquén</v>
      </c>
      <c r="L2570" s="16" t="str">
        <f t="array" ref="L2570">CONCATENATE(_xlfn.XLOOKUP(C2570,Clientes[ID_Cliente],Clientes[Provincia]),", Argentina")</f>
        <v>Neuquén, Argentina</v>
      </c>
      <c r="M2570" s="20" t="str">
        <f t="array" ref="M2570">_xlfn.XLOOKUP(F2570,Metodos_De_Pago[ID_Metodo],Metodos_De_Pago[Metodo])</f>
        <v>Efectivo</v>
      </c>
      <c r="N2570" s="20" t="str">
        <f t="shared" si="2"/>
        <v>2024 03</v>
      </c>
    </row>
    <row r="2571" ht="22.5" customHeight="1">
      <c r="A2571" s="12">
        <f>IFERROR(__xludf.DUMMYFUNCTION("""COMPUTED_VALUE"""),2201.0)</f>
        <v>2201</v>
      </c>
      <c r="B2571" s="13">
        <f>IFERROR(__xludf.DUMMYFUNCTION("""COMPUTED_VALUE"""),45367.0)</f>
        <v>45367</v>
      </c>
      <c r="C2571" s="12">
        <f>IFERROR(__xludf.DUMMYFUNCTION("""COMPUTED_VALUE"""),63.0)</f>
        <v>63</v>
      </c>
      <c r="D2571" s="12">
        <f>IFERROR(__xludf.DUMMYFUNCTION("""COMPUTED_VALUE"""),34.0)</f>
        <v>34</v>
      </c>
      <c r="E2571" s="12">
        <f>IFERROR(__xludf.DUMMYFUNCTION("""COMPUTED_VALUE"""),6.0)</f>
        <v>6</v>
      </c>
      <c r="F2571" s="12">
        <f>IFERROR(__xludf.DUMMYFUNCTION("""COMPUTED_VALUE"""),5.0)</f>
        <v>5</v>
      </c>
      <c r="G2571" s="15" t="str">
        <f>IFERROR(__xludf.DUMMYFUNCTION("""COMPUTED_VALUE"""),"Completa")</f>
        <v>Completa</v>
      </c>
      <c r="H2571" s="16" t="str">
        <f t="array" ref="H2571">_xlfn.XLOOKUP(D2571,Productos[ID_Producto],Productos[Nombre_Producto])</f>
        <v>Maníes</v>
      </c>
      <c r="I2571" s="17">
        <f t="array" ref="I2571">_xlfn.XLOOKUP(D2571,Productos[ID_Producto],Productos[Precio_Unitario])</f>
        <v>5.45</v>
      </c>
      <c r="J2571" s="17">
        <f t="shared" si="1"/>
        <v>32.7</v>
      </c>
      <c r="K2571" s="16" t="str">
        <f t="array" ref="K2571">_xlfn.XLOOKUP(C2571,Clientes[ID_Cliente],Clientes[Provincia])</f>
        <v>Buenos Aires</v>
      </c>
      <c r="L2571" s="16" t="str">
        <f t="array" ref="L2571">CONCATENATE(_xlfn.XLOOKUP(C2571,Clientes[ID_Cliente],Clientes[Provincia]),", Argentina")</f>
        <v>Buenos Aires, Argentina</v>
      </c>
      <c r="M2571" s="20" t="str">
        <f t="array" ref="M2571">_xlfn.XLOOKUP(F2571,Metodos_De_Pago[ID_Metodo],Metodos_De_Pago[Metodo])</f>
        <v>Transferencia</v>
      </c>
      <c r="N2571" s="20" t="str">
        <f t="shared" si="2"/>
        <v>2024 03</v>
      </c>
    </row>
    <row r="2572" ht="22.5" customHeight="1">
      <c r="A2572" s="12">
        <f>IFERROR(__xludf.DUMMYFUNCTION("""COMPUTED_VALUE"""),2264.0)</f>
        <v>2264</v>
      </c>
      <c r="B2572" s="13">
        <f>IFERROR(__xludf.DUMMYFUNCTION("""COMPUTED_VALUE"""),45367.0)</f>
        <v>45367</v>
      </c>
      <c r="C2572" s="12">
        <f>IFERROR(__xludf.DUMMYFUNCTION("""COMPUTED_VALUE"""),87.0)</f>
        <v>87</v>
      </c>
      <c r="D2572" s="12">
        <f>IFERROR(__xludf.DUMMYFUNCTION("""COMPUTED_VALUE"""),11.0)</f>
        <v>11</v>
      </c>
      <c r="E2572" s="12">
        <f>IFERROR(__xludf.DUMMYFUNCTION("""COMPUTED_VALUE"""),6.0)</f>
        <v>6</v>
      </c>
      <c r="F2572" s="12">
        <f>IFERROR(__xludf.DUMMYFUNCTION("""COMPUTED_VALUE"""),5.0)</f>
        <v>5</v>
      </c>
      <c r="G2572" s="15" t="str">
        <f>IFERROR(__xludf.DUMMYFUNCTION("""COMPUTED_VALUE"""),"Completa")</f>
        <v>Completa</v>
      </c>
      <c r="H2572" s="16" t="str">
        <f t="array" ref="H2572">_xlfn.XLOOKUP(D2572,Productos[ID_Producto],Productos[Nombre_Producto])</f>
        <v>Salchicha</v>
      </c>
      <c r="I2572" s="17">
        <f t="array" ref="I2572">_xlfn.XLOOKUP(D2572,Productos[ID_Producto],Productos[Precio_Unitario])</f>
        <v>11.23</v>
      </c>
      <c r="J2572" s="17">
        <f t="shared" si="1"/>
        <v>67.38</v>
      </c>
      <c r="K2572" s="16" t="str">
        <f t="array" ref="K2572">_xlfn.XLOOKUP(C2572,Clientes[ID_Cliente],Clientes[Provincia])</f>
        <v>Neuquén</v>
      </c>
      <c r="L2572" s="16" t="str">
        <f t="array" ref="L2572">CONCATENATE(_xlfn.XLOOKUP(C2572,Clientes[ID_Cliente],Clientes[Provincia]),", Argentina")</f>
        <v>Neuquén, Argentina</v>
      </c>
      <c r="M2572" s="20" t="str">
        <f t="array" ref="M2572">_xlfn.XLOOKUP(F2572,Metodos_De_Pago[ID_Metodo],Metodos_De_Pago[Metodo])</f>
        <v>Transferencia</v>
      </c>
      <c r="N2572" s="20" t="str">
        <f t="shared" si="2"/>
        <v>2024 03</v>
      </c>
    </row>
    <row r="2573" ht="22.5" customHeight="1">
      <c r="A2573" s="12">
        <f>IFERROR(__xludf.DUMMYFUNCTION("""COMPUTED_VALUE"""),875.0)</f>
        <v>875</v>
      </c>
      <c r="B2573" s="13">
        <f>IFERROR(__xludf.DUMMYFUNCTION("""COMPUTED_VALUE"""),45368.0)</f>
        <v>45368</v>
      </c>
      <c r="C2573" s="12">
        <f>IFERROR(__xludf.DUMMYFUNCTION("""COMPUTED_VALUE"""),321.0)</f>
        <v>321</v>
      </c>
      <c r="D2573" s="12">
        <f>IFERROR(__xludf.DUMMYFUNCTION("""COMPUTED_VALUE"""),15.0)</f>
        <v>15</v>
      </c>
      <c r="E2573" s="12">
        <f>IFERROR(__xludf.DUMMYFUNCTION("""COMPUTED_VALUE"""),6.0)</f>
        <v>6</v>
      </c>
      <c r="F2573" s="12">
        <f>IFERROR(__xludf.DUMMYFUNCTION("""COMPUTED_VALUE"""),5.0)</f>
        <v>5</v>
      </c>
      <c r="G2573" s="15" t="str">
        <f>IFERROR(__xludf.DUMMYFUNCTION("""COMPUTED_VALUE"""),"Completa")</f>
        <v>Completa</v>
      </c>
      <c r="H2573" s="16" t="str">
        <f t="array" ref="H2573">_xlfn.XLOOKUP(D2573,Productos[ID_Producto],Productos[Nombre_Producto])</f>
        <v>Medialunas</v>
      </c>
      <c r="I2573" s="17">
        <f t="array" ref="I2573">_xlfn.XLOOKUP(D2573,Productos[ID_Producto],Productos[Precio_Unitario])</f>
        <v>3.51</v>
      </c>
      <c r="J2573" s="17">
        <f t="shared" si="1"/>
        <v>21.06</v>
      </c>
      <c r="K2573" s="16" t="str">
        <f t="array" ref="K2573">_xlfn.XLOOKUP(C2573,Clientes[ID_Cliente],Clientes[Provincia])</f>
        <v>San Luis</v>
      </c>
      <c r="L2573" s="16" t="str">
        <f t="array" ref="L2573">CONCATENATE(_xlfn.XLOOKUP(C2573,Clientes[ID_Cliente],Clientes[Provincia]),", Argentina")</f>
        <v>San Luis, Argentina</v>
      </c>
      <c r="M2573" s="20" t="str">
        <f t="array" ref="M2573">_xlfn.XLOOKUP(F2573,Metodos_De_Pago[ID_Metodo],Metodos_De_Pago[Metodo])</f>
        <v>Transferencia</v>
      </c>
      <c r="N2573" s="20" t="str">
        <f t="shared" si="2"/>
        <v>2024 03</v>
      </c>
    </row>
    <row r="2574" ht="22.5" customHeight="1">
      <c r="A2574" s="12">
        <f>IFERROR(__xludf.DUMMYFUNCTION("""COMPUTED_VALUE"""),1137.0)</f>
        <v>1137</v>
      </c>
      <c r="B2574" s="13">
        <f>IFERROR(__xludf.DUMMYFUNCTION("""COMPUTED_VALUE"""),45368.0)</f>
        <v>45368</v>
      </c>
      <c r="C2574" s="12">
        <f>IFERROR(__xludf.DUMMYFUNCTION("""COMPUTED_VALUE"""),295.0)</f>
        <v>295</v>
      </c>
      <c r="D2574" s="12">
        <f>IFERROR(__xludf.DUMMYFUNCTION("""COMPUTED_VALUE"""),32.0)</f>
        <v>32</v>
      </c>
      <c r="E2574" s="12">
        <f>IFERROR(__xludf.DUMMYFUNCTION("""COMPUTED_VALUE"""),6.0)</f>
        <v>6</v>
      </c>
      <c r="F2574" s="12">
        <f>IFERROR(__xludf.DUMMYFUNCTION("""COMPUTED_VALUE"""),3.0)</f>
        <v>3</v>
      </c>
      <c r="G2574" s="15" t="str">
        <f>IFERROR(__xludf.DUMMYFUNCTION("""COMPUTED_VALUE"""),"Completa")</f>
        <v>Completa</v>
      </c>
      <c r="H2574" s="16" t="str">
        <f t="array" ref="H2574">_xlfn.XLOOKUP(D2574,Productos[ID_Producto],Productos[Nombre_Producto])</f>
        <v>Galletitas de chocolate</v>
      </c>
      <c r="I2574" s="17">
        <f t="array" ref="I2574">_xlfn.XLOOKUP(D2574,Productos[ID_Producto],Productos[Precio_Unitario])</f>
        <v>6.25</v>
      </c>
      <c r="J2574" s="17">
        <f t="shared" si="1"/>
        <v>37.5</v>
      </c>
      <c r="K2574" s="16" t="str">
        <f t="array" ref="K2574">_xlfn.XLOOKUP(C2574,Clientes[ID_Cliente],Clientes[Provincia])</f>
        <v>San Luis</v>
      </c>
      <c r="L2574" s="16" t="str">
        <f t="array" ref="L2574">CONCATENATE(_xlfn.XLOOKUP(C2574,Clientes[ID_Cliente],Clientes[Provincia]),", Argentina")</f>
        <v>San Luis, Argentina</v>
      </c>
      <c r="M2574" s="20" t="str">
        <f t="array" ref="M2574">_xlfn.XLOOKUP(F2574,Metodos_De_Pago[ID_Metodo],Metodos_De_Pago[Metodo])</f>
        <v>Tarjeta de Débito</v>
      </c>
      <c r="N2574" s="20" t="str">
        <f t="shared" si="2"/>
        <v>2024 03</v>
      </c>
    </row>
    <row r="2575" ht="22.5" customHeight="1">
      <c r="A2575" s="12">
        <f>IFERROR(__xludf.DUMMYFUNCTION("""COMPUTED_VALUE"""),2261.0)</f>
        <v>2261</v>
      </c>
      <c r="B2575" s="13">
        <f>IFERROR(__xludf.DUMMYFUNCTION("""COMPUTED_VALUE"""),45368.0)</f>
        <v>45368</v>
      </c>
      <c r="C2575" s="12">
        <f>IFERROR(__xludf.DUMMYFUNCTION("""COMPUTED_VALUE"""),305.0)</f>
        <v>305</v>
      </c>
      <c r="D2575" s="12">
        <f>IFERROR(__xludf.DUMMYFUNCTION("""COMPUTED_VALUE"""),4.0)</f>
        <v>4</v>
      </c>
      <c r="E2575" s="12">
        <f>IFERROR(__xludf.DUMMYFUNCTION("""COMPUTED_VALUE"""),6.0)</f>
        <v>6</v>
      </c>
      <c r="F2575" s="12">
        <f>IFERROR(__xludf.DUMMYFUNCTION("""COMPUTED_VALUE"""),4.0)</f>
        <v>4</v>
      </c>
      <c r="G2575" s="15" t="str">
        <f>IFERROR(__xludf.DUMMYFUNCTION("""COMPUTED_VALUE"""),"Completa")</f>
        <v>Completa</v>
      </c>
      <c r="H2575" s="16" t="str">
        <f t="array" ref="H2575">_xlfn.XLOOKUP(D2575,Productos[ID_Producto],Productos[Nombre_Producto])</f>
        <v>Queso rallado</v>
      </c>
      <c r="I2575" s="17">
        <f t="array" ref="I2575">_xlfn.XLOOKUP(D2575,Productos[ID_Producto],Productos[Precio_Unitario])</f>
        <v>19.23</v>
      </c>
      <c r="J2575" s="17">
        <f t="shared" si="1"/>
        <v>115.38</v>
      </c>
      <c r="K2575" s="16" t="str">
        <f t="array" ref="K2575">_xlfn.XLOOKUP(C2575,Clientes[ID_Cliente],Clientes[Provincia])</f>
        <v>Neuquén</v>
      </c>
      <c r="L2575" s="16" t="str">
        <f t="array" ref="L2575">CONCATENATE(_xlfn.XLOOKUP(C2575,Clientes[ID_Cliente],Clientes[Provincia]),", Argentina")</f>
        <v>Neuquén, Argentina</v>
      </c>
      <c r="M2575" s="20" t="str">
        <f t="array" ref="M2575">_xlfn.XLOOKUP(F2575,Metodos_De_Pago[ID_Metodo],Metodos_De_Pago[Metodo])</f>
        <v>Mercado Pago</v>
      </c>
      <c r="N2575" s="20" t="str">
        <f t="shared" si="2"/>
        <v>2024 03</v>
      </c>
    </row>
    <row r="2576" ht="22.5" customHeight="1">
      <c r="A2576" s="12">
        <f>IFERROR(__xludf.DUMMYFUNCTION("""COMPUTED_VALUE"""),2135.0)</f>
        <v>2135</v>
      </c>
      <c r="B2576" s="13">
        <f>IFERROR(__xludf.DUMMYFUNCTION("""COMPUTED_VALUE"""),45369.0)</f>
        <v>45369</v>
      </c>
      <c r="C2576" s="12">
        <f>IFERROR(__xludf.DUMMYFUNCTION("""COMPUTED_VALUE"""),50.0)</f>
        <v>50</v>
      </c>
      <c r="D2576" s="12">
        <f>IFERROR(__xludf.DUMMYFUNCTION("""COMPUTED_VALUE"""),31.0)</f>
        <v>31</v>
      </c>
      <c r="E2576" s="12">
        <f>IFERROR(__xludf.DUMMYFUNCTION("""COMPUTED_VALUE"""),6.0)</f>
        <v>6</v>
      </c>
      <c r="F2576" s="12">
        <f>IFERROR(__xludf.DUMMYFUNCTION("""COMPUTED_VALUE"""),4.0)</f>
        <v>4</v>
      </c>
      <c r="G2576" s="15" t="str">
        <f>IFERROR(__xludf.DUMMYFUNCTION("""COMPUTED_VALUE"""),"Completa")</f>
        <v>Completa</v>
      </c>
      <c r="H2576" s="16" t="str">
        <f t="array" ref="H2576">_xlfn.XLOOKUP(D2576,Productos[ID_Producto],Productos[Nombre_Producto])</f>
        <v>Galletitas de agua</v>
      </c>
      <c r="I2576" s="17">
        <f t="array" ref="I2576">_xlfn.XLOOKUP(D2576,Productos[ID_Producto],Productos[Precio_Unitario])</f>
        <v>5.24</v>
      </c>
      <c r="J2576" s="17">
        <f t="shared" si="1"/>
        <v>31.44</v>
      </c>
      <c r="K2576" s="16" t="str">
        <f t="array" ref="K2576">_xlfn.XLOOKUP(C2576,Clientes[ID_Cliente],Clientes[Provincia])</f>
        <v>Buenos Aires</v>
      </c>
      <c r="L2576" s="16" t="str">
        <f t="array" ref="L2576">CONCATENATE(_xlfn.XLOOKUP(C2576,Clientes[ID_Cliente],Clientes[Provincia]),", Argentina")</f>
        <v>Buenos Aires, Argentina</v>
      </c>
      <c r="M2576" s="20" t="str">
        <f t="array" ref="M2576">_xlfn.XLOOKUP(F2576,Metodos_De_Pago[ID_Metodo],Metodos_De_Pago[Metodo])</f>
        <v>Mercado Pago</v>
      </c>
      <c r="N2576" s="20" t="str">
        <f t="shared" si="2"/>
        <v>2024 03</v>
      </c>
    </row>
    <row r="2577" ht="22.5" customHeight="1">
      <c r="A2577" s="12">
        <f>IFERROR(__xludf.DUMMYFUNCTION("""COMPUTED_VALUE"""),741.0)</f>
        <v>741</v>
      </c>
      <c r="B2577" s="13">
        <f>IFERROR(__xludf.DUMMYFUNCTION("""COMPUTED_VALUE"""),45371.0)</f>
        <v>45371</v>
      </c>
      <c r="C2577" s="12">
        <f>IFERROR(__xludf.DUMMYFUNCTION("""COMPUTED_VALUE"""),222.0)</f>
        <v>222</v>
      </c>
      <c r="D2577" s="12">
        <f>IFERROR(__xludf.DUMMYFUNCTION("""COMPUTED_VALUE"""),31.0)</f>
        <v>31</v>
      </c>
      <c r="E2577" s="12">
        <f>IFERROR(__xludf.DUMMYFUNCTION("""COMPUTED_VALUE"""),6.0)</f>
        <v>6</v>
      </c>
      <c r="F2577" s="12">
        <f>IFERROR(__xludf.DUMMYFUNCTION("""COMPUTED_VALUE"""),5.0)</f>
        <v>5</v>
      </c>
      <c r="G2577" s="15" t="str">
        <f>IFERROR(__xludf.DUMMYFUNCTION("""COMPUTED_VALUE"""),"Completa")</f>
        <v>Completa</v>
      </c>
      <c r="H2577" s="16" t="str">
        <f t="array" ref="H2577">_xlfn.XLOOKUP(D2577,Productos[ID_Producto],Productos[Nombre_Producto])</f>
        <v>Galletitas de agua</v>
      </c>
      <c r="I2577" s="17">
        <f t="array" ref="I2577">_xlfn.XLOOKUP(D2577,Productos[ID_Producto],Productos[Precio_Unitario])</f>
        <v>5.24</v>
      </c>
      <c r="J2577" s="17">
        <f t="shared" si="1"/>
        <v>31.44</v>
      </c>
      <c r="K2577" s="16" t="str">
        <f t="array" ref="K2577">_xlfn.XLOOKUP(C2577,Clientes[ID_Cliente],Clientes[Provincia])</f>
        <v>Córdoba</v>
      </c>
      <c r="L2577" s="16" t="str">
        <f t="array" ref="L2577">CONCATENATE(_xlfn.XLOOKUP(C2577,Clientes[ID_Cliente],Clientes[Provincia]),", Argentina")</f>
        <v>Córdoba, Argentina</v>
      </c>
      <c r="M2577" s="20" t="str">
        <f t="array" ref="M2577">_xlfn.XLOOKUP(F2577,Metodos_De_Pago[ID_Metodo],Metodos_De_Pago[Metodo])</f>
        <v>Transferencia</v>
      </c>
      <c r="N2577" s="20" t="str">
        <f t="shared" si="2"/>
        <v>2024 03</v>
      </c>
    </row>
    <row r="2578" ht="22.5" customHeight="1">
      <c r="A2578" s="12">
        <f>IFERROR(__xludf.DUMMYFUNCTION("""COMPUTED_VALUE"""),1071.0)</f>
        <v>1071</v>
      </c>
      <c r="B2578" s="13">
        <f>IFERROR(__xludf.DUMMYFUNCTION("""COMPUTED_VALUE"""),45371.0)</f>
        <v>45371</v>
      </c>
      <c r="C2578" s="12">
        <f>IFERROR(__xludf.DUMMYFUNCTION("""COMPUTED_VALUE"""),135.0)</f>
        <v>135</v>
      </c>
      <c r="D2578" s="12">
        <f>IFERROR(__xludf.DUMMYFUNCTION("""COMPUTED_VALUE"""),14.0)</f>
        <v>14</v>
      </c>
      <c r="E2578" s="12">
        <f>IFERROR(__xludf.DUMMYFUNCTION("""COMPUTED_VALUE"""),6.0)</f>
        <v>6</v>
      </c>
      <c r="F2578" s="12">
        <f>IFERROR(__xludf.DUMMYFUNCTION("""COMPUTED_VALUE"""),4.0)</f>
        <v>4</v>
      </c>
      <c r="G2578" s="15" t="str">
        <f>IFERROR(__xludf.DUMMYFUNCTION("""COMPUTED_VALUE"""),"Completa")</f>
        <v>Completa</v>
      </c>
      <c r="H2578" s="16" t="str">
        <f t="array" ref="H2578">_xlfn.XLOOKUP(D2578,Productos[ID_Producto],Productos[Nombre_Producto])</f>
        <v>Facturas</v>
      </c>
      <c r="I2578" s="17">
        <f t="array" ref="I2578">_xlfn.XLOOKUP(D2578,Productos[ID_Producto],Productos[Precio_Unitario])</f>
        <v>12.36</v>
      </c>
      <c r="J2578" s="17">
        <f t="shared" si="1"/>
        <v>74.16</v>
      </c>
      <c r="K2578" s="16" t="str">
        <f t="array" ref="K2578">_xlfn.XLOOKUP(C2578,Clientes[ID_Cliente],Clientes[Provincia])</f>
        <v>San Luis</v>
      </c>
      <c r="L2578" s="16" t="str">
        <f t="array" ref="L2578">CONCATENATE(_xlfn.XLOOKUP(C2578,Clientes[ID_Cliente],Clientes[Provincia]),", Argentina")</f>
        <v>San Luis, Argentina</v>
      </c>
      <c r="M2578" s="20" t="str">
        <f t="array" ref="M2578">_xlfn.XLOOKUP(F2578,Metodos_De_Pago[ID_Metodo],Metodos_De_Pago[Metodo])</f>
        <v>Mercado Pago</v>
      </c>
      <c r="N2578" s="20" t="str">
        <f t="shared" si="2"/>
        <v>2024 03</v>
      </c>
    </row>
    <row r="2579" ht="22.5" customHeight="1">
      <c r="A2579" s="12">
        <f>IFERROR(__xludf.DUMMYFUNCTION("""COMPUTED_VALUE"""),1108.0)</f>
        <v>1108</v>
      </c>
      <c r="B2579" s="13">
        <f>IFERROR(__xludf.DUMMYFUNCTION("""COMPUTED_VALUE"""),45371.0)</f>
        <v>45371</v>
      </c>
      <c r="C2579" s="12">
        <f>IFERROR(__xludf.DUMMYFUNCTION("""COMPUTED_VALUE"""),270.0)</f>
        <v>270</v>
      </c>
      <c r="D2579" s="12">
        <f>IFERROR(__xludf.DUMMYFUNCTION("""COMPUTED_VALUE"""),25.0)</f>
        <v>25</v>
      </c>
      <c r="E2579" s="12">
        <f>IFERROR(__xludf.DUMMYFUNCTION("""COMPUTED_VALUE"""),6.0)</f>
        <v>6</v>
      </c>
      <c r="F2579" s="12">
        <f>IFERROR(__xludf.DUMMYFUNCTION("""COMPUTED_VALUE"""),2.0)</f>
        <v>2</v>
      </c>
      <c r="G2579" s="15" t="str">
        <f>IFERROR(__xludf.DUMMYFUNCTION("""COMPUTED_VALUE"""),"Pendiente")</f>
        <v>Pendiente</v>
      </c>
      <c r="H2579" s="16" t="str">
        <f t="array" ref="H2579">_xlfn.XLOOKUP(D2579,Productos[ID_Producto],Productos[Nombre_Producto])</f>
        <v>Pizza congelada</v>
      </c>
      <c r="I2579" s="17">
        <f t="array" ref="I2579">_xlfn.XLOOKUP(D2579,Productos[ID_Producto],Productos[Precio_Unitario])</f>
        <v>15.45</v>
      </c>
      <c r="J2579" s="17">
        <f t="shared" si="1"/>
        <v>92.7</v>
      </c>
      <c r="K2579" s="16" t="str">
        <f t="array" ref="K2579">_xlfn.XLOOKUP(C2579,Clientes[ID_Cliente],Clientes[Provincia])</f>
        <v>San Luis</v>
      </c>
      <c r="L2579" s="16" t="str">
        <f t="array" ref="L2579">CONCATENATE(_xlfn.XLOOKUP(C2579,Clientes[ID_Cliente],Clientes[Provincia]),", Argentina")</f>
        <v>San Luis, Argentina</v>
      </c>
      <c r="M2579" s="20" t="str">
        <f t="array" ref="M2579">_xlfn.XLOOKUP(F2579,Metodos_De_Pago[ID_Metodo],Metodos_De_Pago[Metodo])</f>
        <v>Tarjeta de Crédito</v>
      </c>
      <c r="N2579" s="20" t="str">
        <f t="shared" si="2"/>
        <v>2024 03</v>
      </c>
    </row>
    <row r="2580" ht="22.5" customHeight="1">
      <c r="A2580" s="12">
        <f>IFERROR(__xludf.DUMMYFUNCTION("""COMPUTED_VALUE"""),1920.0)</f>
        <v>1920</v>
      </c>
      <c r="B2580" s="13">
        <f>IFERROR(__xludf.DUMMYFUNCTION("""COMPUTED_VALUE"""),45371.0)</f>
        <v>45371</v>
      </c>
      <c r="C2580" s="12">
        <f>IFERROR(__xludf.DUMMYFUNCTION("""COMPUTED_VALUE"""),184.0)</f>
        <v>184</v>
      </c>
      <c r="D2580" s="12">
        <f>IFERROR(__xludf.DUMMYFUNCTION("""COMPUTED_VALUE"""),36.0)</f>
        <v>36</v>
      </c>
      <c r="E2580" s="12">
        <f>IFERROR(__xludf.DUMMYFUNCTION("""COMPUTED_VALUE"""),6.0)</f>
        <v>6</v>
      </c>
      <c r="F2580" s="12">
        <f>IFERROR(__xludf.DUMMYFUNCTION("""COMPUTED_VALUE"""),3.0)</f>
        <v>3</v>
      </c>
      <c r="G2580" s="15" t="str">
        <f>IFERROR(__xludf.DUMMYFUNCTION("""COMPUTED_VALUE"""),"Completa")</f>
        <v>Completa</v>
      </c>
      <c r="H2580" s="16" t="str">
        <f t="array" ref="H2580">_xlfn.XLOOKUP(D2580,Productos[ID_Producto],Productos[Nombre_Producto])</f>
        <v>Lentejas</v>
      </c>
      <c r="I2580" s="17">
        <f t="array" ref="I2580">_xlfn.XLOOKUP(D2580,Productos[ID_Producto],Productos[Precio_Unitario])</f>
        <v>3.25</v>
      </c>
      <c r="J2580" s="17">
        <f t="shared" si="1"/>
        <v>19.5</v>
      </c>
      <c r="K2580" s="16" t="str">
        <f t="array" ref="K2580">_xlfn.XLOOKUP(C2580,Clientes[ID_Cliente],Clientes[Provincia])</f>
        <v>Buenos Aires</v>
      </c>
      <c r="L2580" s="16" t="str">
        <f t="array" ref="L2580">CONCATENATE(_xlfn.XLOOKUP(C2580,Clientes[ID_Cliente],Clientes[Provincia]),", Argentina")</f>
        <v>Buenos Aires, Argentina</v>
      </c>
      <c r="M2580" s="20" t="str">
        <f t="array" ref="M2580">_xlfn.XLOOKUP(F2580,Metodos_De_Pago[ID_Metodo],Metodos_De_Pago[Metodo])</f>
        <v>Tarjeta de Débito</v>
      </c>
      <c r="N2580" s="20" t="str">
        <f t="shared" si="2"/>
        <v>2024 03</v>
      </c>
    </row>
    <row r="2581" ht="22.5" customHeight="1">
      <c r="A2581" s="12">
        <f>IFERROR(__xludf.DUMMYFUNCTION("""COMPUTED_VALUE"""),1606.0)</f>
        <v>1606</v>
      </c>
      <c r="B2581" s="13">
        <f>IFERROR(__xludf.DUMMYFUNCTION("""COMPUTED_VALUE"""),45372.0)</f>
        <v>45372</v>
      </c>
      <c r="C2581" s="12">
        <f>IFERROR(__xludf.DUMMYFUNCTION("""COMPUTED_VALUE"""),278.0)</f>
        <v>278</v>
      </c>
      <c r="D2581" s="12">
        <f>IFERROR(__xludf.DUMMYFUNCTION("""COMPUTED_VALUE"""),27.0)</f>
        <v>27</v>
      </c>
      <c r="E2581" s="12">
        <f>IFERROR(__xludf.DUMMYFUNCTION("""COMPUTED_VALUE"""),6.0)</f>
        <v>6</v>
      </c>
      <c r="F2581" s="12">
        <f>IFERROR(__xludf.DUMMYFUNCTION("""COMPUTED_VALUE"""),4.0)</f>
        <v>4</v>
      </c>
      <c r="G2581" s="15" t="str">
        <f>IFERROR(__xludf.DUMMYFUNCTION("""COMPUTED_VALUE"""),"Completa")</f>
        <v>Completa</v>
      </c>
      <c r="H2581" s="16" t="str">
        <f t="array" ref="H2581">_xlfn.XLOOKUP(D2581,Productos[ID_Producto],Productos[Nombre_Producto])</f>
        <v>Agua mineral</v>
      </c>
      <c r="I2581" s="17">
        <f t="array" ref="I2581">_xlfn.XLOOKUP(D2581,Productos[ID_Producto],Productos[Precio_Unitario])</f>
        <v>6.21</v>
      </c>
      <c r="J2581" s="17">
        <f t="shared" si="1"/>
        <v>37.26</v>
      </c>
      <c r="K2581" s="16" t="str">
        <f t="array" ref="K2581">_xlfn.XLOOKUP(C2581,Clientes[ID_Cliente],Clientes[Provincia])</f>
        <v>Córdoba</v>
      </c>
      <c r="L2581" s="16" t="str">
        <f t="array" ref="L2581">CONCATENATE(_xlfn.XLOOKUP(C2581,Clientes[ID_Cliente],Clientes[Provincia]),", Argentina")</f>
        <v>Córdoba, Argentina</v>
      </c>
      <c r="M2581" s="20" t="str">
        <f t="array" ref="M2581">_xlfn.XLOOKUP(F2581,Metodos_De_Pago[ID_Metodo],Metodos_De_Pago[Metodo])</f>
        <v>Mercado Pago</v>
      </c>
      <c r="N2581" s="20" t="str">
        <f t="shared" si="2"/>
        <v>2024 03</v>
      </c>
    </row>
    <row r="2582" ht="22.5" customHeight="1">
      <c r="A2582" s="12">
        <f>IFERROR(__xludf.DUMMYFUNCTION("""COMPUTED_VALUE"""),970.0)</f>
        <v>970</v>
      </c>
      <c r="B2582" s="13">
        <f>IFERROR(__xludf.DUMMYFUNCTION("""COMPUTED_VALUE"""),45374.0)</f>
        <v>45374</v>
      </c>
      <c r="C2582" s="12">
        <f>IFERROR(__xludf.DUMMYFUNCTION("""COMPUTED_VALUE"""),212.0)</f>
        <v>212</v>
      </c>
      <c r="D2582" s="12">
        <f>IFERROR(__xludf.DUMMYFUNCTION("""COMPUTED_VALUE"""),16.0)</f>
        <v>16</v>
      </c>
      <c r="E2582" s="12">
        <f>IFERROR(__xludf.DUMMYFUNCTION("""COMPUTED_VALUE"""),6.0)</f>
        <v>6</v>
      </c>
      <c r="F2582" s="12">
        <f>IFERROR(__xludf.DUMMYFUNCTION("""COMPUTED_VALUE"""),3.0)</f>
        <v>3</v>
      </c>
      <c r="G2582" s="15" t="str">
        <f>IFERROR(__xludf.DUMMYFUNCTION("""COMPUTED_VALUE"""),"Completa")</f>
        <v>Completa</v>
      </c>
      <c r="H2582" s="16" t="str">
        <f t="array" ref="H2582">_xlfn.XLOOKUP(D2582,Productos[ID_Producto],Productos[Nombre_Producto])</f>
        <v>Tortas</v>
      </c>
      <c r="I2582" s="17">
        <f t="array" ref="I2582">_xlfn.XLOOKUP(D2582,Productos[ID_Producto],Productos[Precio_Unitario])</f>
        <v>15.23</v>
      </c>
      <c r="J2582" s="17">
        <f t="shared" si="1"/>
        <v>91.38</v>
      </c>
      <c r="K2582" s="16" t="str">
        <f t="array" ref="K2582">_xlfn.XLOOKUP(C2582,Clientes[ID_Cliente],Clientes[Provincia])</f>
        <v>Buenos Aires</v>
      </c>
      <c r="L2582" s="16" t="str">
        <f t="array" ref="L2582">CONCATENATE(_xlfn.XLOOKUP(C2582,Clientes[ID_Cliente],Clientes[Provincia]),", Argentina")</f>
        <v>Buenos Aires, Argentina</v>
      </c>
      <c r="M2582" s="20" t="str">
        <f t="array" ref="M2582">_xlfn.XLOOKUP(F2582,Metodos_De_Pago[ID_Metodo],Metodos_De_Pago[Metodo])</f>
        <v>Tarjeta de Débito</v>
      </c>
      <c r="N2582" s="20" t="str">
        <f t="shared" si="2"/>
        <v>2024 03</v>
      </c>
    </row>
    <row r="2583" ht="22.5" customHeight="1">
      <c r="A2583" s="12">
        <f>IFERROR(__xludf.DUMMYFUNCTION("""COMPUTED_VALUE"""),1795.0)</f>
        <v>1795</v>
      </c>
      <c r="B2583" s="13">
        <f>IFERROR(__xludf.DUMMYFUNCTION("""COMPUTED_VALUE"""),45374.0)</f>
        <v>45374</v>
      </c>
      <c r="C2583" s="12">
        <f>IFERROR(__xludf.DUMMYFUNCTION("""COMPUTED_VALUE"""),1.0)</f>
        <v>1</v>
      </c>
      <c r="D2583" s="12">
        <f>IFERROR(__xludf.DUMMYFUNCTION("""COMPUTED_VALUE"""),12.0)</f>
        <v>12</v>
      </c>
      <c r="E2583" s="12">
        <f>IFERROR(__xludf.DUMMYFUNCTION("""COMPUTED_VALUE"""),6.0)</f>
        <v>6</v>
      </c>
      <c r="F2583" s="12">
        <f>IFERROR(__xludf.DUMMYFUNCTION("""COMPUTED_VALUE"""),4.0)</f>
        <v>4</v>
      </c>
      <c r="G2583" s="15" t="str">
        <f>IFERROR(__xludf.DUMMYFUNCTION("""COMPUTED_VALUE"""),"Completa")</f>
        <v>Completa</v>
      </c>
      <c r="H2583" s="16" t="str">
        <f t="array" ref="H2583">_xlfn.XLOOKUP(D2583,Productos[ID_Producto],Productos[Nombre_Producto])</f>
        <v>Pan francés</v>
      </c>
      <c r="I2583" s="17">
        <f t="array" ref="I2583">_xlfn.XLOOKUP(D2583,Productos[ID_Producto],Productos[Precio_Unitario])</f>
        <v>8.12</v>
      </c>
      <c r="J2583" s="17">
        <f t="shared" si="1"/>
        <v>48.72</v>
      </c>
      <c r="K2583" s="16" t="str">
        <f t="array" ref="K2583">_xlfn.XLOOKUP(C2583,Clientes[ID_Cliente],Clientes[Provincia])</f>
        <v>Neuquén</v>
      </c>
      <c r="L2583" s="16" t="str">
        <f t="array" ref="L2583">CONCATENATE(_xlfn.XLOOKUP(C2583,Clientes[ID_Cliente],Clientes[Provincia]),", Argentina")</f>
        <v>Neuquén, Argentina</v>
      </c>
      <c r="M2583" s="20" t="str">
        <f t="array" ref="M2583">_xlfn.XLOOKUP(F2583,Metodos_De_Pago[ID_Metodo],Metodos_De_Pago[Metodo])</f>
        <v>Mercado Pago</v>
      </c>
      <c r="N2583" s="20" t="str">
        <f t="shared" si="2"/>
        <v>2024 03</v>
      </c>
    </row>
    <row r="2584" ht="22.5" customHeight="1">
      <c r="A2584" s="12">
        <f>IFERROR(__xludf.DUMMYFUNCTION("""COMPUTED_VALUE"""),2815.0)</f>
        <v>2815</v>
      </c>
      <c r="B2584" s="13">
        <f>IFERROR(__xludf.DUMMYFUNCTION("""COMPUTED_VALUE"""),45374.0)</f>
        <v>45374</v>
      </c>
      <c r="C2584" s="12">
        <f>IFERROR(__xludf.DUMMYFUNCTION("""COMPUTED_VALUE"""),171.0)</f>
        <v>171</v>
      </c>
      <c r="D2584" s="12">
        <f>IFERROR(__xludf.DUMMYFUNCTION("""COMPUTED_VALUE"""),1.0)</f>
        <v>1</v>
      </c>
      <c r="E2584" s="12">
        <f>IFERROR(__xludf.DUMMYFUNCTION("""COMPUTED_VALUE"""),6.0)</f>
        <v>6</v>
      </c>
      <c r="F2584" s="12">
        <f>IFERROR(__xludf.DUMMYFUNCTION("""COMPUTED_VALUE"""),5.0)</f>
        <v>5</v>
      </c>
      <c r="G2584" s="15" t="str">
        <f>IFERROR(__xludf.DUMMYFUNCTION("""COMPUTED_VALUE"""),"Completa")</f>
        <v>Completa</v>
      </c>
      <c r="H2584" s="16" t="str">
        <f t="array" ref="H2584">_xlfn.XLOOKUP(D2584,Productos[ID_Producto],Productos[Nombre_Producto])</f>
        <v>Leche</v>
      </c>
      <c r="I2584" s="17">
        <f t="array" ref="I2584">_xlfn.XLOOKUP(D2584,Productos[ID_Producto],Productos[Precio_Unitario])</f>
        <v>12.24</v>
      </c>
      <c r="J2584" s="17">
        <f t="shared" si="1"/>
        <v>73.44</v>
      </c>
      <c r="K2584" s="16" t="str">
        <f t="array" ref="K2584">_xlfn.XLOOKUP(C2584,Clientes[ID_Cliente],Clientes[Provincia])</f>
        <v>San Luis</v>
      </c>
      <c r="L2584" s="16" t="str">
        <f t="array" ref="L2584">CONCATENATE(_xlfn.XLOOKUP(C2584,Clientes[ID_Cliente],Clientes[Provincia]),", Argentina")</f>
        <v>San Luis, Argentina</v>
      </c>
      <c r="M2584" s="20" t="str">
        <f t="array" ref="M2584">_xlfn.XLOOKUP(F2584,Metodos_De_Pago[ID_Metodo],Metodos_De_Pago[Metodo])</f>
        <v>Transferencia</v>
      </c>
      <c r="N2584" s="20" t="str">
        <f t="shared" si="2"/>
        <v>2024 03</v>
      </c>
    </row>
    <row r="2585" ht="22.5" customHeight="1">
      <c r="A2585" s="12">
        <f>IFERROR(__xludf.DUMMYFUNCTION("""COMPUTED_VALUE"""),1667.0)</f>
        <v>1667</v>
      </c>
      <c r="B2585" s="13">
        <f>IFERROR(__xludf.DUMMYFUNCTION("""COMPUTED_VALUE"""),45377.0)</f>
        <v>45377</v>
      </c>
      <c r="C2585" s="12">
        <f>IFERROR(__xludf.DUMMYFUNCTION("""COMPUTED_VALUE"""),81.0)</f>
        <v>81</v>
      </c>
      <c r="D2585" s="12">
        <f>IFERROR(__xludf.DUMMYFUNCTION("""COMPUTED_VALUE"""),24.0)</f>
        <v>24</v>
      </c>
      <c r="E2585" s="12">
        <f>IFERROR(__xludf.DUMMYFUNCTION("""COMPUTED_VALUE"""),6.0)</f>
        <v>6</v>
      </c>
      <c r="F2585" s="12">
        <f>IFERROR(__xludf.DUMMYFUNCTION("""COMPUTED_VALUE"""),3.0)</f>
        <v>3</v>
      </c>
      <c r="G2585" s="15" t="str">
        <f>IFERROR(__xludf.DUMMYFUNCTION("""COMPUTED_VALUE"""),"Completa")</f>
        <v>Completa</v>
      </c>
      <c r="H2585" s="16" t="str">
        <f t="array" ref="H2585">_xlfn.XLOOKUP(D2585,Productos[ID_Producto],Productos[Nombre_Producto])</f>
        <v>Empanadas</v>
      </c>
      <c r="I2585" s="17">
        <f t="array" ref="I2585">_xlfn.XLOOKUP(D2585,Productos[ID_Producto],Productos[Precio_Unitario])</f>
        <v>13.54</v>
      </c>
      <c r="J2585" s="17">
        <f t="shared" si="1"/>
        <v>81.24</v>
      </c>
      <c r="K2585" s="16" t="str">
        <f t="array" ref="K2585">_xlfn.XLOOKUP(C2585,Clientes[ID_Cliente],Clientes[Provincia])</f>
        <v>Buenos Aires</v>
      </c>
      <c r="L2585" s="16" t="str">
        <f t="array" ref="L2585">CONCATENATE(_xlfn.XLOOKUP(C2585,Clientes[ID_Cliente],Clientes[Provincia]),", Argentina")</f>
        <v>Buenos Aires, Argentina</v>
      </c>
      <c r="M2585" s="20" t="str">
        <f t="array" ref="M2585">_xlfn.XLOOKUP(F2585,Metodos_De_Pago[ID_Metodo],Metodos_De_Pago[Metodo])</f>
        <v>Tarjeta de Débito</v>
      </c>
      <c r="N2585" s="20" t="str">
        <f t="shared" si="2"/>
        <v>2024 03</v>
      </c>
    </row>
    <row r="2586" ht="22.5" customHeight="1">
      <c r="A2586" s="12">
        <f>IFERROR(__xludf.DUMMYFUNCTION("""COMPUTED_VALUE"""),2182.0)</f>
        <v>2182</v>
      </c>
      <c r="B2586" s="13">
        <f>IFERROR(__xludf.DUMMYFUNCTION("""COMPUTED_VALUE"""),45377.0)</f>
        <v>45377</v>
      </c>
      <c r="C2586" s="12">
        <f>IFERROR(__xludf.DUMMYFUNCTION("""COMPUTED_VALUE"""),116.0)</f>
        <v>116</v>
      </c>
      <c r="D2586" s="12">
        <f>IFERROR(__xludf.DUMMYFUNCTION("""COMPUTED_VALUE"""),2.0)</f>
        <v>2</v>
      </c>
      <c r="E2586" s="12">
        <f>IFERROR(__xludf.DUMMYFUNCTION("""COMPUTED_VALUE"""),6.0)</f>
        <v>6</v>
      </c>
      <c r="F2586" s="12">
        <f>IFERROR(__xludf.DUMMYFUNCTION("""COMPUTED_VALUE"""),2.0)</f>
        <v>2</v>
      </c>
      <c r="G2586" s="15" t="str">
        <f>IFERROR(__xludf.DUMMYFUNCTION("""COMPUTED_VALUE"""),"Completa")</f>
        <v>Completa</v>
      </c>
      <c r="H2586" s="16" t="str">
        <f t="array" ref="H2586">_xlfn.XLOOKUP(D2586,Productos[ID_Producto],Productos[Nombre_Producto])</f>
        <v>Yogur</v>
      </c>
      <c r="I2586" s="17">
        <f t="array" ref="I2586">_xlfn.XLOOKUP(D2586,Productos[ID_Producto],Productos[Precio_Unitario])</f>
        <v>5.21</v>
      </c>
      <c r="J2586" s="17">
        <f t="shared" si="1"/>
        <v>31.26</v>
      </c>
      <c r="K2586" s="16" t="str">
        <f t="array" ref="K2586">_xlfn.XLOOKUP(C2586,Clientes[ID_Cliente],Clientes[Provincia])</f>
        <v>Buenos Aires</v>
      </c>
      <c r="L2586" s="16" t="str">
        <f t="array" ref="L2586">CONCATENATE(_xlfn.XLOOKUP(C2586,Clientes[ID_Cliente],Clientes[Provincia]),", Argentina")</f>
        <v>Buenos Aires, Argentina</v>
      </c>
      <c r="M2586" s="20" t="str">
        <f t="array" ref="M2586">_xlfn.XLOOKUP(F2586,Metodos_De_Pago[ID_Metodo],Metodos_De_Pago[Metodo])</f>
        <v>Tarjeta de Crédito</v>
      </c>
      <c r="N2586" s="20" t="str">
        <f t="shared" si="2"/>
        <v>2024 03</v>
      </c>
    </row>
    <row r="2587" ht="22.5" customHeight="1">
      <c r="A2587" s="12">
        <f>IFERROR(__xludf.DUMMYFUNCTION("""COMPUTED_VALUE"""),2570.0)</f>
        <v>2570</v>
      </c>
      <c r="B2587" s="13">
        <f>IFERROR(__xludf.DUMMYFUNCTION("""COMPUTED_VALUE"""),45377.0)</f>
        <v>45377</v>
      </c>
      <c r="C2587" s="12">
        <f>IFERROR(__xludf.DUMMYFUNCTION("""COMPUTED_VALUE"""),17.0)</f>
        <v>17</v>
      </c>
      <c r="D2587" s="12">
        <f>IFERROR(__xludf.DUMMYFUNCTION("""COMPUTED_VALUE"""),7.0)</f>
        <v>7</v>
      </c>
      <c r="E2587" s="12">
        <f>IFERROR(__xludf.DUMMYFUNCTION("""COMPUTED_VALUE"""),6.0)</f>
        <v>6</v>
      </c>
      <c r="F2587" s="12">
        <f>IFERROR(__xludf.DUMMYFUNCTION("""COMPUTED_VALUE"""),5.0)</f>
        <v>5</v>
      </c>
      <c r="G2587" s="15" t="str">
        <f>IFERROR(__xludf.DUMMYFUNCTION("""COMPUTED_VALUE"""),"Completa")</f>
        <v>Completa</v>
      </c>
      <c r="H2587" s="16" t="str">
        <f t="array" ref="H2587">_xlfn.XLOOKUP(D2587,Productos[ID_Producto],Productos[Nombre_Producto])</f>
        <v>Chorizo</v>
      </c>
      <c r="I2587" s="17">
        <f t="array" ref="I2587">_xlfn.XLOOKUP(D2587,Productos[ID_Producto],Productos[Precio_Unitario])</f>
        <v>11.25</v>
      </c>
      <c r="J2587" s="17">
        <f t="shared" si="1"/>
        <v>67.5</v>
      </c>
      <c r="K2587" s="16" t="str">
        <f t="array" ref="K2587">_xlfn.XLOOKUP(C2587,Clientes[ID_Cliente],Clientes[Provincia])</f>
        <v>Buenos Aires</v>
      </c>
      <c r="L2587" s="16" t="str">
        <f t="array" ref="L2587">CONCATENATE(_xlfn.XLOOKUP(C2587,Clientes[ID_Cliente],Clientes[Provincia]),", Argentina")</f>
        <v>Buenos Aires, Argentina</v>
      </c>
      <c r="M2587" s="20" t="str">
        <f t="array" ref="M2587">_xlfn.XLOOKUP(F2587,Metodos_De_Pago[ID_Metodo],Metodos_De_Pago[Metodo])</f>
        <v>Transferencia</v>
      </c>
      <c r="N2587" s="20" t="str">
        <f t="shared" si="2"/>
        <v>2024 03</v>
      </c>
    </row>
    <row r="2588" ht="22.5" customHeight="1">
      <c r="A2588" s="12">
        <f>IFERROR(__xludf.DUMMYFUNCTION("""COMPUTED_VALUE"""),172.0)</f>
        <v>172</v>
      </c>
      <c r="B2588" s="13">
        <f>IFERROR(__xludf.DUMMYFUNCTION("""COMPUTED_VALUE"""),45378.0)</f>
        <v>45378</v>
      </c>
      <c r="C2588" s="12">
        <f>IFERROR(__xludf.DUMMYFUNCTION("""COMPUTED_VALUE"""),268.0)</f>
        <v>268</v>
      </c>
      <c r="D2588" s="12">
        <f>IFERROR(__xludf.DUMMYFUNCTION("""COMPUTED_VALUE"""),24.0)</f>
        <v>24</v>
      </c>
      <c r="E2588" s="12">
        <f>IFERROR(__xludf.DUMMYFUNCTION("""COMPUTED_VALUE"""),6.0)</f>
        <v>6</v>
      </c>
      <c r="F2588" s="12">
        <f>IFERROR(__xludf.DUMMYFUNCTION("""COMPUTED_VALUE"""),1.0)</f>
        <v>1</v>
      </c>
      <c r="G2588" s="15" t="str">
        <f>IFERROR(__xludf.DUMMYFUNCTION("""COMPUTED_VALUE"""),"Completa")</f>
        <v>Completa</v>
      </c>
      <c r="H2588" s="16" t="str">
        <f t="array" ref="H2588">_xlfn.XLOOKUP(D2588,Productos[ID_Producto],Productos[Nombre_Producto])</f>
        <v>Empanadas</v>
      </c>
      <c r="I2588" s="17">
        <f t="array" ref="I2588">_xlfn.XLOOKUP(D2588,Productos[ID_Producto],Productos[Precio_Unitario])</f>
        <v>13.54</v>
      </c>
      <c r="J2588" s="17">
        <f t="shared" si="1"/>
        <v>81.24</v>
      </c>
      <c r="K2588" s="16" t="str">
        <f t="array" ref="K2588">_xlfn.XLOOKUP(C2588,Clientes[ID_Cliente],Clientes[Provincia])</f>
        <v>Salta</v>
      </c>
      <c r="L2588" s="16" t="str">
        <f t="array" ref="L2588">CONCATENATE(_xlfn.XLOOKUP(C2588,Clientes[ID_Cliente],Clientes[Provincia]),", Argentina")</f>
        <v>Salta, Argentina</v>
      </c>
      <c r="M2588" s="20" t="str">
        <f t="array" ref="M2588">_xlfn.XLOOKUP(F2588,Metodos_De_Pago[ID_Metodo],Metodos_De_Pago[Metodo])</f>
        <v>Efectivo</v>
      </c>
      <c r="N2588" s="20" t="str">
        <f t="shared" si="2"/>
        <v>2024 03</v>
      </c>
    </row>
    <row r="2589" ht="22.5" customHeight="1">
      <c r="A2589" s="12">
        <f>IFERROR(__xludf.DUMMYFUNCTION("""COMPUTED_VALUE"""),295.0)</f>
        <v>295</v>
      </c>
      <c r="B2589" s="13">
        <f>IFERROR(__xludf.DUMMYFUNCTION("""COMPUTED_VALUE"""),45378.0)</f>
        <v>45378</v>
      </c>
      <c r="C2589" s="12">
        <f>IFERROR(__xludf.DUMMYFUNCTION("""COMPUTED_VALUE"""),223.0)</f>
        <v>223</v>
      </c>
      <c r="D2589" s="12">
        <f>IFERROR(__xludf.DUMMYFUNCTION("""COMPUTED_VALUE"""),32.0)</f>
        <v>32</v>
      </c>
      <c r="E2589" s="12">
        <f>IFERROR(__xludf.DUMMYFUNCTION("""COMPUTED_VALUE"""),6.0)</f>
        <v>6</v>
      </c>
      <c r="F2589" s="12">
        <f>IFERROR(__xludf.DUMMYFUNCTION("""COMPUTED_VALUE"""),2.0)</f>
        <v>2</v>
      </c>
      <c r="G2589" s="15" t="str">
        <f>IFERROR(__xludf.DUMMYFUNCTION("""COMPUTED_VALUE"""),"Completa")</f>
        <v>Completa</v>
      </c>
      <c r="H2589" s="16" t="str">
        <f t="array" ref="H2589">_xlfn.XLOOKUP(D2589,Productos[ID_Producto],Productos[Nombre_Producto])</f>
        <v>Galletitas de chocolate</v>
      </c>
      <c r="I2589" s="17">
        <f t="array" ref="I2589">_xlfn.XLOOKUP(D2589,Productos[ID_Producto],Productos[Precio_Unitario])</f>
        <v>6.25</v>
      </c>
      <c r="J2589" s="17">
        <f t="shared" si="1"/>
        <v>37.5</v>
      </c>
      <c r="K2589" s="16" t="str">
        <f t="array" ref="K2589">_xlfn.XLOOKUP(C2589,Clientes[ID_Cliente],Clientes[Provincia])</f>
        <v>Buenos Aires</v>
      </c>
      <c r="L2589" s="16" t="str">
        <f t="array" ref="L2589">CONCATENATE(_xlfn.XLOOKUP(C2589,Clientes[ID_Cliente],Clientes[Provincia]),", Argentina")</f>
        <v>Buenos Aires, Argentina</v>
      </c>
      <c r="M2589" s="20" t="str">
        <f t="array" ref="M2589">_xlfn.XLOOKUP(F2589,Metodos_De_Pago[ID_Metodo],Metodos_De_Pago[Metodo])</f>
        <v>Tarjeta de Crédito</v>
      </c>
      <c r="N2589" s="20" t="str">
        <f t="shared" si="2"/>
        <v>2024 03</v>
      </c>
    </row>
    <row r="2590" ht="22.5" customHeight="1">
      <c r="A2590" s="12">
        <f>IFERROR(__xludf.DUMMYFUNCTION("""COMPUTED_VALUE"""),1086.0)</f>
        <v>1086</v>
      </c>
      <c r="B2590" s="13">
        <f>IFERROR(__xludf.DUMMYFUNCTION("""COMPUTED_VALUE"""),45379.0)</f>
        <v>45379</v>
      </c>
      <c r="C2590" s="12">
        <f>IFERROR(__xludf.DUMMYFUNCTION("""COMPUTED_VALUE"""),40.0)</f>
        <v>40</v>
      </c>
      <c r="D2590" s="12">
        <f>IFERROR(__xludf.DUMMYFUNCTION("""COMPUTED_VALUE"""),22.0)</f>
        <v>22</v>
      </c>
      <c r="E2590" s="12">
        <f>IFERROR(__xludf.DUMMYFUNCTION("""COMPUTED_VALUE"""),6.0)</f>
        <v>6</v>
      </c>
      <c r="F2590" s="12">
        <f>IFERROR(__xludf.DUMMYFUNCTION("""COMPUTED_VALUE"""),5.0)</f>
        <v>5</v>
      </c>
      <c r="G2590" s="15" t="str">
        <f>IFERROR(__xludf.DUMMYFUNCTION("""COMPUTED_VALUE"""),"Completa")</f>
        <v>Completa</v>
      </c>
      <c r="H2590" s="16" t="str">
        <f t="array" ref="H2590">_xlfn.XLOOKUP(D2590,Productos[ID_Producto],Productos[Nombre_Producto])</f>
        <v>Cebolla</v>
      </c>
      <c r="I2590" s="17">
        <f t="array" ref="I2590">_xlfn.XLOOKUP(D2590,Productos[ID_Producto],Productos[Precio_Unitario])</f>
        <v>4.21</v>
      </c>
      <c r="J2590" s="17">
        <f t="shared" si="1"/>
        <v>25.26</v>
      </c>
      <c r="K2590" s="16" t="str">
        <f t="array" ref="K2590">_xlfn.XLOOKUP(C2590,Clientes[ID_Cliente],Clientes[Provincia])</f>
        <v>San Luis</v>
      </c>
      <c r="L2590" s="16" t="str">
        <f t="array" ref="L2590">CONCATENATE(_xlfn.XLOOKUP(C2590,Clientes[ID_Cliente],Clientes[Provincia]),", Argentina")</f>
        <v>San Luis, Argentina</v>
      </c>
      <c r="M2590" s="20" t="str">
        <f t="array" ref="M2590">_xlfn.XLOOKUP(F2590,Metodos_De_Pago[ID_Metodo],Metodos_De_Pago[Metodo])</f>
        <v>Transferencia</v>
      </c>
      <c r="N2590" s="20" t="str">
        <f t="shared" si="2"/>
        <v>2024 03</v>
      </c>
    </row>
    <row r="2591" ht="22.5" customHeight="1">
      <c r="A2591" s="12">
        <f>IFERROR(__xludf.DUMMYFUNCTION("""COMPUTED_VALUE"""),1153.0)</f>
        <v>1153</v>
      </c>
      <c r="B2591" s="13">
        <f>IFERROR(__xludf.DUMMYFUNCTION("""COMPUTED_VALUE"""),45379.0)</f>
        <v>45379</v>
      </c>
      <c r="C2591" s="12">
        <f>IFERROR(__xludf.DUMMYFUNCTION("""COMPUTED_VALUE"""),130.0)</f>
        <v>130</v>
      </c>
      <c r="D2591" s="12">
        <f>IFERROR(__xludf.DUMMYFUNCTION("""COMPUTED_VALUE"""),27.0)</f>
        <v>27</v>
      </c>
      <c r="E2591" s="12">
        <f>IFERROR(__xludf.DUMMYFUNCTION("""COMPUTED_VALUE"""),6.0)</f>
        <v>6</v>
      </c>
      <c r="F2591" s="12">
        <f>IFERROR(__xludf.DUMMYFUNCTION("""COMPUTED_VALUE"""),3.0)</f>
        <v>3</v>
      </c>
      <c r="G2591" s="15" t="str">
        <f>IFERROR(__xludf.DUMMYFUNCTION("""COMPUTED_VALUE"""),"Completa")</f>
        <v>Completa</v>
      </c>
      <c r="H2591" s="16" t="str">
        <f t="array" ref="H2591">_xlfn.XLOOKUP(D2591,Productos[ID_Producto],Productos[Nombre_Producto])</f>
        <v>Agua mineral</v>
      </c>
      <c r="I2591" s="17">
        <f t="array" ref="I2591">_xlfn.XLOOKUP(D2591,Productos[ID_Producto],Productos[Precio_Unitario])</f>
        <v>6.21</v>
      </c>
      <c r="J2591" s="17">
        <f t="shared" si="1"/>
        <v>37.26</v>
      </c>
      <c r="K2591" s="16" t="str">
        <f t="array" ref="K2591">_xlfn.XLOOKUP(C2591,Clientes[ID_Cliente],Clientes[Provincia])</f>
        <v>Buenos Aires</v>
      </c>
      <c r="L2591" s="16" t="str">
        <f t="array" ref="L2591">CONCATENATE(_xlfn.XLOOKUP(C2591,Clientes[ID_Cliente],Clientes[Provincia]),", Argentina")</f>
        <v>Buenos Aires, Argentina</v>
      </c>
      <c r="M2591" s="20" t="str">
        <f t="array" ref="M2591">_xlfn.XLOOKUP(F2591,Metodos_De_Pago[ID_Metodo],Metodos_De_Pago[Metodo])</f>
        <v>Tarjeta de Débito</v>
      </c>
      <c r="N2591" s="20" t="str">
        <f t="shared" si="2"/>
        <v>2024 03</v>
      </c>
    </row>
    <row r="2592" ht="22.5" customHeight="1">
      <c r="A2592" s="12">
        <f>IFERROR(__xludf.DUMMYFUNCTION("""COMPUTED_VALUE"""),511.0)</f>
        <v>511</v>
      </c>
      <c r="B2592" s="13">
        <f>IFERROR(__xludf.DUMMYFUNCTION("""COMPUTED_VALUE"""),45380.0)</f>
        <v>45380</v>
      </c>
      <c r="C2592" s="12">
        <f>IFERROR(__xludf.DUMMYFUNCTION("""COMPUTED_VALUE"""),98.0)</f>
        <v>98</v>
      </c>
      <c r="D2592" s="12">
        <f>IFERROR(__xludf.DUMMYFUNCTION("""COMPUTED_VALUE"""),31.0)</f>
        <v>31</v>
      </c>
      <c r="E2592" s="12">
        <f>IFERROR(__xludf.DUMMYFUNCTION("""COMPUTED_VALUE"""),6.0)</f>
        <v>6</v>
      </c>
      <c r="F2592" s="12">
        <f>IFERROR(__xludf.DUMMYFUNCTION("""COMPUTED_VALUE"""),3.0)</f>
        <v>3</v>
      </c>
      <c r="G2592" s="15" t="str">
        <f>IFERROR(__xludf.DUMMYFUNCTION("""COMPUTED_VALUE"""),"Completa")</f>
        <v>Completa</v>
      </c>
      <c r="H2592" s="16" t="str">
        <f t="array" ref="H2592">_xlfn.XLOOKUP(D2592,Productos[ID_Producto],Productos[Nombre_Producto])</f>
        <v>Galletitas de agua</v>
      </c>
      <c r="I2592" s="17">
        <f t="array" ref="I2592">_xlfn.XLOOKUP(D2592,Productos[ID_Producto],Productos[Precio_Unitario])</f>
        <v>5.24</v>
      </c>
      <c r="J2592" s="17">
        <f t="shared" si="1"/>
        <v>31.44</v>
      </c>
      <c r="K2592" s="16" t="str">
        <f t="array" ref="K2592">_xlfn.XLOOKUP(C2592,Clientes[ID_Cliente],Clientes[Provincia])</f>
        <v>Córdoba</v>
      </c>
      <c r="L2592" s="16" t="str">
        <f t="array" ref="L2592">CONCATENATE(_xlfn.XLOOKUP(C2592,Clientes[ID_Cliente],Clientes[Provincia]),", Argentina")</f>
        <v>Córdoba, Argentina</v>
      </c>
      <c r="M2592" s="20" t="str">
        <f t="array" ref="M2592">_xlfn.XLOOKUP(F2592,Metodos_De_Pago[ID_Metodo],Metodos_De_Pago[Metodo])</f>
        <v>Tarjeta de Débito</v>
      </c>
      <c r="N2592" s="20" t="str">
        <f t="shared" si="2"/>
        <v>2024 03</v>
      </c>
    </row>
    <row r="2593" ht="22.5" customHeight="1">
      <c r="A2593" s="12">
        <f>IFERROR(__xludf.DUMMYFUNCTION("""COMPUTED_VALUE"""),1409.0)</f>
        <v>1409</v>
      </c>
      <c r="B2593" s="13">
        <f>IFERROR(__xludf.DUMMYFUNCTION("""COMPUTED_VALUE"""),45380.0)</f>
        <v>45380</v>
      </c>
      <c r="C2593" s="12">
        <f>IFERROR(__xludf.DUMMYFUNCTION("""COMPUTED_VALUE"""),86.0)</f>
        <v>86</v>
      </c>
      <c r="D2593" s="12">
        <f>IFERROR(__xludf.DUMMYFUNCTION("""COMPUTED_VALUE"""),14.0)</f>
        <v>14</v>
      </c>
      <c r="E2593" s="12">
        <f>IFERROR(__xludf.DUMMYFUNCTION("""COMPUTED_VALUE"""),6.0)</f>
        <v>6</v>
      </c>
      <c r="F2593" s="12">
        <f>IFERROR(__xludf.DUMMYFUNCTION("""COMPUTED_VALUE"""),4.0)</f>
        <v>4</v>
      </c>
      <c r="G2593" s="15" t="str">
        <f>IFERROR(__xludf.DUMMYFUNCTION("""COMPUTED_VALUE"""),"Completa")</f>
        <v>Completa</v>
      </c>
      <c r="H2593" s="16" t="str">
        <f t="array" ref="H2593">_xlfn.XLOOKUP(D2593,Productos[ID_Producto],Productos[Nombre_Producto])</f>
        <v>Facturas</v>
      </c>
      <c r="I2593" s="17">
        <f t="array" ref="I2593">_xlfn.XLOOKUP(D2593,Productos[ID_Producto],Productos[Precio_Unitario])</f>
        <v>12.36</v>
      </c>
      <c r="J2593" s="17">
        <f t="shared" si="1"/>
        <v>74.16</v>
      </c>
      <c r="K2593" s="16" t="str">
        <f t="array" ref="K2593">_xlfn.XLOOKUP(C2593,Clientes[ID_Cliente],Clientes[Provincia])</f>
        <v>Neuquén</v>
      </c>
      <c r="L2593" s="16" t="str">
        <f t="array" ref="L2593">CONCATENATE(_xlfn.XLOOKUP(C2593,Clientes[ID_Cliente],Clientes[Provincia]),", Argentina")</f>
        <v>Neuquén, Argentina</v>
      </c>
      <c r="M2593" s="20" t="str">
        <f t="array" ref="M2593">_xlfn.XLOOKUP(F2593,Metodos_De_Pago[ID_Metodo],Metodos_De_Pago[Metodo])</f>
        <v>Mercado Pago</v>
      </c>
      <c r="N2593" s="20" t="str">
        <f t="shared" si="2"/>
        <v>2024 03</v>
      </c>
    </row>
    <row r="2594" ht="22.5" customHeight="1">
      <c r="A2594" s="12">
        <f>IFERROR(__xludf.DUMMYFUNCTION("""COMPUTED_VALUE"""),433.0)</f>
        <v>433</v>
      </c>
      <c r="B2594" s="13">
        <f>IFERROR(__xludf.DUMMYFUNCTION("""COMPUTED_VALUE"""),45382.0)</f>
        <v>45382</v>
      </c>
      <c r="C2594" s="12">
        <f>IFERROR(__xludf.DUMMYFUNCTION("""COMPUTED_VALUE"""),218.0)</f>
        <v>218</v>
      </c>
      <c r="D2594" s="12">
        <f>IFERROR(__xludf.DUMMYFUNCTION("""COMPUTED_VALUE"""),29.0)</f>
        <v>29</v>
      </c>
      <c r="E2594" s="12">
        <f>IFERROR(__xludf.DUMMYFUNCTION("""COMPUTED_VALUE"""),6.0)</f>
        <v>6</v>
      </c>
      <c r="F2594" s="12">
        <f>IFERROR(__xludf.DUMMYFUNCTION("""COMPUTED_VALUE"""),5.0)</f>
        <v>5</v>
      </c>
      <c r="G2594" s="15" t="str">
        <f>IFERROR(__xludf.DUMMYFUNCTION("""COMPUTED_VALUE"""),"Completa")</f>
        <v>Completa</v>
      </c>
      <c r="H2594" s="16" t="str">
        <f t="array" ref="H2594">_xlfn.XLOOKUP(D2594,Productos[ID_Producto],Productos[Nombre_Producto])</f>
        <v>Cerveza</v>
      </c>
      <c r="I2594" s="17">
        <f t="array" ref="I2594">_xlfn.XLOOKUP(D2594,Productos[ID_Producto],Productos[Precio_Unitario])</f>
        <v>11.54</v>
      </c>
      <c r="J2594" s="17">
        <f t="shared" si="1"/>
        <v>69.24</v>
      </c>
      <c r="K2594" s="16" t="str">
        <f t="array" ref="K2594">_xlfn.XLOOKUP(C2594,Clientes[ID_Cliente],Clientes[Provincia])</f>
        <v>Córdoba</v>
      </c>
      <c r="L2594" s="16" t="str">
        <f t="array" ref="L2594">CONCATENATE(_xlfn.XLOOKUP(C2594,Clientes[ID_Cliente],Clientes[Provincia]),", Argentina")</f>
        <v>Córdoba, Argentina</v>
      </c>
      <c r="M2594" s="20" t="str">
        <f t="array" ref="M2594">_xlfn.XLOOKUP(F2594,Metodos_De_Pago[ID_Metodo],Metodos_De_Pago[Metodo])</f>
        <v>Transferencia</v>
      </c>
      <c r="N2594" s="20" t="str">
        <f t="shared" si="2"/>
        <v>2024 03</v>
      </c>
    </row>
    <row r="2595" ht="22.5" customHeight="1">
      <c r="A2595" s="12">
        <f>IFERROR(__xludf.DUMMYFUNCTION("""COMPUTED_VALUE"""),590.0)</f>
        <v>590</v>
      </c>
      <c r="B2595" s="13">
        <f>IFERROR(__xludf.DUMMYFUNCTION("""COMPUTED_VALUE"""),45382.0)</f>
        <v>45382</v>
      </c>
      <c r="C2595" s="12">
        <f>IFERROR(__xludf.DUMMYFUNCTION("""COMPUTED_VALUE"""),194.0)</f>
        <v>194</v>
      </c>
      <c r="D2595" s="12">
        <f>IFERROR(__xludf.DUMMYFUNCTION("""COMPUTED_VALUE"""),13.0)</f>
        <v>13</v>
      </c>
      <c r="E2595" s="12">
        <f>IFERROR(__xludf.DUMMYFUNCTION("""COMPUTED_VALUE"""),6.0)</f>
        <v>6</v>
      </c>
      <c r="F2595" s="12">
        <f>IFERROR(__xludf.DUMMYFUNCTION("""COMPUTED_VALUE"""),1.0)</f>
        <v>1</v>
      </c>
      <c r="G2595" s="15" t="str">
        <f>IFERROR(__xludf.DUMMYFUNCTION("""COMPUTED_VALUE"""),"Completa")</f>
        <v>Completa</v>
      </c>
      <c r="H2595" s="16" t="str">
        <f t="array" ref="H2595">_xlfn.XLOOKUP(D2595,Productos[ID_Producto],Productos[Nombre_Producto])</f>
        <v>Pan integral</v>
      </c>
      <c r="I2595" s="17">
        <f t="array" ref="I2595">_xlfn.XLOOKUP(D2595,Productos[ID_Producto],Productos[Precio_Unitario])</f>
        <v>12.56</v>
      </c>
      <c r="J2595" s="17">
        <f t="shared" si="1"/>
        <v>75.36</v>
      </c>
      <c r="K2595" s="16" t="str">
        <f t="array" ref="K2595">_xlfn.XLOOKUP(C2595,Clientes[ID_Cliente],Clientes[Provincia])</f>
        <v>Buenos Aires</v>
      </c>
      <c r="L2595" s="16" t="str">
        <f t="array" ref="L2595">CONCATENATE(_xlfn.XLOOKUP(C2595,Clientes[ID_Cliente],Clientes[Provincia]),", Argentina")</f>
        <v>Buenos Aires, Argentina</v>
      </c>
      <c r="M2595" s="20" t="str">
        <f t="array" ref="M2595">_xlfn.XLOOKUP(F2595,Metodos_De_Pago[ID_Metodo],Metodos_De_Pago[Metodo])</f>
        <v>Efectivo</v>
      </c>
      <c r="N2595" s="20" t="str">
        <f t="shared" si="2"/>
        <v>2024 03</v>
      </c>
    </row>
    <row r="2596" ht="22.5" customHeight="1">
      <c r="A2596" s="12">
        <f>IFERROR(__xludf.DUMMYFUNCTION("""COMPUTED_VALUE"""),1976.0)</f>
        <v>1976</v>
      </c>
      <c r="B2596" s="13">
        <f>IFERROR(__xludf.DUMMYFUNCTION("""COMPUTED_VALUE"""),45382.0)</f>
        <v>45382</v>
      </c>
      <c r="C2596" s="12">
        <f>IFERROR(__xludf.DUMMYFUNCTION("""COMPUTED_VALUE"""),299.0)</f>
        <v>299</v>
      </c>
      <c r="D2596" s="12">
        <f>IFERROR(__xludf.DUMMYFUNCTION("""COMPUTED_VALUE"""),18.0)</f>
        <v>18</v>
      </c>
      <c r="E2596" s="12">
        <f>IFERROR(__xludf.DUMMYFUNCTION("""COMPUTED_VALUE"""),6.0)</f>
        <v>6</v>
      </c>
      <c r="F2596" s="12">
        <f>IFERROR(__xludf.DUMMYFUNCTION("""COMPUTED_VALUE"""),5.0)</f>
        <v>5</v>
      </c>
      <c r="G2596" s="15" t="str">
        <f>IFERROR(__xludf.DUMMYFUNCTION("""COMPUTED_VALUE"""),"Completa")</f>
        <v>Completa</v>
      </c>
      <c r="H2596" s="16" t="str">
        <f t="array" ref="H2596">_xlfn.XLOOKUP(D2596,Productos[ID_Producto],Productos[Nombre_Producto])</f>
        <v>Bananas</v>
      </c>
      <c r="I2596" s="17">
        <f t="array" ref="I2596">_xlfn.XLOOKUP(D2596,Productos[ID_Producto],Productos[Precio_Unitario])</f>
        <v>7.25</v>
      </c>
      <c r="J2596" s="17">
        <f t="shared" si="1"/>
        <v>43.5</v>
      </c>
      <c r="K2596" s="16" t="str">
        <f t="array" ref="K2596">_xlfn.XLOOKUP(C2596,Clientes[ID_Cliente],Clientes[Provincia])</f>
        <v>San Luis</v>
      </c>
      <c r="L2596" s="16" t="str">
        <f t="array" ref="L2596">CONCATENATE(_xlfn.XLOOKUP(C2596,Clientes[ID_Cliente],Clientes[Provincia]),", Argentina")</f>
        <v>San Luis, Argentina</v>
      </c>
      <c r="M2596" s="20" t="str">
        <f t="array" ref="M2596">_xlfn.XLOOKUP(F2596,Metodos_De_Pago[ID_Metodo],Metodos_De_Pago[Metodo])</f>
        <v>Transferencia</v>
      </c>
      <c r="N2596" s="20" t="str">
        <f t="shared" si="2"/>
        <v>2024 03</v>
      </c>
    </row>
    <row r="2597" ht="22.5" customHeight="1">
      <c r="A2597" s="12">
        <f>IFERROR(__xludf.DUMMYFUNCTION("""COMPUTED_VALUE"""),2914.0)</f>
        <v>2914</v>
      </c>
      <c r="B2597" s="13">
        <f>IFERROR(__xludf.DUMMYFUNCTION("""COMPUTED_VALUE"""),45383.0)</f>
        <v>45383</v>
      </c>
      <c r="C2597" s="12">
        <f>IFERROR(__xludf.DUMMYFUNCTION("""COMPUTED_VALUE"""),66.0)</f>
        <v>66</v>
      </c>
      <c r="D2597" s="12">
        <f>IFERROR(__xludf.DUMMYFUNCTION("""COMPUTED_VALUE"""),22.0)</f>
        <v>22</v>
      </c>
      <c r="E2597" s="12">
        <f>IFERROR(__xludf.DUMMYFUNCTION("""COMPUTED_VALUE"""),6.0)</f>
        <v>6</v>
      </c>
      <c r="F2597" s="12">
        <f>IFERROR(__xludf.DUMMYFUNCTION("""COMPUTED_VALUE"""),4.0)</f>
        <v>4</v>
      </c>
      <c r="G2597" s="15" t="str">
        <f>IFERROR(__xludf.DUMMYFUNCTION("""COMPUTED_VALUE"""),"Pendiente")</f>
        <v>Pendiente</v>
      </c>
      <c r="H2597" s="16" t="str">
        <f t="array" ref="H2597">_xlfn.XLOOKUP(D2597,Productos[ID_Producto],Productos[Nombre_Producto])</f>
        <v>Cebolla</v>
      </c>
      <c r="I2597" s="17">
        <f t="array" ref="I2597">_xlfn.XLOOKUP(D2597,Productos[ID_Producto],Productos[Precio_Unitario])</f>
        <v>4.21</v>
      </c>
      <c r="J2597" s="17">
        <f t="shared" si="1"/>
        <v>25.26</v>
      </c>
      <c r="K2597" s="16" t="str">
        <f t="array" ref="K2597">_xlfn.XLOOKUP(C2597,Clientes[ID_Cliente],Clientes[Provincia])</f>
        <v>Buenos Aires</v>
      </c>
      <c r="L2597" s="16" t="str">
        <f t="array" ref="L2597">CONCATENATE(_xlfn.XLOOKUP(C2597,Clientes[ID_Cliente],Clientes[Provincia]),", Argentina")</f>
        <v>Buenos Aires, Argentina</v>
      </c>
      <c r="M2597" s="20" t="str">
        <f t="array" ref="M2597">_xlfn.XLOOKUP(F2597,Metodos_De_Pago[ID_Metodo],Metodos_De_Pago[Metodo])</f>
        <v>Mercado Pago</v>
      </c>
      <c r="N2597" s="20" t="str">
        <f t="shared" si="2"/>
        <v>2024 04</v>
      </c>
    </row>
    <row r="2598" ht="22.5" customHeight="1">
      <c r="A2598" s="12">
        <f>IFERROR(__xludf.DUMMYFUNCTION("""COMPUTED_VALUE"""),160.0)</f>
        <v>160</v>
      </c>
      <c r="B2598" s="13">
        <f>IFERROR(__xludf.DUMMYFUNCTION("""COMPUTED_VALUE"""),45384.0)</f>
        <v>45384</v>
      </c>
      <c r="C2598" s="12">
        <f>IFERROR(__xludf.DUMMYFUNCTION("""COMPUTED_VALUE"""),106.0)</f>
        <v>106</v>
      </c>
      <c r="D2598" s="12">
        <f>IFERROR(__xludf.DUMMYFUNCTION("""COMPUTED_VALUE"""),25.0)</f>
        <v>25</v>
      </c>
      <c r="E2598" s="12">
        <f>IFERROR(__xludf.DUMMYFUNCTION("""COMPUTED_VALUE"""),6.0)</f>
        <v>6</v>
      </c>
      <c r="F2598" s="12">
        <f>IFERROR(__xludf.DUMMYFUNCTION("""COMPUTED_VALUE"""),4.0)</f>
        <v>4</v>
      </c>
      <c r="G2598" s="15" t="str">
        <f>IFERROR(__xludf.DUMMYFUNCTION("""COMPUTED_VALUE"""),"Completa")</f>
        <v>Completa</v>
      </c>
      <c r="H2598" s="16" t="str">
        <f t="array" ref="H2598">_xlfn.XLOOKUP(D2598,Productos[ID_Producto],Productos[Nombre_Producto])</f>
        <v>Pizza congelada</v>
      </c>
      <c r="I2598" s="17">
        <f t="array" ref="I2598">_xlfn.XLOOKUP(D2598,Productos[ID_Producto],Productos[Precio_Unitario])</f>
        <v>15.45</v>
      </c>
      <c r="J2598" s="17">
        <f t="shared" si="1"/>
        <v>92.7</v>
      </c>
      <c r="K2598" s="16" t="str">
        <f t="array" ref="K2598">_xlfn.XLOOKUP(C2598,Clientes[ID_Cliente],Clientes[Provincia])</f>
        <v>Chaco</v>
      </c>
      <c r="L2598" s="16" t="str">
        <f t="array" ref="L2598">CONCATENATE(_xlfn.XLOOKUP(C2598,Clientes[ID_Cliente],Clientes[Provincia]),", Argentina")</f>
        <v>Chaco, Argentina</v>
      </c>
      <c r="M2598" s="20" t="str">
        <f t="array" ref="M2598">_xlfn.XLOOKUP(F2598,Metodos_De_Pago[ID_Metodo],Metodos_De_Pago[Metodo])</f>
        <v>Mercado Pago</v>
      </c>
      <c r="N2598" s="20" t="str">
        <f t="shared" si="2"/>
        <v>2024 04</v>
      </c>
    </row>
    <row r="2599" ht="22.5" customHeight="1">
      <c r="A2599" s="12">
        <f>IFERROR(__xludf.DUMMYFUNCTION("""COMPUTED_VALUE"""),1687.0)</f>
        <v>1687</v>
      </c>
      <c r="B2599" s="13">
        <f>IFERROR(__xludf.DUMMYFUNCTION("""COMPUTED_VALUE"""),45385.0)</f>
        <v>45385</v>
      </c>
      <c r="C2599" s="12">
        <f>IFERROR(__xludf.DUMMYFUNCTION("""COMPUTED_VALUE"""),160.0)</f>
        <v>160</v>
      </c>
      <c r="D2599" s="12">
        <f>IFERROR(__xludf.DUMMYFUNCTION("""COMPUTED_VALUE"""),23.0)</f>
        <v>23</v>
      </c>
      <c r="E2599" s="12">
        <f>IFERROR(__xludf.DUMMYFUNCTION("""COMPUTED_VALUE"""),6.0)</f>
        <v>6</v>
      </c>
      <c r="F2599" s="12">
        <f>IFERROR(__xludf.DUMMYFUNCTION("""COMPUTED_VALUE"""),5.0)</f>
        <v>5</v>
      </c>
      <c r="G2599" s="15" t="str">
        <f>IFERROR(__xludf.DUMMYFUNCTION("""COMPUTED_VALUE"""),"Completa")</f>
        <v>Completa</v>
      </c>
      <c r="H2599" s="16" t="str">
        <f t="array" ref="H2599">_xlfn.XLOOKUP(D2599,Productos[ID_Producto],Productos[Nombre_Producto])</f>
        <v>Papas fritas</v>
      </c>
      <c r="I2599" s="17">
        <f t="array" ref="I2599">_xlfn.XLOOKUP(D2599,Productos[ID_Producto],Productos[Precio_Unitario])</f>
        <v>8.23</v>
      </c>
      <c r="J2599" s="17">
        <f t="shared" si="1"/>
        <v>49.38</v>
      </c>
      <c r="K2599" s="16" t="str">
        <f t="array" ref="K2599">_xlfn.XLOOKUP(C2599,Clientes[ID_Cliente],Clientes[Provincia])</f>
        <v>Córdoba</v>
      </c>
      <c r="L2599" s="16" t="str">
        <f t="array" ref="L2599">CONCATENATE(_xlfn.XLOOKUP(C2599,Clientes[ID_Cliente],Clientes[Provincia]),", Argentina")</f>
        <v>Córdoba, Argentina</v>
      </c>
      <c r="M2599" s="20" t="str">
        <f t="array" ref="M2599">_xlfn.XLOOKUP(F2599,Metodos_De_Pago[ID_Metodo],Metodos_De_Pago[Metodo])</f>
        <v>Transferencia</v>
      </c>
      <c r="N2599" s="20" t="str">
        <f t="shared" si="2"/>
        <v>2024 04</v>
      </c>
    </row>
    <row r="2600" ht="22.5" customHeight="1">
      <c r="A2600" s="12">
        <f>IFERROR(__xludf.DUMMYFUNCTION("""COMPUTED_VALUE"""),2954.0)</f>
        <v>2954</v>
      </c>
      <c r="B2600" s="13">
        <f>IFERROR(__xludf.DUMMYFUNCTION("""COMPUTED_VALUE"""),45385.0)</f>
        <v>45385</v>
      </c>
      <c r="C2600" s="12">
        <f>IFERROR(__xludf.DUMMYFUNCTION("""COMPUTED_VALUE"""),237.0)</f>
        <v>237</v>
      </c>
      <c r="D2600" s="12">
        <f>IFERROR(__xludf.DUMMYFUNCTION("""COMPUTED_VALUE"""),27.0)</f>
        <v>27</v>
      </c>
      <c r="E2600" s="12">
        <f>IFERROR(__xludf.DUMMYFUNCTION("""COMPUTED_VALUE"""),6.0)</f>
        <v>6</v>
      </c>
      <c r="F2600" s="12">
        <f>IFERROR(__xludf.DUMMYFUNCTION("""COMPUTED_VALUE"""),3.0)</f>
        <v>3</v>
      </c>
      <c r="G2600" s="15" t="str">
        <f>IFERROR(__xludf.DUMMYFUNCTION("""COMPUTED_VALUE"""),"Completa")</f>
        <v>Completa</v>
      </c>
      <c r="H2600" s="16" t="str">
        <f t="array" ref="H2600">_xlfn.XLOOKUP(D2600,Productos[ID_Producto],Productos[Nombre_Producto])</f>
        <v>Agua mineral</v>
      </c>
      <c r="I2600" s="17">
        <f t="array" ref="I2600">_xlfn.XLOOKUP(D2600,Productos[ID_Producto],Productos[Precio_Unitario])</f>
        <v>6.21</v>
      </c>
      <c r="J2600" s="17">
        <f t="shared" si="1"/>
        <v>37.26</v>
      </c>
      <c r="K2600" s="16" t="str">
        <f t="array" ref="K2600">_xlfn.XLOOKUP(C2600,Clientes[ID_Cliente],Clientes[Provincia])</f>
        <v>Buenos Aires</v>
      </c>
      <c r="L2600" s="16" t="str">
        <f t="array" ref="L2600">CONCATENATE(_xlfn.XLOOKUP(C2600,Clientes[ID_Cliente],Clientes[Provincia]),", Argentina")</f>
        <v>Buenos Aires, Argentina</v>
      </c>
      <c r="M2600" s="20" t="str">
        <f t="array" ref="M2600">_xlfn.XLOOKUP(F2600,Metodos_De_Pago[ID_Metodo],Metodos_De_Pago[Metodo])</f>
        <v>Tarjeta de Débito</v>
      </c>
      <c r="N2600" s="20" t="str">
        <f t="shared" si="2"/>
        <v>2024 04</v>
      </c>
    </row>
    <row r="2601" ht="22.5" customHeight="1">
      <c r="A2601" s="12">
        <f>IFERROR(__xludf.DUMMYFUNCTION("""COMPUTED_VALUE"""),1872.0)</f>
        <v>1872</v>
      </c>
      <c r="B2601" s="13">
        <f>IFERROR(__xludf.DUMMYFUNCTION("""COMPUTED_VALUE"""),45386.0)</f>
        <v>45386</v>
      </c>
      <c r="C2601" s="12">
        <f>IFERROR(__xludf.DUMMYFUNCTION("""COMPUTED_VALUE"""),239.0)</f>
        <v>239</v>
      </c>
      <c r="D2601" s="12">
        <f>IFERROR(__xludf.DUMMYFUNCTION("""COMPUTED_VALUE"""),16.0)</f>
        <v>16</v>
      </c>
      <c r="E2601" s="12">
        <f>IFERROR(__xludf.DUMMYFUNCTION("""COMPUTED_VALUE"""),6.0)</f>
        <v>6</v>
      </c>
      <c r="F2601" s="12">
        <f>IFERROR(__xludf.DUMMYFUNCTION("""COMPUTED_VALUE"""),1.0)</f>
        <v>1</v>
      </c>
      <c r="G2601" s="15" t="str">
        <f>IFERROR(__xludf.DUMMYFUNCTION("""COMPUTED_VALUE"""),"Completa")</f>
        <v>Completa</v>
      </c>
      <c r="H2601" s="16" t="str">
        <f t="array" ref="H2601">_xlfn.XLOOKUP(D2601,Productos[ID_Producto],Productos[Nombre_Producto])</f>
        <v>Tortas</v>
      </c>
      <c r="I2601" s="17">
        <f t="array" ref="I2601">_xlfn.XLOOKUP(D2601,Productos[ID_Producto],Productos[Precio_Unitario])</f>
        <v>15.23</v>
      </c>
      <c r="J2601" s="17">
        <f t="shared" si="1"/>
        <v>91.38</v>
      </c>
      <c r="K2601" s="16" t="str">
        <f t="array" ref="K2601">_xlfn.XLOOKUP(C2601,Clientes[ID_Cliente],Clientes[Provincia])</f>
        <v>Buenos Aires</v>
      </c>
      <c r="L2601" s="16" t="str">
        <f t="array" ref="L2601">CONCATENATE(_xlfn.XLOOKUP(C2601,Clientes[ID_Cliente],Clientes[Provincia]),", Argentina")</f>
        <v>Buenos Aires, Argentina</v>
      </c>
      <c r="M2601" s="20" t="str">
        <f t="array" ref="M2601">_xlfn.XLOOKUP(F2601,Metodos_De_Pago[ID_Metodo],Metodos_De_Pago[Metodo])</f>
        <v>Efectivo</v>
      </c>
      <c r="N2601" s="20" t="str">
        <f t="shared" si="2"/>
        <v>2024 04</v>
      </c>
    </row>
    <row r="2602" ht="22.5" customHeight="1">
      <c r="A2602" s="12">
        <f>IFERROR(__xludf.DUMMYFUNCTION("""COMPUTED_VALUE"""),2276.0)</f>
        <v>2276</v>
      </c>
      <c r="B2602" s="13">
        <f>IFERROR(__xludf.DUMMYFUNCTION("""COMPUTED_VALUE"""),45387.0)</f>
        <v>45387</v>
      </c>
      <c r="C2602" s="12">
        <f>IFERROR(__xludf.DUMMYFUNCTION("""COMPUTED_VALUE"""),62.0)</f>
        <v>62</v>
      </c>
      <c r="D2602" s="12">
        <f>IFERROR(__xludf.DUMMYFUNCTION("""COMPUTED_VALUE"""),23.0)</f>
        <v>23</v>
      </c>
      <c r="E2602" s="12">
        <f>IFERROR(__xludf.DUMMYFUNCTION("""COMPUTED_VALUE"""),6.0)</f>
        <v>6</v>
      </c>
      <c r="F2602" s="12">
        <f>IFERROR(__xludf.DUMMYFUNCTION("""COMPUTED_VALUE"""),4.0)</f>
        <v>4</v>
      </c>
      <c r="G2602" s="15" t="str">
        <f>IFERROR(__xludf.DUMMYFUNCTION("""COMPUTED_VALUE"""),"Pendiente")</f>
        <v>Pendiente</v>
      </c>
      <c r="H2602" s="16" t="str">
        <f t="array" ref="H2602">_xlfn.XLOOKUP(D2602,Productos[ID_Producto],Productos[Nombre_Producto])</f>
        <v>Papas fritas</v>
      </c>
      <c r="I2602" s="17">
        <f t="array" ref="I2602">_xlfn.XLOOKUP(D2602,Productos[ID_Producto],Productos[Precio_Unitario])</f>
        <v>8.23</v>
      </c>
      <c r="J2602" s="17">
        <f t="shared" si="1"/>
        <v>49.38</v>
      </c>
      <c r="K2602" s="16" t="str">
        <f t="array" ref="K2602">_xlfn.XLOOKUP(C2602,Clientes[ID_Cliente],Clientes[Provincia])</f>
        <v>Chaco</v>
      </c>
      <c r="L2602" s="16" t="str">
        <f t="array" ref="L2602">CONCATENATE(_xlfn.XLOOKUP(C2602,Clientes[ID_Cliente],Clientes[Provincia]),", Argentina")</f>
        <v>Chaco, Argentina</v>
      </c>
      <c r="M2602" s="20" t="str">
        <f t="array" ref="M2602">_xlfn.XLOOKUP(F2602,Metodos_De_Pago[ID_Metodo],Metodos_De_Pago[Metodo])</f>
        <v>Mercado Pago</v>
      </c>
      <c r="N2602" s="20" t="str">
        <f t="shared" si="2"/>
        <v>2024 04</v>
      </c>
    </row>
    <row r="2603" ht="22.5" customHeight="1">
      <c r="A2603" s="12">
        <f>IFERROR(__xludf.DUMMYFUNCTION("""COMPUTED_VALUE"""),2726.0)</f>
        <v>2726</v>
      </c>
      <c r="B2603" s="13">
        <f>IFERROR(__xludf.DUMMYFUNCTION("""COMPUTED_VALUE"""),45389.0)</f>
        <v>45389</v>
      </c>
      <c r="C2603" s="12">
        <f>IFERROR(__xludf.DUMMYFUNCTION("""COMPUTED_VALUE"""),166.0)</f>
        <v>166</v>
      </c>
      <c r="D2603" s="12">
        <f>IFERROR(__xludf.DUMMYFUNCTION("""COMPUTED_VALUE"""),17.0)</f>
        <v>17</v>
      </c>
      <c r="E2603" s="12">
        <f>IFERROR(__xludf.DUMMYFUNCTION("""COMPUTED_VALUE"""),6.0)</f>
        <v>6</v>
      </c>
      <c r="F2603" s="12">
        <f>IFERROR(__xludf.DUMMYFUNCTION("""COMPUTED_VALUE"""),4.0)</f>
        <v>4</v>
      </c>
      <c r="G2603" s="15" t="str">
        <f>IFERROR(__xludf.DUMMYFUNCTION("""COMPUTED_VALUE"""),"Completa")</f>
        <v>Completa</v>
      </c>
      <c r="H2603" s="16" t="str">
        <f t="array" ref="H2603">_xlfn.XLOOKUP(D2603,Productos[ID_Producto],Productos[Nombre_Producto])</f>
        <v>Manzanas</v>
      </c>
      <c r="I2603" s="17">
        <f t="array" ref="I2603">_xlfn.XLOOKUP(D2603,Productos[ID_Producto],Productos[Precio_Unitario])</f>
        <v>6.54</v>
      </c>
      <c r="J2603" s="17">
        <f t="shared" si="1"/>
        <v>39.24</v>
      </c>
      <c r="K2603" s="16" t="str">
        <f t="array" ref="K2603">_xlfn.XLOOKUP(C2603,Clientes[ID_Cliente],Clientes[Provincia])</f>
        <v>Chaco</v>
      </c>
      <c r="L2603" s="16" t="str">
        <f t="array" ref="L2603">CONCATENATE(_xlfn.XLOOKUP(C2603,Clientes[ID_Cliente],Clientes[Provincia]),", Argentina")</f>
        <v>Chaco, Argentina</v>
      </c>
      <c r="M2603" s="20" t="str">
        <f t="array" ref="M2603">_xlfn.XLOOKUP(F2603,Metodos_De_Pago[ID_Metodo],Metodos_De_Pago[Metodo])</f>
        <v>Mercado Pago</v>
      </c>
      <c r="N2603" s="20" t="str">
        <f t="shared" si="2"/>
        <v>2024 04</v>
      </c>
    </row>
    <row r="2604" ht="22.5" customHeight="1">
      <c r="A2604" s="12">
        <f>IFERROR(__xludf.DUMMYFUNCTION("""COMPUTED_VALUE"""),1840.0)</f>
        <v>1840</v>
      </c>
      <c r="B2604" s="13">
        <f>IFERROR(__xludf.DUMMYFUNCTION("""COMPUTED_VALUE"""),45390.0)</f>
        <v>45390</v>
      </c>
      <c r="C2604" s="12">
        <f>IFERROR(__xludf.DUMMYFUNCTION("""COMPUTED_VALUE"""),241.0)</f>
        <v>241</v>
      </c>
      <c r="D2604" s="12">
        <f>IFERROR(__xludf.DUMMYFUNCTION("""COMPUTED_VALUE"""),12.0)</f>
        <v>12</v>
      </c>
      <c r="E2604" s="12">
        <f>IFERROR(__xludf.DUMMYFUNCTION("""COMPUTED_VALUE"""),6.0)</f>
        <v>6</v>
      </c>
      <c r="F2604" s="12">
        <f>IFERROR(__xludf.DUMMYFUNCTION("""COMPUTED_VALUE"""),3.0)</f>
        <v>3</v>
      </c>
      <c r="G2604" s="15" t="str">
        <f>IFERROR(__xludf.DUMMYFUNCTION("""COMPUTED_VALUE"""),"Completa")</f>
        <v>Completa</v>
      </c>
      <c r="H2604" s="16" t="str">
        <f t="array" ref="H2604">_xlfn.XLOOKUP(D2604,Productos[ID_Producto],Productos[Nombre_Producto])</f>
        <v>Pan francés</v>
      </c>
      <c r="I2604" s="17">
        <f t="array" ref="I2604">_xlfn.XLOOKUP(D2604,Productos[ID_Producto],Productos[Precio_Unitario])</f>
        <v>8.12</v>
      </c>
      <c r="J2604" s="17">
        <f t="shared" si="1"/>
        <v>48.72</v>
      </c>
      <c r="K2604" s="16" t="str">
        <f t="array" ref="K2604">_xlfn.XLOOKUP(C2604,Clientes[ID_Cliente],Clientes[Provincia])</f>
        <v>Buenos Aires</v>
      </c>
      <c r="L2604" s="16" t="str">
        <f t="array" ref="L2604">CONCATENATE(_xlfn.XLOOKUP(C2604,Clientes[ID_Cliente],Clientes[Provincia]),", Argentina")</f>
        <v>Buenos Aires, Argentina</v>
      </c>
      <c r="M2604" s="20" t="str">
        <f t="array" ref="M2604">_xlfn.XLOOKUP(F2604,Metodos_De_Pago[ID_Metodo],Metodos_De_Pago[Metodo])</f>
        <v>Tarjeta de Débito</v>
      </c>
      <c r="N2604" s="20" t="str">
        <f t="shared" si="2"/>
        <v>2024 04</v>
      </c>
    </row>
    <row r="2605" ht="22.5" customHeight="1">
      <c r="A2605" s="12">
        <f>IFERROR(__xludf.DUMMYFUNCTION("""COMPUTED_VALUE"""),80.0)</f>
        <v>80</v>
      </c>
      <c r="B2605" s="13">
        <f>IFERROR(__xludf.DUMMYFUNCTION("""COMPUTED_VALUE"""),45391.0)</f>
        <v>45391</v>
      </c>
      <c r="C2605" s="12">
        <f>IFERROR(__xludf.DUMMYFUNCTION("""COMPUTED_VALUE"""),313.0)</f>
        <v>313</v>
      </c>
      <c r="D2605" s="12">
        <f>IFERROR(__xludf.DUMMYFUNCTION("""COMPUTED_VALUE"""),25.0)</f>
        <v>25</v>
      </c>
      <c r="E2605" s="12">
        <f>IFERROR(__xludf.DUMMYFUNCTION("""COMPUTED_VALUE"""),6.0)</f>
        <v>6</v>
      </c>
      <c r="F2605" s="12">
        <f>IFERROR(__xludf.DUMMYFUNCTION("""COMPUTED_VALUE"""),3.0)</f>
        <v>3</v>
      </c>
      <c r="G2605" s="15" t="str">
        <f>IFERROR(__xludf.DUMMYFUNCTION("""COMPUTED_VALUE"""),"Completa")</f>
        <v>Completa</v>
      </c>
      <c r="H2605" s="16" t="str">
        <f t="array" ref="H2605">_xlfn.XLOOKUP(D2605,Productos[ID_Producto],Productos[Nombre_Producto])</f>
        <v>Pizza congelada</v>
      </c>
      <c r="I2605" s="17">
        <f t="array" ref="I2605">_xlfn.XLOOKUP(D2605,Productos[ID_Producto],Productos[Precio_Unitario])</f>
        <v>15.45</v>
      </c>
      <c r="J2605" s="17">
        <f t="shared" si="1"/>
        <v>92.7</v>
      </c>
      <c r="K2605" s="16" t="str">
        <f t="array" ref="K2605">_xlfn.XLOOKUP(C2605,Clientes[ID_Cliente],Clientes[Provincia])</f>
        <v>San Luis</v>
      </c>
      <c r="L2605" s="16" t="str">
        <f t="array" ref="L2605">CONCATENATE(_xlfn.XLOOKUP(C2605,Clientes[ID_Cliente],Clientes[Provincia]),", Argentina")</f>
        <v>San Luis, Argentina</v>
      </c>
      <c r="M2605" s="20" t="str">
        <f t="array" ref="M2605">_xlfn.XLOOKUP(F2605,Metodos_De_Pago[ID_Metodo],Metodos_De_Pago[Metodo])</f>
        <v>Tarjeta de Débito</v>
      </c>
      <c r="N2605" s="20" t="str">
        <f t="shared" si="2"/>
        <v>2024 04</v>
      </c>
    </row>
    <row r="2606" ht="22.5" customHeight="1">
      <c r="A2606" s="12">
        <f>IFERROR(__xludf.DUMMYFUNCTION("""COMPUTED_VALUE"""),239.0)</f>
        <v>239</v>
      </c>
      <c r="B2606" s="13">
        <f>IFERROR(__xludf.DUMMYFUNCTION("""COMPUTED_VALUE"""),45392.0)</f>
        <v>45392</v>
      </c>
      <c r="C2606" s="12">
        <f>IFERROR(__xludf.DUMMYFUNCTION("""COMPUTED_VALUE"""),197.0)</f>
        <v>197</v>
      </c>
      <c r="D2606" s="12">
        <f>IFERROR(__xludf.DUMMYFUNCTION("""COMPUTED_VALUE"""),37.0)</f>
        <v>37</v>
      </c>
      <c r="E2606" s="12">
        <f>IFERROR(__xludf.DUMMYFUNCTION("""COMPUTED_VALUE"""),6.0)</f>
        <v>6</v>
      </c>
      <c r="F2606" s="12">
        <f>IFERROR(__xludf.DUMMYFUNCTION("""COMPUTED_VALUE"""),5.0)</f>
        <v>5</v>
      </c>
      <c r="G2606" s="15" t="str">
        <f>IFERROR(__xludf.DUMMYFUNCTION("""COMPUTED_VALUE"""),"Completa")</f>
        <v>Completa</v>
      </c>
      <c r="H2606" s="16" t="str">
        <f t="array" ref="H2606">_xlfn.XLOOKUP(D2606,Productos[ID_Producto],Productos[Nombre_Producto])</f>
        <v>Garbanzos</v>
      </c>
      <c r="I2606" s="17">
        <f t="array" ref="I2606">_xlfn.XLOOKUP(D2606,Productos[ID_Producto],Productos[Precio_Unitario])</f>
        <v>3.65</v>
      </c>
      <c r="J2606" s="17">
        <f t="shared" si="1"/>
        <v>21.9</v>
      </c>
      <c r="K2606" s="16" t="str">
        <f t="array" ref="K2606">_xlfn.XLOOKUP(C2606,Clientes[ID_Cliente],Clientes[Provincia])</f>
        <v>San Luis</v>
      </c>
      <c r="L2606" s="16" t="str">
        <f t="array" ref="L2606">CONCATENATE(_xlfn.XLOOKUP(C2606,Clientes[ID_Cliente],Clientes[Provincia]),", Argentina")</f>
        <v>San Luis, Argentina</v>
      </c>
      <c r="M2606" s="20" t="str">
        <f t="array" ref="M2606">_xlfn.XLOOKUP(F2606,Metodos_De_Pago[ID_Metodo],Metodos_De_Pago[Metodo])</f>
        <v>Transferencia</v>
      </c>
      <c r="N2606" s="20" t="str">
        <f t="shared" si="2"/>
        <v>2024 04</v>
      </c>
    </row>
    <row r="2607" ht="22.5" customHeight="1">
      <c r="A2607" s="12">
        <f>IFERROR(__xludf.DUMMYFUNCTION("""COMPUTED_VALUE"""),2785.0)</f>
        <v>2785</v>
      </c>
      <c r="B2607" s="13">
        <f>IFERROR(__xludf.DUMMYFUNCTION("""COMPUTED_VALUE"""),45392.0)</f>
        <v>45392</v>
      </c>
      <c r="C2607" s="12">
        <f>IFERROR(__xludf.DUMMYFUNCTION("""COMPUTED_VALUE"""),191.0)</f>
        <v>191</v>
      </c>
      <c r="D2607" s="12">
        <f>IFERROR(__xludf.DUMMYFUNCTION("""COMPUTED_VALUE"""),17.0)</f>
        <v>17</v>
      </c>
      <c r="E2607" s="12">
        <f>IFERROR(__xludf.DUMMYFUNCTION("""COMPUTED_VALUE"""),6.0)</f>
        <v>6</v>
      </c>
      <c r="F2607" s="12">
        <f>IFERROR(__xludf.DUMMYFUNCTION("""COMPUTED_VALUE"""),5.0)</f>
        <v>5</v>
      </c>
      <c r="G2607" s="15" t="str">
        <f>IFERROR(__xludf.DUMMYFUNCTION("""COMPUTED_VALUE"""),"Completa")</f>
        <v>Completa</v>
      </c>
      <c r="H2607" s="16" t="str">
        <f t="array" ref="H2607">_xlfn.XLOOKUP(D2607,Productos[ID_Producto],Productos[Nombre_Producto])</f>
        <v>Manzanas</v>
      </c>
      <c r="I2607" s="17">
        <f t="array" ref="I2607">_xlfn.XLOOKUP(D2607,Productos[ID_Producto],Productos[Precio_Unitario])</f>
        <v>6.54</v>
      </c>
      <c r="J2607" s="17">
        <f t="shared" si="1"/>
        <v>39.24</v>
      </c>
      <c r="K2607" s="16" t="str">
        <f t="array" ref="K2607">_xlfn.XLOOKUP(C2607,Clientes[ID_Cliente],Clientes[Provincia])</f>
        <v>Córdoba</v>
      </c>
      <c r="L2607" s="16" t="str">
        <f t="array" ref="L2607">CONCATENATE(_xlfn.XLOOKUP(C2607,Clientes[ID_Cliente],Clientes[Provincia]),", Argentina")</f>
        <v>Córdoba, Argentina</v>
      </c>
      <c r="M2607" s="20" t="str">
        <f t="array" ref="M2607">_xlfn.XLOOKUP(F2607,Metodos_De_Pago[ID_Metodo],Metodos_De_Pago[Metodo])</f>
        <v>Transferencia</v>
      </c>
      <c r="N2607" s="20" t="str">
        <f t="shared" si="2"/>
        <v>2024 04</v>
      </c>
    </row>
    <row r="2608" ht="22.5" customHeight="1">
      <c r="A2608" s="12">
        <f>IFERROR(__xludf.DUMMYFUNCTION("""COMPUTED_VALUE"""),354.0)</f>
        <v>354</v>
      </c>
      <c r="B2608" s="13">
        <f>IFERROR(__xludf.DUMMYFUNCTION("""COMPUTED_VALUE"""),45393.0)</f>
        <v>45393</v>
      </c>
      <c r="C2608" s="12">
        <f>IFERROR(__xludf.DUMMYFUNCTION("""COMPUTED_VALUE"""),195.0)</f>
        <v>195</v>
      </c>
      <c r="D2608" s="12">
        <f>IFERROR(__xludf.DUMMYFUNCTION("""COMPUTED_VALUE"""),29.0)</f>
        <v>29</v>
      </c>
      <c r="E2608" s="12">
        <f>IFERROR(__xludf.DUMMYFUNCTION("""COMPUTED_VALUE"""),6.0)</f>
        <v>6</v>
      </c>
      <c r="F2608" s="12">
        <f>IFERROR(__xludf.DUMMYFUNCTION("""COMPUTED_VALUE"""),1.0)</f>
        <v>1</v>
      </c>
      <c r="G2608" s="15" t="str">
        <f>IFERROR(__xludf.DUMMYFUNCTION("""COMPUTED_VALUE"""),"Completa")</f>
        <v>Completa</v>
      </c>
      <c r="H2608" s="16" t="str">
        <f t="array" ref="H2608">_xlfn.XLOOKUP(D2608,Productos[ID_Producto],Productos[Nombre_Producto])</f>
        <v>Cerveza</v>
      </c>
      <c r="I2608" s="17">
        <f t="array" ref="I2608">_xlfn.XLOOKUP(D2608,Productos[ID_Producto],Productos[Precio_Unitario])</f>
        <v>11.54</v>
      </c>
      <c r="J2608" s="17">
        <f t="shared" si="1"/>
        <v>69.24</v>
      </c>
      <c r="K2608" s="16" t="str">
        <f t="array" ref="K2608">_xlfn.XLOOKUP(C2608,Clientes[ID_Cliente],Clientes[Provincia])</f>
        <v>Córdoba</v>
      </c>
      <c r="L2608" s="16" t="str">
        <f t="array" ref="L2608">CONCATENATE(_xlfn.XLOOKUP(C2608,Clientes[ID_Cliente],Clientes[Provincia]),", Argentina")</f>
        <v>Córdoba, Argentina</v>
      </c>
      <c r="M2608" s="20" t="str">
        <f t="array" ref="M2608">_xlfn.XLOOKUP(F2608,Metodos_De_Pago[ID_Metodo],Metodos_De_Pago[Metodo])</f>
        <v>Efectivo</v>
      </c>
      <c r="N2608" s="20" t="str">
        <f t="shared" si="2"/>
        <v>2024 04</v>
      </c>
    </row>
    <row r="2609" ht="22.5" customHeight="1">
      <c r="A2609" s="12">
        <f>IFERROR(__xludf.DUMMYFUNCTION("""COMPUTED_VALUE"""),2306.0)</f>
        <v>2306</v>
      </c>
      <c r="B2609" s="13">
        <f>IFERROR(__xludf.DUMMYFUNCTION("""COMPUTED_VALUE"""),45394.0)</f>
        <v>45394</v>
      </c>
      <c r="C2609" s="12">
        <f>IFERROR(__xludf.DUMMYFUNCTION("""COMPUTED_VALUE"""),242.0)</f>
        <v>242</v>
      </c>
      <c r="D2609" s="12">
        <f>IFERROR(__xludf.DUMMYFUNCTION("""COMPUTED_VALUE"""),2.0)</f>
        <v>2</v>
      </c>
      <c r="E2609" s="12">
        <f>IFERROR(__xludf.DUMMYFUNCTION("""COMPUTED_VALUE"""),6.0)</f>
        <v>6</v>
      </c>
      <c r="F2609" s="12">
        <f>IFERROR(__xludf.DUMMYFUNCTION("""COMPUTED_VALUE"""),3.0)</f>
        <v>3</v>
      </c>
      <c r="G2609" s="15" t="str">
        <f>IFERROR(__xludf.DUMMYFUNCTION("""COMPUTED_VALUE"""),"Completa")</f>
        <v>Completa</v>
      </c>
      <c r="H2609" s="16" t="str">
        <f t="array" ref="H2609">_xlfn.XLOOKUP(D2609,Productos[ID_Producto],Productos[Nombre_Producto])</f>
        <v>Yogur</v>
      </c>
      <c r="I2609" s="17">
        <f t="array" ref="I2609">_xlfn.XLOOKUP(D2609,Productos[ID_Producto],Productos[Precio_Unitario])</f>
        <v>5.21</v>
      </c>
      <c r="J2609" s="17">
        <f t="shared" si="1"/>
        <v>31.26</v>
      </c>
      <c r="K2609" s="16" t="str">
        <f t="array" ref="K2609">_xlfn.XLOOKUP(C2609,Clientes[ID_Cliente],Clientes[Provincia])</f>
        <v>Chaco</v>
      </c>
      <c r="L2609" s="16" t="str">
        <f t="array" ref="L2609">CONCATENATE(_xlfn.XLOOKUP(C2609,Clientes[ID_Cliente],Clientes[Provincia]),", Argentina")</f>
        <v>Chaco, Argentina</v>
      </c>
      <c r="M2609" s="20" t="str">
        <f t="array" ref="M2609">_xlfn.XLOOKUP(F2609,Metodos_De_Pago[ID_Metodo],Metodos_De_Pago[Metodo])</f>
        <v>Tarjeta de Débito</v>
      </c>
      <c r="N2609" s="20" t="str">
        <f t="shared" si="2"/>
        <v>2024 04</v>
      </c>
    </row>
    <row r="2610" ht="22.5" customHeight="1">
      <c r="A2610" s="12">
        <f>IFERROR(__xludf.DUMMYFUNCTION("""COMPUTED_VALUE"""),1868.0)</f>
        <v>1868</v>
      </c>
      <c r="B2610" s="13">
        <f>IFERROR(__xludf.DUMMYFUNCTION("""COMPUTED_VALUE"""),45396.0)</f>
        <v>45396</v>
      </c>
      <c r="C2610" s="12">
        <f>IFERROR(__xludf.DUMMYFUNCTION("""COMPUTED_VALUE"""),234.0)</f>
        <v>234</v>
      </c>
      <c r="D2610" s="12">
        <f>IFERROR(__xludf.DUMMYFUNCTION("""COMPUTED_VALUE"""),19.0)</f>
        <v>19</v>
      </c>
      <c r="E2610" s="12">
        <f>IFERROR(__xludf.DUMMYFUNCTION("""COMPUTED_VALUE"""),6.0)</f>
        <v>6</v>
      </c>
      <c r="F2610" s="12">
        <f>IFERROR(__xludf.DUMMYFUNCTION("""COMPUTED_VALUE"""),1.0)</f>
        <v>1</v>
      </c>
      <c r="G2610" s="15" t="str">
        <f>IFERROR(__xludf.DUMMYFUNCTION("""COMPUTED_VALUE"""),"Pendiente")</f>
        <v>Pendiente</v>
      </c>
      <c r="H2610" s="16" t="str">
        <f t="array" ref="H2610">_xlfn.XLOOKUP(D2610,Productos[ID_Producto],Productos[Nombre_Producto])</f>
        <v>Tomates</v>
      </c>
      <c r="I2610" s="17">
        <f t="array" ref="I2610">_xlfn.XLOOKUP(D2610,Productos[ID_Producto],Productos[Precio_Unitario])</f>
        <v>6.54</v>
      </c>
      <c r="J2610" s="17">
        <f t="shared" si="1"/>
        <v>39.24</v>
      </c>
      <c r="K2610" s="16" t="str">
        <f t="array" ref="K2610">_xlfn.XLOOKUP(C2610,Clientes[ID_Cliente],Clientes[Provincia])</f>
        <v>Buenos Aires</v>
      </c>
      <c r="L2610" s="16" t="str">
        <f t="array" ref="L2610">CONCATENATE(_xlfn.XLOOKUP(C2610,Clientes[ID_Cliente],Clientes[Provincia]),", Argentina")</f>
        <v>Buenos Aires, Argentina</v>
      </c>
      <c r="M2610" s="20" t="str">
        <f t="array" ref="M2610">_xlfn.XLOOKUP(F2610,Metodos_De_Pago[ID_Metodo],Metodos_De_Pago[Metodo])</f>
        <v>Efectivo</v>
      </c>
      <c r="N2610" s="20" t="str">
        <f t="shared" si="2"/>
        <v>2024 04</v>
      </c>
    </row>
    <row r="2611" ht="22.5" customHeight="1">
      <c r="A2611" s="12">
        <f>IFERROR(__xludf.DUMMYFUNCTION("""COMPUTED_VALUE"""),361.0)</f>
        <v>361</v>
      </c>
      <c r="B2611" s="13">
        <f>IFERROR(__xludf.DUMMYFUNCTION("""COMPUTED_VALUE"""),45397.0)</f>
        <v>45397</v>
      </c>
      <c r="C2611" s="12">
        <f>IFERROR(__xludf.DUMMYFUNCTION("""COMPUTED_VALUE"""),226.0)</f>
        <v>226</v>
      </c>
      <c r="D2611" s="12">
        <f>IFERROR(__xludf.DUMMYFUNCTION("""COMPUTED_VALUE"""),20.0)</f>
        <v>20</v>
      </c>
      <c r="E2611" s="12">
        <f>IFERROR(__xludf.DUMMYFUNCTION("""COMPUTED_VALUE"""),6.0)</f>
        <v>6</v>
      </c>
      <c r="F2611" s="12">
        <f>IFERROR(__xludf.DUMMYFUNCTION("""COMPUTED_VALUE"""),5.0)</f>
        <v>5</v>
      </c>
      <c r="G2611" s="15" t="str">
        <f>IFERROR(__xludf.DUMMYFUNCTION("""COMPUTED_VALUE"""),"Completa")</f>
        <v>Completa</v>
      </c>
      <c r="H2611" s="16" t="str">
        <f t="array" ref="H2611">_xlfn.XLOOKUP(D2611,Productos[ID_Producto],Productos[Nombre_Producto])</f>
        <v>Lechugas</v>
      </c>
      <c r="I2611" s="17">
        <f t="array" ref="I2611">_xlfn.XLOOKUP(D2611,Productos[ID_Producto],Productos[Precio_Unitario])</f>
        <v>4.25</v>
      </c>
      <c r="J2611" s="17">
        <f t="shared" si="1"/>
        <v>25.5</v>
      </c>
      <c r="K2611" s="16" t="str">
        <f t="array" ref="K2611">_xlfn.XLOOKUP(C2611,Clientes[ID_Cliente],Clientes[Provincia])</f>
        <v>Neuquén</v>
      </c>
      <c r="L2611" s="16" t="str">
        <f t="array" ref="L2611">CONCATENATE(_xlfn.XLOOKUP(C2611,Clientes[ID_Cliente],Clientes[Provincia]),", Argentina")</f>
        <v>Neuquén, Argentina</v>
      </c>
      <c r="M2611" s="20" t="str">
        <f t="array" ref="M2611">_xlfn.XLOOKUP(F2611,Metodos_De_Pago[ID_Metodo],Metodos_De_Pago[Metodo])</f>
        <v>Transferencia</v>
      </c>
      <c r="N2611" s="20" t="str">
        <f t="shared" si="2"/>
        <v>2024 04</v>
      </c>
    </row>
    <row r="2612" ht="22.5" customHeight="1">
      <c r="A2612" s="12">
        <f>IFERROR(__xludf.DUMMYFUNCTION("""COMPUTED_VALUE"""),651.0)</f>
        <v>651</v>
      </c>
      <c r="B2612" s="13">
        <f>IFERROR(__xludf.DUMMYFUNCTION("""COMPUTED_VALUE"""),45397.0)</f>
        <v>45397</v>
      </c>
      <c r="C2612" s="12">
        <f>IFERROR(__xludf.DUMMYFUNCTION("""COMPUTED_VALUE"""),150.0)</f>
        <v>150</v>
      </c>
      <c r="D2612" s="12">
        <f>IFERROR(__xludf.DUMMYFUNCTION("""COMPUTED_VALUE"""),8.0)</f>
        <v>8</v>
      </c>
      <c r="E2612" s="12">
        <f>IFERROR(__xludf.DUMMYFUNCTION("""COMPUTED_VALUE"""),6.0)</f>
        <v>6</v>
      </c>
      <c r="F2612" s="12">
        <f>IFERROR(__xludf.DUMMYFUNCTION("""COMPUTED_VALUE"""),3.0)</f>
        <v>3</v>
      </c>
      <c r="G2612" s="15" t="str">
        <f>IFERROR(__xludf.DUMMYFUNCTION("""COMPUTED_VALUE"""),"Completa")</f>
        <v>Completa</v>
      </c>
      <c r="H2612" s="16" t="str">
        <f t="array" ref="H2612">_xlfn.XLOOKUP(D2612,Productos[ID_Producto],Productos[Nombre_Producto])</f>
        <v>Milanesa</v>
      </c>
      <c r="I2612" s="17">
        <f t="array" ref="I2612">_xlfn.XLOOKUP(D2612,Productos[ID_Producto],Productos[Precio_Unitario])</f>
        <v>16.21</v>
      </c>
      <c r="J2612" s="17">
        <f t="shared" si="1"/>
        <v>97.26</v>
      </c>
      <c r="K2612" s="16" t="str">
        <f t="array" ref="K2612">_xlfn.XLOOKUP(C2612,Clientes[ID_Cliente],Clientes[Provincia])</f>
        <v>Buenos Aires</v>
      </c>
      <c r="L2612" s="16" t="str">
        <f t="array" ref="L2612">CONCATENATE(_xlfn.XLOOKUP(C2612,Clientes[ID_Cliente],Clientes[Provincia]),", Argentina")</f>
        <v>Buenos Aires, Argentina</v>
      </c>
      <c r="M2612" s="20" t="str">
        <f t="array" ref="M2612">_xlfn.XLOOKUP(F2612,Metodos_De_Pago[ID_Metodo],Metodos_De_Pago[Metodo])</f>
        <v>Tarjeta de Débito</v>
      </c>
      <c r="N2612" s="20" t="str">
        <f t="shared" si="2"/>
        <v>2024 04</v>
      </c>
    </row>
    <row r="2613" ht="22.5" customHeight="1">
      <c r="A2613" s="12">
        <f>IFERROR(__xludf.DUMMYFUNCTION("""COMPUTED_VALUE"""),2949.0)</f>
        <v>2949</v>
      </c>
      <c r="B2613" s="13">
        <f>IFERROR(__xludf.DUMMYFUNCTION("""COMPUTED_VALUE"""),45397.0)</f>
        <v>45397</v>
      </c>
      <c r="C2613" s="12">
        <f>IFERROR(__xludf.DUMMYFUNCTION("""COMPUTED_VALUE"""),24.0)</f>
        <v>24</v>
      </c>
      <c r="D2613" s="12">
        <f>IFERROR(__xludf.DUMMYFUNCTION("""COMPUTED_VALUE"""),28.0)</f>
        <v>28</v>
      </c>
      <c r="E2613" s="12">
        <f>IFERROR(__xludf.DUMMYFUNCTION("""COMPUTED_VALUE"""),6.0)</f>
        <v>6</v>
      </c>
      <c r="F2613" s="12">
        <f>IFERROR(__xludf.DUMMYFUNCTION("""COMPUTED_VALUE"""),4.0)</f>
        <v>4</v>
      </c>
      <c r="G2613" s="15" t="str">
        <f>IFERROR(__xludf.DUMMYFUNCTION("""COMPUTED_VALUE"""),"Completa")</f>
        <v>Completa</v>
      </c>
      <c r="H2613" s="16" t="str">
        <f t="array" ref="H2613">_xlfn.XLOOKUP(D2613,Productos[ID_Producto],Productos[Nombre_Producto])</f>
        <v>Jugos de frutas</v>
      </c>
      <c r="I2613" s="17">
        <f t="array" ref="I2613">_xlfn.XLOOKUP(D2613,Productos[ID_Producto],Productos[Precio_Unitario])</f>
        <v>9.45</v>
      </c>
      <c r="J2613" s="17">
        <f t="shared" si="1"/>
        <v>56.7</v>
      </c>
      <c r="K2613" s="16" t="str">
        <f t="array" ref="K2613">_xlfn.XLOOKUP(C2613,Clientes[ID_Cliente],Clientes[Provincia])</f>
        <v>San Luis</v>
      </c>
      <c r="L2613" s="16" t="str">
        <f t="array" ref="L2613">CONCATENATE(_xlfn.XLOOKUP(C2613,Clientes[ID_Cliente],Clientes[Provincia]),", Argentina")</f>
        <v>San Luis, Argentina</v>
      </c>
      <c r="M2613" s="20" t="str">
        <f t="array" ref="M2613">_xlfn.XLOOKUP(F2613,Metodos_De_Pago[ID_Metodo],Metodos_De_Pago[Metodo])</f>
        <v>Mercado Pago</v>
      </c>
      <c r="N2613" s="20" t="str">
        <f t="shared" si="2"/>
        <v>2024 04</v>
      </c>
    </row>
    <row r="2614" ht="22.5" customHeight="1">
      <c r="A2614" s="12">
        <f>IFERROR(__xludf.DUMMYFUNCTION("""COMPUTED_VALUE"""),2962.0)</f>
        <v>2962</v>
      </c>
      <c r="B2614" s="13">
        <f>IFERROR(__xludf.DUMMYFUNCTION("""COMPUTED_VALUE"""),45399.0)</f>
        <v>45399</v>
      </c>
      <c r="C2614" s="12">
        <f>IFERROR(__xludf.DUMMYFUNCTION("""COMPUTED_VALUE"""),314.0)</f>
        <v>314</v>
      </c>
      <c r="D2614" s="12">
        <f>IFERROR(__xludf.DUMMYFUNCTION("""COMPUTED_VALUE"""),2.0)</f>
        <v>2</v>
      </c>
      <c r="E2614" s="12">
        <f>IFERROR(__xludf.DUMMYFUNCTION("""COMPUTED_VALUE"""),6.0)</f>
        <v>6</v>
      </c>
      <c r="F2614" s="12">
        <f>IFERROR(__xludf.DUMMYFUNCTION("""COMPUTED_VALUE"""),3.0)</f>
        <v>3</v>
      </c>
      <c r="G2614" s="15" t="str">
        <f>IFERROR(__xludf.DUMMYFUNCTION("""COMPUTED_VALUE"""),"Pendiente")</f>
        <v>Pendiente</v>
      </c>
      <c r="H2614" s="16" t="str">
        <f t="array" ref="H2614">_xlfn.XLOOKUP(D2614,Productos[ID_Producto],Productos[Nombre_Producto])</f>
        <v>Yogur</v>
      </c>
      <c r="I2614" s="17">
        <f t="array" ref="I2614">_xlfn.XLOOKUP(D2614,Productos[ID_Producto],Productos[Precio_Unitario])</f>
        <v>5.21</v>
      </c>
      <c r="J2614" s="17">
        <f t="shared" si="1"/>
        <v>31.26</v>
      </c>
      <c r="K2614" s="16" t="str">
        <f t="array" ref="K2614">_xlfn.XLOOKUP(C2614,Clientes[ID_Cliente],Clientes[Provincia])</f>
        <v>Neuquén</v>
      </c>
      <c r="L2614" s="16" t="str">
        <f t="array" ref="L2614">CONCATENATE(_xlfn.XLOOKUP(C2614,Clientes[ID_Cliente],Clientes[Provincia]),", Argentina")</f>
        <v>Neuquén, Argentina</v>
      </c>
      <c r="M2614" s="20" t="str">
        <f t="array" ref="M2614">_xlfn.XLOOKUP(F2614,Metodos_De_Pago[ID_Metodo],Metodos_De_Pago[Metodo])</f>
        <v>Tarjeta de Débito</v>
      </c>
      <c r="N2614" s="20" t="str">
        <f t="shared" si="2"/>
        <v>2024 04</v>
      </c>
    </row>
    <row r="2615" ht="22.5" customHeight="1">
      <c r="A2615" s="12">
        <f>IFERROR(__xludf.DUMMYFUNCTION("""COMPUTED_VALUE"""),1325.0)</f>
        <v>1325</v>
      </c>
      <c r="B2615" s="13">
        <f>IFERROR(__xludf.DUMMYFUNCTION("""COMPUTED_VALUE"""),45400.0)</f>
        <v>45400</v>
      </c>
      <c r="C2615" s="12">
        <f>IFERROR(__xludf.DUMMYFUNCTION("""COMPUTED_VALUE"""),89.0)</f>
        <v>89</v>
      </c>
      <c r="D2615" s="12">
        <f>IFERROR(__xludf.DUMMYFUNCTION("""COMPUTED_VALUE"""),24.0)</f>
        <v>24</v>
      </c>
      <c r="E2615" s="12">
        <f>IFERROR(__xludf.DUMMYFUNCTION("""COMPUTED_VALUE"""),6.0)</f>
        <v>6</v>
      </c>
      <c r="F2615" s="12">
        <f>IFERROR(__xludf.DUMMYFUNCTION("""COMPUTED_VALUE"""),1.0)</f>
        <v>1</v>
      </c>
      <c r="G2615" s="15" t="str">
        <f>IFERROR(__xludf.DUMMYFUNCTION("""COMPUTED_VALUE"""),"Completa")</f>
        <v>Completa</v>
      </c>
      <c r="H2615" s="16" t="str">
        <f t="array" ref="H2615">_xlfn.XLOOKUP(D2615,Productos[ID_Producto],Productos[Nombre_Producto])</f>
        <v>Empanadas</v>
      </c>
      <c r="I2615" s="17">
        <f t="array" ref="I2615">_xlfn.XLOOKUP(D2615,Productos[ID_Producto],Productos[Precio_Unitario])</f>
        <v>13.54</v>
      </c>
      <c r="J2615" s="17">
        <f t="shared" si="1"/>
        <v>81.24</v>
      </c>
      <c r="K2615" s="16" t="str">
        <f t="array" ref="K2615">_xlfn.XLOOKUP(C2615,Clientes[ID_Cliente],Clientes[Provincia])</f>
        <v>Neuquén</v>
      </c>
      <c r="L2615" s="16" t="str">
        <f t="array" ref="L2615">CONCATENATE(_xlfn.XLOOKUP(C2615,Clientes[ID_Cliente],Clientes[Provincia]),", Argentina")</f>
        <v>Neuquén, Argentina</v>
      </c>
      <c r="M2615" s="20" t="str">
        <f t="array" ref="M2615">_xlfn.XLOOKUP(F2615,Metodos_De_Pago[ID_Metodo],Metodos_De_Pago[Metodo])</f>
        <v>Efectivo</v>
      </c>
      <c r="N2615" s="20" t="str">
        <f t="shared" si="2"/>
        <v>2024 04</v>
      </c>
    </row>
    <row r="2616" ht="22.5" customHeight="1">
      <c r="A2616" s="12">
        <f>IFERROR(__xludf.DUMMYFUNCTION("""COMPUTED_VALUE"""),1951.0)</f>
        <v>1951</v>
      </c>
      <c r="B2616" s="13">
        <f>IFERROR(__xludf.DUMMYFUNCTION("""COMPUTED_VALUE"""),45400.0)</f>
        <v>45400</v>
      </c>
      <c r="C2616" s="12">
        <f>IFERROR(__xludf.DUMMYFUNCTION("""COMPUTED_VALUE"""),212.0)</f>
        <v>212</v>
      </c>
      <c r="D2616" s="12">
        <f>IFERROR(__xludf.DUMMYFUNCTION("""COMPUTED_VALUE"""),8.0)</f>
        <v>8</v>
      </c>
      <c r="E2616" s="12">
        <f>IFERROR(__xludf.DUMMYFUNCTION("""COMPUTED_VALUE"""),6.0)</f>
        <v>6</v>
      </c>
      <c r="F2616" s="12">
        <f>IFERROR(__xludf.DUMMYFUNCTION("""COMPUTED_VALUE"""),1.0)</f>
        <v>1</v>
      </c>
      <c r="G2616" s="15" t="str">
        <f>IFERROR(__xludf.DUMMYFUNCTION("""COMPUTED_VALUE"""),"Completa")</f>
        <v>Completa</v>
      </c>
      <c r="H2616" s="16" t="str">
        <f t="array" ref="H2616">_xlfn.XLOOKUP(D2616,Productos[ID_Producto],Productos[Nombre_Producto])</f>
        <v>Milanesa</v>
      </c>
      <c r="I2616" s="17">
        <f t="array" ref="I2616">_xlfn.XLOOKUP(D2616,Productos[ID_Producto],Productos[Precio_Unitario])</f>
        <v>16.21</v>
      </c>
      <c r="J2616" s="17">
        <f t="shared" si="1"/>
        <v>97.26</v>
      </c>
      <c r="K2616" s="16" t="str">
        <f t="array" ref="K2616">_xlfn.XLOOKUP(C2616,Clientes[ID_Cliente],Clientes[Provincia])</f>
        <v>Buenos Aires</v>
      </c>
      <c r="L2616" s="16" t="str">
        <f t="array" ref="L2616">CONCATENATE(_xlfn.XLOOKUP(C2616,Clientes[ID_Cliente],Clientes[Provincia]),", Argentina")</f>
        <v>Buenos Aires, Argentina</v>
      </c>
      <c r="M2616" s="20" t="str">
        <f t="array" ref="M2616">_xlfn.XLOOKUP(F2616,Metodos_De_Pago[ID_Metodo],Metodos_De_Pago[Metodo])</f>
        <v>Efectivo</v>
      </c>
      <c r="N2616" s="20" t="str">
        <f t="shared" si="2"/>
        <v>2024 04</v>
      </c>
    </row>
    <row r="2617" ht="22.5" customHeight="1">
      <c r="A2617" s="12">
        <f>IFERROR(__xludf.DUMMYFUNCTION("""COMPUTED_VALUE"""),2632.0)</f>
        <v>2632</v>
      </c>
      <c r="B2617" s="13">
        <f>IFERROR(__xludf.DUMMYFUNCTION("""COMPUTED_VALUE"""),45400.0)</f>
        <v>45400</v>
      </c>
      <c r="C2617" s="12">
        <f>IFERROR(__xludf.DUMMYFUNCTION("""COMPUTED_VALUE"""),53.0)</f>
        <v>53</v>
      </c>
      <c r="D2617" s="12">
        <f>IFERROR(__xludf.DUMMYFUNCTION("""COMPUTED_VALUE"""),31.0)</f>
        <v>31</v>
      </c>
      <c r="E2617" s="12">
        <f>IFERROR(__xludf.DUMMYFUNCTION("""COMPUTED_VALUE"""),6.0)</f>
        <v>6</v>
      </c>
      <c r="F2617" s="12">
        <f>IFERROR(__xludf.DUMMYFUNCTION("""COMPUTED_VALUE"""),3.0)</f>
        <v>3</v>
      </c>
      <c r="G2617" s="15" t="str">
        <f>IFERROR(__xludf.DUMMYFUNCTION("""COMPUTED_VALUE"""),"Completa")</f>
        <v>Completa</v>
      </c>
      <c r="H2617" s="16" t="str">
        <f t="array" ref="H2617">_xlfn.XLOOKUP(D2617,Productos[ID_Producto],Productos[Nombre_Producto])</f>
        <v>Galletitas de agua</v>
      </c>
      <c r="I2617" s="17">
        <f t="array" ref="I2617">_xlfn.XLOOKUP(D2617,Productos[ID_Producto],Productos[Precio_Unitario])</f>
        <v>5.24</v>
      </c>
      <c r="J2617" s="17">
        <f t="shared" si="1"/>
        <v>31.44</v>
      </c>
      <c r="K2617" s="16" t="str">
        <f t="array" ref="K2617">_xlfn.XLOOKUP(C2617,Clientes[ID_Cliente],Clientes[Provincia])</f>
        <v>Córdoba</v>
      </c>
      <c r="L2617" s="16" t="str">
        <f t="array" ref="L2617">CONCATENATE(_xlfn.XLOOKUP(C2617,Clientes[ID_Cliente],Clientes[Provincia]),", Argentina")</f>
        <v>Córdoba, Argentina</v>
      </c>
      <c r="M2617" s="20" t="str">
        <f t="array" ref="M2617">_xlfn.XLOOKUP(F2617,Metodos_De_Pago[ID_Metodo],Metodos_De_Pago[Metodo])</f>
        <v>Tarjeta de Débito</v>
      </c>
      <c r="N2617" s="20" t="str">
        <f t="shared" si="2"/>
        <v>2024 04</v>
      </c>
    </row>
    <row r="2618" ht="22.5" customHeight="1">
      <c r="A2618" s="12">
        <f>IFERROR(__xludf.DUMMYFUNCTION("""COMPUTED_VALUE"""),2777.0)</f>
        <v>2777</v>
      </c>
      <c r="B2618" s="13">
        <f>IFERROR(__xludf.DUMMYFUNCTION("""COMPUTED_VALUE"""),45400.0)</f>
        <v>45400</v>
      </c>
      <c r="C2618" s="12">
        <f>IFERROR(__xludf.DUMMYFUNCTION("""COMPUTED_VALUE"""),24.0)</f>
        <v>24</v>
      </c>
      <c r="D2618" s="12">
        <f>IFERROR(__xludf.DUMMYFUNCTION("""COMPUTED_VALUE"""),28.0)</f>
        <v>28</v>
      </c>
      <c r="E2618" s="12">
        <f>IFERROR(__xludf.DUMMYFUNCTION("""COMPUTED_VALUE"""),6.0)</f>
        <v>6</v>
      </c>
      <c r="F2618" s="12">
        <f>IFERROR(__xludf.DUMMYFUNCTION("""COMPUTED_VALUE"""),4.0)</f>
        <v>4</v>
      </c>
      <c r="G2618" s="15" t="str">
        <f>IFERROR(__xludf.DUMMYFUNCTION("""COMPUTED_VALUE"""),"Completa")</f>
        <v>Completa</v>
      </c>
      <c r="H2618" s="16" t="str">
        <f t="array" ref="H2618">_xlfn.XLOOKUP(D2618,Productos[ID_Producto],Productos[Nombre_Producto])</f>
        <v>Jugos de frutas</v>
      </c>
      <c r="I2618" s="17">
        <f t="array" ref="I2618">_xlfn.XLOOKUP(D2618,Productos[ID_Producto],Productos[Precio_Unitario])</f>
        <v>9.45</v>
      </c>
      <c r="J2618" s="17">
        <f t="shared" si="1"/>
        <v>56.7</v>
      </c>
      <c r="K2618" s="16" t="str">
        <f t="array" ref="K2618">_xlfn.XLOOKUP(C2618,Clientes[ID_Cliente],Clientes[Provincia])</f>
        <v>San Luis</v>
      </c>
      <c r="L2618" s="16" t="str">
        <f t="array" ref="L2618">CONCATENATE(_xlfn.XLOOKUP(C2618,Clientes[ID_Cliente],Clientes[Provincia]),", Argentina")</f>
        <v>San Luis, Argentina</v>
      </c>
      <c r="M2618" s="20" t="str">
        <f t="array" ref="M2618">_xlfn.XLOOKUP(F2618,Metodos_De_Pago[ID_Metodo],Metodos_De_Pago[Metodo])</f>
        <v>Mercado Pago</v>
      </c>
      <c r="N2618" s="20" t="str">
        <f t="shared" si="2"/>
        <v>2024 04</v>
      </c>
    </row>
    <row r="2619" ht="22.5" customHeight="1">
      <c r="A2619" s="12">
        <f>IFERROR(__xludf.DUMMYFUNCTION("""COMPUTED_VALUE"""),2087.0)</f>
        <v>2087</v>
      </c>
      <c r="B2619" s="13">
        <f>IFERROR(__xludf.DUMMYFUNCTION("""COMPUTED_VALUE"""),45401.0)</f>
        <v>45401</v>
      </c>
      <c r="C2619" s="12">
        <f>IFERROR(__xludf.DUMMYFUNCTION("""COMPUTED_VALUE"""),103.0)</f>
        <v>103</v>
      </c>
      <c r="D2619" s="12">
        <f>IFERROR(__xludf.DUMMYFUNCTION("""COMPUTED_VALUE"""),27.0)</f>
        <v>27</v>
      </c>
      <c r="E2619" s="12">
        <f>IFERROR(__xludf.DUMMYFUNCTION("""COMPUTED_VALUE"""),6.0)</f>
        <v>6</v>
      </c>
      <c r="F2619" s="12">
        <f>IFERROR(__xludf.DUMMYFUNCTION("""COMPUTED_VALUE"""),3.0)</f>
        <v>3</v>
      </c>
      <c r="G2619" s="15" t="str">
        <f>IFERROR(__xludf.DUMMYFUNCTION("""COMPUTED_VALUE"""),"Completa")</f>
        <v>Completa</v>
      </c>
      <c r="H2619" s="16" t="str">
        <f t="array" ref="H2619">_xlfn.XLOOKUP(D2619,Productos[ID_Producto],Productos[Nombre_Producto])</f>
        <v>Agua mineral</v>
      </c>
      <c r="I2619" s="17">
        <f t="array" ref="I2619">_xlfn.XLOOKUP(D2619,Productos[ID_Producto],Productos[Precio_Unitario])</f>
        <v>6.21</v>
      </c>
      <c r="J2619" s="17">
        <f t="shared" si="1"/>
        <v>37.26</v>
      </c>
      <c r="K2619" s="16" t="str">
        <f t="array" ref="K2619">_xlfn.XLOOKUP(C2619,Clientes[ID_Cliente],Clientes[Provincia])</f>
        <v>Neuquén</v>
      </c>
      <c r="L2619" s="16" t="str">
        <f t="array" ref="L2619">CONCATENATE(_xlfn.XLOOKUP(C2619,Clientes[ID_Cliente],Clientes[Provincia]),", Argentina")</f>
        <v>Neuquén, Argentina</v>
      </c>
      <c r="M2619" s="20" t="str">
        <f t="array" ref="M2619">_xlfn.XLOOKUP(F2619,Metodos_De_Pago[ID_Metodo],Metodos_De_Pago[Metodo])</f>
        <v>Tarjeta de Débito</v>
      </c>
      <c r="N2619" s="20" t="str">
        <f t="shared" si="2"/>
        <v>2024 04</v>
      </c>
    </row>
    <row r="2620" ht="22.5" customHeight="1">
      <c r="A2620" s="12">
        <f>IFERROR(__xludf.DUMMYFUNCTION("""COMPUTED_VALUE"""),1605.0)</f>
        <v>1605</v>
      </c>
      <c r="B2620" s="13">
        <f>IFERROR(__xludf.DUMMYFUNCTION("""COMPUTED_VALUE"""),45402.0)</f>
        <v>45402</v>
      </c>
      <c r="C2620" s="12">
        <f>IFERROR(__xludf.DUMMYFUNCTION("""COMPUTED_VALUE"""),180.0)</f>
        <v>180</v>
      </c>
      <c r="D2620" s="12">
        <f>IFERROR(__xludf.DUMMYFUNCTION("""COMPUTED_VALUE"""),20.0)</f>
        <v>20</v>
      </c>
      <c r="E2620" s="12">
        <f>IFERROR(__xludf.DUMMYFUNCTION("""COMPUTED_VALUE"""),6.0)</f>
        <v>6</v>
      </c>
      <c r="F2620" s="12">
        <f>IFERROR(__xludf.DUMMYFUNCTION("""COMPUTED_VALUE"""),2.0)</f>
        <v>2</v>
      </c>
      <c r="G2620" s="15" t="str">
        <f>IFERROR(__xludf.DUMMYFUNCTION("""COMPUTED_VALUE"""),"Pendiente")</f>
        <v>Pendiente</v>
      </c>
      <c r="H2620" s="16" t="str">
        <f t="array" ref="H2620">_xlfn.XLOOKUP(D2620,Productos[ID_Producto],Productos[Nombre_Producto])</f>
        <v>Lechugas</v>
      </c>
      <c r="I2620" s="17">
        <f t="array" ref="I2620">_xlfn.XLOOKUP(D2620,Productos[ID_Producto],Productos[Precio_Unitario])</f>
        <v>4.25</v>
      </c>
      <c r="J2620" s="17">
        <f t="shared" si="1"/>
        <v>25.5</v>
      </c>
      <c r="K2620" s="16" t="str">
        <f t="array" ref="K2620">_xlfn.XLOOKUP(C2620,Clientes[ID_Cliente],Clientes[Provincia])</f>
        <v>Buenos Aires</v>
      </c>
      <c r="L2620" s="16" t="str">
        <f t="array" ref="L2620">CONCATENATE(_xlfn.XLOOKUP(C2620,Clientes[ID_Cliente],Clientes[Provincia]),", Argentina")</f>
        <v>Buenos Aires, Argentina</v>
      </c>
      <c r="M2620" s="20" t="str">
        <f t="array" ref="M2620">_xlfn.XLOOKUP(F2620,Metodos_De_Pago[ID_Metodo],Metodos_De_Pago[Metodo])</f>
        <v>Tarjeta de Crédito</v>
      </c>
      <c r="N2620" s="20" t="str">
        <f t="shared" si="2"/>
        <v>2024 04</v>
      </c>
    </row>
    <row r="2621" ht="22.5" customHeight="1">
      <c r="A2621" s="12">
        <f>IFERROR(__xludf.DUMMYFUNCTION("""COMPUTED_VALUE"""),1194.0)</f>
        <v>1194</v>
      </c>
      <c r="B2621" s="13">
        <f>IFERROR(__xludf.DUMMYFUNCTION("""COMPUTED_VALUE"""),45403.0)</f>
        <v>45403</v>
      </c>
      <c r="C2621" s="12">
        <f>IFERROR(__xludf.DUMMYFUNCTION("""COMPUTED_VALUE"""),237.0)</f>
        <v>237</v>
      </c>
      <c r="D2621" s="12">
        <f>IFERROR(__xludf.DUMMYFUNCTION("""COMPUTED_VALUE"""),17.0)</f>
        <v>17</v>
      </c>
      <c r="E2621" s="12">
        <f>IFERROR(__xludf.DUMMYFUNCTION("""COMPUTED_VALUE"""),6.0)</f>
        <v>6</v>
      </c>
      <c r="F2621" s="12">
        <f>IFERROR(__xludf.DUMMYFUNCTION("""COMPUTED_VALUE"""),4.0)</f>
        <v>4</v>
      </c>
      <c r="G2621" s="15" t="str">
        <f>IFERROR(__xludf.DUMMYFUNCTION("""COMPUTED_VALUE"""),"Completa")</f>
        <v>Completa</v>
      </c>
      <c r="H2621" s="16" t="str">
        <f t="array" ref="H2621">_xlfn.XLOOKUP(D2621,Productos[ID_Producto],Productos[Nombre_Producto])</f>
        <v>Manzanas</v>
      </c>
      <c r="I2621" s="17">
        <f t="array" ref="I2621">_xlfn.XLOOKUP(D2621,Productos[ID_Producto],Productos[Precio_Unitario])</f>
        <v>6.54</v>
      </c>
      <c r="J2621" s="17">
        <f t="shared" si="1"/>
        <v>39.24</v>
      </c>
      <c r="K2621" s="16" t="str">
        <f t="array" ref="K2621">_xlfn.XLOOKUP(C2621,Clientes[ID_Cliente],Clientes[Provincia])</f>
        <v>Buenos Aires</v>
      </c>
      <c r="L2621" s="16" t="str">
        <f t="array" ref="L2621">CONCATENATE(_xlfn.XLOOKUP(C2621,Clientes[ID_Cliente],Clientes[Provincia]),", Argentina")</f>
        <v>Buenos Aires, Argentina</v>
      </c>
      <c r="M2621" s="20" t="str">
        <f t="array" ref="M2621">_xlfn.XLOOKUP(F2621,Metodos_De_Pago[ID_Metodo],Metodos_De_Pago[Metodo])</f>
        <v>Mercado Pago</v>
      </c>
      <c r="N2621" s="20" t="str">
        <f t="shared" si="2"/>
        <v>2024 04</v>
      </c>
    </row>
    <row r="2622" ht="22.5" customHeight="1">
      <c r="A2622" s="12">
        <f>IFERROR(__xludf.DUMMYFUNCTION("""COMPUTED_VALUE"""),806.0)</f>
        <v>806</v>
      </c>
      <c r="B2622" s="13">
        <f>IFERROR(__xludf.DUMMYFUNCTION("""COMPUTED_VALUE"""),45404.0)</f>
        <v>45404</v>
      </c>
      <c r="C2622" s="12">
        <f>IFERROR(__xludf.DUMMYFUNCTION("""COMPUTED_VALUE"""),225.0)</f>
        <v>225</v>
      </c>
      <c r="D2622" s="12">
        <f>IFERROR(__xludf.DUMMYFUNCTION("""COMPUTED_VALUE"""),32.0)</f>
        <v>32</v>
      </c>
      <c r="E2622" s="12">
        <f>IFERROR(__xludf.DUMMYFUNCTION("""COMPUTED_VALUE"""),6.0)</f>
        <v>6</v>
      </c>
      <c r="F2622" s="12">
        <f>IFERROR(__xludf.DUMMYFUNCTION("""COMPUTED_VALUE"""),2.0)</f>
        <v>2</v>
      </c>
      <c r="G2622" s="15" t="str">
        <f>IFERROR(__xludf.DUMMYFUNCTION("""COMPUTED_VALUE"""),"Completa")</f>
        <v>Completa</v>
      </c>
      <c r="H2622" s="16" t="str">
        <f t="array" ref="H2622">_xlfn.XLOOKUP(D2622,Productos[ID_Producto],Productos[Nombre_Producto])</f>
        <v>Galletitas de chocolate</v>
      </c>
      <c r="I2622" s="17">
        <f t="array" ref="I2622">_xlfn.XLOOKUP(D2622,Productos[ID_Producto],Productos[Precio_Unitario])</f>
        <v>6.25</v>
      </c>
      <c r="J2622" s="17">
        <f t="shared" si="1"/>
        <v>37.5</v>
      </c>
      <c r="K2622" s="16" t="str">
        <f t="array" ref="K2622">_xlfn.XLOOKUP(C2622,Clientes[ID_Cliente],Clientes[Provincia])</f>
        <v>Buenos Aires</v>
      </c>
      <c r="L2622" s="16" t="str">
        <f t="array" ref="L2622">CONCATENATE(_xlfn.XLOOKUP(C2622,Clientes[ID_Cliente],Clientes[Provincia]),", Argentina")</f>
        <v>Buenos Aires, Argentina</v>
      </c>
      <c r="M2622" s="20" t="str">
        <f t="array" ref="M2622">_xlfn.XLOOKUP(F2622,Metodos_De_Pago[ID_Metodo],Metodos_De_Pago[Metodo])</f>
        <v>Tarjeta de Crédito</v>
      </c>
      <c r="N2622" s="20" t="str">
        <f t="shared" si="2"/>
        <v>2024 04</v>
      </c>
    </row>
    <row r="2623" ht="22.5" customHeight="1">
      <c r="A2623" s="12">
        <f>IFERROR(__xludf.DUMMYFUNCTION("""COMPUTED_VALUE"""),1074.0)</f>
        <v>1074</v>
      </c>
      <c r="B2623" s="13">
        <f>IFERROR(__xludf.DUMMYFUNCTION("""COMPUTED_VALUE"""),45404.0)</f>
        <v>45404</v>
      </c>
      <c r="C2623" s="12">
        <f>IFERROR(__xludf.DUMMYFUNCTION("""COMPUTED_VALUE"""),320.0)</f>
        <v>320</v>
      </c>
      <c r="D2623" s="12">
        <f>IFERROR(__xludf.DUMMYFUNCTION("""COMPUTED_VALUE"""),38.0)</f>
        <v>38</v>
      </c>
      <c r="E2623" s="12">
        <f>IFERROR(__xludf.DUMMYFUNCTION("""COMPUTED_VALUE"""),6.0)</f>
        <v>6</v>
      </c>
      <c r="F2623" s="12">
        <f>IFERROR(__xludf.DUMMYFUNCTION("""COMPUTED_VALUE"""),3.0)</f>
        <v>3</v>
      </c>
      <c r="G2623" s="15" t="str">
        <f>IFERROR(__xludf.DUMMYFUNCTION("""COMPUTED_VALUE"""),"Completa")</f>
        <v>Completa</v>
      </c>
      <c r="H2623" s="16" t="str">
        <f t="array" ref="H2623">_xlfn.XLOOKUP(D2623,Productos[ID_Producto],Productos[Nombre_Producto])</f>
        <v>Atún enlatado</v>
      </c>
      <c r="I2623" s="17">
        <f t="array" ref="I2623">_xlfn.XLOOKUP(D2623,Productos[ID_Producto],Productos[Precio_Unitario])</f>
        <v>6.21</v>
      </c>
      <c r="J2623" s="17">
        <f t="shared" si="1"/>
        <v>37.26</v>
      </c>
      <c r="K2623" s="16" t="str">
        <f t="array" ref="K2623">_xlfn.XLOOKUP(C2623,Clientes[ID_Cliente],Clientes[Provincia])</f>
        <v>Córdoba</v>
      </c>
      <c r="L2623" s="16" t="str">
        <f t="array" ref="L2623">CONCATENATE(_xlfn.XLOOKUP(C2623,Clientes[ID_Cliente],Clientes[Provincia]),", Argentina")</f>
        <v>Córdoba, Argentina</v>
      </c>
      <c r="M2623" s="20" t="str">
        <f t="array" ref="M2623">_xlfn.XLOOKUP(F2623,Metodos_De_Pago[ID_Metodo],Metodos_De_Pago[Metodo])</f>
        <v>Tarjeta de Débito</v>
      </c>
      <c r="N2623" s="20" t="str">
        <f t="shared" si="2"/>
        <v>2024 04</v>
      </c>
    </row>
    <row r="2624" ht="22.5" customHeight="1">
      <c r="A2624" s="12">
        <f>IFERROR(__xludf.DUMMYFUNCTION("""COMPUTED_VALUE"""),2645.0)</f>
        <v>2645</v>
      </c>
      <c r="B2624" s="13">
        <f>IFERROR(__xludf.DUMMYFUNCTION("""COMPUTED_VALUE"""),45406.0)</f>
        <v>45406</v>
      </c>
      <c r="C2624" s="12">
        <f>IFERROR(__xludf.DUMMYFUNCTION("""COMPUTED_VALUE"""),182.0)</f>
        <v>182</v>
      </c>
      <c r="D2624" s="12">
        <f>IFERROR(__xludf.DUMMYFUNCTION("""COMPUTED_VALUE"""),32.0)</f>
        <v>32</v>
      </c>
      <c r="E2624" s="12">
        <f>IFERROR(__xludf.DUMMYFUNCTION("""COMPUTED_VALUE"""),6.0)</f>
        <v>6</v>
      </c>
      <c r="F2624" s="12">
        <f>IFERROR(__xludf.DUMMYFUNCTION("""COMPUTED_VALUE"""),5.0)</f>
        <v>5</v>
      </c>
      <c r="G2624" s="15" t="str">
        <f>IFERROR(__xludf.DUMMYFUNCTION("""COMPUTED_VALUE"""),"Completa")</f>
        <v>Completa</v>
      </c>
      <c r="H2624" s="16" t="str">
        <f t="array" ref="H2624">_xlfn.XLOOKUP(D2624,Productos[ID_Producto],Productos[Nombre_Producto])</f>
        <v>Galletitas de chocolate</v>
      </c>
      <c r="I2624" s="17">
        <f t="array" ref="I2624">_xlfn.XLOOKUP(D2624,Productos[ID_Producto],Productos[Precio_Unitario])</f>
        <v>6.25</v>
      </c>
      <c r="J2624" s="17">
        <f t="shared" si="1"/>
        <v>37.5</v>
      </c>
      <c r="K2624" s="16" t="str">
        <f t="array" ref="K2624">_xlfn.XLOOKUP(C2624,Clientes[ID_Cliente],Clientes[Provincia])</f>
        <v>Córdoba</v>
      </c>
      <c r="L2624" s="16" t="str">
        <f t="array" ref="L2624">CONCATENATE(_xlfn.XLOOKUP(C2624,Clientes[ID_Cliente],Clientes[Provincia]),", Argentina")</f>
        <v>Córdoba, Argentina</v>
      </c>
      <c r="M2624" s="20" t="str">
        <f t="array" ref="M2624">_xlfn.XLOOKUP(F2624,Metodos_De_Pago[ID_Metodo],Metodos_De_Pago[Metodo])</f>
        <v>Transferencia</v>
      </c>
      <c r="N2624" s="20" t="str">
        <f t="shared" si="2"/>
        <v>2024 04</v>
      </c>
    </row>
    <row r="2625" ht="22.5" customHeight="1">
      <c r="A2625" s="12">
        <f>IFERROR(__xludf.DUMMYFUNCTION("""COMPUTED_VALUE"""),87.0)</f>
        <v>87</v>
      </c>
      <c r="B2625" s="13">
        <f>IFERROR(__xludf.DUMMYFUNCTION("""COMPUTED_VALUE"""),45407.0)</f>
        <v>45407</v>
      </c>
      <c r="C2625" s="12">
        <f>IFERROR(__xludf.DUMMYFUNCTION("""COMPUTED_VALUE"""),152.0)</f>
        <v>152</v>
      </c>
      <c r="D2625" s="12">
        <f>IFERROR(__xludf.DUMMYFUNCTION("""COMPUTED_VALUE"""),26.0)</f>
        <v>26</v>
      </c>
      <c r="E2625" s="12">
        <f>IFERROR(__xludf.DUMMYFUNCTION("""COMPUTED_VALUE"""),6.0)</f>
        <v>6</v>
      </c>
      <c r="F2625" s="12">
        <f>IFERROR(__xludf.DUMMYFUNCTION("""COMPUTED_VALUE"""),5.0)</f>
        <v>5</v>
      </c>
      <c r="G2625" s="15" t="str">
        <f>IFERROR(__xludf.DUMMYFUNCTION("""COMPUTED_VALUE"""),"Completa")</f>
        <v>Completa</v>
      </c>
      <c r="H2625" s="16" t="str">
        <f t="array" ref="H2625">_xlfn.XLOOKUP(D2625,Productos[ID_Producto],Productos[Nombre_Producto])</f>
        <v>Hamburgesas congeladas</v>
      </c>
      <c r="I2625" s="17">
        <f t="array" ref="I2625">_xlfn.XLOOKUP(D2625,Productos[ID_Producto],Productos[Precio_Unitario])</f>
        <v>9.54</v>
      </c>
      <c r="J2625" s="17">
        <f t="shared" si="1"/>
        <v>57.24</v>
      </c>
      <c r="K2625" s="16" t="str">
        <f t="array" ref="K2625">_xlfn.XLOOKUP(C2625,Clientes[ID_Cliente],Clientes[Provincia])</f>
        <v>Salta</v>
      </c>
      <c r="L2625" s="16" t="str">
        <f t="array" ref="L2625">CONCATENATE(_xlfn.XLOOKUP(C2625,Clientes[ID_Cliente],Clientes[Provincia]),", Argentina")</f>
        <v>Salta, Argentina</v>
      </c>
      <c r="M2625" s="20" t="str">
        <f t="array" ref="M2625">_xlfn.XLOOKUP(F2625,Metodos_De_Pago[ID_Metodo],Metodos_De_Pago[Metodo])</f>
        <v>Transferencia</v>
      </c>
      <c r="N2625" s="20" t="str">
        <f t="shared" si="2"/>
        <v>2024 04</v>
      </c>
    </row>
    <row r="2626" ht="22.5" customHeight="1">
      <c r="A2626" s="12">
        <f>IFERROR(__xludf.DUMMYFUNCTION("""COMPUTED_VALUE"""),2184.0)</f>
        <v>2184</v>
      </c>
      <c r="B2626" s="13">
        <f>IFERROR(__xludf.DUMMYFUNCTION("""COMPUTED_VALUE"""),45407.0)</f>
        <v>45407</v>
      </c>
      <c r="C2626" s="12">
        <f>IFERROR(__xludf.DUMMYFUNCTION("""COMPUTED_VALUE"""),68.0)</f>
        <v>68</v>
      </c>
      <c r="D2626" s="12">
        <f>IFERROR(__xludf.DUMMYFUNCTION("""COMPUTED_VALUE"""),9.0)</f>
        <v>9</v>
      </c>
      <c r="E2626" s="12">
        <f>IFERROR(__xludf.DUMMYFUNCTION("""COMPUTED_VALUE"""),6.0)</f>
        <v>6</v>
      </c>
      <c r="F2626" s="12">
        <f>IFERROR(__xludf.DUMMYFUNCTION("""COMPUTED_VALUE"""),5.0)</f>
        <v>5</v>
      </c>
      <c r="G2626" s="15" t="str">
        <f>IFERROR(__xludf.DUMMYFUNCTION("""COMPUTED_VALUE"""),"Completa")</f>
        <v>Completa</v>
      </c>
      <c r="H2626" s="16" t="str">
        <f t="array" ref="H2626">_xlfn.XLOOKUP(D2626,Productos[ID_Producto],Productos[Nombre_Producto])</f>
        <v>Pollo</v>
      </c>
      <c r="I2626" s="17">
        <f t="array" ref="I2626">_xlfn.XLOOKUP(D2626,Productos[ID_Producto],Productos[Precio_Unitario])</f>
        <v>18.56</v>
      </c>
      <c r="J2626" s="17">
        <f t="shared" si="1"/>
        <v>111.36</v>
      </c>
      <c r="K2626" s="16" t="str">
        <f t="array" ref="K2626">_xlfn.XLOOKUP(C2626,Clientes[ID_Cliente],Clientes[Provincia])</f>
        <v>Neuquén</v>
      </c>
      <c r="L2626" s="16" t="str">
        <f t="array" ref="L2626">CONCATENATE(_xlfn.XLOOKUP(C2626,Clientes[ID_Cliente],Clientes[Provincia]),", Argentina")</f>
        <v>Neuquén, Argentina</v>
      </c>
      <c r="M2626" s="20" t="str">
        <f t="array" ref="M2626">_xlfn.XLOOKUP(F2626,Metodos_De_Pago[ID_Metodo],Metodos_De_Pago[Metodo])</f>
        <v>Transferencia</v>
      </c>
      <c r="N2626" s="20" t="str">
        <f t="shared" si="2"/>
        <v>2024 04</v>
      </c>
    </row>
    <row r="2627" ht="22.5" customHeight="1">
      <c r="A2627" s="12">
        <f>IFERROR(__xludf.DUMMYFUNCTION("""COMPUTED_VALUE"""),2269.0)</f>
        <v>2269</v>
      </c>
      <c r="B2627" s="13">
        <f>IFERROR(__xludf.DUMMYFUNCTION("""COMPUTED_VALUE"""),45407.0)</f>
        <v>45407</v>
      </c>
      <c r="C2627" s="12">
        <f>IFERROR(__xludf.DUMMYFUNCTION("""COMPUTED_VALUE"""),13.0)</f>
        <v>13</v>
      </c>
      <c r="D2627" s="12">
        <f>IFERROR(__xludf.DUMMYFUNCTION("""COMPUTED_VALUE"""),24.0)</f>
        <v>24</v>
      </c>
      <c r="E2627" s="12">
        <f>IFERROR(__xludf.DUMMYFUNCTION("""COMPUTED_VALUE"""),6.0)</f>
        <v>6</v>
      </c>
      <c r="F2627" s="12">
        <f>IFERROR(__xludf.DUMMYFUNCTION("""COMPUTED_VALUE"""),1.0)</f>
        <v>1</v>
      </c>
      <c r="G2627" s="15" t="str">
        <f>IFERROR(__xludf.DUMMYFUNCTION("""COMPUTED_VALUE"""),"Completa")</f>
        <v>Completa</v>
      </c>
      <c r="H2627" s="16" t="str">
        <f t="array" ref="H2627">_xlfn.XLOOKUP(D2627,Productos[ID_Producto],Productos[Nombre_Producto])</f>
        <v>Empanadas</v>
      </c>
      <c r="I2627" s="17">
        <f t="array" ref="I2627">_xlfn.XLOOKUP(D2627,Productos[ID_Producto],Productos[Precio_Unitario])</f>
        <v>13.54</v>
      </c>
      <c r="J2627" s="17">
        <f t="shared" si="1"/>
        <v>81.24</v>
      </c>
      <c r="K2627" s="16" t="str">
        <f t="array" ref="K2627">_xlfn.XLOOKUP(C2627,Clientes[ID_Cliente],Clientes[Provincia])</f>
        <v>Córdoba</v>
      </c>
      <c r="L2627" s="16" t="str">
        <f t="array" ref="L2627">CONCATENATE(_xlfn.XLOOKUP(C2627,Clientes[ID_Cliente],Clientes[Provincia]),", Argentina")</f>
        <v>Córdoba, Argentina</v>
      </c>
      <c r="M2627" s="20" t="str">
        <f t="array" ref="M2627">_xlfn.XLOOKUP(F2627,Metodos_De_Pago[ID_Metodo],Metodos_De_Pago[Metodo])</f>
        <v>Efectivo</v>
      </c>
      <c r="N2627" s="20" t="str">
        <f t="shared" si="2"/>
        <v>2024 04</v>
      </c>
    </row>
    <row r="2628" ht="22.5" customHeight="1">
      <c r="A2628" s="12">
        <f>IFERROR(__xludf.DUMMYFUNCTION("""COMPUTED_VALUE"""),617.0)</f>
        <v>617</v>
      </c>
      <c r="B2628" s="13">
        <f>IFERROR(__xludf.DUMMYFUNCTION("""COMPUTED_VALUE"""),45408.0)</f>
        <v>45408</v>
      </c>
      <c r="C2628" s="12">
        <f>IFERROR(__xludf.DUMMYFUNCTION("""COMPUTED_VALUE"""),313.0)</f>
        <v>313</v>
      </c>
      <c r="D2628" s="12">
        <f>IFERROR(__xludf.DUMMYFUNCTION("""COMPUTED_VALUE"""),8.0)</f>
        <v>8</v>
      </c>
      <c r="E2628" s="12">
        <f>IFERROR(__xludf.DUMMYFUNCTION("""COMPUTED_VALUE"""),6.0)</f>
        <v>6</v>
      </c>
      <c r="F2628" s="12">
        <f>IFERROR(__xludf.DUMMYFUNCTION("""COMPUTED_VALUE"""),1.0)</f>
        <v>1</v>
      </c>
      <c r="G2628" s="15" t="str">
        <f>IFERROR(__xludf.DUMMYFUNCTION("""COMPUTED_VALUE"""),"Completa")</f>
        <v>Completa</v>
      </c>
      <c r="H2628" s="16" t="str">
        <f t="array" ref="H2628">_xlfn.XLOOKUP(D2628,Productos[ID_Producto],Productos[Nombre_Producto])</f>
        <v>Milanesa</v>
      </c>
      <c r="I2628" s="17">
        <f t="array" ref="I2628">_xlfn.XLOOKUP(D2628,Productos[ID_Producto],Productos[Precio_Unitario])</f>
        <v>16.21</v>
      </c>
      <c r="J2628" s="17">
        <f t="shared" si="1"/>
        <v>97.26</v>
      </c>
      <c r="K2628" s="16" t="str">
        <f t="array" ref="K2628">_xlfn.XLOOKUP(C2628,Clientes[ID_Cliente],Clientes[Provincia])</f>
        <v>San Luis</v>
      </c>
      <c r="L2628" s="16" t="str">
        <f t="array" ref="L2628">CONCATENATE(_xlfn.XLOOKUP(C2628,Clientes[ID_Cliente],Clientes[Provincia]),", Argentina")</f>
        <v>San Luis, Argentina</v>
      </c>
      <c r="M2628" s="20" t="str">
        <f t="array" ref="M2628">_xlfn.XLOOKUP(F2628,Metodos_De_Pago[ID_Metodo],Metodos_De_Pago[Metodo])</f>
        <v>Efectivo</v>
      </c>
      <c r="N2628" s="20" t="str">
        <f t="shared" si="2"/>
        <v>2024 04</v>
      </c>
    </row>
    <row r="2629" ht="22.5" customHeight="1">
      <c r="A2629" s="12">
        <f>IFERROR(__xludf.DUMMYFUNCTION("""COMPUTED_VALUE"""),1266.0)</f>
        <v>1266</v>
      </c>
      <c r="B2629" s="13">
        <f>IFERROR(__xludf.DUMMYFUNCTION("""COMPUTED_VALUE"""),45409.0)</f>
        <v>45409</v>
      </c>
      <c r="C2629" s="12">
        <f>IFERROR(__xludf.DUMMYFUNCTION("""COMPUTED_VALUE"""),70.0)</f>
        <v>70</v>
      </c>
      <c r="D2629" s="12">
        <f>IFERROR(__xludf.DUMMYFUNCTION("""COMPUTED_VALUE"""),21.0)</f>
        <v>21</v>
      </c>
      <c r="E2629" s="12">
        <f>IFERROR(__xludf.DUMMYFUNCTION("""COMPUTED_VALUE"""),6.0)</f>
        <v>6</v>
      </c>
      <c r="F2629" s="12">
        <f>IFERROR(__xludf.DUMMYFUNCTION("""COMPUTED_VALUE"""),4.0)</f>
        <v>4</v>
      </c>
      <c r="G2629" s="15" t="str">
        <f>IFERROR(__xludf.DUMMYFUNCTION("""COMPUTED_VALUE"""),"Completa")</f>
        <v>Completa</v>
      </c>
      <c r="H2629" s="16" t="str">
        <f t="array" ref="H2629">_xlfn.XLOOKUP(D2629,Productos[ID_Producto],Productos[Nombre_Producto])</f>
        <v>Zanahorias</v>
      </c>
      <c r="I2629" s="17">
        <f t="array" ref="I2629">_xlfn.XLOOKUP(D2629,Productos[ID_Producto],Productos[Precio_Unitario])</f>
        <v>3.25</v>
      </c>
      <c r="J2629" s="17">
        <f t="shared" si="1"/>
        <v>19.5</v>
      </c>
      <c r="K2629" s="16" t="str">
        <f t="array" ref="K2629">_xlfn.XLOOKUP(C2629,Clientes[ID_Cliente],Clientes[Provincia])</f>
        <v>Córdoba</v>
      </c>
      <c r="L2629" s="16" t="str">
        <f t="array" ref="L2629">CONCATENATE(_xlfn.XLOOKUP(C2629,Clientes[ID_Cliente],Clientes[Provincia]),", Argentina")</f>
        <v>Córdoba, Argentina</v>
      </c>
      <c r="M2629" s="20" t="str">
        <f t="array" ref="M2629">_xlfn.XLOOKUP(F2629,Metodos_De_Pago[ID_Metodo],Metodos_De_Pago[Metodo])</f>
        <v>Mercado Pago</v>
      </c>
      <c r="N2629" s="20" t="str">
        <f t="shared" si="2"/>
        <v>2024 04</v>
      </c>
    </row>
    <row r="2630" ht="22.5" customHeight="1">
      <c r="A2630" s="12">
        <f>IFERROR(__xludf.DUMMYFUNCTION("""COMPUTED_VALUE"""),2169.0)</f>
        <v>2169</v>
      </c>
      <c r="B2630" s="13">
        <f>IFERROR(__xludf.DUMMYFUNCTION("""COMPUTED_VALUE"""),45409.0)</f>
        <v>45409</v>
      </c>
      <c r="C2630" s="12">
        <f>IFERROR(__xludf.DUMMYFUNCTION("""COMPUTED_VALUE"""),284.0)</f>
        <v>284</v>
      </c>
      <c r="D2630" s="12">
        <f>IFERROR(__xludf.DUMMYFUNCTION("""COMPUTED_VALUE"""),38.0)</f>
        <v>38</v>
      </c>
      <c r="E2630" s="12">
        <f>IFERROR(__xludf.DUMMYFUNCTION("""COMPUTED_VALUE"""),6.0)</f>
        <v>6</v>
      </c>
      <c r="F2630" s="12">
        <f>IFERROR(__xludf.DUMMYFUNCTION("""COMPUTED_VALUE"""),4.0)</f>
        <v>4</v>
      </c>
      <c r="G2630" s="15" t="str">
        <f>IFERROR(__xludf.DUMMYFUNCTION("""COMPUTED_VALUE"""),"Completa")</f>
        <v>Completa</v>
      </c>
      <c r="H2630" s="16" t="str">
        <f t="array" ref="H2630">_xlfn.XLOOKUP(D2630,Productos[ID_Producto],Productos[Nombre_Producto])</f>
        <v>Atún enlatado</v>
      </c>
      <c r="I2630" s="17">
        <f t="array" ref="I2630">_xlfn.XLOOKUP(D2630,Productos[ID_Producto],Productos[Precio_Unitario])</f>
        <v>6.21</v>
      </c>
      <c r="J2630" s="17">
        <f t="shared" si="1"/>
        <v>37.26</v>
      </c>
      <c r="K2630" s="16" t="str">
        <f t="array" ref="K2630">_xlfn.XLOOKUP(C2630,Clientes[ID_Cliente],Clientes[Provincia])</f>
        <v>Salta</v>
      </c>
      <c r="L2630" s="16" t="str">
        <f t="array" ref="L2630">CONCATENATE(_xlfn.XLOOKUP(C2630,Clientes[ID_Cliente],Clientes[Provincia]),", Argentina")</f>
        <v>Salta, Argentina</v>
      </c>
      <c r="M2630" s="20" t="str">
        <f t="array" ref="M2630">_xlfn.XLOOKUP(F2630,Metodos_De_Pago[ID_Metodo],Metodos_De_Pago[Metodo])</f>
        <v>Mercado Pago</v>
      </c>
      <c r="N2630" s="20" t="str">
        <f t="shared" si="2"/>
        <v>2024 04</v>
      </c>
    </row>
    <row r="2631" ht="22.5" customHeight="1">
      <c r="A2631" s="12">
        <f>IFERROR(__xludf.DUMMYFUNCTION("""COMPUTED_VALUE"""),592.0)</f>
        <v>592</v>
      </c>
      <c r="B2631" s="13">
        <f>IFERROR(__xludf.DUMMYFUNCTION("""COMPUTED_VALUE"""),45410.0)</f>
        <v>45410</v>
      </c>
      <c r="C2631" s="12">
        <f>IFERROR(__xludf.DUMMYFUNCTION("""COMPUTED_VALUE"""),102.0)</f>
        <v>102</v>
      </c>
      <c r="D2631" s="12">
        <f>IFERROR(__xludf.DUMMYFUNCTION("""COMPUTED_VALUE"""),5.0)</f>
        <v>5</v>
      </c>
      <c r="E2631" s="12">
        <f>IFERROR(__xludf.DUMMYFUNCTION("""COMPUTED_VALUE"""),6.0)</f>
        <v>6</v>
      </c>
      <c r="F2631" s="12">
        <f>IFERROR(__xludf.DUMMYFUNCTION("""COMPUTED_VALUE"""),5.0)</f>
        <v>5</v>
      </c>
      <c r="G2631" s="15" t="str">
        <f>IFERROR(__xludf.DUMMYFUNCTION("""COMPUTED_VALUE"""),"Pendiente")</f>
        <v>Pendiente</v>
      </c>
      <c r="H2631" s="16" t="str">
        <f t="array" ref="H2631">_xlfn.XLOOKUP(D2631,Productos[ID_Producto],Productos[Nombre_Producto])</f>
        <v>Manteca</v>
      </c>
      <c r="I2631" s="17">
        <f t="array" ref="I2631">_xlfn.XLOOKUP(D2631,Productos[ID_Producto],Productos[Precio_Unitario])</f>
        <v>5.65</v>
      </c>
      <c r="J2631" s="17">
        <f t="shared" si="1"/>
        <v>33.9</v>
      </c>
      <c r="K2631" s="16" t="str">
        <f t="array" ref="K2631">_xlfn.XLOOKUP(C2631,Clientes[ID_Cliente],Clientes[Provincia])</f>
        <v>Neuquén</v>
      </c>
      <c r="L2631" s="16" t="str">
        <f t="array" ref="L2631">CONCATENATE(_xlfn.XLOOKUP(C2631,Clientes[ID_Cliente],Clientes[Provincia]),", Argentina")</f>
        <v>Neuquén, Argentina</v>
      </c>
      <c r="M2631" s="20" t="str">
        <f t="array" ref="M2631">_xlfn.XLOOKUP(F2631,Metodos_De_Pago[ID_Metodo],Metodos_De_Pago[Metodo])</f>
        <v>Transferencia</v>
      </c>
      <c r="N2631" s="20" t="str">
        <f t="shared" si="2"/>
        <v>2024 04</v>
      </c>
    </row>
    <row r="2632" ht="22.5" customHeight="1">
      <c r="A2632" s="12">
        <f>IFERROR(__xludf.DUMMYFUNCTION("""COMPUTED_VALUE"""),2957.0)</f>
        <v>2957</v>
      </c>
      <c r="B2632" s="13">
        <f>IFERROR(__xludf.DUMMYFUNCTION("""COMPUTED_VALUE"""),45410.0)</f>
        <v>45410</v>
      </c>
      <c r="C2632" s="12">
        <f>IFERROR(__xludf.DUMMYFUNCTION("""COMPUTED_VALUE"""),249.0)</f>
        <v>249</v>
      </c>
      <c r="D2632" s="12">
        <f>IFERROR(__xludf.DUMMYFUNCTION("""COMPUTED_VALUE"""),4.0)</f>
        <v>4</v>
      </c>
      <c r="E2632" s="12">
        <f>IFERROR(__xludf.DUMMYFUNCTION("""COMPUTED_VALUE"""),6.0)</f>
        <v>6</v>
      </c>
      <c r="F2632" s="12">
        <f>IFERROR(__xludf.DUMMYFUNCTION("""COMPUTED_VALUE"""),1.0)</f>
        <v>1</v>
      </c>
      <c r="G2632" s="15" t="str">
        <f>IFERROR(__xludf.DUMMYFUNCTION("""COMPUTED_VALUE"""),"Completa")</f>
        <v>Completa</v>
      </c>
      <c r="H2632" s="16" t="str">
        <f t="array" ref="H2632">_xlfn.XLOOKUP(D2632,Productos[ID_Producto],Productos[Nombre_Producto])</f>
        <v>Queso rallado</v>
      </c>
      <c r="I2632" s="17">
        <f t="array" ref="I2632">_xlfn.XLOOKUP(D2632,Productos[ID_Producto],Productos[Precio_Unitario])</f>
        <v>19.23</v>
      </c>
      <c r="J2632" s="17">
        <f t="shared" si="1"/>
        <v>115.38</v>
      </c>
      <c r="K2632" s="16" t="str">
        <f t="array" ref="K2632">_xlfn.XLOOKUP(C2632,Clientes[ID_Cliente],Clientes[Provincia])</f>
        <v>Buenos Aires</v>
      </c>
      <c r="L2632" s="16" t="str">
        <f t="array" ref="L2632">CONCATENATE(_xlfn.XLOOKUP(C2632,Clientes[ID_Cliente],Clientes[Provincia]),", Argentina")</f>
        <v>Buenos Aires, Argentina</v>
      </c>
      <c r="M2632" s="20" t="str">
        <f t="array" ref="M2632">_xlfn.XLOOKUP(F2632,Metodos_De_Pago[ID_Metodo],Metodos_De_Pago[Metodo])</f>
        <v>Efectivo</v>
      </c>
      <c r="N2632" s="20" t="str">
        <f t="shared" si="2"/>
        <v>2024 04</v>
      </c>
    </row>
    <row r="2633" ht="22.5" customHeight="1">
      <c r="A2633" s="12">
        <f>IFERROR(__xludf.DUMMYFUNCTION("""COMPUTED_VALUE"""),1114.0)</f>
        <v>1114</v>
      </c>
      <c r="B2633" s="13">
        <f>IFERROR(__xludf.DUMMYFUNCTION("""COMPUTED_VALUE"""),45411.0)</f>
        <v>45411</v>
      </c>
      <c r="C2633" s="12">
        <f>IFERROR(__xludf.DUMMYFUNCTION("""COMPUTED_VALUE"""),47.0)</f>
        <v>47</v>
      </c>
      <c r="D2633" s="12">
        <f>IFERROR(__xludf.DUMMYFUNCTION("""COMPUTED_VALUE"""),38.0)</f>
        <v>38</v>
      </c>
      <c r="E2633" s="12">
        <f>IFERROR(__xludf.DUMMYFUNCTION("""COMPUTED_VALUE"""),6.0)</f>
        <v>6</v>
      </c>
      <c r="F2633" s="12">
        <f>IFERROR(__xludf.DUMMYFUNCTION("""COMPUTED_VALUE"""),4.0)</f>
        <v>4</v>
      </c>
      <c r="G2633" s="15" t="str">
        <f>IFERROR(__xludf.DUMMYFUNCTION("""COMPUTED_VALUE"""),"Completa")</f>
        <v>Completa</v>
      </c>
      <c r="H2633" s="16" t="str">
        <f t="array" ref="H2633">_xlfn.XLOOKUP(D2633,Productos[ID_Producto],Productos[Nombre_Producto])</f>
        <v>Atún enlatado</v>
      </c>
      <c r="I2633" s="17">
        <f t="array" ref="I2633">_xlfn.XLOOKUP(D2633,Productos[ID_Producto],Productos[Precio_Unitario])</f>
        <v>6.21</v>
      </c>
      <c r="J2633" s="17">
        <f t="shared" si="1"/>
        <v>37.26</v>
      </c>
      <c r="K2633" s="16" t="str">
        <f t="array" ref="K2633">_xlfn.XLOOKUP(C2633,Clientes[ID_Cliente],Clientes[Provincia])</f>
        <v>Buenos Aires</v>
      </c>
      <c r="L2633" s="16" t="str">
        <f t="array" ref="L2633">CONCATENATE(_xlfn.XLOOKUP(C2633,Clientes[ID_Cliente],Clientes[Provincia]),", Argentina")</f>
        <v>Buenos Aires, Argentina</v>
      </c>
      <c r="M2633" s="20" t="str">
        <f t="array" ref="M2633">_xlfn.XLOOKUP(F2633,Metodos_De_Pago[ID_Metodo],Metodos_De_Pago[Metodo])</f>
        <v>Mercado Pago</v>
      </c>
      <c r="N2633" s="20" t="str">
        <f t="shared" si="2"/>
        <v>2024 04</v>
      </c>
    </row>
    <row r="2634" ht="22.5" customHeight="1">
      <c r="A2634" s="12">
        <f>IFERROR(__xludf.DUMMYFUNCTION("""COMPUTED_VALUE"""),1115.0)</f>
        <v>1115</v>
      </c>
      <c r="B2634" s="13">
        <f>IFERROR(__xludf.DUMMYFUNCTION("""COMPUTED_VALUE"""),45411.0)</f>
        <v>45411</v>
      </c>
      <c r="C2634" s="12">
        <f>IFERROR(__xludf.DUMMYFUNCTION("""COMPUTED_VALUE"""),159.0)</f>
        <v>159</v>
      </c>
      <c r="D2634" s="12">
        <f>IFERROR(__xludf.DUMMYFUNCTION("""COMPUTED_VALUE"""),1.0)</f>
        <v>1</v>
      </c>
      <c r="E2634" s="12">
        <f>IFERROR(__xludf.DUMMYFUNCTION("""COMPUTED_VALUE"""),6.0)</f>
        <v>6</v>
      </c>
      <c r="F2634" s="12">
        <f>IFERROR(__xludf.DUMMYFUNCTION("""COMPUTED_VALUE"""),2.0)</f>
        <v>2</v>
      </c>
      <c r="G2634" s="15" t="str">
        <f>IFERROR(__xludf.DUMMYFUNCTION("""COMPUTED_VALUE"""),"Completa")</f>
        <v>Completa</v>
      </c>
      <c r="H2634" s="16" t="str">
        <f t="array" ref="H2634">_xlfn.XLOOKUP(D2634,Productos[ID_Producto],Productos[Nombre_Producto])</f>
        <v>Leche</v>
      </c>
      <c r="I2634" s="17">
        <f t="array" ref="I2634">_xlfn.XLOOKUP(D2634,Productos[ID_Producto],Productos[Precio_Unitario])</f>
        <v>12.24</v>
      </c>
      <c r="J2634" s="17">
        <f t="shared" si="1"/>
        <v>73.44</v>
      </c>
      <c r="K2634" s="16" t="str">
        <f t="array" ref="K2634">_xlfn.XLOOKUP(C2634,Clientes[ID_Cliente],Clientes[Provincia])</f>
        <v>Chaco</v>
      </c>
      <c r="L2634" s="16" t="str">
        <f t="array" ref="L2634">CONCATENATE(_xlfn.XLOOKUP(C2634,Clientes[ID_Cliente],Clientes[Provincia]),", Argentina")</f>
        <v>Chaco, Argentina</v>
      </c>
      <c r="M2634" s="20" t="str">
        <f t="array" ref="M2634">_xlfn.XLOOKUP(F2634,Metodos_De_Pago[ID_Metodo],Metodos_De_Pago[Metodo])</f>
        <v>Tarjeta de Crédito</v>
      </c>
      <c r="N2634" s="20" t="str">
        <f t="shared" si="2"/>
        <v>2024 04</v>
      </c>
    </row>
    <row r="2635" ht="22.5" customHeight="1">
      <c r="A2635" s="12">
        <f>IFERROR(__xludf.DUMMYFUNCTION("""COMPUTED_VALUE"""),1552.0)</f>
        <v>1552</v>
      </c>
      <c r="B2635" s="13">
        <f>IFERROR(__xludf.DUMMYFUNCTION("""COMPUTED_VALUE"""),45411.0)</f>
        <v>45411</v>
      </c>
      <c r="C2635" s="12">
        <f>IFERROR(__xludf.DUMMYFUNCTION("""COMPUTED_VALUE"""),21.0)</f>
        <v>21</v>
      </c>
      <c r="D2635" s="12">
        <f>IFERROR(__xludf.DUMMYFUNCTION("""COMPUTED_VALUE"""),6.0)</f>
        <v>6</v>
      </c>
      <c r="E2635" s="12">
        <f>IFERROR(__xludf.DUMMYFUNCTION("""COMPUTED_VALUE"""),6.0)</f>
        <v>6</v>
      </c>
      <c r="F2635" s="12">
        <f>IFERROR(__xludf.DUMMYFUNCTION("""COMPUTED_VALUE"""),1.0)</f>
        <v>1</v>
      </c>
      <c r="G2635" s="15" t="str">
        <f>IFERROR(__xludf.DUMMYFUNCTION("""COMPUTED_VALUE"""),"Completa")</f>
        <v>Completa</v>
      </c>
      <c r="H2635" s="16" t="str">
        <f t="array" ref="H2635">_xlfn.XLOOKUP(D2635,Productos[ID_Producto],Productos[Nombre_Producto])</f>
        <v>Asado</v>
      </c>
      <c r="I2635" s="17">
        <f t="array" ref="I2635">_xlfn.XLOOKUP(D2635,Productos[ID_Producto],Productos[Precio_Unitario])</f>
        <v>28.56</v>
      </c>
      <c r="J2635" s="17">
        <f t="shared" si="1"/>
        <v>171.36</v>
      </c>
      <c r="K2635" s="16" t="str">
        <f t="array" ref="K2635">_xlfn.XLOOKUP(C2635,Clientes[ID_Cliente],Clientes[Provincia])</f>
        <v>Buenos Aires</v>
      </c>
      <c r="L2635" s="16" t="str">
        <f t="array" ref="L2635">CONCATENATE(_xlfn.XLOOKUP(C2635,Clientes[ID_Cliente],Clientes[Provincia]),", Argentina")</f>
        <v>Buenos Aires, Argentina</v>
      </c>
      <c r="M2635" s="20" t="str">
        <f t="array" ref="M2635">_xlfn.XLOOKUP(F2635,Metodos_De_Pago[ID_Metodo],Metodos_De_Pago[Metodo])</f>
        <v>Efectivo</v>
      </c>
      <c r="N2635" s="20" t="str">
        <f t="shared" si="2"/>
        <v>2024 04</v>
      </c>
    </row>
    <row r="2636" ht="22.5" customHeight="1">
      <c r="A2636" s="12">
        <f>IFERROR(__xludf.DUMMYFUNCTION("""COMPUTED_VALUE"""),2786.0)</f>
        <v>2786</v>
      </c>
      <c r="B2636" s="13">
        <f>IFERROR(__xludf.DUMMYFUNCTION("""COMPUTED_VALUE"""),45411.0)</f>
        <v>45411</v>
      </c>
      <c r="C2636" s="12">
        <f>IFERROR(__xludf.DUMMYFUNCTION("""COMPUTED_VALUE"""),106.0)</f>
        <v>106</v>
      </c>
      <c r="D2636" s="12">
        <f>IFERROR(__xludf.DUMMYFUNCTION("""COMPUTED_VALUE"""),7.0)</f>
        <v>7</v>
      </c>
      <c r="E2636" s="12">
        <f>IFERROR(__xludf.DUMMYFUNCTION("""COMPUTED_VALUE"""),6.0)</f>
        <v>6</v>
      </c>
      <c r="F2636" s="12">
        <f>IFERROR(__xludf.DUMMYFUNCTION("""COMPUTED_VALUE"""),1.0)</f>
        <v>1</v>
      </c>
      <c r="G2636" s="15" t="str">
        <f>IFERROR(__xludf.DUMMYFUNCTION("""COMPUTED_VALUE"""),"Completa")</f>
        <v>Completa</v>
      </c>
      <c r="H2636" s="16" t="str">
        <f t="array" ref="H2636">_xlfn.XLOOKUP(D2636,Productos[ID_Producto],Productos[Nombre_Producto])</f>
        <v>Chorizo</v>
      </c>
      <c r="I2636" s="17">
        <f t="array" ref="I2636">_xlfn.XLOOKUP(D2636,Productos[ID_Producto],Productos[Precio_Unitario])</f>
        <v>11.25</v>
      </c>
      <c r="J2636" s="17">
        <f t="shared" si="1"/>
        <v>67.5</v>
      </c>
      <c r="K2636" s="16" t="str">
        <f t="array" ref="K2636">_xlfn.XLOOKUP(C2636,Clientes[ID_Cliente],Clientes[Provincia])</f>
        <v>Chaco</v>
      </c>
      <c r="L2636" s="16" t="str">
        <f t="array" ref="L2636">CONCATENATE(_xlfn.XLOOKUP(C2636,Clientes[ID_Cliente],Clientes[Provincia]),", Argentina")</f>
        <v>Chaco, Argentina</v>
      </c>
      <c r="M2636" s="20" t="str">
        <f t="array" ref="M2636">_xlfn.XLOOKUP(F2636,Metodos_De_Pago[ID_Metodo],Metodos_De_Pago[Metodo])</f>
        <v>Efectivo</v>
      </c>
      <c r="N2636" s="20" t="str">
        <f t="shared" si="2"/>
        <v>2024 04</v>
      </c>
    </row>
    <row r="2637" ht="22.5" customHeight="1">
      <c r="A2637" s="12">
        <f>IFERROR(__xludf.DUMMYFUNCTION("""COMPUTED_VALUE"""),898.0)</f>
        <v>898</v>
      </c>
      <c r="B2637" s="13">
        <f>IFERROR(__xludf.DUMMYFUNCTION("""COMPUTED_VALUE"""),45412.0)</f>
        <v>45412</v>
      </c>
      <c r="C2637" s="12">
        <f>IFERROR(__xludf.DUMMYFUNCTION("""COMPUTED_VALUE"""),179.0)</f>
        <v>179</v>
      </c>
      <c r="D2637" s="12">
        <f>IFERROR(__xludf.DUMMYFUNCTION("""COMPUTED_VALUE"""),9.0)</f>
        <v>9</v>
      </c>
      <c r="E2637" s="12">
        <f>IFERROR(__xludf.DUMMYFUNCTION("""COMPUTED_VALUE"""),6.0)</f>
        <v>6</v>
      </c>
      <c r="F2637" s="12">
        <f>IFERROR(__xludf.DUMMYFUNCTION("""COMPUTED_VALUE"""),4.0)</f>
        <v>4</v>
      </c>
      <c r="G2637" s="15" t="str">
        <f>IFERROR(__xludf.DUMMYFUNCTION("""COMPUTED_VALUE"""),"Completa")</f>
        <v>Completa</v>
      </c>
      <c r="H2637" s="16" t="str">
        <f t="array" ref="H2637">_xlfn.XLOOKUP(D2637,Productos[ID_Producto],Productos[Nombre_Producto])</f>
        <v>Pollo</v>
      </c>
      <c r="I2637" s="17">
        <f t="array" ref="I2637">_xlfn.XLOOKUP(D2637,Productos[ID_Producto],Productos[Precio_Unitario])</f>
        <v>18.56</v>
      </c>
      <c r="J2637" s="17">
        <f t="shared" si="1"/>
        <v>111.36</v>
      </c>
      <c r="K2637" s="16" t="str">
        <f t="array" ref="K2637">_xlfn.XLOOKUP(C2637,Clientes[ID_Cliente],Clientes[Provincia])</f>
        <v>Buenos Aires</v>
      </c>
      <c r="L2637" s="16" t="str">
        <f t="array" ref="L2637">CONCATENATE(_xlfn.XLOOKUP(C2637,Clientes[ID_Cliente],Clientes[Provincia]),", Argentina")</f>
        <v>Buenos Aires, Argentina</v>
      </c>
      <c r="M2637" s="20" t="str">
        <f t="array" ref="M2637">_xlfn.XLOOKUP(F2637,Metodos_De_Pago[ID_Metodo],Metodos_De_Pago[Metodo])</f>
        <v>Mercado Pago</v>
      </c>
      <c r="N2637" s="20" t="str">
        <f t="shared" si="2"/>
        <v>2024 04</v>
      </c>
    </row>
    <row r="2638" ht="22.5" customHeight="1">
      <c r="A2638" s="12">
        <f>IFERROR(__xludf.DUMMYFUNCTION("""COMPUTED_VALUE"""),2402.0)</f>
        <v>2402</v>
      </c>
      <c r="B2638" s="13">
        <f>IFERROR(__xludf.DUMMYFUNCTION("""COMPUTED_VALUE"""),45412.0)</f>
        <v>45412</v>
      </c>
      <c r="C2638" s="12">
        <f>IFERROR(__xludf.DUMMYFUNCTION("""COMPUTED_VALUE"""),90.0)</f>
        <v>90</v>
      </c>
      <c r="D2638" s="12">
        <f>IFERROR(__xludf.DUMMYFUNCTION("""COMPUTED_VALUE"""),16.0)</f>
        <v>16</v>
      </c>
      <c r="E2638" s="12">
        <f>IFERROR(__xludf.DUMMYFUNCTION("""COMPUTED_VALUE"""),6.0)</f>
        <v>6</v>
      </c>
      <c r="F2638" s="12">
        <f>IFERROR(__xludf.DUMMYFUNCTION("""COMPUTED_VALUE"""),2.0)</f>
        <v>2</v>
      </c>
      <c r="G2638" s="15" t="str">
        <f>IFERROR(__xludf.DUMMYFUNCTION("""COMPUTED_VALUE"""),"Completa")</f>
        <v>Completa</v>
      </c>
      <c r="H2638" s="16" t="str">
        <f t="array" ref="H2638">_xlfn.XLOOKUP(D2638,Productos[ID_Producto],Productos[Nombre_Producto])</f>
        <v>Tortas</v>
      </c>
      <c r="I2638" s="17">
        <f t="array" ref="I2638">_xlfn.XLOOKUP(D2638,Productos[ID_Producto],Productos[Precio_Unitario])</f>
        <v>15.23</v>
      </c>
      <c r="J2638" s="17">
        <f t="shared" si="1"/>
        <v>91.38</v>
      </c>
      <c r="K2638" s="16" t="str">
        <f t="array" ref="K2638">_xlfn.XLOOKUP(C2638,Clientes[ID_Cliente],Clientes[Provincia])</f>
        <v>Buenos Aires</v>
      </c>
      <c r="L2638" s="16" t="str">
        <f t="array" ref="L2638">CONCATENATE(_xlfn.XLOOKUP(C2638,Clientes[ID_Cliente],Clientes[Provincia]),", Argentina")</f>
        <v>Buenos Aires, Argentina</v>
      </c>
      <c r="M2638" s="20" t="str">
        <f t="array" ref="M2638">_xlfn.XLOOKUP(F2638,Metodos_De_Pago[ID_Metodo],Metodos_De_Pago[Metodo])</f>
        <v>Tarjeta de Crédito</v>
      </c>
      <c r="N2638" s="20" t="str">
        <f t="shared" si="2"/>
        <v>2024 04</v>
      </c>
    </row>
    <row r="2639" ht="22.5" customHeight="1">
      <c r="A2639" s="12">
        <f>IFERROR(__xludf.DUMMYFUNCTION("""COMPUTED_VALUE"""),1237.0)</f>
        <v>1237</v>
      </c>
      <c r="B2639" s="13">
        <f>IFERROR(__xludf.DUMMYFUNCTION("""COMPUTED_VALUE"""),45413.0)</f>
        <v>45413</v>
      </c>
      <c r="C2639" s="12">
        <f>IFERROR(__xludf.DUMMYFUNCTION("""COMPUTED_VALUE"""),247.0)</f>
        <v>247</v>
      </c>
      <c r="D2639" s="12">
        <f>IFERROR(__xludf.DUMMYFUNCTION("""COMPUTED_VALUE"""),37.0)</f>
        <v>37</v>
      </c>
      <c r="E2639" s="12">
        <f>IFERROR(__xludf.DUMMYFUNCTION("""COMPUTED_VALUE"""),6.0)</f>
        <v>6</v>
      </c>
      <c r="F2639" s="12">
        <f>IFERROR(__xludf.DUMMYFUNCTION("""COMPUTED_VALUE"""),4.0)</f>
        <v>4</v>
      </c>
      <c r="G2639" s="15" t="str">
        <f>IFERROR(__xludf.DUMMYFUNCTION("""COMPUTED_VALUE"""),"Completa")</f>
        <v>Completa</v>
      </c>
      <c r="H2639" s="16" t="str">
        <f t="array" ref="H2639">_xlfn.XLOOKUP(D2639,Productos[ID_Producto],Productos[Nombre_Producto])</f>
        <v>Garbanzos</v>
      </c>
      <c r="I2639" s="17">
        <f t="array" ref="I2639">_xlfn.XLOOKUP(D2639,Productos[ID_Producto],Productos[Precio_Unitario])</f>
        <v>3.65</v>
      </c>
      <c r="J2639" s="17">
        <f t="shared" si="1"/>
        <v>21.9</v>
      </c>
      <c r="K2639" s="16" t="str">
        <f t="array" ref="K2639">_xlfn.XLOOKUP(C2639,Clientes[ID_Cliente],Clientes[Provincia])</f>
        <v>Buenos Aires</v>
      </c>
      <c r="L2639" s="16" t="str">
        <f t="array" ref="L2639">CONCATENATE(_xlfn.XLOOKUP(C2639,Clientes[ID_Cliente],Clientes[Provincia]),", Argentina")</f>
        <v>Buenos Aires, Argentina</v>
      </c>
      <c r="M2639" s="20" t="str">
        <f t="array" ref="M2639">_xlfn.XLOOKUP(F2639,Metodos_De_Pago[ID_Metodo],Metodos_De_Pago[Metodo])</f>
        <v>Mercado Pago</v>
      </c>
      <c r="N2639" s="20" t="str">
        <f t="shared" si="2"/>
        <v>2024 05</v>
      </c>
    </row>
    <row r="2640" ht="22.5" customHeight="1">
      <c r="A2640" s="12">
        <f>IFERROR(__xludf.DUMMYFUNCTION("""COMPUTED_VALUE"""),1247.0)</f>
        <v>1247</v>
      </c>
      <c r="B2640" s="13">
        <f>IFERROR(__xludf.DUMMYFUNCTION("""COMPUTED_VALUE"""),45413.0)</f>
        <v>45413</v>
      </c>
      <c r="C2640" s="12">
        <f>IFERROR(__xludf.DUMMYFUNCTION("""COMPUTED_VALUE"""),87.0)</f>
        <v>87</v>
      </c>
      <c r="D2640" s="12">
        <f>IFERROR(__xludf.DUMMYFUNCTION("""COMPUTED_VALUE"""),25.0)</f>
        <v>25</v>
      </c>
      <c r="E2640" s="12">
        <f>IFERROR(__xludf.DUMMYFUNCTION("""COMPUTED_VALUE"""),6.0)</f>
        <v>6</v>
      </c>
      <c r="F2640" s="12">
        <f>IFERROR(__xludf.DUMMYFUNCTION("""COMPUTED_VALUE"""),1.0)</f>
        <v>1</v>
      </c>
      <c r="G2640" s="15" t="str">
        <f>IFERROR(__xludf.DUMMYFUNCTION("""COMPUTED_VALUE"""),"Completa")</f>
        <v>Completa</v>
      </c>
      <c r="H2640" s="16" t="str">
        <f t="array" ref="H2640">_xlfn.XLOOKUP(D2640,Productos[ID_Producto],Productos[Nombre_Producto])</f>
        <v>Pizza congelada</v>
      </c>
      <c r="I2640" s="17">
        <f t="array" ref="I2640">_xlfn.XLOOKUP(D2640,Productos[ID_Producto],Productos[Precio_Unitario])</f>
        <v>15.45</v>
      </c>
      <c r="J2640" s="17">
        <f t="shared" si="1"/>
        <v>92.7</v>
      </c>
      <c r="K2640" s="16" t="str">
        <f t="array" ref="K2640">_xlfn.XLOOKUP(C2640,Clientes[ID_Cliente],Clientes[Provincia])</f>
        <v>Neuquén</v>
      </c>
      <c r="L2640" s="16" t="str">
        <f t="array" ref="L2640">CONCATENATE(_xlfn.XLOOKUP(C2640,Clientes[ID_Cliente],Clientes[Provincia]),", Argentina")</f>
        <v>Neuquén, Argentina</v>
      </c>
      <c r="M2640" s="20" t="str">
        <f t="array" ref="M2640">_xlfn.XLOOKUP(F2640,Metodos_De_Pago[ID_Metodo],Metodos_De_Pago[Metodo])</f>
        <v>Efectivo</v>
      </c>
      <c r="N2640" s="20" t="str">
        <f t="shared" si="2"/>
        <v>2024 05</v>
      </c>
    </row>
    <row r="2641" ht="22.5" customHeight="1">
      <c r="A2641" s="12">
        <f>IFERROR(__xludf.DUMMYFUNCTION("""COMPUTED_VALUE"""),1986.0)</f>
        <v>1986</v>
      </c>
      <c r="B2641" s="13">
        <f>IFERROR(__xludf.DUMMYFUNCTION("""COMPUTED_VALUE"""),45413.0)</f>
        <v>45413</v>
      </c>
      <c r="C2641" s="12">
        <f>IFERROR(__xludf.DUMMYFUNCTION("""COMPUTED_VALUE"""),278.0)</f>
        <v>278</v>
      </c>
      <c r="D2641" s="12">
        <f>IFERROR(__xludf.DUMMYFUNCTION("""COMPUTED_VALUE"""),17.0)</f>
        <v>17</v>
      </c>
      <c r="E2641" s="12">
        <f>IFERROR(__xludf.DUMMYFUNCTION("""COMPUTED_VALUE"""),6.0)</f>
        <v>6</v>
      </c>
      <c r="F2641" s="12">
        <f>IFERROR(__xludf.DUMMYFUNCTION("""COMPUTED_VALUE"""),5.0)</f>
        <v>5</v>
      </c>
      <c r="G2641" s="15" t="str">
        <f>IFERROR(__xludf.DUMMYFUNCTION("""COMPUTED_VALUE"""),"Completa")</f>
        <v>Completa</v>
      </c>
      <c r="H2641" s="16" t="str">
        <f t="array" ref="H2641">_xlfn.XLOOKUP(D2641,Productos[ID_Producto],Productos[Nombre_Producto])</f>
        <v>Manzanas</v>
      </c>
      <c r="I2641" s="17">
        <f t="array" ref="I2641">_xlfn.XLOOKUP(D2641,Productos[ID_Producto],Productos[Precio_Unitario])</f>
        <v>6.54</v>
      </c>
      <c r="J2641" s="17">
        <f t="shared" si="1"/>
        <v>39.24</v>
      </c>
      <c r="K2641" s="16" t="str">
        <f t="array" ref="K2641">_xlfn.XLOOKUP(C2641,Clientes[ID_Cliente],Clientes[Provincia])</f>
        <v>Córdoba</v>
      </c>
      <c r="L2641" s="16" t="str">
        <f t="array" ref="L2641">CONCATENATE(_xlfn.XLOOKUP(C2641,Clientes[ID_Cliente],Clientes[Provincia]),", Argentina")</f>
        <v>Córdoba, Argentina</v>
      </c>
      <c r="M2641" s="20" t="str">
        <f t="array" ref="M2641">_xlfn.XLOOKUP(F2641,Metodos_De_Pago[ID_Metodo],Metodos_De_Pago[Metodo])</f>
        <v>Transferencia</v>
      </c>
      <c r="N2641" s="20" t="str">
        <f t="shared" si="2"/>
        <v>2024 05</v>
      </c>
    </row>
    <row r="2642" ht="22.5" customHeight="1">
      <c r="A2642" s="12">
        <f>IFERROR(__xludf.DUMMYFUNCTION("""COMPUTED_VALUE"""),287.0)</f>
        <v>287</v>
      </c>
      <c r="B2642" s="13">
        <f>IFERROR(__xludf.DUMMYFUNCTION("""COMPUTED_VALUE"""),45414.0)</f>
        <v>45414</v>
      </c>
      <c r="C2642" s="12">
        <f>IFERROR(__xludf.DUMMYFUNCTION("""COMPUTED_VALUE"""),70.0)</f>
        <v>70</v>
      </c>
      <c r="D2642" s="12">
        <f>IFERROR(__xludf.DUMMYFUNCTION("""COMPUTED_VALUE"""),23.0)</f>
        <v>23</v>
      </c>
      <c r="E2642" s="12">
        <f>IFERROR(__xludf.DUMMYFUNCTION("""COMPUTED_VALUE"""),6.0)</f>
        <v>6</v>
      </c>
      <c r="F2642" s="12">
        <f>IFERROR(__xludf.DUMMYFUNCTION("""COMPUTED_VALUE"""),2.0)</f>
        <v>2</v>
      </c>
      <c r="G2642" s="15" t="str">
        <f>IFERROR(__xludf.DUMMYFUNCTION("""COMPUTED_VALUE"""),"Completa")</f>
        <v>Completa</v>
      </c>
      <c r="H2642" s="16" t="str">
        <f t="array" ref="H2642">_xlfn.XLOOKUP(D2642,Productos[ID_Producto],Productos[Nombre_Producto])</f>
        <v>Papas fritas</v>
      </c>
      <c r="I2642" s="17">
        <f t="array" ref="I2642">_xlfn.XLOOKUP(D2642,Productos[ID_Producto],Productos[Precio_Unitario])</f>
        <v>8.23</v>
      </c>
      <c r="J2642" s="17">
        <f t="shared" si="1"/>
        <v>49.38</v>
      </c>
      <c r="K2642" s="16" t="str">
        <f t="array" ref="K2642">_xlfn.XLOOKUP(C2642,Clientes[ID_Cliente],Clientes[Provincia])</f>
        <v>Córdoba</v>
      </c>
      <c r="L2642" s="16" t="str">
        <f t="array" ref="L2642">CONCATENATE(_xlfn.XLOOKUP(C2642,Clientes[ID_Cliente],Clientes[Provincia]),", Argentina")</f>
        <v>Córdoba, Argentina</v>
      </c>
      <c r="M2642" s="20" t="str">
        <f t="array" ref="M2642">_xlfn.XLOOKUP(F2642,Metodos_De_Pago[ID_Metodo],Metodos_De_Pago[Metodo])</f>
        <v>Tarjeta de Crédito</v>
      </c>
      <c r="N2642" s="20" t="str">
        <f t="shared" si="2"/>
        <v>2024 05</v>
      </c>
    </row>
    <row r="2643" ht="22.5" customHeight="1">
      <c r="A2643" s="12">
        <f>IFERROR(__xludf.DUMMYFUNCTION("""COMPUTED_VALUE"""),270.0)</f>
        <v>270</v>
      </c>
      <c r="B2643" s="13">
        <f>IFERROR(__xludf.DUMMYFUNCTION("""COMPUTED_VALUE"""),45415.0)</f>
        <v>45415</v>
      </c>
      <c r="C2643" s="12">
        <f>IFERROR(__xludf.DUMMYFUNCTION("""COMPUTED_VALUE"""),326.0)</f>
        <v>326</v>
      </c>
      <c r="D2643" s="12">
        <f>IFERROR(__xludf.DUMMYFUNCTION("""COMPUTED_VALUE"""),8.0)</f>
        <v>8</v>
      </c>
      <c r="E2643" s="12">
        <f>IFERROR(__xludf.DUMMYFUNCTION("""COMPUTED_VALUE"""),6.0)</f>
        <v>6</v>
      </c>
      <c r="F2643" s="12">
        <f>IFERROR(__xludf.DUMMYFUNCTION("""COMPUTED_VALUE"""),5.0)</f>
        <v>5</v>
      </c>
      <c r="G2643" s="15" t="str">
        <f>IFERROR(__xludf.DUMMYFUNCTION("""COMPUTED_VALUE"""),"Pendiente")</f>
        <v>Pendiente</v>
      </c>
      <c r="H2643" s="16" t="str">
        <f t="array" ref="H2643">_xlfn.XLOOKUP(D2643,Productos[ID_Producto],Productos[Nombre_Producto])</f>
        <v>Milanesa</v>
      </c>
      <c r="I2643" s="17">
        <f t="array" ref="I2643">_xlfn.XLOOKUP(D2643,Productos[ID_Producto],Productos[Precio_Unitario])</f>
        <v>16.21</v>
      </c>
      <c r="J2643" s="17">
        <f t="shared" si="1"/>
        <v>97.26</v>
      </c>
      <c r="K2643" s="16" t="str">
        <f t="array" ref="K2643">_xlfn.XLOOKUP(C2643,Clientes[ID_Cliente],Clientes[Provincia])</f>
        <v>San Luis</v>
      </c>
      <c r="L2643" s="16" t="str">
        <f t="array" ref="L2643">CONCATENATE(_xlfn.XLOOKUP(C2643,Clientes[ID_Cliente],Clientes[Provincia]),", Argentina")</f>
        <v>San Luis, Argentina</v>
      </c>
      <c r="M2643" s="20" t="str">
        <f t="array" ref="M2643">_xlfn.XLOOKUP(F2643,Metodos_De_Pago[ID_Metodo],Metodos_De_Pago[Metodo])</f>
        <v>Transferencia</v>
      </c>
      <c r="N2643" s="20" t="str">
        <f t="shared" si="2"/>
        <v>2024 05</v>
      </c>
    </row>
    <row r="2644" ht="22.5" customHeight="1">
      <c r="A2644" s="12">
        <f>IFERROR(__xludf.DUMMYFUNCTION("""COMPUTED_VALUE"""),727.0)</f>
        <v>727</v>
      </c>
      <c r="B2644" s="13">
        <f>IFERROR(__xludf.DUMMYFUNCTION("""COMPUTED_VALUE"""),45416.0)</f>
        <v>45416</v>
      </c>
      <c r="C2644" s="12">
        <f>IFERROR(__xludf.DUMMYFUNCTION("""COMPUTED_VALUE"""),241.0)</f>
        <v>241</v>
      </c>
      <c r="D2644" s="12">
        <f>IFERROR(__xludf.DUMMYFUNCTION("""COMPUTED_VALUE"""),4.0)</f>
        <v>4</v>
      </c>
      <c r="E2644" s="12">
        <f>IFERROR(__xludf.DUMMYFUNCTION("""COMPUTED_VALUE"""),6.0)</f>
        <v>6</v>
      </c>
      <c r="F2644" s="12">
        <f>IFERROR(__xludf.DUMMYFUNCTION("""COMPUTED_VALUE"""),3.0)</f>
        <v>3</v>
      </c>
      <c r="G2644" s="15" t="str">
        <f>IFERROR(__xludf.DUMMYFUNCTION("""COMPUTED_VALUE"""),"Completa")</f>
        <v>Completa</v>
      </c>
      <c r="H2644" s="16" t="str">
        <f t="array" ref="H2644">_xlfn.XLOOKUP(D2644,Productos[ID_Producto],Productos[Nombre_Producto])</f>
        <v>Queso rallado</v>
      </c>
      <c r="I2644" s="17">
        <f t="array" ref="I2644">_xlfn.XLOOKUP(D2644,Productos[ID_Producto],Productos[Precio_Unitario])</f>
        <v>19.23</v>
      </c>
      <c r="J2644" s="17">
        <f t="shared" si="1"/>
        <v>115.38</v>
      </c>
      <c r="K2644" s="16" t="str">
        <f t="array" ref="K2644">_xlfn.XLOOKUP(C2644,Clientes[ID_Cliente],Clientes[Provincia])</f>
        <v>Buenos Aires</v>
      </c>
      <c r="L2644" s="16" t="str">
        <f t="array" ref="L2644">CONCATENATE(_xlfn.XLOOKUP(C2644,Clientes[ID_Cliente],Clientes[Provincia]),", Argentina")</f>
        <v>Buenos Aires, Argentina</v>
      </c>
      <c r="M2644" s="20" t="str">
        <f t="array" ref="M2644">_xlfn.XLOOKUP(F2644,Metodos_De_Pago[ID_Metodo],Metodos_De_Pago[Metodo])</f>
        <v>Tarjeta de Débito</v>
      </c>
      <c r="N2644" s="20" t="str">
        <f t="shared" si="2"/>
        <v>2024 05</v>
      </c>
    </row>
    <row r="2645" ht="22.5" customHeight="1">
      <c r="A2645" s="12">
        <f>IFERROR(__xludf.DUMMYFUNCTION("""COMPUTED_VALUE"""),766.0)</f>
        <v>766</v>
      </c>
      <c r="B2645" s="13">
        <f>IFERROR(__xludf.DUMMYFUNCTION("""COMPUTED_VALUE"""),45416.0)</f>
        <v>45416</v>
      </c>
      <c r="C2645" s="12">
        <f>IFERROR(__xludf.DUMMYFUNCTION("""COMPUTED_VALUE"""),166.0)</f>
        <v>166</v>
      </c>
      <c r="D2645" s="12">
        <f>IFERROR(__xludf.DUMMYFUNCTION("""COMPUTED_VALUE"""),8.0)</f>
        <v>8</v>
      </c>
      <c r="E2645" s="12">
        <f>IFERROR(__xludf.DUMMYFUNCTION("""COMPUTED_VALUE"""),6.0)</f>
        <v>6</v>
      </c>
      <c r="F2645" s="12">
        <f>IFERROR(__xludf.DUMMYFUNCTION("""COMPUTED_VALUE"""),3.0)</f>
        <v>3</v>
      </c>
      <c r="G2645" s="15" t="str">
        <f>IFERROR(__xludf.DUMMYFUNCTION("""COMPUTED_VALUE"""),"Pendiente")</f>
        <v>Pendiente</v>
      </c>
      <c r="H2645" s="16" t="str">
        <f t="array" ref="H2645">_xlfn.XLOOKUP(D2645,Productos[ID_Producto],Productos[Nombre_Producto])</f>
        <v>Milanesa</v>
      </c>
      <c r="I2645" s="17">
        <f t="array" ref="I2645">_xlfn.XLOOKUP(D2645,Productos[ID_Producto],Productos[Precio_Unitario])</f>
        <v>16.21</v>
      </c>
      <c r="J2645" s="17">
        <f t="shared" si="1"/>
        <v>97.26</v>
      </c>
      <c r="K2645" s="16" t="str">
        <f t="array" ref="K2645">_xlfn.XLOOKUP(C2645,Clientes[ID_Cliente],Clientes[Provincia])</f>
        <v>Chaco</v>
      </c>
      <c r="L2645" s="16" t="str">
        <f t="array" ref="L2645">CONCATENATE(_xlfn.XLOOKUP(C2645,Clientes[ID_Cliente],Clientes[Provincia]),", Argentina")</f>
        <v>Chaco, Argentina</v>
      </c>
      <c r="M2645" s="20" t="str">
        <f t="array" ref="M2645">_xlfn.XLOOKUP(F2645,Metodos_De_Pago[ID_Metodo],Metodos_De_Pago[Metodo])</f>
        <v>Tarjeta de Débito</v>
      </c>
      <c r="N2645" s="20" t="str">
        <f t="shared" si="2"/>
        <v>2024 05</v>
      </c>
    </row>
    <row r="2646" ht="22.5" customHeight="1">
      <c r="A2646" s="12">
        <f>IFERROR(__xludf.DUMMYFUNCTION("""COMPUTED_VALUE"""),2605.0)</f>
        <v>2605</v>
      </c>
      <c r="B2646" s="13">
        <f>IFERROR(__xludf.DUMMYFUNCTION("""COMPUTED_VALUE"""),45416.0)</f>
        <v>45416</v>
      </c>
      <c r="C2646" s="12">
        <f>IFERROR(__xludf.DUMMYFUNCTION("""COMPUTED_VALUE"""),210.0)</f>
        <v>210</v>
      </c>
      <c r="D2646" s="12">
        <f>IFERROR(__xludf.DUMMYFUNCTION("""COMPUTED_VALUE"""),24.0)</f>
        <v>24</v>
      </c>
      <c r="E2646" s="12">
        <f>IFERROR(__xludf.DUMMYFUNCTION("""COMPUTED_VALUE"""),6.0)</f>
        <v>6</v>
      </c>
      <c r="F2646" s="12">
        <f>IFERROR(__xludf.DUMMYFUNCTION("""COMPUTED_VALUE"""),5.0)</f>
        <v>5</v>
      </c>
      <c r="G2646" s="15" t="str">
        <f>IFERROR(__xludf.DUMMYFUNCTION("""COMPUTED_VALUE"""),"Completa")</f>
        <v>Completa</v>
      </c>
      <c r="H2646" s="16" t="str">
        <f t="array" ref="H2646">_xlfn.XLOOKUP(D2646,Productos[ID_Producto],Productos[Nombre_Producto])</f>
        <v>Empanadas</v>
      </c>
      <c r="I2646" s="17">
        <f t="array" ref="I2646">_xlfn.XLOOKUP(D2646,Productos[ID_Producto],Productos[Precio_Unitario])</f>
        <v>13.54</v>
      </c>
      <c r="J2646" s="17">
        <f t="shared" si="1"/>
        <v>81.24</v>
      </c>
      <c r="K2646" s="16" t="str">
        <f t="array" ref="K2646">_xlfn.XLOOKUP(C2646,Clientes[ID_Cliente],Clientes[Provincia])</f>
        <v>Córdoba</v>
      </c>
      <c r="L2646" s="16" t="str">
        <f t="array" ref="L2646">CONCATENATE(_xlfn.XLOOKUP(C2646,Clientes[ID_Cliente],Clientes[Provincia]),", Argentina")</f>
        <v>Córdoba, Argentina</v>
      </c>
      <c r="M2646" s="20" t="str">
        <f t="array" ref="M2646">_xlfn.XLOOKUP(F2646,Metodos_De_Pago[ID_Metodo],Metodos_De_Pago[Metodo])</f>
        <v>Transferencia</v>
      </c>
      <c r="N2646" s="20" t="str">
        <f t="shared" si="2"/>
        <v>2024 05</v>
      </c>
    </row>
    <row r="2647" ht="22.5" customHeight="1">
      <c r="A2647" s="12">
        <f>IFERROR(__xludf.DUMMYFUNCTION("""COMPUTED_VALUE"""),2924.0)</f>
        <v>2924</v>
      </c>
      <c r="B2647" s="13">
        <f>IFERROR(__xludf.DUMMYFUNCTION("""COMPUTED_VALUE"""),45417.0)</f>
        <v>45417</v>
      </c>
      <c r="C2647" s="12">
        <f>IFERROR(__xludf.DUMMYFUNCTION("""COMPUTED_VALUE"""),158.0)</f>
        <v>158</v>
      </c>
      <c r="D2647" s="12">
        <f>IFERROR(__xludf.DUMMYFUNCTION("""COMPUTED_VALUE"""),2.0)</f>
        <v>2</v>
      </c>
      <c r="E2647" s="12">
        <f>IFERROR(__xludf.DUMMYFUNCTION("""COMPUTED_VALUE"""),6.0)</f>
        <v>6</v>
      </c>
      <c r="F2647" s="12">
        <f>IFERROR(__xludf.DUMMYFUNCTION("""COMPUTED_VALUE"""),1.0)</f>
        <v>1</v>
      </c>
      <c r="G2647" s="15" t="str">
        <f>IFERROR(__xludf.DUMMYFUNCTION("""COMPUTED_VALUE"""),"Completa")</f>
        <v>Completa</v>
      </c>
      <c r="H2647" s="16" t="str">
        <f t="array" ref="H2647">_xlfn.XLOOKUP(D2647,Productos[ID_Producto],Productos[Nombre_Producto])</f>
        <v>Yogur</v>
      </c>
      <c r="I2647" s="17">
        <f t="array" ref="I2647">_xlfn.XLOOKUP(D2647,Productos[ID_Producto],Productos[Precio_Unitario])</f>
        <v>5.21</v>
      </c>
      <c r="J2647" s="17">
        <f t="shared" si="1"/>
        <v>31.26</v>
      </c>
      <c r="K2647" s="16" t="str">
        <f t="array" ref="K2647">_xlfn.XLOOKUP(C2647,Clientes[ID_Cliente],Clientes[Provincia])</f>
        <v>Buenos Aires</v>
      </c>
      <c r="L2647" s="16" t="str">
        <f t="array" ref="L2647">CONCATENATE(_xlfn.XLOOKUP(C2647,Clientes[ID_Cliente],Clientes[Provincia]),", Argentina")</f>
        <v>Buenos Aires, Argentina</v>
      </c>
      <c r="M2647" s="20" t="str">
        <f t="array" ref="M2647">_xlfn.XLOOKUP(F2647,Metodos_De_Pago[ID_Metodo],Metodos_De_Pago[Metodo])</f>
        <v>Efectivo</v>
      </c>
      <c r="N2647" s="20" t="str">
        <f t="shared" si="2"/>
        <v>2024 05</v>
      </c>
    </row>
    <row r="2648" ht="22.5" customHeight="1">
      <c r="A2648" s="12">
        <f>IFERROR(__xludf.DUMMYFUNCTION("""COMPUTED_VALUE"""),1802.0)</f>
        <v>1802</v>
      </c>
      <c r="B2648" s="13">
        <f>IFERROR(__xludf.DUMMYFUNCTION("""COMPUTED_VALUE"""),45419.0)</f>
        <v>45419</v>
      </c>
      <c r="C2648" s="12">
        <f>IFERROR(__xludf.DUMMYFUNCTION("""COMPUTED_VALUE"""),81.0)</f>
        <v>81</v>
      </c>
      <c r="D2648" s="12">
        <f>IFERROR(__xludf.DUMMYFUNCTION("""COMPUTED_VALUE"""),30.0)</f>
        <v>30</v>
      </c>
      <c r="E2648" s="12">
        <f>IFERROR(__xludf.DUMMYFUNCTION("""COMPUTED_VALUE"""),6.0)</f>
        <v>6</v>
      </c>
      <c r="F2648" s="12">
        <f>IFERROR(__xludf.DUMMYFUNCTION("""COMPUTED_VALUE"""),2.0)</f>
        <v>2</v>
      </c>
      <c r="G2648" s="15" t="str">
        <f>IFERROR(__xludf.DUMMYFUNCTION("""COMPUTED_VALUE"""),"Completa")</f>
        <v>Completa</v>
      </c>
      <c r="H2648" s="16" t="str">
        <f t="array" ref="H2648">_xlfn.XLOOKUP(D2648,Productos[ID_Producto],Productos[Nombre_Producto])</f>
        <v>Vino tinto</v>
      </c>
      <c r="I2648" s="17">
        <f t="array" ref="I2648">_xlfn.XLOOKUP(D2648,Productos[ID_Producto],Productos[Precio_Unitario])</f>
        <v>13.54</v>
      </c>
      <c r="J2648" s="17">
        <f t="shared" si="1"/>
        <v>81.24</v>
      </c>
      <c r="K2648" s="16" t="str">
        <f t="array" ref="K2648">_xlfn.XLOOKUP(C2648,Clientes[ID_Cliente],Clientes[Provincia])</f>
        <v>Buenos Aires</v>
      </c>
      <c r="L2648" s="16" t="str">
        <f t="array" ref="L2648">CONCATENATE(_xlfn.XLOOKUP(C2648,Clientes[ID_Cliente],Clientes[Provincia]),", Argentina")</f>
        <v>Buenos Aires, Argentina</v>
      </c>
      <c r="M2648" s="20" t="str">
        <f t="array" ref="M2648">_xlfn.XLOOKUP(F2648,Metodos_De_Pago[ID_Metodo],Metodos_De_Pago[Metodo])</f>
        <v>Tarjeta de Crédito</v>
      </c>
      <c r="N2648" s="20" t="str">
        <f t="shared" si="2"/>
        <v>2024 05</v>
      </c>
    </row>
    <row r="2649" ht="22.5" customHeight="1">
      <c r="A2649" s="12">
        <f>IFERROR(__xludf.DUMMYFUNCTION("""COMPUTED_VALUE"""),2136.0)</f>
        <v>2136</v>
      </c>
      <c r="B2649" s="13">
        <f>IFERROR(__xludf.DUMMYFUNCTION("""COMPUTED_VALUE"""),45419.0)</f>
        <v>45419</v>
      </c>
      <c r="C2649" s="12">
        <f>IFERROR(__xludf.DUMMYFUNCTION("""COMPUTED_VALUE"""),150.0)</f>
        <v>150</v>
      </c>
      <c r="D2649" s="12">
        <f>IFERROR(__xludf.DUMMYFUNCTION("""COMPUTED_VALUE"""),12.0)</f>
        <v>12</v>
      </c>
      <c r="E2649" s="12">
        <f>IFERROR(__xludf.DUMMYFUNCTION("""COMPUTED_VALUE"""),6.0)</f>
        <v>6</v>
      </c>
      <c r="F2649" s="12">
        <f>IFERROR(__xludf.DUMMYFUNCTION("""COMPUTED_VALUE"""),2.0)</f>
        <v>2</v>
      </c>
      <c r="G2649" s="15" t="str">
        <f>IFERROR(__xludf.DUMMYFUNCTION("""COMPUTED_VALUE"""),"Completa")</f>
        <v>Completa</v>
      </c>
      <c r="H2649" s="16" t="str">
        <f t="array" ref="H2649">_xlfn.XLOOKUP(D2649,Productos[ID_Producto],Productos[Nombre_Producto])</f>
        <v>Pan francés</v>
      </c>
      <c r="I2649" s="17">
        <f t="array" ref="I2649">_xlfn.XLOOKUP(D2649,Productos[ID_Producto],Productos[Precio_Unitario])</f>
        <v>8.12</v>
      </c>
      <c r="J2649" s="17">
        <f t="shared" si="1"/>
        <v>48.72</v>
      </c>
      <c r="K2649" s="16" t="str">
        <f t="array" ref="K2649">_xlfn.XLOOKUP(C2649,Clientes[ID_Cliente],Clientes[Provincia])</f>
        <v>Buenos Aires</v>
      </c>
      <c r="L2649" s="16" t="str">
        <f t="array" ref="L2649">CONCATENATE(_xlfn.XLOOKUP(C2649,Clientes[ID_Cliente],Clientes[Provincia]),", Argentina")</f>
        <v>Buenos Aires, Argentina</v>
      </c>
      <c r="M2649" s="20" t="str">
        <f t="array" ref="M2649">_xlfn.XLOOKUP(F2649,Metodos_De_Pago[ID_Metodo],Metodos_De_Pago[Metodo])</f>
        <v>Tarjeta de Crédito</v>
      </c>
      <c r="N2649" s="20" t="str">
        <f t="shared" si="2"/>
        <v>2024 05</v>
      </c>
    </row>
    <row r="2650" ht="22.5" customHeight="1">
      <c r="A2650" s="12">
        <f>IFERROR(__xludf.DUMMYFUNCTION("""COMPUTED_VALUE"""),1235.0)</f>
        <v>1235</v>
      </c>
      <c r="B2650" s="13">
        <f>IFERROR(__xludf.DUMMYFUNCTION("""COMPUTED_VALUE"""),45420.0)</f>
        <v>45420</v>
      </c>
      <c r="C2650" s="12">
        <f>IFERROR(__xludf.DUMMYFUNCTION("""COMPUTED_VALUE"""),250.0)</f>
        <v>250</v>
      </c>
      <c r="D2650" s="12">
        <f>IFERROR(__xludf.DUMMYFUNCTION("""COMPUTED_VALUE"""),16.0)</f>
        <v>16</v>
      </c>
      <c r="E2650" s="12">
        <f>IFERROR(__xludf.DUMMYFUNCTION("""COMPUTED_VALUE"""),6.0)</f>
        <v>6</v>
      </c>
      <c r="F2650" s="12">
        <f>IFERROR(__xludf.DUMMYFUNCTION("""COMPUTED_VALUE"""),3.0)</f>
        <v>3</v>
      </c>
      <c r="G2650" s="15" t="str">
        <f>IFERROR(__xludf.DUMMYFUNCTION("""COMPUTED_VALUE"""),"Cancelada")</f>
        <v>Cancelada</v>
      </c>
      <c r="H2650" s="16" t="str">
        <f t="array" ref="H2650">_xlfn.XLOOKUP(D2650,Productos[ID_Producto],Productos[Nombre_Producto])</f>
        <v>Tortas</v>
      </c>
      <c r="I2650" s="17">
        <f t="array" ref="I2650">_xlfn.XLOOKUP(D2650,Productos[ID_Producto],Productos[Precio_Unitario])</f>
        <v>15.23</v>
      </c>
      <c r="J2650" s="17">
        <f t="shared" si="1"/>
        <v>91.38</v>
      </c>
      <c r="K2650" s="16" t="str">
        <f t="array" ref="K2650">_xlfn.XLOOKUP(C2650,Clientes[ID_Cliente],Clientes[Provincia])</f>
        <v>Córdoba</v>
      </c>
      <c r="L2650" s="16" t="str">
        <f t="array" ref="L2650">CONCATENATE(_xlfn.XLOOKUP(C2650,Clientes[ID_Cliente],Clientes[Provincia]),", Argentina")</f>
        <v>Córdoba, Argentina</v>
      </c>
      <c r="M2650" s="20" t="str">
        <f t="array" ref="M2650">_xlfn.XLOOKUP(F2650,Metodos_De_Pago[ID_Metodo],Metodos_De_Pago[Metodo])</f>
        <v>Tarjeta de Débito</v>
      </c>
      <c r="N2650" s="20" t="str">
        <f t="shared" si="2"/>
        <v>2024 05</v>
      </c>
    </row>
    <row r="2651" ht="22.5" customHeight="1">
      <c r="A2651" s="12">
        <f>IFERROR(__xludf.DUMMYFUNCTION("""COMPUTED_VALUE"""),1270.0)</f>
        <v>1270</v>
      </c>
      <c r="B2651" s="13">
        <f>IFERROR(__xludf.DUMMYFUNCTION("""COMPUTED_VALUE"""),45420.0)</f>
        <v>45420</v>
      </c>
      <c r="C2651" s="12">
        <f>IFERROR(__xludf.DUMMYFUNCTION("""COMPUTED_VALUE"""),173.0)</f>
        <v>173</v>
      </c>
      <c r="D2651" s="12">
        <f>IFERROR(__xludf.DUMMYFUNCTION("""COMPUTED_VALUE"""),29.0)</f>
        <v>29</v>
      </c>
      <c r="E2651" s="12">
        <f>IFERROR(__xludf.DUMMYFUNCTION("""COMPUTED_VALUE"""),6.0)</f>
        <v>6</v>
      </c>
      <c r="F2651" s="12">
        <f>IFERROR(__xludf.DUMMYFUNCTION("""COMPUTED_VALUE"""),4.0)</f>
        <v>4</v>
      </c>
      <c r="G2651" s="15" t="str">
        <f>IFERROR(__xludf.DUMMYFUNCTION("""COMPUTED_VALUE"""),"Completa")</f>
        <v>Completa</v>
      </c>
      <c r="H2651" s="16" t="str">
        <f t="array" ref="H2651">_xlfn.XLOOKUP(D2651,Productos[ID_Producto],Productos[Nombre_Producto])</f>
        <v>Cerveza</v>
      </c>
      <c r="I2651" s="17">
        <f t="array" ref="I2651">_xlfn.XLOOKUP(D2651,Productos[ID_Producto],Productos[Precio_Unitario])</f>
        <v>11.54</v>
      </c>
      <c r="J2651" s="17">
        <f t="shared" si="1"/>
        <v>69.24</v>
      </c>
      <c r="K2651" s="16" t="str">
        <f t="array" ref="K2651">_xlfn.XLOOKUP(C2651,Clientes[ID_Cliente],Clientes[Provincia])</f>
        <v>Neuquén</v>
      </c>
      <c r="L2651" s="16" t="str">
        <f t="array" ref="L2651">CONCATENATE(_xlfn.XLOOKUP(C2651,Clientes[ID_Cliente],Clientes[Provincia]),", Argentina")</f>
        <v>Neuquén, Argentina</v>
      </c>
      <c r="M2651" s="20" t="str">
        <f t="array" ref="M2651">_xlfn.XLOOKUP(F2651,Metodos_De_Pago[ID_Metodo],Metodos_De_Pago[Metodo])</f>
        <v>Mercado Pago</v>
      </c>
      <c r="N2651" s="20" t="str">
        <f t="shared" si="2"/>
        <v>2024 05</v>
      </c>
    </row>
    <row r="2652" ht="22.5" customHeight="1">
      <c r="A2652" s="12">
        <f>IFERROR(__xludf.DUMMYFUNCTION("""COMPUTED_VALUE"""),1921.0)</f>
        <v>1921</v>
      </c>
      <c r="B2652" s="13">
        <f>IFERROR(__xludf.DUMMYFUNCTION("""COMPUTED_VALUE"""),45421.0)</f>
        <v>45421</v>
      </c>
      <c r="C2652" s="12">
        <f>IFERROR(__xludf.DUMMYFUNCTION("""COMPUTED_VALUE"""),192.0)</f>
        <v>192</v>
      </c>
      <c r="D2652" s="12">
        <f>IFERROR(__xludf.DUMMYFUNCTION("""COMPUTED_VALUE"""),24.0)</f>
        <v>24</v>
      </c>
      <c r="E2652" s="12">
        <f>IFERROR(__xludf.DUMMYFUNCTION("""COMPUTED_VALUE"""),6.0)</f>
        <v>6</v>
      </c>
      <c r="F2652" s="12">
        <f>IFERROR(__xludf.DUMMYFUNCTION("""COMPUTED_VALUE"""),4.0)</f>
        <v>4</v>
      </c>
      <c r="G2652" s="15" t="str">
        <f>IFERROR(__xludf.DUMMYFUNCTION("""COMPUTED_VALUE"""),"Completa")</f>
        <v>Completa</v>
      </c>
      <c r="H2652" s="16" t="str">
        <f t="array" ref="H2652">_xlfn.XLOOKUP(D2652,Productos[ID_Producto],Productos[Nombre_Producto])</f>
        <v>Empanadas</v>
      </c>
      <c r="I2652" s="17">
        <f t="array" ref="I2652">_xlfn.XLOOKUP(D2652,Productos[ID_Producto],Productos[Precio_Unitario])</f>
        <v>13.54</v>
      </c>
      <c r="J2652" s="17">
        <f t="shared" si="1"/>
        <v>81.24</v>
      </c>
      <c r="K2652" s="16" t="str">
        <f t="array" ref="K2652">_xlfn.XLOOKUP(C2652,Clientes[ID_Cliente],Clientes[Provincia])</f>
        <v>San Luis</v>
      </c>
      <c r="L2652" s="16" t="str">
        <f t="array" ref="L2652">CONCATENATE(_xlfn.XLOOKUP(C2652,Clientes[ID_Cliente],Clientes[Provincia]),", Argentina")</f>
        <v>San Luis, Argentina</v>
      </c>
      <c r="M2652" s="20" t="str">
        <f t="array" ref="M2652">_xlfn.XLOOKUP(F2652,Metodos_De_Pago[ID_Metodo],Metodos_De_Pago[Metodo])</f>
        <v>Mercado Pago</v>
      </c>
      <c r="N2652" s="20" t="str">
        <f t="shared" si="2"/>
        <v>2024 05</v>
      </c>
    </row>
    <row r="2653" ht="22.5" customHeight="1">
      <c r="A2653" s="12">
        <f>IFERROR(__xludf.DUMMYFUNCTION("""COMPUTED_VALUE"""),1387.0)</f>
        <v>1387</v>
      </c>
      <c r="B2653" s="13">
        <f>IFERROR(__xludf.DUMMYFUNCTION("""COMPUTED_VALUE"""),45422.0)</f>
        <v>45422</v>
      </c>
      <c r="C2653" s="12">
        <f>IFERROR(__xludf.DUMMYFUNCTION("""COMPUTED_VALUE"""),156.0)</f>
        <v>156</v>
      </c>
      <c r="D2653" s="12">
        <f>IFERROR(__xludf.DUMMYFUNCTION("""COMPUTED_VALUE"""),27.0)</f>
        <v>27</v>
      </c>
      <c r="E2653" s="12">
        <f>IFERROR(__xludf.DUMMYFUNCTION("""COMPUTED_VALUE"""),6.0)</f>
        <v>6</v>
      </c>
      <c r="F2653" s="12">
        <f>IFERROR(__xludf.DUMMYFUNCTION("""COMPUTED_VALUE"""),5.0)</f>
        <v>5</v>
      </c>
      <c r="G2653" s="15" t="str">
        <f>IFERROR(__xludf.DUMMYFUNCTION("""COMPUTED_VALUE"""),"Completa")</f>
        <v>Completa</v>
      </c>
      <c r="H2653" s="16" t="str">
        <f t="array" ref="H2653">_xlfn.XLOOKUP(D2653,Productos[ID_Producto],Productos[Nombre_Producto])</f>
        <v>Agua mineral</v>
      </c>
      <c r="I2653" s="17">
        <f t="array" ref="I2653">_xlfn.XLOOKUP(D2653,Productos[ID_Producto],Productos[Precio_Unitario])</f>
        <v>6.21</v>
      </c>
      <c r="J2653" s="17">
        <f t="shared" si="1"/>
        <v>37.26</v>
      </c>
      <c r="K2653" s="16" t="str">
        <f t="array" ref="K2653">_xlfn.XLOOKUP(C2653,Clientes[ID_Cliente],Clientes[Provincia])</f>
        <v>Neuquén</v>
      </c>
      <c r="L2653" s="16" t="str">
        <f t="array" ref="L2653">CONCATENATE(_xlfn.XLOOKUP(C2653,Clientes[ID_Cliente],Clientes[Provincia]),", Argentina")</f>
        <v>Neuquén, Argentina</v>
      </c>
      <c r="M2653" s="20" t="str">
        <f t="array" ref="M2653">_xlfn.XLOOKUP(F2653,Metodos_De_Pago[ID_Metodo],Metodos_De_Pago[Metodo])</f>
        <v>Transferencia</v>
      </c>
      <c r="N2653" s="20" t="str">
        <f t="shared" si="2"/>
        <v>2024 05</v>
      </c>
    </row>
    <row r="2654" ht="22.5" customHeight="1">
      <c r="A2654" s="12">
        <f>IFERROR(__xludf.DUMMYFUNCTION("""COMPUTED_VALUE"""),1876.0)</f>
        <v>1876</v>
      </c>
      <c r="B2654" s="13">
        <f>IFERROR(__xludf.DUMMYFUNCTION("""COMPUTED_VALUE"""),45423.0)</f>
        <v>45423</v>
      </c>
      <c r="C2654" s="12">
        <f>IFERROR(__xludf.DUMMYFUNCTION("""COMPUTED_VALUE"""),265.0)</f>
        <v>265</v>
      </c>
      <c r="D2654" s="12">
        <f>IFERROR(__xludf.DUMMYFUNCTION("""COMPUTED_VALUE"""),3.0)</f>
        <v>3</v>
      </c>
      <c r="E2654" s="12">
        <f>IFERROR(__xludf.DUMMYFUNCTION("""COMPUTED_VALUE"""),6.0)</f>
        <v>6</v>
      </c>
      <c r="F2654" s="12">
        <f>IFERROR(__xludf.DUMMYFUNCTION("""COMPUTED_VALUE"""),5.0)</f>
        <v>5</v>
      </c>
      <c r="G2654" s="15" t="str">
        <f>IFERROR(__xludf.DUMMYFUNCTION("""COMPUTED_VALUE"""),"Completa")</f>
        <v>Completa</v>
      </c>
      <c r="H2654" s="16" t="str">
        <f t="array" ref="H2654">_xlfn.XLOOKUP(D2654,Productos[ID_Producto],Productos[Nombre_Producto])</f>
        <v>Queso cremoso</v>
      </c>
      <c r="I2654" s="17">
        <f t="array" ref="I2654">_xlfn.XLOOKUP(D2654,Productos[ID_Producto],Productos[Precio_Unitario])</f>
        <v>17.23</v>
      </c>
      <c r="J2654" s="17">
        <f t="shared" si="1"/>
        <v>103.38</v>
      </c>
      <c r="K2654" s="16" t="str">
        <f t="array" ref="K2654">_xlfn.XLOOKUP(C2654,Clientes[ID_Cliente],Clientes[Provincia])</f>
        <v>Córdoba</v>
      </c>
      <c r="L2654" s="16" t="str">
        <f t="array" ref="L2654">CONCATENATE(_xlfn.XLOOKUP(C2654,Clientes[ID_Cliente],Clientes[Provincia]),", Argentina")</f>
        <v>Córdoba, Argentina</v>
      </c>
      <c r="M2654" s="20" t="str">
        <f t="array" ref="M2654">_xlfn.XLOOKUP(F2654,Metodos_De_Pago[ID_Metodo],Metodos_De_Pago[Metodo])</f>
        <v>Transferencia</v>
      </c>
      <c r="N2654" s="20" t="str">
        <f t="shared" si="2"/>
        <v>2024 05</v>
      </c>
    </row>
    <row r="2655" ht="22.5" customHeight="1">
      <c r="A2655" s="12">
        <f>IFERROR(__xludf.DUMMYFUNCTION("""COMPUTED_VALUE"""),2289.0)</f>
        <v>2289</v>
      </c>
      <c r="B2655" s="13">
        <f>IFERROR(__xludf.DUMMYFUNCTION("""COMPUTED_VALUE"""),45424.0)</f>
        <v>45424</v>
      </c>
      <c r="C2655" s="12">
        <f>IFERROR(__xludf.DUMMYFUNCTION("""COMPUTED_VALUE"""),288.0)</f>
        <v>288</v>
      </c>
      <c r="D2655" s="12">
        <f>IFERROR(__xludf.DUMMYFUNCTION("""COMPUTED_VALUE"""),32.0)</f>
        <v>32</v>
      </c>
      <c r="E2655" s="12">
        <f>IFERROR(__xludf.DUMMYFUNCTION("""COMPUTED_VALUE"""),6.0)</f>
        <v>6</v>
      </c>
      <c r="F2655" s="12">
        <f>IFERROR(__xludf.DUMMYFUNCTION("""COMPUTED_VALUE"""),1.0)</f>
        <v>1</v>
      </c>
      <c r="G2655" s="15" t="str">
        <f>IFERROR(__xludf.DUMMYFUNCTION("""COMPUTED_VALUE"""),"Pendiente")</f>
        <v>Pendiente</v>
      </c>
      <c r="H2655" s="16" t="str">
        <f t="array" ref="H2655">_xlfn.XLOOKUP(D2655,Productos[ID_Producto],Productos[Nombre_Producto])</f>
        <v>Galletitas de chocolate</v>
      </c>
      <c r="I2655" s="17">
        <f t="array" ref="I2655">_xlfn.XLOOKUP(D2655,Productos[ID_Producto],Productos[Precio_Unitario])</f>
        <v>6.25</v>
      </c>
      <c r="J2655" s="17">
        <f t="shared" si="1"/>
        <v>37.5</v>
      </c>
      <c r="K2655" s="16" t="str">
        <f t="array" ref="K2655">_xlfn.XLOOKUP(C2655,Clientes[ID_Cliente],Clientes[Provincia])</f>
        <v>Buenos Aires</v>
      </c>
      <c r="L2655" s="16" t="str">
        <f t="array" ref="L2655">CONCATENATE(_xlfn.XLOOKUP(C2655,Clientes[ID_Cliente],Clientes[Provincia]),", Argentina")</f>
        <v>Buenos Aires, Argentina</v>
      </c>
      <c r="M2655" s="20" t="str">
        <f t="array" ref="M2655">_xlfn.XLOOKUP(F2655,Metodos_De_Pago[ID_Metodo],Metodos_De_Pago[Metodo])</f>
        <v>Efectivo</v>
      </c>
      <c r="N2655" s="20" t="str">
        <f t="shared" si="2"/>
        <v>2024 05</v>
      </c>
    </row>
    <row r="2656" ht="22.5" customHeight="1">
      <c r="A2656" s="12">
        <f>IFERROR(__xludf.DUMMYFUNCTION("""COMPUTED_VALUE"""),2344.0)</f>
        <v>2344</v>
      </c>
      <c r="B2656" s="13">
        <f>IFERROR(__xludf.DUMMYFUNCTION("""COMPUTED_VALUE"""),45424.0)</f>
        <v>45424</v>
      </c>
      <c r="C2656" s="12">
        <f>IFERROR(__xludf.DUMMYFUNCTION("""COMPUTED_VALUE"""),76.0)</f>
        <v>76</v>
      </c>
      <c r="D2656" s="12">
        <f>IFERROR(__xludf.DUMMYFUNCTION("""COMPUTED_VALUE"""),12.0)</f>
        <v>12</v>
      </c>
      <c r="E2656" s="12">
        <f>IFERROR(__xludf.DUMMYFUNCTION("""COMPUTED_VALUE"""),6.0)</f>
        <v>6</v>
      </c>
      <c r="F2656" s="12">
        <f>IFERROR(__xludf.DUMMYFUNCTION("""COMPUTED_VALUE"""),1.0)</f>
        <v>1</v>
      </c>
      <c r="G2656" s="15" t="str">
        <f>IFERROR(__xludf.DUMMYFUNCTION("""COMPUTED_VALUE"""),"Completa")</f>
        <v>Completa</v>
      </c>
      <c r="H2656" s="16" t="str">
        <f t="array" ref="H2656">_xlfn.XLOOKUP(D2656,Productos[ID_Producto],Productos[Nombre_Producto])</f>
        <v>Pan francés</v>
      </c>
      <c r="I2656" s="17">
        <f t="array" ref="I2656">_xlfn.XLOOKUP(D2656,Productos[ID_Producto],Productos[Precio_Unitario])</f>
        <v>8.12</v>
      </c>
      <c r="J2656" s="17">
        <f t="shared" si="1"/>
        <v>48.72</v>
      </c>
      <c r="K2656" s="16" t="str">
        <f t="array" ref="K2656">_xlfn.XLOOKUP(C2656,Clientes[ID_Cliente],Clientes[Provincia])</f>
        <v>Córdoba</v>
      </c>
      <c r="L2656" s="16" t="str">
        <f t="array" ref="L2656">CONCATENATE(_xlfn.XLOOKUP(C2656,Clientes[ID_Cliente],Clientes[Provincia]),", Argentina")</f>
        <v>Córdoba, Argentina</v>
      </c>
      <c r="M2656" s="20" t="str">
        <f t="array" ref="M2656">_xlfn.XLOOKUP(F2656,Metodos_De_Pago[ID_Metodo],Metodos_De_Pago[Metodo])</f>
        <v>Efectivo</v>
      </c>
      <c r="N2656" s="20" t="str">
        <f t="shared" si="2"/>
        <v>2024 05</v>
      </c>
    </row>
    <row r="2657" ht="22.5" customHeight="1">
      <c r="A2657" s="12">
        <f>IFERROR(__xludf.DUMMYFUNCTION("""COMPUTED_VALUE"""),902.0)</f>
        <v>902</v>
      </c>
      <c r="B2657" s="13">
        <f>IFERROR(__xludf.DUMMYFUNCTION("""COMPUTED_VALUE"""),45425.0)</f>
        <v>45425</v>
      </c>
      <c r="C2657" s="12">
        <f>IFERROR(__xludf.DUMMYFUNCTION("""COMPUTED_VALUE"""),316.0)</f>
        <v>316</v>
      </c>
      <c r="D2657" s="12">
        <f>IFERROR(__xludf.DUMMYFUNCTION("""COMPUTED_VALUE"""),37.0)</f>
        <v>37</v>
      </c>
      <c r="E2657" s="12">
        <f>IFERROR(__xludf.DUMMYFUNCTION("""COMPUTED_VALUE"""),6.0)</f>
        <v>6</v>
      </c>
      <c r="F2657" s="12">
        <f>IFERROR(__xludf.DUMMYFUNCTION("""COMPUTED_VALUE"""),4.0)</f>
        <v>4</v>
      </c>
      <c r="G2657" s="15" t="str">
        <f>IFERROR(__xludf.DUMMYFUNCTION("""COMPUTED_VALUE"""),"Completa")</f>
        <v>Completa</v>
      </c>
      <c r="H2657" s="16" t="str">
        <f t="array" ref="H2657">_xlfn.XLOOKUP(D2657,Productos[ID_Producto],Productos[Nombre_Producto])</f>
        <v>Garbanzos</v>
      </c>
      <c r="I2657" s="17">
        <f t="array" ref="I2657">_xlfn.XLOOKUP(D2657,Productos[ID_Producto],Productos[Precio_Unitario])</f>
        <v>3.65</v>
      </c>
      <c r="J2657" s="17">
        <f t="shared" si="1"/>
        <v>21.9</v>
      </c>
      <c r="K2657" s="16" t="str">
        <f t="array" ref="K2657">_xlfn.XLOOKUP(C2657,Clientes[ID_Cliente],Clientes[Provincia])</f>
        <v>Córdoba</v>
      </c>
      <c r="L2657" s="16" t="str">
        <f t="array" ref="L2657">CONCATENATE(_xlfn.XLOOKUP(C2657,Clientes[ID_Cliente],Clientes[Provincia]),", Argentina")</f>
        <v>Córdoba, Argentina</v>
      </c>
      <c r="M2657" s="20" t="str">
        <f t="array" ref="M2657">_xlfn.XLOOKUP(F2657,Metodos_De_Pago[ID_Metodo],Metodos_De_Pago[Metodo])</f>
        <v>Mercado Pago</v>
      </c>
      <c r="N2657" s="20" t="str">
        <f t="shared" si="2"/>
        <v>2024 05</v>
      </c>
    </row>
    <row r="2658" ht="22.5" customHeight="1">
      <c r="A2658" s="12">
        <f>IFERROR(__xludf.DUMMYFUNCTION("""COMPUTED_VALUE"""),2728.0)</f>
        <v>2728</v>
      </c>
      <c r="B2658" s="13">
        <f>IFERROR(__xludf.DUMMYFUNCTION("""COMPUTED_VALUE"""),45425.0)</f>
        <v>45425</v>
      </c>
      <c r="C2658" s="12">
        <f>IFERROR(__xludf.DUMMYFUNCTION("""COMPUTED_VALUE"""),49.0)</f>
        <v>49</v>
      </c>
      <c r="D2658" s="12">
        <f>IFERROR(__xludf.DUMMYFUNCTION("""COMPUTED_VALUE"""),6.0)</f>
        <v>6</v>
      </c>
      <c r="E2658" s="12">
        <f>IFERROR(__xludf.DUMMYFUNCTION("""COMPUTED_VALUE"""),6.0)</f>
        <v>6</v>
      </c>
      <c r="F2658" s="12">
        <f>IFERROR(__xludf.DUMMYFUNCTION("""COMPUTED_VALUE"""),4.0)</f>
        <v>4</v>
      </c>
      <c r="G2658" s="15" t="str">
        <f>IFERROR(__xludf.DUMMYFUNCTION("""COMPUTED_VALUE"""),"Completa")</f>
        <v>Completa</v>
      </c>
      <c r="H2658" s="16" t="str">
        <f t="array" ref="H2658">_xlfn.XLOOKUP(D2658,Productos[ID_Producto],Productos[Nombre_Producto])</f>
        <v>Asado</v>
      </c>
      <c r="I2658" s="17">
        <f t="array" ref="I2658">_xlfn.XLOOKUP(D2658,Productos[ID_Producto],Productos[Precio_Unitario])</f>
        <v>28.56</v>
      </c>
      <c r="J2658" s="17">
        <f t="shared" si="1"/>
        <v>171.36</v>
      </c>
      <c r="K2658" s="16" t="str">
        <f t="array" ref="K2658">_xlfn.XLOOKUP(C2658,Clientes[ID_Cliente],Clientes[Provincia])</f>
        <v>Buenos Aires</v>
      </c>
      <c r="L2658" s="16" t="str">
        <f t="array" ref="L2658">CONCATENATE(_xlfn.XLOOKUP(C2658,Clientes[ID_Cliente],Clientes[Provincia]),", Argentina")</f>
        <v>Buenos Aires, Argentina</v>
      </c>
      <c r="M2658" s="20" t="str">
        <f t="array" ref="M2658">_xlfn.XLOOKUP(F2658,Metodos_De_Pago[ID_Metodo],Metodos_De_Pago[Metodo])</f>
        <v>Mercado Pago</v>
      </c>
      <c r="N2658" s="20" t="str">
        <f t="shared" si="2"/>
        <v>2024 05</v>
      </c>
    </row>
    <row r="2659" ht="22.5" customHeight="1">
      <c r="A2659" s="12">
        <f>IFERROR(__xludf.DUMMYFUNCTION("""COMPUTED_VALUE"""),1155.0)</f>
        <v>1155</v>
      </c>
      <c r="B2659" s="13">
        <f>IFERROR(__xludf.DUMMYFUNCTION("""COMPUTED_VALUE"""),45426.0)</f>
        <v>45426</v>
      </c>
      <c r="C2659" s="12">
        <f>IFERROR(__xludf.DUMMYFUNCTION("""COMPUTED_VALUE"""),113.0)</f>
        <v>113</v>
      </c>
      <c r="D2659" s="12">
        <f>IFERROR(__xludf.DUMMYFUNCTION("""COMPUTED_VALUE"""),37.0)</f>
        <v>37</v>
      </c>
      <c r="E2659" s="12">
        <f>IFERROR(__xludf.DUMMYFUNCTION("""COMPUTED_VALUE"""),6.0)</f>
        <v>6</v>
      </c>
      <c r="F2659" s="12">
        <f>IFERROR(__xludf.DUMMYFUNCTION("""COMPUTED_VALUE"""),1.0)</f>
        <v>1</v>
      </c>
      <c r="G2659" s="15" t="str">
        <f>IFERROR(__xludf.DUMMYFUNCTION("""COMPUTED_VALUE"""),"Completa")</f>
        <v>Completa</v>
      </c>
      <c r="H2659" s="16" t="str">
        <f t="array" ref="H2659">_xlfn.XLOOKUP(D2659,Productos[ID_Producto],Productos[Nombre_Producto])</f>
        <v>Garbanzos</v>
      </c>
      <c r="I2659" s="17">
        <f t="array" ref="I2659">_xlfn.XLOOKUP(D2659,Productos[ID_Producto],Productos[Precio_Unitario])</f>
        <v>3.65</v>
      </c>
      <c r="J2659" s="17">
        <f t="shared" si="1"/>
        <v>21.9</v>
      </c>
      <c r="K2659" s="16" t="str">
        <f t="array" ref="K2659">_xlfn.XLOOKUP(C2659,Clientes[ID_Cliente],Clientes[Provincia])</f>
        <v>Buenos Aires</v>
      </c>
      <c r="L2659" s="16" t="str">
        <f t="array" ref="L2659">CONCATENATE(_xlfn.XLOOKUP(C2659,Clientes[ID_Cliente],Clientes[Provincia]),", Argentina")</f>
        <v>Buenos Aires, Argentina</v>
      </c>
      <c r="M2659" s="20" t="str">
        <f t="array" ref="M2659">_xlfn.XLOOKUP(F2659,Metodos_De_Pago[ID_Metodo],Metodos_De_Pago[Metodo])</f>
        <v>Efectivo</v>
      </c>
      <c r="N2659" s="20" t="str">
        <f t="shared" si="2"/>
        <v>2024 05</v>
      </c>
    </row>
    <row r="2660" ht="22.5" customHeight="1">
      <c r="A2660" s="12">
        <f>IFERROR(__xludf.DUMMYFUNCTION("""COMPUTED_VALUE"""),1368.0)</f>
        <v>1368</v>
      </c>
      <c r="B2660" s="13">
        <f>IFERROR(__xludf.DUMMYFUNCTION("""COMPUTED_VALUE"""),45428.0)</f>
        <v>45428</v>
      </c>
      <c r="C2660" s="12">
        <f>IFERROR(__xludf.DUMMYFUNCTION("""COMPUTED_VALUE"""),57.0)</f>
        <v>57</v>
      </c>
      <c r="D2660" s="12">
        <f>IFERROR(__xludf.DUMMYFUNCTION("""COMPUTED_VALUE"""),11.0)</f>
        <v>11</v>
      </c>
      <c r="E2660" s="12">
        <f>IFERROR(__xludf.DUMMYFUNCTION("""COMPUTED_VALUE"""),6.0)</f>
        <v>6</v>
      </c>
      <c r="F2660" s="12">
        <f>IFERROR(__xludf.DUMMYFUNCTION("""COMPUTED_VALUE"""),1.0)</f>
        <v>1</v>
      </c>
      <c r="G2660" s="15" t="str">
        <f>IFERROR(__xludf.DUMMYFUNCTION("""COMPUTED_VALUE"""),"Completa")</f>
        <v>Completa</v>
      </c>
      <c r="H2660" s="16" t="str">
        <f t="array" ref="H2660">_xlfn.XLOOKUP(D2660,Productos[ID_Producto],Productos[Nombre_Producto])</f>
        <v>Salchicha</v>
      </c>
      <c r="I2660" s="17">
        <f t="array" ref="I2660">_xlfn.XLOOKUP(D2660,Productos[ID_Producto],Productos[Precio_Unitario])</f>
        <v>11.23</v>
      </c>
      <c r="J2660" s="17">
        <f t="shared" si="1"/>
        <v>67.38</v>
      </c>
      <c r="K2660" s="16" t="str">
        <f t="array" ref="K2660">_xlfn.XLOOKUP(C2660,Clientes[ID_Cliente],Clientes[Provincia])</f>
        <v>Córdoba</v>
      </c>
      <c r="L2660" s="16" t="str">
        <f t="array" ref="L2660">CONCATENATE(_xlfn.XLOOKUP(C2660,Clientes[ID_Cliente],Clientes[Provincia]),", Argentina")</f>
        <v>Córdoba, Argentina</v>
      </c>
      <c r="M2660" s="20" t="str">
        <f t="array" ref="M2660">_xlfn.XLOOKUP(F2660,Metodos_De_Pago[ID_Metodo],Metodos_De_Pago[Metodo])</f>
        <v>Efectivo</v>
      </c>
      <c r="N2660" s="20" t="str">
        <f t="shared" si="2"/>
        <v>2024 05</v>
      </c>
    </row>
    <row r="2661" ht="22.5" customHeight="1">
      <c r="A2661" s="12">
        <f>IFERROR(__xludf.DUMMYFUNCTION("""COMPUTED_VALUE"""),2221.0)</f>
        <v>2221</v>
      </c>
      <c r="B2661" s="13">
        <f>IFERROR(__xludf.DUMMYFUNCTION("""COMPUTED_VALUE"""),45428.0)</f>
        <v>45428</v>
      </c>
      <c r="C2661" s="12">
        <f>IFERROR(__xludf.DUMMYFUNCTION("""COMPUTED_VALUE"""),63.0)</f>
        <v>63</v>
      </c>
      <c r="D2661" s="12">
        <f>IFERROR(__xludf.DUMMYFUNCTION("""COMPUTED_VALUE"""),20.0)</f>
        <v>20</v>
      </c>
      <c r="E2661" s="12">
        <f>IFERROR(__xludf.DUMMYFUNCTION("""COMPUTED_VALUE"""),6.0)</f>
        <v>6</v>
      </c>
      <c r="F2661" s="12">
        <f>IFERROR(__xludf.DUMMYFUNCTION("""COMPUTED_VALUE"""),1.0)</f>
        <v>1</v>
      </c>
      <c r="G2661" s="15" t="str">
        <f>IFERROR(__xludf.DUMMYFUNCTION("""COMPUTED_VALUE"""),"Completa")</f>
        <v>Completa</v>
      </c>
      <c r="H2661" s="16" t="str">
        <f t="array" ref="H2661">_xlfn.XLOOKUP(D2661,Productos[ID_Producto],Productos[Nombre_Producto])</f>
        <v>Lechugas</v>
      </c>
      <c r="I2661" s="17">
        <f t="array" ref="I2661">_xlfn.XLOOKUP(D2661,Productos[ID_Producto],Productos[Precio_Unitario])</f>
        <v>4.25</v>
      </c>
      <c r="J2661" s="17">
        <f t="shared" si="1"/>
        <v>25.5</v>
      </c>
      <c r="K2661" s="16" t="str">
        <f t="array" ref="K2661">_xlfn.XLOOKUP(C2661,Clientes[ID_Cliente],Clientes[Provincia])</f>
        <v>Buenos Aires</v>
      </c>
      <c r="L2661" s="16" t="str">
        <f t="array" ref="L2661">CONCATENATE(_xlfn.XLOOKUP(C2661,Clientes[ID_Cliente],Clientes[Provincia]),", Argentina")</f>
        <v>Buenos Aires, Argentina</v>
      </c>
      <c r="M2661" s="20" t="str">
        <f t="array" ref="M2661">_xlfn.XLOOKUP(F2661,Metodos_De_Pago[ID_Metodo],Metodos_De_Pago[Metodo])</f>
        <v>Efectivo</v>
      </c>
      <c r="N2661" s="20" t="str">
        <f t="shared" si="2"/>
        <v>2024 05</v>
      </c>
    </row>
    <row r="2662" ht="22.5" customHeight="1">
      <c r="A2662" s="12">
        <f>IFERROR(__xludf.DUMMYFUNCTION("""COMPUTED_VALUE"""),2339.0)</f>
        <v>2339</v>
      </c>
      <c r="B2662" s="13">
        <f>IFERROR(__xludf.DUMMYFUNCTION("""COMPUTED_VALUE"""),45428.0)</f>
        <v>45428</v>
      </c>
      <c r="C2662" s="12">
        <f>IFERROR(__xludf.DUMMYFUNCTION("""COMPUTED_VALUE"""),6.0)</f>
        <v>6</v>
      </c>
      <c r="D2662" s="12">
        <f>IFERROR(__xludf.DUMMYFUNCTION("""COMPUTED_VALUE"""),21.0)</f>
        <v>21</v>
      </c>
      <c r="E2662" s="12">
        <f>IFERROR(__xludf.DUMMYFUNCTION("""COMPUTED_VALUE"""),6.0)</f>
        <v>6</v>
      </c>
      <c r="F2662" s="12">
        <f>IFERROR(__xludf.DUMMYFUNCTION("""COMPUTED_VALUE"""),5.0)</f>
        <v>5</v>
      </c>
      <c r="G2662" s="15" t="str">
        <f>IFERROR(__xludf.DUMMYFUNCTION("""COMPUTED_VALUE"""),"Completa")</f>
        <v>Completa</v>
      </c>
      <c r="H2662" s="16" t="str">
        <f t="array" ref="H2662">_xlfn.XLOOKUP(D2662,Productos[ID_Producto],Productos[Nombre_Producto])</f>
        <v>Zanahorias</v>
      </c>
      <c r="I2662" s="17">
        <f t="array" ref="I2662">_xlfn.XLOOKUP(D2662,Productos[ID_Producto],Productos[Precio_Unitario])</f>
        <v>3.25</v>
      </c>
      <c r="J2662" s="17">
        <f t="shared" si="1"/>
        <v>19.5</v>
      </c>
      <c r="K2662" s="16" t="str">
        <f t="array" ref="K2662">_xlfn.XLOOKUP(C2662,Clientes[ID_Cliente],Clientes[Provincia])</f>
        <v>Buenos Aires</v>
      </c>
      <c r="L2662" s="16" t="str">
        <f t="array" ref="L2662">CONCATENATE(_xlfn.XLOOKUP(C2662,Clientes[ID_Cliente],Clientes[Provincia]),", Argentina")</f>
        <v>Buenos Aires, Argentina</v>
      </c>
      <c r="M2662" s="20" t="str">
        <f t="array" ref="M2662">_xlfn.XLOOKUP(F2662,Metodos_De_Pago[ID_Metodo],Metodos_De_Pago[Metodo])</f>
        <v>Transferencia</v>
      </c>
      <c r="N2662" s="20" t="str">
        <f t="shared" si="2"/>
        <v>2024 05</v>
      </c>
    </row>
    <row r="2663" ht="22.5" customHeight="1">
      <c r="A2663" s="12">
        <f>IFERROR(__xludf.DUMMYFUNCTION("""COMPUTED_VALUE"""),808.0)</f>
        <v>808</v>
      </c>
      <c r="B2663" s="13">
        <f>IFERROR(__xludf.DUMMYFUNCTION("""COMPUTED_VALUE"""),45430.0)</f>
        <v>45430</v>
      </c>
      <c r="C2663" s="12">
        <f>IFERROR(__xludf.DUMMYFUNCTION("""COMPUTED_VALUE"""),273.0)</f>
        <v>273</v>
      </c>
      <c r="D2663" s="12">
        <f>IFERROR(__xludf.DUMMYFUNCTION("""COMPUTED_VALUE"""),28.0)</f>
        <v>28</v>
      </c>
      <c r="E2663" s="12">
        <f>IFERROR(__xludf.DUMMYFUNCTION("""COMPUTED_VALUE"""),6.0)</f>
        <v>6</v>
      </c>
      <c r="F2663" s="12">
        <f>IFERROR(__xludf.DUMMYFUNCTION("""COMPUTED_VALUE"""),1.0)</f>
        <v>1</v>
      </c>
      <c r="G2663" s="15" t="str">
        <f>IFERROR(__xludf.DUMMYFUNCTION("""COMPUTED_VALUE"""),"Pendiente")</f>
        <v>Pendiente</v>
      </c>
      <c r="H2663" s="16" t="str">
        <f t="array" ref="H2663">_xlfn.XLOOKUP(D2663,Productos[ID_Producto],Productos[Nombre_Producto])</f>
        <v>Jugos de frutas</v>
      </c>
      <c r="I2663" s="17">
        <f t="array" ref="I2663">_xlfn.XLOOKUP(D2663,Productos[ID_Producto],Productos[Precio_Unitario])</f>
        <v>9.45</v>
      </c>
      <c r="J2663" s="17">
        <f t="shared" si="1"/>
        <v>56.7</v>
      </c>
      <c r="K2663" s="16" t="str">
        <f t="array" ref="K2663">_xlfn.XLOOKUP(C2663,Clientes[ID_Cliente],Clientes[Provincia])</f>
        <v>San Luis</v>
      </c>
      <c r="L2663" s="16" t="str">
        <f t="array" ref="L2663">CONCATENATE(_xlfn.XLOOKUP(C2663,Clientes[ID_Cliente],Clientes[Provincia]),", Argentina")</f>
        <v>San Luis, Argentina</v>
      </c>
      <c r="M2663" s="20" t="str">
        <f t="array" ref="M2663">_xlfn.XLOOKUP(F2663,Metodos_De_Pago[ID_Metodo],Metodos_De_Pago[Metodo])</f>
        <v>Efectivo</v>
      </c>
      <c r="N2663" s="20" t="str">
        <f t="shared" si="2"/>
        <v>2024 05</v>
      </c>
    </row>
    <row r="2664" ht="22.5" customHeight="1">
      <c r="A2664" s="12">
        <f>IFERROR(__xludf.DUMMYFUNCTION("""COMPUTED_VALUE"""),58.0)</f>
        <v>58</v>
      </c>
      <c r="B2664" s="13">
        <f>IFERROR(__xludf.DUMMYFUNCTION("""COMPUTED_VALUE"""),45431.0)</f>
        <v>45431</v>
      </c>
      <c r="C2664" s="12">
        <f>IFERROR(__xludf.DUMMYFUNCTION("""COMPUTED_VALUE"""),157.0)</f>
        <v>157</v>
      </c>
      <c r="D2664" s="12">
        <f>IFERROR(__xludf.DUMMYFUNCTION("""COMPUTED_VALUE"""),5.0)</f>
        <v>5</v>
      </c>
      <c r="E2664" s="12">
        <f>IFERROR(__xludf.DUMMYFUNCTION("""COMPUTED_VALUE"""),6.0)</f>
        <v>6</v>
      </c>
      <c r="F2664" s="12">
        <f>IFERROR(__xludf.DUMMYFUNCTION("""COMPUTED_VALUE"""),1.0)</f>
        <v>1</v>
      </c>
      <c r="G2664" s="15" t="str">
        <f>IFERROR(__xludf.DUMMYFUNCTION("""COMPUTED_VALUE"""),"Pendiente")</f>
        <v>Pendiente</v>
      </c>
      <c r="H2664" s="16" t="str">
        <f t="array" ref="H2664">_xlfn.XLOOKUP(D2664,Productos[ID_Producto],Productos[Nombre_Producto])</f>
        <v>Manteca</v>
      </c>
      <c r="I2664" s="17">
        <f t="array" ref="I2664">_xlfn.XLOOKUP(D2664,Productos[ID_Producto],Productos[Precio_Unitario])</f>
        <v>5.65</v>
      </c>
      <c r="J2664" s="17">
        <f t="shared" si="1"/>
        <v>33.9</v>
      </c>
      <c r="K2664" s="16" t="str">
        <f t="array" ref="K2664">_xlfn.XLOOKUP(C2664,Clientes[ID_Cliente],Clientes[Provincia])</f>
        <v>Neuquén</v>
      </c>
      <c r="L2664" s="16" t="str">
        <f t="array" ref="L2664">CONCATENATE(_xlfn.XLOOKUP(C2664,Clientes[ID_Cliente],Clientes[Provincia]),", Argentina")</f>
        <v>Neuquén, Argentina</v>
      </c>
      <c r="M2664" s="20" t="str">
        <f t="array" ref="M2664">_xlfn.XLOOKUP(F2664,Metodos_De_Pago[ID_Metodo],Metodos_De_Pago[Metodo])</f>
        <v>Efectivo</v>
      </c>
      <c r="N2664" s="20" t="str">
        <f t="shared" si="2"/>
        <v>2024 05</v>
      </c>
    </row>
    <row r="2665" ht="22.5" customHeight="1">
      <c r="A2665" s="12">
        <f>IFERROR(__xludf.DUMMYFUNCTION("""COMPUTED_VALUE"""),227.0)</f>
        <v>227</v>
      </c>
      <c r="B2665" s="13">
        <f>IFERROR(__xludf.DUMMYFUNCTION("""COMPUTED_VALUE"""),45432.0)</f>
        <v>45432</v>
      </c>
      <c r="C2665" s="12">
        <f>IFERROR(__xludf.DUMMYFUNCTION("""COMPUTED_VALUE"""),271.0)</f>
        <v>271</v>
      </c>
      <c r="D2665" s="12">
        <f>IFERROR(__xludf.DUMMYFUNCTION("""COMPUTED_VALUE"""),7.0)</f>
        <v>7</v>
      </c>
      <c r="E2665" s="12">
        <f>IFERROR(__xludf.DUMMYFUNCTION("""COMPUTED_VALUE"""),6.0)</f>
        <v>6</v>
      </c>
      <c r="F2665" s="12">
        <f>IFERROR(__xludf.DUMMYFUNCTION("""COMPUTED_VALUE"""),2.0)</f>
        <v>2</v>
      </c>
      <c r="G2665" s="15" t="str">
        <f>IFERROR(__xludf.DUMMYFUNCTION("""COMPUTED_VALUE"""),"Completa")</f>
        <v>Completa</v>
      </c>
      <c r="H2665" s="16" t="str">
        <f t="array" ref="H2665">_xlfn.XLOOKUP(D2665,Productos[ID_Producto],Productos[Nombre_Producto])</f>
        <v>Chorizo</v>
      </c>
      <c r="I2665" s="17">
        <f t="array" ref="I2665">_xlfn.XLOOKUP(D2665,Productos[ID_Producto],Productos[Precio_Unitario])</f>
        <v>11.25</v>
      </c>
      <c r="J2665" s="17">
        <f t="shared" si="1"/>
        <v>67.5</v>
      </c>
      <c r="K2665" s="16" t="str">
        <f t="array" ref="K2665">_xlfn.XLOOKUP(C2665,Clientes[ID_Cliente],Clientes[Provincia])</f>
        <v>Neuquén</v>
      </c>
      <c r="L2665" s="16" t="str">
        <f t="array" ref="L2665">CONCATENATE(_xlfn.XLOOKUP(C2665,Clientes[ID_Cliente],Clientes[Provincia]),", Argentina")</f>
        <v>Neuquén, Argentina</v>
      </c>
      <c r="M2665" s="20" t="str">
        <f t="array" ref="M2665">_xlfn.XLOOKUP(F2665,Metodos_De_Pago[ID_Metodo],Metodos_De_Pago[Metodo])</f>
        <v>Tarjeta de Crédito</v>
      </c>
      <c r="N2665" s="20" t="str">
        <f t="shared" si="2"/>
        <v>2024 05</v>
      </c>
    </row>
    <row r="2666" ht="22.5" customHeight="1">
      <c r="A2666" s="12">
        <f>IFERROR(__xludf.DUMMYFUNCTION("""COMPUTED_VALUE"""),1727.0)</f>
        <v>1727</v>
      </c>
      <c r="B2666" s="13">
        <f>IFERROR(__xludf.DUMMYFUNCTION("""COMPUTED_VALUE"""),45432.0)</f>
        <v>45432</v>
      </c>
      <c r="C2666" s="12">
        <f>IFERROR(__xludf.DUMMYFUNCTION("""COMPUTED_VALUE"""),128.0)</f>
        <v>128</v>
      </c>
      <c r="D2666" s="12">
        <f>IFERROR(__xludf.DUMMYFUNCTION("""COMPUTED_VALUE"""),14.0)</f>
        <v>14</v>
      </c>
      <c r="E2666" s="12">
        <f>IFERROR(__xludf.DUMMYFUNCTION("""COMPUTED_VALUE"""),6.0)</f>
        <v>6</v>
      </c>
      <c r="F2666" s="12">
        <f>IFERROR(__xludf.DUMMYFUNCTION("""COMPUTED_VALUE"""),3.0)</f>
        <v>3</v>
      </c>
      <c r="G2666" s="15" t="str">
        <f>IFERROR(__xludf.DUMMYFUNCTION("""COMPUTED_VALUE"""),"Completa")</f>
        <v>Completa</v>
      </c>
      <c r="H2666" s="16" t="str">
        <f t="array" ref="H2666">_xlfn.XLOOKUP(D2666,Productos[ID_Producto],Productos[Nombre_Producto])</f>
        <v>Facturas</v>
      </c>
      <c r="I2666" s="17">
        <f t="array" ref="I2666">_xlfn.XLOOKUP(D2666,Productos[ID_Producto],Productos[Precio_Unitario])</f>
        <v>12.36</v>
      </c>
      <c r="J2666" s="17">
        <f t="shared" si="1"/>
        <v>74.16</v>
      </c>
      <c r="K2666" s="16" t="str">
        <f t="array" ref="K2666">_xlfn.XLOOKUP(C2666,Clientes[ID_Cliente],Clientes[Provincia])</f>
        <v>Buenos Aires</v>
      </c>
      <c r="L2666" s="16" t="str">
        <f t="array" ref="L2666">CONCATENATE(_xlfn.XLOOKUP(C2666,Clientes[ID_Cliente],Clientes[Provincia]),", Argentina")</f>
        <v>Buenos Aires, Argentina</v>
      </c>
      <c r="M2666" s="20" t="str">
        <f t="array" ref="M2666">_xlfn.XLOOKUP(F2666,Metodos_De_Pago[ID_Metodo],Metodos_De_Pago[Metodo])</f>
        <v>Tarjeta de Débito</v>
      </c>
      <c r="N2666" s="20" t="str">
        <f t="shared" si="2"/>
        <v>2024 05</v>
      </c>
    </row>
    <row r="2667" ht="22.5" customHeight="1">
      <c r="A2667" s="12">
        <f>IFERROR(__xludf.DUMMYFUNCTION("""COMPUTED_VALUE"""),1794.0)</f>
        <v>1794</v>
      </c>
      <c r="B2667" s="13">
        <f>IFERROR(__xludf.DUMMYFUNCTION("""COMPUTED_VALUE"""),45434.0)</f>
        <v>45434</v>
      </c>
      <c r="C2667" s="12">
        <f>IFERROR(__xludf.DUMMYFUNCTION("""COMPUTED_VALUE"""),144.0)</f>
        <v>144</v>
      </c>
      <c r="D2667" s="12">
        <f>IFERROR(__xludf.DUMMYFUNCTION("""COMPUTED_VALUE"""),5.0)</f>
        <v>5</v>
      </c>
      <c r="E2667" s="12">
        <f>IFERROR(__xludf.DUMMYFUNCTION("""COMPUTED_VALUE"""),6.0)</f>
        <v>6</v>
      </c>
      <c r="F2667" s="12">
        <f>IFERROR(__xludf.DUMMYFUNCTION("""COMPUTED_VALUE"""),5.0)</f>
        <v>5</v>
      </c>
      <c r="G2667" s="15" t="str">
        <f>IFERROR(__xludf.DUMMYFUNCTION("""COMPUTED_VALUE"""),"Pendiente")</f>
        <v>Pendiente</v>
      </c>
      <c r="H2667" s="16" t="str">
        <f t="array" ref="H2667">_xlfn.XLOOKUP(D2667,Productos[ID_Producto],Productos[Nombre_Producto])</f>
        <v>Manteca</v>
      </c>
      <c r="I2667" s="17">
        <f t="array" ref="I2667">_xlfn.XLOOKUP(D2667,Productos[ID_Producto],Productos[Precio_Unitario])</f>
        <v>5.65</v>
      </c>
      <c r="J2667" s="17">
        <f t="shared" si="1"/>
        <v>33.9</v>
      </c>
      <c r="K2667" s="16" t="str">
        <f t="array" ref="K2667">_xlfn.XLOOKUP(C2667,Clientes[ID_Cliente],Clientes[Provincia])</f>
        <v>Chaco</v>
      </c>
      <c r="L2667" s="16" t="str">
        <f t="array" ref="L2667">CONCATENATE(_xlfn.XLOOKUP(C2667,Clientes[ID_Cliente],Clientes[Provincia]),", Argentina")</f>
        <v>Chaco, Argentina</v>
      </c>
      <c r="M2667" s="20" t="str">
        <f t="array" ref="M2667">_xlfn.XLOOKUP(F2667,Metodos_De_Pago[ID_Metodo],Metodos_De_Pago[Metodo])</f>
        <v>Transferencia</v>
      </c>
      <c r="N2667" s="20" t="str">
        <f t="shared" si="2"/>
        <v>2024 05</v>
      </c>
    </row>
    <row r="2668" ht="22.5" customHeight="1">
      <c r="A2668" s="12">
        <f>IFERROR(__xludf.DUMMYFUNCTION("""COMPUTED_VALUE"""),2018.0)</f>
        <v>2018</v>
      </c>
      <c r="B2668" s="13">
        <f>IFERROR(__xludf.DUMMYFUNCTION("""COMPUTED_VALUE"""),45434.0)</f>
        <v>45434</v>
      </c>
      <c r="C2668" s="12">
        <f>IFERROR(__xludf.DUMMYFUNCTION("""COMPUTED_VALUE"""),69.0)</f>
        <v>69</v>
      </c>
      <c r="D2668" s="12">
        <f>IFERROR(__xludf.DUMMYFUNCTION("""COMPUTED_VALUE"""),27.0)</f>
        <v>27</v>
      </c>
      <c r="E2668" s="12">
        <f>IFERROR(__xludf.DUMMYFUNCTION("""COMPUTED_VALUE"""),6.0)</f>
        <v>6</v>
      </c>
      <c r="F2668" s="12">
        <f>IFERROR(__xludf.DUMMYFUNCTION("""COMPUTED_VALUE"""),1.0)</f>
        <v>1</v>
      </c>
      <c r="G2668" s="15" t="str">
        <f>IFERROR(__xludf.DUMMYFUNCTION("""COMPUTED_VALUE"""),"Completa")</f>
        <v>Completa</v>
      </c>
      <c r="H2668" s="16" t="str">
        <f t="array" ref="H2668">_xlfn.XLOOKUP(D2668,Productos[ID_Producto],Productos[Nombre_Producto])</f>
        <v>Agua mineral</v>
      </c>
      <c r="I2668" s="17">
        <f t="array" ref="I2668">_xlfn.XLOOKUP(D2668,Productos[ID_Producto],Productos[Precio_Unitario])</f>
        <v>6.21</v>
      </c>
      <c r="J2668" s="17">
        <f t="shared" si="1"/>
        <v>37.26</v>
      </c>
      <c r="K2668" s="16" t="str">
        <f t="array" ref="K2668">_xlfn.XLOOKUP(C2668,Clientes[ID_Cliente],Clientes[Provincia])</f>
        <v>San Luis</v>
      </c>
      <c r="L2668" s="16" t="str">
        <f t="array" ref="L2668">CONCATENATE(_xlfn.XLOOKUP(C2668,Clientes[ID_Cliente],Clientes[Provincia]),", Argentina")</f>
        <v>San Luis, Argentina</v>
      </c>
      <c r="M2668" s="20" t="str">
        <f t="array" ref="M2668">_xlfn.XLOOKUP(F2668,Metodos_De_Pago[ID_Metodo],Metodos_De_Pago[Metodo])</f>
        <v>Efectivo</v>
      </c>
      <c r="N2668" s="20" t="str">
        <f t="shared" si="2"/>
        <v>2024 05</v>
      </c>
    </row>
    <row r="2669" ht="22.5" customHeight="1">
      <c r="A2669" s="12">
        <f>IFERROR(__xludf.DUMMYFUNCTION("""COMPUTED_VALUE"""),2443.0)</f>
        <v>2443</v>
      </c>
      <c r="B2669" s="13">
        <f>IFERROR(__xludf.DUMMYFUNCTION("""COMPUTED_VALUE"""),45435.0)</f>
        <v>45435</v>
      </c>
      <c r="C2669" s="12">
        <f>IFERROR(__xludf.DUMMYFUNCTION("""COMPUTED_VALUE"""),74.0)</f>
        <v>74</v>
      </c>
      <c r="D2669" s="12">
        <f>IFERROR(__xludf.DUMMYFUNCTION("""COMPUTED_VALUE"""),13.0)</f>
        <v>13</v>
      </c>
      <c r="E2669" s="12">
        <f>IFERROR(__xludf.DUMMYFUNCTION("""COMPUTED_VALUE"""),6.0)</f>
        <v>6</v>
      </c>
      <c r="F2669" s="12">
        <f>IFERROR(__xludf.DUMMYFUNCTION("""COMPUTED_VALUE"""),4.0)</f>
        <v>4</v>
      </c>
      <c r="G2669" s="15" t="str">
        <f>IFERROR(__xludf.DUMMYFUNCTION("""COMPUTED_VALUE"""),"Completa")</f>
        <v>Completa</v>
      </c>
      <c r="H2669" s="16" t="str">
        <f t="array" ref="H2669">_xlfn.XLOOKUP(D2669,Productos[ID_Producto],Productos[Nombre_Producto])</f>
        <v>Pan integral</v>
      </c>
      <c r="I2669" s="17">
        <f t="array" ref="I2669">_xlfn.XLOOKUP(D2669,Productos[ID_Producto],Productos[Precio_Unitario])</f>
        <v>12.56</v>
      </c>
      <c r="J2669" s="17">
        <f t="shared" si="1"/>
        <v>75.36</v>
      </c>
      <c r="K2669" s="16" t="str">
        <f t="array" ref="K2669">_xlfn.XLOOKUP(C2669,Clientes[ID_Cliente],Clientes[Provincia])</f>
        <v>Neuquén</v>
      </c>
      <c r="L2669" s="16" t="str">
        <f t="array" ref="L2669">CONCATENATE(_xlfn.XLOOKUP(C2669,Clientes[ID_Cliente],Clientes[Provincia]),", Argentina")</f>
        <v>Neuquén, Argentina</v>
      </c>
      <c r="M2669" s="20" t="str">
        <f t="array" ref="M2669">_xlfn.XLOOKUP(F2669,Metodos_De_Pago[ID_Metodo],Metodos_De_Pago[Metodo])</f>
        <v>Mercado Pago</v>
      </c>
      <c r="N2669" s="20" t="str">
        <f t="shared" si="2"/>
        <v>2024 05</v>
      </c>
    </row>
    <row r="2670" ht="22.5" customHeight="1">
      <c r="A2670" s="12">
        <f>IFERROR(__xludf.DUMMYFUNCTION("""COMPUTED_VALUE"""),2841.0)</f>
        <v>2841</v>
      </c>
      <c r="B2670" s="13">
        <f>IFERROR(__xludf.DUMMYFUNCTION("""COMPUTED_VALUE"""),45435.0)</f>
        <v>45435</v>
      </c>
      <c r="C2670" s="12">
        <f>IFERROR(__xludf.DUMMYFUNCTION("""COMPUTED_VALUE"""),303.0)</f>
        <v>303</v>
      </c>
      <c r="D2670" s="12">
        <f>IFERROR(__xludf.DUMMYFUNCTION("""COMPUTED_VALUE"""),15.0)</f>
        <v>15</v>
      </c>
      <c r="E2670" s="12">
        <f>IFERROR(__xludf.DUMMYFUNCTION("""COMPUTED_VALUE"""),6.0)</f>
        <v>6</v>
      </c>
      <c r="F2670" s="12">
        <f>IFERROR(__xludf.DUMMYFUNCTION("""COMPUTED_VALUE"""),5.0)</f>
        <v>5</v>
      </c>
      <c r="G2670" s="15" t="str">
        <f>IFERROR(__xludf.DUMMYFUNCTION("""COMPUTED_VALUE"""),"Completa")</f>
        <v>Completa</v>
      </c>
      <c r="H2670" s="16" t="str">
        <f t="array" ref="H2670">_xlfn.XLOOKUP(D2670,Productos[ID_Producto],Productos[Nombre_Producto])</f>
        <v>Medialunas</v>
      </c>
      <c r="I2670" s="17">
        <f t="array" ref="I2670">_xlfn.XLOOKUP(D2670,Productos[ID_Producto],Productos[Precio_Unitario])</f>
        <v>3.51</v>
      </c>
      <c r="J2670" s="17">
        <f t="shared" si="1"/>
        <v>21.06</v>
      </c>
      <c r="K2670" s="16" t="str">
        <f t="array" ref="K2670">_xlfn.XLOOKUP(C2670,Clientes[ID_Cliente],Clientes[Provincia])</f>
        <v>Córdoba</v>
      </c>
      <c r="L2670" s="16" t="str">
        <f t="array" ref="L2670">CONCATENATE(_xlfn.XLOOKUP(C2670,Clientes[ID_Cliente],Clientes[Provincia]),", Argentina")</f>
        <v>Córdoba, Argentina</v>
      </c>
      <c r="M2670" s="20" t="str">
        <f t="array" ref="M2670">_xlfn.XLOOKUP(F2670,Metodos_De_Pago[ID_Metodo],Metodos_De_Pago[Metodo])</f>
        <v>Transferencia</v>
      </c>
      <c r="N2670" s="20" t="str">
        <f t="shared" si="2"/>
        <v>2024 05</v>
      </c>
    </row>
    <row r="2671" ht="22.5" customHeight="1">
      <c r="A2671" s="12">
        <f>IFERROR(__xludf.DUMMYFUNCTION("""COMPUTED_VALUE"""),397.0)</f>
        <v>397</v>
      </c>
      <c r="B2671" s="13">
        <f>IFERROR(__xludf.DUMMYFUNCTION("""COMPUTED_VALUE"""),45436.0)</f>
        <v>45436</v>
      </c>
      <c r="C2671" s="12">
        <f>IFERROR(__xludf.DUMMYFUNCTION("""COMPUTED_VALUE"""),231.0)</f>
        <v>231</v>
      </c>
      <c r="D2671" s="12">
        <f>IFERROR(__xludf.DUMMYFUNCTION("""COMPUTED_VALUE"""),8.0)</f>
        <v>8</v>
      </c>
      <c r="E2671" s="12">
        <f>IFERROR(__xludf.DUMMYFUNCTION("""COMPUTED_VALUE"""),6.0)</f>
        <v>6</v>
      </c>
      <c r="F2671" s="12">
        <f>IFERROR(__xludf.DUMMYFUNCTION("""COMPUTED_VALUE"""),5.0)</f>
        <v>5</v>
      </c>
      <c r="G2671" s="15" t="str">
        <f>IFERROR(__xludf.DUMMYFUNCTION("""COMPUTED_VALUE"""),"Completa")</f>
        <v>Completa</v>
      </c>
      <c r="H2671" s="16" t="str">
        <f t="array" ref="H2671">_xlfn.XLOOKUP(D2671,Productos[ID_Producto],Productos[Nombre_Producto])</f>
        <v>Milanesa</v>
      </c>
      <c r="I2671" s="17">
        <f t="array" ref="I2671">_xlfn.XLOOKUP(D2671,Productos[ID_Producto],Productos[Precio_Unitario])</f>
        <v>16.21</v>
      </c>
      <c r="J2671" s="17">
        <f t="shared" si="1"/>
        <v>97.26</v>
      </c>
      <c r="K2671" s="16" t="str">
        <f t="array" ref="K2671">_xlfn.XLOOKUP(C2671,Clientes[ID_Cliente],Clientes[Provincia])</f>
        <v>Neuquén</v>
      </c>
      <c r="L2671" s="16" t="str">
        <f t="array" ref="L2671">CONCATENATE(_xlfn.XLOOKUP(C2671,Clientes[ID_Cliente],Clientes[Provincia]),", Argentina")</f>
        <v>Neuquén, Argentina</v>
      </c>
      <c r="M2671" s="20" t="str">
        <f t="array" ref="M2671">_xlfn.XLOOKUP(F2671,Metodos_De_Pago[ID_Metodo],Metodos_De_Pago[Metodo])</f>
        <v>Transferencia</v>
      </c>
      <c r="N2671" s="20" t="str">
        <f t="shared" si="2"/>
        <v>2024 05</v>
      </c>
    </row>
    <row r="2672" ht="22.5" customHeight="1">
      <c r="A2672" s="12">
        <f>IFERROR(__xludf.DUMMYFUNCTION("""COMPUTED_VALUE"""),573.0)</f>
        <v>573</v>
      </c>
      <c r="B2672" s="13">
        <f>IFERROR(__xludf.DUMMYFUNCTION("""COMPUTED_VALUE"""),45437.0)</f>
        <v>45437</v>
      </c>
      <c r="C2672" s="12">
        <f>IFERROR(__xludf.DUMMYFUNCTION("""COMPUTED_VALUE"""),264.0)</f>
        <v>264</v>
      </c>
      <c r="D2672" s="12">
        <f>IFERROR(__xludf.DUMMYFUNCTION("""COMPUTED_VALUE"""),10.0)</f>
        <v>10</v>
      </c>
      <c r="E2672" s="12">
        <f>IFERROR(__xludf.DUMMYFUNCTION("""COMPUTED_VALUE"""),6.0)</f>
        <v>6</v>
      </c>
      <c r="F2672" s="12">
        <f>IFERROR(__xludf.DUMMYFUNCTION("""COMPUTED_VALUE"""),5.0)</f>
        <v>5</v>
      </c>
      <c r="G2672" s="15" t="str">
        <f>IFERROR(__xludf.DUMMYFUNCTION("""COMPUTED_VALUE"""),"Pendiente")</f>
        <v>Pendiente</v>
      </c>
      <c r="H2672" s="16" t="str">
        <f t="array" ref="H2672">_xlfn.XLOOKUP(D2672,Productos[ID_Producto],Productos[Nombre_Producto])</f>
        <v>Costilla de cerdo</v>
      </c>
      <c r="I2672" s="17">
        <f t="array" ref="I2672">_xlfn.XLOOKUP(D2672,Productos[ID_Producto],Productos[Precio_Unitario])</f>
        <v>14.25</v>
      </c>
      <c r="J2672" s="17">
        <f t="shared" si="1"/>
        <v>85.5</v>
      </c>
      <c r="K2672" s="16" t="str">
        <f t="array" ref="K2672">_xlfn.XLOOKUP(C2672,Clientes[ID_Cliente],Clientes[Provincia])</f>
        <v>Buenos Aires</v>
      </c>
      <c r="L2672" s="16" t="str">
        <f t="array" ref="L2672">CONCATENATE(_xlfn.XLOOKUP(C2672,Clientes[ID_Cliente],Clientes[Provincia]),", Argentina")</f>
        <v>Buenos Aires, Argentina</v>
      </c>
      <c r="M2672" s="20" t="str">
        <f t="array" ref="M2672">_xlfn.XLOOKUP(F2672,Metodos_De_Pago[ID_Metodo],Metodos_De_Pago[Metodo])</f>
        <v>Transferencia</v>
      </c>
      <c r="N2672" s="20" t="str">
        <f t="shared" si="2"/>
        <v>2024 05</v>
      </c>
    </row>
    <row r="2673" ht="22.5" customHeight="1">
      <c r="A2673" s="12">
        <f>IFERROR(__xludf.DUMMYFUNCTION("""COMPUTED_VALUE"""),2717.0)</f>
        <v>2717</v>
      </c>
      <c r="B2673" s="13">
        <f>IFERROR(__xludf.DUMMYFUNCTION("""COMPUTED_VALUE"""),45437.0)</f>
        <v>45437</v>
      </c>
      <c r="C2673" s="12">
        <f>IFERROR(__xludf.DUMMYFUNCTION("""COMPUTED_VALUE"""),16.0)</f>
        <v>16</v>
      </c>
      <c r="D2673" s="12">
        <f>IFERROR(__xludf.DUMMYFUNCTION("""COMPUTED_VALUE"""),7.0)</f>
        <v>7</v>
      </c>
      <c r="E2673" s="12">
        <f>IFERROR(__xludf.DUMMYFUNCTION("""COMPUTED_VALUE"""),6.0)</f>
        <v>6</v>
      </c>
      <c r="F2673" s="12">
        <f>IFERROR(__xludf.DUMMYFUNCTION("""COMPUTED_VALUE"""),4.0)</f>
        <v>4</v>
      </c>
      <c r="G2673" s="15" t="str">
        <f>IFERROR(__xludf.DUMMYFUNCTION("""COMPUTED_VALUE"""),"Completa")</f>
        <v>Completa</v>
      </c>
      <c r="H2673" s="16" t="str">
        <f t="array" ref="H2673">_xlfn.XLOOKUP(D2673,Productos[ID_Producto],Productos[Nombre_Producto])</f>
        <v>Chorizo</v>
      </c>
      <c r="I2673" s="17">
        <f t="array" ref="I2673">_xlfn.XLOOKUP(D2673,Productos[ID_Producto],Productos[Precio_Unitario])</f>
        <v>11.25</v>
      </c>
      <c r="J2673" s="17">
        <f t="shared" si="1"/>
        <v>67.5</v>
      </c>
      <c r="K2673" s="16" t="str">
        <f t="array" ref="K2673">_xlfn.XLOOKUP(C2673,Clientes[ID_Cliente],Clientes[Provincia])</f>
        <v>Buenos Aires</v>
      </c>
      <c r="L2673" s="16" t="str">
        <f t="array" ref="L2673">CONCATENATE(_xlfn.XLOOKUP(C2673,Clientes[ID_Cliente],Clientes[Provincia]),", Argentina")</f>
        <v>Buenos Aires, Argentina</v>
      </c>
      <c r="M2673" s="20" t="str">
        <f t="array" ref="M2673">_xlfn.XLOOKUP(F2673,Metodos_De_Pago[ID_Metodo],Metodos_De_Pago[Metodo])</f>
        <v>Mercado Pago</v>
      </c>
      <c r="N2673" s="20" t="str">
        <f t="shared" si="2"/>
        <v>2024 05</v>
      </c>
    </row>
    <row r="2674" ht="22.5" customHeight="1">
      <c r="A2674" s="12">
        <f>IFERROR(__xludf.DUMMYFUNCTION("""COMPUTED_VALUE"""),2803.0)</f>
        <v>2803</v>
      </c>
      <c r="B2674" s="13">
        <f>IFERROR(__xludf.DUMMYFUNCTION("""COMPUTED_VALUE"""),45437.0)</f>
        <v>45437</v>
      </c>
      <c r="C2674" s="12">
        <f>IFERROR(__xludf.DUMMYFUNCTION("""COMPUTED_VALUE"""),283.0)</f>
        <v>283</v>
      </c>
      <c r="D2674" s="12">
        <f>IFERROR(__xludf.DUMMYFUNCTION("""COMPUTED_VALUE"""),11.0)</f>
        <v>11</v>
      </c>
      <c r="E2674" s="12">
        <f>IFERROR(__xludf.DUMMYFUNCTION("""COMPUTED_VALUE"""),6.0)</f>
        <v>6</v>
      </c>
      <c r="F2674" s="12">
        <f>IFERROR(__xludf.DUMMYFUNCTION("""COMPUTED_VALUE"""),5.0)</f>
        <v>5</v>
      </c>
      <c r="G2674" s="15" t="str">
        <f>IFERROR(__xludf.DUMMYFUNCTION("""COMPUTED_VALUE"""),"Pendiente")</f>
        <v>Pendiente</v>
      </c>
      <c r="H2674" s="16" t="str">
        <f t="array" ref="H2674">_xlfn.XLOOKUP(D2674,Productos[ID_Producto],Productos[Nombre_Producto])</f>
        <v>Salchicha</v>
      </c>
      <c r="I2674" s="17">
        <f t="array" ref="I2674">_xlfn.XLOOKUP(D2674,Productos[ID_Producto],Productos[Precio_Unitario])</f>
        <v>11.23</v>
      </c>
      <c r="J2674" s="17">
        <f t="shared" si="1"/>
        <v>67.38</v>
      </c>
      <c r="K2674" s="16" t="str">
        <f t="array" ref="K2674">_xlfn.XLOOKUP(C2674,Clientes[ID_Cliente],Clientes[Provincia])</f>
        <v>Buenos Aires</v>
      </c>
      <c r="L2674" s="16" t="str">
        <f t="array" ref="L2674">CONCATENATE(_xlfn.XLOOKUP(C2674,Clientes[ID_Cliente],Clientes[Provincia]),", Argentina")</f>
        <v>Buenos Aires, Argentina</v>
      </c>
      <c r="M2674" s="20" t="str">
        <f t="array" ref="M2674">_xlfn.XLOOKUP(F2674,Metodos_De_Pago[ID_Metodo],Metodos_De_Pago[Metodo])</f>
        <v>Transferencia</v>
      </c>
      <c r="N2674" s="20" t="str">
        <f t="shared" si="2"/>
        <v>2024 05</v>
      </c>
    </row>
    <row r="2675" ht="22.5" customHeight="1">
      <c r="A2675" s="12">
        <f>IFERROR(__xludf.DUMMYFUNCTION("""COMPUTED_VALUE"""),2918.0)</f>
        <v>2918</v>
      </c>
      <c r="B2675" s="13">
        <f>IFERROR(__xludf.DUMMYFUNCTION("""COMPUTED_VALUE"""),45437.0)</f>
        <v>45437</v>
      </c>
      <c r="C2675" s="12">
        <f>IFERROR(__xludf.DUMMYFUNCTION("""COMPUTED_VALUE"""),311.0)</f>
        <v>311</v>
      </c>
      <c r="D2675" s="12">
        <f>IFERROR(__xludf.DUMMYFUNCTION("""COMPUTED_VALUE"""),34.0)</f>
        <v>34</v>
      </c>
      <c r="E2675" s="12">
        <f>IFERROR(__xludf.DUMMYFUNCTION("""COMPUTED_VALUE"""),6.0)</f>
        <v>6</v>
      </c>
      <c r="F2675" s="12">
        <f>IFERROR(__xludf.DUMMYFUNCTION("""COMPUTED_VALUE"""),3.0)</f>
        <v>3</v>
      </c>
      <c r="G2675" s="15" t="str">
        <f>IFERROR(__xludf.DUMMYFUNCTION("""COMPUTED_VALUE"""),"Completa")</f>
        <v>Completa</v>
      </c>
      <c r="H2675" s="16" t="str">
        <f t="array" ref="H2675">_xlfn.XLOOKUP(D2675,Productos[ID_Producto],Productos[Nombre_Producto])</f>
        <v>Maníes</v>
      </c>
      <c r="I2675" s="17">
        <f t="array" ref="I2675">_xlfn.XLOOKUP(D2675,Productos[ID_Producto],Productos[Precio_Unitario])</f>
        <v>5.45</v>
      </c>
      <c r="J2675" s="17">
        <f t="shared" si="1"/>
        <v>32.7</v>
      </c>
      <c r="K2675" s="16" t="str">
        <f t="array" ref="K2675">_xlfn.XLOOKUP(C2675,Clientes[ID_Cliente],Clientes[Provincia])</f>
        <v>Buenos Aires</v>
      </c>
      <c r="L2675" s="16" t="str">
        <f t="array" ref="L2675">CONCATENATE(_xlfn.XLOOKUP(C2675,Clientes[ID_Cliente],Clientes[Provincia]),", Argentina")</f>
        <v>Buenos Aires, Argentina</v>
      </c>
      <c r="M2675" s="20" t="str">
        <f t="array" ref="M2675">_xlfn.XLOOKUP(F2675,Metodos_De_Pago[ID_Metodo],Metodos_De_Pago[Metodo])</f>
        <v>Tarjeta de Débito</v>
      </c>
      <c r="N2675" s="20" t="str">
        <f t="shared" si="2"/>
        <v>2024 05</v>
      </c>
    </row>
    <row r="2676" ht="22.5" customHeight="1">
      <c r="A2676" s="12">
        <f>IFERROR(__xludf.DUMMYFUNCTION("""COMPUTED_VALUE"""),932.0)</f>
        <v>932</v>
      </c>
      <c r="B2676" s="13">
        <f>IFERROR(__xludf.DUMMYFUNCTION("""COMPUTED_VALUE"""),45438.0)</f>
        <v>45438</v>
      </c>
      <c r="C2676" s="12">
        <f>IFERROR(__xludf.DUMMYFUNCTION("""COMPUTED_VALUE"""),213.0)</f>
        <v>213</v>
      </c>
      <c r="D2676" s="12">
        <f>IFERROR(__xludf.DUMMYFUNCTION("""COMPUTED_VALUE"""),4.0)</f>
        <v>4</v>
      </c>
      <c r="E2676" s="12">
        <f>IFERROR(__xludf.DUMMYFUNCTION("""COMPUTED_VALUE"""),6.0)</f>
        <v>6</v>
      </c>
      <c r="F2676" s="12">
        <f>IFERROR(__xludf.DUMMYFUNCTION("""COMPUTED_VALUE"""),1.0)</f>
        <v>1</v>
      </c>
      <c r="G2676" s="15" t="str">
        <f>IFERROR(__xludf.DUMMYFUNCTION("""COMPUTED_VALUE"""),"Completa")</f>
        <v>Completa</v>
      </c>
      <c r="H2676" s="16" t="str">
        <f t="array" ref="H2676">_xlfn.XLOOKUP(D2676,Productos[ID_Producto],Productos[Nombre_Producto])</f>
        <v>Queso rallado</v>
      </c>
      <c r="I2676" s="17">
        <f t="array" ref="I2676">_xlfn.XLOOKUP(D2676,Productos[ID_Producto],Productos[Precio_Unitario])</f>
        <v>19.23</v>
      </c>
      <c r="J2676" s="17">
        <f t="shared" si="1"/>
        <v>115.38</v>
      </c>
      <c r="K2676" s="16" t="str">
        <f t="array" ref="K2676">_xlfn.XLOOKUP(C2676,Clientes[ID_Cliente],Clientes[Provincia])</f>
        <v>Córdoba</v>
      </c>
      <c r="L2676" s="16" t="str">
        <f t="array" ref="L2676">CONCATENATE(_xlfn.XLOOKUP(C2676,Clientes[ID_Cliente],Clientes[Provincia]),", Argentina")</f>
        <v>Córdoba, Argentina</v>
      </c>
      <c r="M2676" s="20" t="str">
        <f t="array" ref="M2676">_xlfn.XLOOKUP(F2676,Metodos_De_Pago[ID_Metodo],Metodos_De_Pago[Metodo])</f>
        <v>Efectivo</v>
      </c>
      <c r="N2676" s="20" t="str">
        <f t="shared" si="2"/>
        <v>2024 05</v>
      </c>
    </row>
    <row r="2677" ht="22.5" customHeight="1">
      <c r="A2677" s="12">
        <f>IFERROR(__xludf.DUMMYFUNCTION("""COMPUTED_VALUE"""),1581.0)</f>
        <v>1581</v>
      </c>
      <c r="B2677" s="13">
        <f>IFERROR(__xludf.DUMMYFUNCTION("""COMPUTED_VALUE"""),45438.0)</f>
        <v>45438</v>
      </c>
      <c r="C2677" s="12">
        <f>IFERROR(__xludf.DUMMYFUNCTION("""COMPUTED_VALUE"""),210.0)</f>
        <v>210</v>
      </c>
      <c r="D2677" s="12">
        <f>IFERROR(__xludf.DUMMYFUNCTION("""COMPUTED_VALUE"""),5.0)</f>
        <v>5</v>
      </c>
      <c r="E2677" s="12">
        <f>IFERROR(__xludf.DUMMYFUNCTION("""COMPUTED_VALUE"""),6.0)</f>
        <v>6</v>
      </c>
      <c r="F2677" s="12">
        <f>IFERROR(__xludf.DUMMYFUNCTION("""COMPUTED_VALUE"""),4.0)</f>
        <v>4</v>
      </c>
      <c r="G2677" s="15" t="str">
        <f>IFERROR(__xludf.DUMMYFUNCTION("""COMPUTED_VALUE"""),"Pendiente")</f>
        <v>Pendiente</v>
      </c>
      <c r="H2677" s="16" t="str">
        <f t="array" ref="H2677">_xlfn.XLOOKUP(D2677,Productos[ID_Producto],Productos[Nombre_Producto])</f>
        <v>Manteca</v>
      </c>
      <c r="I2677" s="17">
        <f t="array" ref="I2677">_xlfn.XLOOKUP(D2677,Productos[ID_Producto],Productos[Precio_Unitario])</f>
        <v>5.65</v>
      </c>
      <c r="J2677" s="17">
        <f t="shared" si="1"/>
        <v>33.9</v>
      </c>
      <c r="K2677" s="16" t="str">
        <f t="array" ref="K2677">_xlfn.XLOOKUP(C2677,Clientes[ID_Cliente],Clientes[Provincia])</f>
        <v>Córdoba</v>
      </c>
      <c r="L2677" s="16" t="str">
        <f t="array" ref="L2677">CONCATENATE(_xlfn.XLOOKUP(C2677,Clientes[ID_Cliente],Clientes[Provincia]),", Argentina")</f>
        <v>Córdoba, Argentina</v>
      </c>
      <c r="M2677" s="20" t="str">
        <f t="array" ref="M2677">_xlfn.XLOOKUP(F2677,Metodos_De_Pago[ID_Metodo],Metodos_De_Pago[Metodo])</f>
        <v>Mercado Pago</v>
      </c>
      <c r="N2677" s="20" t="str">
        <f t="shared" si="2"/>
        <v>2024 05</v>
      </c>
    </row>
    <row r="2678" ht="22.5" customHeight="1">
      <c r="A2678" s="12">
        <f>IFERROR(__xludf.DUMMYFUNCTION("""COMPUTED_VALUE"""),2475.0)</f>
        <v>2475</v>
      </c>
      <c r="B2678" s="13">
        <f>IFERROR(__xludf.DUMMYFUNCTION("""COMPUTED_VALUE"""),45441.0)</f>
        <v>45441</v>
      </c>
      <c r="C2678" s="12">
        <f>IFERROR(__xludf.DUMMYFUNCTION("""COMPUTED_VALUE"""),7.0)</f>
        <v>7</v>
      </c>
      <c r="D2678" s="12">
        <f>IFERROR(__xludf.DUMMYFUNCTION("""COMPUTED_VALUE"""),26.0)</f>
        <v>26</v>
      </c>
      <c r="E2678" s="12">
        <f>IFERROR(__xludf.DUMMYFUNCTION("""COMPUTED_VALUE"""),6.0)</f>
        <v>6</v>
      </c>
      <c r="F2678" s="12">
        <f>IFERROR(__xludf.DUMMYFUNCTION("""COMPUTED_VALUE"""),1.0)</f>
        <v>1</v>
      </c>
      <c r="G2678" s="15" t="str">
        <f>IFERROR(__xludf.DUMMYFUNCTION("""COMPUTED_VALUE"""),"Completa")</f>
        <v>Completa</v>
      </c>
      <c r="H2678" s="16" t="str">
        <f t="array" ref="H2678">_xlfn.XLOOKUP(D2678,Productos[ID_Producto],Productos[Nombre_Producto])</f>
        <v>Hamburgesas congeladas</v>
      </c>
      <c r="I2678" s="17">
        <f t="array" ref="I2678">_xlfn.XLOOKUP(D2678,Productos[ID_Producto],Productos[Precio_Unitario])</f>
        <v>9.54</v>
      </c>
      <c r="J2678" s="17">
        <f t="shared" si="1"/>
        <v>57.24</v>
      </c>
      <c r="K2678" s="16" t="str">
        <f t="array" ref="K2678">_xlfn.XLOOKUP(C2678,Clientes[ID_Cliente],Clientes[Provincia])</f>
        <v>San Luis</v>
      </c>
      <c r="L2678" s="16" t="str">
        <f t="array" ref="L2678">CONCATENATE(_xlfn.XLOOKUP(C2678,Clientes[ID_Cliente],Clientes[Provincia]),", Argentina")</f>
        <v>San Luis, Argentina</v>
      </c>
      <c r="M2678" s="20" t="str">
        <f t="array" ref="M2678">_xlfn.XLOOKUP(F2678,Metodos_De_Pago[ID_Metodo],Metodos_De_Pago[Metodo])</f>
        <v>Efectivo</v>
      </c>
      <c r="N2678" s="20" t="str">
        <f t="shared" si="2"/>
        <v>2024 05</v>
      </c>
    </row>
    <row r="2679" ht="22.5" customHeight="1">
      <c r="A2679" s="12">
        <f>IFERROR(__xludf.DUMMYFUNCTION("""COMPUTED_VALUE"""),1598.0)</f>
        <v>1598</v>
      </c>
      <c r="B2679" s="13">
        <f>IFERROR(__xludf.DUMMYFUNCTION("""COMPUTED_VALUE"""),45442.0)</f>
        <v>45442</v>
      </c>
      <c r="C2679" s="12">
        <f>IFERROR(__xludf.DUMMYFUNCTION("""COMPUTED_VALUE"""),243.0)</f>
        <v>243</v>
      </c>
      <c r="D2679" s="12">
        <f>IFERROR(__xludf.DUMMYFUNCTION("""COMPUTED_VALUE"""),32.0)</f>
        <v>32</v>
      </c>
      <c r="E2679" s="12">
        <f>IFERROR(__xludf.DUMMYFUNCTION("""COMPUTED_VALUE"""),6.0)</f>
        <v>6</v>
      </c>
      <c r="F2679" s="12">
        <f>IFERROR(__xludf.DUMMYFUNCTION("""COMPUTED_VALUE"""),4.0)</f>
        <v>4</v>
      </c>
      <c r="G2679" s="15" t="str">
        <f>IFERROR(__xludf.DUMMYFUNCTION("""COMPUTED_VALUE"""),"Completa")</f>
        <v>Completa</v>
      </c>
      <c r="H2679" s="16" t="str">
        <f t="array" ref="H2679">_xlfn.XLOOKUP(D2679,Productos[ID_Producto],Productos[Nombre_Producto])</f>
        <v>Galletitas de chocolate</v>
      </c>
      <c r="I2679" s="17">
        <f t="array" ref="I2679">_xlfn.XLOOKUP(D2679,Productos[ID_Producto],Productos[Precio_Unitario])</f>
        <v>6.25</v>
      </c>
      <c r="J2679" s="17">
        <f t="shared" si="1"/>
        <v>37.5</v>
      </c>
      <c r="K2679" s="16" t="str">
        <f t="array" ref="K2679">_xlfn.XLOOKUP(C2679,Clientes[ID_Cliente],Clientes[Provincia])</f>
        <v>Buenos Aires</v>
      </c>
      <c r="L2679" s="16" t="str">
        <f t="array" ref="L2679">CONCATENATE(_xlfn.XLOOKUP(C2679,Clientes[ID_Cliente],Clientes[Provincia]),", Argentina")</f>
        <v>Buenos Aires, Argentina</v>
      </c>
      <c r="M2679" s="20" t="str">
        <f t="array" ref="M2679">_xlfn.XLOOKUP(F2679,Metodos_De_Pago[ID_Metodo],Metodos_De_Pago[Metodo])</f>
        <v>Mercado Pago</v>
      </c>
      <c r="N2679" s="20" t="str">
        <f t="shared" si="2"/>
        <v>2024 05</v>
      </c>
    </row>
    <row r="2680" ht="22.5" customHeight="1">
      <c r="A2680" s="12">
        <f>IFERROR(__xludf.DUMMYFUNCTION("""COMPUTED_VALUE"""),163.0)</f>
        <v>163</v>
      </c>
      <c r="B2680" s="13">
        <f>IFERROR(__xludf.DUMMYFUNCTION("""COMPUTED_VALUE"""),45444.0)</f>
        <v>45444</v>
      </c>
      <c r="C2680" s="12">
        <f>IFERROR(__xludf.DUMMYFUNCTION("""COMPUTED_VALUE"""),165.0)</f>
        <v>165</v>
      </c>
      <c r="D2680" s="12">
        <f>IFERROR(__xludf.DUMMYFUNCTION("""COMPUTED_VALUE"""),11.0)</f>
        <v>11</v>
      </c>
      <c r="E2680" s="12">
        <f>IFERROR(__xludf.DUMMYFUNCTION("""COMPUTED_VALUE"""),6.0)</f>
        <v>6</v>
      </c>
      <c r="F2680" s="12">
        <f>IFERROR(__xludf.DUMMYFUNCTION("""COMPUTED_VALUE"""),2.0)</f>
        <v>2</v>
      </c>
      <c r="G2680" s="15" t="str">
        <f>IFERROR(__xludf.DUMMYFUNCTION("""COMPUTED_VALUE"""),"Pendiente")</f>
        <v>Pendiente</v>
      </c>
      <c r="H2680" s="16" t="str">
        <f t="array" ref="H2680">_xlfn.XLOOKUP(D2680,Productos[ID_Producto],Productos[Nombre_Producto])</f>
        <v>Salchicha</v>
      </c>
      <c r="I2680" s="17">
        <f t="array" ref="I2680">_xlfn.XLOOKUP(D2680,Productos[ID_Producto],Productos[Precio_Unitario])</f>
        <v>11.23</v>
      </c>
      <c r="J2680" s="17">
        <f t="shared" si="1"/>
        <v>67.38</v>
      </c>
      <c r="K2680" s="16" t="str">
        <f t="array" ref="K2680">_xlfn.XLOOKUP(C2680,Clientes[ID_Cliente],Clientes[Provincia])</f>
        <v>Buenos Aires</v>
      </c>
      <c r="L2680" s="16" t="str">
        <f t="array" ref="L2680">CONCATENATE(_xlfn.XLOOKUP(C2680,Clientes[ID_Cliente],Clientes[Provincia]),", Argentina")</f>
        <v>Buenos Aires, Argentina</v>
      </c>
      <c r="M2680" s="20" t="str">
        <f t="array" ref="M2680">_xlfn.XLOOKUP(F2680,Metodos_De_Pago[ID_Metodo],Metodos_De_Pago[Metodo])</f>
        <v>Tarjeta de Crédito</v>
      </c>
      <c r="N2680" s="20" t="str">
        <f t="shared" si="2"/>
        <v>2024 06</v>
      </c>
    </row>
    <row r="2681" ht="22.5" customHeight="1">
      <c r="A2681" s="12">
        <f>IFERROR(__xludf.DUMMYFUNCTION("""COMPUTED_VALUE"""),636.0)</f>
        <v>636</v>
      </c>
      <c r="B2681" s="13">
        <f>IFERROR(__xludf.DUMMYFUNCTION("""COMPUTED_VALUE"""),45444.0)</f>
        <v>45444</v>
      </c>
      <c r="C2681" s="12">
        <f>IFERROR(__xludf.DUMMYFUNCTION("""COMPUTED_VALUE"""),185.0)</f>
        <v>185</v>
      </c>
      <c r="D2681" s="12">
        <f>IFERROR(__xludf.DUMMYFUNCTION("""COMPUTED_VALUE"""),31.0)</f>
        <v>31</v>
      </c>
      <c r="E2681" s="12">
        <f>IFERROR(__xludf.DUMMYFUNCTION("""COMPUTED_VALUE"""),6.0)</f>
        <v>6</v>
      </c>
      <c r="F2681" s="12">
        <f>IFERROR(__xludf.DUMMYFUNCTION("""COMPUTED_VALUE"""),1.0)</f>
        <v>1</v>
      </c>
      <c r="G2681" s="15" t="str">
        <f>IFERROR(__xludf.DUMMYFUNCTION("""COMPUTED_VALUE"""),"Pendiente")</f>
        <v>Pendiente</v>
      </c>
      <c r="H2681" s="16" t="str">
        <f t="array" ref="H2681">_xlfn.XLOOKUP(D2681,Productos[ID_Producto],Productos[Nombre_Producto])</f>
        <v>Galletitas de agua</v>
      </c>
      <c r="I2681" s="17">
        <f t="array" ref="I2681">_xlfn.XLOOKUP(D2681,Productos[ID_Producto],Productos[Precio_Unitario])</f>
        <v>5.24</v>
      </c>
      <c r="J2681" s="17">
        <f t="shared" si="1"/>
        <v>31.44</v>
      </c>
      <c r="K2681" s="16" t="str">
        <f t="array" ref="K2681">_xlfn.XLOOKUP(C2681,Clientes[ID_Cliente],Clientes[Provincia])</f>
        <v>Córdoba</v>
      </c>
      <c r="L2681" s="16" t="str">
        <f t="array" ref="L2681">CONCATENATE(_xlfn.XLOOKUP(C2681,Clientes[ID_Cliente],Clientes[Provincia]),", Argentina")</f>
        <v>Córdoba, Argentina</v>
      </c>
      <c r="M2681" s="20" t="str">
        <f t="array" ref="M2681">_xlfn.XLOOKUP(F2681,Metodos_De_Pago[ID_Metodo],Metodos_De_Pago[Metodo])</f>
        <v>Efectivo</v>
      </c>
      <c r="N2681" s="20" t="str">
        <f t="shared" si="2"/>
        <v>2024 06</v>
      </c>
    </row>
    <row r="2682" ht="22.5" customHeight="1">
      <c r="A2682" s="12">
        <f>IFERROR(__xludf.DUMMYFUNCTION("""COMPUTED_VALUE"""),699.0)</f>
        <v>699</v>
      </c>
      <c r="B2682" s="13">
        <f>IFERROR(__xludf.DUMMYFUNCTION("""COMPUTED_VALUE"""),45444.0)</f>
        <v>45444</v>
      </c>
      <c r="C2682" s="12">
        <f>IFERROR(__xludf.DUMMYFUNCTION("""COMPUTED_VALUE"""),252.0)</f>
        <v>252</v>
      </c>
      <c r="D2682" s="12">
        <f>IFERROR(__xludf.DUMMYFUNCTION("""COMPUTED_VALUE"""),15.0)</f>
        <v>15</v>
      </c>
      <c r="E2682" s="12">
        <f>IFERROR(__xludf.DUMMYFUNCTION("""COMPUTED_VALUE"""),6.0)</f>
        <v>6</v>
      </c>
      <c r="F2682" s="12">
        <f>IFERROR(__xludf.DUMMYFUNCTION("""COMPUTED_VALUE"""),4.0)</f>
        <v>4</v>
      </c>
      <c r="G2682" s="15" t="str">
        <f>IFERROR(__xludf.DUMMYFUNCTION("""COMPUTED_VALUE"""),"Completa")</f>
        <v>Completa</v>
      </c>
      <c r="H2682" s="16" t="str">
        <f t="array" ref="H2682">_xlfn.XLOOKUP(D2682,Productos[ID_Producto],Productos[Nombre_Producto])</f>
        <v>Medialunas</v>
      </c>
      <c r="I2682" s="17">
        <f t="array" ref="I2682">_xlfn.XLOOKUP(D2682,Productos[ID_Producto],Productos[Precio_Unitario])</f>
        <v>3.51</v>
      </c>
      <c r="J2682" s="17">
        <f t="shared" si="1"/>
        <v>21.06</v>
      </c>
      <c r="K2682" s="16" t="str">
        <f t="array" ref="K2682">_xlfn.XLOOKUP(C2682,Clientes[ID_Cliente],Clientes[Provincia])</f>
        <v>Neuquén</v>
      </c>
      <c r="L2682" s="16" t="str">
        <f t="array" ref="L2682">CONCATENATE(_xlfn.XLOOKUP(C2682,Clientes[ID_Cliente],Clientes[Provincia]),", Argentina")</f>
        <v>Neuquén, Argentina</v>
      </c>
      <c r="M2682" s="20" t="str">
        <f t="array" ref="M2682">_xlfn.XLOOKUP(F2682,Metodos_De_Pago[ID_Metodo],Metodos_De_Pago[Metodo])</f>
        <v>Mercado Pago</v>
      </c>
      <c r="N2682" s="20" t="str">
        <f t="shared" si="2"/>
        <v>2024 06</v>
      </c>
    </row>
    <row r="2683" ht="22.5" customHeight="1">
      <c r="A2683" s="12">
        <f>IFERROR(__xludf.DUMMYFUNCTION("""COMPUTED_VALUE"""),1751.0)</f>
        <v>1751</v>
      </c>
      <c r="B2683" s="13">
        <f>IFERROR(__xludf.DUMMYFUNCTION("""COMPUTED_VALUE"""),45444.0)</f>
        <v>45444</v>
      </c>
      <c r="C2683" s="12">
        <f>IFERROR(__xludf.DUMMYFUNCTION("""COMPUTED_VALUE"""),211.0)</f>
        <v>211</v>
      </c>
      <c r="D2683" s="12">
        <f>IFERROR(__xludf.DUMMYFUNCTION("""COMPUTED_VALUE"""),36.0)</f>
        <v>36</v>
      </c>
      <c r="E2683" s="12">
        <f>IFERROR(__xludf.DUMMYFUNCTION("""COMPUTED_VALUE"""),6.0)</f>
        <v>6</v>
      </c>
      <c r="F2683" s="12">
        <f>IFERROR(__xludf.DUMMYFUNCTION("""COMPUTED_VALUE"""),3.0)</f>
        <v>3</v>
      </c>
      <c r="G2683" s="15" t="str">
        <f>IFERROR(__xludf.DUMMYFUNCTION("""COMPUTED_VALUE"""),"Completa")</f>
        <v>Completa</v>
      </c>
      <c r="H2683" s="16" t="str">
        <f t="array" ref="H2683">_xlfn.XLOOKUP(D2683,Productos[ID_Producto],Productos[Nombre_Producto])</f>
        <v>Lentejas</v>
      </c>
      <c r="I2683" s="17">
        <f t="array" ref="I2683">_xlfn.XLOOKUP(D2683,Productos[ID_Producto],Productos[Precio_Unitario])</f>
        <v>3.25</v>
      </c>
      <c r="J2683" s="17">
        <f t="shared" si="1"/>
        <v>19.5</v>
      </c>
      <c r="K2683" s="16" t="str">
        <f t="array" ref="K2683">_xlfn.XLOOKUP(C2683,Clientes[ID_Cliente],Clientes[Provincia])</f>
        <v>Córdoba</v>
      </c>
      <c r="L2683" s="16" t="str">
        <f t="array" ref="L2683">CONCATENATE(_xlfn.XLOOKUP(C2683,Clientes[ID_Cliente],Clientes[Provincia]),", Argentina")</f>
        <v>Córdoba, Argentina</v>
      </c>
      <c r="M2683" s="20" t="str">
        <f t="array" ref="M2683">_xlfn.XLOOKUP(F2683,Metodos_De_Pago[ID_Metodo],Metodos_De_Pago[Metodo])</f>
        <v>Tarjeta de Débito</v>
      </c>
      <c r="N2683" s="20" t="str">
        <f t="shared" si="2"/>
        <v>2024 06</v>
      </c>
    </row>
    <row r="2684" ht="22.5" customHeight="1">
      <c r="A2684" s="12">
        <f>IFERROR(__xludf.DUMMYFUNCTION("""COMPUTED_VALUE"""),1518.0)</f>
        <v>1518</v>
      </c>
      <c r="B2684" s="13">
        <f>IFERROR(__xludf.DUMMYFUNCTION("""COMPUTED_VALUE"""),45445.0)</f>
        <v>45445</v>
      </c>
      <c r="C2684" s="12">
        <f>IFERROR(__xludf.DUMMYFUNCTION("""COMPUTED_VALUE"""),33.0)</f>
        <v>33</v>
      </c>
      <c r="D2684" s="12">
        <f>IFERROR(__xludf.DUMMYFUNCTION("""COMPUTED_VALUE"""),38.0)</f>
        <v>38</v>
      </c>
      <c r="E2684" s="12">
        <f>IFERROR(__xludf.DUMMYFUNCTION("""COMPUTED_VALUE"""),6.0)</f>
        <v>6</v>
      </c>
      <c r="F2684" s="12">
        <f>IFERROR(__xludf.DUMMYFUNCTION("""COMPUTED_VALUE"""),1.0)</f>
        <v>1</v>
      </c>
      <c r="G2684" s="15" t="str">
        <f>IFERROR(__xludf.DUMMYFUNCTION("""COMPUTED_VALUE"""),"Completa")</f>
        <v>Completa</v>
      </c>
      <c r="H2684" s="16" t="str">
        <f t="array" ref="H2684">_xlfn.XLOOKUP(D2684,Productos[ID_Producto],Productos[Nombre_Producto])</f>
        <v>Atún enlatado</v>
      </c>
      <c r="I2684" s="17">
        <f t="array" ref="I2684">_xlfn.XLOOKUP(D2684,Productos[ID_Producto],Productos[Precio_Unitario])</f>
        <v>6.21</v>
      </c>
      <c r="J2684" s="17">
        <f t="shared" si="1"/>
        <v>37.26</v>
      </c>
      <c r="K2684" s="16" t="str">
        <f t="array" ref="K2684">_xlfn.XLOOKUP(C2684,Clientes[ID_Cliente],Clientes[Provincia])</f>
        <v>Chaco</v>
      </c>
      <c r="L2684" s="16" t="str">
        <f t="array" ref="L2684">CONCATENATE(_xlfn.XLOOKUP(C2684,Clientes[ID_Cliente],Clientes[Provincia]),", Argentina")</f>
        <v>Chaco, Argentina</v>
      </c>
      <c r="M2684" s="20" t="str">
        <f t="array" ref="M2684">_xlfn.XLOOKUP(F2684,Metodos_De_Pago[ID_Metodo],Metodos_De_Pago[Metodo])</f>
        <v>Efectivo</v>
      </c>
      <c r="N2684" s="20" t="str">
        <f t="shared" si="2"/>
        <v>2024 06</v>
      </c>
    </row>
    <row r="2685" ht="22.5" customHeight="1">
      <c r="A2685" s="12">
        <f>IFERROR(__xludf.DUMMYFUNCTION("""COMPUTED_VALUE"""),2181.0)</f>
        <v>2181</v>
      </c>
      <c r="B2685" s="13">
        <f>IFERROR(__xludf.DUMMYFUNCTION("""COMPUTED_VALUE"""),45445.0)</f>
        <v>45445</v>
      </c>
      <c r="C2685" s="12">
        <f>IFERROR(__xludf.DUMMYFUNCTION("""COMPUTED_VALUE"""),136.0)</f>
        <v>136</v>
      </c>
      <c r="D2685" s="12">
        <f>IFERROR(__xludf.DUMMYFUNCTION("""COMPUTED_VALUE"""),1.0)</f>
        <v>1</v>
      </c>
      <c r="E2685" s="12">
        <f>IFERROR(__xludf.DUMMYFUNCTION("""COMPUTED_VALUE"""),6.0)</f>
        <v>6</v>
      </c>
      <c r="F2685" s="12">
        <f>IFERROR(__xludf.DUMMYFUNCTION("""COMPUTED_VALUE"""),2.0)</f>
        <v>2</v>
      </c>
      <c r="G2685" s="15" t="str">
        <f>IFERROR(__xludf.DUMMYFUNCTION("""COMPUTED_VALUE"""),"Completa")</f>
        <v>Completa</v>
      </c>
      <c r="H2685" s="16" t="str">
        <f t="array" ref="H2685">_xlfn.XLOOKUP(D2685,Productos[ID_Producto],Productos[Nombre_Producto])</f>
        <v>Leche</v>
      </c>
      <c r="I2685" s="17">
        <f t="array" ref="I2685">_xlfn.XLOOKUP(D2685,Productos[ID_Producto],Productos[Precio_Unitario])</f>
        <v>12.24</v>
      </c>
      <c r="J2685" s="17">
        <f t="shared" si="1"/>
        <v>73.44</v>
      </c>
      <c r="K2685" s="16" t="str">
        <f t="array" ref="K2685">_xlfn.XLOOKUP(C2685,Clientes[ID_Cliente],Clientes[Provincia])</f>
        <v>Neuquén</v>
      </c>
      <c r="L2685" s="16" t="str">
        <f t="array" ref="L2685">CONCATENATE(_xlfn.XLOOKUP(C2685,Clientes[ID_Cliente],Clientes[Provincia]),", Argentina")</f>
        <v>Neuquén, Argentina</v>
      </c>
      <c r="M2685" s="20" t="str">
        <f t="array" ref="M2685">_xlfn.XLOOKUP(F2685,Metodos_De_Pago[ID_Metodo],Metodos_De_Pago[Metodo])</f>
        <v>Tarjeta de Crédito</v>
      </c>
      <c r="N2685" s="20" t="str">
        <f t="shared" si="2"/>
        <v>2024 06</v>
      </c>
    </row>
    <row r="2686" ht="22.5" customHeight="1">
      <c r="A2686" s="12">
        <f>IFERROR(__xludf.DUMMYFUNCTION("""COMPUTED_VALUE"""),2300.0)</f>
        <v>2300</v>
      </c>
      <c r="B2686" s="13">
        <f>IFERROR(__xludf.DUMMYFUNCTION("""COMPUTED_VALUE"""),45446.0)</f>
        <v>45446</v>
      </c>
      <c r="C2686" s="12">
        <f>IFERROR(__xludf.DUMMYFUNCTION("""COMPUTED_VALUE"""),49.0)</f>
        <v>49</v>
      </c>
      <c r="D2686" s="12">
        <f>IFERROR(__xludf.DUMMYFUNCTION("""COMPUTED_VALUE"""),27.0)</f>
        <v>27</v>
      </c>
      <c r="E2686" s="12">
        <f>IFERROR(__xludf.DUMMYFUNCTION("""COMPUTED_VALUE"""),6.0)</f>
        <v>6</v>
      </c>
      <c r="F2686" s="12">
        <f>IFERROR(__xludf.DUMMYFUNCTION("""COMPUTED_VALUE"""),4.0)</f>
        <v>4</v>
      </c>
      <c r="G2686" s="15" t="str">
        <f>IFERROR(__xludf.DUMMYFUNCTION("""COMPUTED_VALUE"""),"Completa")</f>
        <v>Completa</v>
      </c>
      <c r="H2686" s="16" t="str">
        <f t="array" ref="H2686">_xlfn.XLOOKUP(D2686,Productos[ID_Producto],Productos[Nombre_Producto])</f>
        <v>Agua mineral</v>
      </c>
      <c r="I2686" s="17">
        <f t="array" ref="I2686">_xlfn.XLOOKUP(D2686,Productos[ID_Producto],Productos[Precio_Unitario])</f>
        <v>6.21</v>
      </c>
      <c r="J2686" s="17">
        <f t="shared" si="1"/>
        <v>37.26</v>
      </c>
      <c r="K2686" s="16" t="str">
        <f t="array" ref="K2686">_xlfn.XLOOKUP(C2686,Clientes[ID_Cliente],Clientes[Provincia])</f>
        <v>Buenos Aires</v>
      </c>
      <c r="L2686" s="16" t="str">
        <f t="array" ref="L2686">CONCATENATE(_xlfn.XLOOKUP(C2686,Clientes[ID_Cliente],Clientes[Provincia]),", Argentina")</f>
        <v>Buenos Aires, Argentina</v>
      </c>
      <c r="M2686" s="20" t="str">
        <f t="array" ref="M2686">_xlfn.XLOOKUP(F2686,Metodos_De_Pago[ID_Metodo],Metodos_De_Pago[Metodo])</f>
        <v>Mercado Pago</v>
      </c>
      <c r="N2686" s="20" t="str">
        <f t="shared" si="2"/>
        <v>2024 06</v>
      </c>
    </row>
    <row r="2687" ht="22.5" customHeight="1">
      <c r="A2687" s="12">
        <f>IFERROR(__xludf.DUMMYFUNCTION("""COMPUTED_VALUE"""),2304.0)</f>
        <v>2304</v>
      </c>
      <c r="B2687" s="13">
        <f>IFERROR(__xludf.DUMMYFUNCTION("""COMPUTED_VALUE"""),45446.0)</f>
        <v>45446</v>
      </c>
      <c r="C2687" s="12">
        <f>IFERROR(__xludf.DUMMYFUNCTION("""COMPUTED_VALUE"""),276.0)</f>
        <v>276</v>
      </c>
      <c r="D2687" s="12">
        <f>IFERROR(__xludf.DUMMYFUNCTION("""COMPUTED_VALUE"""),14.0)</f>
        <v>14</v>
      </c>
      <c r="E2687" s="12">
        <f>IFERROR(__xludf.DUMMYFUNCTION("""COMPUTED_VALUE"""),6.0)</f>
        <v>6</v>
      </c>
      <c r="F2687" s="12">
        <f>IFERROR(__xludf.DUMMYFUNCTION("""COMPUTED_VALUE"""),1.0)</f>
        <v>1</v>
      </c>
      <c r="G2687" s="15" t="str">
        <f>IFERROR(__xludf.DUMMYFUNCTION("""COMPUTED_VALUE"""),"Completa")</f>
        <v>Completa</v>
      </c>
      <c r="H2687" s="16" t="str">
        <f t="array" ref="H2687">_xlfn.XLOOKUP(D2687,Productos[ID_Producto],Productos[Nombre_Producto])</f>
        <v>Facturas</v>
      </c>
      <c r="I2687" s="17">
        <f t="array" ref="I2687">_xlfn.XLOOKUP(D2687,Productos[ID_Producto],Productos[Precio_Unitario])</f>
        <v>12.36</v>
      </c>
      <c r="J2687" s="17">
        <f t="shared" si="1"/>
        <v>74.16</v>
      </c>
      <c r="K2687" s="16" t="str">
        <f t="array" ref="K2687">_xlfn.XLOOKUP(C2687,Clientes[ID_Cliente],Clientes[Provincia])</f>
        <v>Neuquén</v>
      </c>
      <c r="L2687" s="16" t="str">
        <f t="array" ref="L2687">CONCATENATE(_xlfn.XLOOKUP(C2687,Clientes[ID_Cliente],Clientes[Provincia]),", Argentina")</f>
        <v>Neuquén, Argentina</v>
      </c>
      <c r="M2687" s="20" t="str">
        <f t="array" ref="M2687">_xlfn.XLOOKUP(F2687,Metodos_De_Pago[ID_Metodo],Metodos_De_Pago[Metodo])</f>
        <v>Efectivo</v>
      </c>
      <c r="N2687" s="20" t="str">
        <f t="shared" si="2"/>
        <v>2024 06</v>
      </c>
    </row>
    <row r="2688" ht="22.5" customHeight="1">
      <c r="A2688" s="12">
        <f>IFERROR(__xludf.DUMMYFUNCTION("""COMPUTED_VALUE"""),2860.0)</f>
        <v>2860</v>
      </c>
      <c r="B2688" s="13">
        <f>IFERROR(__xludf.DUMMYFUNCTION("""COMPUTED_VALUE"""),45447.0)</f>
        <v>45447</v>
      </c>
      <c r="C2688" s="12">
        <f>IFERROR(__xludf.DUMMYFUNCTION("""COMPUTED_VALUE"""),156.0)</f>
        <v>156</v>
      </c>
      <c r="D2688" s="12">
        <f>IFERROR(__xludf.DUMMYFUNCTION("""COMPUTED_VALUE"""),14.0)</f>
        <v>14</v>
      </c>
      <c r="E2688" s="12">
        <f>IFERROR(__xludf.DUMMYFUNCTION("""COMPUTED_VALUE"""),6.0)</f>
        <v>6</v>
      </c>
      <c r="F2688" s="12">
        <f>IFERROR(__xludf.DUMMYFUNCTION("""COMPUTED_VALUE"""),5.0)</f>
        <v>5</v>
      </c>
      <c r="G2688" s="15" t="str">
        <f>IFERROR(__xludf.DUMMYFUNCTION("""COMPUTED_VALUE"""),"Completa")</f>
        <v>Completa</v>
      </c>
      <c r="H2688" s="16" t="str">
        <f t="array" ref="H2688">_xlfn.XLOOKUP(D2688,Productos[ID_Producto],Productos[Nombre_Producto])</f>
        <v>Facturas</v>
      </c>
      <c r="I2688" s="17">
        <f t="array" ref="I2688">_xlfn.XLOOKUP(D2688,Productos[ID_Producto],Productos[Precio_Unitario])</f>
        <v>12.36</v>
      </c>
      <c r="J2688" s="17">
        <f t="shared" si="1"/>
        <v>74.16</v>
      </c>
      <c r="K2688" s="16" t="str">
        <f t="array" ref="K2688">_xlfn.XLOOKUP(C2688,Clientes[ID_Cliente],Clientes[Provincia])</f>
        <v>Neuquén</v>
      </c>
      <c r="L2688" s="16" t="str">
        <f t="array" ref="L2688">CONCATENATE(_xlfn.XLOOKUP(C2688,Clientes[ID_Cliente],Clientes[Provincia]),", Argentina")</f>
        <v>Neuquén, Argentina</v>
      </c>
      <c r="M2688" s="20" t="str">
        <f t="array" ref="M2688">_xlfn.XLOOKUP(F2688,Metodos_De_Pago[ID_Metodo],Metodos_De_Pago[Metodo])</f>
        <v>Transferencia</v>
      </c>
      <c r="N2688" s="20" t="str">
        <f t="shared" si="2"/>
        <v>2024 06</v>
      </c>
    </row>
    <row r="2689" ht="22.5" customHeight="1">
      <c r="A2689" s="12">
        <f>IFERROR(__xludf.DUMMYFUNCTION("""COMPUTED_VALUE"""),512.0)</f>
        <v>512</v>
      </c>
      <c r="B2689" s="13">
        <f>IFERROR(__xludf.DUMMYFUNCTION("""COMPUTED_VALUE"""),45448.0)</f>
        <v>45448</v>
      </c>
      <c r="C2689" s="12">
        <f>IFERROR(__xludf.DUMMYFUNCTION("""COMPUTED_VALUE"""),106.0)</f>
        <v>106</v>
      </c>
      <c r="D2689" s="12">
        <f>IFERROR(__xludf.DUMMYFUNCTION("""COMPUTED_VALUE"""),21.0)</f>
        <v>21</v>
      </c>
      <c r="E2689" s="12">
        <f>IFERROR(__xludf.DUMMYFUNCTION("""COMPUTED_VALUE"""),6.0)</f>
        <v>6</v>
      </c>
      <c r="F2689" s="12">
        <f>IFERROR(__xludf.DUMMYFUNCTION("""COMPUTED_VALUE"""),5.0)</f>
        <v>5</v>
      </c>
      <c r="G2689" s="15" t="str">
        <f>IFERROR(__xludf.DUMMYFUNCTION("""COMPUTED_VALUE"""),"Completa")</f>
        <v>Completa</v>
      </c>
      <c r="H2689" s="16" t="str">
        <f t="array" ref="H2689">_xlfn.XLOOKUP(D2689,Productos[ID_Producto],Productos[Nombre_Producto])</f>
        <v>Zanahorias</v>
      </c>
      <c r="I2689" s="17">
        <f t="array" ref="I2689">_xlfn.XLOOKUP(D2689,Productos[ID_Producto],Productos[Precio_Unitario])</f>
        <v>3.25</v>
      </c>
      <c r="J2689" s="17">
        <f t="shared" si="1"/>
        <v>19.5</v>
      </c>
      <c r="K2689" s="16" t="str">
        <f t="array" ref="K2689">_xlfn.XLOOKUP(C2689,Clientes[ID_Cliente],Clientes[Provincia])</f>
        <v>Chaco</v>
      </c>
      <c r="L2689" s="16" t="str">
        <f t="array" ref="L2689">CONCATENATE(_xlfn.XLOOKUP(C2689,Clientes[ID_Cliente],Clientes[Provincia]),", Argentina")</f>
        <v>Chaco, Argentina</v>
      </c>
      <c r="M2689" s="20" t="str">
        <f t="array" ref="M2689">_xlfn.XLOOKUP(F2689,Metodos_De_Pago[ID_Metodo],Metodos_De_Pago[Metodo])</f>
        <v>Transferencia</v>
      </c>
      <c r="N2689" s="20" t="str">
        <f t="shared" si="2"/>
        <v>2024 06</v>
      </c>
    </row>
    <row r="2690" ht="22.5" customHeight="1">
      <c r="A2690" s="12">
        <f>IFERROR(__xludf.DUMMYFUNCTION("""COMPUTED_VALUE"""),710.0)</f>
        <v>710</v>
      </c>
      <c r="B2690" s="13">
        <f>IFERROR(__xludf.DUMMYFUNCTION("""COMPUTED_VALUE"""),45448.0)</f>
        <v>45448</v>
      </c>
      <c r="C2690" s="12">
        <f>IFERROR(__xludf.DUMMYFUNCTION("""COMPUTED_VALUE"""),292.0)</f>
        <v>292</v>
      </c>
      <c r="D2690" s="12">
        <f>IFERROR(__xludf.DUMMYFUNCTION("""COMPUTED_VALUE"""),27.0)</f>
        <v>27</v>
      </c>
      <c r="E2690" s="12">
        <f>IFERROR(__xludf.DUMMYFUNCTION("""COMPUTED_VALUE"""),6.0)</f>
        <v>6</v>
      </c>
      <c r="F2690" s="12">
        <f>IFERROR(__xludf.DUMMYFUNCTION("""COMPUTED_VALUE"""),5.0)</f>
        <v>5</v>
      </c>
      <c r="G2690" s="15" t="str">
        <f>IFERROR(__xludf.DUMMYFUNCTION("""COMPUTED_VALUE"""),"Completa")</f>
        <v>Completa</v>
      </c>
      <c r="H2690" s="16" t="str">
        <f t="array" ref="H2690">_xlfn.XLOOKUP(D2690,Productos[ID_Producto],Productos[Nombre_Producto])</f>
        <v>Agua mineral</v>
      </c>
      <c r="I2690" s="17">
        <f t="array" ref="I2690">_xlfn.XLOOKUP(D2690,Productos[ID_Producto],Productos[Precio_Unitario])</f>
        <v>6.21</v>
      </c>
      <c r="J2690" s="17">
        <f t="shared" si="1"/>
        <v>37.26</v>
      </c>
      <c r="K2690" s="16" t="str">
        <f t="array" ref="K2690">_xlfn.XLOOKUP(C2690,Clientes[ID_Cliente],Clientes[Provincia])</f>
        <v>Neuquén</v>
      </c>
      <c r="L2690" s="16" t="str">
        <f t="array" ref="L2690">CONCATENATE(_xlfn.XLOOKUP(C2690,Clientes[ID_Cliente],Clientes[Provincia]),", Argentina")</f>
        <v>Neuquén, Argentina</v>
      </c>
      <c r="M2690" s="20" t="str">
        <f t="array" ref="M2690">_xlfn.XLOOKUP(F2690,Metodos_De_Pago[ID_Metodo],Metodos_De_Pago[Metodo])</f>
        <v>Transferencia</v>
      </c>
      <c r="N2690" s="20" t="str">
        <f t="shared" si="2"/>
        <v>2024 06</v>
      </c>
    </row>
    <row r="2691" ht="22.5" customHeight="1">
      <c r="A2691" s="12">
        <f>IFERROR(__xludf.DUMMYFUNCTION("""COMPUTED_VALUE"""),2153.0)</f>
        <v>2153</v>
      </c>
      <c r="B2691" s="13">
        <f>IFERROR(__xludf.DUMMYFUNCTION("""COMPUTED_VALUE"""),45448.0)</f>
        <v>45448</v>
      </c>
      <c r="C2691" s="12">
        <f>IFERROR(__xludf.DUMMYFUNCTION("""COMPUTED_VALUE"""),282.0)</f>
        <v>282</v>
      </c>
      <c r="D2691" s="12">
        <f>IFERROR(__xludf.DUMMYFUNCTION("""COMPUTED_VALUE"""),25.0)</f>
        <v>25</v>
      </c>
      <c r="E2691" s="12">
        <f>IFERROR(__xludf.DUMMYFUNCTION("""COMPUTED_VALUE"""),6.0)</f>
        <v>6</v>
      </c>
      <c r="F2691" s="12">
        <f>IFERROR(__xludf.DUMMYFUNCTION("""COMPUTED_VALUE"""),4.0)</f>
        <v>4</v>
      </c>
      <c r="G2691" s="15" t="str">
        <f>IFERROR(__xludf.DUMMYFUNCTION("""COMPUTED_VALUE"""),"Completa")</f>
        <v>Completa</v>
      </c>
      <c r="H2691" s="16" t="str">
        <f t="array" ref="H2691">_xlfn.XLOOKUP(D2691,Productos[ID_Producto],Productos[Nombre_Producto])</f>
        <v>Pizza congelada</v>
      </c>
      <c r="I2691" s="17">
        <f t="array" ref="I2691">_xlfn.XLOOKUP(D2691,Productos[ID_Producto],Productos[Precio_Unitario])</f>
        <v>15.45</v>
      </c>
      <c r="J2691" s="17">
        <f t="shared" si="1"/>
        <v>92.7</v>
      </c>
      <c r="K2691" s="16" t="str">
        <f t="array" ref="K2691">_xlfn.XLOOKUP(C2691,Clientes[ID_Cliente],Clientes[Provincia])</f>
        <v>Córdoba</v>
      </c>
      <c r="L2691" s="16" t="str">
        <f t="array" ref="L2691">CONCATENATE(_xlfn.XLOOKUP(C2691,Clientes[ID_Cliente],Clientes[Provincia]),", Argentina")</f>
        <v>Córdoba, Argentina</v>
      </c>
      <c r="M2691" s="20" t="str">
        <f t="array" ref="M2691">_xlfn.XLOOKUP(F2691,Metodos_De_Pago[ID_Metodo],Metodos_De_Pago[Metodo])</f>
        <v>Mercado Pago</v>
      </c>
      <c r="N2691" s="20" t="str">
        <f t="shared" si="2"/>
        <v>2024 06</v>
      </c>
    </row>
    <row r="2692" ht="22.5" customHeight="1">
      <c r="A2692" s="12">
        <f>IFERROR(__xludf.DUMMYFUNCTION("""COMPUTED_VALUE"""),739.0)</f>
        <v>739</v>
      </c>
      <c r="B2692" s="13">
        <f>IFERROR(__xludf.DUMMYFUNCTION("""COMPUTED_VALUE"""),45449.0)</f>
        <v>45449</v>
      </c>
      <c r="C2692" s="12">
        <f>IFERROR(__xludf.DUMMYFUNCTION("""COMPUTED_VALUE"""),109.0)</f>
        <v>109</v>
      </c>
      <c r="D2692" s="12">
        <f>IFERROR(__xludf.DUMMYFUNCTION("""COMPUTED_VALUE"""),35.0)</f>
        <v>35</v>
      </c>
      <c r="E2692" s="12">
        <f>IFERROR(__xludf.DUMMYFUNCTION("""COMPUTED_VALUE"""),6.0)</f>
        <v>6</v>
      </c>
      <c r="F2692" s="12">
        <f>IFERROR(__xludf.DUMMYFUNCTION("""COMPUTED_VALUE"""),3.0)</f>
        <v>3</v>
      </c>
      <c r="G2692" s="15" t="str">
        <f>IFERROR(__xludf.DUMMYFUNCTION("""COMPUTED_VALUE"""),"Completa")</f>
        <v>Completa</v>
      </c>
      <c r="H2692" s="16" t="str">
        <f t="array" ref="H2692">_xlfn.XLOOKUP(D2692,Productos[ID_Producto],Productos[Nombre_Producto])</f>
        <v>Arroz</v>
      </c>
      <c r="I2692" s="17">
        <f t="array" ref="I2692">_xlfn.XLOOKUP(D2692,Productos[ID_Producto],Productos[Precio_Unitario])</f>
        <v>4.25</v>
      </c>
      <c r="J2692" s="17">
        <f t="shared" si="1"/>
        <v>25.5</v>
      </c>
      <c r="K2692" s="16" t="str">
        <f t="array" ref="K2692">_xlfn.XLOOKUP(C2692,Clientes[ID_Cliente],Clientes[Provincia])</f>
        <v>San Luis</v>
      </c>
      <c r="L2692" s="16" t="str">
        <f t="array" ref="L2692">CONCATENATE(_xlfn.XLOOKUP(C2692,Clientes[ID_Cliente],Clientes[Provincia]),", Argentina")</f>
        <v>San Luis, Argentina</v>
      </c>
      <c r="M2692" s="20" t="str">
        <f t="array" ref="M2692">_xlfn.XLOOKUP(F2692,Metodos_De_Pago[ID_Metodo],Metodos_De_Pago[Metodo])</f>
        <v>Tarjeta de Débito</v>
      </c>
      <c r="N2692" s="20" t="str">
        <f t="shared" si="2"/>
        <v>2024 06</v>
      </c>
    </row>
    <row r="2693" ht="22.5" customHeight="1">
      <c r="A2693" s="12">
        <f>IFERROR(__xludf.DUMMYFUNCTION("""COMPUTED_VALUE"""),2060.0)</f>
        <v>2060</v>
      </c>
      <c r="B2693" s="13">
        <f>IFERROR(__xludf.DUMMYFUNCTION("""COMPUTED_VALUE"""),45449.0)</f>
        <v>45449</v>
      </c>
      <c r="C2693" s="12">
        <f>IFERROR(__xludf.DUMMYFUNCTION("""COMPUTED_VALUE"""),194.0)</f>
        <v>194</v>
      </c>
      <c r="D2693" s="12">
        <f>IFERROR(__xludf.DUMMYFUNCTION("""COMPUTED_VALUE"""),7.0)</f>
        <v>7</v>
      </c>
      <c r="E2693" s="12">
        <f>IFERROR(__xludf.DUMMYFUNCTION("""COMPUTED_VALUE"""),6.0)</f>
        <v>6</v>
      </c>
      <c r="F2693" s="12">
        <f>IFERROR(__xludf.DUMMYFUNCTION("""COMPUTED_VALUE"""),4.0)</f>
        <v>4</v>
      </c>
      <c r="G2693" s="15" t="str">
        <f>IFERROR(__xludf.DUMMYFUNCTION("""COMPUTED_VALUE"""),"Pendiente")</f>
        <v>Pendiente</v>
      </c>
      <c r="H2693" s="16" t="str">
        <f t="array" ref="H2693">_xlfn.XLOOKUP(D2693,Productos[ID_Producto],Productos[Nombre_Producto])</f>
        <v>Chorizo</v>
      </c>
      <c r="I2693" s="17">
        <f t="array" ref="I2693">_xlfn.XLOOKUP(D2693,Productos[ID_Producto],Productos[Precio_Unitario])</f>
        <v>11.25</v>
      </c>
      <c r="J2693" s="17">
        <f t="shared" si="1"/>
        <v>67.5</v>
      </c>
      <c r="K2693" s="16" t="str">
        <f t="array" ref="K2693">_xlfn.XLOOKUP(C2693,Clientes[ID_Cliente],Clientes[Provincia])</f>
        <v>Buenos Aires</v>
      </c>
      <c r="L2693" s="16" t="str">
        <f t="array" ref="L2693">CONCATENATE(_xlfn.XLOOKUP(C2693,Clientes[ID_Cliente],Clientes[Provincia]),", Argentina")</f>
        <v>Buenos Aires, Argentina</v>
      </c>
      <c r="M2693" s="20" t="str">
        <f t="array" ref="M2693">_xlfn.XLOOKUP(F2693,Metodos_De_Pago[ID_Metodo],Metodos_De_Pago[Metodo])</f>
        <v>Mercado Pago</v>
      </c>
      <c r="N2693" s="20" t="str">
        <f t="shared" si="2"/>
        <v>2024 06</v>
      </c>
    </row>
    <row r="2694" ht="22.5" customHeight="1">
      <c r="A2694" s="12">
        <f>IFERROR(__xludf.DUMMYFUNCTION("""COMPUTED_VALUE"""),1040.0)</f>
        <v>1040</v>
      </c>
      <c r="B2694" s="13">
        <f>IFERROR(__xludf.DUMMYFUNCTION("""COMPUTED_VALUE"""),45450.0)</f>
        <v>45450</v>
      </c>
      <c r="C2694" s="12">
        <f>IFERROR(__xludf.DUMMYFUNCTION("""COMPUTED_VALUE"""),298.0)</f>
        <v>298</v>
      </c>
      <c r="D2694" s="12">
        <f>IFERROR(__xludf.DUMMYFUNCTION("""COMPUTED_VALUE"""),18.0)</f>
        <v>18</v>
      </c>
      <c r="E2694" s="12">
        <f>IFERROR(__xludf.DUMMYFUNCTION("""COMPUTED_VALUE"""),6.0)</f>
        <v>6</v>
      </c>
      <c r="F2694" s="12">
        <f>IFERROR(__xludf.DUMMYFUNCTION("""COMPUTED_VALUE"""),4.0)</f>
        <v>4</v>
      </c>
      <c r="G2694" s="15" t="str">
        <f>IFERROR(__xludf.DUMMYFUNCTION("""COMPUTED_VALUE"""),"Completa")</f>
        <v>Completa</v>
      </c>
      <c r="H2694" s="16" t="str">
        <f t="array" ref="H2694">_xlfn.XLOOKUP(D2694,Productos[ID_Producto],Productos[Nombre_Producto])</f>
        <v>Bananas</v>
      </c>
      <c r="I2694" s="17">
        <f t="array" ref="I2694">_xlfn.XLOOKUP(D2694,Productos[ID_Producto],Productos[Precio_Unitario])</f>
        <v>7.25</v>
      </c>
      <c r="J2694" s="17">
        <f t="shared" si="1"/>
        <v>43.5</v>
      </c>
      <c r="K2694" s="16" t="str">
        <f t="array" ref="K2694">_xlfn.XLOOKUP(C2694,Clientes[ID_Cliente],Clientes[Provincia])</f>
        <v>Buenos Aires</v>
      </c>
      <c r="L2694" s="16" t="str">
        <f t="array" ref="L2694">CONCATENATE(_xlfn.XLOOKUP(C2694,Clientes[ID_Cliente],Clientes[Provincia]),", Argentina")</f>
        <v>Buenos Aires, Argentina</v>
      </c>
      <c r="M2694" s="20" t="str">
        <f t="array" ref="M2694">_xlfn.XLOOKUP(F2694,Metodos_De_Pago[ID_Metodo],Metodos_De_Pago[Metodo])</f>
        <v>Mercado Pago</v>
      </c>
      <c r="N2694" s="20" t="str">
        <f t="shared" si="2"/>
        <v>2024 06</v>
      </c>
    </row>
    <row r="2695" ht="22.5" customHeight="1">
      <c r="A2695" s="12">
        <f>IFERROR(__xludf.DUMMYFUNCTION("""COMPUTED_VALUE"""),22.0)</f>
        <v>22</v>
      </c>
      <c r="B2695" s="13">
        <f>IFERROR(__xludf.DUMMYFUNCTION("""COMPUTED_VALUE"""),45451.0)</f>
        <v>45451</v>
      </c>
      <c r="C2695" s="12">
        <f>IFERROR(__xludf.DUMMYFUNCTION("""COMPUTED_VALUE"""),257.0)</f>
        <v>257</v>
      </c>
      <c r="D2695" s="12">
        <f>IFERROR(__xludf.DUMMYFUNCTION("""COMPUTED_VALUE"""),31.0)</f>
        <v>31</v>
      </c>
      <c r="E2695" s="12">
        <f>IFERROR(__xludf.DUMMYFUNCTION("""COMPUTED_VALUE"""),6.0)</f>
        <v>6</v>
      </c>
      <c r="F2695" s="12">
        <f>IFERROR(__xludf.DUMMYFUNCTION("""COMPUTED_VALUE"""),2.0)</f>
        <v>2</v>
      </c>
      <c r="G2695" s="15" t="str">
        <f>IFERROR(__xludf.DUMMYFUNCTION("""COMPUTED_VALUE"""),"Pendiente")</f>
        <v>Pendiente</v>
      </c>
      <c r="H2695" s="16" t="str">
        <f t="array" ref="H2695">_xlfn.XLOOKUP(D2695,Productos[ID_Producto],Productos[Nombre_Producto])</f>
        <v>Galletitas de agua</v>
      </c>
      <c r="I2695" s="17">
        <f t="array" ref="I2695">_xlfn.XLOOKUP(D2695,Productos[ID_Producto],Productos[Precio_Unitario])</f>
        <v>5.24</v>
      </c>
      <c r="J2695" s="17">
        <f t="shared" si="1"/>
        <v>31.44</v>
      </c>
      <c r="K2695" s="16" t="str">
        <f t="array" ref="K2695">_xlfn.XLOOKUP(C2695,Clientes[ID_Cliente],Clientes[Provincia])</f>
        <v>Chaco</v>
      </c>
      <c r="L2695" s="16" t="str">
        <f t="array" ref="L2695">CONCATENATE(_xlfn.XLOOKUP(C2695,Clientes[ID_Cliente],Clientes[Provincia]),", Argentina")</f>
        <v>Chaco, Argentina</v>
      </c>
      <c r="M2695" s="20" t="str">
        <f t="array" ref="M2695">_xlfn.XLOOKUP(F2695,Metodos_De_Pago[ID_Metodo],Metodos_De_Pago[Metodo])</f>
        <v>Tarjeta de Crédito</v>
      </c>
      <c r="N2695" s="20" t="str">
        <f t="shared" si="2"/>
        <v>2024 06</v>
      </c>
    </row>
    <row r="2696" ht="22.5" customHeight="1">
      <c r="A2696" s="12">
        <f>IFERROR(__xludf.DUMMYFUNCTION("""COMPUTED_VALUE"""),1924.0)</f>
        <v>1924</v>
      </c>
      <c r="B2696" s="13">
        <f>IFERROR(__xludf.DUMMYFUNCTION("""COMPUTED_VALUE"""),45451.0)</f>
        <v>45451</v>
      </c>
      <c r="C2696" s="12">
        <f>IFERROR(__xludf.DUMMYFUNCTION("""COMPUTED_VALUE"""),8.0)</f>
        <v>8</v>
      </c>
      <c r="D2696" s="12">
        <f>IFERROR(__xludf.DUMMYFUNCTION("""COMPUTED_VALUE"""),26.0)</f>
        <v>26</v>
      </c>
      <c r="E2696" s="12">
        <f>IFERROR(__xludf.DUMMYFUNCTION("""COMPUTED_VALUE"""),6.0)</f>
        <v>6</v>
      </c>
      <c r="F2696" s="12">
        <f>IFERROR(__xludf.DUMMYFUNCTION("""COMPUTED_VALUE"""),5.0)</f>
        <v>5</v>
      </c>
      <c r="G2696" s="15" t="str">
        <f>IFERROR(__xludf.DUMMYFUNCTION("""COMPUTED_VALUE"""),"Pendiente")</f>
        <v>Pendiente</v>
      </c>
      <c r="H2696" s="16" t="str">
        <f t="array" ref="H2696">_xlfn.XLOOKUP(D2696,Productos[ID_Producto],Productos[Nombre_Producto])</f>
        <v>Hamburgesas congeladas</v>
      </c>
      <c r="I2696" s="17">
        <f t="array" ref="I2696">_xlfn.XLOOKUP(D2696,Productos[ID_Producto],Productos[Precio_Unitario])</f>
        <v>9.54</v>
      </c>
      <c r="J2696" s="17">
        <f t="shared" si="1"/>
        <v>57.24</v>
      </c>
      <c r="K2696" s="16" t="str">
        <f t="array" ref="K2696">_xlfn.XLOOKUP(C2696,Clientes[ID_Cliente],Clientes[Provincia])</f>
        <v>Buenos Aires</v>
      </c>
      <c r="L2696" s="16" t="str">
        <f t="array" ref="L2696">CONCATENATE(_xlfn.XLOOKUP(C2696,Clientes[ID_Cliente],Clientes[Provincia]),", Argentina")</f>
        <v>Buenos Aires, Argentina</v>
      </c>
      <c r="M2696" s="20" t="str">
        <f t="array" ref="M2696">_xlfn.XLOOKUP(F2696,Metodos_De_Pago[ID_Metodo],Metodos_De_Pago[Metodo])</f>
        <v>Transferencia</v>
      </c>
      <c r="N2696" s="20" t="str">
        <f t="shared" si="2"/>
        <v>2024 06</v>
      </c>
    </row>
    <row r="2697" ht="22.5" customHeight="1">
      <c r="A2697" s="12">
        <f>IFERROR(__xludf.DUMMYFUNCTION("""COMPUTED_VALUE"""),1671.0)</f>
        <v>1671</v>
      </c>
      <c r="B2697" s="13">
        <f>IFERROR(__xludf.DUMMYFUNCTION("""COMPUTED_VALUE"""),45452.0)</f>
        <v>45452</v>
      </c>
      <c r="C2697" s="12">
        <f>IFERROR(__xludf.DUMMYFUNCTION("""COMPUTED_VALUE"""),304.0)</f>
        <v>304</v>
      </c>
      <c r="D2697" s="12">
        <f>IFERROR(__xludf.DUMMYFUNCTION("""COMPUTED_VALUE"""),22.0)</f>
        <v>22</v>
      </c>
      <c r="E2697" s="12">
        <f>IFERROR(__xludf.DUMMYFUNCTION("""COMPUTED_VALUE"""),6.0)</f>
        <v>6</v>
      </c>
      <c r="F2697" s="12">
        <f>IFERROR(__xludf.DUMMYFUNCTION("""COMPUTED_VALUE"""),5.0)</f>
        <v>5</v>
      </c>
      <c r="G2697" s="15" t="str">
        <f>IFERROR(__xludf.DUMMYFUNCTION("""COMPUTED_VALUE"""),"Completa")</f>
        <v>Completa</v>
      </c>
      <c r="H2697" s="16" t="str">
        <f t="array" ref="H2697">_xlfn.XLOOKUP(D2697,Productos[ID_Producto],Productos[Nombre_Producto])</f>
        <v>Cebolla</v>
      </c>
      <c r="I2697" s="17">
        <f t="array" ref="I2697">_xlfn.XLOOKUP(D2697,Productos[ID_Producto],Productos[Precio_Unitario])</f>
        <v>4.21</v>
      </c>
      <c r="J2697" s="17">
        <f t="shared" si="1"/>
        <v>25.26</v>
      </c>
      <c r="K2697" s="16" t="str">
        <f t="array" ref="K2697">_xlfn.XLOOKUP(C2697,Clientes[ID_Cliente],Clientes[Provincia])</f>
        <v>San Luis</v>
      </c>
      <c r="L2697" s="16" t="str">
        <f t="array" ref="L2697">CONCATENATE(_xlfn.XLOOKUP(C2697,Clientes[ID_Cliente],Clientes[Provincia]),", Argentina")</f>
        <v>San Luis, Argentina</v>
      </c>
      <c r="M2697" s="20" t="str">
        <f t="array" ref="M2697">_xlfn.XLOOKUP(F2697,Metodos_De_Pago[ID_Metodo],Metodos_De_Pago[Metodo])</f>
        <v>Transferencia</v>
      </c>
      <c r="N2697" s="20" t="str">
        <f t="shared" si="2"/>
        <v>2024 06</v>
      </c>
    </row>
    <row r="2698" ht="22.5" customHeight="1">
      <c r="A2698" s="12">
        <f>IFERROR(__xludf.DUMMYFUNCTION("""COMPUTED_VALUE"""),2017.0)</f>
        <v>2017</v>
      </c>
      <c r="B2698" s="13">
        <f>IFERROR(__xludf.DUMMYFUNCTION("""COMPUTED_VALUE"""),45452.0)</f>
        <v>45452</v>
      </c>
      <c r="C2698" s="12">
        <f>IFERROR(__xludf.DUMMYFUNCTION("""COMPUTED_VALUE"""),226.0)</f>
        <v>226</v>
      </c>
      <c r="D2698" s="12">
        <f>IFERROR(__xludf.DUMMYFUNCTION("""COMPUTED_VALUE"""),7.0)</f>
        <v>7</v>
      </c>
      <c r="E2698" s="12">
        <f>IFERROR(__xludf.DUMMYFUNCTION("""COMPUTED_VALUE"""),6.0)</f>
        <v>6</v>
      </c>
      <c r="F2698" s="12">
        <f>IFERROR(__xludf.DUMMYFUNCTION("""COMPUTED_VALUE"""),5.0)</f>
        <v>5</v>
      </c>
      <c r="G2698" s="15" t="str">
        <f>IFERROR(__xludf.DUMMYFUNCTION("""COMPUTED_VALUE"""),"Completa")</f>
        <v>Completa</v>
      </c>
      <c r="H2698" s="16" t="str">
        <f t="array" ref="H2698">_xlfn.XLOOKUP(D2698,Productos[ID_Producto],Productos[Nombre_Producto])</f>
        <v>Chorizo</v>
      </c>
      <c r="I2698" s="17">
        <f t="array" ref="I2698">_xlfn.XLOOKUP(D2698,Productos[ID_Producto],Productos[Precio_Unitario])</f>
        <v>11.25</v>
      </c>
      <c r="J2698" s="17">
        <f t="shared" si="1"/>
        <v>67.5</v>
      </c>
      <c r="K2698" s="16" t="str">
        <f t="array" ref="K2698">_xlfn.XLOOKUP(C2698,Clientes[ID_Cliente],Clientes[Provincia])</f>
        <v>Neuquén</v>
      </c>
      <c r="L2698" s="16" t="str">
        <f t="array" ref="L2698">CONCATENATE(_xlfn.XLOOKUP(C2698,Clientes[ID_Cliente],Clientes[Provincia]),", Argentina")</f>
        <v>Neuquén, Argentina</v>
      </c>
      <c r="M2698" s="20" t="str">
        <f t="array" ref="M2698">_xlfn.XLOOKUP(F2698,Metodos_De_Pago[ID_Metodo],Metodos_De_Pago[Metodo])</f>
        <v>Transferencia</v>
      </c>
      <c r="N2698" s="20" t="str">
        <f t="shared" si="2"/>
        <v>2024 06</v>
      </c>
    </row>
    <row r="2699" ht="22.5" customHeight="1">
      <c r="A2699" s="12">
        <f>IFERROR(__xludf.DUMMYFUNCTION("""COMPUTED_VALUE"""),2450.0)</f>
        <v>2450</v>
      </c>
      <c r="B2699" s="13">
        <f>IFERROR(__xludf.DUMMYFUNCTION("""COMPUTED_VALUE"""),45452.0)</f>
        <v>45452</v>
      </c>
      <c r="C2699" s="12">
        <f>IFERROR(__xludf.DUMMYFUNCTION("""COMPUTED_VALUE"""),49.0)</f>
        <v>49</v>
      </c>
      <c r="D2699" s="12">
        <f>IFERROR(__xludf.DUMMYFUNCTION("""COMPUTED_VALUE"""),3.0)</f>
        <v>3</v>
      </c>
      <c r="E2699" s="12">
        <f>IFERROR(__xludf.DUMMYFUNCTION("""COMPUTED_VALUE"""),6.0)</f>
        <v>6</v>
      </c>
      <c r="F2699" s="12">
        <f>IFERROR(__xludf.DUMMYFUNCTION("""COMPUTED_VALUE"""),5.0)</f>
        <v>5</v>
      </c>
      <c r="G2699" s="15" t="str">
        <f>IFERROR(__xludf.DUMMYFUNCTION("""COMPUTED_VALUE"""),"Completa")</f>
        <v>Completa</v>
      </c>
      <c r="H2699" s="16" t="str">
        <f t="array" ref="H2699">_xlfn.XLOOKUP(D2699,Productos[ID_Producto],Productos[Nombre_Producto])</f>
        <v>Queso cremoso</v>
      </c>
      <c r="I2699" s="17">
        <f t="array" ref="I2699">_xlfn.XLOOKUP(D2699,Productos[ID_Producto],Productos[Precio_Unitario])</f>
        <v>17.23</v>
      </c>
      <c r="J2699" s="17">
        <f t="shared" si="1"/>
        <v>103.38</v>
      </c>
      <c r="K2699" s="16" t="str">
        <f t="array" ref="K2699">_xlfn.XLOOKUP(C2699,Clientes[ID_Cliente],Clientes[Provincia])</f>
        <v>Buenos Aires</v>
      </c>
      <c r="L2699" s="16" t="str">
        <f t="array" ref="L2699">CONCATENATE(_xlfn.XLOOKUP(C2699,Clientes[ID_Cliente],Clientes[Provincia]),", Argentina")</f>
        <v>Buenos Aires, Argentina</v>
      </c>
      <c r="M2699" s="20" t="str">
        <f t="array" ref="M2699">_xlfn.XLOOKUP(F2699,Metodos_De_Pago[ID_Metodo],Metodos_De_Pago[Metodo])</f>
        <v>Transferencia</v>
      </c>
      <c r="N2699" s="20" t="str">
        <f t="shared" si="2"/>
        <v>2024 06</v>
      </c>
    </row>
    <row r="2700" ht="22.5" customHeight="1">
      <c r="A2700" s="12">
        <f>IFERROR(__xludf.DUMMYFUNCTION("""COMPUTED_VALUE"""),597.0)</f>
        <v>597</v>
      </c>
      <c r="B2700" s="13">
        <f>IFERROR(__xludf.DUMMYFUNCTION("""COMPUTED_VALUE"""),45455.0)</f>
        <v>45455</v>
      </c>
      <c r="C2700" s="12">
        <f>IFERROR(__xludf.DUMMYFUNCTION("""COMPUTED_VALUE"""),250.0)</f>
        <v>250</v>
      </c>
      <c r="D2700" s="12">
        <f>IFERROR(__xludf.DUMMYFUNCTION("""COMPUTED_VALUE"""),10.0)</f>
        <v>10</v>
      </c>
      <c r="E2700" s="12">
        <f>IFERROR(__xludf.DUMMYFUNCTION("""COMPUTED_VALUE"""),6.0)</f>
        <v>6</v>
      </c>
      <c r="F2700" s="12">
        <f>IFERROR(__xludf.DUMMYFUNCTION("""COMPUTED_VALUE"""),5.0)</f>
        <v>5</v>
      </c>
      <c r="G2700" s="15" t="str">
        <f>IFERROR(__xludf.DUMMYFUNCTION("""COMPUTED_VALUE"""),"Completa")</f>
        <v>Completa</v>
      </c>
      <c r="H2700" s="16" t="str">
        <f t="array" ref="H2700">_xlfn.XLOOKUP(D2700,Productos[ID_Producto],Productos[Nombre_Producto])</f>
        <v>Costilla de cerdo</v>
      </c>
      <c r="I2700" s="17">
        <f t="array" ref="I2700">_xlfn.XLOOKUP(D2700,Productos[ID_Producto],Productos[Precio_Unitario])</f>
        <v>14.25</v>
      </c>
      <c r="J2700" s="17">
        <f t="shared" si="1"/>
        <v>85.5</v>
      </c>
      <c r="K2700" s="16" t="str">
        <f t="array" ref="K2700">_xlfn.XLOOKUP(C2700,Clientes[ID_Cliente],Clientes[Provincia])</f>
        <v>Córdoba</v>
      </c>
      <c r="L2700" s="16" t="str">
        <f t="array" ref="L2700">CONCATENATE(_xlfn.XLOOKUP(C2700,Clientes[ID_Cliente],Clientes[Provincia]),", Argentina")</f>
        <v>Córdoba, Argentina</v>
      </c>
      <c r="M2700" s="20" t="str">
        <f t="array" ref="M2700">_xlfn.XLOOKUP(F2700,Metodos_De_Pago[ID_Metodo],Metodos_De_Pago[Metodo])</f>
        <v>Transferencia</v>
      </c>
      <c r="N2700" s="20" t="str">
        <f t="shared" si="2"/>
        <v>2024 06</v>
      </c>
    </row>
    <row r="2701" ht="22.5" customHeight="1">
      <c r="A2701" s="12">
        <f>IFERROR(__xludf.DUMMYFUNCTION("""COMPUTED_VALUE"""),2036.0)</f>
        <v>2036</v>
      </c>
      <c r="B2701" s="13">
        <f>IFERROR(__xludf.DUMMYFUNCTION("""COMPUTED_VALUE"""),45455.0)</f>
        <v>45455</v>
      </c>
      <c r="C2701" s="12">
        <f>IFERROR(__xludf.DUMMYFUNCTION("""COMPUTED_VALUE"""),158.0)</f>
        <v>158</v>
      </c>
      <c r="D2701" s="12">
        <f>IFERROR(__xludf.DUMMYFUNCTION("""COMPUTED_VALUE"""),10.0)</f>
        <v>10</v>
      </c>
      <c r="E2701" s="12">
        <f>IFERROR(__xludf.DUMMYFUNCTION("""COMPUTED_VALUE"""),6.0)</f>
        <v>6</v>
      </c>
      <c r="F2701" s="12">
        <f>IFERROR(__xludf.DUMMYFUNCTION("""COMPUTED_VALUE"""),3.0)</f>
        <v>3</v>
      </c>
      <c r="G2701" s="15" t="str">
        <f>IFERROR(__xludf.DUMMYFUNCTION("""COMPUTED_VALUE"""),"Completa")</f>
        <v>Completa</v>
      </c>
      <c r="H2701" s="16" t="str">
        <f t="array" ref="H2701">_xlfn.XLOOKUP(D2701,Productos[ID_Producto],Productos[Nombre_Producto])</f>
        <v>Costilla de cerdo</v>
      </c>
      <c r="I2701" s="17">
        <f t="array" ref="I2701">_xlfn.XLOOKUP(D2701,Productos[ID_Producto],Productos[Precio_Unitario])</f>
        <v>14.25</v>
      </c>
      <c r="J2701" s="17">
        <f t="shared" si="1"/>
        <v>85.5</v>
      </c>
      <c r="K2701" s="16" t="str">
        <f t="array" ref="K2701">_xlfn.XLOOKUP(C2701,Clientes[ID_Cliente],Clientes[Provincia])</f>
        <v>Buenos Aires</v>
      </c>
      <c r="L2701" s="16" t="str">
        <f t="array" ref="L2701">CONCATENATE(_xlfn.XLOOKUP(C2701,Clientes[ID_Cliente],Clientes[Provincia]),", Argentina")</f>
        <v>Buenos Aires, Argentina</v>
      </c>
      <c r="M2701" s="20" t="str">
        <f t="array" ref="M2701">_xlfn.XLOOKUP(F2701,Metodos_De_Pago[ID_Metodo],Metodos_De_Pago[Metodo])</f>
        <v>Tarjeta de Débito</v>
      </c>
      <c r="N2701" s="20" t="str">
        <f t="shared" si="2"/>
        <v>2024 06</v>
      </c>
    </row>
    <row r="2702" ht="22.5" customHeight="1">
      <c r="A2702" s="12">
        <f>IFERROR(__xludf.DUMMYFUNCTION("""COMPUTED_VALUE"""),2887.0)</f>
        <v>2887</v>
      </c>
      <c r="B2702" s="13">
        <f>IFERROR(__xludf.DUMMYFUNCTION("""COMPUTED_VALUE"""),45455.0)</f>
        <v>45455</v>
      </c>
      <c r="C2702" s="12">
        <f>IFERROR(__xludf.DUMMYFUNCTION("""COMPUTED_VALUE"""),24.0)</f>
        <v>24</v>
      </c>
      <c r="D2702" s="12">
        <f>IFERROR(__xludf.DUMMYFUNCTION("""COMPUTED_VALUE"""),16.0)</f>
        <v>16</v>
      </c>
      <c r="E2702" s="12">
        <f>IFERROR(__xludf.DUMMYFUNCTION("""COMPUTED_VALUE"""),6.0)</f>
        <v>6</v>
      </c>
      <c r="F2702" s="12">
        <f>IFERROR(__xludf.DUMMYFUNCTION("""COMPUTED_VALUE"""),5.0)</f>
        <v>5</v>
      </c>
      <c r="G2702" s="15" t="str">
        <f>IFERROR(__xludf.DUMMYFUNCTION("""COMPUTED_VALUE"""),"Pendiente")</f>
        <v>Pendiente</v>
      </c>
      <c r="H2702" s="16" t="str">
        <f t="array" ref="H2702">_xlfn.XLOOKUP(D2702,Productos[ID_Producto],Productos[Nombre_Producto])</f>
        <v>Tortas</v>
      </c>
      <c r="I2702" s="17">
        <f t="array" ref="I2702">_xlfn.XLOOKUP(D2702,Productos[ID_Producto],Productos[Precio_Unitario])</f>
        <v>15.23</v>
      </c>
      <c r="J2702" s="17">
        <f t="shared" si="1"/>
        <v>91.38</v>
      </c>
      <c r="K2702" s="16" t="str">
        <f t="array" ref="K2702">_xlfn.XLOOKUP(C2702,Clientes[ID_Cliente],Clientes[Provincia])</f>
        <v>San Luis</v>
      </c>
      <c r="L2702" s="16" t="str">
        <f t="array" ref="L2702">CONCATENATE(_xlfn.XLOOKUP(C2702,Clientes[ID_Cliente],Clientes[Provincia]),", Argentina")</f>
        <v>San Luis, Argentina</v>
      </c>
      <c r="M2702" s="20" t="str">
        <f t="array" ref="M2702">_xlfn.XLOOKUP(F2702,Metodos_De_Pago[ID_Metodo],Metodos_De_Pago[Metodo])</f>
        <v>Transferencia</v>
      </c>
      <c r="N2702" s="20" t="str">
        <f t="shared" si="2"/>
        <v>2024 06</v>
      </c>
    </row>
    <row r="2703" ht="22.5" customHeight="1">
      <c r="A2703" s="12">
        <f>IFERROR(__xludf.DUMMYFUNCTION("""COMPUTED_VALUE"""),1064.0)</f>
        <v>1064</v>
      </c>
      <c r="B2703" s="13">
        <f>IFERROR(__xludf.DUMMYFUNCTION("""COMPUTED_VALUE"""),45456.0)</f>
        <v>45456</v>
      </c>
      <c r="C2703" s="12">
        <f>IFERROR(__xludf.DUMMYFUNCTION("""COMPUTED_VALUE"""),152.0)</f>
        <v>152</v>
      </c>
      <c r="D2703" s="12">
        <f>IFERROR(__xludf.DUMMYFUNCTION("""COMPUTED_VALUE"""),2.0)</f>
        <v>2</v>
      </c>
      <c r="E2703" s="12">
        <f>IFERROR(__xludf.DUMMYFUNCTION("""COMPUTED_VALUE"""),6.0)</f>
        <v>6</v>
      </c>
      <c r="F2703" s="12">
        <f>IFERROR(__xludf.DUMMYFUNCTION("""COMPUTED_VALUE"""),1.0)</f>
        <v>1</v>
      </c>
      <c r="G2703" s="15" t="str">
        <f>IFERROR(__xludf.DUMMYFUNCTION("""COMPUTED_VALUE"""),"Completa")</f>
        <v>Completa</v>
      </c>
      <c r="H2703" s="16" t="str">
        <f t="array" ref="H2703">_xlfn.XLOOKUP(D2703,Productos[ID_Producto],Productos[Nombre_Producto])</f>
        <v>Yogur</v>
      </c>
      <c r="I2703" s="17">
        <f t="array" ref="I2703">_xlfn.XLOOKUP(D2703,Productos[ID_Producto],Productos[Precio_Unitario])</f>
        <v>5.21</v>
      </c>
      <c r="J2703" s="17">
        <f t="shared" si="1"/>
        <v>31.26</v>
      </c>
      <c r="K2703" s="16" t="str">
        <f t="array" ref="K2703">_xlfn.XLOOKUP(C2703,Clientes[ID_Cliente],Clientes[Provincia])</f>
        <v>Salta</v>
      </c>
      <c r="L2703" s="16" t="str">
        <f t="array" ref="L2703">CONCATENATE(_xlfn.XLOOKUP(C2703,Clientes[ID_Cliente],Clientes[Provincia]),", Argentina")</f>
        <v>Salta, Argentina</v>
      </c>
      <c r="M2703" s="20" t="str">
        <f t="array" ref="M2703">_xlfn.XLOOKUP(F2703,Metodos_De_Pago[ID_Metodo],Metodos_De_Pago[Metodo])</f>
        <v>Efectivo</v>
      </c>
      <c r="N2703" s="20" t="str">
        <f t="shared" si="2"/>
        <v>2024 06</v>
      </c>
    </row>
    <row r="2704" ht="22.5" customHeight="1">
      <c r="A2704" s="12">
        <f>IFERROR(__xludf.DUMMYFUNCTION("""COMPUTED_VALUE"""),1593.0)</f>
        <v>1593</v>
      </c>
      <c r="B2704" s="13">
        <f>IFERROR(__xludf.DUMMYFUNCTION("""COMPUTED_VALUE"""),45456.0)</f>
        <v>45456</v>
      </c>
      <c r="C2704" s="12">
        <f>IFERROR(__xludf.DUMMYFUNCTION("""COMPUTED_VALUE"""),231.0)</f>
        <v>231</v>
      </c>
      <c r="D2704" s="12">
        <f>IFERROR(__xludf.DUMMYFUNCTION("""COMPUTED_VALUE"""),36.0)</f>
        <v>36</v>
      </c>
      <c r="E2704" s="12">
        <f>IFERROR(__xludf.DUMMYFUNCTION("""COMPUTED_VALUE"""),6.0)</f>
        <v>6</v>
      </c>
      <c r="F2704" s="12">
        <f>IFERROR(__xludf.DUMMYFUNCTION("""COMPUTED_VALUE"""),5.0)</f>
        <v>5</v>
      </c>
      <c r="G2704" s="15" t="str">
        <f>IFERROR(__xludf.DUMMYFUNCTION("""COMPUTED_VALUE"""),"Completa")</f>
        <v>Completa</v>
      </c>
      <c r="H2704" s="16" t="str">
        <f t="array" ref="H2704">_xlfn.XLOOKUP(D2704,Productos[ID_Producto],Productos[Nombre_Producto])</f>
        <v>Lentejas</v>
      </c>
      <c r="I2704" s="17">
        <f t="array" ref="I2704">_xlfn.XLOOKUP(D2704,Productos[ID_Producto],Productos[Precio_Unitario])</f>
        <v>3.25</v>
      </c>
      <c r="J2704" s="17">
        <f t="shared" si="1"/>
        <v>19.5</v>
      </c>
      <c r="K2704" s="16" t="str">
        <f t="array" ref="K2704">_xlfn.XLOOKUP(C2704,Clientes[ID_Cliente],Clientes[Provincia])</f>
        <v>Neuquén</v>
      </c>
      <c r="L2704" s="16" t="str">
        <f t="array" ref="L2704">CONCATENATE(_xlfn.XLOOKUP(C2704,Clientes[ID_Cliente],Clientes[Provincia]),", Argentina")</f>
        <v>Neuquén, Argentina</v>
      </c>
      <c r="M2704" s="20" t="str">
        <f t="array" ref="M2704">_xlfn.XLOOKUP(F2704,Metodos_De_Pago[ID_Metodo],Metodos_De_Pago[Metodo])</f>
        <v>Transferencia</v>
      </c>
      <c r="N2704" s="20" t="str">
        <f t="shared" si="2"/>
        <v>2024 06</v>
      </c>
    </row>
    <row r="2705" ht="22.5" customHeight="1">
      <c r="A2705" s="12">
        <f>IFERROR(__xludf.DUMMYFUNCTION("""COMPUTED_VALUE"""),2975.0)</f>
        <v>2975</v>
      </c>
      <c r="B2705" s="13">
        <f>IFERROR(__xludf.DUMMYFUNCTION("""COMPUTED_VALUE"""),45456.0)</f>
        <v>45456</v>
      </c>
      <c r="C2705" s="12">
        <f>IFERROR(__xludf.DUMMYFUNCTION("""COMPUTED_VALUE"""),50.0)</f>
        <v>50</v>
      </c>
      <c r="D2705" s="12">
        <f>IFERROR(__xludf.DUMMYFUNCTION("""COMPUTED_VALUE"""),25.0)</f>
        <v>25</v>
      </c>
      <c r="E2705" s="12">
        <f>IFERROR(__xludf.DUMMYFUNCTION("""COMPUTED_VALUE"""),6.0)</f>
        <v>6</v>
      </c>
      <c r="F2705" s="12">
        <f>IFERROR(__xludf.DUMMYFUNCTION("""COMPUTED_VALUE"""),5.0)</f>
        <v>5</v>
      </c>
      <c r="G2705" s="15" t="str">
        <f>IFERROR(__xludf.DUMMYFUNCTION("""COMPUTED_VALUE"""),"Completa")</f>
        <v>Completa</v>
      </c>
      <c r="H2705" s="16" t="str">
        <f t="array" ref="H2705">_xlfn.XLOOKUP(D2705,Productos[ID_Producto],Productos[Nombre_Producto])</f>
        <v>Pizza congelada</v>
      </c>
      <c r="I2705" s="17">
        <f t="array" ref="I2705">_xlfn.XLOOKUP(D2705,Productos[ID_Producto],Productos[Precio_Unitario])</f>
        <v>15.45</v>
      </c>
      <c r="J2705" s="17">
        <f t="shared" si="1"/>
        <v>92.7</v>
      </c>
      <c r="K2705" s="16" t="str">
        <f t="array" ref="K2705">_xlfn.XLOOKUP(C2705,Clientes[ID_Cliente],Clientes[Provincia])</f>
        <v>Buenos Aires</v>
      </c>
      <c r="L2705" s="16" t="str">
        <f t="array" ref="L2705">CONCATENATE(_xlfn.XLOOKUP(C2705,Clientes[ID_Cliente],Clientes[Provincia]),", Argentina")</f>
        <v>Buenos Aires, Argentina</v>
      </c>
      <c r="M2705" s="20" t="str">
        <f t="array" ref="M2705">_xlfn.XLOOKUP(F2705,Metodos_De_Pago[ID_Metodo],Metodos_De_Pago[Metodo])</f>
        <v>Transferencia</v>
      </c>
      <c r="N2705" s="20" t="str">
        <f t="shared" si="2"/>
        <v>2024 06</v>
      </c>
    </row>
    <row r="2706" ht="22.5" customHeight="1">
      <c r="A2706" s="12">
        <f>IFERROR(__xludf.DUMMYFUNCTION("""COMPUTED_VALUE"""),2700.0)</f>
        <v>2700</v>
      </c>
      <c r="B2706" s="13">
        <f>IFERROR(__xludf.DUMMYFUNCTION("""COMPUTED_VALUE"""),45457.0)</f>
        <v>45457</v>
      </c>
      <c r="C2706" s="12">
        <f>IFERROR(__xludf.DUMMYFUNCTION("""COMPUTED_VALUE"""),39.0)</f>
        <v>39</v>
      </c>
      <c r="D2706" s="12">
        <f>IFERROR(__xludf.DUMMYFUNCTION("""COMPUTED_VALUE"""),21.0)</f>
        <v>21</v>
      </c>
      <c r="E2706" s="12">
        <f>IFERROR(__xludf.DUMMYFUNCTION("""COMPUTED_VALUE"""),6.0)</f>
        <v>6</v>
      </c>
      <c r="F2706" s="12">
        <f>IFERROR(__xludf.DUMMYFUNCTION("""COMPUTED_VALUE"""),3.0)</f>
        <v>3</v>
      </c>
      <c r="G2706" s="15" t="str">
        <f>IFERROR(__xludf.DUMMYFUNCTION("""COMPUTED_VALUE"""),"Completa")</f>
        <v>Completa</v>
      </c>
      <c r="H2706" s="16" t="str">
        <f t="array" ref="H2706">_xlfn.XLOOKUP(D2706,Productos[ID_Producto],Productos[Nombre_Producto])</f>
        <v>Zanahorias</v>
      </c>
      <c r="I2706" s="17">
        <f t="array" ref="I2706">_xlfn.XLOOKUP(D2706,Productos[ID_Producto],Productos[Precio_Unitario])</f>
        <v>3.25</v>
      </c>
      <c r="J2706" s="17">
        <f t="shared" si="1"/>
        <v>19.5</v>
      </c>
      <c r="K2706" s="16" t="str">
        <f t="array" ref="K2706">_xlfn.XLOOKUP(C2706,Clientes[ID_Cliente],Clientes[Provincia])</f>
        <v>Neuquén</v>
      </c>
      <c r="L2706" s="16" t="str">
        <f t="array" ref="L2706">CONCATENATE(_xlfn.XLOOKUP(C2706,Clientes[ID_Cliente],Clientes[Provincia]),", Argentina")</f>
        <v>Neuquén, Argentina</v>
      </c>
      <c r="M2706" s="20" t="str">
        <f t="array" ref="M2706">_xlfn.XLOOKUP(F2706,Metodos_De_Pago[ID_Metodo],Metodos_De_Pago[Metodo])</f>
        <v>Tarjeta de Débito</v>
      </c>
      <c r="N2706" s="20" t="str">
        <f t="shared" si="2"/>
        <v>2024 06</v>
      </c>
    </row>
    <row r="2707" ht="22.5" customHeight="1">
      <c r="A2707" s="12">
        <f>IFERROR(__xludf.DUMMYFUNCTION("""COMPUTED_VALUE"""),506.0)</f>
        <v>506</v>
      </c>
      <c r="B2707" s="13">
        <f>IFERROR(__xludf.DUMMYFUNCTION("""COMPUTED_VALUE"""),45459.0)</f>
        <v>45459</v>
      </c>
      <c r="C2707" s="12">
        <f>IFERROR(__xludf.DUMMYFUNCTION("""COMPUTED_VALUE"""),287.0)</f>
        <v>287</v>
      </c>
      <c r="D2707" s="12">
        <f>IFERROR(__xludf.DUMMYFUNCTION("""COMPUTED_VALUE"""),27.0)</f>
        <v>27</v>
      </c>
      <c r="E2707" s="12">
        <f>IFERROR(__xludf.DUMMYFUNCTION("""COMPUTED_VALUE"""),6.0)</f>
        <v>6</v>
      </c>
      <c r="F2707" s="12">
        <f>IFERROR(__xludf.DUMMYFUNCTION("""COMPUTED_VALUE"""),4.0)</f>
        <v>4</v>
      </c>
      <c r="G2707" s="15" t="str">
        <f>IFERROR(__xludf.DUMMYFUNCTION("""COMPUTED_VALUE"""),"Completa")</f>
        <v>Completa</v>
      </c>
      <c r="H2707" s="16" t="str">
        <f t="array" ref="H2707">_xlfn.XLOOKUP(D2707,Productos[ID_Producto],Productos[Nombre_Producto])</f>
        <v>Agua mineral</v>
      </c>
      <c r="I2707" s="17">
        <f t="array" ref="I2707">_xlfn.XLOOKUP(D2707,Productos[ID_Producto],Productos[Precio_Unitario])</f>
        <v>6.21</v>
      </c>
      <c r="J2707" s="17">
        <f t="shared" si="1"/>
        <v>37.26</v>
      </c>
      <c r="K2707" s="16" t="str">
        <f t="array" ref="K2707">_xlfn.XLOOKUP(C2707,Clientes[ID_Cliente],Clientes[Provincia])</f>
        <v>Chaco</v>
      </c>
      <c r="L2707" s="16" t="str">
        <f t="array" ref="L2707">CONCATENATE(_xlfn.XLOOKUP(C2707,Clientes[ID_Cliente],Clientes[Provincia]),", Argentina")</f>
        <v>Chaco, Argentina</v>
      </c>
      <c r="M2707" s="20" t="str">
        <f t="array" ref="M2707">_xlfn.XLOOKUP(F2707,Metodos_De_Pago[ID_Metodo],Metodos_De_Pago[Metodo])</f>
        <v>Mercado Pago</v>
      </c>
      <c r="N2707" s="20" t="str">
        <f t="shared" si="2"/>
        <v>2024 06</v>
      </c>
    </row>
    <row r="2708" ht="22.5" customHeight="1">
      <c r="A2708" s="12">
        <f>IFERROR(__xludf.DUMMYFUNCTION("""COMPUTED_VALUE"""),1643.0)</f>
        <v>1643</v>
      </c>
      <c r="B2708" s="13">
        <f>IFERROR(__xludf.DUMMYFUNCTION("""COMPUTED_VALUE"""),45459.0)</f>
        <v>45459</v>
      </c>
      <c r="C2708" s="12">
        <f>IFERROR(__xludf.DUMMYFUNCTION("""COMPUTED_VALUE"""),170.0)</f>
        <v>170</v>
      </c>
      <c r="D2708" s="12">
        <f>IFERROR(__xludf.DUMMYFUNCTION("""COMPUTED_VALUE"""),7.0)</f>
        <v>7</v>
      </c>
      <c r="E2708" s="12">
        <f>IFERROR(__xludf.DUMMYFUNCTION("""COMPUTED_VALUE"""),6.0)</f>
        <v>6</v>
      </c>
      <c r="F2708" s="12">
        <f>IFERROR(__xludf.DUMMYFUNCTION("""COMPUTED_VALUE"""),2.0)</f>
        <v>2</v>
      </c>
      <c r="G2708" s="15" t="str">
        <f>IFERROR(__xludf.DUMMYFUNCTION("""COMPUTED_VALUE"""),"Completa")</f>
        <v>Completa</v>
      </c>
      <c r="H2708" s="16" t="str">
        <f t="array" ref="H2708">_xlfn.XLOOKUP(D2708,Productos[ID_Producto],Productos[Nombre_Producto])</f>
        <v>Chorizo</v>
      </c>
      <c r="I2708" s="17">
        <f t="array" ref="I2708">_xlfn.XLOOKUP(D2708,Productos[ID_Producto],Productos[Precio_Unitario])</f>
        <v>11.25</v>
      </c>
      <c r="J2708" s="17">
        <f t="shared" si="1"/>
        <v>67.5</v>
      </c>
      <c r="K2708" s="16" t="str">
        <f t="array" ref="K2708">_xlfn.XLOOKUP(C2708,Clientes[ID_Cliente],Clientes[Provincia])</f>
        <v>Córdoba</v>
      </c>
      <c r="L2708" s="16" t="str">
        <f t="array" ref="L2708">CONCATENATE(_xlfn.XLOOKUP(C2708,Clientes[ID_Cliente],Clientes[Provincia]),", Argentina")</f>
        <v>Córdoba, Argentina</v>
      </c>
      <c r="M2708" s="20" t="str">
        <f t="array" ref="M2708">_xlfn.XLOOKUP(F2708,Metodos_De_Pago[ID_Metodo],Metodos_De_Pago[Metodo])</f>
        <v>Tarjeta de Crédito</v>
      </c>
      <c r="N2708" s="20" t="str">
        <f t="shared" si="2"/>
        <v>2024 06</v>
      </c>
    </row>
    <row r="2709" ht="22.5" customHeight="1">
      <c r="A2709" s="12">
        <f>IFERROR(__xludf.DUMMYFUNCTION("""COMPUTED_VALUE"""),2338.0)</f>
        <v>2338</v>
      </c>
      <c r="B2709" s="13">
        <f>IFERROR(__xludf.DUMMYFUNCTION("""COMPUTED_VALUE"""),45460.0)</f>
        <v>45460</v>
      </c>
      <c r="C2709" s="12">
        <f>IFERROR(__xludf.DUMMYFUNCTION("""COMPUTED_VALUE"""),137.0)</f>
        <v>137</v>
      </c>
      <c r="D2709" s="12">
        <f>IFERROR(__xludf.DUMMYFUNCTION("""COMPUTED_VALUE"""),29.0)</f>
        <v>29</v>
      </c>
      <c r="E2709" s="12">
        <f>IFERROR(__xludf.DUMMYFUNCTION("""COMPUTED_VALUE"""),6.0)</f>
        <v>6</v>
      </c>
      <c r="F2709" s="12">
        <f>IFERROR(__xludf.DUMMYFUNCTION("""COMPUTED_VALUE"""),3.0)</f>
        <v>3</v>
      </c>
      <c r="G2709" s="15" t="str">
        <f>IFERROR(__xludf.DUMMYFUNCTION("""COMPUTED_VALUE"""),"Pendiente")</f>
        <v>Pendiente</v>
      </c>
      <c r="H2709" s="16" t="str">
        <f t="array" ref="H2709">_xlfn.XLOOKUP(D2709,Productos[ID_Producto],Productos[Nombre_Producto])</f>
        <v>Cerveza</v>
      </c>
      <c r="I2709" s="17">
        <f t="array" ref="I2709">_xlfn.XLOOKUP(D2709,Productos[ID_Producto],Productos[Precio_Unitario])</f>
        <v>11.54</v>
      </c>
      <c r="J2709" s="17">
        <f t="shared" si="1"/>
        <v>69.24</v>
      </c>
      <c r="K2709" s="16" t="str">
        <f t="array" ref="K2709">_xlfn.XLOOKUP(C2709,Clientes[ID_Cliente],Clientes[Provincia])</f>
        <v>Neuquén</v>
      </c>
      <c r="L2709" s="16" t="str">
        <f t="array" ref="L2709">CONCATENATE(_xlfn.XLOOKUP(C2709,Clientes[ID_Cliente],Clientes[Provincia]),", Argentina")</f>
        <v>Neuquén, Argentina</v>
      </c>
      <c r="M2709" s="20" t="str">
        <f t="array" ref="M2709">_xlfn.XLOOKUP(F2709,Metodos_De_Pago[ID_Metodo],Metodos_De_Pago[Metodo])</f>
        <v>Tarjeta de Débito</v>
      </c>
      <c r="N2709" s="20" t="str">
        <f t="shared" si="2"/>
        <v>2024 06</v>
      </c>
    </row>
    <row r="2710" ht="22.5" customHeight="1">
      <c r="A2710" s="12">
        <f>IFERROR(__xludf.DUMMYFUNCTION("""COMPUTED_VALUE"""),2658.0)</f>
        <v>2658</v>
      </c>
      <c r="B2710" s="13">
        <f>IFERROR(__xludf.DUMMYFUNCTION("""COMPUTED_VALUE"""),45460.0)</f>
        <v>45460</v>
      </c>
      <c r="C2710" s="12">
        <f>IFERROR(__xludf.DUMMYFUNCTION("""COMPUTED_VALUE"""),235.0)</f>
        <v>235</v>
      </c>
      <c r="D2710" s="12">
        <f>IFERROR(__xludf.DUMMYFUNCTION("""COMPUTED_VALUE"""),36.0)</f>
        <v>36</v>
      </c>
      <c r="E2710" s="12">
        <f>IFERROR(__xludf.DUMMYFUNCTION("""COMPUTED_VALUE"""),6.0)</f>
        <v>6</v>
      </c>
      <c r="F2710" s="12">
        <f>IFERROR(__xludf.DUMMYFUNCTION("""COMPUTED_VALUE"""),3.0)</f>
        <v>3</v>
      </c>
      <c r="G2710" s="15" t="str">
        <f>IFERROR(__xludf.DUMMYFUNCTION("""COMPUTED_VALUE"""),"Completa")</f>
        <v>Completa</v>
      </c>
      <c r="H2710" s="16" t="str">
        <f t="array" ref="H2710">_xlfn.XLOOKUP(D2710,Productos[ID_Producto],Productos[Nombre_Producto])</f>
        <v>Lentejas</v>
      </c>
      <c r="I2710" s="17">
        <f t="array" ref="I2710">_xlfn.XLOOKUP(D2710,Productos[ID_Producto],Productos[Precio_Unitario])</f>
        <v>3.25</v>
      </c>
      <c r="J2710" s="17">
        <f t="shared" si="1"/>
        <v>19.5</v>
      </c>
      <c r="K2710" s="16" t="str">
        <f t="array" ref="K2710">_xlfn.XLOOKUP(C2710,Clientes[ID_Cliente],Clientes[Provincia])</f>
        <v>Chaco</v>
      </c>
      <c r="L2710" s="16" t="str">
        <f t="array" ref="L2710">CONCATENATE(_xlfn.XLOOKUP(C2710,Clientes[ID_Cliente],Clientes[Provincia]),", Argentina")</f>
        <v>Chaco, Argentina</v>
      </c>
      <c r="M2710" s="20" t="str">
        <f t="array" ref="M2710">_xlfn.XLOOKUP(F2710,Metodos_De_Pago[ID_Metodo],Metodos_De_Pago[Metodo])</f>
        <v>Tarjeta de Débito</v>
      </c>
      <c r="N2710" s="20" t="str">
        <f t="shared" si="2"/>
        <v>2024 06</v>
      </c>
    </row>
    <row r="2711" ht="22.5" customHeight="1">
      <c r="A2711" s="12">
        <f>IFERROR(__xludf.DUMMYFUNCTION("""COMPUTED_VALUE"""),2828.0)</f>
        <v>2828</v>
      </c>
      <c r="B2711" s="13">
        <f>IFERROR(__xludf.DUMMYFUNCTION("""COMPUTED_VALUE"""),45460.0)</f>
        <v>45460</v>
      </c>
      <c r="C2711" s="12">
        <f>IFERROR(__xludf.DUMMYFUNCTION("""COMPUTED_VALUE"""),233.0)</f>
        <v>233</v>
      </c>
      <c r="D2711" s="12">
        <f>IFERROR(__xludf.DUMMYFUNCTION("""COMPUTED_VALUE"""),18.0)</f>
        <v>18</v>
      </c>
      <c r="E2711" s="12">
        <f>IFERROR(__xludf.DUMMYFUNCTION("""COMPUTED_VALUE"""),6.0)</f>
        <v>6</v>
      </c>
      <c r="F2711" s="12">
        <f>IFERROR(__xludf.DUMMYFUNCTION("""COMPUTED_VALUE"""),4.0)</f>
        <v>4</v>
      </c>
      <c r="G2711" s="15" t="str">
        <f>IFERROR(__xludf.DUMMYFUNCTION("""COMPUTED_VALUE"""),"Completa")</f>
        <v>Completa</v>
      </c>
      <c r="H2711" s="16" t="str">
        <f t="array" ref="H2711">_xlfn.XLOOKUP(D2711,Productos[ID_Producto],Productos[Nombre_Producto])</f>
        <v>Bananas</v>
      </c>
      <c r="I2711" s="17">
        <f t="array" ref="I2711">_xlfn.XLOOKUP(D2711,Productos[ID_Producto],Productos[Precio_Unitario])</f>
        <v>7.25</v>
      </c>
      <c r="J2711" s="17">
        <f t="shared" si="1"/>
        <v>43.5</v>
      </c>
      <c r="K2711" s="16" t="str">
        <f t="array" ref="K2711">_xlfn.XLOOKUP(C2711,Clientes[ID_Cliente],Clientes[Provincia])</f>
        <v>Córdoba</v>
      </c>
      <c r="L2711" s="16" t="str">
        <f t="array" ref="L2711">CONCATENATE(_xlfn.XLOOKUP(C2711,Clientes[ID_Cliente],Clientes[Provincia]),", Argentina")</f>
        <v>Córdoba, Argentina</v>
      </c>
      <c r="M2711" s="20" t="str">
        <f t="array" ref="M2711">_xlfn.XLOOKUP(F2711,Metodos_De_Pago[ID_Metodo],Metodos_De_Pago[Metodo])</f>
        <v>Mercado Pago</v>
      </c>
      <c r="N2711" s="20" t="str">
        <f t="shared" si="2"/>
        <v>2024 06</v>
      </c>
    </row>
    <row r="2712" ht="22.5" customHeight="1">
      <c r="A2712" s="12">
        <f>IFERROR(__xludf.DUMMYFUNCTION("""COMPUTED_VALUE"""),730.0)</f>
        <v>730</v>
      </c>
      <c r="B2712" s="13">
        <f>IFERROR(__xludf.DUMMYFUNCTION("""COMPUTED_VALUE"""),45461.0)</f>
        <v>45461</v>
      </c>
      <c r="C2712" s="12">
        <f>IFERROR(__xludf.DUMMYFUNCTION("""COMPUTED_VALUE"""),201.0)</f>
        <v>201</v>
      </c>
      <c r="D2712" s="12">
        <f>IFERROR(__xludf.DUMMYFUNCTION("""COMPUTED_VALUE"""),26.0)</f>
        <v>26</v>
      </c>
      <c r="E2712" s="12">
        <f>IFERROR(__xludf.DUMMYFUNCTION("""COMPUTED_VALUE"""),6.0)</f>
        <v>6</v>
      </c>
      <c r="F2712" s="12">
        <f>IFERROR(__xludf.DUMMYFUNCTION("""COMPUTED_VALUE"""),1.0)</f>
        <v>1</v>
      </c>
      <c r="G2712" s="15" t="str">
        <f>IFERROR(__xludf.DUMMYFUNCTION("""COMPUTED_VALUE"""),"Completa")</f>
        <v>Completa</v>
      </c>
      <c r="H2712" s="16" t="str">
        <f t="array" ref="H2712">_xlfn.XLOOKUP(D2712,Productos[ID_Producto],Productos[Nombre_Producto])</f>
        <v>Hamburgesas congeladas</v>
      </c>
      <c r="I2712" s="17">
        <f t="array" ref="I2712">_xlfn.XLOOKUP(D2712,Productos[ID_Producto],Productos[Precio_Unitario])</f>
        <v>9.54</v>
      </c>
      <c r="J2712" s="17">
        <f t="shared" si="1"/>
        <v>57.24</v>
      </c>
      <c r="K2712" s="16" t="str">
        <f t="array" ref="K2712">_xlfn.XLOOKUP(C2712,Clientes[ID_Cliente],Clientes[Provincia])</f>
        <v>Neuquén</v>
      </c>
      <c r="L2712" s="16" t="str">
        <f t="array" ref="L2712">CONCATENATE(_xlfn.XLOOKUP(C2712,Clientes[ID_Cliente],Clientes[Provincia]),", Argentina")</f>
        <v>Neuquén, Argentina</v>
      </c>
      <c r="M2712" s="20" t="str">
        <f t="array" ref="M2712">_xlfn.XLOOKUP(F2712,Metodos_De_Pago[ID_Metodo],Metodos_De_Pago[Metodo])</f>
        <v>Efectivo</v>
      </c>
      <c r="N2712" s="20" t="str">
        <f t="shared" si="2"/>
        <v>2024 06</v>
      </c>
    </row>
    <row r="2713" ht="22.5" customHeight="1">
      <c r="A2713" s="12">
        <f>IFERROR(__xludf.DUMMYFUNCTION("""COMPUTED_VALUE"""),928.0)</f>
        <v>928</v>
      </c>
      <c r="B2713" s="13">
        <f>IFERROR(__xludf.DUMMYFUNCTION("""COMPUTED_VALUE"""),45461.0)</f>
        <v>45461</v>
      </c>
      <c r="C2713" s="12">
        <f>IFERROR(__xludf.DUMMYFUNCTION("""COMPUTED_VALUE"""),152.0)</f>
        <v>152</v>
      </c>
      <c r="D2713" s="12">
        <f>IFERROR(__xludf.DUMMYFUNCTION("""COMPUTED_VALUE"""),3.0)</f>
        <v>3</v>
      </c>
      <c r="E2713" s="12">
        <f>IFERROR(__xludf.DUMMYFUNCTION("""COMPUTED_VALUE"""),6.0)</f>
        <v>6</v>
      </c>
      <c r="F2713" s="12">
        <f>IFERROR(__xludf.DUMMYFUNCTION("""COMPUTED_VALUE"""),4.0)</f>
        <v>4</v>
      </c>
      <c r="G2713" s="15" t="str">
        <f>IFERROR(__xludf.DUMMYFUNCTION("""COMPUTED_VALUE"""),"Completa")</f>
        <v>Completa</v>
      </c>
      <c r="H2713" s="16" t="str">
        <f t="array" ref="H2713">_xlfn.XLOOKUP(D2713,Productos[ID_Producto],Productos[Nombre_Producto])</f>
        <v>Queso cremoso</v>
      </c>
      <c r="I2713" s="17">
        <f t="array" ref="I2713">_xlfn.XLOOKUP(D2713,Productos[ID_Producto],Productos[Precio_Unitario])</f>
        <v>17.23</v>
      </c>
      <c r="J2713" s="17">
        <f t="shared" si="1"/>
        <v>103.38</v>
      </c>
      <c r="K2713" s="16" t="str">
        <f t="array" ref="K2713">_xlfn.XLOOKUP(C2713,Clientes[ID_Cliente],Clientes[Provincia])</f>
        <v>Salta</v>
      </c>
      <c r="L2713" s="16" t="str">
        <f t="array" ref="L2713">CONCATENATE(_xlfn.XLOOKUP(C2713,Clientes[ID_Cliente],Clientes[Provincia]),", Argentina")</f>
        <v>Salta, Argentina</v>
      </c>
      <c r="M2713" s="20" t="str">
        <f t="array" ref="M2713">_xlfn.XLOOKUP(F2713,Metodos_De_Pago[ID_Metodo],Metodos_De_Pago[Metodo])</f>
        <v>Mercado Pago</v>
      </c>
      <c r="N2713" s="20" t="str">
        <f t="shared" si="2"/>
        <v>2024 06</v>
      </c>
    </row>
    <row r="2714" ht="22.5" customHeight="1">
      <c r="A2714" s="12">
        <f>IFERROR(__xludf.DUMMYFUNCTION("""COMPUTED_VALUE"""),950.0)</f>
        <v>950</v>
      </c>
      <c r="B2714" s="13">
        <f>IFERROR(__xludf.DUMMYFUNCTION("""COMPUTED_VALUE"""),45464.0)</f>
        <v>45464</v>
      </c>
      <c r="C2714" s="12">
        <f>IFERROR(__xludf.DUMMYFUNCTION("""COMPUTED_VALUE"""),119.0)</f>
        <v>119</v>
      </c>
      <c r="D2714" s="12">
        <f>IFERROR(__xludf.DUMMYFUNCTION("""COMPUTED_VALUE"""),33.0)</f>
        <v>33</v>
      </c>
      <c r="E2714" s="12">
        <f>IFERROR(__xludf.DUMMYFUNCTION("""COMPUTED_VALUE"""),6.0)</f>
        <v>6</v>
      </c>
      <c r="F2714" s="12">
        <f>IFERROR(__xludf.DUMMYFUNCTION("""COMPUTED_VALUE"""),2.0)</f>
        <v>2</v>
      </c>
      <c r="G2714" s="15" t="str">
        <f>IFERROR(__xludf.DUMMYFUNCTION("""COMPUTED_VALUE"""),"Pendiente")</f>
        <v>Pendiente</v>
      </c>
      <c r="H2714" s="16" t="str">
        <f t="array" ref="H2714">_xlfn.XLOOKUP(D2714,Productos[ID_Producto],Productos[Nombre_Producto])</f>
        <v>Papas chips</v>
      </c>
      <c r="I2714" s="17">
        <f t="array" ref="I2714">_xlfn.XLOOKUP(D2714,Productos[ID_Producto],Productos[Precio_Unitario])</f>
        <v>8.54</v>
      </c>
      <c r="J2714" s="17">
        <f t="shared" si="1"/>
        <v>51.24</v>
      </c>
      <c r="K2714" s="16" t="str">
        <f t="array" ref="K2714">_xlfn.XLOOKUP(C2714,Clientes[ID_Cliente],Clientes[Provincia])</f>
        <v>Neuquén</v>
      </c>
      <c r="L2714" s="16" t="str">
        <f t="array" ref="L2714">CONCATENATE(_xlfn.XLOOKUP(C2714,Clientes[ID_Cliente],Clientes[Provincia]),", Argentina")</f>
        <v>Neuquén, Argentina</v>
      </c>
      <c r="M2714" s="20" t="str">
        <f t="array" ref="M2714">_xlfn.XLOOKUP(F2714,Metodos_De_Pago[ID_Metodo],Metodos_De_Pago[Metodo])</f>
        <v>Tarjeta de Crédito</v>
      </c>
      <c r="N2714" s="20" t="str">
        <f t="shared" si="2"/>
        <v>2024 06</v>
      </c>
    </row>
    <row r="2715" ht="22.5" customHeight="1">
      <c r="A2715" s="12">
        <f>IFERROR(__xludf.DUMMYFUNCTION("""COMPUTED_VALUE"""),2068.0)</f>
        <v>2068</v>
      </c>
      <c r="B2715" s="13">
        <f>IFERROR(__xludf.DUMMYFUNCTION("""COMPUTED_VALUE"""),45464.0)</f>
        <v>45464</v>
      </c>
      <c r="C2715" s="12">
        <f>IFERROR(__xludf.DUMMYFUNCTION("""COMPUTED_VALUE"""),224.0)</f>
        <v>224</v>
      </c>
      <c r="D2715" s="12">
        <f>IFERROR(__xludf.DUMMYFUNCTION("""COMPUTED_VALUE"""),27.0)</f>
        <v>27</v>
      </c>
      <c r="E2715" s="12">
        <f>IFERROR(__xludf.DUMMYFUNCTION("""COMPUTED_VALUE"""),6.0)</f>
        <v>6</v>
      </c>
      <c r="F2715" s="12">
        <f>IFERROR(__xludf.DUMMYFUNCTION("""COMPUTED_VALUE"""),5.0)</f>
        <v>5</v>
      </c>
      <c r="G2715" s="15" t="str">
        <f>IFERROR(__xludf.DUMMYFUNCTION("""COMPUTED_VALUE"""),"Completa")</f>
        <v>Completa</v>
      </c>
      <c r="H2715" s="16" t="str">
        <f t="array" ref="H2715">_xlfn.XLOOKUP(D2715,Productos[ID_Producto],Productos[Nombre_Producto])</f>
        <v>Agua mineral</v>
      </c>
      <c r="I2715" s="17">
        <f t="array" ref="I2715">_xlfn.XLOOKUP(D2715,Productos[ID_Producto],Productos[Precio_Unitario])</f>
        <v>6.21</v>
      </c>
      <c r="J2715" s="17">
        <f t="shared" si="1"/>
        <v>37.26</v>
      </c>
      <c r="K2715" s="16" t="str">
        <f t="array" ref="K2715">_xlfn.XLOOKUP(C2715,Clientes[ID_Cliente],Clientes[Provincia])</f>
        <v>San Luis</v>
      </c>
      <c r="L2715" s="16" t="str">
        <f t="array" ref="L2715">CONCATENATE(_xlfn.XLOOKUP(C2715,Clientes[ID_Cliente],Clientes[Provincia]),", Argentina")</f>
        <v>San Luis, Argentina</v>
      </c>
      <c r="M2715" s="20" t="str">
        <f t="array" ref="M2715">_xlfn.XLOOKUP(F2715,Metodos_De_Pago[ID_Metodo],Metodos_De_Pago[Metodo])</f>
        <v>Transferencia</v>
      </c>
      <c r="N2715" s="20" t="str">
        <f t="shared" si="2"/>
        <v>2024 06</v>
      </c>
    </row>
    <row r="2716" ht="22.5" customHeight="1">
      <c r="A2716" s="12">
        <f>IFERROR(__xludf.DUMMYFUNCTION("""COMPUTED_VALUE"""),941.0)</f>
        <v>941</v>
      </c>
      <c r="B2716" s="13">
        <f>IFERROR(__xludf.DUMMYFUNCTION("""COMPUTED_VALUE"""),45466.0)</f>
        <v>45466</v>
      </c>
      <c r="C2716" s="12">
        <f>IFERROR(__xludf.DUMMYFUNCTION("""COMPUTED_VALUE"""),146.0)</f>
        <v>146</v>
      </c>
      <c r="D2716" s="12">
        <f>IFERROR(__xludf.DUMMYFUNCTION("""COMPUTED_VALUE"""),13.0)</f>
        <v>13</v>
      </c>
      <c r="E2716" s="12">
        <f>IFERROR(__xludf.DUMMYFUNCTION("""COMPUTED_VALUE"""),6.0)</f>
        <v>6</v>
      </c>
      <c r="F2716" s="12">
        <f>IFERROR(__xludf.DUMMYFUNCTION("""COMPUTED_VALUE"""),4.0)</f>
        <v>4</v>
      </c>
      <c r="G2716" s="15" t="str">
        <f>IFERROR(__xludf.DUMMYFUNCTION("""COMPUTED_VALUE"""),"Pendiente")</f>
        <v>Pendiente</v>
      </c>
      <c r="H2716" s="16" t="str">
        <f t="array" ref="H2716">_xlfn.XLOOKUP(D2716,Productos[ID_Producto],Productos[Nombre_Producto])</f>
        <v>Pan integral</v>
      </c>
      <c r="I2716" s="17">
        <f t="array" ref="I2716">_xlfn.XLOOKUP(D2716,Productos[ID_Producto],Productos[Precio_Unitario])</f>
        <v>12.56</v>
      </c>
      <c r="J2716" s="17">
        <f t="shared" si="1"/>
        <v>75.36</v>
      </c>
      <c r="K2716" s="16" t="str">
        <f t="array" ref="K2716">_xlfn.XLOOKUP(C2716,Clientes[ID_Cliente],Clientes[Provincia])</f>
        <v>San Luis</v>
      </c>
      <c r="L2716" s="16" t="str">
        <f t="array" ref="L2716">CONCATENATE(_xlfn.XLOOKUP(C2716,Clientes[ID_Cliente],Clientes[Provincia]),", Argentina")</f>
        <v>San Luis, Argentina</v>
      </c>
      <c r="M2716" s="20" t="str">
        <f t="array" ref="M2716">_xlfn.XLOOKUP(F2716,Metodos_De_Pago[ID_Metodo],Metodos_De_Pago[Metodo])</f>
        <v>Mercado Pago</v>
      </c>
      <c r="N2716" s="20" t="str">
        <f t="shared" si="2"/>
        <v>2024 06</v>
      </c>
    </row>
    <row r="2717" ht="22.5" customHeight="1">
      <c r="A2717" s="12">
        <f>IFERROR(__xludf.DUMMYFUNCTION("""COMPUTED_VALUE"""),2163.0)</f>
        <v>2163</v>
      </c>
      <c r="B2717" s="13">
        <f>IFERROR(__xludf.DUMMYFUNCTION("""COMPUTED_VALUE"""),45466.0)</f>
        <v>45466</v>
      </c>
      <c r="C2717" s="12">
        <f>IFERROR(__xludf.DUMMYFUNCTION("""COMPUTED_VALUE"""),168.0)</f>
        <v>168</v>
      </c>
      <c r="D2717" s="12">
        <f>IFERROR(__xludf.DUMMYFUNCTION("""COMPUTED_VALUE"""),38.0)</f>
        <v>38</v>
      </c>
      <c r="E2717" s="12">
        <f>IFERROR(__xludf.DUMMYFUNCTION("""COMPUTED_VALUE"""),6.0)</f>
        <v>6</v>
      </c>
      <c r="F2717" s="12">
        <f>IFERROR(__xludf.DUMMYFUNCTION("""COMPUTED_VALUE"""),2.0)</f>
        <v>2</v>
      </c>
      <c r="G2717" s="15" t="str">
        <f>IFERROR(__xludf.DUMMYFUNCTION("""COMPUTED_VALUE"""),"Completa")</f>
        <v>Completa</v>
      </c>
      <c r="H2717" s="16" t="str">
        <f t="array" ref="H2717">_xlfn.XLOOKUP(D2717,Productos[ID_Producto],Productos[Nombre_Producto])</f>
        <v>Atún enlatado</v>
      </c>
      <c r="I2717" s="17">
        <f t="array" ref="I2717">_xlfn.XLOOKUP(D2717,Productos[ID_Producto],Productos[Precio_Unitario])</f>
        <v>6.21</v>
      </c>
      <c r="J2717" s="17">
        <f t="shared" si="1"/>
        <v>37.26</v>
      </c>
      <c r="K2717" s="16" t="str">
        <f t="array" ref="K2717">_xlfn.XLOOKUP(C2717,Clientes[ID_Cliente],Clientes[Provincia])</f>
        <v>Córdoba</v>
      </c>
      <c r="L2717" s="16" t="str">
        <f t="array" ref="L2717">CONCATENATE(_xlfn.XLOOKUP(C2717,Clientes[ID_Cliente],Clientes[Provincia]),", Argentina")</f>
        <v>Córdoba, Argentina</v>
      </c>
      <c r="M2717" s="20" t="str">
        <f t="array" ref="M2717">_xlfn.XLOOKUP(F2717,Metodos_De_Pago[ID_Metodo],Metodos_De_Pago[Metodo])</f>
        <v>Tarjeta de Crédito</v>
      </c>
      <c r="N2717" s="20" t="str">
        <f t="shared" si="2"/>
        <v>2024 06</v>
      </c>
    </row>
    <row r="2718" ht="22.5" customHeight="1">
      <c r="A2718" s="12">
        <f>IFERROR(__xludf.DUMMYFUNCTION("""COMPUTED_VALUE"""),2806.0)</f>
        <v>2806</v>
      </c>
      <c r="B2718" s="13">
        <f>IFERROR(__xludf.DUMMYFUNCTION("""COMPUTED_VALUE"""),45466.0)</f>
        <v>45466</v>
      </c>
      <c r="C2718" s="12">
        <f>IFERROR(__xludf.DUMMYFUNCTION("""COMPUTED_VALUE"""),193.0)</f>
        <v>193</v>
      </c>
      <c r="D2718" s="12">
        <f>IFERROR(__xludf.DUMMYFUNCTION("""COMPUTED_VALUE"""),13.0)</f>
        <v>13</v>
      </c>
      <c r="E2718" s="12">
        <f>IFERROR(__xludf.DUMMYFUNCTION("""COMPUTED_VALUE"""),6.0)</f>
        <v>6</v>
      </c>
      <c r="F2718" s="12">
        <f>IFERROR(__xludf.DUMMYFUNCTION("""COMPUTED_VALUE"""),3.0)</f>
        <v>3</v>
      </c>
      <c r="G2718" s="15" t="str">
        <f>IFERROR(__xludf.DUMMYFUNCTION("""COMPUTED_VALUE"""),"Completa")</f>
        <v>Completa</v>
      </c>
      <c r="H2718" s="16" t="str">
        <f t="array" ref="H2718">_xlfn.XLOOKUP(D2718,Productos[ID_Producto],Productos[Nombre_Producto])</f>
        <v>Pan integral</v>
      </c>
      <c r="I2718" s="17">
        <f t="array" ref="I2718">_xlfn.XLOOKUP(D2718,Productos[ID_Producto],Productos[Precio_Unitario])</f>
        <v>12.56</v>
      </c>
      <c r="J2718" s="17">
        <f t="shared" si="1"/>
        <v>75.36</v>
      </c>
      <c r="K2718" s="16" t="str">
        <f t="array" ref="K2718">_xlfn.XLOOKUP(C2718,Clientes[ID_Cliente],Clientes[Provincia])</f>
        <v>Buenos Aires</v>
      </c>
      <c r="L2718" s="16" t="str">
        <f t="array" ref="L2718">CONCATENATE(_xlfn.XLOOKUP(C2718,Clientes[ID_Cliente],Clientes[Provincia]),", Argentina")</f>
        <v>Buenos Aires, Argentina</v>
      </c>
      <c r="M2718" s="20" t="str">
        <f t="array" ref="M2718">_xlfn.XLOOKUP(F2718,Metodos_De_Pago[ID_Metodo],Metodos_De_Pago[Metodo])</f>
        <v>Tarjeta de Débito</v>
      </c>
      <c r="N2718" s="20" t="str">
        <f t="shared" si="2"/>
        <v>2024 06</v>
      </c>
    </row>
    <row r="2719" ht="22.5" customHeight="1">
      <c r="A2719" s="12">
        <f>IFERROR(__xludf.DUMMYFUNCTION("""COMPUTED_VALUE"""),375.0)</f>
        <v>375</v>
      </c>
      <c r="B2719" s="13">
        <f>IFERROR(__xludf.DUMMYFUNCTION("""COMPUTED_VALUE"""),45467.0)</f>
        <v>45467</v>
      </c>
      <c r="C2719" s="12">
        <f>IFERROR(__xludf.DUMMYFUNCTION("""COMPUTED_VALUE"""),248.0)</f>
        <v>248</v>
      </c>
      <c r="D2719" s="12">
        <f>IFERROR(__xludf.DUMMYFUNCTION("""COMPUTED_VALUE"""),35.0)</f>
        <v>35</v>
      </c>
      <c r="E2719" s="12">
        <f>IFERROR(__xludf.DUMMYFUNCTION("""COMPUTED_VALUE"""),6.0)</f>
        <v>6</v>
      </c>
      <c r="F2719" s="12">
        <f>IFERROR(__xludf.DUMMYFUNCTION("""COMPUTED_VALUE"""),3.0)</f>
        <v>3</v>
      </c>
      <c r="G2719" s="15" t="str">
        <f>IFERROR(__xludf.DUMMYFUNCTION("""COMPUTED_VALUE"""),"Completa")</f>
        <v>Completa</v>
      </c>
      <c r="H2719" s="16" t="str">
        <f t="array" ref="H2719">_xlfn.XLOOKUP(D2719,Productos[ID_Producto],Productos[Nombre_Producto])</f>
        <v>Arroz</v>
      </c>
      <c r="I2719" s="17">
        <f t="array" ref="I2719">_xlfn.XLOOKUP(D2719,Productos[ID_Producto],Productos[Precio_Unitario])</f>
        <v>4.25</v>
      </c>
      <c r="J2719" s="17">
        <f t="shared" si="1"/>
        <v>25.5</v>
      </c>
      <c r="K2719" s="16" t="str">
        <f t="array" ref="K2719">_xlfn.XLOOKUP(C2719,Clientes[ID_Cliente],Clientes[Provincia])</f>
        <v>Córdoba</v>
      </c>
      <c r="L2719" s="16" t="str">
        <f t="array" ref="L2719">CONCATENATE(_xlfn.XLOOKUP(C2719,Clientes[ID_Cliente],Clientes[Provincia]),", Argentina")</f>
        <v>Córdoba, Argentina</v>
      </c>
      <c r="M2719" s="20" t="str">
        <f t="array" ref="M2719">_xlfn.XLOOKUP(F2719,Metodos_De_Pago[ID_Metodo],Metodos_De_Pago[Metodo])</f>
        <v>Tarjeta de Débito</v>
      </c>
      <c r="N2719" s="20" t="str">
        <f t="shared" si="2"/>
        <v>2024 06</v>
      </c>
    </row>
    <row r="2720" ht="22.5" customHeight="1">
      <c r="A2720" s="12">
        <f>IFERROR(__xludf.DUMMYFUNCTION("""COMPUTED_VALUE"""),2477.0)</f>
        <v>2477</v>
      </c>
      <c r="B2720" s="13">
        <f>IFERROR(__xludf.DUMMYFUNCTION("""COMPUTED_VALUE"""),45467.0)</f>
        <v>45467</v>
      </c>
      <c r="C2720" s="12">
        <f>IFERROR(__xludf.DUMMYFUNCTION("""COMPUTED_VALUE"""),90.0)</f>
        <v>90</v>
      </c>
      <c r="D2720" s="12">
        <f>IFERROR(__xludf.DUMMYFUNCTION("""COMPUTED_VALUE"""),6.0)</f>
        <v>6</v>
      </c>
      <c r="E2720" s="12">
        <f>IFERROR(__xludf.DUMMYFUNCTION("""COMPUTED_VALUE"""),6.0)</f>
        <v>6</v>
      </c>
      <c r="F2720" s="12">
        <f>IFERROR(__xludf.DUMMYFUNCTION("""COMPUTED_VALUE"""),5.0)</f>
        <v>5</v>
      </c>
      <c r="G2720" s="15" t="str">
        <f>IFERROR(__xludf.DUMMYFUNCTION("""COMPUTED_VALUE"""),"Completa")</f>
        <v>Completa</v>
      </c>
      <c r="H2720" s="16" t="str">
        <f t="array" ref="H2720">_xlfn.XLOOKUP(D2720,Productos[ID_Producto],Productos[Nombre_Producto])</f>
        <v>Asado</v>
      </c>
      <c r="I2720" s="17">
        <f t="array" ref="I2720">_xlfn.XLOOKUP(D2720,Productos[ID_Producto],Productos[Precio_Unitario])</f>
        <v>28.56</v>
      </c>
      <c r="J2720" s="17">
        <f t="shared" si="1"/>
        <v>171.36</v>
      </c>
      <c r="K2720" s="16" t="str">
        <f t="array" ref="K2720">_xlfn.XLOOKUP(C2720,Clientes[ID_Cliente],Clientes[Provincia])</f>
        <v>Buenos Aires</v>
      </c>
      <c r="L2720" s="16" t="str">
        <f t="array" ref="L2720">CONCATENATE(_xlfn.XLOOKUP(C2720,Clientes[ID_Cliente],Clientes[Provincia]),", Argentina")</f>
        <v>Buenos Aires, Argentina</v>
      </c>
      <c r="M2720" s="20" t="str">
        <f t="array" ref="M2720">_xlfn.XLOOKUP(F2720,Metodos_De_Pago[ID_Metodo],Metodos_De_Pago[Metodo])</f>
        <v>Transferencia</v>
      </c>
      <c r="N2720" s="20" t="str">
        <f t="shared" si="2"/>
        <v>2024 06</v>
      </c>
    </row>
    <row r="2721" ht="22.5" customHeight="1">
      <c r="A2721" s="12">
        <f>IFERROR(__xludf.DUMMYFUNCTION("""COMPUTED_VALUE"""),1347.0)</f>
        <v>1347</v>
      </c>
      <c r="B2721" s="13">
        <f>IFERROR(__xludf.DUMMYFUNCTION("""COMPUTED_VALUE"""),45468.0)</f>
        <v>45468</v>
      </c>
      <c r="C2721" s="12">
        <f>IFERROR(__xludf.DUMMYFUNCTION("""COMPUTED_VALUE"""),223.0)</f>
        <v>223</v>
      </c>
      <c r="D2721" s="12">
        <f>IFERROR(__xludf.DUMMYFUNCTION("""COMPUTED_VALUE"""),1.0)</f>
        <v>1</v>
      </c>
      <c r="E2721" s="12">
        <f>IFERROR(__xludf.DUMMYFUNCTION("""COMPUTED_VALUE"""),6.0)</f>
        <v>6</v>
      </c>
      <c r="F2721" s="12">
        <f>IFERROR(__xludf.DUMMYFUNCTION("""COMPUTED_VALUE"""),5.0)</f>
        <v>5</v>
      </c>
      <c r="G2721" s="15" t="str">
        <f>IFERROR(__xludf.DUMMYFUNCTION("""COMPUTED_VALUE"""),"Completa")</f>
        <v>Completa</v>
      </c>
      <c r="H2721" s="16" t="str">
        <f t="array" ref="H2721">_xlfn.XLOOKUP(D2721,Productos[ID_Producto],Productos[Nombre_Producto])</f>
        <v>Leche</v>
      </c>
      <c r="I2721" s="17">
        <f t="array" ref="I2721">_xlfn.XLOOKUP(D2721,Productos[ID_Producto],Productos[Precio_Unitario])</f>
        <v>12.24</v>
      </c>
      <c r="J2721" s="17">
        <f t="shared" si="1"/>
        <v>73.44</v>
      </c>
      <c r="K2721" s="16" t="str">
        <f t="array" ref="K2721">_xlfn.XLOOKUP(C2721,Clientes[ID_Cliente],Clientes[Provincia])</f>
        <v>Buenos Aires</v>
      </c>
      <c r="L2721" s="16" t="str">
        <f t="array" ref="L2721">CONCATENATE(_xlfn.XLOOKUP(C2721,Clientes[ID_Cliente],Clientes[Provincia]),", Argentina")</f>
        <v>Buenos Aires, Argentina</v>
      </c>
      <c r="M2721" s="20" t="str">
        <f t="array" ref="M2721">_xlfn.XLOOKUP(F2721,Metodos_De_Pago[ID_Metodo],Metodos_De_Pago[Metodo])</f>
        <v>Transferencia</v>
      </c>
      <c r="N2721" s="20" t="str">
        <f t="shared" si="2"/>
        <v>2024 06</v>
      </c>
    </row>
    <row r="2722" ht="22.5" customHeight="1">
      <c r="A2722" s="12">
        <f>IFERROR(__xludf.DUMMYFUNCTION("""COMPUTED_VALUE"""),1588.0)</f>
        <v>1588</v>
      </c>
      <c r="B2722" s="13">
        <f>IFERROR(__xludf.DUMMYFUNCTION("""COMPUTED_VALUE"""),45468.0)</f>
        <v>45468</v>
      </c>
      <c r="C2722" s="12">
        <f>IFERROR(__xludf.DUMMYFUNCTION("""COMPUTED_VALUE"""),324.0)</f>
        <v>324</v>
      </c>
      <c r="D2722" s="12">
        <f>IFERROR(__xludf.DUMMYFUNCTION("""COMPUTED_VALUE"""),3.0)</f>
        <v>3</v>
      </c>
      <c r="E2722" s="12">
        <f>IFERROR(__xludf.DUMMYFUNCTION("""COMPUTED_VALUE"""),6.0)</f>
        <v>6</v>
      </c>
      <c r="F2722" s="12">
        <f>IFERROR(__xludf.DUMMYFUNCTION("""COMPUTED_VALUE"""),1.0)</f>
        <v>1</v>
      </c>
      <c r="G2722" s="15" t="str">
        <f>IFERROR(__xludf.DUMMYFUNCTION("""COMPUTED_VALUE"""),"Completa")</f>
        <v>Completa</v>
      </c>
      <c r="H2722" s="16" t="str">
        <f t="array" ref="H2722">_xlfn.XLOOKUP(D2722,Productos[ID_Producto],Productos[Nombre_Producto])</f>
        <v>Queso cremoso</v>
      </c>
      <c r="I2722" s="17">
        <f t="array" ref="I2722">_xlfn.XLOOKUP(D2722,Productos[ID_Producto],Productos[Precio_Unitario])</f>
        <v>17.23</v>
      </c>
      <c r="J2722" s="17">
        <f t="shared" si="1"/>
        <v>103.38</v>
      </c>
      <c r="K2722" s="16" t="str">
        <f t="array" ref="K2722">_xlfn.XLOOKUP(C2722,Clientes[ID_Cliente],Clientes[Provincia])</f>
        <v>Chaco</v>
      </c>
      <c r="L2722" s="16" t="str">
        <f t="array" ref="L2722">CONCATENATE(_xlfn.XLOOKUP(C2722,Clientes[ID_Cliente],Clientes[Provincia]),", Argentina")</f>
        <v>Chaco, Argentina</v>
      </c>
      <c r="M2722" s="20" t="str">
        <f t="array" ref="M2722">_xlfn.XLOOKUP(F2722,Metodos_De_Pago[ID_Metodo],Metodos_De_Pago[Metodo])</f>
        <v>Efectivo</v>
      </c>
      <c r="N2722" s="20" t="str">
        <f t="shared" si="2"/>
        <v>2024 06</v>
      </c>
    </row>
    <row r="2723" ht="22.5" customHeight="1">
      <c r="A2723" s="12">
        <f>IFERROR(__xludf.DUMMYFUNCTION("""COMPUTED_VALUE"""),2552.0)</f>
        <v>2552</v>
      </c>
      <c r="B2723" s="13">
        <f>IFERROR(__xludf.DUMMYFUNCTION("""COMPUTED_VALUE"""),45468.0)</f>
        <v>45468</v>
      </c>
      <c r="C2723" s="12">
        <f>IFERROR(__xludf.DUMMYFUNCTION("""COMPUTED_VALUE"""),310.0)</f>
        <v>310</v>
      </c>
      <c r="D2723" s="12">
        <f>IFERROR(__xludf.DUMMYFUNCTION("""COMPUTED_VALUE"""),31.0)</f>
        <v>31</v>
      </c>
      <c r="E2723" s="12">
        <f>IFERROR(__xludf.DUMMYFUNCTION("""COMPUTED_VALUE"""),6.0)</f>
        <v>6</v>
      </c>
      <c r="F2723" s="12">
        <f>IFERROR(__xludf.DUMMYFUNCTION("""COMPUTED_VALUE"""),5.0)</f>
        <v>5</v>
      </c>
      <c r="G2723" s="15" t="str">
        <f>IFERROR(__xludf.DUMMYFUNCTION("""COMPUTED_VALUE"""),"Completa")</f>
        <v>Completa</v>
      </c>
      <c r="H2723" s="16" t="str">
        <f t="array" ref="H2723">_xlfn.XLOOKUP(D2723,Productos[ID_Producto],Productos[Nombre_Producto])</f>
        <v>Galletitas de agua</v>
      </c>
      <c r="I2723" s="17">
        <f t="array" ref="I2723">_xlfn.XLOOKUP(D2723,Productos[ID_Producto],Productos[Precio_Unitario])</f>
        <v>5.24</v>
      </c>
      <c r="J2723" s="17">
        <f t="shared" si="1"/>
        <v>31.44</v>
      </c>
      <c r="K2723" s="16" t="str">
        <f t="array" ref="K2723">_xlfn.XLOOKUP(C2723,Clientes[ID_Cliente],Clientes[Provincia])</f>
        <v>Neuquén</v>
      </c>
      <c r="L2723" s="16" t="str">
        <f t="array" ref="L2723">CONCATENATE(_xlfn.XLOOKUP(C2723,Clientes[ID_Cliente],Clientes[Provincia]),", Argentina")</f>
        <v>Neuquén, Argentina</v>
      </c>
      <c r="M2723" s="20" t="str">
        <f t="array" ref="M2723">_xlfn.XLOOKUP(F2723,Metodos_De_Pago[ID_Metodo],Metodos_De_Pago[Metodo])</f>
        <v>Transferencia</v>
      </c>
      <c r="N2723" s="20" t="str">
        <f t="shared" si="2"/>
        <v>2024 06</v>
      </c>
    </row>
    <row r="2724" ht="22.5" customHeight="1">
      <c r="A2724" s="12">
        <f>IFERROR(__xludf.DUMMYFUNCTION("""COMPUTED_VALUE"""),2268.0)</f>
        <v>2268</v>
      </c>
      <c r="B2724" s="13">
        <f>IFERROR(__xludf.DUMMYFUNCTION("""COMPUTED_VALUE"""),45470.0)</f>
        <v>45470</v>
      </c>
      <c r="C2724" s="12">
        <f>IFERROR(__xludf.DUMMYFUNCTION("""COMPUTED_VALUE"""),260.0)</f>
        <v>260</v>
      </c>
      <c r="D2724" s="12">
        <f>IFERROR(__xludf.DUMMYFUNCTION("""COMPUTED_VALUE"""),4.0)</f>
        <v>4</v>
      </c>
      <c r="E2724" s="12">
        <f>IFERROR(__xludf.DUMMYFUNCTION("""COMPUTED_VALUE"""),6.0)</f>
        <v>6</v>
      </c>
      <c r="F2724" s="12">
        <f>IFERROR(__xludf.DUMMYFUNCTION("""COMPUTED_VALUE"""),4.0)</f>
        <v>4</v>
      </c>
      <c r="G2724" s="15" t="str">
        <f>IFERROR(__xludf.DUMMYFUNCTION("""COMPUTED_VALUE"""),"Completa")</f>
        <v>Completa</v>
      </c>
      <c r="H2724" s="16" t="str">
        <f t="array" ref="H2724">_xlfn.XLOOKUP(D2724,Productos[ID_Producto],Productos[Nombre_Producto])</f>
        <v>Queso rallado</v>
      </c>
      <c r="I2724" s="17">
        <f t="array" ref="I2724">_xlfn.XLOOKUP(D2724,Productos[ID_Producto],Productos[Precio_Unitario])</f>
        <v>19.23</v>
      </c>
      <c r="J2724" s="17">
        <f t="shared" si="1"/>
        <v>115.38</v>
      </c>
      <c r="K2724" s="16" t="str">
        <f t="array" ref="K2724">_xlfn.XLOOKUP(C2724,Clientes[ID_Cliente],Clientes[Provincia])</f>
        <v>Buenos Aires</v>
      </c>
      <c r="L2724" s="16" t="str">
        <f t="array" ref="L2724">CONCATENATE(_xlfn.XLOOKUP(C2724,Clientes[ID_Cliente],Clientes[Provincia]),", Argentina")</f>
        <v>Buenos Aires, Argentina</v>
      </c>
      <c r="M2724" s="20" t="str">
        <f t="array" ref="M2724">_xlfn.XLOOKUP(F2724,Metodos_De_Pago[ID_Metodo],Metodos_De_Pago[Metodo])</f>
        <v>Mercado Pago</v>
      </c>
      <c r="N2724" s="20" t="str">
        <f t="shared" si="2"/>
        <v>2024 06</v>
      </c>
    </row>
    <row r="2725" ht="22.5" customHeight="1">
      <c r="A2725" s="12">
        <f>IFERROR(__xludf.DUMMYFUNCTION("""COMPUTED_VALUE"""),1766.0)</f>
        <v>1766</v>
      </c>
      <c r="B2725" s="13">
        <f>IFERROR(__xludf.DUMMYFUNCTION("""COMPUTED_VALUE"""),45471.0)</f>
        <v>45471</v>
      </c>
      <c r="C2725" s="12">
        <f>IFERROR(__xludf.DUMMYFUNCTION("""COMPUTED_VALUE"""),46.0)</f>
        <v>46</v>
      </c>
      <c r="D2725" s="12">
        <f>IFERROR(__xludf.DUMMYFUNCTION("""COMPUTED_VALUE"""),11.0)</f>
        <v>11</v>
      </c>
      <c r="E2725" s="12">
        <f>IFERROR(__xludf.DUMMYFUNCTION("""COMPUTED_VALUE"""),6.0)</f>
        <v>6</v>
      </c>
      <c r="F2725" s="12">
        <f>IFERROR(__xludf.DUMMYFUNCTION("""COMPUTED_VALUE"""),4.0)</f>
        <v>4</v>
      </c>
      <c r="G2725" s="15" t="str">
        <f>IFERROR(__xludf.DUMMYFUNCTION("""COMPUTED_VALUE"""),"Completa")</f>
        <v>Completa</v>
      </c>
      <c r="H2725" s="16" t="str">
        <f t="array" ref="H2725">_xlfn.XLOOKUP(D2725,Productos[ID_Producto],Productos[Nombre_Producto])</f>
        <v>Salchicha</v>
      </c>
      <c r="I2725" s="17">
        <f t="array" ref="I2725">_xlfn.XLOOKUP(D2725,Productos[ID_Producto],Productos[Precio_Unitario])</f>
        <v>11.23</v>
      </c>
      <c r="J2725" s="17">
        <f t="shared" si="1"/>
        <v>67.38</v>
      </c>
      <c r="K2725" s="16" t="str">
        <f t="array" ref="K2725">_xlfn.XLOOKUP(C2725,Clientes[ID_Cliente],Clientes[Provincia])</f>
        <v>Córdoba</v>
      </c>
      <c r="L2725" s="16" t="str">
        <f t="array" ref="L2725">CONCATENATE(_xlfn.XLOOKUP(C2725,Clientes[ID_Cliente],Clientes[Provincia]),", Argentina")</f>
        <v>Córdoba, Argentina</v>
      </c>
      <c r="M2725" s="20" t="str">
        <f t="array" ref="M2725">_xlfn.XLOOKUP(F2725,Metodos_De_Pago[ID_Metodo],Metodos_De_Pago[Metodo])</f>
        <v>Mercado Pago</v>
      </c>
      <c r="N2725" s="20" t="str">
        <f t="shared" si="2"/>
        <v>2024 06</v>
      </c>
    </row>
    <row r="2726" ht="22.5" customHeight="1">
      <c r="A2726" s="12">
        <f>IFERROR(__xludf.DUMMYFUNCTION("""COMPUTED_VALUE"""),2946.0)</f>
        <v>2946</v>
      </c>
      <c r="B2726" s="13">
        <f>IFERROR(__xludf.DUMMYFUNCTION("""COMPUTED_VALUE"""),45471.0)</f>
        <v>45471</v>
      </c>
      <c r="C2726" s="12">
        <f>IFERROR(__xludf.DUMMYFUNCTION("""COMPUTED_VALUE"""),296.0)</f>
        <v>296</v>
      </c>
      <c r="D2726" s="12">
        <f>IFERROR(__xludf.DUMMYFUNCTION("""COMPUTED_VALUE"""),11.0)</f>
        <v>11</v>
      </c>
      <c r="E2726" s="12">
        <f>IFERROR(__xludf.DUMMYFUNCTION("""COMPUTED_VALUE"""),6.0)</f>
        <v>6</v>
      </c>
      <c r="F2726" s="12">
        <f>IFERROR(__xludf.DUMMYFUNCTION("""COMPUTED_VALUE"""),5.0)</f>
        <v>5</v>
      </c>
      <c r="G2726" s="15" t="str">
        <f>IFERROR(__xludf.DUMMYFUNCTION("""COMPUTED_VALUE"""),"Pendiente")</f>
        <v>Pendiente</v>
      </c>
      <c r="H2726" s="16" t="str">
        <f t="array" ref="H2726">_xlfn.XLOOKUP(D2726,Productos[ID_Producto],Productos[Nombre_Producto])</f>
        <v>Salchicha</v>
      </c>
      <c r="I2726" s="17">
        <f t="array" ref="I2726">_xlfn.XLOOKUP(D2726,Productos[ID_Producto],Productos[Precio_Unitario])</f>
        <v>11.23</v>
      </c>
      <c r="J2726" s="17">
        <f t="shared" si="1"/>
        <v>67.38</v>
      </c>
      <c r="K2726" s="16" t="str">
        <f t="array" ref="K2726">_xlfn.XLOOKUP(C2726,Clientes[ID_Cliente],Clientes[Provincia])</f>
        <v>Buenos Aires</v>
      </c>
      <c r="L2726" s="16" t="str">
        <f t="array" ref="L2726">CONCATENATE(_xlfn.XLOOKUP(C2726,Clientes[ID_Cliente],Clientes[Provincia]),", Argentina")</f>
        <v>Buenos Aires, Argentina</v>
      </c>
      <c r="M2726" s="20" t="str">
        <f t="array" ref="M2726">_xlfn.XLOOKUP(F2726,Metodos_De_Pago[ID_Metodo],Metodos_De_Pago[Metodo])</f>
        <v>Transferencia</v>
      </c>
      <c r="N2726" s="20" t="str">
        <f t="shared" si="2"/>
        <v>2024 06</v>
      </c>
    </row>
    <row r="2727" ht="22.5" customHeight="1">
      <c r="A2727" s="12">
        <f>IFERROR(__xludf.DUMMYFUNCTION("""COMPUTED_VALUE"""),825.0)</f>
        <v>825</v>
      </c>
      <c r="B2727" s="13">
        <f>IFERROR(__xludf.DUMMYFUNCTION("""COMPUTED_VALUE"""),45472.0)</f>
        <v>45472</v>
      </c>
      <c r="C2727" s="12">
        <f>IFERROR(__xludf.DUMMYFUNCTION("""COMPUTED_VALUE"""),120.0)</f>
        <v>120</v>
      </c>
      <c r="D2727" s="12">
        <f>IFERROR(__xludf.DUMMYFUNCTION("""COMPUTED_VALUE"""),29.0)</f>
        <v>29</v>
      </c>
      <c r="E2727" s="12">
        <f>IFERROR(__xludf.DUMMYFUNCTION("""COMPUTED_VALUE"""),6.0)</f>
        <v>6</v>
      </c>
      <c r="F2727" s="12">
        <f>IFERROR(__xludf.DUMMYFUNCTION("""COMPUTED_VALUE"""),4.0)</f>
        <v>4</v>
      </c>
      <c r="G2727" s="15" t="str">
        <f>IFERROR(__xludf.DUMMYFUNCTION("""COMPUTED_VALUE"""),"Completa")</f>
        <v>Completa</v>
      </c>
      <c r="H2727" s="16" t="str">
        <f t="array" ref="H2727">_xlfn.XLOOKUP(D2727,Productos[ID_Producto],Productos[Nombre_Producto])</f>
        <v>Cerveza</v>
      </c>
      <c r="I2727" s="17">
        <f t="array" ref="I2727">_xlfn.XLOOKUP(D2727,Productos[ID_Producto],Productos[Precio_Unitario])</f>
        <v>11.54</v>
      </c>
      <c r="J2727" s="17">
        <f t="shared" si="1"/>
        <v>69.24</v>
      </c>
      <c r="K2727" s="16" t="str">
        <f t="array" ref="K2727">_xlfn.XLOOKUP(C2727,Clientes[ID_Cliente],Clientes[Provincia])</f>
        <v>Buenos Aires</v>
      </c>
      <c r="L2727" s="16" t="str">
        <f t="array" ref="L2727">CONCATENATE(_xlfn.XLOOKUP(C2727,Clientes[ID_Cliente],Clientes[Provincia]),", Argentina")</f>
        <v>Buenos Aires, Argentina</v>
      </c>
      <c r="M2727" s="20" t="str">
        <f t="array" ref="M2727">_xlfn.XLOOKUP(F2727,Metodos_De_Pago[ID_Metodo],Metodos_De_Pago[Metodo])</f>
        <v>Mercado Pago</v>
      </c>
      <c r="N2727" s="20" t="str">
        <f t="shared" si="2"/>
        <v>2024 06</v>
      </c>
    </row>
    <row r="2728" ht="22.5" customHeight="1">
      <c r="A2728" s="12">
        <f>IFERROR(__xludf.DUMMYFUNCTION("""COMPUTED_VALUE"""),1329.0)</f>
        <v>1329</v>
      </c>
      <c r="B2728" s="13">
        <f>IFERROR(__xludf.DUMMYFUNCTION("""COMPUTED_VALUE"""),45472.0)</f>
        <v>45472</v>
      </c>
      <c r="C2728" s="12">
        <f>IFERROR(__xludf.DUMMYFUNCTION("""COMPUTED_VALUE"""),233.0)</f>
        <v>233</v>
      </c>
      <c r="D2728" s="12">
        <f>IFERROR(__xludf.DUMMYFUNCTION("""COMPUTED_VALUE"""),27.0)</f>
        <v>27</v>
      </c>
      <c r="E2728" s="12">
        <f>IFERROR(__xludf.DUMMYFUNCTION("""COMPUTED_VALUE"""),6.0)</f>
        <v>6</v>
      </c>
      <c r="F2728" s="12">
        <f>IFERROR(__xludf.DUMMYFUNCTION("""COMPUTED_VALUE"""),1.0)</f>
        <v>1</v>
      </c>
      <c r="G2728" s="15" t="str">
        <f>IFERROR(__xludf.DUMMYFUNCTION("""COMPUTED_VALUE"""),"Completa")</f>
        <v>Completa</v>
      </c>
      <c r="H2728" s="16" t="str">
        <f t="array" ref="H2728">_xlfn.XLOOKUP(D2728,Productos[ID_Producto],Productos[Nombre_Producto])</f>
        <v>Agua mineral</v>
      </c>
      <c r="I2728" s="17">
        <f t="array" ref="I2728">_xlfn.XLOOKUP(D2728,Productos[ID_Producto],Productos[Precio_Unitario])</f>
        <v>6.21</v>
      </c>
      <c r="J2728" s="17">
        <f t="shared" si="1"/>
        <v>37.26</v>
      </c>
      <c r="K2728" s="16" t="str">
        <f t="array" ref="K2728">_xlfn.XLOOKUP(C2728,Clientes[ID_Cliente],Clientes[Provincia])</f>
        <v>Córdoba</v>
      </c>
      <c r="L2728" s="16" t="str">
        <f t="array" ref="L2728">CONCATENATE(_xlfn.XLOOKUP(C2728,Clientes[ID_Cliente],Clientes[Provincia]),", Argentina")</f>
        <v>Córdoba, Argentina</v>
      </c>
      <c r="M2728" s="20" t="str">
        <f t="array" ref="M2728">_xlfn.XLOOKUP(F2728,Metodos_De_Pago[ID_Metodo],Metodos_De_Pago[Metodo])</f>
        <v>Efectivo</v>
      </c>
      <c r="N2728" s="20" t="str">
        <f t="shared" si="2"/>
        <v>2024 06</v>
      </c>
    </row>
    <row r="2729" ht="22.5" customHeight="1">
      <c r="A2729" s="12">
        <f>IFERROR(__xludf.DUMMYFUNCTION("""COMPUTED_VALUE"""),1797.0)</f>
        <v>1797</v>
      </c>
      <c r="B2729" s="13">
        <f>IFERROR(__xludf.DUMMYFUNCTION("""COMPUTED_VALUE"""),45472.0)</f>
        <v>45472</v>
      </c>
      <c r="C2729" s="12">
        <f>IFERROR(__xludf.DUMMYFUNCTION("""COMPUTED_VALUE"""),192.0)</f>
        <v>192</v>
      </c>
      <c r="D2729" s="12">
        <f>IFERROR(__xludf.DUMMYFUNCTION("""COMPUTED_VALUE"""),4.0)</f>
        <v>4</v>
      </c>
      <c r="E2729" s="12">
        <f>IFERROR(__xludf.DUMMYFUNCTION("""COMPUTED_VALUE"""),6.0)</f>
        <v>6</v>
      </c>
      <c r="F2729" s="12">
        <f>IFERROR(__xludf.DUMMYFUNCTION("""COMPUTED_VALUE"""),5.0)</f>
        <v>5</v>
      </c>
      <c r="G2729" s="15" t="str">
        <f>IFERROR(__xludf.DUMMYFUNCTION("""COMPUTED_VALUE"""),"Completa")</f>
        <v>Completa</v>
      </c>
      <c r="H2729" s="16" t="str">
        <f t="array" ref="H2729">_xlfn.XLOOKUP(D2729,Productos[ID_Producto],Productos[Nombre_Producto])</f>
        <v>Queso rallado</v>
      </c>
      <c r="I2729" s="17">
        <f t="array" ref="I2729">_xlfn.XLOOKUP(D2729,Productos[ID_Producto],Productos[Precio_Unitario])</f>
        <v>19.23</v>
      </c>
      <c r="J2729" s="17">
        <f t="shared" si="1"/>
        <v>115.38</v>
      </c>
      <c r="K2729" s="16" t="str">
        <f t="array" ref="K2729">_xlfn.XLOOKUP(C2729,Clientes[ID_Cliente],Clientes[Provincia])</f>
        <v>San Luis</v>
      </c>
      <c r="L2729" s="16" t="str">
        <f t="array" ref="L2729">CONCATENATE(_xlfn.XLOOKUP(C2729,Clientes[ID_Cliente],Clientes[Provincia]),", Argentina")</f>
        <v>San Luis, Argentina</v>
      </c>
      <c r="M2729" s="20" t="str">
        <f t="array" ref="M2729">_xlfn.XLOOKUP(F2729,Metodos_De_Pago[ID_Metodo],Metodos_De_Pago[Metodo])</f>
        <v>Transferencia</v>
      </c>
      <c r="N2729" s="20" t="str">
        <f t="shared" si="2"/>
        <v>2024 06</v>
      </c>
    </row>
    <row r="2730" ht="22.5" customHeight="1">
      <c r="A2730" s="12">
        <f>IFERROR(__xludf.DUMMYFUNCTION("""COMPUTED_VALUE"""),599.0)</f>
        <v>599</v>
      </c>
      <c r="B2730" s="13">
        <f>IFERROR(__xludf.DUMMYFUNCTION("""COMPUTED_VALUE"""),45473.0)</f>
        <v>45473</v>
      </c>
      <c r="C2730" s="12">
        <f>IFERROR(__xludf.DUMMYFUNCTION("""COMPUTED_VALUE"""),61.0)</f>
        <v>61</v>
      </c>
      <c r="D2730" s="12">
        <f>IFERROR(__xludf.DUMMYFUNCTION("""COMPUTED_VALUE"""),37.0)</f>
        <v>37</v>
      </c>
      <c r="E2730" s="12">
        <f>IFERROR(__xludf.DUMMYFUNCTION("""COMPUTED_VALUE"""),6.0)</f>
        <v>6</v>
      </c>
      <c r="F2730" s="12">
        <f>IFERROR(__xludf.DUMMYFUNCTION("""COMPUTED_VALUE"""),4.0)</f>
        <v>4</v>
      </c>
      <c r="G2730" s="15" t="str">
        <f>IFERROR(__xludf.DUMMYFUNCTION("""COMPUTED_VALUE"""),"Completa")</f>
        <v>Completa</v>
      </c>
      <c r="H2730" s="16" t="str">
        <f t="array" ref="H2730">_xlfn.XLOOKUP(D2730,Productos[ID_Producto],Productos[Nombre_Producto])</f>
        <v>Garbanzos</v>
      </c>
      <c r="I2730" s="17">
        <f t="array" ref="I2730">_xlfn.XLOOKUP(D2730,Productos[ID_Producto],Productos[Precio_Unitario])</f>
        <v>3.65</v>
      </c>
      <c r="J2730" s="17">
        <f t="shared" si="1"/>
        <v>21.9</v>
      </c>
      <c r="K2730" s="16" t="str">
        <f t="array" ref="K2730">_xlfn.XLOOKUP(C2730,Clientes[ID_Cliente],Clientes[Provincia])</f>
        <v>Buenos Aires</v>
      </c>
      <c r="L2730" s="16" t="str">
        <f t="array" ref="L2730">CONCATENATE(_xlfn.XLOOKUP(C2730,Clientes[ID_Cliente],Clientes[Provincia]),", Argentina")</f>
        <v>Buenos Aires, Argentina</v>
      </c>
      <c r="M2730" s="20" t="str">
        <f t="array" ref="M2730">_xlfn.XLOOKUP(F2730,Metodos_De_Pago[ID_Metodo],Metodos_De_Pago[Metodo])</f>
        <v>Mercado Pago</v>
      </c>
      <c r="N2730" s="20" t="str">
        <f t="shared" si="2"/>
        <v>2024 06</v>
      </c>
    </row>
    <row r="2731" ht="22.5" customHeight="1">
      <c r="A2731" s="12">
        <f>IFERROR(__xludf.DUMMYFUNCTION("""COMPUTED_VALUE"""),2314.0)</f>
        <v>2314</v>
      </c>
      <c r="B2731" s="13">
        <f>IFERROR(__xludf.DUMMYFUNCTION("""COMPUTED_VALUE"""),45473.0)</f>
        <v>45473</v>
      </c>
      <c r="C2731" s="12">
        <f>IFERROR(__xludf.DUMMYFUNCTION("""COMPUTED_VALUE"""),171.0)</f>
        <v>171</v>
      </c>
      <c r="D2731" s="12">
        <f>IFERROR(__xludf.DUMMYFUNCTION("""COMPUTED_VALUE"""),28.0)</f>
        <v>28</v>
      </c>
      <c r="E2731" s="12">
        <f>IFERROR(__xludf.DUMMYFUNCTION("""COMPUTED_VALUE"""),6.0)</f>
        <v>6</v>
      </c>
      <c r="F2731" s="12">
        <f>IFERROR(__xludf.DUMMYFUNCTION("""COMPUTED_VALUE"""),3.0)</f>
        <v>3</v>
      </c>
      <c r="G2731" s="15" t="str">
        <f>IFERROR(__xludf.DUMMYFUNCTION("""COMPUTED_VALUE"""),"Completa")</f>
        <v>Completa</v>
      </c>
      <c r="H2731" s="16" t="str">
        <f t="array" ref="H2731">_xlfn.XLOOKUP(D2731,Productos[ID_Producto],Productos[Nombre_Producto])</f>
        <v>Jugos de frutas</v>
      </c>
      <c r="I2731" s="17">
        <f t="array" ref="I2731">_xlfn.XLOOKUP(D2731,Productos[ID_Producto],Productos[Precio_Unitario])</f>
        <v>9.45</v>
      </c>
      <c r="J2731" s="17">
        <f t="shared" si="1"/>
        <v>56.7</v>
      </c>
      <c r="K2731" s="16" t="str">
        <f t="array" ref="K2731">_xlfn.XLOOKUP(C2731,Clientes[ID_Cliente],Clientes[Provincia])</f>
        <v>San Luis</v>
      </c>
      <c r="L2731" s="16" t="str">
        <f t="array" ref="L2731">CONCATENATE(_xlfn.XLOOKUP(C2731,Clientes[ID_Cliente],Clientes[Provincia]),", Argentina")</f>
        <v>San Luis, Argentina</v>
      </c>
      <c r="M2731" s="20" t="str">
        <f t="array" ref="M2731">_xlfn.XLOOKUP(F2731,Metodos_De_Pago[ID_Metodo],Metodos_De_Pago[Metodo])</f>
        <v>Tarjeta de Débito</v>
      </c>
      <c r="N2731" s="20" t="str">
        <f t="shared" si="2"/>
        <v>2024 06</v>
      </c>
    </row>
    <row r="2732" ht="22.5" customHeight="1">
      <c r="A2732" s="12">
        <f>IFERROR(__xludf.DUMMYFUNCTION("""COMPUTED_VALUE"""),2609.0)</f>
        <v>2609</v>
      </c>
      <c r="B2732" s="13">
        <f>IFERROR(__xludf.DUMMYFUNCTION("""COMPUTED_VALUE"""),45473.0)</f>
        <v>45473</v>
      </c>
      <c r="C2732" s="12">
        <f>IFERROR(__xludf.DUMMYFUNCTION("""COMPUTED_VALUE"""),148.0)</f>
        <v>148</v>
      </c>
      <c r="D2732" s="12">
        <f>IFERROR(__xludf.DUMMYFUNCTION("""COMPUTED_VALUE"""),12.0)</f>
        <v>12</v>
      </c>
      <c r="E2732" s="12">
        <f>IFERROR(__xludf.DUMMYFUNCTION("""COMPUTED_VALUE"""),6.0)</f>
        <v>6</v>
      </c>
      <c r="F2732" s="12">
        <f>IFERROR(__xludf.DUMMYFUNCTION("""COMPUTED_VALUE"""),3.0)</f>
        <v>3</v>
      </c>
      <c r="G2732" s="15" t="str">
        <f>IFERROR(__xludf.DUMMYFUNCTION("""COMPUTED_VALUE"""),"Completa")</f>
        <v>Completa</v>
      </c>
      <c r="H2732" s="16" t="str">
        <f t="array" ref="H2732">_xlfn.XLOOKUP(D2732,Productos[ID_Producto],Productos[Nombre_Producto])</f>
        <v>Pan francés</v>
      </c>
      <c r="I2732" s="17">
        <f t="array" ref="I2732">_xlfn.XLOOKUP(D2732,Productos[ID_Producto],Productos[Precio_Unitario])</f>
        <v>8.12</v>
      </c>
      <c r="J2732" s="17">
        <f t="shared" si="1"/>
        <v>48.72</v>
      </c>
      <c r="K2732" s="16" t="str">
        <f t="array" ref="K2732">_xlfn.XLOOKUP(C2732,Clientes[ID_Cliente],Clientes[Provincia])</f>
        <v>Córdoba</v>
      </c>
      <c r="L2732" s="16" t="str">
        <f t="array" ref="L2732">CONCATENATE(_xlfn.XLOOKUP(C2732,Clientes[ID_Cliente],Clientes[Provincia]),", Argentina")</f>
        <v>Córdoba, Argentina</v>
      </c>
      <c r="M2732" s="20" t="str">
        <f t="array" ref="M2732">_xlfn.XLOOKUP(F2732,Metodos_De_Pago[ID_Metodo],Metodos_De_Pago[Metodo])</f>
        <v>Tarjeta de Débito</v>
      </c>
      <c r="N2732" s="20" t="str">
        <f t="shared" si="2"/>
        <v>2024 06</v>
      </c>
    </row>
    <row r="2733" ht="22.5" customHeight="1">
      <c r="A2733" s="12">
        <f>IFERROR(__xludf.DUMMYFUNCTION("""COMPUTED_VALUE"""),507.0)</f>
        <v>507</v>
      </c>
      <c r="B2733" s="13">
        <f>IFERROR(__xludf.DUMMYFUNCTION("""COMPUTED_VALUE"""),45474.0)</f>
        <v>45474</v>
      </c>
      <c r="C2733" s="12">
        <f>IFERROR(__xludf.DUMMYFUNCTION("""COMPUTED_VALUE"""),73.0)</f>
        <v>73</v>
      </c>
      <c r="D2733" s="12">
        <f>IFERROR(__xludf.DUMMYFUNCTION("""COMPUTED_VALUE"""),38.0)</f>
        <v>38</v>
      </c>
      <c r="E2733" s="12">
        <f>IFERROR(__xludf.DUMMYFUNCTION("""COMPUTED_VALUE"""),6.0)</f>
        <v>6</v>
      </c>
      <c r="F2733" s="12">
        <f>IFERROR(__xludf.DUMMYFUNCTION("""COMPUTED_VALUE"""),5.0)</f>
        <v>5</v>
      </c>
      <c r="G2733" s="15" t="str">
        <f>IFERROR(__xludf.DUMMYFUNCTION("""COMPUTED_VALUE"""),"Completa")</f>
        <v>Completa</v>
      </c>
      <c r="H2733" s="16" t="str">
        <f t="array" ref="H2733">_xlfn.XLOOKUP(D2733,Productos[ID_Producto],Productos[Nombre_Producto])</f>
        <v>Atún enlatado</v>
      </c>
      <c r="I2733" s="17">
        <f t="array" ref="I2733">_xlfn.XLOOKUP(D2733,Productos[ID_Producto],Productos[Precio_Unitario])</f>
        <v>6.21</v>
      </c>
      <c r="J2733" s="17">
        <f t="shared" si="1"/>
        <v>37.26</v>
      </c>
      <c r="K2733" s="16" t="str">
        <f t="array" ref="K2733">_xlfn.XLOOKUP(C2733,Clientes[ID_Cliente],Clientes[Provincia])</f>
        <v>Córdoba</v>
      </c>
      <c r="L2733" s="16" t="str">
        <f t="array" ref="L2733">CONCATENATE(_xlfn.XLOOKUP(C2733,Clientes[ID_Cliente],Clientes[Provincia]),", Argentina")</f>
        <v>Córdoba, Argentina</v>
      </c>
      <c r="M2733" s="20" t="str">
        <f t="array" ref="M2733">_xlfn.XLOOKUP(F2733,Metodos_De_Pago[ID_Metodo],Metodos_De_Pago[Metodo])</f>
        <v>Transferencia</v>
      </c>
      <c r="N2733" s="20" t="str">
        <f t="shared" si="2"/>
        <v>2024 07</v>
      </c>
    </row>
    <row r="2734" ht="22.5" customHeight="1">
      <c r="A2734" s="12">
        <f>IFERROR(__xludf.DUMMYFUNCTION("""COMPUTED_VALUE"""),1186.0)</f>
        <v>1186</v>
      </c>
      <c r="B2734" s="13">
        <f>IFERROR(__xludf.DUMMYFUNCTION("""COMPUTED_VALUE"""),45474.0)</f>
        <v>45474</v>
      </c>
      <c r="C2734" s="12">
        <f>IFERROR(__xludf.DUMMYFUNCTION("""COMPUTED_VALUE"""),24.0)</f>
        <v>24</v>
      </c>
      <c r="D2734" s="12">
        <f>IFERROR(__xludf.DUMMYFUNCTION("""COMPUTED_VALUE"""),23.0)</f>
        <v>23</v>
      </c>
      <c r="E2734" s="12">
        <f>IFERROR(__xludf.DUMMYFUNCTION("""COMPUTED_VALUE"""),6.0)</f>
        <v>6</v>
      </c>
      <c r="F2734" s="12">
        <f>IFERROR(__xludf.DUMMYFUNCTION("""COMPUTED_VALUE"""),4.0)</f>
        <v>4</v>
      </c>
      <c r="G2734" s="15" t="str">
        <f>IFERROR(__xludf.DUMMYFUNCTION("""COMPUTED_VALUE"""),"Completa")</f>
        <v>Completa</v>
      </c>
      <c r="H2734" s="16" t="str">
        <f t="array" ref="H2734">_xlfn.XLOOKUP(D2734,Productos[ID_Producto],Productos[Nombre_Producto])</f>
        <v>Papas fritas</v>
      </c>
      <c r="I2734" s="17">
        <f t="array" ref="I2734">_xlfn.XLOOKUP(D2734,Productos[ID_Producto],Productos[Precio_Unitario])</f>
        <v>8.23</v>
      </c>
      <c r="J2734" s="17">
        <f t="shared" si="1"/>
        <v>49.38</v>
      </c>
      <c r="K2734" s="16" t="str">
        <f t="array" ref="K2734">_xlfn.XLOOKUP(C2734,Clientes[ID_Cliente],Clientes[Provincia])</f>
        <v>San Luis</v>
      </c>
      <c r="L2734" s="16" t="str">
        <f t="array" ref="L2734">CONCATENATE(_xlfn.XLOOKUP(C2734,Clientes[ID_Cliente],Clientes[Provincia]),", Argentina")</f>
        <v>San Luis, Argentina</v>
      </c>
      <c r="M2734" s="20" t="str">
        <f t="array" ref="M2734">_xlfn.XLOOKUP(F2734,Metodos_De_Pago[ID_Metodo],Metodos_De_Pago[Metodo])</f>
        <v>Mercado Pago</v>
      </c>
      <c r="N2734" s="20" t="str">
        <f t="shared" si="2"/>
        <v>2024 07</v>
      </c>
    </row>
    <row r="2735" ht="22.5" customHeight="1">
      <c r="A2735" s="12">
        <f>IFERROR(__xludf.DUMMYFUNCTION("""COMPUTED_VALUE"""),2672.0)</f>
        <v>2672</v>
      </c>
      <c r="B2735" s="13">
        <f>IFERROR(__xludf.DUMMYFUNCTION("""COMPUTED_VALUE"""),45474.0)</f>
        <v>45474</v>
      </c>
      <c r="C2735" s="12">
        <f>IFERROR(__xludf.DUMMYFUNCTION("""COMPUTED_VALUE"""),49.0)</f>
        <v>49</v>
      </c>
      <c r="D2735" s="12">
        <f>IFERROR(__xludf.DUMMYFUNCTION("""COMPUTED_VALUE"""),24.0)</f>
        <v>24</v>
      </c>
      <c r="E2735" s="12">
        <f>IFERROR(__xludf.DUMMYFUNCTION("""COMPUTED_VALUE"""),6.0)</f>
        <v>6</v>
      </c>
      <c r="F2735" s="12">
        <f>IFERROR(__xludf.DUMMYFUNCTION("""COMPUTED_VALUE"""),3.0)</f>
        <v>3</v>
      </c>
      <c r="G2735" s="15" t="str">
        <f>IFERROR(__xludf.DUMMYFUNCTION("""COMPUTED_VALUE"""),"Completa")</f>
        <v>Completa</v>
      </c>
      <c r="H2735" s="16" t="str">
        <f t="array" ref="H2735">_xlfn.XLOOKUP(D2735,Productos[ID_Producto],Productos[Nombre_Producto])</f>
        <v>Empanadas</v>
      </c>
      <c r="I2735" s="17">
        <f t="array" ref="I2735">_xlfn.XLOOKUP(D2735,Productos[ID_Producto],Productos[Precio_Unitario])</f>
        <v>13.54</v>
      </c>
      <c r="J2735" s="17">
        <f t="shared" si="1"/>
        <v>81.24</v>
      </c>
      <c r="K2735" s="16" t="str">
        <f t="array" ref="K2735">_xlfn.XLOOKUP(C2735,Clientes[ID_Cliente],Clientes[Provincia])</f>
        <v>Buenos Aires</v>
      </c>
      <c r="L2735" s="16" t="str">
        <f t="array" ref="L2735">CONCATENATE(_xlfn.XLOOKUP(C2735,Clientes[ID_Cliente],Clientes[Provincia]),", Argentina")</f>
        <v>Buenos Aires, Argentina</v>
      </c>
      <c r="M2735" s="20" t="str">
        <f t="array" ref="M2735">_xlfn.XLOOKUP(F2735,Metodos_De_Pago[ID_Metodo],Metodos_De_Pago[Metodo])</f>
        <v>Tarjeta de Débito</v>
      </c>
      <c r="N2735" s="20" t="str">
        <f t="shared" si="2"/>
        <v>2024 07</v>
      </c>
    </row>
    <row r="2736" ht="22.5" customHeight="1">
      <c r="A2736" s="12">
        <f>IFERROR(__xludf.DUMMYFUNCTION("""COMPUTED_VALUE"""),219.0)</f>
        <v>219</v>
      </c>
      <c r="B2736" s="13">
        <f>IFERROR(__xludf.DUMMYFUNCTION("""COMPUTED_VALUE"""),45475.0)</f>
        <v>45475</v>
      </c>
      <c r="C2736" s="12">
        <f>IFERROR(__xludf.DUMMYFUNCTION("""COMPUTED_VALUE"""),24.0)</f>
        <v>24</v>
      </c>
      <c r="D2736" s="12">
        <f>IFERROR(__xludf.DUMMYFUNCTION("""COMPUTED_VALUE"""),23.0)</f>
        <v>23</v>
      </c>
      <c r="E2736" s="12">
        <f>IFERROR(__xludf.DUMMYFUNCTION("""COMPUTED_VALUE"""),6.0)</f>
        <v>6</v>
      </c>
      <c r="F2736" s="12">
        <f>IFERROR(__xludf.DUMMYFUNCTION("""COMPUTED_VALUE"""),4.0)</f>
        <v>4</v>
      </c>
      <c r="G2736" s="15" t="str">
        <f>IFERROR(__xludf.DUMMYFUNCTION("""COMPUTED_VALUE"""),"Completa")</f>
        <v>Completa</v>
      </c>
      <c r="H2736" s="16" t="str">
        <f t="array" ref="H2736">_xlfn.XLOOKUP(D2736,Productos[ID_Producto],Productos[Nombre_Producto])</f>
        <v>Papas fritas</v>
      </c>
      <c r="I2736" s="17">
        <f t="array" ref="I2736">_xlfn.XLOOKUP(D2736,Productos[ID_Producto],Productos[Precio_Unitario])</f>
        <v>8.23</v>
      </c>
      <c r="J2736" s="17">
        <f t="shared" si="1"/>
        <v>49.38</v>
      </c>
      <c r="K2736" s="16" t="str">
        <f t="array" ref="K2736">_xlfn.XLOOKUP(C2736,Clientes[ID_Cliente],Clientes[Provincia])</f>
        <v>San Luis</v>
      </c>
      <c r="L2736" s="16" t="str">
        <f t="array" ref="L2736">CONCATENATE(_xlfn.XLOOKUP(C2736,Clientes[ID_Cliente],Clientes[Provincia]),", Argentina")</f>
        <v>San Luis, Argentina</v>
      </c>
      <c r="M2736" s="20" t="str">
        <f t="array" ref="M2736">_xlfn.XLOOKUP(F2736,Metodos_De_Pago[ID_Metodo],Metodos_De_Pago[Metodo])</f>
        <v>Mercado Pago</v>
      </c>
      <c r="N2736" s="20" t="str">
        <f t="shared" si="2"/>
        <v>2024 07</v>
      </c>
    </row>
    <row r="2737" ht="22.5" customHeight="1">
      <c r="A2737" s="12">
        <f>IFERROR(__xludf.DUMMYFUNCTION("""COMPUTED_VALUE"""),1005.0)</f>
        <v>1005</v>
      </c>
      <c r="B2737" s="13">
        <f>IFERROR(__xludf.DUMMYFUNCTION("""COMPUTED_VALUE"""),45475.0)</f>
        <v>45475</v>
      </c>
      <c r="C2737" s="12">
        <f>IFERROR(__xludf.DUMMYFUNCTION("""COMPUTED_VALUE"""),131.0)</f>
        <v>131</v>
      </c>
      <c r="D2737" s="12">
        <f>IFERROR(__xludf.DUMMYFUNCTION("""COMPUTED_VALUE"""),4.0)</f>
        <v>4</v>
      </c>
      <c r="E2737" s="12">
        <f>IFERROR(__xludf.DUMMYFUNCTION("""COMPUTED_VALUE"""),6.0)</f>
        <v>6</v>
      </c>
      <c r="F2737" s="12">
        <f>IFERROR(__xludf.DUMMYFUNCTION("""COMPUTED_VALUE"""),5.0)</f>
        <v>5</v>
      </c>
      <c r="G2737" s="15" t="str">
        <f>IFERROR(__xludf.DUMMYFUNCTION("""COMPUTED_VALUE"""),"Completa")</f>
        <v>Completa</v>
      </c>
      <c r="H2737" s="16" t="str">
        <f t="array" ref="H2737">_xlfn.XLOOKUP(D2737,Productos[ID_Producto],Productos[Nombre_Producto])</f>
        <v>Queso rallado</v>
      </c>
      <c r="I2737" s="17">
        <f t="array" ref="I2737">_xlfn.XLOOKUP(D2737,Productos[ID_Producto],Productos[Precio_Unitario])</f>
        <v>19.23</v>
      </c>
      <c r="J2737" s="17">
        <f t="shared" si="1"/>
        <v>115.38</v>
      </c>
      <c r="K2737" s="16" t="str">
        <f t="array" ref="K2737">_xlfn.XLOOKUP(C2737,Clientes[ID_Cliente],Clientes[Provincia])</f>
        <v>Buenos Aires</v>
      </c>
      <c r="L2737" s="16" t="str">
        <f t="array" ref="L2737">CONCATENATE(_xlfn.XLOOKUP(C2737,Clientes[ID_Cliente],Clientes[Provincia]),", Argentina")</f>
        <v>Buenos Aires, Argentina</v>
      </c>
      <c r="M2737" s="20" t="str">
        <f t="array" ref="M2737">_xlfn.XLOOKUP(F2737,Metodos_De_Pago[ID_Metodo],Metodos_De_Pago[Metodo])</f>
        <v>Transferencia</v>
      </c>
      <c r="N2737" s="20" t="str">
        <f t="shared" si="2"/>
        <v>2024 07</v>
      </c>
    </row>
    <row r="2738" ht="22.5" customHeight="1">
      <c r="A2738" s="12">
        <f>IFERROR(__xludf.DUMMYFUNCTION("""COMPUTED_VALUE"""),1798.0)</f>
        <v>1798</v>
      </c>
      <c r="B2738" s="13">
        <f>IFERROR(__xludf.DUMMYFUNCTION("""COMPUTED_VALUE"""),45475.0)</f>
        <v>45475</v>
      </c>
      <c r="C2738" s="12">
        <f>IFERROR(__xludf.DUMMYFUNCTION("""COMPUTED_VALUE"""),167.0)</f>
        <v>167</v>
      </c>
      <c r="D2738" s="12">
        <f>IFERROR(__xludf.DUMMYFUNCTION("""COMPUTED_VALUE"""),35.0)</f>
        <v>35</v>
      </c>
      <c r="E2738" s="12">
        <f>IFERROR(__xludf.DUMMYFUNCTION("""COMPUTED_VALUE"""),6.0)</f>
        <v>6</v>
      </c>
      <c r="F2738" s="12">
        <f>IFERROR(__xludf.DUMMYFUNCTION("""COMPUTED_VALUE"""),5.0)</f>
        <v>5</v>
      </c>
      <c r="G2738" s="15" t="str">
        <f>IFERROR(__xludf.DUMMYFUNCTION("""COMPUTED_VALUE"""),"Completa")</f>
        <v>Completa</v>
      </c>
      <c r="H2738" s="16" t="str">
        <f t="array" ref="H2738">_xlfn.XLOOKUP(D2738,Productos[ID_Producto],Productos[Nombre_Producto])</f>
        <v>Arroz</v>
      </c>
      <c r="I2738" s="17">
        <f t="array" ref="I2738">_xlfn.XLOOKUP(D2738,Productos[ID_Producto],Productos[Precio_Unitario])</f>
        <v>4.25</v>
      </c>
      <c r="J2738" s="17">
        <f t="shared" si="1"/>
        <v>25.5</v>
      </c>
      <c r="K2738" s="16" t="str">
        <f t="array" ref="K2738">_xlfn.XLOOKUP(C2738,Clientes[ID_Cliente],Clientes[Provincia])</f>
        <v>Buenos Aires</v>
      </c>
      <c r="L2738" s="16" t="str">
        <f t="array" ref="L2738">CONCATENATE(_xlfn.XLOOKUP(C2738,Clientes[ID_Cliente],Clientes[Provincia]),", Argentina")</f>
        <v>Buenos Aires, Argentina</v>
      </c>
      <c r="M2738" s="20" t="str">
        <f t="array" ref="M2738">_xlfn.XLOOKUP(F2738,Metodos_De_Pago[ID_Metodo],Metodos_De_Pago[Metodo])</f>
        <v>Transferencia</v>
      </c>
      <c r="N2738" s="20" t="str">
        <f t="shared" si="2"/>
        <v>2024 07</v>
      </c>
    </row>
    <row r="2739" ht="22.5" customHeight="1">
      <c r="A2739" s="12">
        <f>IFERROR(__xludf.DUMMYFUNCTION("""COMPUTED_VALUE"""),2916.0)</f>
        <v>2916</v>
      </c>
      <c r="B2739" s="13">
        <f>IFERROR(__xludf.DUMMYFUNCTION("""COMPUTED_VALUE"""),45475.0)</f>
        <v>45475</v>
      </c>
      <c r="C2739" s="12">
        <f>IFERROR(__xludf.DUMMYFUNCTION("""COMPUTED_VALUE"""),268.0)</f>
        <v>268</v>
      </c>
      <c r="D2739" s="12">
        <f>IFERROR(__xludf.DUMMYFUNCTION("""COMPUTED_VALUE"""),17.0)</f>
        <v>17</v>
      </c>
      <c r="E2739" s="12">
        <f>IFERROR(__xludf.DUMMYFUNCTION("""COMPUTED_VALUE"""),6.0)</f>
        <v>6</v>
      </c>
      <c r="F2739" s="12">
        <f>IFERROR(__xludf.DUMMYFUNCTION("""COMPUTED_VALUE"""),4.0)</f>
        <v>4</v>
      </c>
      <c r="G2739" s="15" t="str">
        <f>IFERROR(__xludf.DUMMYFUNCTION("""COMPUTED_VALUE"""),"Completa")</f>
        <v>Completa</v>
      </c>
      <c r="H2739" s="16" t="str">
        <f t="array" ref="H2739">_xlfn.XLOOKUP(D2739,Productos[ID_Producto],Productos[Nombre_Producto])</f>
        <v>Manzanas</v>
      </c>
      <c r="I2739" s="17">
        <f t="array" ref="I2739">_xlfn.XLOOKUP(D2739,Productos[ID_Producto],Productos[Precio_Unitario])</f>
        <v>6.54</v>
      </c>
      <c r="J2739" s="17">
        <f t="shared" si="1"/>
        <v>39.24</v>
      </c>
      <c r="K2739" s="16" t="str">
        <f t="array" ref="K2739">_xlfn.XLOOKUP(C2739,Clientes[ID_Cliente],Clientes[Provincia])</f>
        <v>Salta</v>
      </c>
      <c r="L2739" s="16" t="str">
        <f t="array" ref="L2739">CONCATENATE(_xlfn.XLOOKUP(C2739,Clientes[ID_Cliente],Clientes[Provincia]),", Argentina")</f>
        <v>Salta, Argentina</v>
      </c>
      <c r="M2739" s="20" t="str">
        <f t="array" ref="M2739">_xlfn.XLOOKUP(F2739,Metodos_De_Pago[ID_Metodo],Metodos_De_Pago[Metodo])</f>
        <v>Mercado Pago</v>
      </c>
      <c r="N2739" s="20" t="str">
        <f t="shared" si="2"/>
        <v>2024 07</v>
      </c>
    </row>
    <row r="2740" ht="22.5" customHeight="1">
      <c r="A2740" s="12">
        <f>IFERROR(__xludf.DUMMYFUNCTION("""COMPUTED_VALUE"""),2077.0)</f>
        <v>2077</v>
      </c>
      <c r="B2740" s="13">
        <f>IFERROR(__xludf.DUMMYFUNCTION("""COMPUTED_VALUE"""),45476.0)</f>
        <v>45476</v>
      </c>
      <c r="C2740" s="12">
        <f>IFERROR(__xludf.DUMMYFUNCTION("""COMPUTED_VALUE"""),62.0)</f>
        <v>62</v>
      </c>
      <c r="D2740" s="12">
        <f>IFERROR(__xludf.DUMMYFUNCTION("""COMPUTED_VALUE"""),21.0)</f>
        <v>21</v>
      </c>
      <c r="E2740" s="12">
        <f>IFERROR(__xludf.DUMMYFUNCTION("""COMPUTED_VALUE"""),6.0)</f>
        <v>6</v>
      </c>
      <c r="F2740" s="12">
        <f>IFERROR(__xludf.DUMMYFUNCTION("""COMPUTED_VALUE"""),4.0)</f>
        <v>4</v>
      </c>
      <c r="G2740" s="15" t="str">
        <f>IFERROR(__xludf.DUMMYFUNCTION("""COMPUTED_VALUE"""),"Completa")</f>
        <v>Completa</v>
      </c>
      <c r="H2740" s="16" t="str">
        <f t="array" ref="H2740">_xlfn.XLOOKUP(D2740,Productos[ID_Producto],Productos[Nombre_Producto])</f>
        <v>Zanahorias</v>
      </c>
      <c r="I2740" s="17">
        <f t="array" ref="I2740">_xlfn.XLOOKUP(D2740,Productos[ID_Producto],Productos[Precio_Unitario])</f>
        <v>3.25</v>
      </c>
      <c r="J2740" s="17">
        <f t="shared" si="1"/>
        <v>19.5</v>
      </c>
      <c r="K2740" s="16" t="str">
        <f t="array" ref="K2740">_xlfn.XLOOKUP(C2740,Clientes[ID_Cliente],Clientes[Provincia])</f>
        <v>Chaco</v>
      </c>
      <c r="L2740" s="16" t="str">
        <f t="array" ref="L2740">CONCATENATE(_xlfn.XLOOKUP(C2740,Clientes[ID_Cliente],Clientes[Provincia]),", Argentina")</f>
        <v>Chaco, Argentina</v>
      </c>
      <c r="M2740" s="20" t="str">
        <f t="array" ref="M2740">_xlfn.XLOOKUP(F2740,Metodos_De_Pago[ID_Metodo],Metodos_De_Pago[Metodo])</f>
        <v>Mercado Pago</v>
      </c>
      <c r="N2740" s="20" t="str">
        <f t="shared" si="2"/>
        <v>2024 07</v>
      </c>
    </row>
    <row r="2741" ht="22.5" customHeight="1">
      <c r="A2741" s="12">
        <f>IFERROR(__xludf.DUMMYFUNCTION("""COMPUTED_VALUE"""),1896.0)</f>
        <v>1896</v>
      </c>
      <c r="B2741" s="13">
        <f>IFERROR(__xludf.DUMMYFUNCTION("""COMPUTED_VALUE"""),45477.0)</f>
        <v>45477</v>
      </c>
      <c r="C2741" s="12">
        <f>IFERROR(__xludf.DUMMYFUNCTION("""COMPUTED_VALUE"""),302.0)</f>
        <v>302</v>
      </c>
      <c r="D2741" s="12">
        <f>IFERROR(__xludf.DUMMYFUNCTION("""COMPUTED_VALUE"""),19.0)</f>
        <v>19</v>
      </c>
      <c r="E2741" s="12">
        <f>IFERROR(__xludf.DUMMYFUNCTION("""COMPUTED_VALUE"""),6.0)</f>
        <v>6</v>
      </c>
      <c r="F2741" s="12">
        <f>IFERROR(__xludf.DUMMYFUNCTION("""COMPUTED_VALUE"""),1.0)</f>
        <v>1</v>
      </c>
      <c r="G2741" s="15" t="str">
        <f>IFERROR(__xludf.DUMMYFUNCTION("""COMPUTED_VALUE"""),"Completa")</f>
        <v>Completa</v>
      </c>
      <c r="H2741" s="16" t="str">
        <f t="array" ref="H2741">_xlfn.XLOOKUP(D2741,Productos[ID_Producto],Productos[Nombre_Producto])</f>
        <v>Tomates</v>
      </c>
      <c r="I2741" s="17">
        <f t="array" ref="I2741">_xlfn.XLOOKUP(D2741,Productos[ID_Producto],Productos[Precio_Unitario])</f>
        <v>6.54</v>
      </c>
      <c r="J2741" s="17">
        <f t="shared" si="1"/>
        <v>39.24</v>
      </c>
      <c r="K2741" s="16" t="str">
        <f t="array" ref="K2741">_xlfn.XLOOKUP(C2741,Clientes[ID_Cliente],Clientes[Provincia])</f>
        <v>Neuquén</v>
      </c>
      <c r="L2741" s="16" t="str">
        <f t="array" ref="L2741">CONCATENATE(_xlfn.XLOOKUP(C2741,Clientes[ID_Cliente],Clientes[Provincia]),", Argentina")</f>
        <v>Neuquén, Argentina</v>
      </c>
      <c r="M2741" s="20" t="str">
        <f t="array" ref="M2741">_xlfn.XLOOKUP(F2741,Metodos_De_Pago[ID_Metodo],Metodos_De_Pago[Metodo])</f>
        <v>Efectivo</v>
      </c>
      <c r="N2741" s="20" t="str">
        <f t="shared" si="2"/>
        <v>2024 07</v>
      </c>
    </row>
    <row r="2742" ht="22.5" customHeight="1">
      <c r="A2742" s="12">
        <f>IFERROR(__xludf.DUMMYFUNCTION("""COMPUTED_VALUE"""),2035.0)</f>
        <v>2035</v>
      </c>
      <c r="B2742" s="13">
        <f>IFERROR(__xludf.DUMMYFUNCTION("""COMPUTED_VALUE"""),45477.0)</f>
        <v>45477</v>
      </c>
      <c r="C2742" s="12">
        <f>IFERROR(__xludf.DUMMYFUNCTION("""COMPUTED_VALUE"""),225.0)</f>
        <v>225</v>
      </c>
      <c r="D2742" s="12">
        <f>IFERROR(__xludf.DUMMYFUNCTION("""COMPUTED_VALUE"""),18.0)</f>
        <v>18</v>
      </c>
      <c r="E2742" s="12">
        <f>IFERROR(__xludf.DUMMYFUNCTION("""COMPUTED_VALUE"""),6.0)</f>
        <v>6</v>
      </c>
      <c r="F2742" s="12">
        <f>IFERROR(__xludf.DUMMYFUNCTION("""COMPUTED_VALUE"""),1.0)</f>
        <v>1</v>
      </c>
      <c r="G2742" s="15" t="str">
        <f>IFERROR(__xludf.DUMMYFUNCTION("""COMPUTED_VALUE"""),"Completa")</f>
        <v>Completa</v>
      </c>
      <c r="H2742" s="16" t="str">
        <f t="array" ref="H2742">_xlfn.XLOOKUP(D2742,Productos[ID_Producto],Productos[Nombre_Producto])</f>
        <v>Bananas</v>
      </c>
      <c r="I2742" s="17">
        <f t="array" ref="I2742">_xlfn.XLOOKUP(D2742,Productos[ID_Producto],Productos[Precio_Unitario])</f>
        <v>7.25</v>
      </c>
      <c r="J2742" s="17">
        <f t="shared" si="1"/>
        <v>43.5</v>
      </c>
      <c r="K2742" s="16" t="str">
        <f t="array" ref="K2742">_xlfn.XLOOKUP(C2742,Clientes[ID_Cliente],Clientes[Provincia])</f>
        <v>Buenos Aires</v>
      </c>
      <c r="L2742" s="16" t="str">
        <f t="array" ref="L2742">CONCATENATE(_xlfn.XLOOKUP(C2742,Clientes[ID_Cliente],Clientes[Provincia]),", Argentina")</f>
        <v>Buenos Aires, Argentina</v>
      </c>
      <c r="M2742" s="20" t="str">
        <f t="array" ref="M2742">_xlfn.XLOOKUP(F2742,Metodos_De_Pago[ID_Metodo],Metodos_De_Pago[Metodo])</f>
        <v>Efectivo</v>
      </c>
      <c r="N2742" s="20" t="str">
        <f t="shared" si="2"/>
        <v>2024 07</v>
      </c>
    </row>
    <row r="2743" ht="22.5" customHeight="1">
      <c r="A2743" s="12">
        <f>IFERROR(__xludf.DUMMYFUNCTION("""COMPUTED_VALUE"""),184.0)</f>
        <v>184</v>
      </c>
      <c r="B2743" s="13">
        <f>IFERROR(__xludf.DUMMYFUNCTION("""COMPUTED_VALUE"""),45478.0)</f>
        <v>45478</v>
      </c>
      <c r="C2743" s="12">
        <f>IFERROR(__xludf.DUMMYFUNCTION("""COMPUTED_VALUE"""),150.0)</f>
        <v>150</v>
      </c>
      <c r="D2743" s="12">
        <f>IFERROR(__xludf.DUMMYFUNCTION("""COMPUTED_VALUE"""),34.0)</f>
        <v>34</v>
      </c>
      <c r="E2743" s="12">
        <f>IFERROR(__xludf.DUMMYFUNCTION("""COMPUTED_VALUE"""),6.0)</f>
        <v>6</v>
      </c>
      <c r="F2743" s="12">
        <f>IFERROR(__xludf.DUMMYFUNCTION("""COMPUTED_VALUE"""),1.0)</f>
        <v>1</v>
      </c>
      <c r="G2743" s="15" t="str">
        <f>IFERROR(__xludf.DUMMYFUNCTION("""COMPUTED_VALUE"""),"Completa")</f>
        <v>Completa</v>
      </c>
      <c r="H2743" s="16" t="str">
        <f t="array" ref="H2743">_xlfn.XLOOKUP(D2743,Productos[ID_Producto],Productos[Nombre_Producto])</f>
        <v>Maníes</v>
      </c>
      <c r="I2743" s="17">
        <f t="array" ref="I2743">_xlfn.XLOOKUP(D2743,Productos[ID_Producto],Productos[Precio_Unitario])</f>
        <v>5.45</v>
      </c>
      <c r="J2743" s="17">
        <f t="shared" si="1"/>
        <v>32.7</v>
      </c>
      <c r="K2743" s="16" t="str">
        <f t="array" ref="K2743">_xlfn.XLOOKUP(C2743,Clientes[ID_Cliente],Clientes[Provincia])</f>
        <v>Buenos Aires</v>
      </c>
      <c r="L2743" s="16" t="str">
        <f t="array" ref="L2743">CONCATENATE(_xlfn.XLOOKUP(C2743,Clientes[ID_Cliente],Clientes[Provincia]),", Argentina")</f>
        <v>Buenos Aires, Argentina</v>
      </c>
      <c r="M2743" s="20" t="str">
        <f t="array" ref="M2743">_xlfn.XLOOKUP(F2743,Metodos_De_Pago[ID_Metodo],Metodos_De_Pago[Metodo])</f>
        <v>Efectivo</v>
      </c>
      <c r="N2743" s="20" t="str">
        <f t="shared" si="2"/>
        <v>2024 07</v>
      </c>
    </row>
    <row r="2744" ht="22.5" customHeight="1">
      <c r="A2744" s="12">
        <f>IFERROR(__xludf.DUMMYFUNCTION("""COMPUTED_VALUE"""),802.0)</f>
        <v>802</v>
      </c>
      <c r="B2744" s="13">
        <f>IFERROR(__xludf.DUMMYFUNCTION("""COMPUTED_VALUE"""),45478.0)</f>
        <v>45478</v>
      </c>
      <c r="C2744" s="12">
        <f>IFERROR(__xludf.DUMMYFUNCTION("""COMPUTED_VALUE"""),214.0)</f>
        <v>214</v>
      </c>
      <c r="D2744" s="12">
        <f>IFERROR(__xludf.DUMMYFUNCTION("""COMPUTED_VALUE"""),1.0)</f>
        <v>1</v>
      </c>
      <c r="E2744" s="12">
        <f>IFERROR(__xludf.DUMMYFUNCTION("""COMPUTED_VALUE"""),6.0)</f>
        <v>6</v>
      </c>
      <c r="F2744" s="12">
        <f>IFERROR(__xludf.DUMMYFUNCTION("""COMPUTED_VALUE"""),5.0)</f>
        <v>5</v>
      </c>
      <c r="G2744" s="15" t="str">
        <f>IFERROR(__xludf.DUMMYFUNCTION("""COMPUTED_VALUE"""),"Pendiente")</f>
        <v>Pendiente</v>
      </c>
      <c r="H2744" s="16" t="str">
        <f t="array" ref="H2744">_xlfn.XLOOKUP(D2744,Productos[ID_Producto],Productos[Nombre_Producto])</f>
        <v>Leche</v>
      </c>
      <c r="I2744" s="17">
        <f t="array" ref="I2744">_xlfn.XLOOKUP(D2744,Productos[ID_Producto],Productos[Precio_Unitario])</f>
        <v>12.24</v>
      </c>
      <c r="J2744" s="17">
        <f t="shared" si="1"/>
        <v>73.44</v>
      </c>
      <c r="K2744" s="16" t="str">
        <f t="array" ref="K2744">_xlfn.XLOOKUP(C2744,Clientes[ID_Cliente],Clientes[Provincia])</f>
        <v>Neuquén</v>
      </c>
      <c r="L2744" s="16" t="str">
        <f t="array" ref="L2744">CONCATENATE(_xlfn.XLOOKUP(C2744,Clientes[ID_Cliente],Clientes[Provincia]),", Argentina")</f>
        <v>Neuquén, Argentina</v>
      </c>
      <c r="M2744" s="20" t="str">
        <f t="array" ref="M2744">_xlfn.XLOOKUP(F2744,Metodos_De_Pago[ID_Metodo],Metodos_De_Pago[Metodo])</f>
        <v>Transferencia</v>
      </c>
      <c r="N2744" s="20" t="str">
        <f t="shared" si="2"/>
        <v>2024 07</v>
      </c>
    </row>
    <row r="2745" ht="22.5" customHeight="1">
      <c r="A2745" s="12">
        <f>IFERROR(__xludf.DUMMYFUNCTION("""COMPUTED_VALUE"""),1411.0)</f>
        <v>1411</v>
      </c>
      <c r="B2745" s="13">
        <f>IFERROR(__xludf.DUMMYFUNCTION("""COMPUTED_VALUE"""),45478.0)</f>
        <v>45478</v>
      </c>
      <c r="C2745" s="12">
        <f>IFERROR(__xludf.DUMMYFUNCTION("""COMPUTED_VALUE"""),75.0)</f>
        <v>75</v>
      </c>
      <c r="D2745" s="12">
        <f>IFERROR(__xludf.DUMMYFUNCTION("""COMPUTED_VALUE"""),35.0)</f>
        <v>35</v>
      </c>
      <c r="E2745" s="12">
        <f>IFERROR(__xludf.DUMMYFUNCTION("""COMPUTED_VALUE"""),6.0)</f>
        <v>6</v>
      </c>
      <c r="F2745" s="12">
        <f>IFERROR(__xludf.DUMMYFUNCTION("""COMPUTED_VALUE"""),3.0)</f>
        <v>3</v>
      </c>
      <c r="G2745" s="15" t="str">
        <f>IFERROR(__xludf.DUMMYFUNCTION("""COMPUTED_VALUE"""),"Completa")</f>
        <v>Completa</v>
      </c>
      <c r="H2745" s="16" t="str">
        <f t="array" ref="H2745">_xlfn.XLOOKUP(D2745,Productos[ID_Producto],Productos[Nombre_Producto])</f>
        <v>Arroz</v>
      </c>
      <c r="I2745" s="17">
        <f t="array" ref="I2745">_xlfn.XLOOKUP(D2745,Productos[ID_Producto],Productos[Precio_Unitario])</f>
        <v>4.25</v>
      </c>
      <c r="J2745" s="17">
        <f t="shared" si="1"/>
        <v>25.5</v>
      </c>
      <c r="K2745" s="16" t="str">
        <f t="array" ref="K2745">_xlfn.XLOOKUP(C2745,Clientes[ID_Cliente],Clientes[Provincia])</f>
        <v>Chaco</v>
      </c>
      <c r="L2745" s="16" t="str">
        <f t="array" ref="L2745">CONCATENATE(_xlfn.XLOOKUP(C2745,Clientes[ID_Cliente],Clientes[Provincia]),", Argentina")</f>
        <v>Chaco, Argentina</v>
      </c>
      <c r="M2745" s="20" t="str">
        <f t="array" ref="M2745">_xlfn.XLOOKUP(F2745,Metodos_De_Pago[ID_Metodo],Metodos_De_Pago[Metodo])</f>
        <v>Tarjeta de Débito</v>
      </c>
      <c r="N2745" s="20" t="str">
        <f t="shared" si="2"/>
        <v>2024 07</v>
      </c>
    </row>
    <row r="2746" ht="22.5" customHeight="1">
      <c r="A2746" s="12">
        <f>IFERROR(__xludf.DUMMYFUNCTION("""COMPUTED_VALUE"""),181.0)</f>
        <v>181</v>
      </c>
      <c r="B2746" s="13">
        <f>IFERROR(__xludf.DUMMYFUNCTION("""COMPUTED_VALUE"""),45479.0)</f>
        <v>45479</v>
      </c>
      <c r="C2746" s="12">
        <f>IFERROR(__xludf.DUMMYFUNCTION("""COMPUTED_VALUE"""),143.0)</f>
        <v>143</v>
      </c>
      <c r="D2746" s="12">
        <f>IFERROR(__xludf.DUMMYFUNCTION("""COMPUTED_VALUE"""),34.0)</f>
        <v>34</v>
      </c>
      <c r="E2746" s="12">
        <f>IFERROR(__xludf.DUMMYFUNCTION("""COMPUTED_VALUE"""),6.0)</f>
        <v>6</v>
      </c>
      <c r="F2746" s="12">
        <f>IFERROR(__xludf.DUMMYFUNCTION("""COMPUTED_VALUE"""),1.0)</f>
        <v>1</v>
      </c>
      <c r="G2746" s="15" t="str">
        <f>IFERROR(__xludf.DUMMYFUNCTION("""COMPUTED_VALUE"""),"Completa")</f>
        <v>Completa</v>
      </c>
      <c r="H2746" s="16" t="str">
        <f t="array" ref="H2746">_xlfn.XLOOKUP(D2746,Productos[ID_Producto],Productos[Nombre_Producto])</f>
        <v>Maníes</v>
      </c>
      <c r="I2746" s="17">
        <f t="array" ref="I2746">_xlfn.XLOOKUP(D2746,Productos[ID_Producto],Productos[Precio_Unitario])</f>
        <v>5.45</v>
      </c>
      <c r="J2746" s="17">
        <f t="shared" si="1"/>
        <v>32.7</v>
      </c>
      <c r="K2746" s="16" t="str">
        <f t="array" ref="K2746">_xlfn.XLOOKUP(C2746,Clientes[ID_Cliente],Clientes[Provincia])</f>
        <v>Buenos Aires</v>
      </c>
      <c r="L2746" s="16" t="str">
        <f t="array" ref="L2746">CONCATENATE(_xlfn.XLOOKUP(C2746,Clientes[ID_Cliente],Clientes[Provincia]),", Argentina")</f>
        <v>Buenos Aires, Argentina</v>
      </c>
      <c r="M2746" s="20" t="str">
        <f t="array" ref="M2746">_xlfn.XLOOKUP(F2746,Metodos_De_Pago[ID_Metodo],Metodos_De_Pago[Metodo])</f>
        <v>Efectivo</v>
      </c>
      <c r="N2746" s="20" t="str">
        <f t="shared" si="2"/>
        <v>2024 07</v>
      </c>
    </row>
    <row r="2747" ht="22.5" customHeight="1">
      <c r="A2747" s="12">
        <f>IFERROR(__xludf.DUMMYFUNCTION("""COMPUTED_VALUE"""),551.0)</f>
        <v>551</v>
      </c>
      <c r="B2747" s="13">
        <f>IFERROR(__xludf.DUMMYFUNCTION("""COMPUTED_VALUE"""),45480.0)</f>
        <v>45480</v>
      </c>
      <c r="C2747" s="12">
        <f>IFERROR(__xludf.DUMMYFUNCTION("""COMPUTED_VALUE"""),146.0)</f>
        <v>146</v>
      </c>
      <c r="D2747" s="12">
        <f>IFERROR(__xludf.DUMMYFUNCTION("""COMPUTED_VALUE"""),7.0)</f>
        <v>7</v>
      </c>
      <c r="E2747" s="12">
        <f>IFERROR(__xludf.DUMMYFUNCTION("""COMPUTED_VALUE"""),6.0)</f>
        <v>6</v>
      </c>
      <c r="F2747" s="12">
        <f>IFERROR(__xludf.DUMMYFUNCTION("""COMPUTED_VALUE"""),4.0)</f>
        <v>4</v>
      </c>
      <c r="G2747" s="15" t="str">
        <f>IFERROR(__xludf.DUMMYFUNCTION("""COMPUTED_VALUE"""),"Completa")</f>
        <v>Completa</v>
      </c>
      <c r="H2747" s="16" t="str">
        <f t="array" ref="H2747">_xlfn.XLOOKUP(D2747,Productos[ID_Producto],Productos[Nombre_Producto])</f>
        <v>Chorizo</v>
      </c>
      <c r="I2747" s="17">
        <f t="array" ref="I2747">_xlfn.XLOOKUP(D2747,Productos[ID_Producto],Productos[Precio_Unitario])</f>
        <v>11.25</v>
      </c>
      <c r="J2747" s="17">
        <f t="shared" si="1"/>
        <v>67.5</v>
      </c>
      <c r="K2747" s="16" t="str">
        <f t="array" ref="K2747">_xlfn.XLOOKUP(C2747,Clientes[ID_Cliente],Clientes[Provincia])</f>
        <v>San Luis</v>
      </c>
      <c r="L2747" s="16" t="str">
        <f t="array" ref="L2747">CONCATENATE(_xlfn.XLOOKUP(C2747,Clientes[ID_Cliente],Clientes[Provincia]),", Argentina")</f>
        <v>San Luis, Argentina</v>
      </c>
      <c r="M2747" s="20" t="str">
        <f t="array" ref="M2747">_xlfn.XLOOKUP(F2747,Metodos_De_Pago[ID_Metodo],Metodos_De_Pago[Metodo])</f>
        <v>Mercado Pago</v>
      </c>
      <c r="N2747" s="20" t="str">
        <f t="shared" si="2"/>
        <v>2024 07</v>
      </c>
    </row>
    <row r="2748" ht="22.5" customHeight="1">
      <c r="A2748" s="12">
        <f>IFERROR(__xludf.DUMMYFUNCTION("""COMPUTED_VALUE"""),688.0)</f>
        <v>688</v>
      </c>
      <c r="B2748" s="13">
        <f>IFERROR(__xludf.DUMMYFUNCTION("""COMPUTED_VALUE"""),45480.0)</f>
        <v>45480</v>
      </c>
      <c r="C2748" s="12">
        <f>IFERROR(__xludf.DUMMYFUNCTION("""COMPUTED_VALUE"""),82.0)</f>
        <v>82</v>
      </c>
      <c r="D2748" s="12">
        <f>IFERROR(__xludf.DUMMYFUNCTION("""COMPUTED_VALUE"""),23.0)</f>
        <v>23</v>
      </c>
      <c r="E2748" s="12">
        <f>IFERROR(__xludf.DUMMYFUNCTION("""COMPUTED_VALUE"""),6.0)</f>
        <v>6</v>
      </c>
      <c r="F2748" s="12">
        <f>IFERROR(__xludf.DUMMYFUNCTION("""COMPUTED_VALUE"""),1.0)</f>
        <v>1</v>
      </c>
      <c r="G2748" s="15" t="str">
        <f>IFERROR(__xludf.DUMMYFUNCTION("""COMPUTED_VALUE"""),"Pendiente")</f>
        <v>Pendiente</v>
      </c>
      <c r="H2748" s="16" t="str">
        <f t="array" ref="H2748">_xlfn.XLOOKUP(D2748,Productos[ID_Producto],Productos[Nombre_Producto])</f>
        <v>Papas fritas</v>
      </c>
      <c r="I2748" s="17">
        <f t="array" ref="I2748">_xlfn.XLOOKUP(D2748,Productos[ID_Producto],Productos[Precio_Unitario])</f>
        <v>8.23</v>
      </c>
      <c r="J2748" s="17">
        <f t="shared" si="1"/>
        <v>49.38</v>
      </c>
      <c r="K2748" s="16" t="str">
        <f t="array" ref="K2748">_xlfn.XLOOKUP(C2748,Clientes[ID_Cliente],Clientes[Provincia])</f>
        <v>Buenos Aires</v>
      </c>
      <c r="L2748" s="16" t="str">
        <f t="array" ref="L2748">CONCATENATE(_xlfn.XLOOKUP(C2748,Clientes[ID_Cliente],Clientes[Provincia]),", Argentina")</f>
        <v>Buenos Aires, Argentina</v>
      </c>
      <c r="M2748" s="20" t="str">
        <f t="array" ref="M2748">_xlfn.XLOOKUP(F2748,Metodos_De_Pago[ID_Metodo],Metodos_De_Pago[Metodo])</f>
        <v>Efectivo</v>
      </c>
      <c r="N2748" s="20" t="str">
        <f t="shared" si="2"/>
        <v>2024 07</v>
      </c>
    </row>
    <row r="2749" ht="22.5" customHeight="1">
      <c r="A2749" s="12">
        <f>IFERROR(__xludf.DUMMYFUNCTION("""COMPUTED_VALUE"""),975.0)</f>
        <v>975</v>
      </c>
      <c r="B2749" s="13">
        <f>IFERROR(__xludf.DUMMYFUNCTION("""COMPUTED_VALUE"""),45480.0)</f>
        <v>45480</v>
      </c>
      <c r="C2749" s="12">
        <f>IFERROR(__xludf.DUMMYFUNCTION("""COMPUTED_VALUE"""),40.0)</f>
        <v>40</v>
      </c>
      <c r="D2749" s="12">
        <f>IFERROR(__xludf.DUMMYFUNCTION("""COMPUTED_VALUE"""),34.0)</f>
        <v>34</v>
      </c>
      <c r="E2749" s="12">
        <f>IFERROR(__xludf.DUMMYFUNCTION("""COMPUTED_VALUE"""),6.0)</f>
        <v>6</v>
      </c>
      <c r="F2749" s="12">
        <f>IFERROR(__xludf.DUMMYFUNCTION("""COMPUTED_VALUE"""),4.0)</f>
        <v>4</v>
      </c>
      <c r="G2749" s="15" t="str">
        <f>IFERROR(__xludf.DUMMYFUNCTION("""COMPUTED_VALUE"""),"Completa")</f>
        <v>Completa</v>
      </c>
      <c r="H2749" s="16" t="str">
        <f t="array" ref="H2749">_xlfn.XLOOKUP(D2749,Productos[ID_Producto],Productos[Nombre_Producto])</f>
        <v>Maníes</v>
      </c>
      <c r="I2749" s="17">
        <f t="array" ref="I2749">_xlfn.XLOOKUP(D2749,Productos[ID_Producto],Productos[Precio_Unitario])</f>
        <v>5.45</v>
      </c>
      <c r="J2749" s="17">
        <f t="shared" si="1"/>
        <v>32.7</v>
      </c>
      <c r="K2749" s="16" t="str">
        <f t="array" ref="K2749">_xlfn.XLOOKUP(C2749,Clientes[ID_Cliente],Clientes[Provincia])</f>
        <v>San Luis</v>
      </c>
      <c r="L2749" s="16" t="str">
        <f t="array" ref="L2749">CONCATENATE(_xlfn.XLOOKUP(C2749,Clientes[ID_Cliente],Clientes[Provincia]),", Argentina")</f>
        <v>San Luis, Argentina</v>
      </c>
      <c r="M2749" s="20" t="str">
        <f t="array" ref="M2749">_xlfn.XLOOKUP(F2749,Metodos_De_Pago[ID_Metodo],Metodos_De_Pago[Metodo])</f>
        <v>Mercado Pago</v>
      </c>
      <c r="N2749" s="20" t="str">
        <f t="shared" si="2"/>
        <v>2024 07</v>
      </c>
    </row>
    <row r="2750" ht="22.5" customHeight="1">
      <c r="A2750" s="12">
        <f>IFERROR(__xludf.DUMMYFUNCTION("""COMPUTED_VALUE"""),981.0)</f>
        <v>981</v>
      </c>
      <c r="B2750" s="13">
        <f>IFERROR(__xludf.DUMMYFUNCTION("""COMPUTED_VALUE"""),45480.0)</f>
        <v>45480</v>
      </c>
      <c r="C2750" s="12">
        <f>IFERROR(__xludf.DUMMYFUNCTION("""COMPUTED_VALUE"""),33.0)</f>
        <v>33</v>
      </c>
      <c r="D2750" s="12">
        <f>IFERROR(__xludf.DUMMYFUNCTION("""COMPUTED_VALUE"""),17.0)</f>
        <v>17</v>
      </c>
      <c r="E2750" s="12">
        <f>IFERROR(__xludf.DUMMYFUNCTION("""COMPUTED_VALUE"""),6.0)</f>
        <v>6</v>
      </c>
      <c r="F2750" s="12">
        <f>IFERROR(__xludf.DUMMYFUNCTION("""COMPUTED_VALUE"""),5.0)</f>
        <v>5</v>
      </c>
      <c r="G2750" s="15" t="str">
        <f>IFERROR(__xludf.DUMMYFUNCTION("""COMPUTED_VALUE"""),"Completa")</f>
        <v>Completa</v>
      </c>
      <c r="H2750" s="16" t="str">
        <f t="array" ref="H2750">_xlfn.XLOOKUP(D2750,Productos[ID_Producto],Productos[Nombre_Producto])</f>
        <v>Manzanas</v>
      </c>
      <c r="I2750" s="17">
        <f t="array" ref="I2750">_xlfn.XLOOKUP(D2750,Productos[ID_Producto],Productos[Precio_Unitario])</f>
        <v>6.54</v>
      </c>
      <c r="J2750" s="17">
        <f t="shared" si="1"/>
        <v>39.24</v>
      </c>
      <c r="K2750" s="16" t="str">
        <f t="array" ref="K2750">_xlfn.XLOOKUP(C2750,Clientes[ID_Cliente],Clientes[Provincia])</f>
        <v>Chaco</v>
      </c>
      <c r="L2750" s="16" t="str">
        <f t="array" ref="L2750">CONCATENATE(_xlfn.XLOOKUP(C2750,Clientes[ID_Cliente],Clientes[Provincia]),", Argentina")</f>
        <v>Chaco, Argentina</v>
      </c>
      <c r="M2750" s="20" t="str">
        <f t="array" ref="M2750">_xlfn.XLOOKUP(F2750,Metodos_De_Pago[ID_Metodo],Metodos_De_Pago[Metodo])</f>
        <v>Transferencia</v>
      </c>
      <c r="N2750" s="20" t="str">
        <f t="shared" si="2"/>
        <v>2024 07</v>
      </c>
    </row>
    <row r="2751" ht="22.5" customHeight="1">
      <c r="A2751" s="12">
        <f>IFERROR(__xludf.DUMMYFUNCTION("""COMPUTED_VALUE"""),2958.0)</f>
        <v>2958</v>
      </c>
      <c r="B2751" s="13">
        <f>IFERROR(__xludf.DUMMYFUNCTION("""COMPUTED_VALUE"""),45480.0)</f>
        <v>45480</v>
      </c>
      <c r="C2751" s="12">
        <f>IFERROR(__xludf.DUMMYFUNCTION("""COMPUTED_VALUE"""),142.0)</f>
        <v>142</v>
      </c>
      <c r="D2751" s="12">
        <f>IFERROR(__xludf.DUMMYFUNCTION("""COMPUTED_VALUE"""),12.0)</f>
        <v>12</v>
      </c>
      <c r="E2751" s="12">
        <f>IFERROR(__xludf.DUMMYFUNCTION("""COMPUTED_VALUE"""),6.0)</f>
        <v>6</v>
      </c>
      <c r="F2751" s="12">
        <f>IFERROR(__xludf.DUMMYFUNCTION("""COMPUTED_VALUE"""),5.0)</f>
        <v>5</v>
      </c>
      <c r="G2751" s="15" t="str">
        <f>IFERROR(__xludf.DUMMYFUNCTION("""COMPUTED_VALUE"""),"Completa")</f>
        <v>Completa</v>
      </c>
      <c r="H2751" s="16" t="str">
        <f t="array" ref="H2751">_xlfn.XLOOKUP(D2751,Productos[ID_Producto],Productos[Nombre_Producto])</f>
        <v>Pan francés</v>
      </c>
      <c r="I2751" s="17">
        <f t="array" ref="I2751">_xlfn.XLOOKUP(D2751,Productos[ID_Producto],Productos[Precio_Unitario])</f>
        <v>8.12</v>
      </c>
      <c r="J2751" s="17">
        <f t="shared" si="1"/>
        <v>48.72</v>
      </c>
      <c r="K2751" s="16" t="str">
        <f t="array" ref="K2751">_xlfn.XLOOKUP(C2751,Clientes[ID_Cliente],Clientes[Provincia])</f>
        <v>San Luis</v>
      </c>
      <c r="L2751" s="16" t="str">
        <f t="array" ref="L2751">CONCATENATE(_xlfn.XLOOKUP(C2751,Clientes[ID_Cliente],Clientes[Provincia]),", Argentina")</f>
        <v>San Luis, Argentina</v>
      </c>
      <c r="M2751" s="20" t="str">
        <f t="array" ref="M2751">_xlfn.XLOOKUP(F2751,Metodos_De_Pago[ID_Metodo],Metodos_De_Pago[Metodo])</f>
        <v>Transferencia</v>
      </c>
      <c r="N2751" s="20" t="str">
        <f t="shared" si="2"/>
        <v>2024 07</v>
      </c>
    </row>
    <row r="2752" ht="22.5" customHeight="1">
      <c r="A2752" s="12">
        <f>IFERROR(__xludf.DUMMYFUNCTION("""COMPUTED_VALUE"""),1944.0)</f>
        <v>1944</v>
      </c>
      <c r="B2752" s="13">
        <f>IFERROR(__xludf.DUMMYFUNCTION("""COMPUTED_VALUE"""),45481.0)</f>
        <v>45481</v>
      </c>
      <c r="C2752" s="12">
        <f>IFERROR(__xludf.DUMMYFUNCTION("""COMPUTED_VALUE"""),130.0)</f>
        <v>130</v>
      </c>
      <c r="D2752" s="12">
        <f>IFERROR(__xludf.DUMMYFUNCTION("""COMPUTED_VALUE"""),1.0)</f>
        <v>1</v>
      </c>
      <c r="E2752" s="12">
        <f>IFERROR(__xludf.DUMMYFUNCTION("""COMPUTED_VALUE"""),6.0)</f>
        <v>6</v>
      </c>
      <c r="F2752" s="12">
        <f>IFERROR(__xludf.DUMMYFUNCTION("""COMPUTED_VALUE"""),5.0)</f>
        <v>5</v>
      </c>
      <c r="G2752" s="15" t="str">
        <f>IFERROR(__xludf.DUMMYFUNCTION("""COMPUTED_VALUE"""),"Completa")</f>
        <v>Completa</v>
      </c>
      <c r="H2752" s="16" t="str">
        <f t="array" ref="H2752">_xlfn.XLOOKUP(D2752,Productos[ID_Producto],Productos[Nombre_Producto])</f>
        <v>Leche</v>
      </c>
      <c r="I2752" s="17">
        <f t="array" ref="I2752">_xlfn.XLOOKUP(D2752,Productos[ID_Producto],Productos[Precio_Unitario])</f>
        <v>12.24</v>
      </c>
      <c r="J2752" s="17">
        <f t="shared" si="1"/>
        <v>73.44</v>
      </c>
      <c r="K2752" s="16" t="str">
        <f t="array" ref="K2752">_xlfn.XLOOKUP(C2752,Clientes[ID_Cliente],Clientes[Provincia])</f>
        <v>Buenos Aires</v>
      </c>
      <c r="L2752" s="16" t="str">
        <f t="array" ref="L2752">CONCATENATE(_xlfn.XLOOKUP(C2752,Clientes[ID_Cliente],Clientes[Provincia]),", Argentina")</f>
        <v>Buenos Aires, Argentina</v>
      </c>
      <c r="M2752" s="20" t="str">
        <f t="array" ref="M2752">_xlfn.XLOOKUP(F2752,Metodos_De_Pago[ID_Metodo],Metodos_De_Pago[Metodo])</f>
        <v>Transferencia</v>
      </c>
      <c r="N2752" s="20" t="str">
        <f t="shared" si="2"/>
        <v>2024 07</v>
      </c>
    </row>
    <row r="2753" ht="22.5" customHeight="1">
      <c r="A2753" s="12">
        <f>IFERROR(__xludf.DUMMYFUNCTION("""COMPUTED_VALUE"""),1103.0)</f>
        <v>1103</v>
      </c>
      <c r="B2753" s="13">
        <f>IFERROR(__xludf.DUMMYFUNCTION("""COMPUTED_VALUE"""),45482.0)</f>
        <v>45482</v>
      </c>
      <c r="C2753" s="12">
        <f>IFERROR(__xludf.DUMMYFUNCTION("""COMPUTED_VALUE"""),10.0)</f>
        <v>10</v>
      </c>
      <c r="D2753" s="12">
        <f>IFERROR(__xludf.DUMMYFUNCTION("""COMPUTED_VALUE"""),34.0)</f>
        <v>34</v>
      </c>
      <c r="E2753" s="12">
        <f>IFERROR(__xludf.DUMMYFUNCTION("""COMPUTED_VALUE"""),6.0)</f>
        <v>6</v>
      </c>
      <c r="F2753" s="12">
        <f>IFERROR(__xludf.DUMMYFUNCTION("""COMPUTED_VALUE"""),5.0)</f>
        <v>5</v>
      </c>
      <c r="G2753" s="15" t="str">
        <f>IFERROR(__xludf.DUMMYFUNCTION("""COMPUTED_VALUE"""),"Completa")</f>
        <v>Completa</v>
      </c>
      <c r="H2753" s="16" t="str">
        <f t="array" ref="H2753">_xlfn.XLOOKUP(D2753,Productos[ID_Producto],Productos[Nombre_Producto])</f>
        <v>Maníes</v>
      </c>
      <c r="I2753" s="17">
        <f t="array" ref="I2753">_xlfn.XLOOKUP(D2753,Productos[ID_Producto],Productos[Precio_Unitario])</f>
        <v>5.45</v>
      </c>
      <c r="J2753" s="17">
        <f t="shared" si="1"/>
        <v>32.7</v>
      </c>
      <c r="K2753" s="16" t="str">
        <f t="array" ref="K2753">_xlfn.XLOOKUP(C2753,Clientes[ID_Cliente],Clientes[Provincia])</f>
        <v>Buenos Aires</v>
      </c>
      <c r="L2753" s="16" t="str">
        <f t="array" ref="L2753">CONCATENATE(_xlfn.XLOOKUP(C2753,Clientes[ID_Cliente],Clientes[Provincia]),", Argentina")</f>
        <v>Buenos Aires, Argentina</v>
      </c>
      <c r="M2753" s="20" t="str">
        <f t="array" ref="M2753">_xlfn.XLOOKUP(F2753,Metodos_De_Pago[ID_Metodo],Metodos_De_Pago[Metodo])</f>
        <v>Transferencia</v>
      </c>
      <c r="N2753" s="20" t="str">
        <f t="shared" si="2"/>
        <v>2024 07</v>
      </c>
    </row>
    <row r="2754" ht="22.5" customHeight="1">
      <c r="A2754" s="12">
        <f>IFERROR(__xludf.DUMMYFUNCTION("""COMPUTED_VALUE"""),1176.0)</f>
        <v>1176</v>
      </c>
      <c r="B2754" s="13">
        <f>IFERROR(__xludf.DUMMYFUNCTION("""COMPUTED_VALUE"""),45482.0)</f>
        <v>45482</v>
      </c>
      <c r="C2754" s="12">
        <f>IFERROR(__xludf.DUMMYFUNCTION("""COMPUTED_VALUE"""),253.0)</f>
        <v>253</v>
      </c>
      <c r="D2754" s="12">
        <f>IFERROR(__xludf.DUMMYFUNCTION("""COMPUTED_VALUE"""),34.0)</f>
        <v>34</v>
      </c>
      <c r="E2754" s="12">
        <f>IFERROR(__xludf.DUMMYFUNCTION("""COMPUTED_VALUE"""),6.0)</f>
        <v>6</v>
      </c>
      <c r="F2754" s="12">
        <f>IFERROR(__xludf.DUMMYFUNCTION("""COMPUTED_VALUE"""),5.0)</f>
        <v>5</v>
      </c>
      <c r="G2754" s="15" t="str">
        <f>IFERROR(__xludf.DUMMYFUNCTION("""COMPUTED_VALUE"""),"Completa")</f>
        <v>Completa</v>
      </c>
      <c r="H2754" s="16" t="str">
        <f t="array" ref="H2754">_xlfn.XLOOKUP(D2754,Productos[ID_Producto],Productos[Nombre_Producto])</f>
        <v>Maníes</v>
      </c>
      <c r="I2754" s="17">
        <f t="array" ref="I2754">_xlfn.XLOOKUP(D2754,Productos[ID_Producto],Productos[Precio_Unitario])</f>
        <v>5.45</v>
      </c>
      <c r="J2754" s="17">
        <f t="shared" si="1"/>
        <v>32.7</v>
      </c>
      <c r="K2754" s="16" t="str">
        <f t="array" ref="K2754">_xlfn.XLOOKUP(C2754,Clientes[ID_Cliente],Clientes[Provincia])</f>
        <v>Buenos Aires</v>
      </c>
      <c r="L2754" s="16" t="str">
        <f t="array" ref="L2754">CONCATENATE(_xlfn.XLOOKUP(C2754,Clientes[ID_Cliente],Clientes[Provincia]),", Argentina")</f>
        <v>Buenos Aires, Argentina</v>
      </c>
      <c r="M2754" s="20" t="str">
        <f t="array" ref="M2754">_xlfn.XLOOKUP(F2754,Metodos_De_Pago[ID_Metodo],Metodos_De_Pago[Metodo])</f>
        <v>Transferencia</v>
      </c>
      <c r="N2754" s="20" t="str">
        <f t="shared" si="2"/>
        <v>2024 07</v>
      </c>
    </row>
    <row r="2755" ht="22.5" customHeight="1">
      <c r="A2755" s="12">
        <f>IFERROR(__xludf.DUMMYFUNCTION("""COMPUTED_VALUE"""),1729.0)</f>
        <v>1729</v>
      </c>
      <c r="B2755" s="13">
        <f>IFERROR(__xludf.DUMMYFUNCTION("""COMPUTED_VALUE"""),45485.0)</f>
        <v>45485</v>
      </c>
      <c r="C2755" s="12">
        <f>IFERROR(__xludf.DUMMYFUNCTION("""COMPUTED_VALUE"""),118.0)</f>
        <v>118</v>
      </c>
      <c r="D2755" s="12">
        <f>IFERROR(__xludf.DUMMYFUNCTION("""COMPUTED_VALUE"""),33.0)</f>
        <v>33</v>
      </c>
      <c r="E2755" s="12">
        <f>IFERROR(__xludf.DUMMYFUNCTION("""COMPUTED_VALUE"""),6.0)</f>
        <v>6</v>
      </c>
      <c r="F2755" s="12">
        <f>IFERROR(__xludf.DUMMYFUNCTION("""COMPUTED_VALUE"""),4.0)</f>
        <v>4</v>
      </c>
      <c r="G2755" s="15" t="str">
        <f>IFERROR(__xludf.DUMMYFUNCTION("""COMPUTED_VALUE"""),"Completa")</f>
        <v>Completa</v>
      </c>
      <c r="H2755" s="16" t="str">
        <f t="array" ref="H2755">_xlfn.XLOOKUP(D2755,Productos[ID_Producto],Productos[Nombre_Producto])</f>
        <v>Papas chips</v>
      </c>
      <c r="I2755" s="17">
        <f t="array" ref="I2755">_xlfn.XLOOKUP(D2755,Productos[ID_Producto],Productos[Precio_Unitario])</f>
        <v>8.54</v>
      </c>
      <c r="J2755" s="17">
        <f t="shared" si="1"/>
        <v>51.24</v>
      </c>
      <c r="K2755" s="16" t="str">
        <f t="array" ref="K2755">_xlfn.XLOOKUP(C2755,Clientes[ID_Cliente],Clientes[Provincia])</f>
        <v>Córdoba</v>
      </c>
      <c r="L2755" s="16" t="str">
        <f t="array" ref="L2755">CONCATENATE(_xlfn.XLOOKUP(C2755,Clientes[ID_Cliente],Clientes[Provincia]),", Argentina")</f>
        <v>Córdoba, Argentina</v>
      </c>
      <c r="M2755" s="20" t="str">
        <f t="array" ref="M2755">_xlfn.XLOOKUP(F2755,Metodos_De_Pago[ID_Metodo],Metodos_De_Pago[Metodo])</f>
        <v>Mercado Pago</v>
      </c>
      <c r="N2755" s="20" t="str">
        <f t="shared" si="2"/>
        <v>2024 07</v>
      </c>
    </row>
    <row r="2756" ht="22.5" customHeight="1">
      <c r="A2756" s="12">
        <f>IFERROR(__xludf.DUMMYFUNCTION("""COMPUTED_VALUE"""),143.0)</f>
        <v>143</v>
      </c>
      <c r="B2756" s="13">
        <f>IFERROR(__xludf.DUMMYFUNCTION("""COMPUTED_VALUE"""),45486.0)</f>
        <v>45486</v>
      </c>
      <c r="C2756" s="12">
        <f>IFERROR(__xludf.DUMMYFUNCTION("""COMPUTED_VALUE"""),184.0)</f>
        <v>184</v>
      </c>
      <c r="D2756" s="12">
        <f>IFERROR(__xludf.DUMMYFUNCTION("""COMPUTED_VALUE"""),31.0)</f>
        <v>31</v>
      </c>
      <c r="E2756" s="12">
        <f>IFERROR(__xludf.DUMMYFUNCTION("""COMPUTED_VALUE"""),6.0)</f>
        <v>6</v>
      </c>
      <c r="F2756" s="12">
        <f>IFERROR(__xludf.DUMMYFUNCTION("""COMPUTED_VALUE"""),2.0)</f>
        <v>2</v>
      </c>
      <c r="G2756" s="15" t="str">
        <f>IFERROR(__xludf.DUMMYFUNCTION("""COMPUTED_VALUE"""),"Completa")</f>
        <v>Completa</v>
      </c>
      <c r="H2756" s="16" t="str">
        <f t="array" ref="H2756">_xlfn.XLOOKUP(D2756,Productos[ID_Producto],Productos[Nombre_Producto])</f>
        <v>Galletitas de agua</v>
      </c>
      <c r="I2756" s="17">
        <f t="array" ref="I2756">_xlfn.XLOOKUP(D2756,Productos[ID_Producto],Productos[Precio_Unitario])</f>
        <v>5.24</v>
      </c>
      <c r="J2756" s="17">
        <f t="shared" si="1"/>
        <v>31.44</v>
      </c>
      <c r="K2756" s="16" t="str">
        <f t="array" ref="K2756">_xlfn.XLOOKUP(C2756,Clientes[ID_Cliente],Clientes[Provincia])</f>
        <v>Buenos Aires</v>
      </c>
      <c r="L2756" s="16" t="str">
        <f t="array" ref="L2756">CONCATENATE(_xlfn.XLOOKUP(C2756,Clientes[ID_Cliente],Clientes[Provincia]),", Argentina")</f>
        <v>Buenos Aires, Argentina</v>
      </c>
      <c r="M2756" s="20" t="str">
        <f t="array" ref="M2756">_xlfn.XLOOKUP(F2756,Metodos_De_Pago[ID_Metodo],Metodos_De_Pago[Metodo])</f>
        <v>Tarjeta de Crédito</v>
      </c>
      <c r="N2756" s="20" t="str">
        <f t="shared" si="2"/>
        <v>2024 07</v>
      </c>
    </row>
    <row r="2757" ht="22.5" customHeight="1">
      <c r="A2757" s="12">
        <f>IFERROR(__xludf.DUMMYFUNCTION("""COMPUTED_VALUE"""),776.0)</f>
        <v>776</v>
      </c>
      <c r="B2757" s="13">
        <f>IFERROR(__xludf.DUMMYFUNCTION("""COMPUTED_VALUE"""),45486.0)</f>
        <v>45486</v>
      </c>
      <c r="C2757" s="12">
        <f>IFERROR(__xludf.DUMMYFUNCTION("""COMPUTED_VALUE"""),175.0)</f>
        <v>175</v>
      </c>
      <c r="D2757" s="12">
        <f>IFERROR(__xludf.DUMMYFUNCTION("""COMPUTED_VALUE"""),6.0)</f>
        <v>6</v>
      </c>
      <c r="E2757" s="12">
        <f>IFERROR(__xludf.DUMMYFUNCTION("""COMPUTED_VALUE"""),6.0)</f>
        <v>6</v>
      </c>
      <c r="F2757" s="12">
        <f>IFERROR(__xludf.DUMMYFUNCTION("""COMPUTED_VALUE"""),4.0)</f>
        <v>4</v>
      </c>
      <c r="G2757" s="15" t="str">
        <f>IFERROR(__xludf.DUMMYFUNCTION("""COMPUTED_VALUE"""),"Completa")</f>
        <v>Completa</v>
      </c>
      <c r="H2757" s="16" t="str">
        <f t="array" ref="H2757">_xlfn.XLOOKUP(D2757,Productos[ID_Producto],Productos[Nombre_Producto])</f>
        <v>Asado</v>
      </c>
      <c r="I2757" s="17">
        <f t="array" ref="I2757">_xlfn.XLOOKUP(D2757,Productos[ID_Producto],Productos[Precio_Unitario])</f>
        <v>28.56</v>
      </c>
      <c r="J2757" s="17">
        <f t="shared" si="1"/>
        <v>171.36</v>
      </c>
      <c r="K2757" s="16" t="str">
        <f t="array" ref="K2757">_xlfn.XLOOKUP(C2757,Clientes[ID_Cliente],Clientes[Provincia])</f>
        <v>Buenos Aires</v>
      </c>
      <c r="L2757" s="16" t="str">
        <f t="array" ref="L2757">CONCATENATE(_xlfn.XLOOKUP(C2757,Clientes[ID_Cliente],Clientes[Provincia]),", Argentina")</f>
        <v>Buenos Aires, Argentina</v>
      </c>
      <c r="M2757" s="20" t="str">
        <f t="array" ref="M2757">_xlfn.XLOOKUP(F2757,Metodos_De_Pago[ID_Metodo],Metodos_De_Pago[Metodo])</f>
        <v>Mercado Pago</v>
      </c>
      <c r="N2757" s="20" t="str">
        <f t="shared" si="2"/>
        <v>2024 07</v>
      </c>
    </row>
    <row r="2758" ht="22.5" customHeight="1">
      <c r="A2758" s="12">
        <f>IFERROR(__xludf.DUMMYFUNCTION("""COMPUTED_VALUE"""),2342.0)</f>
        <v>2342</v>
      </c>
      <c r="B2758" s="13">
        <f>IFERROR(__xludf.DUMMYFUNCTION("""COMPUTED_VALUE"""),45487.0)</f>
        <v>45487</v>
      </c>
      <c r="C2758" s="12">
        <f>IFERROR(__xludf.DUMMYFUNCTION("""COMPUTED_VALUE"""),180.0)</f>
        <v>180</v>
      </c>
      <c r="D2758" s="12">
        <f>IFERROR(__xludf.DUMMYFUNCTION("""COMPUTED_VALUE"""),22.0)</f>
        <v>22</v>
      </c>
      <c r="E2758" s="12">
        <f>IFERROR(__xludf.DUMMYFUNCTION("""COMPUTED_VALUE"""),6.0)</f>
        <v>6</v>
      </c>
      <c r="F2758" s="12">
        <f>IFERROR(__xludf.DUMMYFUNCTION("""COMPUTED_VALUE"""),4.0)</f>
        <v>4</v>
      </c>
      <c r="G2758" s="15" t="str">
        <f>IFERROR(__xludf.DUMMYFUNCTION("""COMPUTED_VALUE"""),"Completa")</f>
        <v>Completa</v>
      </c>
      <c r="H2758" s="16" t="str">
        <f t="array" ref="H2758">_xlfn.XLOOKUP(D2758,Productos[ID_Producto],Productos[Nombre_Producto])</f>
        <v>Cebolla</v>
      </c>
      <c r="I2758" s="17">
        <f t="array" ref="I2758">_xlfn.XLOOKUP(D2758,Productos[ID_Producto],Productos[Precio_Unitario])</f>
        <v>4.21</v>
      </c>
      <c r="J2758" s="17">
        <f t="shared" si="1"/>
        <v>25.26</v>
      </c>
      <c r="K2758" s="16" t="str">
        <f t="array" ref="K2758">_xlfn.XLOOKUP(C2758,Clientes[ID_Cliente],Clientes[Provincia])</f>
        <v>Buenos Aires</v>
      </c>
      <c r="L2758" s="16" t="str">
        <f t="array" ref="L2758">CONCATENATE(_xlfn.XLOOKUP(C2758,Clientes[ID_Cliente],Clientes[Provincia]),", Argentina")</f>
        <v>Buenos Aires, Argentina</v>
      </c>
      <c r="M2758" s="20" t="str">
        <f t="array" ref="M2758">_xlfn.XLOOKUP(F2758,Metodos_De_Pago[ID_Metodo],Metodos_De_Pago[Metodo])</f>
        <v>Mercado Pago</v>
      </c>
      <c r="N2758" s="20" t="str">
        <f t="shared" si="2"/>
        <v>2024 07</v>
      </c>
    </row>
    <row r="2759" ht="22.5" customHeight="1">
      <c r="A2759" s="12">
        <f>IFERROR(__xludf.DUMMYFUNCTION("""COMPUTED_VALUE"""),548.0)</f>
        <v>548</v>
      </c>
      <c r="B2759" s="13">
        <f>IFERROR(__xludf.DUMMYFUNCTION("""COMPUTED_VALUE"""),45488.0)</f>
        <v>45488</v>
      </c>
      <c r="C2759" s="12">
        <f>IFERROR(__xludf.DUMMYFUNCTION("""COMPUTED_VALUE"""),229.0)</f>
        <v>229</v>
      </c>
      <c r="D2759" s="12">
        <f>IFERROR(__xludf.DUMMYFUNCTION("""COMPUTED_VALUE"""),30.0)</f>
        <v>30</v>
      </c>
      <c r="E2759" s="12">
        <f>IFERROR(__xludf.DUMMYFUNCTION("""COMPUTED_VALUE"""),6.0)</f>
        <v>6</v>
      </c>
      <c r="F2759" s="12">
        <f>IFERROR(__xludf.DUMMYFUNCTION("""COMPUTED_VALUE"""),5.0)</f>
        <v>5</v>
      </c>
      <c r="G2759" s="15" t="str">
        <f>IFERROR(__xludf.DUMMYFUNCTION("""COMPUTED_VALUE"""),"Pendiente")</f>
        <v>Pendiente</v>
      </c>
      <c r="H2759" s="16" t="str">
        <f t="array" ref="H2759">_xlfn.XLOOKUP(D2759,Productos[ID_Producto],Productos[Nombre_Producto])</f>
        <v>Vino tinto</v>
      </c>
      <c r="I2759" s="17">
        <f t="array" ref="I2759">_xlfn.XLOOKUP(D2759,Productos[ID_Producto],Productos[Precio_Unitario])</f>
        <v>13.54</v>
      </c>
      <c r="J2759" s="17">
        <f t="shared" si="1"/>
        <v>81.24</v>
      </c>
      <c r="K2759" s="16" t="str">
        <f t="array" ref="K2759">_xlfn.XLOOKUP(C2759,Clientes[ID_Cliente],Clientes[Provincia])</f>
        <v>San Luis</v>
      </c>
      <c r="L2759" s="16" t="str">
        <f t="array" ref="L2759">CONCATENATE(_xlfn.XLOOKUP(C2759,Clientes[ID_Cliente],Clientes[Provincia]),", Argentina")</f>
        <v>San Luis, Argentina</v>
      </c>
      <c r="M2759" s="20" t="str">
        <f t="array" ref="M2759">_xlfn.XLOOKUP(F2759,Metodos_De_Pago[ID_Metodo],Metodos_De_Pago[Metodo])</f>
        <v>Transferencia</v>
      </c>
      <c r="N2759" s="20" t="str">
        <f t="shared" si="2"/>
        <v>2024 07</v>
      </c>
    </row>
    <row r="2760" ht="22.5" customHeight="1">
      <c r="A2760" s="12">
        <f>IFERROR(__xludf.DUMMYFUNCTION("""COMPUTED_VALUE"""),648.0)</f>
        <v>648</v>
      </c>
      <c r="B2760" s="13">
        <f>IFERROR(__xludf.DUMMYFUNCTION("""COMPUTED_VALUE"""),45489.0)</f>
        <v>45489</v>
      </c>
      <c r="C2760" s="12">
        <f>IFERROR(__xludf.DUMMYFUNCTION("""COMPUTED_VALUE"""),198.0)</f>
        <v>198</v>
      </c>
      <c r="D2760" s="12">
        <f>IFERROR(__xludf.DUMMYFUNCTION("""COMPUTED_VALUE"""),35.0)</f>
        <v>35</v>
      </c>
      <c r="E2760" s="12">
        <f>IFERROR(__xludf.DUMMYFUNCTION("""COMPUTED_VALUE"""),6.0)</f>
        <v>6</v>
      </c>
      <c r="F2760" s="12">
        <f>IFERROR(__xludf.DUMMYFUNCTION("""COMPUTED_VALUE"""),1.0)</f>
        <v>1</v>
      </c>
      <c r="G2760" s="15" t="str">
        <f>IFERROR(__xludf.DUMMYFUNCTION("""COMPUTED_VALUE"""),"Pendiente")</f>
        <v>Pendiente</v>
      </c>
      <c r="H2760" s="16" t="str">
        <f t="array" ref="H2760">_xlfn.XLOOKUP(D2760,Productos[ID_Producto],Productos[Nombre_Producto])</f>
        <v>Arroz</v>
      </c>
      <c r="I2760" s="17">
        <f t="array" ref="I2760">_xlfn.XLOOKUP(D2760,Productos[ID_Producto],Productos[Precio_Unitario])</f>
        <v>4.25</v>
      </c>
      <c r="J2760" s="17">
        <f t="shared" si="1"/>
        <v>25.5</v>
      </c>
      <c r="K2760" s="16" t="str">
        <f t="array" ref="K2760">_xlfn.XLOOKUP(C2760,Clientes[ID_Cliente],Clientes[Provincia])</f>
        <v>Salta</v>
      </c>
      <c r="L2760" s="16" t="str">
        <f t="array" ref="L2760">CONCATENATE(_xlfn.XLOOKUP(C2760,Clientes[ID_Cliente],Clientes[Provincia]),", Argentina")</f>
        <v>Salta, Argentina</v>
      </c>
      <c r="M2760" s="20" t="str">
        <f t="array" ref="M2760">_xlfn.XLOOKUP(F2760,Metodos_De_Pago[ID_Metodo],Metodos_De_Pago[Metodo])</f>
        <v>Efectivo</v>
      </c>
      <c r="N2760" s="20" t="str">
        <f t="shared" si="2"/>
        <v>2024 07</v>
      </c>
    </row>
    <row r="2761" ht="22.5" customHeight="1">
      <c r="A2761" s="12">
        <f>IFERROR(__xludf.DUMMYFUNCTION("""COMPUTED_VALUE"""),2133.0)</f>
        <v>2133</v>
      </c>
      <c r="B2761" s="13">
        <f>IFERROR(__xludf.DUMMYFUNCTION("""COMPUTED_VALUE"""),45490.0)</f>
        <v>45490</v>
      </c>
      <c r="C2761" s="12">
        <f>IFERROR(__xludf.DUMMYFUNCTION("""COMPUTED_VALUE"""),92.0)</f>
        <v>92</v>
      </c>
      <c r="D2761" s="12">
        <f>IFERROR(__xludf.DUMMYFUNCTION("""COMPUTED_VALUE"""),13.0)</f>
        <v>13</v>
      </c>
      <c r="E2761" s="12">
        <f>IFERROR(__xludf.DUMMYFUNCTION("""COMPUTED_VALUE"""),6.0)</f>
        <v>6</v>
      </c>
      <c r="F2761" s="12">
        <f>IFERROR(__xludf.DUMMYFUNCTION("""COMPUTED_VALUE"""),3.0)</f>
        <v>3</v>
      </c>
      <c r="G2761" s="15" t="str">
        <f>IFERROR(__xludf.DUMMYFUNCTION("""COMPUTED_VALUE"""),"Completa")</f>
        <v>Completa</v>
      </c>
      <c r="H2761" s="16" t="str">
        <f t="array" ref="H2761">_xlfn.XLOOKUP(D2761,Productos[ID_Producto],Productos[Nombre_Producto])</f>
        <v>Pan integral</v>
      </c>
      <c r="I2761" s="17">
        <f t="array" ref="I2761">_xlfn.XLOOKUP(D2761,Productos[ID_Producto],Productos[Precio_Unitario])</f>
        <v>12.56</v>
      </c>
      <c r="J2761" s="17">
        <f t="shared" si="1"/>
        <v>75.36</v>
      </c>
      <c r="K2761" s="16" t="str">
        <f t="array" ref="K2761">_xlfn.XLOOKUP(C2761,Clientes[ID_Cliente],Clientes[Provincia])</f>
        <v>Neuquén</v>
      </c>
      <c r="L2761" s="16" t="str">
        <f t="array" ref="L2761">CONCATENATE(_xlfn.XLOOKUP(C2761,Clientes[ID_Cliente],Clientes[Provincia]),", Argentina")</f>
        <v>Neuquén, Argentina</v>
      </c>
      <c r="M2761" s="20" t="str">
        <f t="array" ref="M2761">_xlfn.XLOOKUP(F2761,Metodos_De_Pago[ID_Metodo],Metodos_De_Pago[Metodo])</f>
        <v>Tarjeta de Débito</v>
      </c>
      <c r="N2761" s="20" t="str">
        <f t="shared" si="2"/>
        <v>2024 07</v>
      </c>
    </row>
    <row r="2762" ht="22.5" customHeight="1">
      <c r="A2762" s="12">
        <f>IFERROR(__xludf.DUMMYFUNCTION("""COMPUTED_VALUE"""),2139.0)</f>
        <v>2139</v>
      </c>
      <c r="B2762" s="13">
        <f>IFERROR(__xludf.DUMMYFUNCTION("""COMPUTED_VALUE"""),45490.0)</f>
        <v>45490</v>
      </c>
      <c r="C2762" s="12">
        <f>IFERROR(__xludf.DUMMYFUNCTION("""COMPUTED_VALUE"""),234.0)</f>
        <v>234</v>
      </c>
      <c r="D2762" s="12">
        <f>IFERROR(__xludf.DUMMYFUNCTION("""COMPUTED_VALUE"""),18.0)</f>
        <v>18</v>
      </c>
      <c r="E2762" s="12">
        <f>IFERROR(__xludf.DUMMYFUNCTION("""COMPUTED_VALUE"""),6.0)</f>
        <v>6</v>
      </c>
      <c r="F2762" s="12">
        <f>IFERROR(__xludf.DUMMYFUNCTION("""COMPUTED_VALUE"""),4.0)</f>
        <v>4</v>
      </c>
      <c r="G2762" s="15" t="str">
        <f>IFERROR(__xludf.DUMMYFUNCTION("""COMPUTED_VALUE"""),"Completa")</f>
        <v>Completa</v>
      </c>
      <c r="H2762" s="16" t="str">
        <f t="array" ref="H2762">_xlfn.XLOOKUP(D2762,Productos[ID_Producto],Productos[Nombre_Producto])</f>
        <v>Bananas</v>
      </c>
      <c r="I2762" s="17">
        <f t="array" ref="I2762">_xlfn.XLOOKUP(D2762,Productos[ID_Producto],Productos[Precio_Unitario])</f>
        <v>7.25</v>
      </c>
      <c r="J2762" s="17">
        <f t="shared" si="1"/>
        <v>43.5</v>
      </c>
      <c r="K2762" s="16" t="str">
        <f t="array" ref="K2762">_xlfn.XLOOKUP(C2762,Clientes[ID_Cliente],Clientes[Provincia])</f>
        <v>Buenos Aires</v>
      </c>
      <c r="L2762" s="16" t="str">
        <f t="array" ref="L2762">CONCATENATE(_xlfn.XLOOKUP(C2762,Clientes[ID_Cliente],Clientes[Provincia]),", Argentina")</f>
        <v>Buenos Aires, Argentina</v>
      </c>
      <c r="M2762" s="20" t="str">
        <f t="array" ref="M2762">_xlfn.XLOOKUP(F2762,Metodos_De_Pago[ID_Metodo],Metodos_De_Pago[Metodo])</f>
        <v>Mercado Pago</v>
      </c>
      <c r="N2762" s="20" t="str">
        <f t="shared" si="2"/>
        <v>2024 07</v>
      </c>
    </row>
    <row r="2763" ht="22.5" customHeight="1">
      <c r="A2763" s="12">
        <f>IFERROR(__xludf.DUMMYFUNCTION("""COMPUTED_VALUE"""),2321.0)</f>
        <v>2321</v>
      </c>
      <c r="B2763" s="13">
        <f>IFERROR(__xludf.DUMMYFUNCTION("""COMPUTED_VALUE"""),45490.0)</f>
        <v>45490</v>
      </c>
      <c r="C2763" s="12">
        <f>IFERROR(__xludf.DUMMYFUNCTION("""COMPUTED_VALUE"""),34.0)</f>
        <v>34</v>
      </c>
      <c r="D2763" s="12">
        <f>IFERROR(__xludf.DUMMYFUNCTION("""COMPUTED_VALUE"""),20.0)</f>
        <v>20</v>
      </c>
      <c r="E2763" s="12">
        <f>IFERROR(__xludf.DUMMYFUNCTION("""COMPUTED_VALUE"""),6.0)</f>
        <v>6</v>
      </c>
      <c r="F2763" s="12">
        <f>IFERROR(__xludf.DUMMYFUNCTION("""COMPUTED_VALUE"""),4.0)</f>
        <v>4</v>
      </c>
      <c r="G2763" s="15" t="str">
        <f>IFERROR(__xludf.DUMMYFUNCTION("""COMPUTED_VALUE"""),"Completa")</f>
        <v>Completa</v>
      </c>
      <c r="H2763" s="16" t="str">
        <f t="array" ref="H2763">_xlfn.XLOOKUP(D2763,Productos[ID_Producto],Productos[Nombre_Producto])</f>
        <v>Lechugas</v>
      </c>
      <c r="I2763" s="17">
        <f t="array" ref="I2763">_xlfn.XLOOKUP(D2763,Productos[ID_Producto],Productos[Precio_Unitario])</f>
        <v>4.25</v>
      </c>
      <c r="J2763" s="17">
        <f t="shared" si="1"/>
        <v>25.5</v>
      </c>
      <c r="K2763" s="16" t="str">
        <f t="array" ref="K2763">_xlfn.XLOOKUP(C2763,Clientes[ID_Cliente],Clientes[Provincia])</f>
        <v>San Luis</v>
      </c>
      <c r="L2763" s="16" t="str">
        <f t="array" ref="L2763">CONCATENATE(_xlfn.XLOOKUP(C2763,Clientes[ID_Cliente],Clientes[Provincia]),", Argentina")</f>
        <v>San Luis, Argentina</v>
      </c>
      <c r="M2763" s="20" t="str">
        <f t="array" ref="M2763">_xlfn.XLOOKUP(F2763,Metodos_De_Pago[ID_Metodo],Metodos_De_Pago[Metodo])</f>
        <v>Mercado Pago</v>
      </c>
      <c r="N2763" s="20" t="str">
        <f t="shared" si="2"/>
        <v>2024 07</v>
      </c>
    </row>
    <row r="2764" ht="22.5" customHeight="1">
      <c r="A2764" s="12">
        <f>IFERROR(__xludf.DUMMYFUNCTION("""COMPUTED_VALUE"""),489.0)</f>
        <v>489</v>
      </c>
      <c r="B2764" s="13">
        <f>IFERROR(__xludf.DUMMYFUNCTION("""COMPUTED_VALUE"""),45491.0)</f>
        <v>45491</v>
      </c>
      <c r="C2764" s="12">
        <f>IFERROR(__xludf.DUMMYFUNCTION("""COMPUTED_VALUE"""),152.0)</f>
        <v>152</v>
      </c>
      <c r="D2764" s="12">
        <f>IFERROR(__xludf.DUMMYFUNCTION("""COMPUTED_VALUE"""),27.0)</f>
        <v>27</v>
      </c>
      <c r="E2764" s="12">
        <f>IFERROR(__xludf.DUMMYFUNCTION("""COMPUTED_VALUE"""),6.0)</f>
        <v>6</v>
      </c>
      <c r="F2764" s="12">
        <f>IFERROR(__xludf.DUMMYFUNCTION("""COMPUTED_VALUE"""),5.0)</f>
        <v>5</v>
      </c>
      <c r="G2764" s="15" t="str">
        <f>IFERROR(__xludf.DUMMYFUNCTION("""COMPUTED_VALUE"""),"Completa")</f>
        <v>Completa</v>
      </c>
      <c r="H2764" s="16" t="str">
        <f t="array" ref="H2764">_xlfn.XLOOKUP(D2764,Productos[ID_Producto],Productos[Nombre_Producto])</f>
        <v>Agua mineral</v>
      </c>
      <c r="I2764" s="17">
        <f t="array" ref="I2764">_xlfn.XLOOKUP(D2764,Productos[ID_Producto],Productos[Precio_Unitario])</f>
        <v>6.21</v>
      </c>
      <c r="J2764" s="17">
        <f t="shared" si="1"/>
        <v>37.26</v>
      </c>
      <c r="K2764" s="16" t="str">
        <f t="array" ref="K2764">_xlfn.XLOOKUP(C2764,Clientes[ID_Cliente],Clientes[Provincia])</f>
        <v>Salta</v>
      </c>
      <c r="L2764" s="16" t="str">
        <f t="array" ref="L2764">CONCATENATE(_xlfn.XLOOKUP(C2764,Clientes[ID_Cliente],Clientes[Provincia]),", Argentina")</f>
        <v>Salta, Argentina</v>
      </c>
      <c r="M2764" s="20" t="str">
        <f t="array" ref="M2764">_xlfn.XLOOKUP(F2764,Metodos_De_Pago[ID_Metodo],Metodos_De_Pago[Metodo])</f>
        <v>Transferencia</v>
      </c>
      <c r="N2764" s="20" t="str">
        <f t="shared" si="2"/>
        <v>2024 07</v>
      </c>
    </row>
    <row r="2765" ht="22.5" customHeight="1">
      <c r="A2765" s="12">
        <f>IFERROR(__xludf.DUMMYFUNCTION("""COMPUTED_VALUE"""),1216.0)</f>
        <v>1216</v>
      </c>
      <c r="B2765" s="13">
        <f>IFERROR(__xludf.DUMMYFUNCTION("""COMPUTED_VALUE"""),45491.0)</f>
        <v>45491</v>
      </c>
      <c r="C2765" s="12">
        <f>IFERROR(__xludf.DUMMYFUNCTION("""COMPUTED_VALUE"""),123.0)</f>
        <v>123</v>
      </c>
      <c r="D2765" s="12">
        <f>IFERROR(__xludf.DUMMYFUNCTION("""COMPUTED_VALUE"""),23.0)</f>
        <v>23</v>
      </c>
      <c r="E2765" s="12">
        <f>IFERROR(__xludf.DUMMYFUNCTION("""COMPUTED_VALUE"""),6.0)</f>
        <v>6</v>
      </c>
      <c r="F2765" s="12">
        <f>IFERROR(__xludf.DUMMYFUNCTION("""COMPUTED_VALUE"""),3.0)</f>
        <v>3</v>
      </c>
      <c r="G2765" s="15" t="str">
        <f>IFERROR(__xludf.DUMMYFUNCTION("""COMPUTED_VALUE"""),"Completa")</f>
        <v>Completa</v>
      </c>
      <c r="H2765" s="16" t="str">
        <f t="array" ref="H2765">_xlfn.XLOOKUP(D2765,Productos[ID_Producto],Productos[Nombre_Producto])</f>
        <v>Papas fritas</v>
      </c>
      <c r="I2765" s="17">
        <f t="array" ref="I2765">_xlfn.XLOOKUP(D2765,Productos[ID_Producto],Productos[Precio_Unitario])</f>
        <v>8.23</v>
      </c>
      <c r="J2765" s="17">
        <f t="shared" si="1"/>
        <v>49.38</v>
      </c>
      <c r="K2765" s="16" t="str">
        <f t="array" ref="K2765">_xlfn.XLOOKUP(C2765,Clientes[ID_Cliente],Clientes[Provincia])</f>
        <v>Neuquén</v>
      </c>
      <c r="L2765" s="16" t="str">
        <f t="array" ref="L2765">CONCATENATE(_xlfn.XLOOKUP(C2765,Clientes[ID_Cliente],Clientes[Provincia]),", Argentina")</f>
        <v>Neuquén, Argentina</v>
      </c>
      <c r="M2765" s="20" t="str">
        <f t="array" ref="M2765">_xlfn.XLOOKUP(F2765,Metodos_De_Pago[ID_Metodo],Metodos_De_Pago[Metodo])</f>
        <v>Tarjeta de Débito</v>
      </c>
      <c r="N2765" s="20" t="str">
        <f t="shared" si="2"/>
        <v>2024 07</v>
      </c>
    </row>
    <row r="2766" ht="22.5" customHeight="1">
      <c r="A2766" s="12">
        <f>IFERROR(__xludf.DUMMYFUNCTION("""COMPUTED_VALUE"""),148.0)</f>
        <v>148</v>
      </c>
      <c r="B2766" s="13">
        <f>IFERROR(__xludf.DUMMYFUNCTION("""COMPUTED_VALUE"""),45492.0)</f>
        <v>45492</v>
      </c>
      <c r="C2766" s="12">
        <f>IFERROR(__xludf.DUMMYFUNCTION("""COMPUTED_VALUE"""),50.0)</f>
        <v>50</v>
      </c>
      <c r="D2766" s="12">
        <f>IFERROR(__xludf.DUMMYFUNCTION("""COMPUTED_VALUE"""),9.0)</f>
        <v>9</v>
      </c>
      <c r="E2766" s="12">
        <f>IFERROR(__xludf.DUMMYFUNCTION("""COMPUTED_VALUE"""),6.0)</f>
        <v>6</v>
      </c>
      <c r="F2766" s="12">
        <f>IFERROR(__xludf.DUMMYFUNCTION("""COMPUTED_VALUE"""),2.0)</f>
        <v>2</v>
      </c>
      <c r="G2766" s="15" t="str">
        <f>IFERROR(__xludf.DUMMYFUNCTION("""COMPUTED_VALUE"""),"Completa")</f>
        <v>Completa</v>
      </c>
      <c r="H2766" s="16" t="str">
        <f t="array" ref="H2766">_xlfn.XLOOKUP(D2766,Productos[ID_Producto],Productos[Nombre_Producto])</f>
        <v>Pollo</v>
      </c>
      <c r="I2766" s="17">
        <f t="array" ref="I2766">_xlfn.XLOOKUP(D2766,Productos[ID_Producto],Productos[Precio_Unitario])</f>
        <v>18.56</v>
      </c>
      <c r="J2766" s="17">
        <f t="shared" si="1"/>
        <v>111.36</v>
      </c>
      <c r="K2766" s="16" t="str">
        <f t="array" ref="K2766">_xlfn.XLOOKUP(C2766,Clientes[ID_Cliente],Clientes[Provincia])</f>
        <v>Buenos Aires</v>
      </c>
      <c r="L2766" s="16" t="str">
        <f t="array" ref="L2766">CONCATENATE(_xlfn.XLOOKUP(C2766,Clientes[ID_Cliente],Clientes[Provincia]),", Argentina")</f>
        <v>Buenos Aires, Argentina</v>
      </c>
      <c r="M2766" s="20" t="str">
        <f t="array" ref="M2766">_xlfn.XLOOKUP(F2766,Metodos_De_Pago[ID_Metodo],Metodos_De_Pago[Metodo])</f>
        <v>Tarjeta de Crédito</v>
      </c>
      <c r="N2766" s="20" t="str">
        <f t="shared" si="2"/>
        <v>2024 07</v>
      </c>
    </row>
    <row r="2767" ht="22.5" customHeight="1">
      <c r="A2767" s="12">
        <f>IFERROR(__xludf.DUMMYFUNCTION("""COMPUTED_VALUE"""),2811.0)</f>
        <v>2811</v>
      </c>
      <c r="B2767" s="13">
        <f>IFERROR(__xludf.DUMMYFUNCTION("""COMPUTED_VALUE"""),45492.0)</f>
        <v>45492</v>
      </c>
      <c r="C2767" s="12">
        <f>IFERROR(__xludf.DUMMYFUNCTION("""COMPUTED_VALUE"""),253.0)</f>
        <v>253</v>
      </c>
      <c r="D2767" s="12">
        <f>IFERROR(__xludf.DUMMYFUNCTION("""COMPUTED_VALUE"""),26.0)</f>
        <v>26</v>
      </c>
      <c r="E2767" s="12">
        <f>IFERROR(__xludf.DUMMYFUNCTION("""COMPUTED_VALUE"""),6.0)</f>
        <v>6</v>
      </c>
      <c r="F2767" s="12">
        <f>IFERROR(__xludf.DUMMYFUNCTION("""COMPUTED_VALUE"""),5.0)</f>
        <v>5</v>
      </c>
      <c r="G2767" s="15" t="str">
        <f>IFERROR(__xludf.DUMMYFUNCTION("""COMPUTED_VALUE"""),"Completa")</f>
        <v>Completa</v>
      </c>
      <c r="H2767" s="16" t="str">
        <f t="array" ref="H2767">_xlfn.XLOOKUP(D2767,Productos[ID_Producto],Productos[Nombre_Producto])</f>
        <v>Hamburgesas congeladas</v>
      </c>
      <c r="I2767" s="17">
        <f t="array" ref="I2767">_xlfn.XLOOKUP(D2767,Productos[ID_Producto],Productos[Precio_Unitario])</f>
        <v>9.54</v>
      </c>
      <c r="J2767" s="17">
        <f t="shared" si="1"/>
        <v>57.24</v>
      </c>
      <c r="K2767" s="16" t="str">
        <f t="array" ref="K2767">_xlfn.XLOOKUP(C2767,Clientes[ID_Cliente],Clientes[Provincia])</f>
        <v>Buenos Aires</v>
      </c>
      <c r="L2767" s="16" t="str">
        <f t="array" ref="L2767">CONCATENATE(_xlfn.XLOOKUP(C2767,Clientes[ID_Cliente],Clientes[Provincia]),", Argentina")</f>
        <v>Buenos Aires, Argentina</v>
      </c>
      <c r="M2767" s="20" t="str">
        <f t="array" ref="M2767">_xlfn.XLOOKUP(F2767,Metodos_De_Pago[ID_Metodo],Metodos_De_Pago[Metodo])</f>
        <v>Transferencia</v>
      </c>
      <c r="N2767" s="20" t="str">
        <f t="shared" si="2"/>
        <v>2024 07</v>
      </c>
    </row>
    <row r="2768" ht="22.5" customHeight="1">
      <c r="A2768" s="12">
        <f>IFERROR(__xludf.DUMMYFUNCTION("""COMPUTED_VALUE"""),1885.0)</f>
        <v>1885</v>
      </c>
      <c r="B2768" s="13">
        <f>IFERROR(__xludf.DUMMYFUNCTION("""COMPUTED_VALUE"""),45494.0)</f>
        <v>45494</v>
      </c>
      <c r="C2768" s="12">
        <f>IFERROR(__xludf.DUMMYFUNCTION("""COMPUTED_VALUE"""),219.0)</f>
        <v>219</v>
      </c>
      <c r="D2768" s="12">
        <f>IFERROR(__xludf.DUMMYFUNCTION("""COMPUTED_VALUE"""),17.0)</f>
        <v>17</v>
      </c>
      <c r="E2768" s="12">
        <f>IFERROR(__xludf.DUMMYFUNCTION("""COMPUTED_VALUE"""),6.0)</f>
        <v>6</v>
      </c>
      <c r="F2768" s="12">
        <f>IFERROR(__xludf.DUMMYFUNCTION("""COMPUTED_VALUE"""),4.0)</f>
        <v>4</v>
      </c>
      <c r="G2768" s="15" t="str">
        <f>IFERROR(__xludf.DUMMYFUNCTION("""COMPUTED_VALUE"""),"Completa")</f>
        <v>Completa</v>
      </c>
      <c r="H2768" s="16" t="str">
        <f t="array" ref="H2768">_xlfn.XLOOKUP(D2768,Productos[ID_Producto],Productos[Nombre_Producto])</f>
        <v>Manzanas</v>
      </c>
      <c r="I2768" s="17">
        <f t="array" ref="I2768">_xlfn.XLOOKUP(D2768,Productos[ID_Producto],Productos[Precio_Unitario])</f>
        <v>6.54</v>
      </c>
      <c r="J2768" s="17">
        <f t="shared" si="1"/>
        <v>39.24</v>
      </c>
      <c r="K2768" s="16" t="str">
        <f t="array" ref="K2768">_xlfn.XLOOKUP(C2768,Clientes[ID_Cliente],Clientes[Provincia])</f>
        <v>Neuquén</v>
      </c>
      <c r="L2768" s="16" t="str">
        <f t="array" ref="L2768">CONCATENATE(_xlfn.XLOOKUP(C2768,Clientes[ID_Cliente],Clientes[Provincia]),", Argentina")</f>
        <v>Neuquén, Argentina</v>
      </c>
      <c r="M2768" s="20" t="str">
        <f t="array" ref="M2768">_xlfn.XLOOKUP(F2768,Metodos_De_Pago[ID_Metodo],Metodos_De_Pago[Metodo])</f>
        <v>Mercado Pago</v>
      </c>
      <c r="N2768" s="20" t="str">
        <f t="shared" si="2"/>
        <v>2024 07</v>
      </c>
    </row>
    <row r="2769" ht="22.5" customHeight="1">
      <c r="A2769" s="12">
        <f>IFERROR(__xludf.DUMMYFUNCTION("""COMPUTED_VALUE"""),291.0)</f>
        <v>291</v>
      </c>
      <c r="B2769" s="13">
        <f>IFERROR(__xludf.DUMMYFUNCTION("""COMPUTED_VALUE"""),45495.0)</f>
        <v>45495</v>
      </c>
      <c r="C2769" s="12">
        <f>IFERROR(__xludf.DUMMYFUNCTION("""COMPUTED_VALUE"""),79.0)</f>
        <v>79</v>
      </c>
      <c r="D2769" s="12">
        <f>IFERROR(__xludf.DUMMYFUNCTION("""COMPUTED_VALUE"""),37.0)</f>
        <v>37</v>
      </c>
      <c r="E2769" s="12">
        <f>IFERROR(__xludf.DUMMYFUNCTION("""COMPUTED_VALUE"""),6.0)</f>
        <v>6</v>
      </c>
      <c r="F2769" s="12">
        <f>IFERROR(__xludf.DUMMYFUNCTION("""COMPUTED_VALUE"""),3.0)</f>
        <v>3</v>
      </c>
      <c r="G2769" s="15" t="str">
        <f>IFERROR(__xludf.DUMMYFUNCTION("""COMPUTED_VALUE"""),"Completa")</f>
        <v>Completa</v>
      </c>
      <c r="H2769" s="16" t="str">
        <f t="array" ref="H2769">_xlfn.XLOOKUP(D2769,Productos[ID_Producto],Productos[Nombre_Producto])</f>
        <v>Garbanzos</v>
      </c>
      <c r="I2769" s="17">
        <f t="array" ref="I2769">_xlfn.XLOOKUP(D2769,Productos[ID_Producto],Productos[Precio_Unitario])</f>
        <v>3.65</v>
      </c>
      <c r="J2769" s="17">
        <f t="shared" si="1"/>
        <v>21.9</v>
      </c>
      <c r="K2769" s="16" t="str">
        <f t="array" ref="K2769">_xlfn.XLOOKUP(C2769,Clientes[ID_Cliente],Clientes[Provincia])</f>
        <v>Neuquén</v>
      </c>
      <c r="L2769" s="16" t="str">
        <f t="array" ref="L2769">CONCATENATE(_xlfn.XLOOKUP(C2769,Clientes[ID_Cliente],Clientes[Provincia]),", Argentina")</f>
        <v>Neuquén, Argentina</v>
      </c>
      <c r="M2769" s="20" t="str">
        <f t="array" ref="M2769">_xlfn.XLOOKUP(F2769,Metodos_De_Pago[ID_Metodo],Metodos_De_Pago[Metodo])</f>
        <v>Tarjeta de Débito</v>
      </c>
      <c r="N2769" s="20" t="str">
        <f t="shared" si="2"/>
        <v>2024 07</v>
      </c>
    </row>
    <row r="2770" ht="22.5" customHeight="1">
      <c r="A2770" s="12">
        <f>IFERROR(__xludf.DUMMYFUNCTION("""COMPUTED_VALUE"""),1641.0)</f>
        <v>1641</v>
      </c>
      <c r="B2770" s="13">
        <f>IFERROR(__xludf.DUMMYFUNCTION("""COMPUTED_VALUE"""),45495.0)</f>
        <v>45495</v>
      </c>
      <c r="C2770" s="12">
        <f>IFERROR(__xludf.DUMMYFUNCTION("""COMPUTED_VALUE"""),319.0)</f>
        <v>319</v>
      </c>
      <c r="D2770" s="12">
        <f>IFERROR(__xludf.DUMMYFUNCTION("""COMPUTED_VALUE"""),29.0)</f>
        <v>29</v>
      </c>
      <c r="E2770" s="12">
        <f>IFERROR(__xludf.DUMMYFUNCTION("""COMPUTED_VALUE"""),6.0)</f>
        <v>6</v>
      </c>
      <c r="F2770" s="12">
        <f>IFERROR(__xludf.DUMMYFUNCTION("""COMPUTED_VALUE"""),4.0)</f>
        <v>4</v>
      </c>
      <c r="G2770" s="15" t="str">
        <f>IFERROR(__xludf.DUMMYFUNCTION("""COMPUTED_VALUE"""),"Pendiente")</f>
        <v>Pendiente</v>
      </c>
      <c r="H2770" s="16" t="str">
        <f t="array" ref="H2770">_xlfn.XLOOKUP(D2770,Productos[ID_Producto],Productos[Nombre_Producto])</f>
        <v>Cerveza</v>
      </c>
      <c r="I2770" s="17">
        <f t="array" ref="I2770">_xlfn.XLOOKUP(D2770,Productos[ID_Producto],Productos[Precio_Unitario])</f>
        <v>11.54</v>
      </c>
      <c r="J2770" s="17">
        <f t="shared" si="1"/>
        <v>69.24</v>
      </c>
      <c r="K2770" s="16" t="str">
        <f t="array" ref="K2770">_xlfn.XLOOKUP(C2770,Clientes[ID_Cliente],Clientes[Provincia])</f>
        <v>Neuquén</v>
      </c>
      <c r="L2770" s="16" t="str">
        <f t="array" ref="L2770">CONCATENATE(_xlfn.XLOOKUP(C2770,Clientes[ID_Cliente],Clientes[Provincia]),", Argentina")</f>
        <v>Neuquén, Argentina</v>
      </c>
      <c r="M2770" s="20" t="str">
        <f t="array" ref="M2770">_xlfn.XLOOKUP(F2770,Metodos_De_Pago[ID_Metodo],Metodos_De_Pago[Metodo])</f>
        <v>Mercado Pago</v>
      </c>
      <c r="N2770" s="20" t="str">
        <f t="shared" si="2"/>
        <v>2024 07</v>
      </c>
    </row>
    <row r="2771" ht="22.5" customHeight="1">
      <c r="A2771" s="12">
        <f>IFERROR(__xludf.DUMMYFUNCTION("""COMPUTED_VALUE"""),2440.0)</f>
        <v>2440</v>
      </c>
      <c r="B2771" s="13">
        <f>IFERROR(__xludf.DUMMYFUNCTION("""COMPUTED_VALUE"""),45495.0)</f>
        <v>45495</v>
      </c>
      <c r="C2771" s="12">
        <f>IFERROR(__xludf.DUMMYFUNCTION("""COMPUTED_VALUE"""),21.0)</f>
        <v>21</v>
      </c>
      <c r="D2771" s="12">
        <f>IFERROR(__xludf.DUMMYFUNCTION("""COMPUTED_VALUE"""),35.0)</f>
        <v>35</v>
      </c>
      <c r="E2771" s="12">
        <f>IFERROR(__xludf.DUMMYFUNCTION("""COMPUTED_VALUE"""),6.0)</f>
        <v>6</v>
      </c>
      <c r="F2771" s="12">
        <f>IFERROR(__xludf.DUMMYFUNCTION("""COMPUTED_VALUE"""),4.0)</f>
        <v>4</v>
      </c>
      <c r="G2771" s="15" t="str">
        <f>IFERROR(__xludf.DUMMYFUNCTION("""COMPUTED_VALUE"""),"Completa")</f>
        <v>Completa</v>
      </c>
      <c r="H2771" s="16" t="str">
        <f t="array" ref="H2771">_xlfn.XLOOKUP(D2771,Productos[ID_Producto],Productos[Nombre_Producto])</f>
        <v>Arroz</v>
      </c>
      <c r="I2771" s="17">
        <f t="array" ref="I2771">_xlfn.XLOOKUP(D2771,Productos[ID_Producto],Productos[Precio_Unitario])</f>
        <v>4.25</v>
      </c>
      <c r="J2771" s="17">
        <f t="shared" si="1"/>
        <v>25.5</v>
      </c>
      <c r="K2771" s="16" t="str">
        <f t="array" ref="K2771">_xlfn.XLOOKUP(C2771,Clientes[ID_Cliente],Clientes[Provincia])</f>
        <v>Buenos Aires</v>
      </c>
      <c r="L2771" s="16" t="str">
        <f t="array" ref="L2771">CONCATENATE(_xlfn.XLOOKUP(C2771,Clientes[ID_Cliente],Clientes[Provincia]),", Argentina")</f>
        <v>Buenos Aires, Argentina</v>
      </c>
      <c r="M2771" s="20" t="str">
        <f t="array" ref="M2771">_xlfn.XLOOKUP(F2771,Metodos_De_Pago[ID_Metodo],Metodos_De_Pago[Metodo])</f>
        <v>Mercado Pago</v>
      </c>
      <c r="N2771" s="20" t="str">
        <f t="shared" si="2"/>
        <v>2024 07</v>
      </c>
    </row>
    <row r="2772" ht="22.5" customHeight="1">
      <c r="A2772" s="12">
        <f>IFERROR(__xludf.DUMMYFUNCTION("""COMPUTED_VALUE"""),1145.0)</f>
        <v>1145</v>
      </c>
      <c r="B2772" s="13">
        <f>IFERROR(__xludf.DUMMYFUNCTION("""COMPUTED_VALUE"""),45496.0)</f>
        <v>45496</v>
      </c>
      <c r="C2772" s="12">
        <f>IFERROR(__xludf.DUMMYFUNCTION("""COMPUTED_VALUE"""),90.0)</f>
        <v>90</v>
      </c>
      <c r="D2772" s="12">
        <f>IFERROR(__xludf.DUMMYFUNCTION("""COMPUTED_VALUE"""),25.0)</f>
        <v>25</v>
      </c>
      <c r="E2772" s="12">
        <f>IFERROR(__xludf.DUMMYFUNCTION("""COMPUTED_VALUE"""),6.0)</f>
        <v>6</v>
      </c>
      <c r="F2772" s="12">
        <f>IFERROR(__xludf.DUMMYFUNCTION("""COMPUTED_VALUE"""),2.0)</f>
        <v>2</v>
      </c>
      <c r="G2772" s="15" t="str">
        <f>IFERROR(__xludf.DUMMYFUNCTION("""COMPUTED_VALUE"""),"Completa")</f>
        <v>Completa</v>
      </c>
      <c r="H2772" s="16" t="str">
        <f t="array" ref="H2772">_xlfn.XLOOKUP(D2772,Productos[ID_Producto],Productos[Nombre_Producto])</f>
        <v>Pizza congelada</v>
      </c>
      <c r="I2772" s="17">
        <f t="array" ref="I2772">_xlfn.XLOOKUP(D2772,Productos[ID_Producto],Productos[Precio_Unitario])</f>
        <v>15.45</v>
      </c>
      <c r="J2772" s="17">
        <f t="shared" si="1"/>
        <v>92.7</v>
      </c>
      <c r="K2772" s="16" t="str">
        <f t="array" ref="K2772">_xlfn.XLOOKUP(C2772,Clientes[ID_Cliente],Clientes[Provincia])</f>
        <v>Buenos Aires</v>
      </c>
      <c r="L2772" s="16" t="str">
        <f t="array" ref="L2772">CONCATENATE(_xlfn.XLOOKUP(C2772,Clientes[ID_Cliente],Clientes[Provincia]),", Argentina")</f>
        <v>Buenos Aires, Argentina</v>
      </c>
      <c r="M2772" s="20" t="str">
        <f t="array" ref="M2772">_xlfn.XLOOKUP(F2772,Metodos_De_Pago[ID_Metodo],Metodos_De_Pago[Metodo])</f>
        <v>Tarjeta de Crédito</v>
      </c>
      <c r="N2772" s="20" t="str">
        <f t="shared" si="2"/>
        <v>2024 07</v>
      </c>
    </row>
    <row r="2773" ht="22.5" customHeight="1">
      <c r="A2773" s="12">
        <f>IFERROR(__xludf.DUMMYFUNCTION("""COMPUTED_VALUE"""),2927.0)</f>
        <v>2927</v>
      </c>
      <c r="B2773" s="13">
        <f>IFERROR(__xludf.DUMMYFUNCTION("""COMPUTED_VALUE"""),45496.0)</f>
        <v>45496</v>
      </c>
      <c r="C2773" s="12">
        <f>IFERROR(__xludf.DUMMYFUNCTION("""COMPUTED_VALUE"""),270.0)</f>
        <v>270</v>
      </c>
      <c r="D2773" s="12">
        <f>IFERROR(__xludf.DUMMYFUNCTION("""COMPUTED_VALUE"""),13.0)</f>
        <v>13</v>
      </c>
      <c r="E2773" s="12">
        <f>IFERROR(__xludf.DUMMYFUNCTION("""COMPUTED_VALUE"""),6.0)</f>
        <v>6</v>
      </c>
      <c r="F2773" s="12">
        <f>IFERROR(__xludf.DUMMYFUNCTION("""COMPUTED_VALUE"""),4.0)</f>
        <v>4</v>
      </c>
      <c r="G2773" s="15" t="str">
        <f>IFERROR(__xludf.DUMMYFUNCTION("""COMPUTED_VALUE"""),"Completa")</f>
        <v>Completa</v>
      </c>
      <c r="H2773" s="16" t="str">
        <f t="array" ref="H2773">_xlfn.XLOOKUP(D2773,Productos[ID_Producto],Productos[Nombre_Producto])</f>
        <v>Pan integral</v>
      </c>
      <c r="I2773" s="17">
        <f t="array" ref="I2773">_xlfn.XLOOKUP(D2773,Productos[ID_Producto],Productos[Precio_Unitario])</f>
        <v>12.56</v>
      </c>
      <c r="J2773" s="17">
        <f t="shared" si="1"/>
        <v>75.36</v>
      </c>
      <c r="K2773" s="16" t="str">
        <f t="array" ref="K2773">_xlfn.XLOOKUP(C2773,Clientes[ID_Cliente],Clientes[Provincia])</f>
        <v>San Luis</v>
      </c>
      <c r="L2773" s="16" t="str">
        <f t="array" ref="L2773">CONCATENATE(_xlfn.XLOOKUP(C2773,Clientes[ID_Cliente],Clientes[Provincia]),", Argentina")</f>
        <v>San Luis, Argentina</v>
      </c>
      <c r="M2773" s="20" t="str">
        <f t="array" ref="M2773">_xlfn.XLOOKUP(F2773,Metodos_De_Pago[ID_Metodo],Metodos_De_Pago[Metodo])</f>
        <v>Mercado Pago</v>
      </c>
      <c r="N2773" s="20" t="str">
        <f t="shared" si="2"/>
        <v>2024 07</v>
      </c>
    </row>
    <row r="2774" ht="22.5" customHeight="1">
      <c r="A2774" s="12">
        <f>IFERROR(__xludf.DUMMYFUNCTION("""COMPUTED_VALUE"""),1994.0)</f>
        <v>1994</v>
      </c>
      <c r="B2774" s="13">
        <f>IFERROR(__xludf.DUMMYFUNCTION("""COMPUTED_VALUE"""),45497.0)</f>
        <v>45497</v>
      </c>
      <c r="C2774" s="12">
        <f>IFERROR(__xludf.DUMMYFUNCTION("""COMPUTED_VALUE"""),323.0)</f>
        <v>323</v>
      </c>
      <c r="D2774" s="12">
        <f>IFERROR(__xludf.DUMMYFUNCTION("""COMPUTED_VALUE"""),31.0)</f>
        <v>31</v>
      </c>
      <c r="E2774" s="12">
        <f>IFERROR(__xludf.DUMMYFUNCTION("""COMPUTED_VALUE"""),6.0)</f>
        <v>6</v>
      </c>
      <c r="F2774" s="12">
        <f>IFERROR(__xludf.DUMMYFUNCTION("""COMPUTED_VALUE"""),5.0)</f>
        <v>5</v>
      </c>
      <c r="G2774" s="15" t="str">
        <f>IFERROR(__xludf.DUMMYFUNCTION("""COMPUTED_VALUE"""),"Completa")</f>
        <v>Completa</v>
      </c>
      <c r="H2774" s="16" t="str">
        <f t="array" ref="H2774">_xlfn.XLOOKUP(D2774,Productos[ID_Producto],Productos[Nombre_Producto])</f>
        <v>Galletitas de agua</v>
      </c>
      <c r="I2774" s="17">
        <f t="array" ref="I2774">_xlfn.XLOOKUP(D2774,Productos[ID_Producto],Productos[Precio_Unitario])</f>
        <v>5.24</v>
      </c>
      <c r="J2774" s="17">
        <f t="shared" si="1"/>
        <v>31.44</v>
      </c>
      <c r="K2774" s="16" t="str">
        <f t="array" ref="K2774">_xlfn.XLOOKUP(C2774,Clientes[ID_Cliente],Clientes[Provincia])</f>
        <v>Córdoba</v>
      </c>
      <c r="L2774" s="16" t="str">
        <f t="array" ref="L2774">CONCATENATE(_xlfn.XLOOKUP(C2774,Clientes[ID_Cliente],Clientes[Provincia]),", Argentina")</f>
        <v>Córdoba, Argentina</v>
      </c>
      <c r="M2774" s="20" t="str">
        <f t="array" ref="M2774">_xlfn.XLOOKUP(F2774,Metodos_De_Pago[ID_Metodo],Metodos_De_Pago[Metodo])</f>
        <v>Transferencia</v>
      </c>
      <c r="N2774" s="20" t="str">
        <f t="shared" si="2"/>
        <v>2024 07</v>
      </c>
    </row>
    <row r="2775" ht="22.5" customHeight="1">
      <c r="A2775" s="12">
        <f>IFERROR(__xludf.DUMMYFUNCTION("""COMPUTED_VALUE"""),1255.0)</f>
        <v>1255</v>
      </c>
      <c r="B2775" s="13">
        <f>IFERROR(__xludf.DUMMYFUNCTION("""COMPUTED_VALUE"""),45498.0)</f>
        <v>45498</v>
      </c>
      <c r="C2775" s="12">
        <f>IFERROR(__xludf.DUMMYFUNCTION("""COMPUTED_VALUE"""),25.0)</f>
        <v>25</v>
      </c>
      <c r="D2775" s="12">
        <f>IFERROR(__xludf.DUMMYFUNCTION("""COMPUTED_VALUE"""),35.0)</f>
        <v>35</v>
      </c>
      <c r="E2775" s="12">
        <f>IFERROR(__xludf.DUMMYFUNCTION("""COMPUTED_VALUE"""),6.0)</f>
        <v>6</v>
      </c>
      <c r="F2775" s="12">
        <f>IFERROR(__xludf.DUMMYFUNCTION("""COMPUTED_VALUE"""),4.0)</f>
        <v>4</v>
      </c>
      <c r="G2775" s="15" t="str">
        <f>IFERROR(__xludf.DUMMYFUNCTION("""COMPUTED_VALUE"""),"Pendiente")</f>
        <v>Pendiente</v>
      </c>
      <c r="H2775" s="16" t="str">
        <f t="array" ref="H2775">_xlfn.XLOOKUP(D2775,Productos[ID_Producto],Productos[Nombre_Producto])</f>
        <v>Arroz</v>
      </c>
      <c r="I2775" s="17">
        <f t="array" ref="I2775">_xlfn.XLOOKUP(D2775,Productos[ID_Producto],Productos[Precio_Unitario])</f>
        <v>4.25</v>
      </c>
      <c r="J2775" s="17">
        <f t="shared" si="1"/>
        <v>25.5</v>
      </c>
      <c r="K2775" s="16" t="str">
        <f t="array" ref="K2775">_xlfn.XLOOKUP(C2775,Clientes[ID_Cliente],Clientes[Provincia])</f>
        <v>Neuquén</v>
      </c>
      <c r="L2775" s="16" t="str">
        <f t="array" ref="L2775">CONCATENATE(_xlfn.XLOOKUP(C2775,Clientes[ID_Cliente],Clientes[Provincia]),", Argentina")</f>
        <v>Neuquén, Argentina</v>
      </c>
      <c r="M2775" s="20" t="str">
        <f t="array" ref="M2775">_xlfn.XLOOKUP(F2775,Metodos_De_Pago[ID_Metodo],Metodos_De_Pago[Metodo])</f>
        <v>Mercado Pago</v>
      </c>
      <c r="N2775" s="20" t="str">
        <f t="shared" si="2"/>
        <v>2024 07</v>
      </c>
    </row>
    <row r="2776" ht="22.5" customHeight="1">
      <c r="A2776" s="12">
        <f>IFERROR(__xludf.DUMMYFUNCTION("""COMPUTED_VALUE"""),1580.0)</f>
        <v>1580</v>
      </c>
      <c r="B2776" s="13">
        <f>IFERROR(__xludf.DUMMYFUNCTION("""COMPUTED_VALUE"""),45498.0)</f>
        <v>45498</v>
      </c>
      <c r="C2776" s="12">
        <f>IFERROR(__xludf.DUMMYFUNCTION("""COMPUTED_VALUE"""),209.0)</f>
        <v>209</v>
      </c>
      <c r="D2776" s="12">
        <f>IFERROR(__xludf.DUMMYFUNCTION("""COMPUTED_VALUE"""),9.0)</f>
        <v>9</v>
      </c>
      <c r="E2776" s="12">
        <f>IFERROR(__xludf.DUMMYFUNCTION("""COMPUTED_VALUE"""),6.0)</f>
        <v>6</v>
      </c>
      <c r="F2776" s="12">
        <f>IFERROR(__xludf.DUMMYFUNCTION("""COMPUTED_VALUE"""),3.0)</f>
        <v>3</v>
      </c>
      <c r="G2776" s="15" t="str">
        <f>IFERROR(__xludf.DUMMYFUNCTION("""COMPUTED_VALUE"""),"Completa")</f>
        <v>Completa</v>
      </c>
      <c r="H2776" s="16" t="str">
        <f t="array" ref="H2776">_xlfn.XLOOKUP(D2776,Productos[ID_Producto],Productos[Nombre_Producto])</f>
        <v>Pollo</v>
      </c>
      <c r="I2776" s="17">
        <f t="array" ref="I2776">_xlfn.XLOOKUP(D2776,Productos[ID_Producto],Productos[Precio_Unitario])</f>
        <v>18.56</v>
      </c>
      <c r="J2776" s="17">
        <f t="shared" si="1"/>
        <v>111.36</v>
      </c>
      <c r="K2776" s="16" t="str">
        <f t="array" ref="K2776">_xlfn.XLOOKUP(C2776,Clientes[ID_Cliente],Clientes[Provincia])</f>
        <v>Buenos Aires</v>
      </c>
      <c r="L2776" s="16" t="str">
        <f t="array" ref="L2776">CONCATENATE(_xlfn.XLOOKUP(C2776,Clientes[ID_Cliente],Clientes[Provincia]),", Argentina")</f>
        <v>Buenos Aires, Argentina</v>
      </c>
      <c r="M2776" s="20" t="str">
        <f t="array" ref="M2776">_xlfn.XLOOKUP(F2776,Metodos_De_Pago[ID_Metodo],Metodos_De_Pago[Metodo])</f>
        <v>Tarjeta de Débito</v>
      </c>
      <c r="N2776" s="20" t="str">
        <f t="shared" si="2"/>
        <v>2024 07</v>
      </c>
    </row>
    <row r="2777" ht="22.5" customHeight="1">
      <c r="A2777" s="12">
        <f>IFERROR(__xludf.DUMMYFUNCTION("""COMPUTED_VALUE"""),19.0)</f>
        <v>19</v>
      </c>
      <c r="B2777" s="13">
        <f>IFERROR(__xludf.DUMMYFUNCTION("""COMPUTED_VALUE"""),45499.0)</f>
        <v>45499</v>
      </c>
      <c r="C2777" s="12">
        <f>IFERROR(__xludf.DUMMYFUNCTION("""COMPUTED_VALUE"""),47.0)</f>
        <v>47</v>
      </c>
      <c r="D2777" s="12">
        <f>IFERROR(__xludf.DUMMYFUNCTION("""COMPUTED_VALUE"""),31.0)</f>
        <v>31</v>
      </c>
      <c r="E2777" s="12">
        <f>IFERROR(__xludf.DUMMYFUNCTION("""COMPUTED_VALUE"""),6.0)</f>
        <v>6</v>
      </c>
      <c r="F2777" s="12">
        <f>IFERROR(__xludf.DUMMYFUNCTION("""COMPUTED_VALUE"""),1.0)</f>
        <v>1</v>
      </c>
      <c r="G2777" s="15" t="str">
        <f>IFERROR(__xludf.DUMMYFUNCTION("""COMPUTED_VALUE"""),"Pendiente")</f>
        <v>Pendiente</v>
      </c>
      <c r="H2777" s="16" t="str">
        <f t="array" ref="H2777">_xlfn.XLOOKUP(D2777,Productos[ID_Producto],Productos[Nombre_Producto])</f>
        <v>Galletitas de agua</v>
      </c>
      <c r="I2777" s="17">
        <f t="array" ref="I2777">_xlfn.XLOOKUP(D2777,Productos[ID_Producto],Productos[Precio_Unitario])</f>
        <v>5.24</v>
      </c>
      <c r="J2777" s="17">
        <f t="shared" si="1"/>
        <v>31.44</v>
      </c>
      <c r="K2777" s="16" t="str">
        <f t="array" ref="K2777">_xlfn.XLOOKUP(C2777,Clientes[ID_Cliente],Clientes[Provincia])</f>
        <v>Buenos Aires</v>
      </c>
      <c r="L2777" s="16" t="str">
        <f t="array" ref="L2777">CONCATENATE(_xlfn.XLOOKUP(C2777,Clientes[ID_Cliente],Clientes[Provincia]),", Argentina")</f>
        <v>Buenos Aires, Argentina</v>
      </c>
      <c r="M2777" s="20" t="str">
        <f t="array" ref="M2777">_xlfn.XLOOKUP(F2777,Metodos_De_Pago[ID_Metodo],Metodos_De_Pago[Metodo])</f>
        <v>Efectivo</v>
      </c>
      <c r="N2777" s="20" t="str">
        <f t="shared" si="2"/>
        <v>2024 07</v>
      </c>
    </row>
    <row r="2778" ht="22.5" customHeight="1">
      <c r="A2778" s="12">
        <f>IFERROR(__xludf.DUMMYFUNCTION("""COMPUTED_VALUE"""),1070.0)</f>
        <v>1070</v>
      </c>
      <c r="B2778" s="13">
        <f>IFERROR(__xludf.DUMMYFUNCTION("""COMPUTED_VALUE"""),45499.0)</f>
        <v>45499</v>
      </c>
      <c r="C2778" s="12">
        <f>IFERROR(__xludf.DUMMYFUNCTION("""COMPUTED_VALUE"""),174.0)</f>
        <v>174</v>
      </c>
      <c r="D2778" s="12">
        <f>IFERROR(__xludf.DUMMYFUNCTION("""COMPUTED_VALUE"""),12.0)</f>
        <v>12</v>
      </c>
      <c r="E2778" s="12">
        <f>IFERROR(__xludf.DUMMYFUNCTION("""COMPUTED_VALUE"""),6.0)</f>
        <v>6</v>
      </c>
      <c r="F2778" s="12">
        <f>IFERROR(__xludf.DUMMYFUNCTION("""COMPUTED_VALUE"""),4.0)</f>
        <v>4</v>
      </c>
      <c r="G2778" s="15" t="str">
        <f>IFERROR(__xludf.DUMMYFUNCTION("""COMPUTED_VALUE"""),"Completa")</f>
        <v>Completa</v>
      </c>
      <c r="H2778" s="16" t="str">
        <f t="array" ref="H2778">_xlfn.XLOOKUP(D2778,Productos[ID_Producto],Productos[Nombre_Producto])</f>
        <v>Pan francés</v>
      </c>
      <c r="I2778" s="17">
        <f t="array" ref="I2778">_xlfn.XLOOKUP(D2778,Productos[ID_Producto],Productos[Precio_Unitario])</f>
        <v>8.12</v>
      </c>
      <c r="J2778" s="17">
        <f t="shared" si="1"/>
        <v>48.72</v>
      </c>
      <c r="K2778" s="16" t="str">
        <f t="array" ref="K2778">_xlfn.XLOOKUP(C2778,Clientes[ID_Cliente],Clientes[Provincia])</f>
        <v>Neuquén</v>
      </c>
      <c r="L2778" s="16" t="str">
        <f t="array" ref="L2778">CONCATENATE(_xlfn.XLOOKUP(C2778,Clientes[ID_Cliente],Clientes[Provincia]),", Argentina")</f>
        <v>Neuquén, Argentina</v>
      </c>
      <c r="M2778" s="20" t="str">
        <f t="array" ref="M2778">_xlfn.XLOOKUP(F2778,Metodos_De_Pago[ID_Metodo],Metodos_De_Pago[Metodo])</f>
        <v>Mercado Pago</v>
      </c>
      <c r="N2778" s="20" t="str">
        <f t="shared" si="2"/>
        <v>2024 07</v>
      </c>
    </row>
    <row r="2779" ht="22.5" customHeight="1">
      <c r="A2779" s="12">
        <f>IFERROR(__xludf.DUMMYFUNCTION("""COMPUTED_VALUE"""),1678.0)</f>
        <v>1678</v>
      </c>
      <c r="B2779" s="13">
        <f>IFERROR(__xludf.DUMMYFUNCTION("""COMPUTED_VALUE"""),45499.0)</f>
        <v>45499</v>
      </c>
      <c r="C2779" s="12">
        <f>IFERROR(__xludf.DUMMYFUNCTION("""COMPUTED_VALUE"""),170.0)</f>
        <v>170</v>
      </c>
      <c r="D2779" s="12">
        <f>IFERROR(__xludf.DUMMYFUNCTION("""COMPUTED_VALUE"""),32.0)</f>
        <v>32</v>
      </c>
      <c r="E2779" s="12">
        <f>IFERROR(__xludf.DUMMYFUNCTION("""COMPUTED_VALUE"""),6.0)</f>
        <v>6</v>
      </c>
      <c r="F2779" s="12">
        <f>IFERROR(__xludf.DUMMYFUNCTION("""COMPUTED_VALUE"""),4.0)</f>
        <v>4</v>
      </c>
      <c r="G2779" s="15" t="str">
        <f>IFERROR(__xludf.DUMMYFUNCTION("""COMPUTED_VALUE"""),"Pendiente")</f>
        <v>Pendiente</v>
      </c>
      <c r="H2779" s="16" t="str">
        <f t="array" ref="H2779">_xlfn.XLOOKUP(D2779,Productos[ID_Producto],Productos[Nombre_Producto])</f>
        <v>Galletitas de chocolate</v>
      </c>
      <c r="I2779" s="17">
        <f t="array" ref="I2779">_xlfn.XLOOKUP(D2779,Productos[ID_Producto],Productos[Precio_Unitario])</f>
        <v>6.25</v>
      </c>
      <c r="J2779" s="17">
        <f t="shared" si="1"/>
        <v>37.5</v>
      </c>
      <c r="K2779" s="16" t="str">
        <f t="array" ref="K2779">_xlfn.XLOOKUP(C2779,Clientes[ID_Cliente],Clientes[Provincia])</f>
        <v>Córdoba</v>
      </c>
      <c r="L2779" s="16" t="str">
        <f t="array" ref="L2779">CONCATENATE(_xlfn.XLOOKUP(C2779,Clientes[ID_Cliente],Clientes[Provincia]),", Argentina")</f>
        <v>Córdoba, Argentina</v>
      </c>
      <c r="M2779" s="20" t="str">
        <f t="array" ref="M2779">_xlfn.XLOOKUP(F2779,Metodos_De_Pago[ID_Metodo],Metodos_De_Pago[Metodo])</f>
        <v>Mercado Pago</v>
      </c>
      <c r="N2779" s="20" t="str">
        <f t="shared" si="2"/>
        <v>2024 07</v>
      </c>
    </row>
    <row r="2780" ht="22.5" customHeight="1">
      <c r="A2780" s="12">
        <f>IFERROR(__xludf.DUMMYFUNCTION("""COMPUTED_VALUE"""),2282.0)</f>
        <v>2282</v>
      </c>
      <c r="B2780" s="13">
        <f>IFERROR(__xludf.DUMMYFUNCTION("""COMPUTED_VALUE"""),45500.0)</f>
        <v>45500</v>
      </c>
      <c r="C2780" s="12">
        <f>IFERROR(__xludf.DUMMYFUNCTION("""COMPUTED_VALUE"""),192.0)</f>
        <v>192</v>
      </c>
      <c r="D2780" s="12">
        <f>IFERROR(__xludf.DUMMYFUNCTION("""COMPUTED_VALUE"""),6.0)</f>
        <v>6</v>
      </c>
      <c r="E2780" s="12">
        <f>IFERROR(__xludf.DUMMYFUNCTION("""COMPUTED_VALUE"""),6.0)</f>
        <v>6</v>
      </c>
      <c r="F2780" s="12">
        <f>IFERROR(__xludf.DUMMYFUNCTION("""COMPUTED_VALUE"""),4.0)</f>
        <v>4</v>
      </c>
      <c r="G2780" s="15" t="str">
        <f>IFERROR(__xludf.DUMMYFUNCTION("""COMPUTED_VALUE"""),"Completa")</f>
        <v>Completa</v>
      </c>
      <c r="H2780" s="16" t="str">
        <f t="array" ref="H2780">_xlfn.XLOOKUP(D2780,Productos[ID_Producto],Productos[Nombre_Producto])</f>
        <v>Asado</v>
      </c>
      <c r="I2780" s="17">
        <f t="array" ref="I2780">_xlfn.XLOOKUP(D2780,Productos[ID_Producto],Productos[Precio_Unitario])</f>
        <v>28.56</v>
      </c>
      <c r="J2780" s="17">
        <f t="shared" si="1"/>
        <v>171.36</v>
      </c>
      <c r="K2780" s="16" t="str">
        <f t="array" ref="K2780">_xlfn.XLOOKUP(C2780,Clientes[ID_Cliente],Clientes[Provincia])</f>
        <v>San Luis</v>
      </c>
      <c r="L2780" s="16" t="str">
        <f t="array" ref="L2780">CONCATENATE(_xlfn.XLOOKUP(C2780,Clientes[ID_Cliente],Clientes[Provincia]),", Argentina")</f>
        <v>San Luis, Argentina</v>
      </c>
      <c r="M2780" s="20" t="str">
        <f t="array" ref="M2780">_xlfn.XLOOKUP(F2780,Metodos_De_Pago[ID_Metodo],Metodos_De_Pago[Metodo])</f>
        <v>Mercado Pago</v>
      </c>
      <c r="N2780" s="20" t="str">
        <f t="shared" si="2"/>
        <v>2024 07</v>
      </c>
    </row>
    <row r="2781" ht="22.5" customHeight="1">
      <c r="A2781" s="12">
        <f>IFERROR(__xludf.DUMMYFUNCTION("""COMPUTED_VALUE"""),930.0)</f>
        <v>930</v>
      </c>
      <c r="B2781" s="13">
        <f>IFERROR(__xludf.DUMMYFUNCTION("""COMPUTED_VALUE"""),45503.0)</f>
        <v>45503</v>
      </c>
      <c r="C2781" s="12">
        <f>IFERROR(__xludf.DUMMYFUNCTION("""COMPUTED_VALUE"""),91.0)</f>
        <v>91</v>
      </c>
      <c r="D2781" s="12">
        <f>IFERROR(__xludf.DUMMYFUNCTION("""COMPUTED_VALUE"""),7.0)</f>
        <v>7</v>
      </c>
      <c r="E2781" s="12">
        <f>IFERROR(__xludf.DUMMYFUNCTION("""COMPUTED_VALUE"""),6.0)</f>
        <v>6</v>
      </c>
      <c r="F2781" s="12">
        <f>IFERROR(__xludf.DUMMYFUNCTION("""COMPUTED_VALUE"""),4.0)</f>
        <v>4</v>
      </c>
      <c r="G2781" s="15" t="str">
        <f>IFERROR(__xludf.DUMMYFUNCTION("""COMPUTED_VALUE"""),"Completa")</f>
        <v>Completa</v>
      </c>
      <c r="H2781" s="16" t="str">
        <f t="array" ref="H2781">_xlfn.XLOOKUP(D2781,Productos[ID_Producto],Productos[Nombre_Producto])</f>
        <v>Chorizo</v>
      </c>
      <c r="I2781" s="17">
        <f t="array" ref="I2781">_xlfn.XLOOKUP(D2781,Productos[ID_Producto],Productos[Precio_Unitario])</f>
        <v>11.25</v>
      </c>
      <c r="J2781" s="17">
        <f t="shared" si="1"/>
        <v>67.5</v>
      </c>
      <c r="K2781" s="16" t="str">
        <f t="array" ref="K2781">_xlfn.XLOOKUP(C2781,Clientes[ID_Cliente],Clientes[Provincia])</f>
        <v>Buenos Aires</v>
      </c>
      <c r="L2781" s="16" t="str">
        <f t="array" ref="L2781">CONCATENATE(_xlfn.XLOOKUP(C2781,Clientes[ID_Cliente],Clientes[Provincia]),", Argentina")</f>
        <v>Buenos Aires, Argentina</v>
      </c>
      <c r="M2781" s="20" t="str">
        <f t="array" ref="M2781">_xlfn.XLOOKUP(F2781,Metodos_De_Pago[ID_Metodo],Metodos_De_Pago[Metodo])</f>
        <v>Mercado Pago</v>
      </c>
      <c r="N2781" s="20" t="str">
        <f t="shared" si="2"/>
        <v>2024 07</v>
      </c>
    </row>
    <row r="2782" ht="22.5" customHeight="1">
      <c r="A2782" s="12">
        <f>IFERROR(__xludf.DUMMYFUNCTION("""COMPUTED_VALUE"""),220.0)</f>
        <v>220</v>
      </c>
      <c r="B2782" s="13">
        <f>IFERROR(__xludf.DUMMYFUNCTION("""COMPUTED_VALUE"""),45504.0)</f>
        <v>45504</v>
      </c>
      <c r="C2782" s="12">
        <f>IFERROR(__xludf.DUMMYFUNCTION("""COMPUTED_VALUE"""),156.0)</f>
        <v>156</v>
      </c>
      <c r="D2782" s="12">
        <f>IFERROR(__xludf.DUMMYFUNCTION("""COMPUTED_VALUE"""),5.0)</f>
        <v>5</v>
      </c>
      <c r="E2782" s="12">
        <f>IFERROR(__xludf.DUMMYFUNCTION("""COMPUTED_VALUE"""),6.0)</f>
        <v>6</v>
      </c>
      <c r="F2782" s="12">
        <f>IFERROR(__xludf.DUMMYFUNCTION("""COMPUTED_VALUE"""),5.0)</f>
        <v>5</v>
      </c>
      <c r="G2782" s="15" t="str">
        <f>IFERROR(__xludf.DUMMYFUNCTION("""COMPUTED_VALUE"""),"Pendiente")</f>
        <v>Pendiente</v>
      </c>
      <c r="H2782" s="16" t="str">
        <f t="array" ref="H2782">_xlfn.XLOOKUP(D2782,Productos[ID_Producto],Productos[Nombre_Producto])</f>
        <v>Manteca</v>
      </c>
      <c r="I2782" s="17">
        <f t="array" ref="I2782">_xlfn.XLOOKUP(D2782,Productos[ID_Producto],Productos[Precio_Unitario])</f>
        <v>5.65</v>
      </c>
      <c r="J2782" s="17">
        <f t="shared" si="1"/>
        <v>33.9</v>
      </c>
      <c r="K2782" s="16" t="str">
        <f t="array" ref="K2782">_xlfn.XLOOKUP(C2782,Clientes[ID_Cliente],Clientes[Provincia])</f>
        <v>Neuquén</v>
      </c>
      <c r="L2782" s="16" t="str">
        <f t="array" ref="L2782">CONCATENATE(_xlfn.XLOOKUP(C2782,Clientes[ID_Cliente],Clientes[Provincia]),", Argentina")</f>
        <v>Neuquén, Argentina</v>
      </c>
      <c r="M2782" s="20" t="str">
        <f t="array" ref="M2782">_xlfn.XLOOKUP(F2782,Metodos_De_Pago[ID_Metodo],Metodos_De_Pago[Metodo])</f>
        <v>Transferencia</v>
      </c>
      <c r="N2782" s="20" t="str">
        <f t="shared" si="2"/>
        <v>2024 07</v>
      </c>
    </row>
    <row r="2783" ht="22.5" customHeight="1">
      <c r="A2783" s="12">
        <f>IFERROR(__xludf.DUMMYFUNCTION("""COMPUTED_VALUE"""),1352.0)</f>
        <v>1352</v>
      </c>
      <c r="B2783" s="13">
        <f>IFERROR(__xludf.DUMMYFUNCTION("""COMPUTED_VALUE"""),45504.0)</f>
        <v>45504</v>
      </c>
      <c r="C2783" s="12">
        <f>IFERROR(__xludf.DUMMYFUNCTION("""COMPUTED_VALUE"""),205.0)</f>
        <v>205</v>
      </c>
      <c r="D2783" s="12">
        <f>IFERROR(__xludf.DUMMYFUNCTION("""COMPUTED_VALUE"""),7.0)</f>
        <v>7</v>
      </c>
      <c r="E2783" s="12">
        <f>IFERROR(__xludf.DUMMYFUNCTION("""COMPUTED_VALUE"""),6.0)</f>
        <v>6</v>
      </c>
      <c r="F2783" s="12">
        <f>IFERROR(__xludf.DUMMYFUNCTION("""COMPUTED_VALUE"""),4.0)</f>
        <v>4</v>
      </c>
      <c r="G2783" s="15" t="str">
        <f>IFERROR(__xludf.DUMMYFUNCTION("""COMPUTED_VALUE"""),"Pendiente")</f>
        <v>Pendiente</v>
      </c>
      <c r="H2783" s="16" t="str">
        <f t="array" ref="H2783">_xlfn.XLOOKUP(D2783,Productos[ID_Producto],Productos[Nombre_Producto])</f>
        <v>Chorizo</v>
      </c>
      <c r="I2783" s="17">
        <f t="array" ref="I2783">_xlfn.XLOOKUP(D2783,Productos[ID_Producto],Productos[Precio_Unitario])</f>
        <v>11.25</v>
      </c>
      <c r="J2783" s="17">
        <f t="shared" si="1"/>
        <v>67.5</v>
      </c>
      <c r="K2783" s="16" t="str">
        <f t="array" ref="K2783">_xlfn.XLOOKUP(C2783,Clientes[ID_Cliente],Clientes[Provincia])</f>
        <v>Neuquén</v>
      </c>
      <c r="L2783" s="16" t="str">
        <f t="array" ref="L2783">CONCATENATE(_xlfn.XLOOKUP(C2783,Clientes[ID_Cliente],Clientes[Provincia]),", Argentina")</f>
        <v>Neuquén, Argentina</v>
      </c>
      <c r="M2783" s="20" t="str">
        <f t="array" ref="M2783">_xlfn.XLOOKUP(F2783,Metodos_De_Pago[ID_Metodo],Metodos_De_Pago[Metodo])</f>
        <v>Mercado Pago</v>
      </c>
      <c r="N2783" s="20" t="str">
        <f t="shared" si="2"/>
        <v>2024 07</v>
      </c>
    </row>
    <row r="2784" ht="22.5" customHeight="1">
      <c r="A2784" s="12">
        <f>IFERROR(__xludf.DUMMYFUNCTION("""COMPUTED_VALUE"""),336.0)</f>
        <v>336</v>
      </c>
      <c r="B2784" s="13">
        <f>IFERROR(__xludf.DUMMYFUNCTION("""COMPUTED_VALUE"""),45506.0)</f>
        <v>45506</v>
      </c>
      <c r="C2784" s="12">
        <f>IFERROR(__xludf.DUMMYFUNCTION("""COMPUTED_VALUE"""),80.0)</f>
        <v>80</v>
      </c>
      <c r="D2784" s="12">
        <f>IFERROR(__xludf.DUMMYFUNCTION("""COMPUTED_VALUE"""),20.0)</f>
        <v>20</v>
      </c>
      <c r="E2784" s="12">
        <f>IFERROR(__xludf.DUMMYFUNCTION("""COMPUTED_VALUE"""),6.0)</f>
        <v>6</v>
      </c>
      <c r="F2784" s="12">
        <f>IFERROR(__xludf.DUMMYFUNCTION("""COMPUTED_VALUE"""),5.0)</f>
        <v>5</v>
      </c>
      <c r="G2784" s="15" t="str">
        <f>IFERROR(__xludf.DUMMYFUNCTION("""COMPUTED_VALUE"""),"Completa")</f>
        <v>Completa</v>
      </c>
      <c r="H2784" s="16" t="str">
        <f t="array" ref="H2784">_xlfn.XLOOKUP(D2784,Productos[ID_Producto],Productos[Nombre_Producto])</f>
        <v>Lechugas</v>
      </c>
      <c r="I2784" s="17">
        <f t="array" ref="I2784">_xlfn.XLOOKUP(D2784,Productos[ID_Producto],Productos[Precio_Unitario])</f>
        <v>4.25</v>
      </c>
      <c r="J2784" s="17">
        <f t="shared" si="1"/>
        <v>25.5</v>
      </c>
      <c r="K2784" s="16" t="str">
        <f t="array" ref="K2784">_xlfn.XLOOKUP(C2784,Clientes[ID_Cliente],Clientes[Provincia])</f>
        <v>Chaco</v>
      </c>
      <c r="L2784" s="16" t="str">
        <f t="array" ref="L2784">CONCATENATE(_xlfn.XLOOKUP(C2784,Clientes[ID_Cliente],Clientes[Provincia]),", Argentina")</f>
        <v>Chaco, Argentina</v>
      </c>
      <c r="M2784" s="20" t="str">
        <f t="array" ref="M2784">_xlfn.XLOOKUP(F2784,Metodos_De_Pago[ID_Metodo],Metodos_De_Pago[Metodo])</f>
        <v>Transferencia</v>
      </c>
      <c r="N2784" s="20" t="str">
        <f t="shared" si="2"/>
        <v>2024 08</v>
      </c>
    </row>
    <row r="2785" ht="22.5" customHeight="1">
      <c r="A2785" s="12">
        <f>IFERROR(__xludf.DUMMYFUNCTION("""COMPUTED_VALUE"""),356.0)</f>
        <v>356</v>
      </c>
      <c r="B2785" s="13">
        <f>IFERROR(__xludf.DUMMYFUNCTION("""COMPUTED_VALUE"""),45506.0)</f>
        <v>45506</v>
      </c>
      <c r="C2785" s="12">
        <f>IFERROR(__xludf.DUMMYFUNCTION("""COMPUTED_VALUE"""),278.0)</f>
        <v>278</v>
      </c>
      <c r="D2785" s="12">
        <f>IFERROR(__xludf.DUMMYFUNCTION("""COMPUTED_VALUE"""),2.0)</f>
        <v>2</v>
      </c>
      <c r="E2785" s="12">
        <f>IFERROR(__xludf.DUMMYFUNCTION("""COMPUTED_VALUE"""),6.0)</f>
        <v>6</v>
      </c>
      <c r="F2785" s="12">
        <f>IFERROR(__xludf.DUMMYFUNCTION("""COMPUTED_VALUE"""),4.0)</f>
        <v>4</v>
      </c>
      <c r="G2785" s="15" t="str">
        <f>IFERROR(__xludf.DUMMYFUNCTION("""COMPUTED_VALUE"""),"Completa")</f>
        <v>Completa</v>
      </c>
      <c r="H2785" s="16" t="str">
        <f t="array" ref="H2785">_xlfn.XLOOKUP(D2785,Productos[ID_Producto],Productos[Nombre_Producto])</f>
        <v>Yogur</v>
      </c>
      <c r="I2785" s="17">
        <f t="array" ref="I2785">_xlfn.XLOOKUP(D2785,Productos[ID_Producto],Productos[Precio_Unitario])</f>
        <v>5.21</v>
      </c>
      <c r="J2785" s="17">
        <f t="shared" si="1"/>
        <v>31.26</v>
      </c>
      <c r="K2785" s="16" t="str">
        <f t="array" ref="K2785">_xlfn.XLOOKUP(C2785,Clientes[ID_Cliente],Clientes[Provincia])</f>
        <v>Córdoba</v>
      </c>
      <c r="L2785" s="16" t="str">
        <f t="array" ref="L2785">CONCATENATE(_xlfn.XLOOKUP(C2785,Clientes[ID_Cliente],Clientes[Provincia]),", Argentina")</f>
        <v>Córdoba, Argentina</v>
      </c>
      <c r="M2785" s="20" t="str">
        <f t="array" ref="M2785">_xlfn.XLOOKUP(F2785,Metodos_De_Pago[ID_Metodo],Metodos_De_Pago[Metodo])</f>
        <v>Mercado Pago</v>
      </c>
      <c r="N2785" s="20" t="str">
        <f t="shared" si="2"/>
        <v>2024 08</v>
      </c>
    </row>
    <row r="2786" ht="22.5" customHeight="1">
      <c r="A2786" s="12">
        <f>IFERROR(__xludf.DUMMYFUNCTION("""COMPUTED_VALUE"""),1377.0)</f>
        <v>1377</v>
      </c>
      <c r="B2786" s="13">
        <f>IFERROR(__xludf.DUMMYFUNCTION("""COMPUTED_VALUE"""),45506.0)</f>
        <v>45506</v>
      </c>
      <c r="C2786" s="12">
        <f>IFERROR(__xludf.DUMMYFUNCTION("""COMPUTED_VALUE"""),85.0)</f>
        <v>85</v>
      </c>
      <c r="D2786" s="12">
        <f>IFERROR(__xludf.DUMMYFUNCTION("""COMPUTED_VALUE"""),31.0)</f>
        <v>31</v>
      </c>
      <c r="E2786" s="12">
        <f>IFERROR(__xludf.DUMMYFUNCTION("""COMPUTED_VALUE"""),6.0)</f>
        <v>6</v>
      </c>
      <c r="F2786" s="12">
        <f>IFERROR(__xludf.DUMMYFUNCTION("""COMPUTED_VALUE"""),1.0)</f>
        <v>1</v>
      </c>
      <c r="G2786" s="15" t="str">
        <f>IFERROR(__xludf.DUMMYFUNCTION("""COMPUTED_VALUE"""),"Pendiente")</f>
        <v>Pendiente</v>
      </c>
      <c r="H2786" s="16" t="str">
        <f t="array" ref="H2786">_xlfn.XLOOKUP(D2786,Productos[ID_Producto],Productos[Nombre_Producto])</f>
        <v>Galletitas de agua</v>
      </c>
      <c r="I2786" s="17">
        <f t="array" ref="I2786">_xlfn.XLOOKUP(D2786,Productos[ID_Producto],Productos[Precio_Unitario])</f>
        <v>5.24</v>
      </c>
      <c r="J2786" s="17">
        <f t="shared" si="1"/>
        <v>31.44</v>
      </c>
      <c r="K2786" s="16" t="str">
        <f t="array" ref="K2786">_xlfn.XLOOKUP(C2786,Clientes[ID_Cliente],Clientes[Provincia])</f>
        <v>San Luis</v>
      </c>
      <c r="L2786" s="16" t="str">
        <f t="array" ref="L2786">CONCATENATE(_xlfn.XLOOKUP(C2786,Clientes[ID_Cliente],Clientes[Provincia]),", Argentina")</f>
        <v>San Luis, Argentina</v>
      </c>
      <c r="M2786" s="20" t="str">
        <f t="array" ref="M2786">_xlfn.XLOOKUP(F2786,Metodos_De_Pago[ID_Metodo],Metodos_De_Pago[Metodo])</f>
        <v>Efectivo</v>
      </c>
      <c r="N2786" s="20" t="str">
        <f t="shared" si="2"/>
        <v>2024 08</v>
      </c>
    </row>
    <row r="2787" ht="22.5" customHeight="1">
      <c r="A2787" s="12">
        <f>IFERROR(__xludf.DUMMYFUNCTION("""COMPUTED_VALUE"""),1522.0)</f>
        <v>1522</v>
      </c>
      <c r="B2787" s="13">
        <f>IFERROR(__xludf.DUMMYFUNCTION("""COMPUTED_VALUE"""),45506.0)</f>
        <v>45506</v>
      </c>
      <c r="C2787" s="12">
        <f>IFERROR(__xludf.DUMMYFUNCTION("""COMPUTED_VALUE"""),167.0)</f>
        <v>167</v>
      </c>
      <c r="D2787" s="12">
        <f>IFERROR(__xludf.DUMMYFUNCTION("""COMPUTED_VALUE"""),6.0)</f>
        <v>6</v>
      </c>
      <c r="E2787" s="12">
        <f>IFERROR(__xludf.DUMMYFUNCTION("""COMPUTED_VALUE"""),6.0)</f>
        <v>6</v>
      </c>
      <c r="F2787" s="12">
        <f>IFERROR(__xludf.DUMMYFUNCTION("""COMPUTED_VALUE"""),2.0)</f>
        <v>2</v>
      </c>
      <c r="G2787" s="15" t="str">
        <f>IFERROR(__xludf.DUMMYFUNCTION("""COMPUTED_VALUE"""),"Completa")</f>
        <v>Completa</v>
      </c>
      <c r="H2787" s="16" t="str">
        <f t="array" ref="H2787">_xlfn.XLOOKUP(D2787,Productos[ID_Producto],Productos[Nombre_Producto])</f>
        <v>Asado</v>
      </c>
      <c r="I2787" s="17">
        <f t="array" ref="I2787">_xlfn.XLOOKUP(D2787,Productos[ID_Producto],Productos[Precio_Unitario])</f>
        <v>28.56</v>
      </c>
      <c r="J2787" s="17">
        <f t="shared" si="1"/>
        <v>171.36</v>
      </c>
      <c r="K2787" s="16" t="str">
        <f t="array" ref="K2787">_xlfn.XLOOKUP(C2787,Clientes[ID_Cliente],Clientes[Provincia])</f>
        <v>Buenos Aires</v>
      </c>
      <c r="L2787" s="16" t="str">
        <f t="array" ref="L2787">CONCATENATE(_xlfn.XLOOKUP(C2787,Clientes[ID_Cliente],Clientes[Provincia]),", Argentina")</f>
        <v>Buenos Aires, Argentina</v>
      </c>
      <c r="M2787" s="20" t="str">
        <f t="array" ref="M2787">_xlfn.XLOOKUP(F2787,Metodos_De_Pago[ID_Metodo],Metodos_De_Pago[Metodo])</f>
        <v>Tarjeta de Crédito</v>
      </c>
      <c r="N2787" s="20" t="str">
        <f t="shared" si="2"/>
        <v>2024 08</v>
      </c>
    </row>
    <row r="2788" ht="22.5" customHeight="1">
      <c r="A2788" s="12">
        <f>IFERROR(__xludf.DUMMYFUNCTION("""COMPUTED_VALUE"""),1955.0)</f>
        <v>1955</v>
      </c>
      <c r="B2788" s="13">
        <f>IFERROR(__xludf.DUMMYFUNCTION("""COMPUTED_VALUE"""),45506.0)</f>
        <v>45506</v>
      </c>
      <c r="C2788" s="12">
        <f>IFERROR(__xludf.DUMMYFUNCTION("""COMPUTED_VALUE"""),78.0)</f>
        <v>78</v>
      </c>
      <c r="D2788" s="12">
        <f>IFERROR(__xludf.DUMMYFUNCTION("""COMPUTED_VALUE"""),30.0)</f>
        <v>30</v>
      </c>
      <c r="E2788" s="12">
        <f>IFERROR(__xludf.DUMMYFUNCTION("""COMPUTED_VALUE"""),6.0)</f>
        <v>6</v>
      </c>
      <c r="F2788" s="12">
        <f>IFERROR(__xludf.DUMMYFUNCTION("""COMPUTED_VALUE"""),4.0)</f>
        <v>4</v>
      </c>
      <c r="G2788" s="15" t="str">
        <f>IFERROR(__xludf.DUMMYFUNCTION("""COMPUTED_VALUE"""),"Completa")</f>
        <v>Completa</v>
      </c>
      <c r="H2788" s="16" t="str">
        <f t="array" ref="H2788">_xlfn.XLOOKUP(D2788,Productos[ID_Producto],Productos[Nombre_Producto])</f>
        <v>Vino tinto</v>
      </c>
      <c r="I2788" s="17">
        <f t="array" ref="I2788">_xlfn.XLOOKUP(D2788,Productos[ID_Producto],Productos[Precio_Unitario])</f>
        <v>13.54</v>
      </c>
      <c r="J2788" s="17">
        <f t="shared" si="1"/>
        <v>81.24</v>
      </c>
      <c r="K2788" s="16" t="str">
        <f t="array" ref="K2788">_xlfn.XLOOKUP(C2788,Clientes[ID_Cliente],Clientes[Provincia])</f>
        <v>Buenos Aires</v>
      </c>
      <c r="L2788" s="16" t="str">
        <f t="array" ref="L2788">CONCATENATE(_xlfn.XLOOKUP(C2788,Clientes[ID_Cliente],Clientes[Provincia]),", Argentina")</f>
        <v>Buenos Aires, Argentina</v>
      </c>
      <c r="M2788" s="20" t="str">
        <f t="array" ref="M2788">_xlfn.XLOOKUP(F2788,Metodos_De_Pago[ID_Metodo],Metodos_De_Pago[Metodo])</f>
        <v>Mercado Pago</v>
      </c>
      <c r="N2788" s="20" t="str">
        <f t="shared" si="2"/>
        <v>2024 08</v>
      </c>
    </row>
    <row r="2789" ht="22.5" customHeight="1">
      <c r="A2789" s="12">
        <f>IFERROR(__xludf.DUMMYFUNCTION("""COMPUTED_VALUE"""),305.0)</f>
        <v>305</v>
      </c>
      <c r="B2789" s="13">
        <f>IFERROR(__xludf.DUMMYFUNCTION("""COMPUTED_VALUE"""),45507.0)</f>
        <v>45507</v>
      </c>
      <c r="C2789" s="12">
        <f>IFERROR(__xludf.DUMMYFUNCTION("""COMPUTED_VALUE"""),78.0)</f>
        <v>78</v>
      </c>
      <c r="D2789" s="12">
        <f>IFERROR(__xludf.DUMMYFUNCTION("""COMPUTED_VALUE"""),11.0)</f>
        <v>11</v>
      </c>
      <c r="E2789" s="12">
        <f>IFERROR(__xludf.DUMMYFUNCTION("""COMPUTED_VALUE"""),6.0)</f>
        <v>6</v>
      </c>
      <c r="F2789" s="12">
        <f>IFERROR(__xludf.DUMMYFUNCTION("""COMPUTED_VALUE"""),4.0)</f>
        <v>4</v>
      </c>
      <c r="G2789" s="15" t="str">
        <f>IFERROR(__xludf.DUMMYFUNCTION("""COMPUTED_VALUE"""),"Completa")</f>
        <v>Completa</v>
      </c>
      <c r="H2789" s="16" t="str">
        <f t="array" ref="H2789">_xlfn.XLOOKUP(D2789,Productos[ID_Producto],Productos[Nombre_Producto])</f>
        <v>Salchicha</v>
      </c>
      <c r="I2789" s="17">
        <f t="array" ref="I2789">_xlfn.XLOOKUP(D2789,Productos[ID_Producto],Productos[Precio_Unitario])</f>
        <v>11.23</v>
      </c>
      <c r="J2789" s="17">
        <f t="shared" si="1"/>
        <v>67.38</v>
      </c>
      <c r="K2789" s="16" t="str">
        <f t="array" ref="K2789">_xlfn.XLOOKUP(C2789,Clientes[ID_Cliente],Clientes[Provincia])</f>
        <v>Buenos Aires</v>
      </c>
      <c r="L2789" s="16" t="str">
        <f t="array" ref="L2789">CONCATENATE(_xlfn.XLOOKUP(C2789,Clientes[ID_Cliente],Clientes[Provincia]),", Argentina")</f>
        <v>Buenos Aires, Argentina</v>
      </c>
      <c r="M2789" s="20" t="str">
        <f t="array" ref="M2789">_xlfn.XLOOKUP(F2789,Metodos_De_Pago[ID_Metodo],Metodos_De_Pago[Metodo])</f>
        <v>Mercado Pago</v>
      </c>
      <c r="N2789" s="20" t="str">
        <f t="shared" si="2"/>
        <v>2024 08</v>
      </c>
    </row>
    <row r="2790" ht="22.5" customHeight="1">
      <c r="A2790" s="12">
        <f>IFERROR(__xludf.DUMMYFUNCTION("""COMPUTED_VALUE"""),854.0)</f>
        <v>854</v>
      </c>
      <c r="B2790" s="13">
        <f>IFERROR(__xludf.DUMMYFUNCTION("""COMPUTED_VALUE"""),45509.0)</f>
        <v>45509</v>
      </c>
      <c r="C2790" s="12">
        <f>IFERROR(__xludf.DUMMYFUNCTION("""COMPUTED_VALUE"""),82.0)</f>
        <v>82</v>
      </c>
      <c r="D2790" s="12">
        <f>IFERROR(__xludf.DUMMYFUNCTION("""COMPUTED_VALUE"""),29.0)</f>
        <v>29</v>
      </c>
      <c r="E2790" s="12">
        <f>IFERROR(__xludf.DUMMYFUNCTION("""COMPUTED_VALUE"""),6.0)</f>
        <v>6</v>
      </c>
      <c r="F2790" s="12">
        <f>IFERROR(__xludf.DUMMYFUNCTION("""COMPUTED_VALUE"""),3.0)</f>
        <v>3</v>
      </c>
      <c r="G2790" s="15" t="str">
        <f>IFERROR(__xludf.DUMMYFUNCTION("""COMPUTED_VALUE"""),"Completa")</f>
        <v>Completa</v>
      </c>
      <c r="H2790" s="16" t="str">
        <f t="array" ref="H2790">_xlfn.XLOOKUP(D2790,Productos[ID_Producto],Productos[Nombre_Producto])</f>
        <v>Cerveza</v>
      </c>
      <c r="I2790" s="17">
        <f t="array" ref="I2790">_xlfn.XLOOKUP(D2790,Productos[ID_Producto],Productos[Precio_Unitario])</f>
        <v>11.54</v>
      </c>
      <c r="J2790" s="17">
        <f t="shared" si="1"/>
        <v>69.24</v>
      </c>
      <c r="K2790" s="16" t="str">
        <f t="array" ref="K2790">_xlfn.XLOOKUP(C2790,Clientes[ID_Cliente],Clientes[Provincia])</f>
        <v>Buenos Aires</v>
      </c>
      <c r="L2790" s="16" t="str">
        <f t="array" ref="L2790">CONCATENATE(_xlfn.XLOOKUP(C2790,Clientes[ID_Cliente],Clientes[Provincia]),", Argentina")</f>
        <v>Buenos Aires, Argentina</v>
      </c>
      <c r="M2790" s="20" t="str">
        <f t="array" ref="M2790">_xlfn.XLOOKUP(F2790,Metodos_De_Pago[ID_Metodo],Metodos_De_Pago[Metodo])</f>
        <v>Tarjeta de Débito</v>
      </c>
      <c r="N2790" s="20" t="str">
        <f t="shared" si="2"/>
        <v>2024 08</v>
      </c>
    </row>
    <row r="2791" ht="22.5" customHeight="1">
      <c r="A2791" s="12">
        <f>IFERROR(__xludf.DUMMYFUNCTION("""COMPUTED_VALUE"""),1544.0)</f>
        <v>1544</v>
      </c>
      <c r="B2791" s="13">
        <f>IFERROR(__xludf.DUMMYFUNCTION("""COMPUTED_VALUE"""),45510.0)</f>
        <v>45510</v>
      </c>
      <c r="C2791" s="12">
        <f>IFERROR(__xludf.DUMMYFUNCTION("""COMPUTED_VALUE"""),60.0)</f>
        <v>60</v>
      </c>
      <c r="D2791" s="12">
        <f>IFERROR(__xludf.DUMMYFUNCTION("""COMPUTED_VALUE"""),26.0)</f>
        <v>26</v>
      </c>
      <c r="E2791" s="12">
        <f>IFERROR(__xludf.DUMMYFUNCTION("""COMPUTED_VALUE"""),6.0)</f>
        <v>6</v>
      </c>
      <c r="F2791" s="12">
        <f>IFERROR(__xludf.DUMMYFUNCTION("""COMPUTED_VALUE"""),3.0)</f>
        <v>3</v>
      </c>
      <c r="G2791" s="15" t="str">
        <f>IFERROR(__xludf.DUMMYFUNCTION("""COMPUTED_VALUE"""),"Completa")</f>
        <v>Completa</v>
      </c>
      <c r="H2791" s="16" t="str">
        <f t="array" ref="H2791">_xlfn.XLOOKUP(D2791,Productos[ID_Producto],Productos[Nombre_Producto])</f>
        <v>Hamburgesas congeladas</v>
      </c>
      <c r="I2791" s="17">
        <f t="array" ref="I2791">_xlfn.XLOOKUP(D2791,Productos[ID_Producto],Productos[Precio_Unitario])</f>
        <v>9.54</v>
      </c>
      <c r="J2791" s="17">
        <f t="shared" si="1"/>
        <v>57.24</v>
      </c>
      <c r="K2791" s="16" t="str">
        <f t="array" ref="K2791">_xlfn.XLOOKUP(C2791,Clientes[ID_Cliente],Clientes[Provincia])</f>
        <v>Chaco</v>
      </c>
      <c r="L2791" s="16" t="str">
        <f t="array" ref="L2791">CONCATENATE(_xlfn.XLOOKUP(C2791,Clientes[ID_Cliente],Clientes[Provincia]),", Argentina")</f>
        <v>Chaco, Argentina</v>
      </c>
      <c r="M2791" s="20" t="str">
        <f t="array" ref="M2791">_xlfn.XLOOKUP(F2791,Metodos_De_Pago[ID_Metodo],Metodos_De_Pago[Metodo])</f>
        <v>Tarjeta de Débito</v>
      </c>
      <c r="N2791" s="20" t="str">
        <f t="shared" si="2"/>
        <v>2024 08</v>
      </c>
    </row>
    <row r="2792" ht="22.5" customHeight="1">
      <c r="A2792" s="12">
        <f>IFERROR(__xludf.DUMMYFUNCTION("""COMPUTED_VALUE"""),114.0)</f>
        <v>114</v>
      </c>
      <c r="B2792" s="13">
        <f>IFERROR(__xludf.DUMMYFUNCTION("""COMPUTED_VALUE"""),45511.0)</f>
        <v>45511</v>
      </c>
      <c r="C2792" s="12">
        <f>IFERROR(__xludf.DUMMYFUNCTION("""COMPUTED_VALUE"""),46.0)</f>
        <v>46</v>
      </c>
      <c r="D2792" s="12">
        <f>IFERROR(__xludf.DUMMYFUNCTION("""COMPUTED_VALUE"""),23.0)</f>
        <v>23</v>
      </c>
      <c r="E2792" s="12">
        <f>IFERROR(__xludf.DUMMYFUNCTION("""COMPUTED_VALUE"""),6.0)</f>
        <v>6</v>
      </c>
      <c r="F2792" s="12">
        <f>IFERROR(__xludf.DUMMYFUNCTION("""COMPUTED_VALUE"""),1.0)</f>
        <v>1</v>
      </c>
      <c r="G2792" s="15" t="str">
        <f>IFERROR(__xludf.DUMMYFUNCTION("""COMPUTED_VALUE"""),"Completa")</f>
        <v>Completa</v>
      </c>
      <c r="H2792" s="16" t="str">
        <f t="array" ref="H2792">_xlfn.XLOOKUP(D2792,Productos[ID_Producto],Productos[Nombre_Producto])</f>
        <v>Papas fritas</v>
      </c>
      <c r="I2792" s="17">
        <f t="array" ref="I2792">_xlfn.XLOOKUP(D2792,Productos[ID_Producto],Productos[Precio_Unitario])</f>
        <v>8.23</v>
      </c>
      <c r="J2792" s="17">
        <f t="shared" si="1"/>
        <v>49.38</v>
      </c>
      <c r="K2792" s="16" t="str">
        <f t="array" ref="K2792">_xlfn.XLOOKUP(C2792,Clientes[ID_Cliente],Clientes[Provincia])</f>
        <v>Córdoba</v>
      </c>
      <c r="L2792" s="16" t="str">
        <f t="array" ref="L2792">CONCATENATE(_xlfn.XLOOKUP(C2792,Clientes[ID_Cliente],Clientes[Provincia]),", Argentina")</f>
        <v>Córdoba, Argentina</v>
      </c>
      <c r="M2792" s="20" t="str">
        <f t="array" ref="M2792">_xlfn.XLOOKUP(F2792,Metodos_De_Pago[ID_Metodo],Metodos_De_Pago[Metodo])</f>
        <v>Efectivo</v>
      </c>
      <c r="N2792" s="20" t="str">
        <f t="shared" si="2"/>
        <v>2024 08</v>
      </c>
    </row>
    <row r="2793" ht="22.5" customHeight="1">
      <c r="A2793" s="12">
        <f>IFERROR(__xludf.DUMMYFUNCTION("""COMPUTED_VALUE"""),839.0)</f>
        <v>839</v>
      </c>
      <c r="B2793" s="13">
        <f>IFERROR(__xludf.DUMMYFUNCTION("""COMPUTED_VALUE"""),45511.0)</f>
        <v>45511</v>
      </c>
      <c r="C2793" s="12">
        <f>IFERROR(__xludf.DUMMYFUNCTION("""COMPUTED_VALUE"""),35.0)</f>
        <v>35</v>
      </c>
      <c r="D2793" s="12">
        <f>IFERROR(__xludf.DUMMYFUNCTION("""COMPUTED_VALUE"""),12.0)</f>
        <v>12</v>
      </c>
      <c r="E2793" s="12">
        <f>IFERROR(__xludf.DUMMYFUNCTION("""COMPUTED_VALUE"""),6.0)</f>
        <v>6</v>
      </c>
      <c r="F2793" s="12">
        <f>IFERROR(__xludf.DUMMYFUNCTION("""COMPUTED_VALUE"""),5.0)</f>
        <v>5</v>
      </c>
      <c r="G2793" s="15" t="str">
        <f>IFERROR(__xludf.DUMMYFUNCTION("""COMPUTED_VALUE"""),"Completa")</f>
        <v>Completa</v>
      </c>
      <c r="H2793" s="16" t="str">
        <f t="array" ref="H2793">_xlfn.XLOOKUP(D2793,Productos[ID_Producto],Productos[Nombre_Producto])</f>
        <v>Pan francés</v>
      </c>
      <c r="I2793" s="17">
        <f t="array" ref="I2793">_xlfn.XLOOKUP(D2793,Productos[ID_Producto],Productos[Precio_Unitario])</f>
        <v>8.12</v>
      </c>
      <c r="J2793" s="17">
        <f t="shared" si="1"/>
        <v>48.72</v>
      </c>
      <c r="K2793" s="16" t="str">
        <f t="array" ref="K2793">_xlfn.XLOOKUP(C2793,Clientes[ID_Cliente],Clientes[Provincia])</f>
        <v>Salta</v>
      </c>
      <c r="L2793" s="16" t="str">
        <f t="array" ref="L2793">CONCATENATE(_xlfn.XLOOKUP(C2793,Clientes[ID_Cliente],Clientes[Provincia]),", Argentina")</f>
        <v>Salta, Argentina</v>
      </c>
      <c r="M2793" s="20" t="str">
        <f t="array" ref="M2793">_xlfn.XLOOKUP(F2793,Metodos_De_Pago[ID_Metodo],Metodos_De_Pago[Metodo])</f>
        <v>Transferencia</v>
      </c>
      <c r="N2793" s="20" t="str">
        <f t="shared" si="2"/>
        <v>2024 08</v>
      </c>
    </row>
    <row r="2794" ht="22.5" customHeight="1">
      <c r="A2794" s="12">
        <f>IFERROR(__xludf.DUMMYFUNCTION("""COMPUTED_VALUE"""),1426.0)</f>
        <v>1426</v>
      </c>
      <c r="B2794" s="13">
        <f>IFERROR(__xludf.DUMMYFUNCTION("""COMPUTED_VALUE"""),45511.0)</f>
        <v>45511</v>
      </c>
      <c r="C2794" s="12">
        <f>IFERROR(__xludf.DUMMYFUNCTION("""COMPUTED_VALUE"""),326.0)</f>
        <v>326</v>
      </c>
      <c r="D2794" s="12">
        <f>IFERROR(__xludf.DUMMYFUNCTION("""COMPUTED_VALUE"""),15.0)</f>
        <v>15</v>
      </c>
      <c r="E2794" s="12">
        <f>IFERROR(__xludf.DUMMYFUNCTION("""COMPUTED_VALUE"""),6.0)</f>
        <v>6</v>
      </c>
      <c r="F2794" s="12">
        <f>IFERROR(__xludf.DUMMYFUNCTION("""COMPUTED_VALUE"""),3.0)</f>
        <v>3</v>
      </c>
      <c r="G2794" s="15" t="str">
        <f>IFERROR(__xludf.DUMMYFUNCTION("""COMPUTED_VALUE"""),"Completa")</f>
        <v>Completa</v>
      </c>
      <c r="H2794" s="16" t="str">
        <f t="array" ref="H2794">_xlfn.XLOOKUP(D2794,Productos[ID_Producto],Productos[Nombre_Producto])</f>
        <v>Medialunas</v>
      </c>
      <c r="I2794" s="17">
        <f t="array" ref="I2794">_xlfn.XLOOKUP(D2794,Productos[ID_Producto],Productos[Precio_Unitario])</f>
        <v>3.51</v>
      </c>
      <c r="J2794" s="17">
        <f t="shared" si="1"/>
        <v>21.06</v>
      </c>
      <c r="K2794" s="16" t="str">
        <f t="array" ref="K2794">_xlfn.XLOOKUP(C2794,Clientes[ID_Cliente],Clientes[Provincia])</f>
        <v>San Luis</v>
      </c>
      <c r="L2794" s="16" t="str">
        <f t="array" ref="L2794">CONCATENATE(_xlfn.XLOOKUP(C2794,Clientes[ID_Cliente],Clientes[Provincia]),", Argentina")</f>
        <v>San Luis, Argentina</v>
      </c>
      <c r="M2794" s="20" t="str">
        <f t="array" ref="M2794">_xlfn.XLOOKUP(F2794,Metodos_De_Pago[ID_Metodo],Metodos_De_Pago[Metodo])</f>
        <v>Tarjeta de Débito</v>
      </c>
      <c r="N2794" s="20" t="str">
        <f t="shared" si="2"/>
        <v>2024 08</v>
      </c>
    </row>
    <row r="2795" ht="22.5" customHeight="1">
      <c r="A2795" s="12">
        <f>IFERROR(__xludf.DUMMYFUNCTION("""COMPUTED_VALUE"""),494.0)</f>
        <v>494</v>
      </c>
      <c r="B2795" s="13">
        <f>IFERROR(__xludf.DUMMYFUNCTION("""COMPUTED_VALUE"""),45512.0)</f>
        <v>45512</v>
      </c>
      <c r="C2795" s="12">
        <f>IFERROR(__xludf.DUMMYFUNCTION("""COMPUTED_VALUE"""),143.0)</f>
        <v>143</v>
      </c>
      <c r="D2795" s="12">
        <f>IFERROR(__xludf.DUMMYFUNCTION("""COMPUTED_VALUE"""),8.0)</f>
        <v>8</v>
      </c>
      <c r="E2795" s="12">
        <f>IFERROR(__xludf.DUMMYFUNCTION("""COMPUTED_VALUE"""),6.0)</f>
        <v>6</v>
      </c>
      <c r="F2795" s="12">
        <f>IFERROR(__xludf.DUMMYFUNCTION("""COMPUTED_VALUE"""),4.0)</f>
        <v>4</v>
      </c>
      <c r="G2795" s="15" t="str">
        <f>IFERROR(__xludf.DUMMYFUNCTION("""COMPUTED_VALUE"""),"Completa")</f>
        <v>Completa</v>
      </c>
      <c r="H2795" s="16" t="str">
        <f t="array" ref="H2795">_xlfn.XLOOKUP(D2795,Productos[ID_Producto],Productos[Nombre_Producto])</f>
        <v>Milanesa</v>
      </c>
      <c r="I2795" s="17">
        <f t="array" ref="I2795">_xlfn.XLOOKUP(D2795,Productos[ID_Producto],Productos[Precio_Unitario])</f>
        <v>16.21</v>
      </c>
      <c r="J2795" s="17">
        <f t="shared" si="1"/>
        <v>97.26</v>
      </c>
      <c r="K2795" s="16" t="str">
        <f t="array" ref="K2795">_xlfn.XLOOKUP(C2795,Clientes[ID_Cliente],Clientes[Provincia])</f>
        <v>Buenos Aires</v>
      </c>
      <c r="L2795" s="16" t="str">
        <f t="array" ref="L2795">CONCATENATE(_xlfn.XLOOKUP(C2795,Clientes[ID_Cliente],Clientes[Provincia]),", Argentina")</f>
        <v>Buenos Aires, Argentina</v>
      </c>
      <c r="M2795" s="20" t="str">
        <f t="array" ref="M2795">_xlfn.XLOOKUP(F2795,Metodos_De_Pago[ID_Metodo],Metodos_De_Pago[Metodo])</f>
        <v>Mercado Pago</v>
      </c>
      <c r="N2795" s="20" t="str">
        <f t="shared" si="2"/>
        <v>2024 08</v>
      </c>
    </row>
    <row r="2796" ht="22.5" customHeight="1">
      <c r="A2796" s="12">
        <f>IFERROR(__xludf.DUMMYFUNCTION("""COMPUTED_VALUE"""),1080.0)</f>
        <v>1080</v>
      </c>
      <c r="B2796" s="13">
        <f>IFERROR(__xludf.DUMMYFUNCTION("""COMPUTED_VALUE"""),45512.0)</f>
        <v>45512</v>
      </c>
      <c r="C2796" s="12">
        <f>IFERROR(__xludf.DUMMYFUNCTION("""COMPUTED_VALUE"""),202.0)</f>
        <v>202</v>
      </c>
      <c r="D2796" s="12">
        <f>IFERROR(__xludf.DUMMYFUNCTION("""COMPUTED_VALUE"""),27.0)</f>
        <v>27</v>
      </c>
      <c r="E2796" s="12">
        <f>IFERROR(__xludf.DUMMYFUNCTION("""COMPUTED_VALUE"""),6.0)</f>
        <v>6</v>
      </c>
      <c r="F2796" s="12">
        <f>IFERROR(__xludf.DUMMYFUNCTION("""COMPUTED_VALUE"""),4.0)</f>
        <v>4</v>
      </c>
      <c r="G2796" s="15" t="str">
        <f>IFERROR(__xludf.DUMMYFUNCTION("""COMPUTED_VALUE"""),"Completa")</f>
        <v>Completa</v>
      </c>
      <c r="H2796" s="16" t="str">
        <f t="array" ref="H2796">_xlfn.XLOOKUP(D2796,Productos[ID_Producto],Productos[Nombre_Producto])</f>
        <v>Agua mineral</v>
      </c>
      <c r="I2796" s="17">
        <f t="array" ref="I2796">_xlfn.XLOOKUP(D2796,Productos[ID_Producto],Productos[Precio_Unitario])</f>
        <v>6.21</v>
      </c>
      <c r="J2796" s="17">
        <f t="shared" si="1"/>
        <v>37.26</v>
      </c>
      <c r="K2796" s="16" t="str">
        <f t="array" ref="K2796">_xlfn.XLOOKUP(C2796,Clientes[ID_Cliente],Clientes[Provincia])</f>
        <v>Chaco</v>
      </c>
      <c r="L2796" s="16" t="str">
        <f t="array" ref="L2796">CONCATENATE(_xlfn.XLOOKUP(C2796,Clientes[ID_Cliente],Clientes[Provincia]),", Argentina")</f>
        <v>Chaco, Argentina</v>
      </c>
      <c r="M2796" s="20" t="str">
        <f t="array" ref="M2796">_xlfn.XLOOKUP(F2796,Metodos_De_Pago[ID_Metodo],Metodos_De_Pago[Metodo])</f>
        <v>Mercado Pago</v>
      </c>
      <c r="N2796" s="20" t="str">
        <f t="shared" si="2"/>
        <v>2024 08</v>
      </c>
    </row>
    <row r="2797" ht="22.5" customHeight="1">
      <c r="A2797" s="12">
        <f>IFERROR(__xludf.DUMMYFUNCTION("""COMPUTED_VALUE"""),1101.0)</f>
        <v>1101</v>
      </c>
      <c r="B2797" s="13">
        <f>IFERROR(__xludf.DUMMYFUNCTION("""COMPUTED_VALUE"""),45513.0)</f>
        <v>45513</v>
      </c>
      <c r="C2797" s="12">
        <f>IFERROR(__xludf.DUMMYFUNCTION("""COMPUTED_VALUE"""),127.0)</f>
        <v>127</v>
      </c>
      <c r="D2797" s="12">
        <f>IFERROR(__xludf.DUMMYFUNCTION("""COMPUTED_VALUE"""),6.0)</f>
        <v>6</v>
      </c>
      <c r="E2797" s="12">
        <f>IFERROR(__xludf.DUMMYFUNCTION("""COMPUTED_VALUE"""),6.0)</f>
        <v>6</v>
      </c>
      <c r="F2797" s="12">
        <f>IFERROR(__xludf.DUMMYFUNCTION("""COMPUTED_VALUE"""),1.0)</f>
        <v>1</v>
      </c>
      <c r="G2797" s="15" t="str">
        <f>IFERROR(__xludf.DUMMYFUNCTION("""COMPUTED_VALUE"""),"Completa")</f>
        <v>Completa</v>
      </c>
      <c r="H2797" s="16" t="str">
        <f t="array" ref="H2797">_xlfn.XLOOKUP(D2797,Productos[ID_Producto],Productos[Nombre_Producto])</f>
        <v>Asado</v>
      </c>
      <c r="I2797" s="17">
        <f t="array" ref="I2797">_xlfn.XLOOKUP(D2797,Productos[ID_Producto],Productos[Precio_Unitario])</f>
        <v>28.56</v>
      </c>
      <c r="J2797" s="17">
        <f t="shared" si="1"/>
        <v>171.36</v>
      </c>
      <c r="K2797" s="16" t="str">
        <f t="array" ref="K2797">_xlfn.XLOOKUP(C2797,Clientes[ID_Cliente],Clientes[Provincia])</f>
        <v>Buenos Aires</v>
      </c>
      <c r="L2797" s="16" t="str">
        <f t="array" ref="L2797">CONCATENATE(_xlfn.XLOOKUP(C2797,Clientes[ID_Cliente],Clientes[Provincia]),", Argentina")</f>
        <v>Buenos Aires, Argentina</v>
      </c>
      <c r="M2797" s="20" t="str">
        <f t="array" ref="M2797">_xlfn.XLOOKUP(F2797,Metodos_De_Pago[ID_Metodo],Metodos_De_Pago[Metodo])</f>
        <v>Efectivo</v>
      </c>
      <c r="N2797" s="20" t="str">
        <f t="shared" si="2"/>
        <v>2024 08</v>
      </c>
    </row>
    <row r="2798" ht="22.5" customHeight="1">
      <c r="A2798" s="12">
        <f>IFERROR(__xludf.DUMMYFUNCTION("""COMPUTED_VALUE"""),1855.0)</f>
        <v>1855</v>
      </c>
      <c r="B2798" s="13">
        <f>IFERROR(__xludf.DUMMYFUNCTION("""COMPUTED_VALUE"""),45515.0)</f>
        <v>45515</v>
      </c>
      <c r="C2798" s="12">
        <f>IFERROR(__xludf.DUMMYFUNCTION("""COMPUTED_VALUE"""),237.0)</f>
        <v>237</v>
      </c>
      <c r="D2798" s="12">
        <f>IFERROR(__xludf.DUMMYFUNCTION("""COMPUTED_VALUE"""),8.0)</f>
        <v>8</v>
      </c>
      <c r="E2798" s="12">
        <f>IFERROR(__xludf.DUMMYFUNCTION("""COMPUTED_VALUE"""),6.0)</f>
        <v>6</v>
      </c>
      <c r="F2798" s="12">
        <f>IFERROR(__xludf.DUMMYFUNCTION("""COMPUTED_VALUE"""),1.0)</f>
        <v>1</v>
      </c>
      <c r="G2798" s="15" t="str">
        <f>IFERROR(__xludf.DUMMYFUNCTION("""COMPUTED_VALUE"""),"Completa")</f>
        <v>Completa</v>
      </c>
      <c r="H2798" s="16" t="str">
        <f t="array" ref="H2798">_xlfn.XLOOKUP(D2798,Productos[ID_Producto],Productos[Nombre_Producto])</f>
        <v>Milanesa</v>
      </c>
      <c r="I2798" s="17">
        <f t="array" ref="I2798">_xlfn.XLOOKUP(D2798,Productos[ID_Producto],Productos[Precio_Unitario])</f>
        <v>16.21</v>
      </c>
      <c r="J2798" s="17">
        <f t="shared" si="1"/>
        <v>97.26</v>
      </c>
      <c r="K2798" s="16" t="str">
        <f t="array" ref="K2798">_xlfn.XLOOKUP(C2798,Clientes[ID_Cliente],Clientes[Provincia])</f>
        <v>Buenos Aires</v>
      </c>
      <c r="L2798" s="16" t="str">
        <f t="array" ref="L2798">CONCATENATE(_xlfn.XLOOKUP(C2798,Clientes[ID_Cliente],Clientes[Provincia]),", Argentina")</f>
        <v>Buenos Aires, Argentina</v>
      </c>
      <c r="M2798" s="20" t="str">
        <f t="array" ref="M2798">_xlfn.XLOOKUP(F2798,Metodos_De_Pago[ID_Metodo],Metodos_De_Pago[Metodo])</f>
        <v>Efectivo</v>
      </c>
      <c r="N2798" s="20" t="str">
        <f t="shared" si="2"/>
        <v>2024 08</v>
      </c>
    </row>
    <row r="2799" ht="22.5" customHeight="1">
      <c r="A2799" s="12">
        <f>IFERROR(__xludf.DUMMYFUNCTION("""COMPUTED_VALUE"""),2971.0)</f>
        <v>2971</v>
      </c>
      <c r="B2799" s="13">
        <f>IFERROR(__xludf.DUMMYFUNCTION("""COMPUTED_VALUE"""),45516.0)</f>
        <v>45516</v>
      </c>
      <c r="C2799" s="12">
        <f>IFERROR(__xludf.DUMMYFUNCTION("""COMPUTED_VALUE"""),124.0)</f>
        <v>124</v>
      </c>
      <c r="D2799" s="12">
        <f>IFERROR(__xludf.DUMMYFUNCTION("""COMPUTED_VALUE"""),7.0)</f>
        <v>7</v>
      </c>
      <c r="E2799" s="12">
        <f>IFERROR(__xludf.DUMMYFUNCTION("""COMPUTED_VALUE"""),6.0)</f>
        <v>6</v>
      </c>
      <c r="F2799" s="12">
        <f>IFERROR(__xludf.DUMMYFUNCTION("""COMPUTED_VALUE"""),3.0)</f>
        <v>3</v>
      </c>
      <c r="G2799" s="15" t="str">
        <f>IFERROR(__xludf.DUMMYFUNCTION("""COMPUTED_VALUE"""),"Completa")</f>
        <v>Completa</v>
      </c>
      <c r="H2799" s="16" t="str">
        <f t="array" ref="H2799">_xlfn.XLOOKUP(D2799,Productos[ID_Producto],Productos[Nombre_Producto])</f>
        <v>Chorizo</v>
      </c>
      <c r="I2799" s="17">
        <f t="array" ref="I2799">_xlfn.XLOOKUP(D2799,Productos[ID_Producto],Productos[Precio_Unitario])</f>
        <v>11.25</v>
      </c>
      <c r="J2799" s="17">
        <f t="shared" si="1"/>
        <v>67.5</v>
      </c>
      <c r="K2799" s="16" t="str">
        <f t="array" ref="K2799">_xlfn.XLOOKUP(C2799,Clientes[ID_Cliente],Clientes[Provincia])</f>
        <v>Chaco</v>
      </c>
      <c r="L2799" s="16" t="str">
        <f t="array" ref="L2799">CONCATENATE(_xlfn.XLOOKUP(C2799,Clientes[ID_Cliente],Clientes[Provincia]),", Argentina")</f>
        <v>Chaco, Argentina</v>
      </c>
      <c r="M2799" s="20" t="str">
        <f t="array" ref="M2799">_xlfn.XLOOKUP(F2799,Metodos_De_Pago[ID_Metodo],Metodos_De_Pago[Metodo])</f>
        <v>Tarjeta de Débito</v>
      </c>
      <c r="N2799" s="20" t="str">
        <f t="shared" si="2"/>
        <v>2024 08</v>
      </c>
    </row>
    <row r="2800" ht="22.5" customHeight="1">
      <c r="A2800" s="12">
        <f>IFERROR(__xludf.DUMMYFUNCTION("""COMPUTED_VALUE"""),78.0)</f>
        <v>78</v>
      </c>
      <c r="B2800" s="13">
        <f>IFERROR(__xludf.DUMMYFUNCTION("""COMPUTED_VALUE"""),45517.0)</f>
        <v>45517</v>
      </c>
      <c r="C2800" s="12">
        <f>IFERROR(__xludf.DUMMYFUNCTION("""COMPUTED_VALUE"""),60.0)</f>
        <v>60</v>
      </c>
      <c r="D2800" s="12">
        <f>IFERROR(__xludf.DUMMYFUNCTION("""COMPUTED_VALUE"""),13.0)</f>
        <v>13</v>
      </c>
      <c r="E2800" s="12">
        <f>IFERROR(__xludf.DUMMYFUNCTION("""COMPUTED_VALUE"""),6.0)</f>
        <v>6</v>
      </c>
      <c r="F2800" s="12">
        <f>IFERROR(__xludf.DUMMYFUNCTION("""COMPUTED_VALUE"""),4.0)</f>
        <v>4</v>
      </c>
      <c r="G2800" s="15" t="str">
        <f>IFERROR(__xludf.DUMMYFUNCTION("""COMPUTED_VALUE"""),"Completa")</f>
        <v>Completa</v>
      </c>
      <c r="H2800" s="16" t="str">
        <f t="array" ref="H2800">_xlfn.XLOOKUP(D2800,Productos[ID_Producto],Productos[Nombre_Producto])</f>
        <v>Pan integral</v>
      </c>
      <c r="I2800" s="17">
        <f t="array" ref="I2800">_xlfn.XLOOKUP(D2800,Productos[ID_Producto],Productos[Precio_Unitario])</f>
        <v>12.56</v>
      </c>
      <c r="J2800" s="17">
        <f t="shared" si="1"/>
        <v>75.36</v>
      </c>
      <c r="K2800" s="16" t="str">
        <f t="array" ref="K2800">_xlfn.XLOOKUP(C2800,Clientes[ID_Cliente],Clientes[Provincia])</f>
        <v>Chaco</v>
      </c>
      <c r="L2800" s="16" t="str">
        <f t="array" ref="L2800">CONCATENATE(_xlfn.XLOOKUP(C2800,Clientes[ID_Cliente],Clientes[Provincia]),", Argentina")</f>
        <v>Chaco, Argentina</v>
      </c>
      <c r="M2800" s="20" t="str">
        <f t="array" ref="M2800">_xlfn.XLOOKUP(F2800,Metodos_De_Pago[ID_Metodo],Metodos_De_Pago[Metodo])</f>
        <v>Mercado Pago</v>
      </c>
      <c r="N2800" s="20" t="str">
        <f t="shared" si="2"/>
        <v>2024 08</v>
      </c>
    </row>
    <row r="2801" ht="22.5" customHeight="1">
      <c r="A2801" s="12">
        <f>IFERROR(__xludf.DUMMYFUNCTION("""COMPUTED_VALUE"""),149.0)</f>
        <v>149</v>
      </c>
      <c r="B2801" s="13">
        <f>IFERROR(__xludf.DUMMYFUNCTION("""COMPUTED_VALUE"""),45517.0)</f>
        <v>45517</v>
      </c>
      <c r="C2801" s="12">
        <f>IFERROR(__xludf.DUMMYFUNCTION("""COMPUTED_VALUE"""),79.0)</f>
        <v>79</v>
      </c>
      <c r="D2801" s="12">
        <f>IFERROR(__xludf.DUMMYFUNCTION("""COMPUTED_VALUE"""),7.0)</f>
        <v>7</v>
      </c>
      <c r="E2801" s="12">
        <f>IFERROR(__xludf.DUMMYFUNCTION("""COMPUTED_VALUE"""),6.0)</f>
        <v>6</v>
      </c>
      <c r="F2801" s="12">
        <f>IFERROR(__xludf.DUMMYFUNCTION("""COMPUTED_VALUE"""),5.0)</f>
        <v>5</v>
      </c>
      <c r="G2801" s="15" t="str">
        <f>IFERROR(__xludf.DUMMYFUNCTION("""COMPUTED_VALUE"""),"Pendiente")</f>
        <v>Pendiente</v>
      </c>
      <c r="H2801" s="16" t="str">
        <f t="array" ref="H2801">_xlfn.XLOOKUP(D2801,Productos[ID_Producto],Productos[Nombre_Producto])</f>
        <v>Chorizo</v>
      </c>
      <c r="I2801" s="17">
        <f t="array" ref="I2801">_xlfn.XLOOKUP(D2801,Productos[ID_Producto],Productos[Precio_Unitario])</f>
        <v>11.25</v>
      </c>
      <c r="J2801" s="17">
        <f t="shared" si="1"/>
        <v>67.5</v>
      </c>
      <c r="K2801" s="16" t="str">
        <f t="array" ref="K2801">_xlfn.XLOOKUP(C2801,Clientes[ID_Cliente],Clientes[Provincia])</f>
        <v>Neuquén</v>
      </c>
      <c r="L2801" s="16" t="str">
        <f t="array" ref="L2801">CONCATENATE(_xlfn.XLOOKUP(C2801,Clientes[ID_Cliente],Clientes[Provincia]),", Argentina")</f>
        <v>Neuquén, Argentina</v>
      </c>
      <c r="M2801" s="20" t="str">
        <f t="array" ref="M2801">_xlfn.XLOOKUP(F2801,Metodos_De_Pago[ID_Metodo],Metodos_De_Pago[Metodo])</f>
        <v>Transferencia</v>
      </c>
      <c r="N2801" s="20" t="str">
        <f t="shared" si="2"/>
        <v>2024 08</v>
      </c>
    </row>
    <row r="2802" ht="22.5" customHeight="1">
      <c r="A2802" s="12">
        <f>IFERROR(__xludf.DUMMYFUNCTION("""COMPUTED_VALUE"""),521.0)</f>
        <v>521</v>
      </c>
      <c r="B2802" s="13">
        <f>IFERROR(__xludf.DUMMYFUNCTION("""COMPUTED_VALUE"""),45518.0)</f>
        <v>45518</v>
      </c>
      <c r="C2802" s="12">
        <f>IFERROR(__xludf.DUMMYFUNCTION("""COMPUTED_VALUE"""),140.0)</f>
        <v>140</v>
      </c>
      <c r="D2802" s="12">
        <f>IFERROR(__xludf.DUMMYFUNCTION("""COMPUTED_VALUE"""),26.0)</f>
        <v>26</v>
      </c>
      <c r="E2802" s="12">
        <f>IFERROR(__xludf.DUMMYFUNCTION("""COMPUTED_VALUE"""),6.0)</f>
        <v>6</v>
      </c>
      <c r="F2802" s="12">
        <f>IFERROR(__xludf.DUMMYFUNCTION("""COMPUTED_VALUE"""),4.0)</f>
        <v>4</v>
      </c>
      <c r="G2802" s="15" t="str">
        <f>IFERROR(__xludf.DUMMYFUNCTION("""COMPUTED_VALUE"""),"Completa")</f>
        <v>Completa</v>
      </c>
      <c r="H2802" s="16" t="str">
        <f t="array" ref="H2802">_xlfn.XLOOKUP(D2802,Productos[ID_Producto],Productos[Nombre_Producto])</f>
        <v>Hamburgesas congeladas</v>
      </c>
      <c r="I2802" s="17">
        <f t="array" ref="I2802">_xlfn.XLOOKUP(D2802,Productos[ID_Producto],Productos[Precio_Unitario])</f>
        <v>9.54</v>
      </c>
      <c r="J2802" s="17">
        <f t="shared" si="1"/>
        <v>57.24</v>
      </c>
      <c r="K2802" s="16" t="str">
        <f t="array" ref="K2802">_xlfn.XLOOKUP(C2802,Clientes[ID_Cliente],Clientes[Provincia])</f>
        <v>Chaco</v>
      </c>
      <c r="L2802" s="16" t="str">
        <f t="array" ref="L2802">CONCATENATE(_xlfn.XLOOKUP(C2802,Clientes[ID_Cliente],Clientes[Provincia]),", Argentina")</f>
        <v>Chaco, Argentina</v>
      </c>
      <c r="M2802" s="20" t="str">
        <f t="array" ref="M2802">_xlfn.XLOOKUP(F2802,Metodos_De_Pago[ID_Metodo],Metodos_De_Pago[Metodo])</f>
        <v>Mercado Pago</v>
      </c>
      <c r="N2802" s="20" t="str">
        <f t="shared" si="2"/>
        <v>2024 08</v>
      </c>
    </row>
    <row r="2803" ht="22.5" customHeight="1">
      <c r="A2803" s="12">
        <f>IFERROR(__xludf.DUMMYFUNCTION("""COMPUTED_VALUE"""),1147.0)</f>
        <v>1147</v>
      </c>
      <c r="B2803" s="13">
        <f>IFERROR(__xludf.DUMMYFUNCTION("""COMPUTED_VALUE"""),45518.0)</f>
        <v>45518</v>
      </c>
      <c r="C2803" s="12">
        <f>IFERROR(__xludf.DUMMYFUNCTION("""COMPUTED_VALUE"""),112.0)</f>
        <v>112</v>
      </c>
      <c r="D2803" s="12">
        <f>IFERROR(__xludf.DUMMYFUNCTION("""COMPUTED_VALUE"""),5.0)</f>
        <v>5</v>
      </c>
      <c r="E2803" s="12">
        <f>IFERROR(__xludf.DUMMYFUNCTION("""COMPUTED_VALUE"""),6.0)</f>
        <v>6</v>
      </c>
      <c r="F2803" s="12">
        <f>IFERROR(__xludf.DUMMYFUNCTION("""COMPUTED_VALUE"""),3.0)</f>
        <v>3</v>
      </c>
      <c r="G2803" s="15" t="str">
        <f>IFERROR(__xludf.DUMMYFUNCTION("""COMPUTED_VALUE"""),"Completa")</f>
        <v>Completa</v>
      </c>
      <c r="H2803" s="16" t="str">
        <f t="array" ref="H2803">_xlfn.XLOOKUP(D2803,Productos[ID_Producto],Productos[Nombre_Producto])</f>
        <v>Manteca</v>
      </c>
      <c r="I2803" s="17">
        <f t="array" ref="I2803">_xlfn.XLOOKUP(D2803,Productos[ID_Producto],Productos[Precio_Unitario])</f>
        <v>5.65</v>
      </c>
      <c r="J2803" s="17">
        <f t="shared" si="1"/>
        <v>33.9</v>
      </c>
      <c r="K2803" s="16" t="str">
        <f t="array" ref="K2803">_xlfn.XLOOKUP(C2803,Clientes[ID_Cliente],Clientes[Provincia])</f>
        <v>Chaco</v>
      </c>
      <c r="L2803" s="16" t="str">
        <f t="array" ref="L2803">CONCATENATE(_xlfn.XLOOKUP(C2803,Clientes[ID_Cliente],Clientes[Provincia]),", Argentina")</f>
        <v>Chaco, Argentina</v>
      </c>
      <c r="M2803" s="20" t="str">
        <f t="array" ref="M2803">_xlfn.XLOOKUP(F2803,Metodos_De_Pago[ID_Metodo],Metodos_De_Pago[Metodo])</f>
        <v>Tarjeta de Débito</v>
      </c>
      <c r="N2803" s="20" t="str">
        <f t="shared" si="2"/>
        <v>2024 08</v>
      </c>
    </row>
    <row r="2804" ht="22.5" customHeight="1">
      <c r="A2804" s="12">
        <f>IFERROR(__xludf.DUMMYFUNCTION("""COMPUTED_VALUE"""),403.0)</f>
        <v>403</v>
      </c>
      <c r="B2804" s="13">
        <f>IFERROR(__xludf.DUMMYFUNCTION("""COMPUTED_VALUE"""),45519.0)</f>
        <v>45519</v>
      </c>
      <c r="C2804" s="12">
        <f>IFERROR(__xludf.DUMMYFUNCTION("""COMPUTED_VALUE"""),300.0)</f>
        <v>300</v>
      </c>
      <c r="D2804" s="12">
        <f>IFERROR(__xludf.DUMMYFUNCTION("""COMPUTED_VALUE"""),35.0)</f>
        <v>35</v>
      </c>
      <c r="E2804" s="12">
        <f>IFERROR(__xludf.DUMMYFUNCTION("""COMPUTED_VALUE"""),6.0)</f>
        <v>6</v>
      </c>
      <c r="F2804" s="12">
        <f>IFERROR(__xludf.DUMMYFUNCTION("""COMPUTED_VALUE"""),4.0)</f>
        <v>4</v>
      </c>
      <c r="G2804" s="15" t="str">
        <f>IFERROR(__xludf.DUMMYFUNCTION("""COMPUTED_VALUE"""),"Completa")</f>
        <v>Completa</v>
      </c>
      <c r="H2804" s="16" t="str">
        <f t="array" ref="H2804">_xlfn.XLOOKUP(D2804,Productos[ID_Producto],Productos[Nombre_Producto])</f>
        <v>Arroz</v>
      </c>
      <c r="I2804" s="17">
        <f t="array" ref="I2804">_xlfn.XLOOKUP(D2804,Productos[ID_Producto],Productos[Precio_Unitario])</f>
        <v>4.25</v>
      </c>
      <c r="J2804" s="17">
        <f t="shared" si="1"/>
        <v>25.5</v>
      </c>
      <c r="K2804" s="16" t="str">
        <f t="array" ref="K2804">_xlfn.XLOOKUP(C2804,Clientes[ID_Cliente],Clientes[Provincia])</f>
        <v>Chaco</v>
      </c>
      <c r="L2804" s="16" t="str">
        <f t="array" ref="L2804">CONCATENATE(_xlfn.XLOOKUP(C2804,Clientes[ID_Cliente],Clientes[Provincia]),", Argentina")</f>
        <v>Chaco, Argentina</v>
      </c>
      <c r="M2804" s="20" t="str">
        <f t="array" ref="M2804">_xlfn.XLOOKUP(F2804,Metodos_De_Pago[ID_Metodo],Metodos_De_Pago[Metodo])</f>
        <v>Mercado Pago</v>
      </c>
      <c r="N2804" s="20" t="str">
        <f t="shared" si="2"/>
        <v>2024 08</v>
      </c>
    </row>
    <row r="2805" ht="22.5" customHeight="1">
      <c r="A2805" s="12">
        <f>IFERROR(__xludf.DUMMYFUNCTION("""COMPUTED_VALUE"""),2348.0)</f>
        <v>2348</v>
      </c>
      <c r="B2805" s="13">
        <f>IFERROR(__xludf.DUMMYFUNCTION("""COMPUTED_VALUE"""),45519.0)</f>
        <v>45519</v>
      </c>
      <c r="C2805" s="12">
        <f>IFERROR(__xludf.DUMMYFUNCTION("""COMPUTED_VALUE"""),138.0)</f>
        <v>138</v>
      </c>
      <c r="D2805" s="12">
        <f>IFERROR(__xludf.DUMMYFUNCTION("""COMPUTED_VALUE"""),15.0)</f>
        <v>15</v>
      </c>
      <c r="E2805" s="12">
        <f>IFERROR(__xludf.DUMMYFUNCTION("""COMPUTED_VALUE"""),6.0)</f>
        <v>6</v>
      </c>
      <c r="F2805" s="12">
        <f>IFERROR(__xludf.DUMMYFUNCTION("""COMPUTED_VALUE"""),1.0)</f>
        <v>1</v>
      </c>
      <c r="G2805" s="15" t="str">
        <f>IFERROR(__xludf.DUMMYFUNCTION("""COMPUTED_VALUE"""),"Completa")</f>
        <v>Completa</v>
      </c>
      <c r="H2805" s="16" t="str">
        <f t="array" ref="H2805">_xlfn.XLOOKUP(D2805,Productos[ID_Producto],Productos[Nombre_Producto])</f>
        <v>Medialunas</v>
      </c>
      <c r="I2805" s="17">
        <f t="array" ref="I2805">_xlfn.XLOOKUP(D2805,Productos[ID_Producto],Productos[Precio_Unitario])</f>
        <v>3.51</v>
      </c>
      <c r="J2805" s="17">
        <f t="shared" si="1"/>
        <v>21.06</v>
      </c>
      <c r="K2805" s="16" t="str">
        <f t="array" ref="K2805">_xlfn.XLOOKUP(C2805,Clientes[ID_Cliente],Clientes[Provincia])</f>
        <v>Buenos Aires</v>
      </c>
      <c r="L2805" s="16" t="str">
        <f t="array" ref="L2805">CONCATENATE(_xlfn.XLOOKUP(C2805,Clientes[ID_Cliente],Clientes[Provincia]),", Argentina")</f>
        <v>Buenos Aires, Argentina</v>
      </c>
      <c r="M2805" s="20" t="str">
        <f t="array" ref="M2805">_xlfn.XLOOKUP(F2805,Metodos_De_Pago[ID_Metodo],Metodos_De_Pago[Metodo])</f>
        <v>Efectivo</v>
      </c>
      <c r="N2805" s="20" t="str">
        <f t="shared" si="2"/>
        <v>2024 08</v>
      </c>
    </row>
    <row r="2806" ht="22.5" customHeight="1">
      <c r="A2806" s="12">
        <f>IFERROR(__xludf.DUMMYFUNCTION("""COMPUTED_VALUE"""),757.0)</f>
        <v>757</v>
      </c>
      <c r="B2806" s="13">
        <f>IFERROR(__xludf.DUMMYFUNCTION("""COMPUTED_VALUE"""),45520.0)</f>
        <v>45520</v>
      </c>
      <c r="C2806" s="12">
        <f>IFERROR(__xludf.DUMMYFUNCTION("""COMPUTED_VALUE"""),52.0)</f>
        <v>52</v>
      </c>
      <c r="D2806" s="12">
        <f>IFERROR(__xludf.DUMMYFUNCTION("""COMPUTED_VALUE"""),4.0)</f>
        <v>4</v>
      </c>
      <c r="E2806" s="12">
        <f>IFERROR(__xludf.DUMMYFUNCTION("""COMPUTED_VALUE"""),6.0)</f>
        <v>6</v>
      </c>
      <c r="F2806" s="12">
        <f>IFERROR(__xludf.DUMMYFUNCTION("""COMPUTED_VALUE"""),4.0)</f>
        <v>4</v>
      </c>
      <c r="G2806" s="15" t="str">
        <f>IFERROR(__xludf.DUMMYFUNCTION("""COMPUTED_VALUE"""),"Completa")</f>
        <v>Completa</v>
      </c>
      <c r="H2806" s="16" t="str">
        <f t="array" ref="H2806">_xlfn.XLOOKUP(D2806,Productos[ID_Producto],Productos[Nombre_Producto])</f>
        <v>Queso rallado</v>
      </c>
      <c r="I2806" s="17">
        <f t="array" ref="I2806">_xlfn.XLOOKUP(D2806,Productos[ID_Producto],Productos[Precio_Unitario])</f>
        <v>19.23</v>
      </c>
      <c r="J2806" s="17">
        <f t="shared" si="1"/>
        <v>115.38</v>
      </c>
      <c r="K2806" s="16" t="str">
        <f t="array" ref="K2806">_xlfn.XLOOKUP(C2806,Clientes[ID_Cliente],Clientes[Provincia])</f>
        <v>Neuquén</v>
      </c>
      <c r="L2806" s="16" t="str">
        <f t="array" ref="L2806">CONCATENATE(_xlfn.XLOOKUP(C2806,Clientes[ID_Cliente],Clientes[Provincia]),", Argentina")</f>
        <v>Neuquén, Argentina</v>
      </c>
      <c r="M2806" s="20" t="str">
        <f t="array" ref="M2806">_xlfn.XLOOKUP(F2806,Metodos_De_Pago[ID_Metodo],Metodos_De_Pago[Metodo])</f>
        <v>Mercado Pago</v>
      </c>
      <c r="N2806" s="20" t="str">
        <f t="shared" si="2"/>
        <v>2024 08</v>
      </c>
    </row>
    <row r="2807" ht="22.5" customHeight="1">
      <c r="A2807" s="12">
        <f>IFERROR(__xludf.DUMMYFUNCTION("""COMPUTED_VALUE"""),1438.0)</f>
        <v>1438</v>
      </c>
      <c r="B2807" s="13">
        <f>IFERROR(__xludf.DUMMYFUNCTION("""COMPUTED_VALUE"""),45520.0)</f>
        <v>45520</v>
      </c>
      <c r="C2807" s="12">
        <f>IFERROR(__xludf.DUMMYFUNCTION("""COMPUTED_VALUE"""),101.0)</f>
        <v>101</v>
      </c>
      <c r="D2807" s="12">
        <f>IFERROR(__xludf.DUMMYFUNCTION("""COMPUTED_VALUE"""),16.0)</f>
        <v>16</v>
      </c>
      <c r="E2807" s="12">
        <f>IFERROR(__xludf.DUMMYFUNCTION("""COMPUTED_VALUE"""),6.0)</f>
        <v>6</v>
      </c>
      <c r="F2807" s="12">
        <f>IFERROR(__xludf.DUMMYFUNCTION("""COMPUTED_VALUE"""),3.0)</f>
        <v>3</v>
      </c>
      <c r="G2807" s="15" t="str">
        <f>IFERROR(__xludf.DUMMYFUNCTION("""COMPUTED_VALUE"""),"Completa")</f>
        <v>Completa</v>
      </c>
      <c r="H2807" s="16" t="str">
        <f t="array" ref="H2807">_xlfn.XLOOKUP(D2807,Productos[ID_Producto],Productos[Nombre_Producto])</f>
        <v>Tortas</v>
      </c>
      <c r="I2807" s="17">
        <f t="array" ref="I2807">_xlfn.XLOOKUP(D2807,Productos[ID_Producto],Productos[Precio_Unitario])</f>
        <v>15.23</v>
      </c>
      <c r="J2807" s="17">
        <f t="shared" si="1"/>
        <v>91.38</v>
      </c>
      <c r="K2807" s="16" t="str">
        <f t="array" ref="K2807">_xlfn.XLOOKUP(C2807,Clientes[ID_Cliente],Clientes[Provincia])</f>
        <v>Buenos Aires</v>
      </c>
      <c r="L2807" s="16" t="str">
        <f t="array" ref="L2807">CONCATENATE(_xlfn.XLOOKUP(C2807,Clientes[ID_Cliente],Clientes[Provincia]),", Argentina")</f>
        <v>Buenos Aires, Argentina</v>
      </c>
      <c r="M2807" s="20" t="str">
        <f t="array" ref="M2807">_xlfn.XLOOKUP(F2807,Metodos_De_Pago[ID_Metodo],Metodos_De_Pago[Metodo])</f>
        <v>Tarjeta de Débito</v>
      </c>
      <c r="N2807" s="20" t="str">
        <f t="shared" si="2"/>
        <v>2024 08</v>
      </c>
    </row>
    <row r="2808" ht="22.5" customHeight="1">
      <c r="A2808" s="12">
        <f>IFERROR(__xludf.DUMMYFUNCTION("""COMPUTED_VALUE"""),676.0)</f>
        <v>676</v>
      </c>
      <c r="B2808" s="13">
        <f>IFERROR(__xludf.DUMMYFUNCTION("""COMPUTED_VALUE"""),45521.0)</f>
        <v>45521</v>
      </c>
      <c r="C2808" s="12">
        <f>IFERROR(__xludf.DUMMYFUNCTION("""COMPUTED_VALUE"""),291.0)</f>
        <v>291</v>
      </c>
      <c r="D2808" s="12">
        <f>IFERROR(__xludf.DUMMYFUNCTION("""COMPUTED_VALUE"""),38.0)</f>
        <v>38</v>
      </c>
      <c r="E2808" s="12">
        <f>IFERROR(__xludf.DUMMYFUNCTION("""COMPUTED_VALUE"""),6.0)</f>
        <v>6</v>
      </c>
      <c r="F2808" s="12">
        <f>IFERROR(__xludf.DUMMYFUNCTION("""COMPUTED_VALUE"""),1.0)</f>
        <v>1</v>
      </c>
      <c r="G2808" s="15" t="str">
        <f>IFERROR(__xludf.DUMMYFUNCTION("""COMPUTED_VALUE"""),"Completa")</f>
        <v>Completa</v>
      </c>
      <c r="H2808" s="16" t="str">
        <f t="array" ref="H2808">_xlfn.XLOOKUP(D2808,Productos[ID_Producto],Productos[Nombre_Producto])</f>
        <v>Atún enlatado</v>
      </c>
      <c r="I2808" s="17">
        <f t="array" ref="I2808">_xlfn.XLOOKUP(D2808,Productos[ID_Producto],Productos[Precio_Unitario])</f>
        <v>6.21</v>
      </c>
      <c r="J2808" s="17">
        <f t="shared" si="1"/>
        <v>37.26</v>
      </c>
      <c r="K2808" s="16" t="str">
        <f t="array" ref="K2808">_xlfn.XLOOKUP(C2808,Clientes[ID_Cliente],Clientes[Provincia])</f>
        <v>Chaco</v>
      </c>
      <c r="L2808" s="16" t="str">
        <f t="array" ref="L2808">CONCATENATE(_xlfn.XLOOKUP(C2808,Clientes[ID_Cliente],Clientes[Provincia]),", Argentina")</f>
        <v>Chaco, Argentina</v>
      </c>
      <c r="M2808" s="20" t="str">
        <f t="array" ref="M2808">_xlfn.XLOOKUP(F2808,Metodos_De_Pago[ID_Metodo],Metodos_De_Pago[Metodo])</f>
        <v>Efectivo</v>
      </c>
      <c r="N2808" s="20" t="str">
        <f t="shared" si="2"/>
        <v>2024 08</v>
      </c>
    </row>
    <row r="2809" ht="22.5" customHeight="1">
      <c r="A2809" s="12">
        <f>IFERROR(__xludf.DUMMYFUNCTION("""COMPUTED_VALUE"""),2056.0)</f>
        <v>2056</v>
      </c>
      <c r="B2809" s="13">
        <f>IFERROR(__xludf.DUMMYFUNCTION("""COMPUTED_VALUE"""),45522.0)</f>
        <v>45522</v>
      </c>
      <c r="C2809" s="12">
        <f>IFERROR(__xludf.DUMMYFUNCTION("""COMPUTED_VALUE"""),320.0)</f>
        <v>320</v>
      </c>
      <c r="D2809" s="12">
        <f>IFERROR(__xludf.DUMMYFUNCTION("""COMPUTED_VALUE"""),36.0)</f>
        <v>36</v>
      </c>
      <c r="E2809" s="12">
        <f>IFERROR(__xludf.DUMMYFUNCTION("""COMPUTED_VALUE"""),6.0)</f>
        <v>6</v>
      </c>
      <c r="F2809" s="12">
        <f>IFERROR(__xludf.DUMMYFUNCTION("""COMPUTED_VALUE"""),4.0)</f>
        <v>4</v>
      </c>
      <c r="G2809" s="15" t="str">
        <f>IFERROR(__xludf.DUMMYFUNCTION("""COMPUTED_VALUE"""),"Pendiente")</f>
        <v>Pendiente</v>
      </c>
      <c r="H2809" s="16" t="str">
        <f t="array" ref="H2809">_xlfn.XLOOKUP(D2809,Productos[ID_Producto],Productos[Nombre_Producto])</f>
        <v>Lentejas</v>
      </c>
      <c r="I2809" s="17">
        <f t="array" ref="I2809">_xlfn.XLOOKUP(D2809,Productos[ID_Producto],Productos[Precio_Unitario])</f>
        <v>3.25</v>
      </c>
      <c r="J2809" s="17">
        <f t="shared" si="1"/>
        <v>19.5</v>
      </c>
      <c r="K2809" s="16" t="str">
        <f t="array" ref="K2809">_xlfn.XLOOKUP(C2809,Clientes[ID_Cliente],Clientes[Provincia])</f>
        <v>Córdoba</v>
      </c>
      <c r="L2809" s="16" t="str">
        <f t="array" ref="L2809">CONCATENATE(_xlfn.XLOOKUP(C2809,Clientes[ID_Cliente],Clientes[Provincia]),", Argentina")</f>
        <v>Córdoba, Argentina</v>
      </c>
      <c r="M2809" s="20" t="str">
        <f t="array" ref="M2809">_xlfn.XLOOKUP(F2809,Metodos_De_Pago[ID_Metodo],Metodos_De_Pago[Metodo])</f>
        <v>Mercado Pago</v>
      </c>
      <c r="N2809" s="20" t="str">
        <f t="shared" si="2"/>
        <v>2024 08</v>
      </c>
    </row>
    <row r="2810" ht="22.5" customHeight="1">
      <c r="A2810" s="12">
        <f>IFERROR(__xludf.DUMMYFUNCTION("""COMPUTED_VALUE"""),1443.0)</f>
        <v>1443</v>
      </c>
      <c r="B2810" s="13">
        <f>IFERROR(__xludf.DUMMYFUNCTION("""COMPUTED_VALUE"""),45524.0)</f>
        <v>45524</v>
      </c>
      <c r="C2810" s="12">
        <f>IFERROR(__xludf.DUMMYFUNCTION("""COMPUTED_VALUE"""),168.0)</f>
        <v>168</v>
      </c>
      <c r="D2810" s="12">
        <f>IFERROR(__xludf.DUMMYFUNCTION("""COMPUTED_VALUE"""),1.0)</f>
        <v>1</v>
      </c>
      <c r="E2810" s="12">
        <f>IFERROR(__xludf.DUMMYFUNCTION("""COMPUTED_VALUE"""),6.0)</f>
        <v>6</v>
      </c>
      <c r="F2810" s="12">
        <f>IFERROR(__xludf.DUMMYFUNCTION("""COMPUTED_VALUE"""),4.0)</f>
        <v>4</v>
      </c>
      <c r="G2810" s="15" t="str">
        <f>IFERROR(__xludf.DUMMYFUNCTION("""COMPUTED_VALUE"""),"Completa")</f>
        <v>Completa</v>
      </c>
      <c r="H2810" s="16" t="str">
        <f t="array" ref="H2810">_xlfn.XLOOKUP(D2810,Productos[ID_Producto],Productos[Nombre_Producto])</f>
        <v>Leche</v>
      </c>
      <c r="I2810" s="17">
        <f t="array" ref="I2810">_xlfn.XLOOKUP(D2810,Productos[ID_Producto],Productos[Precio_Unitario])</f>
        <v>12.24</v>
      </c>
      <c r="J2810" s="17">
        <f t="shared" si="1"/>
        <v>73.44</v>
      </c>
      <c r="K2810" s="16" t="str">
        <f t="array" ref="K2810">_xlfn.XLOOKUP(C2810,Clientes[ID_Cliente],Clientes[Provincia])</f>
        <v>Córdoba</v>
      </c>
      <c r="L2810" s="16" t="str">
        <f t="array" ref="L2810">CONCATENATE(_xlfn.XLOOKUP(C2810,Clientes[ID_Cliente],Clientes[Provincia]),", Argentina")</f>
        <v>Córdoba, Argentina</v>
      </c>
      <c r="M2810" s="20" t="str">
        <f t="array" ref="M2810">_xlfn.XLOOKUP(F2810,Metodos_De_Pago[ID_Metodo],Metodos_De_Pago[Metodo])</f>
        <v>Mercado Pago</v>
      </c>
      <c r="N2810" s="20" t="str">
        <f t="shared" si="2"/>
        <v>2024 08</v>
      </c>
    </row>
    <row r="2811" ht="22.5" customHeight="1">
      <c r="A2811" s="12">
        <f>IFERROR(__xludf.DUMMYFUNCTION("""COMPUTED_VALUE"""),1859.0)</f>
        <v>1859</v>
      </c>
      <c r="B2811" s="13">
        <f>IFERROR(__xludf.DUMMYFUNCTION("""COMPUTED_VALUE"""),45524.0)</f>
        <v>45524</v>
      </c>
      <c r="C2811" s="12">
        <f>IFERROR(__xludf.DUMMYFUNCTION("""COMPUTED_VALUE"""),57.0)</f>
        <v>57</v>
      </c>
      <c r="D2811" s="12">
        <f>IFERROR(__xludf.DUMMYFUNCTION("""COMPUTED_VALUE"""),11.0)</f>
        <v>11</v>
      </c>
      <c r="E2811" s="12">
        <f>IFERROR(__xludf.DUMMYFUNCTION("""COMPUTED_VALUE"""),6.0)</f>
        <v>6</v>
      </c>
      <c r="F2811" s="12">
        <f>IFERROR(__xludf.DUMMYFUNCTION("""COMPUTED_VALUE"""),4.0)</f>
        <v>4</v>
      </c>
      <c r="G2811" s="15" t="str">
        <f>IFERROR(__xludf.DUMMYFUNCTION("""COMPUTED_VALUE"""),"Pendiente")</f>
        <v>Pendiente</v>
      </c>
      <c r="H2811" s="16" t="str">
        <f t="array" ref="H2811">_xlfn.XLOOKUP(D2811,Productos[ID_Producto],Productos[Nombre_Producto])</f>
        <v>Salchicha</v>
      </c>
      <c r="I2811" s="17">
        <f t="array" ref="I2811">_xlfn.XLOOKUP(D2811,Productos[ID_Producto],Productos[Precio_Unitario])</f>
        <v>11.23</v>
      </c>
      <c r="J2811" s="17">
        <f t="shared" si="1"/>
        <v>67.38</v>
      </c>
      <c r="K2811" s="16" t="str">
        <f t="array" ref="K2811">_xlfn.XLOOKUP(C2811,Clientes[ID_Cliente],Clientes[Provincia])</f>
        <v>Córdoba</v>
      </c>
      <c r="L2811" s="16" t="str">
        <f t="array" ref="L2811">CONCATENATE(_xlfn.XLOOKUP(C2811,Clientes[ID_Cliente],Clientes[Provincia]),", Argentina")</f>
        <v>Córdoba, Argentina</v>
      </c>
      <c r="M2811" s="20" t="str">
        <f t="array" ref="M2811">_xlfn.XLOOKUP(F2811,Metodos_De_Pago[ID_Metodo],Metodos_De_Pago[Metodo])</f>
        <v>Mercado Pago</v>
      </c>
      <c r="N2811" s="20" t="str">
        <f t="shared" si="2"/>
        <v>2024 08</v>
      </c>
    </row>
    <row r="2812" ht="22.5" customHeight="1">
      <c r="A2812" s="12">
        <f>IFERROR(__xludf.DUMMYFUNCTION("""COMPUTED_VALUE"""),2165.0)</f>
        <v>2165</v>
      </c>
      <c r="B2812" s="13">
        <f>IFERROR(__xludf.DUMMYFUNCTION("""COMPUTED_VALUE"""),45524.0)</f>
        <v>45524</v>
      </c>
      <c r="C2812" s="12">
        <f>IFERROR(__xludf.DUMMYFUNCTION("""COMPUTED_VALUE"""),106.0)</f>
        <v>106</v>
      </c>
      <c r="D2812" s="12">
        <f>IFERROR(__xludf.DUMMYFUNCTION("""COMPUTED_VALUE"""),30.0)</f>
        <v>30</v>
      </c>
      <c r="E2812" s="12">
        <f>IFERROR(__xludf.DUMMYFUNCTION("""COMPUTED_VALUE"""),6.0)</f>
        <v>6</v>
      </c>
      <c r="F2812" s="12">
        <f>IFERROR(__xludf.DUMMYFUNCTION("""COMPUTED_VALUE"""),1.0)</f>
        <v>1</v>
      </c>
      <c r="G2812" s="15" t="str">
        <f>IFERROR(__xludf.DUMMYFUNCTION("""COMPUTED_VALUE"""),"Completa")</f>
        <v>Completa</v>
      </c>
      <c r="H2812" s="16" t="str">
        <f t="array" ref="H2812">_xlfn.XLOOKUP(D2812,Productos[ID_Producto],Productos[Nombre_Producto])</f>
        <v>Vino tinto</v>
      </c>
      <c r="I2812" s="17">
        <f t="array" ref="I2812">_xlfn.XLOOKUP(D2812,Productos[ID_Producto],Productos[Precio_Unitario])</f>
        <v>13.54</v>
      </c>
      <c r="J2812" s="17">
        <f t="shared" si="1"/>
        <v>81.24</v>
      </c>
      <c r="K2812" s="16" t="str">
        <f t="array" ref="K2812">_xlfn.XLOOKUP(C2812,Clientes[ID_Cliente],Clientes[Provincia])</f>
        <v>Chaco</v>
      </c>
      <c r="L2812" s="16" t="str">
        <f t="array" ref="L2812">CONCATENATE(_xlfn.XLOOKUP(C2812,Clientes[ID_Cliente],Clientes[Provincia]),", Argentina")</f>
        <v>Chaco, Argentina</v>
      </c>
      <c r="M2812" s="20" t="str">
        <f t="array" ref="M2812">_xlfn.XLOOKUP(F2812,Metodos_De_Pago[ID_Metodo],Metodos_De_Pago[Metodo])</f>
        <v>Efectivo</v>
      </c>
      <c r="N2812" s="20" t="str">
        <f t="shared" si="2"/>
        <v>2024 08</v>
      </c>
    </row>
    <row r="2813" ht="22.5" customHeight="1">
      <c r="A2813" s="12">
        <f>IFERROR(__xludf.DUMMYFUNCTION("""COMPUTED_VALUE"""),358.0)</f>
        <v>358</v>
      </c>
      <c r="B2813" s="13">
        <f>IFERROR(__xludf.DUMMYFUNCTION("""COMPUTED_VALUE"""),45525.0)</f>
        <v>45525</v>
      </c>
      <c r="C2813" s="12">
        <f>IFERROR(__xludf.DUMMYFUNCTION("""COMPUTED_VALUE"""),193.0)</f>
        <v>193</v>
      </c>
      <c r="D2813" s="12">
        <f>IFERROR(__xludf.DUMMYFUNCTION("""COMPUTED_VALUE"""),4.0)</f>
        <v>4</v>
      </c>
      <c r="E2813" s="12">
        <f>IFERROR(__xludf.DUMMYFUNCTION("""COMPUTED_VALUE"""),6.0)</f>
        <v>6</v>
      </c>
      <c r="F2813" s="12">
        <f>IFERROR(__xludf.DUMMYFUNCTION("""COMPUTED_VALUE"""),3.0)</f>
        <v>3</v>
      </c>
      <c r="G2813" s="15" t="str">
        <f>IFERROR(__xludf.DUMMYFUNCTION("""COMPUTED_VALUE"""),"Completa")</f>
        <v>Completa</v>
      </c>
      <c r="H2813" s="16" t="str">
        <f t="array" ref="H2813">_xlfn.XLOOKUP(D2813,Productos[ID_Producto],Productos[Nombre_Producto])</f>
        <v>Queso rallado</v>
      </c>
      <c r="I2813" s="17">
        <f t="array" ref="I2813">_xlfn.XLOOKUP(D2813,Productos[ID_Producto],Productos[Precio_Unitario])</f>
        <v>19.23</v>
      </c>
      <c r="J2813" s="17">
        <f t="shared" si="1"/>
        <v>115.38</v>
      </c>
      <c r="K2813" s="16" t="str">
        <f t="array" ref="K2813">_xlfn.XLOOKUP(C2813,Clientes[ID_Cliente],Clientes[Provincia])</f>
        <v>Buenos Aires</v>
      </c>
      <c r="L2813" s="16" t="str">
        <f t="array" ref="L2813">CONCATENATE(_xlfn.XLOOKUP(C2813,Clientes[ID_Cliente],Clientes[Provincia]),", Argentina")</f>
        <v>Buenos Aires, Argentina</v>
      </c>
      <c r="M2813" s="20" t="str">
        <f t="array" ref="M2813">_xlfn.XLOOKUP(F2813,Metodos_De_Pago[ID_Metodo],Metodos_De_Pago[Metodo])</f>
        <v>Tarjeta de Débito</v>
      </c>
      <c r="N2813" s="20" t="str">
        <f t="shared" si="2"/>
        <v>2024 08</v>
      </c>
    </row>
    <row r="2814" ht="22.5" customHeight="1">
      <c r="A2814" s="12">
        <f>IFERROR(__xludf.DUMMYFUNCTION("""COMPUTED_VALUE"""),247.0)</f>
        <v>247</v>
      </c>
      <c r="B2814" s="13">
        <f>IFERROR(__xludf.DUMMYFUNCTION("""COMPUTED_VALUE"""),45526.0)</f>
        <v>45526</v>
      </c>
      <c r="C2814" s="12">
        <f>IFERROR(__xludf.DUMMYFUNCTION("""COMPUTED_VALUE"""),63.0)</f>
        <v>63</v>
      </c>
      <c r="D2814" s="12">
        <f>IFERROR(__xludf.DUMMYFUNCTION("""COMPUTED_VALUE"""),32.0)</f>
        <v>32</v>
      </c>
      <c r="E2814" s="12">
        <f>IFERROR(__xludf.DUMMYFUNCTION("""COMPUTED_VALUE"""),6.0)</f>
        <v>6</v>
      </c>
      <c r="F2814" s="12">
        <f>IFERROR(__xludf.DUMMYFUNCTION("""COMPUTED_VALUE"""),4.0)</f>
        <v>4</v>
      </c>
      <c r="G2814" s="15" t="str">
        <f>IFERROR(__xludf.DUMMYFUNCTION("""COMPUTED_VALUE"""),"Completa")</f>
        <v>Completa</v>
      </c>
      <c r="H2814" s="16" t="str">
        <f t="array" ref="H2814">_xlfn.XLOOKUP(D2814,Productos[ID_Producto],Productos[Nombre_Producto])</f>
        <v>Galletitas de chocolate</v>
      </c>
      <c r="I2814" s="17">
        <f t="array" ref="I2814">_xlfn.XLOOKUP(D2814,Productos[ID_Producto],Productos[Precio_Unitario])</f>
        <v>6.25</v>
      </c>
      <c r="J2814" s="17">
        <f t="shared" si="1"/>
        <v>37.5</v>
      </c>
      <c r="K2814" s="16" t="str">
        <f t="array" ref="K2814">_xlfn.XLOOKUP(C2814,Clientes[ID_Cliente],Clientes[Provincia])</f>
        <v>Buenos Aires</v>
      </c>
      <c r="L2814" s="16" t="str">
        <f t="array" ref="L2814">CONCATENATE(_xlfn.XLOOKUP(C2814,Clientes[ID_Cliente],Clientes[Provincia]),", Argentina")</f>
        <v>Buenos Aires, Argentina</v>
      </c>
      <c r="M2814" s="20" t="str">
        <f t="array" ref="M2814">_xlfn.XLOOKUP(F2814,Metodos_De_Pago[ID_Metodo],Metodos_De_Pago[Metodo])</f>
        <v>Mercado Pago</v>
      </c>
      <c r="N2814" s="20" t="str">
        <f t="shared" si="2"/>
        <v>2024 08</v>
      </c>
    </row>
    <row r="2815" ht="22.5" customHeight="1">
      <c r="A2815" s="12">
        <f>IFERROR(__xludf.DUMMYFUNCTION("""COMPUTED_VALUE"""),498.0)</f>
        <v>498</v>
      </c>
      <c r="B2815" s="13">
        <f>IFERROR(__xludf.DUMMYFUNCTION("""COMPUTED_VALUE"""),45526.0)</f>
        <v>45526</v>
      </c>
      <c r="C2815" s="12">
        <f>IFERROR(__xludf.DUMMYFUNCTION("""COMPUTED_VALUE"""),299.0)</f>
        <v>299</v>
      </c>
      <c r="D2815" s="12">
        <f>IFERROR(__xludf.DUMMYFUNCTION("""COMPUTED_VALUE"""),20.0)</f>
        <v>20</v>
      </c>
      <c r="E2815" s="12">
        <f>IFERROR(__xludf.DUMMYFUNCTION("""COMPUTED_VALUE"""),6.0)</f>
        <v>6</v>
      </c>
      <c r="F2815" s="12">
        <f>IFERROR(__xludf.DUMMYFUNCTION("""COMPUTED_VALUE"""),3.0)</f>
        <v>3</v>
      </c>
      <c r="G2815" s="15" t="str">
        <f>IFERROR(__xludf.DUMMYFUNCTION("""COMPUTED_VALUE"""),"Completa")</f>
        <v>Completa</v>
      </c>
      <c r="H2815" s="16" t="str">
        <f t="array" ref="H2815">_xlfn.XLOOKUP(D2815,Productos[ID_Producto],Productos[Nombre_Producto])</f>
        <v>Lechugas</v>
      </c>
      <c r="I2815" s="17">
        <f t="array" ref="I2815">_xlfn.XLOOKUP(D2815,Productos[ID_Producto],Productos[Precio_Unitario])</f>
        <v>4.25</v>
      </c>
      <c r="J2815" s="17">
        <f t="shared" si="1"/>
        <v>25.5</v>
      </c>
      <c r="K2815" s="16" t="str">
        <f t="array" ref="K2815">_xlfn.XLOOKUP(C2815,Clientes[ID_Cliente],Clientes[Provincia])</f>
        <v>San Luis</v>
      </c>
      <c r="L2815" s="16" t="str">
        <f t="array" ref="L2815">CONCATENATE(_xlfn.XLOOKUP(C2815,Clientes[ID_Cliente],Clientes[Provincia]),", Argentina")</f>
        <v>San Luis, Argentina</v>
      </c>
      <c r="M2815" s="20" t="str">
        <f t="array" ref="M2815">_xlfn.XLOOKUP(F2815,Metodos_De_Pago[ID_Metodo],Metodos_De_Pago[Metodo])</f>
        <v>Tarjeta de Débito</v>
      </c>
      <c r="N2815" s="20" t="str">
        <f t="shared" si="2"/>
        <v>2024 08</v>
      </c>
    </row>
    <row r="2816" ht="22.5" customHeight="1">
      <c r="A2816" s="12">
        <f>IFERROR(__xludf.DUMMYFUNCTION("""COMPUTED_VALUE"""),2299.0)</f>
        <v>2299</v>
      </c>
      <c r="B2816" s="13">
        <f>IFERROR(__xludf.DUMMYFUNCTION("""COMPUTED_VALUE"""),45526.0)</f>
        <v>45526</v>
      </c>
      <c r="C2816" s="12">
        <f>IFERROR(__xludf.DUMMYFUNCTION("""COMPUTED_VALUE"""),236.0)</f>
        <v>236</v>
      </c>
      <c r="D2816" s="12">
        <f>IFERROR(__xludf.DUMMYFUNCTION("""COMPUTED_VALUE"""),34.0)</f>
        <v>34</v>
      </c>
      <c r="E2816" s="12">
        <f>IFERROR(__xludf.DUMMYFUNCTION("""COMPUTED_VALUE"""),6.0)</f>
        <v>6</v>
      </c>
      <c r="F2816" s="12">
        <f>IFERROR(__xludf.DUMMYFUNCTION("""COMPUTED_VALUE"""),5.0)</f>
        <v>5</v>
      </c>
      <c r="G2816" s="15" t="str">
        <f>IFERROR(__xludf.DUMMYFUNCTION("""COMPUTED_VALUE"""),"Completa")</f>
        <v>Completa</v>
      </c>
      <c r="H2816" s="16" t="str">
        <f t="array" ref="H2816">_xlfn.XLOOKUP(D2816,Productos[ID_Producto],Productos[Nombre_Producto])</f>
        <v>Maníes</v>
      </c>
      <c r="I2816" s="17">
        <f t="array" ref="I2816">_xlfn.XLOOKUP(D2816,Productos[ID_Producto],Productos[Precio_Unitario])</f>
        <v>5.45</v>
      </c>
      <c r="J2816" s="17">
        <f t="shared" si="1"/>
        <v>32.7</v>
      </c>
      <c r="K2816" s="16" t="str">
        <f t="array" ref="K2816">_xlfn.XLOOKUP(C2816,Clientes[ID_Cliente],Clientes[Provincia])</f>
        <v>Buenos Aires</v>
      </c>
      <c r="L2816" s="16" t="str">
        <f t="array" ref="L2816">CONCATENATE(_xlfn.XLOOKUP(C2816,Clientes[ID_Cliente],Clientes[Provincia]),", Argentina")</f>
        <v>Buenos Aires, Argentina</v>
      </c>
      <c r="M2816" s="20" t="str">
        <f t="array" ref="M2816">_xlfn.XLOOKUP(F2816,Metodos_De_Pago[ID_Metodo],Metodos_De_Pago[Metodo])</f>
        <v>Transferencia</v>
      </c>
      <c r="N2816" s="20" t="str">
        <f t="shared" si="2"/>
        <v>2024 08</v>
      </c>
    </row>
    <row r="2817" ht="22.5" customHeight="1">
      <c r="A2817" s="12">
        <f>IFERROR(__xludf.DUMMYFUNCTION("""COMPUTED_VALUE"""),1793.0)</f>
        <v>1793</v>
      </c>
      <c r="B2817" s="13">
        <f>IFERROR(__xludf.DUMMYFUNCTION("""COMPUTED_VALUE"""),45527.0)</f>
        <v>45527</v>
      </c>
      <c r="C2817" s="12">
        <f>IFERROR(__xludf.DUMMYFUNCTION("""COMPUTED_VALUE"""),275.0)</f>
        <v>275</v>
      </c>
      <c r="D2817" s="12">
        <f>IFERROR(__xludf.DUMMYFUNCTION("""COMPUTED_VALUE"""),6.0)</f>
        <v>6</v>
      </c>
      <c r="E2817" s="12">
        <f>IFERROR(__xludf.DUMMYFUNCTION("""COMPUTED_VALUE"""),6.0)</f>
        <v>6</v>
      </c>
      <c r="F2817" s="12">
        <f>IFERROR(__xludf.DUMMYFUNCTION("""COMPUTED_VALUE"""),4.0)</f>
        <v>4</v>
      </c>
      <c r="G2817" s="15" t="str">
        <f>IFERROR(__xludf.DUMMYFUNCTION("""COMPUTED_VALUE"""),"Completa")</f>
        <v>Completa</v>
      </c>
      <c r="H2817" s="16" t="str">
        <f t="array" ref="H2817">_xlfn.XLOOKUP(D2817,Productos[ID_Producto],Productos[Nombre_Producto])</f>
        <v>Asado</v>
      </c>
      <c r="I2817" s="17">
        <f t="array" ref="I2817">_xlfn.XLOOKUP(D2817,Productos[ID_Producto],Productos[Precio_Unitario])</f>
        <v>28.56</v>
      </c>
      <c r="J2817" s="17">
        <f t="shared" si="1"/>
        <v>171.36</v>
      </c>
      <c r="K2817" s="16" t="str">
        <f t="array" ref="K2817">_xlfn.XLOOKUP(C2817,Clientes[ID_Cliente],Clientes[Provincia])</f>
        <v>Buenos Aires</v>
      </c>
      <c r="L2817" s="16" t="str">
        <f t="array" ref="L2817">CONCATENATE(_xlfn.XLOOKUP(C2817,Clientes[ID_Cliente],Clientes[Provincia]),", Argentina")</f>
        <v>Buenos Aires, Argentina</v>
      </c>
      <c r="M2817" s="20" t="str">
        <f t="array" ref="M2817">_xlfn.XLOOKUP(F2817,Metodos_De_Pago[ID_Metodo],Metodos_De_Pago[Metodo])</f>
        <v>Mercado Pago</v>
      </c>
      <c r="N2817" s="20" t="str">
        <f t="shared" si="2"/>
        <v>2024 08</v>
      </c>
    </row>
    <row r="2818" ht="22.5" customHeight="1">
      <c r="A2818" s="12">
        <f>IFERROR(__xludf.DUMMYFUNCTION("""COMPUTED_VALUE"""),2839.0)</f>
        <v>2839</v>
      </c>
      <c r="B2818" s="13">
        <f>IFERROR(__xludf.DUMMYFUNCTION("""COMPUTED_VALUE"""),45527.0)</f>
        <v>45527</v>
      </c>
      <c r="C2818" s="12">
        <f>IFERROR(__xludf.DUMMYFUNCTION("""COMPUTED_VALUE"""),54.0)</f>
        <v>54</v>
      </c>
      <c r="D2818" s="12">
        <f>IFERROR(__xludf.DUMMYFUNCTION("""COMPUTED_VALUE"""),37.0)</f>
        <v>37</v>
      </c>
      <c r="E2818" s="12">
        <f>IFERROR(__xludf.DUMMYFUNCTION("""COMPUTED_VALUE"""),6.0)</f>
        <v>6</v>
      </c>
      <c r="F2818" s="12">
        <f>IFERROR(__xludf.DUMMYFUNCTION("""COMPUTED_VALUE"""),3.0)</f>
        <v>3</v>
      </c>
      <c r="G2818" s="15" t="str">
        <f>IFERROR(__xludf.DUMMYFUNCTION("""COMPUTED_VALUE"""),"Completa")</f>
        <v>Completa</v>
      </c>
      <c r="H2818" s="16" t="str">
        <f t="array" ref="H2818">_xlfn.XLOOKUP(D2818,Productos[ID_Producto],Productos[Nombre_Producto])</f>
        <v>Garbanzos</v>
      </c>
      <c r="I2818" s="17">
        <f t="array" ref="I2818">_xlfn.XLOOKUP(D2818,Productos[ID_Producto],Productos[Precio_Unitario])</f>
        <v>3.65</v>
      </c>
      <c r="J2818" s="17">
        <f t="shared" si="1"/>
        <v>21.9</v>
      </c>
      <c r="K2818" s="16" t="str">
        <f t="array" ref="K2818">_xlfn.XLOOKUP(C2818,Clientes[ID_Cliente],Clientes[Provincia])</f>
        <v>Buenos Aires</v>
      </c>
      <c r="L2818" s="16" t="str">
        <f t="array" ref="L2818">CONCATENATE(_xlfn.XLOOKUP(C2818,Clientes[ID_Cliente],Clientes[Provincia]),", Argentina")</f>
        <v>Buenos Aires, Argentina</v>
      </c>
      <c r="M2818" s="20" t="str">
        <f t="array" ref="M2818">_xlfn.XLOOKUP(F2818,Metodos_De_Pago[ID_Metodo],Metodos_De_Pago[Metodo])</f>
        <v>Tarjeta de Débito</v>
      </c>
      <c r="N2818" s="20" t="str">
        <f t="shared" si="2"/>
        <v>2024 08</v>
      </c>
    </row>
    <row r="2819" ht="22.5" customHeight="1">
      <c r="A2819" s="12">
        <f>IFERROR(__xludf.DUMMYFUNCTION("""COMPUTED_VALUE"""),732.0)</f>
        <v>732</v>
      </c>
      <c r="B2819" s="13">
        <f>IFERROR(__xludf.DUMMYFUNCTION("""COMPUTED_VALUE"""),45528.0)</f>
        <v>45528</v>
      </c>
      <c r="C2819" s="12">
        <f>IFERROR(__xludf.DUMMYFUNCTION("""COMPUTED_VALUE"""),155.0)</f>
        <v>155</v>
      </c>
      <c r="D2819" s="12">
        <f>IFERROR(__xludf.DUMMYFUNCTION("""COMPUTED_VALUE"""),13.0)</f>
        <v>13</v>
      </c>
      <c r="E2819" s="12">
        <f>IFERROR(__xludf.DUMMYFUNCTION("""COMPUTED_VALUE"""),6.0)</f>
        <v>6</v>
      </c>
      <c r="F2819" s="12">
        <f>IFERROR(__xludf.DUMMYFUNCTION("""COMPUTED_VALUE"""),1.0)</f>
        <v>1</v>
      </c>
      <c r="G2819" s="15" t="str">
        <f>IFERROR(__xludf.DUMMYFUNCTION("""COMPUTED_VALUE"""),"Completa")</f>
        <v>Completa</v>
      </c>
      <c r="H2819" s="16" t="str">
        <f t="array" ref="H2819">_xlfn.XLOOKUP(D2819,Productos[ID_Producto],Productos[Nombre_Producto])</f>
        <v>Pan integral</v>
      </c>
      <c r="I2819" s="17">
        <f t="array" ref="I2819">_xlfn.XLOOKUP(D2819,Productos[ID_Producto],Productos[Precio_Unitario])</f>
        <v>12.56</v>
      </c>
      <c r="J2819" s="17">
        <f t="shared" si="1"/>
        <v>75.36</v>
      </c>
      <c r="K2819" s="16" t="str">
        <f t="array" ref="K2819">_xlfn.XLOOKUP(C2819,Clientes[ID_Cliente],Clientes[Provincia])</f>
        <v>San Luis</v>
      </c>
      <c r="L2819" s="16" t="str">
        <f t="array" ref="L2819">CONCATENATE(_xlfn.XLOOKUP(C2819,Clientes[ID_Cliente],Clientes[Provincia]),", Argentina")</f>
        <v>San Luis, Argentina</v>
      </c>
      <c r="M2819" s="20" t="str">
        <f t="array" ref="M2819">_xlfn.XLOOKUP(F2819,Metodos_De_Pago[ID_Metodo],Metodos_De_Pago[Metodo])</f>
        <v>Efectivo</v>
      </c>
      <c r="N2819" s="20" t="str">
        <f t="shared" si="2"/>
        <v>2024 08</v>
      </c>
    </row>
    <row r="2820" ht="22.5" customHeight="1">
      <c r="A2820" s="12">
        <f>IFERROR(__xludf.DUMMYFUNCTION("""COMPUTED_VALUE"""),23.0)</f>
        <v>23</v>
      </c>
      <c r="B2820" s="13">
        <f>IFERROR(__xludf.DUMMYFUNCTION("""COMPUTED_VALUE"""),45529.0)</f>
        <v>45529</v>
      </c>
      <c r="C2820" s="12">
        <f>IFERROR(__xludf.DUMMYFUNCTION("""COMPUTED_VALUE"""),4.0)</f>
        <v>4</v>
      </c>
      <c r="D2820" s="12">
        <f>IFERROR(__xludf.DUMMYFUNCTION("""COMPUTED_VALUE"""),34.0)</f>
        <v>34</v>
      </c>
      <c r="E2820" s="12">
        <f>IFERROR(__xludf.DUMMYFUNCTION("""COMPUTED_VALUE"""),6.0)</f>
        <v>6</v>
      </c>
      <c r="F2820" s="12">
        <f>IFERROR(__xludf.DUMMYFUNCTION("""COMPUTED_VALUE"""),1.0)</f>
        <v>1</v>
      </c>
      <c r="G2820" s="15" t="str">
        <f>IFERROR(__xludf.DUMMYFUNCTION("""COMPUTED_VALUE"""),"Completa")</f>
        <v>Completa</v>
      </c>
      <c r="H2820" s="16" t="str">
        <f t="array" ref="H2820">_xlfn.XLOOKUP(D2820,Productos[ID_Producto],Productos[Nombre_Producto])</f>
        <v>Maníes</v>
      </c>
      <c r="I2820" s="17">
        <f t="array" ref="I2820">_xlfn.XLOOKUP(D2820,Productos[ID_Producto],Productos[Precio_Unitario])</f>
        <v>5.45</v>
      </c>
      <c r="J2820" s="17">
        <f t="shared" si="1"/>
        <v>32.7</v>
      </c>
      <c r="K2820" s="16" t="str">
        <f t="array" ref="K2820">_xlfn.XLOOKUP(C2820,Clientes[ID_Cliente],Clientes[Provincia])</f>
        <v>Buenos Aires</v>
      </c>
      <c r="L2820" s="16" t="str">
        <f t="array" ref="L2820">CONCATENATE(_xlfn.XLOOKUP(C2820,Clientes[ID_Cliente],Clientes[Provincia]),", Argentina")</f>
        <v>Buenos Aires, Argentina</v>
      </c>
      <c r="M2820" s="20" t="str">
        <f t="array" ref="M2820">_xlfn.XLOOKUP(F2820,Metodos_De_Pago[ID_Metodo],Metodos_De_Pago[Metodo])</f>
        <v>Efectivo</v>
      </c>
      <c r="N2820" s="20" t="str">
        <f t="shared" si="2"/>
        <v>2024 08</v>
      </c>
    </row>
    <row r="2821" ht="22.5" customHeight="1">
      <c r="A2821" s="12">
        <f>IFERROR(__xludf.DUMMYFUNCTION("""COMPUTED_VALUE"""),917.0)</f>
        <v>917</v>
      </c>
      <c r="B2821" s="13">
        <f>IFERROR(__xludf.DUMMYFUNCTION("""COMPUTED_VALUE"""),45529.0)</f>
        <v>45529</v>
      </c>
      <c r="C2821" s="12">
        <f>IFERROR(__xludf.DUMMYFUNCTION("""COMPUTED_VALUE"""),275.0)</f>
        <v>275</v>
      </c>
      <c r="D2821" s="12">
        <f>IFERROR(__xludf.DUMMYFUNCTION("""COMPUTED_VALUE"""),13.0)</f>
        <v>13</v>
      </c>
      <c r="E2821" s="12">
        <f>IFERROR(__xludf.DUMMYFUNCTION("""COMPUTED_VALUE"""),6.0)</f>
        <v>6</v>
      </c>
      <c r="F2821" s="12">
        <f>IFERROR(__xludf.DUMMYFUNCTION("""COMPUTED_VALUE"""),1.0)</f>
        <v>1</v>
      </c>
      <c r="G2821" s="15" t="str">
        <f>IFERROR(__xludf.DUMMYFUNCTION("""COMPUTED_VALUE"""),"Completa")</f>
        <v>Completa</v>
      </c>
      <c r="H2821" s="16" t="str">
        <f t="array" ref="H2821">_xlfn.XLOOKUP(D2821,Productos[ID_Producto],Productos[Nombre_Producto])</f>
        <v>Pan integral</v>
      </c>
      <c r="I2821" s="17">
        <f t="array" ref="I2821">_xlfn.XLOOKUP(D2821,Productos[ID_Producto],Productos[Precio_Unitario])</f>
        <v>12.56</v>
      </c>
      <c r="J2821" s="17">
        <f t="shared" si="1"/>
        <v>75.36</v>
      </c>
      <c r="K2821" s="16" t="str">
        <f t="array" ref="K2821">_xlfn.XLOOKUP(C2821,Clientes[ID_Cliente],Clientes[Provincia])</f>
        <v>Buenos Aires</v>
      </c>
      <c r="L2821" s="16" t="str">
        <f t="array" ref="L2821">CONCATENATE(_xlfn.XLOOKUP(C2821,Clientes[ID_Cliente],Clientes[Provincia]),", Argentina")</f>
        <v>Buenos Aires, Argentina</v>
      </c>
      <c r="M2821" s="20" t="str">
        <f t="array" ref="M2821">_xlfn.XLOOKUP(F2821,Metodos_De_Pago[ID_Metodo],Metodos_De_Pago[Metodo])</f>
        <v>Efectivo</v>
      </c>
      <c r="N2821" s="20" t="str">
        <f t="shared" si="2"/>
        <v>2024 08</v>
      </c>
    </row>
    <row r="2822" ht="22.5" customHeight="1">
      <c r="A2822" s="12">
        <f>IFERROR(__xludf.DUMMYFUNCTION("""COMPUTED_VALUE"""),1310.0)</f>
        <v>1310</v>
      </c>
      <c r="B2822" s="13">
        <f>IFERROR(__xludf.DUMMYFUNCTION("""COMPUTED_VALUE"""),45529.0)</f>
        <v>45529</v>
      </c>
      <c r="C2822" s="12">
        <f>IFERROR(__xludf.DUMMYFUNCTION("""COMPUTED_VALUE"""),179.0)</f>
        <v>179</v>
      </c>
      <c r="D2822" s="12">
        <f>IFERROR(__xludf.DUMMYFUNCTION("""COMPUTED_VALUE"""),23.0)</f>
        <v>23</v>
      </c>
      <c r="E2822" s="12">
        <f>IFERROR(__xludf.DUMMYFUNCTION("""COMPUTED_VALUE"""),6.0)</f>
        <v>6</v>
      </c>
      <c r="F2822" s="12">
        <f>IFERROR(__xludf.DUMMYFUNCTION("""COMPUTED_VALUE"""),2.0)</f>
        <v>2</v>
      </c>
      <c r="G2822" s="15" t="str">
        <f>IFERROR(__xludf.DUMMYFUNCTION("""COMPUTED_VALUE"""),"Completa")</f>
        <v>Completa</v>
      </c>
      <c r="H2822" s="16" t="str">
        <f t="array" ref="H2822">_xlfn.XLOOKUP(D2822,Productos[ID_Producto],Productos[Nombre_Producto])</f>
        <v>Papas fritas</v>
      </c>
      <c r="I2822" s="17">
        <f t="array" ref="I2822">_xlfn.XLOOKUP(D2822,Productos[ID_Producto],Productos[Precio_Unitario])</f>
        <v>8.23</v>
      </c>
      <c r="J2822" s="17">
        <f t="shared" si="1"/>
        <v>49.38</v>
      </c>
      <c r="K2822" s="16" t="str">
        <f t="array" ref="K2822">_xlfn.XLOOKUP(C2822,Clientes[ID_Cliente],Clientes[Provincia])</f>
        <v>Buenos Aires</v>
      </c>
      <c r="L2822" s="16" t="str">
        <f t="array" ref="L2822">CONCATENATE(_xlfn.XLOOKUP(C2822,Clientes[ID_Cliente],Clientes[Provincia]),", Argentina")</f>
        <v>Buenos Aires, Argentina</v>
      </c>
      <c r="M2822" s="20" t="str">
        <f t="array" ref="M2822">_xlfn.XLOOKUP(F2822,Metodos_De_Pago[ID_Metodo],Metodos_De_Pago[Metodo])</f>
        <v>Tarjeta de Crédito</v>
      </c>
      <c r="N2822" s="20" t="str">
        <f t="shared" si="2"/>
        <v>2024 08</v>
      </c>
    </row>
    <row r="2823" ht="22.5" customHeight="1">
      <c r="A2823" s="12">
        <f>IFERROR(__xludf.DUMMYFUNCTION("""COMPUTED_VALUE"""),719.0)</f>
        <v>719</v>
      </c>
      <c r="B2823" s="13">
        <f>IFERROR(__xludf.DUMMYFUNCTION("""COMPUTED_VALUE"""),45530.0)</f>
        <v>45530</v>
      </c>
      <c r="C2823" s="12">
        <f>IFERROR(__xludf.DUMMYFUNCTION("""COMPUTED_VALUE"""),148.0)</f>
        <v>148</v>
      </c>
      <c r="D2823" s="12">
        <f>IFERROR(__xludf.DUMMYFUNCTION("""COMPUTED_VALUE"""),17.0)</f>
        <v>17</v>
      </c>
      <c r="E2823" s="12">
        <f>IFERROR(__xludf.DUMMYFUNCTION("""COMPUTED_VALUE"""),6.0)</f>
        <v>6</v>
      </c>
      <c r="F2823" s="12">
        <f>IFERROR(__xludf.DUMMYFUNCTION("""COMPUTED_VALUE"""),5.0)</f>
        <v>5</v>
      </c>
      <c r="G2823" s="15" t="str">
        <f>IFERROR(__xludf.DUMMYFUNCTION("""COMPUTED_VALUE"""),"Completa")</f>
        <v>Completa</v>
      </c>
      <c r="H2823" s="16" t="str">
        <f t="array" ref="H2823">_xlfn.XLOOKUP(D2823,Productos[ID_Producto],Productos[Nombre_Producto])</f>
        <v>Manzanas</v>
      </c>
      <c r="I2823" s="17">
        <f t="array" ref="I2823">_xlfn.XLOOKUP(D2823,Productos[ID_Producto],Productos[Precio_Unitario])</f>
        <v>6.54</v>
      </c>
      <c r="J2823" s="17">
        <f t="shared" si="1"/>
        <v>39.24</v>
      </c>
      <c r="K2823" s="16" t="str">
        <f t="array" ref="K2823">_xlfn.XLOOKUP(C2823,Clientes[ID_Cliente],Clientes[Provincia])</f>
        <v>Córdoba</v>
      </c>
      <c r="L2823" s="16" t="str">
        <f t="array" ref="L2823">CONCATENATE(_xlfn.XLOOKUP(C2823,Clientes[ID_Cliente],Clientes[Provincia]),", Argentina")</f>
        <v>Córdoba, Argentina</v>
      </c>
      <c r="M2823" s="20" t="str">
        <f t="array" ref="M2823">_xlfn.XLOOKUP(F2823,Metodos_De_Pago[ID_Metodo],Metodos_De_Pago[Metodo])</f>
        <v>Transferencia</v>
      </c>
      <c r="N2823" s="20" t="str">
        <f t="shared" si="2"/>
        <v>2024 08</v>
      </c>
    </row>
    <row r="2824" ht="22.5" customHeight="1">
      <c r="A2824" s="12">
        <f>IFERROR(__xludf.DUMMYFUNCTION("""COMPUTED_VALUE"""),2664.0)</f>
        <v>2664</v>
      </c>
      <c r="B2824" s="13">
        <f>IFERROR(__xludf.DUMMYFUNCTION("""COMPUTED_VALUE"""),45530.0)</f>
        <v>45530</v>
      </c>
      <c r="C2824" s="12">
        <f>IFERROR(__xludf.DUMMYFUNCTION("""COMPUTED_VALUE"""),284.0)</f>
        <v>284</v>
      </c>
      <c r="D2824" s="12">
        <f>IFERROR(__xludf.DUMMYFUNCTION("""COMPUTED_VALUE"""),8.0)</f>
        <v>8</v>
      </c>
      <c r="E2824" s="12">
        <f>IFERROR(__xludf.DUMMYFUNCTION("""COMPUTED_VALUE"""),6.0)</f>
        <v>6</v>
      </c>
      <c r="F2824" s="12">
        <f>IFERROR(__xludf.DUMMYFUNCTION("""COMPUTED_VALUE"""),5.0)</f>
        <v>5</v>
      </c>
      <c r="G2824" s="15" t="str">
        <f>IFERROR(__xludf.DUMMYFUNCTION("""COMPUTED_VALUE"""),"Completa")</f>
        <v>Completa</v>
      </c>
      <c r="H2824" s="16" t="str">
        <f t="array" ref="H2824">_xlfn.XLOOKUP(D2824,Productos[ID_Producto],Productos[Nombre_Producto])</f>
        <v>Milanesa</v>
      </c>
      <c r="I2824" s="17">
        <f t="array" ref="I2824">_xlfn.XLOOKUP(D2824,Productos[ID_Producto],Productos[Precio_Unitario])</f>
        <v>16.21</v>
      </c>
      <c r="J2824" s="17">
        <f t="shared" si="1"/>
        <v>97.26</v>
      </c>
      <c r="K2824" s="16" t="str">
        <f t="array" ref="K2824">_xlfn.XLOOKUP(C2824,Clientes[ID_Cliente],Clientes[Provincia])</f>
        <v>Salta</v>
      </c>
      <c r="L2824" s="16" t="str">
        <f t="array" ref="L2824">CONCATENATE(_xlfn.XLOOKUP(C2824,Clientes[ID_Cliente],Clientes[Provincia]),", Argentina")</f>
        <v>Salta, Argentina</v>
      </c>
      <c r="M2824" s="20" t="str">
        <f t="array" ref="M2824">_xlfn.XLOOKUP(F2824,Metodos_De_Pago[ID_Metodo],Metodos_De_Pago[Metodo])</f>
        <v>Transferencia</v>
      </c>
      <c r="N2824" s="20" t="str">
        <f t="shared" si="2"/>
        <v>2024 08</v>
      </c>
    </row>
    <row r="2825" ht="22.5" customHeight="1">
      <c r="A2825" s="12">
        <f>IFERROR(__xludf.DUMMYFUNCTION("""COMPUTED_VALUE"""),601.0)</f>
        <v>601</v>
      </c>
      <c r="B2825" s="13">
        <f>IFERROR(__xludf.DUMMYFUNCTION("""COMPUTED_VALUE"""),45533.0)</f>
        <v>45533</v>
      </c>
      <c r="C2825" s="12">
        <f>IFERROR(__xludf.DUMMYFUNCTION("""COMPUTED_VALUE"""),193.0)</f>
        <v>193</v>
      </c>
      <c r="D2825" s="12">
        <f>IFERROR(__xludf.DUMMYFUNCTION("""COMPUTED_VALUE"""),25.0)</f>
        <v>25</v>
      </c>
      <c r="E2825" s="12">
        <f>IFERROR(__xludf.DUMMYFUNCTION("""COMPUTED_VALUE"""),6.0)</f>
        <v>6</v>
      </c>
      <c r="F2825" s="12">
        <f>IFERROR(__xludf.DUMMYFUNCTION("""COMPUTED_VALUE"""),5.0)</f>
        <v>5</v>
      </c>
      <c r="G2825" s="15" t="str">
        <f>IFERROR(__xludf.DUMMYFUNCTION("""COMPUTED_VALUE"""),"Completa")</f>
        <v>Completa</v>
      </c>
      <c r="H2825" s="16" t="str">
        <f t="array" ref="H2825">_xlfn.XLOOKUP(D2825,Productos[ID_Producto],Productos[Nombre_Producto])</f>
        <v>Pizza congelada</v>
      </c>
      <c r="I2825" s="17">
        <f t="array" ref="I2825">_xlfn.XLOOKUP(D2825,Productos[ID_Producto],Productos[Precio_Unitario])</f>
        <v>15.45</v>
      </c>
      <c r="J2825" s="17">
        <f t="shared" si="1"/>
        <v>92.7</v>
      </c>
      <c r="K2825" s="16" t="str">
        <f t="array" ref="K2825">_xlfn.XLOOKUP(C2825,Clientes[ID_Cliente],Clientes[Provincia])</f>
        <v>Buenos Aires</v>
      </c>
      <c r="L2825" s="16" t="str">
        <f t="array" ref="L2825">CONCATENATE(_xlfn.XLOOKUP(C2825,Clientes[ID_Cliente],Clientes[Provincia]),", Argentina")</f>
        <v>Buenos Aires, Argentina</v>
      </c>
      <c r="M2825" s="20" t="str">
        <f t="array" ref="M2825">_xlfn.XLOOKUP(F2825,Metodos_De_Pago[ID_Metodo],Metodos_De_Pago[Metodo])</f>
        <v>Transferencia</v>
      </c>
      <c r="N2825" s="20" t="str">
        <f t="shared" si="2"/>
        <v>2024 08</v>
      </c>
    </row>
    <row r="2826" ht="22.5" customHeight="1">
      <c r="A2826" s="12">
        <f>IFERROR(__xludf.DUMMYFUNCTION("""COMPUTED_VALUE"""),943.0)</f>
        <v>943</v>
      </c>
      <c r="B2826" s="13">
        <f>IFERROR(__xludf.DUMMYFUNCTION("""COMPUTED_VALUE"""),45533.0)</f>
        <v>45533</v>
      </c>
      <c r="C2826" s="12">
        <f>IFERROR(__xludf.DUMMYFUNCTION("""COMPUTED_VALUE"""),56.0)</f>
        <v>56</v>
      </c>
      <c r="D2826" s="12">
        <f>IFERROR(__xludf.DUMMYFUNCTION("""COMPUTED_VALUE"""),5.0)</f>
        <v>5</v>
      </c>
      <c r="E2826" s="12">
        <f>IFERROR(__xludf.DUMMYFUNCTION("""COMPUTED_VALUE"""),6.0)</f>
        <v>6</v>
      </c>
      <c r="F2826" s="12">
        <f>IFERROR(__xludf.DUMMYFUNCTION("""COMPUTED_VALUE"""),3.0)</f>
        <v>3</v>
      </c>
      <c r="G2826" s="15" t="str">
        <f>IFERROR(__xludf.DUMMYFUNCTION("""COMPUTED_VALUE"""),"Completa")</f>
        <v>Completa</v>
      </c>
      <c r="H2826" s="16" t="str">
        <f t="array" ref="H2826">_xlfn.XLOOKUP(D2826,Productos[ID_Producto],Productos[Nombre_Producto])</f>
        <v>Manteca</v>
      </c>
      <c r="I2826" s="17">
        <f t="array" ref="I2826">_xlfn.XLOOKUP(D2826,Productos[ID_Producto],Productos[Precio_Unitario])</f>
        <v>5.65</v>
      </c>
      <c r="J2826" s="17">
        <f t="shared" si="1"/>
        <v>33.9</v>
      </c>
      <c r="K2826" s="16" t="str">
        <f t="array" ref="K2826">_xlfn.XLOOKUP(C2826,Clientes[ID_Cliente],Clientes[Provincia])</f>
        <v>Córdoba</v>
      </c>
      <c r="L2826" s="16" t="str">
        <f t="array" ref="L2826">CONCATENATE(_xlfn.XLOOKUP(C2826,Clientes[ID_Cliente],Clientes[Provincia]),", Argentina")</f>
        <v>Córdoba, Argentina</v>
      </c>
      <c r="M2826" s="20" t="str">
        <f t="array" ref="M2826">_xlfn.XLOOKUP(F2826,Metodos_De_Pago[ID_Metodo],Metodos_De_Pago[Metodo])</f>
        <v>Tarjeta de Débito</v>
      </c>
      <c r="N2826" s="20" t="str">
        <f t="shared" si="2"/>
        <v>2024 08</v>
      </c>
    </row>
    <row r="2827" ht="22.5" customHeight="1">
      <c r="A2827" s="12">
        <f>IFERROR(__xludf.DUMMYFUNCTION("""COMPUTED_VALUE"""),2923.0)</f>
        <v>2923</v>
      </c>
      <c r="B2827" s="13">
        <f>IFERROR(__xludf.DUMMYFUNCTION("""COMPUTED_VALUE"""),45535.0)</f>
        <v>45535</v>
      </c>
      <c r="C2827" s="12">
        <f>IFERROR(__xludf.DUMMYFUNCTION("""COMPUTED_VALUE"""),214.0)</f>
        <v>214</v>
      </c>
      <c r="D2827" s="12">
        <f>IFERROR(__xludf.DUMMYFUNCTION("""COMPUTED_VALUE"""),10.0)</f>
        <v>10</v>
      </c>
      <c r="E2827" s="12">
        <f>IFERROR(__xludf.DUMMYFUNCTION("""COMPUTED_VALUE"""),6.0)</f>
        <v>6</v>
      </c>
      <c r="F2827" s="12">
        <f>IFERROR(__xludf.DUMMYFUNCTION("""COMPUTED_VALUE"""),1.0)</f>
        <v>1</v>
      </c>
      <c r="G2827" s="15" t="str">
        <f>IFERROR(__xludf.DUMMYFUNCTION("""COMPUTED_VALUE"""),"Completa")</f>
        <v>Completa</v>
      </c>
      <c r="H2827" s="16" t="str">
        <f t="array" ref="H2827">_xlfn.XLOOKUP(D2827,Productos[ID_Producto],Productos[Nombre_Producto])</f>
        <v>Costilla de cerdo</v>
      </c>
      <c r="I2827" s="17">
        <f t="array" ref="I2827">_xlfn.XLOOKUP(D2827,Productos[ID_Producto],Productos[Precio_Unitario])</f>
        <v>14.25</v>
      </c>
      <c r="J2827" s="17">
        <f t="shared" si="1"/>
        <v>85.5</v>
      </c>
      <c r="K2827" s="16" t="str">
        <f t="array" ref="K2827">_xlfn.XLOOKUP(C2827,Clientes[ID_Cliente],Clientes[Provincia])</f>
        <v>Neuquén</v>
      </c>
      <c r="L2827" s="16" t="str">
        <f t="array" ref="L2827">CONCATENATE(_xlfn.XLOOKUP(C2827,Clientes[ID_Cliente],Clientes[Provincia]),", Argentina")</f>
        <v>Neuquén, Argentina</v>
      </c>
      <c r="M2827" s="20" t="str">
        <f t="array" ref="M2827">_xlfn.XLOOKUP(F2827,Metodos_De_Pago[ID_Metodo],Metodos_De_Pago[Metodo])</f>
        <v>Efectivo</v>
      </c>
      <c r="N2827" s="20" t="str">
        <f t="shared" si="2"/>
        <v>2024 08</v>
      </c>
    </row>
    <row r="2828" ht="22.5" customHeight="1">
      <c r="A2828" s="12">
        <f>IFERROR(__xludf.DUMMYFUNCTION("""COMPUTED_VALUE"""),203.0)</f>
        <v>203</v>
      </c>
      <c r="B2828" s="13">
        <f>IFERROR(__xludf.DUMMYFUNCTION("""COMPUTED_VALUE"""),45536.0)</f>
        <v>45536</v>
      </c>
      <c r="C2828" s="12">
        <f>IFERROR(__xludf.DUMMYFUNCTION("""COMPUTED_VALUE"""),322.0)</f>
        <v>322</v>
      </c>
      <c r="D2828" s="12">
        <f>IFERROR(__xludf.DUMMYFUNCTION("""COMPUTED_VALUE"""),31.0)</f>
        <v>31</v>
      </c>
      <c r="E2828" s="12">
        <f>IFERROR(__xludf.DUMMYFUNCTION("""COMPUTED_VALUE"""),6.0)</f>
        <v>6</v>
      </c>
      <c r="F2828" s="12">
        <f>IFERROR(__xludf.DUMMYFUNCTION("""COMPUTED_VALUE"""),3.0)</f>
        <v>3</v>
      </c>
      <c r="G2828" s="15" t="str">
        <f>IFERROR(__xludf.DUMMYFUNCTION("""COMPUTED_VALUE"""),"Completa")</f>
        <v>Completa</v>
      </c>
      <c r="H2828" s="16" t="str">
        <f t="array" ref="H2828">_xlfn.XLOOKUP(D2828,Productos[ID_Producto],Productos[Nombre_Producto])</f>
        <v>Galletitas de agua</v>
      </c>
      <c r="I2828" s="17">
        <f t="array" ref="I2828">_xlfn.XLOOKUP(D2828,Productos[ID_Producto],Productos[Precio_Unitario])</f>
        <v>5.24</v>
      </c>
      <c r="J2828" s="17">
        <f t="shared" si="1"/>
        <v>31.44</v>
      </c>
      <c r="K2828" s="16" t="str">
        <f t="array" ref="K2828">_xlfn.XLOOKUP(C2828,Clientes[ID_Cliente],Clientes[Provincia])</f>
        <v>Chaco</v>
      </c>
      <c r="L2828" s="16" t="str">
        <f t="array" ref="L2828">CONCATENATE(_xlfn.XLOOKUP(C2828,Clientes[ID_Cliente],Clientes[Provincia]),", Argentina")</f>
        <v>Chaco, Argentina</v>
      </c>
      <c r="M2828" s="20" t="str">
        <f t="array" ref="M2828">_xlfn.XLOOKUP(F2828,Metodos_De_Pago[ID_Metodo],Metodos_De_Pago[Metodo])</f>
        <v>Tarjeta de Débito</v>
      </c>
      <c r="N2828" s="20" t="str">
        <f t="shared" si="2"/>
        <v>2024 09</v>
      </c>
    </row>
    <row r="2829" ht="22.5" customHeight="1">
      <c r="A2829" s="12">
        <f>IFERROR(__xludf.DUMMYFUNCTION("""COMPUTED_VALUE"""),2226.0)</f>
        <v>2226</v>
      </c>
      <c r="B2829" s="13">
        <f>IFERROR(__xludf.DUMMYFUNCTION("""COMPUTED_VALUE"""),45536.0)</f>
        <v>45536</v>
      </c>
      <c r="C2829" s="12">
        <f>IFERROR(__xludf.DUMMYFUNCTION("""COMPUTED_VALUE"""),122.0)</f>
        <v>122</v>
      </c>
      <c r="D2829" s="12">
        <f>IFERROR(__xludf.DUMMYFUNCTION("""COMPUTED_VALUE"""),8.0)</f>
        <v>8</v>
      </c>
      <c r="E2829" s="12">
        <f>IFERROR(__xludf.DUMMYFUNCTION("""COMPUTED_VALUE"""),6.0)</f>
        <v>6</v>
      </c>
      <c r="F2829" s="12">
        <f>IFERROR(__xludf.DUMMYFUNCTION("""COMPUTED_VALUE"""),4.0)</f>
        <v>4</v>
      </c>
      <c r="G2829" s="15" t="str">
        <f>IFERROR(__xludf.DUMMYFUNCTION("""COMPUTED_VALUE"""),"Completa")</f>
        <v>Completa</v>
      </c>
      <c r="H2829" s="16" t="str">
        <f t="array" ref="H2829">_xlfn.XLOOKUP(D2829,Productos[ID_Producto],Productos[Nombre_Producto])</f>
        <v>Milanesa</v>
      </c>
      <c r="I2829" s="17">
        <f t="array" ref="I2829">_xlfn.XLOOKUP(D2829,Productos[ID_Producto],Productos[Precio_Unitario])</f>
        <v>16.21</v>
      </c>
      <c r="J2829" s="17">
        <f t="shared" si="1"/>
        <v>97.26</v>
      </c>
      <c r="K2829" s="16" t="str">
        <f t="array" ref="K2829">_xlfn.XLOOKUP(C2829,Clientes[ID_Cliente],Clientes[Provincia])</f>
        <v>Córdoba</v>
      </c>
      <c r="L2829" s="16" t="str">
        <f t="array" ref="L2829">CONCATENATE(_xlfn.XLOOKUP(C2829,Clientes[ID_Cliente],Clientes[Provincia]),", Argentina")</f>
        <v>Córdoba, Argentina</v>
      </c>
      <c r="M2829" s="20" t="str">
        <f t="array" ref="M2829">_xlfn.XLOOKUP(F2829,Metodos_De_Pago[ID_Metodo],Metodos_De_Pago[Metodo])</f>
        <v>Mercado Pago</v>
      </c>
      <c r="N2829" s="20" t="str">
        <f t="shared" si="2"/>
        <v>2024 09</v>
      </c>
    </row>
    <row r="2830" ht="22.5" customHeight="1">
      <c r="A2830" s="12">
        <f>IFERROR(__xludf.DUMMYFUNCTION("""COMPUTED_VALUE"""),2823.0)</f>
        <v>2823</v>
      </c>
      <c r="B2830" s="13">
        <f>IFERROR(__xludf.DUMMYFUNCTION("""COMPUTED_VALUE"""),45536.0)</f>
        <v>45536</v>
      </c>
      <c r="C2830" s="12">
        <f>IFERROR(__xludf.DUMMYFUNCTION("""COMPUTED_VALUE"""),91.0)</f>
        <v>91</v>
      </c>
      <c r="D2830" s="12">
        <f>IFERROR(__xludf.DUMMYFUNCTION("""COMPUTED_VALUE"""),32.0)</f>
        <v>32</v>
      </c>
      <c r="E2830" s="12">
        <f>IFERROR(__xludf.DUMMYFUNCTION("""COMPUTED_VALUE"""),6.0)</f>
        <v>6</v>
      </c>
      <c r="F2830" s="12">
        <f>IFERROR(__xludf.DUMMYFUNCTION("""COMPUTED_VALUE"""),5.0)</f>
        <v>5</v>
      </c>
      <c r="G2830" s="15" t="str">
        <f>IFERROR(__xludf.DUMMYFUNCTION("""COMPUTED_VALUE"""),"Pendiente")</f>
        <v>Pendiente</v>
      </c>
      <c r="H2830" s="16" t="str">
        <f t="array" ref="H2830">_xlfn.XLOOKUP(D2830,Productos[ID_Producto],Productos[Nombre_Producto])</f>
        <v>Galletitas de chocolate</v>
      </c>
      <c r="I2830" s="17">
        <f t="array" ref="I2830">_xlfn.XLOOKUP(D2830,Productos[ID_Producto],Productos[Precio_Unitario])</f>
        <v>6.25</v>
      </c>
      <c r="J2830" s="17">
        <f t="shared" si="1"/>
        <v>37.5</v>
      </c>
      <c r="K2830" s="16" t="str">
        <f t="array" ref="K2830">_xlfn.XLOOKUP(C2830,Clientes[ID_Cliente],Clientes[Provincia])</f>
        <v>Buenos Aires</v>
      </c>
      <c r="L2830" s="16" t="str">
        <f t="array" ref="L2830">CONCATENATE(_xlfn.XLOOKUP(C2830,Clientes[ID_Cliente],Clientes[Provincia]),", Argentina")</f>
        <v>Buenos Aires, Argentina</v>
      </c>
      <c r="M2830" s="20" t="str">
        <f t="array" ref="M2830">_xlfn.XLOOKUP(F2830,Metodos_De_Pago[ID_Metodo],Metodos_De_Pago[Metodo])</f>
        <v>Transferencia</v>
      </c>
      <c r="N2830" s="20" t="str">
        <f t="shared" si="2"/>
        <v>2024 09</v>
      </c>
    </row>
    <row r="2831" ht="22.5" customHeight="1">
      <c r="A2831" s="12">
        <f>IFERROR(__xludf.DUMMYFUNCTION("""COMPUTED_VALUE"""),810.0)</f>
        <v>810</v>
      </c>
      <c r="B2831" s="13">
        <f>IFERROR(__xludf.DUMMYFUNCTION("""COMPUTED_VALUE"""),45537.0)</f>
        <v>45537</v>
      </c>
      <c r="C2831" s="12">
        <f>IFERROR(__xludf.DUMMYFUNCTION("""COMPUTED_VALUE"""),40.0)</f>
        <v>40</v>
      </c>
      <c r="D2831" s="12">
        <f>IFERROR(__xludf.DUMMYFUNCTION("""COMPUTED_VALUE"""),24.0)</f>
        <v>24</v>
      </c>
      <c r="E2831" s="12">
        <f>IFERROR(__xludf.DUMMYFUNCTION("""COMPUTED_VALUE"""),6.0)</f>
        <v>6</v>
      </c>
      <c r="F2831" s="12">
        <f>IFERROR(__xludf.DUMMYFUNCTION("""COMPUTED_VALUE"""),4.0)</f>
        <v>4</v>
      </c>
      <c r="G2831" s="15" t="str">
        <f>IFERROR(__xludf.DUMMYFUNCTION("""COMPUTED_VALUE"""),"Completa")</f>
        <v>Completa</v>
      </c>
      <c r="H2831" s="16" t="str">
        <f t="array" ref="H2831">_xlfn.XLOOKUP(D2831,Productos[ID_Producto],Productos[Nombre_Producto])</f>
        <v>Empanadas</v>
      </c>
      <c r="I2831" s="17">
        <f t="array" ref="I2831">_xlfn.XLOOKUP(D2831,Productos[ID_Producto],Productos[Precio_Unitario])</f>
        <v>13.54</v>
      </c>
      <c r="J2831" s="17">
        <f t="shared" si="1"/>
        <v>81.24</v>
      </c>
      <c r="K2831" s="16" t="str">
        <f t="array" ref="K2831">_xlfn.XLOOKUP(C2831,Clientes[ID_Cliente],Clientes[Provincia])</f>
        <v>San Luis</v>
      </c>
      <c r="L2831" s="16" t="str">
        <f t="array" ref="L2831">CONCATENATE(_xlfn.XLOOKUP(C2831,Clientes[ID_Cliente],Clientes[Provincia]),", Argentina")</f>
        <v>San Luis, Argentina</v>
      </c>
      <c r="M2831" s="20" t="str">
        <f t="array" ref="M2831">_xlfn.XLOOKUP(F2831,Metodos_De_Pago[ID_Metodo],Metodos_De_Pago[Metodo])</f>
        <v>Mercado Pago</v>
      </c>
      <c r="N2831" s="20" t="str">
        <f t="shared" si="2"/>
        <v>2024 09</v>
      </c>
    </row>
    <row r="2832" ht="22.5" customHeight="1">
      <c r="A2832" s="12">
        <f>IFERROR(__xludf.DUMMYFUNCTION("""COMPUTED_VALUE"""),52.0)</f>
        <v>52</v>
      </c>
      <c r="B2832" s="13">
        <f>IFERROR(__xludf.DUMMYFUNCTION("""COMPUTED_VALUE"""),45539.0)</f>
        <v>45539</v>
      </c>
      <c r="C2832" s="12">
        <f>IFERROR(__xludf.DUMMYFUNCTION("""COMPUTED_VALUE"""),50.0)</f>
        <v>50</v>
      </c>
      <c r="D2832" s="12">
        <f>IFERROR(__xludf.DUMMYFUNCTION("""COMPUTED_VALUE"""),16.0)</f>
        <v>16</v>
      </c>
      <c r="E2832" s="12">
        <f>IFERROR(__xludf.DUMMYFUNCTION("""COMPUTED_VALUE"""),6.0)</f>
        <v>6</v>
      </c>
      <c r="F2832" s="12">
        <f>IFERROR(__xludf.DUMMYFUNCTION("""COMPUTED_VALUE"""),4.0)</f>
        <v>4</v>
      </c>
      <c r="G2832" s="15" t="str">
        <f>IFERROR(__xludf.DUMMYFUNCTION("""COMPUTED_VALUE"""),"Completa")</f>
        <v>Completa</v>
      </c>
      <c r="H2832" s="16" t="str">
        <f t="array" ref="H2832">_xlfn.XLOOKUP(D2832,Productos[ID_Producto],Productos[Nombre_Producto])</f>
        <v>Tortas</v>
      </c>
      <c r="I2832" s="17">
        <f t="array" ref="I2832">_xlfn.XLOOKUP(D2832,Productos[ID_Producto],Productos[Precio_Unitario])</f>
        <v>15.23</v>
      </c>
      <c r="J2832" s="17">
        <f t="shared" si="1"/>
        <v>91.38</v>
      </c>
      <c r="K2832" s="16" t="str">
        <f t="array" ref="K2832">_xlfn.XLOOKUP(C2832,Clientes[ID_Cliente],Clientes[Provincia])</f>
        <v>Buenos Aires</v>
      </c>
      <c r="L2832" s="16" t="str">
        <f t="array" ref="L2832">CONCATENATE(_xlfn.XLOOKUP(C2832,Clientes[ID_Cliente],Clientes[Provincia]),", Argentina")</f>
        <v>Buenos Aires, Argentina</v>
      </c>
      <c r="M2832" s="20" t="str">
        <f t="array" ref="M2832">_xlfn.XLOOKUP(F2832,Metodos_De_Pago[ID_Metodo],Metodos_De_Pago[Metodo])</f>
        <v>Mercado Pago</v>
      </c>
      <c r="N2832" s="20" t="str">
        <f t="shared" si="2"/>
        <v>2024 09</v>
      </c>
    </row>
    <row r="2833" ht="22.5" customHeight="1">
      <c r="A2833" s="12">
        <f>IFERROR(__xludf.DUMMYFUNCTION("""COMPUTED_VALUE"""),147.0)</f>
        <v>147</v>
      </c>
      <c r="B2833" s="13">
        <f>IFERROR(__xludf.DUMMYFUNCTION("""COMPUTED_VALUE"""),45540.0)</f>
        <v>45540</v>
      </c>
      <c r="C2833" s="12">
        <f>IFERROR(__xludf.DUMMYFUNCTION("""COMPUTED_VALUE"""),213.0)</f>
        <v>213</v>
      </c>
      <c r="D2833" s="12">
        <f>IFERROR(__xludf.DUMMYFUNCTION("""COMPUTED_VALUE"""),32.0)</f>
        <v>32</v>
      </c>
      <c r="E2833" s="12">
        <f>IFERROR(__xludf.DUMMYFUNCTION("""COMPUTED_VALUE"""),6.0)</f>
        <v>6</v>
      </c>
      <c r="F2833" s="12">
        <f>IFERROR(__xludf.DUMMYFUNCTION("""COMPUTED_VALUE"""),5.0)</f>
        <v>5</v>
      </c>
      <c r="G2833" s="15" t="str">
        <f>IFERROR(__xludf.DUMMYFUNCTION("""COMPUTED_VALUE"""),"Completa")</f>
        <v>Completa</v>
      </c>
      <c r="H2833" s="16" t="str">
        <f t="array" ref="H2833">_xlfn.XLOOKUP(D2833,Productos[ID_Producto],Productos[Nombre_Producto])</f>
        <v>Galletitas de chocolate</v>
      </c>
      <c r="I2833" s="17">
        <f t="array" ref="I2833">_xlfn.XLOOKUP(D2833,Productos[ID_Producto],Productos[Precio_Unitario])</f>
        <v>6.25</v>
      </c>
      <c r="J2833" s="17">
        <f t="shared" si="1"/>
        <v>37.5</v>
      </c>
      <c r="K2833" s="16" t="str">
        <f t="array" ref="K2833">_xlfn.XLOOKUP(C2833,Clientes[ID_Cliente],Clientes[Provincia])</f>
        <v>Córdoba</v>
      </c>
      <c r="L2833" s="16" t="str">
        <f t="array" ref="L2833">CONCATENATE(_xlfn.XLOOKUP(C2833,Clientes[ID_Cliente],Clientes[Provincia]),", Argentina")</f>
        <v>Córdoba, Argentina</v>
      </c>
      <c r="M2833" s="20" t="str">
        <f t="array" ref="M2833">_xlfn.XLOOKUP(F2833,Metodos_De_Pago[ID_Metodo],Metodos_De_Pago[Metodo])</f>
        <v>Transferencia</v>
      </c>
      <c r="N2833" s="20" t="str">
        <f t="shared" si="2"/>
        <v>2024 09</v>
      </c>
    </row>
    <row r="2834" ht="22.5" customHeight="1">
      <c r="A2834" s="12">
        <f>IFERROR(__xludf.DUMMYFUNCTION("""COMPUTED_VALUE"""),2459.0)</f>
        <v>2459</v>
      </c>
      <c r="B2834" s="13">
        <f>IFERROR(__xludf.DUMMYFUNCTION("""COMPUTED_VALUE"""),45542.0)</f>
        <v>45542</v>
      </c>
      <c r="C2834" s="12">
        <f>IFERROR(__xludf.DUMMYFUNCTION("""COMPUTED_VALUE"""),61.0)</f>
        <v>61</v>
      </c>
      <c r="D2834" s="12">
        <f>IFERROR(__xludf.DUMMYFUNCTION("""COMPUTED_VALUE"""),33.0)</f>
        <v>33</v>
      </c>
      <c r="E2834" s="12">
        <f>IFERROR(__xludf.DUMMYFUNCTION("""COMPUTED_VALUE"""),6.0)</f>
        <v>6</v>
      </c>
      <c r="F2834" s="12">
        <f>IFERROR(__xludf.DUMMYFUNCTION("""COMPUTED_VALUE"""),1.0)</f>
        <v>1</v>
      </c>
      <c r="G2834" s="15" t="str">
        <f>IFERROR(__xludf.DUMMYFUNCTION("""COMPUTED_VALUE"""),"Completa")</f>
        <v>Completa</v>
      </c>
      <c r="H2834" s="16" t="str">
        <f t="array" ref="H2834">_xlfn.XLOOKUP(D2834,Productos[ID_Producto],Productos[Nombre_Producto])</f>
        <v>Papas chips</v>
      </c>
      <c r="I2834" s="17">
        <f t="array" ref="I2834">_xlfn.XLOOKUP(D2834,Productos[ID_Producto],Productos[Precio_Unitario])</f>
        <v>8.54</v>
      </c>
      <c r="J2834" s="17">
        <f t="shared" si="1"/>
        <v>51.24</v>
      </c>
      <c r="K2834" s="16" t="str">
        <f t="array" ref="K2834">_xlfn.XLOOKUP(C2834,Clientes[ID_Cliente],Clientes[Provincia])</f>
        <v>Buenos Aires</v>
      </c>
      <c r="L2834" s="16" t="str">
        <f t="array" ref="L2834">CONCATENATE(_xlfn.XLOOKUP(C2834,Clientes[ID_Cliente],Clientes[Provincia]),", Argentina")</f>
        <v>Buenos Aires, Argentina</v>
      </c>
      <c r="M2834" s="20" t="str">
        <f t="array" ref="M2834">_xlfn.XLOOKUP(F2834,Metodos_De_Pago[ID_Metodo],Metodos_De_Pago[Metodo])</f>
        <v>Efectivo</v>
      </c>
      <c r="N2834" s="20" t="str">
        <f t="shared" si="2"/>
        <v>2024 09</v>
      </c>
    </row>
    <row r="2835" ht="22.5" customHeight="1">
      <c r="A2835" s="12">
        <f>IFERROR(__xludf.DUMMYFUNCTION("""COMPUTED_VALUE"""),83.0)</f>
        <v>83</v>
      </c>
      <c r="B2835" s="13">
        <f>IFERROR(__xludf.DUMMYFUNCTION("""COMPUTED_VALUE"""),45543.0)</f>
        <v>45543</v>
      </c>
      <c r="C2835" s="12">
        <f>IFERROR(__xludf.DUMMYFUNCTION("""COMPUTED_VALUE"""),187.0)</f>
        <v>187</v>
      </c>
      <c r="D2835" s="12">
        <f>IFERROR(__xludf.DUMMYFUNCTION("""COMPUTED_VALUE"""),2.0)</f>
        <v>2</v>
      </c>
      <c r="E2835" s="12">
        <f>IFERROR(__xludf.DUMMYFUNCTION("""COMPUTED_VALUE"""),6.0)</f>
        <v>6</v>
      </c>
      <c r="F2835" s="12">
        <f>IFERROR(__xludf.DUMMYFUNCTION("""COMPUTED_VALUE"""),4.0)</f>
        <v>4</v>
      </c>
      <c r="G2835" s="15" t="str">
        <f>IFERROR(__xludf.DUMMYFUNCTION("""COMPUTED_VALUE"""),"Completa")</f>
        <v>Completa</v>
      </c>
      <c r="H2835" s="16" t="str">
        <f t="array" ref="H2835">_xlfn.XLOOKUP(D2835,Productos[ID_Producto],Productos[Nombre_Producto])</f>
        <v>Yogur</v>
      </c>
      <c r="I2835" s="17">
        <f t="array" ref="I2835">_xlfn.XLOOKUP(D2835,Productos[ID_Producto],Productos[Precio_Unitario])</f>
        <v>5.21</v>
      </c>
      <c r="J2835" s="17">
        <f t="shared" si="1"/>
        <v>31.26</v>
      </c>
      <c r="K2835" s="16" t="str">
        <f t="array" ref="K2835">_xlfn.XLOOKUP(C2835,Clientes[ID_Cliente],Clientes[Provincia])</f>
        <v>Buenos Aires</v>
      </c>
      <c r="L2835" s="16" t="str">
        <f t="array" ref="L2835">CONCATENATE(_xlfn.XLOOKUP(C2835,Clientes[ID_Cliente],Clientes[Provincia]),", Argentina")</f>
        <v>Buenos Aires, Argentina</v>
      </c>
      <c r="M2835" s="20" t="str">
        <f t="array" ref="M2835">_xlfn.XLOOKUP(F2835,Metodos_De_Pago[ID_Metodo],Metodos_De_Pago[Metodo])</f>
        <v>Mercado Pago</v>
      </c>
      <c r="N2835" s="20" t="str">
        <f t="shared" si="2"/>
        <v>2024 09</v>
      </c>
    </row>
    <row r="2836" ht="22.5" customHeight="1">
      <c r="A2836" s="12">
        <f>IFERROR(__xludf.DUMMYFUNCTION("""COMPUTED_VALUE"""),527.0)</f>
        <v>527</v>
      </c>
      <c r="B2836" s="13">
        <f>IFERROR(__xludf.DUMMYFUNCTION("""COMPUTED_VALUE"""),45543.0)</f>
        <v>45543</v>
      </c>
      <c r="C2836" s="12">
        <f>IFERROR(__xludf.DUMMYFUNCTION("""COMPUTED_VALUE"""),13.0)</f>
        <v>13</v>
      </c>
      <c r="D2836" s="12">
        <f>IFERROR(__xludf.DUMMYFUNCTION("""COMPUTED_VALUE"""),10.0)</f>
        <v>10</v>
      </c>
      <c r="E2836" s="12">
        <f>IFERROR(__xludf.DUMMYFUNCTION("""COMPUTED_VALUE"""),6.0)</f>
        <v>6</v>
      </c>
      <c r="F2836" s="12">
        <f>IFERROR(__xludf.DUMMYFUNCTION("""COMPUTED_VALUE"""),3.0)</f>
        <v>3</v>
      </c>
      <c r="G2836" s="15" t="str">
        <f>IFERROR(__xludf.DUMMYFUNCTION("""COMPUTED_VALUE"""),"Completa")</f>
        <v>Completa</v>
      </c>
      <c r="H2836" s="16" t="str">
        <f t="array" ref="H2836">_xlfn.XLOOKUP(D2836,Productos[ID_Producto],Productos[Nombre_Producto])</f>
        <v>Costilla de cerdo</v>
      </c>
      <c r="I2836" s="17">
        <f t="array" ref="I2836">_xlfn.XLOOKUP(D2836,Productos[ID_Producto],Productos[Precio_Unitario])</f>
        <v>14.25</v>
      </c>
      <c r="J2836" s="17">
        <f t="shared" si="1"/>
        <v>85.5</v>
      </c>
      <c r="K2836" s="16" t="str">
        <f t="array" ref="K2836">_xlfn.XLOOKUP(C2836,Clientes[ID_Cliente],Clientes[Provincia])</f>
        <v>Córdoba</v>
      </c>
      <c r="L2836" s="16" t="str">
        <f t="array" ref="L2836">CONCATENATE(_xlfn.XLOOKUP(C2836,Clientes[ID_Cliente],Clientes[Provincia]),", Argentina")</f>
        <v>Córdoba, Argentina</v>
      </c>
      <c r="M2836" s="20" t="str">
        <f t="array" ref="M2836">_xlfn.XLOOKUP(F2836,Metodos_De_Pago[ID_Metodo],Metodos_De_Pago[Metodo])</f>
        <v>Tarjeta de Débito</v>
      </c>
      <c r="N2836" s="20" t="str">
        <f t="shared" si="2"/>
        <v>2024 09</v>
      </c>
    </row>
    <row r="2837" ht="22.5" customHeight="1">
      <c r="A2837" s="12">
        <f>IFERROR(__xludf.DUMMYFUNCTION("""COMPUTED_VALUE"""),761.0)</f>
        <v>761</v>
      </c>
      <c r="B2837" s="13">
        <f>IFERROR(__xludf.DUMMYFUNCTION("""COMPUTED_VALUE"""),45543.0)</f>
        <v>45543</v>
      </c>
      <c r="C2837" s="12">
        <f>IFERROR(__xludf.DUMMYFUNCTION("""COMPUTED_VALUE"""),16.0)</f>
        <v>16</v>
      </c>
      <c r="D2837" s="12">
        <f>IFERROR(__xludf.DUMMYFUNCTION("""COMPUTED_VALUE"""),34.0)</f>
        <v>34</v>
      </c>
      <c r="E2837" s="12">
        <f>IFERROR(__xludf.DUMMYFUNCTION("""COMPUTED_VALUE"""),6.0)</f>
        <v>6</v>
      </c>
      <c r="F2837" s="12">
        <f>IFERROR(__xludf.DUMMYFUNCTION("""COMPUTED_VALUE"""),5.0)</f>
        <v>5</v>
      </c>
      <c r="G2837" s="15" t="str">
        <f>IFERROR(__xludf.DUMMYFUNCTION("""COMPUTED_VALUE"""),"Completa")</f>
        <v>Completa</v>
      </c>
      <c r="H2837" s="16" t="str">
        <f t="array" ref="H2837">_xlfn.XLOOKUP(D2837,Productos[ID_Producto],Productos[Nombre_Producto])</f>
        <v>Maníes</v>
      </c>
      <c r="I2837" s="17">
        <f t="array" ref="I2837">_xlfn.XLOOKUP(D2837,Productos[ID_Producto],Productos[Precio_Unitario])</f>
        <v>5.45</v>
      </c>
      <c r="J2837" s="17">
        <f t="shared" si="1"/>
        <v>32.7</v>
      </c>
      <c r="K2837" s="16" t="str">
        <f t="array" ref="K2837">_xlfn.XLOOKUP(C2837,Clientes[ID_Cliente],Clientes[Provincia])</f>
        <v>Buenos Aires</v>
      </c>
      <c r="L2837" s="16" t="str">
        <f t="array" ref="L2837">CONCATENATE(_xlfn.XLOOKUP(C2837,Clientes[ID_Cliente],Clientes[Provincia]),", Argentina")</f>
        <v>Buenos Aires, Argentina</v>
      </c>
      <c r="M2837" s="20" t="str">
        <f t="array" ref="M2837">_xlfn.XLOOKUP(F2837,Metodos_De_Pago[ID_Metodo],Metodos_De_Pago[Metodo])</f>
        <v>Transferencia</v>
      </c>
      <c r="N2837" s="20" t="str">
        <f t="shared" si="2"/>
        <v>2024 09</v>
      </c>
    </row>
    <row r="2838" ht="22.5" customHeight="1">
      <c r="A2838" s="12">
        <f>IFERROR(__xludf.DUMMYFUNCTION("""COMPUTED_VALUE"""),1371.0)</f>
        <v>1371</v>
      </c>
      <c r="B2838" s="13">
        <f>IFERROR(__xludf.DUMMYFUNCTION("""COMPUTED_VALUE"""),45543.0)</f>
        <v>45543</v>
      </c>
      <c r="C2838" s="12">
        <f>IFERROR(__xludf.DUMMYFUNCTION("""COMPUTED_VALUE"""),72.0)</f>
        <v>72</v>
      </c>
      <c r="D2838" s="12">
        <f>IFERROR(__xludf.DUMMYFUNCTION("""COMPUTED_VALUE"""),15.0)</f>
        <v>15</v>
      </c>
      <c r="E2838" s="12">
        <f>IFERROR(__xludf.DUMMYFUNCTION("""COMPUTED_VALUE"""),6.0)</f>
        <v>6</v>
      </c>
      <c r="F2838" s="12">
        <f>IFERROR(__xludf.DUMMYFUNCTION("""COMPUTED_VALUE"""),3.0)</f>
        <v>3</v>
      </c>
      <c r="G2838" s="15" t="str">
        <f>IFERROR(__xludf.DUMMYFUNCTION("""COMPUTED_VALUE"""),"Completa")</f>
        <v>Completa</v>
      </c>
      <c r="H2838" s="16" t="str">
        <f t="array" ref="H2838">_xlfn.XLOOKUP(D2838,Productos[ID_Producto],Productos[Nombre_Producto])</f>
        <v>Medialunas</v>
      </c>
      <c r="I2838" s="17">
        <f t="array" ref="I2838">_xlfn.XLOOKUP(D2838,Productos[ID_Producto],Productos[Precio_Unitario])</f>
        <v>3.51</v>
      </c>
      <c r="J2838" s="17">
        <f t="shared" si="1"/>
        <v>21.06</v>
      </c>
      <c r="K2838" s="16" t="str">
        <f t="array" ref="K2838">_xlfn.XLOOKUP(C2838,Clientes[ID_Cliente],Clientes[Provincia])</f>
        <v>Córdoba</v>
      </c>
      <c r="L2838" s="16" t="str">
        <f t="array" ref="L2838">CONCATENATE(_xlfn.XLOOKUP(C2838,Clientes[ID_Cliente],Clientes[Provincia]),", Argentina")</f>
        <v>Córdoba, Argentina</v>
      </c>
      <c r="M2838" s="20" t="str">
        <f t="array" ref="M2838">_xlfn.XLOOKUP(F2838,Metodos_De_Pago[ID_Metodo],Metodos_De_Pago[Metodo])</f>
        <v>Tarjeta de Débito</v>
      </c>
      <c r="N2838" s="20" t="str">
        <f t="shared" si="2"/>
        <v>2024 09</v>
      </c>
    </row>
    <row r="2839" ht="22.5" customHeight="1">
      <c r="A2839" s="12">
        <f>IFERROR(__xludf.DUMMYFUNCTION("""COMPUTED_VALUE"""),322.0)</f>
        <v>322</v>
      </c>
      <c r="B2839" s="13">
        <f>IFERROR(__xludf.DUMMYFUNCTION("""COMPUTED_VALUE"""),45544.0)</f>
        <v>45544</v>
      </c>
      <c r="C2839" s="12">
        <f>IFERROR(__xludf.DUMMYFUNCTION("""COMPUTED_VALUE"""),97.0)</f>
        <v>97</v>
      </c>
      <c r="D2839" s="12">
        <f>IFERROR(__xludf.DUMMYFUNCTION("""COMPUTED_VALUE"""),9.0)</f>
        <v>9</v>
      </c>
      <c r="E2839" s="12">
        <f>IFERROR(__xludf.DUMMYFUNCTION("""COMPUTED_VALUE"""),6.0)</f>
        <v>6</v>
      </c>
      <c r="F2839" s="12">
        <f>IFERROR(__xludf.DUMMYFUNCTION("""COMPUTED_VALUE"""),5.0)</f>
        <v>5</v>
      </c>
      <c r="G2839" s="15" t="str">
        <f>IFERROR(__xludf.DUMMYFUNCTION("""COMPUTED_VALUE"""),"Completa")</f>
        <v>Completa</v>
      </c>
      <c r="H2839" s="16" t="str">
        <f t="array" ref="H2839">_xlfn.XLOOKUP(D2839,Productos[ID_Producto],Productos[Nombre_Producto])</f>
        <v>Pollo</v>
      </c>
      <c r="I2839" s="17">
        <f t="array" ref="I2839">_xlfn.XLOOKUP(D2839,Productos[ID_Producto],Productos[Precio_Unitario])</f>
        <v>18.56</v>
      </c>
      <c r="J2839" s="17">
        <f t="shared" si="1"/>
        <v>111.36</v>
      </c>
      <c r="K2839" s="16" t="str">
        <f t="array" ref="K2839">_xlfn.XLOOKUP(C2839,Clientes[ID_Cliente],Clientes[Provincia])</f>
        <v>Buenos Aires</v>
      </c>
      <c r="L2839" s="16" t="str">
        <f t="array" ref="L2839">CONCATENATE(_xlfn.XLOOKUP(C2839,Clientes[ID_Cliente],Clientes[Provincia]),", Argentina")</f>
        <v>Buenos Aires, Argentina</v>
      </c>
      <c r="M2839" s="20" t="str">
        <f t="array" ref="M2839">_xlfn.XLOOKUP(F2839,Metodos_De_Pago[ID_Metodo],Metodos_De_Pago[Metodo])</f>
        <v>Transferencia</v>
      </c>
      <c r="N2839" s="20" t="str">
        <f t="shared" si="2"/>
        <v>2024 09</v>
      </c>
    </row>
    <row r="2840" ht="22.5" customHeight="1">
      <c r="A2840" s="12">
        <f>IFERROR(__xludf.DUMMYFUNCTION("""COMPUTED_VALUE"""),2192.0)</f>
        <v>2192</v>
      </c>
      <c r="B2840" s="13">
        <f>IFERROR(__xludf.DUMMYFUNCTION("""COMPUTED_VALUE"""),45547.0)</f>
        <v>45547</v>
      </c>
      <c r="C2840" s="12">
        <f>IFERROR(__xludf.DUMMYFUNCTION("""COMPUTED_VALUE"""),167.0)</f>
        <v>167</v>
      </c>
      <c r="D2840" s="12">
        <f>IFERROR(__xludf.DUMMYFUNCTION("""COMPUTED_VALUE"""),26.0)</f>
        <v>26</v>
      </c>
      <c r="E2840" s="12">
        <f>IFERROR(__xludf.DUMMYFUNCTION("""COMPUTED_VALUE"""),6.0)</f>
        <v>6</v>
      </c>
      <c r="F2840" s="12">
        <f>IFERROR(__xludf.DUMMYFUNCTION("""COMPUTED_VALUE"""),4.0)</f>
        <v>4</v>
      </c>
      <c r="G2840" s="15" t="str">
        <f>IFERROR(__xludf.DUMMYFUNCTION("""COMPUTED_VALUE"""),"Completa")</f>
        <v>Completa</v>
      </c>
      <c r="H2840" s="16" t="str">
        <f t="array" ref="H2840">_xlfn.XLOOKUP(D2840,Productos[ID_Producto],Productos[Nombre_Producto])</f>
        <v>Hamburgesas congeladas</v>
      </c>
      <c r="I2840" s="17">
        <f t="array" ref="I2840">_xlfn.XLOOKUP(D2840,Productos[ID_Producto],Productos[Precio_Unitario])</f>
        <v>9.54</v>
      </c>
      <c r="J2840" s="17">
        <f t="shared" si="1"/>
        <v>57.24</v>
      </c>
      <c r="K2840" s="16" t="str">
        <f t="array" ref="K2840">_xlfn.XLOOKUP(C2840,Clientes[ID_Cliente],Clientes[Provincia])</f>
        <v>Buenos Aires</v>
      </c>
      <c r="L2840" s="16" t="str">
        <f t="array" ref="L2840">CONCATENATE(_xlfn.XLOOKUP(C2840,Clientes[ID_Cliente],Clientes[Provincia]),", Argentina")</f>
        <v>Buenos Aires, Argentina</v>
      </c>
      <c r="M2840" s="20" t="str">
        <f t="array" ref="M2840">_xlfn.XLOOKUP(F2840,Metodos_De_Pago[ID_Metodo],Metodos_De_Pago[Metodo])</f>
        <v>Mercado Pago</v>
      </c>
      <c r="N2840" s="20" t="str">
        <f t="shared" si="2"/>
        <v>2024 09</v>
      </c>
    </row>
    <row r="2841" ht="22.5" customHeight="1">
      <c r="A2841" s="12">
        <f>IFERROR(__xludf.DUMMYFUNCTION("""COMPUTED_VALUE"""),2154.0)</f>
        <v>2154</v>
      </c>
      <c r="B2841" s="13">
        <f>IFERROR(__xludf.DUMMYFUNCTION("""COMPUTED_VALUE"""),45548.0)</f>
        <v>45548</v>
      </c>
      <c r="C2841" s="12">
        <f>IFERROR(__xludf.DUMMYFUNCTION("""COMPUTED_VALUE"""),212.0)</f>
        <v>212</v>
      </c>
      <c r="D2841" s="12">
        <f>IFERROR(__xludf.DUMMYFUNCTION("""COMPUTED_VALUE"""),25.0)</f>
        <v>25</v>
      </c>
      <c r="E2841" s="12">
        <f>IFERROR(__xludf.DUMMYFUNCTION("""COMPUTED_VALUE"""),6.0)</f>
        <v>6</v>
      </c>
      <c r="F2841" s="12">
        <f>IFERROR(__xludf.DUMMYFUNCTION("""COMPUTED_VALUE"""),4.0)</f>
        <v>4</v>
      </c>
      <c r="G2841" s="15" t="str">
        <f>IFERROR(__xludf.DUMMYFUNCTION("""COMPUTED_VALUE"""),"Completa")</f>
        <v>Completa</v>
      </c>
      <c r="H2841" s="16" t="str">
        <f t="array" ref="H2841">_xlfn.XLOOKUP(D2841,Productos[ID_Producto],Productos[Nombre_Producto])</f>
        <v>Pizza congelada</v>
      </c>
      <c r="I2841" s="17">
        <f t="array" ref="I2841">_xlfn.XLOOKUP(D2841,Productos[ID_Producto],Productos[Precio_Unitario])</f>
        <v>15.45</v>
      </c>
      <c r="J2841" s="17">
        <f t="shared" si="1"/>
        <v>92.7</v>
      </c>
      <c r="K2841" s="16" t="str">
        <f t="array" ref="K2841">_xlfn.XLOOKUP(C2841,Clientes[ID_Cliente],Clientes[Provincia])</f>
        <v>Buenos Aires</v>
      </c>
      <c r="L2841" s="16" t="str">
        <f t="array" ref="L2841">CONCATENATE(_xlfn.XLOOKUP(C2841,Clientes[ID_Cliente],Clientes[Provincia]),", Argentina")</f>
        <v>Buenos Aires, Argentina</v>
      </c>
      <c r="M2841" s="20" t="str">
        <f t="array" ref="M2841">_xlfn.XLOOKUP(F2841,Metodos_De_Pago[ID_Metodo],Metodos_De_Pago[Metodo])</f>
        <v>Mercado Pago</v>
      </c>
      <c r="N2841" s="20" t="str">
        <f t="shared" si="2"/>
        <v>2024 09</v>
      </c>
    </row>
    <row r="2842" ht="22.5" customHeight="1">
      <c r="A2842" s="12">
        <f>IFERROR(__xludf.DUMMYFUNCTION("""COMPUTED_VALUE"""),561.0)</f>
        <v>561</v>
      </c>
      <c r="B2842" s="13">
        <f>IFERROR(__xludf.DUMMYFUNCTION("""COMPUTED_VALUE"""),45551.0)</f>
        <v>45551</v>
      </c>
      <c r="C2842" s="12">
        <f>IFERROR(__xludf.DUMMYFUNCTION("""COMPUTED_VALUE"""),9.0)</f>
        <v>9</v>
      </c>
      <c r="D2842" s="12">
        <f>IFERROR(__xludf.DUMMYFUNCTION("""COMPUTED_VALUE"""),38.0)</f>
        <v>38</v>
      </c>
      <c r="E2842" s="12">
        <f>IFERROR(__xludf.DUMMYFUNCTION("""COMPUTED_VALUE"""),6.0)</f>
        <v>6</v>
      </c>
      <c r="F2842" s="12">
        <f>IFERROR(__xludf.DUMMYFUNCTION("""COMPUTED_VALUE"""),4.0)</f>
        <v>4</v>
      </c>
      <c r="G2842" s="15" t="str">
        <f>IFERROR(__xludf.DUMMYFUNCTION("""COMPUTED_VALUE"""),"Completa")</f>
        <v>Completa</v>
      </c>
      <c r="H2842" s="16" t="str">
        <f t="array" ref="H2842">_xlfn.XLOOKUP(D2842,Productos[ID_Producto],Productos[Nombre_Producto])</f>
        <v>Atún enlatado</v>
      </c>
      <c r="I2842" s="17">
        <f t="array" ref="I2842">_xlfn.XLOOKUP(D2842,Productos[ID_Producto],Productos[Precio_Unitario])</f>
        <v>6.21</v>
      </c>
      <c r="J2842" s="17">
        <f t="shared" si="1"/>
        <v>37.26</v>
      </c>
      <c r="K2842" s="16" t="str">
        <f t="array" ref="K2842">_xlfn.XLOOKUP(C2842,Clientes[ID_Cliente],Clientes[Provincia])</f>
        <v>Córdoba</v>
      </c>
      <c r="L2842" s="16" t="str">
        <f t="array" ref="L2842">CONCATENATE(_xlfn.XLOOKUP(C2842,Clientes[ID_Cliente],Clientes[Provincia]),", Argentina")</f>
        <v>Córdoba, Argentina</v>
      </c>
      <c r="M2842" s="20" t="str">
        <f t="array" ref="M2842">_xlfn.XLOOKUP(F2842,Metodos_De_Pago[ID_Metodo],Metodos_De_Pago[Metodo])</f>
        <v>Mercado Pago</v>
      </c>
      <c r="N2842" s="20" t="str">
        <f t="shared" si="2"/>
        <v>2024 09</v>
      </c>
    </row>
    <row r="2843" ht="22.5" customHeight="1">
      <c r="A2843" s="12">
        <f>IFERROR(__xludf.DUMMYFUNCTION("""COMPUTED_VALUE"""),1230.0)</f>
        <v>1230</v>
      </c>
      <c r="B2843" s="13">
        <f>IFERROR(__xludf.DUMMYFUNCTION("""COMPUTED_VALUE"""),45551.0)</f>
        <v>45551</v>
      </c>
      <c r="C2843" s="12">
        <f>IFERROR(__xludf.DUMMYFUNCTION("""COMPUTED_VALUE"""),197.0)</f>
        <v>197</v>
      </c>
      <c r="D2843" s="12">
        <f>IFERROR(__xludf.DUMMYFUNCTION("""COMPUTED_VALUE"""),2.0)</f>
        <v>2</v>
      </c>
      <c r="E2843" s="12">
        <f>IFERROR(__xludf.DUMMYFUNCTION("""COMPUTED_VALUE"""),6.0)</f>
        <v>6</v>
      </c>
      <c r="F2843" s="12">
        <f>IFERROR(__xludf.DUMMYFUNCTION("""COMPUTED_VALUE"""),5.0)</f>
        <v>5</v>
      </c>
      <c r="G2843" s="15" t="str">
        <f>IFERROR(__xludf.DUMMYFUNCTION("""COMPUTED_VALUE"""),"Cancelada")</f>
        <v>Cancelada</v>
      </c>
      <c r="H2843" s="16" t="str">
        <f t="array" ref="H2843">_xlfn.XLOOKUP(D2843,Productos[ID_Producto],Productos[Nombre_Producto])</f>
        <v>Yogur</v>
      </c>
      <c r="I2843" s="17">
        <f t="array" ref="I2843">_xlfn.XLOOKUP(D2843,Productos[ID_Producto],Productos[Precio_Unitario])</f>
        <v>5.21</v>
      </c>
      <c r="J2843" s="17">
        <f t="shared" si="1"/>
        <v>31.26</v>
      </c>
      <c r="K2843" s="16" t="str">
        <f t="array" ref="K2843">_xlfn.XLOOKUP(C2843,Clientes[ID_Cliente],Clientes[Provincia])</f>
        <v>San Luis</v>
      </c>
      <c r="L2843" s="16" t="str">
        <f t="array" ref="L2843">CONCATENATE(_xlfn.XLOOKUP(C2843,Clientes[ID_Cliente],Clientes[Provincia]),", Argentina")</f>
        <v>San Luis, Argentina</v>
      </c>
      <c r="M2843" s="20" t="str">
        <f t="array" ref="M2843">_xlfn.XLOOKUP(F2843,Metodos_De_Pago[ID_Metodo],Metodos_De_Pago[Metodo])</f>
        <v>Transferencia</v>
      </c>
      <c r="N2843" s="20" t="str">
        <f t="shared" si="2"/>
        <v>2024 09</v>
      </c>
    </row>
    <row r="2844" ht="22.5" customHeight="1">
      <c r="A2844" s="12">
        <f>IFERROR(__xludf.DUMMYFUNCTION("""COMPUTED_VALUE"""),1484.0)</f>
        <v>1484</v>
      </c>
      <c r="B2844" s="13">
        <f>IFERROR(__xludf.DUMMYFUNCTION("""COMPUTED_VALUE"""),45551.0)</f>
        <v>45551</v>
      </c>
      <c r="C2844" s="12">
        <f>IFERROR(__xludf.DUMMYFUNCTION("""COMPUTED_VALUE"""),171.0)</f>
        <v>171</v>
      </c>
      <c r="D2844" s="12">
        <f>IFERROR(__xludf.DUMMYFUNCTION("""COMPUTED_VALUE"""),3.0)</f>
        <v>3</v>
      </c>
      <c r="E2844" s="12">
        <f>IFERROR(__xludf.DUMMYFUNCTION("""COMPUTED_VALUE"""),6.0)</f>
        <v>6</v>
      </c>
      <c r="F2844" s="12">
        <f>IFERROR(__xludf.DUMMYFUNCTION("""COMPUTED_VALUE"""),3.0)</f>
        <v>3</v>
      </c>
      <c r="G2844" s="15" t="str">
        <f>IFERROR(__xludf.DUMMYFUNCTION("""COMPUTED_VALUE"""),"Completa")</f>
        <v>Completa</v>
      </c>
      <c r="H2844" s="16" t="str">
        <f t="array" ref="H2844">_xlfn.XLOOKUP(D2844,Productos[ID_Producto],Productos[Nombre_Producto])</f>
        <v>Queso cremoso</v>
      </c>
      <c r="I2844" s="17">
        <f t="array" ref="I2844">_xlfn.XLOOKUP(D2844,Productos[ID_Producto],Productos[Precio_Unitario])</f>
        <v>17.23</v>
      </c>
      <c r="J2844" s="17">
        <f t="shared" si="1"/>
        <v>103.38</v>
      </c>
      <c r="K2844" s="16" t="str">
        <f t="array" ref="K2844">_xlfn.XLOOKUP(C2844,Clientes[ID_Cliente],Clientes[Provincia])</f>
        <v>San Luis</v>
      </c>
      <c r="L2844" s="16" t="str">
        <f t="array" ref="L2844">CONCATENATE(_xlfn.XLOOKUP(C2844,Clientes[ID_Cliente],Clientes[Provincia]),", Argentina")</f>
        <v>San Luis, Argentina</v>
      </c>
      <c r="M2844" s="20" t="str">
        <f t="array" ref="M2844">_xlfn.XLOOKUP(F2844,Metodos_De_Pago[ID_Metodo],Metodos_De_Pago[Metodo])</f>
        <v>Tarjeta de Débito</v>
      </c>
      <c r="N2844" s="20" t="str">
        <f t="shared" si="2"/>
        <v>2024 09</v>
      </c>
    </row>
    <row r="2845" ht="22.5" customHeight="1">
      <c r="A2845" s="12">
        <f>IFERROR(__xludf.DUMMYFUNCTION("""COMPUTED_VALUE"""),2286.0)</f>
        <v>2286</v>
      </c>
      <c r="B2845" s="13">
        <f>IFERROR(__xludf.DUMMYFUNCTION("""COMPUTED_VALUE"""),45551.0)</f>
        <v>45551</v>
      </c>
      <c r="C2845" s="12">
        <f>IFERROR(__xludf.DUMMYFUNCTION("""COMPUTED_VALUE"""),307.0)</f>
        <v>307</v>
      </c>
      <c r="D2845" s="12">
        <f>IFERROR(__xludf.DUMMYFUNCTION("""COMPUTED_VALUE"""),22.0)</f>
        <v>22</v>
      </c>
      <c r="E2845" s="12">
        <f>IFERROR(__xludf.DUMMYFUNCTION("""COMPUTED_VALUE"""),6.0)</f>
        <v>6</v>
      </c>
      <c r="F2845" s="12">
        <f>IFERROR(__xludf.DUMMYFUNCTION("""COMPUTED_VALUE"""),4.0)</f>
        <v>4</v>
      </c>
      <c r="G2845" s="15" t="str">
        <f>IFERROR(__xludf.DUMMYFUNCTION("""COMPUTED_VALUE"""),"Completa")</f>
        <v>Completa</v>
      </c>
      <c r="H2845" s="16" t="str">
        <f t="array" ref="H2845">_xlfn.XLOOKUP(D2845,Productos[ID_Producto],Productos[Nombre_Producto])</f>
        <v>Cebolla</v>
      </c>
      <c r="I2845" s="17">
        <f t="array" ref="I2845">_xlfn.XLOOKUP(D2845,Productos[ID_Producto],Productos[Precio_Unitario])</f>
        <v>4.21</v>
      </c>
      <c r="J2845" s="17">
        <f t="shared" si="1"/>
        <v>25.26</v>
      </c>
      <c r="K2845" s="16" t="str">
        <f t="array" ref="K2845">_xlfn.XLOOKUP(C2845,Clientes[ID_Cliente],Clientes[Provincia])</f>
        <v>San Luis</v>
      </c>
      <c r="L2845" s="16" t="str">
        <f t="array" ref="L2845">CONCATENATE(_xlfn.XLOOKUP(C2845,Clientes[ID_Cliente],Clientes[Provincia]),", Argentina")</f>
        <v>San Luis, Argentina</v>
      </c>
      <c r="M2845" s="20" t="str">
        <f t="array" ref="M2845">_xlfn.XLOOKUP(F2845,Metodos_De_Pago[ID_Metodo],Metodos_De_Pago[Metodo])</f>
        <v>Mercado Pago</v>
      </c>
      <c r="N2845" s="20" t="str">
        <f t="shared" si="2"/>
        <v>2024 09</v>
      </c>
    </row>
    <row r="2846" ht="22.5" customHeight="1">
      <c r="A2846" s="12">
        <f>IFERROR(__xludf.DUMMYFUNCTION("""COMPUTED_VALUE"""),304.0)</f>
        <v>304</v>
      </c>
      <c r="B2846" s="13">
        <f>IFERROR(__xludf.DUMMYFUNCTION("""COMPUTED_VALUE"""),45553.0)</f>
        <v>45553</v>
      </c>
      <c r="C2846" s="12">
        <f>IFERROR(__xludf.DUMMYFUNCTION("""COMPUTED_VALUE"""),309.0)</f>
        <v>309</v>
      </c>
      <c r="D2846" s="12">
        <f>IFERROR(__xludf.DUMMYFUNCTION("""COMPUTED_VALUE"""),5.0)</f>
        <v>5</v>
      </c>
      <c r="E2846" s="12">
        <f>IFERROR(__xludf.DUMMYFUNCTION("""COMPUTED_VALUE"""),6.0)</f>
        <v>6</v>
      </c>
      <c r="F2846" s="12">
        <f>IFERROR(__xludf.DUMMYFUNCTION("""COMPUTED_VALUE"""),5.0)</f>
        <v>5</v>
      </c>
      <c r="G2846" s="15" t="str">
        <f>IFERROR(__xludf.DUMMYFUNCTION("""COMPUTED_VALUE"""),"Completa")</f>
        <v>Completa</v>
      </c>
      <c r="H2846" s="16" t="str">
        <f t="array" ref="H2846">_xlfn.XLOOKUP(D2846,Productos[ID_Producto],Productos[Nombre_Producto])</f>
        <v>Manteca</v>
      </c>
      <c r="I2846" s="17">
        <f t="array" ref="I2846">_xlfn.XLOOKUP(D2846,Productos[ID_Producto],Productos[Precio_Unitario])</f>
        <v>5.65</v>
      </c>
      <c r="J2846" s="17">
        <f t="shared" si="1"/>
        <v>33.9</v>
      </c>
      <c r="K2846" s="16" t="str">
        <f t="array" ref="K2846">_xlfn.XLOOKUP(C2846,Clientes[ID_Cliente],Clientes[Provincia])</f>
        <v>Córdoba</v>
      </c>
      <c r="L2846" s="16" t="str">
        <f t="array" ref="L2846">CONCATENATE(_xlfn.XLOOKUP(C2846,Clientes[ID_Cliente],Clientes[Provincia]),", Argentina")</f>
        <v>Córdoba, Argentina</v>
      </c>
      <c r="M2846" s="20" t="str">
        <f t="array" ref="M2846">_xlfn.XLOOKUP(F2846,Metodos_De_Pago[ID_Metodo],Metodos_De_Pago[Metodo])</f>
        <v>Transferencia</v>
      </c>
      <c r="N2846" s="20" t="str">
        <f t="shared" si="2"/>
        <v>2024 09</v>
      </c>
    </row>
    <row r="2847" ht="22.5" customHeight="1">
      <c r="A2847" s="12">
        <f>IFERROR(__xludf.DUMMYFUNCTION("""COMPUTED_VALUE"""),1082.0)</f>
        <v>1082</v>
      </c>
      <c r="B2847" s="13">
        <f>IFERROR(__xludf.DUMMYFUNCTION("""COMPUTED_VALUE"""),45553.0)</f>
        <v>45553</v>
      </c>
      <c r="C2847" s="12">
        <f>IFERROR(__xludf.DUMMYFUNCTION("""COMPUTED_VALUE"""),282.0)</f>
        <v>282</v>
      </c>
      <c r="D2847" s="12">
        <f>IFERROR(__xludf.DUMMYFUNCTION("""COMPUTED_VALUE"""),33.0)</f>
        <v>33</v>
      </c>
      <c r="E2847" s="12">
        <f>IFERROR(__xludf.DUMMYFUNCTION("""COMPUTED_VALUE"""),6.0)</f>
        <v>6</v>
      </c>
      <c r="F2847" s="12">
        <f>IFERROR(__xludf.DUMMYFUNCTION("""COMPUTED_VALUE"""),4.0)</f>
        <v>4</v>
      </c>
      <c r="G2847" s="15" t="str">
        <f>IFERROR(__xludf.DUMMYFUNCTION("""COMPUTED_VALUE"""),"Completa")</f>
        <v>Completa</v>
      </c>
      <c r="H2847" s="16" t="str">
        <f t="array" ref="H2847">_xlfn.XLOOKUP(D2847,Productos[ID_Producto],Productos[Nombre_Producto])</f>
        <v>Papas chips</v>
      </c>
      <c r="I2847" s="17">
        <f t="array" ref="I2847">_xlfn.XLOOKUP(D2847,Productos[ID_Producto],Productos[Precio_Unitario])</f>
        <v>8.54</v>
      </c>
      <c r="J2847" s="17">
        <f t="shared" si="1"/>
        <v>51.24</v>
      </c>
      <c r="K2847" s="16" t="str">
        <f t="array" ref="K2847">_xlfn.XLOOKUP(C2847,Clientes[ID_Cliente],Clientes[Provincia])</f>
        <v>Córdoba</v>
      </c>
      <c r="L2847" s="16" t="str">
        <f t="array" ref="L2847">CONCATENATE(_xlfn.XLOOKUP(C2847,Clientes[ID_Cliente],Clientes[Provincia]),", Argentina")</f>
        <v>Córdoba, Argentina</v>
      </c>
      <c r="M2847" s="20" t="str">
        <f t="array" ref="M2847">_xlfn.XLOOKUP(F2847,Metodos_De_Pago[ID_Metodo],Metodos_De_Pago[Metodo])</f>
        <v>Mercado Pago</v>
      </c>
      <c r="N2847" s="20" t="str">
        <f t="shared" si="2"/>
        <v>2024 09</v>
      </c>
    </row>
    <row r="2848" ht="22.5" customHeight="1">
      <c r="A2848" s="12">
        <f>IFERROR(__xludf.DUMMYFUNCTION("""COMPUTED_VALUE"""),2095.0)</f>
        <v>2095</v>
      </c>
      <c r="B2848" s="13">
        <f>IFERROR(__xludf.DUMMYFUNCTION("""COMPUTED_VALUE"""),45553.0)</f>
        <v>45553</v>
      </c>
      <c r="C2848" s="12">
        <f>IFERROR(__xludf.DUMMYFUNCTION("""COMPUTED_VALUE"""),36.0)</f>
        <v>36</v>
      </c>
      <c r="D2848" s="12">
        <f>IFERROR(__xludf.DUMMYFUNCTION("""COMPUTED_VALUE"""),36.0)</f>
        <v>36</v>
      </c>
      <c r="E2848" s="12">
        <f>IFERROR(__xludf.DUMMYFUNCTION("""COMPUTED_VALUE"""),6.0)</f>
        <v>6</v>
      </c>
      <c r="F2848" s="12">
        <f>IFERROR(__xludf.DUMMYFUNCTION("""COMPUTED_VALUE"""),2.0)</f>
        <v>2</v>
      </c>
      <c r="G2848" s="15" t="str">
        <f>IFERROR(__xludf.DUMMYFUNCTION("""COMPUTED_VALUE"""),"Completa")</f>
        <v>Completa</v>
      </c>
      <c r="H2848" s="16" t="str">
        <f t="array" ref="H2848">_xlfn.XLOOKUP(D2848,Productos[ID_Producto],Productos[Nombre_Producto])</f>
        <v>Lentejas</v>
      </c>
      <c r="I2848" s="17">
        <f t="array" ref="I2848">_xlfn.XLOOKUP(D2848,Productos[ID_Producto],Productos[Precio_Unitario])</f>
        <v>3.25</v>
      </c>
      <c r="J2848" s="17">
        <f t="shared" si="1"/>
        <v>19.5</v>
      </c>
      <c r="K2848" s="16" t="str">
        <f t="array" ref="K2848">_xlfn.XLOOKUP(C2848,Clientes[ID_Cliente],Clientes[Provincia])</f>
        <v>Buenos Aires</v>
      </c>
      <c r="L2848" s="16" t="str">
        <f t="array" ref="L2848">CONCATENATE(_xlfn.XLOOKUP(C2848,Clientes[ID_Cliente],Clientes[Provincia]),", Argentina")</f>
        <v>Buenos Aires, Argentina</v>
      </c>
      <c r="M2848" s="20" t="str">
        <f t="array" ref="M2848">_xlfn.XLOOKUP(F2848,Metodos_De_Pago[ID_Metodo],Metodos_De_Pago[Metodo])</f>
        <v>Tarjeta de Crédito</v>
      </c>
      <c r="N2848" s="20" t="str">
        <f t="shared" si="2"/>
        <v>2024 09</v>
      </c>
    </row>
    <row r="2849" ht="22.5" customHeight="1">
      <c r="A2849" s="12">
        <f>IFERROR(__xludf.DUMMYFUNCTION("""COMPUTED_VALUE"""),832.0)</f>
        <v>832</v>
      </c>
      <c r="B2849" s="13">
        <f>IFERROR(__xludf.DUMMYFUNCTION("""COMPUTED_VALUE"""),45555.0)</f>
        <v>45555</v>
      </c>
      <c r="C2849" s="12">
        <f>IFERROR(__xludf.DUMMYFUNCTION("""COMPUTED_VALUE"""),100.0)</f>
        <v>100</v>
      </c>
      <c r="D2849" s="12">
        <f>IFERROR(__xludf.DUMMYFUNCTION("""COMPUTED_VALUE"""),21.0)</f>
        <v>21</v>
      </c>
      <c r="E2849" s="12">
        <f>IFERROR(__xludf.DUMMYFUNCTION("""COMPUTED_VALUE"""),6.0)</f>
        <v>6</v>
      </c>
      <c r="F2849" s="12">
        <f>IFERROR(__xludf.DUMMYFUNCTION("""COMPUTED_VALUE"""),3.0)</f>
        <v>3</v>
      </c>
      <c r="G2849" s="15" t="str">
        <f>IFERROR(__xludf.DUMMYFUNCTION("""COMPUTED_VALUE"""),"Completa")</f>
        <v>Completa</v>
      </c>
      <c r="H2849" s="16" t="str">
        <f t="array" ref="H2849">_xlfn.XLOOKUP(D2849,Productos[ID_Producto],Productos[Nombre_Producto])</f>
        <v>Zanahorias</v>
      </c>
      <c r="I2849" s="17">
        <f t="array" ref="I2849">_xlfn.XLOOKUP(D2849,Productos[ID_Producto],Productos[Precio_Unitario])</f>
        <v>3.25</v>
      </c>
      <c r="J2849" s="17">
        <f t="shared" si="1"/>
        <v>19.5</v>
      </c>
      <c r="K2849" s="16" t="str">
        <f t="array" ref="K2849">_xlfn.XLOOKUP(C2849,Clientes[ID_Cliente],Clientes[Provincia])</f>
        <v>Chaco</v>
      </c>
      <c r="L2849" s="16" t="str">
        <f t="array" ref="L2849">CONCATENATE(_xlfn.XLOOKUP(C2849,Clientes[ID_Cliente],Clientes[Provincia]),", Argentina")</f>
        <v>Chaco, Argentina</v>
      </c>
      <c r="M2849" s="20" t="str">
        <f t="array" ref="M2849">_xlfn.XLOOKUP(F2849,Metodos_De_Pago[ID_Metodo],Metodos_De_Pago[Metodo])</f>
        <v>Tarjeta de Débito</v>
      </c>
      <c r="N2849" s="20" t="str">
        <f t="shared" si="2"/>
        <v>2024 09</v>
      </c>
    </row>
    <row r="2850" ht="22.5" customHeight="1">
      <c r="A2850" s="12">
        <f>IFERROR(__xludf.DUMMYFUNCTION("""COMPUTED_VALUE"""),899.0)</f>
        <v>899</v>
      </c>
      <c r="B2850" s="13">
        <f>IFERROR(__xludf.DUMMYFUNCTION("""COMPUTED_VALUE"""),45555.0)</f>
        <v>45555</v>
      </c>
      <c r="C2850" s="12">
        <f>IFERROR(__xludf.DUMMYFUNCTION("""COMPUTED_VALUE"""),32.0)</f>
        <v>32</v>
      </c>
      <c r="D2850" s="12">
        <f>IFERROR(__xludf.DUMMYFUNCTION("""COMPUTED_VALUE"""),27.0)</f>
        <v>27</v>
      </c>
      <c r="E2850" s="12">
        <f>IFERROR(__xludf.DUMMYFUNCTION("""COMPUTED_VALUE"""),6.0)</f>
        <v>6</v>
      </c>
      <c r="F2850" s="12">
        <f>IFERROR(__xludf.DUMMYFUNCTION("""COMPUTED_VALUE"""),2.0)</f>
        <v>2</v>
      </c>
      <c r="G2850" s="15" t="str">
        <f>IFERROR(__xludf.DUMMYFUNCTION("""COMPUTED_VALUE"""),"Completa")</f>
        <v>Completa</v>
      </c>
      <c r="H2850" s="16" t="str">
        <f t="array" ref="H2850">_xlfn.XLOOKUP(D2850,Productos[ID_Producto],Productos[Nombre_Producto])</f>
        <v>Agua mineral</v>
      </c>
      <c r="I2850" s="17">
        <f t="array" ref="I2850">_xlfn.XLOOKUP(D2850,Productos[ID_Producto],Productos[Precio_Unitario])</f>
        <v>6.21</v>
      </c>
      <c r="J2850" s="17">
        <f t="shared" si="1"/>
        <v>37.26</v>
      </c>
      <c r="K2850" s="16" t="str">
        <f t="array" ref="K2850">_xlfn.XLOOKUP(C2850,Clientes[ID_Cliente],Clientes[Provincia])</f>
        <v>San Luis</v>
      </c>
      <c r="L2850" s="16" t="str">
        <f t="array" ref="L2850">CONCATENATE(_xlfn.XLOOKUP(C2850,Clientes[ID_Cliente],Clientes[Provincia]),", Argentina")</f>
        <v>San Luis, Argentina</v>
      </c>
      <c r="M2850" s="20" t="str">
        <f t="array" ref="M2850">_xlfn.XLOOKUP(F2850,Metodos_De_Pago[ID_Metodo],Metodos_De_Pago[Metodo])</f>
        <v>Tarjeta de Crédito</v>
      </c>
      <c r="N2850" s="20" t="str">
        <f t="shared" si="2"/>
        <v>2024 09</v>
      </c>
    </row>
    <row r="2851" ht="22.5" customHeight="1">
      <c r="A2851" s="12">
        <f>IFERROR(__xludf.DUMMYFUNCTION("""COMPUTED_VALUE"""),1259.0)</f>
        <v>1259</v>
      </c>
      <c r="B2851" s="13">
        <f>IFERROR(__xludf.DUMMYFUNCTION("""COMPUTED_VALUE"""),45556.0)</f>
        <v>45556</v>
      </c>
      <c r="C2851" s="12">
        <f>IFERROR(__xludf.DUMMYFUNCTION("""COMPUTED_VALUE"""),307.0)</f>
        <v>307</v>
      </c>
      <c r="D2851" s="12">
        <f>IFERROR(__xludf.DUMMYFUNCTION("""COMPUTED_VALUE"""),2.0)</f>
        <v>2</v>
      </c>
      <c r="E2851" s="12">
        <f>IFERROR(__xludf.DUMMYFUNCTION("""COMPUTED_VALUE"""),6.0)</f>
        <v>6</v>
      </c>
      <c r="F2851" s="12">
        <f>IFERROR(__xludf.DUMMYFUNCTION("""COMPUTED_VALUE"""),2.0)</f>
        <v>2</v>
      </c>
      <c r="G2851" s="15" t="str">
        <f>IFERROR(__xludf.DUMMYFUNCTION("""COMPUTED_VALUE"""),"Completa")</f>
        <v>Completa</v>
      </c>
      <c r="H2851" s="16" t="str">
        <f t="array" ref="H2851">_xlfn.XLOOKUP(D2851,Productos[ID_Producto],Productos[Nombre_Producto])</f>
        <v>Yogur</v>
      </c>
      <c r="I2851" s="17">
        <f t="array" ref="I2851">_xlfn.XLOOKUP(D2851,Productos[ID_Producto],Productos[Precio_Unitario])</f>
        <v>5.21</v>
      </c>
      <c r="J2851" s="17">
        <f t="shared" si="1"/>
        <v>31.26</v>
      </c>
      <c r="K2851" s="16" t="str">
        <f t="array" ref="K2851">_xlfn.XLOOKUP(C2851,Clientes[ID_Cliente],Clientes[Provincia])</f>
        <v>San Luis</v>
      </c>
      <c r="L2851" s="16" t="str">
        <f t="array" ref="L2851">CONCATENATE(_xlfn.XLOOKUP(C2851,Clientes[ID_Cliente],Clientes[Provincia]),", Argentina")</f>
        <v>San Luis, Argentina</v>
      </c>
      <c r="M2851" s="20" t="str">
        <f t="array" ref="M2851">_xlfn.XLOOKUP(F2851,Metodos_De_Pago[ID_Metodo],Metodos_De_Pago[Metodo])</f>
        <v>Tarjeta de Crédito</v>
      </c>
      <c r="N2851" s="20" t="str">
        <f t="shared" si="2"/>
        <v>2024 09</v>
      </c>
    </row>
    <row r="2852" ht="22.5" customHeight="1">
      <c r="A2852" s="12">
        <f>IFERROR(__xludf.DUMMYFUNCTION("""COMPUTED_VALUE"""),1712.0)</f>
        <v>1712</v>
      </c>
      <c r="B2852" s="13">
        <f>IFERROR(__xludf.DUMMYFUNCTION("""COMPUTED_VALUE"""),45556.0)</f>
        <v>45556</v>
      </c>
      <c r="C2852" s="12">
        <f>IFERROR(__xludf.DUMMYFUNCTION("""COMPUTED_VALUE"""),92.0)</f>
        <v>92</v>
      </c>
      <c r="D2852" s="12">
        <f>IFERROR(__xludf.DUMMYFUNCTION("""COMPUTED_VALUE"""),11.0)</f>
        <v>11</v>
      </c>
      <c r="E2852" s="12">
        <f>IFERROR(__xludf.DUMMYFUNCTION("""COMPUTED_VALUE"""),6.0)</f>
        <v>6</v>
      </c>
      <c r="F2852" s="12">
        <f>IFERROR(__xludf.DUMMYFUNCTION("""COMPUTED_VALUE"""),1.0)</f>
        <v>1</v>
      </c>
      <c r="G2852" s="15" t="str">
        <f>IFERROR(__xludf.DUMMYFUNCTION("""COMPUTED_VALUE"""),"Completa")</f>
        <v>Completa</v>
      </c>
      <c r="H2852" s="16" t="str">
        <f t="array" ref="H2852">_xlfn.XLOOKUP(D2852,Productos[ID_Producto],Productos[Nombre_Producto])</f>
        <v>Salchicha</v>
      </c>
      <c r="I2852" s="17">
        <f t="array" ref="I2852">_xlfn.XLOOKUP(D2852,Productos[ID_Producto],Productos[Precio_Unitario])</f>
        <v>11.23</v>
      </c>
      <c r="J2852" s="17">
        <f t="shared" si="1"/>
        <v>67.38</v>
      </c>
      <c r="K2852" s="16" t="str">
        <f t="array" ref="K2852">_xlfn.XLOOKUP(C2852,Clientes[ID_Cliente],Clientes[Provincia])</f>
        <v>Neuquén</v>
      </c>
      <c r="L2852" s="16" t="str">
        <f t="array" ref="L2852">CONCATENATE(_xlfn.XLOOKUP(C2852,Clientes[ID_Cliente],Clientes[Provincia]),", Argentina")</f>
        <v>Neuquén, Argentina</v>
      </c>
      <c r="M2852" s="20" t="str">
        <f t="array" ref="M2852">_xlfn.XLOOKUP(F2852,Metodos_De_Pago[ID_Metodo],Metodos_De_Pago[Metodo])</f>
        <v>Efectivo</v>
      </c>
      <c r="N2852" s="20" t="str">
        <f t="shared" si="2"/>
        <v>2024 09</v>
      </c>
    </row>
    <row r="2853" ht="22.5" customHeight="1">
      <c r="A2853" s="12">
        <f>IFERROR(__xludf.DUMMYFUNCTION("""COMPUTED_VALUE"""),1909.0)</f>
        <v>1909</v>
      </c>
      <c r="B2853" s="13">
        <f>IFERROR(__xludf.DUMMYFUNCTION("""COMPUTED_VALUE"""),45556.0)</f>
        <v>45556</v>
      </c>
      <c r="C2853" s="12">
        <f>IFERROR(__xludf.DUMMYFUNCTION("""COMPUTED_VALUE"""),272.0)</f>
        <v>272</v>
      </c>
      <c r="D2853" s="12">
        <f>IFERROR(__xludf.DUMMYFUNCTION("""COMPUTED_VALUE"""),17.0)</f>
        <v>17</v>
      </c>
      <c r="E2853" s="12">
        <f>IFERROR(__xludf.DUMMYFUNCTION("""COMPUTED_VALUE"""),6.0)</f>
        <v>6</v>
      </c>
      <c r="F2853" s="12">
        <f>IFERROR(__xludf.DUMMYFUNCTION("""COMPUTED_VALUE"""),5.0)</f>
        <v>5</v>
      </c>
      <c r="G2853" s="15" t="str">
        <f>IFERROR(__xludf.DUMMYFUNCTION("""COMPUTED_VALUE"""),"Pendiente")</f>
        <v>Pendiente</v>
      </c>
      <c r="H2853" s="16" t="str">
        <f t="array" ref="H2853">_xlfn.XLOOKUP(D2853,Productos[ID_Producto],Productos[Nombre_Producto])</f>
        <v>Manzanas</v>
      </c>
      <c r="I2853" s="17">
        <f t="array" ref="I2853">_xlfn.XLOOKUP(D2853,Productos[ID_Producto],Productos[Precio_Unitario])</f>
        <v>6.54</v>
      </c>
      <c r="J2853" s="17">
        <f t="shared" si="1"/>
        <v>39.24</v>
      </c>
      <c r="K2853" s="16" t="str">
        <f t="array" ref="K2853">_xlfn.XLOOKUP(C2853,Clientes[ID_Cliente],Clientes[Provincia])</f>
        <v>Buenos Aires</v>
      </c>
      <c r="L2853" s="16" t="str">
        <f t="array" ref="L2853">CONCATENATE(_xlfn.XLOOKUP(C2853,Clientes[ID_Cliente],Clientes[Provincia]),", Argentina")</f>
        <v>Buenos Aires, Argentina</v>
      </c>
      <c r="M2853" s="20" t="str">
        <f t="array" ref="M2853">_xlfn.XLOOKUP(F2853,Metodos_De_Pago[ID_Metodo],Metodos_De_Pago[Metodo])</f>
        <v>Transferencia</v>
      </c>
      <c r="N2853" s="20" t="str">
        <f t="shared" si="2"/>
        <v>2024 09</v>
      </c>
    </row>
    <row r="2854" ht="22.5" customHeight="1">
      <c r="A2854" s="12">
        <f>IFERROR(__xludf.DUMMYFUNCTION("""COMPUTED_VALUE"""),2647.0)</f>
        <v>2647</v>
      </c>
      <c r="B2854" s="13">
        <f>IFERROR(__xludf.DUMMYFUNCTION("""COMPUTED_VALUE"""),45556.0)</f>
        <v>45556</v>
      </c>
      <c r="C2854" s="12">
        <f>IFERROR(__xludf.DUMMYFUNCTION("""COMPUTED_VALUE"""),83.0)</f>
        <v>83</v>
      </c>
      <c r="D2854" s="12">
        <f>IFERROR(__xludf.DUMMYFUNCTION("""COMPUTED_VALUE"""),23.0)</f>
        <v>23</v>
      </c>
      <c r="E2854" s="12">
        <f>IFERROR(__xludf.DUMMYFUNCTION("""COMPUTED_VALUE"""),6.0)</f>
        <v>6</v>
      </c>
      <c r="F2854" s="12">
        <f>IFERROR(__xludf.DUMMYFUNCTION("""COMPUTED_VALUE"""),5.0)</f>
        <v>5</v>
      </c>
      <c r="G2854" s="15" t="str">
        <f>IFERROR(__xludf.DUMMYFUNCTION("""COMPUTED_VALUE"""),"Completa")</f>
        <v>Completa</v>
      </c>
      <c r="H2854" s="16" t="str">
        <f t="array" ref="H2854">_xlfn.XLOOKUP(D2854,Productos[ID_Producto],Productos[Nombre_Producto])</f>
        <v>Papas fritas</v>
      </c>
      <c r="I2854" s="17">
        <f t="array" ref="I2854">_xlfn.XLOOKUP(D2854,Productos[ID_Producto],Productos[Precio_Unitario])</f>
        <v>8.23</v>
      </c>
      <c r="J2854" s="17">
        <f t="shared" si="1"/>
        <v>49.38</v>
      </c>
      <c r="K2854" s="16" t="str">
        <f t="array" ref="K2854">_xlfn.XLOOKUP(C2854,Clientes[ID_Cliente],Clientes[Provincia])</f>
        <v>Buenos Aires</v>
      </c>
      <c r="L2854" s="16" t="str">
        <f t="array" ref="L2854">CONCATENATE(_xlfn.XLOOKUP(C2854,Clientes[ID_Cliente],Clientes[Provincia]),", Argentina")</f>
        <v>Buenos Aires, Argentina</v>
      </c>
      <c r="M2854" s="20" t="str">
        <f t="array" ref="M2854">_xlfn.XLOOKUP(F2854,Metodos_De_Pago[ID_Metodo],Metodos_De_Pago[Metodo])</f>
        <v>Transferencia</v>
      </c>
      <c r="N2854" s="20" t="str">
        <f t="shared" si="2"/>
        <v>2024 09</v>
      </c>
    </row>
    <row r="2855" ht="22.5" customHeight="1">
      <c r="A2855" s="12">
        <f>IFERROR(__xludf.DUMMYFUNCTION("""COMPUTED_VALUE"""),292.0)</f>
        <v>292</v>
      </c>
      <c r="B2855" s="13">
        <f>IFERROR(__xludf.DUMMYFUNCTION("""COMPUTED_VALUE"""),45557.0)</f>
        <v>45557</v>
      </c>
      <c r="C2855" s="12">
        <f>IFERROR(__xludf.DUMMYFUNCTION("""COMPUTED_VALUE"""),221.0)</f>
        <v>221</v>
      </c>
      <c r="D2855" s="12">
        <f>IFERROR(__xludf.DUMMYFUNCTION("""COMPUTED_VALUE"""),26.0)</f>
        <v>26</v>
      </c>
      <c r="E2855" s="12">
        <f>IFERROR(__xludf.DUMMYFUNCTION("""COMPUTED_VALUE"""),6.0)</f>
        <v>6</v>
      </c>
      <c r="F2855" s="12">
        <f>IFERROR(__xludf.DUMMYFUNCTION("""COMPUTED_VALUE"""),4.0)</f>
        <v>4</v>
      </c>
      <c r="G2855" s="15" t="str">
        <f>IFERROR(__xludf.DUMMYFUNCTION("""COMPUTED_VALUE"""),"Completa")</f>
        <v>Completa</v>
      </c>
      <c r="H2855" s="16" t="str">
        <f t="array" ref="H2855">_xlfn.XLOOKUP(D2855,Productos[ID_Producto],Productos[Nombre_Producto])</f>
        <v>Hamburgesas congeladas</v>
      </c>
      <c r="I2855" s="17">
        <f t="array" ref="I2855">_xlfn.XLOOKUP(D2855,Productos[ID_Producto],Productos[Precio_Unitario])</f>
        <v>9.54</v>
      </c>
      <c r="J2855" s="17">
        <f t="shared" si="1"/>
        <v>57.24</v>
      </c>
      <c r="K2855" s="16" t="str">
        <f t="array" ref="K2855">_xlfn.XLOOKUP(C2855,Clientes[ID_Cliente],Clientes[Provincia])</f>
        <v>Buenos Aires</v>
      </c>
      <c r="L2855" s="16" t="str">
        <f t="array" ref="L2855">CONCATENATE(_xlfn.XLOOKUP(C2855,Clientes[ID_Cliente],Clientes[Provincia]),", Argentina")</f>
        <v>Buenos Aires, Argentina</v>
      </c>
      <c r="M2855" s="20" t="str">
        <f t="array" ref="M2855">_xlfn.XLOOKUP(F2855,Metodos_De_Pago[ID_Metodo],Metodos_De_Pago[Metodo])</f>
        <v>Mercado Pago</v>
      </c>
      <c r="N2855" s="20" t="str">
        <f t="shared" si="2"/>
        <v>2024 09</v>
      </c>
    </row>
    <row r="2856" ht="22.5" customHeight="1">
      <c r="A2856" s="12">
        <f>IFERROR(__xludf.DUMMYFUNCTION("""COMPUTED_VALUE"""),654.0)</f>
        <v>654</v>
      </c>
      <c r="B2856" s="13">
        <f>IFERROR(__xludf.DUMMYFUNCTION("""COMPUTED_VALUE"""),45557.0)</f>
        <v>45557</v>
      </c>
      <c r="C2856" s="12">
        <f>IFERROR(__xludf.DUMMYFUNCTION("""COMPUTED_VALUE"""),174.0)</f>
        <v>174</v>
      </c>
      <c r="D2856" s="12">
        <f>IFERROR(__xludf.DUMMYFUNCTION("""COMPUTED_VALUE"""),30.0)</f>
        <v>30</v>
      </c>
      <c r="E2856" s="12">
        <f>IFERROR(__xludf.DUMMYFUNCTION("""COMPUTED_VALUE"""),6.0)</f>
        <v>6</v>
      </c>
      <c r="F2856" s="12">
        <f>IFERROR(__xludf.DUMMYFUNCTION("""COMPUTED_VALUE"""),1.0)</f>
        <v>1</v>
      </c>
      <c r="G2856" s="15" t="str">
        <f>IFERROR(__xludf.DUMMYFUNCTION("""COMPUTED_VALUE"""),"Completa")</f>
        <v>Completa</v>
      </c>
      <c r="H2856" s="16" t="str">
        <f t="array" ref="H2856">_xlfn.XLOOKUP(D2856,Productos[ID_Producto],Productos[Nombre_Producto])</f>
        <v>Vino tinto</v>
      </c>
      <c r="I2856" s="17">
        <f t="array" ref="I2856">_xlfn.XLOOKUP(D2856,Productos[ID_Producto],Productos[Precio_Unitario])</f>
        <v>13.54</v>
      </c>
      <c r="J2856" s="17">
        <f t="shared" si="1"/>
        <v>81.24</v>
      </c>
      <c r="K2856" s="16" t="str">
        <f t="array" ref="K2856">_xlfn.XLOOKUP(C2856,Clientes[ID_Cliente],Clientes[Provincia])</f>
        <v>Neuquén</v>
      </c>
      <c r="L2856" s="16" t="str">
        <f t="array" ref="L2856">CONCATENATE(_xlfn.XLOOKUP(C2856,Clientes[ID_Cliente],Clientes[Provincia]),", Argentina")</f>
        <v>Neuquén, Argentina</v>
      </c>
      <c r="M2856" s="20" t="str">
        <f t="array" ref="M2856">_xlfn.XLOOKUP(F2856,Metodos_De_Pago[ID_Metodo],Metodos_De_Pago[Metodo])</f>
        <v>Efectivo</v>
      </c>
      <c r="N2856" s="20" t="str">
        <f t="shared" si="2"/>
        <v>2024 09</v>
      </c>
    </row>
    <row r="2857" ht="22.5" customHeight="1">
      <c r="A2857" s="12">
        <f>IFERROR(__xludf.DUMMYFUNCTION("""COMPUTED_VALUE"""),156.0)</f>
        <v>156</v>
      </c>
      <c r="B2857" s="13">
        <f>IFERROR(__xludf.DUMMYFUNCTION("""COMPUTED_VALUE"""),45558.0)</f>
        <v>45558</v>
      </c>
      <c r="C2857" s="12">
        <f>IFERROR(__xludf.DUMMYFUNCTION("""COMPUTED_VALUE"""),145.0)</f>
        <v>145</v>
      </c>
      <c r="D2857" s="12">
        <f>IFERROR(__xludf.DUMMYFUNCTION("""COMPUTED_VALUE"""),4.0)</f>
        <v>4</v>
      </c>
      <c r="E2857" s="12">
        <f>IFERROR(__xludf.DUMMYFUNCTION("""COMPUTED_VALUE"""),6.0)</f>
        <v>6</v>
      </c>
      <c r="F2857" s="12">
        <f>IFERROR(__xludf.DUMMYFUNCTION("""COMPUTED_VALUE"""),3.0)</f>
        <v>3</v>
      </c>
      <c r="G2857" s="15" t="str">
        <f>IFERROR(__xludf.DUMMYFUNCTION("""COMPUTED_VALUE"""),"Completa")</f>
        <v>Completa</v>
      </c>
      <c r="H2857" s="16" t="str">
        <f t="array" ref="H2857">_xlfn.XLOOKUP(D2857,Productos[ID_Producto],Productos[Nombre_Producto])</f>
        <v>Queso rallado</v>
      </c>
      <c r="I2857" s="17">
        <f t="array" ref="I2857">_xlfn.XLOOKUP(D2857,Productos[ID_Producto],Productos[Precio_Unitario])</f>
        <v>19.23</v>
      </c>
      <c r="J2857" s="17">
        <f t="shared" si="1"/>
        <v>115.38</v>
      </c>
      <c r="K2857" s="16" t="str">
        <f t="array" ref="K2857">_xlfn.XLOOKUP(C2857,Clientes[ID_Cliente],Clientes[Provincia])</f>
        <v>Buenos Aires</v>
      </c>
      <c r="L2857" s="16" t="str">
        <f t="array" ref="L2857">CONCATENATE(_xlfn.XLOOKUP(C2857,Clientes[ID_Cliente],Clientes[Provincia]),", Argentina")</f>
        <v>Buenos Aires, Argentina</v>
      </c>
      <c r="M2857" s="20" t="str">
        <f t="array" ref="M2857">_xlfn.XLOOKUP(F2857,Metodos_De_Pago[ID_Metodo],Metodos_De_Pago[Metodo])</f>
        <v>Tarjeta de Débito</v>
      </c>
      <c r="N2857" s="20" t="str">
        <f t="shared" si="2"/>
        <v>2024 09</v>
      </c>
    </row>
    <row r="2858" ht="22.5" customHeight="1">
      <c r="A2858" s="12">
        <f>IFERROR(__xludf.DUMMYFUNCTION("""COMPUTED_VALUE"""),637.0)</f>
        <v>637</v>
      </c>
      <c r="B2858" s="13">
        <f>IFERROR(__xludf.DUMMYFUNCTION("""COMPUTED_VALUE"""),45559.0)</f>
        <v>45559</v>
      </c>
      <c r="C2858" s="12">
        <f>IFERROR(__xludf.DUMMYFUNCTION("""COMPUTED_VALUE"""),176.0)</f>
        <v>176</v>
      </c>
      <c r="D2858" s="12">
        <f>IFERROR(__xludf.DUMMYFUNCTION("""COMPUTED_VALUE"""),33.0)</f>
        <v>33</v>
      </c>
      <c r="E2858" s="12">
        <f>IFERROR(__xludf.DUMMYFUNCTION("""COMPUTED_VALUE"""),6.0)</f>
        <v>6</v>
      </c>
      <c r="F2858" s="12">
        <f>IFERROR(__xludf.DUMMYFUNCTION("""COMPUTED_VALUE"""),5.0)</f>
        <v>5</v>
      </c>
      <c r="G2858" s="15" t="str">
        <f>IFERROR(__xludf.DUMMYFUNCTION("""COMPUTED_VALUE"""),"Completa")</f>
        <v>Completa</v>
      </c>
      <c r="H2858" s="16" t="str">
        <f t="array" ref="H2858">_xlfn.XLOOKUP(D2858,Productos[ID_Producto],Productos[Nombre_Producto])</f>
        <v>Papas chips</v>
      </c>
      <c r="I2858" s="17">
        <f t="array" ref="I2858">_xlfn.XLOOKUP(D2858,Productos[ID_Producto],Productos[Precio_Unitario])</f>
        <v>8.54</v>
      </c>
      <c r="J2858" s="17">
        <f t="shared" si="1"/>
        <v>51.24</v>
      </c>
      <c r="K2858" s="16" t="str">
        <f t="array" ref="K2858">_xlfn.XLOOKUP(C2858,Clientes[ID_Cliente],Clientes[Provincia])</f>
        <v>Chaco</v>
      </c>
      <c r="L2858" s="16" t="str">
        <f t="array" ref="L2858">CONCATENATE(_xlfn.XLOOKUP(C2858,Clientes[ID_Cliente],Clientes[Provincia]),", Argentina")</f>
        <v>Chaco, Argentina</v>
      </c>
      <c r="M2858" s="20" t="str">
        <f t="array" ref="M2858">_xlfn.XLOOKUP(F2858,Metodos_De_Pago[ID_Metodo],Metodos_De_Pago[Metodo])</f>
        <v>Transferencia</v>
      </c>
      <c r="N2858" s="20" t="str">
        <f t="shared" si="2"/>
        <v>2024 09</v>
      </c>
    </row>
    <row r="2859" ht="22.5" customHeight="1">
      <c r="A2859" s="12">
        <f>IFERROR(__xludf.DUMMYFUNCTION("""COMPUTED_VALUE"""),1992.0)</f>
        <v>1992</v>
      </c>
      <c r="B2859" s="13">
        <f>IFERROR(__xludf.DUMMYFUNCTION("""COMPUTED_VALUE"""),45560.0)</f>
        <v>45560</v>
      </c>
      <c r="C2859" s="12">
        <f>IFERROR(__xludf.DUMMYFUNCTION("""COMPUTED_VALUE"""),266.0)</f>
        <v>266</v>
      </c>
      <c r="D2859" s="12">
        <f>IFERROR(__xludf.DUMMYFUNCTION("""COMPUTED_VALUE"""),29.0)</f>
        <v>29</v>
      </c>
      <c r="E2859" s="12">
        <f>IFERROR(__xludf.DUMMYFUNCTION("""COMPUTED_VALUE"""),6.0)</f>
        <v>6</v>
      </c>
      <c r="F2859" s="12">
        <f>IFERROR(__xludf.DUMMYFUNCTION("""COMPUTED_VALUE"""),4.0)</f>
        <v>4</v>
      </c>
      <c r="G2859" s="15" t="str">
        <f>IFERROR(__xludf.DUMMYFUNCTION("""COMPUTED_VALUE"""),"Completa")</f>
        <v>Completa</v>
      </c>
      <c r="H2859" s="16" t="str">
        <f t="array" ref="H2859">_xlfn.XLOOKUP(D2859,Productos[ID_Producto],Productos[Nombre_Producto])</f>
        <v>Cerveza</v>
      </c>
      <c r="I2859" s="17">
        <f t="array" ref="I2859">_xlfn.XLOOKUP(D2859,Productos[ID_Producto],Productos[Precio_Unitario])</f>
        <v>11.54</v>
      </c>
      <c r="J2859" s="17">
        <f t="shared" si="1"/>
        <v>69.24</v>
      </c>
      <c r="K2859" s="16" t="str">
        <f t="array" ref="K2859">_xlfn.XLOOKUP(C2859,Clientes[ID_Cliente],Clientes[Provincia])</f>
        <v>Buenos Aires</v>
      </c>
      <c r="L2859" s="16" t="str">
        <f t="array" ref="L2859">CONCATENATE(_xlfn.XLOOKUP(C2859,Clientes[ID_Cliente],Clientes[Provincia]),", Argentina")</f>
        <v>Buenos Aires, Argentina</v>
      </c>
      <c r="M2859" s="20" t="str">
        <f t="array" ref="M2859">_xlfn.XLOOKUP(F2859,Metodos_De_Pago[ID_Metodo],Metodos_De_Pago[Metodo])</f>
        <v>Mercado Pago</v>
      </c>
      <c r="N2859" s="20" t="str">
        <f t="shared" si="2"/>
        <v>2024 09</v>
      </c>
    </row>
    <row r="2860" ht="22.5" customHeight="1">
      <c r="A2860" s="12">
        <f>IFERROR(__xludf.DUMMYFUNCTION("""COMPUTED_VALUE"""),296.0)</f>
        <v>296</v>
      </c>
      <c r="B2860" s="13">
        <f>IFERROR(__xludf.DUMMYFUNCTION("""COMPUTED_VALUE"""),45561.0)</f>
        <v>45561</v>
      </c>
      <c r="C2860" s="12">
        <f>IFERROR(__xludf.DUMMYFUNCTION("""COMPUTED_VALUE"""),279.0)</f>
        <v>279</v>
      </c>
      <c r="D2860" s="12">
        <f>IFERROR(__xludf.DUMMYFUNCTION("""COMPUTED_VALUE"""),10.0)</f>
        <v>10</v>
      </c>
      <c r="E2860" s="12">
        <f>IFERROR(__xludf.DUMMYFUNCTION("""COMPUTED_VALUE"""),6.0)</f>
        <v>6</v>
      </c>
      <c r="F2860" s="12">
        <f>IFERROR(__xludf.DUMMYFUNCTION("""COMPUTED_VALUE"""),5.0)</f>
        <v>5</v>
      </c>
      <c r="G2860" s="15" t="str">
        <f>IFERROR(__xludf.DUMMYFUNCTION("""COMPUTED_VALUE"""),"Pendiente")</f>
        <v>Pendiente</v>
      </c>
      <c r="H2860" s="16" t="str">
        <f t="array" ref="H2860">_xlfn.XLOOKUP(D2860,Productos[ID_Producto],Productos[Nombre_Producto])</f>
        <v>Costilla de cerdo</v>
      </c>
      <c r="I2860" s="17">
        <f t="array" ref="I2860">_xlfn.XLOOKUP(D2860,Productos[ID_Producto],Productos[Precio_Unitario])</f>
        <v>14.25</v>
      </c>
      <c r="J2860" s="17">
        <f t="shared" si="1"/>
        <v>85.5</v>
      </c>
      <c r="K2860" s="16" t="str">
        <f t="array" ref="K2860">_xlfn.XLOOKUP(C2860,Clientes[ID_Cliente],Clientes[Provincia])</f>
        <v>Córdoba</v>
      </c>
      <c r="L2860" s="16" t="str">
        <f t="array" ref="L2860">CONCATENATE(_xlfn.XLOOKUP(C2860,Clientes[ID_Cliente],Clientes[Provincia]),", Argentina")</f>
        <v>Córdoba, Argentina</v>
      </c>
      <c r="M2860" s="20" t="str">
        <f t="array" ref="M2860">_xlfn.XLOOKUP(F2860,Metodos_De_Pago[ID_Metodo],Metodos_De_Pago[Metodo])</f>
        <v>Transferencia</v>
      </c>
      <c r="N2860" s="20" t="str">
        <f t="shared" si="2"/>
        <v>2024 09</v>
      </c>
    </row>
    <row r="2861" ht="22.5" customHeight="1">
      <c r="A2861" s="12">
        <f>IFERROR(__xludf.DUMMYFUNCTION("""COMPUTED_VALUE"""),56.0)</f>
        <v>56</v>
      </c>
      <c r="B2861" s="13">
        <f>IFERROR(__xludf.DUMMYFUNCTION("""COMPUTED_VALUE"""),45562.0)</f>
        <v>45562</v>
      </c>
      <c r="C2861" s="12">
        <f>IFERROR(__xludf.DUMMYFUNCTION("""COMPUTED_VALUE"""),91.0)</f>
        <v>91</v>
      </c>
      <c r="D2861" s="12">
        <f>IFERROR(__xludf.DUMMYFUNCTION("""COMPUTED_VALUE"""),20.0)</f>
        <v>20</v>
      </c>
      <c r="E2861" s="12">
        <f>IFERROR(__xludf.DUMMYFUNCTION("""COMPUTED_VALUE"""),6.0)</f>
        <v>6</v>
      </c>
      <c r="F2861" s="12">
        <f>IFERROR(__xludf.DUMMYFUNCTION("""COMPUTED_VALUE"""),3.0)</f>
        <v>3</v>
      </c>
      <c r="G2861" s="15" t="str">
        <f>IFERROR(__xludf.DUMMYFUNCTION("""COMPUTED_VALUE"""),"Completa")</f>
        <v>Completa</v>
      </c>
      <c r="H2861" s="16" t="str">
        <f t="array" ref="H2861">_xlfn.XLOOKUP(D2861,Productos[ID_Producto],Productos[Nombre_Producto])</f>
        <v>Lechugas</v>
      </c>
      <c r="I2861" s="17">
        <f t="array" ref="I2861">_xlfn.XLOOKUP(D2861,Productos[ID_Producto],Productos[Precio_Unitario])</f>
        <v>4.25</v>
      </c>
      <c r="J2861" s="17">
        <f t="shared" si="1"/>
        <v>25.5</v>
      </c>
      <c r="K2861" s="16" t="str">
        <f t="array" ref="K2861">_xlfn.XLOOKUP(C2861,Clientes[ID_Cliente],Clientes[Provincia])</f>
        <v>Buenos Aires</v>
      </c>
      <c r="L2861" s="16" t="str">
        <f t="array" ref="L2861">CONCATENATE(_xlfn.XLOOKUP(C2861,Clientes[ID_Cliente],Clientes[Provincia]),", Argentina")</f>
        <v>Buenos Aires, Argentina</v>
      </c>
      <c r="M2861" s="20" t="str">
        <f t="array" ref="M2861">_xlfn.XLOOKUP(F2861,Metodos_De_Pago[ID_Metodo],Metodos_De_Pago[Metodo])</f>
        <v>Tarjeta de Débito</v>
      </c>
      <c r="N2861" s="20" t="str">
        <f t="shared" si="2"/>
        <v>2024 09</v>
      </c>
    </row>
    <row r="2862" ht="22.5" customHeight="1">
      <c r="A2862" s="12">
        <f>IFERROR(__xludf.DUMMYFUNCTION("""COMPUTED_VALUE"""),697.0)</f>
        <v>697</v>
      </c>
      <c r="B2862" s="13">
        <f>IFERROR(__xludf.DUMMYFUNCTION("""COMPUTED_VALUE"""),45562.0)</f>
        <v>45562</v>
      </c>
      <c r="C2862" s="12">
        <f>IFERROR(__xludf.DUMMYFUNCTION("""COMPUTED_VALUE"""),21.0)</f>
        <v>21</v>
      </c>
      <c r="D2862" s="12">
        <f>IFERROR(__xludf.DUMMYFUNCTION("""COMPUTED_VALUE"""),19.0)</f>
        <v>19</v>
      </c>
      <c r="E2862" s="12">
        <f>IFERROR(__xludf.DUMMYFUNCTION("""COMPUTED_VALUE"""),6.0)</f>
        <v>6</v>
      </c>
      <c r="F2862" s="12">
        <f>IFERROR(__xludf.DUMMYFUNCTION("""COMPUTED_VALUE"""),2.0)</f>
        <v>2</v>
      </c>
      <c r="G2862" s="15" t="str">
        <f>IFERROR(__xludf.DUMMYFUNCTION("""COMPUTED_VALUE"""),"Completa")</f>
        <v>Completa</v>
      </c>
      <c r="H2862" s="16" t="str">
        <f t="array" ref="H2862">_xlfn.XLOOKUP(D2862,Productos[ID_Producto],Productos[Nombre_Producto])</f>
        <v>Tomates</v>
      </c>
      <c r="I2862" s="17">
        <f t="array" ref="I2862">_xlfn.XLOOKUP(D2862,Productos[ID_Producto],Productos[Precio_Unitario])</f>
        <v>6.54</v>
      </c>
      <c r="J2862" s="17">
        <f t="shared" si="1"/>
        <v>39.24</v>
      </c>
      <c r="K2862" s="16" t="str">
        <f t="array" ref="K2862">_xlfn.XLOOKUP(C2862,Clientes[ID_Cliente],Clientes[Provincia])</f>
        <v>Buenos Aires</v>
      </c>
      <c r="L2862" s="16" t="str">
        <f t="array" ref="L2862">CONCATENATE(_xlfn.XLOOKUP(C2862,Clientes[ID_Cliente],Clientes[Provincia]),", Argentina")</f>
        <v>Buenos Aires, Argentina</v>
      </c>
      <c r="M2862" s="20" t="str">
        <f t="array" ref="M2862">_xlfn.XLOOKUP(F2862,Metodos_De_Pago[ID_Metodo],Metodos_De_Pago[Metodo])</f>
        <v>Tarjeta de Crédito</v>
      </c>
      <c r="N2862" s="20" t="str">
        <f t="shared" si="2"/>
        <v>2024 09</v>
      </c>
    </row>
    <row r="2863" ht="22.5" customHeight="1">
      <c r="A2863" s="12">
        <f>IFERROR(__xludf.DUMMYFUNCTION("""COMPUTED_VALUE"""),736.0)</f>
        <v>736</v>
      </c>
      <c r="B2863" s="13">
        <f>IFERROR(__xludf.DUMMYFUNCTION("""COMPUTED_VALUE"""),45562.0)</f>
        <v>45562</v>
      </c>
      <c r="C2863" s="12">
        <f>IFERROR(__xludf.DUMMYFUNCTION("""COMPUTED_VALUE"""),325.0)</f>
        <v>325</v>
      </c>
      <c r="D2863" s="12">
        <f>IFERROR(__xludf.DUMMYFUNCTION("""COMPUTED_VALUE"""),5.0)</f>
        <v>5</v>
      </c>
      <c r="E2863" s="12">
        <f>IFERROR(__xludf.DUMMYFUNCTION("""COMPUTED_VALUE"""),6.0)</f>
        <v>6</v>
      </c>
      <c r="F2863" s="12">
        <f>IFERROR(__xludf.DUMMYFUNCTION("""COMPUTED_VALUE"""),5.0)</f>
        <v>5</v>
      </c>
      <c r="G2863" s="15" t="str">
        <f>IFERROR(__xludf.DUMMYFUNCTION("""COMPUTED_VALUE"""),"Completa")</f>
        <v>Completa</v>
      </c>
      <c r="H2863" s="16" t="str">
        <f t="array" ref="H2863">_xlfn.XLOOKUP(D2863,Productos[ID_Producto],Productos[Nombre_Producto])</f>
        <v>Manteca</v>
      </c>
      <c r="I2863" s="17">
        <f t="array" ref="I2863">_xlfn.XLOOKUP(D2863,Productos[ID_Producto],Productos[Precio_Unitario])</f>
        <v>5.65</v>
      </c>
      <c r="J2863" s="17">
        <f t="shared" si="1"/>
        <v>33.9</v>
      </c>
      <c r="K2863" s="16" t="str">
        <f t="array" ref="K2863">_xlfn.XLOOKUP(C2863,Clientes[ID_Cliente],Clientes[Provincia])</f>
        <v>Chaco</v>
      </c>
      <c r="L2863" s="16" t="str">
        <f t="array" ref="L2863">CONCATENATE(_xlfn.XLOOKUP(C2863,Clientes[ID_Cliente],Clientes[Provincia]),", Argentina")</f>
        <v>Chaco, Argentina</v>
      </c>
      <c r="M2863" s="20" t="str">
        <f t="array" ref="M2863">_xlfn.XLOOKUP(F2863,Metodos_De_Pago[ID_Metodo],Metodos_De_Pago[Metodo])</f>
        <v>Transferencia</v>
      </c>
      <c r="N2863" s="20" t="str">
        <f t="shared" si="2"/>
        <v>2024 09</v>
      </c>
    </row>
    <row r="2864" ht="22.5" customHeight="1">
      <c r="A2864" s="12">
        <f>IFERROR(__xludf.DUMMYFUNCTION("""COMPUTED_VALUE"""),317.0)</f>
        <v>317</v>
      </c>
      <c r="B2864" s="13">
        <f>IFERROR(__xludf.DUMMYFUNCTION("""COMPUTED_VALUE"""),45563.0)</f>
        <v>45563</v>
      </c>
      <c r="C2864" s="12">
        <f>IFERROR(__xludf.DUMMYFUNCTION("""COMPUTED_VALUE"""),258.0)</f>
        <v>258</v>
      </c>
      <c r="D2864" s="12">
        <f>IFERROR(__xludf.DUMMYFUNCTION("""COMPUTED_VALUE"""),7.0)</f>
        <v>7</v>
      </c>
      <c r="E2864" s="12">
        <f>IFERROR(__xludf.DUMMYFUNCTION("""COMPUTED_VALUE"""),6.0)</f>
        <v>6</v>
      </c>
      <c r="F2864" s="12">
        <f>IFERROR(__xludf.DUMMYFUNCTION("""COMPUTED_VALUE"""),3.0)</f>
        <v>3</v>
      </c>
      <c r="G2864" s="15" t="str">
        <f>IFERROR(__xludf.DUMMYFUNCTION("""COMPUTED_VALUE"""),"Completa")</f>
        <v>Completa</v>
      </c>
      <c r="H2864" s="16" t="str">
        <f t="array" ref="H2864">_xlfn.XLOOKUP(D2864,Productos[ID_Producto],Productos[Nombre_Producto])</f>
        <v>Chorizo</v>
      </c>
      <c r="I2864" s="17">
        <f t="array" ref="I2864">_xlfn.XLOOKUP(D2864,Productos[ID_Producto],Productos[Precio_Unitario])</f>
        <v>11.25</v>
      </c>
      <c r="J2864" s="17">
        <f t="shared" si="1"/>
        <v>67.5</v>
      </c>
      <c r="K2864" s="16" t="str">
        <f t="array" ref="K2864">_xlfn.XLOOKUP(C2864,Clientes[ID_Cliente],Clientes[Provincia])</f>
        <v>Córdoba</v>
      </c>
      <c r="L2864" s="16" t="str">
        <f t="array" ref="L2864">CONCATENATE(_xlfn.XLOOKUP(C2864,Clientes[ID_Cliente],Clientes[Provincia]),", Argentina")</f>
        <v>Córdoba, Argentina</v>
      </c>
      <c r="M2864" s="20" t="str">
        <f t="array" ref="M2864">_xlfn.XLOOKUP(F2864,Metodos_De_Pago[ID_Metodo],Metodos_De_Pago[Metodo])</f>
        <v>Tarjeta de Débito</v>
      </c>
      <c r="N2864" s="20" t="str">
        <f t="shared" si="2"/>
        <v>2024 09</v>
      </c>
    </row>
    <row r="2865" ht="22.5" customHeight="1">
      <c r="A2865" s="12">
        <f>IFERROR(__xludf.DUMMYFUNCTION("""COMPUTED_VALUE"""),417.0)</f>
        <v>417</v>
      </c>
      <c r="B2865" s="13">
        <f>IFERROR(__xludf.DUMMYFUNCTION("""COMPUTED_VALUE"""),45563.0)</f>
        <v>45563</v>
      </c>
      <c r="C2865" s="12">
        <f>IFERROR(__xludf.DUMMYFUNCTION("""COMPUTED_VALUE"""),40.0)</f>
        <v>40</v>
      </c>
      <c r="D2865" s="12">
        <f>IFERROR(__xludf.DUMMYFUNCTION("""COMPUTED_VALUE"""),8.0)</f>
        <v>8</v>
      </c>
      <c r="E2865" s="12">
        <f>IFERROR(__xludf.DUMMYFUNCTION("""COMPUTED_VALUE"""),6.0)</f>
        <v>6</v>
      </c>
      <c r="F2865" s="12">
        <f>IFERROR(__xludf.DUMMYFUNCTION("""COMPUTED_VALUE"""),4.0)</f>
        <v>4</v>
      </c>
      <c r="G2865" s="15" t="str">
        <f>IFERROR(__xludf.DUMMYFUNCTION("""COMPUTED_VALUE"""),"Pendiente")</f>
        <v>Pendiente</v>
      </c>
      <c r="H2865" s="16" t="str">
        <f t="array" ref="H2865">_xlfn.XLOOKUP(D2865,Productos[ID_Producto],Productos[Nombre_Producto])</f>
        <v>Milanesa</v>
      </c>
      <c r="I2865" s="17">
        <f t="array" ref="I2865">_xlfn.XLOOKUP(D2865,Productos[ID_Producto],Productos[Precio_Unitario])</f>
        <v>16.21</v>
      </c>
      <c r="J2865" s="17">
        <f t="shared" si="1"/>
        <v>97.26</v>
      </c>
      <c r="K2865" s="16" t="str">
        <f t="array" ref="K2865">_xlfn.XLOOKUP(C2865,Clientes[ID_Cliente],Clientes[Provincia])</f>
        <v>San Luis</v>
      </c>
      <c r="L2865" s="16" t="str">
        <f t="array" ref="L2865">CONCATENATE(_xlfn.XLOOKUP(C2865,Clientes[ID_Cliente],Clientes[Provincia]),", Argentina")</f>
        <v>San Luis, Argentina</v>
      </c>
      <c r="M2865" s="20" t="str">
        <f t="array" ref="M2865">_xlfn.XLOOKUP(F2865,Metodos_De_Pago[ID_Metodo],Metodos_De_Pago[Metodo])</f>
        <v>Mercado Pago</v>
      </c>
      <c r="N2865" s="20" t="str">
        <f t="shared" si="2"/>
        <v>2024 09</v>
      </c>
    </row>
    <row r="2866" ht="22.5" customHeight="1">
      <c r="A2866" s="12">
        <f>IFERROR(__xludf.DUMMYFUNCTION("""COMPUTED_VALUE"""),860.0)</f>
        <v>860</v>
      </c>
      <c r="B2866" s="13">
        <f>IFERROR(__xludf.DUMMYFUNCTION("""COMPUTED_VALUE"""),45563.0)</f>
        <v>45563</v>
      </c>
      <c r="C2866" s="12">
        <f>IFERROR(__xludf.DUMMYFUNCTION("""COMPUTED_VALUE"""),106.0)</f>
        <v>106</v>
      </c>
      <c r="D2866" s="12">
        <f>IFERROR(__xludf.DUMMYFUNCTION("""COMPUTED_VALUE"""),2.0)</f>
        <v>2</v>
      </c>
      <c r="E2866" s="12">
        <f>IFERROR(__xludf.DUMMYFUNCTION("""COMPUTED_VALUE"""),6.0)</f>
        <v>6</v>
      </c>
      <c r="F2866" s="12">
        <f>IFERROR(__xludf.DUMMYFUNCTION("""COMPUTED_VALUE"""),4.0)</f>
        <v>4</v>
      </c>
      <c r="G2866" s="15" t="str">
        <f>IFERROR(__xludf.DUMMYFUNCTION("""COMPUTED_VALUE"""),"Completa")</f>
        <v>Completa</v>
      </c>
      <c r="H2866" s="16" t="str">
        <f t="array" ref="H2866">_xlfn.XLOOKUP(D2866,Productos[ID_Producto],Productos[Nombre_Producto])</f>
        <v>Yogur</v>
      </c>
      <c r="I2866" s="17">
        <f t="array" ref="I2866">_xlfn.XLOOKUP(D2866,Productos[ID_Producto],Productos[Precio_Unitario])</f>
        <v>5.21</v>
      </c>
      <c r="J2866" s="17">
        <f t="shared" si="1"/>
        <v>31.26</v>
      </c>
      <c r="K2866" s="16" t="str">
        <f t="array" ref="K2866">_xlfn.XLOOKUP(C2866,Clientes[ID_Cliente],Clientes[Provincia])</f>
        <v>Chaco</v>
      </c>
      <c r="L2866" s="16" t="str">
        <f t="array" ref="L2866">CONCATENATE(_xlfn.XLOOKUP(C2866,Clientes[ID_Cliente],Clientes[Provincia]),", Argentina")</f>
        <v>Chaco, Argentina</v>
      </c>
      <c r="M2866" s="20" t="str">
        <f t="array" ref="M2866">_xlfn.XLOOKUP(F2866,Metodos_De_Pago[ID_Metodo],Metodos_De_Pago[Metodo])</f>
        <v>Mercado Pago</v>
      </c>
      <c r="N2866" s="20" t="str">
        <f t="shared" si="2"/>
        <v>2024 09</v>
      </c>
    </row>
    <row r="2867" ht="22.5" customHeight="1">
      <c r="A2867" s="12">
        <f>IFERROR(__xludf.DUMMYFUNCTION("""COMPUTED_VALUE"""),1503.0)</f>
        <v>1503</v>
      </c>
      <c r="B2867" s="13">
        <f>IFERROR(__xludf.DUMMYFUNCTION("""COMPUTED_VALUE"""),45563.0)</f>
        <v>45563</v>
      </c>
      <c r="C2867" s="12">
        <f>IFERROR(__xludf.DUMMYFUNCTION("""COMPUTED_VALUE"""),121.0)</f>
        <v>121</v>
      </c>
      <c r="D2867" s="12">
        <f>IFERROR(__xludf.DUMMYFUNCTION("""COMPUTED_VALUE"""),12.0)</f>
        <v>12</v>
      </c>
      <c r="E2867" s="12">
        <f>IFERROR(__xludf.DUMMYFUNCTION("""COMPUTED_VALUE"""),6.0)</f>
        <v>6</v>
      </c>
      <c r="F2867" s="12">
        <f>IFERROR(__xludf.DUMMYFUNCTION("""COMPUTED_VALUE"""),3.0)</f>
        <v>3</v>
      </c>
      <c r="G2867" s="15" t="str">
        <f>IFERROR(__xludf.DUMMYFUNCTION("""COMPUTED_VALUE"""),"Completa")</f>
        <v>Completa</v>
      </c>
      <c r="H2867" s="16" t="str">
        <f t="array" ref="H2867">_xlfn.XLOOKUP(D2867,Productos[ID_Producto],Productos[Nombre_Producto])</f>
        <v>Pan francés</v>
      </c>
      <c r="I2867" s="17">
        <f t="array" ref="I2867">_xlfn.XLOOKUP(D2867,Productos[ID_Producto],Productos[Precio_Unitario])</f>
        <v>8.12</v>
      </c>
      <c r="J2867" s="17">
        <f t="shared" si="1"/>
        <v>48.72</v>
      </c>
      <c r="K2867" s="16" t="str">
        <f t="array" ref="K2867">_xlfn.XLOOKUP(C2867,Clientes[ID_Cliente],Clientes[Provincia])</f>
        <v>San Luis</v>
      </c>
      <c r="L2867" s="16" t="str">
        <f t="array" ref="L2867">CONCATENATE(_xlfn.XLOOKUP(C2867,Clientes[ID_Cliente],Clientes[Provincia]),", Argentina")</f>
        <v>San Luis, Argentina</v>
      </c>
      <c r="M2867" s="20" t="str">
        <f t="array" ref="M2867">_xlfn.XLOOKUP(F2867,Metodos_De_Pago[ID_Metodo],Metodos_De_Pago[Metodo])</f>
        <v>Tarjeta de Débito</v>
      </c>
      <c r="N2867" s="20" t="str">
        <f t="shared" si="2"/>
        <v>2024 09</v>
      </c>
    </row>
    <row r="2868" ht="22.5" customHeight="1">
      <c r="A2868" s="12">
        <f>IFERROR(__xludf.DUMMYFUNCTION("""COMPUTED_VALUE"""),59.0)</f>
        <v>59</v>
      </c>
      <c r="B2868" s="13">
        <f>IFERROR(__xludf.DUMMYFUNCTION("""COMPUTED_VALUE"""),45564.0)</f>
        <v>45564</v>
      </c>
      <c r="C2868" s="12">
        <f>IFERROR(__xludf.DUMMYFUNCTION("""COMPUTED_VALUE"""),242.0)</f>
        <v>242</v>
      </c>
      <c r="D2868" s="12">
        <f>IFERROR(__xludf.DUMMYFUNCTION("""COMPUTED_VALUE"""),16.0)</f>
        <v>16</v>
      </c>
      <c r="E2868" s="12">
        <f>IFERROR(__xludf.DUMMYFUNCTION("""COMPUTED_VALUE"""),6.0)</f>
        <v>6</v>
      </c>
      <c r="F2868" s="12">
        <f>IFERROR(__xludf.DUMMYFUNCTION("""COMPUTED_VALUE"""),5.0)</f>
        <v>5</v>
      </c>
      <c r="G2868" s="15" t="str">
        <f>IFERROR(__xludf.DUMMYFUNCTION("""COMPUTED_VALUE"""),"Completa")</f>
        <v>Completa</v>
      </c>
      <c r="H2868" s="16" t="str">
        <f t="array" ref="H2868">_xlfn.XLOOKUP(D2868,Productos[ID_Producto],Productos[Nombre_Producto])</f>
        <v>Tortas</v>
      </c>
      <c r="I2868" s="17">
        <f t="array" ref="I2868">_xlfn.XLOOKUP(D2868,Productos[ID_Producto],Productos[Precio_Unitario])</f>
        <v>15.23</v>
      </c>
      <c r="J2868" s="17">
        <f t="shared" si="1"/>
        <v>91.38</v>
      </c>
      <c r="K2868" s="16" t="str">
        <f t="array" ref="K2868">_xlfn.XLOOKUP(C2868,Clientes[ID_Cliente],Clientes[Provincia])</f>
        <v>Chaco</v>
      </c>
      <c r="L2868" s="16" t="str">
        <f t="array" ref="L2868">CONCATENATE(_xlfn.XLOOKUP(C2868,Clientes[ID_Cliente],Clientes[Provincia]),", Argentina")</f>
        <v>Chaco, Argentina</v>
      </c>
      <c r="M2868" s="20" t="str">
        <f t="array" ref="M2868">_xlfn.XLOOKUP(F2868,Metodos_De_Pago[ID_Metodo],Metodos_De_Pago[Metodo])</f>
        <v>Transferencia</v>
      </c>
      <c r="N2868" s="20" t="str">
        <f t="shared" si="2"/>
        <v>2024 09</v>
      </c>
    </row>
    <row r="2869" ht="22.5" customHeight="1">
      <c r="A2869" s="12">
        <f>IFERROR(__xludf.DUMMYFUNCTION("""COMPUTED_VALUE"""),91.0)</f>
        <v>91</v>
      </c>
      <c r="B2869" s="13">
        <f>IFERROR(__xludf.DUMMYFUNCTION("""COMPUTED_VALUE"""),45564.0)</f>
        <v>45564</v>
      </c>
      <c r="C2869" s="12">
        <f>IFERROR(__xludf.DUMMYFUNCTION("""COMPUTED_VALUE"""),192.0)</f>
        <v>192</v>
      </c>
      <c r="D2869" s="12">
        <f>IFERROR(__xludf.DUMMYFUNCTION("""COMPUTED_VALUE"""),6.0)</f>
        <v>6</v>
      </c>
      <c r="E2869" s="12">
        <f>IFERROR(__xludf.DUMMYFUNCTION("""COMPUTED_VALUE"""),6.0)</f>
        <v>6</v>
      </c>
      <c r="F2869" s="12">
        <f>IFERROR(__xludf.DUMMYFUNCTION("""COMPUTED_VALUE"""),3.0)</f>
        <v>3</v>
      </c>
      <c r="G2869" s="15" t="str">
        <f>IFERROR(__xludf.DUMMYFUNCTION("""COMPUTED_VALUE"""),"Completa")</f>
        <v>Completa</v>
      </c>
      <c r="H2869" s="16" t="str">
        <f t="array" ref="H2869">_xlfn.XLOOKUP(D2869,Productos[ID_Producto],Productos[Nombre_Producto])</f>
        <v>Asado</v>
      </c>
      <c r="I2869" s="17">
        <f t="array" ref="I2869">_xlfn.XLOOKUP(D2869,Productos[ID_Producto],Productos[Precio_Unitario])</f>
        <v>28.56</v>
      </c>
      <c r="J2869" s="17">
        <f t="shared" si="1"/>
        <v>171.36</v>
      </c>
      <c r="K2869" s="16" t="str">
        <f t="array" ref="K2869">_xlfn.XLOOKUP(C2869,Clientes[ID_Cliente],Clientes[Provincia])</f>
        <v>San Luis</v>
      </c>
      <c r="L2869" s="16" t="str">
        <f t="array" ref="L2869">CONCATENATE(_xlfn.XLOOKUP(C2869,Clientes[ID_Cliente],Clientes[Provincia]),", Argentina")</f>
        <v>San Luis, Argentina</v>
      </c>
      <c r="M2869" s="20" t="str">
        <f t="array" ref="M2869">_xlfn.XLOOKUP(F2869,Metodos_De_Pago[ID_Metodo],Metodos_De_Pago[Metodo])</f>
        <v>Tarjeta de Débito</v>
      </c>
      <c r="N2869" s="20" t="str">
        <f t="shared" si="2"/>
        <v>2024 09</v>
      </c>
    </row>
    <row r="2870" ht="22.5" customHeight="1">
      <c r="A2870" s="12">
        <f>IFERROR(__xludf.DUMMYFUNCTION("""COMPUTED_VALUE"""),100.0)</f>
        <v>100</v>
      </c>
      <c r="B2870" s="13">
        <f>IFERROR(__xludf.DUMMYFUNCTION("""COMPUTED_VALUE"""),45564.0)</f>
        <v>45564</v>
      </c>
      <c r="C2870" s="12">
        <f>IFERROR(__xludf.DUMMYFUNCTION("""COMPUTED_VALUE"""),134.0)</f>
        <v>134</v>
      </c>
      <c r="D2870" s="12">
        <f>IFERROR(__xludf.DUMMYFUNCTION("""COMPUTED_VALUE"""),26.0)</f>
        <v>26</v>
      </c>
      <c r="E2870" s="12">
        <f>IFERROR(__xludf.DUMMYFUNCTION("""COMPUTED_VALUE"""),6.0)</f>
        <v>6</v>
      </c>
      <c r="F2870" s="12">
        <f>IFERROR(__xludf.DUMMYFUNCTION("""COMPUTED_VALUE"""),1.0)</f>
        <v>1</v>
      </c>
      <c r="G2870" s="15" t="str">
        <f>IFERROR(__xludf.DUMMYFUNCTION("""COMPUTED_VALUE"""),"Completa")</f>
        <v>Completa</v>
      </c>
      <c r="H2870" s="16" t="str">
        <f t="array" ref="H2870">_xlfn.XLOOKUP(D2870,Productos[ID_Producto],Productos[Nombre_Producto])</f>
        <v>Hamburgesas congeladas</v>
      </c>
      <c r="I2870" s="17">
        <f t="array" ref="I2870">_xlfn.XLOOKUP(D2870,Productos[ID_Producto],Productos[Precio_Unitario])</f>
        <v>9.54</v>
      </c>
      <c r="J2870" s="17">
        <f t="shared" si="1"/>
        <v>57.24</v>
      </c>
      <c r="K2870" s="16" t="str">
        <f t="array" ref="K2870">_xlfn.XLOOKUP(C2870,Clientes[ID_Cliente],Clientes[Provincia])</f>
        <v>San Luis</v>
      </c>
      <c r="L2870" s="16" t="str">
        <f t="array" ref="L2870">CONCATENATE(_xlfn.XLOOKUP(C2870,Clientes[ID_Cliente],Clientes[Provincia]),", Argentina")</f>
        <v>San Luis, Argentina</v>
      </c>
      <c r="M2870" s="20" t="str">
        <f t="array" ref="M2870">_xlfn.XLOOKUP(F2870,Metodos_De_Pago[ID_Metodo],Metodos_De_Pago[Metodo])</f>
        <v>Efectivo</v>
      </c>
      <c r="N2870" s="20" t="str">
        <f t="shared" si="2"/>
        <v>2024 09</v>
      </c>
    </row>
    <row r="2871" ht="22.5" customHeight="1">
      <c r="A2871" s="12">
        <f>IFERROR(__xludf.DUMMYFUNCTION("""COMPUTED_VALUE"""),755.0)</f>
        <v>755</v>
      </c>
      <c r="B2871" s="13">
        <f>IFERROR(__xludf.DUMMYFUNCTION("""COMPUTED_VALUE"""),45565.0)</f>
        <v>45565</v>
      </c>
      <c r="C2871" s="12">
        <f>IFERROR(__xludf.DUMMYFUNCTION("""COMPUTED_VALUE"""),109.0)</f>
        <v>109</v>
      </c>
      <c r="D2871" s="12">
        <f>IFERROR(__xludf.DUMMYFUNCTION("""COMPUTED_VALUE"""),5.0)</f>
        <v>5</v>
      </c>
      <c r="E2871" s="12">
        <f>IFERROR(__xludf.DUMMYFUNCTION("""COMPUTED_VALUE"""),6.0)</f>
        <v>6</v>
      </c>
      <c r="F2871" s="12">
        <f>IFERROR(__xludf.DUMMYFUNCTION("""COMPUTED_VALUE"""),5.0)</f>
        <v>5</v>
      </c>
      <c r="G2871" s="15" t="str">
        <f>IFERROR(__xludf.DUMMYFUNCTION("""COMPUTED_VALUE"""),"Completa")</f>
        <v>Completa</v>
      </c>
      <c r="H2871" s="16" t="str">
        <f t="array" ref="H2871">_xlfn.XLOOKUP(D2871,Productos[ID_Producto],Productos[Nombre_Producto])</f>
        <v>Manteca</v>
      </c>
      <c r="I2871" s="17">
        <f t="array" ref="I2871">_xlfn.XLOOKUP(D2871,Productos[ID_Producto],Productos[Precio_Unitario])</f>
        <v>5.65</v>
      </c>
      <c r="J2871" s="17">
        <f t="shared" si="1"/>
        <v>33.9</v>
      </c>
      <c r="K2871" s="16" t="str">
        <f t="array" ref="K2871">_xlfn.XLOOKUP(C2871,Clientes[ID_Cliente],Clientes[Provincia])</f>
        <v>San Luis</v>
      </c>
      <c r="L2871" s="16" t="str">
        <f t="array" ref="L2871">CONCATENATE(_xlfn.XLOOKUP(C2871,Clientes[ID_Cliente],Clientes[Provincia]),", Argentina")</f>
        <v>San Luis, Argentina</v>
      </c>
      <c r="M2871" s="20" t="str">
        <f t="array" ref="M2871">_xlfn.XLOOKUP(F2871,Metodos_De_Pago[ID_Metodo],Metodos_De_Pago[Metodo])</f>
        <v>Transferencia</v>
      </c>
      <c r="N2871" s="20" t="str">
        <f t="shared" si="2"/>
        <v>2024 09</v>
      </c>
    </row>
    <row r="2872" ht="22.5" customHeight="1">
      <c r="A2872" s="12">
        <f>IFERROR(__xludf.DUMMYFUNCTION("""COMPUTED_VALUE"""),1120.0)</f>
        <v>1120</v>
      </c>
      <c r="B2872" s="13">
        <f>IFERROR(__xludf.DUMMYFUNCTION("""COMPUTED_VALUE"""),45565.0)</f>
        <v>45565</v>
      </c>
      <c r="C2872" s="12">
        <f>IFERROR(__xludf.DUMMYFUNCTION("""COMPUTED_VALUE"""),283.0)</f>
        <v>283</v>
      </c>
      <c r="D2872" s="12">
        <f>IFERROR(__xludf.DUMMYFUNCTION("""COMPUTED_VALUE"""),13.0)</f>
        <v>13</v>
      </c>
      <c r="E2872" s="12">
        <f>IFERROR(__xludf.DUMMYFUNCTION("""COMPUTED_VALUE"""),6.0)</f>
        <v>6</v>
      </c>
      <c r="F2872" s="12">
        <f>IFERROR(__xludf.DUMMYFUNCTION("""COMPUTED_VALUE"""),5.0)</f>
        <v>5</v>
      </c>
      <c r="G2872" s="15" t="str">
        <f>IFERROR(__xludf.DUMMYFUNCTION("""COMPUTED_VALUE"""),"Completa")</f>
        <v>Completa</v>
      </c>
      <c r="H2872" s="16" t="str">
        <f t="array" ref="H2872">_xlfn.XLOOKUP(D2872,Productos[ID_Producto],Productos[Nombre_Producto])</f>
        <v>Pan integral</v>
      </c>
      <c r="I2872" s="17">
        <f t="array" ref="I2872">_xlfn.XLOOKUP(D2872,Productos[ID_Producto],Productos[Precio_Unitario])</f>
        <v>12.56</v>
      </c>
      <c r="J2872" s="17">
        <f t="shared" si="1"/>
        <v>75.36</v>
      </c>
      <c r="K2872" s="16" t="str">
        <f t="array" ref="K2872">_xlfn.XLOOKUP(C2872,Clientes[ID_Cliente],Clientes[Provincia])</f>
        <v>Buenos Aires</v>
      </c>
      <c r="L2872" s="16" t="str">
        <f t="array" ref="L2872">CONCATENATE(_xlfn.XLOOKUP(C2872,Clientes[ID_Cliente],Clientes[Provincia]),", Argentina")</f>
        <v>Buenos Aires, Argentina</v>
      </c>
      <c r="M2872" s="20" t="str">
        <f t="array" ref="M2872">_xlfn.XLOOKUP(F2872,Metodos_De_Pago[ID_Metodo],Metodos_De_Pago[Metodo])</f>
        <v>Transferencia</v>
      </c>
      <c r="N2872" s="20" t="str">
        <f t="shared" si="2"/>
        <v>2024 09</v>
      </c>
    </row>
    <row r="2873" ht="22.5" customHeight="1">
      <c r="A2873" s="12">
        <f>IFERROR(__xludf.DUMMYFUNCTION("""COMPUTED_VALUE"""),1006.0)</f>
        <v>1006</v>
      </c>
      <c r="B2873" s="13">
        <f>IFERROR(__xludf.DUMMYFUNCTION("""COMPUTED_VALUE"""),45567.0)</f>
        <v>45567</v>
      </c>
      <c r="C2873" s="12">
        <f>IFERROR(__xludf.DUMMYFUNCTION("""COMPUTED_VALUE"""),281.0)</f>
        <v>281</v>
      </c>
      <c r="D2873" s="12">
        <f>IFERROR(__xludf.DUMMYFUNCTION("""COMPUTED_VALUE"""),23.0)</f>
        <v>23</v>
      </c>
      <c r="E2873" s="12">
        <f>IFERROR(__xludf.DUMMYFUNCTION("""COMPUTED_VALUE"""),6.0)</f>
        <v>6</v>
      </c>
      <c r="F2873" s="12">
        <f>IFERROR(__xludf.DUMMYFUNCTION("""COMPUTED_VALUE"""),5.0)</f>
        <v>5</v>
      </c>
      <c r="G2873" s="15" t="str">
        <f>IFERROR(__xludf.DUMMYFUNCTION("""COMPUTED_VALUE"""),"Completa")</f>
        <v>Completa</v>
      </c>
      <c r="H2873" s="16" t="str">
        <f t="array" ref="H2873">_xlfn.XLOOKUP(D2873,Productos[ID_Producto],Productos[Nombre_Producto])</f>
        <v>Papas fritas</v>
      </c>
      <c r="I2873" s="17">
        <f t="array" ref="I2873">_xlfn.XLOOKUP(D2873,Productos[ID_Producto],Productos[Precio_Unitario])</f>
        <v>8.23</v>
      </c>
      <c r="J2873" s="17">
        <f t="shared" si="1"/>
        <v>49.38</v>
      </c>
      <c r="K2873" s="16" t="str">
        <f t="array" ref="K2873">_xlfn.XLOOKUP(C2873,Clientes[ID_Cliente],Clientes[Provincia])</f>
        <v>Buenos Aires</v>
      </c>
      <c r="L2873" s="16" t="str">
        <f t="array" ref="L2873">CONCATENATE(_xlfn.XLOOKUP(C2873,Clientes[ID_Cliente],Clientes[Provincia]),", Argentina")</f>
        <v>Buenos Aires, Argentina</v>
      </c>
      <c r="M2873" s="20" t="str">
        <f t="array" ref="M2873">_xlfn.XLOOKUP(F2873,Metodos_De_Pago[ID_Metodo],Metodos_De_Pago[Metodo])</f>
        <v>Transferencia</v>
      </c>
      <c r="N2873" s="20" t="str">
        <f t="shared" si="2"/>
        <v>2024 10</v>
      </c>
    </row>
    <row r="2874" ht="22.5" customHeight="1">
      <c r="A2874" s="12">
        <f>IFERROR(__xludf.DUMMYFUNCTION("""COMPUTED_VALUE"""),828.0)</f>
        <v>828</v>
      </c>
      <c r="B2874" s="13">
        <f>IFERROR(__xludf.DUMMYFUNCTION("""COMPUTED_VALUE"""),45568.0)</f>
        <v>45568</v>
      </c>
      <c r="C2874" s="12">
        <f>IFERROR(__xludf.DUMMYFUNCTION("""COMPUTED_VALUE"""),29.0)</f>
        <v>29</v>
      </c>
      <c r="D2874" s="12">
        <f>IFERROR(__xludf.DUMMYFUNCTION("""COMPUTED_VALUE"""),26.0)</f>
        <v>26</v>
      </c>
      <c r="E2874" s="12">
        <f>IFERROR(__xludf.DUMMYFUNCTION("""COMPUTED_VALUE"""),6.0)</f>
        <v>6</v>
      </c>
      <c r="F2874" s="12">
        <f>IFERROR(__xludf.DUMMYFUNCTION("""COMPUTED_VALUE"""),3.0)</f>
        <v>3</v>
      </c>
      <c r="G2874" s="15" t="str">
        <f>IFERROR(__xludf.DUMMYFUNCTION("""COMPUTED_VALUE"""),"Completa")</f>
        <v>Completa</v>
      </c>
      <c r="H2874" s="16" t="str">
        <f t="array" ref="H2874">_xlfn.XLOOKUP(D2874,Productos[ID_Producto],Productos[Nombre_Producto])</f>
        <v>Hamburgesas congeladas</v>
      </c>
      <c r="I2874" s="17">
        <f t="array" ref="I2874">_xlfn.XLOOKUP(D2874,Productos[ID_Producto],Productos[Precio_Unitario])</f>
        <v>9.54</v>
      </c>
      <c r="J2874" s="17">
        <f t="shared" si="1"/>
        <v>57.24</v>
      </c>
      <c r="K2874" s="16" t="str">
        <f t="array" ref="K2874">_xlfn.XLOOKUP(C2874,Clientes[ID_Cliente],Clientes[Provincia])</f>
        <v>Chaco</v>
      </c>
      <c r="L2874" s="16" t="str">
        <f t="array" ref="L2874">CONCATENATE(_xlfn.XLOOKUP(C2874,Clientes[ID_Cliente],Clientes[Provincia]),", Argentina")</f>
        <v>Chaco, Argentina</v>
      </c>
      <c r="M2874" s="20" t="str">
        <f t="array" ref="M2874">_xlfn.XLOOKUP(F2874,Metodos_De_Pago[ID_Metodo],Metodos_De_Pago[Metodo])</f>
        <v>Tarjeta de Débito</v>
      </c>
      <c r="N2874" s="20" t="str">
        <f t="shared" si="2"/>
        <v>2024 10</v>
      </c>
    </row>
    <row r="2875" ht="22.5" customHeight="1">
      <c r="A2875" s="12">
        <f>IFERROR(__xludf.DUMMYFUNCTION("""COMPUTED_VALUE"""),1223.0)</f>
        <v>1223</v>
      </c>
      <c r="B2875" s="13">
        <f>IFERROR(__xludf.DUMMYFUNCTION("""COMPUTED_VALUE"""),45568.0)</f>
        <v>45568</v>
      </c>
      <c r="C2875" s="12">
        <f>IFERROR(__xludf.DUMMYFUNCTION("""COMPUTED_VALUE"""),104.0)</f>
        <v>104</v>
      </c>
      <c r="D2875" s="12">
        <f>IFERROR(__xludf.DUMMYFUNCTION("""COMPUTED_VALUE"""),15.0)</f>
        <v>15</v>
      </c>
      <c r="E2875" s="12">
        <f>IFERROR(__xludf.DUMMYFUNCTION("""COMPUTED_VALUE"""),6.0)</f>
        <v>6</v>
      </c>
      <c r="F2875" s="12">
        <f>IFERROR(__xludf.DUMMYFUNCTION("""COMPUTED_VALUE"""),3.0)</f>
        <v>3</v>
      </c>
      <c r="G2875" s="15" t="str">
        <f>IFERROR(__xludf.DUMMYFUNCTION("""COMPUTED_VALUE"""),"Completa")</f>
        <v>Completa</v>
      </c>
      <c r="H2875" s="16" t="str">
        <f t="array" ref="H2875">_xlfn.XLOOKUP(D2875,Productos[ID_Producto],Productos[Nombre_Producto])</f>
        <v>Medialunas</v>
      </c>
      <c r="I2875" s="17">
        <f t="array" ref="I2875">_xlfn.XLOOKUP(D2875,Productos[ID_Producto],Productos[Precio_Unitario])</f>
        <v>3.51</v>
      </c>
      <c r="J2875" s="17">
        <f t="shared" si="1"/>
        <v>21.06</v>
      </c>
      <c r="K2875" s="16" t="str">
        <f t="array" ref="K2875">_xlfn.XLOOKUP(C2875,Clientes[ID_Cliente],Clientes[Provincia])</f>
        <v>Buenos Aires</v>
      </c>
      <c r="L2875" s="16" t="str">
        <f t="array" ref="L2875">CONCATENATE(_xlfn.XLOOKUP(C2875,Clientes[ID_Cliente],Clientes[Provincia]),", Argentina")</f>
        <v>Buenos Aires, Argentina</v>
      </c>
      <c r="M2875" s="20" t="str">
        <f t="array" ref="M2875">_xlfn.XLOOKUP(F2875,Metodos_De_Pago[ID_Metodo],Metodos_De_Pago[Metodo])</f>
        <v>Tarjeta de Débito</v>
      </c>
      <c r="N2875" s="20" t="str">
        <f t="shared" si="2"/>
        <v>2024 10</v>
      </c>
    </row>
    <row r="2876" ht="22.5" customHeight="1">
      <c r="A2876" s="12">
        <f>IFERROR(__xludf.DUMMYFUNCTION("""COMPUTED_VALUE"""),1570.0)</f>
        <v>1570</v>
      </c>
      <c r="B2876" s="13">
        <f>IFERROR(__xludf.DUMMYFUNCTION("""COMPUTED_VALUE"""),45568.0)</f>
        <v>45568</v>
      </c>
      <c r="C2876" s="12">
        <f>IFERROR(__xludf.DUMMYFUNCTION("""COMPUTED_VALUE"""),78.0)</f>
        <v>78</v>
      </c>
      <c r="D2876" s="12">
        <f>IFERROR(__xludf.DUMMYFUNCTION("""COMPUTED_VALUE"""),37.0)</f>
        <v>37</v>
      </c>
      <c r="E2876" s="12">
        <f>IFERROR(__xludf.DUMMYFUNCTION("""COMPUTED_VALUE"""),6.0)</f>
        <v>6</v>
      </c>
      <c r="F2876" s="12">
        <f>IFERROR(__xludf.DUMMYFUNCTION("""COMPUTED_VALUE"""),3.0)</f>
        <v>3</v>
      </c>
      <c r="G2876" s="15" t="str">
        <f>IFERROR(__xludf.DUMMYFUNCTION("""COMPUTED_VALUE"""),"Completa")</f>
        <v>Completa</v>
      </c>
      <c r="H2876" s="16" t="str">
        <f t="array" ref="H2876">_xlfn.XLOOKUP(D2876,Productos[ID_Producto],Productos[Nombre_Producto])</f>
        <v>Garbanzos</v>
      </c>
      <c r="I2876" s="17">
        <f t="array" ref="I2876">_xlfn.XLOOKUP(D2876,Productos[ID_Producto],Productos[Precio_Unitario])</f>
        <v>3.65</v>
      </c>
      <c r="J2876" s="17">
        <f t="shared" si="1"/>
        <v>21.9</v>
      </c>
      <c r="K2876" s="16" t="str">
        <f t="array" ref="K2876">_xlfn.XLOOKUP(C2876,Clientes[ID_Cliente],Clientes[Provincia])</f>
        <v>Buenos Aires</v>
      </c>
      <c r="L2876" s="16" t="str">
        <f t="array" ref="L2876">CONCATENATE(_xlfn.XLOOKUP(C2876,Clientes[ID_Cliente],Clientes[Provincia]),", Argentina")</f>
        <v>Buenos Aires, Argentina</v>
      </c>
      <c r="M2876" s="20" t="str">
        <f t="array" ref="M2876">_xlfn.XLOOKUP(F2876,Metodos_De_Pago[ID_Metodo],Metodos_De_Pago[Metodo])</f>
        <v>Tarjeta de Débito</v>
      </c>
      <c r="N2876" s="20" t="str">
        <f t="shared" si="2"/>
        <v>2024 10</v>
      </c>
    </row>
    <row r="2877" ht="22.5" customHeight="1">
      <c r="A2877" s="12">
        <f>IFERROR(__xludf.DUMMYFUNCTION("""COMPUTED_VALUE"""),2029.0)</f>
        <v>2029</v>
      </c>
      <c r="B2877" s="13">
        <f>IFERROR(__xludf.DUMMYFUNCTION("""COMPUTED_VALUE"""),45568.0)</f>
        <v>45568</v>
      </c>
      <c r="C2877" s="12">
        <f>IFERROR(__xludf.DUMMYFUNCTION("""COMPUTED_VALUE"""),129.0)</f>
        <v>129</v>
      </c>
      <c r="D2877" s="12">
        <f>IFERROR(__xludf.DUMMYFUNCTION("""COMPUTED_VALUE"""),6.0)</f>
        <v>6</v>
      </c>
      <c r="E2877" s="12">
        <f>IFERROR(__xludf.DUMMYFUNCTION("""COMPUTED_VALUE"""),6.0)</f>
        <v>6</v>
      </c>
      <c r="F2877" s="12">
        <f>IFERROR(__xludf.DUMMYFUNCTION("""COMPUTED_VALUE"""),5.0)</f>
        <v>5</v>
      </c>
      <c r="G2877" s="15" t="str">
        <f>IFERROR(__xludf.DUMMYFUNCTION("""COMPUTED_VALUE"""),"Completa")</f>
        <v>Completa</v>
      </c>
      <c r="H2877" s="16" t="str">
        <f t="array" ref="H2877">_xlfn.XLOOKUP(D2877,Productos[ID_Producto],Productos[Nombre_Producto])</f>
        <v>Asado</v>
      </c>
      <c r="I2877" s="17">
        <f t="array" ref="I2877">_xlfn.XLOOKUP(D2877,Productos[ID_Producto],Productos[Precio_Unitario])</f>
        <v>28.56</v>
      </c>
      <c r="J2877" s="17">
        <f t="shared" si="1"/>
        <v>171.36</v>
      </c>
      <c r="K2877" s="16" t="str">
        <f t="array" ref="K2877">_xlfn.XLOOKUP(C2877,Clientes[ID_Cliente],Clientes[Provincia])</f>
        <v>Neuquén</v>
      </c>
      <c r="L2877" s="16" t="str">
        <f t="array" ref="L2877">CONCATENATE(_xlfn.XLOOKUP(C2877,Clientes[ID_Cliente],Clientes[Provincia]),", Argentina")</f>
        <v>Neuquén, Argentina</v>
      </c>
      <c r="M2877" s="20" t="str">
        <f t="array" ref="M2877">_xlfn.XLOOKUP(F2877,Metodos_De_Pago[ID_Metodo],Metodos_De_Pago[Metodo])</f>
        <v>Transferencia</v>
      </c>
      <c r="N2877" s="20" t="str">
        <f t="shared" si="2"/>
        <v>2024 10</v>
      </c>
    </row>
    <row r="2878" ht="22.5" customHeight="1">
      <c r="A2878" s="12">
        <f>IFERROR(__xludf.DUMMYFUNCTION("""COMPUTED_VALUE"""),2548.0)</f>
        <v>2548</v>
      </c>
      <c r="B2878" s="13">
        <f>IFERROR(__xludf.DUMMYFUNCTION("""COMPUTED_VALUE"""),45568.0)</f>
        <v>45568</v>
      </c>
      <c r="C2878" s="12">
        <f>IFERROR(__xludf.DUMMYFUNCTION("""COMPUTED_VALUE"""),206.0)</f>
        <v>206</v>
      </c>
      <c r="D2878" s="12">
        <f>IFERROR(__xludf.DUMMYFUNCTION("""COMPUTED_VALUE"""),27.0)</f>
        <v>27</v>
      </c>
      <c r="E2878" s="12">
        <f>IFERROR(__xludf.DUMMYFUNCTION("""COMPUTED_VALUE"""),6.0)</f>
        <v>6</v>
      </c>
      <c r="F2878" s="12">
        <f>IFERROR(__xludf.DUMMYFUNCTION("""COMPUTED_VALUE"""),2.0)</f>
        <v>2</v>
      </c>
      <c r="G2878" s="15" t="str">
        <f>IFERROR(__xludf.DUMMYFUNCTION("""COMPUTED_VALUE"""),"Completa")</f>
        <v>Completa</v>
      </c>
      <c r="H2878" s="16" t="str">
        <f t="array" ref="H2878">_xlfn.XLOOKUP(D2878,Productos[ID_Producto],Productos[Nombre_Producto])</f>
        <v>Agua mineral</v>
      </c>
      <c r="I2878" s="17">
        <f t="array" ref="I2878">_xlfn.XLOOKUP(D2878,Productos[ID_Producto],Productos[Precio_Unitario])</f>
        <v>6.21</v>
      </c>
      <c r="J2878" s="17">
        <f t="shared" si="1"/>
        <v>37.26</v>
      </c>
      <c r="K2878" s="16" t="str">
        <f t="array" ref="K2878">_xlfn.XLOOKUP(C2878,Clientes[ID_Cliente],Clientes[Provincia])</f>
        <v>Chaco</v>
      </c>
      <c r="L2878" s="16" t="str">
        <f t="array" ref="L2878">CONCATENATE(_xlfn.XLOOKUP(C2878,Clientes[ID_Cliente],Clientes[Provincia]),", Argentina")</f>
        <v>Chaco, Argentina</v>
      </c>
      <c r="M2878" s="20" t="str">
        <f t="array" ref="M2878">_xlfn.XLOOKUP(F2878,Metodos_De_Pago[ID_Metodo],Metodos_De_Pago[Metodo])</f>
        <v>Tarjeta de Crédito</v>
      </c>
      <c r="N2878" s="20" t="str">
        <f t="shared" si="2"/>
        <v>2024 10</v>
      </c>
    </row>
    <row r="2879" ht="22.5" customHeight="1">
      <c r="A2879" s="12">
        <f>IFERROR(__xludf.DUMMYFUNCTION("""COMPUTED_VALUE"""),2558.0)</f>
        <v>2558</v>
      </c>
      <c r="B2879" s="13">
        <f>IFERROR(__xludf.DUMMYFUNCTION("""COMPUTED_VALUE"""),45568.0)</f>
        <v>45568</v>
      </c>
      <c r="C2879" s="12">
        <f>IFERROR(__xludf.DUMMYFUNCTION("""COMPUTED_VALUE"""),177.0)</f>
        <v>177</v>
      </c>
      <c r="D2879" s="12">
        <f>IFERROR(__xludf.DUMMYFUNCTION("""COMPUTED_VALUE"""),25.0)</f>
        <v>25</v>
      </c>
      <c r="E2879" s="12">
        <f>IFERROR(__xludf.DUMMYFUNCTION("""COMPUTED_VALUE"""),6.0)</f>
        <v>6</v>
      </c>
      <c r="F2879" s="12">
        <f>IFERROR(__xludf.DUMMYFUNCTION("""COMPUTED_VALUE"""),4.0)</f>
        <v>4</v>
      </c>
      <c r="G2879" s="15" t="str">
        <f>IFERROR(__xludf.DUMMYFUNCTION("""COMPUTED_VALUE"""),"Completa")</f>
        <v>Completa</v>
      </c>
      <c r="H2879" s="16" t="str">
        <f t="array" ref="H2879">_xlfn.XLOOKUP(D2879,Productos[ID_Producto],Productos[Nombre_Producto])</f>
        <v>Pizza congelada</v>
      </c>
      <c r="I2879" s="17">
        <f t="array" ref="I2879">_xlfn.XLOOKUP(D2879,Productos[ID_Producto],Productos[Precio_Unitario])</f>
        <v>15.45</v>
      </c>
      <c r="J2879" s="17">
        <f t="shared" si="1"/>
        <v>92.7</v>
      </c>
      <c r="K2879" s="16" t="str">
        <f t="array" ref="K2879">_xlfn.XLOOKUP(C2879,Clientes[ID_Cliente],Clientes[Provincia])</f>
        <v>Chaco</v>
      </c>
      <c r="L2879" s="16" t="str">
        <f t="array" ref="L2879">CONCATENATE(_xlfn.XLOOKUP(C2879,Clientes[ID_Cliente],Clientes[Provincia]),", Argentina")</f>
        <v>Chaco, Argentina</v>
      </c>
      <c r="M2879" s="20" t="str">
        <f t="array" ref="M2879">_xlfn.XLOOKUP(F2879,Metodos_De_Pago[ID_Metodo],Metodos_De_Pago[Metodo])</f>
        <v>Mercado Pago</v>
      </c>
      <c r="N2879" s="20" t="str">
        <f t="shared" si="2"/>
        <v>2024 10</v>
      </c>
    </row>
    <row r="2880" ht="22.5" customHeight="1">
      <c r="A2880" s="12">
        <f>IFERROR(__xludf.DUMMYFUNCTION("""COMPUTED_VALUE"""),772.0)</f>
        <v>772</v>
      </c>
      <c r="B2880" s="13">
        <f>IFERROR(__xludf.DUMMYFUNCTION("""COMPUTED_VALUE"""),45570.0)</f>
        <v>45570</v>
      </c>
      <c r="C2880" s="12">
        <f>IFERROR(__xludf.DUMMYFUNCTION("""COMPUTED_VALUE"""),141.0)</f>
        <v>141</v>
      </c>
      <c r="D2880" s="12">
        <f>IFERROR(__xludf.DUMMYFUNCTION("""COMPUTED_VALUE"""),2.0)</f>
        <v>2</v>
      </c>
      <c r="E2880" s="12">
        <f>IFERROR(__xludf.DUMMYFUNCTION("""COMPUTED_VALUE"""),6.0)</f>
        <v>6</v>
      </c>
      <c r="F2880" s="12">
        <f>IFERROR(__xludf.DUMMYFUNCTION("""COMPUTED_VALUE"""),3.0)</f>
        <v>3</v>
      </c>
      <c r="G2880" s="15" t="str">
        <f>IFERROR(__xludf.DUMMYFUNCTION("""COMPUTED_VALUE"""),"Completa")</f>
        <v>Completa</v>
      </c>
      <c r="H2880" s="16" t="str">
        <f t="array" ref="H2880">_xlfn.XLOOKUP(D2880,Productos[ID_Producto],Productos[Nombre_Producto])</f>
        <v>Yogur</v>
      </c>
      <c r="I2880" s="17">
        <f t="array" ref="I2880">_xlfn.XLOOKUP(D2880,Productos[ID_Producto],Productos[Precio_Unitario])</f>
        <v>5.21</v>
      </c>
      <c r="J2880" s="17">
        <f t="shared" si="1"/>
        <v>31.26</v>
      </c>
      <c r="K2880" s="16" t="str">
        <f t="array" ref="K2880">_xlfn.XLOOKUP(C2880,Clientes[ID_Cliente],Clientes[Provincia])</f>
        <v>Chaco</v>
      </c>
      <c r="L2880" s="16" t="str">
        <f t="array" ref="L2880">CONCATENATE(_xlfn.XLOOKUP(C2880,Clientes[ID_Cliente],Clientes[Provincia]),", Argentina")</f>
        <v>Chaco, Argentina</v>
      </c>
      <c r="M2880" s="20" t="str">
        <f t="array" ref="M2880">_xlfn.XLOOKUP(F2880,Metodos_De_Pago[ID_Metodo],Metodos_De_Pago[Metodo])</f>
        <v>Tarjeta de Débito</v>
      </c>
      <c r="N2880" s="20" t="str">
        <f t="shared" si="2"/>
        <v>2024 10</v>
      </c>
    </row>
    <row r="2881" ht="22.5" customHeight="1">
      <c r="A2881" s="12">
        <f>IFERROR(__xludf.DUMMYFUNCTION("""COMPUTED_VALUE"""),2948.0)</f>
        <v>2948</v>
      </c>
      <c r="B2881" s="13">
        <f>IFERROR(__xludf.DUMMYFUNCTION("""COMPUTED_VALUE"""),45571.0)</f>
        <v>45571</v>
      </c>
      <c r="C2881" s="12">
        <f>IFERROR(__xludf.DUMMYFUNCTION("""COMPUTED_VALUE"""),278.0)</f>
        <v>278</v>
      </c>
      <c r="D2881" s="12">
        <f>IFERROR(__xludf.DUMMYFUNCTION("""COMPUTED_VALUE"""),32.0)</f>
        <v>32</v>
      </c>
      <c r="E2881" s="12">
        <f>IFERROR(__xludf.DUMMYFUNCTION("""COMPUTED_VALUE"""),6.0)</f>
        <v>6</v>
      </c>
      <c r="F2881" s="12">
        <f>IFERROR(__xludf.DUMMYFUNCTION("""COMPUTED_VALUE"""),4.0)</f>
        <v>4</v>
      </c>
      <c r="G2881" s="15" t="str">
        <f>IFERROR(__xludf.DUMMYFUNCTION("""COMPUTED_VALUE"""),"Completa")</f>
        <v>Completa</v>
      </c>
      <c r="H2881" s="16" t="str">
        <f t="array" ref="H2881">_xlfn.XLOOKUP(D2881,Productos[ID_Producto],Productos[Nombre_Producto])</f>
        <v>Galletitas de chocolate</v>
      </c>
      <c r="I2881" s="17">
        <f t="array" ref="I2881">_xlfn.XLOOKUP(D2881,Productos[ID_Producto],Productos[Precio_Unitario])</f>
        <v>6.25</v>
      </c>
      <c r="J2881" s="17">
        <f t="shared" si="1"/>
        <v>37.5</v>
      </c>
      <c r="K2881" s="16" t="str">
        <f t="array" ref="K2881">_xlfn.XLOOKUP(C2881,Clientes[ID_Cliente],Clientes[Provincia])</f>
        <v>Córdoba</v>
      </c>
      <c r="L2881" s="16" t="str">
        <f t="array" ref="L2881">CONCATENATE(_xlfn.XLOOKUP(C2881,Clientes[ID_Cliente],Clientes[Provincia]),", Argentina")</f>
        <v>Córdoba, Argentina</v>
      </c>
      <c r="M2881" s="20" t="str">
        <f t="array" ref="M2881">_xlfn.XLOOKUP(F2881,Metodos_De_Pago[ID_Metodo],Metodos_De_Pago[Metodo])</f>
        <v>Mercado Pago</v>
      </c>
      <c r="N2881" s="20" t="str">
        <f t="shared" si="2"/>
        <v>2024 10</v>
      </c>
    </row>
    <row r="2882" ht="22.5" customHeight="1">
      <c r="A2882" s="12">
        <f>IFERROR(__xludf.DUMMYFUNCTION("""COMPUTED_VALUE"""),1330.0)</f>
        <v>1330</v>
      </c>
      <c r="B2882" s="13">
        <f>IFERROR(__xludf.DUMMYFUNCTION("""COMPUTED_VALUE"""),45572.0)</f>
        <v>45572</v>
      </c>
      <c r="C2882" s="12">
        <f>IFERROR(__xludf.DUMMYFUNCTION("""COMPUTED_VALUE"""),285.0)</f>
        <v>285</v>
      </c>
      <c r="D2882" s="12">
        <f>IFERROR(__xludf.DUMMYFUNCTION("""COMPUTED_VALUE"""),7.0)</f>
        <v>7</v>
      </c>
      <c r="E2882" s="12">
        <f>IFERROR(__xludf.DUMMYFUNCTION("""COMPUTED_VALUE"""),6.0)</f>
        <v>6</v>
      </c>
      <c r="F2882" s="12">
        <f>IFERROR(__xludf.DUMMYFUNCTION("""COMPUTED_VALUE"""),4.0)</f>
        <v>4</v>
      </c>
      <c r="G2882" s="15" t="str">
        <f>IFERROR(__xludf.DUMMYFUNCTION("""COMPUTED_VALUE"""),"Pendiente")</f>
        <v>Pendiente</v>
      </c>
      <c r="H2882" s="16" t="str">
        <f t="array" ref="H2882">_xlfn.XLOOKUP(D2882,Productos[ID_Producto],Productos[Nombre_Producto])</f>
        <v>Chorizo</v>
      </c>
      <c r="I2882" s="17">
        <f t="array" ref="I2882">_xlfn.XLOOKUP(D2882,Productos[ID_Producto],Productos[Precio_Unitario])</f>
        <v>11.25</v>
      </c>
      <c r="J2882" s="17">
        <f t="shared" si="1"/>
        <v>67.5</v>
      </c>
      <c r="K2882" s="16" t="str">
        <f t="array" ref="K2882">_xlfn.XLOOKUP(C2882,Clientes[ID_Cliente],Clientes[Provincia])</f>
        <v>Neuquén</v>
      </c>
      <c r="L2882" s="16" t="str">
        <f t="array" ref="L2882">CONCATENATE(_xlfn.XLOOKUP(C2882,Clientes[ID_Cliente],Clientes[Provincia]),", Argentina")</f>
        <v>Neuquén, Argentina</v>
      </c>
      <c r="M2882" s="20" t="str">
        <f t="array" ref="M2882">_xlfn.XLOOKUP(F2882,Metodos_De_Pago[ID_Metodo],Metodos_De_Pago[Metodo])</f>
        <v>Mercado Pago</v>
      </c>
      <c r="N2882" s="20" t="str">
        <f t="shared" si="2"/>
        <v>2024 10</v>
      </c>
    </row>
    <row r="2883" ht="22.5" customHeight="1">
      <c r="A2883" s="12">
        <f>IFERROR(__xludf.DUMMYFUNCTION("""COMPUTED_VALUE"""),1571.0)</f>
        <v>1571</v>
      </c>
      <c r="B2883" s="13">
        <f>IFERROR(__xludf.DUMMYFUNCTION("""COMPUTED_VALUE"""),45572.0)</f>
        <v>45572</v>
      </c>
      <c r="C2883" s="12">
        <f>IFERROR(__xludf.DUMMYFUNCTION("""COMPUTED_VALUE"""),14.0)</f>
        <v>14</v>
      </c>
      <c r="D2883" s="12">
        <f>IFERROR(__xludf.DUMMYFUNCTION("""COMPUTED_VALUE"""),18.0)</f>
        <v>18</v>
      </c>
      <c r="E2883" s="12">
        <f>IFERROR(__xludf.DUMMYFUNCTION("""COMPUTED_VALUE"""),6.0)</f>
        <v>6</v>
      </c>
      <c r="F2883" s="12">
        <f>IFERROR(__xludf.DUMMYFUNCTION("""COMPUTED_VALUE"""),4.0)</f>
        <v>4</v>
      </c>
      <c r="G2883" s="15" t="str">
        <f>IFERROR(__xludf.DUMMYFUNCTION("""COMPUTED_VALUE"""),"Completa")</f>
        <v>Completa</v>
      </c>
      <c r="H2883" s="16" t="str">
        <f t="array" ref="H2883">_xlfn.XLOOKUP(D2883,Productos[ID_Producto],Productos[Nombre_Producto])</f>
        <v>Bananas</v>
      </c>
      <c r="I2883" s="17">
        <f t="array" ref="I2883">_xlfn.XLOOKUP(D2883,Productos[ID_Producto],Productos[Precio_Unitario])</f>
        <v>7.25</v>
      </c>
      <c r="J2883" s="17">
        <f t="shared" si="1"/>
        <v>43.5</v>
      </c>
      <c r="K2883" s="16" t="str">
        <f t="array" ref="K2883">_xlfn.XLOOKUP(C2883,Clientes[ID_Cliente],Clientes[Provincia])</f>
        <v>Buenos Aires</v>
      </c>
      <c r="L2883" s="16" t="str">
        <f t="array" ref="L2883">CONCATENATE(_xlfn.XLOOKUP(C2883,Clientes[ID_Cliente],Clientes[Provincia]),", Argentina")</f>
        <v>Buenos Aires, Argentina</v>
      </c>
      <c r="M2883" s="20" t="str">
        <f t="array" ref="M2883">_xlfn.XLOOKUP(F2883,Metodos_De_Pago[ID_Metodo],Metodos_De_Pago[Metodo])</f>
        <v>Mercado Pago</v>
      </c>
      <c r="N2883" s="20" t="str">
        <f t="shared" si="2"/>
        <v>2024 10</v>
      </c>
    </row>
    <row r="2884" ht="22.5" customHeight="1">
      <c r="A2884" s="12">
        <f>IFERROR(__xludf.DUMMYFUNCTION("""COMPUTED_VALUE"""),2662.0)</f>
        <v>2662</v>
      </c>
      <c r="B2884" s="13">
        <f>IFERROR(__xludf.DUMMYFUNCTION("""COMPUTED_VALUE"""),45574.0)</f>
        <v>45574</v>
      </c>
      <c r="C2884" s="12">
        <f>IFERROR(__xludf.DUMMYFUNCTION("""COMPUTED_VALUE"""),15.0)</f>
        <v>15</v>
      </c>
      <c r="D2884" s="12">
        <f>IFERROR(__xludf.DUMMYFUNCTION("""COMPUTED_VALUE"""),14.0)</f>
        <v>14</v>
      </c>
      <c r="E2884" s="12">
        <f>IFERROR(__xludf.DUMMYFUNCTION("""COMPUTED_VALUE"""),6.0)</f>
        <v>6</v>
      </c>
      <c r="F2884" s="12">
        <f>IFERROR(__xludf.DUMMYFUNCTION("""COMPUTED_VALUE"""),4.0)</f>
        <v>4</v>
      </c>
      <c r="G2884" s="15" t="str">
        <f>IFERROR(__xludf.DUMMYFUNCTION("""COMPUTED_VALUE"""),"Completa")</f>
        <v>Completa</v>
      </c>
      <c r="H2884" s="16" t="str">
        <f t="array" ref="H2884">_xlfn.XLOOKUP(D2884,Productos[ID_Producto],Productos[Nombre_Producto])</f>
        <v>Facturas</v>
      </c>
      <c r="I2884" s="17">
        <f t="array" ref="I2884">_xlfn.XLOOKUP(D2884,Productos[ID_Producto],Productos[Precio_Unitario])</f>
        <v>12.36</v>
      </c>
      <c r="J2884" s="17">
        <f t="shared" si="1"/>
        <v>74.16</v>
      </c>
      <c r="K2884" s="16" t="str">
        <f t="array" ref="K2884">_xlfn.XLOOKUP(C2884,Clientes[ID_Cliente],Clientes[Provincia])</f>
        <v>Buenos Aires</v>
      </c>
      <c r="L2884" s="16" t="str">
        <f t="array" ref="L2884">CONCATENATE(_xlfn.XLOOKUP(C2884,Clientes[ID_Cliente],Clientes[Provincia]),", Argentina")</f>
        <v>Buenos Aires, Argentina</v>
      </c>
      <c r="M2884" s="20" t="str">
        <f t="array" ref="M2884">_xlfn.XLOOKUP(F2884,Metodos_De_Pago[ID_Metodo],Metodos_De_Pago[Metodo])</f>
        <v>Mercado Pago</v>
      </c>
      <c r="N2884" s="20" t="str">
        <f t="shared" si="2"/>
        <v>2024 10</v>
      </c>
    </row>
    <row r="2885" ht="22.5" customHeight="1">
      <c r="A2885" s="12">
        <f>IFERROR(__xludf.DUMMYFUNCTION("""COMPUTED_VALUE"""),1246.0)</f>
        <v>1246</v>
      </c>
      <c r="B2885" s="13">
        <f>IFERROR(__xludf.DUMMYFUNCTION("""COMPUTED_VALUE"""),45575.0)</f>
        <v>45575</v>
      </c>
      <c r="C2885" s="12">
        <f>IFERROR(__xludf.DUMMYFUNCTION("""COMPUTED_VALUE"""),54.0)</f>
        <v>54</v>
      </c>
      <c r="D2885" s="12">
        <f>IFERROR(__xludf.DUMMYFUNCTION("""COMPUTED_VALUE"""),38.0)</f>
        <v>38</v>
      </c>
      <c r="E2885" s="12">
        <f>IFERROR(__xludf.DUMMYFUNCTION("""COMPUTED_VALUE"""),6.0)</f>
        <v>6</v>
      </c>
      <c r="F2885" s="12">
        <f>IFERROR(__xludf.DUMMYFUNCTION("""COMPUTED_VALUE"""),2.0)</f>
        <v>2</v>
      </c>
      <c r="G2885" s="15" t="str">
        <f>IFERROR(__xludf.DUMMYFUNCTION("""COMPUTED_VALUE"""),"Completa")</f>
        <v>Completa</v>
      </c>
      <c r="H2885" s="16" t="str">
        <f t="array" ref="H2885">_xlfn.XLOOKUP(D2885,Productos[ID_Producto],Productos[Nombre_Producto])</f>
        <v>Atún enlatado</v>
      </c>
      <c r="I2885" s="17">
        <f t="array" ref="I2885">_xlfn.XLOOKUP(D2885,Productos[ID_Producto],Productos[Precio_Unitario])</f>
        <v>6.21</v>
      </c>
      <c r="J2885" s="17">
        <f t="shared" si="1"/>
        <v>37.26</v>
      </c>
      <c r="K2885" s="16" t="str">
        <f t="array" ref="K2885">_xlfn.XLOOKUP(C2885,Clientes[ID_Cliente],Clientes[Provincia])</f>
        <v>Buenos Aires</v>
      </c>
      <c r="L2885" s="16" t="str">
        <f t="array" ref="L2885">CONCATENATE(_xlfn.XLOOKUP(C2885,Clientes[ID_Cliente],Clientes[Provincia]),", Argentina")</f>
        <v>Buenos Aires, Argentina</v>
      </c>
      <c r="M2885" s="20" t="str">
        <f t="array" ref="M2885">_xlfn.XLOOKUP(F2885,Metodos_De_Pago[ID_Metodo],Metodos_De_Pago[Metodo])</f>
        <v>Tarjeta de Crédito</v>
      </c>
      <c r="N2885" s="20" t="str">
        <f t="shared" si="2"/>
        <v>2024 10</v>
      </c>
    </row>
    <row r="2886" ht="22.5" customHeight="1">
      <c r="A2886" s="12">
        <f>IFERROR(__xludf.DUMMYFUNCTION("""COMPUTED_VALUE"""),2523.0)</f>
        <v>2523</v>
      </c>
      <c r="B2886" s="13">
        <f>IFERROR(__xludf.DUMMYFUNCTION("""COMPUTED_VALUE"""),45575.0)</f>
        <v>45575</v>
      </c>
      <c r="C2886" s="12">
        <f>IFERROR(__xludf.DUMMYFUNCTION("""COMPUTED_VALUE"""),63.0)</f>
        <v>63</v>
      </c>
      <c r="D2886" s="12">
        <f>IFERROR(__xludf.DUMMYFUNCTION("""COMPUTED_VALUE"""),17.0)</f>
        <v>17</v>
      </c>
      <c r="E2886" s="12">
        <f>IFERROR(__xludf.DUMMYFUNCTION("""COMPUTED_VALUE"""),6.0)</f>
        <v>6</v>
      </c>
      <c r="F2886" s="12">
        <f>IFERROR(__xludf.DUMMYFUNCTION("""COMPUTED_VALUE"""),5.0)</f>
        <v>5</v>
      </c>
      <c r="G2886" s="15" t="str">
        <f>IFERROR(__xludf.DUMMYFUNCTION("""COMPUTED_VALUE"""),"Completa")</f>
        <v>Completa</v>
      </c>
      <c r="H2886" s="16" t="str">
        <f t="array" ref="H2886">_xlfn.XLOOKUP(D2886,Productos[ID_Producto],Productos[Nombre_Producto])</f>
        <v>Manzanas</v>
      </c>
      <c r="I2886" s="17">
        <f t="array" ref="I2886">_xlfn.XLOOKUP(D2886,Productos[ID_Producto],Productos[Precio_Unitario])</f>
        <v>6.54</v>
      </c>
      <c r="J2886" s="17">
        <f t="shared" si="1"/>
        <v>39.24</v>
      </c>
      <c r="K2886" s="16" t="str">
        <f t="array" ref="K2886">_xlfn.XLOOKUP(C2886,Clientes[ID_Cliente],Clientes[Provincia])</f>
        <v>Buenos Aires</v>
      </c>
      <c r="L2886" s="16" t="str">
        <f t="array" ref="L2886">CONCATENATE(_xlfn.XLOOKUP(C2886,Clientes[ID_Cliente],Clientes[Provincia]),", Argentina")</f>
        <v>Buenos Aires, Argentina</v>
      </c>
      <c r="M2886" s="20" t="str">
        <f t="array" ref="M2886">_xlfn.XLOOKUP(F2886,Metodos_De_Pago[ID_Metodo],Metodos_De_Pago[Metodo])</f>
        <v>Transferencia</v>
      </c>
      <c r="N2886" s="20" t="str">
        <f t="shared" si="2"/>
        <v>2024 10</v>
      </c>
    </row>
    <row r="2887" ht="22.5" customHeight="1">
      <c r="A2887" s="12">
        <f>IFERROR(__xludf.DUMMYFUNCTION("""COMPUTED_VALUE"""),394.0)</f>
        <v>394</v>
      </c>
      <c r="B2887" s="13">
        <f>IFERROR(__xludf.DUMMYFUNCTION("""COMPUTED_VALUE"""),45577.0)</f>
        <v>45577</v>
      </c>
      <c r="C2887" s="12">
        <f>IFERROR(__xludf.DUMMYFUNCTION("""COMPUTED_VALUE"""),293.0)</f>
        <v>293</v>
      </c>
      <c r="D2887" s="12">
        <f>IFERROR(__xludf.DUMMYFUNCTION("""COMPUTED_VALUE"""),24.0)</f>
        <v>24</v>
      </c>
      <c r="E2887" s="12">
        <f>IFERROR(__xludf.DUMMYFUNCTION("""COMPUTED_VALUE"""),6.0)</f>
        <v>6</v>
      </c>
      <c r="F2887" s="12">
        <f>IFERROR(__xludf.DUMMYFUNCTION("""COMPUTED_VALUE"""),5.0)</f>
        <v>5</v>
      </c>
      <c r="G2887" s="15" t="str">
        <f>IFERROR(__xludf.DUMMYFUNCTION("""COMPUTED_VALUE"""),"Completa")</f>
        <v>Completa</v>
      </c>
      <c r="H2887" s="16" t="str">
        <f t="array" ref="H2887">_xlfn.XLOOKUP(D2887,Productos[ID_Producto],Productos[Nombre_Producto])</f>
        <v>Empanadas</v>
      </c>
      <c r="I2887" s="17">
        <f t="array" ref="I2887">_xlfn.XLOOKUP(D2887,Productos[ID_Producto],Productos[Precio_Unitario])</f>
        <v>13.54</v>
      </c>
      <c r="J2887" s="17">
        <f t="shared" si="1"/>
        <v>81.24</v>
      </c>
      <c r="K2887" s="16" t="str">
        <f t="array" ref="K2887">_xlfn.XLOOKUP(C2887,Clientes[ID_Cliente],Clientes[Provincia])</f>
        <v>Neuquén</v>
      </c>
      <c r="L2887" s="16" t="str">
        <f t="array" ref="L2887">CONCATENATE(_xlfn.XLOOKUP(C2887,Clientes[ID_Cliente],Clientes[Provincia]),", Argentina")</f>
        <v>Neuquén, Argentina</v>
      </c>
      <c r="M2887" s="20" t="str">
        <f t="array" ref="M2887">_xlfn.XLOOKUP(F2887,Metodos_De_Pago[ID_Metodo],Metodos_De_Pago[Metodo])</f>
        <v>Transferencia</v>
      </c>
      <c r="N2887" s="20" t="str">
        <f t="shared" si="2"/>
        <v>2024 10</v>
      </c>
    </row>
    <row r="2888" ht="22.5" customHeight="1">
      <c r="A2888" s="12">
        <f>IFERROR(__xludf.DUMMYFUNCTION("""COMPUTED_VALUE"""),2113.0)</f>
        <v>2113</v>
      </c>
      <c r="B2888" s="13">
        <f>IFERROR(__xludf.DUMMYFUNCTION("""COMPUTED_VALUE"""),45578.0)</f>
        <v>45578</v>
      </c>
      <c r="C2888" s="12">
        <f>IFERROR(__xludf.DUMMYFUNCTION("""COMPUTED_VALUE"""),119.0)</f>
        <v>119</v>
      </c>
      <c r="D2888" s="12">
        <f>IFERROR(__xludf.DUMMYFUNCTION("""COMPUTED_VALUE"""),37.0)</f>
        <v>37</v>
      </c>
      <c r="E2888" s="12">
        <f>IFERROR(__xludf.DUMMYFUNCTION("""COMPUTED_VALUE"""),6.0)</f>
        <v>6</v>
      </c>
      <c r="F2888" s="12">
        <f>IFERROR(__xludf.DUMMYFUNCTION("""COMPUTED_VALUE"""),5.0)</f>
        <v>5</v>
      </c>
      <c r="G2888" s="15" t="str">
        <f>IFERROR(__xludf.DUMMYFUNCTION("""COMPUTED_VALUE"""),"Completa")</f>
        <v>Completa</v>
      </c>
      <c r="H2888" s="16" t="str">
        <f t="array" ref="H2888">_xlfn.XLOOKUP(D2888,Productos[ID_Producto],Productos[Nombre_Producto])</f>
        <v>Garbanzos</v>
      </c>
      <c r="I2888" s="17">
        <f t="array" ref="I2888">_xlfn.XLOOKUP(D2888,Productos[ID_Producto],Productos[Precio_Unitario])</f>
        <v>3.65</v>
      </c>
      <c r="J2888" s="17">
        <f t="shared" si="1"/>
        <v>21.9</v>
      </c>
      <c r="K2888" s="16" t="str">
        <f t="array" ref="K2888">_xlfn.XLOOKUP(C2888,Clientes[ID_Cliente],Clientes[Provincia])</f>
        <v>Neuquén</v>
      </c>
      <c r="L2888" s="16" t="str">
        <f t="array" ref="L2888">CONCATENATE(_xlfn.XLOOKUP(C2888,Clientes[ID_Cliente],Clientes[Provincia]),", Argentina")</f>
        <v>Neuquén, Argentina</v>
      </c>
      <c r="M2888" s="20" t="str">
        <f t="array" ref="M2888">_xlfn.XLOOKUP(F2888,Metodos_De_Pago[ID_Metodo],Metodos_De_Pago[Metodo])</f>
        <v>Transferencia</v>
      </c>
      <c r="N2888" s="20" t="str">
        <f t="shared" si="2"/>
        <v>2024 10</v>
      </c>
    </row>
    <row r="2889" ht="22.5" customHeight="1">
      <c r="A2889" s="12">
        <f>IFERROR(__xludf.DUMMYFUNCTION("""COMPUTED_VALUE"""),2952.0)</f>
        <v>2952</v>
      </c>
      <c r="B2889" s="13">
        <f>IFERROR(__xludf.DUMMYFUNCTION("""COMPUTED_VALUE"""),45578.0)</f>
        <v>45578</v>
      </c>
      <c r="C2889" s="12">
        <f>IFERROR(__xludf.DUMMYFUNCTION("""COMPUTED_VALUE"""),23.0)</f>
        <v>23</v>
      </c>
      <c r="D2889" s="12">
        <f>IFERROR(__xludf.DUMMYFUNCTION("""COMPUTED_VALUE"""),32.0)</f>
        <v>32</v>
      </c>
      <c r="E2889" s="12">
        <f>IFERROR(__xludf.DUMMYFUNCTION("""COMPUTED_VALUE"""),6.0)</f>
        <v>6</v>
      </c>
      <c r="F2889" s="12">
        <f>IFERROR(__xludf.DUMMYFUNCTION("""COMPUTED_VALUE"""),1.0)</f>
        <v>1</v>
      </c>
      <c r="G2889" s="15" t="str">
        <f>IFERROR(__xludf.DUMMYFUNCTION("""COMPUTED_VALUE"""),"Completa")</f>
        <v>Completa</v>
      </c>
      <c r="H2889" s="16" t="str">
        <f t="array" ref="H2889">_xlfn.XLOOKUP(D2889,Productos[ID_Producto],Productos[Nombre_Producto])</f>
        <v>Galletitas de chocolate</v>
      </c>
      <c r="I2889" s="17">
        <f t="array" ref="I2889">_xlfn.XLOOKUP(D2889,Productos[ID_Producto],Productos[Precio_Unitario])</f>
        <v>6.25</v>
      </c>
      <c r="J2889" s="17">
        <f t="shared" si="1"/>
        <v>37.5</v>
      </c>
      <c r="K2889" s="16" t="str">
        <f t="array" ref="K2889">_xlfn.XLOOKUP(C2889,Clientes[ID_Cliente],Clientes[Provincia])</f>
        <v>Neuquén</v>
      </c>
      <c r="L2889" s="16" t="str">
        <f t="array" ref="L2889">CONCATENATE(_xlfn.XLOOKUP(C2889,Clientes[ID_Cliente],Clientes[Provincia]),", Argentina")</f>
        <v>Neuquén, Argentina</v>
      </c>
      <c r="M2889" s="20" t="str">
        <f t="array" ref="M2889">_xlfn.XLOOKUP(F2889,Metodos_De_Pago[ID_Metodo],Metodos_De_Pago[Metodo])</f>
        <v>Efectivo</v>
      </c>
      <c r="N2889" s="20" t="str">
        <f t="shared" si="2"/>
        <v>2024 10</v>
      </c>
    </row>
    <row r="2890" ht="22.5" customHeight="1">
      <c r="A2890" s="12">
        <f>IFERROR(__xludf.DUMMYFUNCTION("""COMPUTED_VALUE"""),872.0)</f>
        <v>872</v>
      </c>
      <c r="B2890" s="13">
        <f>IFERROR(__xludf.DUMMYFUNCTION("""COMPUTED_VALUE"""),45579.0)</f>
        <v>45579</v>
      </c>
      <c r="C2890" s="12">
        <f>IFERROR(__xludf.DUMMYFUNCTION("""COMPUTED_VALUE"""),29.0)</f>
        <v>29</v>
      </c>
      <c r="D2890" s="12">
        <f>IFERROR(__xludf.DUMMYFUNCTION("""COMPUTED_VALUE"""),16.0)</f>
        <v>16</v>
      </c>
      <c r="E2890" s="12">
        <f>IFERROR(__xludf.DUMMYFUNCTION("""COMPUTED_VALUE"""),6.0)</f>
        <v>6</v>
      </c>
      <c r="F2890" s="12">
        <f>IFERROR(__xludf.DUMMYFUNCTION("""COMPUTED_VALUE"""),1.0)</f>
        <v>1</v>
      </c>
      <c r="G2890" s="15" t="str">
        <f>IFERROR(__xludf.DUMMYFUNCTION("""COMPUTED_VALUE"""),"Completa")</f>
        <v>Completa</v>
      </c>
      <c r="H2890" s="16" t="str">
        <f t="array" ref="H2890">_xlfn.XLOOKUP(D2890,Productos[ID_Producto],Productos[Nombre_Producto])</f>
        <v>Tortas</v>
      </c>
      <c r="I2890" s="17">
        <f t="array" ref="I2890">_xlfn.XLOOKUP(D2890,Productos[ID_Producto],Productos[Precio_Unitario])</f>
        <v>15.23</v>
      </c>
      <c r="J2890" s="17">
        <f t="shared" si="1"/>
        <v>91.38</v>
      </c>
      <c r="K2890" s="16" t="str">
        <f t="array" ref="K2890">_xlfn.XLOOKUP(C2890,Clientes[ID_Cliente],Clientes[Provincia])</f>
        <v>Chaco</v>
      </c>
      <c r="L2890" s="16" t="str">
        <f t="array" ref="L2890">CONCATENATE(_xlfn.XLOOKUP(C2890,Clientes[ID_Cliente],Clientes[Provincia]),", Argentina")</f>
        <v>Chaco, Argentina</v>
      </c>
      <c r="M2890" s="20" t="str">
        <f t="array" ref="M2890">_xlfn.XLOOKUP(F2890,Metodos_De_Pago[ID_Metodo],Metodos_De_Pago[Metodo])</f>
        <v>Efectivo</v>
      </c>
      <c r="N2890" s="20" t="str">
        <f t="shared" si="2"/>
        <v>2024 10</v>
      </c>
    </row>
    <row r="2891" ht="22.5" customHeight="1">
      <c r="A2891" s="12">
        <f>IFERROR(__xludf.DUMMYFUNCTION("""COMPUTED_VALUE"""),1021.0)</f>
        <v>1021</v>
      </c>
      <c r="B2891" s="13">
        <f>IFERROR(__xludf.DUMMYFUNCTION("""COMPUTED_VALUE"""),45579.0)</f>
        <v>45579</v>
      </c>
      <c r="C2891" s="12">
        <f>IFERROR(__xludf.DUMMYFUNCTION("""COMPUTED_VALUE"""),24.0)</f>
        <v>24</v>
      </c>
      <c r="D2891" s="12">
        <f>IFERROR(__xludf.DUMMYFUNCTION("""COMPUTED_VALUE"""),20.0)</f>
        <v>20</v>
      </c>
      <c r="E2891" s="12">
        <f>IFERROR(__xludf.DUMMYFUNCTION("""COMPUTED_VALUE"""),6.0)</f>
        <v>6</v>
      </c>
      <c r="F2891" s="12">
        <f>IFERROR(__xludf.DUMMYFUNCTION("""COMPUTED_VALUE"""),2.0)</f>
        <v>2</v>
      </c>
      <c r="G2891" s="15" t="str">
        <f>IFERROR(__xludf.DUMMYFUNCTION("""COMPUTED_VALUE"""),"Completa")</f>
        <v>Completa</v>
      </c>
      <c r="H2891" s="16" t="str">
        <f t="array" ref="H2891">_xlfn.XLOOKUP(D2891,Productos[ID_Producto],Productos[Nombre_Producto])</f>
        <v>Lechugas</v>
      </c>
      <c r="I2891" s="17">
        <f t="array" ref="I2891">_xlfn.XLOOKUP(D2891,Productos[ID_Producto],Productos[Precio_Unitario])</f>
        <v>4.25</v>
      </c>
      <c r="J2891" s="17">
        <f t="shared" si="1"/>
        <v>25.5</v>
      </c>
      <c r="K2891" s="16" t="str">
        <f t="array" ref="K2891">_xlfn.XLOOKUP(C2891,Clientes[ID_Cliente],Clientes[Provincia])</f>
        <v>San Luis</v>
      </c>
      <c r="L2891" s="16" t="str">
        <f t="array" ref="L2891">CONCATENATE(_xlfn.XLOOKUP(C2891,Clientes[ID_Cliente],Clientes[Provincia]),", Argentina")</f>
        <v>San Luis, Argentina</v>
      </c>
      <c r="M2891" s="20" t="str">
        <f t="array" ref="M2891">_xlfn.XLOOKUP(F2891,Metodos_De_Pago[ID_Metodo],Metodos_De_Pago[Metodo])</f>
        <v>Tarjeta de Crédito</v>
      </c>
      <c r="N2891" s="20" t="str">
        <f t="shared" si="2"/>
        <v>2024 10</v>
      </c>
    </row>
    <row r="2892" ht="22.5" customHeight="1">
      <c r="A2892" s="12">
        <f>IFERROR(__xludf.DUMMYFUNCTION("""COMPUTED_VALUE"""),1538.0)</f>
        <v>1538</v>
      </c>
      <c r="B2892" s="13">
        <f>IFERROR(__xludf.DUMMYFUNCTION("""COMPUTED_VALUE"""),45580.0)</f>
        <v>45580</v>
      </c>
      <c r="C2892" s="12">
        <f>IFERROR(__xludf.DUMMYFUNCTION("""COMPUTED_VALUE"""),104.0)</f>
        <v>104</v>
      </c>
      <c r="D2892" s="12">
        <f>IFERROR(__xludf.DUMMYFUNCTION("""COMPUTED_VALUE"""),29.0)</f>
        <v>29</v>
      </c>
      <c r="E2892" s="12">
        <f>IFERROR(__xludf.DUMMYFUNCTION("""COMPUTED_VALUE"""),6.0)</f>
        <v>6</v>
      </c>
      <c r="F2892" s="12">
        <f>IFERROR(__xludf.DUMMYFUNCTION("""COMPUTED_VALUE"""),5.0)</f>
        <v>5</v>
      </c>
      <c r="G2892" s="15" t="str">
        <f>IFERROR(__xludf.DUMMYFUNCTION("""COMPUTED_VALUE"""),"Completa")</f>
        <v>Completa</v>
      </c>
      <c r="H2892" s="16" t="str">
        <f t="array" ref="H2892">_xlfn.XLOOKUP(D2892,Productos[ID_Producto],Productos[Nombre_Producto])</f>
        <v>Cerveza</v>
      </c>
      <c r="I2892" s="17">
        <f t="array" ref="I2892">_xlfn.XLOOKUP(D2892,Productos[ID_Producto],Productos[Precio_Unitario])</f>
        <v>11.54</v>
      </c>
      <c r="J2892" s="17">
        <f t="shared" si="1"/>
        <v>69.24</v>
      </c>
      <c r="K2892" s="16" t="str">
        <f t="array" ref="K2892">_xlfn.XLOOKUP(C2892,Clientes[ID_Cliente],Clientes[Provincia])</f>
        <v>Buenos Aires</v>
      </c>
      <c r="L2892" s="16" t="str">
        <f t="array" ref="L2892">CONCATENATE(_xlfn.XLOOKUP(C2892,Clientes[ID_Cliente],Clientes[Provincia]),", Argentina")</f>
        <v>Buenos Aires, Argentina</v>
      </c>
      <c r="M2892" s="20" t="str">
        <f t="array" ref="M2892">_xlfn.XLOOKUP(F2892,Metodos_De_Pago[ID_Metodo],Metodos_De_Pago[Metodo])</f>
        <v>Transferencia</v>
      </c>
      <c r="N2892" s="20" t="str">
        <f t="shared" si="2"/>
        <v>2024 10</v>
      </c>
    </row>
    <row r="2893" ht="22.5" customHeight="1">
      <c r="A2893" s="12">
        <f>IFERROR(__xludf.DUMMYFUNCTION("""COMPUTED_VALUE"""),2352.0)</f>
        <v>2352</v>
      </c>
      <c r="B2893" s="13">
        <f>IFERROR(__xludf.DUMMYFUNCTION("""COMPUTED_VALUE"""),45580.0)</f>
        <v>45580</v>
      </c>
      <c r="C2893" s="12">
        <f>IFERROR(__xludf.DUMMYFUNCTION("""COMPUTED_VALUE"""),193.0)</f>
        <v>193</v>
      </c>
      <c r="D2893" s="12">
        <f>IFERROR(__xludf.DUMMYFUNCTION("""COMPUTED_VALUE"""),31.0)</f>
        <v>31</v>
      </c>
      <c r="E2893" s="12">
        <f>IFERROR(__xludf.DUMMYFUNCTION("""COMPUTED_VALUE"""),6.0)</f>
        <v>6</v>
      </c>
      <c r="F2893" s="12">
        <f>IFERROR(__xludf.DUMMYFUNCTION("""COMPUTED_VALUE"""),1.0)</f>
        <v>1</v>
      </c>
      <c r="G2893" s="15" t="str">
        <f>IFERROR(__xludf.DUMMYFUNCTION("""COMPUTED_VALUE"""),"Pendiente")</f>
        <v>Pendiente</v>
      </c>
      <c r="H2893" s="16" t="str">
        <f t="array" ref="H2893">_xlfn.XLOOKUP(D2893,Productos[ID_Producto],Productos[Nombre_Producto])</f>
        <v>Galletitas de agua</v>
      </c>
      <c r="I2893" s="17">
        <f t="array" ref="I2893">_xlfn.XLOOKUP(D2893,Productos[ID_Producto],Productos[Precio_Unitario])</f>
        <v>5.24</v>
      </c>
      <c r="J2893" s="17">
        <f t="shared" si="1"/>
        <v>31.44</v>
      </c>
      <c r="K2893" s="16" t="str">
        <f t="array" ref="K2893">_xlfn.XLOOKUP(C2893,Clientes[ID_Cliente],Clientes[Provincia])</f>
        <v>Buenos Aires</v>
      </c>
      <c r="L2893" s="16" t="str">
        <f t="array" ref="L2893">CONCATENATE(_xlfn.XLOOKUP(C2893,Clientes[ID_Cliente],Clientes[Provincia]),", Argentina")</f>
        <v>Buenos Aires, Argentina</v>
      </c>
      <c r="M2893" s="20" t="str">
        <f t="array" ref="M2893">_xlfn.XLOOKUP(F2893,Metodos_De_Pago[ID_Metodo],Metodos_De_Pago[Metodo])</f>
        <v>Efectivo</v>
      </c>
      <c r="N2893" s="20" t="str">
        <f t="shared" si="2"/>
        <v>2024 10</v>
      </c>
    </row>
    <row r="2894" ht="22.5" customHeight="1">
      <c r="A2894" s="12">
        <f>IFERROR(__xludf.DUMMYFUNCTION("""COMPUTED_VALUE"""),912.0)</f>
        <v>912</v>
      </c>
      <c r="B2894" s="13">
        <f>IFERROR(__xludf.DUMMYFUNCTION("""COMPUTED_VALUE"""),45581.0)</f>
        <v>45581</v>
      </c>
      <c r="C2894" s="12">
        <f>IFERROR(__xludf.DUMMYFUNCTION("""COMPUTED_VALUE"""),306.0)</f>
        <v>306</v>
      </c>
      <c r="D2894" s="12">
        <f>IFERROR(__xludf.DUMMYFUNCTION("""COMPUTED_VALUE"""),19.0)</f>
        <v>19</v>
      </c>
      <c r="E2894" s="12">
        <f>IFERROR(__xludf.DUMMYFUNCTION("""COMPUTED_VALUE"""),6.0)</f>
        <v>6</v>
      </c>
      <c r="F2894" s="12">
        <f>IFERROR(__xludf.DUMMYFUNCTION("""COMPUTED_VALUE"""),2.0)</f>
        <v>2</v>
      </c>
      <c r="G2894" s="15" t="str">
        <f>IFERROR(__xludf.DUMMYFUNCTION("""COMPUTED_VALUE"""),"Completa")</f>
        <v>Completa</v>
      </c>
      <c r="H2894" s="16" t="str">
        <f t="array" ref="H2894">_xlfn.XLOOKUP(D2894,Productos[ID_Producto],Productos[Nombre_Producto])</f>
        <v>Tomates</v>
      </c>
      <c r="I2894" s="17">
        <f t="array" ref="I2894">_xlfn.XLOOKUP(D2894,Productos[ID_Producto],Productos[Precio_Unitario])</f>
        <v>6.54</v>
      </c>
      <c r="J2894" s="17">
        <f t="shared" si="1"/>
        <v>39.24</v>
      </c>
      <c r="K2894" s="16" t="str">
        <f t="array" ref="K2894">_xlfn.XLOOKUP(C2894,Clientes[ID_Cliente],Clientes[Provincia])</f>
        <v>San Luis</v>
      </c>
      <c r="L2894" s="16" t="str">
        <f t="array" ref="L2894">CONCATENATE(_xlfn.XLOOKUP(C2894,Clientes[ID_Cliente],Clientes[Provincia]),", Argentina")</f>
        <v>San Luis, Argentina</v>
      </c>
      <c r="M2894" s="20" t="str">
        <f t="array" ref="M2894">_xlfn.XLOOKUP(F2894,Metodos_De_Pago[ID_Metodo],Metodos_De_Pago[Metodo])</f>
        <v>Tarjeta de Crédito</v>
      </c>
      <c r="N2894" s="20" t="str">
        <f t="shared" si="2"/>
        <v>2024 10</v>
      </c>
    </row>
    <row r="2895" ht="22.5" customHeight="1">
      <c r="A2895" s="12">
        <f>IFERROR(__xludf.DUMMYFUNCTION("""COMPUTED_VALUE"""),1020.0)</f>
        <v>1020</v>
      </c>
      <c r="B2895" s="13">
        <f>IFERROR(__xludf.DUMMYFUNCTION("""COMPUTED_VALUE"""),45581.0)</f>
        <v>45581</v>
      </c>
      <c r="C2895" s="12">
        <f>IFERROR(__xludf.DUMMYFUNCTION("""COMPUTED_VALUE"""),61.0)</f>
        <v>61</v>
      </c>
      <c r="D2895" s="12">
        <f>IFERROR(__xludf.DUMMYFUNCTION("""COMPUTED_VALUE"""),32.0)</f>
        <v>32</v>
      </c>
      <c r="E2895" s="12">
        <f>IFERROR(__xludf.DUMMYFUNCTION("""COMPUTED_VALUE"""),6.0)</f>
        <v>6</v>
      </c>
      <c r="F2895" s="12">
        <f>IFERROR(__xludf.DUMMYFUNCTION("""COMPUTED_VALUE"""),5.0)</f>
        <v>5</v>
      </c>
      <c r="G2895" s="15" t="str">
        <f>IFERROR(__xludf.DUMMYFUNCTION("""COMPUTED_VALUE"""),"Completa")</f>
        <v>Completa</v>
      </c>
      <c r="H2895" s="16" t="str">
        <f t="array" ref="H2895">_xlfn.XLOOKUP(D2895,Productos[ID_Producto],Productos[Nombre_Producto])</f>
        <v>Galletitas de chocolate</v>
      </c>
      <c r="I2895" s="17">
        <f t="array" ref="I2895">_xlfn.XLOOKUP(D2895,Productos[ID_Producto],Productos[Precio_Unitario])</f>
        <v>6.25</v>
      </c>
      <c r="J2895" s="17">
        <f t="shared" si="1"/>
        <v>37.5</v>
      </c>
      <c r="K2895" s="16" t="str">
        <f t="array" ref="K2895">_xlfn.XLOOKUP(C2895,Clientes[ID_Cliente],Clientes[Provincia])</f>
        <v>Buenos Aires</v>
      </c>
      <c r="L2895" s="16" t="str">
        <f t="array" ref="L2895">CONCATENATE(_xlfn.XLOOKUP(C2895,Clientes[ID_Cliente],Clientes[Provincia]),", Argentina")</f>
        <v>Buenos Aires, Argentina</v>
      </c>
      <c r="M2895" s="20" t="str">
        <f t="array" ref="M2895">_xlfn.XLOOKUP(F2895,Metodos_De_Pago[ID_Metodo],Metodos_De_Pago[Metodo])</f>
        <v>Transferencia</v>
      </c>
      <c r="N2895" s="20" t="str">
        <f t="shared" si="2"/>
        <v>2024 10</v>
      </c>
    </row>
    <row r="2896" ht="22.5" customHeight="1">
      <c r="A2896" s="12">
        <f>IFERROR(__xludf.DUMMYFUNCTION("""COMPUTED_VALUE"""),2816.0)</f>
        <v>2816</v>
      </c>
      <c r="B2896" s="13">
        <f>IFERROR(__xludf.DUMMYFUNCTION("""COMPUTED_VALUE"""),45581.0)</f>
        <v>45581</v>
      </c>
      <c r="C2896" s="12">
        <f>IFERROR(__xludf.DUMMYFUNCTION("""COMPUTED_VALUE"""),287.0)</f>
        <v>287</v>
      </c>
      <c r="D2896" s="12">
        <f>IFERROR(__xludf.DUMMYFUNCTION("""COMPUTED_VALUE"""),34.0)</f>
        <v>34</v>
      </c>
      <c r="E2896" s="12">
        <f>IFERROR(__xludf.DUMMYFUNCTION("""COMPUTED_VALUE"""),6.0)</f>
        <v>6</v>
      </c>
      <c r="F2896" s="12">
        <f>IFERROR(__xludf.DUMMYFUNCTION("""COMPUTED_VALUE"""),3.0)</f>
        <v>3</v>
      </c>
      <c r="G2896" s="15" t="str">
        <f>IFERROR(__xludf.DUMMYFUNCTION("""COMPUTED_VALUE"""),"Completa")</f>
        <v>Completa</v>
      </c>
      <c r="H2896" s="16" t="str">
        <f t="array" ref="H2896">_xlfn.XLOOKUP(D2896,Productos[ID_Producto],Productos[Nombre_Producto])</f>
        <v>Maníes</v>
      </c>
      <c r="I2896" s="17">
        <f t="array" ref="I2896">_xlfn.XLOOKUP(D2896,Productos[ID_Producto],Productos[Precio_Unitario])</f>
        <v>5.45</v>
      </c>
      <c r="J2896" s="17">
        <f t="shared" si="1"/>
        <v>32.7</v>
      </c>
      <c r="K2896" s="16" t="str">
        <f t="array" ref="K2896">_xlfn.XLOOKUP(C2896,Clientes[ID_Cliente],Clientes[Provincia])</f>
        <v>Chaco</v>
      </c>
      <c r="L2896" s="16" t="str">
        <f t="array" ref="L2896">CONCATENATE(_xlfn.XLOOKUP(C2896,Clientes[ID_Cliente],Clientes[Provincia]),", Argentina")</f>
        <v>Chaco, Argentina</v>
      </c>
      <c r="M2896" s="20" t="str">
        <f t="array" ref="M2896">_xlfn.XLOOKUP(F2896,Metodos_De_Pago[ID_Metodo],Metodos_De_Pago[Metodo])</f>
        <v>Tarjeta de Débito</v>
      </c>
      <c r="N2896" s="20" t="str">
        <f t="shared" si="2"/>
        <v>2024 10</v>
      </c>
    </row>
    <row r="2897" ht="22.5" customHeight="1">
      <c r="A2897" s="12">
        <f>IFERROR(__xludf.DUMMYFUNCTION("""COMPUTED_VALUE"""),38.0)</f>
        <v>38</v>
      </c>
      <c r="B2897" s="13">
        <f>IFERROR(__xludf.DUMMYFUNCTION("""COMPUTED_VALUE"""),45582.0)</f>
        <v>45582</v>
      </c>
      <c r="C2897" s="12">
        <f>IFERROR(__xludf.DUMMYFUNCTION("""COMPUTED_VALUE"""),271.0)</f>
        <v>271</v>
      </c>
      <c r="D2897" s="12">
        <f>IFERROR(__xludf.DUMMYFUNCTION("""COMPUTED_VALUE"""),20.0)</f>
        <v>20</v>
      </c>
      <c r="E2897" s="12">
        <f>IFERROR(__xludf.DUMMYFUNCTION("""COMPUTED_VALUE"""),6.0)</f>
        <v>6</v>
      </c>
      <c r="F2897" s="12">
        <f>IFERROR(__xludf.DUMMYFUNCTION("""COMPUTED_VALUE"""),3.0)</f>
        <v>3</v>
      </c>
      <c r="G2897" s="15" t="str">
        <f>IFERROR(__xludf.DUMMYFUNCTION("""COMPUTED_VALUE"""),"Completa")</f>
        <v>Completa</v>
      </c>
      <c r="H2897" s="16" t="str">
        <f t="array" ref="H2897">_xlfn.XLOOKUP(D2897,Productos[ID_Producto],Productos[Nombre_Producto])</f>
        <v>Lechugas</v>
      </c>
      <c r="I2897" s="17">
        <f t="array" ref="I2897">_xlfn.XLOOKUP(D2897,Productos[ID_Producto],Productos[Precio_Unitario])</f>
        <v>4.25</v>
      </c>
      <c r="J2897" s="17">
        <f t="shared" si="1"/>
        <v>25.5</v>
      </c>
      <c r="K2897" s="16" t="str">
        <f t="array" ref="K2897">_xlfn.XLOOKUP(C2897,Clientes[ID_Cliente],Clientes[Provincia])</f>
        <v>Neuquén</v>
      </c>
      <c r="L2897" s="16" t="str">
        <f t="array" ref="L2897">CONCATENATE(_xlfn.XLOOKUP(C2897,Clientes[ID_Cliente],Clientes[Provincia]),", Argentina")</f>
        <v>Neuquén, Argentina</v>
      </c>
      <c r="M2897" s="20" t="str">
        <f t="array" ref="M2897">_xlfn.XLOOKUP(F2897,Metodos_De_Pago[ID_Metodo],Metodos_De_Pago[Metodo])</f>
        <v>Tarjeta de Débito</v>
      </c>
      <c r="N2897" s="20" t="str">
        <f t="shared" si="2"/>
        <v>2024 10</v>
      </c>
    </row>
    <row r="2898" ht="22.5" customHeight="1">
      <c r="A2898" s="12">
        <f>IFERROR(__xludf.DUMMYFUNCTION("""COMPUTED_VALUE"""),530.0)</f>
        <v>530</v>
      </c>
      <c r="B2898" s="13">
        <f>IFERROR(__xludf.DUMMYFUNCTION("""COMPUTED_VALUE"""),45584.0)</f>
        <v>45584</v>
      </c>
      <c r="C2898" s="12">
        <f>IFERROR(__xludf.DUMMYFUNCTION("""COMPUTED_VALUE"""),31.0)</f>
        <v>31</v>
      </c>
      <c r="D2898" s="12">
        <f>IFERROR(__xludf.DUMMYFUNCTION("""COMPUTED_VALUE"""),31.0)</f>
        <v>31</v>
      </c>
      <c r="E2898" s="12">
        <f>IFERROR(__xludf.DUMMYFUNCTION("""COMPUTED_VALUE"""),6.0)</f>
        <v>6</v>
      </c>
      <c r="F2898" s="12">
        <f>IFERROR(__xludf.DUMMYFUNCTION("""COMPUTED_VALUE"""),3.0)</f>
        <v>3</v>
      </c>
      <c r="G2898" s="15" t="str">
        <f>IFERROR(__xludf.DUMMYFUNCTION("""COMPUTED_VALUE"""),"Completa")</f>
        <v>Completa</v>
      </c>
      <c r="H2898" s="16" t="str">
        <f t="array" ref="H2898">_xlfn.XLOOKUP(D2898,Productos[ID_Producto],Productos[Nombre_Producto])</f>
        <v>Galletitas de agua</v>
      </c>
      <c r="I2898" s="17">
        <f t="array" ref="I2898">_xlfn.XLOOKUP(D2898,Productos[ID_Producto],Productos[Precio_Unitario])</f>
        <v>5.24</v>
      </c>
      <c r="J2898" s="17">
        <f t="shared" si="1"/>
        <v>31.44</v>
      </c>
      <c r="K2898" s="16" t="str">
        <f t="array" ref="K2898">_xlfn.XLOOKUP(C2898,Clientes[ID_Cliente],Clientes[Provincia])</f>
        <v>Córdoba</v>
      </c>
      <c r="L2898" s="16" t="str">
        <f t="array" ref="L2898">CONCATENATE(_xlfn.XLOOKUP(C2898,Clientes[ID_Cliente],Clientes[Provincia]),", Argentina")</f>
        <v>Córdoba, Argentina</v>
      </c>
      <c r="M2898" s="20" t="str">
        <f t="array" ref="M2898">_xlfn.XLOOKUP(F2898,Metodos_De_Pago[ID_Metodo],Metodos_De_Pago[Metodo])</f>
        <v>Tarjeta de Débito</v>
      </c>
      <c r="N2898" s="20" t="str">
        <f t="shared" si="2"/>
        <v>2024 10</v>
      </c>
    </row>
    <row r="2899" ht="22.5" customHeight="1">
      <c r="A2899" s="12">
        <f>IFERROR(__xludf.DUMMYFUNCTION("""COMPUTED_VALUE"""),823.0)</f>
        <v>823</v>
      </c>
      <c r="B2899" s="13">
        <f>IFERROR(__xludf.DUMMYFUNCTION("""COMPUTED_VALUE"""),45585.0)</f>
        <v>45585</v>
      </c>
      <c r="C2899" s="12">
        <f>IFERROR(__xludf.DUMMYFUNCTION("""COMPUTED_VALUE"""),225.0)</f>
        <v>225</v>
      </c>
      <c r="D2899" s="12">
        <f>IFERROR(__xludf.DUMMYFUNCTION("""COMPUTED_VALUE"""),14.0)</f>
        <v>14</v>
      </c>
      <c r="E2899" s="12">
        <f>IFERROR(__xludf.DUMMYFUNCTION("""COMPUTED_VALUE"""),6.0)</f>
        <v>6</v>
      </c>
      <c r="F2899" s="12">
        <f>IFERROR(__xludf.DUMMYFUNCTION("""COMPUTED_VALUE"""),4.0)</f>
        <v>4</v>
      </c>
      <c r="G2899" s="15" t="str">
        <f>IFERROR(__xludf.DUMMYFUNCTION("""COMPUTED_VALUE"""),"Completa")</f>
        <v>Completa</v>
      </c>
      <c r="H2899" s="16" t="str">
        <f t="array" ref="H2899">_xlfn.XLOOKUP(D2899,Productos[ID_Producto],Productos[Nombre_Producto])</f>
        <v>Facturas</v>
      </c>
      <c r="I2899" s="17">
        <f t="array" ref="I2899">_xlfn.XLOOKUP(D2899,Productos[ID_Producto],Productos[Precio_Unitario])</f>
        <v>12.36</v>
      </c>
      <c r="J2899" s="17">
        <f t="shared" si="1"/>
        <v>74.16</v>
      </c>
      <c r="K2899" s="16" t="str">
        <f t="array" ref="K2899">_xlfn.XLOOKUP(C2899,Clientes[ID_Cliente],Clientes[Provincia])</f>
        <v>Buenos Aires</v>
      </c>
      <c r="L2899" s="16" t="str">
        <f t="array" ref="L2899">CONCATENATE(_xlfn.XLOOKUP(C2899,Clientes[ID_Cliente],Clientes[Provincia]),", Argentina")</f>
        <v>Buenos Aires, Argentina</v>
      </c>
      <c r="M2899" s="20" t="str">
        <f t="array" ref="M2899">_xlfn.XLOOKUP(F2899,Metodos_De_Pago[ID_Metodo],Metodos_De_Pago[Metodo])</f>
        <v>Mercado Pago</v>
      </c>
      <c r="N2899" s="20" t="str">
        <f t="shared" si="2"/>
        <v>2024 10</v>
      </c>
    </row>
    <row r="2900" ht="22.5" customHeight="1">
      <c r="A2900" s="12">
        <f>IFERROR(__xludf.DUMMYFUNCTION("""COMPUTED_VALUE"""),1356.0)</f>
        <v>1356</v>
      </c>
      <c r="B2900" s="13">
        <f>IFERROR(__xludf.DUMMYFUNCTION("""COMPUTED_VALUE"""),45585.0)</f>
        <v>45585</v>
      </c>
      <c r="C2900" s="12">
        <f>IFERROR(__xludf.DUMMYFUNCTION("""COMPUTED_VALUE"""),228.0)</f>
        <v>228</v>
      </c>
      <c r="D2900" s="12">
        <f>IFERROR(__xludf.DUMMYFUNCTION("""COMPUTED_VALUE"""),4.0)</f>
        <v>4</v>
      </c>
      <c r="E2900" s="12">
        <f>IFERROR(__xludf.DUMMYFUNCTION("""COMPUTED_VALUE"""),6.0)</f>
        <v>6</v>
      </c>
      <c r="F2900" s="12">
        <f>IFERROR(__xludf.DUMMYFUNCTION("""COMPUTED_VALUE"""),2.0)</f>
        <v>2</v>
      </c>
      <c r="G2900" s="15" t="str">
        <f>IFERROR(__xludf.DUMMYFUNCTION("""COMPUTED_VALUE"""),"Completa")</f>
        <v>Completa</v>
      </c>
      <c r="H2900" s="16" t="str">
        <f t="array" ref="H2900">_xlfn.XLOOKUP(D2900,Productos[ID_Producto],Productos[Nombre_Producto])</f>
        <v>Queso rallado</v>
      </c>
      <c r="I2900" s="17">
        <f t="array" ref="I2900">_xlfn.XLOOKUP(D2900,Productos[ID_Producto],Productos[Precio_Unitario])</f>
        <v>19.23</v>
      </c>
      <c r="J2900" s="17">
        <f t="shared" si="1"/>
        <v>115.38</v>
      </c>
      <c r="K2900" s="16" t="str">
        <f t="array" ref="K2900">_xlfn.XLOOKUP(C2900,Clientes[ID_Cliente],Clientes[Provincia])</f>
        <v>Córdoba</v>
      </c>
      <c r="L2900" s="16" t="str">
        <f t="array" ref="L2900">CONCATENATE(_xlfn.XLOOKUP(C2900,Clientes[ID_Cliente],Clientes[Provincia]),", Argentina")</f>
        <v>Córdoba, Argentina</v>
      </c>
      <c r="M2900" s="20" t="str">
        <f t="array" ref="M2900">_xlfn.XLOOKUP(F2900,Metodos_De_Pago[ID_Metodo],Metodos_De_Pago[Metodo])</f>
        <v>Tarjeta de Crédito</v>
      </c>
      <c r="N2900" s="20" t="str">
        <f t="shared" si="2"/>
        <v>2024 10</v>
      </c>
    </row>
    <row r="2901" ht="22.5" customHeight="1">
      <c r="A2901" s="12">
        <f>IFERROR(__xludf.DUMMYFUNCTION("""COMPUTED_VALUE"""),1454.0)</f>
        <v>1454</v>
      </c>
      <c r="B2901" s="13">
        <f>IFERROR(__xludf.DUMMYFUNCTION("""COMPUTED_VALUE"""),45586.0)</f>
        <v>45586</v>
      </c>
      <c r="C2901" s="12">
        <f>IFERROR(__xludf.DUMMYFUNCTION("""COMPUTED_VALUE"""),272.0)</f>
        <v>272</v>
      </c>
      <c r="D2901" s="12">
        <f>IFERROR(__xludf.DUMMYFUNCTION("""COMPUTED_VALUE"""),10.0)</f>
        <v>10</v>
      </c>
      <c r="E2901" s="12">
        <f>IFERROR(__xludf.DUMMYFUNCTION("""COMPUTED_VALUE"""),6.0)</f>
        <v>6</v>
      </c>
      <c r="F2901" s="12">
        <f>IFERROR(__xludf.DUMMYFUNCTION("""COMPUTED_VALUE"""),1.0)</f>
        <v>1</v>
      </c>
      <c r="G2901" s="15" t="str">
        <f>IFERROR(__xludf.DUMMYFUNCTION("""COMPUTED_VALUE"""),"Completa")</f>
        <v>Completa</v>
      </c>
      <c r="H2901" s="16" t="str">
        <f t="array" ref="H2901">_xlfn.XLOOKUP(D2901,Productos[ID_Producto],Productos[Nombre_Producto])</f>
        <v>Costilla de cerdo</v>
      </c>
      <c r="I2901" s="17">
        <f t="array" ref="I2901">_xlfn.XLOOKUP(D2901,Productos[ID_Producto],Productos[Precio_Unitario])</f>
        <v>14.25</v>
      </c>
      <c r="J2901" s="17">
        <f t="shared" si="1"/>
        <v>85.5</v>
      </c>
      <c r="K2901" s="16" t="str">
        <f t="array" ref="K2901">_xlfn.XLOOKUP(C2901,Clientes[ID_Cliente],Clientes[Provincia])</f>
        <v>Buenos Aires</v>
      </c>
      <c r="L2901" s="16" t="str">
        <f t="array" ref="L2901">CONCATENATE(_xlfn.XLOOKUP(C2901,Clientes[ID_Cliente],Clientes[Provincia]),", Argentina")</f>
        <v>Buenos Aires, Argentina</v>
      </c>
      <c r="M2901" s="20" t="str">
        <f t="array" ref="M2901">_xlfn.XLOOKUP(F2901,Metodos_De_Pago[ID_Metodo],Metodos_De_Pago[Metodo])</f>
        <v>Efectivo</v>
      </c>
      <c r="N2901" s="20" t="str">
        <f t="shared" si="2"/>
        <v>2024 10</v>
      </c>
    </row>
    <row r="2902" ht="22.5" customHeight="1">
      <c r="A2902" s="12">
        <f>IFERROR(__xludf.DUMMYFUNCTION("""COMPUTED_VALUE"""),1740.0)</f>
        <v>1740</v>
      </c>
      <c r="B2902" s="13">
        <f>IFERROR(__xludf.DUMMYFUNCTION("""COMPUTED_VALUE"""),45587.0)</f>
        <v>45587</v>
      </c>
      <c r="C2902" s="12">
        <f>IFERROR(__xludf.DUMMYFUNCTION("""COMPUTED_VALUE"""),210.0)</f>
        <v>210</v>
      </c>
      <c r="D2902" s="12">
        <f>IFERROR(__xludf.DUMMYFUNCTION("""COMPUTED_VALUE"""),7.0)</f>
        <v>7</v>
      </c>
      <c r="E2902" s="12">
        <f>IFERROR(__xludf.DUMMYFUNCTION("""COMPUTED_VALUE"""),6.0)</f>
        <v>6</v>
      </c>
      <c r="F2902" s="12">
        <f>IFERROR(__xludf.DUMMYFUNCTION("""COMPUTED_VALUE"""),1.0)</f>
        <v>1</v>
      </c>
      <c r="G2902" s="15" t="str">
        <f>IFERROR(__xludf.DUMMYFUNCTION("""COMPUTED_VALUE"""),"Completa")</f>
        <v>Completa</v>
      </c>
      <c r="H2902" s="16" t="str">
        <f t="array" ref="H2902">_xlfn.XLOOKUP(D2902,Productos[ID_Producto],Productos[Nombre_Producto])</f>
        <v>Chorizo</v>
      </c>
      <c r="I2902" s="17">
        <f t="array" ref="I2902">_xlfn.XLOOKUP(D2902,Productos[ID_Producto],Productos[Precio_Unitario])</f>
        <v>11.25</v>
      </c>
      <c r="J2902" s="17">
        <f t="shared" si="1"/>
        <v>67.5</v>
      </c>
      <c r="K2902" s="16" t="str">
        <f t="array" ref="K2902">_xlfn.XLOOKUP(C2902,Clientes[ID_Cliente],Clientes[Provincia])</f>
        <v>Córdoba</v>
      </c>
      <c r="L2902" s="16" t="str">
        <f t="array" ref="L2902">CONCATENATE(_xlfn.XLOOKUP(C2902,Clientes[ID_Cliente],Clientes[Provincia]),", Argentina")</f>
        <v>Córdoba, Argentina</v>
      </c>
      <c r="M2902" s="20" t="str">
        <f t="array" ref="M2902">_xlfn.XLOOKUP(F2902,Metodos_De_Pago[ID_Metodo],Metodos_De_Pago[Metodo])</f>
        <v>Efectivo</v>
      </c>
      <c r="N2902" s="20" t="str">
        <f t="shared" si="2"/>
        <v>2024 10</v>
      </c>
    </row>
    <row r="2903" ht="22.5" customHeight="1">
      <c r="A2903" s="12">
        <f>IFERROR(__xludf.DUMMYFUNCTION("""COMPUTED_VALUE"""),2317.0)</f>
        <v>2317</v>
      </c>
      <c r="B2903" s="13">
        <f>IFERROR(__xludf.DUMMYFUNCTION("""COMPUTED_VALUE"""),45587.0)</f>
        <v>45587</v>
      </c>
      <c r="C2903" s="12">
        <f>IFERROR(__xludf.DUMMYFUNCTION("""COMPUTED_VALUE"""),174.0)</f>
        <v>174</v>
      </c>
      <c r="D2903" s="12">
        <f>IFERROR(__xludf.DUMMYFUNCTION("""COMPUTED_VALUE"""),13.0)</f>
        <v>13</v>
      </c>
      <c r="E2903" s="12">
        <f>IFERROR(__xludf.DUMMYFUNCTION("""COMPUTED_VALUE"""),6.0)</f>
        <v>6</v>
      </c>
      <c r="F2903" s="12">
        <f>IFERROR(__xludf.DUMMYFUNCTION("""COMPUTED_VALUE"""),1.0)</f>
        <v>1</v>
      </c>
      <c r="G2903" s="15" t="str">
        <f>IFERROR(__xludf.DUMMYFUNCTION("""COMPUTED_VALUE"""),"Completa")</f>
        <v>Completa</v>
      </c>
      <c r="H2903" s="16" t="str">
        <f t="array" ref="H2903">_xlfn.XLOOKUP(D2903,Productos[ID_Producto],Productos[Nombre_Producto])</f>
        <v>Pan integral</v>
      </c>
      <c r="I2903" s="17">
        <f t="array" ref="I2903">_xlfn.XLOOKUP(D2903,Productos[ID_Producto],Productos[Precio_Unitario])</f>
        <v>12.56</v>
      </c>
      <c r="J2903" s="17">
        <f t="shared" si="1"/>
        <v>75.36</v>
      </c>
      <c r="K2903" s="16" t="str">
        <f t="array" ref="K2903">_xlfn.XLOOKUP(C2903,Clientes[ID_Cliente],Clientes[Provincia])</f>
        <v>Neuquén</v>
      </c>
      <c r="L2903" s="16" t="str">
        <f t="array" ref="L2903">CONCATENATE(_xlfn.XLOOKUP(C2903,Clientes[ID_Cliente],Clientes[Provincia]),", Argentina")</f>
        <v>Neuquén, Argentina</v>
      </c>
      <c r="M2903" s="20" t="str">
        <f t="array" ref="M2903">_xlfn.XLOOKUP(F2903,Metodos_De_Pago[ID_Metodo],Metodos_De_Pago[Metodo])</f>
        <v>Efectivo</v>
      </c>
      <c r="N2903" s="20" t="str">
        <f t="shared" si="2"/>
        <v>2024 10</v>
      </c>
    </row>
    <row r="2904" ht="22.5" customHeight="1">
      <c r="A2904" s="12">
        <f>IFERROR(__xludf.DUMMYFUNCTION("""COMPUTED_VALUE"""),1336.0)</f>
        <v>1336</v>
      </c>
      <c r="B2904" s="13">
        <f>IFERROR(__xludf.DUMMYFUNCTION("""COMPUTED_VALUE"""),45588.0)</f>
        <v>45588</v>
      </c>
      <c r="C2904" s="12">
        <f>IFERROR(__xludf.DUMMYFUNCTION("""COMPUTED_VALUE"""),122.0)</f>
        <v>122</v>
      </c>
      <c r="D2904" s="12">
        <f>IFERROR(__xludf.DUMMYFUNCTION("""COMPUTED_VALUE"""),34.0)</f>
        <v>34</v>
      </c>
      <c r="E2904" s="12">
        <f>IFERROR(__xludf.DUMMYFUNCTION("""COMPUTED_VALUE"""),6.0)</f>
        <v>6</v>
      </c>
      <c r="F2904" s="12">
        <f>IFERROR(__xludf.DUMMYFUNCTION("""COMPUTED_VALUE"""),3.0)</f>
        <v>3</v>
      </c>
      <c r="G2904" s="15" t="str">
        <f>IFERROR(__xludf.DUMMYFUNCTION("""COMPUTED_VALUE"""),"Completa")</f>
        <v>Completa</v>
      </c>
      <c r="H2904" s="16" t="str">
        <f t="array" ref="H2904">_xlfn.XLOOKUP(D2904,Productos[ID_Producto],Productos[Nombre_Producto])</f>
        <v>Maníes</v>
      </c>
      <c r="I2904" s="17">
        <f t="array" ref="I2904">_xlfn.XLOOKUP(D2904,Productos[ID_Producto],Productos[Precio_Unitario])</f>
        <v>5.45</v>
      </c>
      <c r="J2904" s="17">
        <f t="shared" si="1"/>
        <v>32.7</v>
      </c>
      <c r="K2904" s="16" t="str">
        <f t="array" ref="K2904">_xlfn.XLOOKUP(C2904,Clientes[ID_Cliente],Clientes[Provincia])</f>
        <v>Córdoba</v>
      </c>
      <c r="L2904" s="16" t="str">
        <f t="array" ref="L2904">CONCATENATE(_xlfn.XLOOKUP(C2904,Clientes[ID_Cliente],Clientes[Provincia]),", Argentina")</f>
        <v>Córdoba, Argentina</v>
      </c>
      <c r="M2904" s="20" t="str">
        <f t="array" ref="M2904">_xlfn.XLOOKUP(F2904,Metodos_De_Pago[ID_Metodo],Metodos_De_Pago[Metodo])</f>
        <v>Tarjeta de Débito</v>
      </c>
      <c r="N2904" s="20" t="str">
        <f t="shared" si="2"/>
        <v>2024 10</v>
      </c>
    </row>
    <row r="2905" ht="22.5" customHeight="1">
      <c r="A2905" s="12">
        <f>IFERROR(__xludf.DUMMYFUNCTION("""COMPUTED_VALUE"""),2670.0)</f>
        <v>2670</v>
      </c>
      <c r="B2905" s="13">
        <f>IFERROR(__xludf.DUMMYFUNCTION("""COMPUTED_VALUE"""),45588.0)</f>
        <v>45588</v>
      </c>
      <c r="C2905" s="12">
        <f>IFERROR(__xludf.DUMMYFUNCTION("""COMPUTED_VALUE"""),311.0)</f>
        <v>311</v>
      </c>
      <c r="D2905" s="12">
        <f>IFERROR(__xludf.DUMMYFUNCTION("""COMPUTED_VALUE"""),24.0)</f>
        <v>24</v>
      </c>
      <c r="E2905" s="12">
        <f>IFERROR(__xludf.DUMMYFUNCTION("""COMPUTED_VALUE"""),6.0)</f>
        <v>6</v>
      </c>
      <c r="F2905" s="12">
        <f>IFERROR(__xludf.DUMMYFUNCTION("""COMPUTED_VALUE"""),3.0)</f>
        <v>3</v>
      </c>
      <c r="G2905" s="15" t="str">
        <f>IFERROR(__xludf.DUMMYFUNCTION("""COMPUTED_VALUE"""),"Completa")</f>
        <v>Completa</v>
      </c>
      <c r="H2905" s="16" t="str">
        <f t="array" ref="H2905">_xlfn.XLOOKUP(D2905,Productos[ID_Producto],Productos[Nombre_Producto])</f>
        <v>Empanadas</v>
      </c>
      <c r="I2905" s="17">
        <f t="array" ref="I2905">_xlfn.XLOOKUP(D2905,Productos[ID_Producto],Productos[Precio_Unitario])</f>
        <v>13.54</v>
      </c>
      <c r="J2905" s="17">
        <f t="shared" si="1"/>
        <v>81.24</v>
      </c>
      <c r="K2905" s="16" t="str">
        <f t="array" ref="K2905">_xlfn.XLOOKUP(C2905,Clientes[ID_Cliente],Clientes[Provincia])</f>
        <v>Buenos Aires</v>
      </c>
      <c r="L2905" s="16" t="str">
        <f t="array" ref="L2905">CONCATENATE(_xlfn.XLOOKUP(C2905,Clientes[ID_Cliente],Clientes[Provincia]),", Argentina")</f>
        <v>Buenos Aires, Argentina</v>
      </c>
      <c r="M2905" s="20" t="str">
        <f t="array" ref="M2905">_xlfn.XLOOKUP(F2905,Metodos_De_Pago[ID_Metodo],Metodos_De_Pago[Metodo])</f>
        <v>Tarjeta de Débito</v>
      </c>
      <c r="N2905" s="20" t="str">
        <f t="shared" si="2"/>
        <v>2024 10</v>
      </c>
    </row>
    <row r="2906" ht="22.5" customHeight="1">
      <c r="A2906" s="12">
        <f>IFERROR(__xludf.DUMMYFUNCTION("""COMPUTED_VALUE"""),2177.0)</f>
        <v>2177</v>
      </c>
      <c r="B2906" s="13">
        <f>IFERROR(__xludf.DUMMYFUNCTION("""COMPUTED_VALUE"""),45589.0)</f>
        <v>45589</v>
      </c>
      <c r="C2906" s="12">
        <f>IFERROR(__xludf.DUMMYFUNCTION("""COMPUTED_VALUE"""),37.0)</f>
        <v>37</v>
      </c>
      <c r="D2906" s="12">
        <f>IFERROR(__xludf.DUMMYFUNCTION("""COMPUTED_VALUE"""),18.0)</f>
        <v>18</v>
      </c>
      <c r="E2906" s="12">
        <f>IFERROR(__xludf.DUMMYFUNCTION("""COMPUTED_VALUE"""),6.0)</f>
        <v>6</v>
      </c>
      <c r="F2906" s="12">
        <f>IFERROR(__xludf.DUMMYFUNCTION("""COMPUTED_VALUE"""),4.0)</f>
        <v>4</v>
      </c>
      <c r="G2906" s="15" t="str">
        <f>IFERROR(__xludf.DUMMYFUNCTION("""COMPUTED_VALUE"""),"Completa")</f>
        <v>Completa</v>
      </c>
      <c r="H2906" s="16" t="str">
        <f t="array" ref="H2906">_xlfn.XLOOKUP(D2906,Productos[ID_Producto],Productos[Nombre_Producto])</f>
        <v>Bananas</v>
      </c>
      <c r="I2906" s="17">
        <f t="array" ref="I2906">_xlfn.XLOOKUP(D2906,Productos[ID_Producto],Productos[Precio_Unitario])</f>
        <v>7.25</v>
      </c>
      <c r="J2906" s="17">
        <f t="shared" si="1"/>
        <v>43.5</v>
      </c>
      <c r="K2906" s="16" t="str">
        <f t="array" ref="K2906">_xlfn.XLOOKUP(C2906,Clientes[ID_Cliente],Clientes[Provincia])</f>
        <v>San Luis</v>
      </c>
      <c r="L2906" s="16" t="str">
        <f t="array" ref="L2906">CONCATENATE(_xlfn.XLOOKUP(C2906,Clientes[ID_Cliente],Clientes[Provincia]),", Argentina")</f>
        <v>San Luis, Argentina</v>
      </c>
      <c r="M2906" s="20" t="str">
        <f t="array" ref="M2906">_xlfn.XLOOKUP(F2906,Metodos_De_Pago[ID_Metodo],Metodos_De_Pago[Metodo])</f>
        <v>Mercado Pago</v>
      </c>
      <c r="N2906" s="20" t="str">
        <f t="shared" si="2"/>
        <v>2024 10</v>
      </c>
    </row>
    <row r="2907" ht="22.5" customHeight="1">
      <c r="A2907" s="12">
        <f>IFERROR(__xludf.DUMMYFUNCTION("""COMPUTED_VALUE"""),423.0)</f>
        <v>423</v>
      </c>
      <c r="B2907" s="13">
        <f>IFERROR(__xludf.DUMMYFUNCTION("""COMPUTED_VALUE"""),45591.0)</f>
        <v>45591</v>
      </c>
      <c r="C2907" s="12">
        <f>IFERROR(__xludf.DUMMYFUNCTION("""COMPUTED_VALUE"""),34.0)</f>
        <v>34</v>
      </c>
      <c r="D2907" s="12">
        <f>IFERROR(__xludf.DUMMYFUNCTION("""COMPUTED_VALUE"""),27.0)</f>
        <v>27</v>
      </c>
      <c r="E2907" s="12">
        <f>IFERROR(__xludf.DUMMYFUNCTION("""COMPUTED_VALUE"""),6.0)</f>
        <v>6</v>
      </c>
      <c r="F2907" s="12">
        <f>IFERROR(__xludf.DUMMYFUNCTION("""COMPUTED_VALUE"""),5.0)</f>
        <v>5</v>
      </c>
      <c r="G2907" s="15" t="str">
        <f>IFERROR(__xludf.DUMMYFUNCTION("""COMPUTED_VALUE"""),"Completa")</f>
        <v>Completa</v>
      </c>
      <c r="H2907" s="16" t="str">
        <f t="array" ref="H2907">_xlfn.XLOOKUP(D2907,Productos[ID_Producto],Productos[Nombre_Producto])</f>
        <v>Agua mineral</v>
      </c>
      <c r="I2907" s="17">
        <f t="array" ref="I2907">_xlfn.XLOOKUP(D2907,Productos[ID_Producto],Productos[Precio_Unitario])</f>
        <v>6.21</v>
      </c>
      <c r="J2907" s="17">
        <f t="shared" si="1"/>
        <v>37.26</v>
      </c>
      <c r="K2907" s="16" t="str">
        <f t="array" ref="K2907">_xlfn.XLOOKUP(C2907,Clientes[ID_Cliente],Clientes[Provincia])</f>
        <v>San Luis</v>
      </c>
      <c r="L2907" s="16" t="str">
        <f t="array" ref="L2907">CONCATENATE(_xlfn.XLOOKUP(C2907,Clientes[ID_Cliente],Clientes[Provincia]),", Argentina")</f>
        <v>San Luis, Argentina</v>
      </c>
      <c r="M2907" s="20" t="str">
        <f t="array" ref="M2907">_xlfn.XLOOKUP(F2907,Metodos_De_Pago[ID_Metodo],Metodos_De_Pago[Metodo])</f>
        <v>Transferencia</v>
      </c>
      <c r="N2907" s="20" t="str">
        <f t="shared" si="2"/>
        <v>2024 10</v>
      </c>
    </row>
    <row r="2908" ht="22.5" customHeight="1">
      <c r="A2908" s="12">
        <f>IFERROR(__xludf.DUMMYFUNCTION("""COMPUTED_VALUE"""),1536.0)</f>
        <v>1536</v>
      </c>
      <c r="B2908" s="13">
        <f>IFERROR(__xludf.DUMMYFUNCTION("""COMPUTED_VALUE"""),45592.0)</f>
        <v>45592</v>
      </c>
      <c r="C2908" s="12">
        <f>IFERROR(__xludf.DUMMYFUNCTION("""COMPUTED_VALUE"""),203.0)</f>
        <v>203</v>
      </c>
      <c r="D2908" s="12">
        <f>IFERROR(__xludf.DUMMYFUNCTION("""COMPUTED_VALUE"""),35.0)</f>
        <v>35</v>
      </c>
      <c r="E2908" s="12">
        <f>IFERROR(__xludf.DUMMYFUNCTION("""COMPUTED_VALUE"""),6.0)</f>
        <v>6</v>
      </c>
      <c r="F2908" s="12">
        <f>IFERROR(__xludf.DUMMYFUNCTION("""COMPUTED_VALUE"""),1.0)</f>
        <v>1</v>
      </c>
      <c r="G2908" s="15" t="str">
        <f>IFERROR(__xludf.DUMMYFUNCTION("""COMPUTED_VALUE"""),"Completa")</f>
        <v>Completa</v>
      </c>
      <c r="H2908" s="16" t="str">
        <f t="array" ref="H2908">_xlfn.XLOOKUP(D2908,Productos[ID_Producto],Productos[Nombre_Producto])</f>
        <v>Arroz</v>
      </c>
      <c r="I2908" s="17">
        <f t="array" ref="I2908">_xlfn.XLOOKUP(D2908,Productos[ID_Producto],Productos[Precio_Unitario])</f>
        <v>4.25</v>
      </c>
      <c r="J2908" s="17">
        <f t="shared" si="1"/>
        <v>25.5</v>
      </c>
      <c r="K2908" s="16" t="str">
        <f t="array" ref="K2908">_xlfn.XLOOKUP(C2908,Clientes[ID_Cliente],Clientes[Provincia])</f>
        <v>Buenos Aires</v>
      </c>
      <c r="L2908" s="16" t="str">
        <f t="array" ref="L2908">CONCATENATE(_xlfn.XLOOKUP(C2908,Clientes[ID_Cliente],Clientes[Provincia]),", Argentina")</f>
        <v>Buenos Aires, Argentina</v>
      </c>
      <c r="M2908" s="20" t="str">
        <f t="array" ref="M2908">_xlfn.XLOOKUP(F2908,Metodos_De_Pago[ID_Metodo],Metodos_De_Pago[Metodo])</f>
        <v>Efectivo</v>
      </c>
      <c r="N2908" s="20" t="str">
        <f t="shared" si="2"/>
        <v>2024 10</v>
      </c>
    </row>
    <row r="2909" ht="22.5" customHeight="1">
      <c r="A2909" s="12">
        <f>IFERROR(__xludf.DUMMYFUNCTION("""COMPUTED_VALUE"""),2733.0)</f>
        <v>2733</v>
      </c>
      <c r="B2909" s="13">
        <f>IFERROR(__xludf.DUMMYFUNCTION("""COMPUTED_VALUE"""),45592.0)</f>
        <v>45592</v>
      </c>
      <c r="C2909" s="12">
        <f>IFERROR(__xludf.DUMMYFUNCTION("""COMPUTED_VALUE"""),27.0)</f>
        <v>27</v>
      </c>
      <c r="D2909" s="12">
        <f>IFERROR(__xludf.DUMMYFUNCTION("""COMPUTED_VALUE"""),30.0)</f>
        <v>30</v>
      </c>
      <c r="E2909" s="12">
        <f>IFERROR(__xludf.DUMMYFUNCTION("""COMPUTED_VALUE"""),6.0)</f>
        <v>6</v>
      </c>
      <c r="F2909" s="12">
        <f>IFERROR(__xludf.DUMMYFUNCTION("""COMPUTED_VALUE"""),1.0)</f>
        <v>1</v>
      </c>
      <c r="G2909" s="15" t="str">
        <f>IFERROR(__xludf.DUMMYFUNCTION("""COMPUTED_VALUE"""),"Completa")</f>
        <v>Completa</v>
      </c>
      <c r="H2909" s="16" t="str">
        <f t="array" ref="H2909">_xlfn.XLOOKUP(D2909,Productos[ID_Producto],Productos[Nombre_Producto])</f>
        <v>Vino tinto</v>
      </c>
      <c r="I2909" s="17">
        <f t="array" ref="I2909">_xlfn.XLOOKUP(D2909,Productos[ID_Producto],Productos[Precio_Unitario])</f>
        <v>13.54</v>
      </c>
      <c r="J2909" s="17">
        <f t="shared" si="1"/>
        <v>81.24</v>
      </c>
      <c r="K2909" s="16" t="str">
        <f t="array" ref="K2909">_xlfn.XLOOKUP(C2909,Clientes[ID_Cliente],Clientes[Provincia])</f>
        <v>Buenos Aires</v>
      </c>
      <c r="L2909" s="16" t="str">
        <f t="array" ref="L2909">CONCATENATE(_xlfn.XLOOKUP(C2909,Clientes[ID_Cliente],Clientes[Provincia]),", Argentina")</f>
        <v>Buenos Aires, Argentina</v>
      </c>
      <c r="M2909" s="20" t="str">
        <f t="array" ref="M2909">_xlfn.XLOOKUP(F2909,Metodos_De_Pago[ID_Metodo],Metodos_De_Pago[Metodo])</f>
        <v>Efectivo</v>
      </c>
      <c r="N2909" s="20" t="str">
        <f t="shared" si="2"/>
        <v>2024 10</v>
      </c>
    </row>
    <row r="2910" ht="22.5" customHeight="1">
      <c r="A2910" s="12">
        <f>IFERROR(__xludf.DUMMYFUNCTION("""COMPUTED_VALUE"""),1119.0)</f>
        <v>1119</v>
      </c>
      <c r="B2910" s="13">
        <f>IFERROR(__xludf.DUMMYFUNCTION("""COMPUTED_VALUE"""),45593.0)</f>
        <v>45593</v>
      </c>
      <c r="C2910" s="12">
        <f>IFERROR(__xludf.DUMMYFUNCTION("""COMPUTED_VALUE"""),142.0)</f>
        <v>142</v>
      </c>
      <c r="D2910" s="12">
        <f>IFERROR(__xludf.DUMMYFUNCTION("""COMPUTED_VALUE"""),15.0)</f>
        <v>15</v>
      </c>
      <c r="E2910" s="12">
        <f>IFERROR(__xludf.DUMMYFUNCTION("""COMPUTED_VALUE"""),6.0)</f>
        <v>6</v>
      </c>
      <c r="F2910" s="12">
        <f>IFERROR(__xludf.DUMMYFUNCTION("""COMPUTED_VALUE"""),2.0)</f>
        <v>2</v>
      </c>
      <c r="G2910" s="15" t="str">
        <f>IFERROR(__xludf.DUMMYFUNCTION("""COMPUTED_VALUE"""),"Completa")</f>
        <v>Completa</v>
      </c>
      <c r="H2910" s="16" t="str">
        <f t="array" ref="H2910">_xlfn.XLOOKUP(D2910,Productos[ID_Producto],Productos[Nombre_Producto])</f>
        <v>Medialunas</v>
      </c>
      <c r="I2910" s="17">
        <f t="array" ref="I2910">_xlfn.XLOOKUP(D2910,Productos[ID_Producto],Productos[Precio_Unitario])</f>
        <v>3.51</v>
      </c>
      <c r="J2910" s="17">
        <f t="shared" si="1"/>
        <v>21.06</v>
      </c>
      <c r="K2910" s="16" t="str">
        <f t="array" ref="K2910">_xlfn.XLOOKUP(C2910,Clientes[ID_Cliente],Clientes[Provincia])</f>
        <v>San Luis</v>
      </c>
      <c r="L2910" s="16" t="str">
        <f t="array" ref="L2910">CONCATENATE(_xlfn.XLOOKUP(C2910,Clientes[ID_Cliente],Clientes[Provincia]),", Argentina")</f>
        <v>San Luis, Argentina</v>
      </c>
      <c r="M2910" s="20" t="str">
        <f t="array" ref="M2910">_xlfn.XLOOKUP(F2910,Metodos_De_Pago[ID_Metodo],Metodos_De_Pago[Metodo])</f>
        <v>Tarjeta de Crédito</v>
      </c>
      <c r="N2910" s="20" t="str">
        <f t="shared" si="2"/>
        <v>2024 10</v>
      </c>
    </row>
    <row r="2911" ht="22.5" customHeight="1">
      <c r="A2911" s="12">
        <f>IFERROR(__xludf.DUMMYFUNCTION("""COMPUTED_VALUE"""),1696.0)</f>
        <v>1696</v>
      </c>
      <c r="B2911" s="13">
        <f>IFERROR(__xludf.DUMMYFUNCTION("""COMPUTED_VALUE"""),45593.0)</f>
        <v>45593</v>
      </c>
      <c r="C2911" s="12">
        <f>IFERROR(__xludf.DUMMYFUNCTION("""COMPUTED_VALUE"""),316.0)</f>
        <v>316</v>
      </c>
      <c r="D2911" s="12">
        <f>IFERROR(__xludf.DUMMYFUNCTION("""COMPUTED_VALUE"""),31.0)</f>
        <v>31</v>
      </c>
      <c r="E2911" s="12">
        <f>IFERROR(__xludf.DUMMYFUNCTION("""COMPUTED_VALUE"""),6.0)</f>
        <v>6</v>
      </c>
      <c r="F2911" s="12">
        <f>IFERROR(__xludf.DUMMYFUNCTION("""COMPUTED_VALUE"""),5.0)</f>
        <v>5</v>
      </c>
      <c r="G2911" s="15" t="str">
        <f>IFERROR(__xludf.DUMMYFUNCTION("""COMPUTED_VALUE"""),"Pendiente")</f>
        <v>Pendiente</v>
      </c>
      <c r="H2911" s="16" t="str">
        <f t="array" ref="H2911">_xlfn.XLOOKUP(D2911,Productos[ID_Producto],Productos[Nombre_Producto])</f>
        <v>Galletitas de agua</v>
      </c>
      <c r="I2911" s="17">
        <f t="array" ref="I2911">_xlfn.XLOOKUP(D2911,Productos[ID_Producto],Productos[Precio_Unitario])</f>
        <v>5.24</v>
      </c>
      <c r="J2911" s="17">
        <f t="shared" si="1"/>
        <v>31.44</v>
      </c>
      <c r="K2911" s="16" t="str">
        <f t="array" ref="K2911">_xlfn.XLOOKUP(C2911,Clientes[ID_Cliente],Clientes[Provincia])</f>
        <v>Córdoba</v>
      </c>
      <c r="L2911" s="16" t="str">
        <f t="array" ref="L2911">CONCATENATE(_xlfn.XLOOKUP(C2911,Clientes[ID_Cliente],Clientes[Provincia]),", Argentina")</f>
        <v>Córdoba, Argentina</v>
      </c>
      <c r="M2911" s="20" t="str">
        <f t="array" ref="M2911">_xlfn.XLOOKUP(F2911,Metodos_De_Pago[ID_Metodo],Metodos_De_Pago[Metodo])</f>
        <v>Transferencia</v>
      </c>
      <c r="N2911" s="20" t="str">
        <f t="shared" si="2"/>
        <v>2024 10</v>
      </c>
    </row>
    <row r="2912" ht="22.5" customHeight="1">
      <c r="A2912" s="12">
        <f>IFERROR(__xludf.DUMMYFUNCTION("""COMPUTED_VALUE"""),1833.0)</f>
        <v>1833</v>
      </c>
      <c r="B2912" s="13">
        <f>IFERROR(__xludf.DUMMYFUNCTION("""COMPUTED_VALUE"""),45593.0)</f>
        <v>45593</v>
      </c>
      <c r="C2912" s="12">
        <f>IFERROR(__xludf.DUMMYFUNCTION("""COMPUTED_VALUE"""),14.0)</f>
        <v>14</v>
      </c>
      <c r="D2912" s="12">
        <f>IFERROR(__xludf.DUMMYFUNCTION("""COMPUTED_VALUE"""),18.0)</f>
        <v>18</v>
      </c>
      <c r="E2912" s="12">
        <f>IFERROR(__xludf.DUMMYFUNCTION("""COMPUTED_VALUE"""),6.0)</f>
        <v>6</v>
      </c>
      <c r="F2912" s="12">
        <f>IFERROR(__xludf.DUMMYFUNCTION("""COMPUTED_VALUE"""),5.0)</f>
        <v>5</v>
      </c>
      <c r="G2912" s="15" t="str">
        <f>IFERROR(__xludf.DUMMYFUNCTION("""COMPUTED_VALUE"""),"Completa")</f>
        <v>Completa</v>
      </c>
      <c r="H2912" s="16" t="str">
        <f t="array" ref="H2912">_xlfn.XLOOKUP(D2912,Productos[ID_Producto],Productos[Nombre_Producto])</f>
        <v>Bananas</v>
      </c>
      <c r="I2912" s="17">
        <f t="array" ref="I2912">_xlfn.XLOOKUP(D2912,Productos[ID_Producto],Productos[Precio_Unitario])</f>
        <v>7.25</v>
      </c>
      <c r="J2912" s="17">
        <f t="shared" si="1"/>
        <v>43.5</v>
      </c>
      <c r="K2912" s="16" t="str">
        <f t="array" ref="K2912">_xlfn.XLOOKUP(C2912,Clientes[ID_Cliente],Clientes[Provincia])</f>
        <v>Buenos Aires</v>
      </c>
      <c r="L2912" s="16" t="str">
        <f t="array" ref="L2912">CONCATENATE(_xlfn.XLOOKUP(C2912,Clientes[ID_Cliente],Clientes[Provincia]),", Argentina")</f>
        <v>Buenos Aires, Argentina</v>
      </c>
      <c r="M2912" s="20" t="str">
        <f t="array" ref="M2912">_xlfn.XLOOKUP(F2912,Metodos_De_Pago[ID_Metodo],Metodos_De_Pago[Metodo])</f>
        <v>Transferencia</v>
      </c>
      <c r="N2912" s="20" t="str">
        <f t="shared" si="2"/>
        <v>2024 10</v>
      </c>
    </row>
    <row r="2913" ht="22.5" customHeight="1">
      <c r="A2913" s="12">
        <f>IFERROR(__xludf.DUMMYFUNCTION("""COMPUTED_VALUE"""),2598.0)</f>
        <v>2598</v>
      </c>
      <c r="B2913" s="13">
        <f>IFERROR(__xludf.DUMMYFUNCTION("""COMPUTED_VALUE"""),45593.0)</f>
        <v>45593</v>
      </c>
      <c r="C2913" s="12">
        <f>IFERROR(__xludf.DUMMYFUNCTION("""COMPUTED_VALUE"""),155.0)</f>
        <v>155</v>
      </c>
      <c r="D2913" s="12">
        <f>IFERROR(__xludf.DUMMYFUNCTION("""COMPUTED_VALUE"""),18.0)</f>
        <v>18</v>
      </c>
      <c r="E2913" s="12">
        <f>IFERROR(__xludf.DUMMYFUNCTION("""COMPUTED_VALUE"""),6.0)</f>
        <v>6</v>
      </c>
      <c r="F2913" s="12">
        <f>IFERROR(__xludf.DUMMYFUNCTION("""COMPUTED_VALUE"""),5.0)</f>
        <v>5</v>
      </c>
      <c r="G2913" s="15" t="str">
        <f>IFERROR(__xludf.DUMMYFUNCTION("""COMPUTED_VALUE"""),"Pendiente")</f>
        <v>Pendiente</v>
      </c>
      <c r="H2913" s="16" t="str">
        <f t="array" ref="H2913">_xlfn.XLOOKUP(D2913,Productos[ID_Producto],Productos[Nombre_Producto])</f>
        <v>Bananas</v>
      </c>
      <c r="I2913" s="17">
        <f t="array" ref="I2913">_xlfn.XLOOKUP(D2913,Productos[ID_Producto],Productos[Precio_Unitario])</f>
        <v>7.25</v>
      </c>
      <c r="J2913" s="17">
        <f t="shared" si="1"/>
        <v>43.5</v>
      </c>
      <c r="K2913" s="16" t="str">
        <f t="array" ref="K2913">_xlfn.XLOOKUP(C2913,Clientes[ID_Cliente],Clientes[Provincia])</f>
        <v>San Luis</v>
      </c>
      <c r="L2913" s="16" t="str">
        <f t="array" ref="L2913">CONCATENATE(_xlfn.XLOOKUP(C2913,Clientes[ID_Cliente],Clientes[Provincia]),", Argentina")</f>
        <v>San Luis, Argentina</v>
      </c>
      <c r="M2913" s="20" t="str">
        <f t="array" ref="M2913">_xlfn.XLOOKUP(F2913,Metodos_De_Pago[ID_Metodo],Metodos_De_Pago[Metodo])</f>
        <v>Transferencia</v>
      </c>
      <c r="N2913" s="20" t="str">
        <f t="shared" si="2"/>
        <v>2024 10</v>
      </c>
    </row>
    <row r="2914" ht="22.5" customHeight="1">
      <c r="A2914" s="12">
        <f>IFERROR(__xludf.DUMMYFUNCTION("""COMPUTED_VALUE"""),32.0)</f>
        <v>32</v>
      </c>
      <c r="B2914" s="13">
        <f>IFERROR(__xludf.DUMMYFUNCTION("""COMPUTED_VALUE"""),45594.0)</f>
        <v>45594</v>
      </c>
      <c r="C2914" s="12">
        <f>IFERROR(__xludf.DUMMYFUNCTION("""COMPUTED_VALUE"""),155.0)</f>
        <v>155</v>
      </c>
      <c r="D2914" s="12">
        <f>IFERROR(__xludf.DUMMYFUNCTION("""COMPUTED_VALUE"""),37.0)</f>
        <v>37</v>
      </c>
      <c r="E2914" s="12">
        <f>IFERROR(__xludf.DUMMYFUNCTION("""COMPUTED_VALUE"""),6.0)</f>
        <v>6</v>
      </c>
      <c r="F2914" s="12">
        <f>IFERROR(__xludf.DUMMYFUNCTION("""COMPUTED_VALUE"""),4.0)</f>
        <v>4</v>
      </c>
      <c r="G2914" s="15" t="str">
        <f>IFERROR(__xludf.DUMMYFUNCTION("""COMPUTED_VALUE"""),"Completa")</f>
        <v>Completa</v>
      </c>
      <c r="H2914" s="16" t="str">
        <f t="array" ref="H2914">_xlfn.XLOOKUP(D2914,Productos[ID_Producto],Productos[Nombre_Producto])</f>
        <v>Garbanzos</v>
      </c>
      <c r="I2914" s="17">
        <f t="array" ref="I2914">_xlfn.XLOOKUP(D2914,Productos[ID_Producto],Productos[Precio_Unitario])</f>
        <v>3.65</v>
      </c>
      <c r="J2914" s="17">
        <f t="shared" si="1"/>
        <v>21.9</v>
      </c>
      <c r="K2914" s="16" t="str">
        <f t="array" ref="K2914">_xlfn.XLOOKUP(C2914,Clientes[ID_Cliente],Clientes[Provincia])</f>
        <v>San Luis</v>
      </c>
      <c r="L2914" s="16" t="str">
        <f t="array" ref="L2914">CONCATENATE(_xlfn.XLOOKUP(C2914,Clientes[ID_Cliente],Clientes[Provincia]),", Argentina")</f>
        <v>San Luis, Argentina</v>
      </c>
      <c r="M2914" s="20" t="str">
        <f t="array" ref="M2914">_xlfn.XLOOKUP(F2914,Metodos_De_Pago[ID_Metodo],Metodos_De_Pago[Metodo])</f>
        <v>Mercado Pago</v>
      </c>
      <c r="N2914" s="20" t="str">
        <f t="shared" si="2"/>
        <v>2024 10</v>
      </c>
    </row>
    <row r="2915" ht="22.5" customHeight="1">
      <c r="A2915" s="12">
        <f>IFERROR(__xludf.DUMMYFUNCTION("""COMPUTED_VALUE"""),759.0)</f>
        <v>759</v>
      </c>
      <c r="B2915" s="13">
        <f>IFERROR(__xludf.DUMMYFUNCTION("""COMPUTED_VALUE"""),45594.0)</f>
        <v>45594</v>
      </c>
      <c r="C2915" s="12">
        <f>IFERROR(__xludf.DUMMYFUNCTION("""COMPUTED_VALUE"""),4.0)</f>
        <v>4</v>
      </c>
      <c r="D2915" s="12">
        <f>IFERROR(__xludf.DUMMYFUNCTION("""COMPUTED_VALUE"""),7.0)</f>
        <v>7</v>
      </c>
      <c r="E2915" s="12">
        <f>IFERROR(__xludf.DUMMYFUNCTION("""COMPUTED_VALUE"""),6.0)</f>
        <v>6</v>
      </c>
      <c r="F2915" s="12">
        <f>IFERROR(__xludf.DUMMYFUNCTION("""COMPUTED_VALUE"""),4.0)</f>
        <v>4</v>
      </c>
      <c r="G2915" s="15" t="str">
        <f>IFERROR(__xludf.DUMMYFUNCTION("""COMPUTED_VALUE"""),"Completa")</f>
        <v>Completa</v>
      </c>
      <c r="H2915" s="16" t="str">
        <f t="array" ref="H2915">_xlfn.XLOOKUP(D2915,Productos[ID_Producto],Productos[Nombre_Producto])</f>
        <v>Chorizo</v>
      </c>
      <c r="I2915" s="17">
        <f t="array" ref="I2915">_xlfn.XLOOKUP(D2915,Productos[ID_Producto],Productos[Precio_Unitario])</f>
        <v>11.25</v>
      </c>
      <c r="J2915" s="17">
        <f t="shared" si="1"/>
        <v>67.5</v>
      </c>
      <c r="K2915" s="16" t="str">
        <f t="array" ref="K2915">_xlfn.XLOOKUP(C2915,Clientes[ID_Cliente],Clientes[Provincia])</f>
        <v>Buenos Aires</v>
      </c>
      <c r="L2915" s="16" t="str">
        <f t="array" ref="L2915">CONCATENATE(_xlfn.XLOOKUP(C2915,Clientes[ID_Cliente],Clientes[Provincia]),", Argentina")</f>
        <v>Buenos Aires, Argentina</v>
      </c>
      <c r="M2915" s="20" t="str">
        <f t="array" ref="M2915">_xlfn.XLOOKUP(F2915,Metodos_De_Pago[ID_Metodo],Metodos_De_Pago[Metodo])</f>
        <v>Mercado Pago</v>
      </c>
      <c r="N2915" s="20" t="str">
        <f t="shared" si="2"/>
        <v>2024 10</v>
      </c>
    </row>
    <row r="2916" ht="22.5" customHeight="1">
      <c r="A2916" s="12">
        <f>IFERROR(__xludf.DUMMYFUNCTION("""COMPUTED_VALUE"""),1668.0)</f>
        <v>1668</v>
      </c>
      <c r="B2916" s="13">
        <f>IFERROR(__xludf.DUMMYFUNCTION("""COMPUTED_VALUE"""),45594.0)</f>
        <v>45594</v>
      </c>
      <c r="C2916" s="12">
        <f>IFERROR(__xludf.DUMMYFUNCTION("""COMPUTED_VALUE"""),55.0)</f>
        <v>55</v>
      </c>
      <c r="D2916" s="12">
        <f>IFERROR(__xludf.DUMMYFUNCTION("""COMPUTED_VALUE"""),26.0)</f>
        <v>26</v>
      </c>
      <c r="E2916" s="12">
        <f>IFERROR(__xludf.DUMMYFUNCTION("""COMPUTED_VALUE"""),6.0)</f>
        <v>6</v>
      </c>
      <c r="F2916" s="12">
        <f>IFERROR(__xludf.DUMMYFUNCTION("""COMPUTED_VALUE"""),4.0)</f>
        <v>4</v>
      </c>
      <c r="G2916" s="15" t="str">
        <f>IFERROR(__xludf.DUMMYFUNCTION("""COMPUTED_VALUE"""),"Completa")</f>
        <v>Completa</v>
      </c>
      <c r="H2916" s="16" t="str">
        <f t="array" ref="H2916">_xlfn.XLOOKUP(D2916,Productos[ID_Producto],Productos[Nombre_Producto])</f>
        <v>Hamburgesas congeladas</v>
      </c>
      <c r="I2916" s="17">
        <f t="array" ref="I2916">_xlfn.XLOOKUP(D2916,Productos[ID_Producto],Productos[Precio_Unitario])</f>
        <v>9.54</v>
      </c>
      <c r="J2916" s="17">
        <f t="shared" si="1"/>
        <v>57.24</v>
      </c>
      <c r="K2916" s="16" t="str">
        <f t="array" ref="K2916">_xlfn.XLOOKUP(C2916,Clientes[ID_Cliente],Clientes[Provincia])</f>
        <v>Neuquén</v>
      </c>
      <c r="L2916" s="16" t="str">
        <f t="array" ref="L2916">CONCATENATE(_xlfn.XLOOKUP(C2916,Clientes[ID_Cliente],Clientes[Provincia]),", Argentina")</f>
        <v>Neuquén, Argentina</v>
      </c>
      <c r="M2916" s="20" t="str">
        <f t="array" ref="M2916">_xlfn.XLOOKUP(F2916,Metodos_De_Pago[ID_Metodo],Metodos_De_Pago[Metodo])</f>
        <v>Mercado Pago</v>
      </c>
      <c r="N2916" s="20" t="str">
        <f t="shared" si="2"/>
        <v>2024 10</v>
      </c>
    </row>
    <row r="2917" ht="22.5" customHeight="1">
      <c r="A2917" s="12">
        <f>IFERROR(__xludf.DUMMYFUNCTION("""COMPUTED_VALUE"""),125.0)</f>
        <v>125</v>
      </c>
      <c r="B2917" s="13">
        <f>IFERROR(__xludf.DUMMYFUNCTION("""COMPUTED_VALUE"""),45595.0)</f>
        <v>45595</v>
      </c>
      <c r="C2917" s="12">
        <f>IFERROR(__xludf.DUMMYFUNCTION("""COMPUTED_VALUE"""),190.0)</f>
        <v>190</v>
      </c>
      <c r="D2917" s="12">
        <f>IFERROR(__xludf.DUMMYFUNCTION("""COMPUTED_VALUE"""),3.0)</f>
        <v>3</v>
      </c>
      <c r="E2917" s="12">
        <f>IFERROR(__xludf.DUMMYFUNCTION("""COMPUTED_VALUE"""),6.0)</f>
        <v>6</v>
      </c>
      <c r="F2917" s="12">
        <f>IFERROR(__xludf.DUMMYFUNCTION("""COMPUTED_VALUE"""),5.0)</f>
        <v>5</v>
      </c>
      <c r="G2917" s="15" t="str">
        <f>IFERROR(__xludf.DUMMYFUNCTION("""COMPUTED_VALUE"""),"Pendiente")</f>
        <v>Pendiente</v>
      </c>
      <c r="H2917" s="16" t="str">
        <f t="array" ref="H2917">_xlfn.XLOOKUP(D2917,Productos[ID_Producto],Productos[Nombre_Producto])</f>
        <v>Queso cremoso</v>
      </c>
      <c r="I2917" s="17">
        <f t="array" ref="I2917">_xlfn.XLOOKUP(D2917,Productos[ID_Producto],Productos[Precio_Unitario])</f>
        <v>17.23</v>
      </c>
      <c r="J2917" s="17">
        <f t="shared" si="1"/>
        <v>103.38</v>
      </c>
      <c r="K2917" s="16" t="str">
        <f t="array" ref="K2917">_xlfn.XLOOKUP(C2917,Clientes[ID_Cliente],Clientes[Provincia])</f>
        <v>Chaco</v>
      </c>
      <c r="L2917" s="16" t="str">
        <f t="array" ref="L2917">CONCATENATE(_xlfn.XLOOKUP(C2917,Clientes[ID_Cliente],Clientes[Provincia]),", Argentina")</f>
        <v>Chaco, Argentina</v>
      </c>
      <c r="M2917" s="20" t="str">
        <f t="array" ref="M2917">_xlfn.XLOOKUP(F2917,Metodos_De_Pago[ID_Metodo],Metodos_De_Pago[Metodo])</f>
        <v>Transferencia</v>
      </c>
      <c r="N2917" s="20" t="str">
        <f t="shared" si="2"/>
        <v>2024 10</v>
      </c>
    </row>
    <row r="2918" ht="22.5" customHeight="1">
      <c r="A2918" s="12">
        <f>IFERROR(__xludf.DUMMYFUNCTION("""COMPUTED_VALUE"""),1193.0)</f>
        <v>1193</v>
      </c>
      <c r="B2918" s="13">
        <f>IFERROR(__xludf.DUMMYFUNCTION("""COMPUTED_VALUE"""),45595.0)</f>
        <v>45595</v>
      </c>
      <c r="C2918" s="12">
        <f>IFERROR(__xludf.DUMMYFUNCTION("""COMPUTED_VALUE"""),217.0)</f>
        <v>217</v>
      </c>
      <c r="D2918" s="12">
        <f>IFERROR(__xludf.DUMMYFUNCTION("""COMPUTED_VALUE"""),5.0)</f>
        <v>5</v>
      </c>
      <c r="E2918" s="12">
        <f>IFERROR(__xludf.DUMMYFUNCTION("""COMPUTED_VALUE"""),6.0)</f>
        <v>6</v>
      </c>
      <c r="F2918" s="12">
        <f>IFERROR(__xludf.DUMMYFUNCTION("""COMPUTED_VALUE"""),4.0)</f>
        <v>4</v>
      </c>
      <c r="G2918" s="15" t="str">
        <f>IFERROR(__xludf.DUMMYFUNCTION("""COMPUTED_VALUE"""),"Completa")</f>
        <v>Completa</v>
      </c>
      <c r="H2918" s="16" t="str">
        <f t="array" ref="H2918">_xlfn.XLOOKUP(D2918,Productos[ID_Producto],Productos[Nombre_Producto])</f>
        <v>Manteca</v>
      </c>
      <c r="I2918" s="17">
        <f t="array" ref="I2918">_xlfn.XLOOKUP(D2918,Productos[ID_Producto],Productos[Precio_Unitario])</f>
        <v>5.65</v>
      </c>
      <c r="J2918" s="17">
        <f t="shared" si="1"/>
        <v>33.9</v>
      </c>
      <c r="K2918" s="16" t="str">
        <f t="array" ref="K2918">_xlfn.XLOOKUP(C2918,Clientes[ID_Cliente],Clientes[Provincia])</f>
        <v>Córdoba</v>
      </c>
      <c r="L2918" s="16" t="str">
        <f t="array" ref="L2918">CONCATENATE(_xlfn.XLOOKUP(C2918,Clientes[ID_Cliente],Clientes[Provincia]),", Argentina")</f>
        <v>Córdoba, Argentina</v>
      </c>
      <c r="M2918" s="20" t="str">
        <f t="array" ref="M2918">_xlfn.XLOOKUP(F2918,Metodos_De_Pago[ID_Metodo],Metodos_De_Pago[Metodo])</f>
        <v>Mercado Pago</v>
      </c>
      <c r="N2918" s="20" t="str">
        <f t="shared" si="2"/>
        <v>2024 10</v>
      </c>
    </row>
    <row r="2919" ht="22.5" customHeight="1">
      <c r="A2919" s="12">
        <f>IFERROR(__xludf.DUMMYFUNCTION("""COMPUTED_VALUE"""),109.0)</f>
        <v>109</v>
      </c>
      <c r="B2919" s="13">
        <f>IFERROR(__xludf.DUMMYFUNCTION("""COMPUTED_VALUE"""),45596.0)</f>
        <v>45596</v>
      </c>
      <c r="C2919" s="12">
        <f>IFERROR(__xludf.DUMMYFUNCTION("""COMPUTED_VALUE"""),285.0)</f>
        <v>285</v>
      </c>
      <c r="D2919" s="12">
        <f>IFERROR(__xludf.DUMMYFUNCTION("""COMPUTED_VALUE"""),34.0)</f>
        <v>34</v>
      </c>
      <c r="E2919" s="12">
        <f>IFERROR(__xludf.DUMMYFUNCTION("""COMPUTED_VALUE"""),6.0)</f>
        <v>6</v>
      </c>
      <c r="F2919" s="12">
        <f>IFERROR(__xludf.DUMMYFUNCTION("""COMPUTED_VALUE"""),2.0)</f>
        <v>2</v>
      </c>
      <c r="G2919" s="15" t="str">
        <f>IFERROR(__xludf.DUMMYFUNCTION("""COMPUTED_VALUE"""),"Completa")</f>
        <v>Completa</v>
      </c>
      <c r="H2919" s="16" t="str">
        <f t="array" ref="H2919">_xlfn.XLOOKUP(D2919,Productos[ID_Producto],Productos[Nombre_Producto])</f>
        <v>Maníes</v>
      </c>
      <c r="I2919" s="17">
        <f t="array" ref="I2919">_xlfn.XLOOKUP(D2919,Productos[ID_Producto],Productos[Precio_Unitario])</f>
        <v>5.45</v>
      </c>
      <c r="J2919" s="17">
        <f t="shared" si="1"/>
        <v>32.7</v>
      </c>
      <c r="K2919" s="16" t="str">
        <f t="array" ref="K2919">_xlfn.XLOOKUP(C2919,Clientes[ID_Cliente],Clientes[Provincia])</f>
        <v>Neuquén</v>
      </c>
      <c r="L2919" s="16" t="str">
        <f t="array" ref="L2919">CONCATENATE(_xlfn.XLOOKUP(C2919,Clientes[ID_Cliente],Clientes[Provincia]),", Argentina")</f>
        <v>Neuquén, Argentina</v>
      </c>
      <c r="M2919" s="20" t="str">
        <f t="array" ref="M2919">_xlfn.XLOOKUP(F2919,Metodos_De_Pago[ID_Metodo],Metodos_De_Pago[Metodo])</f>
        <v>Tarjeta de Crédito</v>
      </c>
      <c r="N2919" s="20" t="str">
        <f t="shared" si="2"/>
        <v>2024 10</v>
      </c>
    </row>
    <row r="2920" ht="22.5" customHeight="1">
      <c r="A2920" s="12">
        <f>IFERROR(__xludf.DUMMYFUNCTION("""COMPUTED_VALUE"""),1644.0)</f>
        <v>1644</v>
      </c>
      <c r="B2920" s="13">
        <f>IFERROR(__xludf.DUMMYFUNCTION("""COMPUTED_VALUE"""),45596.0)</f>
        <v>45596</v>
      </c>
      <c r="C2920" s="12">
        <f>IFERROR(__xludf.DUMMYFUNCTION("""COMPUTED_VALUE"""),111.0)</f>
        <v>111</v>
      </c>
      <c r="D2920" s="12">
        <f>IFERROR(__xludf.DUMMYFUNCTION("""COMPUTED_VALUE"""),32.0)</f>
        <v>32</v>
      </c>
      <c r="E2920" s="12">
        <f>IFERROR(__xludf.DUMMYFUNCTION("""COMPUTED_VALUE"""),6.0)</f>
        <v>6</v>
      </c>
      <c r="F2920" s="12">
        <f>IFERROR(__xludf.DUMMYFUNCTION("""COMPUTED_VALUE"""),5.0)</f>
        <v>5</v>
      </c>
      <c r="G2920" s="15" t="str">
        <f>IFERROR(__xludf.DUMMYFUNCTION("""COMPUTED_VALUE"""),"Completa")</f>
        <v>Completa</v>
      </c>
      <c r="H2920" s="16" t="str">
        <f t="array" ref="H2920">_xlfn.XLOOKUP(D2920,Productos[ID_Producto],Productos[Nombre_Producto])</f>
        <v>Galletitas de chocolate</v>
      </c>
      <c r="I2920" s="17">
        <f t="array" ref="I2920">_xlfn.XLOOKUP(D2920,Productos[ID_Producto],Productos[Precio_Unitario])</f>
        <v>6.25</v>
      </c>
      <c r="J2920" s="17">
        <f t="shared" si="1"/>
        <v>37.5</v>
      </c>
      <c r="K2920" s="16" t="str">
        <f t="array" ref="K2920">_xlfn.XLOOKUP(C2920,Clientes[ID_Cliente],Clientes[Provincia])</f>
        <v>San Luis</v>
      </c>
      <c r="L2920" s="16" t="str">
        <f t="array" ref="L2920">CONCATENATE(_xlfn.XLOOKUP(C2920,Clientes[ID_Cliente],Clientes[Provincia]),", Argentina")</f>
        <v>San Luis, Argentina</v>
      </c>
      <c r="M2920" s="20" t="str">
        <f t="array" ref="M2920">_xlfn.XLOOKUP(F2920,Metodos_De_Pago[ID_Metodo],Metodos_De_Pago[Metodo])</f>
        <v>Transferencia</v>
      </c>
      <c r="N2920" s="20" t="str">
        <f t="shared" si="2"/>
        <v>2024 10</v>
      </c>
    </row>
    <row r="2921" ht="22.5" customHeight="1">
      <c r="A2921" s="12">
        <f>IFERROR(__xludf.DUMMYFUNCTION("""COMPUTED_VALUE"""),2843.0)</f>
        <v>2843</v>
      </c>
      <c r="B2921" s="13">
        <f>IFERROR(__xludf.DUMMYFUNCTION("""COMPUTED_VALUE"""),45596.0)</f>
        <v>45596</v>
      </c>
      <c r="C2921" s="12">
        <f>IFERROR(__xludf.DUMMYFUNCTION("""COMPUTED_VALUE"""),3.0)</f>
        <v>3</v>
      </c>
      <c r="D2921" s="12">
        <f>IFERROR(__xludf.DUMMYFUNCTION("""COMPUTED_VALUE"""),32.0)</f>
        <v>32</v>
      </c>
      <c r="E2921" s="12">
        <f>IFERROR(__xludf.DUMMYFUNCTION("""COMPUTED_VALUE"""),6.0)</f>
        <v>6</v>
      </c>
      <c r="F2921" s="12">
        <f>IFERROR(__xludf.DUMMYFUNCTION("""COMPUTED_VALUE"""),5.0)</f>
        <v>5</v>
      </c>
      <c r="G2921" s="15" t="str">
        <f>IFERROR(__xludf.DUMMYFUNCTION("""COMPUTED_VALUE"""),"Completa")</f>
        <v>Completa</v>
      </c>
      <c r="H2921" s="16" t="str">
        <f t="array" ref="H2921">_xlfn.XLOOKUP(D2921,Productos[ID_Producto],Productos[Nombre_Producto])</f>
        <v>Galletitas de chocolate</v>
      </c>
      <c r="I2921" s="17">
        <f t="array" ref="I2921">_xlfn.XLOOKUP(D2921,Productos[ID_Producto],Productos[Precio_Unitario])</f>
        <v>6.25</v>
      </c>
      <c r="J2921" s="17">
        <f t="shared" si="1"/>
        <v>37.5</v>
      </c>
      <c r="K2921" s="16" t="str">
        <f t="array" ref="K2921">_xlfn.XLOOKUP(C2921,Clientes[ID_Cliente],Clientes[Provincia])</f>
        <v>Neuquén</v>
      </c>
      <c r="L2921" s="16" t="str">
        <f t="array" ref="L2921">CONCATENATE(_xlfn.XLOOKUP(C2921,Clientes[ID_Cliente],Clientes[Provincia]),", Argentina")</f>
        <v>Neuquén, Argentina</v>
      </c>
      <c r="M2921" s="20" t="str">
        <f t="array" ref="M2921">_xlfn.XLOOKUP(F2921,Metodos_De_Pago[ID_Metodo],Metodos_De_Pago[Metodo])</f>
        <v>Transferencia</v>
      </c>
      <c r="N2921" s="20" t="str">
        <f t="shared" si="2"/>
        <v>2024 10</v>
      </c>
    </row>
    <row r="2922" ht="22.5" customHeight="1">
      <c r="A2922" s="12">
        <f>IFERROR(__xludf.DUMMYFUNCTION("""COMPUTED_VALUE"""),2143.0)</f>
        <v>2143</v>
      </c>
      <c r="B2922" s="13">
        <f>IFERROR(__xludf.DUMMYFUNCTION("""COMPUTED_VALUE"""),45597.0)</f>
        <v>45597</v>
      </c>
      <c r="C2922" s="12">
        <f>IFERROR(__xludf.DUMMYFUNCTION("""COMPUTED_VALUE"""),54.0)</f>
        <v>54</v>
      </c>
      <c r="D2922" s="12">
        <f>IFERROR(__xludf.DUMMYFUNCTION("""COMPUTED_VALUE"""),38.0)</f>
        <v>38</v>
      </c>
      <c r="E2922" s="12">
        <f>IFERROR(__xludf.DUMMYFUNCTION("""COMPUTED_VALUE"""),6.0)</f>
        <v>6</v>
      </c>
      <c r="F2922" s="12">
        <f>IFERROR(__xludf.DUMMYFUNCTION("""COMPUTED_VALUE"""),4.0)</f>
        <v>4</v>
      </c>
      <c r="G2922" s="15" t="str">
        <f>IFERROR(__xludf.DUMMYFUNCTION("""COMPUTED_VALUE"""),"Completa")</f>
        <v>Completa</v>
      </c>
      <c r="H2922" s="16" t="str">
        <f t="array" ref="H2922">_xlfn.XLOOKUP(D2922,Productos[ID_Producto],Productos[Nombre_Producto])</f>
        <v>Atún enlatado</v>
      </c>
      <c r="I2922" s="17">
        <f t="array" ref="I2922">_xlfn.XLOOKUP(D2922,Productos[ID_Producto],Productos[Precio_Unitario])</f>
        <v>6.21</v>
      </c>
      <c r="J2922" s="17">
        <f t="shared" si="1"/>
        <v>37.26</v>
      </c>
      <c r="K2922" s="16" t="str">
        <f t="array" ref="K2922">_xlfn.XLOOKUP(C2922,Clientes[ID_Cliente],Clientes[Provincia])</f>
        <v>Buenos Aires</v>
      </c>
      <c r="L2922" s="16" t="str">
        <f t="array" ref="L2922">CONCATENATE(_xlfn.XLOOKUP(C2922,Clientes[ID_Cliente],Clientes[Provincia]),", Argentina")</f>
        <v>Buenos Aires, Argentina</v>
      </c>
      <c r="M2922" s="20" t="str">
        <f t="array" ref="M2922">_xlfn.XLOOKUP(F2922,Metodos_De_Pago[ID_Metodo],Metodos_De_Pago[Metodo])</f>
        <v>Mercado Pago</v>
      </c>
      <c r="N2922" s="20" t="str">
        <f t="shared" si="2"/>
        <v>2024 11</v>
      </c>
    </row>
    <row r="2923" ht="22.5" customHeight="1">
      <c r="A2923" s="12">
        <f>IFERROR(__xludf.DUMMYFUNCTION("""COMPUTED_VALUE"""),1304.0)</f>
        <v>1304</v>
      </c>
      <c r="B2923" s="13">
        <f>IFERROR(__xludf.DUMMYFUNCTION("""COMPUTED_VALUE"""),45598.0)</f>
        <v>45598</v>
      </c>
      <c r="C2923" s="12">
        <f>IFERROR(__xludf.DUMMYFUNCTION("""COMPUTED_VALUE"""),19.0)</f>
        <v>19</v>
      </c>
      <c r="D2923" s="12">
        <f>IFERROR(__xludf.DUMMYFUNCTION("""COMPUTED_VALUE"""),21.0)</f>
        <v>21</v>
      </c>
      <c r="E2923" s="12">
        <f>IFERROR(__xludf.DUMMYFUNCTION("""COMPUTED_VALUE"""),6.0)</f>
        <v>6</v>
      </c>
      <c r="F2923" s="12">
        <f>IFERROR(__xludf.DUMMYFUNCTION("""COMPUTED_VALUE"""),5.0)</f>
        <v>5</v>
      </c>
      <c r="G2923" s="15" t="str">
        <f>IFERROR(__xludf.DUMMYFUNCTION("""COMPUTED_VALUE"""),"Completa")</f>
        <v>Completa</v>
      </c>
      <c r="H2923" s="16" t="str">
        <f t="array" ref="H2923">_xlfn.XLOOKUP(D2923,Productos[ID_Producto],Productos[Nombre_Producto])</f>
        <v>Zanahorias</v>
      </c>
      <c r="I2923" s="17">
        <f t="array" ref="I2923">_xlfn.XLOOKUP(D2923,Productos[ID_Producto],Productos[Precio_Unitario])</f>
        <v>3.25</v>
      </c>
      <c r="J2923" s="17">
        <f t="shared" si="1"/>
        <v>19.5</v>
      </c>
      <c r="K2923" s="16" t="str">
        <f t="array" ref="K2923">_xlfn.XLOOKUP(C2923,Clientes[ID_Cliente],Clientes[Provincia])</f>
        <v>Córdoba</v>
      </c>
      <c r="L2923" s="16" t="str">
        <f t="array" ref="L2923">CONCATENATE(_xlfn.XLOOKUP(C2923,Clientes[ID_Cliente],Clientes[Provincia]),", Argentina")</f>
        <v>Córdoba, Argentina</v>
      </c>
      <c r="M2923" s="20" t="str">
        <f t="array" ref="M2923">_xlfn.XLOOKUP(F2923,Metodos_De_Pago[ID_Metodo],Metodos_De_Pago[Metodo])</f>
        <v>Transferencia</v>
      </c>
      <c r="N2923" s="20" t="str">
        <f t="shared" si="2"/>
        <v>2024 11</v>
      </c>
    </row>
    <row r="2924" ht="22.5" customHeight="1">
      <c r="A2924" s="12">
        <f>IFERROR(__xludf.DUMMYFUNCTION("""COMPUTED_VALUE"""),775.0)</f>
        <v>775</v>
      </c>
      <c r="B2924" s="13">
        <f>IFERROR(__xludf.DUMMYFUNCTION("""COMPUTED_VALUE"""),45599.0)</f>
        <v>45599</v>
      </c>
      <c r="C2924" s="12">
        <f>IFERROR(__xludf.DUMMYFUNCTION("""COMPUTED_VALUE"""),71.0)</f>
        <v>71</v>
      </c>
      <c r="D2924" s="12">
        <f>IFERROR(__xludf.DUMMYFUNCTION("""COMPUTED_VALUE"""),17.0)</f>
        <v>17</v>
      </c>
      <c r="E2924" s="12">
        <f>IFERROR(__xludf.DUMMYFUNCTION("""COMPUTED_VALUE"""),6.0)</f>
        <v>6</v>
      </c>
      <c r="F2924" s="12">
        <f>IFERROR(__xludf.DUMMYFUNCTION("""COMPUTED_VALUE"""),2.0)</f>
        <v>2</v>
      </c>
      <c r="G2924" s="15" t="str">
        <f>IFERROR(__xludf.DUMMYFUNCTION("""COMPUTED_VALUE"""),"Completa")</f>
        <v>Completa</v>
      </c>
      <c r="H2924" s="16" t="str">
        <f t="array" ref="H2924">_xlfn.XLOOKUP(D2924,Productos[ID_Producto],Productos[Nombre_Producto])</f>
        <v>Manzanas</v>
      </c>
      <c r="I2924" s="17">
        <f t="array" ref="I2924">_xlfn.XLOOKUP(D2924,Productos[ID_Producto],Productos[Precio_Unitario])</f>
        <v>6.54</v>
      </c>
      <c r="J2924" s="17">
        <f t="shared" si="1"/>
        <v>39.24</v>
      </c>
      <c r="K2924" s="16" t="str">
        <f t="array" ref="K2924">_xlfn.XLOOKUP(C2924,Clientes[ID_Cliente],Clientes[Provincia])</f>
        <v>Buenos Aires</v>
      </c>
      <c r="L2924" s="16" t="str">
        <f t="array" ref="L2924">CONCATENATE(_xlfn.XLOOKUP(C2924,Clientes[ID_Cliente],Clientes[Provincia]),", Argentina")</f>
        <v>Buenos Aires, Argentina</v>
      </c>
      <c r="M2924" s="20" t="str">
        <f t="array" ref="M2924">_xlfn.XLOOKUP(F2924,Metodos_De_Pago[ID_Metodo],Metodos_De_Pago[Metodo])</f>
        <v>Tarjeta de Crédito</v>
      </c>
      <c r="N2924" s="20" t="str">
        <f t="shared" si="2"/>
        <v>2024 11</v>
      </c>
    </row>
    <row r="2925" ht="22.5" customHeight="1">
      <c r="A2925" s="12">
        <f>IFERROR(__xludf.DUMMYFUNCTION("""COMPUTED_VALUE"""),1161.0)</f>
        <v>1161</v>
      </c>
      <c r="B2925" s="13">
        <f>IFERROR(__xludf.DUMMYFUNCTION("""COMPUTED_VALUE"""),45599.0)</f>
        <v>45599</v>
      </c>
      <c r="C2925" s="12">
        <f>IFERROR(__xludf.DUMMYFUNCTION("""COMPUTED_VALUE"""),277.0)</f>
        <v>277</v>
      </c>
      <c r="D2925" s="12">
        <f>IFERROR(__xludf.DUMMYFUNCTION("""COMPUTED_VALUE"""),26.0)</f>
        <v>26</v>
      </c>
      <c r="E2925" s="12">
        <f>IFERROR(__xludf.DUMMYFUNCTION("""COMPUTED_VALUE"""),6.0)</f>
        <v>6</v>
      </c>
      <c r="F2925" s="12">
        <f>IFERROR(__xludf.DUMMYFUNCTION("""COMPUTED_VALUE"""),4.0)</f>
        <v>4</v>
      </c>
      <c r="G2925" s="15" t="str">
        <f>IFERROR(__xludf.DUMMYFUNCTION("""COMPUTED_VALUE"""),"Completa")</f>
        <v>Completa</v>
      </c>
      <c r="H2925" s="16" t="str">
        <f t="array" ref="H2925">_xlfn.XLOOKUP(D2925,Productos[ID_Producto],Productos[Nombre_Producto])</f>
        <v>Hamburgesas congeladas</v>
      </c>
      <c r="I2925" s="17">
        <f t="array" ref="I2925">_xlfn.XLOOKUP(D2925,Productos[ID_Producto],Productos[Precio_Unitario])</f>
        <v>9.54</v>
      </c>
      <c r="J2925" s="17">
        <f t="shared" si="1"/>
        <v>57.24</v>
      </c>
      <c r="K2925" s="16" t="str">
        <f t="array" ref="K2925">_xlfn.XLOOKUP(C2925,Clientes[ID_Cliente],Clientes[Provincia])</f>
        <v>Neuquén</v>
      </c>
      <c r="L2925" s="16" t="str">
        <f t="array" ref="L2925">CONCATENATE(_xlfn.XLOOKUP(C2925,Clientes[ID_Cliente],Clientes[Provincia]),", Argentina")</f>
        <v>Neuquén, Argentina</v>
      </c>
      <c r="M2925" s="20" t="str">
        <f t="array" ref="M2925">_xlfn.XLOOKUP(F2925,Metodos_De_Pago[ID_Metodo],Metodos_De_Pago[Metodo])</f>
        <v>Mercado Pago</v>
      </c>
      <c r="N2925" s="20" t="str">
        <f t="shared" si="2"/>
        <v>2024 11</v>
      </c>
    </row>
    <row r="2926" ht="22.5" customHeight="1">
      <c r="A2926" s="12">
        <f>IFERROR(__xludf.DUMMYFUNCTION("""COMPUTED_VALUE"""),2011.0)</f>
        <v>2011</v>
      </c>
      <c r="B2926" s="13">
        <f>IFERROR(__xludf.DUMMYFUNCTION("""COMPUTED_VALUE"""),45599.0)</f>
        <v>45599</v>
      </c>
      <c r="C2926" s="12">
        <f>IFERROR(__xludf.DUMMYFUNCTION("""COMPUTED_VALUE"""),322.0)</f>
        <v>322</v>
      </c>
      <c r="D2926" s="12">
        <f>IFERROR(__xludf.DUMMYFUNCTION("""COMPUTED_VALUE"""),8.0)</f>
        <v>8</v>
      </c>
      <c r="E2926" s="12">
        <f>IFERROR(__xludf.DUMMYFUNCTION("""COMPUTED_VALUE"""),6.0)</f>
        <v>6</v>
      </c>
      <c r="F2926" s="12">
        <f>IFERROR(__xludf.DUMMYFUNCTION("""COMPUTED_VALUE"""),3.0)</f>
        <v>3</v>
      </c>
      <c r="G2926" s="15" t="str">
        <f>IFERROR(__xludf.DUMMYFUNCTION("""COMPUTED_VALUE"""),"Pendiente")</f>
        <v>Pendiente</v>
      </c>
      <c r="H2926" s="16" t="str">
        <f t="array" ref="H2926">_xlfn.XLOOKUP(D2926,Productos[ID_Producto],Productos[Nombre_Producto])</f>
        <v>Milanesa</v>
      </c>
      <c r="I2926" s="17">
        <f t="array" ref="I2926">_xlfn.XLOOKUP(D2926,Productos[ID_Producto],Productos[Precio_Unitario])</f>
        <v>16.21</v>
      </c>
      <c r="J2926" s="17">
        <f t="shared" si="1"/>
        <v>97.26</v>
      </c>
      <c r="K2926" s="16" t="str">
        <f t="array" ref="K2926">_xlfn.XLOOKUP(C2926,Clientes[ID_Cliente],Clientes[Provincia])</f>
        <v>Chaco</v>
      </c>
      <c r="L2926" s="16" t="str">
        <f t="array" ref="L2926">CONCATENATE(_xlfn.XLOOKUP(C2926,Clientes[ID_Cliente],Clientes[Provincia]),", Argentina")</f>
        <v>Chaco, Argentina</v>
      </c>
      <c r="M2926" s="20" t="str">
        <f t="array" ref="M2926">_xlfn.XLOOKUP(F2926,Metodos_De_Pago[ID_Metodo],Metodos_De_Pago[Metodo])</f>
        <v>Tarjeta de Débito</v>
      </c>
      <c r="N2926" s="20" t="str">
        <f t="shared" si="2"/>
        <v>2024 11</v>
      </c>
    </row>
    <row r="2927" ht="22.5" customHeight="1">
      <c r="A2927" s="12">
        <f>IFERROR(__xludf.DUMMYFUNCTION("""COMPUTED_VALUE"""),20.0)</f>
        <v>20</v>
      </c>
      <c r="B2927" s="13">
        <f>IFERROR(__xludf.DUMMYFUNCTION("""COMPUTED_VALUE"""),45600.0)</f>
        <v>45600</v>
      </c>
      <c r="C2927" s="12">
        <f>IFERROR(__xludf.DUMMYFUNCTION("""COMPUTED_VALUE"""),122.0)</f>
        <v>122</v>
      </c>
      <c r="D2927" s="12">
        <f>IFERROR(__xludf.DUMMYFUNCTION("""COMPUTED_VALUE"""),7.0)</f>
        <v>7</v>
      </c>
      <c r="E2927" s="12">
        <f>IFERROR(__xludf.DUMMYFUNCTION("""COMPUTED_VALUE"""),6.0)</f>
        <v>6</v>
      </c>
      <c r="F2927" s="12">
        <f>IFERROR(__xludf.DUMMYFUNCTION("""COMPUTED_VALUE"""),2.0)</f>
        <v>2</v>
      </c>
      <c r="G2927" s="15" t="str">
        <f>IFERROR(__xludf.DUMMYFUNCTION("""COMPUTED_VALUE"""),"Completa")</f>
        <v>Completa</v>
      </c>
      <c r="H2927" s="16" t="str">
        <f t="array" ref="H2927">_xlfn.XLOOKUP(D2927,Productos[ID_Producto],Productos[Nombre_Producto])</f>
        <v>Chorizo</v>
      </c>
      <c r="I2927" s="17">
        <f t="array" ref="I2927">_xlfn.XLOOKUP(D2927,Productos[ID_Producto],Productos[Precio_Unitario])</f>
        <v>11.25</v>
      </c>
      <c r="J2927" s="17">
        <f t="shared" si="1"/>
        <v>67.5</v>
      </c>
      <c r="K2927" s="16" t="str">
        <f t="array" ref="K2927">_xlfn.XLOOKUP(C2927,Clientes[ID_Cliente],Clientes[Provincia])</f>
        <v>Córdoba</v>
      </c>
      <c r="L2927" s="16" t="str">
        <f t="array" ref="L2927">CONCATENATE(_xlfn.XLOOKUP(C2927,Clientes[ID_Cliente],Clientes[Provincia]),", Argentina")</f>
        <v>Córdoba, Argentina</v>
      </c>
      <c r="M2927" s="20" t="str">
        <f t="array" ref="M2927">_xlfn.XLOOKUP(F2927,Metodos_De_Pago[ID_Metodo],Metodos_De_Pago[Metodo])</f>
        <v>Tarjeta de Crédito</v>
      </c>
      <c r="N2927" s="20" t="str">
        <f t="shared" si="2"/>
        <v>2024 11</v>
      </c>
    </row>
    <row r="2928" ht="22.5" customHeight="1">
      <c r="A2928" s="12">
        <f>IFERROR(__xludf.DUMMYFUNCTION("""COMPUTED_VALUE"""),2030.0)</f>
        <v>2030</v>
      </c>
      <c r="B2928" s="13">
        <f>IFERROR(__xludf.DUMMYFUNCTION("""COMPUTED_VALUE"""),45601.0)</f>
        <v>45601</v>
      </c>
      <c r="C2928" s="12">
        <f>IFERROR(__xludf.DUMMYFUNCTION("""COMPUTED_VALUE"""),70.0)</f>
        <v>70</v>
      </c>
      <c r="D2928" s="12">
        <f>IFERROR(__xludf.DUMMYFUNCTION("""COMPUTED_VALUE"""),1.0)</f>
        <v>1</v>
      </c>
      <c r="E2928" s="12">
        <f>IFERROR(__xludf.DUMMYFUNCTION("""COMPUTED_VALUE"""),6.0)</f>
        <v>6</v>
      </c>
      <c r="F2928" s="12">
        <f>IFERROR(__xludf.DUMMYFUNCTION("""COMPUTED_VALUE"""),5.0)</f>
        <v>5</v>
      </c>
      <c r="G2928" s="15" t="str">
        <f>IFERROR(__xludf.DUMMYFUNCTION("""COMPUTED_VALUE"""),"Pendiente")</f>
        <v>Pendiente</v>
      </c>
      <c r="H2928" s="16" t="str">
        <f t="array" ref="H2928">_xlfn.XLOOKUP(D2928,Productos[ID_Producto],Productos[Nombre_Producto])</f>
        <v>Leche</v>
      </c>
      <c r="I2928" s="17">
        <f t="array" ref="I2928">_xlfn.XLOOKUP(D2928,Productos[ID_Producto],Productos[Precio_Unitario])</f>
        <v>12.24</v>
      </c>
      <c r="J2928" s="17">
        <f t="shared" si="1"/>
        <v>73.44</v>
      </c>
      <c r="K2928" s="16" t="str">
        <f t="array" ref="K2928">_xlfn.XLOOKUP(C2928,Clientes[ID_Cliente],Clientes[Provincia])</f>
        <v>Córdoba</v>
      </c>
      <c r="L2928" s="16" t="str">
        <f t="array" ref="L2928">CONCATENATE(_xlfn.XLOOKUP(C2928,Clientes[ID_Cliente],Clientes[Provincia]),", Argentina")</f>
        <v>Córdoba, Argentina</v>
      </c>
      <c r="M2928" s="20" t="str">
        <f t="array" ref="M2928">_xlfn.XLOOKUP(F2928,Metodos_De_Pago[ID_Metodo],Metodos_De_Pago[Metodo])</f>
        <v>Transferencia</v>
      </c>
      <c r="N2928" s="20" t="str">
        <f t="shared" si="2"/>
        <v>2024 11</v>
      </c>
    </row>
    <row r="2929" ht="22.5" customHeight="1">
      <c r="A2929" s="12">
        <f>IFERROR(__xludf.DUMMYFUNCTION("""COMPUTED_VALUE"""),2904.0)</f>
        <v>2904</v>
      </c>
      <c r="B2929" s="13">
        <f>IFERROR(__xludf.DUMMYFUNCTION("""COMPUTED_VALUE"""),45601.0)</f>
        <v>45601</v>
      </c>
      <c r="C2929" s="12">
        <f>IFERROR(__xludf.DUMMYFUNCTION("""COMPUTED_VALUE"""),165.0)</f>
        <v>165</v>
      </c>
      <c r="D2929" s="12">
        <f>IFERROR(__xludf.DUMMYFUNCTION("""COMPUTED_VALUE"""),34.0)</f>
        <v>34</v>
      </c>
      <c r="E2929" s="12">
        <f>IFERROR(__xludf.DUMMYFUNCTION("""COMPUTED_VALUE"""),6.0)</f>
        <v>6</v>
      </c>
      <c r="F2929" s="12">
        <f>IFERROR(__xludf.DUMMYFUNCTION("""COMPUTED_VALUE"""),4.0)</f>
        <v>4</v>
      </c>
      <c r="G2929" s="15" t="str">
        <f>IFERROR(__xludf.DUMMYFUNCTION("""COMPUTED_VALUE"""),"Completa")</f>
        <v>Completa</v>
      </c>
      <c r="H2929" s="16" t="str">
        <f t="array" ref="H2929">_xlfn.XLOOKUP(D2929,Productos[ID_Producto],Productos[Nombre_Producto])</f>
        <v>Maníes</v>
      </c>
      <c r="I2929" s="17">
        <f t="array" ref="I2929">_xlfn.XLOOKUP(D2929,Productos[ID_Producto],Productos[Precio_Unitario])</f>
        <v>5.45</v>
      </c>
      <c r="J2929" s="17">
        <f t="shared" si="1"/>
        <v>32.7</v>
      </c>
      <c r="K2929" s="16" t="str">
        <f t="array" ref="K2929">_xlfn.XLOOKUP(C2929,Clientes[ID_Cliente],Clientes[Provincia])</f>
        <v>Buenos Aires</v>
      </c>
      <c r="L2929" s="16" t="str">
        <f t="array" ref="L2929">CONCATENATE(_xlfn.XLOOKUP(C2929,Clientes[ID_Cliente],Clientes[Provincia]),", Argentina")</f>
        <v>Buenos Aires, Argentina</v>
      </c>
      <c r="M2929" s="20" t="str">
        <f t="array" ref="M2929">_xlfn.XLOOKUP(F2929,Metodos_De_Pago[ID_Metodo],Metodos_De_Pago[Metodo])</f>
        <v>Mercado Pago</v>
      </c>
      <c r="N2929" s="20" t="str">
        <f t="shared" si="2"/>
        <v>2024 11</v>
      </c>
    </row>
    <row r="2930" ht="22.5" customHeight="1">
      <c r="A2930" s="12">
        <f>IFERROR(__xludf.DUMMYFUNCTION("""COMPUTED_VALUE"""),1342.0)</f>
        <v>1342</v>
      </c>
      <c r="B2930" s="13">
        <f>IFERROR(__xludf.DUMMYFUNCTION("""COMPUTED_VALUE"""),45602.0)</f>
        <v>45602</v>
      </c>
      <c r="C2930" s="12">
        <f>IFERROR(__xludf.DUMMYFUNCTION("""COMPUTED_VALUE"""),119.0)</f>
        <v>119</v>
      </c>
      <c r="D2930" s="12">
        <f>IFERROR(__xludf.DUMMYFUNCTION("""COMPUTED_VALUE"""),23.0)</f>
        <v>23</v>
      </c>
      <c r="E2930" s="12">
        <f>IFERROR(__xludf.DUMMYFUNCTION("""COMPUTED_VALUE"""),6.0)</f>
        <v>6</v>
      </c>
      <c r="F2930" s="12">
        <f>IFERROR(__xludf.DUMMYFUNCTION("""COMPUTED_VALUE"""),1.0)</f>
        <v>1</v>
      </c>
      <c r="G2930" s="15" t="str">
        <f>IFERROR(__xludf.DUMMYFUNCTION("""COMPUTED_VALUE"""),"Completa")</f>
        <v>Completa</v>
      </c>
      <c r="H2930" s="16" t="str">
        <f t="array" ref="H2930">_xlfn.XLOOKUP(D2930,Productos[ID_Producto],Productos[Nombre_Producto])</f>
        <v>Papas fritas</v>
      </c>
      <c r="I2930" s="17">
        <f t="array" ref="I2930">_xlfn.XLOOKUP(D2930,Productos[ID_Producto],Productos[Precio_Unitario])</f>
        <v>8.23</v>
      </c>
      <c r="J2930" s="17">
        <f t="shared" si="1"/>
        <v>49.38</v>
      </c>
      <c r="K2930" s="16" t="str">
        <f t="array" ref="K2930">_xlfn.XLOOKUP(C2930,Clientes[ID_Cliente],Clientes[Provincia])</f>
        <v>Neuquén</v>
      </c>
      <c r="L2930" s="16" t="str">
        <f t="array" ref="L2930">CONCATENATE(_xlfn.XLOOKUP(C2930,Clientes[ID_Cliente],Clientes[Provincia]),", Argentina")</f>
        <v>Neuquén, Argentina</v>
      </c>
      <c r="M2930" s="20" t="str">
        <f t="array" ref="M2930">_xlfn.XLOOKUP(F2930,Metodos_De_Pago[ID_Metodo],Metodos_De_Pago[Metodo])</f>
        <v>Efectivo</v>
      </c>
      <c r="N2930" s="20" t="str">
        <f t="shared" si="2"/>
        <v>2024 11</v>
      </c>
    </row>
    <row r="2931" ht="22.5" customHeight="1">
      <c r="A2931" s="12">
        <f>IFERROR(__xludf.DUMMYFUNCTION("""COMPUTED_VALUE"""),2597.0)</f>
        <v>2597</v>
      </c>
      <c r="B2931" s="13">
        <f>IFERROR(__xludf.DUMMYFUNCTION("""COMPUTED_VALUE"""),45602.0)</f>
        <v>45602</v>
      </c>
      <c r="C2931" s="12">
        <f>IFERROR(__xludf.DUMMYFUNCTION("""COMPUTED_VALUE"""),80.0)</f>
        <v>80</v>
      </c>
      <c r="D2931" s="12">
        <f>IFERROR(__xludf.DUMMYFUNCTION("""COMPUTED_VALUE"""),22.0)</f>
        <v>22</v>
      </c>
      <c r="E2931" s="12">
        <f>IFERROR(__xludf.DUMMYFUNCTION("""COMPUTED_VALUE"""),6.0)</f>
        <v>6</v>
      </c>
      <c r="F2931" s="12">
        <f>IFERROR(__xludf.DUMMYFUNCTION("""COMPUTED_VALUE"""),4.0)</f>
        <v>4</v>
      </c>
      <c r="G2931" s="15" t="str">
        <f>IFERROR(__xludf.DUMMYFUNCTION("""COMPUTED_VALUE"""),"Completa")</f>
        <v>Completa</v>
      </c>
      <c r="H2931" s="16" t="str">
        <f t="array" ref="H2931">_xlfn.XLOOKUP(D2931,Productos[ID_Producto],Productos[Nombre_Producto])</f>
        <v>Cebolla</v>
      </c>
      <c r="I2931" s="17">
        <f t="array" ref="I2931">_xlfn.XLOOKUP(D2931,Productos[ID_Producto],Productos[Precio_Unitario])</f>
        <v>4.21</v>
      </c>
      <c r="J2931" s="17">
        <f t="shared" si="1"/>
        <v>25.26</v>
      </c>
      <c r="K2931" s="16" t="str">
        <f t="array" ref="K2931">_xlfn.XLOOKUP(C2931,Clientes[ID_Cliente],Clientes[Provincia])</f>
        <v>Chaco</v>
      </c>
      <c r="L2931" s="16" t="str">
        <f t="array" ref="L2931">CONCATENATE(_xlfn.XLOOKUP(C2931,Clientes[ID_Cliente],Clientes[Provincia]),", Argentina")</f>
        <v>Chaco, Argentina</v>
      </c>
      <c r="M2931" s="20" t="str">
        <f t="array" ref="M2931">_xlfn.XLOOKUP(F2931,Metodos_De_Pago[ID_Metodo],Metodos_De_Pago[Metodo])</f>
        <v>Mercado Pago</v>
      </c>
      <c r="N2931" s="20" t="str">
        <f t="shared" si="2"/>
        <v>2024 11</v>
      </c>
    </row>
    <row r="2932" ht="22.5" customHeight="1">
      <c r="A2932" s="12">
        <f>IFERROR(__xludf.DUMMYFUNCTION("""COMPUTED_VALUE"""),401.0)</f>
        <v>401</v>
      </c>
      <c r="B2932" s="13">
        <f>IFERROR(__xludf.DUMMYFUNCTION("""COMPUTED_VALUE"""),45603.0)</f>
        <v>45603</v>
      </c>
      <c r="C2932" s="12">
        <f>IFERROR(__xludf.DUMMYFUNCTION("""COMPUTED_VALUE"""),27.0)</f>
        <v>27</v>
      </c>
      <c r="D2932" s="12">
        <f>IFERROR(__xludf.DUMMYFUNCTION("""COMPUTED_VALUE"""),27.0)</f>
        <v>27</v>
      </c>
      <c r="E2932" s="12">
        <f>IFERROR(__xludf.DUMMYFUNCTION("""COMPUTED_VALUE"""),6.0)</f>
        <v>6</v>
      </c>
      <c r="F2932" s="12">
        <f>IFERROR(__xludf.DUMMYFUNCTION("""COMPUTED_VALUE"""),4.0)</f>
        <v>4</v>
      </c>
      <c r="G2932" s="15" t="str">
        <f>IFERROR(__xludf.DUMMYFUNCTION("""COMPUTED_VALUE"""),"Completa")</f>
        <v>Completa</v>
      </c>
      <c r="H2932" s="16" t="str">
        <f t="array" ref="H2932">_xlfn.XLOOKUP(D2932,Productos[ID_Producto],Productos[Nombre_Producto])</f>
        <v>Agua mineral</v>
      </c>
      <c r="I2932" s="17">
        <f t="array" ref="I2932">_xlfn.XLOOKUP(D2932,Productos[ID_Producto],Productos[Precio_Unitario])</f>
        <v>6.21</v>
      </c>
      <c r="J2932" s="17">
        <f t="shared" si="1"/>
        <v>37.26</v>
      </c>
      <c r="K2932" s="16" t="str">
        <f t="array" ref="K2932">_xlfn.XLOOKUP(C2932,Clientes[ID_Cliente],Clientes[Provincia])</f>
        <v>Buenos Aires</v>
      </c>
      <c r="L2932" s="16" t="str">
        <f t="array" ref="L2932">CONCATENATE(_xlfn.XLOOKUP(C2932,Clientes[ID_Cliente],Clientes[Provincia]),", Argentina")</f>
        <v>Buenos Aires, Argentina</v>
      </c>
      <c r="M2932" s="20" t="str">
        <f t="array" ref="M2932">_xlfn.XLOOKUP(F2932,Metodos_De_Pago[ID_Metodo],Metodos_De_Pago[Metodo])</f>
        <v>Mercado Pago</v>
      </c>
      <c r="N2932" s="20" t="str">
        <f t="shared" si="2"/>
        <v>2024 11</v>
      </c>
    </row>
    <row r="2933" ht="22.5" customHeight="1">
      <c r="A2933" s="12">
        <f>IFERROR(__xludf.DUMMYFUNCTION("""COMPUTED_VALUE"""),1215.0)</f>
        <v>1215</v>
      </c>
      <c r="B2933" s="13">
        <f>IFERROR(__xludf.DUMMYFUNCTION("""COMPUTED_VALUE"""),45603.0)</f>
        <v>45603</v>
      </c>
      <c r="C2933" s="12">
        <f>IFERROR(__xludf.DUMMYFUNCTION("""COMPUTED_VALUE"""),297.0)</f>
        <v>297</v>
      </c>
      <c r="D2933" s="12">
        <f>IFERROR(__xludf.DUMMYFUNCTION("""COMPUTED_VALUE"""),17.0)</f>
        <v>17</v>
      </c>
      <c r="E2933" s="12">
        <f>IFERROR(__xludf.DUMMYFUNCTION("""COMPUTED_VALUE"""),6.0)</f>
        <v>6</v>
      </c>
      <c r="F2933" s="12">
        <f>IFERROR(__xludf.DUMMYFUNCTION("""COMPUTED_VALUE"""),3.0)</f>
        <v>3</v>
      </c>
      <c r="G2933" s="15" t="str">
        <f>IFERROR(__xludf.DUMMYFUNCTION("""COMPUTED_VALUE"""),"Pendiente")</f>
        <v>Pendiente</v>
      </c>
      <c r="H2933" s="16" t="str">
        <f t="array" ref="H2933">_xlfn.XLOOKUP(D2933,Productos[ID_Producto],Productos[Nombre_Producto])</f>
        <v>Manzanas</v>
      </c>
      <c r="I2933" s="17">
        <f t="array" ref="I2933">_xlfn.XLOOKUP(D2933,Productos[ID_Producto],Productos[Precio_Unitario])</f>
        <v>6.54</v>
      </c>
      <c r="J2933" s="17">
        <f t="shared" si="1"/>
        <v>39.24</v>
      </c>
      <c r="K2933" s="16" t="str">
        <f t="array" ref="K2933">_xlfn.XLOOKUP(C2933,Clientes[ID_Cliente],Clientes[Provincia])</f>
        <v>Buenos Aires</v>
      </c>
      <c r="L2933" s="16" t="str">
        <f t="array" ref="L2933">CONCATENATE(_xlfn.XLOOKUP(C2933,Clientes[ID_Cliente],Clientes[Provincia]),", Argentina")</f>
        <v>Buenos Aires, Argentina</v>
      </c>
      <c r="M2933" s="20" t="str">
        <f t="array" ref="M2933">_xlfn.XLOOKUP(F2933,Metodos_De_Pago[ID_Metodo],Metodos_De_Pago[Metodo])</f>
        <v>Tarjeta de Débito</v>
      </c>
      <c r="N2933" s="20" t="str">
        <f t="shared" si="2"/>
        <v>2024 11</v>
      </c>
    </row>
    <row r="2934" ht="22.5" customHeight="1">
      <c r="A2934" s="12">
        <f>IFERROR(__xludf.DUMMYFUNCTION("""COMPUTED_VALUE"""),467.0)</f>
        <v>467</v>
      </c>
      <c r="B2934" s="13">
        <f>IFERROR(__xludf.DUMMYFUNCTION("""COMPUTED_VALUE"""),45604.0)</f>
        <v>45604</v>
      </c>
      <c r="C2934" s="12">
        <f>IFERROR(__xludf.DUMMYFUNCTION("""COMPUTED_VALUE"""),271.0)</f>
        <v>271</v>
      </c>
      <c r="D2934" s="12">
        <f>IFERROR(__xludf.DUMMYFUNCTION("""COMPUTED_VALUE"""),34.0)</f>
        <v>34</v>
      </c>
      <c r="E2934" s="12">
        <f>IFERROR(__xludf.DUMMYFUNCTION("""COMPUTED_VALUE"""),6.0)</f>
        <v>6</v>
      </c>
      <c r="F2934" s="12">
        <f>IFERROR(__xludf.DUMMYFUNCTION("""COMPUTED_VALUE"""),4.0)</f>
        <v>4</v>
      </c>
      <c r="G2934" s="15" t="str">
        <f>IFERROR(__xludf.DUMMYFUNCTION("""COMPUTED_VALUE"""),"Completa")</f>
        <v>Completa</v>
      </c>
      <c r="H2934" s="16" t="str">
        <f t="array" ref="H2934">_xlfn.XLOOKUP(D2934,Productos[ID_Producto],Productos[Nombre_Producto])</f>
        <v>Maníes</v>
      </c>
      <c r="I2934" s="17">
        <f t="array" ref="I2934">_xlfn.XLOOKUP(D2934,Productos[ID_Producto],Productos[Precio_Unitario])</f>
        <v>5.45</v>
      </c>
      <c r="J2934" s="17">
        <f t="shared" si="1"/>
        <v>32.7</v>
      </c>
      <c r="K2934" s="16" t="str">
        <f t="array" ref="K2934">_xlfn.XLOOKUP(C2934,Clientes[ID_Cliente],Clientes[Provincia])</f>
        <v>Neuquén</v>
      </c>
      <c r="L2934" s="16" t="str">
        <f t="array" ref="L2934">CONCATENATE(_xlfn.XLOOKUP(C2934,Clientes[ID_Cliente],Clientes[Provincia]),", Argentina")</f>
        <v>Neuquén, Argentina</v>
      </c>
      <c r="M2934" s="20" t="str">
        <f t="array" ref="M2934">_xlfn.XLOOKUP(F2934,Metodos_De_Pago[ID_Metodo],Metodos_De_Pago[Metodo])</f>
        <v>Mercado Pago</v>
      </c>
      <c r="N2934" s="20" t="str">
        <f t="shared" si="2"/>
        <v>2024 11</v>
      </c>
    </row>
    <row r="2935" ht="22.5" customHeight="1">
      <c r="A2935" s="12">
        <f>IFERROR(__xludf.DUMMYFUNCTION("""COMPUTED_VALUE"""),698.0)</f>
        <v>698</v>
      </c>
      <c r="B2935" s="13">
        <f>IFERROR(__xludf.DUMMYFUNCTION("""COMPUTED_VALUE"""),45604.0)</f>
        <v>45604</v>
      </c>
      <c r="C2935" s="12">
        <f>IFERROR(__xludf.DUMMYFUNCTION("""COMPUTED_VALUE"""),225.0)</f>
        <v>225</v>
      </c>
      <c r="D2935" s="12">
        <f>IFERROR(__xludf.DUMMYFUNCTION("""COMPUTED_VALUE"""),20.0)</f>
        <v>20</v>
      </c>
      <c r="E2935" s="12">
        <f>IFERROR(__xludf.DUMMYFUNCTION("""COMPUTED_VALUE"""),6.0)</f>
        <v>6</v>
      </c>
      <c r="F2935" s="12">
        <f>IFERROR(__xludf.DUMMYFUNCTION("""COMPUTED_VALUE"""),1.0)</f>
        <v>1</v>
      </c>
      <c r="G2935" s="15" t="str">
        <f>IFERROR(__xludf.DUMMYFUNCTION("""COMPUTED_VALUE"""),"Pendiente")</f>
        <v>Pendiente</v>
      </c>
      <c r="H2935" s="16" t="str">
        <f t="array" ref="H2935">_xlfn.XLOOKUP(D2935,Productos[ID_Producto],Productos[Nombre_Producto])</f>
        <v>Lechugas</v>
      </c>
      <c r="I2935" s="17">
        <f t="array" ref="I2935">_xlfn.XLOOKUP(D2935,Productos[ID_Producto],Productos[Precio_Unitario])</f>
        <v>4.25</v>
      </c>
      <c r="J2935" s="17">
        <f t="shared" si="1"/>
        <v>25.5</v>
      </c>
      <c r="K2935" s="16" t="str">
        <f t="array" ref="K2935">_xlfn.XLOOKUP(C2935,Clientes[ID_Cliente],Clientes[Provincia])</f>
        <v>Buenos Aires</v>
      </c>
      <c r="L2935" s="16" t="str">
        <f t="array" ref="L2935">CONCATENATE(_xlfn.XLOOKUP(C2935,Clientes[ID_Cliente],Clientes[Provincia]),", Argentina")</f>
        <v>Buenos Aires, Argentina</v>
      </c>
      <c r="M2935" s="20" t="str">
        <f t="array" ref="M2935">_xlfn.XLOOKUP(F2935,Metodos_De_Pago[ID_Metodo],Metodos_De_Pago[Metodo])</f>
        <v>Efectivo</v>
      </c>
      <c r="N2935" s="20" t="str">
        <f t="shared" si="2"/>
        <v>2024 11</v>
      </c>
    </row>
    <row r="2936" ht="22.5" customHeight="1">
      <c r="A2936" s="12">
        <f>IFERROR(__xludf.DUMMYFUNCTION("""COMPUTED_VALUE"""),176.0)</f>
        <v>176</v>
      </c>
      <c r="B2936" s="13">
        <f>IFERROR(__xludf.DUMMYFUNCTION("""COMPUTED_VALUE"""),45605.0)</f>
        <v>45605</v>
      </c>
      <c r="C2936" s="12">
        <f>IFERROR(__xludf.DUMMYFUNCTION("""COMPUTED_VALUE"""),68.0)</f>
        <v>68</v>
      </c>
      <c r="D2936" s="12">
        <f>IFERROR(__xludf.DUMMYFUNCTION("""COMPUTED_VALUE"""),33.0)</f>
        <v>33</v>
      </c>
      <c r="E2936" s="12">
        <f>IFERROR(__xludf.DUMMYFUNCTION("""COMPUTED_VALUE"""),6.0)</f>
        <v>6</v>
      </c>
      <c r="F2936" s="12">
        <f>IFERROR(__xludf.DUMMYFUNCTION("""COMPUTED_VALUE"""),5.0)</f>
        <v>5</v>
      </c>
      <c r="G2936" s="15" t="str">
        <f>IFERROR(__xludf.DUMMYFUNCTION("""COMPUTED_VALUE"""),"Completa")</f>
        <v>Completa</v>
      </c>
      <c r="H2936" s="16" t="str">
        <f t="array" ref="H2936">_xlfn.XLOOKUP(D2936,Productos[ID_Producto],Productos[Nombre_Producto])</f>
        <v>Papas chips</v>
      </c>
      <c r="I2936" s="17">
        <f t="array" ref="I2936">_xlfn.XLOOKUP(D2936,Productos[ID_Producto],Productos[Precio_Unitario])</f>
        <v>8.54</v>
      </c>
      <c r="J2936" s="17">
        <f t="shared" si="1"/>
        <v>51.24</v>
      </c>
      <c r="K2936" s="16" t="str">
        <f t="array" ref="K2936">_xlfn.XLOOKUP(C2936,Clientes[ID_Cliente],Clientes[Provincia])</f>
        <v>Neuquén</v>
      </c>
      <c r="L2936" s="16" t="str">
        <f t="array" ref="L2936">CONCATENATE(_xlfn.XLOOKUP(C2936,Clientes[ID_Cliente],Clientes[Provincia]),", Argentina")</f>
        <v>Neuquén, Argentina</v>
      </c>
      <c r="M2936" s="20" t="str">
        <f t="array" ref="M2936">_xlfn.XLOOKUP(F2936,Metodos_De_Pago[ID_Metodo],Metodos_De_Pago[Metodo])</f>
        <v>Transferencia</v>
      </c>
      <c r="N2936" s="20" t="str">
        <f t="shared" si="2"/>
        <v>2024 11</v>
      </c>
    </row>
    <row r="2937" ht="22.5" customHeight="1">
      <c r="A2937" s="12">
        <f>IFERROR(__xludf.DUMMYFUNCTION("""COMPUTED_VALUE"""),638.0)</f>
        <v>638</v>
      </c>
      <c r="B2937" s="13">
        <f>IFERROR(__xludf.DUMMYFUNCTION("""COMPUTED_VALUE"""),45605.0)</f>
        <v>45605</v>
      </c>
      <c r="C2937" s="12">
        <f>IFERROR(__xludf.DUMMYFUNCTION("""COMPUTED_VALUE"""),236.0)</f>
        <v>236</v>
      </c>
      <c r="D2937" s="12">
        <f>IFERROR(__xludf.DUMMYFUNCTION("""COMPUTED_VALUE"""),26.0)</f>
        <v>26</v>
      </c>
      <c r="E2937" s="12">
        <f>IFERROR(__xludf.DUMMYFUNCTION("""COMPUTED_VALUE"""),6.0)</f>
        <v>6</v>
      </c>
      <c r="F2937" s="12">
        <f>IFERROR(__xludf.DUMMYFUNCTION("""COMPUTED_VALUE"""),4.0)</f>
        <v>4</v>
      </c>
      <c r="G2937" s="15" t="str">
        <f>IFERROR(__xludf.DUMMYFUNCTION("""COMPUTED_VALUE"""),"Completa")</f>
        <v>Completa</v>
      </c>
      <c r="H2937" s="16" t="str">
        <f t="array" ref="H2937">_xlfn.XLOOKUP(D2937,Productos[ID_Producto],Productos[Nombre_Producto])</f>
        <v>Hamburgesas congeladas</v>
      </c>
      <c r="I2937" s="17">
        <f t="array" ref="I2937">_xlfn.XLOOKUP(D2937,Productos[ID_Producto],Productos[Precio_Unitario])</f>
        <v>9.54</v>
      </c>
      <c r="J2937" s="17">
        <f t="shared" si="1"/>
        <v>57.24</v>
      </c>
      <c r="K2937" s="16" t="str">
        <f t="array" ref="K2937">_xlfn.XLOOKUP(C2937,Clientes[ID_Cliente],Clientes[Provincia])</f>
        <v>Buenos Aires</v>
      </c>
      <c r="L2937" s="16" t="str">
        <f t="array" ref="L2937">CONCATENATE(_xlfn.XLOOKUP(C2937,Clientes[ID_Cliente],Clientes[Provincia]),", Argentina")</f>
        <v>Buenos Aires, Argentina</v>
      </c>
      <c r="M2937" s="20" t="str">
        <f t="array" ref="M2937">_xlfn.XLOOKUP(F2937,Metodos_De_Pago[ID_Metodo],Metodos_De_Pago[Metodo])</f>
        <v>Mercado Pago</v>
      </c>
      <c r="N2937" s="20" t="str">
        <f t="shared" si="2"/>
        <v>2024 11</v>
      </c>
    </row>
    <row r="2938" ht="22.5" customHeight="1">
      <c r="A2938" s="12">
        <f>IFERROR(__xludf.DUMMYFUNCTION("""COMPUTED_VALUE"""),477.0)</f>
        <v>477</v>
      </c>
      <c r="B2938" s="13">
        <f>IFERROR(__xludf.DUMMYFUNCTION("""COMPUTED_VALUE"""),45607.0)</f>
        <v>45607</v>
      </c>
      <c r="C2938" s="12">
        <f>IFERROR(__xludf.DUMMYFUNCTION("""COMPUTED_VALUE"""),102.0)</f>
        <v>102</v>
      </c>
      <c r="D2938" s="12">
        <f>IFERROR(__xludf.DUMMYFUNCTION("""COMPUTED_VALUE"""),6.0)</f>
        <v>6</v>
      </c>
      <c r="E2938" s="12">
        <f>IFERROR(__xludf.DUMMYFUNCTION("""COMPUTED_VALUE"""),6.0)</f>
        <v>6</v>
      </c>
      <c r="F2938" s="12">
        <f>IFERROR(__xludf.DUMMYFUNCTION("""COMPUTED_VALUE"""),4.0)</f>
        <v>4</v>
      </c>
      <c r="G2938" s="15" t="str">
        <f>IFERROR(__xludf.DUMMYFUNCTION("""COMPUTED_VALUE"""),"Completa")</f>
        <v>Completa</v>
      </c>
      <c r="H2938" s="16" t="str">
        <f t="array" ref="H2938">_xlfn.XLOOKUP(D2938,Productos[ID_Producto],Productos[Nombre_Producto])</f>
        <v>Asado</v>
      </c>
      <c r="I2938" s="17">
        <f t="array" ref="I2938">_xlfn.XLOOKUP(D2938,Productos[ID_Producto],Productos[Precio_Unitario])</f>
        <v>28.56</v>
      </c>
      <c r="J2938" s="17">
        <f t="shared" si="1"/>
        <v>171.36</v>
      </c>
      <c r="K2938" s="16" t="str">
        <f t="array" ref="K2938">_xlfn.XLOOKUP(C2938,Clientes[ID_Cliente],Clientes[Provincia])</f>
        <v>Neuquén</v>
      </c>
      <c r="L2938" s="16" t="str">
        <f t="array" ref="L2938">CONCATENATE(_xlfn.XLOOKUP(C2938,Clientes[ID_Cliente],Clientes[Provincia]),", Argentina")</f>
        <v>Neuquén, Argentina</v>
      </c>
      <c r="M2938" s="20" t="str">
        <f t="array" ref="M2938">_xlfn.XLOOKUP(F2938,Metodos_De_Pago[ID_Metodo],Metodos_De_Pago[Metodo])</f>
        <v>Mercado Pago</v>
      </c>
      <c r="N2938" s="20" t="str">
        <f t="shared" si="2"/>
        <v>2024 11</v>
      </c>
    </row>
    <row r="2939" ht="22.5" customHeight="1">
      <c r="A2939" s="12">
        <f>IFERROR(__xludf.DUMMYFUNCTION("""COMPUTED_VALUE"""),2363.0)</f>
        <v>2363</v>
      </c>
      <c r="B2939" s="13">
        <f>IFERROR(__xludf.DUMMYFUNCTION("""COMPUTED_VALUE"""),45608.0)</f>
        <v>45608</v>
      </c>
      <c r="C2939" s="12">
        <f>IFERROR(__xludf.DUMMYFUNCTION("""COMPUTED_VALUE"""),59.0)</f>
        <v>59</v>
      </c>
      <c r="D2939" s="12">
        <f>IFERROR(__xludf.DUMMYFUNCTION("""COMPUTED_VALUE"""),17.0)</f>
        <v>17</v>
      </c>
      <c r="E2939" s="12">
        <f>IFERROR(__xludf.DUMMYFUNCTION("""COMPUTED_VALUE"""),6.0)</f>
        <v>6</v>
      </c>
      <c r="F2939" s="12">
        <f>IFERROR(__xludf.DUMMYFUNCTION("""COMPUTED_VALUE"""),5.0)</f>
        <v>5</v>
      </c>
      <c r="G2939" s="15" t="str">
        <f>IFERROR(__xludf.DUMMYFUNCTION("""COMPUTED_VALUE"""),"Pendiente")</f>
        <v>Pendiente</v>
      </c>
      <c r="H2939" s="16" t="str">
        <f t="array" ref="H2939">_xlfn.XLOOKUP(D2939,Productos[ID_Producto],Productos[Nombre_Producto])</f>
        <v>Manzanas</v>
      </c>
      <c r="I2939" s="17">
        <f t="array" ref="I2939">_xlfn.XLOOKUP(D2939,Productos[ID_Producto],Productos[Precio_Unitario])</f>
        <v>6.54</v>
      </c>
      <c r="J2939" s="17">
        <f t="shared" si="1"/>
        <v>39.24</v>
      </c>
      <c r="K2939" s="16" t="str">
        <f t="array" ref="K2939">_xlfn.XLOOKUP(C2939,Clientes[ID_Cliente],Clientes[Provincia])</f>
        <v>Córdoba</v>
      </c>
      <c r="L2939" s="16" t="str">
        <f t="array" ref="L2939">CONCATENATE(_xlfn.XLOOKUP(C2939,Clientes[ID_Cliente],Clientes[Provincia]),", Argentina")</f>
        <v>Córdoba, Argentina</v>
      </c>
      <c r="M2939" s="20" t="str">
        <f t="array" ref="M2939">_xlfn.XLOOKUP(F2939,Metodos_De_Pago[ID_Metodo],Metodos_De_Pago[Metodo])</f>
        <v>Transferencia</v>
      </c>
      <c r="N2939" s="20" t="str">
        <f t="shared" si="2"/>
        <v>2024 11</v>
      </c>
    </row>
    <row r="2940" ht="22.5" customHeight="1">
      <c r="A2940" s="12">
        <f>IFERROR(__xludf.DUMMYFUNCTION("""COMPUTED_VALUE"""),2417.0)</f>
        <v>2417</v>
      </c>
      <c r="B2940" s="13">
        <f>IFERROR(__xludf.DUMMYFUNCTION("""COMPUTED_VALUE"""),45608.0)</f>
        <v>45608</v>
      </c>
      <c r="C2940" s="12">
        <f>IFERROR(__xludf.DUMMYFUNCTION("""COMPUTED_VALUE"""),307.0)</f>
        <v>307</v>
      </c>
      <c r="D2940" s="12">
        <f>IFERROR(__xludf.DUMMYFUNCTION("""COMPUTED_VALUE"""),1.0)</f>
        <v>1</v>
      </c>
      <c r="E2940" s="12">
        <f>IFERROR(__xludf.DUMMYFUNCTION("""COMPUTED_VALUE"""),6.0)</f>
        <v>6</v>
      </c>
      <c r="F2940" s="12">
        <f>IFERROR(__xludf.DUMMYFUNCTION("""COMPUTED_VALUE"""),2.0)</f>
        <v>2</v>
      </c>
      <c r="G2940" s="15" t="str">
        <f>IFERROR(__xludf.DUMMYFUNCTION("""COMPUTED_VALUE"""),"Completa")</f>
        <v>Completa</v>
      </c>
      <c r="H2940" s="16" t="str">
        <f t="array" ref="H2940">_xlfn.XLOOKUP(D2940,Productos[ID_Producto],Productos[Nombre_Producto])</f>
        <v>Leche</v>
      </c>
      <c r="I2940" s="17">
        <f t="array" ref="I2940">_xlfn.XLOOKUP(D2940,Productos[ID_Producto],Productos[Precio_Unitario])</f>
        <v>12.24</v>
      </c>
      <c r="J2940" s="17">
        <f t="shared" si="1"/>
        <v>73.44</v>
      </c>
      <c r="K2940" s="16" t="str">
        <f t="array" ref="K2940">_xlfn.XLOOKUP(C2940,Clientes[ID_Cliente],Clientes[Provincia])</f>
        <v>San Luis</v>
      </c>
      <c r="L2940" s="16" t="str">
        <f t="array" ref="L2940">CONCATENATE(_xlfn.XLOOKUP(C2940,Clientes[ID_Cliente],Clientes[Provincia]),", Argentina")</f>
        <v>San Luis, Argentina</v>
      </c>
      <c r="M2940" s="20" t="str">
        <f t="array" ref="M2940">_xlfn.XLOOKUP(F2940,Metodos_De_Pago[ID_Metodo],Metodos_De_Pago[Metodo])</f>
        <v>Tarjeta de Crédito</v>
      </c>
      <c r="N2940" s="20" t="str">
        <f t="shared" si="2"/>
        <v>2024 11</v>
      </c>
    </row>
    <row r="2941" ht="22.5" customHeight="1">
      <c r="A2941" s="12">
        <f>IFERROR(__xludf.DUMMYFUNCTION("""COMPUTED_VALUE"""),2730.0)</f>
        <v>2730</v>
      </c>
      <c r="B2941" s="13">
        <f>IFERROR(__xludf.DUMMYFUNCTION("""COMPUTED_VALUE"""),45608.0)</f>
        <v>45608</v>
      </c>
      <c r="C2941" s="12">
        <f>IFERROR(__xludf.DUMMYFUNCTION("""COMPUTED_VALUE"""),224.0)</f>
        <v>224</v>
      </c>
      <c r="D2941" s="12">
        <f>IFERROR(__xludf.DUMMYFUNCTION("""COMPUTED_VALUE"""),3.0)</f>
        <v>3</v>
      </c>
      <c r="E2941" s="12">
        <f>IFERROR(__xludf.DUMMYFUNCTION("""COMPUTED_VALUE"""),6.0)</f>
        <v>6</v>
      </c>
      <c r="F2941" s="12">
        <f>IFERROR(__xludf.DUMMYFUNCTION("""COMPUTED_VALUE"""),5.0)</f>
        <v>5</v>
      </c>
      <c r="G2941" s="15" t="str">
        <f>IFERROR(__xludf.DUMMYFUNCTION("""COMPUTED_VALUE"""),"Pendiente")</f>
        <v>Pendiente</v>
      </c>
      <c r="H2941" s="16" t="str">
        <f t="array" ref="H2941">_xlfn.XLOOKUP(D2941,Productos[ID_Producto],Productos[Nombre_Producto])</f>
        <v>Queso cremoso</v>
      </c>
      <c r="I2941" s="17">
        <f t="array" ref="I2941">_xlfn.XLOOKUP(D2941,Productos[ID_Producto],Productos[Precio_Unitario])</f>
        <v>17.23</v>
      </c>
      <c r="J2941" s="17">
        <f t="shared" si="1"/>
        <v>103.38</v>
      </c>
      <c r="K2941" s="16" t="str">
        <f t="array" ref="K2941">_xlfn.XLOOKUP(C2941,Clientes[ID_Cliente],Clientes[Provincia])</f>
        <v>San Luis</v>
      </c>
      <c r="L2941" s="16" t="str">
        <f t="array" ref="L2941">CONCATENATE(_xlfn.XLOOKUP(C2941,Clientes[ID_Cliente],Clientes[Provincia]),", Argentina")</f>
        <v>San Luis, Argentina</v>
      </c>
      <c r="M2941" s="20" t="str">
        <f t="array" ref="M2941">_xlfn.XLOOKUP(F2941,Metodos_De_Pago[ID_Metodo],Metodos_De_Pago[Metodo])</f>
        <v>Transferencia</v>
      </c>
      <c r="N2941" s="20" t="str">
        <f t="shared" si="2"/>
        <v>2024 11</v>
      </c>
    </row>
    <row r="2942" ht="22.5" customHeight="1">
      <c r="A2942" s="12">
        <f>IFERROR(__xludf.DUMMYFUNCTION("""COMPUTED_VALUE"""),345.0)</f>
        <v>345</v>
      </c>
      <c r="B2942" s="13">
        <f>IFERROR(__xludf.DUMMYFUNCTION("""COMPUTED_VALUE"""),45609.0)</f>
        <v>45609</v>
      </c>
      <c r="C2942" s="12">
        <f>IFERROR(__xludf.DUMMYFUNCTION("""COMPUTED_VALUE"""),132.0)</f>
        <v>132</v>
      </c>
      <c r="D2942" s="12">
        <f>IFERROR(__xludf.DUMMYFUNCTION("""COMPUTED_VALUE"""),26.0)</f>
        <v>26</v>
      </c>
      <c r="E2942" s="12">
        <f>IFERROR(__xludf.DUMMYFUNCTION("""COMPUTED_VALUE"""),6.0)</f>
        <v>6</v>
      </c>
      <c r="F2942" s="12">
        <f>IFERROR(__xludf.DUMMYFUNCTION("""COMPUTED_VALUE"""),2.0)</f>
        <v>2</v>
      </c>
      <c r="G2942" s="15" t="str">
        <f>IFERROR(__xludf.DUMMYFUNCTION("""COMPUTED_VALUE"""),"Completa")</f>
        <v>Completa</v>
      </c>
      <c r="H2942" s="16" t="str">
        <f t="array" ref="H2942">_xlfn.XLOOKUP(D2942,Productos[ID_Producto],Productos[Nombre_Producto])</f>
        <v>Hamburgesas congeladas</v>
      </c>
      <c r="I2942" s="17">
        <f t="array" ref="I2942">_xlfn.XLOOKUP(D2942,Productos[ID_Producto],Productos[Precio_Unitario])</f>
        <v>9.54</v>
      </c>
      <c r="J2942" s="17">
        <f t="shared" si="1"/>
        <v>57.24</v>
      </c>
      <c r="K2942" s="16" t="str">
        <f t="array" ref="K2942">_xlfn.XLOOKUP(C2942,Clientes[ID_Cliente],Clientes[Provincia])</f>
        <v>Buenos Aires</v>
      </c>
      <c r="L2942" s="16" t="str">
        <f t="array" ref="L2942">CONCATENATE(_xlfn.XLOOKUP(C2942,Clientes[ID_Cliente],Clientes[Provincia]),", Argentina")</f>
        <v>Buenos Aires, Argentina</v>
      </c>
      <c r="M2942" s="20" t="str">
        <f t="array" ref="M2942">_xlfn.XLOOKUP(F2942,Metodos_De_Pago[ID_Metodo],Metodos_De_Pago[Metodo])</f>
        <v>Tarjeta de Crédito</v>
      </c>
      <c r="N2942" s="20" t="str">
        <f t="shared" si="2"/>
        <v>2024 11</v>
      </c>
    </row>
    <row r="2943" ht="22.5" customHeight="1">
      <c r="A2943" s="12">
        <f>IFERROR(__xludf.DUMMYFUNCTION("""COMPUTED_VALUE"""),661.0)</f>
        <v>661</v>
      </c>
      <c r="B2943" s="13">
        <f>IFERROR(__xludf.DUMMYFUNCTION("""COMPUTED_VALUE"""),45609.0)</f>
        <v>45609</v>
      </c>
      <c r="C2943" s="12">
        <f>IFERROR(__xludf.DUMMYFUNCTION("""COMPUTED_VALUE"""),151.0)</f>
        <v>151</v>
      </c>
      <c r="D2943" s="12">
        <f>IFERROR(__xludf.DUMMYFUNCTION("""COMPUTED_VALUE"""),21.0)</f>
        <v>21</v>
      </c>
      <c r="E2943" s="12">
        <f>IFERROR(__xludf.DUMMYFUNCTION("""COMPUTED_VALUE"""),6.0)</f>
        <v>6</v>
      </c>
      <c r="F2943" s="12">
        <f>IFERROR(__xludf.DUMMYFUNCTION("""COMPUTED_VALUE"""),1.0)</f>
        <v>1</v>
      </c>
      <c r="G2943" s="15" t="str">
        <f>IFERROR(__xludf.DUMMYFUNCTION("""COMPUTED_VALUE"""),"Completa")</f>
        <v>Completa</v>
      </c>
      <c r="H2943" s="16" t="str">
        <f t="array" ref="H2943">_xlfn.XLOOKUP(D2943,Productos[ID_Producto],Productos[Nombre_Producto])</f>
        <v>Zanahorias</v>
      </c>
      <c r="I2943" s="17">
        <f t="array" ref="I2943">_xlfn.XLOOKUP(D2943,Productos[ID_Producto],Productos[Precio_Unitario])</f>
        <v>3.25</v>
      </c>
      <c r="J2943" s="17">
        <f t="shared" si="1"/>
        <v>19.5</v>
      </c>
      <c r="K2943" s="16" t="str">
        <f t="array" ref="K2943">_xlfn.XLOOKUP(C2943,Clientes[ID_Cliente],Clientes[Provincia])</f>
        <v>Buenos Aires</v>
      </c>
      <c r="L2943" s="16" t="str">
        <f t="array" ref="L2943">CONCATENATE(_xlfn.XLOOKUP(C2943,Clientes[ID_Cliente],Clientes[Provincia]),", Argentina")</f>
        <v>Buenos Aires, Argentina</v>
      </c>
      <c r="M2943" s="20" t="str">
        <f t="array" ref="M2943">_xlfn.XLOOKUP(F2943,Metodos_De_Pago[ID_Metodo],Metodos_De_Pago[Metodo])</f>
        <v>Efectivo</v>
      </c>
      <c r="N2943" s="20" t="str">
        <f t="shared" si="2"/>
        <v>2024 11</v>
      </c>
    </row>
    <row r="2944" ht="22.5" customHeight="1">
      <c r="A2944" s="12">
        <f>IFERROR(__xludf.DUMMYFUNCTION("""COMPUTED_VALUE"""),490.0)</f>
        <v>490</v>
      </c>
      <c r="B2944" s="13">
        <f>IFERROR(__xludf.DUMMYFUNCTION("""COMPUTED_VALUE"""),45611.0)</f>
        <v>45611</v>
      </c>
      <c r="C2944" s="12">
        <f>IFERROR(__xludf.DUMMYFUNCTION("""COMPUTED_VALUE"""),20.0)</f>
        <v>20</v>
      </c>
      <c r="D2944" s="12">
        <f>IFERROR(__xludf.DUMMYFUNCTION("""COMPUTED_VALUE"""),5.0)</f>
        <v>5</v>
      </c>
      <c r="E2944" s="12">
        <f>IFERROR(__xludf.DUMMYFUNCTION("""COMPUTED_VALUE"""),6.0)</f>
        <v>6</v>
      </c>
      <c r="F2944" s="12">
        <f>IFERROR(__xludf.DUMMYFUNCTION("""COMPUTED_VALUE"""),4.0)</f>
        <v>4</v>
      </c>
      <c r="G2944" s="15" t="str">
        <f>IFERROR(__xludf.DUMMYFUNCTION("""COMPUTED_VALUE"""),"Completa")</f>
        <v>Completa</v>
      </c>
      <c r="H2944" s="16" t="str">
        <f t="array" ref="H2944">_xlfn.XLOOKUP(D2944,Productos[ID_Producto],Productos[Nombre_Producto])</f>
        <v>Manteca</v>
      </c>
      <c r="I2944" s="17">
        <f t="array" ref="I2944">_xlfn.XLOOKUP(D2944,Productos[ID_Producto],Productos[Precio_Unitario])</f>
        <v>5.65</v>
      </c>
      <c r="J2944" s="17">
        <f t="shared" si="1"/>
        <v>33.9</v>
      </c>
      <c r="K2944" s="16" t="str">
        <f t="array" ref="K2944">_xlfn.XLOOKUP(C2944,Clientes[ID_Cliente],Clientes[Provincia])</f>
        <v>San Luis</v>
      </c>
      <c r="L2944" s="16" t="str">
        <f t="array" ref="L2944">CONCATENATE(_xlfn.XLOOKUP(C2944,Clientes[ID_Cliente],Clientes[Provincia]),", Argentina")</f>
        <v>San Luis, Argentina</v>
      </c>
      <c r="M2944" s="20" t="str">
        <f t="array" ref="M2944">_xlfn.XLOOKUP(F2944,Metodos_De_Pago[ID_Metodo],Metodos_De_Pago[Metodo])</f>
        <v>Mercado Pago</v>
      </c>
      <c r="N2944" s="20" t="str">
        <f t="shared" si="2"/>
        <v>2024 11</v>
      </c>
    </row>
    <row r="2945" ht="22.5" customHeight="1">
      <c r="A2945" s="12">
        <f>IFERROR(__xludf.DUMMYFUNCTION("""COMPUTED_VALUE"""),2805.0)</f>
        <v>2805</v>
      </c>
      <c r="B2945" s="13">
        <f>IFERROR(__xludf.DUMMYFUNCTION("""COMPUTED_VALUE"""),45611.0)</f>
        <v>45611</v>
      </c>
      <c r="C2945" s="12">
        <f>IFERROR(__xludf.DUMMYFUNCTION("""COMPUTED_VALUE"""),256.0)</f>
        <v>256</v>
      </c>
      <c r="D2945" s="12">
        <f>IFERROR(__xludf.DUMMYFUNCTION("""COMPUTED_VALUE"""),8.0)</f>
        <v>8</v>
      </c>
      <c r="E2945" s="12">
        <f>IFERROR(__xludf.DUMMYFUNCTION("""COMPUTED_VALUE"""),6.0)</f>
        <v>6</v>
      </c>
      <c r="F2945" s="12">
        <f>IFERROR(__xludf.DUMMYFUNCTION("""COMPUTED_VALUE"""),4.0)</f>
        <v>4</v>
      </c>
      <c r="G2945" s="15" t="str">
        <f>IFERROR(__xludf.DUMMYFUNCTION("""COMPUTED_VALUE"""),"Completa")</f>
        <v>Completa</v>
      </c>
      <c r="H2945" s="16" t="str">
        <f t="array" ref="H2945">_xlfn.XLOOKUP(D2945,Productos[ID_Producto],Productos[Nombre_Producto])</f>
        <v>Milanesa</v>
      </c>
      <c r="I2945" s="17">
        <f t="array" ref="I2945">_xlfn.XLOOKUP(D2945,Productos[ID_Producto],Productos[Precio_Unitario])</f>
        <v>16.21</v>
      </c>
      <c r="J2945" s="17">
        <f t="shared" si="1"/>
        <v>97.26</v>
      </c>
      <c r="K2945" s="16" t="str">
        <f t="array" ref="K2945">_xlfn.XLOOKUP(C2945,Clientes[ID_Cliente],Clientes[Provincia])</f>
        <v>Buenos Aires</v>
      </c>
      <c r="L2945" s="16" t="str">
        <f t="array" ref="L2945">CONCATENATE(_xlfn.XLOOKUP(C2945,Clientes[ID_Cliente],Clientes[Provincia]),", Argentina")</f>
        <v>Buenos Aires, Argentina</v>
      </c>
      <c r="M2945" s="20" t="str">
        <f t="array" ref="M2945">_xlfn.XLOOKUP(F2945,Metodos_De_Pago[ID_Metodo],Metodos_De_Pago[Metodo])</f>
        <v>Mercado Pago</v>
      </c>
      <c r="N2945" s="20" t="str">
        <f t="shared" si="2"/>
        <v>2024 11</v>
      </c>
    </row>
    <row r="2946" ht="22.5" customHeight="1">
      <c r="A2946" s="12">
        <f>IFERROR(__xludf.DUMMYFUNCTION("""COMPUTED_VALUE"""),513.0)</f>
        <v>513</v>
      </c>
      <c r="B2946" s="13">
        <f>IFERROR(__xludf.DUMMYFUNCTION("""COMPUTED_VALUE"""),45613.0)</f>
        <v>45613</v>
      </c>
      <c r="C2946" s="12">
        <f>IFERROR(__xludf.DUMMYFUNCTION("""COMPUTED_VALUE"""),278.0)</f>
        <v>278</v>
      </c>
      <c r="D2946" s="12">
        <f>IFERROR(__xludf.DUMMYFUNCTION("""COMPUTED_VALUE"""),25.0)</f>
        <v>25</v>
      </c>
      <c r="E2946" s="12">
        <f>IFERROR(__xludf.DUMMYFUNCTION("""COMPUTED_VALUE"""),6.0)</f>
        <v>6</v>
      </c>
      <c r="F2946" s="12">
        <f>IFERROR(__xludf.DUMMYFUNCTION("""COMPUTED_VALUE"""),4.0)</f>
        <v>4</v>
      </c>
      <c r="G2946" s="15" t="str">
        <f>IFERROR(__xludf.DUMMYFUNCTION("""COMPUTED_VALUE"""),"Completa")</f>
        <v>Completa</v>
      </c>
      <c r="H2946" s="16" t="str">
        <f t="array" ref="H2946">_xlfn.XLOOKUP(D2946,Productos[ID_Producto],Productos[Nombre_Producto])</f>
        <v>Pizza congelada</v>
      </c>
      <c r="I2946" s="17">
        <f t="array" ref="I2946">_xlfn.XLOOKUP(D2946,Productos[ID_Producto],Productos[Precio_Unitario])</f>
        <v>15.45</v>
      </c>
      <c r="J2946" s="17">
        <f t="shared" si="1"/>
        <v>92.7</v>
      </c>
      <c r="K2946" s="16" t="str">
        <f t="array" ref="K2946">_xlfn.XLOOKUP(C2946,Clientes[ID_Cliente],Clientes[Provincia])</f>
        <v>Córdoba</v>
      </c>
      <c r="L2946" s="16" t="str">
        <f t="array" ref="L2946">CONCATENATE(_xlfn.XLOOKUP(C2946,Clientes[ID_Cliente],Clientes[Provincia]),", Argentina")</f>
        <v>Córdoba, Argentina</v>
      </c>
      <c r="M2946" s="20" t="str">
        <f t="array" ref="M2946">_xlfn.XLOOKUP(F2946,Metodos_De_Pago[ID_Metodo],Metodos_De_Pago[Metodo])</f>
        <v>Mercado Pago</v>
      </c>
      <c r="N2946" s="20" t="str">
        <f t="shared" si="2"/>
        <v>2024 11</v>
      </c>
    </row>
    <row r="2947" ht="22.5" customHeight="1">
      <c r="A2947" s="12">
        <f>IFERROR(__xludf.DUMMYFUNCTION("""COMPUTED_VALUE"""),983.0)</f>
        <v>983</v>
      </c>
      <c r="B2947" s="13">
        <f>IFERROR(__xludf.DUMMYFUNCTION("""COMPUTED_VALUE"""),45613.0)</f>
        <v>45613</v>
      </c>
      <c r="C2947" s="12">
        <f>IFERROR(__xludf.DUMMYFUNCTION("""COMPUTED_VALUE"""),11.0)</f>
        <v>11</v>
      </c>
      <c r="D2947" s="12">
        <f>IFERROR(__xludf.DUMMYFUNCTION("""COMPUTED_VALUE"""),33.0)</f>
        <v>33</v>
      </c>
      <c r="E2947" s="12">
        <f>IFERROR(__xludf.DUMMYFUNCTION("""COMPUTED_VALUE"""),6.0)</f>
        <v>6</v>
      </c>
      <c r="F2947" s="12">
        <f>IFERROR(__xludf.DUMMYFUNCTION("""COMPUTED_VALUE"""),1.0)</f>
        <v>1</v>
      </c>
      <c r="G2947" s="15" t="str">
        <f>IFERROR(__xludf.DUMMYFUNCTION("""COMPUTED_VALUE"""),"Completa")</f>
        <v>Completa</v>
      </c>
      <c r="H2947" s="16" t="str">
        <f t="array" ref="H2947">_xlfn.XLOOKUP(D2947,Productos[ID_Producto],Productos[Nombre_Producto])</f>
        <v>Papas chips</v>
      </c>
      <c r="I2947" s="17">
        <f t="array" ref="I2947">_xlfn.XLOOKUP(D2947,Productos[ID_Producto],Productos[Precio_Unitario])</f>
        <v>8.54</v>
      </c>
      <c r="J2947" s="17">
        <f t="shared" si="1"/>
        <v>51.24</v>
      </c>
      <c r="K2947" s="16" t="str">
        <f t="array" ref="K2947">_xlfn.XLOOKUP(C2947,Clientes[ID_Cliente],Clientes[Provincia])</f>
        <v>Buenos Aires</v>
      </c>
      <c r="L2947" s="16" t="str">
        <f t="array" ref="L2947">CONCATENATE(_xlfn.XLOOKUP(C2947,Clientes[ID_Cliente],Clientes[Provincia]),", Argentina")</f>
        <v>Buenos Aires, Argentina</v>
      </c>
      <c r="M2947" s="20" t="str">
        <f t="array" ref="M2947">_xlfn.XLOOKUP(F2947,Metodos_De_Pago[ID_Metodo],Metodos_De_Pago[Metodo])</f>
        <v>Efectivo</v>
      </c>
      <c r="N2947" s="20" t="str">
        <f t="shared" si="2"/>
        <v>2024 11</v>
      </c>
    </row>
    <row r="2948" ht="22.5" customHeight="1">
      <c r="A2948" s="12">
        <f>IFERROR(__xludf.DUMMYFUNCTION("""COMPUTED_VALUE"""),2444.0)</f>
        <v>2444</v>
      </c>
      <c r="B2948" s="13">
        <f>IFERROR(__xludf.DUMMYFUNCTION("""COMPUTED_VALUE"""),45613.0)</f>
        <v>45613</v>
      </c>
      <c r="C2948" s="12">
        <f>IFERROR(__xludf.DUMMYFUNCTION("""COMPUTED_VALUE"""),185.0)</f>
        <v>185</v>
      </c>
      <c r="D2948" s="12">
        <f>IFERROR(__xludf.DUMMYFUNCTION("""COMPUTED_VALUE"""),4.0)</f>
        <v>4</v>
      </c>
      <c r="E2948" s="12">
        <f>IFERROR(__xludf.DUMMYFUNCTION("""COMPUTED_VALUE"""),6.0)</f>
        <v>6</v>
      </c>
      <c r="F2948" s="12">
        <f>IFERROR(__xludf.DUMMYFUNCTION("""COMPUTED_VALUE"""),3.0)</f>
        <v>3</v>
      </c>
      <c r="G2948" s="15" t="str">
        <f>IFERROR(__xludf.DUMMYFUNCTION("""COMPUTED_VALUE"""),"Pendiente")</f>
        <v>Pendiente</v>
      </c>
      <c r="H2948" s="16" t="str">
        <f t="array" ref="H2948">_xlfn.XLOOKUP(D2948,Productos[ID_Producto],Productos[Nombre_Producto])</f>
        <v>Queso rallado</v>
      </c>
      <c r="I2948" s="17">
        <f t="array" ref="I2948">_xlfn.XLOOKUP(D2948,Productos[ID_Producto],Productos[Precio_Unitario])</f>
        <v>19.23</v>
      </c>
      <c r="J2948" s="17">
        <f t="shared" si="1"/>
        <v>115.38</v>
      </c>
      <c r="K2948" s="16" t="str">
        <f t="array" ref="K2948">_xlfn.XLOOKUP(C2948,Clientes[ID_Cliente],Clientes[Provincia])</f>
        <v>Córdoba</v>
      </c>
      <c r="L2948" s="16" t="str">
        <f t="array" ref="L2948">CONCATENATE(_xlfn.XLOOKUP(C2948,Clientes[ID_Cliente],Clientes[Provincia]),", Argentina")</f>
        <v>Córdoba, Argentina</v>
      </c>
      <c r="M2948" s="20" t="str">
        <f t="array" ref="M2948">_xlfn.XLOOKUP(F2948,Metodos_De_Pago[ID_Metodo],Metodos_De_Pago[Metodo])</f>
        <v>Tarjeta de Débito</v>
      </c>
      <c r="N2948" s="20" t="str">
        <f t="shared" si="2"/>
        <v>2024 11</v>
      </c>
    </row>
    <row r="2949" ht="22.5" customHeight="1">
      <c r="A2949" s="12">
        <f>IFERROR(__xludf.DUMMYFUNCTION("""COMPUTED_VALUE"""),2267.0)</f>
        <v>2267</v>
      </c>
      <c r="B2949" s="13">
        <f>IFERROR(__xludf.DUMMYFUNCTION("""COMPUTED_VALUE"""),45614.0)</f>
        <v>45614</v>
      </c>
      <c r="C2949" s="12">
        <f>IFERROR(__xludf.DUMMYFUNCTION("""COMPUTED_VALUE"""),239.0)</f>
        <v>239</v>
      </c>
      <c r="D2949" s="12">
        <f>IFERROR(__xludf.DUMMYFUNCTION("""COMPUTED_VALUE"""),23.0)</f>
        <v>23</v>
      </c>
      <c r="E2949" s="12">
        <f>IFERROR(__xludf.DUMMYFUNCTION("""COMPUTED_VALUE"""),6.0)</f>
        <v>6</v>
      </c>
      <c r="F2949" s="12">
        <f>IFERROR(__xludf.DUMMYFUNCTION("""COMPUTED_VALUE"""),2.0)</f>
        <v>2</v>
      </c>
      <c r="G2949" s="15" t="str">
        <f>IFERROR(__xludf.DUMMYFUNCTION("""COMPUTED_VALUE"""),"Completa")</f>
        <v>Completa</v>
      </c>
      <c r="H2949" s="16" t="str">
        <f t="array" ref="H2949">_xlfn.XLOOKUP(D2949,Productos[ID_Producto],Productos[Nombre_Producto])</f>
        <v>Papas fritas</v>
      </c>
      <c r="I2949" s="17">
        <f t="array" ref="I2949">_xlfn.XLOOKUP(D2949,Productos[ID_Producto],Productos[Precio_Unitario])</f>
        <v>8.23</v>
      </c>
      <c r="J2949" s="17">
        <f t="shared" si="1"/>
        <v>49.38</v>
      </c>
      <c r="K2949" s="16" t="str">
        <f t="array" ref="K2949">_xlfn.XLOOKUP(C2949,Clientes[ID_Cliente],Clientes[Provincia])</f>
        <v>Buenos Aires</v>
      </c>
      <c r="L2949" s="16" t="str">
        <f t="array" ref="L2949">CONCATENATE(_xlfn.XLOOKUP(C2949,Clientes[ID_Cliente],Clientes[Provincia]),", Argentina")</f>
        <v>Buenos Aires, Argentina</v>
      </c>
      <c r="M2949" s="20" t="str">
        <f t="array" ref="M2949">_xlfn.XLOOKUP(F2949,Metodos_De_Pago[ID_Metodo],Metodos_De_Pago[Metodo])</f>
        <v>Tarjeta de Crédito</v>
      </c>
      <c r="N2949" s="20" t="str">
        <f t="shared" si="2"/>
        <v>2024 11</v>
      </c>
    </row>
    <row r="2950" ht="22.5" customHeight="1">
      <c r="A2950" s="12">
        <f>IFERROR(__xludf.DUMMYFUNCTION("""COMPUTED_VALUE"""),611.0)</f>
        <v>611</v>
      </c>
      <c r="B2950" s="13">
        <f>IFERROR(__xludf.DUMMYFUNCTION("""COMPUTED_VALUE"""),45615.0)</f>
        <v>45615</v>
      </c>
      <c r="C2950" s="12">
        <f>IFERROR(__xludf.DUMMYFUNCTION("""COMPUTED_VALUE"""),119.0)</f>
        <v>119</v>
      </c>
      <c r="D2950" s="12">
        <f>IFERROR(__xludf.DUMMYFUNCTION("""COMPUTED_VALUE"""),38.0)</f>
        <v>38</v>
      </c>
      <c r="E2950" s="12">
        <f>IFERROR(__xludf.DUMMYFUNCTION("""COMPUTED_VALUE"""),6.0)</f>
        <v>6</v>
      </c>
      <c r="F2950" s="12">
        <f>IFERROR(__xludf.DUMMYFUNCTION("""COMPUTED_VALUE"""),4.0)</f>
        <v>4</v>
      </c>
      <c r="G2950" s="15" t="str">
        <f>IFERROR(__xludf.DUMMYFUNCTION("""COMPUTED_VALUE"""),"Completa")</f>
        <v>Completa</v>
      </c>
      <c r="H2950" s="16" t="str">
        <f t="array" ref="H2950">_xlfn.XLOOKUP(D2950,Productos[ID_Producto],Productos[Nombre_Producto])</f>
        <v>Atún enlatado</v>
      </c>
      <c r="I2950" s="17">
        <f t="array" ref="I2950">_xlfn.XLOOKUP(D2950,Productos[ID_Producto],Productos[Precio_Unitario])</f>
        <v>6.21</v>
      </c>
      <c r="J2950" s="17">
        <f t="shared" si="1"/>
        <v>37.26</v>
      </c>
      <c r="K2950" s="16" t="str">
        <f t="array" ref="K2950">_xlfn.XLOOKUP(C2950,Clientes[ID_Cliente],Clientes[Provincia])</f>
        <v>Neuquén</v>
      </c>
      <c r="L2950" s="16" t="str">
        <f t="array" ref="L2950">CONCATENATE(_xlfn.XLOOKUP(C2950,Clientes[ID_Cliente],Clientes[Provincia]),", Argentina")</f>
        <v>Neuquén, Argentina</v>
      </c>
      <c r="M2950" s="20" t="str">
        <f t="array" ref="M2950">_xlfn.XLOOKUP(F2950,Metodos_De_Pago[ID_Metodo],Metodos_De_Pago[Metodo])</f>
        <v>Mercado Pago</v>
      </c>
      <c r="N2950" s="20" t="str">
        <f t="shared" si="2"/>
        <v>2024 11</v>
      </c>
    </row>
    <row r="2951" ht="22.5" customHeight="1">
      <c r="A2951" s="12">
        <f>IFERROR(__xludf.DUMMYFUNCTION("""COMPUTED_VALUE"""),887.0)</f>
        <v>887</v>
      </c>
      <c r="B2951" s="13">
        <f>IFERROR(__xludf.DUMMYFUNCTION("""COMPUTED_VALUE"""),45615.0)</f>
        <v>45615</v>
      </c>
      <c r="C2951" s="12">
        <f>IFERROR(__xludf.DUMMYFUNCTION("""COMPUTED_VALUE"""),214.0)</f>
        <v>214</v>
      </c>
      <c r="D2951" s="12">
        <f>IFERROR(__xludf.DUMMYFUNCTION("""COMPUTED_VALUE"""),16.0)</f>
        <v>16</v>
      </c>
      <c r="E2951" s="12">
        <f>IFERROR(__xludf.DUMMYFUNCTION("""COMPUTED_VALUE"""),6.0)</f>
        <v>6</v>
      </c>
      <c r="F2951" s="12">
        <f>IFERROR(__xludf.DUMMYFUNCTION("""COMPUTED_VALUE"""),4.0)</f>
        <v>4</v>
      </c>
      <c r="G2951" s="15" t="str">
        <f>IFERROR(__xludf.DUMMYFUNCTION("""COMPUTED_VALUE"""),"Completa")</f>
        <v>Completa</v>
      </c>
      <c r="H2951" s="16" t="str">
        <f t="array" ref="H2951">_xlfn.XLOOKUP(D2951,Productos[ID_Producto],Productos[Nombre_Producto])</f>
        <v>Tortas</v>
      </c>
      <c r="I2951" s="17">
        <f t="array" ref="I2951">_xlfn.XLOOKUP(D2951,Productos[ID_Producto],Productos[Precio_Unitario])</f>
        <v>15.23</v>
      </c>
      <c r="J2951" s="17">
        <f t="shared" si="1"/>
        <v>91.38</v>
      </c>
      <c r="K2951" s="16" t="str">
        <f t="array" ref="K2951">_xlfn.XLOOKUP(C2951,Clientes[ID_Cliente],Clientes[Provincia])</f>
        <v>Neuquén</v>
      </c>
      <c r="L2951" s="16" t="str">
        <f t="array" ref="L2951">CONCATENATE(_xlfn.XLOOKUP(C2951,Clientes[ID_Cliente],Clientes[Provincia]),", Argentina")</f>
        <v>Neuquén, Argentina</v>
      </c>
      <c r="M2951" s="20" t="str">
        <f t="array" ref="M2951">_xlfn.XLOOKUP(F2951,Metodos_De_Pago[ID_Metodo],Metodos_De_Pago[Metodo])</f>
        <v>Mercado Pago</v>
      </c>
      <c r="N2951" s="20" t="str">
        <f t="shared" si="2"/>
        <v>2024 11</v>
      </c>
    </row>
    <row r="2952" ht="22.5" customHeight="1">
      <c r="A2952" s="12">
        <f>IFERROR(__xludf.DUMMYFUNCTION("""COMPUTED_VALUE"""),1173.0)</f>
        <v>1173</v>
      </c>
      <c r="B2952" s="13">
        <f>IFERROR(__xludf.DUMMYFUNCTION("""COMPUTED_VALUE"""),45617.0)</f>
        <v>45617</v>
      </c>
      <c r="C2952" s="12">
        <f>IFERROR(__xludf.DUMMYFUNCTION("""COMPUTED_VALUE"""),193.0)</f>
        <v>193</v>
      </c>
      <c r="D2952" s="12">
        <f>IFERROR(__xludf.DUMMYFUNCTION("""COMPUTED_VALUE"""),11.0)</f>
        <v>11</v>
      </c>
      <c r="E2952" s="12">
        <f>IFERROR(__xludf.DUMMYFUNCTION("""COMPUTED_VALUE"""),6.0)</f>
        <v>6</v>
      </c>
      <c r="F2952" s="12">
        <f>IFERROR(__xludf.DUMMYFUNCTION("""COMPUTED_VALUE"""),4.0)</f>
        <v>4</v>
      </c>
      <c r="G2952" s="15" t="str">
        <f>IFERROR(__xludf.DUMMYFUNCTION("""COMPUTED_VALUE"""),"Pendiente")</f>
        <v>Pendiente</v>
      </c>
      <c r="H2952" s="16" t="str">
        <f t="array" ref="H2952">_xlfn.XLOOKUP(D2952,Productos[ID_Producto],Productos[Nombre_Producto])</f>
        <v>Salchicha</v>
      </c>
      <c r="I2952" s="17">
        <f t="array" ref="I2952">_xlfn.XLOOKUP(D2952,Productos[ID_Producto],Productos[Precio_Unitario])</f>
        <v>11.23</v>
      </c>
      <c r="J2952" s="17">
        <f t="shared" si="1"/>
        <v>67.38</v>
      </c>
      <c r="K2952" s="16" t="str">
        <f t="array" ref="K2952">_xlfn.XLOOKUP(C2952,Clientes[ID_Cliente],Clientes[Provincia])</f>
        <v>Buenos Aires</v>
      </c>
      <c r="L2952" s="16" t="str">
        <f t="array" ref="L2952">CONCATENATE(_xlfn.XLOOKUP(C2952,Clientes[ID_Cliente],Clientes[Provincia]),", Argentina")</f>
        <v>Buenos Aires, Argentina</v>
      </c>
      <c r="M2952" s="20" t="str">
        <f t="array" ref="M2952">_xlfn.XLOOKUP(F2952,Metodos_De_Pago[ID_Metodo],Metodos_De_Pago[Metodo])</f>
        <v>Mercado Pago</v>
      </c>
      <c r="N2952" s="20" t="str">
        <f t="shared" si="2"/>
        <v>2024 11</v>
      </c>
    </row>
    <row r="2953" ht="22.5" customHeight="1">
      <c r="A2953" s="12">
        <f>IFERROR(__xludf.DUMMYFUNCTION("""COMPUTED_VALUE"""),2100.0)</f>
        <v>2100</v>
      </c>
      <c r="B2953" s="13">
        <f>IFERROR(__xludf.DUMMYFUNCTION("""COMPUTED_VALUE"""),45617.0)</f>
        <v>45617</v>
      </c>
      <c r="C2953" s="12">
        <f>IFERROR(__xludf.DUMMYFUNCTION("""COMPUTED_VALUE"""),260.0)</f>
        <v>260</v>
      </c>
      <c r="D2953" s="12">
        <f>IFERROR(__xludf.DUMMYFUNCTION("""COMPUTED_VALUE"""),24.0)</f>
        <v>24</v>
      </c>
      <c r="E2953" s="12">
        <f>IFERROR(__xludf.DUMMYFUNCTION("""COMPUTED_VALUE"""),6.0)</f>
        <v>6</v>
      </c>
      <c r="F2953" s="12">
        <f>IFERROR(__xludf.DUMMYFUNCTION("""COMPUTED_VALUE"""),2.0)</f>
        <v>2</v>
      </c>
      <c r="G2953" s="15" t="str">
        <f>IFERROR(__xludf.DUMMYFUNCTION("""COMPUTED_VALUE"""),"Pendiente")</f>
        <v>Pendiente</v>
      </c>
      <c r="H2953" s="16" t="str">
        <f t="array" ref="H2953">_xlfn.XLOOKUP(D2953,Productos[ID_Producto],Productos[Nombre_Producto])</f>
        <v>Empanadas</v>
      </c>
      <c r="I2953" s="17">
        <f t="array" ref="I2953">_xlfn.XLOOKUP(D2953,Productos[ID_Producto],Productos[Precio_Unitario])</f>
        <v>13.54</v>
      </c>
      <c r="J2953" s="17">
        <f t="shared" si="1"/>
        <v>81.24</v>
      </c>
      <c r="K2953" s="16" t="str">
        <f t="array" ref="K2953">_xlfn.XLOOKUP(C2953,Clientes[ID_Cliente],Clientes[Provincia])</f>
        <v>Buenos Aires</v>
      </c>
      <c r="L2953" s="16" t="str">
        <f t="array" ref="L2953">CONCATENATE(_xlfn.XLOOKUP(C2953,Clientes[ID_Cliente],Clientes[Provincia]),", Argentina")</f>
        <v>Buenos Aires, Argentina</v>
      </c>
      <c r="M2953" s="20" t="str">
        <f t="array" ref="M2953">_xlfn.XLOOKUP(F2953,Metodos_De_Pago[ID_Metodo],Metodos_De_Pago[Metodo])</f>
        <v>Tarjeta de Crédito</v>
      </c>
      <c r="N2953" s="20" t="str">
        <f t="shared" si="2"/>
        <v>2024 11</v>
      </c>
    </row>
    <row r="2954" ht="22.5" customHeight="1">
      <c r="A2954" s="12">
        <f>IFERROR(__xludf.DUMMYFUNCTION("""COMPUTED_VALUE"""),2562.0)</f>
        <v>2562</v>
      </c>
      <c r="B2954" s="13">
        <f>IFERROR(__xludf.DUMMYFUNCTION("""COMPUTED_VALUE"""),45620.0)</f>
        <v>45620</v>
      </c>
      <c r="C2954" s="12">
        <f>IFERROR(__xludf.DUMMYFUNCTION("""COMPUTED_VALUE"""),79.0)</f>
        <v>79</v>
      </c>
      <c r="D2954" s="12">
        <f>IFERROR(__xludf.DUMMYFUNCTION("""COMPUTED_VALUE"""),36.0)</f>
        <v>36</v>
      </c>
      <c r="E2954" s="12">
        <f>IFERROR(__xludf.DUMMYFUNCTION("""COMPUTED_VALUE"""),6.0)</f>
        <v>6</v>
      </c>
      <c r="F2954" s="12">
        <f>IFERROR(__xludf.DUMMYFUNCTION("""COMPUTED_VALUE"""),1.0)</f>
        <v>1</v>
      </c>
      <c r="G2954" s="15" t="str">
        <f>IFERROR(__xludf.DUMMYFUNCTION("""COMPUTED_VALUE"""),"Completa")</f>
        <v>Completa</v>
      </c>
      <c r="H2954" s="16" t="str">
        <f t="array" ref="H2954">_xlfn.XLOOKUP(D2954,Productos[ID_Producto],Productos[Nombre_Producto])</f>
        <v>Lentejas</v>
      </c>
      <c r="I2954" s="17">
        <f t="array" ref="I2954">_xlfn.XLOOKUP(D2954,Productos[ID_Producto],Productos[Precio_Unitario])</f>
        <v>3.25</v>
      </c>
      <c r="J2954" s="17">
        <f t="shared" si="1"/>
        <v>19.5</v>
      </c>
      <c r="K2954" s="16" t="str">
        <f t="array" ref="K2954">_xlfn.XLOOKUP(C2954,Clientes[ID_Cliente],Clientes[Provincia])</f>
        <v>Neuquén</v>
      </c>
      <c r="L2954" s="16" t="str">
        <f t="array" ref="L2954">CONCATENATE(_xlfn.XLOOKUP(C2954,Clientes[ID_Cliente],Clientes[Provincia]),", Argentina")</f>
        <v>Neuquén, Argentina</v>
      </c>
      <c r="M2954" s="20" t="str">
        <f t="array" ref="M2954">_xlfn.XLOOKUP(F2954,Metodos_De_Pago[ID_Metodo],Metodos_De_Pago[Metodo])</f>
        <v>Efectivo</v>
      </c>
      <c r="N2954" s="20" t="str">
        <f t="shared" si="2"/>
        <v>2024 11</v>
      </c>
    </row>
    <row r="2955" ht="22.5" customHeight="1">
      <c r="A2955" s="12">
        <f>IFERROR(__xludf.DUMMYFUNCTION("""COMPUTED_VALUE"""),704.0)</f>
        <v>704</v>
      </c>
      <c r="B2955" s="13">
        <f>IFERROR(__xludf.DUMMYFUNCTION("""COMPUTED_VALUE"""),45621.0)</f>
        <v>45621</v>
      </c>
      <c r="C2955" s="12">
        <f>IFERROR(__xludf.DUMMYFUNCTION("""COMPUTED_VALUE"""),105.0)</f>
        <v>105</v>
      </c>
      <c r="D2955" s="12">
        <f>IFERROR(__xludf.DUMMYFUNCTION("""COMPUTED_VALUE"""),30.0)</f>
        <v>30</v>
      </c>
      <c r="E2955" s="12">
        <f>IFERROR(__xludf.DUMMYFUNCTION("""COMPUTED_VALUE"""),6.0)</f>
        <v>6</v>
      </c>
      <c r="F2955" s="12">
        <f>IFERROR(__xludf.DUMMYFUNCTION("""COMPUTED_VALUE"""),1.0)</f>
        <v>1</v>
      </c>
      <c r="G2955" s="15" t="str">
        <f>IFERROR(__xludf.DUMMYFUNCTION("""COMPUTED_VALUE"""),"Completa")</f>
        <v>Completa</v>
      </c>
      <c r="H2955" s="16" t="str">
        <f t="array" ref="H2955">_xlfn.XLOOKUP(D2955,Productos[ID_Producto],Productos[Nombre_Producto])</f>
        <v>Vino tinto</v>
      </c>
      <c r="I2955" s="17">
        <f t="array" ref="I2955">_xlfn.XLOOKUP(D2955,Productos[ID_Producto],Productos[Precio_Unitario])</f>
        <v>13.54</v>
      </c>
      <c r="J2955" s="17">
        <f t="shared" si="1"/>
        <v>81.24</v>
      </c>
      <c r="K2955" s="16" t="str">
        <f t="array" ref="K2955">_xlfn.XLOOKUP(C2955,Clientes[ID_Cliente],Clientes[Provincia])</f>
        <v>Buenos Aires</v>
      </c>
      <c r="L2955" s="16" t="str">
        <f t="array" ref="L2955">CONCATENATE(_xlfn.XLOOKUP(C2955,Clientes[ID_Cliente],Clientes[Provincia]),", Argentina")</f>
        <v>Buenos Aires, Argentina</v>
      </c>
      <c r="M2955" s="20" t="str">
        <f t="array" ref="M2955">_xlfn.XLOOKUP(F2955,Metodos_De_Pago[ID_Metodo],Metodos_De_Pago[Metodo])</f>
        <v>Efectivo</v>
      </c>
      <c r="N2955" s="20" t="str">
        <f t="shared" si="2"/>
        <v>2024 11</v>
      </c>
    </row>
    <row r="2956" ht="22.5" customHeight="1">
      <c r="A2956" s="12">
        <f>IFERROR(__xludf.DUMMYFUNCTION("""COMPUTED_VALUE"""),874.0)</f>
        <v>874</v>
      </c>
      <c r="B2956" s="13">
        <f>IFERROR(__xludf.DUMMYFUNCTION("""COMPUTED_VALUE"""),45621.0)</f>
        <v>45621</v>
      </c>
      <c r="C2956" s="12">
        <f>IFERROR(__xludf.DUMMYFUNCTION("""COMPUTED_VALUE"""),326.0)</f>
        <v>326</v>
      </c>
      <c r="D2956" s="12">
        <f>IFERROR(__xludf.DUMMYFUNCTION("""COMPUTED_VALUE"""),26.0)</f>
        <v>26</v>
      </c>
      <c r="E2956" s="12">
        <f>IFERROR(__xludf.DUMMYFUNCTION("""COMPUTED_VALUE"""),6.0)</f>
        <v>6</v>
      </c>
      <c r="F2956" s="12">
        <f>IFERROR(__xludf.DUMMYFUNCTION("""COMPUTED_VALUE"""),5.0)</f>
        <v>5</v>
      </c>
      <c r="G2956" s="15" t="str">
        <f>IFERROR(__xludf.DUMMYFUNCTION("""COMPUTED_VALUE"""),"Pendiente")</f>
        <v>Pendiente</v>
      </c>
      <c r="H2956" s="16" t="str">
        <f t="array" ref="H2956">_xlfn.XLOOKUP(D2956,Productos[ID_Producto],Productos[Nombre_Producto])</f>
        <v>Hamburgesas congeladas</v>
      </c>
      <c r="I2956" s="17">
        <f t="array" ref="I2956">_xlfn.XLOOKUP(D2956,Productos[ID_Producto],Productos[Precio_Unitario])</f>
        <v>9.54</v>
      </c>
      <c r="J2956" s="17">
        <f t="shared" si="1"/>
        <v>57.24</v>
      </c>
      <c r="K2956" s="16" t="str">
        <f t="array" ref="K2956">_xlfn.XLOOKUP(C2956,Clientes[ID_Cliente],Clientes[Provincia])</f>
        <v>San Luis</v>
      </c>
      <c r="L2956" s="16" t="str">
        <f t="array" ref="L2956">CONCATENATE(_xlfn.XLOOKUP(C2956,Clientes[ID_Cliente],Clientes[Provincia]),", Argentina")</f>
        <v>San Luis, Argentina</v>
      </c>
      <c r="M2956" s="20" t="str">
        <f t="array" ref="M2956">_xlfn.XLOOKUP(F2956,Metodos_De_Pago[ID_Metodo],Metodos_De_Pago[Metodo])</f>
        <v>Transferencia</v>
      </c>
      <c r="N2956" s="20" t="str">
        <f t="shared" si="2"/>
        <v>2024 11</v>
      </c>
    </row>
    <row r="2957" ht="22.5" customHeight="1">
      <c r="A2957" s="12">
        <f>IFERROR(__xludf.DUMMYFUNCTION("""COMPUTED_VALUE"""),1592.0)</f>
        <v>1592</v>
      </c>
      <c r="B2957" s="13">
        <f>IFERROR(__xludf.DUMMYFUNCTION("""COMPUTED_VALUE"""),45621.0)</f>
        <v>45621</v>
      </c>
      <c r="C2957" s="12">
        <f>IFERROR(__xludf.DUMMYFUNCTION("""COMPUTED_VALUE"""),27.0)</f>
        <v>27</v>
      </c>
      <c r="D2957" s="12">
        <f>IFERROR(__xludf.DUMMYFUNCTION("""COMPUTED_VALUE"""),9.0)</f>
        <v>9</v>
      </c>
      <c r="E2957" s="12">
        <f>IFERROR(__xludf.DUMMYFUNCTION("""COMPUTED_VALUE"""),6.0)</f>
        <v>6</v>
      </c>
      <c r="F2957" s="12">
        <f>IFERROR(__xludf.DUMMYFUNCTION("""COMPUTED_VALUE"""),5.0)</f>
        <v>5</v>
      </c>
      <c r="G2957" s="15" t="str">
        <f>IFERROR(__xludf.DUMMYFUNCTION("""COMPUTED_VALUE"""),"Completa")</f>
        <v>Completa</v>
      </c>
      <c r="H2957" s="16" t="str">
        <f t="array" ref="H2957">_xlfn.XLOOKUP(D2957,Productos[ID_Producto],Productos[Nombre_Producto])</f>
        <v>Pollo</v>
      </c>
      <c r="I2957" s="17">
        <f t="array" ref="I2957">_xlfn.XLOOKUP(D2957,Productos[ID_Producto],Productos[Precio_Unitario])</f>
        <v>18.56</v>
      </c>
      <c r="J2957" s="17">
        <f t="shared" si="1"/>
        <v>111.36</v>
      </c>
      <c r="K2957" s="16" t="str">
        <f t="array" ref="K2957">_xlfn.XLOOKUP(C2957,Clientes[ID_Cliente],Clientes[Provincia])</f>
        <v>Buenos Aires</v>
      </c>
      <c r="L2957" s="16" t="str">
        <f t="array" ref="L2957">CONCATENATE(_xlfn.XLOOKUP(C2957,Clientes[ID_Cliente],Clientes[Provincia]),", Argentina")</f>
        <v>Buenos Aires, Argentina</v>
      </c>
      <c r="M2957" s="20" t="str">
        <f t="array" ref="M2957">_xlfn.XLOOKUP(F2957,Metodos_De_Pago[ID_Metodo],Metodos_De_Pago[Metodo])</f>
        <v>Transferencia</v>
      </c>
      <c r="N2957" s="20" t="str">
        <f t="shared" si="2"/>
        <v>2024 11</v>
      </c>
    </row>
    <row r="2958" ht="22.5" customHeight="1">
      <c r="A2958" s="12">
        <f>IFERROR(__xludf.DUMMYFUNCTION("""COMPUTED_VALUE"""),200.0)</f>
        <v>200</v>
      </c>
      <c r="B2958" s="13">
        <f>IFERROR(__xludf.DUMMYFUNCTION("""COMPUTED_VALUE"""),45622.0)</f>
        <v>45622</v>
      </c>
      <c r="C2958" s="12">
        <f>IFERROR(__xludf.DUMMYFUNCTION("""COMPUTED_VALUE"""),142.0)</f>
        <v>142</v>
      </c>
      <c r="D2958" s="12">
        <f>IFERROR(__xludf.DUMMYFUNCTION("""COMPUTED_VALUE"""),35.0)</f>
        <v>35</v>
      </c>
      <c r="E2958" s="12">
        <f>IFERROR(__xludf.DUMMYFUNCTION("""COMPUTED_VALUE"""),6.0)</f>
        <v>6</v>
      </c>
      <c r="F2958" s="12">
        <f>IFERROR(__xludf.DUMMYFUNCTION("""COMPUTED_VALUE"""),2.0)</f>
        <v>2</v>
      </c>
      <c r="G2958" s="15" t="str">
        <f>IFERROR(__xludf.DUMMYFUNCTION("""COMPUTED_VALUE"""),"Completa")</f>
        <v>Completa</v>
      </c>
      <c r="H2958" s="16" t="str">
        <f t="array" ref="H2958">_xlfn.XLOOKUP(D2958,Productos[ID_Producto],Productos[Nombre_Producto])</f>
        <v>Arroz</v>
      </c>
      <c r="I2958" s="17">
        <f t="array" ref="I2958">_xlfn.XLOOKUP(D2958,Productos[ID_Producto],Productos[Precio_Unitario])</f>
        <v>4.25</v>
      </c>
      <c r="J2958" s="17">
        <f t="shared" si="1"/>
        <v>25.5</v>
      </c>
      <c r="K2958" s="16" t="str">
        <f t="array" ref="K2958">_xlfn.XLOOKUP(C2958,Clientes[ID_Cliente],Clientes[Provincia])</f>
        <v>San Luis</v>
      </c>
      <c r="L2958" s="16" t="str">
        <f t="array" ref="L2958">CONCATENATE(_xlfn.XLOOKUP(C2958,Clientes[ID_Cliente],Clientes[Provincia]),", Argentina")</f>
        <v>San Luis, Argentina</v>
      </c>
      <c r="M2958" s="20" t="str">
        <f t="array" ref="M2958">_xlfn.XLOOKUP(F2958,Metodos_De_Pago[ID_Metodo],Metodos_De_Pago[Metodo])</f>
        <v>Tarjeta de Crédito</v>
      </c>
      <c r="N2958" s="20" t="str">
        <f t="shared" si="2"/>
        <v>2024 11</v>
      </c>
    </row>
    <row r="2959" ht="22.5" customHeight="1">
      <c r="A2959" s="12">
        <f>IFERROR(__xludf.DUMMYFUNCTION("""COMPUTED_VALUE"""),1784.0)</f>
        <v>1784</v>
      </c>
      <c r="B2959" s="13">
        <f>IFERROR(__xludf.DUMMYFUNCTION("""COMPUTED_VALUE"""),45622.0)</f>
        <v>45622</v>
      </c>
      <c r="C2959" s="12">
        <f>IFERROR(__xludf.DUMMYFUNCTION("""COMPUTED_VALUE"""),179.0)</f>
        <v>179</v>
      </c>
      <c r="D2959" s="12">
        <f>IFERROR(__xludf.DUMMYFUNCTION("""COMPUTED_VALUE"""),30.0)</f>
        <v>30</v>
      </c>
      <c r="E2959" s="12">
        <f>IFERROR(__xludf.DUMMYFUNCTION("""COMPUTED_VALUE"""),6.0)</f>
        <v>6</v>
      </c>
      <c r="F2959" s="12">
        <f>IFERROR(__xludf.DUMMYFUNCTION("""COMPUTED_VALUE"""),4.0)</f>
        <v>4</v>
      </c>
      <c r="G2959" s="15" t="str">
        <f>IFERROR(__xludf.DUMMYFUNCTION("""COMPUTED_VALUE"""),"Completa")</f>
        <v>Completa</v>
      </c>
      <c r="H2959" s="16" t="str">
        <f t="array" ref="H2959">_xlfn.XLOOKUP(D2959,Productos[ID_Producto],Productos[Nombre_Producto])</f>
        <v>Vino tinto</v>
      </c>
      <c r="I2959" s="17">
        <f t="array" ref="I2959">_xlfn.XLOOKUP(D2959,Productos[ID_Producto],Productos[Precio_Unitario])</f>
        <v>13.54</v>
      </c>
      <c r="J2959" s="17">
        <f t="shared" si="1"/>
        <v>81.24</v>
      </c>
      <c r="K2959" s="16" t="str">
        <f t="array" ref="K2959">_xlfn.XLOOKUP(C2959,Clientes[ID_Cliente],Clientes[Provincia])</f>
        <v>Buenos Aires</v>
      </c>
      <c r="L2959" s="16" t="str">
        <f t="array" ref="L2959">CONCATENATE(_xlfn.XLOOKUP(C2959,Clientes[ID_Cliente],Clientes[Provincia]),", Argentina")</f>
        <v>Buenos Aires, Argentina</v>
      </c>
      <c r="M2959" s="20" t="str">
        <f t="array" ref="M2959">_xlfn.XLOOKUP(F2959,Metodos_De_Pago[ID_Metodo],Metodos_De_Pago[Metodo])</f>
        <v>Mercado Pago</v>
      </c>
      <c r="N2959" s="20" t="str">
        <f t="shared" si="2"/>
        <v>2024 11</v>
      </c>
    </row>
    <row r="2960" ht="22.5" customHeight="1">
      <c r="A2960" s="12">
        <f>IFERROR(__xludf.DUMMYFUNCTION("""COMPUTED_VALUE"""),2464.0)</f>
        <v>2464</v>
      </c>
      <c r="B2960" s="13">
        <f>IFERROR(__xludf.DUMMYFUNCTION("""COMPUTED_VALUE"""),45623.0)</f>
        <v>45623</v>
      </c>
      <c r="C2960" s="12">
        <f>IFERROR(__xludf.DUMMYFUNCTION("""COMPUTED_VALUE"""),18.0)</f>
        <v>18</v>
      </c>
      <c r="D2960" s="12">
        <f>IFERROR(__xludf.DUMMYFUNCTION("""COMPUTED_VALUE"""),34.0)</f>
        <v>34</v>
      </c>
      <c r="E2960" s="12">
        <f>IFERROR(__xludf.DUMMYFUNCTION("""COMPUTED_VALUE"""),6.0)</f>
        <v>6</v>
      </c>
      <c r="F2960" s="12">
        <f>IFERROR(__xludf.DUMMYFUNCTION("""COMPUTED_VALUE"""),4.0)</f>
        <v>4</v>
      </c>
      <c r="G2960" s="15" t="str">
        <f>IFERROR(__xludf.DUMMYFUNCTION("""COMPUTED_VALUE"""),"Completa")</f>
        <v>Completa</v>
      </c>
      <c r="H2960" s="16" t="str">
        <f t="array" ref="H2960">_xlfn.XLOOKUP(D2960,Productos[ID_Producto],Productos[Nombre_Producto])</f>
        <v>Maníes</v>
      </c>
      <c r="I2960" s="17">
        <f t="array" ref="I2960">_xlfn.XLOOKUP(D2960,Productos[ID_Producto],Productos[Precio_Unitario])</f>
        <v>5.45</v>
      </c>
      <c r="J2960" s="17">
        <f t="shared" si="1"/>
        <v>32.7</v>
      </c>
      <c r="K2960" s="16" t="str">
        <f t="array" ref="K2960">_xlfn.XLOOKUP(C2960,Clientes[ID_Cliente],Clientes[Provincia])</f>
        <v>Córdoba</v>
      </c>
      <c r="L2960" s="16" t="str">
        <f t="array" ref="L2960">CONCATENATE(_xlfn.XLOOKUP(C2960,Clientes[ID_Cliente],Clientes[Provincia]),", Argentina")</f>
        <v>Córdoba, Argentina</v>
      </c>
      <c r="M2960" s="20" t="str">
        <f t="array" ref="M2960">_xlfn.XLOOKUP(F2960,Metodos_De_Pago[ID_Metodo],Metodos_De_Pago[Metodo])</f>
        <v>Mercado Pago</v>
      </c>
      <c r="N2960" s="20" t="str">
        <f t="shared" si="2"/>
        <v>2024 11</v>
      </c>
    </row>
    <row r="2961" ht="22.5" customHeight="1">
      <c r="A2961" s="12">
        <f>IFERROR(__xludf.DUMMYFUNCTION("""COMPUTED_VALUE"""),1521.0)</f>
        <v>1521</v>
      </c>
      <c r="B2961" s="13">
        <f>IFERROR(__xludf.DUMMYFUNCTION("""COMPUTED_VALUE"""),45624.0)</f>
        <v>45624</v>
      </c>
      <c r="C2961" s="12">
        <f>IFERROR(__xludf.DUMMYFUNCTION("""COMPUTED_VALUE"""),168.0)</f>
        <v>168</v>
      </c>
      <c r="D2961" s="12">
        <f>IFERROR(__xludf.DUMMYFUNCTION("""COMPUTED_VALUE"""),5.0)</f>
        <v>5</v>
      </c>
      <c r="E2961" s="12">
        <f>IFERROR(__xludf.DUMMYFUNCTION("""COMPUTED_VALUE"""),6.0)</f>
        <v>6</v>
      </c>
      <c r="F2961" s="12">
        <f>IFERROR(__xludf.DUMMYFUNCTION("""COMPUTED_VALUE"""),2.0)</f>
        <v>2</v>
      </c>
      <c r="G2961" s="15" t="str">
        <f>IFERROR(__xludf.DUMMYFUNCTION("""COMPUTED_VALUE"""),"Completa")</f>
        <v>Completa</v>
      </c>
      <c r="H2961" s="16" t="str">
        <f t="array" ref="H2961">_xlfn.XLOOKUP(D2961,Productos[ID_Producto],Productos[Nombre_Producto])</f>
        <v>Manteca</v>
      </c>
      <c r="I2961" s="17">
        <f t="array" ref="I2961">_xlfn.XLOOKUP(D2961,Productos[ID_Producto],Productos[Precio_Unitario])</f>
        <v>5.65</v>
      </c>
      <c r="J2961" s="17">
        <f t="shared" si="1"/>
        <v>33.9</v>
      </c>
      <c r="K2961" s="16" t="str">
        <f t="array" ref="K2961">_xlfn.XLOOKUP(C2961,Clientes[ID_Cliente],Clientes[Provincia])</f>
        <v>Córdoba</v>
      </c>
      <c r="L2961" s="16" t="str">
        <f t="array" ref="L2961">CONCATENATE(_xlfn.XLOOKUP(C2961,Clientes[ID_Cliente],Clientes[Provincia]),", Argentina")</f>
        <v>Córdoba, Argentina</v>
      </c>
      <c r="M2961" s="20" t="str">
        <f t="array" ref="M2961">_xlfn.XLOOKUP(F2961,Metodos_De_Pago[ID_Metodo],Metodos_De_Pago[Metodo])</f>
        <v>Tarjeta de Crédito</v>
      </c>
      <c r="N2961" s="20" t="str">
        <f t="shared" si="2"/>
        <v>2024 11</v>
      </c>
    </row>
    <row r="2962" ht="22.5" customHeight="1">
      <c r="A2962" s="12">
        <f>IFERROR(__xludf.DUMMYFUNCTION("""COMPUTED_VALUE"""),1669.0)</f>
        <v>1669</v>
      </c>
      <c r="B2962" s="13">
        <f>IFERROR(__xludf.DUMMYFUNCTION("""COMPUTED_VALUE"""),45624.0)</f>
        <v>45624</v>
      </c>
      <c r="C2962" s="12">
        <f>IFERROR(__xludf.DUMMYFUNCTION("""COMPUTED_VALUE"""),93.0)</f>
        <v>93</v>
      </c>
      <c r="D2962" s="12">
        <f>IFERROR(__xludf.DUMMYFUNCTION("""COMPUTED_VALUE"""),7.0)</f>
        <v>7</v>
      </c>
      <c r="E2962" s="12">
        <f>IFERROR(__xludf.DUMMYFUNCTION("""COMPUTED_VALUE"""),6.0)</f>
        <v>6</v>
      </c>
      <c r="F2962" s="12">
        <f>IFERROR(__xludf.DUMMYFUNCTION("""COMPUTED_VALUE"""),4.0)</f>
        <v>4</v>
      </c>
      <c r="G2962" s="15" t="str">
        <f>IFERROR(__xludf.DUMMYFUNCTION("""COMPUTED_VALUE"""),"Completa")</f>
        <v>Completa</v>
      </c>
      <c r="H2962" s="16" t="str">
        <f t="array" ref="H2962">_xlfn.XLOOKUP(D2962,Productos[ID_Producto],Productos[Nombre_Producto])</f>
        <v>Chorizo</v>
      </c>
      <c r="I2962" s="17">
        <f t="array" ref="I2962">_xlfn.XLOOKUP(D2962,Productos[ID_Producto],Productos[Precio_Unitario])</f>
        <v>11.25</v>
      </c>
      <c r="J2962" s="17">
        <f t="shared" si="1"/>
        <v>67.5</v>
      </c>
      <c r="K2962" s="16" t="str">
        <f t="array" ref="K2962">_xlfn.XLOOKUP(C2962,Clientes[ID_Cliente],Clientes[Provincia])</f>
        <v>Buenos Aires</v>
      </c>
      <c r="L2962" s="16" t="str">
        <f t="array" ref="L2962">CONCATENATE(_xlfn.XLOOKUP(C2962,Clientes[ID_Cliente],Clientes[Provincia]),", Argentina")</f>
        <v>Buenos Aires, Argentina</v>
      </c>
      <c r="M2962" s="20" t="str">
        <f t="array" ref="M2962">_xlfn.XLOOKUP(F2962,Metodos_De_Pago[ID_Metodo],Metodos_De_Pago[Metodo])</f>
        <v>Mercado Pago</v>
      </c>
      <c r="N2962" s="20" t="str">
        <f t="shared" si="2"/>
        <v>2024 11</v>
      </c>
    </row>
    <row r="2963" ht="22.5" customHeight="1">
      <c r="A2963" s="12">
        <f>IFERROR(__xludf.DUMMYFUNCTION("""COMPUTED_VALUE"""),465.0)</f>
        <v>465</v>
      </c>
      <c r="B2963" s="13">
        <f>IFERROR(__xludf.DUMMYFUNCTION("""COMPUTED_VALUE"""),45625.0)</f>
        <v>45625</v>
      </c>
      <c r="C2963" s="12">
        <f>IFERROR(__xludf.DUMMYFUNCTION("""COMPUTED_VALUE"""),93.0)</f>
        <v>93</v>
      </c>
      <c r="D2963" s="12">
        <f>IFERROR(__xludf.DUMMYFUNCTION("""COMPUTED_VALUE"""),30.0)</f>
        <v>30</v>
      </c>
      <c r="E2963" s="12">
        <f>IFERROR(__xludf.DUMMYFUNCTION("""COMPUTED_VALUE"""),6.0)</f>
        <v>6</v>
      </c>
      <c r="F2963" s="12">
        <f>IFERROR(__xludf.DUMMYFUNCTION("""COMPUTED_VALUE"""),3.0)</f>
        <v>3</v>
      </c>
      <c r="G2963" s="15" t="str">
        <f>IFERROR(__xludf.DUMMYFUNCTION("""COMPUTED_VALUE"""),"Completa")</f>
        <v>Completa</v>
      </c>
      <c r="H2963" s="16" t="str">
        <f t="array" ref="H2963">_xlfn.XLOOKUP(D2963,Productos[ID_Producto],Productos[Nombre_Producto])</f>
        <v>Vino tinto</v>
      </c>
      <c r="I2963" s="17">
        <f t="array" ref="I2963">_xlfn.XLOOKUP(D2963,Productos[ID_Producto],Productos[Precio_Unitario])</f>
        <v>13.54</v>
      </c>
      <c r="J2963" s="17">
        <f t="shared" si="1"/>
        <v>81.24</v>
      </c>
      <c r="K2963" s="16" t="str">
        <f t="array" ref="K2963">_xlfn.XLOOKUP(C2963,Clientes[ID_Cliente],Clientes[Provincia])</f>
        <v>Buenos Aires</v>
      </c>
      <c r="L2963" s="16" t="str">
        <f t="array" ref="L2963">CONCATENATE(_xlfn.XLOOKUP(C2963,Clientes[ID_Cliente],Clientes[Provincia]),", Argentina")</f>
        <v>Buenos Aires, Argentina</v>
      </c>
      <c r="M2963" s="20" t="str">
        <f t="array" ref="M2963">_xlfn.XLOOKUP(F2963,Metodos_De_Pago[ID_Metodo],Metodos_De_Pago[Metodo])</f>
        <v>Tarjeta de Débito</v>
      </c>
      <c r="N2963" s="20" t="str">
        <f t="shared" si="2"/>
        <v>2024 11</v>
      </c>
    </row>
    <row r="2964" ht="22.5" customHeight="1">
      <c r="A2964" s="12">
        <f>IFERROR(__xludf.DUMMYFUNCTION("""COMPUTED_VALUE"""),2322.0)</f>
        <v>2322</v>
      </c>
      <c r="B2964" s="13">
        <f>IFERROR(__xludf.DUMMYFUNCTION("""COMPUTED_VALUE"""),45626.0)</f>
        <v>45626</v>
      </c>
      <c r="C2964" s="12">
        <f>IFERROR(__xludf.DUMMYFUNCTION("""COMPUTED_VALUE"""),63.0)</f>
        <v>63</v>
      </c>
      <c r="D2964" s="12">
        <f>IFERROR(__xludf.DUMMYFUNCTION("""COMPUTED_VALUE"""),7.0)</f>
        <v>7</v>
      </c>
      <c r="E2964" s="12">
        <f>IFERROR(__xludf.DUMMYFUNCTION("""COMPUTED_VALUE"""),6.0)</f>
        <v>6</v>
      </c>
      <c r="F2964" s="12">
        <f>IFERROR(__xludf.DUMMYFUNCTION("""COMPUTED_VALUE"""),4.0)</f>
        <v>4</v>
      </c>
      <c r="G2964" s="15" t="str">
        <f>IFERROR(__xludf.DUMMYFUNCTION("""COMPUTED_VALUE"""),"Pendiente")</f>
        <v>Pendiente</v>
      </c>
      <c r="H2964" s="16" t="str">
        <f t="array" ref="H2964">_xlfn.XLOOKUP(D2964,Productos[ID_Producto],Productos[Nombre_Producto])</f>
        <v>Chorizo</v>
      </c>
      <c r="I2964" s="17">
        <f t="array" ref="I2964">_xlfn.XLOOKUP(D2964,Productos[ID_Producto],Productos[Precio_Unitario])</f>
        <v>11.25</v>
      </c>
      <c r="J2964" s="17">
        <f t="shared" si="1"/>
        <v>67.5</v>
      </c>
      <c r="K2964" s="16" t="str">
        <f t="array" ref="K2964">_xlfn.XLOOKUP(C2964,Clientes[ID_Cliente],Clientes[Provincia])</f>
        <v>Buenos Aires</v>
      </c>
      <c r="L2964" s="16" t="str">
        <f t="array" ref="L2964">CONCATENATE(_xlfn.XLOOKUP(C2964,Clientes[ID_Cliente],Clientes[Provincia]),", Argentina")</f>
        <v>Buenos Aires, Argentina</v>
      </c>
      <c r="M2964" s="20" t="str">
        <f t="array" ref="M2964">_xlfn.XLOOKUP(F2964,Metodos_De_Pago[ID_Metodo],Metodos_De_Pago[Metodo])</f>
        <v>Mercado Pago</v>
      </c>
      <c r="N2964" s="20" t="str">
        <f t="shared" si="2"/>
        <v>2024 11</v>
      </c>
    </row>
    <row r="2965" ht="22.5" customHeight="1">
      <c r="A2965" s="12">
        <f>IFERROR(__xludf.DUMMYFUNCTION("""COMPUTED_VALUE"""),1959.0)</f>
        <v>1959</v>
      </c>
      <c r="B2965" s="13">
        <f>IFERROR(__xludf.DUMMYFUNCTION("""COMPUTED_VALUE"""),45627.0)</f>
        <v>45627</v>
      </c>
      <c r="C2965" s="12">
        <f>IFERROR(__xludf.DUMMYFUNCTION("""COMPUTED_VALUE"""),58.0)</f>
        <v>58</v>
      </c>
      <c r="D2965" s="12">
        <f>IFERROR(__xludf.DUMMYFUNCTION("""COMPUTED_VALUE"""),16.0)</f>
        <v>16</v>
      </c>
      <c r="E2965" s="12">
        <f>IFERROR(__xludf.DUMMYFUNCTION("""COMPUTED_VALUE"""),6.0)</f>
        <v>6</v>
      </c>
      <c r="F2965" s="12">
        <f>IFERROR(__xludf.DUMMYFUNCTION("""COMPUTED_VALUE"""),5.0)</f>
        <v>5</v>
      </c>
      <c r="G2965" s="15" t="str">
        <f>IFERROR(__xludf.DUMMYFUNCTION("""COMPUTED_VALUE"""),"Completa")</f>
        <v>Completa</v>
      </c>
      <c r="H2965" s="16" t="str">
        <f t="array" ref="H2965">_xlfn.XLOOKUP(D2965,Productos[ID_Producto],Productos[Nombre_Producto])</f>
        <v>Tortas</v>
      </c>
      <c r="I2965" s="17">
        <f t="array" ref="I2965">_xlfn.XLOOKUP(D2965,Productos[ID_Producto],Productos[Precio_Unitario])</f>
        <v>15.23</v>
      </c>
      <c r="J2965" s="17">
        <f t="shared" si="1"/>
        <v>91.38</v>
      </c>
      <c r="K2965" s="16" t="str">
        <f t="array" ref="K2965">_xlfn.XLOOKUP(C2965,Clientes[ID_Cliente],Clientes[Provincia])</f>
        <v>Buenos Aires</v>
      </c>
      <c r="L2965" s="16" t="str">
        <f t="array" ref="L2965">CONCATENATE(_xlfn.XLOOKUP(C2965,Clientes[ID_Cliente],Clientes[Provincia]),", Argentina")</f>
        <v>Buenos Aires, Argentina</v>
      </c>
      <c r="M2965" s="20" t="str">
        <f t="array" ref="M2965">_xlfn.XLOOKUP(F2965,Metodos_De_Pago[ID_Metodo],Metodos_De_Pago[Metodo])</f>
        <v>Transferencia</v>
      </c>
      <c r="N2965" s="20" t="str">
        <f t="shared" si="2"/>
        <v>2024 12</v>
      </c>
    </row>
    <row r="2966" ht="22.5" customHeight="1">
      <c r="A2966" s="12">
        <f>IFERROR(__xludf.DUMMYFUNCTION("""COMPUTED_VALUE"""),483.0)</f>
        <v>483</v>
      </c>
      <c r="B2966" s="13">
        <f>IFERROR(__xludf.DUMMYFUNCTION("""COMPUTED_VALUE"""),45628.0)</f>
        <v>45628</v>
      </c>
      <c r="C2966" s="12">
        <f>IFERROR(__xludf.DUMMYFUNCTION("""COMPUTED_VALUE"""),230.0)</f>
        <v>230</v>
      </c>
      <c r="D2966" s="12">
        <f>IFERROR(__xludf.DUMMYFUNCTION("""COMPUTED_VALUE"""),25.0)</f>
        <v>25</v>
      </c>
      <c r="E2966" s="12">
        <f>IFERROR(__xludf.DUMMYFUNCTION("""COMPUTED_VALUE"""),6.0)</f>
        <v>6</v>
      </c>
      <c r="F2966" s="12">
        <f>IFERROR(__xludf.DUMMYFUNCTION("""COMPUTED_VALUE"""),4.0)</f>
        <v>4</v>
      </c>
      <c r="G2966" s="15" t="str">
        <f>IFERROR(__xludf.DUMMYFUNCTION("""COMPUTED_VALUE"""),"Completa")</f>
        <v>Completa</v>
      </c>
      <c r="H2966" s="16" t="str">
        <f t="array" ref="H2966">_xlfn.XLOOKUP(D2966,Productos[ID_Producto],Productos[Nombre_Producto])</f>
        <v>Pizza congelada</v>
      </c>
      <c r="I2966" s="17">
        <f t="array" ref="I2966">_xlfn.XLOOKUP(D2966,Productos[ID_Producto],Productos[Precio_Unitario])</f>
        <v>15.45</v>
      </c>
      <c r="J2966" s="17">
        <f t="shared" si="1"/>
        <v>92.7</v>
      </c>
      <c r="K2966" s="16" t="str">
        <f t="array" ref="K2966">_xlfn.XLOOKUP(C2966,Clientes[ID_Cliente],Clientes[Provincia])</f>
        <v>Córdoba</v>
      </c>
      <c r="L2966" s="16" t="str">
        <f t="array" ref="L2966">CONCATENATE(_xlfn.XLOOKUP(C2966,Clientes[ID_Cliente],Clientes[Provincia]),", Argentina")</f>
        <v>Córdoba, Argentina</v>
      </c>
      <c r="M2966" s="20" t="str">
        <f t="array" ref="M2966">_xlfn.XLOOKUP(F2966,Metodos_De_Pago[ID_Metodo],Metodos_De_Pago[Metodo])</f>
        <v>Mercado Pago</v>
      </c>
      <c r="N2966" s="20" t="str">
        <f t="shared" si="2"/>
        <v>2024 12</v>
      </c>
    </row>
    <row r="2967" ht="22.5" customHeight="1">
      <c r="A2967" s="12">
        <f>IFERROR(__xludf.DUMMYFUNCTION("""COMPUTED_VALUE"""),990.0)</f>
        <v>990</v>
      </c>
      <c r="B2967" s="13">
        <f>IFERROR(__xludf.DUMMYFUNCTION("""COMPUTED_VALUE"""),45628.0)</f>
        <v>45628</v>
      </c>
      <c r="C2967" s="12">
        <f>IFERROR(__xludf.DUMMYFUNCTION("""COMPUTED_VALUE"""),136.0)</f>
        <v>136</v>
      </c>
      <c r="D2967" s="12">
        <f>IFERROR(__xludf.DUMMYFUNCTION("""COMPUTED_VALUE"""),27.0)</f>
        <v>27</v>
      </c>
      <c r="E2967" s="12">
        <f>IFERROR(__xludf.DUMMYFUNCTION("""COMPUTED_VALUE"""),6.0)</f>
        <v>6</v>
      </c>
      <c r="F2967" s="12">
        <f>IFERROR(__xludf.DUMMYFUNCTION("""COMPUTED_VALUE"""),4.0)</f>
        <v>4</v>
      </c>
      <c r="G2967" s="15" t="str">
        <f>IFERROR(__xludf.DUMMYFUNCTION("""COMPUTED_VALUE"""),"Completa")</f>
        <v>Completa</v>
      </c>
      <c r="H2967" s="16" t="str">
        <f t="array" ref="H2967">_xlfn.XLOOKUP(D2967,Productos[ID_Producto],Productos[Nombre_Producto])</f>
        <v>Agua mineral</v>
      </c>
      <c r="I2967" s="17">
        <f t="array" ref="I2967">_xlfn.XLOOKUP(D2967,Productos[ID_Producto],Productos[Precio_Unitario])</f>
        <v>6.21</v>
      </c>
      <c r="J2967" s="17">
        <f t="shared" si="1"/>
        <v>37.26</v>
      </c>
      <c r="K2967" s="16" t="str">
        <f t="array" ref="K2967">_xlfn.XLOOKUP(C2967,Clientes[ID_Cliente],Clientes[Provincia])</f>
        <v>Neuquén</v>
      </c>
      <c r="L2967" s="16" t="str">
        <f t="array" ref="L2967">CONCATENATE(_xlfn.XLOOKUP(C2967,Clientes[ID_Cliente],Clientes[Provincia]),", Argentina")</f>
        <v>Neuquén, Argentina</v>
      </c>
      <c r="M2967" s="20" t="str">
        <f t="array" ref="M2967">_xlfn.XLOOKUP(F2967,Metodos_De_Pago[ID_Metodo],Metodos_De_Pago[Metodo])</f>
        <v>Mercado Pago</v>
      </c>
      <c r="N2967" s="20" t="str">
        <f t="shared" si="2"/>
        <v>2024 12</v>
      </c>
    </row>
    <row r="2968" ht="22.5" customHeight="1">
      <c r="A2968" s="12">
        <f>IFERROR(__xludf.DUMMYFUNCTION("""COMPUTED_VALUE"""),7.0)</f>
        <v>7</v>
      </c>
      <c r="B2968" s="13">
        <f>IFERROR(__xludf.DUMMYFUNCTION("""COMPUTED_VALUE"""),45629.0)</f>
        <v>45629</v>
      </c>
      <c r="C2968" s="12">
        <f>IFERROR(__xludf.DUMMYFUNCTION("""COMPUTED_VALUE"""),43.0)</f>
        <v>43</v>
      </c>
      <c r="D2968" s="12">
        <f>IFERROR(__xludf.DUMMYFUNCTION("""COMPUTED_VALUE"""),23.0)</f>
        <v>23</v>
      </c>
      <c r="E2968" s="12">
        <f>IFERROR(__xludf.DUMMYFUNCTION("""COMPUTED_VALUE"""),6.0)</f>
        <v>6</v>
      </c>
      <c r="F2968" s="12">
        <f>IFERROR(__xludf.DUMMYFUNCTION("""COMPUTED_VALUE"""),5.0)</f>
        <v>5</v>
      </c>
      <c r="G2968" s="15" t="str">
        <f>IFERROR(__xludf.DUMMYFUNCTION("""COMPUTED_VALUE"""),"Completa")</f>
        <v>Completa</v>
      </c>
      <c r="H2968" s="16" t="str">
        <f t="array" ref="H2968">_xlfn.XLOOKUP(D2968,Productos[ID_Producto],Productos[Nombre_Producto])</f>
        <v>Papas fritas</v>
      </c>
      <c r="I2968" s="17">
        <f t="array" ref="I2968">_xlfn.XLOOKUP(D2968,Productos[ID_Producto],Productos[Precio_Unitario])</f>
        <v>8.23</v>
      </c>
      <c r="J2968" s="17">
        <f t="shared" si="1"/>
        <v>49.38</v>
      </c>
      <c r="K2968" s="16" t="str">
        <f t="array" ref="K2968">_xlfn.XLOOKUP(C2968,Clientes[ID_Cliente],Clientes[Provincia])</f>
        <v>Neuquén</v>
      </c>
      <c r="L2968" s="16" t="str">
        <f t="array" ref="L2968">CONCATENATE(_xlfn.XLOOKUP(C2968,Clientes[ID_Cliente],Clientes[Provincia]),", Argentina")</f>
        <v>Neuquén, Argentina</v>
      </c>
      <c r="M2968" s="20" t="str">
        <f t="array" ref="M2968">_xlfn.XLOOKUP(F2968,Metodos_De_Pago[ID_Metodo],Metodos_De_Pago[Metodo])</f>
        <v>Transferencia</v>
      </c>
      <c r="N2968" s="20" t="str">
        <f t="shared" si="2"/>
        <v>2024 12</v>
      </c>
    </row>
    <row r="2969" ht="22.5" customHeight="1">
      <c r="A2969" s="12">
        <f>IFERROR(__xludf.DUMMYFUNCTION("""COMPUTED_VALUE"""),2591.0)</f>
        <v>2591</v>
      </c>
      <c r="B2969" s="13">
        <f>IFERROR(__xludf.DUMMYFUNCTION("""COMPUTED_VALUE"""),45630.0)</f>
        <v>45630</v>
      </c>
      <c r="C2969" s="12">
        <f>IFERROR(__xludf.DUMMYFUNCTION("""COMPUTED_VALUE"""),305.0)</f>
        <v>305</v>
      </c>
      <c r="D2969" s="12">
        <f>IFERROR(__xludf.DUMMYFUNCTION("""COMPUTED_VALUE"""),9.0)</f>
        <v>9</v>
      </c>
      <c r="E2969" s="12">
        <f>IFERROR(__xludf.DUMMYFUNCTION("""COMPUTED_VALUE"""),6.0)</f>
        <v>6</v>
      </c>
      <c r="F2969" s="12">
        <f>IFERROR(__xludf.DUMMYFUNCTION("""COMPUTED_VALUE"""),5.0)</f>
        <v>5</v>
      </c>
      <c r="G2969" s="15" t="str">
        <f>IFERROR(__xludf.DUMMYFUNCTION("""COMPUTED_VALUE"""),"Completa")</f>
        <v>Completa</v>
      </c>
      <c r="H2969" s="16" t="str">
        <f t="array" ref="H2969">_xlfn.XLOOKUP(D2969,Productos[ID_Producto],Productos[Nombre_Producto])</f>
        <v>Pollo</v>
      </c>
      <c r="I2969" s="17">
        <f t="array" ref="I2969">_xlfn.XLOOKUP(D2969,Productos[ID_Producto],Productos[Precio_Unitario])</f>
        <v>18.56</v>
      </c>
      <c r="J2969" s="17">
        <f t="shared" si="1"/>
        <v>111.36</v>
      </c>
      <c r="K2969" s="16" t="str">
        <f t="array" ref="K2969">_xlfn.XLOOKUP(C2969,Clientes[ID_Cliente],Clientes[Provincia])</f>
        <v>Neuquén</v>
      </c>
      <c r="L2969" s="16" t="str">
        <f t="array" ref="L2969">CONCATENATE(_xlfn.XLOOKUP(C2969,Clientes[ID_Cliente],Clientes[Provincia]),", Argentina")</f>
        <v>Neuquén, Argentina</v>
      </c>
      <c r="M2969" s="20" t="str">
        <f t="array" ref="M2969">_xlfn.XLOOKUP(F2969,Metodos_De_Pago[ID_Metodo],Metodos_De_Pago[Metodo])</f>
        <v>Transferencia</v>
      </c>
      <c r="N2969" s="20" t="str">
        <f t="shared" si="2"/>
        <v>2024 12</v>
      </c>
    </row>
    <row r="2970" ht="22.5" customHeight="1">
      <c r="A2970" s="12">
        <f>IFERROR(__xludf.DUMMYFUNCTION("""COMPUTED_VALUE"""),2217.0)</f>
        <v>2217</v>
      </c>
      <c r="B2970" s="13">
        <f>IFERROR(__xludf.DUMMYFUNCTION("""COMPUTED_VALUE"""),45631.0)</f>
        <v>45631</v>
      </c>
      <c r="C2970" s="12">
        <f>IFERROR(__xludf.DUMMYFUNCTION("""COMPUTED_VALUE"""),198.0)</f>
        <v>198</v>
      </c>
      <c r="D2970" s="12">
        <f>IFERROR(__xludf.DUMMYFUNCTION("""COMPUTED_VALUE"""),6.0)</f>
        <v>6</v>
      </c>
      <c r="E2970" s="12">
        <f>IFERROR(__xludf.DUMMYFUNCTION("""COMPUTED_VALUE"""),6.0)</f>
        <v>6</v>
      </c>
      <c r="F2970" s="12">
        <f>IFERROR(__xludf.DUMMYFUNCTION("""COMPUTED_VALUE"""),3.0)</f>
        <v>3</v>
      </c>
      <c r="G2970" s="15" t="str">
        <f>IFERROR(__xludf.DUMMYFUNCTION("""COMPUTED_VALUE"""),"Completa")</f>
        <v>Completa</v>
      </c>
      <c r="H2970" s="16" t="str">
        <f t="array" ref="H2970">_xlfn.XLOOKUP(D2970,Productos[ID_Producto],Productos[Nombre_Producto])</f>
        <v>Asado</v>
      </c>
      <c r="I2970" s="17">
        <f t="array" ref="I2970">_xlfn.XLOOKUP(D2970,Productos[ID_Producto],Productos[Precio_Unitario])</f>
        <v>28.56</v>
      </c>
      <c r="J2970" s="17">
        <f t="shared" si="1"/>
        <v>171.36</v>
      </c>
      <c r="K2970" s="16" t="str">
        <f t="array" ref="K2970">_xlfn.XLOOKUP(C2970,Clientes[ID_Cliente],Clientes[Provincia])</f>
        <v>Salta</v>
      </c>
      <c r="L2970" s="16" t="str">
        <f t="array" ref="L2970">CONCATENATE(_xlfn.XLOOKUP(C2970,Clientes[ID_Cliente],Clientes[Provincia]),", Argentina")</f>
        <v>Salta, Argentina</v>
      </c>
      <c r="M2970" s="20" t="str">
        <f t="array" ref="M2970">_xlfn.XLOOKUP(F2970,Metodos_De_Pago[ID_Metodo],Metodos_De_Pago[Metodo])</f>
        <v>Tarjeta de Débito</v>
      </c>
      <c r="N2970" s="20" t="str">
        <f t="shared" si="2"/>
        <v>2024 12</v>
      </c>
    </row>
    <row r="2971" ht="22.5" customHeight="1">
      <c r="A2971" s="12">
        <f>IFERROR(__xludf.DUMMYFUNCTION("""COMPUTED_VALUE"""),2593.0)</f>
        <v>2593</v>
      </c>
      <c r="B2971" s="13">
        <f>IFERROR(__xludf.DUMMYFUNCTION("""COMPUTED_VALUE"""),45635.0)</f>
        <v>45635</v>
      </c>
      <c r="C2971" s="12">
        <f>IFERROR(__xludf.DUMMYFUNCTION("""COMPUTED_VALUE"""),312.0)</f>
        <v>312</v>
      </c>
      <c r="D2971" s="12">
        <f>IFERROR(__xludf.DUMMYFUNCTION("""COMPUTED_VALUE"""),2.0)</f>
        <v>2</v>
      </c>
      <c r="E2971" s="12">
        <f>IFERROR(__xludf.DUMMYFUNCTION("""COMPUTED_VALUE"""),6.0)</f>
        <v>6</v>
      </c>
      <c r="F2971" s="12">
        <f>IFERROR(__xludf.DUMMYFUNCTION("""COMPUTED_VALUE"""),2.0)</f>
        <v>2</v>
      </c>
      <c r="G2971" s="15" t="str">
        <f>IFERROR(__xludf.DUMMYFUNCTION("""COMPUTED_VALUE"""),"Completa")</f>
        <v>Completa</v>
      </c>
      <c r="H2971" s="16" t="str">
        <f t="array" ref="H2971">_xlfn.XLOOKUP(D2971,Productos[ID_Producto],Productos[Nombre_Producto])</f>
        <v>Yogur</v>
      </c>
      <c r="I2971" s="17">
        <f t="array" ref="I2971">_xlfn.XLOOKUP(D2971,Productos[ID_Producto],Productos[Precio_Unitario])</f>
        <v>5.21</v>
      </c>
      <c r="J2971" s="17">
        <f t="shared" si="1"/>
        <v>31.26</v>
      </c>
      <c r="K2971" s="16" t="str">
        <f t="array" ref="K2971">_xlfn.XLOOKUP(C2971,Clientes[ID_Cliente],Clientes[Provincia])</f>
        <v>San Luis</v>
      </c>
      <c r="L2971" s="16" t="str">
        <f t="array" ref="L2971">CONCATENATE(_xlfn.XLOOKUP(C2971,Clientes[ID_Cliente],Clientes[Provincia]),", Argentina")</f>
        <v>San Luis, Argentina</v>
      </c>
      <c r="M2971" s="20" t="str">
        <f t="array" ref="M2971">_xlfn.XLOOKUP(F2971,Metodos_De_Pago[ID_Metodo],Metodos_De_Pago[Metodo])</f>
        <v>Tarjeta de Crédito</v>
      </c>
      <c r="N2971" s="20" t="str">
        <f t="shared" si="2"/>
        <v>2024 12</v>
      </c>
    </row>
    <row r="2972" ht="22.5" customHeight="1">
      <c r="A2972" s="12">
        <f>IFERROR(__xludf.DUMMYFUNCTION("""COMPUTED_VALUE"""),1816.0)</f>
        <v>1816</v>
      </c>
      <c r="B2972" s="13">
        <f>IFERROR(__xludf.DUMMYFUNCTION("""COMPUTED_VALUE"""),45636.0)</f>
        <v>45636</v>
      </c>
      <c r="C2972" s="12">
        <f>IFERROR(__xludf.DUMMYFUNCTION("""COMPUTED_VALUE"""),210.0)</f>
        <v>210</v>
      </c>
      <c r="D2972" s="12">
        <f>IFERROR(__xludf.DUMMYFUNCTION("""COMPUTED_VALUE"""),6.0)</f>
        <v>6</v>
      </c>
      <c r="E2972" s="12">
        <f>IFERROR(__xludf.DUMMYFUNCTION("""COMPUTED_VALUE"""),6.0)</f>
        <v>6</v>
      </c>
      <c r="F2972" s="12">
        <f>IFERROR(__xludf.DUMMYFUNCTION("""COMPUTED_VALUE"""),5.0)</f>
        <v>5</v>
      </c>
      <c r="G2972" s="15" t="str">
        <f>IFERROR(__xludf.DUMMYFUNCTION("""COMPUTED_VALUE"""),"Pendiente")</f>
        <v>Pendiente</v>
      </c>
      <c r="H2972" s="16" t="str">
        <f t="array" ref="H2972">_xlfn.XLOOKUP(D2972,Productos[ID_Producto],Productos[Nombre_Producto])</f>
        <v>Asado</v>
      </c>
      <c r="I2972" s="17">
        <f t="array" ref="I2972">_xlfn.XLOOKUP(D2972,Productos[ID_Producto],Productos[Precio_Unitario])</f>
        <v>28.56</v>
      </c>
      <c r="J2972" s="17">
        <f t="shared" si="1"/>
        <v>171.36</v>
      </c>
      <c r="K2972" s="16" t="str">
        <f t="array" ref="K2972">_xlfn.XLOOKUP(C2972,Clientes[ID_Cliente],Clientes[Provincia])</f>
        <v>Córdoba</v>
      </c>
      <c r="L2972" s="16" t="str">
        <f t="array" ref="L2972">CONCATENATE(_xlfn.XLOOKUP(C2972,Clientes[ID_Cliente],Clientes[Provincia]),", Argentina")</f>
        <v>Córdoba, Argentina</v>
      </c>
      <c r="M2972" s="20" t="str">
        <f t="array" ref="M2972">_xlfn.XLOOKUP(F2972,Metodos_De_Pago[ID_Metodo],Metodos_De_Pago[Metodo])</f>
        <v>Transferencia</v>
      </c>
      <c r="N2972" s="20" t="str">
        <f t="shared" si="2"/>
        <v>2024 12</v>
      </c>
    </row>
    <row r="2973" ht="22.5" customHeight="1">
      <c r="A2973" s="12">
        <f>IFERROR(__xludf.DUMMYFUNCTION("""COMPUTED_VALUE"""),374.0)</f>
        <v>374</v>
      </c>
      <c r="B2973" s="13">
        <f>IFERROR(__xludf.DUMMYFUNCTION("""COMPUTED_VALUE"""),45637.0)</f>
        <v>45637</v>
      </c>
      <c r="C2973" s="12">
        <f>IFERROR(__xludf.DUMMYFUNCTION("""COMPUTED_VALUE"""),17.0)</f>
        <v>17</v>
      </c>
      <c r="D2973" s="12">
        <f>IFERROR(__xludf.DUMMYFUNCTION("""COMPUTED_VALUE"""),6.0)</f>
        <v>6</v>
      </c>
      <c r="E2973" s="12">
        <f>IFERROR(__xludf.DUMMYFUNCTION("""COMPUTED_VALUE"""),6.0)</f>
        <v>6</v>
      </c>
      <c r="F2973" s="12">
        <f>IFERROR(__xludf.DUMMYFUNCTION("""COMPUTED_VALUE"""),1.0)</f>
        <v>1</v>
      </c>
      <c r="G2973" s="15" t="str">
        <f>IFERROR(__xludf.DUMMYFUNCTION("""COMPUTED_VALUE"""),"Completa")</f>
        <v>Completa</v>
      </c>
      <c r="H2973" s="16" t="str">
        <f t="array" ref="H2973">_xlfn.XLOOKUP(D2973,Productos[ID_Producto],Productos[Nombre_Producto])</f>
        <v>Asado</v>
      </c>
      <c r="I2973" s="17">
        <f t="array" ref="I2973">_xlfn.XLOOKUP(D2973,Productos[ID_Producto],Productos[Precio_Unitario])</f>
        <v>28.56</v>
      </c>
      <c r="J2973" s="17">
        <f t="shared" si="1"/>
        <v>171.36</v>
      </c>
      <c r="K2973" s="16" t="str">
        <f t="array" ref="K2973">_xlfn.XLOOKUP(C2973,Clientes[ID_Cliente],Clientes[Provincia])</f>
        <v>Buenos Aires</v>
      </c>
      <c r="L2973" s="16" t="str">
        <f t="array" ref="L2973">CONCATENATE(_xlfn.XLOOKUP(C2973,Clientes[ID_Cliente],Clientes[Provincia]),", Argentina")</f>
        <v>Buenos Aires, Argentina</v>
      </c>
      <c r="M2973" s="20" t="str">
        <f t="array" ref="M2973">_xlfn.XLOOKUP(F2973,Metodos_De_Pago[ID_Metodo],Metodos_De_Pago[Metodo])</f>
        <v>Efectivo</v>
      </c>
      <c r="N2973" s="20" t="str">
        <f t="shared" si="2"/>
        <v>2024 12</v>
      </c>
    </row>
    <row r="2974" ht="22.5" customHeight="1">
      <c r="A2974" s="12">
        <f>IFERROR(__xludf.DUMMYFUNCTION("""COMPUTED_VALUE"""),482.0)</f>
        <v>482</v>
      </c>
      <c r="B2974" s="13">
        <f>IFERROR(__xludf.DUMMYFUNCTION("""COMPUTED_VALUE"""),45637.0)</f>
        <v>45637</v>
      </c>
      <c r="C2974" s="12">
        <f>IFERROR(__xludf.DUMMYFUNCTION("""COMPUTED_VALUE"""),76.0)</f>
        <v>76</v>
      </c>
      <c r="D2974" s="12">
        <f>IFERROR(__xludf.DUMMYFUNCTION("""COMPUTED_VALUE"""),38.0)</f>
        <v>38</v>
      </c>
      <c r="E2974" s="12">
        <f>IFERROR(__xludf.DUMMYFUNCTION("""COMPUTED_VALUE"""),6.0)</f>
        <v>6</v>
      </c>
      <c r="F2974" s="12">
        <f>IFERROR(__xludf.DUMMYFUNCTION("""COMPUTED_VALUE"""),3.0)</f>
        <v>3</v>
      </c>
      <c r="G2974" s="15" t="str">
        <f>IFERROR(__xludf.DUMMYFUNCTION("""COMPUTED_VALUE"""),"Completa")</f>
        <v>Completa</v>
      </c>
      <c r="H2974" s="16" t="str">
        <f t="array" ref="H2974">_xlfn.XLOOKUP(D2974,Productos[ID_Producto],Productos[Nombre_Producto])</f>
        <v>Atún enlatado</v>
      </c>
      <c r="I2974" s="17">
        <f t="array" ref="I2974">_xlfn.XLOOKUP(D2974,Productos[ID_Producto],Productos[Precio_Unitario])</f>
        <v>6.21</v>
      </c>
      <c r="J2974" s="17">
        <f t="shared" si="1"/>
        <v>37.26</v>
      </c>
      <c r="K2974" s="16" t="str">
        <f t="array" ref="K2974">_xlfn.XLOOKUP(C2974,Clientes[ID_Cliente],Clientes[Provincia])</f>
        <v>Córdoba</v>
      </c>
      <c r="L2974" s="16" t="str">
        <f t="array" ref="L2974">CONCATENATE(_xlfn.XLOOKUP(C2974,Clientes[ID_Cliente],Clientes[Provincia]),", Argentina")</f>
        <v>Córdoba, Argentina</v>
      </c>
      <c r="M2974" s="20" t="str">
        <f t="array" ref="M2974">_xlfn.XLOOKUP(F2974,Metodos_De_Pago[ID_Metodo],Metodos_De_Pago[Metodo])</f>
        <v>Tarjeta de Débito</v>
      </c>
      <c r="N2974" s="20" t="str">
        <f t="shared" si="2"/>
        <v>2024 12</v>
      </c>
    </row>
    <row r="2975" ht="22.5" customHeight="1">
      <c r="A2975" s="12">
        <f>IFERROR(__xludf.DUMMYFUNCTION("""COMPUTED_VALUE"""),1817.0)</f>
        <v>1817</v>
      </c>
      <c r="B2975" s="13">
        <f>IFERROR(__xludf.DUMMYFUNCTION("""COMPUTED_VALUE"""),45637.0)</f>
        <v>45637</v>
      </c>
      <c r="C2975" s="12">
        <f>IFERROR(__xludf.DUMMYFUNCTION("""COMPUTED_VALUE"""),73.0)</f>
        <v>73</v>
      </c>
      <c r="D2975" s="12">
        <f>IFERROR(__xludf.DUMMYFUNCTION("""COMPUTED_VALUE"""),29.0)</f>
        <v>29</v>
      </c>
      <c r="E2975" s="12">
        <f>IFERROR(__xludf.DUMMYFUNCTION("""COMPUTED_VALUE"""),6.0)</f>
        <v>6</v>
      </c>
      <c r="F2975" s="12">
        <f>IFERROR(__xludf.DUMMYFUNCTION("""COMPUTED_VALUE"""),4.0)</f>
        <v>4</v>
      </c>
      <c r="G2975" s="15" t="str">
        <f>IFERROR(__xludf.DUMMYFUNCTION("""COMPUTED_VALUE"""),"Completa")</f>
        <v>Completa</v>
      </c>
      <c r="H2975" s="16" t="str">
        <f t="array" ref="H2975">_xlfn.XLOOKUP(D2975,Productos[ID_Producto],Productos[Nombre_Producto])</f>
        <v>Cerveza</v>
      </c>
      <c r="I2975" s="17">
        <f t="array" ref="I2975">_xlfn.XLOOKUP(D2975,Productos[ID_Producto],Productos[Precio_Unitario])</f>
        <v>11.54</v>
      </c>
      <c r="J2975" s="17">
        <f t="shared" si="1"/>
        <v>69.24</v>
      </c>
      <c r="K2975" s="16" t="str">
        <f t="array" ref="K2975">_xlfn.XLOOKUP(C2975,Clientes[ID_Cliente],Clientes[Provincia])</f>
        <v>Córdoba</v>
      </c>
      <c r="L2975" s="16" t="str">
        <f t="array" ref="L2975">CONCATENATE(_xlfn.XLOOKUP(C2975,Clientes[ID_Cliente],Clientes[Provincia]),", Argentina")</f>
        <v>Córdoba, Argentina</v>
      </c>
      <c r="M2975" s="20" t="str">
        <f t="array" ref="M2975">_xlfn.XLOOKUP(F2975,Metodos_De_Pago[ID_Metodo],Metodos_De_Pago[Metodo])</f>
        <v>Mercado Pago</v>
      </c>
      <c r="N2975" s="20" t="str">
        <f t="shared" si="2"/>
        <v>2024 12</v>
      </c>
    </row>
    <row r="2976" ht="22.5" customHeight="1">
      <c r="A2976" s="12">
        <f>IFERROR(__xludf.DUMMYFUNCTION("""COMPUTED_VALUE"""),877.0)</f>
        <v>877</v>
      </c>
      <c r="B2976" s="13">
        <f>IFERROR(__xludf.DUMMYFUNCTION("""COMPUTED_VALUE"""),45638.0)</f>
        <v>45638</v>
      </c>
      <c r="C2976" s="12">
        <f>IFERROR(__xludf.DUMMYFUNCTION("""COMPUTED_VALUE"""),280.0)</f>
        <v>280</v>
      </c>
      <c r="D2976" s="12">
        <f>IFERROR(__xludf.DUMMYFUNCTION("""COMPUTED_VALUE"""),11.0)</f>
        <v>11</v>
      </c>
      <c r="E2976" s="12">
        <f>IFERROR(__xludf.DUMMYFUNCTION("""COMPUTED_VALUE"""),6.0)</f>
        <v>6</v>
      </c>
      <c r="F2976" s="12">
        <f>IFERROR(__xludf.DUMMYFUNCTION("""COMPUTED_VALUE"""),5.0)</f>
        <v>5</v>
      </c>
      <c r="G2976" s="15" t="str">
        <f>IFERROR(__xludf.DUMMYFUNCTION("""COMPUTED_VALUE"""),"Completa")</f>
        <v>Completa</v>
      </c>
      <c r="H2976" s="16" t="str">
        <f t="array" ref="H2976">_xlfn.XLOOKUP(D2976,Productos[ID_Producto],Productos[Nombre_Producto])</f>
        <v>Salchicha</v>
      </c>
      <c r="I2976" s="17">
        <f t="array" ref="I2976">_xlfn.XLOOKUP(D2976,Productos[ID_Producto],Productos[Precio_Unitario])</f>
        <v>11.23</v>
      </c>
      <c r="J2976" s="17">
        <f t="shared" si="1"/>
        <v>67.38</v>
      </c>
      <c r="K2976" s="16" t="str">
        <f t="array" ref="K2976">_xlfn.XLOOKUP(C2976,Clientes[ID_Cliente],Clientes[Provincia])</f>
        <v>Córdoba</v>
      </c>
      <c r="L2976" s="16" t="str">
        <f t="array" ref="L2976">CONCATENATE(_xlfn.XLOOKUP(C2976,Clientes[ID_Cliente],Clientes[Provincia]),", Argentina")</f>
        <v>Córdoba, Argentina</v>
      </c>
      <c r="M2976" s="20" t="str">
        <f t="array" ref="M2976">_xlfn.XLOOKUP(F2976,Metodos_De_Pago[ID_Metodo],Metodos_De_Pago[Metodo])</f>
        <v>Transferencia</v>
      </c>
      <c r="N2976" s="20" t="str">
        <f t="shared" si="2"/>
        <v>2024 12</v>
      </c>
    </row>
    <row r="2977" ht="22.5" customHeight="1">
      <c r="A2977" s="12">
        <f>IFERROR(__xludf.DUMMYFUNCTION("""COMPUTED_VALUE"""),787.0)</f>
        <v>787</v>
      </c>
      <c r="B2977" s="13">
        <f>IFERROR(__xludf.DUMMYFUNCTION("""COMPUTED_VALUE"""),45639.0)</f>
        <v>45639</v>
      </c>
      <c r="C2977" s="12">
        <f>IFERROR(__xludf.DUMMYFUNCTION("""COMPUTED_VALUE"""),325.0)</f>
        <v>325</v>
      </c>
      <c r="D2977" s="12">
        <f>IFERROR(__xludf.DUMMYFUNCTION("""COMPUTED_VALUE"""),27.0)</f>
        <v>27</v>
      </c>
      <c r="E2977" s="12">
        <f>IFERROR(__xludf.DUMMYFUNCTION("""COMPUTED_VALUE"""),6.0)</f>
        <v>6</v>
      </c>
      <c r="F2977" s="12">
        <f>IFERROR(__xludf.DUMMYFUNCTION("""COMPUTED_VALUE"""),1.0)</f>
        <v>1</v>
      </c>
      <c r="G2977" s="15" t="str">
        <f>IFERROR(__xludf.DUMMYFUNCTION("""COMPUTED_VALUE"""),"Completa")</f>
        <v>Completa</v>
      </c>
      <c r="H2977" s="16" t="str">
        <f t="array" ref="H2977">_xlfn.XLOOKUP(D2977,Productos[ID_Producto],Productos[Nombre_Producto])</f>
        <v>Agua mineral</v>
      </c>
      <c r="I2977" s="17">
        <f t="array" ref="I2977">_xlfn.XLOOKUP(D2977,Productos[ID_Producto],Productos[Precio_Unitario])</f>
        <v>6.21</v>
      </c>
      <c r="J2977" s="17">
        <f t="shared" si="1"/>
        <v>37.26</v>
      </c>
      <c r="K2977" s="16" t="str">
        <f t="array" ref="K2977">_xlfn.XLOOKUP(C2977,Clientes[ID_Cliente],Clientes[Provincia])</f>
        <v>Chaco</v>
      </c>
      <c r="L2977" s="16" t="str">
        <f t="array" ref="L2977">CONCATENATE(_xlfn.XLOOKUP(C2977,Clientes[ID_Cliente],Clientes[Provincia]),", Argentina")</f>
        <v>Chaco, Argentina</v>
      </c>
      <c r="M2977" s="20" t="str">
        <f t="array" ref="M2977">_xlfn.XLOOKUP(F2977,Metodos_De_Pago[ID_Metodo],Metodos_De_Pago[Metodo])</f>
        <v>Efectivo</v>
      </c>
      <c r="N2977" s="20" t="str">
        <f t="shared" si="2"/>
        <v>2024 12</v>
      </c>
    </row>
    <row r="2978" ht="22.5" customHeight="1">
      <c r="A2978" s="12">
        <f>IFERROR(__xludf.DUMMYFUNCTION("""COMPUTED_VALUE"""),2340.0)</f>
        <v>2340</v>
      </c>
      <c r="B2978" s="13">
        <f>IFERROR(__xludf.DUMMYFUNCTION("""COMPUTED_VALUE"""),45639.0)</f>
        <v>45639</v>
      </c>
      <c r="C2978" s="12">
        <f>IFERROR(__xludf.DUMMYFUNCTION("""COMPUTED_VALUE"""),76.0)</f>
        <v>76</v>
      </c>
      <c r="D2978" s="12">
        <f>IFERROR(__xludf.DUMMYFUNCTION("""COMPUTED_VALUE"""),38.0)</f>
        <v>38</v>
      </c>
      <c r="E2978" s="12">
        <f>IFERROR(__xludf.DUMMYFUNCTION("""COMPUTED_VALUE"""),6.0)</f>
        <v>6</v>
      </c>
      <c r="F2978" s="12">
        <f>IFERROR(__xludf.DUMMYFUNCTION("""COMPUTED_VALUE"""),3.0)</f>
        <v>3</v>
      </c>
      <c r="G2978" s="15" t="str">
        <f>IFERROR(__xludf.DUMMYFUNCTION("""COMPUTED_VALUE"""),"Completa")</f>
        <v>Completa</v>
      </c>
      <c r="H2978" s="16" t="str">
        <f t="array" ref="H2978">_xlfn.XLOOKUP(D2978,Productos[ID_Producto],Productos[Nombre_Producto])</f>
        <v>Atún enlatado</v>
      </c>
      <c r="I2978" s="17">
        <f t="array" ref="I2978">_xlfn.XLOOKUP(D2978,Productos[ID_Producto],Productos[Precio_Unitario])</f>
        <v>6.21</v>
      </c>
      <c r="J2978" s="17">
        <f t="shared" si="1"/>
        <v>37.26</v>
      </c>
      <c r="K2978" s="16" t="str">
        <f t="array" ref="K2978">_xlfn.XLOOKUP(C2978,Clientes[ID_Cliente],Clientes[Provincia])</f>
        <v>Córdoba</v>
      </c>
      <c r="L2978" s="16" t="str">
        <f t="array" ref="L2978">CONCATENATE(_xlfn.XLOOKUP(C2978,Clientes[ID_Cliente],Clientes[Provincia]),", Argentina")</f>
        <v>Córdoba, Argentina</v>
      </c>
      <c r="M2978" s="20" t="str">
        <f t="array" ref="M2978">_xlfn.XLOOKUP(F2978,Metodos_De_Pago[ID_Metodo],Metodos_De_Pago[Metodo])</f>
        <v>Tarjeta de Débito</v>
      </c>
      <c r="N2978" s="20" t="str">
        <f t="shared" si="2"/>
        <v>2024 12</v>
      </c>
    </row>
    <row r="2979" ht="22.5" customHeight="1">
      <c r="A2979" s="12">
        <f>IFERROR(__xludf.DUMMYFUNCTION("""COMPUTED_VALUE"""),409.0)</f>
        <v>409</v>
      </c>
      <c r="B2979" s="13">
        <f>IFERROR(__xludf.DUMMYFUNCTION("""COMPUTED_VALUE"""),45641.0)</f>
        <v>45641</v>
      </c>
      <c r="C2979" s="12">
        <f>IFERROR(__xludf.DUMMYFUNCTION("""COMPUTED_VALUE"""),34.0)</f>
        <v>34</v>
      </c>
      <c r="D2979" s="12">
        <f>IFERROR(__xludf.DUMMYFUNCTION("""COMPUTED_VALUE"""),27.0)</f>
        <v>27</v>
      </c>
      <c r="E2979" s="12">
        <f>IFERROR(__xludf.DUMMYFUNCTION("""COMPUTED_VALUE"""),6.0)</f>
        <v>6</v>
      </c>
      <c r="F2979" s="12">
        <f>IFERROR(__xludf.DUMMYFUNCTION("""COMPUTED_VALUE"""),4.0)</f>
        <v>4</v>
      </c>
      <c r="G2979" s="15" t="str">
        <f>IFERROR(__xludf.DUMMYFUNCTION("""COMPUTED_VALUE"""),"Completa")</f>
        <v>Completa</v>
      </c>
      <c r="H2979" s="16" t="str">
        <f t="array" ref="H2979">_xlfn.XLOOKUP(D2979,Productos[ID_Producto],Productos[Nombre_Producto])</f>
        <v>Agua mineral</v>
      </c>
      <c r="I2979" s="17">
        <f t="array" ref="I2979">_xlfn.XLOOKUP(D2979,Productos[ID_Producto],Productos[Precio_Unitario])</f>
        <v>6.21</v>
      </c>
      <c r="J2979" s="17">
        <f t="shared" si="1"/>
        <v>37.26</v>
      </c>
      <c r="K2979" s="16" t="str">
        <f t="array" ref="K2979">_xlfn.XLOOKUP(C2979,Clientes[ID_Cliente],Clientes[Provincia])</f>
        <v>San Luis</v>
      </c>
      <c r="L2979" s="16" t="str">
        <f t="array" ref="L2979">CONCATENATE(_xlfn.XLOOKUP(C2979,Clientes[ID_Cliente],Clientes[Provincia]),", Argentina")</f>
        <v>San Luis, Argentina</v>
      </c>
      <c r="M2979" s="20" t="str">
        <f t="array" ref="M2979">_xlfn.XLOOKUP(F2979,Metodos_De_Pago[ID_Metodo],Metodos_De_Pago[Metodo])</f>
        <v>Mercado Pago</v>
      </c>
      <c r="N2979" s="20" t="str">
        <f t="shared" si="2"/>
        <v>2024 12</v>
      </c>
    </row>
    <row r="2980" ht="22.5" customHeight="1">
      <c r="A2980" s="12">
        <f>IFERROR(__xludf.DUMMYFUNCTION("""COMPUTED_VALUE"""),352.0)</f>
        <v>352</v>
      </c>
      <c r="B2980" s="13">
        <f>IFERROR(__xludf.DUMMYFUNCTION("""COMPUTED_VALUE"""),45642.0)</f>
        <v>45642</v>
      </c>
      <c r="C2980" s="12">
        <f>IFERROR(__xludf.DUMMYFUNCTION("""COMPUTED_VALUE"""),286.0)</f>
        <v>286</v>
      </c>
      <c r="D2980" s="12">
        <f>IFERROR(__xludf.DUMMYFUNCTION("""COMPUTED_VALUE"""),25.0)</f>
        <v>25</v>
      </c>
      <c r="E2980" s="12">
        <f>IFERROR(__xludf.DUMMYFUNCTION("""COMPUTED_VALUE"""),6.0)</f>
        <v>6</v>
      </c>
      <c r="F2980" s="12">
        <f>IFERROR(__xludf.DUMMYFUNCTION("""COMPUTED_VALUE"""),5.0)</f>
        <v>5</v>
      </c>
      <c r="G2980" s="15" t="str">
        <f>IFERROR(__xludf.DUMMYFUNCTION("""COMPUTED_VALUE"""),"Completa")</f>
        <v>Completa</v>
      </c>
      <c r="H2980" s="16" t="str">
        <f t="array" ref="H2980">_xlfn.XLOOKUP(D2980,Productos[ID_Producto],Productos[Nombre_Producto])</f>
        <v>Pizza congelada</v>
      </c>
      <c r="I2980" s="17">
        <f t="array" ref="I2980">_xlfn.XLOOKUP(D2980,Productos[ID_Producto],Productos[Precio_Unitario])</f>
        <v>15.45</v>
      </c>
      <c r="J2980" s="17">
        <f t="shared" si="1"/>
        <v>92.7</v>
      </c>
      <c r="K2980" s="16" t="str">
        <f t="array" ref="K2980">_xlfn.XLOOKUP(C2980,Clientes[ID_Cliente],Clientes[Provincia])</f>
        <v>Córdoba</v>
      </c>
      <c r="L2980" s="16" t="str">
        <f t="array" ref="L2980">CONCATENATE(_xlfn.XLOOKUP(C2980,Clientes[ID_Cliente],Clientes[Provincia]),", Argentina")</f>
        <v>Córdoba, Argentina</v>
      </c>
      <c r="M2980" s="20" t="str">
        <f t="array" ref="M2980">_xlfn.XLOOKUP(F2980,Metodos_De_Pago[ID_Metodo],Metodos_De_Pago[Metodo])</f>
        <v>Transferencia</v>
      </c>
      <c r="N2980" s="20" t="str">
        <f t="shared" si="2"/>
        <v>2024 12</v>
      </c>
    </row>
    <row r="2981" ht="22.5" customHeight="1">
      <c r="A2981" s="12">
        <f>IFERROR(__xludf.DUMMYFUNCTION("""COMPUTED_VALUE"""),504.0)</f>
        <v>504</v>
      </c>
      <c r="B2981" s="13">
        <f>IFERROR(__xludf.DUMMYFUNCTION("""COMPUTED_VALUE"""),45642.0)</f>
        <v>45642</v>
      </c>
      <c r="C2981" s="12">
        <f>IFERROR(__xludf.DUMMYFUNCTION("""COMPUTED_VALUE"""),179.0)</f>
        <v>179</v>
      </c>
      <c r="D2981" s="12">
        <f>IFERROR(__xludf.DUMMYFUNCTION("""COMPUTED_VALUE"""),18.0)</f>
        <v>18</v>
      </c>
      <c r="E2981" s="12">
        <f>IFERROR(__xludf.DUMMYFUNCTION("""COMPUTED_VALUE"""),6.0)</f>
        <v>6</v>
      </c>
      <c r="F2981" s="12">
        <f>IFERROR(__xludf.DUMMYFUNCTION("""COMPUTED_VALUE"""),5.0)</f>
        <v>5</v>
      </c>
      <c r="G2981" s="15" t="str">
        <f>IFERROR(__xludf.DUMMYFUNCTION("""COMPUTED_VALUE"""),"Completa")</f>
        <v>Completa</v>
      </c>
      <c r="H2981" s="16" t="str">
        <f t="array" ref="H2981">_xlfn.XLOOKUP(D2981,Productos[ID_Producto],Productos[Nombre_Producto])</f>
        <v>Bananas</v>
      </c>
      <c r="I2981" s="17">
        <f t="array" ref="I2981">_xlfn.XLOOKUP(D2981,Productos[ID_Producto],Productos[Precio_Unitario])</f>
        <v>7.25</v>
      </c>
      <c r="J2981" s="17">
        <f t="shared" si="1"/>
        <v>43.5</v>
      </c>
      <c r="K2981" s="16" t="str">
        <f t="array" ref="K2981">_xlfn.XLOOKUP(C2981,Clientes[ID_Cliente],Clientes[Provincia])</f>
        <v>Buenos Aires</v>
      </c>
      <c r="L2981" s="16" t="str">
        <f t="array" ref="L2981">CONCATENATE(_xlfn.XLOOKUP(C2981,Clientes[ID_Cliente],Clientes[Provincia]),", Argentina")</f>
        <v>Buenos Aires, Argentina</v>
      </c>
      <c r="M2981" s="20" t="str">
        <f t="array" ref="M2981">_xlfn.XLOOKUP(F2981,Metodos_De_Pago[ID_Metodo],Metodos_De_Pago[Metodo])</f>
        <v>Transferencia</v>
      </c>
      <c r="N2981" s="20" t="str">
        <f t="shared" si="2"/>
        <v>2024 12</v>
      </c>
    </row>
    <row r="2982" ht="22.5" customHeight="1">
      <c r="A2982" s="12">
        <f>IFERROR(__xludf.DUMMYFUNCTION("""COMPUTED_VALUE"""),1856.0)</f>
        <v>1856</v>
      </c>
      <c r="B2982" s="13">
        <f>IFERROR(__xludf.DUMMYFUNCTION("""COMPUTED_VALUE"""),45642.0)</f>
        <v>45642</v>
      </c>
      <c r="C2982" s="12">
        <f>IFERROR(__xludf.DUMMYFUNCTION("""COMPUTED_VALUE"""),151.0)</f>
        <v>151</v>
      </c>
      <c r="D2982" s="12">
        <f>IFERROR(__xludf.DUMMYFUNCTION("""COMPUTED_VALUE"""),13.0)</f>
        <v>13</v>
      </c>
      <c r="E2982" s="12">
        <f>IFERROR(__xludf.DUMMYFUNCTION("""COMPUTED_VALUE"""),6.0)</f>
        <v>6</v>
      </c>
      <c r="F2982" s="12">
        <f>IFERROR(__xludf.DUMMYFUNCTION("""COMPUTED_VALUE"""),1.0)</f>
        <v>1</v>
      </c>
      <c r="G2982" s="15" t="str">
        <f>IFERROR(__xludf.DUMMYFUNCTION("""COMPUTED_VALUE"""),"Completa")</f>
        <v>Completa</v>
      </c>
      <c r="H2982" s="16" t="str">
        <f t="array" ref="H2982">_xlfn.XLOOKUP(D2982,Productos[ID_Producto],Productos[Nombre_Producto])</f>
        <v>Pan integral</v>
      </c>
      <c r="I2982" s="17">
        <f t="array" ref="I2982">_xlfn.XLOOKUP(D2982,Productos[ID_Producto],Productos[Precio_Unitario])</f>
        <v>12.56</v>
      </c>
      <c r="J2982" s="17">
        <f t="shared" si="1"/>
        <v>75.36</v>
      </c>
      <c r="K2982" s="16" t="str">
        <f t="array" ref="K2982">_xlfn.XLOOKUP(C2982,Clientes[ID_Cliente],Clientes[Provincia])</f>
        <v>Buenos Aires</v>
      </c>
      <c r="L2982" s="16" t="str">
        <f t="array" ref="L2982">CONCATENATE(_xlfn.XLOOKUP(C2982,Clientes[ID_Cliente],Clientes[Provincia]),", Argentina")</f>
        <v>Buenos Aires, Argentina</v>
      </c>
      <c r="M2982" s="20" t="str">
        <f t="array" ref="M2982">_xlfn.XLOOKUP(F2982,Metodos_De_Pago[ID_Metodo],Metodos_De_Pago[Metodo])</f>
        <v>Efectivo</v>
      </c>
      <c r="N2982" s="20" t="str">
        <f t="shared" si="2"/>
        <v>2024 12</v>
      </c>
    </row>
    <row r="2983" ht="22.5" customHeight="1">
      <c r="A2983" s="12">
        <f>IFERROR(__xludf.DUMMYFUNCTION("""COMPUTED_VALUE"""),1478.0)</f>
        <v>1478</v>
      </c>
      <c r="B2983" s="13">
        <f>IFERROR(__xludf.DUMMYFUNCTION("""COMPUTED_VALUE"""),45644.0)</f>
        <v>45644</v>
      </c>
      <c r="C2983" s="12">
        <f>IFERROR(__xludf.DUMMYFUNCTION("""COMPUTED_VALUE"""),40.0)</f>
        <v>40</v>
      </c>
      <c r="D2983" s="12">
        <f>IFERROR(__xludf.DUMMYFUNCTION("""COMPUTED_VALUE"""),2.0)</f>
        <v>2</v>
      </c>
      <c r="E2983" s="12">
        <f>IFERROR(__xludf.DUMMYFUNCTION("""COMPUTED_VALUE"""),6.0)</f>
        <v>6</v>
      </c>
      <c r="F2983" s="12">
        <f>IFERROR(__xludf.DUMMYFUNCTION("""COMPUTED_VALUE"""),1.0)</f>
        <v>1</v>
      </c>
      <c r="G2983" s="15" t="str">
        <f>IFERROR(__xludf.DUMMYFUNCTION("""COMPUTED_VALUE"""),"Completa")</f>
        <v>Completa</v>
      </c>
      <c r="H2983" s="16" t="str">
        <f t="array" ref="H2983">_xlfn.XLOOKUP(D2983,Productos[ID_Producto],Productos[Nombre_Producto])</f>
        <v>Yogur</v>
      </c>
      <c r="I2983" s="17">
        <f t="array" ref="I2983">_xlfn.XLOOKUP(D2983,Productos[ID_Producto],Productos[Precio_Unitario])</f>
        <v>5.21</v>
      </c>
      <c r="J2983" s="17">
        <f t="shared" si="1"/>
        <v>31.26</v>
      </c>
      <c r="K2983" s="16" t="str">
        <f t="array" ref="K2983">_xlfn.XLOOKUP(C2983,Clientes[ID_Cliente],Clientes[Provincia])</f>
        <v>San Luis</v>
      </c>
      <c r="L2983" s="16" t="str">
        <f t="array" ref="L2983">CONCATENATE(_xlfn.XLOOKUP(C2983,Clientes[ID_Cliente],Clientes[Provincia]),", Argentina")</f>
        <v>San Luis, Argentina</v>
      </c>
      <c r="M2983" s="20" t="str">
        <f t="array" ref="M2983">_xlfn.XLOOKUP(F2983,Metodos_De_Pago[ID_Metodo],Metodos_De_Pago[Metodo])</f>
        <v>Efectivo</v>
      </c>
      <c r="N2983" s="20" t="str">
        <f t="shared" si="2"/>
        <v>2024 12</v>
      </c>
    </row>
    <row r="2984" ht="22.5" customHeight="1">
      <c r="A2984" s="12">
        <f>IFERROR(__xludf.DUMMYFUNCTION("""COMPUTED_VALUE"""),2319.0)</f>
        <v>2319</v>
      </c>
      <c r="B2984" s="13">
        <f>IFERROR(__xludf.DUMMYFUNCTION("""COMPUTED_VALUE"""),45644.0)</f>
        <v>45644</v>
      </c>
      <c r="C2984" s="12">
        <f>IFERROR(__xludf.DUMMYFUNCTION("""COMPUTED_VALUE"""),199.0)</f>
        <v>199</v>
      </c>
      <c r="D2984" s="12">
        <f>IFERROR(__xludf.DUMMYFUNCTION("""COMPUTED_VALUE"""),11.0)</f>
        <v>11</v>
      </c>
      <c r="E2984" s="12">
        <f>IFERROR(__xludf.DUMMYFUNCTION("""COMPUTED_VALUE"""),6.0)</f>
        <v>6</v>
      </c>
      <c r="F2984" s="12">
        <f>IFERROR(__xludf.DUMMYFUNCTION("""COMPUTED_VALUE"""),5.0)</f>
        <v>5</v>
      </c>
      <c r="G2984" s="15" t="str">
        <f>IFERROR(__xludf.DUMMYFUNCTION("""COMPUTED_VALUE"""),"Completa")</f>
        <v>Completa</v>
      </c>
      <c r="H2984" s="16" t="str">
        <f t="array" ref="H2984">_xlfn.XLOOKUP(D2984,Productos[ID_Producto],Productos[Nombre_Producto])</f>
        <v>Salchicha</v>
      </c>
      <c r="I2984" s="17">
        <f t="array" ref="I2984">_xlfn.XLOOKUP(D2984,Productos[ID_Producto],Productos[Precio_Unitario])</f>
        <v>11.23</v>
      </c>
      <c r="J2984" s="17">
        <f t="shared" si="1"/>
        <v>67.38</v>
      </c>
      <c r="K2984" s="16" t="str">
        <f t="array" ref="K2984">_xlfn.XLOOKUP(C2984,Clientes[ID_Cliente],Clientes[Provincia])</f>
        <v>Buenos Aires</v>
      </c>
      <c r="L2984" s="16" t="str">
        <f t="array" ref="L2984">CONCATENATE(_xlfn.XLOOKUP(C2984,Clientes[ID_Cliente],Clientes[Provincia]),", Argentina")</f>
        <v>Buenos Aires, Argentina</v>
      </c>
      <c r="M2984" s="20" t="str">
        <f t="array" ref="M2984">_xlfn.XLOOKUP(F2984,Metodos_De_Pago[ID_Metodo],Metodos_De_Pago[Metodo])</f>
        <v>Transferencia</v>
      </c>
      <c r="N2984" s="20" t="str">
        <f t="shared" si="2"/>
        <v>2024 12</v>
      </c>
    </row>
    <row r="2985" ht="22.5" customHeight="1">
      <c r="A2985" s="12">
        <f>IFERROR(__xludf.DUMMYFUNCTION("""COMPUTED_VALUE"""),2466.0)</f>
        <v>2466</v>
      </c>
      <c r="B2985" s="13">
        <f>IFERROR(__xludf.DUMMYFUNCTION("""COMPUTED_VALUE"""),45644.0)</f>
        <v>45644</v>
      </c>
      <c r="C2985" s="12">
        <f>IFERROR(__xludf.DUMMYFUNCTION("""COMPUTED_VALUE"""),201.0)</f>
        <v>201</v>
      </c>
      <c r="D2985" s="12">
        <f>IFERROR(__xludf.DUMMYFUNCTION("""COMPUTED_VALUE"""),2.0)</f>
        <v>2</v>
      </c>
      <c r="E2985" s="12">
        <f>IFERROR(__xludf.DUMMYFUNCTION("""COMPUTED_VALUE"""),6.0)</f>
        <v>6</v>
      </c>
      <c r="F2985" s="12">
        <f>IFERROR(__xludf.DUMMYFUNCTION("""COMPUTED_VALUE"""),1.0)</f>
        <v>1</v>
      </c>
      <c r="G2985" s="15" t="str">
        <f>IFERROR(__xludf.DUMMYFUNCTION("""COMPUTED_VALUE"""),"Completa")</f>
        <v>Completa</v>
      </c>
      <c r="H2985" s="16" t="str">
        <f t="array" ref="H2985">_xlfn.XLOOKUP(D2985,Productos[ID_Producto],Productos[Nombre_Producto])</f>
        <v>Yogur</v>
      </c>
      <c r="I2985" s="17">
        <f t="array" ref="I2985">_xlfn.XLOOKUP(D2985,Productos[ID_Producto],Productos[Precio_Unitario])</f>
        <v>5.21</v>
      </c>
      <c r="J2985" s="17">
        <f t="shared" si="1"/>
        <v>31.26</v>
      </c>
      <c r="K2985" s="16" t="str">
        <f t="array" ref="K2985">_xlfn.XLOOKUP(C2985,Clientes[ID_Cliente],Clientes[Provincia])</f>
        <v>Neuquén</v>
      </c>
      <c r="L2985" s="16" t="str">
        <f t="array" ref="L2985">CONCATENATE(_xlfn.XLOOKUP(C2985,Clientes[ID_Cliente],Clientes[Provincia]),", Argentina")</f>
        <v>Neuquén, Argentina</v>
      </c>
      <c r="M2985" s="20" t="str">
        <f t="array" ref="M2985">_xlfn.XLOOKUP(F2985,Metodos_De_Pago[ID_Metodo],Metodos_De_Pago[Metodo])</f>
        <v>Efectivo</v>
      </c>
      <c r="N2985" s="20" t="str">
        <f t="shared" si="2"/>
        <v>2024 12</v>
      </c>
    </row>
    <row r="2986" ht="22.5" customHeight="1">
      <c r="A2986" s="12">
        <f>IFERROR(__xludf.DUMMYFUNCTION("""COMPUTED_VALUE"""),384.0)</f>
        <v>384</v>
      </c>
      <c r="B2986" s="13">
        <f>IFERROR(__xludf.DUMMYFUNCTION("""COMPUTED_VALUE"""),45645.0)</f>
        <v>45645</v>
      </c>
      <c r="C2986" s="12">
        <f>IFERROR(__xludf.DUMMYFUNCTION("""COMPUTED_VALUE"""),146.0)</f>
        <v>146</v>
      </c>
      <c r="D2986" s="12">
        <f>IFERROR(__xludf.DUMMYFUNCTION("""COMPUTED_VALUE"""),3.0)</f>
        <v>3</v>
      </c>
      <c r="E2986" s="12">
        <f>IFERROR(__xludf.DUMMYFUNCTION("""COMPUTED_VALUE"""),6.0)</f>
        <v>6</v>
      </c>
      <c r="F2986" s="12">
        <f>IFERROR(__xludf.DUMMYFUNCTION("""COMPUTED_VALUE"""),4.0)</f>
        <v>4</v>
      </c>
      <c r="G2986" s="15" t="str">
        <f>IFERROR(__xludf.DUMMYFUNCTION("""COMPUTED_VALUE"""),"Completa")</f>
        <v>Completa</v>
      </c>
      <c r="H2986" s="16" t="str">
        <f t="array" ref="H2986">_xlfn.XLOOKUP(D2986,Productos[ID_Producto],Productos[Nombre_Producto])</f>
        <v>Queso cremoso</v>
      </c>
      <c r="I2986" s="17">
        <f t="array" ref="I2986">_xlfn.XLOOKUP(D2986,Productos[ID_Producto],Productos[Precio_Unitario])</f>
        <v>17.23</v>
      </c>
      <c r="J2986" s="17">
        <f t="shared" si="1"/>
        <v>103.38</v>
      </c>
      <c r="K2986" s="16" t="str">
        <f t="array" ref="K2986">_xlfn.XLOOKUP(C2986,Clientes[ID_Cliente],Clientes[Provincia])</f>
        <v>San Luis</v>
      </c>
      <c r="L2986" s="16" t="str">
        <f t="array" ref="L2986">CONCATENATE(_xlfn.XLOOKUP(C2986,Clientes[ID_Cliente],Clientes[Provincia]),", Argentina")</f>
        <v>San Luis, Argentina</v>
      </c>
      <c r="M2986" s="20" t="str">
        <f t="array" ref="M2986">_xlfn.XLOOKUP(F2986,Metodos_De_Pago[ID_Metodo],Metodos_De_Pago[Metodo])</f>
        <v>Mercado Pago</v>
      </c>
      <c r="N2986" s="20" t="str">
        <f t="shared" si="2"/>
        <v>2024 12</v>
      </c>
    </row>
    <row r="2987" ht="22.5" customHeight="1">
      <c r="A2987" s="12">
        <f>IFERROR(__xludf.DUMMYFUNCTION("""COMPUTED_VALUE"""),1724.0)</f>
        <v>1724</v>
      </c>
      <c r="B2987" s="13">
        <f>IFERROR(__xludf.DUMMYFUNCTION("""COMPUTED_VALUE"""),45645.0)</f>
        <v>45645</v>
      </c>
      <c r="C2987" s="12">
        <f>IFERROR(__xludf.DUMMYFUNCTION("""COMPUTED_VALUE"""),252.0)</f>
        <v>252</v>
      </c>
      <c r="D2987" s="12">
        <f>IFERROR(__xludf.DUMMYFUNCTION("""COMPUTED_VALUE"""),29.0)</f>
        <v>29</v>
      </c>
      <c r="E2987" s="12">
        <f>IFERROR(__xludf.DUMMYFUNCTION("""COMPUTED_VALUE"""),6.0)</f>
        <v>6</v>
      </c>
      <c r="F2987" s="12">
        <f>IFERROR(__xludf.DUMMYFUNCTION("""COMPUTED_VALUE"""),4.0)</f>
        <v>4</v>
      </c>
      <c r="G2987" s="15" t="str">
        <f>IFERROR(__xludf.DUMMYFUNCTION("""COMPUTED_VALUE"""),"Completa")</f>
        <v>Completa</v>
      </c>
      <c r="H2987" s="16" t="str">
        <f t="array" ref="H2987">_xlfn.XLOOKUP(D2987,Productos[ID_Producto],Productos[Nombre_Producto])</f>
        <v>Cerveza</v>
      </c>
      <c r="I2987" s="17">
        <f t="array" ref="I2987">_xlfn.XLOOKUP(D2987,Productos[ID_Producto],Productos[Precio_Unitario])</f>
        <v>11.54</v>
      </c>
      <c r="J2987" s="17">
        <f t="shared" si="1"/>
        <v>69.24</v>
      </c>
      <c r="K2987" s="16" t="str">
        <f t="array" ref="K2987">_xlfn.XLOOKUP(C2987,Clientes[ID_Cliente],Clientes[Provincia])</f>
        <v>Neuquén</v>
      </c>
      <c r="L2987" s="16" t="str">
        <f t="array" ref="L2987">CONCATENATE(_xlfn.XLOOKUP(C2987,Clientes[ID_Cliente],Clientes[Provincia]),", Argentina")</f>
        <v>Neuquén, Argentina</v>
      </c>
      <c r="M2987" s="20" t="str">
        <f t="array" ref="M2987">_xlfn.XLOOKUP(F2987,Metodos_De_Pago[ID_Metodo],Metodos_De_Pago[Metodo])</f>
        <v>Mercado Pago</v>
      </c>
      <c r="N2987" s="20" t="str">
        <f t="shared" si="2"/>
        <v>2024 12</v>
      </c>
    </row>
    <row r="2988" ht="22.5" customHeight="1">
      <c r="A2988" s="12">
        <f>IFERROR(__xludf.DUMMYFUNCTION("""COMPUTED_VALUE"""),2400.0)</f>
        <v>2400</v>
      </c>
      <c r="B2988" s="13">
        <f>IFERROR(__xludf.DUMMYFUNCTION("""COMPUTED_VALUE"""),45646.0)</f>
        <v>45646</v>
      </c>
      <c r="C2988" s="12">
        <f>IFERROR(__xludf.DUMMYFUNCTION("""COMPUTED_VALUE"""),166.0)</f>
        <v>166</v>
      </c>
      <c r="D2988" s="12">
        <f>IFERROR(__xludf.DUMMYFUNCTION("""COMPUTED_VALUE"""),38.0)</f>
        <v>38</v>
      </c>
      <c r="E2988" s="12">
        <f>IFERROR(__xludf.DUMMYFUNCTION("""COMPUTED_VALUE"""),6.0)</f>
        <v>6</v>
      </c>
      <c r="F2988" s="12">
        <f>IFERROR(__xludf.DUMMYFUNCTION("""COMPUTED_VALUE"""),1.0)</f>
        <v>1</v>
      </c>
      <c r="G2988" s="15" t="str">
        <f>IFERROR(__xludf.DUMMYFUNCTION("""COMPUTED_VALUE"""),"Completa")</f>
        <v>Completa</v>
      </c>
      <c r="H2988" s="16" t="str">
        <f t="array" ref="H2988">_xlfn.XLOOKUP(D2988,Productos[ID_Producto],Productos[Nombre_Producto])</f>
        <v>Atún enlatado</v>
      </c>
      <c r="I2988" s="17">
        <f t="array" ref="I2988">_xlfn.XLOOKUP(D2988,Productos[ID_Producto],Productos[Precio_Unitario])</f>
        <v>6.21</v>
      </c>
      <c r="J2988" s="17">
        <f t="shared" si="1"/>
        <v>37.26</v>
      </c>
      <c r="K2988" s="16" t="str">
        <f t="array" ref="K2988">_xlfn.XLOOKUP(C2988,Clientes[ID_Cliente],Clientes[Provincia])</f>
        <v>Chaco</v>
      </c>
      <c r="L2988" s="16" t="str">
        <f t="array" ref="L2988">CONCATENATE(_xlfn.XLOOKUP(C2988,Clientes[ID_Cliente],Clientes[Provincia]),", Argentina")</f>
        <v>Chaco, Argentina</v>
      </c>
      <c r="M2988" s="20" t="str">
        <f t="array" ref="M2988">_xlfn.XLOOKUP(F2988,Metodos_De_Pago[ID_Metodo],Metodos_De_Pago[Metodo])</f>
        <v>Efectivo</v>
      </c>
      <c r="N2988" s="20" t="str">
        <f t="shared" si="2"/>
        <v>2024 12</v>
      </c>
    </row>
    <row r="2989" ht="22.5" customHeight="1">
      <c r="A2989" s="12">
        <f>IFERROR(__xludf.DUMMYFUNCTION("""COMPUTED_VALUE"""),106.0)</f>
        <v>106</v>
      </c>
      <c r="B2989" s="13">
        <f>IFERROR(__xludf.DUMMYFUNCTION("""COMPUTED_VALUE"""),45647.0)</f>
        <v>45647</v>
      </c>
      <c r="C2989" s="12">
        <f>IFERROR(__xludf.DUMMYFUNCTION("""COMPUTED_VALUE"""),67.0)</f>
        <v>67</v>
      </c>
      <c r="D2989" s="12">
        <f>IFERROR(__xludf.DUMMYFUNCTION("""COMPUTED_VALUE"""),21.0)</f>
        <v>21</v>
      </c>
      <c r="E2989" s="12">
        <f>IFERROR(__xludf.DUMMYFUNCTION("""COMPUTED_VALUE"""),6.0)</f>
        <v>6</v>
      </c>
      <c r="F2989" s="12">
        <f>IFERROR(__xludf.DUMMYFUNCTION("""COMPUTED_VALUE"""),4.0)</f>
        <v>4</v>
      </c>
      <c r="G2989" s="15" t="str">
        <f>IFERROR(__xludf.DUMMYFUNCTION("""COMPUTED_VALUE"""),"Completa")</f>
        <v>Completa</v>
      </c>
      <c r="H2989" s="16" t="str">
        <f t="array" ref="H2989">_xlfn.XLOOKUP(D2989,Productos[ID_Producto],Productos[Nombre_Producto])</f>
        <v>Zanahorias</v>
      </c>
      <c r="I2989" s="17">
        <f t="array" ref="I2989">_xlfn.XLOOKUP(D2989,Productos[ID_Producto],Productos[Precio_Unitario])</f>
        <v>3.25</v>
      </c>
      <c r="J2989" s="17">
        <f t="shared" si="1"/>
        <v>19.5</v>
      </c>
      <c r="K2989" s="16" t="str">
        <f t="array" ref="K2989">_xlfn.XLOOKUP(C2989,Clientes[ID_Cliente],Clientes[Provincia])</f>
        <v>Chaco</v>
      </c>
      <c r="L2989" s="16" t="str">
        <f t="array" ref="L2989">CONCATENATE(_xlfn.XLOOKUP(C2989,Clientes[ID_Cliente],Clientes[Provincia]),", Argentina")</f>
        <v>Chaco, Argentina</v>
      </c>
      <c r="M2989" s="20" t="str">
        <f t="array" ref="M2989">_xlfn.XLOOKUP(F2989,Metodos_De_Pago[ID_Metodo],Metodos_De_Pago[Metodo])</f>
        <v>Mercado Pago</v>
      </c>
      <c r="N2989" s="20" t="str">
        <f t="shared" si="2"/>
        <v>2024 12</v>
      </c>
    </row>
    <row r="2990" ht="22.5" customHeight="1">
      <c r="A2990" s="12">
        <f>IFERROR(__xludf.DUMMYFUNCTION("""COMPUTED_VALUE"""),1650.0)</f>
        <v>1650</v>
      </c>
      <c r="B2990" s="13">
        <f>IFERROR(__xludf.DUMMYFUNCTION("""COMPUTED_VALUE"""),45647.0)</f>
        <v>45647</v>
      </c>
      <c r="C2990" s="12">
        <f>IFERROR(__xludf.DUMMYFUNCTION("""COMPUTED_VALUE"""),40.0)</f>
        <v>40</v>
      </c>
      <c r="D2990" s="12">
        <f>IFERROR(__xludf.DUMMYFUNCTION("""COMPUTED_VALUE"""),1.0)</f>
        <v>1</v>
      </c>
      <c r="E2990" s="12">
        <f>IFERROR(__xludf.DUMMYFUNCTION("""COMPUTED_VALUE"""),6.0)</f>
        <v>6</v>
      </c>
      <c r="F2990" s="12">
        <f>IFERROR(__xludf.DUMMYFUNCTION("""COMPUTED_VALUE"""),4.0)</f>
        <v>4</v>
      </c>
      <c r="G2990" s="15" t="str">
        <f>IFERROR(__xludf.DUMMYFUNCTION("""COMPUTED_VALUE"""),"Completa")</f>
        <v>Completa</v>
      </c>
      <c r="H2990" s="16" t="str">
        <f t="array" ref="H2990">_xlfn.XLOOKUP(D2990,Productos[ID_Producto],Productos[Nombre_Producto])</f>
        <v>Leche</v>
      </c>
      <c r="I2990" s="17">
        <f t="array" ref="I2990">_xlfn.XLOOKUP(D2990,Productos[ID_Producto],Productos[Precio_Unitario])</f>
        <v>12.24</v>
      </c>
      <c r="J2990" s="17">
        <f t="shared" si="1"/>
        <v>73.44</v>
      </c>
      <c r="K2990" s="16" t="str">
        <f t="array" ref="K2990">_xlfn.XLOOKUP(C2990,Clientes[ID_Cliente],Clientes[Provincia])</f>
        <v>San Luis</v>
      </c>
      <c r="L2990" s="16" t="str">
        <f t="array" ref="L2990">CONCATENATE(_xlfn.XLOOKUP(C2990,Clientes[ID_Cliente],Clientes[Provincia]),", Argentina")</f>
        <v>San Luis, Argentina</v>
      </c>
      <c r="M2990" s="20" t="str">
        <f t="array" ref="M2990">_xlfn.XLOOKUP(F2990,Metodos_De_Pago[ID_Metodo],Metodos_De_Pago[Metodo])</f>
        <v>Mercado Pago</v>
      </c>
      <c r="N2990" s="20" t="str">
        <f t="shared" si="2"/>
        <v>2024 12</v>
      </c>
    </row>
    <row r="2991" ht="22.5" customHeight="1">
      <c r="A2991" s="12">
        <f>IFERROR(__xludf.DUMMYFUNCTION("""COMPUTED_VALUE"""),1812.0)</f>
        <v>1812</v>
      </c>
      <c r="B2991" s="13">
        <f>IFERROR(__xludf.DUMMYFUNCTION("""COMPUTED_VALUE"""),45649.0)</f>
        <v>45649</v>
      </c>
      <c r="C2991" s="12">
        <f>IFERROR(__xludf.DUMMYFUNCTION("""COMPUTED_VALUE"""),97.0)</f>
        <v>97</v>
      </c>
      <c r="D2991" s="12">
        <f>IFERROR(__xludf.DUMMYFUNCTION("""COMPUTED_VALUE"""),13.0)</f>
        <v>13</v>
      </c>
      <c r="E2991" s="12">
        <f>IFERROR(__xludf.DUMMYFUNCTION("""COMPUTED_VALUE"""),6.0)</f>
        <v>6</v>
      </c>
      <c r="F2991" s="12">
        <f>IFERROR(__xludf.DUMMYFUNCTION("""COMPUTED_VALUE"""),5.0)</f>
        <v>5</v>
      </c>
      <c r="G2991" s="15" t="str">
        <f>IFERROR(__xludf.DUMMYFUNCTION("""COMPUTED_VALUE"""),"Completa")</f>
        <v>Completa</v>
      </c>
      <c r="H2991" s="16" t="str">
        <f t="array" ref="H2991">_xlfn.XLOOKUP(D2991,Productos[ID_Producto],Productos[Nombre_Producto])</f>
        <v>Pan integral</v>
      </c>
      <c r="I2991" s="17">
        <f t="array" ref="I2991">_xlfn.XLOOKUP(D2991,Productos[ID_Producto],Productos[Precio_Unitario])</f>
        <v>12.56</v>
      </c>
      <c r="J2991" s="17">
        <f t="shared" si="1"/>
        <v>75.36</v>
      </c>
      <c r="K2991" s="16" t="str">
        <f t="array" ref="K2991">_xlfn.XLOOKUP(C2991,Clientes[ID_Cliente],Clientes[Provincia])</f>
        <v>Buenos Aires</v>
      </c>
      <c r="L2991" s="16" t="str">
        <f t="array" ref="L2991">CONCATENATE(_xlfn.XLOOKUP(C2991,Clientes[ID_Cliente],Clientes[Provincia]),", Argentina")</f>
        <v>Buenos Aires, Argentina</v>
      </c>
      <c r="M2991" s="20" t="str">
        <f t="array" ref="M2991">_xlfn.XLOOKUP(F2991,Metodos_De_Pago[ID_Metodo],Metodos_De_Pago[Metodo])</f>
        <v>Transferencia</v>
      </c>
      <c r="N2991" s="20" t="str">
        <f t="shared" si="2"/>
        <v>2024 12</v>
      </c>
    </row>
    <row r="2992" ht="22.5" customHeight="1">
      <c r="A2992" s="12">
        <f>IFERROR(__xludf.DUMMYFUNCTION("""COMPUTED_VALUE"""),1877.0)</f>
        <v>1877</v>
      </c>
      <c r="B2992" s="13">
        <f>IFERROR(__xludf.DUMMYFUNCTION("""COMPUTED_VALUE"""),45650.0)</f>
        <v>45650</v>
      </c>
      <c r="C2992" s="12">
        <f>IFERROR(__xludf.DUMMYFUNCTION("""COMPUTED_VALUE"""),298.0)</f>
        <v>298</v>
      </c>
      <c r="D2992" s="12">
        <f>IFERROR(__xludf.DUMMYFUNCTION("""COMPUTED_VALUE"""),5.0)</f>
        <v>5</v>
      </c>
      <c r="E2992" s="12">
        <f>IFERROR(__xludf.DUMMYFUNCTION("""COMPUTED_VALUE"""),6.0)</f>
        <v>6</v>
      </c>
      <c r="F2992" s="12">
        <f>IFERROR(__xludf.DUMMYFUNCTION("""COMPUTED_VALUE"""),1.0)</f>
        <v>1</v>
      </c>
      <c r="G2992" s="15" t="str">
        <f>IFERROR(__xludf.DUMMYFUNCTION("""COMPUTED_VALUE"""),"Pendiente")</f>
        <v>Pendiente</v>
      </c>
      <c r="H2992" s="16" t="str">
        <f t="array" ref="H2992">_xlfn.XLOOKUP(D2992,Productos[ID_Producto],Productos[Nombre_Producto])</f>
        <v>Manteca</v>
      </c>
      <c r="I2992" s="17">
        <f t="array" ref="I2992">_xlfn.XLOOKUP(D2992,Productos[ID_Producto],Productos[Precio_Unitario])</f>
        <v>5.65</v>
      </c>
      <c r="J2992" s="17">
        <f t="shared" si="1"/>
        <v>33.9</v>
      </c>
      <c r="K2992" s="16" t="str">
        <f t="array" ref="K2992">_xlfn.XLOOKUP(C2992,Clientes[ID_Cliente],Clientes[Provincia])</f>
        <v>Buenos Aires</v>
      </c>
      <c r="L2992" s="16" t="str">
        <f t="array" ref="L2992">CONCATENATE(_xlfn.XLOOKUP(C2992,Clientes[ID_Cliente],Clientes[Provincia]),", Argentina")</f>
        <v>Buenos Aires, Argentina</v>
      </c>
      <c r="M2992" s="20" t="str">
        <f t="array" ref="M2992">_xlfn.XLOOKUP(F2992,Metodos_De_Pago[ID_Metodo],Metodos_De_Pago[Metodo])</f>
        <v>Efectivo</v>
      </c>
      <c r="N2992" s="20" t="str">
        <f t="shared" si="2"/>
        <v>2024 12</v>
      </c>
    </row>
    <row r="2993" ht="22.5" customHeight="1">
      <c r="A2993" s="12">
        <f>IFERROR(__xludf.DUMMYFUNCTION("""COMPUTED_VALUE"""),973.0)</f>
        <v>973</v>
      </c>
      <c r="B2993" s="13">
        <f>IFERROR(__xludf.DUMMYFUNCTION("""COMPUTED_VALUE"""),45651.0)</f>
        <v>45651</v>
      </c>
      <c r="C2993" s="12">
        <f>IFERROR(__xludf.DUMMYFUNCTION("""COMPUTED_VALUE"""),162.0)</f>
        <v>162</v>
      </c>
      <c r="D2993" s="12">
        <f>IFERROR(__xludf.DUMMYFUNCTION("""COMPUTED_VALUE"""),21.0)</f>
        <v>21</v>
      </c>
      <c r="E2993" s="12">
        <f>IFERROR(__xludf.DUMMYFUNCTION("""COMPUTED_VALUE"""),6.0)</f>
        <v>6</v>
      </c>
      <c r="F2993" s="12">
        <f>IFERROR(__xludf.DUMMYFUNCTION("""COMPUTED_VALUE"""),5.0)</f>
        <v>5</v>
      </c>
      <c r="G2993" s="15" t="str">
        <f>IFERROR(__xludf.DUMMYFUNCTION("""COMPUTED_VALUE"""),"Completa")</f>
        <v>Completa</v>
      </c>
      <c r="H2993" s="16" t="str">
        <f t="array" ref="H2993">_xlfn.XLOOKUP(D2993,Productos[ID_Producto],Productos[Nombre_Producto])</f>
        <v>Zanahorias</v>
      </c>
      <c r="I2993" s="17">
        <f t="array" ref="I2993">_xlfn.XLOOKUP(D2993,Productos[ID_Producto],Productos[Precio_Unitario])</f>
        <v>3.25</v>
      </c>
      <c r="J2993" s="17">
        <f t="shared" si="1"/>
        <v>19.5</v>
      </c>
      <c r="K2993" s="16" t="str">
        <f t="array" ref="K2993">_xlfn.XLOOKUP(C2993,Clientes[ID_Cliente],Clientes[Provincia])</f>
        <v>Neuquén</v>
      </c>
      <c r="L2993" s="16" t="str">
        <f t="array" ref="L2993">CONCATENATE(_xlfn.XLOOKUP(C2993,Clientes[ID_Cliente],Clientes[Provincia]),", Argentina")</f>
        <v>Neuquén, Argentina</v>
      </c>
      <c r="M2993" s="20" t="str">
        <f t="array" ref="M2993">_xlfn.XLOOKUP(F2993,Metodos_De_Pago[ID_Metodo],Metodos_De_Pago[Metodo])</f>
        <v>Transferencia</v>
      </c>
      <c r="N2993" s="20" t="str">
        <f t="shared" si="2"/>
        <v>2024 12</v>
      </c>
    </row>
    <row r="2994" ht="22.5" customHeight="1">
      <c r="A2994" s="12">
        <f>IFERROR(__xludf.DUMMYFUNCTION("""COMPUTED_VALUE"""),1014.0)</f>
        <v>1014</v>
      </c>
      <c r="B2994" s="13">
        <f>IFERROR(__xludf.DUMMYFUNCTION("""COMPUTED_VALUE"""),45651.0)</f>
        <v>45651</v>
      </c>
      <c r="C2994" s="12">
        <f>IFERROR(__xludf.DUMMYFUNCTION("""COMPUTED_VALUE"""),54.0)</f>
        <v>54</v>
      </c>
      <c r="D2994" s="12">
        <f>IFERROR(__xludf.DUMMYFUNCTION("""COMPUTED_VALUE"""),38.0)</f>
        <v>38</v>
      </c>
      <c r="E2994" s="12">
        <f>IFERROR(__xludf.DUMMYFUNCTION("""COMPUTED_VALUE"""),6.0)</f>
        <v>6</v>
      </c>
      <c r="F2994" s="12">
        <f>IFERROR(__xludf.DUMMYFUNCTION("""COMPUTED_VALUE"""),1.0)</f>
        <v>1</v>
      </c>
      <c r="G2994" s="15" t="str">
        <f>IFERROR(__xludf.DUMMYFUNCTION("""COMPUTED_VALUE"""),"Completa")</f>
        <v>Completa</v>
      </c>
      <c r="H2994" s="16" t="str">
        <f t="array" ref="H2994">_xlfn.XLOOKUP(D2994,Productos[ID_Producto],Productos[Nombre_Producto])</f>
        <v>Atún enlatado</v>
      </c>
      <c r="I2994" s="17">
        <f t="array" ref="I2994">_xlfn.XLOOKUP(D2994,Productos[ID_Producto],Productos[Precio_Unitario])</f>
        <v>6.21</v>
      </c>
      <c r="J2994" s="17">
        <f t="shared" si="1"/>
        <v>37.26</v>
      </c>
      <c r="K2994" s="16" t="str">
        <f t="array" ref="K2994">_xlfn.XLOOKUP(C2994,Clientes[ID_Cliente],Clientes[Provincia])</f>
        <v>Buenos Aires</v>
      </c>
      <c r="L2994" s="16" t="str">
        <f t="array" ref="L2994">CONCATENATE(_xlfn.XLOOKUP(C2994,Clientes[ID_Cliente],Clientes[Provincia]),", Argentina")</f>
        <v>Buenos Aires, Argentina</v>
      </c>
      <c r="M2994" s="20" t="str">
        <f t="array" ref="M2994">_xlfn.XLOOKUP(F2994,Metodos_De_Pago[ID_Metodo],Metodos_De_Pago[Metodo])</f>
        <v>Efectivo</v>
      </c>
      <c r="N2994" s="20" t="str">
        <f t="shared" si="2"/>
        <v>2024 12</v>
      </c>
    </row>
    <row r="2995" ht="22.5" customHeight="1">
      <c r="A2995" s="12">
        <f>IFERROR(__xludf.DUMMYFUNCTION("""COMPUTED_VALUE"""),1529.0)</f>
        <v>1529</v>
      </c>
      <c r="B2995" s="13">
        <f>IFERROR(__xludf.DUMMYFUNCTION("""COMPUTED_VALUE"""),45651.0)</f>
        <v>45651</v>
      </c>
      <c r="C2995" s="12">
        <f>IFERROR(__xludf.DUMMYFUNCTION("""COMPUTED_VALUE"""),232.0)</f>
        <v>232</v>
      </c>
      <c r="D2995" s="12">
        <f>IFERROR(__xludf.DUMMYFUNCTION("""COMPUTED_VALUE"""),3.0)</f>
        <v>3</v>
      </c>
      <c r="E2995" s="12">
        <f>IFERROR(__xludf.DUMMYFUNCTION("""COMPUTED_VALUE"""),6.0)</f>
        <v>6</v>
      </c>
      <c r="F2995" s="12">
        <f>IFERROR(__xludf.DUMMYFUNCTION("""COMPUTED_VALUE"""),1.0)</f>
        <v>1</v>
      </c>
      <c r="G2995" s="15" t="str">
        <f>IFERROR(__xludf.DUMMYFUNCTION("""COMPUTED_VALUE"""),"Completa")</f>
        <v>Completa</v>
      </c>
      <c r="H2995" s="16" t="str">
        <f t="array" ref="H2995">_xlfn.XLOOKUP(D2995,Productos[ID_Producto],Productos[Nombre_Producto])</f>
        <v>Queso cremoso</v>
      </c>
      <c r="I2995" s="17">
        <f t="array" ref="I2995">_xlfn.XLOOKUP(D2995,Productos[ID_Producto],Productos[Precio_Unitario])</f>
        <v>17.23</v>
      </c>
      <c r="J2995" s="17">
        <f t="shared" si="1"/>
        <v>103.38</v>
      </c>
      <c r="K2995" s="16" t="str">
        <f t="array" ref="K2995">_xlfn.XLOOKUP(C2995,Clientes[ID_Cliente],Clientes[Provincia])</f>
        <v>Buenos Aires</v>
      </c>
      <c r="L2995" s="16" t="str">
        <f t="array" ref="L2995">CONCATENATE(_xlfn.XLOOKUP(C2995,Clientes[ID_Cliente],Clientes[Provincia]),", Argentina")</f>
        <v>Buenos Aires, Argentina</v>
      </c>
      <c r="M2995" s="20" t="str">
        <f t="array" ref="M2995">_xlfn.XLOOKUP(F2995,Metodos_De_Pago[ID_Metodo],Metodos_De_Pago[Metodo])</f>
        <v>Efectivo</v>
      </c>
      <c r="N2995" s="20" t="str">
        <f t="shared" si="2"/>
        <v>2024 12</v>
      </c>
    </row>
    <row r="2996" ht="22.5" customHeight="1">
      <c r="A2996" s="12">
        <f>IFERROR(__xludf.DUMMYFUNCTION("""COMPUTED_VALUE"""),2305.0)</f>
        <v>2305</v>
      </c>
      <c r="B2996" s="13">
        <f>IFERROR(__xludf.DUMMYFUNCTION("""COMPUTED_VALUE"""),45651.0)</f>
        <v>45651</v>
      </c>
      <c r="C2996" s="12">
        <f>IFERROR(__xludf.DUMMYFUNCTION("""COMPUTED_VALUE"""),109.0)</f>
        <v>109</v>
      </c>
      <c r="D2996" s="12">
        <f>IFERROR(__xludf.DUMMYFUNCTION("""COMPUTED_VALUE"""),27.0)</f>
        <v>27</v>
      </c>
      <c r="E2996" s="12">
        <f>IFERROR(__xludf.DUMMYFUNCTION("""COMPUTED_VALUE"""),6.0)</f>
        <v>6</v>
      </c>
      <c r="F2996" s="12">
        <f>IFERROR(__xludf.DUMMYFUNCTION("""COMPUTED_VALUE"""),4.0)</f>
        <v>4</v>
      </c>
      <c r="G2996" s="15" t="str">
        <f>IFERROR(__xludf.DUMMYFUNCTION("""COMPUTED_VALUE"""),"Completa")</f>
        <v>Completa</v>
      </c>
      <c r="H2996" s="16" t="str">
        <f t="array" ref="H2996">_xlfn.XLOOKUP(D2996,Productos[ID_Producto],Productos[Nombre_Producto])</f>
        <v>Agua mineral</v>
      </c>
      <c r="I2996" s="17">
        <f t="array" ref="I2996">_xlfn.XLOOKUP(D2996,Productos[ID_Producto],Productos[Precio_Unitario])</f>
        <v>6.21</v>
      </c>
      <c r="J2996" s="17">
        <f t="shared" si="1"/>
        <v>37.26</v>
      </c>
      <c r="K2996" s="16" t="str">
        <f t="array" ref="K2996">_xlfn.XLOOKUP(C2996,Clientes[ID_Cliente],Clientes[Provincia])</f>
        <v>San Luis</v>
      </c>
      <c r="L2996" s="16" t="str">
        <f t="array" ref="L2996">CONCATENATE(_xlfn.XLOOKUP(C2996,Clientes[ID_Cliente],Clientes[Provincia]),", Argentina")</f>
        <v>San Luis, Argentina</v>
      </c>
      <c r="M2996" s="20" t="str">
        <f t="array" ref="M2996">_xlfn.XLOOKUP(F2996,Metodos_De_Pago[ID_Metodo],Metodos_De_Pago[Metodo])</f>
        <v>Mercado Pago</v>
      </c>
      <c r="N2996" s="20" t="str">
        <f t="shared" si="2"/>
        <v>2024 12</v>
      </c>
    </row>
    <row r="2997" ht="22.5" customHeight="1">
      <c r="A2997" s="12">
        <f>IFERROR(__xludf.DUMMYFUNCTION("""COMPUTED_VALUE"""),2333.0)</f>
        <v>2333</v>
      </c>
      <c r="B2997" s="13">
        <f>IFERROR(__xludf.DUMMYFUNCTION("""COMPUTED_VALUE"""),45651.0)</f>
        <v>45651</v>
      </c>
      <c r="C2997" s="12">
        <f>IFERROR(__xludf.DUMMYFUNCTION("""COMPUTED_VALUE"""),304.0)</f>
        <v>304</v>
      </c>
      <c r="D2997" s="12">
        <f>IFERROR(__xludf.DUMMYFUNCTION("""COMPUTED_VALUE"""),10.0)</f>
        <v>10</v>
      </c>
      <c r="E2997" s="12">
        <f>IFERROR(__xludf.DUMMYFUNCTION("""COMPUTED_VALUE"""),6.0)</f>
        <v>6</v>
      </c>
      <c r="F2997" s="12">
        <f>IFERROR(__xludf.DUMMYFUNCTION("""COMPUTED_VALUE"""),3.0)</f>
        <v>3</v>
      </c>
      <c r="G2997" s="15" t="str">
        <f>IFERROR(__xludf.DUMMYFUNCTION("""COMPUTED_VALUE"""),"Completa")</f>
        <v>Completa</v>
      </c>
      <c r="H2997" s="16" t="str">
        <f t="array" ref="H2997">_xlfn.XLOOKUP(D2997,Productos[ID_Producto],Productos[Nombre_Producto])</f>
        <v>Costilla de cerdo</v>
      </c>
      <c r="I2997" s="17">
        <f t="array" ref="I2997">_xlfn.XLOOKUP(D2997,Productos[ID_Producto],Productos[Precio_Unitario])</f>
        <v>14.25</v>
      </c>
      <c r="J2997" s="17">
        <f t="shared" si="1"/>
        <v>85.5</v>
      </c>
      <c r="K2997" s="16" t="str">
        <f t="array" ref="K2997">_xlfn.XLOOKUP(C2997,Clientes[ID_Cliente],Clientes[Provincia])</f>
        <v>San Luis</v>
      </c>
      <c r="L2997" s="16" t="str">
        <f t="array" ref="L2997">CONCATENATE(_xlfn.XLOOKUP(C2997,Clientes[ID_Cliente],Clientes[Provincia]),", Argentina")</f>
        <v>San Luis, Argentina</v>
      </c>
      <c r="M2997" s="20" t="str">
        <f t="array" ref="M2997">_xlfn.XLOOKUP(F2997,Metodos_De_Pago[ID_Metodo],Metodos_De_Pago[Metodo])</f>
        <v>Tarjeta de Débito</v>
      </c>
      <c r="N2997" s="20" t="str">
        <f t="shared" si="2"/>
        <v>2024 12</v>
      </c>
    </row>
    <row r="2998" ht="22.5" customHeight="1">
      <c r="A2998" s="12">
        <f>IFERROR(__xludf.DUMMYFUNCTION("""COMPUTED_VALUE"""),2850.0)</f>
        <v>2850</v>
      </c>
      <c r="B2998" s="13">
        <f>IFERROR(__xludf.DUMMYFUNCTION("""COMPUTED_VALUE"""),45652.0)</f>
        <v>45652</v>
      </c>
      <c r="C2998" s="12">
        <f>IFERROR(__xludf.DUMMYFUNCTION("""COMPUTED_VALUE"""),202.0)</f>
        <v>202</v>
      </c>
      <c r="D2998" s="12">
        <f>IFERROR(__xludf.DUMMYFUNCTION("""COMPUTED_VALUE"""),28.0)</f>
        <v>28</v>
      </c>
      <c r="E2998" s="12">
        <f>IFERROR(__xludf.DUMMYFUNCTION("""COMPUTED_VALUE"""),6.0)</f>
        <v>6</v>
      </c>
      <c r="F2998" s="12">
        <f>IFERROR(__xludf.DUMMYFUNCTION("""COMPUTED_VALUE"""),1.0)</f>
        <v>1</v>
      </c>
      <c r="G2998" s="15" t="str">
        <f>IFERROR(__xludf.DUMMYFUNCTION("""COMPUTED_VALUE"""),"Completa")</f>
        <v>Completa</v>
      </c>
      <c r="H2998" s="16" t="str">
        <f t="array" ref="H2998">_xlfn.XLOOKUP(D2998,Productos[ID_Producto],Productos[Nombre_Producto])</f>
        <v>Jugos de frutas</v>
      </c>
      <c r="I2998" s="17">
        <f t="array" ref="I2998">_xlfn.XLOOKUP(D2998,Productos[ID_Producto],Productos[Precio_Unitario])</f>
        <v>9.45</v>
      </c>
      <c r="J2998" s="17">
        <f t="shared" si="1"/>
        <v>56.7</v>
      </c>
      <c r="K2998" s="16" t="str">
        <f t="array" ref="K2998">_xlfn.XLOOKUP(C2998,Clientes[ID_Cliente],Clientes[Provincia])</f>
        <v>Chaco</v>
      </c>
      <c r="L2998" s="16" t="str">
        <f t="array" ref="L2998">CONCATENATE(_xlfn.XLOOKUP(C2998,Clientes[ID_Cliente],Clientes[Provincia]),", Argentina")</f>
        <v>Chaco, Argentina</v>
      </c>
      <c r="M2998" s="20" t="str">
        <f t="array" ref="M2998">_xlfn.XLOOKUP(F2998,Metodos_De_Pago[ID_Metodo],Metodos_De_Pago[Metodo])</f>
        <v>Efectivo</v>
      </c>
      <c r="N2998" s="20" t="str">
        <f t="shared" si="2"/>
        <v>2024 12</v>
      </c>
    </row>
    <row r="2999" ht="22.5" customHeight="1">
      <c r="A2999" s="12">
        <f>IFERROR(__xludf.DUMMYFUNCTION("""COMPUTED_VALUE"""),406.0)</f>
        <v>406</v>
      </c>
      <c r="B2999" s="13">
        <f>IFERROR(__xludf.DUMMYFUNCTION("""COMPUTED_VALUE"""),45654.0)</f>
        <v>45654</v>
      </c>
      <c r="C2999" s="12">
        <f>IFERROR(__xludf.DUMMYFUNCTION("""COMPUTED_VALUE"""),161.0)</f>
        <v>161</v>
      </c>
      <c r="D2999" s="12">
        <f>IFERROR(__xludf.DUMMYFUNCTION("""COMPUTED_VALUE"""),35.0)</f>
        <v>35</v>
      </c>
      <c r="E2999" s="12">
        <f>IFERROR(__xludf.DUMMYFUNCTION("""COMPUTED_VALUE"""),6.0)</f>
        <v>6</v>
      </c>
      <c r="F2999" s="12">
        <f>IFERROR(__xludf.DUMMYFUNCTION("""COMPUTED_VALUE"""),4.0)</f>
        <v>4</v>
      </c>
      <c r="G2999" s="15" t="str">
        <f>IFERROR(__xludf.DUMMYFUNCTION("""COMPUTED_VALUE"""),"Completa")</f>
        <v>Completa</v>
      </c>
      <c r="H2999" s="16" t="str">
        <f t="array" ref="H2999">_xlfn.XLOOKUP(D2999,Productos[ID_Producto],Productos[Nombre_Producto])</f>
        <v>Arroz</v>
      </c>
      <c r="I2999" s="17">
        <f t="array" ref="I2999">_xlfn.XLOOKUP(D2999,Productos[ID_Producto],Productos[Precio_Unitario])</f>
        <v>4.25</v>
      </c>
      <c r="J2999" s="17">
        <f t="shared" si="1"/>
        <v>25.5</v>
      </c>
      <c r="K2999" s="16" t="str">
        <f t="array" ref="K2999">_xlfn.XLOOKUP(C2999,Clientes[ID_Cliente],Clientes[Provincia])</f>
        <v>Neuquén</v>
      </c>
      <c r="L2999" s="16" t="str">
        <f t="array" ref="L2999">CONCATENATE(_xlfn.XLOOKUP(C2999,Clientes[ID_Cliente],Clientes[Provincia]),", Argentina")</f>
        <v>Neuquén, Argentina</v>
      </c>
      <c r="M2999" s="20" t="str">
        <f t="array" ref="M2999">_xlfn.XLOOKUP(F2999,Metodos_De_Pago[ID_Metodo],Metodos_De_Pago[Metodo])</f>
        <v>Mercado Pago</v>
      </c>
      <c r="N2999" s="20" t="str">
        <f t="shared" si="2"/>
        <v>2024 12</v>
      </c>
    </row>
    <row r="3000" ht="22.5" customHeight="1">
      <c r="A3000" s="12">
        <f>IFERROR(__xludf.DUMMYFUNCTION("""COMPUTED_VALUE"""),529.0)</f>
        <v>529</v>
      </c>
      <c r="B3000" s="13">
        <f>IFERROR(__xludf.DUMMYFUNCTION("""COMPUTED_VALUE"""),45655.0)</f>
        <v>45655</v>
      </c>
      <c r="C3000" s="12">
        <f>IFERROR(__xludf.DUMMYFUNCTION("""COMPUTED_VALUE"""),212.0)</f>
        <v>212</v>
      </c>
      <c r="D3000" s="12">
        <f>IFERROR(__xludf.DUMMYFUNCTION("""COMPUTED_VALUE"""),12.0)</f>
        <v>12</v>
      </c>
      <c r="E3000" s="12">
        <f>IFERROR(__xludf.DUMMYFUNCTION("""COMPUTED_VALUE"""),6.0)</f>
        <v>6</v>
      </c>
      <c r="F3000" s="12">
        <f>IFERROR(__xludf.DUMMYFUNCTION("""COMPUTED_VALUE"""),2.0)</f>
        <v>2</v>
      </c>
      <c r="G3000" s="15" t="str">
        <f>IFERROR(__xludf.DUMMYFUNCTION("""COMPUTED_VALUE"""),"Completa")</f>
        <v>Completa</v>
      </c>
      <c r="H3000" s="16" t="str">
        <f t="array" ref="H3000">_xlfn.XLOOKUP(D3000,Productos[ID_Producto],Productos[Nombre_Producto])</f>
        <v>Pan francés</v>
      </c>
      <c r="I3000" s="17">
        <f t="array" ref="I3000">_xlfn.XLOOKUP(D3000,Productos[ID_Producto],Productos[Precio_Unitario])</f>
        <v>8.12</v>
      </c>
      <c r="J3000" s="17">
        <f t="shared" si="1"/>
        <v>48.72</v>
      </c>
      <c r="K3000" s="16" t="str">
        <f t="array" ref="K3000">_xlfn.XLOOKUP(C3000,Clientes[ID_Cliente],Clientes[Provincia])</f>
        <v>Buenos Aires</v>
      </c>
      <c r="L3000" s="16" t="str">
        <f t="array" ref="L3000">CONCATENATE(_xlfn.XLOOKUP(C3000,Clientes[ID_Cliente],Clientes[Provincia]),", Argentina")</f>
        <v>Buenos Aires, Argentina</v>
      </c>
      <c r="M3000" s="20" t="str">
        <f t="array" ref="M3000">_xlfn.XLOOKUP(F3000,Metodos_De_Pago[ID_Metodo],Metodos_De_Pago[Metodo])</f>
        <v>Tarjeta de Crédito</v>
      </c>
      <c r="N3000" s="20" t="str">
        <f t="shared" si="2"/>
        <v>2024 12</v>
      </c>
    </row>
    <row r="3001" ht="22.5" customHeight="1">
      <c r="A3001" s="12">
        <f>IFERROR(__xludf.DUMMYFUNCTION("""COMPUTED_VALUE"""),954.0)</f>
        <v>954</v>
      </c>
      <c r="B3001" s="13">
        <f>IFERROR(__xludf.DUMMYFUNCTION("""COMPUTED_VALUE"""),45656.0)</f>
        <v>45656</v>
      </c>
      <c r="C3001" s="12">
        <f>IFERROR(__xludf.DUMMYFUNCTION("""COMPUTED_VALUE"""),44.0)</f>
        <v>44</v>
      </c>
      <c r="D3001" s="12">
        <f>IFERROR(__xludf.DUMMYFUNCTION("""COMPUTED_VALUE"""),12.0)</f>
        <v>12</v>
      </c>
      <c r="E3001" s="12">
        <f>IFERROR(__xludf.DUMMYFUNCTION("""COMPUTED_VALUE"""),6.0)</f>
        <v>6</v>
      </c>
      <c r="F3001" s="12">
        <f>IFERROR(__xludf.DUMMYFUNCTION("""COMPUTED_VALUE"""),4.0)</f>
        <v>4</v>
      </c>
      <c r="G3001" s="15" t="str">
        <f>IFERROR(__xludf.DUMMYFUNCTION("""COMPUTED_VALUE"""),"Completa")</f>
        <v>Completa</v>
      </c>
      <c r="H3001" s="16" t="str">
        <f t="array" ref="H3001">_xlfn.XLOOKUP(D3001,Productos[ID_Producto],Productos[Nombre_Producto])</f>
        <v>Pan francés</v>
      </c>
      <c r="I3001" s="17">
        <f t="array" ref="I3001">_xlfn.XLOOKUP(D3001,Productos[ID_Producto],Productos[Precio_Unitario])</f>
        <v>8.12</v>
      </c>
      <c r="J3001" s="17">
        <f t="shared" si="1"/>
        <v>48.72</v>
      </c>
      <c r="K3001" s="16" t="str">
        <f t="array" ref="K3001">_xlfn.XLOOKUP(C3001,Clientes[ID_Cliente],Clientes[Provincia])</f>
        <v>Buenos Aires</v>
      </c>
      <c r="L3001" s="16" t="str">
        <f t="array" ref="L3001">CONCATENATE(_xlfn.XLOOKUP(C3001,Clientes[ID_Cliente],Clientes[Provincia]),", Argentina")</f>
        <v>Buenos Aires, Argentina</v>
      </c>
      <c r="M3001" s="20" t="str">
        <f t="array" ref="M3001">_xlfn.XLOOKUP(F3001,Metodos_De_Pago[ID_Metodo],Metodos_De_Pago[Metodo])</f>
        <v>Mercado Pago</v>
      </c>
      <c r="N3001" s="20" t="str">
        <f t="shared" si="2"/>
        <v>2024 12</v>
      </c>
    </row>
  </sheetData>
  <conditionalFormatting sqref="J1:J6258">
    <cfRule type="cellIs" dxfId="5" priority="1" operator="equal">
      <formula>32.7</formula>
    </cfRule>
  </conditionalFormatting>
  <dataValidations>
    <dataValidation type="custom" allowBlank="1" showDropDown="1" sqref="B2:B3001">
      <formula1>OR(NOT(ISERROR(DATEVALUE(B2))), AND(ISNUMBER(B2), LEFT(CELL("format", B2))="D"))</formula1>
    </dataValidation>
    <dataValidation type="list" allowBlank="1" sqref="G2:G3001">
      <formula1>"Completa,Pendiente,Cancelada"</formula1>
    </dataValidation>
    <dataValidation type="custom" allowBlank="1" showDropDown="1" sqref="A2:A3001 C2:F3001 I2:J3001">
      <formula1>AND(ISNUMBER(A2),(NOT(OR(NOT(ISERROR(DATEVALUE(A2))), AND(ISNUMBER(A2), LEFT(CELL("format", A2))="D")))))</formula1>
    </dataValidation>
    <dataValidation allowBlank="1" showDropDown="1" sqref="H2:H3001 L2:L300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31.38"/>
    <col customWidth="1" min="4" max="4" width="32.5"/>
    <col customWidth="1" min="6" max="6" width="27.88"/>
    <col customWidth="1" min="7" max="7" width="19.38"/>
  </cols>
  <sheetData>
    <row r="1">
      <c r="A1" s="1" t="s">
        <v>0</v>
      </c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/>
      <c r="B2" s="3"/>
      <c r="C2" s="3"/>
      <c r="D2" s="3"/>
      <c r="E2" s="3"/>
      <c r="F2" s="5" t="s">
        <v>1</v>
      </c>
      <c r="G2" s="5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C3" s="6" t="s">
        <v>3</v>
      </c>
      <c r="D3" s="6" t="s">
        <v>4</v>
      </c>
      <c r="E3" s="3"/>
      <c r="F3" s="7">
        <f>IFERROR(__xludf.DUMMYFUNCTION("QUERY(Integracion,""select J"")"),5.65)</f>
        <v>5.65</v>
      </c>
      <c r="G3" s="2">
        <f t="shared" ref="G3:G3002" si="2">ROUND(F3,0)</f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C4" s="10">
        <f t="shared" ref="C4:D4" si="1">MODE(F3:F3002)</f>
        <v>32.7</v>
      </c>
      <c r="D4" s="10">
        <f t="shared" si="1"/>
        <v>13</v>
      </c>
      <c r="E4" s="3"/>
      <c r="F4" s="7">
        <f>IFERROR(__xludf.DUMMYFUNCTION("""COMPUTED_VALUE"""),9.45)</f>
        <v>9.45</v>
      </c>
      <c r="G4" s="2">
        <f t="shared" si="2"/>
        <v>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B5" s="3"/>
      <c r="C5" s="3"/>
      <c r="D5" s="3"/>
      <c r="E5" s="3"/>
      <c r="F5" s="7">
        <f>IFERROR(__xludf.DUMMYFUNCTION("""COMPUTED_VALUE"""),15.23)</f>
        <v>15.23</v>
      </c>
      <c r="G5" s="2">
        <f t="shared" si="2"/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B6" s="3"/>
      <c r="C6" s="3"/>
      <c r="D6" s="3"/>
      <c r="E6" s="3"/>
      <c r="F6" s="2">
        <f>IFERROR(__xludf.DUMMYFUNCTION("""COMPUTED_VALUE"""),5.24)</f>
        <v>5.24</v>
      </c>
      <c r="G6" s="2">
        <f t="shared" si="2"/>
        <v>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C7" s="6" t="s">
        <v>20</v>
      </c>
      <c r="D7" s="6" t="s">
        <v>21</v>
      </c>
      <c r="E7" s="3"/>
      <c r="F7" s="2">
        <f>IFERROR(__xludf.DUMMYFUNCTION("""COMPUTED_VALUE"""),19.23)</f>
        <v>19.23</v>
      </c>
      <c r="G7" s="2">
        <f t="shared" si="2"/>
        <v>19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C8" s="18">
        <f>AVERAGE(INTEGRACION!J2:J3502)</f>
        <v>34.36773</v>
      </c>
      <c r="D8" s="18">
        <f>MEDIAN(INTEGRACION!J2:J3502)</f>
        <v>26.16</v>
      </c>
      <c r="E8" s="3"/>
      <c r="F8" s="2">
        <f>IFERROR(__xludf.DUMMYFUNCTION("""COMPUTED_VALUE"""),8.23)</f>
        <v>8.23</v>
      </c>
      <c r="G8" s="2">
        <f t="shared" si="2"/>
        <v>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B9" s="3"/>
      <c r="C9" s="3"/>
      <c r="D9" s="3"/>
      <c r="E9" s="3"/>
      <c r="F9" s="2">
        <f>IFERROR(__xludf.DUMMYFUNCTION("""COMPUTED_VALUE"""),6.25)</f>
        <v>6.25</v>
      </c>
      <c r="G9" s="2">
        <f t="shared" si="2"/>
        <v>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B10" s="3"/>
      <c r="C10" s="3"/>
      <c r="D10" s="3"/>
      <c r="E10" s="3"/>
      <c r="F10" s="2">
        <f>IFERROR(__xludf.DUMMYFUNCTION("""COMPUTED_VALUE"""),6.21)</f>
        <v>6.21</v>
      </c>
      <c r="G10" s="2">
        <f t="shared" si="2"/>
        <v>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B11" s="3"/>
      <c r="C11" s="3"/>
      <c r="D11" s="3"/>
      <c r="E11" s="3"/>
      <c r="F11" s="2">
        <f>IFERROR(__xludf.DUMMYFUNCTION("""COMPUTED_VALUE"""),3.25)</f>
        <v>3.25</v>
      </c>
      <c r="G11" s="2">
        <f t="shared" si="2"/>
        <v>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B12" s="3"/>
      <c r="C12" s="3"/>
      <c r="D12" s="3"/>
      <c r="E12" s="3"/>
      <c r="F12" s="2">
        <f>IFERROR(__xludf.DUMMYFUNCTION("""COMPUTED_VALUE"""),4.25)</f>
        <v>4.25</v>
      </c>
      <c r="G12" s="2">
        <f t="shared" si="2"/>
        <v>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B13" s="3"/>
      <c r="C13" s="3"/>
      <c r="D13" s="3"/>
      <c r="E13" s="3"/>
      <c r="F13" s="2">
        <f>IFERROR(__xludf.DUMMYFUNCTION("""COMPUTED_VALUE"""),11.54)</f>
        <v>11.54</v>
      </c>
      <c r="G13" s="2">
        <f t="shared" si="2"/>
        <v>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B14" s="3"/>
      <c r="C14" s="3"/>
      <c r="D14" s="3"/>
      <c r="E14" s="3"/>
      <c r="F14" s="2">
        <f>IFERROR(__xludf.DUMMYFUNCTION("""COMPUTED_VALUE"""),4.21)</f>
        <v>4.21</v>
      </c>
      <c r="G14" s="2">
        <f t="shared" si="2"/>
        <v>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B15" s="3"/>
      <c r="C15" s="3"/>
      <c r="D15" s="3"/>
      <c r="E15" s="3"/>
      <c r="F15" s="2">
        <f>IFERROR(__xludf.DUMMYFUNCTION("""COMPUTED_VALUE"""),15.23)</f>
        <v>15.23</v>
      </c>
      <c r="G15" s="2">
        <f t="shared" si="2"/>
        <v>15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B16" s="3"/>
      <c r="C16" s="3"/>
      <c r="D16" s="3"/>
      <c r="E16" s="3"/>
      <c r="F16" s="2">
        <f>IFERROR(__xludf.DUMMYFUNCTION("""COMPUTED_VALUE"""),11.54)</f>
        <v>11.54</v>
      </c>
      <c r="G16" s="2">
        <f t="shared" si="2"/>
        <v>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B17" s="3"/>
      <c r="C17" s="3"/>
      <c r="D17" s="3"/>
      <c r="E17" s="3"/>
      <c r="F17" s="2">
        <f>IFERROR(__xludf.DUMMYFUNCTION("""COMPUTED_VALUE"""),6.21)</f>
        <v>6.21</v>
      </c>
      <c r="G17" s="2">
        <f t="shared" si="2"/>
        <v>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B18" s="3"/>
      <c r="C18" s="3"/>
      <c r="D18" s="3"/>
      <c r="E18" s="3"/>
      <c r="F18" s="2">
        <f>IFERROR(__xludf.DUMMYFUNCTION("""COMPUTED_VALUE"""),11.23)</f>
        <v>11.23</v>
      </c>
      <c r="G18" s="2">
        <f t="shared" si="2"/>
        <v>11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B19" s="3"/>
      <c r="C19" s="3"/>
      <c r="D19" s="3"/>
      <c r="E19" s="3"/>
      <c r="F19" s="2">
        <f>IFERROR(__xludf.DUMMYFUNCTION("""COMPUTED_VALUE"""),4.25)</f>
        <v>4.25</v>
      </c>
      <c r="G19" s="2">
        <f t="shared" si="2"/>
        <v>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B20" s="3"/>
      <c r="C20" s="3"/>
      <c r="D20" s="3"/>
      <c r="E20" s="3"/>
      <c r="F20" s="2">
        <f>IFERROR(__xludf.DUMMYFUNCTION("""COMPUTED_VALUE"""),12.24)</f>
        <v>12.24</v>
      </c>
      <c r="G20" s="2">
        <f t="shared" si="2"/>
        <v>12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B21" s="3"/>
      <c r="C21" s="3"/>
      <c r="D21" s="3"/>
      <c r="E21" s="3"/>
      <c r="F21" s="2">
        <f>IFERROR(__xludf.DUMMYFUNCTION("""COMPUTED_VALUE"""),12.24)</f>
        <v>12.24</v>
      </c>
      <c r="G21" s="2">
        <f t="shared" si="2"/>
        <v>12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B22" s="3"/>
      <c r="C22" s="3"/>
      <c r="D22" s="3"/>
      <c r="E22" s="3"/>
      <c r="F22" s="2">
        <f>IFERROR(__xludf.DUMMYFUNCTION("""COMPUTED_VALUE"""),4.25)</f>
        <v>4.25</v>
      </c>
      <c r="G22" s="2">
        <f t="shared" si="2"/>
        <v>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B23" s="3"/>
      <c r="C23" s="3"/>
      <c r="D23" s="3"/>
      <c r="E23" s="3"/>
      <c r="F23" s="2">
        <f>IFERROR(__xludf.DUMMYFUNCTION("""COMPUTED_VALUE"""),8.23)</f>
        <v>8.23</v>
      </c>
      <c r="G23" s="2">
        <f t="shared" si="2"/>
        <v>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B24" s="3"/>
      <c r="C24" s="3"/>
      <c r="D24" s="3"/>
      <c r="E24" s="3"/>
      <c r="F24" s="2">
        <f>IFERROR(__xludf.DUMMYFUNCTION("""COMPUTED_VALUE"""),12.36)</f>
        <v>12.36</v>
      </c>
      <c r="G24" s="2">
        <f t="shared" si="2"/>
        <v>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B25" s="3"/>
      <c r="C25" s="3"/>
      <c r="D25" s="3"/>
      <c r="E25" s="3"/>
      <c r="F25" s="2">
        <f>IFERROR(__xludf.DUMMYFUNCTION("""COMPUTED_VALUE"""),12.56)</f>
        <v>12.56</v>
      </c>
      <c r="G25" s="2">
        <f t="shared" si="2"/>
        <v>13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B26" s="3"/>
      <c r="C26" s="3"/>
      <c r="D26" s="3"/>
      <c r="E26" s="3"/>
      <c r="F26" s="2">
        <f>IFERROR(__xludf.DUMMYFUNCTION("""COMPUTED_VALUE"""),8.54)</f>
        <v>8.54</v>
      </c>
      <c r="G26" s="2">
        <f t="shared" si="2"/>
        <v>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B27" s="3"/>
      <c r="C27" s="3"/>
      <c r="D27" s="3"/>
      <c r="E27" s="3"/>
      <c r="F27" s="2">
        <f>IFERROR(__xludf.DUMMYFUNCTION("""COMPUTED_VALUE"""),6.21)</f>
        <v>6.21</v>
      </c>
      <c r="G27" s="2">
        <f t="shared" si="2"/>
        <v>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B28" s="3"/>
      <c r="C28" s="3"/>
      <c r="D28" s="3"/>
      <c r="E28" s="3"/>
      <c r="F28" s="2">
        <f>IFERROR(__xludf.DUMMYFUNCTION("""COMPUTED_VALUE"""),11.54)</f>
        <v>11.54</v>
      </c>
      <c r="G28" s="2">
        <f t="shared" si="2"/>
        <v>12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B29" s="3"/>
      <c r="C29" s="3"/>
      <c r="D29" s="3"/>
      <c r="E29" s="3"/>
      <c r="F29" s="2">
        <f>IFERROR(__xludf.DUMMYFUNCTION("""COMPUTED_VALUE"""),8.23)</f>
        <v>8.23</v>
      </c>
      <c r="G29" s="2">
        <f t="shared" si="2"/>
        <v>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B30" s="3"/>
      <c r="C30" s="3"/>
      <c r="D30" s="3"/>
      <c r="E30" s="3"/>
      <c r="F30" s="2">
        <f>IFERROR(__xludf.DUMMYFUNCTION("""COMPUTED_VALUE"""),18.56)</f>
        <v>18.56</v>
      </c>
      <c r="G30" s="2">
        <f t="shared" si="2"/>
        <v>19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B31" s="3"/>
      <c r="C31" s="3"/>
      <c r="D31" s="3"/>
      <c r="E31" s="3"/>
      <c r="F31" s="2">
        <f>IFERROR(__xludf.DUMMYFUNCTION("""COMPUTED_VALUE"""),11.23)</f>
        <v>11.23</v>
      </c>
      <c r="G31" s="2">
        <f t="shared" si="2"/>
        <v>11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B32" s="3"/>
      <c r="C32" s="3"/>
      <c r="D32" s="3"/>
      <c r="E32" s="3"/>
      <c r="F32" s="2">
        <f>IFERROR(__xludf.DUMMYFUNCTION("""COMPUTED_VALUE"""),5.21)</f>
        <v>5.21</v>
      </c>
      <c r="G32" s="2">
        <f t="shared" si="2"/>
        <v>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B33" s="3"/>
      <c r="C33" s="3"/>
      <c r="D33" s="3"/>
      <c r="E33" s="3"/>
      <c r="F33" s="2">
        <f>IFERROR(__xludf.DUMMYFUNCTION("""COMPUTED_VALUE"""),12.36)</f>
        <v>12.36</v>
      </c>
      <c r="G33" s="2">
        <f t="shared" si="2"/>
        <v>12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B34" s="3"/>
      <c r="C34" s="3"/>
      <c r="D34" s="3"/>
      <c r="E34" s="3"/>
      <c r="F34" s="2">
        <f>IFERROR(__xludf.DUMMYFUNCTION("""COMPUTED_VALUE"""),6.25)</f>
        <v>6.25</v>
      </c>
      <c r="G34" s="2">
        <f t="shared" si="2"/>
        <v>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B35" s="3"/>
      <c r="C35" s="3"/>
      <c r="D35" s="3"/>
      <c r="E35" s="3"/>
      <c r="F35" s="2">
        <f>IFERROR(__xludf.DUMMYFUNCTION("""COMPUTED_VALUE"""),8.23)</f>
        <v>8.23</v>
      </c>
      <c r="G35" s="2">
        <f t="shared" si="2"/>
        <v>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B36" s="3"/>
      <c r="C36" s="3"/>
      <c r="D36" s="3"/>
      <c r="E36" s="3"/>
      <c r="F36" s="2">
        <f>IFERROR(__xludf.DUMMYFUNCTION("""COMPUTED_VALUE"""),3.65)</f>
        <v>3.65</v>
      </c>
      <c r="G36" s="2">
        <f t="shared" si="2"/>
        <v>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B37" s="3"/>
      <c r="C37" s="3"/>
      <c r="D37" s="3"/>
      <c r="E37" s="3"/>
      <c r="F37" s="2">
        <f>IFERROR(__xludf.DUMMYFUNCTION("""COMPUTED_VALUE"""),12.56)</f>
        <v>12.56</v>
      </c>
      <c r="G37" s="2">
        <f t="shared" si="2"/>
        <v>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B38" s="3"/>
      <c r="C38" s="3"/>
      <c r="D38" s="3"/>
      <c r="E38" s="3"/>
      <c r="F38" s="2">
        <f>IFERROR(__xludf.DUMMYFUNCTION("""COMPUTED_VALUE"""),13.54)</f>
        <v>13.54</v>
      </c>
      <c r="G38" s="2">
        <f t="shared" si="2"/>
        <v>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B39" s="3"/>
      <c r="C39" s="3"/>
      <c r="D39" s="3"/>
      <c r="E39" s="3"/>
      <c r="F39" s="2">
        <f>IFERROR(__xludf.DUMMYFUNCTION("""COMPUTED_VALUE"""),11.23)</f>
        <v>11.23</v>
      </c>
      <c r="G39" s="2">
        <f t="shared" si="2"/>
        <v>11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B40" s="3"/>
      <c r="C40" s="3"/>
      <c r="D40" s="3"/>
      <c r="E40" s="3"/>
      <c r="F40" s="2">
        <f>IFERROR(__xludf.DUMMYFUNCTION("""COMPUTED_VALUE"""),14.25)</f>
        <v>14.25</v>
      </c>
      <c r="G40" s="2">
        <f t="shared" si="2"/>
        <v>14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B41" s="3"/>
      <c r="C41" s="3"/>
      <c r="D41" s="3"/>
      <c r="E41" s="3"/>
      <c r="F41" s="2">
        <f>IFERROR(__xludf.DUMMYFUNCTION("""COMPUTED_VALUE"""),6.54)</f>
        <v>6.54</v>
      </c>
      <c r="G41" s="2">
        <f t="shared" si="2"/>
        <v>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B42" s="3"/>
      <c r="C42" s="3"/>
      <c r="D42" s="3"/>
      <c r="E42" s="3"/>
      <c r="F42" s="2">
        <f>IFERROR(__xludf.DUMMYFUNCTION("""COMPUTED_VALUE"""),17.23)</f>
        <v>17.23</v>
      </c>
      <c r="G42" s="2">
        <f t="shared" si="2"/>
        <v>17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B43" s="3"/>
      <c r="C43" s="3"/>
      <c r="D43" s="3"/>
      <c r="E43" s="3"/>
      <c r="F43" s="2">
        <f>IFERROR(__xludf.DUMMYFUNCTION("""COMPUTED_VALUE"""),8.23)</f>
        <v>8.23</v>
      </c>
      <c r="G43" s="2">
        <f t="shared" si="2"/>
        <v>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B44" s="3"/>
      <c r="C44" s="3"/>
      <c r="D44" s="3"/>
      <c r="E44" s="3"/>
      <c r="F44" s="2">
        <f>IFERROR(__xludf.DUMMYFUNCTION("""COMPUTED_VALUE"""),4.21)</f>
        <v>4.21</v>
      </c>
      <c r="G44" s="2">
        <f t="shared" si="2"/>
        <v>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B45" s="3"/>
      <c r="C45" s="3"/>
      <c r="D45" s="3"/>
      <c r="E45" s="3"/>
      <c r="F45" s="2">
        <f>IFERROR(__xludf.DUMMYFUNCTION("""COMPUTED_VALUE"""),6.54)</f>
        <v>6.54</v>
      </c>
      <c r="G45" s="2">
        <f t="shared" si="2"/>
        <v>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B46" s="3"/>
      <c r="C46" s="3"/>
      <c r="D46" s="3"/>
      <c r="E46" s="3"/>
      <c r="F46" s="2">
        <f>IFERROR(__xludf.DUMMYFUNCTION("""COMPUTED_VALUE"""),8.54)</f>
        <v>8.54</v>
      </c>
      <c r="G46" s="2">
        <f t="shared" si="2"/>
        <v>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B47" s="3"/>
      <c r="C47" s="3"/>
      <c r="D47" s="3"/>
      <c r="E47" s="3"/>
      <c r="F47" s="2">
        <f>IFERROR(__xludf.DUMMYFUNCTION("""COMPUTED_VALUE"""),6.54)</f>
        <v>6.54</v>
      </c>
      <c r="G47" s="2">
        <f t="shared" si="2"/>
        <v>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B48" s="3"/>
      <c r="C48" s="3"/>
      <c r="D48" s="3"/>
      <c r="E48" s="3"/>
      <c r="F48" s="2">
        <f>IFERROR(__xludf.DUMMYFUNCTION("""COMPUTED_VALUE"""),3.25)</f>
        <v>3.25</v>
      </c>
      <c r="G48" s="2">
        <f t="shared" si="2"/>
        <v>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B49" s="3"/>
      <c r="C49" s="3"/>
      <c r="D49" s="3"/>
      <c r="E49" s="3"/>
      <c r="F49" s="2">
        <f>IFERROR(__xludf.DUMMYFUNCTION("""COMPUTED_VALUE"""),5.21)</f>
        <v>5.21</v>
      </c>
      <c r="G49" s="2">
        <f t="shared" si="2"/>
        <v>5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B50" s="3"/>
      <c r="C50" s="3"/>
      <c r="D50" s="3"/>
      <c r="E50" s="3"/>
      <c r="F50" s="2">
        <f>IFERROR(__xludf.DUMMYFUNCTION("""COMPUTED_VALUE"""),16.21)</f>
        <v>16.21</v>
      </c>
      <c r="G50" s="2">
        <f t="shared" si="2"/>
        <v>16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B51" s="3"/>
      <c r="C51" s="3"/>
      <c r="D51" s="3"/>
      <c r="E51" s="3"/>
      <c r="F51" s="2">
        <f>IFERROR(__xludf.DUMMYFUNCTION("""COMPUTED_VALUE"""),7.25)</f>
        <v>7.25</v>
      </c>
      <c r="G51" s="2">
        <f t="shared" si="2"/>
        <v>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B52" s="3"/>
      <c r="C52" s="3"/>
      <c r="D52" s="3"/>
      <c r="E52" s="3"/>
      <c r="F52" s="2">
        <f>IFERROR(__xludf.DUMMYFUNCTION("""COMPUTED_VALUE"""),8.12)</f>
        <v>8.12</v>
      </c>
      <c r="G52" s="2">
        <f t="shared" si="2"/>
        <v>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B53" s="3"/>
      <c r="C53" s="3"/>
      <c r="D53" s="3"/>
      <c r="E53" s="3"/>
      <c r="F53" s="2">
        <f>IFERROR(__xludf.DUMMYFUNCTION("""COMPUTED_VALUE"""),9.54)</f>
        <v>9.54</v>
      </c>
      <c r="G53" s="2">
        <f t="shared" si="2"/>
        <v>10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B54" s="3"/>
      <c r="C54" s="3"/>
      <c r="D54" s="3"/>
      <c r="E54" s="3"/>
      <c r="F54" s="2">
        <f>IFERROR(__xludf.DUMMYFUNCTION("""COMPUTED_VALUE"""),5.65)</f>
        <v>5.65</v>
      </c>
      <c r="G54" s="2">
        <f t="shared" si="2"/>
        <v>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B55" s="3"/>
      <c r="C55" s="3"/>
      <c r="D55" s="3"/>
      <c r="E55" s="3"/>
      <c r="F55" s="2">
        <f>IFERROR(__xludf.DUMMYFUNCTION("""COMPUTED_VALUE"""),6.25)</f>
        <v>6.25</v>
      </c>
      <c r="G55" s="2">
        <f t="shared" si="2"/>
        <v>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B56" s="3"/>
      <c r="C56" s="3"/>
      <c r="D56" s="3"/>
      <c r="E56" s="3"/>
      <c r="F56" s="2">
        <f>IFERROR(__xludf.DUMMYFUNCTION("""COMPUTED_VALUE"""),6.25)</f>
        <v>6.25</v>
      </c>
      <c r="G56" s="2">
        <f t="shared" si="2"/>
        <v>6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B57" s="3"/>
      <c r="C57" s="3"/>
      <c r="D57" s="3"/>
      <c r="E57" s="3"/>
      <c r="F57" s="2">
        <f>IFERROR(__xludf.DUMMYFUNCTION("""COMPUTED_VALUE"""),12.36)</f>
        <v>12.36</v>
      </c>
      <c r="G57" s="2">
        <f t="shared" si="2"/>
        <v>12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B58" s="3"/>
      <c r="C58" s="3"/>
      <c r="D58" s="3"/>
      <c r="E58" s="3"/>
      <c r="F58" s="2">
        <f>IFERROR(__xludf.DUMMYFUNCTION("""COMPUTED_VALUE"""),5.21)</f>
        <v>5.21</v>
      </c>
      <c r="G58" s="2">
        <f t="shared" si="2"/>
        <v>5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B59" s="3"/>
      <c r="C59" s="3"/>
      <c r="D59" s="3"/>
      <c r="E59" s="3"/>
      <c r="F59" s="2">
        <f>IFERROR(__xludf.DUMMYFUNCTION("""COMPUTED_VALUE"""),11.25)</f>
        <v>11.25</v>
      </c>
      <c r="G59" s="2">
        <f t="shared" si="2"/>
        <v>11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B60" s="3"/>
      <c r="C60" s="3"/>
      <c r="D60" s="3"/>
      <c r="E60" s="3"/>
      <c r="F60" s="2">
        <f>IFERROR(__xludf.DUMMYFUNCTION("""COMPUTED_VALUE"""),17.23)</f>
        <v>17.23</v>
      </c>
      <c r="G60" s="2">
        <f t="shared" si="2"/>
        <v>17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B61" s="3"/>
      <c r="C61" s="3"/>
      <c r="D61" s="3"/>
      <c r="E61" s="3"/>
      <c r="F61" s="2">
        <f>IFERROR(__xludf.DUMMYFUNCTION("""COMPUTED_VALUE"""),12.56)</f>
        <v>12.56</v>
      </c>
      <c r="G61" s="2">
        <f t="shared" si="2"/>
        <v>13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B62" s="3"/>
      <c r="C62" s="3"/>
      <c r="D62" s="3"/>
      <c r="E62" s="3"/>
      <c r="F62" s="2">
        <f>IFERROR(__xludf.DUMMYFUNCTION("""COMPUTED_VALUE"""),13.54)</f>
        <v>13.54</v>
      </c>
      <c r="G62" s="2">
        <f t="shared" si="2"/>
        <v>14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B63" s="3"/>
      <c r="C63" s="3"/>
      <c r="D63" s="3"/>
      <c r="E63" s="3"/>
      <c r="F63" s="2">
        <f>IFERROR(__xludf.DUMMYFUNCTION("""COMPUTED_VALUE"""),3.25)</f>
        <v>3.25</v>
      </c>
      <c r="G63" s="2">
        <f t="shared" si="2"/>
        <v>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B64" s="3"/>
      <c r="C64" s="3"/>
      <c r="D64" s="3"/>
      <c r="E64" s="3"/>
      <c r="F64" s="2">
        <f>IFERROR(__xludf.DUMMYFUNCTION("""COMPUTED_VALUE"""),5.21)</f>
        <v>5.21</v>
      </c>
      <c r="G64" s="2">
        <f t="shared" si="2"/>
        <v>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B65" s="3"/>
      <c r="C65" s="3"/>
      <c r="D65" s="3"/>
      <c r="E65" s="3"/>
      <c r="F65" s="2">
        <f>IFERROR(__xludf.DUMMYFUNCTION("""COMPUTED_VALUE"""),14.25)</f>
        <v>14.25</v>
      </c>
      <c r="G65" s="2">
        <f t="shared" si="2"/>
        <v>14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B66" s="3"/>
      <c r="C66" s="3"/>
      <c r="D66" s="3"/>
      <c r="E66" s="3"/>
      <c r="F66" s="2">
        <f>IFERROR(__xludf.DUMMYFUNCTION("""COMPUTED_VALUE"""),4.25)</f>
        <v>4.25</v>
      </c>
      <c r="G66" s="2">
        <f t="shared" si="2"/>
        <v>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B67" s="3"/>
      <c r="C67" s="3"/>
      <c r="D67" s="3"/>
      <c r="E67" s="3"/>
      <c r="F67" s="2">
        <f>IFERROR(__xludf.DUMMYFUNCTION("""COMPUTED_VALUE"""),5.21)</f>
        <v>5.21</v>
      </c>
      <c r="G67" s="2">
        <f t="shared" si="2"/>
        <v>5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B68" s="3"/>
      <c r="C68" s="3"/>
      <c r="D68" s="3"/>
      <c r="E68" s="3"/>
      <c r="F68" s="2">
        <f>IFERROR(__xludf.DUMMYFUNCTION("""COMPUTED_VALUE"""),3.65)</f>
        <v>3.65</v>
      </c>
      <c r="G68" s="2">
        <f t="shared" si="2"/>
        <v>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B69" s="3"/>
      <c r="C69" s="3"/>
      <c r="D69" s="3"/>
      <c r="E69" s="3"/>
      <c r="F69" s="2">
        <f>IFERROR(__xludf.DUMMYFUNCTION("""COMPUTED_VALUE"""),8.12)</f>
        <v>8.12</v>
      </c>
      <c r="G69" s="2">
        <f t="shared" si="2"/>
        <v>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B70" s="3"/>
      <c r="C70" s="3"/>
      <c r="D70" s="3"/>
      <c r="E70" s="3"/>
      <c r="F70" s="2">
        <f>IFERROR(__xludf.DUMMYFUNCTION("""COMPUTED_VALUE"""),9.45)</f>
        <v>9.45</v>
      </c>
      <c r="G70" s="2">
        <f t="shared" si="2"/>
        <v>9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B71" s="3"/>
      <c r="C71" s="3"/>
      <c r="D71" s="3"/>
      <c r="E71" s="3"/>
      <c r="F71" s="2">
        <f>IFERROR(__xludf.DUMMYFUNCTION("""COMPUTED_VALUE"""),3.25)</f>
        <v>3.25</v>
      </c>
      <c r="G71" s="2">
        <f t="shared" si="2"/>
        <v>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B72" s="3"/>
      <c r="C72" s="3"/>
      <c r="D72" s="3"/>
      <c r="E72" s="3"/>
      <c r="F72" s="2">
        <f>IFERROR(__xludf.DUMMYFUNCTION("""COMPUTED_VALUE"""),15.23)</f>
        <v>15.23</v>
      </c>
      <c r="G72" s="2">
        <f t="shared" si="2"/>
        <v>15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B73" s="3"/>
      <c r="C73" s="3"/>
      <c r="D73" s="3"/>
      <c r="E73" s="3"/>
      <c r="F73" s="2">
        <f>IFERROR(__xludf.DUMMYFUNCTION("""COMPUTED_VALUE"""),6.25)</f>
        <v>6.25</v>
      </c>
      <c r="G73" s="2">
        <f t="shared" si="2"/>
        <v>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B74" s="3"/>
      <c r="C74" s="3"/>
      <c r="D74" s="3"/>
      <c r="E74" s="3"/>
      <c r="F74" s="2">
        <f>IFERROR(__xludf.DUMMYFUNCTION("""COMPUTED_VALUE"""),6.54)</f>
        <v>6.54</v>
      </c>
      <c r="G74" s="2">
        <f t="shared" si="2"/>
        <v>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B75" s="3"/>
      <c r="C75" s="3"/>
      <c r="D75" s="3"/>
      <c r="E75" s="3"/>
      <c r="F75" s="2">
        <f>IFERROR(__xludf.DUMMYFUNCTION("""COMPUTED_VALUE"""),6.54)</f>
        <v>6.54</v>
      </c>
      <c r="G75" s="2">
        <f t="shared" si="2"/>
        <v>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B76" s="3"/>
      <c r="C76" s="3"/>
      <c r="D76" s="3"/>
      <c r="E76" s="3"/>
      <c r="F76" s="2">
        <f>IFERROR(__xludf.DUMMYFUNCTION("""COMPUTED_VALUE"""),7.25)</f>
        <v>7.25</v>
      </c>
      <c r="G76" s="2">
        <f t="shared" si="2"/>
        <v>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B77" s="3"/>
      <c r="C77" s="3"/>
      <c r="D77" s="3"/>
      <c r="E77" s="3"/>
      <c r="F77" s="2">
        <f>IFERROR(__xludf.DUMMYFUNCTION("""COMPUTED_VALUE"""),5.24)</f>
        <v>5.24</v>
      </c>
      <c r="G77" s="2">
        <f t="shared" si="2"/>
        <v>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B78" s="3"/>
      <c r="C78" s="3"/>
      <c r="D78" s="3"/>
      <c r="E78" s="3"/>
      <c r="F78" s="2">
        <f>IFERROR(__xludf.DUMMYFUNCTION("""COMPUTED_VALUE"""),16.21)</f>
        <v>16.21</v>
      </c>
      <c r="G78" s="2">
        <f t="shared" si="2"/>
        <v>16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B79" s="3"/>
      <c r="C79" s="3"/>
      <c r="D79" s="3"/>
      <c r="E79" s="3"/>
      <c r="F79" s="2">
        <f>IFERROR(__xludf.DUMMYFUNCTION("""COMPUTED_VALUE"""),6.54)</f>
        <v>6.54</v>
      </c>
      <c r="G79" s="2">
        <f t="shared" si="2"/>
        <v>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B80" s="3"/>
      <c r="C80" s="3"/>
      <c r="D80" s="3"/>
      <c r="E80" s="3"/>
      <c r="F80" s="2">
        <f>IFERROR(__xludf.DUMMYFUNCTION("""COMPUTED_VALUE"""),5.24)</f>
        <v>5.24</v>
      </c>
      <c r="G80" s="2">
        <f t="shared" si="2"/>
        <v>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B81" s="3"/>
      <c r="C81" s="3"/>
      <c r="D81" s="3"/>
      <c r="E81" s="3"/>
      <c r="F81" s="2">
        <f>IFERROR(__xludf.DUMMYFUNCTION("""COMPUTED_VALUE"""),6.54)</f>
        <v>6.54</v>
      </c>
      <c r="G81" s="2">
        <f t="shared" si="2"/>
        <v>7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B82" s="3"/>
      <c r="C82" s="3"/>
      <c r="D82" s="3"/>
      <c r="E82" s="3"/>
      <c r="F82" s="2">
        <f>IFERROR(__xludf.DUMMYFUNCTION("""COMPUTED_VALUE"""),15.45)</f>
        <v>15.45</v>
      </c>
      <c r="G82" s="2">
        <f t="shared" si="2"/>
        <v>15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B83" s="3"/>
      <c r="C83" s="3"/>
      <c r="D83" s="3"/>
      <c r="E83" s="3"/>
      <c r="F83" s="2">
        <f>IFERROR(__xludf.DUMMYFUNCTION("""COMPUTED_VALUE"""),6.21)</f>
        <v>6.21</v>
      </c>
      <c r="G83" s="2">
        <f t="shared" si="2"/>
        <v>6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B84" s="3"/>
      <c r="C84" s="3"/>
      <c r="D84" s="3"/>
      <c r="E84" s="3"/>
      <c r="F84" s="2">
        <f>IFERROR(__xludf.DUMMYFUNCTION("""COMPUTED_VALUE"""),9.45)</f>
        <v>9.45</v>
      </c>
      <c r="G84" s="2">
        <f t="shared" si="2"/>
        <v>9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B85" s="3"/>
      <c r="C85" s="3"/>
      <c r="D85" s="3"/>
      <c r="E85" s="3"/>
      <c r="F85" s="2">
        <f>IFERROR(__xludf.DUMMYFUNCTION("""COMPUTED_VALUE"""),13.54)</f>
        <v>13.54</v>
      </c>
      <c r="G85" s="2">
        <f t="shared" si="2"/>
        <v>14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B86" s="3"/>
      <c r="C86" s="3"/>
      <c r="D86" s="3"/>
      <c r="E86" s="3"/>
      <c r="F86" s="2">
        <f>IFERROR(__xludf.DUMMYFUNCTION("""COMPUTED_VALUE"""),12.56)</f>
        <v>12.56</v>
      </c>
      <c r="G86" s="2">
        <f t="shared" si="2"/>
        <v>13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B87" s="3"/>
      <c r="C87" s="3"/>
      <c r="D87" s="3"/>
      <c r="E87" s="3"/>
      <c r="F87" s="2">
        <f>IFERROR(__xludf.DUMMYFUNCTION("""COMPUTED_VALUE"""),15.45)</f>
        <v>15.45</v>
      </c>
      <c r="G87" s="2">
        <f t="shared" si="2"/>
        <v>15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B88" s="3"/>
      <c r="C88" s="3"/>
      <c r="D88" s="3"/>
      <c r="E88" s="3"/>
      <c r="F88" s="2">
        <f>IFERROR(__xludf.DUMMYFUNCTION("""COMPUTED_VALUE"""),5.45)</f>
        <v>5.45</v>
      </c>
      <c r="G88" s="2">
        <f t="shared" si="2"/>
        <v>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B89" s="3"/>
      <c r="C89" s="3"/>
      <c r="D89" s="3"/>
      <c r="E89" s="3"/>
      <c r="F89" s="2">
        <f>IFERROR(__xludf.DUMMYFUNCTION("""COMPUTED_VALUE"""),13.54)</f>
        <v>13.54</v>
      </c>
      <c r="G89" s="2">
        <f t="shared" si="2"/>
        <v>14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B90" s="3"/>
      <c r="C90" s="3"/>
      <c r="D90" s="3"/>
      <c r="E90" s="3"/>
      <c r="F90" s="2">
        <f>IFERROR(__xludf.DUMMYFUNCTION("""COMPUTED_VALUE"""),9.45)</f>
        <v>9.45</v>
      </c>
      <c r="G90" s="2">
        <f t="shared" si="2"/>
        <v>9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B91" s="3"/>
      <c r="C91" s="3"/>
      <c r="D91" s="3"/>
      <c r="E91" s="3"/>
      <c r="F91" s="2">
        <f>IFERROR(__xludf.DUMMYFUNCTION("""COMPUTED_VALUE"""),11.25)</f>
        <v>11.25</v>
      </c>
      <c r="G91" s="2">
        <f t="shared" si="2"/>
        <v>11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B92" s="3"/>
      <c r="C92" s="3"/>
      <c r="D92" s="3"/>
      <c r="E92" s="3"/>
      <c r="F92" s="2">
        <f>IFERROR(__xludf.DUMMYFUNCTION("""COMPUTED_VALUE"""),5.21)</f>
        <v>5.21</v>
      </c>
      <c r="G92" s="2">
        <f t="shared" si="2"/>
        <v>5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B93" s="3"/>
      <c r="C93" s="3"/>
      <c r="D93" s="3"/>
      <c r="E93" s="3"/>
      <c r="F93" s="2">
        <f>IFERROR(__xludf.DUMMYFUNCTION("""COMPUTED_VALUE"""),3.25)</f>
        <v>3.25</v>
      </c>
      <c r="G93" s="2">
        <f t="shared" si="2"/>
        <v>3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B94" s="3"/>
      <c r="C94" s="3"/>
      <c r="D94" s="3"/>
      <c r="E94" s="3"/>
      <c r="F94" s="2">
        <f>IFERROR(__xludf.DUMMYFUNCTION("""COMPUTED_VALUE"""),6.54)</f>
        <v>6.54</v>
      </c>
      <c r="G94" s="2">
        <f t="shared" si="2"/>
        <v>7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B95" s="3"/>
      <c r="C95" s="3"/>
      <c r="D95" s="3"/>
      <c r="E95" s="3"/>
      <c r="F95" s="2">
        <f>IFERROR(__xludf.DUMMYFUNCTION("""COMPUTED_VALUE"""),4.25)</f>
        <v>4.25</v>
      </c>
      <c r="G95" s="2">
        <f t="shared" si="2"/>
        <v>4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B96" s="3"/>
      <c r="C96" s="3"/>
      <c r="D96" s="3"/>
      <c r="E96" s="3"/>
      <c r="F96" s="2">
        <f>IFERROR(__xludf.DUMMYFUNCTION("""COMPUTED_VALUE"""),6.25)</f>
        <v>6.25</v>
      </c>
      <c r="G96" s="2">
        <f t="shared" si="2"/>
        <v>6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B97" s="3"/>
      <c r="C97" s="3"/>
      <c r="D97" s="3"/>
      <c r="E97" s="3"/>
      <c r="F97" s="2">
        <f>IFERROR(__xludf.DUMMYFUNCTION("""COMPUTED_VALUE"""),3.25)</f>
        <v>3.25</v>
      </c>
      <c r="G97" s="2">
        <f t="shared" si="2"/>
        <v>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B98" s="3"/>
      <c r="C98" s="3"/>
      <c r="D98" s="3"/>
      <c r="E98" s="3"/>
      <c r="F98" s="2">
        <f>IFERROR(__xludf.DUMMYFUNCTION("""COMPUTED_VALUE"""),28.56)</f>
        <v>28.56</v>
      </c>
      <c r="G98" s="2">
        <f t="shared" si="2"/>
        <v>29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B99" s="3"/>
      <c r="C99" s="3"/>
      <c r="D99" s="3"/>
      <c r="E99" s="3"/>
      <c r="F99" s="2">
        <f>IFERROR(__xludf.DUMMYFUNCTION("""COMPUTED_VALUE"""),11.25)</f>
        <v>11.25</v>
      </c>
      <c r="G99" s="2">
        <f t="shared" si="2"/>
        <v>11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B100" s="3"/>
      <c r="C100" s="3"/>
      <c r="D100" s="3"/>
      <c r="E100" s="3"/>
      <c r="F100" s="2">
        <f>IFERROR(__xludf.DUMMYFUNCTION("""COMPUTED_VALUE"""),18.56)</f>
        <v>18.56</v>
      </c>
      <c r="G100" s="2">
        <f t="shared" si="2"/>
        <v>19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B101" s="3"/>
      <c r="C101" s="3"/>
      <c r="D101" s="3"/>
      <c r="E101" s="3"/>
      <c r="F101" s="2">
        <f>IFERROR(__xludf.DUMMYFUNCTION("""COMPUTED_VALUE"""),13.54)</f>
        <v>13.54</v>
      </c>
      <c r="G101" s="2">
        <f t="shared" si="2"/>
        <v>14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B102" s="3"/>
      <c r="C102" s="3"/>
      <c r="D102" s="3"/>
      <c r="E102" s="3"/>
      <c r="F102" s="2">
        <f>IFERROR(__xludf.DUMMYFUNCTION("""COMPUTED_VALUE"""),18.56)</f>
        <v>18.56</v>
      </c>
      <c r="G102" s="2">
        <f t="shared" si="2"/>
        <v>19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B103" s="3"/>
      <c r="C103" s="3"/>
      <c r="D103" s="3"/>
      <c r="E103" s="3"/>
      <c r="F103" s="2">
        <f>IFERROR(__xludf.DUMMYFUNCTION("""COMPUTED_VALUE"""),9.54)</f>
        <v>9.54</v>
      </c>
      <c r="G103" s="2">
        <f t="shared" si="2"/>
        <v>10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B104" s="3"/>
      <c r="C104" s="3"/>
      <c r="D104" s="3"/>
      <c r="E104" s="3"/>
      <c r="F104" s="2">
        <f>IFERROR(__xludf.DUMMYFUNCTION("""COMPUTED_VALUE"""),9.54)</f>
        <v>9.54</v>
      </c>
      <c r="G104" s="2">
        <f t="shared" si="2"/>
        <v>10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B105" s="3"/>
      <c r="C105" s="3"/>
      <c r="D105" s="3"/>
      <c r="E105" s="3"/>
      <c r="F105" s="2">
        <f>IFERROR(__xludf.DUMMYFUNCTION("""COMPUTED_VALUE"""),5.65)</f>
        <v>5.65</v>
      </c>
      <c r="G105" s="2">
        <f t="shared" si="2"/>
        <v>6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B106" s="3"/>
      <c r="C106" s="3"/>
      <c r="D106" s="3"/>
      <c r="E106" s="3"/>
      <c r="F106" s="2">
        <f>IFERROR(__xludf.DUMMYFUNCTION("""COMPUTED_VALUE"""),8.54)</f>
        <v>8.54</v>
      </c>
      <c r="G106" s="2">
        <f t="shared" si="2"/>
        <v>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B107" s="3"/>
      <c r="C107" s="3"/>
      <c r="D107" s="3"/>
      <c r="E107" s="3"/>
      <c r="F107" s="2">
        <f>IFERROR(__xludf.DUMMYFUNCTION("""COMPUTED_VALUE"""),13.54)</f>
        <v>13.54</v>
      </c>
      <c r="G107" s="2">
        <f t="shared" si="2"/>
        <v>14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B108" s="3"/>
      <c r="C108" s="3"/>
      <c r="D108" s="3"/>
      <c r="E108" s="3"/>
      <c r="F108" s="2">
        <f>IFERROR(__xludf.DUMMYFUNCTION("""COMPUTED_VALUE"""),5.24)</f>
        <v>5.24</v>
      </c>
      <c r="G108" s="2">
        <f t="shared" si="2"/>
        <v>5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B109" s="3"/>
      <c r="C109" s="3"/>
      <c r="D109" s="3"/>
      <c r="E109" s="3"/>
      <c r="F109" s="2">
        <f>IFERROR(__xludf.DUMMYFUNCTION("""COMPUTED_VALUE"""),8.54)</f>
        <v>8.54</v>
      </c>
      <c r="G109" s="2">
        <f t="shared" si="2"/>
        <v>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B110" s="3"/>
      <c r="C110" s="3"/>
      <c r="D110" s="3"/>
      <c r="E110" s="3"/>
      <c r="F110" s="2">
        <f>IFERROR(__xludf.DUMMYFUNCTION("""COMPUTED_VALUE"""),17.23)</f>
        <v>17.23</v>
      </c>
      <c r="G110" s="2">
        <f t="shared" si="2"/>
        <v>17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B111" s="3"/>
      <c r="C111" s="3"/>
      <c r="D111" s="3"/>
      <c r="E111" s="3"/>
      <c r="F111" s="2">
        <f>IFERROR(__xludf.DUMMYFUNCTION("""COMPUTED_VALUE"""),4.21)</f>
        <v>4.21</v>
      </c>
      <c r="G111" s="2">
        <f t="shared" si="2"/>
        <v>4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B112" s="3"/>
      <c r="C112" s="3"/>
      <c r="D112" s="3"/>
      <c r="E112" s="3"/>
      <c r="F112" s="2">
        <f>IFERROR(__xludf.DUMMYFUNCTION("""COMPUTED_VALUE"""),8.54)</f>
        <v>8.54</v>
      </c>
      <c r="G112" s="2">
        <f t="shared" si="2"/>
        <v>9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B113" s="3"/>
      <c r="C113" s="3"/>
      <c r="D113" s="3"/>
      <c r="E113" s="3"/>
      <c r="F113" s="2">
        <f>IFERROR(__xludf.DUMMYFUNCTION("""COMPUTED_VALUE"""),5.24)</f>
        <v>5.24</v>
      </c>
      <c r="G113" s="2">
        <f t="shared" si="2"/>
        <v>5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B114" s="3"/>
      <c r="C114" s="3"/>
      <c r="D114" s="3"/>
      <c r="E114" s="3"/>
      <c r="F114" s="2">
        <f>IFERROR(__xludf.DUMMYFUNCTION("""COMPUTED_VALUE"""),7.25)</f>
        <v>7.25</v>
      </c>
      <c r="G114" s="2">
        <f t="shared" si="2"/>
        <v>7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B115" s="3"/>
      <c r="C115" s="3"/>
      <c r="D115" s="3"/>
      <c r="E115" s="3"/>
      <c r="F115" s="2">
        <f>IFERROR(__xludf.DUMMYFUNCTION("""COMPUTED_VALUE"""),17.23)</f>
        <v>17.23</v>
      </c>
      <c r="G115" s="2">
        <f t="shared" si="2"/>
        <v>17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B116" s="3"/>
      <c r="C116" s="3"/>
      <c r="D116" s="3"/>
      <c r="E116" s="3"/>
      <c r="F116" s="2">
        <f>IFERROR(__xludf.DUMMYFUNCTION("""COMPUTED_VALUE"""),8.23)</f>
        <v>8.23</v>
      </c>
      <c r="G116" s="2">
        <f t="shared" si="2"/>
        <v>8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B117" s="3"/>
      <c r="C117" s="3"/>
      <c r="D117" s="3"/>
      <c r="E117" s="3"/>
      <c r="F117" s="2">
        <f>IFERROR(__xludf.DUMMYFUNCTION("""COMPUTED_VALUE"""),19.23)</f>
        <v>19.23</v>
      </c>
      <c r="G117" s="2">
        <f t="shared" si="2"/>
        <v>19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B118" s="3"/>
      <c r="C118" s="3"/>
      <c r="D118" s="3"/>
      <c r="E118" s="3"/>
      <c r="F118" s="2">
        <f>IFERROR(__xludf.DUMMYFUNCTION("""COMPUTED_VALUE"""),7.25)</f>
        <v>7.25</v>
      </c>
      <c r="G118" s="2">
        <f t="shared" si="2"/>
        <v>7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B119" s="3"/>
      <c r="C119" s="3"/>
      <c r="D119" s="3"/>
      <c r="E119" s="3"/>
      <c r="F119" s="2">
        <f>IFERROR(__xludf.DUMMYFUNCTION("""COMPUTED_VALUE"""),11.23)</f>
        <v>11.23</v>
      </c>
      <c r="G119" s="2">
        <f t="shared" si="2"/>
        <v>11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B120" s="3"/>
      <c r="C120" s="3"/>
      <c r="D120" s="3"/>
      <c r="E120" s="3"/>
      <c r="F120" s="2">
        <f>IFERROR(__xludf.DUMMYFUNCTION("""COMPUTED_VALUE"""),6.54)</f>
        <v>6.54</v>
      </c>
      <c r="G120" s="2">
        <f t="shared" si="2"/>
        <v>7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B121" s="3"/>
      <c r="C121" s="3"/>
      <c r="D121" s="3"/>
      <c r="E121" s="3"/>
      <c r="F121" s="2">
        <f>IFERROR(__xludf.DUMMYFUNCTION("""COMPUTED_VALUE"""),13.54)</f>
        <v>13.54</v>
      </c>
      <c r="G121" s="2">
        <f t="shared" si="2"/>
        <v>14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B122" s="3"/>
      <c r="C122" s="3"/>
      <c r="D122" s="3"/>
      <c r="E122" s="3"/>
      <c r="F122" s="2">
        <f>IFERROR(__xludf.DUMMYFUNCTION("""COMPUTED_VALUE"""),8.23)</f>
        <v>8.23</v>
      </c>
      <c r="G122" s="2">
        <f t="shared" si="2"/>
        <v>8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B123" s="3"/>
      <c r="C123" s="3"/>
      <c r="D123" s="3"/>
      <c r="E123" s="3"/>
      <c r="F123" s="2">
        <f>IFERROR(__xludf.DUMMYFUNCTION("""COMPUTED_VALUE"""),5.65)</f>
        <v>5.65</v>
      </c>
      <c r="G123" s="2">
        <f t="shared" si="2"/>
        <v>6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B124" s="3"/>
      <c r="C124" s="3"/>
      <c r="D124" s="3"/>
      <c r="E124" s="3"/>
      <c r="F124" s="2">
        <f>IFERROR(__xludf.DUMMYFUNCTION("""COMPUTED_VALUE"""),3.65)</f>
        <v>3.65</v>
      </c>
      <c r="G124" s="2">
        <f t="shared" si="2"/>
        <v>4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B125" s="3"/>
      <c r="C125" s="3"/>
      <c r="D125" s="3"/>
      <c r="E125" s="3"/>
      <c r="F125" s="2">
        <f>IFERROR(__xludf.DUMMYFUNCTION("""COMPUTED_VALUE"""),5.24)</f>
        <v>5.24</v>
      </c>
      <c r="G125" s="2">
        <f t="shared" si="2"/>
        <v>5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B126" s="3"/>
      <c r="C126" s="3"/>
      <c r="D126" s="3"/>
      <c r="E126" s="3"/>
      <c r="F126" s="2">
        <f>IFERROR(__xludf.DUMMYFUNCTION("""COMPUTED_VALUE"""),19.23)</f>
        <v>19.23</v>
      </c>
      <c r="G126" s="2">
        <f t="shared" si="2"/>
        <v>19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B127" s="3"/>
      <c r="C127" s="3"/>
      <c r="D127" s="3"/>
      <c r="E127" s="3"/>
      <c r="F127" s="2">
        <f>IFERROR(__xludf.DUMMYFUNCTION("""COMPUTED_VALUE"""),12.24)</f>
        <v>12.24</v>
      </c>
      <c r="G127" s="2">
        <f t="shared" si="2"/>
        <v>12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B128" s="3"/>
      <c r="C128" s="3"/>
      <c r="D128" s="3"/>
      <c r="E128" s="3"/>
      <c r="F128" s="2">
        <f>IFERROR(__xludf.DUMMYFUNCTION("""COMPUTED_VALUE"""),5.45)</f>
        <v>5.45</v>
      </c>
      <c r="G128" s="2">
        <f t="shared" si="2"/>
        <v>5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B129" s="3"/>
      <c r="C129" s="3"/>
      <c r="D129" s="3"/>
      <c r="E129" s="3"/>
      <c r="F129" s="2">
        <f>IFERROR(__xludf.DUMMYFUNCTION("""COMPUTED_VALUE"""),3.25)</f>
        <v>3.25</v>
      </c>
      <c r="G129" s="2">
        <f t="shared" si="2"/>
        <v>3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B130" s="3"/>
      <c r="C130" s="3"/>
      <c r="D130" s="3"/>
      <c r="E130" s="3"/>
      <c r="F130" s="2">
        <f>IFERROR(__xludf.DUMMYFUNCTION("""COMPUTED_VALUE"""),13.54)</f>
        <v>13.54</v>
      </c>
      <c r="G130" s="2">
        <f t="shared" si="2"/>
        <v>14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B131" s="3"/>
      <c r="C131" s="3"/>
      <c r="D131" s="3"/>
      <c r="E131" s="3"/>
      <c r="F131" s="2">
        <f>IFERROR(__xludf.DUMMYFUNCTION("""COMPUTED_VALUE"""),4.25)</f>
        <v>4.25</v>
      </c>
      <c r="G131" s="2">
        <f t="shared" si="2"/>
        <v>4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B132" s="3"/>
      <c r="C132" s="3"/>
      <c r="D132" s="3"/>
      <c r="E132" s="3"/>
      <c r="F132" s="2">
        <f>IFERROR(__xludf.DUMMYFUNCTION("""COMPUTED_VALUE"""),5.21)</f>
        <v>5.21</v>
      </c>
      <c r="G132" s="2">
        <f t="shared" si="2"/>
        <v>5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B133" s="3"/>
      <c r="C133" s="3"/>
      <c r="D133" s="3"/>
      <c r="E133" s="3"/>
      <c r="F133" s="2">
        <f>IFERROR(__xludf.DUMMYFUNCTION("""COMPUTED_VALUE"""),8.12)</f>
        <v>8.12</v>
      </c>
      <c r="G133" s="2">
        <f t="shared" si="2"/>
        <v>8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B134" s="3"/>
      <c r="C134" s="3"/>
      <c r="D134" s="3"/>
      <c r="E134" s="3"/>
      <c r="F134" s="2">
        <f>IFERROR(__xludf.DUMMYFUNCTION("""COMPUTED_VALUE"""),7.25)</f>
        <v>7.25</v>
      </c>
      <c r="G134" s="2">
        <f t="shared" si="2"/>
        <v>7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B135" s="3"/>
      <c r="C135" s="3"/>
      <c r="D135" s="3"/>
      <c r="E135" s="3"/>
      <c r="F135" s="2">
        <f>IFERROR(__xludf.DUMMYFUNCTION("""COMPUTED_VALUE"""),3.25)</f>
        <v>3.25</v>
      </c>
      <c r="G135" s="2">
        <f t="shared" si="2"/>
        <v>3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B136" s="3"/>
      <c r="C136" s="3"/>
      <c r="D136" s="3"/>
      <c r="E136" s="3"/>
      <c r="F136" s="2">
        <f>IFERROR(__xludf.DUMMYFUNCTION("""COMPUTED_VALUE"""),8.54)</f>
        <v>8.54</v>
      </c>
      <c r="G136" s="2">
        <f t="shared" si="2"/>
        <v>9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B137" s="3"/>
      <c r="C137" s="3"/>
      <c r="D137" s="3"/>
      <c r="E137" s="3"/>
      <c r="F137" s="2">
        <f>IFERROR(__xludf.DUMMYFUNCTION("""COMPUTED_VALUE"""),5.45)</f>
        <v>5.45</v>
      </c>
      <c r="G137" s="2">
        <f t="shared" si="2"/>
        <v>5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B138" s="3"/>
      <c r="C138" s="3"/>
      <c r="D138" s="3"/>
      <c r="E138" s="3"/>
      <c r="F138" s="2">
        <f>IFERROR(__xludf.DUMMYFUNCTION("""COMPUTED_VALUE"""),5.65)</f>
        <v>5.65</v>
      </c>
      <c r="G138" s="2">
        <f t="shared" si="2"/>
        <v>6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B139" s="3"/>
      <c r="C139" s="3"/>
      <c r="D139" s="3"/>
      <c r="E139" s="3"/>
      <c r="F139" s="2">
        <f>IFERROR(__xludf.DUMMYFUNCTION("""COMPUTED_VALUE"""),5.21)</f>
        <v>5.21</v>
      </c>
      <c r="G139" s="2">
        <f t="shared" si="2"/>
        <v>5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B140" s="3"/>
      <c r="C140" s="3"/>
      <c r="D140" s="3"/>
      <c r="E140" s="3"/>
      <c r="F140" s="2">
        <f>IFERROR(__xludf.DUMMYFUNCTION("""COMPUTED_VALUE"""),13.54)</f>
        <v>13.54</v>
      </c>
      <c r="G140" s="2">
        <f t="shared" si="2"/>
        <v>14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B141" s="3"/>
      <c r="C141" s="3"/>
      <c r="D141" s="3"/>
      <c r="E141" s="3"/>
      <c r="F141" s="2">
        <f>IFERROR(__xludf.DUMMYFUNCTION("""COMPUTED_VALUE"""),4.25)</f>
        <v>4.25</v>
      </c>
      <c r="G141" s="2">
        <f t="shared" si="2"/>
        <v>4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B142" s="3"/>
      <c r="C142" s="3"/>
      <c r="D142" s="3"/>
      <c r="E142" s="3"/>
      <c r="F142" s="2">
        <f>IFERROR(__xludf.DUMMYFUNCTION("""COMPUTED_VALUE"""),15.23)</f>
        <v>15.23</v>
      </c>
      <c r="G142" s="2">
        <f t="shared" si="2"/>
        <v>15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B143" s="3"/>
      <c r="C143" s="3"/>
      <c r="D143" s="3"/>
      <c r="E143" s="3"/>
      <c r="F143" s="2">
        <f>IFERROR(__xludf.DUMMYFUNCTION("""COMPUTED_VALUE"""),3.65)</f>
        <v>3.65</v>
      </c>
      <c r="G143" s="2">
        <f t="shared" si="2"/>
        <v>4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B144" s="3"/>
      <c r="C144" s="3"/>
      <c r="D144" s="3"/>
      <c r="E144" s="3"/>
      <c r="F144" s="2">
        <f>IFERROR(__xludf.DUMMYFUNCTION("""COMPUTED_VALUE"""),15.23)</f>
        <v>15.23</v>
      </c>
      <c r="G144" s="2">
        <f t="shared" si="2"/>
        <v>15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B145" s="3"/>
      <c r="C145" s="3"/>
      <c r="D145" s="3"/>
      <c r="E145" s="3"/>
      <c r="F145" s="2">
        <f>IFERROR(__xludf.DUMMYFUNCTION("""COMPUTED_VALUE"""),16.21)</f>
        <v>16.21</v>
      </c>
      <c r="G145" s="2">
        <f t="shared" si="2"/>
        <v>16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B146" s="3"/>
      <c r="C146" s="3"/>
      <c r="D146" s="3"/>
      <c r="E146" s="3"/>
      <c r="F146" s="2">
        <f>IFERROR(__xludf.DUMMYFUNCTION("""COMPUTED_VALUE"""),5.24)</f>
        <v>5.24</v>
      </c>
      <c r="G146" s="2">
        <f t="shared" si="2"/>
        <v>5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B147" s="3"/>
      <c r="C147" s="3"/>
      <c r="D147" s="3"/>
      <c r="E147" s="3"/>
      <c r="F147" s="2">
        <f>IFERROR(__xludf.DUMMYFUNCTION("""COMPUTED_VALUE"""),17.23)</f>
        <v>17.23</v>
      </c>
      <c r="G147" s="2">
        <f t="shared" si="2"/>
        <v>17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B148" s="3"/>
      <c r="C148" s="3"/>
      <c r="D148" s="3"/>
      <c r="E148" s="3"/>
      <c r="F148" s="2">
        <f>IFERROR(__xludf.DUMMYFUNCTION("""COMPUTED_VALUE"""),28.56)</f>
        <v>28.56</v>
      </c>
      <c r="G148" s="2">
        <f t="shared" si="2"/>
        <v>29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B149" s="3"/>
      <c r="C149" s="3"/>
      <c r="D149" s="3"/>
      <c r="E149" s="3"/>
      <c r="F149" s="2">
        <f>IFERROR(__xludf.DUMMYFUNCTION("""COMPUTED_VALUE"""),19.23)</f>
        <v>19.23</v>
      </c>
      <c r="G149" s="2">
        <f t="shared" si="2"/>
        <v>19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B150" s="3"/>
      <c r="C150" s="3"/>
      <c r="D150" s="3"/>
      <c r="E150" s="3"/>
      <c r="F150" s="2">
        <f>IFERROR(__xludf.DUMMYFUNCTION("""COMPUTED_VALUE"""),8.54)</f>
        <v>8.54</v>
      </c>
      <c r="G150" s="2">
        <f t="shared" si="2"/>
        <v>9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B151" s="3"/>
      <c r="C151" s="3"/>
      <c r="D151" s="3"/>
      <c r="E151" s="3"/>
      <c r="F151" s="2">
        <f>IFERROR(__xludf.DUMMYFUNCTION("""COMPUTED_VALUE"""),13.54)</f>
        <v>13.54</v>
      </c>
      <c r="G151" s="2">
        <f t="shared" si="2"/>
        <v>14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B152" s="3"/>
      <c r="C152" s="3"/>
      <c r="D152" s="3"/>
      <c r="E152" s="3"/>
      <c r="F152" s="2">
        <f>IFERROR(__xludf.DUMMYFUNCTION("""COMPUTED_VALUE"""),8.23)</f>
        <v>8.23</v>
      </c>
      <c r="G152" s="2">
        <f t="shared" si="2"/>
        <v>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B153" s="3"/>
      <c r="C153" s="3"/>
      <c r="D153" s="3"/>
      <c r="E153" s="3"/>
      <c r="F153" s="2">
        <f>IFERROR(__xludf.DUMMYFUNCTION("""COMPUTED_VALUE"""),11.23)</f>
        <v>11.23</v>
      </c>
      <c r="G153" s="2">
        <f t="shared" si="2"/>
        <v>11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B154" s="3"/>
      <c r="C154" s="3"/>
      <c r="D154" s="3"/>
      <c r="E154" s="3"/>
      <c r="F154" s="2">
        <f>IFERROR(__xludf.DUMMYFUNCTION("""COMPUTED_VALUE"""),28.56)</f>
        <v>28.56</v>
      </c>
      <c r="G154" s="2">
        <f t="shared" si="2"/>
        <v>29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B155" s="3"/>
      <c r="C155" s="3"/>
      <c r="D155" s="3"/>
      <c r="E155" s="3"/>
      <c r="F155" s="2">
        <f>IFERROR(__xludf.DUMMYFUNCTION("""COMPUTED_VALUE"""),9.45)</f>
        <v>9.45</v>
      </c>
      <c r="G155" s="2">
        <f t="shared" si="2"/>
        <v>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B156" s="3"/>
      <c r="C156" s="3"/>
      <c r="D156" s="3"/>
      <c r="E156" s="3"/>
      <c r="F156" s="2">
        <f>IFERROR(__xludf.DUMMYFUNCTION("""COMPUTED_VALUE"""),18.56)</f>
        <v>18.56</v>
      </c>
      <c r="G156" s="2">
        <f t="shared" si="2"/>
        <v>19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B157" s="3"/>
      <c r="C157" s="3"/>
      <c r="D157" s="3"/>
      <c r="E157" s="3"/>
      <c r="F157" s="2">
        <f>IFERROR(__xludf.DUMMYFUNCTION("""COMPUTED_VALUE"""),18.56)</f>
        <v>18.56</v>
      </c>
      <c r="G157" s="2">
        <f t="shared" si="2"/>
        <v>19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B158" s="3"/>
      <c r="C158" s="3"/>
      <c r="D158" s="3"/>
      <c r="E158" s="3"/>
      <c r="F158" s="2">
        <f>IFERROR(__xludf.DUMMYFUNCTION("""COMPUTED_VALUE"""),3.65)</f>
        <v>3.65</v>
      </c>
      <c r="G158" s="2">
        <f t="shared" si="2"/>
        <v>4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B159" s="3"/>
      <c r="C159" s="3"/>
      <c r="D159" s="3"/>
      <c r="E159" s="3"/>
      <c r="F159" s="2">
        <f>IFERROR(__xludf.DUMMYFUNCTION("""COMPUTED_VALUE"""),8.23)</f>
        <v>8.23</v>
      </c>
      <c r="G159" s="2">
        <f t="shared" si="2"/>
        <v>8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B160" s="3"/>
      <c r="C160" s="3"/>
      <c r="D160" s="3"/>
      <c r="E160" s="3"/>
      <c r="F160" s="2">
        <f>IFERROR(__xludf.DUMMYFUNCTION("""COMPUTED_VALUE"""),5.21)</f>
        <v>5.21</v>
      </c>
      <c r="G160" s="2">
        <f t="shared" si="2"/>
        <v>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B161" s="3"/>
      <c r="C161" s="3"/>
      <c r="D161" s="3"/>
      <c r="E161" s="3"/>
      <c r="F161" s="2">
        <f>IFERROR(__xludf.DUMMYFUNCTION("""COMPUTED_VALUE"""),9.45)</f>
        <v>9.45</v>
      </c>
      <c r="G161" s="2">
        <f t="shared" si="2"/>
        <v>9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B162" s="3"/>
      <c r="C162" s="3"/>
      <c r="D162" s="3"/>
      <c r="E162" s="3"/>
      <c r="F162" s="2">
        <f>IFERROR(__xludf.DUMMYFUNCTION("""COMPUTED_VALUE"""),8.12)</f>
        <v>8.12</v>
      </c>
      <c r="G162" s="2">
        <f t="shared" si="2"/>
        <v>8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B163" s="3"/>
      <c r="C163" s="3"/>
      <c r="D163" s="3"/>
      <c r="E163" s="3"/>
      <c r="F163" s="2">
        <f>IFERROR(__xludf.DUMMYFUNCTION("""COMPUTED_VALUE"""),15.23)</f>
        <v>15.23</v>
      </c>
      <c r="G163" s="2">
        <f t="shared" si="2"/>
        <v>15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B164" s="3"/>
      <c r="C164" s="3"/>
      <c r="D164" s="3"/>
      <c r="E164" s="3"/>
      <c r="F164" s="2">
        <f>IFERROR(__xludf.DUMMYFUNCTION("""COMPUTED_VALUE"""),5.21)</f>
        <v>5.21</v>
      </c>
      <c r="G164" s="2">
        <f t="shared" si="2"/>
        <v>5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B165" s="3"/>
      <c r="C165" s="3"/>
      <c r="D165" s="3"/>
      <c r="E165" s="3"/>
      <c r="F165" s="2">
        <f>IFERROR(__xludf.DUMMYFUNCTION("""COMPUTED_VALUE"""),3.51)</f>
        <v>3.51</v>
      </c>
      <c r="G165" s="2">
        <f t="shared" si="2"/>
        <v>4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B166" s="3"/>
      <c r="C166" s="3"/>
      <c r="D166" s="3"/>
      <c r="E166" s="3"/>
      <c r="F166" s="2">
        <f>IFERROR(__xludf.DUMMYFUNCTION("""COMPUTED_VALUE"""),5.45)</f>
        <v>5.45</v>
      </c>
      <c r="G166" s="2">
        <f t="shared" si="2"/>
        <v>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B167" s="3"/>
      <c r="C167" s="3"/>
      <c r="D167" s="3"/>
      <c r="E167" s="3"/>
      <c r="F167" s="2">
        <f>IFERROR(__xludf.DUMMYFUNCTION("""COMPUTED_VALUE"""),6.54)</f>
        <v>6.54</v>
      </c>
      <c r="G167" s="2">
        <f t="shared" si="2"/>
        <v>7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B168" s="3"/>
      <c r="C168" s="3"/>
      <c r="D168" s="3"/>
      <c r="E168" s="3"/>
      <c r="F168" s="2">
        <f>IFERROR(__xludf.DUMMYFUNCTION("""COMPUTED_VALUE"""),4.25)</f>
        <v>4.25</v>
      </c>
      <c r="G168" s="2">
        <f t="shared" si="2"/>
        <v>4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B169" s="3"/>
      <c r="C169" s="3"/>
      <c r="D169" s="3"/>
      <c r="E169" s="3"/>
      <c r="F169" s="2">
        <f>IFERROR(__xludf.DUMMYFUNCTION("""COMPUTED_VALUE"""),15.23)</f>
        <v>15.23</v>
      </c>
      <c r="G169" s="2">
        <f t="shared" si="2"/>
        <v>15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B170" s="3"/>
      <c r="C170" s="3"/>
      <c r="D170" s="3"/>
      <c r="E170" s="3"/>
      <c r="F170" s="2">
        <f>IFERROR(__xludf.DUMMYFUNCTION("""COMPUTED_VALUE"""),6.21)</f>
        <v>6.21</v>
      </c>
      <c r="G170" s="2">
        <f t="shared" si="2"/>
        <v>6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B171" s="3"/>
      <c r="C171" s="3"/>
      <c r="D171" s="3"/>
      <c r="E171" s="3"/>
      <c r="F171" s="2">
        <f>IFERROR(__xludf.DUMMYFUNCTION("""COMPUTED_VALUE"""),5.24)</f>
        <v>5.24</v>
      </c>
      <c r="G171" s="2">
        <f t="shared" si="2"/>
        <v>5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B172" s="3"/>
      <c r="C172" s="3"/>
      <c r="D172" s="3"/>
      <c r="E172" s="3"/>
      <c r="F172" s="2">
        <f>IFERROR(__xludf.DUMMYFUNCTION("""COMPUTED_VALUE"""),19.23)</f>
        <v>19.23</v>
      </c>
      <c r="G172" s="2">
        <f t="shared" si="2"/>
        <v>19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B173" s="3"/>
      <c r="C173" s="3"/>
      <c r="D173" s="3"/>
      <c r="E173" s="3"/>
      <c r="F173" s="2">
        <f>IFERROR(__xludf.DUMMYFUNCTION("""COMPUTED_VALUE"""),3.51)</f>
        <v>3.51</v>
      </c>
      <c r="G173" s="2">
        <f t="shared" si="2"/>
        <v>4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B174" s="3"/>
      <c r="C174" s="3"/>
      <c r="D174" s="3"/>
      <c r="E174" s="3"/>
      <c r="F174" s="2">
        <f>IFERROR(__xludf.DUMMYFUNCTION("""COMPUTED_VALUE"""),8.23)</f>
        <v>8.23</v>
      </c>
      <c r="G174" s="2">
        <f t="shared" si="2"/>
        <v>8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B175" s="3"/>
      <c r="C175" s="3"/>
      <c r="D175" s="3"/>
      <c r="E175" s="3"/>
      <c r="F175" s="2">
        <f>IFERROR(__xludf.DUMMYFUNCTION("""COMPUTED_VALUE"""),12.24)</f>
        <v>12.24</v>
      </c>
      <c r="G175" s="2">
        <f t="shared" si="2"/>
        <v>12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B176" s="3"/>
      <c r="C176" s="3"/>
      <c r="D176" s="3"/>
      <c r="E176" s="3"/>
      <c r="F176" s="2">
        <f>IFERROR(__xludf.DUMMYFUNCTION("""COMPUTED_VALUE"""),12.36)</f>
        <v>12.36</v>
      </c>
      <c r="G176" s="2">
        <f t="shared" si="2"/>
        <v>12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B177" s="3"/>
      <c r="C177" s="3"/>
      <c r="D177" s="3"/>
      <c r="E177" s="3"/>
      <c r="F177" s="2">
        <f>IFERROR(__xludf.DUMMYFUNCTION("""COMPUTED_VALUE"""),11.54)</f>
        <v>11.54</v>
      </c>
      <c r="G177" s="2">
        <f t="shared" si="2"/>
        <v>12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B178" s="3"/>
      <c r="C178" s="3"/>
      <c r="D178" s="3"/>
      <c r="E178" s="3"/>
      <c r="F178" s="2">
        <f>IFERROR(__xludf.DUMMYFUNCTION("""COMPUTED_VALUE"""),13.54)</f>
        <v>13.54</v>
      </c>
      <c r="G178" s="2">
        <f t="shared" si="2"/>
        <v>14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B179" s="3"/>
      <c r="C179" s="3"/>
      <c r="D179" s="3"/>
      <c r="E179" s="3"/>
      <c r="F179" s="2">
        <f>IFERROR(__xludf.DUMMYFUNCTION("""COMPUTED_VALUE"""),8.23)</f>
        <v>8.23</v>
      </c>
      <c r="G179" s="2">
        <f t="shared" si="2"/>
        <v>8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B180" s="3"/>
      <c r="C180" s="3"/>
      <c r="D180" s="3"/>
      <c r="E180" s="3"/>
      <c r="F180" s="2">
        <f>IFERROR(__xludf.DUMMYFUNCTION("""COMPUTED_VALUE"""),4.21)</f>
        <v>4.21</v>
      </c>
      <c r="G180" s="2">
        <f t="shared" si="2"/>
        <v>4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B181" s="3"/>
      <c r="C181" s="3"/>
      <c r="D181" s="3"/>
      <c r="E181" s="3"/>
      <c r="F181" s="2">
        <f>IFERROR(__xludf.DUMMYFUNCTION("""COMPUTED_VALUE"""),4.25)</f>
        <v>4.25</v>
      </c>
      <c r="G181" s="2">
        <f t="shared" si="2"/>
        <v>4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B182" s="3"/>
      <c r="C182" s="3"/>
      <c r="D182" s="3"/>
      <c r="E182" s="3"/>
      <c r="F182" s="2">
        <f>IFERROR(__xludf.DUMMYFUNCTION("""COMPUTED_VALUE"""),15.23)</f>
        <v>15.23</v>
      </c>
      <c r="G182" s="2">
        <f t="shared" si="2"/>
        <v>15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B183" s="3"/>
      <c r="C183" s="3"/>
      <c r="D183" s="3"/>
      <c r="E183" s="3"/>
      <c r="F183" s="2">
        <f>IFERROR(__xludf.DUMMYFUNCTION("""COMPUTED_VALUE"""),5.21)</f>
        <v>5.21</v>
      </c>
      <c r="G183" s="2">
        <f t="shared" si="2"/>
        <v>5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B184" s="3"/>
      <c r="C184" s="3"/>
      <c r="D184" s="3"/>
      <c r="E184" s="3"/>
      <c r="F184" s="2">
        <f>IFERROR(__xludf.DUMMYFUNCTION("""COMPUTED_VALUE"""),6.21)</f>
        <v>6.21</v>
      </c>
      <c r="G184" s="2">
        <f t="shared" si="2"/>
        <v>6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B185" s="3"/>
      <c r="C185" s="3"/>
      <c r="D185" s="3"/>
      <c r="E185" s="3"/>
      <c r="F185" s="2">
        <f>IFERROR(__xludf.DUMMYFUNCTION("""COMPUTED_VALUE"""),9.54)</f>
        <v>9.54</v>
      </c>
      <c r="G185" s="2">
        <f t="shared" si="2"/>
        <v>10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B186" s="3"/>
      <c r="C186" s="3"/>
      <c r="D186" s="3"/>
      <c r="E186" s="3"/>
      <c r="F186" s="2">
        <f>IFERROR(__xludf.DUMMYFUNCTION("""COMPUTED_VALUE"""),4.21)</f>
        <v>4.21</v>
      </c>
      <c r="G186" s="2">
        <f t="shared" si="2"/>
        <v>4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B187" s="3"/>
      <c r="C187" s="3"/>
      <c r="D187" s="3"/>
      <c r="E187" s="3"/>
      <c r="F187" s="2">
        <f>IFERROR(__xludf.DUMMYFUNCTION("""COMPUTED_VALUE"""),6.21)</f>
        <v>6.21</v>
      </c>
      <c r="G187" s="2">
        <f t="shared" si="2"/>
        <v>6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B188" s="3"/>
      <c r="C188" s="3"/>
      <c r="D188" s="3"/>
      <c r="E188" s="3"/>
      <c r="F188" s="2">
        <f>IFERROR(__xludf.DUMMYFUNCTION("""COMPUTED_VALUE"""),11.54)</f>
        <v>11.54</v>
      </c>
      <c r="G188" s="2">
        <f t="shared" si="2"/>
        <v>12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B189" s="3"/>
      <c r="C189" s="3"/>
      <c r="D189" s="3"/>
      <c r="E189" s="3"/>
      <c r="F189" s="2">
        <f>IFERROR(__xludf.DUMMYFUNCTION("""COMPUTED_VALUE"""),5.45)</f>
        <v>5.45</v>
      </c>
      <c r="G189" s="2">
        <f t="shared" si="2"/>
        <v>5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B190" s="3"/>
      <c r="C190" s="3"/>
      <c r="D190" s="3"/>
      <c r="E190" s="3"/>
      <c r="F190" s="2">
        <f>IFERROR(__xludf.DUMMYFUNCTION("""COMPUTED_VALUE"""),6.25)</f>
        <v>6.25</v>
      </c>
      <c r="G190" s="2">
        <f t="shared" si="2"/>
        <v>6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B191" s="3"/>
      <c r="C191" s="3"/>
      <c r="D191" s="3"/>
      <c r="E191" s="3"/>
      <c r="F191" s="2">
        <f>IFERROR(__xludf.DUMMYFUNCTION("""COMPUTED_VALUE"""),9.45)</f>
        <v>9.45</v>
      </c>
      <c r="G191" s="2">
        <f t="shared" si="2"/>
        <v>9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B192" s="3"/>
      <c r="C192" s="3"/>
      <c r="D192" s="3"/>
      <c r="E192" s="3"/>
      <c r="F192" s="2">
        <f>IFERROR(__xludf.DUMMYFUNCTION("""COMPUTED_VALUE"""),18.56)</f>
        <v>18.56</v>
      </c>
      <c r="G192" s="2">
        <f t="shared" si="2"/>
        <v>19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B193" s="3"/>
      <c r="C193" s="3"/>
      <c r="D193" s="3"/>
      <c r="E193" s="3"/>
      <c r="F193" s="2">
        <f>IFERROR(__xludf.DUMMYFUNCTION("""COMPUTED_VALUE"""),3.25)</f>
        <v>3.25</v>
      </c>
      <c r="G193" s="2">
        <f t="shared" si="2"/>
        <v>3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B194" s="3"/>
      <c r="C194" s="3"/>
      <c r="D194" s="3"/>
      <c r="E194" s="3"/>
      <c r="F194" s="2">
        <f>IFERROR(__xludf.DUMMYFUNCTION("""COMPUTED_VALUE"""),5.45)</f>
        <v>5.45</v>
      </c>
      <c r="G194" s="2">
        <f t="shared" si="2"/>
        <v>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B195" s="3"/>
      <c r="C195" s="3"/>
      <c r="D195" s="3"/>
      <c r="E195" s="3"/>
      <c r="F195" s="2">
        <f>IFERROR(__xludf.DUMMYFUNCTION("""COMPUTED_VALUE"""),12.36)</f>
        <v>12.36</v>
      </c>
      <c r="G195" s="2">
        <f t="shared" si="2"/>
        <v>12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B196" s="3"/>
      <c r="C196" s="3"/>
      <c r="D196" s="3"/>
      <c r="E196" s="3"/>
      <c r="F196" s="2">
        <f>IFERROR(__xludf.DUMMYFUNCTION("""COMPUTED_VALUE"""),12.36)</f>
        <v>12.36</v>
      </c>
      <c r="G196" s="2">
        <f t="shared" si="2"/>
        <v>12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B197" s="3"/>
      <c r="C197" s="3"/>
      <c r="D197" s="3"/>
      <c r="E197" s="3"/>
      <c r="F197" s="2">
        <f>IFERROR(__xludf.DUMMYFUNCTION("""COMPUTED_VALUE"""),13.54)</f>
        <v>13.54</v>
      </c>
      <c r="G197" s="2">
        <f t="shared" si="2"/>
        <v>14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B198" s="3"/>
      <c r="C198" s="3"/>
      <c r="D198" s="3"/>
      <c r="E198" s="3"/>
      <c r="F198" s="2">
        <f>IFERROR(__xludf.DUMMYFUNCTION("""COMPUTED_VALUE"""),13.54)</f>
        <v>13.54</v>
      </c>
      <c r="G198" s="2">
        <f t="shared" si="2"/>
        <v>14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B199" s="3"/>
      <c r="C199" s="3"/>
      <c r="D199" s="3"/>
      <c r="E199" s="3"/>
      <c r="F199" s="2">
        <f>IFERROR(__xludf.DUMMYFUNCTION("""COMPUTED_VALUE"""),4.25)</f>
        <v>4.25</v>
      </c>
      <c r="G199" s="2">
        <f t="shared" si="2"/>
        <v>4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B200" s="3"/>
      <c r="C200" s="3"/>
      <c r="D200" s="3"/>
      <c r="E200" s="3"/>
      <c r="F200" s="2">
        <f>IFERROR(__xludf.DUMMYFUNCTION("""COMPUTED_VALUE"""),7.25)</f>
        <v>7.25</v>
      </c>
      <c r="G200" s="2">
        <f t="shared" si="2"/>
        <v>7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B201" s="3"/>
      <c r="C201" s="3"/>
      <c r="D201" s="3"/>
      <c r="E201" s="3"/>
      <c r="F201" s="2">
        <f>IFERROR(__xludf.DUMMYFUNCTION("""COMPUTED_VALUE"""),9.45)</f>
        <v>9.45</v>
      </c>
      <c r="G201" s="2">
        <f t="shared" si="2"/>
        <v>9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B202" s="3"/>
      <c r="C202" s="3"/>
      <c r="D202" s="3"/>
      <c r="E202" s="3"/>
      <c r="F202" s="2">
        <f>IFERROR(__xludf.DUMMYFUNCTION("""COMPUTED_VALUE"""),3.25)</f>
        <v>3.25</v>
      </c>
      <c r="G202" s="2">
        <f t="shared" si="2"/>
        <v>3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B203" s="3"/>
      <c r="C203" s="3"/>
      <c r="D203" s="3"/>
      <c r="E203" s="3"/>
      <c r="F203" s="2">
        <f>IFERROR(__xludf.DUMMYFUNCTION("""COMPUTED_VALUE"""),5.24)</f>
        <v>5.24</v>
      </c>
      <c r="G203" s="2">
        <f t="shared" si="2"/>
        <v>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B204" s="3"/>
      <c r="C204" s="3"/>
      <c r="D204" s="3"/>
      <c r="E204" s="3"/>
      <c r="F204" s="2">
        <f>IFERROR(__xludf.DUMMYFUNCTION("""COMPUTED_VALUE"""),16.21)</f>
        <v>16.21</v>
      </c>
      <c r="G204" s="2">
        <f t="shared" si="2"/>
        <v>16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B205" s="3"/>
      <c r="C205" s="3"/>
      <c r="D205" s="3"/>
      <c r="E205" s="3"/>
      <c r="F205" s="2">
        <f>IFERROR(__xludf.DUMMYFUNCTION("""COMPUTED_VALUE"""),8.12)</f>
        <v>8.12</v>
      </c>
      <c r="G205" s="2">
        <f t="shared" si="2"/>
        <v>8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B206" s="3"/>
      <c r="C206" s="3"/>
      <c r="D206" s="3"/>
      <c r="E206" s="3"/>
      <c r="F206" s="2">
        <f>IFERROR(__xludf.DUMMYFUNCTION("""COMPUTED_VALUE"""),9.54)</f>
        <v>9.54</v>
      </c>
      <c r="G206" s="2">
        <f t="shared" si="2"/>
        <v>10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B207" s="3"/>
      <c r="C207" s="3"/>
      <c r="D207" s="3"/>
      <c r="E207" s="3"/>
      <c r="F207" s="2">
        <f>IFERROR(__xludf.DUMMYFUNCTION("""COMPUTED_VALUE"""),7.25)</f>
        <v>7.25</v>
      </c>
      <c r="G207" s="2">
        <f t="shared" si="2"/>
        <v>7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B208" s="3"/>
      <c r="C208" s="3"/>
      <c r="D208" s="3"/>
      <c r="E208" s="3"/>
      <c r="F208" s="2">
        <f>IFERROR(__xludf.DUMMYFUNCTION("""COMPUTED_VALUE"""),7.25)</f>
        <v>7.25</v>
      </c>
      <c r="G208" s="2">
        <f t="shared" si="2"/>
        <v>7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B209" s="3"/>
      <c r="C209" s="3"/>
      <c r="D209" s="3"/>
      <c r="E209" s="3"/>
      <c r="F209" s="2">
        <f>IFERROR(__xludf.DUMMYFUNCTION("""COMPUTED_VALUE"""),9.45)</f>
        <v>9.45</v>
      </c>
      <c r="G209" s="2">
        <f t="shared" si="2"/>
        <v>9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B210" s="3"/>
      <c r="C210" s="3"/>
      <c r="D210" s="3"/>
      <c r="E210" s="3"/>
      <c r="F210" s="2">
        <f>IFERROR(__xludf.DUMMYFUNCTION("""COMPUTED_VALUE"""),11.23)</f>
        <v>11.23</v>
      </c>
      <c r="G210" s="2">
        <f t="shared" si="2"/>
        <v>11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B211" s="3"/>
      <c r="C211" s="3"/>
      <c r="D211" s="3"/>
      <c r="E211" s="3"/>
      <c r="F211" s="2">
        <f>IFERROR(__xludf.DUMMYFUNCTION("""COMPUTED_VALUE"""),4.25)</f>
        <v>4.25</v>
      </c>
      <c r="G211" s="2">
        <f t="shared" si="2"/>
        <v>4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B212" s="3"/>
      <c r="C212" s="3"/>
      <c r="D212" s="3"/>
      <c r="E212" s="3"/>
      <c r="F212" s="2">
        <f>IFERROR(__xludf.DUMMYFUNCTION("""COMPUTED_VALUE"""),9.54)</f>
        <v>9.54</v>
      </c>
      <c r="G212" s="2">
        <f t="shared" si="2"/>
        <v>10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B213" s="3"/>
      <c r="C213" s="3"/>
      <c r="D213" s="3"/>
      <c r="E213" s="3"/>
      <c r="F213" s="2">
        <f>IFERROR(__xludf.DUMMYFUNCTION("""COMPUTED_VALUE"""),11.23)</f>
        <v>11.23</v>
      </c>
      <c r="G213" s="2">
        <f t="shared" si="2"/>
        <v>11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B214" s="3"/>
      <c r="C214" s="3"/>
      <c r="D214" s="3"/>
      <c r="E214" s="3"/>
      <c r="F214" s="2">
        <f>IFERROR(__xludf.DUMMYFUNCTION("""COMPUTED_VALUE"""),4.25)</f>
        <v>4.25</v>
      </c>
      <c r="G214" s="2">
        <f t="shared" si="2"/>
        <v>4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B215" s="3"/>
      <c r="C215" s="3"/>
      <c r="D215" s="3"/>
      <c r="E215" s="3"/>
      <c r="F215" s="2">
        <f>IFERROR(__xludf.DUMMYFUNCTION("""COMPUTED_VALUE"""),18.56)</f>
        <v>18.56</v>
      </c>
      <c r="G215" s="2">
        <f t="shared" si="2"/>
        <v>19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B216" s="3"/>
      <c r="C216" s="3"/>
      <c r="D216" s="3"/>
      <c r="E216" s="3"/>
      <c r="F216" s="2">
        <f>IFERROR(__xludf.DUMMYFUNCTION("""COMPUTED_VALUE"""),28.56)</f>
        <v>28.56</v>
      </c>
      <c r="G216" s="2">
        <f t="shared" si="2"/>
        <v>29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B217" s="3"/>
      <c r="C217" s="3"/>
      <c r="D217" s="3"/>
      <c r="E217" s="3"/>
      <c r="F217" s="2">
        <f>IFERROR(__xludf.DUMMYFUNCTION("""COMPUTED_VALUE"""),8.23)</f>
        <v>8.23</v>
      </c>
      <c r="G217" s="2">
        <f t="shared" si="2"/>
        <v>8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B218" s="3"/>
      <c r="C218" s="3"/>
      <c r="D218" s="3"/>
      <c r="E218" s="3"/>
      <c r="F218" s="2">
        <f>IFERROR(__xludf.DUMMYFUNCTION("""COMPUTED_VALUE"""),13.54)</f>
        <v>13.54</v>
      </c>
      <c r="G218" s="2">
        <f t="shared" si="2"/>
        <v>14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B219" s="3"/>
      <c r="C219" s="3"/>
      <c r="D219" s="3"/>
      <c r="E219" s="3"/>
      <c r="F219" s="2">
        <f>IFERROR(__xludf.DUMMYFUNCTION("""COMPUTED_VALUE"""),28.56)</f>
        <v>28.56</v>
      </c>
      <c r="G219" s="2">
        <f t="shared" si="2"/>
        <v>29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B220" s="3"/>
      <c r="C220" s="3"/>
      <c r="D220" s="3"/>
      <c r="E220" s="3"/>
      <c r="F220" s="2">
        <f>IFERROR(__xludf.DUMMYFUNCTION("""COMPUTED_VALUE"""),12.24)</f>
        <v>12.24</v>
      </c>
      <c r="G220" s="2">
        <f t="shared" si="2"/>
        <v>12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B221" s="3"/>
      <c r="C221" s="3"/>
      <c r="D221" s="3"/>
      <c r="E221" s="3"/>
      <c r="F221" s="2">
        <f>IFERROR(__xludf.DUMMYFUNCTION("""COMPUTED_VALUE"""),12.24)</f>
        <v>12.24</v>
      </c>
      <c r="G221" s="2">
        <f t="shared" si="2"/>
        <v>12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B222" s="3"/>
      <c r="C222" s="3"/>
      <c r="D222" s="3"/>
      <c r="E222" s="3"/>
      <c r="F222" s="2">
        <f>IFERROR(__xludf.DUMMYFUNCTION("""COMPUTED_VALUE"""),7.25)</f>
        <v>7.25</v>
      </c>
      <c r="G222" s="2">
        <f t="shared" si="2"/>
        <v>7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B223" s="3"/>
      <c r="C223" s="3"/>
      <c r="D223" s="3"/>
      <c r="E223" s="3"/>
      <c r="F223" s="2">
        <f>IFERROR(__xludf.DUMMYFUNCTION("""COMPUTED_VALUE"""),6.21)</f>
        <v>6.21</v>
      </c>
      <c r="G223" s="2">
        <f t="shared" si="2"/>
        <v>6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B224" s="3"/>
      <c r="C224" s="3"/>
      <c r="D224" s="3"/>
      <c r="E224" s="3"/>
      <c r="F224" s="2">
        <f>IFERROR(__xludf.DUMMYFUNCTION("""COMPUTED_VALUE"""),11.54)</f>
        <v>11.54</v>
      </c>
      <c r="G224" s="2">
        <f t="shared" si="2"/>
        <v>12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B225" s="3"/>
      <c r="C225" s="3"/>
      <c r="D225" s="3"/>
      <c r="E225" s="3"/>
      <c r="F225" s="2">
        <f>IFERROR(__xludf.DUMMYFUNCTION("""COMPUTED_VALUE"""),17.23)</f>
        <v>17.23</v>
      </c>
      <c r="G225" s="2">
        <f t="shared" si="2"/>
        <v>17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B226" s="3"/>
      <c r="C226" s="3"/>
      <c r="D226" s="3"/>
      <c r="E226" s="3"/>
      <c r="F226" s="2">
        <f>IFERROR(__xludf.DUMMYFUNCTION("""COMPUTED_VALUE"""),9.54)</f>
        <v>9.54</v>
      </c>
      <c r="G226" s="2">
        <f t="shared" si="2"/>
        <v>10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B227" s="3"/>
      <c r="C227" s="3"/>
      <c r="D227" s="3"/>
      <c r="E227" s="3"/>
      <c r="F227" s="2">
        <f>IFERROR(__xludf.DUMMYFUNCTION("""COMPUTED_VALUE"""),4.25)</f>
        <v>4.25</v>
      </c>
      <c r="G227" s="2">
        <f t="shared" si="2"/>
        <v>4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B228" s="3"/>
      <c r="C228" s="3"/>
      <c r="D228" s="3"/>
      <c r="E228" s="3"/>
      <c r="F228" s="2">
        <f>IFERROR(__xludf.DUMMYFUNCTION("""COMPUTED_VALUE"""),19.23)</f>
        <v>19.23</v>
      </c>
      <c r="G228" s="2">
        <f t="shared" si="2"/>
        <v>19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B229" s="3"/>
      <c r="C229" s="3"/>
      <c r="D229" s="3"/>
      <c r="E229" s="3"/>
      <c r="F229" s="2">
        <f>IFERROR(__xludf.DUMMYFUNCTION("""COMPUTED_VALUE"""),9.54)</f>
        <v>9.54</v>
      </c>
      <c r="G229" s="2">
        <f t="shared" si="2"/>
        <v>10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B230" s="3"/>
      <c r="C230" s="3"/>
      <c r="D230" s="3"/>
      <c r="E230" s="3"/>
      <c r="F230" s="2">
        <f>IFERROR(__xludf.DUMMYFUNCTION("""COMPUTED_VALUE"""),15.45)</f>
        <v>15.45</v>
      </c>
      <c r="G230" s="2">
        <f t="shared" si="2"/>
        <v>15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B231" s="3"/>
      <c r="C231" s="3"/>
      <c r="D231" s="3"/>
      <c r="E231" s="3"/>
      <c r="F231" s="2">
        <f>IFERROR(__xludf.DUMMYFUNCTION("""COMPUTED_VALUE"""),12.36)</f>
        <v>12.36</v>
      </c>
      <c r="G231" s="2">
        <f t="shared" si="2"/>
        <v>12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B232" s="3"/>
      <c r="C232" s="3"/>
      <c r="D232" s="3"/>
      <c r="E232" s="3"/>
      <c r="F232" s="2">
        <f>IFERROR(__xludf.DUMMYFUNCTION("""COMPUTED_VALUE"""),11.23)</f>
        <v>11.23</v>
      </c>
      <c r="G232" s="2">
        <f t="shared" si="2"/>
        <v>11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B233" s="3"/>
      <c r="C233" s="3"/>
      <c r="D233" s="3"/>
      <c r="E233" s="3"/>
      <c r="F233" s="2">
        <f>IFERROR(__xludf.DUMMYFUNCTION("""COMPUTED_VALUE"""),13.54)</f>
        <v>13.54</v>
      </c>
      <c r="G233" s="2">
        <f t="shared" si="2"/>
        <v>14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B234" s="3"/>
      <c r="C234" s="3"/>
      <c r="D234" s="3"/>
      <c r="E234" s="3"/>
      <c r="F234" s="2">
        <f>IFERROR(__xludf.DUMMYFUNCTION("""COMPUTED_VALUE"""),4.25)</f>
        <v>4.25</v>
      </c>
      <c r="G234" s="2">
        <f t="shared" si="2"/>
        <v>4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B235" s="3"/>
      <c r="C235" s="3"/>
      <c r="D235" s="3"/>
      <c r="E235" s="3"/>
      <c r="F235" s="2">
        <f>IFERROR(__xludf.DUMMYFUNCTION("""COMPUTED_VALUE"""),8.54)</f>
        <v>8.54</v>
      </c>
      <c r="G235" s="2">
        <f t="shared" si="2"/>
        <v>9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B236" s="3"/>
      <c r="C236" s="3"/>
      <c r="D236" s="3"/>
      <c r="E236" s="3"/>
      <c r="F236" s="2">
        <f>IFERROR(__xludf.DUMMYFUNCTION("""COMPUTED_VALUE"""),6.54)</f>
        <v>6.54</v>
      </c>
      <c r="G236" s="2">
        <f t="shared" si="2"/>
        <v>7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B237" s="3"/>
      <c r="C237" s="3"/>
      <c r="D237" s="3"/>
      <c r="E237" s="3"/>
      <c r="F237" s="2">
        <f>IFERROR(__xludf.DUMMYFUNCTION("""COMPUTED_VALUE"""),3.65)</f>
        <v>3.65</v>
      </c>
      <c r="G237" s="2">
        <f t="shared" si="2"/>
        <v>4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B238" s="3"/>
      <c r="C238" s="3"/>
      <c r="D238" s="3"/>
      <c r="E238" s="3"/>
      <c r="F238" s="2">
        <f>IFERROR(__xludf.DUMMYFUNCTION("""COMPUTED_VALUE"""),7.25)</f>
        <v>7.25</v>
      </c>
      <c r="G238" s="2">
        <f t="shared" si="2"/>
        <v>7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B239" s="3"/>
      <c r="C239" s="3"/>
      <c r="D239" s="3"/>
      <c r="E239" s="3"/>
      <c r="F239" s="2">
        <f>IFERROR(__xludf.DUMMYFUNCTION("""COMPUTED_VALUE"""),13.54)</f>
        <v>13.54</v>
      </c>
      <c r="G239" s="2">
        <f t="shared" si="2"/>
        <v>14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B240" s="3"/>
      <c r="C240" s="3"/>
      <c r="D240" s="3"/>
      <c r="E240" s="3"/>
      <c r="F240" s="2">
        <f>IFERROR(__xludf.DUMMYFUNCTION("""COMPUTED_VALUE"""),5.45)</f>
        <v>5.45</v>
      </c>
      <c r="G240" s="2">
        <f t="shared" si="2"/>
        <v>5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B241" s="3"/>
      <c r="C241" s="3"/>
      <c r="D241" s="3"/>
      <c r="E241" s="3"/>
      <c r="F241" s="2">
        <f>IFERROR(__xludf.DUMMYFUNCTION("""COMPUTED_VALUE"""),19.23)</f>
        <v>19.23</v>
      </c>
      <c r="G241" s="2">
        <f t="shared" si="2"/>
        <v>19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B242" s="3"/>
      <c r="C242" s="3"/>
      <c r="D242" s="3"/>
      <c r="E242" s="3"/>
      <c r="F242" s="2">
        <f>IFERROR(__xludf.DUMMYFUNCTION("""COMPUTED_VALUE"""),19.23)</f>
        <v>19.23</v>
      </c>
      <c r="G242" s="2">
        <f t="shared" si="2"/>
        <v>19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B243" s="3"/>
      <c r="C243" s="3"/>
      <c r="D243" s="3"/>
      <c r="E243" s="3"/>
      <c r="F243" s="2">
        <f>IFERROR(__xludf.DUMMYFUNCTION("""COMPUTED_VALUE"""),5.24)</f>
        <v>5.24</v>
      </c>
      <c r="G243" s="2">
        <f t="shared" si="2"/>
        <v>5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B244" s="3"/>
      <c r="C244" s="3"/>
      <c r="D244" s="3"/>
      <c r="E244" s="3"/>
      <c r="F244" s="2">
        <f>IFERROR(__xludf.DUMMYFUNCTION("""COMPUTED_VALUE"""),15.23)</f>
        <v>15.23</v>
      </c>
      <c r="G244" s="2">
        <f t="shared" si="2"/>
        <v>15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B245" s="3"/>
      <c r="C245" s="3"/>
      <c r="D245" s="3"/>
      <c r="E245" s="3"/>
      <c r="F245" s="2">
        <f>IFERROR(__xludf.DUMMYFUNCTION("""COMPUTED_VALUE"""),6.21)</f>
        <v>6.21</v>
      </c>
      <c r="G245" s="2">
        <f t="shared" si="2"/>
        <v>6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B246" s="3"/>
      <c r="C246" s="3"/>
      <c r="D246" s="3"/>
      <c r="E246" s="3"/>
      <c r="F246" s="2">
        <f>IFERROR(__xludf.DUMMYFUNCTION("""COMPUTED_VALUE"""),4.25)</f>
        <v>4.25</v>
      </c>
      <c r="G246" s="2">
        <f t="shared" si="2"/>
        <v>4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B247" s="3"/>
      <c r="C247" s="3"/>
      <c r="D247" s="3"/>
      <c r="E247" s="3"/>
      <c r="F247" s="2">
        <f>IFERROR(__xludf.DUMMYFUNCTION("""COMPUTED_VALUE"""),12.56)</f>
        <v>12.56</v>
      </c>
      <c r="G247" s="2">
        <f t="shared" si="2"/>
        <v>13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B248" s="3"/>
      <c r="C248" s="3"/>
      <c r="D248" s="3"/>
      <c r="E248" s="3"/>
      <c r="F248" s="2">
        <f>IFERROR(__xludf.DUMMYFUNCTION("""COMPUTED_VALUE"""),6.54)</f>
        <v>6.54</v>
      </c>
      <c r="G248" s="2">
        <f t="shared" si="2"/>
        <v>7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B249" s="3"/>
      <c r="C249" s="3"/>
      <c r="D249" s="3"/>
      <c r="E249" s="3"/>
      <c r="F249" s="2">
        <f>IFERROR(__xludf.DUMMYFUNCTION("""COMPUTED_VALUE"""),6.54)</f>
        <v>6.54</v>
      </c>
      <c r="G249" s="2">
        <f t="shared" si="2"/>
        <v>7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B250" s="3"/>
      <c r="C250" s="3"/>
      <c r="D250" s="3"/>
      <c r="E250" s="3"/>
      <c r="F250" s="2">
        <f>IFERROR(__xludf.DUMMYFUNCTION("""COMPUTED_VALUE"""),6.54)</f>
        <v>6.54</v>
      </c>
      <c r="G250" s="2">
        <f t="shared" si="2"/>
        <v>7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B251" s="3"/>
      <c r="C251" s="3"/>
      <c r="D251" s="3"/>
      <c r="E251" s="3"/>
      <c r="F251" s="2">
        <f>IFERROR(__xludf.DUMMYFUNCTION("""COMPUTED_VALUE"""),12.36)</f>
        <v>12.36</v>
      </c>
      <c r="G251" s="2">
        <f t="shared" si="2"/>
        <v>12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B252" s="3"/>
      <c r="C252" s="3"/>
      <c r="D252" s="3"/>
      <c r="E252" s="3"/>
      <c r="F252" s="2">
        <f>IFERROR(__xludf.DUMMYFUNCTION("""COMPUTED_VALUE"""),12.36)</f>
        <v>12.36</v>
      </c>
      <c r="G252" s="2">
        <f t="shared" si="2"/>
        <v>12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B253" s="3"/>
      <c r="C253" s="3"/>
      <c r="D253" s="3"/>
      <c r="E253" s="3"/>
      <c r="F253" s="2">
        <f>IFERROR(__xludf.DUMMYFUNCTION("""COMPUTED_VALUE"""),8.23)</f>
        <v>8.23</v>
      </c>
      <c r="G253" s="2">
        <f t="shared" si="2"/>
        <v>8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B254" s="3"/>
      <c r="C254" s="3"/>
      <c r="D254" s="3"/>
      <c r="E254" s="3"/>
      <c r="F254" s="2">
        <f>IFERROR(__xludf.DUMMYFUNCTION("""COMPUTED_VALUE"""),8.23)</f>
        <v>8.23</v>
      </c>
      <c r="G254" s="2">
        <f t="shared" si="2"/>
        <v>8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B255" s="3"/>
      <c r="C255" s="3"/>
      <c r="D255" s="3"/>
      <c r="E255" s="3"/>
      <c r="F255" s="2">
        <f>IFERROR(__xludf.DUMMYFUNCTION("""COMPUTED_VALUE"""),12.56)</f>
        <v>12.56</v>
      </c>
      <c r="G255" s="2">
        <f t="shared" si="2"/>
        <v>13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B256" s="3"/>
      <c r="C256" s="3"/>
      <c r="D256" s="3"/>
      <c r="E256" s="3"/>
      <c r="F256" s="2">
        <f>IFERROR(__xludf.DUMMYFUNCTION("""COMPUTED_VALUE"""),15.23)</f>
        <v>15.23</v>
      </c>
      <c r="G256" s="2">
        <f t="shared" si="2"/>
        <v>15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B257" s="3"/>
      <c r="C257" s="3"/>
      <c r="D257" s="3"/>
      <c r="E257" s="3"/>
      <c r="F257" s="2">
        <f>IFERROR(__xludf.DUMMYFUNCTION("""COMPUTED_VALUE"""),6.54)</f>
        <v>6.54</v>
      </c>
      <c r="G257" s="2">
        <f t="shared" si="2"/>
        <v>7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B258" s="3"/>
      <c r="C258" s="3"/>
      <c r="D258" s="3"/>
      <c r="E258" s="3"/>
      <c r="F258" s="2">
        <f>IFERROR(__xludf.DUMMYFUNCTION("""COMPUTED_VALUE"""),6.21)</f>
        <v>6.21</v>
      </c>
      <c r="G258" s="2">
        <f t="shared" si="2"/>
        <v>6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B259" s="3"/>
      <c r="C259" s="3"/>
      <c r="D259" s="3"/>
      <c r="E259" s="3"/>
      <c r="F259" s="2">
        <f>IFERROR(__xludf.DUMMYFUNCTION("""COMPUTED_VALUE"""),4.25)</f>
        <v>4.25</v>
      </c>
      <c r="G259" s="2">
        <f t="shared" si="2"/>
        <v>4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B260" s="3"/>
      <c r="C260" s="3"/>
      <c r="D260" s="3"/>
      <c r="E260" s="3"/>
      <c r="F260" s="2">
        <f>IFERROR(__xludf.DUMMYFUNCTION("""COMPUTED_VALUE"""),18.56)</f>
        <v>18.56</v>
      </c>
      <c r="G260" s="2">
        <f t="shared" si="2"/>
        <v>19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B261" s="3"/>
      <c r="C261" s="3"/>
      <c r="D261" s="3"/>
      <c r="E261" s="3"/>
      <c r="F261" s="2">
        <f>IFERROR(__xludf.DUMMYFUNCTION("""COMPUTED_VALUE"""),4.21)</f>
        <v>4.21</v>
      </c>
      <c r="G261" s="2">
        <f t="shared" si="2"/>
        <v>4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B262" s="3"/>
      <c r="C262" s="3"/>
      <c r="D262" s="3"/>
      <c r="E262" s="3"/>
      <c r="F262" s="2">
        <f>IFERROR(__xludf.DUMMYFUNCTION("""COMPUTED_VALUE"""),6.21)</f>
        <v>6.21</v>
      </c>
      <c r="G262" s="2">
        <f t="shared" si="2"/>
        <v>6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B263" s="3"/>
      <c r="C263" s="3"/>
      <c r="D263" s="3"/>
      <c r="E263" s="3"/>
      <c r="F263" s="2">
        <f>IFERROR(__xludf.DUMMYFUNCTION("""COMPUTED_VALUE"""),8.12)</f>
        <v>8.12</v>
      </c>
      <c r="G263" s="2">
        <f t="shared" si="2"/>
        <v>8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B264" s="3"/>
      <c r="C264" s="3"/>
      <c r="D264" s="3"/>
      <c r="E264" s="3"/>
      <c r="F264" s="2">
        <f>IFERROR(__xludf.DUMMYFUNCTION("""COMPUTED_VALUE"""),14.25)</f>
        <v>14.25</v>
      </c>
      <c r="G264" s="2">
        <f t="shared" si="2"/>
        <v>14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B265" s="3"/>
      <c r="C265" s="3"/>
      <c r="D265" s="3"/>
      <c r="E265" s="3"/>
      <c r="F265" s="2">
        <f>IFERROR(__xludf.DUMMYFUNCTION("""COMPUTED_VALUE"""),11.25)</f>
        <v>11.25</v>
      </c>
      <c r="G265" s="2">
        <f t="shared" si="2"/>
        <v>11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B266" s="3"/>
      <c r="C266" s="3"/>
      <c r="D266" s="3"/>
      <c r="E266" s="3"/>
      <c r="F266" s="2">
        <f>IFERROR(__xludf.DUMMYFUNCTION("""COMPUTED_VALUE"""),8.23)</f>
        <v>8.23</v>
      </c>
      <c r="G266" s="2">
        <f t="shared" si="2"/>
        <v>8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B267" s="3"/>
      <c r="C267" s="3"/>
      <c r="D267" s="3"/>
      <c r="E267" s="3"/>
      <c r="F267" s="2">
        <f>IFERROR(__xludf.DUMMYFUNCTION("""COMPUTED_VALUE"""),6.21)</f>
        <v>6.21</v>
      </c>
      <c r="G267" s="2">
        <f t="shared" si="2"/>
        <v>6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B268" s="3"/>
      <c r="C268" s="3"/>
      <c r="D268" s="3"/>
      <c r="E268" s="3"/>
      <c r="F268" s="2">
        <f>IFERROR(__xludf.DUMMYFUNCTION("""COMPUTED_VALUE"""),18.56)</f>
        <v>18.56</v>
      </c>
      <c r="G268" s="2">
        <f t="shared" si="2"/>
        <v>19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B269" s="3"/>
      <c r="C269" s="3"/>
      <c r="D269" s="3"/>
      <c r="E269" s="3"/>
      <c r="F269" s="2">
        <f>IFERROR(__xludf.DUMMYFUNCTION("""COMPUTED_VALUE"""),12.36)</f>
        <v>12.36</v>
      </c>
      <c r="G269" s="2">
        <f t="shared" si="2"/>
        <v>12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B270" s="3"/>
      <c r="C270" s="3"/>
      <c r="D270" s="3"/>
      <c r="E270" s="3"/>
      <c r="F270" s="2">
        <f>IFERROR(__xludf.DUMMYFUNCTION("""COMPUTED_VALUE"""),5.21)</f>
        <v>5.21</v>
      </c>
      <c r="G270" s="2">
        <f t="shared" si="2"/>
        <v>5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B271" s="3"/>
      <c r="C271" s="3"/>
      <c r="D271" s="3"/>
      <c r="E271" s="3"/>
      <c r="F271" s="2">
        <f>IFERROR(__xludf.DUMMYFUNCTION("""COMPUTED_VALUE"""),3.65)</f>
        <v>3.65</v>
      </c>
      <c r="G271" s="2">
        <f t="shared" si="2"/>
        <v>4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B272" s="3"/>
      <c r="C272" s="3"/>
      <c r="D272" s="3"/>
      <c r="E272" s="3"/>
      <c r="F272" s="2">
        <f>IFERROR(__xludf.DUMMYFUNCTION("""COMPUTED_VALUE"""),3.25)</f>
        <v>3.25</v>
      </c>
      <c r="G272" s="2">
        <f t="shared" si="2"/>
        <v>3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B273" s="3"/>
      <c r="C273" s="3"/>
      <c r="D273" s="3"/>
      <c r="E273" s="3"/>
      <c r="F273" s="2">
        <f>IFERROR(__xludf.DUMMYFUNCTION("""COMPUTED_VALUE"""),5.21)</f>
        <v>5.21</v>
      </c>
      <c r="G273" s="2">
        <f t="shared" si="2"/>
        <v>5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B274" s="3"/>
      <c r="C274" s="3"/>
      <c r="D274" s="3"/>
      <c r="E274" s="3"/>
      <c r="F274" s="2">
        <f>IFERROR(__xludf.DUMMYFUNCTION("""COMPUTED_VALUE"""),9.45)</f>
        <v>9.45</v>
      </c>
      <c r="G274" s="2">
        <f t="shared" si="2"/>
        <v>9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B275" s="3"/>
      <c r="C275" s="3"/>
      <c r="D275" s="3"/>
      <c r="E275" s="3"/>
      <c r="F275" s="2">
        <f>IFERROR(__xludf.DUMMYFUNCTION("""COMPUTED_VALUE"""),12.56)</f>
        <v>12.56</v>
      </c>
      <c r="G275" s="2">
        <f t="shared" si="2"/>
        <v>13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B276" s="3"/>
      <c r="C276" s="3"/>
      <c r="D276" s="3"/>
      <c r="E276" s="3"/>
      <c r="F276" s="2">
        <f>IFERROR(__xludf.DUMMYFUNCTION("""COMPUTED_VALUE"""),5.24)</f>
        <v>5.24</v>
      </c>
      <c r="G276" s="2">
        <f t="shared" si="2"/>
        <v>5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B277" s="3"/>
      <c r="C277" s="3"/>
      <c r="D277" s="3"/>
      <c r="E277" s="3"/>
      <c r="F277" s="2">
        <f>IFERROR(__xludf.DUMMYFUNCTION("""COMPUTED_VALUE"""),8.12)</f>
        <v>8.12</v>
      </c>
      <c r="G277" s="2">
        <f t="shared" si="2"/>
        <v>8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B278" s="3"/>
      <c r="C278" s="3"/>
      <c r="D278" s="3"/>
      <c r="E278" s="3"/>
      <c r="F278" s="2">
        <f>IFERROR(__xludf.DUMMYFUNCTION("""COMPUTED_VALUE"""),18.56)</f>
        <v>18.56</v>
      </c>
      <c r="G278" s="2">
        <f t="shared" si="2"/>
        <v>19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B279" s="3"/>
      <c r="C279" s="3"/>
      <c r="D279" s="3"/>
      <c r="E279" s="3"/>
      <c r="F279" s="2">
        <f>IFERROR(__xludf.DUMMYFUNCTION("""COMPUTED_VALUE"""),11.54)</f>
        <v>11.54</v>
      </c>
      <c r="G279" s="2">
        <f t="shared" si="2"/>
        <v>12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B280" s="3"/>
      <c r="C280" s="3"/>
      <c r="D280" s="3"/>
      <c r="E280" s="3"/>
      <c r="F280" s="2">
        <f>IFERROR(__xludf.DUMMYFUNCTION("""COMPUTED_VALUE"""),3.25)</f>
        <v>3.25</v>
      </c>
      <c r="G280" s="2">
        <f t="shared" si="2"/>
        <v>3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B281" s="3"/>
      <c r="C281" s="3"/>
      <c r="D281" s="3"/>
      <c r="E281" s="3"/>
      <c r="F281" s="2">
        <f>IFERROR(__xludf.DUMMYFUNCTION("""COMPUTED_VALUE"""),12.56)</f>
        <v>12.56</v>
      </c>
      <c r="G281" s="2">
        <f t="shared" si="2"/>
        <v>13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B282" s="3"/>
      <c r="C282" s="3"/>
      <c r="D282" s="3"/>
      <c r="E282" s="3"/>
      <c r="F282" s="2">
        <f>IFERROR(__xludf.DUMMYFUNCTION("""COMPUTED_VALUE"""),5.21)</f>
        <v>5.21</v>
      </c>
      <c r="G282" s="2">
        <f t="shared" si="2"/>
        <v>5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B283" s="3"/>
      <c r="C283" s="3"/>
      <c r="D283" s="3"/>
      <c r="E283" s="3"/>
      <c r="F283" s="2">
        <f>IFERROR(__xludf.DUMMYFUNCTION("""COMPUTED_VALUE"""),6.25)</f>
        <v>6.25</v>
      </c>
      <c r="G283" s="2">
        <f t="shared" si="2"/>
        <v>6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B284" s="3"/>
      <c r="C284" s="3"/>
      <c r="D284" s="3"/>
      <c r="E284" s="3"/>
      <c r="F284" s="2">
        <f>IFERROR(__xludf.DUMMYFUNCTION("""COMPUTED_VALUE"""),4.25)</f>
        <v>4.25</v>
      </c>
      <c r="G284" s="2">
        <f t="shared" si="2"/>
        <v>4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B285" s="3"/>
      <c r="C285" s="3"/>
      <c r="D285" s="3"/>
      <c r="E285" s="3"/>
      <c r="F285" s="2">
        <f>IFERROR(__xludf.DUMMYFUNCTION("""COMPUTED_VALUE"""),3.51)</f>
        <v>3.51</v>
      </c>
      <c r="G285" s="2">
        <f t="shared" si="2"/>
        <v>4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B286" s="3"/>
      <c r="C286" s="3"/>
      <c r="D286" s="3"/>
      <c r="E286" s="3"/>
      <c r="F286" s="2">
        <f>IFERROR(__xludf.DUMMYFUNCTION("""COMPUTED_VALUE"""),12.56)</f>
        <v>12.56</v>
      </c>
      <c r="G286" s="2">
        <f t="shared" si="2"/>
        <v>13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B287" s="3"/>
      <c r="C287" s="3"/>
      <c r="D287" s="3"/>
      <c r="E287" s="3"/>
      <c r="F287" s="2">
        <f>IFERROR(__xludf.DUMMYFUNCTION("""COMPUTED_VALUE"""),13.54)</f>
        <v>13.54</v>
      </c>
      <c r="G287" s="2">
        <f t="shared" si="2"/>
        <v>14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B288" s="3"/>
      <c r="C288" s="3"/>
      <c r="D288" s="3"/>
      <c r="E288" s="3"/>
      <c r="F288" s="2">
        <f>IFERROR(__xludf.DUMMYFUNCTION("""COMPUTED_VALUE"""),4.25)</f>
        <v>4.25</v>
      </c>
      <c r="G288" s="2">
        <f t="shared" si="2"/>
        <v>4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B289" s="3"/>
      <c r="C289" s="3"/>
      <c r="D289" s="3"/>
      <c r="E289" s="3"/>
      <c r="F289" s="2">
        <f>IFERROR(__xludf.DUMMYFUNCTION("""COMPUTED_VALUE"""),15.45)</f>
        <v>15.45</v>
      </c>
      <c r="G289" s="2">
        <f t="shared" si="2"/>
        <v>15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B290" s="3"/>
      <c r="C290" s="3"/>
      <c r="D290" s="3"/>
      <c r="E290" s="3"/>
      <c r="F290" s="2">
        <f>IFERROR(__xludf.DUMMYFUNCTION("""COMPUTED_VALUE"""),4.21)</f>
        <v>4.21</v>
      </c>
      <c r="G290" s="2">
        <f t="shared" si="2"/>
        <v>4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B291" s="3"/>
      <c r="C291" s="3"/>
      <c r="D291" s="3"/>
      <c r="E291" s="3"/>
      <c r="F291" s="2">
        <f>IFERROR(__xludf.DUMMYFUNCTION("""COMPUTED_VALUE"""),3.51)</f>
        <v>3.51</v>
      </c>
      <c r="G291" s="2">
        <f t="shared" si="2"/>
        <v>4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B292" s="3"/>
      <c r="C292" s="3"/>
      <c r="D292" s="3"/>
      <c r="E292" s="3"/>
      <c r="F292" s="2">
        <f>IFERROR(__xludf.DUMMYFUNCTION("""COMPUTED_VALUE"""),11.54)</f>
        <v>11.54</v>
      </c>
      <c r="G292" s="2">
        <f t="shared" si="2"/>
        <v>12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B293" s="3"/>
      <c r="C293" s="3"/>
      <c r="D293" s="3"/>
      <c r="E293" s="3"/>
      <c r="F293" s="2">
        <f>IFERROR(__xludf.DUMMYFUNCTION("""COMPUTED_VALUE"""),5.24)</f>
        <v>5.24</v>
      </c>
      <c r="G293" s="2">
        <f t="shared" si="2"/>
        <v>5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B294" s="3"/>
      <c r="C294" s="3"/>
      <c r="D294" s="3"/>
      <c r="E294" s="3"/>
      <c r="F294" s="2">
        <f>IFERROR(__xludf.DUMMYFUNCTION("""COMPUTED_VALUE"""),4.21)</f>
        <v>4.21</v>
      </c>
      <c r="G294" s="2">
        <f t="shared" si="2"/>
        <v>4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B295" s="3"/>
      <c r="C295" s="3"/>
      <c r="D295" s="3"/>
      <c r="E295" s="3"/>
      <c r="F295" s="2">
        <f>IFERROR(__xludf.DUMMYFUNCTION("""COMPUTED_VALUE"""),8.23)</f>
        <v>8.23</v>
      </c>
      <c r="G295" s="2">
        <f t="shared" si="2"/>
        <v>8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B296" s="3"/>
      <c r="C296" s="3"/>
      <c r="D296" s="3"/>
      <c r="E296" s="3"/>
      <c r="F296" s="2">
        <f>IFERROR(__xludf.DUMMYFUNCTION("""COMPUTED_VALUE"""),18.56)</f>
        <v>18.56</v>
      </c>
      <c r="G296" s="2">
        <f t="shared" si="2"/>
        <v>19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B297" s="3"/>
      <c r="C297" s="3"/>
      <c r="D297" s="3"/>
      <c r="E297" s="3"/>
      <c r="F297" s="2">
        <f>IFERROR(__xludf.DUMMYFUNCTION("""COMPUTED_VALUE"""),8.23)</f>
        <v>8.23</v>
      </c>
      <c r="G297" s="2">
        <f t="shared" si="2"/>
        <v>8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B298" s="3"/>
      <c r="C298" s="3"/>
      <c r="D298" s="3"/>
      <c r="E298" s="3"/>
      <c r="F298" s="2">
        <f>IFERROR(__xludf.DUMMYFUNCTION("""COMPUTED_VALUE"""),13.54)</f>
        <v>13.54</v>
      </c>
      <c r="G298" s="2">
        <f t="shared" si="2"/>
        <v>14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B299" s="3"/>
      <c r="C299" s="3"/>
      <c r="D299" s="3"/>
      <c r="E299" s="3"/>
      <c r="F299" s="2">
        <f>IFERROR(__xludf.DUMMYFUNCTION("""COMPUTED_VALUE"""),17.23)</f>
        <v>17.23</v>
      </c>
      <c r="G299" s="2">
        <f t="shared" si="2"/>
        <v>17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B300" s="3"/>
      <c r="C300" s="3"/>
      <c r="D300" s="3"/>
      <c r="E300" s="3"/>
      <c r="F300" s="2">
        <f>IFERROR(__xludf.DUMMYFUNCTION("""COMPUTED_VALUE"""),5.24)</f>
        <v>5.24</v>
      </c>
      <c r="G300" s="2">
        <f t="shared" si="2"/>
        <v>5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B301" s="3"/>
      <c r="C301" s="3"/>
      <c r="D301" s="3"/>
      <c r="E301" s="3"/>
      <c r="F301" s="2">
        <f>IFERROR(__xludf.DUMMYFUNCTION("""COMPUTED_VALUE"""),6.25)</f>
        <v>6.25</v>
      </c>
      <c r="G301" s="2">
        <f t="shared" si="2"/>
        <v>6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B302" s="3"/>
      <c r="C302" s="3"/>
      <c r="D302" s="3"/>
      <c r="E302" s="3"/>
      <c r="F302" s="2">
        <f>IFERROR(__xludf.DUMMYFUNCTION("""COMPUTED_VALUE"""),15.23)</f>
        <v>15.23</v>
      </c>
      <c r="G302" s="2">
        <f t="shared" si="2"/>
        <v>15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B303" s="3"/>
      <c r="C303" s="3"/>
      <c r="D303" s="3"/>
      <c r="E303" s="3"/>
      <c r="F303" s="2">
        <f>IFERROR(__xludf.DUMMYFUNCTION("""COMPUTED_VALUE"""),5.45)</f>
        <v>5.45</v>
      </c>
      <c r="G303" s="2">
        <f t="shared" si="2"/>
        <v>5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B304" s="3"/>
      <c r="C304" s="3"/>
      <c r="D304" s="3"/>
      <c r="E304" s="3"/>
      <c r="F304" s="2">
        <f>IFERROR(__xludf.DUMMYFUNCTION("""COMPUTED_VALUE"""),3.25)</f>
        <v>3.25</v>
      </c>
      <c r="G304" s="2">
        <f t="shared" si="2"/>
        <v>3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B305" s="3"/>
      <c r="C305" s="3"/>
      <c r="D305" s="3"/>
      <c r="E305" s="3"/>
      <c r="F305" s="2">
        <f>IFERROR(__xludf.DUMMYFUNCTION("""COMPUTED_VALUE"""),12.24)</f>
        <v>12.24</v>
      </c>
      <c r="G305" s="2">
        <f t="shared" si="2"/>
        <v>12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B306" s="3"/>
      <c r="C306" s="3"/>
      <c r="D306" s="3"/>
      <c r="E306" s="3"/>
      <c r="F306" s="2">
        <f>IFERROR(__xludf.DUMMYFUNCTION("""COMPUTED_VALUE"""),11.23)</f>
        <v>11.23</v>
      </c>
      <c r="G306" s="2">
        <f t="shared" si="2"/>
        <v>11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B307" s="3"/>
      <c r="C307" s="3"/>
      <c r="D307" s="3"/>
      <c r="E307" s="3"/>
      <c r="F307" s="2">
        <f>IFERROR(__xludf.DUMMYFUNCTION("""COMPUTED_VALUE"""),13.54)</f>
        <v>13.54</v>
      </c>
      <c r="G307" s="2">
        <f t="shared" si="2"/>
        <v>14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B308" s="3"/>
      <c r="C308" s="3"/>
      <c r="D308" s="3"/>
      <c r="E308" s="3"/>
      <c r="F308" s="2">
        <f>IFERROR(__xludf.DUMMYFUNCTION("""COMPUTED_VALUE"""),12.56)</f>
        <v>12.56</v>
      </c>
      <c r="G308" s="2">
        <f t="shared" si="2"/>
        <v>13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B309" s="3"/>
      <c r="C309" s="3"/>
      <c r="D309" s="3"/>
      <c r="E309" s="3"/>
      <c r="F309" s="2">
        <f>IFERROR(__xludf.DUMMYFUNCTION("""COMPUTED_VALUE"""),6.54)</f>
        <v>6.54</v>
      </c>
      <c r="G309" s="2">
        <f t="shared" si="2"/>
        <v>7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B310" s="3"/>
      <c r="C310" s="3"/>
      <c r="D310" s="3"/>
      <c r="E310" s="3"/>
      <c r="F310" s="2">
        <f>IFERROR(__xludf.DUMMYFUNCTION("""COMPUTED_VALUE"""),17.23)</f>
        <v>17.23</v>
      </c>
      <c r="G310" s="2">
        <f t="shared" si="2"/>
        <v>17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B311" s="3"/>
      <c r="C311" s="3"/>
      <c r="D311" s="3"/>
      <c r="E311" s="3"/>
      <c r="F311" s="2">
        <f>IFERROR(__xludf.DUMMYFUNCTION("""COMPUTED_VALUE"""),9.54)</f>
        <v>9.54</v>
      </c>
      <c r="G311" s="2">
        <f t="shared" si="2"/>
        <v>10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B312" s="3"/>
      <c r="C312" s="3"/>
      <c r="D312" s="3"/>
      <c r="E312" s="3"/>
      <c r="F312" s="2">
        <f>IFERROR(__xludf.DUMMYFUNCTION("""COMPUTED_VALUE"""),17.23)</f>
        <v>17.23</v>
      </c>
      <c r="G312" s="2">
        <f t="shared" si="2"/>
        <v>17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B313" s="3"/>
      <c r="C313" s="3"/>
      <c r="D313" s="3"/>
      <c r="E313" s="3"/>
      <c r="F313" s="2">
        <f>IFERROR(__xludf.DUMMYFUNCTION("""COMPUTED_VALUE"""),28.56)</f>
        <v>28.56</v>
      </c>
      <c r="G313" s="2">
        <f t="shared" si="2"/>
        <v>29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B314" s="3"/>
      <c r="C314" s="3"/>
      <c r="D314" s="3"/>
      <c r="E314" s="3"/>
      <c r="F314" s="2">
        <f>IFERROR(__xludf.DUMMYFUNCTION("""COMPUTED_VALUE"""),8.23)</f>
        <v>8.23</v>
      </c>
      <c r="G314" s="2">
        <f t="shared" si="2"/>
        <v>8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B315" s="3"/>
      <c r="C315" s="3"/>
      <c r="D315" s="3"/>
      <c r="E315" s="3"/>
      <c r="F315" s="2">
        <f>IFERROR(__xludf.DUMMYFUNCTION("""COMPUTED_VALUE"""),11.54)</f>
        <v>11.54</v>
      </c>
      <c r="G315" s="2">
        <f t="shared" si="2"/>
        <v>12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B316" s="3"/>
      <c r="C316" s="3"/>
      <c r="D316" s="3"/>
      <c r="E316" s="3"/>
      <c r="F316" s="2">
        <f>IFERROR(__xludf.DUMMYFUNCTION("""COMPUTED_VALUE"""),5.21)</f>
        <v>5.21</v>
      </c>
      <c r="G316" s="2">
        <f t="shared" si="2"/>
        <v>5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B317" s="3"/>
      <c r="C317" s="3"/>
      <c r="D317" s="3"/>
      <c r="E317" s="3"/>
      <c r="F317" s="2">
        <f>IFERROR(__xludf.DUMMYFUNCTION("""COMPUTED_VALUE"""),6.54)</f>
        <v>6.54</v>
      </c>
      <c r="G317" s="2">
        <f t="shared" si="2"/>
        <v>7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B318" s="3"/>
      <c r="C318" s="3"/>
      <c r="D318" s="3"/>
      <c r="E318" s="3"/>
      <c r="F318" s="2">
        <f>IFERROR(__xludf.DUMMYFUNCTION("""COMPUTED_VALUE"""),8.54)</f>
        <v>8.54</v>
      </c>
      <c r="G318" s="2">
        <f t="shared" si="2"/>
        <v>9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B319" s="3"/>
      <c r="C319" s="3"/>
      <c r="D319" s="3"/>
      <c r="E319" s="3"/>
      <c r="F319" s="2">
        <f>IFERROR(__xludf.DUMMYFUNCTION("""COMPUTED_VALUE"""),6.54)</f>
        <v>6.54</v>
      </c>
      <c r="G319" s="2">
        <f t="shared" si="2"/>
        <v>7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B320" s="3"/>
      <c r="C320" s="3"/>
      <c r="D320" s="3"/>
      <c r="E320" s="3"/>
      <c r="F320" s="2">
        <f>IFERROR(__xludf.DUMMYFUNCTION("""COMPUTED_VALUE"""),16.21)</f>
        <v>16.21</v>
      </c>
      <c r="G320" s="2">
        <f t="shared" si="2"/>
        <v>16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B321" s="3"/>
      <c r="C321" s="3"/>
      <c r="D321" s="3"/>
      <c r="E321" s="3"/>
      <c r="F321" s="2">
        <f>IFERROR(__xludf.DUMMYFUNCTION("""COMPUTED_VALUE"""),9.45)</f>
        <v>9.45</v>
      </c>
      <c r="G321" s="2">
        <f t="shared" si="2"/>
        <v>9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B322" s="3"/>
      <c r="C322" s="3"/>
      <c r="D322" s="3"/>
      <c r="E322" s="3"/>
      <c r="F322" s="2">
        <f>IFERROR(__xludf.DUMMYFUNCTION("""COMPUTED_VALUE"""),6.54)</f>
        <v>6.54</v>
      </c>
      <c r="G322" s="2">
        <f t="shared" si="2"/>
        <v>7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B323" s="3"/>
      <c r="C323" s="3"/>
      <c r="D323" s="3"/>
      <c r="E323" s="3"/>
      <c r="F323" s="2">
        <f>IFERROR(__xludf.DUMMYFUNCTION("""COMPUTED_VALUE"""),13.54)</f>
        <v>13.54</v>
      </c>
      <c r="G323" s="2">
        <f t="shared" si="2"/>
        <v>14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B324" s="3"/>
      <c r="C324" s="3"/>
      <c r="D324" s="3"/>
      <c r="E324" s="3"/>
      <c r="F324" s="2">
        <f>IFERROR(__xludf.DUMMYFUNCTION("""COMPUTED_VALUE"""),3.25)</f>
        <v>3.25</v>
      </c>
      <c r="G324" s="2">
        <f t="shared" si="2"/>
        <v>3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B325" s="3"/>
      <c r="C325" s="3"/>
      <c r="D325" s="3"/>
      <c r="E325" s="3"/>
      <c r="F325" s="2">
        <f>IFERROR(__xludf.DUMMYFUNCTION("""COMPUTED_VALUE"""),14.25)</f>
        <v>14.25</v>
      </c>
      <c r="G325" s="2">
        <f t="shared" si="2"/>
        <v>14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B326" s="3"/>
      <c r="C326" s="3"/>
      <c r="D326" s="3"/>
      <c r="E326" s="3"/>
      <c r="F326" s="2">
        <f>IFERROR(__xludf.DUMMYFUNCTION("""COMPUTED_VALUE"""),11.54)</f>
        <v>11.54</v>
      </c>
      <c r="G326" s="2">
        <f t="shared" si="2"/>
        <v>12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B327" s="3"/>
      <c r="C327" s="3"/>
      <c r="D327" s="3"/>
      <c r="E327" s="3"/>
      <c r="F327" s="2">
        <f>IFERROR(__xludf.DUMMYFUNCTION("""COMPUTED_VALUE"""),3.25)</f>
        <v>3.25</v>
      </c>
      <c r="G327" s="2">
        <f t="shared" si="2"/>
        <v>3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B328" s="3"/>
      <c r="C328" s="3"/>
      <c r="D328" s="3"/>
      <c r="E328" s="3"/>
      <c r="F328" s="2">
        <f>IFERROR(__xludf.DUMMYFUNCTION("""COMPUTED_VALUE"""),4.21)</f>
        <v>4.21</v>
      </c>
      <c r="G328" s="2">
        <f t="shared" si="2"/>
        <v>4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B329" s="3"/>
      <c r="C329" s="3"/>
      <c r="D329" s="3"/>
      <c r="E329" s="3"/>
      <c r="F329" s="2">
        <f>IFERROR(__xludf.DUMMYFUNCTION("""COMPUTED_VALUE"""),19.23)</f>
        <v>19.23</v>
      </c>
      <c r="G329" s="2">
        <f t="shared" si="2"/>
        <v>19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B330" s="3"/>
      <c r="C330" s="3"/>
      <c r="D330" s="3"/>
      <c r="E330" s="3"/>
      <c r="F330" s="2">
        <f>IFERROR(__xludf.DUMMYFUNCTION("""COMPUTED_VALUE"""),19.23)</f>
        <v>19.23</v>
      </c>
      <c r="G330" s="2">
        <f t="shared" si="2"/>
        <v>19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B331" s="3"/>
      <c r="C331" s="3"/>
      <c r="D331" s="3"/>
      <c r="E331" s="3"/>
      <c r="F331" s="2">
        <f>IFERROR(__xludf.DUMMYFUNCTION("""COMPUTED_VALUE"""),6.21)</f>
        <v>6.21</v>
      </c>
      <c r="G331" s="2">
        <f t="shared" si="2"/>
        <v>6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B332" s="3"/>
      <c r="C332" s="3"/>
      <c r="D332" s="3"/>
      <c r="E332" s="3"/>
      <c r="F332" s="2">
        <f>IFERROR(__xludf.DUMMYFUNCTION("""COMPUTED_VALUE"""),9.45)</f>
        <v>9.45</v>
      </c>
      <c r="G332" s="2">
        <f t="shared" si="2"/>
        <v>9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B333" s="3"/>
      <c r="C333" s="3"/>
      <c r="D333" s="3"/>
      <c r="E333" s="3"/>
      <c r="F333" s="2">
        <f>IFERROR(__xludf.DUMMYFUNCTION("""COMPUTED_VALUE"""),15.45)</f>
        <v>15.45</v>
      </c>
      <c r="G333" s="2">
        <f t="shared" si="2"/>
        <v>15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B334" s="3"/>
      <c r="C334" s="3"/>
      <c r="D334" s="3"/>
      <c r="E334" s="3"/>
      <c r="F334" s="2">
        <f>IFERROR(__xludf.DUMMYFUNCTION("""COMPUTED_VALUE"""),15.23)</f>
        <v>15.23</v>
      </c>
      <c r="G334" s="2">
        <f t="shared" si="2"/>
        <v>15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B335" s="3"/>
      <c r="C335" s="3"/>
      <c r="D335" s="3"/>
      <c r="E335" s="3"/>
      <c r="F335" s="2">
        <f>IFERROR(__xludf.DUMMYFUNCTION("""COMPUTED_VALUE"""),4.25)</f>
        <v>4.25</v>
      </c>
      <c r="G335" s="2">
        <f t="shared" si="2"/>
        <v>4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B336" s="3"/>
      <c r="C336" s="3"/>
      <c r="D336" s="3"/>
      <c r="E336" s="3"/>
      <c r="F336" s="2">
        <f>IFERROR(__xludf.DUMMYFUNCTION("""COMPUTED_VALUE"""),9.45)</f>
        <v>9.45</v>
      </c>
      <c r="G336" s="2">
        <f t="shared" si="2"/>
        <v>9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B337" s="3"/>
      <c r="C337" s="3"/>
      <c r="D337" s="3"/>
      <c r="E337" s="3"/>
      <c r="F337" s="2">
        <f>IFERROR(__xludf.DUMMYFUNCTION("""COMPUTED_VALUE"""),6.54)</f>
        <v>6.54</v>
      </c>
      <c r="G337" s="2">
        <f t="shared" si="2"/>
        <v>7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B338" s="3"/>
      <c r="C338" s="3"/>
      <c r="D338" s="3"/>
      <c r="E338" s="3"/>
      <c r="F338" s="2">
        <f>IFERROR(__xludf.DUMMYFUNCTION("""COMPUTED_VALUE"""),4.21)</f>
        <v>4.21</v>
      </c>
      <c r="G338" s="2">
        <f t="shared" si="2"/>
        <v>4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B339" s="3"/>
      <c r="C339" s="3"/>
      <c r="D339" s="3"/>
      <c r="E339" s="3"/>
      <c r="F339" s="2">
        <f>IFERROR(__xludf.DUMMYFUNCTION("""COMPUTED_VALUE"""),5.21)</f>
        <v>5.21</v>
      </c>
      <c r="G339" s="2">
        <f t="shared" si="2"/>
        <v>5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B340" s="3"/>
      <c r="C340" s="3"/>
      <c r="D340" s="3"/>
      <c r="E340" s="3"/>
      <c r="F340" s="2">
        <f>IFERROR(__xludf.DUMMYFUNCTION("""COMPUTED_VALUE"""),17.23)</f>
        <v>17.23</v>
      </c>
      <c r="G340" s="2">
        <f t="shared" si="2"/>
        <v>17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B341" s="3"/>
      <c r="C341" s="3"/>
      <c r="D341" s="3"/>
      <c r="E341" s="3"/>
      <c r="F341" s="2">
        <f>IFERROR(__xludf.DUMMYFUNCTION("""COMPUTED_VALUE"""),15.23)</f>
        <v>15.23</v>
      </c>
      <c r="G341" s="2">
        <f t="shared" si="2"/>
        <v>15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B342" s="3"/>
      <c r="C342" s="3"/>
      <c r="D342" s="3"/>
      <c r="E342" s="3"/>
      <c r="F342" s="2">
        <f>IFERROR(__xludf.DUMMYFUNCTION("""COMPUTED_VALUE"""),3.65)</f>
        <v>3.65</v>
      </c>
      <c r="G342" s="2">
        <f t="shared" si="2"/>
        <v>4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B343" s="3"/>
      <c r="C343" s="3"/>
      <c r="D343" s="3"/>
      <c r="E343" s="3"/>
      <c r="F343" s="2">
        <f>IFERROR(__xludf.DUMMYFUNCTION("""COMPUTED_VALUE"""),8.54)</f>
        <v>8.54</v>
      </c>
      <c r="G343" s="2">
        <f t="shared" si="2"/>
        <v>9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B344" s="3"/>
      <c r="C344" s="3"/>
      <c r="D344" s="3"/>
      <c r="E344" s="3"/>
      <c r="F344" s="2">
        <f>IFERROR(__xludf.DUMMYFUNCTION("""COMPUTED_VALUE"""),8.12)</f>
        <v>8.12</v>
      </c>
      <c r="G344" s="2">
        <f t="shared" si="2"/>
        <v>8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B345" s="3"/>
      <c r="C345" s="3"/>
      <c r="D345" s="3"/>
      <c r="E345" s="3"/>
      <c r="F345" s="2">
        <f>IFERROR(__xludf.DUMMYFUNCTION("""COMPUTED_VALUE"""),4.25)</f>
        <v>4.25</v>
      </c>
      <c r="G345" s="2">
        <f t="shared" si="2"/>
        <v>4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B346" s="3"/>
      <c r="C346" s="3"/>
      <c r="D346" s="3"/>
      <c r="E346" s="3"/>
      <c r="F346" s="2">
        <f>IFERROR(__xludf.DUMMYFUNCTION("""COMPUTED_VALUE"""),8.12)</f>
        <v>8.12</v>
      </c>
      <c r="G346" s="2">
        <f t="shared" si="2"/>
        <v>8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B347" s="3"/>
      <c r="C347" s="3"/>
      <c r="D347" s="3"/>
      <c r="E347" s="3"/>
      <c r="F347" s="2">
        <f>IFERROR(__xludf.DUMMYFUNCTION("""COMPUTED_VALUE"""),12.56)</f>
        <v>12.56</v>
      </c>
      <c r="G347" s="2">
        <f t="shared" si="2"/>
        <v>13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B348" s="3"/>
      <c r="C348" s="3"/>
      <c r="D348" s="3"/>
      <c r="E348" s="3"/>
      <c r="F348" s="2">
        <f>IFERROR(__xludf.DUMMYFUNCTION("""COMPUTED_VALUE"""),6.54)</f>
        <v>6.54</v>
      </c>
      <c r="G348" s="2">
        <f t="shared" si="2"/>
        <v>7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B349" s="3"/>
      <c r="C349" s="3"/>
      <c r="D349" s="3"/>
      <c r="E349" s="3"/>
      <c r="F349" s="2">
        <f>IFERROR(__xludf.DUMMYFUNCTION("""COMPUTED_VALUE"""),28.56)</f>
        <v>28.56</v>
      </c>
      <c r="G349" s="2">
        <f t="shared" si="2"/>
        <v>29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B350" s="3"/>
      <c r="C350" s="3"/>
      <c r="D350" s="3"/>
      <c r="E350" s="3"/>
      <c r="F350" s="2">
        <f>IFERROR(__xludf.DUMMYFUNCTION("""COMPUTED_VALUE"""),3.25)</f>
        <v>3.25</v>
      </c>
      <c r="G350" s="2">
        <f t="shared" si="2"/>
        <v>3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B351" s="3"/>
      <c r="C351" s="3"/>
      <c r="D351" s="3"/>
      <c r="E351" s="3"/>
      <c r="F351" s="2">
        <f>IFERROR(__xludf.DUMMYFUNCTION("""COMPUTED_VALUE"""),12.56)</f>
        <v>12.56</v>
      </c>
      <c r="G351" s="2">
        <f t="shared" si="2"/>
        <v>13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B352" s="3"/>
      <c r="C352" s="3"/>
      <c r="D352" s="3"/>
      <c r="E352" s="3"/>
      <c r="F352" s="2">
        <f>IFERROR(__xludf.DUMMYFUNCTION("""COMPUTED_VALUE"""),11.23)</f>
        <v>11.23</v>
      </c>
      <c r="G352" s="2">
        <f t="shared" si="2"/>
        <v>11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B353" s="3"/>
      <c r="C353" s="3"/>
      <c r="D353" s="3"/>
      <c r="E353" s="3"/>
      <c r="F353" s="2">
        <f>IFERROR(__xludf.DUMMYFUNCTION("""COMPUTED_VALUE"""),14.25)</f>
        <v>14.25</v>
      </c>
      <c r="G353" s="2">
        <f t="shared" si="2"/>
        <v>14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B354" s="3"/>
      <c r="C354" s="3"/>
      <c r="D354" s="3"/>
      <c r="E354" s="3"/>
      <c r="F354" s="2">
        <f>IFERROR(__xludf.DUMMYFUNCTION("""COMPUTED_VALUE"""),4.25)</f>
        <v>4.25</v>
      </c>
      <c r="G354" s="2">
        <f t="shared" si="2"/>
        <v>4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B355" s="3"/>
      <c r="C355" s="3"/>
      <c r="D355" s="3"/>
      <c r="E355" s="3"/>
      <c r="F355" s="2">
        <f>IFERROR(__xludf.DUMMYFUNCTION("""COMPUTED_VALUE"""),5.24)</f>
        <v>5.24</v>
      </c>
      <c r="G355" s="2">
        <f t="shared" si="2"/>
        <v>5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B356" s="3"/>
      <c r="C356" s="3"/>
      <c r="D356" s="3"/>
      <c r="E356" s="3"/>
      <c r="F356" s="2">
        <f>IFERROR(__xludf.DUMMYFUNCTION("""COMPUTED_VALUE"""),8.54)</f>
        <v>8.54</v>
      </c>
      <c r="G356" s="2">
        <f t="shared" si="2"/>
        <v>9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B357" s="3"/>
      <c r="C357" s="3"/>
      <c r="D357" s="3"/>
      <c r="E357" s="3"/>
      <c r="F357" s="2">
        <f>IFERROR(__xludf.DUMMYFUNCTION("""COMPUTED_VALUE"""),7.25)</f>
        <v>7.25</v>
      </c>
      <c r="G357" s="2">
        <f t="shared" si="2"/>
        <v>7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B358" s="3"/>
      <c r="C358" s="3"/>
      <c r="D358" s="3"/>
      <c r="E358" s="3"/>
      <c r="F358" s="2">
        <f>IFERROR(__xludf.DUMMYFUNCTION("""COMPUTED_VALUE"""),18.56)</f>
        <v>18.56</v>
      </c>
      <c r="G358" s="2">
        <f t="shared" si="2"/>
        <v>19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B359" s="3"/>
      <c r="C359" s="3"/>
      <c r="D359" s="3"/>
      <c r="E359" s="3"/>
      <c r="F359" s="2">
        <f>IFERROR(__xludf.DUMMYFUNCTION("""COMPUTED_VALUE"""),8.23)</f>
        <v>8.23</v>
      </c>
      <c r="G359" s="2">
        <f t="shared" si="2"/>
        <v>8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B360" s="3"/>
      <c r="C360" s="3"/>
      <c r="D360" s="3"/>
      <c r="E360" s="3"/>
      <c r="F360" s="2">
        <f>IFERROR(__xludf.DUMMYFUNCTION("""COMPUTED_VALUE"""),15.45)</f>
        <v>15.45</v>
      </c>
      <c r="G360" s="2">
        <f t="shared" si="2"/>
        <v>15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B361" s="3"/>
      <c r="C361" s="3"/>
      <c r="D361" s="3"/>
      <c r="E361" s="3"/>
      <c r="F361" s="2">
        <f>IFERROR(__xludf.DUMMYFUNCTION("""COMPUTED_VALUE"""),5.24)</f>
        <v>5.24</v>
      </c>
      <c r="G361" s="2">
        <f t="shared" si="2"/>
        <v>5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B362" s="3"/>
      <c r="C362" s="3"/>
      <c r="D362" s="3"/>
      <c r="E362" s="3"/>
      <c r="F362" s="2">
        <f>IFERROR(__xludf.DUMMYFUNCTION("""COMPUTED_VALUE"""),11.54)</f>
        <v>11.54</v>
      </c>
      <c r="G362" s="2">
        <f t="shared" si="2"/>
        <v>12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B363" s="3"/>
      <c r="C363" s="3"/>
      <c r="D363" s="3"/>
      <c r="E363" s="3"/>
      <c r="F363" s="2">
        <f>IFERROR(__xludf.DUMMYFUNCTION("""COMPUTED_VALUE"""),6.54)</f>
        <v>6.54</v>
      </c>
      <c r="G363" s="2">
        <f t="shared" si="2"/>
        <v>7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B364" s="3"/>
      <c r="C364" s="3"/>
      <c r="D364" s="3"/>
      <c r="E364" s="3"/>
      <c r="F364" s="2">
        <f>IFERROR(__xludf.DUMMYFUNCTION("""COMPUTED_VALUE"""),13.54)</f>
        <v>13.54</v>
      </c>
      <c r="G364" s="2">
        <f t="shared" si="2"/>
        <v>14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B365" s="3"/>
      <c r="C365" s="3"/>
      <c r="D365" s="3"/>
      <c r="E365" s="3"/>
      <c r="F365" s="2">
        <f>IFERROR(__xludf.DUMMYFUNCTION("""COMPUTED_VALUE"""),13.54)</f>
        <v>13.54</v>
      </c>
      <c r="G365" s="2">
        <f t="shared" si="2"/>
        <v>14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B366" s="3"/>
      <c r="C366" s="3"/>
      <c r="D366" s="3"/>
      <c r="E366" s="3"/>
      <c r="F366" s="2">
        <f>IFERROR(__xludf.DUMMYFUNCTION("""COMPUTED_VALUE"""),15.23)</f>
        <v>15.23</v>
      </c>
      <c r="G366" s="2">
        <f t="shared" si="2"/>
        <v>15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B367" s="3"/>
      <c r="C367" s="3"/>
      <c r="D367" s="3"/>
      <c r="E367" s="3"/>
      <c r="F367" s="2">
        <f>IFERROR(__xludf.DUMMYFUNCTION("""COMPUTED_VALUE"""),8.54)</f>
        <v>8.54</v>
      </c>
      <c r="G367" s="2">
        <f t="shared" si="2"/>
        <v>9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B368" s="3"/>
      <c r="C368" s="3"/>
      <c r="D368" s="3"/>
      <c r="E368" s="3"/>
      <c r="F368" s="2">
        <f>IFERROR(__xludf.DUMMYFUNCTION("""COMPUTED_VALUE"""),16.21)</f>
        <v>16.21</v>
      </c>
      <c r="G368" s="2">
        <f t="shared" si="2"/>
        <v>16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B369" s="3"/>
      <c r="C369" s="3"/>
      <c r="D369" s="3"/>
      <c r="E369" s="3"/>
      <c r="F369" s="2">
        <f>IFERROR(__xludf.DUMMYFUNCTION("""COMPUTED_VALUE"""),11.23)</f>
        <v>11.23</v>
      </c>
      <c r="G369" s="2">
        <f t="shared" si="2"/>
        <v>11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B370" s="3"/>
      <c r="C370" s="3"/>
      <c r="D370" s="3"/>
      <c r="E370" s="3"/>
      <c r="F370" s="2">
        <f>IFERROR(__xludf.DUMMYFUNCTION("""COMPUTED_VALUE"""),6.54)</f>
        <v>6.54</v>
      </c>
      <c r="G370" s="2">
        <f t="shared" si="2"/>
        <v>7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B371" s="3"/>
      <c r="C371" s="3"/>
      <c r="D371" s="3"/>
      <c r="E371" s="3"/>
      <c r="F371" s="2">
        <f>IFERROR(__xludf.DUMMYFUNCTION("""COMPUTED_VALUE"""),16.21)</f>
        <v>16.21</v>
      </c>
      <c r="G371" s="2">
        <f t="shared" si="2"/>
        <v>16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B372" s="3"/>
      <c r="C372" s="3"/>
      <c r="D372" s="3"/>
      <c r="E372" s="3"/>
      <c r="F372" s="2">
        <f>IFERROR(__xludf.DUMMYFUNCTION("""COMPUTED_VALUE"""),12.56)</f>
        <v>12.56</v>
      </c>
      <c r="G372" s="2">
        <f t="shared" si="2"/>
        <v>13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B373" s="3"/>
      <c r="C373" s="3"/>
      <c r="D373" s="3"/>
      <c r="E373" s="3"/>
      <c r="F373" s="2">
        <f>IFERROR(__xludf.DUMMYFUNCTION("""COMPUTED_VALUE"""),5.21)</f>
        <v>5.21</v>
      </c>
      <c r="G373" s="2">
        <f t="shared" si="2"/>
        <v>5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B374" s="3"/>
      <c r="C374" s="3"/>
      <c r="D374" s="3"/>
      <c r="E374" s="3"/>
      <c r="F374" s="2">
        <f>IFERROR(__xludf.DUMMYFUNCTION("""COMPUTED_VALUE"""),17.23)</f>
        <v>17.23</v>
      </c>
      <c r="G374" s="2">
        <f t="shared" si="2"/>
        <v>17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B375" s="3"/>
      <c r="C375" s="3"/>
      <c r="D375" s="3"/>
      <c r="E375" s="3"/>
      <c r="F375" s="2">
        <f>IFERROR(__xludf.DUMMYFUNCTION("""COMPUTED_VALUE"""),5.24)</f>
        <v>5.24</v>
      </c>
      <c r="G375" s="2">
        <f t="shared" si="2"/>
        <v>5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B376" s="3"/>
      <c r="C376" s="3"/>
      <c r="D376" s="3"/>
      <c r="E376" s="3"/>
      <c r="F376" s="2">
        <f>IFERROR(__xludf.DUMMYFUNCTION("""COMPUTED_VALUE"""),16.21)</f>
        <v>16.21</v>
      </c>
      <c r="G376" s="2">
        <f t="shared" si="2"/>
        <v>16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B377" s="3"/>
      <c r="C377" s="3"/>
      <c r="D377" s="3"/>
      <c r="E377" s="3"/>
      <c r="F377" s="2">
        <f>IFERROR(__xludf.DUMMYFUNCTION("""COMPUTED_VALUE"""),28.56)</f>
        <v>28.56</v>
      </c>
      <c r="G377" s="2">
        <f t="shared" si="2"/>
        <v>29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B378" s="3"/>
      <c r="C378" s="3"/>
      <c r="D378" s="3"/>
      <c r="E378" s="3"/>
      <c r="F378" s="2">
        <f>IFERROR(__xludf.DUMMYFUNCTION("""COMPUTED_VALUE"""),19.23)</f>
        <v>19.23</v>
      </c>
      <c r="G378" s="2">
        <f t="shared" si="2"/>
        <v>19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B379" s="3"/>
      <c r="C379" s="3"/>
      <c r="D379" s="3"/>
      <c r="E379" s="3"/>
      <c r="F379" s="2">
        <f>IFERROR(__xludf.DUMMYFUNCTION("""COMPUTED_VALUE"""),13.54)</f>
        <v>13.54</v>
      </c>
      <c r="G379" s="2">
        <f t="shared" si="2"/>
        <v>14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B380" s="3"/>
      <c r="C380" s="3"/>
      <c r="D380" s="3"/>
      <c r="E380" s="3"/>
      <c r="F380" s="2">
        <f>IFERROR(__xludf.DUMMYFUNCTION("""COMPUTED_VALUE"""),3.51)</f>
        <v>3.51</v>
      </c>
      <c r="G380" s="2">
        <f t="shared" si="2"/>
        <v>4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B381" s="3"/>
      <c r="C381" s="3"/>
      <c r="D381" s="3"/>
      <c r="E381" s="3"/>
      <c r="F381" s="2">
        <f>IFERROR(__xludf.DUMMYFUNCTION("""COMPUTED_VALUE"""),3.25)</f>
        <v>3.25</v>
      </c>
      <c r="G381" s="2">
        <f t="shared" si="2"/>
        <v>3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B382" s="3"/>
      <c r="C382" s="3"/>
      <c r="D382" s="3"/>
      <c r="E382" s="3"/>
      <c r="F382" s="2">
        <f>IFERROR(__xludf.DUMMYFUNCTION("""COMPUTED_VALUE"""),14.25)</f>
        <v>14.25</v>
      </c>
      <c r="G382" s="2">
        <f t="shared" si="2"/>
        <v>14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B383" s="3"/>
      <c r="C383" s="3"/>
      <c r="D383" s="3"/>
      <c r="E383" s="3"/>
      <c r="F383" s="2">
        <f>IFERROR(__xludf.DUMMYFUNCTION("""COMPUTED_VALUE"""),4.25)</f>
        <v>4.25</v>
      </c>
      <c r="G383" s="2">
        <f t="shared" si="2"/>
        <v>4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B384" s="3"/>
      <c r="C384" s="3"/>
      <c r="D384" s="3"/>
      <c r="E384" s="3"/>
      <c r="F384" s="2">
        <f>IFERROR(__xludf.DUMMYFUNCTION("""COMPUTED_VALUE"""),12.56)</f>
        <v>12.56</v>
      </c>
      <c r="G384" s="2">
        <f t="shared" si="2"/>
        <v>13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B385" s="3"/>
      <c r="C385" s="3"/>
      <c r="D385" s="3"/>
      <c r="E385" s="3"/>
      <c r="F385" s="2">
        <f>IFERROR(__xludf.DUMMYFUNCTION("""COMPUTED_VALUE"""),7.25)</f>
        <v>7.25</v>
      </c>
      <c r="G385" s="2">
        <f t="shared" si="2"/>
        <v>7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B386" s="3"/>
      <c r="C386" s="3"/>
      <c r="D386" s="3"/>
      <c r="E386" s="3"/>
      <c r="F386" s="2">
        <f>IFERROR(__xludf.DUMMYFUNCTION("""COMPUTED_VALUE"""),5.45)</f>
        <v>5.45</v>
      </c>
      <c r="G386" s="2">
        <f t="shared" si="2"/>
        <v>5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B387" s="3"/>
      <c r="C387" s="3"/>
      <c r="D387" s="3"/>
      <c r="E387" s="3"/>
      <c r="F387" s="2">
        <f>IFERROR(__xludf.DUMMYFUNCTION("""COMPUTED_VALUE"""),3.25)</f>
        <v>3.25</v>
      </c>
      <c r="G387" s="2">
        <f t="shared" si="2"/>
        <v>3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B388" s="3"/>
      <c r="C388" s="3"/>
      <c r="D388" s="3"/>
      <c r="E388" s="3"/>
      <c r="F388" s="2">
        <f>IFERROR(__xludf.DUMMYFUNCTION("""COMPUTED_VALUE"""),15.23)</f>
        <v>15.23</v>
      </c>
      <c r="G388" s="2">
        <f t="shared" si="2"/>
        <v>15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B389" s="3"/>
      <c r="C389" s="3"/>
      <c r="D389" s="3"/>
      <c r="E389" s="3"/>
      <c r="F389" s="2">
        <f>IFERROR(__xludf.DUMMYFUNCTION("""COMPUTED_VALUE"""),5.21)</f>
        <v>5.21</v>
      </c>
      <c r="G389" s="2">
        <f t="shared" si="2"/>
        <v>5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B390" s="3"/>
      <c r="C390" s="3"/>
      <c r="D390" s="3"/>
      <c r="E390" s="3"/>
      <c r="F390" s="2">
        <f>IFERROR(__xludf.DUMMYFUNCTION("""COMPUTED_VALUE"""),17.23)</f>
        <v>17.23</v>
      </c>
      <c r="G390" s="2">
        <f t="shared" si="2"/>
        <v>17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B391" s="3"/>
      <c r="C391" s="3"/>
      <c r="D391" s="3"/>
      <c r="E391" s="3"/>
      <c r="F391" s="2">
        <f>IFERROR(__xludf.DUMMYFUNCTION("""COMPUTED_VALUE"""),3.65)</f>
        <v>3.65</v>
      </c>
      <c r="G391" s="2">
        <f t="shared" si="2"/>
        <v>4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B392" s="3"/>
      <c r="C392" s="3"/>
      <c r="D392" s="3"/>
      <c r="E392" s="3"/>
      <c r="F392" s="2">
        <f>IFERROR(__xludf.DUMMYFUNCTION("""COMPUTED_VALUE"""),6.21)</f>
        <v>6.21</v>
      </c>
      <c r="G392" s="2">
        <f t="shared" si="2"/>
        <v>6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B393" s="3"/>
      <c r="C393" s="3"/>
      <c r="D393" s="3"/>
      <c r="E393" s="3"/>
      <c r="F393" s="2">
        <f>IFERROR(__xludf.DUMMYFUNCTION("""COMPUTED_VALUE"""),17.23)</f>
        <v>17.23</v>
      </c>
      <c r="G393" s="2">
        <f t="shared" si="2"/>
        <v>17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B394" s="3"/>
      <c r="C394" s="3"/>
      <c r="D394" s="3"/>
      <c r="E394" s="3"/>
      <c r="F394" s="2">
        <f>IFERROR(__xludf.DUMMYFUNCTION("""COMPUTED_VALUE"""),3.25)</f>
        <v>3.25</v>
      </c>
      <c r="G394" s="2">
        <f t="shared" si="2"/>
        <v>3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B395" s="3"/>
      <c r="C395" s="3"/>
      <c r="D395" s="3"/>
      <c r="E395" s="3"/>
      <c r="F395" s="2">
        <f>IFERROR(__xludf.DUMMYFUNCTION("""COMPUTED_VALUE"""),11.54)</f>
        <v>11.54</v>
      </c>
      <c r="G395" s="2">
        <f t="shared" si="2"/>
        <v>12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B396" s="3"/>
      <c r="C396" s="3"/>
      <c r="D396" s="3"/>
      <c r="E396" s="3"/>
      <c r="F396" s="2">
        <f>IFERROR(__xludf.DUMMYFUNCTION("""COMPUTED_VALUE"""),17.23)</f>
        <v>17.23</v>
      </c>
      <c r="G396" s="2">
        <f t="shared" si="2"/>
        <v>17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B397" s="3"/>
      <c r="C397" s="3"/>
      <c r="D397" s="3"/>
      <c r="E397" s="3"/>
      <c r="F397" s="2">
        <f>IFERROR(__xludf.DUMMYFUNCTION("""COMPUTED_VALUE"""),6.21)</f>
        <v>6.21</v>
      </c>
      <c r="G397" s="2">
        <f t="shared" si="2"/>
        <v>6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B398" s="3"/>
      <c r="C398" s="3"/>
      <c r="D398" s="3"/>
      <c r="E398" s="3"/>
      <c r="F398" s="2">
        <f>IFERROR(__xludf.DUMMYFUNCTION("""COMPUTED_VALUE"""),4.21)</f>
        <v>4.21</v>
      </c>
      <c r="G398" s="2">
        <f t="shared" si="2"/>
        <v>4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B399" s="3"/>
      <c r="C399" s="3"/>
      <c r="D399" s="3"/>
      <c r="E399" s="3"/>
      <c r="F399" s="2">
        <f>IFERROR(__xludf.DUMMYFUNCTION("""COMPUTED_VALUE"""),4.21)</f>
        <v>4.21</v>
      </c>
      <c r="G399" s="2">
        <f t="shared" si="2"/>
        <v>4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B400" s="3"/>
      <c r="C400" s="3"/>
      <c r="D400" s="3"/>
      <c r="E400" s="3"/>
      <c r="F400" s="2">
        <f>IFERROR(__xludf.DUMMYFUNCTION("""COMPUTED_VALUE"""),19.23)</f>
        <v>19.23</v>
      </c>
      <c r="G400" s="2">
        <f t="shared" si="2"/>
        <v>19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B401" s="3"/>
      <c r="C401" s="3"/>
      <c r="D401" s="3"/>
      <c r="E401" s="3"/>
      <c r="F401" s="2">
        <f>IFERROR(__xludf.DUMMYFUNCTION("""COMPUTED_VALUE"""),17.23)</f>
        <v>17.23</v>
      </c>
      <c r="G401" s="2">
        <f t="shared" si="2"/>
        <v>17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B402" s="3"/>
      <c r="C402" s="3"/>
      <c r="D402" s="3"/>
      <c r="E402" s="3"/>
      <c r="F402" s="2">
        <f>IFERROR(__xludf.DUMMYFUNCTION("""COMPUTED_VALUE"""),6.21)</f>
        <v>6.21</v>
      </c>
      <c r="G402" s="2">
        <f t="shared" si="2"/>
        <v>6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B403" s="3"/>
      <c r="C403" s="3"/>
      <c r="D403" s="3"/>
      <c r="E403" s="3"/>
      <c r="F403" s="2">
        <f>IFERROR(__xludf.DUMMYFUNCTION("""COMPUTED_VALUE"""),12.24)</f>
        <v>12.24</v>
      </c>
      <c r="G403" s="2">
        <f t="shared" si="2"/>
        <v>12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B404" s="3"/>
      <c r="C404" s="3"/>
      <c r="D404" s="3"/>
      <c r="E404" s="3"/>
      <c r="F404" s="2">
        <f>IFERROR(__xludf.DUMMYFUNCTION("""COMPUTED_VALUE"""),3.25)</f>
        <v>3.25</v>
      </c>
      <c r="G404" s="2">
        <f t="shared" si="2"/>
        <v>3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B405" s="3"/>
      <c r="C405" s="3"/>
      <c r="D405" s="3"/>
      <c r="E405" s="3"/>
      <c r="F405" s="2">
        <f>IFERROR(__xludf.DUMMYFUNCTION("""COMPUTED_VALUE"""),6.21)</f>
        <v>6.21</v>
      </c>
      <c r="G405" s="2">
        <f t="shared" si="2"/>
        <v>6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B406" s="3"/>
      <c r="C406" s="3"/>
      <c r="D406" s="3"/>
      <c r="E406" s="3"/>
      <c r="F406" s="2">
        <f>IFERROR(__xludf.DUMMYFUNCTION("""COMPUTED_VALUE"""),12.36)</f>
        <v>12.36</v>
      </c>
      <c r="G406" s="2">
        <f t="shared" si="2"/>
        <v>12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B407" s="3"/>
      <c r="C407" s="3"/>
      <c r="D407" s="3"/>
      <c r="E407" s="3"/>
      <c r="F407" s="2">
        <f>IFERROR(__xludf.DUMMYFUNCTION("""COMPUTED_VALUE"""),6.21)</f>
        <v>6.21</v>
      </c>
      <c r="G407" s="2">
        <f t="shared" si="2"/>
        <v>6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B408" s="3"/>
      <c r="C408" s="3"/>
      <c r="D408" s="3"/>
      <c r="E408" s="3"/>
      <c r="F408" s="2">
        <f>IFERROR(__xludf.DUMMYFUNCTION("""COMPUTED_VALUE"""),3.65)</f>
        <v>3.65</v>
      </c>
      <c r="G408" s="2">
        <f t="shared" si="2"/>
        <v>4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B409" s="3"/>
      <c r="C409" s="3"/>
      <c r="D409" s="3"/>
      <c r="E409" s="3"/>
      <c r="F409" s="2">
        <f>IFERROR(__xludf.DUMMYFUNCTION("""COMPUTED_VALUE"""),8.54)</f>
        <v>8.54</v>
      </c>
      <c r="G409" s="2">
        <f t="shared" si="2"/>
        <v>9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B410" s="3"/>
      <c r="C410" s="3"/>
      <c r="D410" s="3"/>
      <c r="E410" s="3"/>
      <c r="F410" s="2">
        <f>IFERROR(__xludf.DUMMYFUNCTION("""COMPUTED_VALUE"""),6.25)</f>
        <v>6.25</v>
      </c>
      <c r="G410" s="2">
        <f t="shared" si="2"/>
        <v>6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B411" s="3"/>
      <c r="C411" s="3"/>
      <c r="D411" s="3"/>
      <c r="E411" s="3"/>
      <c r="F411" s="2">
        <f>IFERROR(__xludf.DUMMYFUNCTION("""COMPUTED_VALUE"""),17.23)</f>
        <v>17.23</v>
      </c>
      <c r="G411" s="2">
        <f t="shared" si="2"/>
        <v>17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B412" s="3"/>
      <c r="C412" s="3"/>
      <c r="D412" s="3"/>
      <c r="E412" s="3"/>
      <c r="F412" s="2">
        <f>IFERROR(__xludf.DUMMYFUNCTION("""COMPUTED_VALUE"""),15.23)</f>
        <v>15.23</v>
      </c>
      <c r="G412" s="2">
        <f t="shared" si="2"/>
        <v>15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B413" s="3"/>
      <c r="C413" s="3"/>
      <c r="D413" s="3"/>
      <c r="E413" s="3"/>
      <c r="F413" s="2">
        <f>IFERROR(__xludf.DUMMYFUNCTION("""COMPUTED_VALUE"""),16.21)</f>
        <v>16.21</v>
      </c>
      <c r="G413" s="2">
        <f t="shared" si="2"/>
        <v>16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B414" s="3"/>
      <c r="C414" s="3"/>
      <c r="D414" s="3"/>
      <c r="E414" s="3"/>
      <c r="F414" s="2">
        <f>IFERROR(__xludf.DUMMYFUNCTION("""COMPUTED_VALUE"""),12.24)</f>
        <v>12.24</v>
      </c>
      <c r="G414" s="2">
        <f t="shared" si="2"/>
        <v>12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B415" s="3"/>
      <c r="C415" s="3"/>
      <c r="D415" s="3"/>
      <c r="E415" s="3"/>
      <c r="F415" s="2">
        <f>IFERROR(__xludf.DUMMYFUNCTION("""COMPUTED_VALUE"""),12.24)</f>
        <v>12.24</v>
      </c>
      <c r="G415" s="2">
        <f t="shared" si="2"/>
        <v>12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B416" s="3"/>
      <c r="C416" s="3"/>
      <c r="D416" s="3"/>
      <c r="E416" s="3"/>
      <c r="F416" s="2">
        <f>IFERROR(__xludf.DUMMYFUNCTION("""COMPUTED_VALUE"""),3.51)</f>
        <v>3.51</v>
      </c>
      <c r="G416" s="2">
        <f t="shared" si="2"/>
        <v>4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B417" s="3"/>
      <c r="C417" s="3"/>
      <c r="D417" s="3"/>
      <c r="E417" s="3"/>
      <c r="F417" s="2">
        <f>IFERROR(__xludf.DUMMYFUNCTION("""COMPUTED_VALUE"""),9.45)</f>
        <v>9.45</v>
      </c>
      <c r="G417" s="2">
        <f t="shared" si="2"/>
        <v>9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B418" s="3"/>
      <c r="C418" s="3"/>
      <c r="D418" s="3"/>
      <c r="E418" s="3"/>
      <c r="F418" s="2">
        <f>IFERROR(__xludf.DUMMYFUNCTION("""COMPUTED_VALUE"""),5.24)</f>
        <v>5.24</v>
      </c>
      <c r="G418" s="2">
        <f t="shared" si="2"/>
        <v>5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B419" s="3"/>
      <c r="C419" s="3"/>
      <c r="D419" s="3"/>
      <c r="E419" s="3"/>
      <c r="F419" s="2">
        <f>IFERROR(__xludf.DUMMYFUNCTION("""COMPUTED_VALUE"""),6.54)</f>
        <v>6.54</v>
      </c>
      <c r="G419" s="2">
        <f t="shared" si="2"/>
        <v>7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B420" s="3"/>
      <c r="C420" s="3"/>
      <c r="D420" s="3"/>
      <c r="E420" s="3"/>
      <c r="F420" s="2">
        <f>IFERROR(__xludf.DUMMYFUNCTION("""COMPUTED_VALUE"""),5.65)</f>
        <v>5.65</v>
      </c>
      <c r="G420" s="2">
        <f t="shared" si="2"/>
        <v>6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B421" s="3"/>
      <c r="C421" s="3"/>
      <c r="D421" s="3"/>
      <c r="E421" s="3"/>
      <c r="F421" s="2">
        <f>IFERROR(__xludf.DUMMYFUNCTION("""COMPUTED_VALUE"""),4.25)</f>
        <v>4.25</v>
      </c>
      <c r="G421" s="2">
        <f t="shared" si="2"/>
        <v>4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B422" s="3"/>
      <c r="C422" s="3"/>
      <c r="D422" s="3"/>
      <c r="E422" s="3"/>
      <c r="F422" s="2">
        <f>IFERROR(__xludf.DUMMYFUNCTION("""COMPUTED_VALUE"""),11.54)</f>
        <v>11.54</v>
      </c>
      <c r="G422" s="2">
        <f t="shared" si="2"/>
        <v>12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B423" s="3"/>
      <c r="C423" s="3"/>
      <c r="D423" s="3"/>
      <c r="E423" s="3"/>
      <c r="F423" s="2">
        <f>IFERROR(__xludf.DUMMYFUNCTION("""COMPUTED_VALUE"""),18.56)</f>
        <v>18.56</v>
      </c>
      <c r="G423" s="2">
        <f t="shared" si="2"/>
        <v>19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B424" s="3"/>
      <c r="C424" s="3"/>
      <c r="D424" s="3"/>
      <c r="E424" s="3"/>
      <c r="F424" s="2">
        <f>IFERROR(__xludf.DUMMYFUNCTION("""COMPUTED_VALUE"""),6.25)</f>
        <v>6.25</v>
      </c>
      <c r="G424" s="2">
        <f t="shared" si="2"/>
        <v>6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B425" s="3"/>
      <c r="C425" s="3"/>
      <c r="D425" s="3"/>
      <c r="E425" s="3"/>
      <c r="F425" s="2">
        <f>IFERROR(__xludf.DUMMYFUNCTION("""COMPUTED_VALUE"""),4.21)</f>
        <v>4.21</v>
      </c>
      <c r="G425" s="2">
        <f t="shared" si="2"/>
        <v>4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B426" s="3"/>
      <c r="C426" s="3"/>
      <c r="D426" s="3"/>
      <c r="E426" s="3"/>
      <c r="F426" s="2">
        <f>IFERROR(__xludf.DUMMYFUNCTION("""COMPUTED_VALUE"""),3.65)</f>
        <v>3.65</v>
      </c>
      <c r="G426" s="2">
        <f t="shared" si="2"/>
        <v>4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B427" s="3"/>
      <c r="C427" s="3"/>
      <c r="D427" s="3"/>
      <c r="E427" s="3"/>
      <c r="F427" s="2">
        <f>IFERROR(__xludf.DUMMYFUNCTION("""COMPUTED_VALUE"""),7.25)</f>
        <v>7.25</v>
      </c>
      <c r="G427" s="2">
        <f t="shared" si="2"/>
        <v>7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B428" s="3"/>
      <c r="C428" s="3"/>
      <c r="D428" s="3"/>
      <c r="E428" s="3"/>
      <c r="F428" s="2">
        <f>IFERROR(__xludf.DUMMYFUNCTION("""COMPUTED_VALUE"""),3.25)</f>
        <v>3.25</v>
      </c>
      <c r="G428" s="2">
        <f t="shared" si="2"/>
        <v>3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B429" s="3"/>
      <c r="C429" s="3"/>
      <c r="D429" s="3"/>
      <c r="E429" s="3"/>
      <c r="F429" s="2">
        <f>IFERROR(__xludf.DUMMYFUNCTION("""COMPUTED_VALUE"""),3.65)</f>
        <v>3.65</v>
      </c>
      <c r="G429" s="2">
        <f t="shared" si="2"/>
        <v>4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B430" s="3"/>
      <c r="C430" s="3"/>
      <c r="D430" s="3"/>
      <c r="E430" s="3"/>
      <c r="F430" s="2">
        <f>IFERROR(__xludf.DUMMYFUNCTION("""COMPUTED_VALUE"""),9.54)</f>
        <v>9.54</v>
      </c>
      <c r="G430" s="2">
        <f t="shared" si="2"/>
        <v>10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B431" s="3"/>
      <c r="C431" s="3"/>
      <c r="D431" s="3"/>
      <c r="E431" s="3"/>
      <c r="F431" s="2">
        <f>IFERROR(__xludf.DUMMYFUNCTION("""COMPUTED_VALUE"""),14.25)</f>
        <v>14.25</v>
      </c>
      <c r="G431" s="2">
        <f t="shared" si="2"/>
        <v>14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B432" s="3"/>
      <c r="C432" s="3"/>
      <c r="D432" s="3"/>
      <c r="E432" s="3"/>
      <c r="F432" s="2">
        <f>IFERROR(__xludf.DUMMYFUNCTION("""COMPUTED_VALUE"""),7.25)</f>
        <v>7.25</v>
      </c>
      <c r="G432" s="2">
        <f t="shared" si="2"/>
        <v>7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B433" s="3"/>
      <c r="C433" s="3"/>
      <c r="D433" s="3"/>
      <c r="E433" s="3"/>
      <c r="F433" s="2">
        <f>IFERROR(__xludf.DUMMYFUNCTION("""COMPUTED_VALUE"""),4.25)</f>
        <v>4.25</v>
      </c>
      <c r="G433" s="2">
        <f t="shared" si="2"/>
        <v>4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B434" s="3"/>
      <c r="C434" s="3"/>
      <c r="D434" s="3"/>
      <c r="E434" s="3"/>
      <c r="F434" s="2">
        <f>IFERROR(__xludf.DUMMYFUNCTION("""COMPUTED_VALUE"""),19.23)</f>
        <v>19.23</v>
      </c>
      <c r="G434" s="2">
        <f t="shared" si="2"/>
        <v>19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B435" s="3"/>
      <c r="C435" s="3"/>
      <c r="D435" s="3"/>
      <c r="E435" s="3"/>
      <c r="F435" s="2">
        <f>IFERROR(__xludf.DUMMYFUNCTION("""COMPUTED_VALUE"""),6.21)</f>
        <v>6.21</v>
      </c>
      <c r="G435" s="2">
        <f t="shared" si="2"/>
        <v>6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B436" s="3"/>
      <c r="C436" s="3"/>
      <c r="D436" s="3"/>
      <c r="E436" s="3"/>
      <c r="F436" s="2">
        <f>IFERROR(__xludf.DUMMYFUNCTION("""COMPUTED_VALUE"""),9.54)</f>
        <v>9.54</v>
      </c>
      <c r="G436" s="2">
        <f t="shared" si="2"/>
        <v>10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B437" s="3"/>
      <c r="C437" s="3"/>
      <c r="D437" s="3"/>
      <c r="E437" s="3"/>
      <c r="F437" s="2">
        <f>IFERROR(__xludf.DUMMYFUNCTION("""COMPUTED_VALUE"""),9.45)</f>
        <v>9.45</v>
      </c>
      <c r="G437" s="2">
        <f t="shared" si="2"/>
        <v>9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B438" s="3"/>
      <c r="C438" s="3"/>
      <c r="D438" s="3"/>
      <c r="E438" s="3"/>
      <c r="F438" s="2">
        <f>IFERROR(__xludf.DUMMYFUNCTION("""COMPUTED_VALUE"""),3.25)</f>
        <v>3.25</v>
      </c>
      <c r="G438" s="2">
        <f t="shared" si="2"/>
        <v>3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B439" s="3"/>
      <c r="C439" s="3"/>
      <c r="D439" s="3"/>
      <c r="E439" s="3"/>
      <c r="F439" s="2">
        <f>IFERROR(__xludf.DUMMYFUNCTION("""COMPUTED_VALUE"""),6.54)</f>
        <v>6.54</v>
      </c>
      <c r="G439" s="2">
        <f t="shared" si="2"/>
        <v>7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B440" s="3"/>
      <c r="C440" s="3"/>
      <c r="D440" s="3"/>
      <c r="E440" s="3"/>
      <c r="F440" s="2">
        <f>IFERROR(__xludf.DUMMYFUNCTION("""COMPUTED_VALUE"""),6.54)</f>
        <v>6.54</v>
      </c>
      <c r="G440" s="2">
        <f t="shared" si="2"/>
        <v>7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B441" s="3"/>
      <c r="C441" s="3"/>
      <c r="D441" s="3"/>
      <c r="E441" s="3"/>
      <c r="F441" s="2">
        <f>IFERROR(__xludf.DUMMYFUNCTION("""COMPUTED_VALUE"""),12.56)</f>
        <v>12.56</v>
      </c>
      <c r="G441" s="2">
        <f t="shared" si="2"/>
        <v>13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B442" s="3"/>
      <c r="C442" s="3"/>
      <c r="D442" s="3"/>
      <c r="E442" s="3"/>
      <c r="F442" s="2">
        <f>IFERROR(__xludf.DUMMYFUNCTION("""COMPUTED_VALUE"""),5.24)</f>
        <v>5.24</v>
      </c>
      <c r="G442" s="2">
        <f t="shared" si="2"/>
        <v>5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B443" s="3"/>
      <c r="C443" s="3"/>
      <c r="D443" s="3"/>
      <c r="E443" s="3"/>
      <c r="F443" s="2">
        <f>IFERROR(__xludf.DUMMYFUNCTION("""COMPUTED_VALUE"""),3.65)</f>
        <v>3.65</v>
      </c>
      <c r="G443" s="2">
        <f t="shared" si="2"/>
        <v>4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B444" s="3"/>
      <c r="C444" s="3"/>
      <c r="D444" s="3"/>
      <c r="E444" s="3"/>
      <c r="F444" s="2">
        <f>IFERROR(__xludf.DUMMYFUNCTION("""COMPUTED_VALUE"""),11.23)</f>
        <v>11.23</v>
      </c>
      <c r="G444" s="2">
        <f t="shared" si="2"/>
        <v>11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B445" s="3"/>
      <c r="C445" s="3"/>
      <c r="D445" s="3"/>
      <c r="E445" s="3"/>
      <c r="F445" s="2">
        <f>IFERROR(__xludf.DUMMYFUNCTION("""COMPUTED_VALUE"""),17.23)</f>
        <v>17.23</v>
      </c>
      <c r="G445" s="2">
        <f t="shared" si="2"/>
        <v>17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B446" s="3"/>
      <c r="C446" s="3"/>
      <c r="D446" s="3"/>
      <c r="E446" s="3"/>
      <c r="F446" s="2">
        <f>IFERROR(__xludf.DUMMYFUNCTION("""COMPUTED_VALUE"""),5.65)</f>
        <v>5.65</v>
      </c>
      <c r="G446" s="2">
        <f t="shared" si="2"/>
        <v>6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B447" s="3"/>
      <c r="C447" s="3"/>
      <c r="D447" s="3"/>
      <c r="E447" s="3"/>
      <c r="F447" s="2">
        <f>IFERROR(__xludf.DUMMYFUNCTION("""COMPUTED_VALUE"""),17.23)</f>
        <v>17.23</v>
      </c>
      <c r="G447" s="2">
        <f t="shared" si="2"/>
        <v>17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B448" s="3"/>
      <c r="C448" s="3"/>
      <c r="D448" s="3"/>
      <c r="E448" s="3"/>
      <c r="F448" s="2">
        <f>IFERROR(__xludf.DUMMYFUNCTION("""COMPUTED_VALUE"""),6.54)</f>
        <v>6.54</v>
      </c>
      <c r="G448" s="2">
        <f t="shared" si="2"/>
        <v>7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B449" s="3"/>
      <c r="C449" s="3"/>
      <c r="D449" s="3"/>
      <c r="E449" s="3"/>
      <c r="F449" s="2">
        <f>IFERROR(__xludf.DUMMYFUNCTION("""COMPUTED_VALUE"""),9.54)</f>
        <v>9.54</v>
      </c>
      <c r="G449" s="2">
        <f t="shared" si="2"/>
        <v>10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B450" s="3"/>
      <c r="C450" s="3"/>
      <c r="D450" s="3"/>
      <c r="E450" s="3"/>
      <c r="F450" s="2">
        <f>IFERROR(__xludf.DUMMYFUNCTION("""COMPUTED_VALUE"""),8.54)</f>
        <v>8.54</v>
      </c>
      <c r="G450" s="2">
        <f t="shared" si="2"/>
        <v>9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B451" s="3"/>
      <c r="C451" s="3"/>
      <c r="D451" s="3"/>
      <c r="E451" s="3"/>
      <c r="F451" s="2">
        <f>IFERROR(__xludf.DUMMYFUNCTION("""COMPUTED_VALUE"""),28.56)</f>
        <v>28.56</v>
      </c>
      <c r="G451" s="2">
        <f t="shared" si="2"/>
        <v>29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B452" s="3"/>
      <c r="C452" s="3"/>
      <c r="D452" s="3"/>
      <c r="E452" s="3"/>
      <c r="F452" s="2">
        <f>IFERROR(__xludf.DUMMYFUNCTION("""COMPUTED_VALUE"""),6.25)</f>
        <v>6.25</v>
      </c>
      <c r="G452" s="2">
        <f t="shared" si="2"/>
        <v>6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B453" s="3"/>
      <c r="C453" s="3"/>
      <c r="D453" s="3"/>
      <c r="E453" s="3"/>
      <c r="F453" s="2">
        <f>IFERROR(__xludf.DUMMYFUNCTION("""COMPUTED_VALUE"""),11.25)</f>
        <v>11.25</v>
      </c>
      <c r="G453" s="2">
        <f t="shared" si="2"/>
        <v>11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B454" s="3"/>
      <c r="C454" s="3"/>
      <c r="D454" s="3"/>
      <c r="E454" s="3"/>
      <c r="F454" s="2">
        <f>IFERROR(__xludf.DUMMYFUNCTION("""COMPUTED_VALUE"""),12.56)</f>
        <v>12.56</v>
      </c>
      <c r="G454" s="2">
        <f t="shared" si="2"/>
        <v>13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B455" s="3"/>
      <c r="C455" s="3"/>
      <c r="D455" s="3"/>
      <c r="E455" s="3"/>
      <c r="F455" s="2">
        <f>IFERROR(__xludf.DUMMYFUNCTION("""COMPUTED_VALUE"""),6.25)</f>
        <v>6.25</v>
      </c>
      <c r="G455" s="2">
        <f t="shared" si="2"/>
        <v>6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B456" s="3"/>
      <c r="C456" s="3"/>
      <c r="D456" s="3"/>
      <c r="E456" s="3"/>
      <c r="F456" s="2">
        <f>IFERROR(__xludf.DUMMYFUNCTION("""COMPUTED_VALUE"""),13.54)</f>
        <v>13.54</v>
      </c>
      <c r="G456" s="2">
        <f t="shared" si="2"/>
        <v>14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B457" s="3"/>
      <c r="C457" s="3"/>
      <c r="D457" s="3"/>
      <c r="E457" s="3"/>
      <c r="F457" s="2">
        <f>IFERROR(__xludf.DUMMYFUNCTION("""COMPUTED_VALUE"""),5.45)</f>
        <v>5.45</v>
      </c>
      <c r="G457" s="2">
        <f t="shared" si="2"/>
        <v>5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B458" s="3"/>
      <c r="C458" s="3"/>
      <c r="D458" s="3"/>
      <c r="E458" s="3"/>
      <c r="F458" s="2">
        <f>IFERROR(__xludf.DUMMYFUNCTION("""COMPUTED_VALUE"""),4.21)</f>
        <v>4.21</v>
      </c>
      <c r="G458" s="2">
        <f t="shared" si="2"/>
        <v>4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B459" s="3"/>
      <c r="C459" s="3"/>
      <c r="D459" s="3"/>
      <c r="E459" s="3"/>
      <c r="F459" s="2">
        <f>IFERROR(__xludf.DUMMYFUNCTION("""COMPUTED_VALUE"""),12.24)</f>
        <v>12.24</v>
      </c>
      <c r="G459" s="2">
        <f t="shared" si="2"/>
        <v>12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B460" s="3"/>
      <c r="C460" s="3"/>
      <c r="D460" s="3"/>
      <c r="E460" s="3"/>
      <c r="F460" s="2">
        <f>IFERROR(__xludf.DUMMYFUNCTION("""COMPUTED_VALUE"""),8.54)</f>
        <v>8.54</v>
      </c>
      <c r="G460" s="2">
        <f t="shared" si="2"/>
        <v>9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B461" s="3"/>
      <c r="C461" s="3"/>
      <c r="D461" s="3"/>
      <c r="E461" s="3"/>
      <c r="F461" s="2">
        <f>IFERROR(__xludf.DUMMYFUNCTION("""COMPUTED_VALUE"""),11.25)</f>
        <v>11.25</v>
      </c>
      <c r="G461" s="2">
        <f t="shared" si="2"/>
        <v>11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B462" s="3"/>
      <c r="C462" s="3"/>
      <c r="D462" s="3"/>
      <c r="E462" s="3"/>
      <c r="F462" s="2">
        <f>IFERROR(__xludf.DUMMYFUNCTION("""COMPUTED_VALUE"""),9.45)</f>
        <v>9.45</v>
      </c>
      <c r="G462" s="2">
        <f t="shared" si="2"/>
        <v>9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B463" s="3"/>
      <c r="C463" s="3"/>
      <c r="D463" s="3"/>
      <c r="E463" s="3"/>
      <c r="F463" s="2">
        <f>IFERROR(__xludf.DUMMYFUNCTION("""COMPUTED_VALUE"""),15.45)</f>
        <v>15.45</v>
      </c>
      <c r="G463" s="2">
        <f t="shared" si="2"/>
        <v>15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B464" s="3"/>
      <c r="C464" s="3"/>
      <c r="D464" s="3"/>
      <c r="E464" s="3"/>
      <c r="F464" s="2">
        <f>IFERROR(__xludf.DUMMYFUNCTION("""COMPUTED_VALUE"""),14.25)</f>
        <v>14.25</v>
      </c>
      <c r="G464" s="2">
        <f t="shared" si="2"/>
        <v>14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B465" s="3"/>
      <c r="C465" s="3"/>
      <c r="D465" s="3"/>
      <c r="E465" s="3"/>
      <c r="F465" s="2">
        <f>IFERROR(__xludf.DUMMYFUNCTION("""COMPUTED_VALUE"""),17.23)</f>
        <v>17.23</v>
      </c>
      <c r="G465" s="2">
        <f t="shared" si="2"/>
        <v>17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B466" s="3"/>
      <c r="C466" s="3"/>
      <c r="D466" s="3"/>
      <c r="E466" s="3"/>
      <c r="F466" s="2">
        <f>IFERROR(__xludf.DUMMYFUNCTION("""COMPUTED_VALUE"""),3.51)</f>
        <v>3.51</v>
      </c>
      <c r="G466" s="2">
        <f t="shared" si="2"/>
        <v>4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B467" s="3"/>
      <c r="C467" s="3"/>
      <c r="D467" s="3"/>
      <c r="E467" s="3"/>
      <c r="F467" s="2">
        <f>IFERROR(__xludf.DUMMYFUNCTION("""COMPUTED_VALUE"""),5.21)</f>
        <v>5.21</v>
      </c>
      <c r="G467" s="2">
        <f t="shared" si="2"/>
        <v>5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B468" s="3"/>
      <c r="C468" s="3"/>
      <c r="D468" s="3"/>
      <c r="E468" s="3"/>
      <c r="F468" s="2">
        <f>IFERROR(__xludf.DUMMYFUNCTION("""COMPUTED_VALUE"""),12.24)</f>
        <v>12.24</v>
      </c>
      <c r="G468" s="2">
        <f t="shared" si="2"/>
        <v>12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B469" s="3"/>
      <c r="C469" s="3"/>
      <c r="D469" s="3"/>
      <c r="E469" s="3"/>
      <c r="F469" s="2">
        <f>IFERROR(__xludf.DUMMYFUNCTION("""COMPUTED_VALUE"""),14.25)</f>
        <v>14.25</v>
      </c>
      <c r="G469" s="2">
        <f t="shared" si="2"/>
        <v>14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B470" s="3"/>
      <c r="C470" s="3"/>
      <c r="D470" s="3"/>
      <c r="E470" s="3"/>
      <c r="F470" s="2">
        <f>IFERROR(__xludf.DUMMYFUNCTION("""COMPUTED_VALUE"""),3.25)</f>
        <v>3.25</v>
      </c>
      <c r="G470" s="2">
        <f t="shared" si="2"/>
        <v>3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B471" s="3"/>
      <c r="C471" s="3"/>
      <c r="D471" s="3"/>
      <c r="E471" s="3"/>
      <c r="F471" s="2">
        <f>IFERROR(__xludf.DUMMYFUNCTION("""COMPUTED_VALUE"""),3.25)</f>
        <v>3.25</v>
      </c>
      <c r="G471" s="2">
        <f t="shared" si="2"/>
        <v>3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B472" s="3"/>
      <c r="C472" s="3"/>
      <c r="D472" s="3"/>
      <c r="E472" s="3"/>
      <c r="F472" s="2">
        <f>IFERROR(__xludf.DUMMYFUNCTION("""COMPUTED_VALUE"""),9.54)</f>
        <v>9.54</v>
      </c>
      <c r="G472" s="2">
        <f t="shared" si="2"/>
        <v>10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B473" s="3"/>
      <c r="C473" s="3"/>
      <c r="D473" s="3"/>
      <c r="E473" s="3"/>
      <c r="F473" s="2">
        <f>IFERROR(__xludf.DUMMYFUNCTION("""COMPUTED_VALUE"""),4.21)</f>
        <v>4.21</v>
      </c>
      <c r="G473" s="2">
        <f t="shared" si="2"/>
        <v>4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B474" s="3"/>
      <c r="C474" s="3"/>
      <c r="D474" s="3"/>
      <c r="E474" s="3"/>
      <c r="F474" s="2">
        <f>IFERROR(__xludf.DUMMYFUNCTION("""COMPUTED_VALUE"""),16.21)</f>
        <v>16.21</v>
      </c>
      <c r="G474" s="2">
        <f t="shared" si="2"/>
        <v>16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B475" s="3"/>
      <c r="C475" s="3"/>
      <c r="D475" s="3"/>
      <c r="E475" s="3"/>
      <c r="F475" s="2">
        <f>IFERROR(__xludf.DUMMYFUNCTION("""COMPUTED_VALUE"""),6.54)</f>
        <v>6.54</v>
      </c>
      <c r="G475" s="2">
        <f t="shared" si="2"/>
        <v>7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B476" s="3"/>
      <c r="C476" s="3"/>
      <c r="D476" s="3"/>
      <c r="E476" s="3"/>
      <c r="F476" s="2">
        <f>IFERROR(__xludf.DUMMYFUNCTION("""COMPUTED_VALUE"""),4.25)</f>
        <v>4.25</v>
      </c>
      <c r="G476" s="2">
        <f t="shared" si="2"/>
        <v>4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B477" s="3"/>
      <c r="C477" s="3"/>
      <c r="D477" s="3"/>
      <c r="E477" s="3"/>
      <c r="F477" s="2">
        <f>IFERROR(__xludf.DUMMYFUNCTION("""COMPUTED_VALUE"""),3.65)</f>
        <v>3.65</v>
      </c>
      <c r="G477" s="2">
        <f t="shared" si="2"/>
        <v>4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B478" s="3"/>
      <c r="C478" s="3"/>
      <c r="D478" s="3"/>
      <c r="E478" s="3"/>
      <c r="F478" s="2">
        <f>IFERROR(__xludf.DUMMYFUNCTION("""COMPUTED_VALUE"""),3.25)</f>
        <v>3.25</v>
      </c>
      <c r="G478" s="2">
        <f t="shared" si="2"/>
        <v>3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B479" s="3"/>
      <c r="C479" s="3"/>
      <c r="D479" s="3"/>
      <c r="E479" s="3"/>
      <c r="F479" s="2">
        <f>IFERROR(__xludf.DUMMYFUNCTION("""COMPUTED_VALUE"""),8.12)</f>
        <v>8.12</v>
      </c>
      <c r="G479" s="2">
        <f t="shared" si="2"/>
        <v>8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B480" s="3"/>
      <c r="C480" s="3"/>
      <c r="D480" s="3"/>
      <c r="E480" s="3"/>
      <c r="F480" s="2">
        <f>IFERROR(__xludf.DUMMYFUNCTION("""COMPUTED_VALUE"""),3.51)</f>
        <v>3.51</v>
      </c>
      <c r="G480" s="2">
        <f t="shared" si="2"/>
        <v>4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B481" s="3"/>
      <c r="C481" s="3"/>
      <c r="D481" s="3"/>
      <c r="E481" s="3"/>
      <c r="F481" s="2">
        <f>IFERROR(__xludf.DUMMYFUNCTION("""COMPUTED_VALUE"""),7.25)</f>
        <v>7.25</v>
      </c>
      <c r="G481" s="2">
        <f t="shared" si="2"/>
        <v>7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B482" s="3"/>
      <c r="C482" s="3"/>
      <c r="D482" s="3"/>
      <c r="E482" s="3"/>
      <c r="F482" s="2">
        <f>IFERROR(__xludf.DUMMYFUNCTION("""COMPUTED_VALUE"""),8.12)</f>
        <v>8.12</v>
      </c>
      <c r="G482" s="2">
        <f t="shared" si="2"/>
        <v>8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B483" s="3"/>
      <c r="C483" s="3"/>
      <c r="D483" s="3"/>
      <c r="E483" s="3"/>
      <c r="F483" s="2">
        <f>IFERROR(__xludf.DUMMYFUNCTION("""COMPUTED_VALUE"""),5.45)</f>
        <v>5.45</v>
      </c>
      <c r="G483" s="2">
        <f t="shared" si="2"/>
        <v>5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B484" s="3"/>
      <c r="C484" s="3"/>
      <c r="D484" s="3"/>
      <c r="E484" s="3"/>
      <c r="F484" s="2">
        <f>IFERROR(__xludf.DUMMYFUNCTION("""COMPUTED_VALUE"""),6.54)</f>
        <v>6.54</v>
      </c>
      <c r="G484" s="2">
        <f t="shared" si="2"/>
        <v>7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B485" s="3"/>
      <c r="C485" s="3"/>
      <c r="D485" s="3"/>
      <c r="E485" s="3"/>
      <c r="F485" s="2">
        <f>IFERROR(__xludf.DUMMYFUNCTION("""COMPUTED_VALUE"""),9.45)</f>
        <v>9.45</v>
      </c>
      <c r="G485" s="2">
        <f t="shared" si="2"/>
        <v>9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B486" s="3"/>
      <c r="C486" s="3"/>
      <c r="D486" s="3"/>
      <c r="E486" s="3"/>
      <c r="F486" s="2">
        <f>IFERROR(__xludf.DUMMYFUNCTION("""COMPUTED_VALUE"""),12.56)</f>
        <v>12.56</v>
      </c>
      <c r="G486" s="2">
        <f t="shared" si="2"/>
        <v>13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B487" s="3"/>
      <c r="C487" s="3"/>
      <c r="D487" s="3"/>
      <c r="E487" s="3"/>
      <c r="F487" s="2">
        <f>IFERROR(__xludf.DUMMYFUNCTION("""COMPUTED_VALUE"""),3.51)</f>
        <v>3.51</v>
      </c>
      <c r="G487" s="2">
        <f t="shared" si="2"/>
        <v>4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B488" s="3"/>
      <c r="C488" s="3"/>
      <c r="D488" s="3"/>
      <c r="E488" s="3"/>
      <c r="F488" s="2">
        <f>IFERROR(__xludf.DUMMYFUNCTION("""COMPUTED_VALUE"""),13.54)</f>
        <v>13.54</v>
      </c>
      <c r="G488" s="2">
        <f t="shared" si="2"/>
        <v>14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B489" s="3"/>
      <c r="C489" s="3"/>
      <c r="D489" s="3"/>
      <c r="E489" s="3"/>
      <c r="F489" s="2">
        <f>IFERROR(__xludf.DUMMYFUNCTION("""COMPUTED_VALUE"""),14.25)</f>
        <v>14.25</v>
      </c>
      <c r="G489" s="2">
        <f t="shared" si="2"/>
        <v>14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B490" s="3"/>
      <c r="C490" s="3"/>
      <c r="D490" s="3"/>
      <c r="E490" s="3"/>
      <c r="F490" s="2">
        <f>IFERROR(__xludf.DUMMYFUNCTION("""COMPUTED_VALUE"""),3.51)</f>
        <v>3.51</v>
      </c>
      <c r="G490" s="2">
        <f t="shared" si="2"/>
        <v>4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B491" s="3"/>
      <c r="C491" s="3"/>
      <c r="D491" s="3"/>
      <c r="E491" s="3"/>
      <c r="F491" s="2">
        <f>IFERROR(__xludf.DUMMYFUNCTION("""COMPUTED_VALUE"""),5.65)</f>
        <v>5.65</v>
      </c>
      <c r="G491" s="2">
        <f t="shared" si="2"/>
        <v>6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B492" s="3"/>
      <c r="C492" s="3"/>
      <c r="D492" s="3"/>
      <c r="E492" s="3"/>
      <c r="F492" s="2">
        <f>IFERROR(__xludf.DUMMYFUNCTION("""COMPUTED_VALUE"""),28.56)</f>
        <v>28.56</v>
      </c>
      <c r="G492" s="2">
        <f t="shared" si="2"/>
        <v>29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B493" s="3"/>
      <c r="C493" s="3"/>
      <c r="D493" s="3"/>
      <c r="E493" s="3"/>
      <c r="F493" s="2">
        <f>IFERROR(__xludf.DUMMYFUNCTION("""COMPUTED_VALUE"""),13.54)</f>
        <v>13.54</v>
      </c>
      <c r="G493" s="2">
        <f t="shared" si="2"/>
        <v>14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B494" s="3"/>
      <c r="C494" s="3"/>
      <c r="D494" s="3"/>
      <c r="E494" s="3"/>
      <c r="F494" s="2">
        <f>IFERROR(__xludf.DUMMYFUNCTION("""COMPUTED_VALUE"""),5.45)</f>
        <v>5.45</v>
      </c>
      <c r="G494" s="2">
        <f t="shared" si="2"/>
        <v>5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B495" s="3"/>
      <c r="C495" s="3"/>
      <c r="D495" s="3"/>
      <c r="E495" s="3"/>
      <c r="F495" s="2">
        <f>IFERROR(__xludf.DUMMYFUNCTION("""COMPUTED_VALUE"""),5.21)</f>
        <v>5.21</v>
      </c>
      <c r="G495" s="2">
        <f t="shared" si="2"/>
        <v>5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B496" s="3"/>
      <c r="C496" s="3"/>
      <c r="D496" s="3"/>
      <c r="E496" s="3"/>
      <c r="F496" s="2">
        <f>IFERROR(__xludf.DUMMYFUNCTION("""COMPUTED_VALUE"""),3.25)</f>
        <v>3.25</v>
      </c>
      <c r="G496" s="2">
        <f t="shared" si="2"/>
        <v>3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B497" s="3"/>
      <c r="C497" s="3"/>
      <c r="D497" s="3"/>
      <c r="E497" s="3"/>
      <c r="F497" s="2">
        <f>IFERROR(__xludf.DUMMYFUNCTION("""COMPUTED_VALUE"""),13.54)</f>
        <v>13.54</v>
      </c>
      <c r="G497" s="2">
        <f t="shared" si="2"/>
        <v>14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B498" s="3"/>
      <c r="C498" s="3"/>
      <c r="D498" s="3"/>
      <c r="E498" s="3"/>
      <c r="F498" s="2">
        <f>IFERROR(__xludf.DUMMYFUNCTION("""COMPUTED_VALUE"""),5.24)</f>
        <v>5.24</v>
      </c>
      <c r="G498" s="2">
        <f t="shared" si="2"/>
        <v>5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B499" s="3"/>
      <c r="C499" s="3"/>
      <c r="D499" s="3"/>
      <c r="E499" s="3"/>
      <c r="F499" s="2">
        <f>IFERROR(__xludf.DUMMYFUNCTION("""COMPUTED_VALUE"""),5.65)</f>
        <v>5.65</v>
      </c>
      <c r="G499" s="2">
        <f t="shared" si="2"/>
        <v>6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B500" s="3"/>
      <c r="C500" s="3"/>
      <c r="D500" s="3"/>
      <c r="E500" s="3"/>
      <c r="F500" s="2">
        <f>IFERROR(__xludf.DUMMYFUNCTION("""COMPUTED_VALUE"""),14.5)</f>
        <v>14.5</v>
      </c>
      <c r="G500" s="2">
        <f t="shared" si="2"/>
        <v>15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B501" s="3"/>
      <c r="C501" s="3"/>
      <c r="D501" s="3"/>
      <c r="E501" s="3"/>
      <c r="F501" s="2">
        <f>IFERROR(__xludf.DUMMYFUNCTION("""COMPUTED_VALUE"""),7.3)</f>
        <v>7.3</v>
      </c>
      <c r="G501" s="2">
        <f t="shared" si="2"/>
        <v>7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B502" s="3"/>
      <c r="C502" s="3"/>
      <c r="D502" s="3"/>
      <c r="E502" s="3"/>
      <c r="F502" s="2">
        <f>IFERROR(__xludf.DUMMYFUNCTION("""COMPUTED_VALUE"""),27.08)</f>
        <v>27.08</v>
      </c>
      <c r="G502" s="2">
        <f t="shared" si="2"/>
        <v>27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B503" s="3"/>
      <c r="C503" s="3"/>
      <c r="D503" s="3"/>
      <c r="E503" s="3"/>
      <c r="F503" s="2">
        <f>IFERROR(__xludf.DUMMYFUNCTION("""COMPUTED_VALUE"""),25.12)</f>
        <v>25.12</v>
      </c>
      <c r="G503" s="2">
        <f t="shared" si="2"/>
        <v>25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B504" s="3"/>
      <c r="C504" s="3"/>
      <c r="D504" s="3"/>
      <c r="E504" s="3"/>
      <c r="F504" s="2">
        <f>IFERROR(__xludf.DUMMYFUNCTION("""COMPUTED_VALUE"""),25.12)</f>
        <v>25.12</v>
      </c>
      <c r="G504" s="2">
        <f t="shared" si="2"/>
        <v>25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B505" s="3"/>
      <c r="C505" s="3"/>
      <c r="D505" s="3"/>
      <c r="E505" s="3"/>
      <c r="F505" s="2">
        <f>IFERROR(__xludf.DUMMYFUNCTION("""COMPUTED_VALUE"""),14.5)</f>
        <v>14.5</v>
      </c>
      <c r="G505" s="2">
        <f t="shared" si="2"/>
        <v>15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B506" s="3"/>
      <c r="C506" s="3"/>
      <c r="D506" s="3"/>
      <c r="E506" s="3"/>
      <c r="F506" s="2">
        <f>IFERROR(__xludf.DUMMYFUNCTION("""COMPUTED_VALUE"""),10.48)</f>
        <v>10.48</v>
      </c>
      <c r="G506" s="2">
        <f t="shared" si="2"/>
        <v>10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B507" s="3"/>
      <c r="C507" s="3"/>
      <c r="D507" s="3"/>
      <c r="E507" s="3"/>
      <c r="F507" s="2">
        <f>IFERROR(__xludf.DUMMYFUNCTION("""COMPUTED_VALUE"""),13.08)</f>
        <v>13.08</v>
      </c>
      <c r="G507" s="2">
        <f t="shared" si="2"/>
        <v>13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B508" s="3"/>
      <c r="C508" s="3"/>
      <c r="D508" s="3"/>
      <c r="E508" s="3"/>
      <c r="F508" s="2">
        <f>IFERROR(__xludf.DUMMYFUNCTION("""COMPUTED_VALUE"""),34.46)</f>
        <v>34.46</v>
      </c>
      <c r="G508" s="2">
        <f t="shared" si="2"/>
        <v>34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B509" s="3"/>
      <c r="C509" s="3"/>
      <c r="D509" s="3"/>
      <c r="E509" s="3"/>
      <c r="F509" s="2">
        <f>IFERROR(__xludf.DUMMYFUNCTION("""COMPUTED_VALUE"""),12.42)</f>
        <v>12.42</v>
      </c>
      <c r="G509" s="2">
        <f t="shared" si="2"/>
        <v>12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B510" s="3"/>
      <c r="C510" s="3"/>
      <c r="D510" s="3"/>
      <c r="E510" s="3"/>
      <c r="F510" s="2">
        <f>IFERROR(__xludf.DUMMYFUNCTION("""COMPUTED_VALUE"""),12.42)</f>
        <v>12.42</v>
      </c>
      <c r="G510" s="2">
        <f t="shared" si="2"/>
        <v>12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B511" s="3"/>
      <c r="C511" s="3"/>
      <c r="D511" s="3"/>
      <c r="E511" s="3"/>
      <c r="F511" s="2">
        <f>IFERROR(__xludf.DUMMYFUNCTION("""COMPUTED_VALUE"""),13.08)</f>
        <v>13.08</v>
      </c>
      <c r="G511" s="2">
        <f t="shared" si="2"/>
        <v>13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B512" s="3"/>
      <c r="C512" s="3"/>
      <c r="D512" s="3"/>
      <c r="E512" s="3"/>
      <c r="F512" s="2">
        <f>IFERROR(__xludf.DUMMYFUNCTION("""COMPUTED_VALUE"""),8.42)</f>
        <v>8.42</v>
      </c>
      <c r="G512" s="2">
        <f t="shared" si="2"/>
        <v>8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B513" s="3"/>
      <c r="C513" s="3"/>
      <c r="D513" s="3"/>
      <c r="E513" s="3"/>
      <c r="F513" s="2">
        <f>IFERROR(__xludf.DUMMYFUNCTION("""COMPUTED_VALUE"""),13.08)</f>
        <v>13.08</v>
      </c>
      <c r="G513" s="2">
        <f t="shared" si="2"/>
        <v>13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B514" s="3"/>
      <c r="C514" s="3"/>
      <c r="D514" s="3"/>
      <c r="E514" s="3"/>
      <c r="F514" s="2">
        <f>IFERROR(__xludf.DUMMYFUNCTION("""COMPUTED_VALUE"""),12.42)</f>
        <v>12.42</v>
      </c>
      <c r="G514" s="2">
        <f t="shared" si="2"/>
        <v>12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B515" s="3"/>
      <c r="C515" s="3"/>
      <c r="D515" s="3"/>
      <c r="E515" s="3"/>
      <c r="F515" s="2">
        <f>IFERROR(__xludf.DUMMYFUNCTION("""COMPUTED_VALUE"""),24.72)</f>
        <v>24.72</v>
      </c>
      <c r="G515" s="2">
        <f t="shared" si="2"/>
        <v>25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B516" s="3"/>
      <c r="C516" s="3"/>
      <c r="D516" s="3"/>
      <c r="E516" s="3"/>
      <c r="F516" s="2">
        <f>IFERROR(__xludf.DUMMYFUNCTION("""COMPUTED_VALUE"""),24.72)</f>
        <v>24.72</v>
      </c>
      <c r="G516" s="2">
        <f t="shared" si="2"/>
        <v>25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B517" s="3"/>
      <c r="C517" s="3"/>
      <c r="D517" s="3"/>
      <c r="E517" s="3"/>
      <c r="F517" s="2">
        <f>IFERROR(__xludf.DUMMYFUNCTION("""COMPUTED_VALUE"""),8.5)</f>
        <v>8.5</v>
      </c>
      <c r="G517" s="2">
        <f t="shared" si="2"/>
        <v>9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B518" s="3"/>
      <c r="C518" s="3"/>
      <c r="D518" s="3"/>
      <c r="E518" s="3"/>
      <c r="F518" s="2">
        <f>IFERROR(__xludf.DUMMYFUNCTION("""COMPUTED_VALUE"""),16.24)</f>
        <v>16.24</v>
      </c>
      <c r="G518" s="2">
        <f t="shared" si="2"/>
        <v>16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B519" s="3"/>
      <c r="C519" s="3"/>
      <c r="D519" s="3"/>
      <c r="E519" s="3"/>
      <c r="F519" s="2">
        <f>IFERROR(__xludf.DUMMYFUNCTION("""COMPUTED_VALUE"""),38.46)</f>
        <v>38.46</v>
      </c>
      <c r="G519" s="2">
        <f t="shared" si="2"/>
        <v>38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B520" s="3"/>
      <c r="C520" s="3"/>
      <c r="D520" s="3"/>
      <c r="E520" s="3"/>
      <c r="F520" s="2">
        <f>IFERROR(__xludf.DUMMYFUNCTION("""COMPUTED_VALUE"""),8.5)</f>
        <v>8.5</v>
      </c>
      <c r="G520" s="2">
        <f t="shared" si="2"/>
        <v>9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B521" s="3"/>
      <c r="C521" s="3"/>
      <c r="D521" s="3"/>
      <c r="E521" s="3"/>
      <c r="F521" s="2">
        <f>IFERROR(__xludf.DUMMYFUNCTION("""COMPUTED_VALUE"""),24.72)</f>
        <v>24.72</v>
      </c>
      <c r="G521" s="2">
        <f t="shared" si="2"/>
        <v>25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B522" s="3"/>
      <c r="C522" s="3"/>
      <c r="D522" s="3"/>
      <c r="E522" s="3"/>
      <c r="F522" s="2">
        <f>IFERROR(__xludf.DUMMYFUNCTION("""COMPUTED_VALUE"""),22.5)</f>
        <v>22.5</v>
      </c>
      <c r="G522" s="2">
        <f t="shared" si="2"/>
        <v>23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B523" s="3"/>
      <c r="C523" s="3"/>
      <c r="D523" s="3"/>
      <c r="E523" s="3"/>
      <c r="F523" s="2">
        <f>IFERROR(__xludf.DUMMYFUNCTION("""COMPUTED_VALUE"""),8.5)</f>
        <v>8.5</v>
      </c>
      <c r="G523" s="2">
        <f t="shared" si="2"/>
        <v>9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B524" s="3"/>
      <c r="C524" s="3"/>
      <c r="D524" s="3"/>
      <c r="E524" s="3"/>
      <c r="F524" s="2">
        <f>IFERROR(__xludf.DUMMYFUNCTION("""COMPUTED_VALUE"""),23.08)</f>
        <v>23.08</v>
      </c>
      <c r="G524" s="2">
        <f t="shared" si="2"/>
        <v>23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B525" s="3"/>
      <c r="C525" s="3"/>
      <c r="D525" s="3"/>
      <c r="E525" s="3"/>
      <c r="F525" s="2">
        <f>IFERROR(__xludf.DUMMYFUNCTION("""COMPUTED_VALUE"""),12.42)</f>
        <v>12.42</v>
      </c>
      <c r="G525" s="2">
        <f t="shared" si="2"/>
        <v>12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B526" s="3"/>
      <c r="C526" s="3"/>
      <c r="D526" s="3"/>
      <c r="E526" s="3"/>
      <c r="F526" s="2">
        <f>IFERROR(__xludf.DUMMYFUNCTION("""COMPUTED_VALUE"""),24.72)</f>
        <v>24.72</v>
      </c>
      <c r="G526" s="2">
        <f t="shared" si="2"/>
        <v>25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B527" s="3"/>
      <c r="C527" s="3"/>
      <c r="D527" s="3"/>
      <c r="E527" s="3"/>
      <c r="F527" s="2">
        <f>IFERROR(__xludf.DUMMYFUNCTION("""COMPUTED_VALUE"""),22.5)</f>
        <v>22.5</v>
      </c>
      <c r="G527" s="2">
        <f t="shared" si="2"/>
        <v>23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B528" s="3"/>
      <c r="C528" s="3"/>
      <c r="D528" s="3"/>
      <c r="E528" s="3"/>
      <c r="F528" s="2">
        <f>IFERROR(__xludf.DUMMYFUNCTION("""COMPUTED_VALUE"""),27.08)</f>
        <v>27.08</v>
      </c>
      <c r="G528" s="2">
        <f t="shared" si="2"/>
        <v>27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B529" s="3"/>
      <c r="C529" s="3"/>
      <c r="D529" s="3"/>
      <c r="E529" s="3"/>
      <c r="F529" s="2">
        <f>IFERROR(__xludf.DUMMYFUNCTION("""COMPUTED_VALUE"""),22.46)</f>
        <v>22.46</v>
      </c>
      <c r="G529" s="2">
        <f t="shared" si="2"/>
        <v>22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B530" s="3"/>
      <c r="C530" s="3"/>
      <c r="D530" s="3"/>
      <c r="E530" s="3"/>
      <c r="F530" s="2">
        <f>IFERROR(__xludf.DUMMYFUNCTION("""COMPUTED_VALUE"""),7.3)</f>
        <v>7.3</v>
      </c>
      <c r="G530" s="2">
        <f t="shared" si="2"/>
        <v>7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B531" s="3"/>
      <c r="C531" s="3"/>
      <c r="D531" s="3"/>
      <c r="E531" s="3"/>
      <c r="F531" s="2">
        <f>IFERROR(__xludf.DUMMYFUNCTION("""COMPUTED_VALUE"""),22.46)</f>
        <v>22.46</v>
      </c>
      <c r="G531" s="2">
        <f t="shared" si="2"/>
        <v>22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B532" s="3"/>
      <c r="C532" s="3"/>
      <c r="D532" s="3"/>
      <c r="E532" s="3"/>
      <c r="F532" s="2">
        <f>IFERROR(__xludf.DUMMYFUNCTION("""COMPUTED_VALUE"""),8.5)</f>
        <v>8.5</v>
      </c>
      <c r="G532" s="2">
        <f t="shared" si="2"/>
        <v>9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B533" s="3"/>
      <c r="C533" s="3"/>
      <c r="D533" s="3"/>
      <c r="E533" s="3"/>
      <c r="F533" s="2">
        <f>IFERROR(__xludf.DUMMYFUNCTION("""COMPUTED_VALUE"""),24.72)</f>
        <v>24.72</v>
      </c>
      <c r="G533" s="2">
        <f t="shared" si="2"/>
        <v>25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B534" s="3"/>
      <c r="C534" s="3"/>
      <c r="D534" s="3"/>
      <c r="E534" s="3"/>
      <c r="F534" s="2">
        <f>IFERROR(__xludf.DUMMYFUNCTION("""COMPUTED_VALUE"""),16.24)</f>
        <v>16.24</v>
      </c>
      <c r="G534" s="2">
        <f t="shared" si="2"/>
        <v>16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B535" s="3"/>
      <c r="C535" s="3"/>
      <c r="D535" s="3"/>
      <c r="E535" s="3"/>
      <c r="F535" s="2">
        <f>IFERROR(__xludf.DUMMYFUNCTION("""COMPUTED_VALUE"""),24.48)</f>
        <v>24.48</v>
      </c>
      <c r="G535" s="2">
        <f t="shared" si="2"/>
        <v>24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B536" s="3"/>
      <c r="C536" s="3"/>
      <c r="D536" s="3"/>
      <c r="E536" s="3"/>
      <c r="F536" s="2">
        <f>IFERROR(__xludf.DUMMYFUNCTION("""COMPUTED_VALUE"""),12.42)</f>
        <v>12.42</v>
      </c>
      <c r="G536" s="2">
        <f t="shared" si="2"/>
        <v>12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B537" s="3"/>
      <c r="C537" s="3"/>
      <c r="D537" s="3"/>
      <c r="E537" s="3"/>
      <c r="F537" s="2">
        <f>IFERROR(__xludf.DUMMYFUNCTION("""COMPUTED_VALUE"""),38.46)</f>
        <v>38.46</v>
      </c>
      <c r="G537" s="2">
        <f t="shared" si="2"/>
        <v>38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B538" s="3"/>
      <c r="C538" s="3"/>
      <c r="D538" s="3"/>
      <c r="E538" s="3"/>
      <c r="F538" s="2">
        <f>IFERROR(__xludf.DUMMYFUNCTION("""COMPUTED_VALUE"""),10.9)</f>
        <v>10.9</v>
      </c>
      <c r="G538" s="2">
        <f t="shared" si="2"/>
        <v>11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B539" s="3"/>
      <c r="C539" s="3"/>
      <c r="D539" s="3"/>
      <c r="E539" s="3"/>
      <c r="F539" s="2">
        <f>IFERROR(__xludf.DUMMYFUNCTION("""COMPUTED_VALUE"""),12.42)</f>
        <v>12.42</v>
      </c>
      <c r="G539" s="2">
        <f t="shared" si="2"/>
        <v>12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B540" s="3"/>
      <c r="C540" s="3"/>
      <c r="D540" s="3"/>
      <c r="E540" s="3"/>
      <c r="F540" s="2">
        <f>IFERROR(__xludf.DUMMYFUNCTION("""COMPUTED_VALUE"""),17.08)</f>
        <v>17.08</v>
      </c>
      <c r="G540" s="2">
        <f t="shared" si="2"/>
        <v>17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B541" s="3"/>
      <c r="C541" s="3"/>
      <c r="D541" s="3"/>
      <c r="E541" s="3"/>
      <c r="F541" s="2">
        <f>IFERROR(__xludf.DUMMYFUNCTION("""COMPUTED_VALUE"""),24.48)</f>
        <v>24.48</v>
      </c>
      <c r="G541" s="2">
        <f t="shared" si="2"/>
        <v>24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B542" s="3"/>
      <c r="C542" s="3"/>
      <c r="D542" s="3"/>
      <c r="E542" s="3"/>
      <c r="F542" s="2">
        <f>IFERROR(__xludf.DUMMYFUNCTION("""COMPUTED_VALUE"""),19.08)</f>
        <v>19.08</v>
      </c>
      <c r="G542" s="2">
        <f t="shared" si="2"/>
        <v>19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B543" s="3"/>
      <c r="C543" s="3"/>
      <c r="D543" s="3"/>
      <c r="E543" s="3"/>
      <c r="F543" s="2">
        <f>IFERROR(__xludf.DUMMYFUNCTION("""COMPUTED_VALUE"""),24.72)</f>
        <v>24.72</v>
      </c>
      <c r="G543" s="2">
        <f t="shared" si="2"/>
        <v>25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B544" s="3"/>
      <c r="C544" s="3"/>
      <c r="D544" s="3"/>
      <c r="E544" s="3"/>
      <c r="F544" s="2">
        <f>IFERROR(__xludf.DUMMYFUNCTION("""COMPUTED_VALUE"""),28.5)</f>
        <v>28.5</v>
      </c>
      <c r="G544" s="2">
        <f t="shared" si="2"/>
        <v>29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B545" s="3"/>
      <c r="C545" s="3"/>
      <c r="D545" s="3"/>
      <c r="E545" s="3"/>
      <c r="F545" s="2">
        <f>IFERROR(__xludf.DUMMYFUNCTION("""COMPUTED_VALUE"""),8.5)</f>
        <v>8.5</v>
      </c>
      <c r="G545" s="2">
        <f t="shared" si="2"/>
        <v>9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B546" s="3"/>
      <c r="C546" s="3"/>
      <c r="D546" s="3"/>
      <c r="E546" s="3"/>
      <c r="F546" s="2">
        <f>IFERROR(__xludf.DUMMYFUNCTION("""COMPUTED_VALUE"""),25.12)</f>
        <v>25.12</v>
      </c>
      <c r="G546" s="2">
        <f t="shared" si="2"/>
        <v>25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B547" s="3"/>
      <c r="C547" s="3"/>
      <c r="D547" s="3"/>
      <c r="E547" s="3"/>
      <c r="F547" s="2">
        <f>IFERROR(__xludf.DUMMYFUNCTION("""COMPUTED_VALUE"""),24.72)</f>
        <v>24.72</v>
      </c>
      <c r="G547" s="2">
        <f t="shared" si="2"/>
        <v>25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B548" s="3"/>
      <c r="C548" s="3"/>
      <c r="D548" s="3"/>
      <c r="E548" s="3"/>
      <c r="F548" s="2">
        <f>IFERROR(__xludf.DUMMYFUNCTION("""COMPUTED_VALUE"""),22.5)</f>
        <v>22.5</v>
      </c>
      <c r="G548" s="2">
        <f t="shared" si="2"/>
        <v>23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B549" s="3"/>
      <c r="C549" s="3"/>
      <c r="D549" s="3"/>
      <c r="E549" s="3"/>
      <c r="F549" s="2">
        <f>IFERROR(__xludf.DUMMYFUNCTION("""COMPUTED_VALUE"""),24.72)</f>
        <v>24.72</v>
      </c>
      <c r="G549" s="2">
        <f t="shared" si="2"/>
        <v>25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B550" s="3"/>
      <c r="C550" s="3"/>
      <c r="D550" s="3"/>
      <c r="E550" s="3"/>
      <c r="F550" s="2">
        <f>IFERROR(__xludf.DUMMYFUNCTION("""COMPUTED_VALUE"""),24.48)</f>
        <v>24.48</v>
      </c>
      <c r="G550" s="2">
        <f t="shared" si="2"/>
        <v>24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B551" s="3"/>
      <c r="C551" s="3"/>
      <c r="D551" s="3"/>
      <c r="E551" s="3"/>
      <c r="F551" s="2">
        <f>IFERROR(__xludf.DUMMYFUNCTION("""COMPUTED_VALUE"""),19.08)</f>
        <v>19.08</v>
      </c>
      <c r="G551" s="2">
        <f t="shared" si="2"/>
        <v>19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B552" s="3"/>
      <c r="C552" s="3"/>
      <c r="D552" s="3"/>
      <c r="E552" s="3"/>
      <c r="F552" s="2">
        <f>IFERROR(__xludf.DUMMYFUNCTION("""COMPUTED_VALUE"""),10.9)</f>
        <v>10.9</v>
      </c>
      <c r="G552" s="2">
        <f t="shared" si="2"/>
        <v>11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B553" s="3"/>
      <c r="C553" s="3"/>
      <c r="D553" s="3"/>
      <c r="E553" s="3"/>
      <c r="F553" s="2">
        <f>IFERROR(__xludf.DUMMYFUNCTION("""COMPUTED_VALUE"""),8.5)</f>
        <v>8.5</v>
      </c>
      <c r="G553" s="2">
        <f t="shared" si="2"/>
        <v>9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B554" s="3"/>
      <c r="C554" s="3"/>
      <c r="D554" s="3"/>
      <c r="E554" s="3"/>
      <c r="F554" s="2">
        <f>IFERROR(__xludf.DUMMYFUNCTION("""COMPUTED_VALUE"""),8.42)</f>
        <v>8.42</v>
      </c>
      <c r="G554" s="2">
        <f t="shared" si="2"/>
        <v>8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B555" s="3"/>
      <c r="C555" s="3"/>
      <c r="D555" s="3"/>
      <c r="E555" s="3"/>
      <c r="F555" s="2">
        <f>IFERROR(__xludf.DUMMYFUNCTION("""COMPUTED_VALUE"""),38.46)</f>
        <v>38.46</v>
      </c>
      <c r="G555" s="2">
        <f t="shared" si="2"/>
        <v>38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B556" s="3"/>
      <c r="C556" s="3"/>
      <c r="D556" s="3"/>
      <c r="E556" s="3"/>
      <c r="F556" s="2">
        <f>IFERROR(__xludf.DUMMYFUNCTION("""COMPUTED_VALUE"""),13.08)</f>
        <v>13.08</v>
      </c>
      <c r="G556" s="2">
        <f t="shared" si="2"/>
        <v>13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B557" s="3"/>
      <c r="C557" s="3"/>
      <c r="D557" s="3"/>
      <c r="E557" s="3"/>
      <c r="F557" s="2">
        <f>IFERROR(__xludf.DUMMYFUNCTION("""COMPUTED_VALUE"""),7.02)</f>
        <v>7.02</v>
      </c>
      <c r="G557" s="2">
        <f t="shared" si="2"/>
        <v>7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B558" s="3"/>
      <c r="C558" s="3"/>
      <c r="D558" s="3"/>
      <c r="E558" s="3"/>
      <c r="F558" s="2">
        <f>IFERROR(__xludf.DUMMYFUNCTION("""COMPUTED_VALUE"""),10.42)</f>
        <v>10.42</v>
      </c>
      <c r="G558" s="2">
        <f t="shared" si="2"/>
        <v>10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B559" s="3"/>
      <c r="C559" s="3"/>
      <c r="D559" s="3"/>
      <c r="E559" s="3"/>
      <c r="F559" s="2">
        <f>IFERROR(__xludf.DUMMYFUNCTION("""COMPUTED_VALUE"""),7.3)</f>
        <v>7.3</v>
      </c>
      <c r="G559" s="2">
        <f t="shared" si="2"/>
        <v>7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B560" s="3"/>
      <c r="C560" s="3"/>
      <c r="D560" s="3"/>
      <c r="E560" s="3"/>
      <c r="F560" s="2">
        <f>IFERROR(__xludf.DUMMYFUNCTION("""COMPUTED_VALUE"""),16.46)</f>
        <v>16.46</v>
      </c>
      <c r="G560" s="2">
        <f t="shared" si="2"/>
        <v>16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B561" s="3"/>
      <c r="C561" s="3"/>
      <c r="D561" s="3"/>
      <c r="E561" s="3"/>
      <c r="F561" s="2">
        <f>IFERROR(__xludf.DUMMYFUNCTION("""COMPUTED_VALUE"""),37.12)</f>
        <v>37.12</v>
      </c>
      <c r="G561" s="2">
        <f t="shared" si="2"/>
        <v>37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B562" s="3"/>
      <c r="C562" s="3"/>
      <c r="D562" s="3"/>
      <c r="E562" s="3"/>
      <c r="F562" s="2">
        <f>IFERROR(__xludf.DUMMYFUNCTION("""COMPUTED_VALUE"""),10.42)</f>
        <v>10.42</v>
      </c>
      <c r="G562" s="2">
        <f t="shared" si="2"/>
        <v>10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B563" s="3"/>
      <c r="C563" s="3"/>
      <c r="D563" s="3"/>
      <c r="E563" s="3"/>
      <c r="F563" s="2">
        <f>IFERROR(__xludf.DUMMYFUNCTION("""COMPUTED_VALUE"""),37.12)</f>
        <v>37.12</v>
      </c>
      <c r="G563" s="2">
        <f t="shared" si="2"/>
        <v>37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B564" s="3"/>
      <c r="C564" s="3"/>
      <c r="D564" s="3"/>
      <c r="E564" s="3"/>
      <c r="F564" s="2">
        <f>IFERROR(__xludf.DUMMYFUNCTION("""COMPUTED_VALUE"""),13.08)</f>
        <v>13.08</v>
      </c>
      <c r="G564" s="2">
        <f t="shared" si="2"/>
        <v>13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B565" s="3"/>
      <c r="C565" s="3"/>
      <c r="D565" s="3"/>
      <c r="E565" s="3"/>
      <c r="F565" s="2">
        <f>IFERROR(__xludf.DUMMYFUNCTION("""COMPUTED_VALUE"""),34.46)</f>
        <v>34.46</v>
      </c>
      <c r="G565" s="2">
        <f t="shared" si="2"/>
        <v>34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B566" s="3"/>
      <c r="C566" s="3"/>
      <c r="D566" s="3"/>
      <c r="E566" s="3"/>
      <c r="F566" s="2">
        <f>IFERROR(__xludf.DUMMYFUNCTION("""COMPUTED_VALUE"""),30.46)</f>
        <v>30.46</v>
      </c>
      <c r="G566" s="2">
        <f t="shared" si="2"/>
        <v>30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B567" s="3"/>
      <c r="C567" s="3"/>
      <c r="D567" s="3"/>
      <c r="E567" s="3"/>
      <c r="F567" s="2">
        <f>IFERROR(__xludf.DUMMYFUNCTION("""COMPUTED_VALUE"""),30.46)</f>
        <v>30.46</v>
      </c>
      <c r="G567" s="2">
        <f t="shared" si="2"/>
        <v>30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B568" s="3"/>
      <c r="C568" s="3"/>
      <c r="D568" s="3"/>
      <c r="E568" s="3"/>
      <c r="F568" s="2">
        <f>IFERROR(__xludf.DUMMYFUNCTION("""COMPUTED_VALUE"""),32.42)</f>
        <v>32.42</v>
      </c>
      <c r="G568" s="2">
        <f t="shared" si="2"/>
        <v>32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B569" s="3"/>
      <c r="C569" s="3"/>
      <c r="D569" s="3"/>
      <c r="E569" s="3"/>
      <c r="F569" s="2">
        <f>IFERROR(__xludf.DUMMYFUNCTION("""COMPUTED_VALUE"""),13.08)</f>
        <v>13.08</v>
      </c>
      <c r="G569" s="2">
        <f t="shared" si="2"/>
        <v>13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B570" s="3"/>
      <c r="C570" s="3"/>
      <c r="D570" s="3"/>
      <c r="E570" s="3"/>
      <c r="F570" s="2">
        <f>IFERROR(__xludf.DUMMYFUNCTION("""COMPUTED_VALUE"""),22.46)</f>
        <v>22.46</v>
      </c>
      <c r="G570" s="2">
        <f t="shared" si="2"/>
        <v>22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B571" s="3"/>
      <c r="C571" s="3"/>
      <c r="D571" s="3"/>
      <c r="E571" s="3"/>
      <c r="F571" s="2">
        <f>IFERROR(__xludf.DUMMYFUNCTION("""COMPUTED_VALUE"""),27.08)</f>
        <v>27.08</v>
      </c>
      <c r="G571" s="2">
        <f t="shared" si="2"/>
        <v>27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B572" s="3"/>
      <c r="C572" s="3"/>
      <c r="D572" s="3"/>
      <c r="E572" s="3"/>
      <c r="F572" s="2">
        <f>IFERROR(__xludf.DUMMYFUNCTION("""COMPUTED_VALUE"""),34.46)</f>
        <v>34.46</v>
      </c>
      <c r="G572" s="2">
        <f t="shared" si="2"/>
        <v>34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B573" s="3"/>
      <c r="C573" s="3"/>
      <c r="D573" s="3"/>
      <c r="E573" s="3"/>
      <c r="F573" s="2">
        <f>IFERROR(__xludf.DUMMYFUNCTION("""COMPUTED_VALUE"""),38.46)</f>
        <v>38.46</v>
      </c>
      <c r="G573" s="2">
        <f t="shared" si="2"/>
        <v>38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B574" s="3"/>
      <c r="C574" s="3"/>
      <c r="D574" s="3"/>
      <c r="E574" s="3"/>
      <c r="F574" s="2">
        <f>IFERROR(__xludf.DUMMYFUNCTION("""COMPUTED_VALUE"""),17.08)</f>
        <v>17.08</v>
      </c>
      <c r="G574" s="2">
        <f t="shared" si="2"/>
        <v>17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B575" s="3"/>
      <c r="C575" s="3"/>
      <c r="D575" s="3"/>
      <c r="E575" s="3"/>
      <c r="F575" s="2">
        <f>IFERROR(__xludf.DUMMYFUNCTION("""COMPUTED_VALUE"""),12.42)</f>
        <v>12.42</v>
      </c>
      <c r="G575" s="2">
        <f t="shared" si="2"/>
        <v>12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B576" s="3"/>
      <c r="C576" s="3"/>
      <c r="D576" s="3"/>
      <c r="E576" s="3"/>
      <c r="F576" s="2">
        <f>IFERROR(__xludf.DUMMYFUNCTION("""COMPUTED_VALUE"""),14.5)</f>
        <v>14.5</v>
      </c>
      <c r="G576" s="2">
        <f t="shared" si="2"/>
        <v>15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B577" s="3"/>
      <c r="C577" s="3"/>
      <c r="D577" s="3"/>
      <c r="E577" s="3"/>
      <c r="F577" s="2">
        <f>IFERROR(__xludf.DUMMYFUNCTION("""COMPUTED_VALUE"""),12.5)</f>
        <v>12.5</v>
      </c>
      <c r="G577" s="2">
        <f t="shared" si="2"/>
        <v>13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B578" s="3"/>
      <c r="C578" s="3"/>
      <c r="D578" s="3"/>
      <c r="E578" s="3"/>
      <c r="F578" s="2">
        <f>IFERROR(__xludf.DUMMYFUNCTION("""COMPUTED_VALUE"""),23.08)</f>
        <v>23.08</v>
      </c>
      <c r="G578" s="2">
        <f t="shared" si="2"/>
        <v>23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B579" s="3"/>
      <c r="C579" s="3"/>
      <c r="D579" s="3"/>
      <c r="E579" s="3"/>
      <c r="F579" s="2">
        <f>IFERROR(__xludf.DUMMYFUNCTION("""COMPUTED_VALUE"""),25.12)</f>
        <v>25.12</v>
      </c>
      <c r="G579" s="2">
        <f t="shared" si="2"/>
        <v>25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B580" s="3"/>
      <c r="C580" s="3"/>
      <c r="D580" s="3"/>
      <c r="E580" s="3"/>
      <c r="F580" s="2">
        <f>IFERROR(__xludf.DUMMYFUNCTION("""COMPUTED_VALUE"""),57.12)</f>
        <v>57.12</v>
      </c>
      <c r="G580" s="2">
        <f t="shared" si="2"/>
        <v>57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B581" s="3"/>
      <c r="C581" s="3"/>
      <c r="D581" s="3"/>
      <c r="E581" s="3"/>
      <c r="F581" s="2">
        <f>IFERROR(__xludf.DUMMYFUNCTION("""COMPUTED_VALUE"""),30.46)</f>
        <v>30.46</v>
      </c>
      <c r="G581" s="2">
        <f t="shared" si="2"/>
        <v>30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B582" s="3"/>
      <c r="C582" s="3"/>
      <c r="D582" s="3"/>
      <c r="E582" s="3"/>
      <c r="F582" s="2">
        <f>IFERROR(__xludf.DUMMYFUNCTION("""COMPUTED_VALUE"""),23.08)</f>
        <v>23.08</v>
      </c>
      <c r="G582" s="2">
        <f t="shared" si="2"/>
        <v>23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B583" s="3"/>
      <c r="C583" s="3"/>
      <c r="D583" s="3"/>
      <c r="E583" s="3"/>
      <c r="F583" s="2">
        <f>IFERROR(__xludf.DUMMYFUNCTION("""COMPUTED_VALUE"""),12.42)</f>
        <v>12.42</v>
      </c>
      <c r="G583" s="2">
        <f t="shared" si="2"/>
        <v>12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B584" s="3"/>
      <c r="C584" s="3"/>
      <c r="D584" s="3"/>
      <c r="E584" s="3"/>
      <c r="F584" s="2">
        <f>IFERROR(__xludf.DUMMYFUNCTION("""COMPUTED_VALUE"""),17.08)</f>
        <v>17.08</v>
      </c>
      <c r="G584" s="2">
        <f t="shared" si="2"/>
        <v>17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B585" s="3"/>
      <c r="C585" s="3"/>
      <c r="D585" s="3"/>
      <c r="E585" s="3"/>
      <c r="F585" s="2">
        <f>IFERROR(__xludf.DUMMYFUNCTION("""COMPUTED_VALUE"""),38.46)</f>
        <v>38.46</v>
      </c>
      <c r="G585" s="2">
        <f t="shared" si="2"/>
        <v>38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B586" s="3"/>
      <c r="C586" s="3"/>
      <c r="D586" s="3"/>
      <c r="E586" s="3"/>
      <c r="F586" s="2">
        <f>IFERROR(__xludf.DUMMYFUNCTION("""COMPUTED_VALUE"""),32.42)</f>
        <v>32.42</v>
      </c>
      <c r="G586" s="2">
        <f t="shared" si="2"/>
        <v>32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B587" s="3"/>
      <c r="C587" s="3"/>
      <c r="D587" s="3"/>
      <c r="E587" s="3"/>
      <c r="F587" s="2">
        <f>IFERROR(__xludf.DUMMYFUNCTION("""COMPUTED_VALUE"""),10.48)</f>
        <v>10.48</v>
      </c>
      <c r="G587" s="2">
        <f t="shared" si="2"/>
        <v>10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B588" s="3"/>
      <c r="C588" s="3"/>
      <c r="D588" s="3"/>
      <c r="E588" s="3"/>
      <c r="F588" s="2">
        <f>IFERROR(__xludf.DUMMYFUNCTION("""COMPUTED_VALUE"""),27.08)</f>
        <v>27.08</v>
      </c>
      <c r="G588" s="2">
        <f t="shared" si="2"/>
        <v>27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B589" s="3"/>
      <c r="C589" s="3"/>
      <c r="D589" s="3"/>
      <c r="E589" s="3"/>
      <c r="F589" s="2">
        <f>IFERROR(__xludf.DUMMYFUNCTION("""COMPUTED_VALUE"""),24.72)</f>
        <v>24.72</v>
      </c>
      <c r="G589" s="2">
        <f t="shared" si="2"/>
        <v>25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B590" s="3"/>
      <c r="C590" s="3"/>
      <c r="D590" s="3"/>
      <c r="E590" s="3"/>
      <c r="F590" s="2">
        <f>IFERROR(__xludf.DUMMYFUNCTION("""COMPUTED_VALUE"""),16.46)</f>
        <v>16.46</v>
      </c>
      <c r="G590" s="2">
        <f t="shared" si="2"/>
        <v>16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B591" s="3"/>
      <c r="C591" s="3"/>
      <c r="D591" s="3"/>
      <c r="E591" s="3"/>
      <c r="F591" s="2">
        <f>IFERROR(__xludf.DUMMYFUNCTION("""COMPUTED_VALUE"""),24.48)</f>
        <v>24.48</v>
      </c>
      <c r="G591" s="2">
        <f t="shared" si="2"/>
        <v>24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B592" s="3"/>
      <c r="C592" s="3"/>
      <c r="D592" s="3"/>
      <c r="E592" s="3"/>
      <c r="F592" s="2">
        <f>IFERROR(__xludf.DUMMYFUNCTION("""COMPUTED_VALUE"""),8.5)</f>
        <v>8.5</v>
      </c>
      <c r="G592" s="2">
        <f t="shared" si="2"/>
        <v>9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B593" s="3"/>
      <c r="C593" s="3"/>
      <c r="D593" s="3"/>
      <c r="E593" s="3"/>
      <c r="F593" s="2">
        <f>IFERROR(__xludf.DUMMYFUNCTION("""COMPUTED_VALUE"""),16.24)</f>
        <v>16.24</v>
      </c>
      <c r="G593" s="2">
        <f t="shared" si="2"/>
        <v>16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B594" s="3"/>
      <c r="C594" s="3"/>
      <c r="D594" s="3"/>
      <c r="E594" s="3"/>
      <c r="F594" s="2">
        <f>IFERROR(__xludf.DUMMYFUNCTION("""COMPUTED_VALUE"""),8.42)</f>
        <v>8.42</v>
      </c>
      <c r="G594" s="2">
        <f t="shared" si="2"/>
        <v>8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B595" s="3"/>
      <c r="C595" s="3"/>
      <c r="D595" s="3"/>
      <c r="E595" s="3"/>
      <c r="F595" s="2">
        <f>IFERROR(__xludf.DUMMYFUNCTION("""COMPUTED_VALUE"""),30.9)</f>
        <v>30.9</v>
      </c>
      <c r="G595" s="2">
        <f t="shared" si="2"/>
        <v>31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B596" s="3"/>
      <c r="C596" s="3"/>
      <c r="D596" s="3"/>
      <c r="E596" s="3"/>
      <c r="F596" s="2">
        <f>IFERROR(__xludf.DUMMYFUNCTION("""COMPUTED_VALUE"""),25.12)</f>
        <v>25.12</v>
      </c>
      <c r="G596" s="2">
        <f t="shared" si="2"/>
        <v>25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B597" s="3"/>
      <c r="C597" s="3"/>
      <c r="D597" s="3"/>
      <c r="E597" s="3"/>
      <c r="F597" s="2">
        <f>IFERROR(__xludf.DUMMYFUNCTION("""COMPUTED_VALUE"""),34.46)</f>
        <v>34.46</v>
      </c>
      <c r="G597" s="2">
        <f t="shared" si="2"/>
        <v>34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B598" s="3"/>
      <c r="C598" s="3"/>
      <c r="D598" s="3"/>
      <c r="E598" s="3"/>
      <c r="F598" s="2">
        <f>IFERROR(__xludf.DUMMYFUNCTION("""COMPUTED_VALUE"""),7.3)</f>
        <v>7.3</v>
      </c>
      <c r="G598" s="2">
        <f t="shared" si="2"/>
        <v>7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B599" s="3"/>
      <c r="C599" s="3"/>
      <c r="D599" s="3"/>
      <c r="E599" s="3"/>
      <c r="F599" s="2">
        <f>IFERROR(__xludf.DUMMYFUNCTION("""COMPUTED_VALUE"""),16.24)</f>
        <v>16.24</v>
      </c>
      <c r="G599" s="2">
        <f t="shared" si="2"/>
        <v>16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B600" s="3"/>
      <c r="C600" s="3"/>
      <c r="D600" s="3"/>
      <c r="E600" s="3"/>
      <c r="F600" s="2">
        <f>IFERROR(__xludf.DUMMYFUNCTION("""COMPUTED_VALUE"""),24.72)</f>
        <v>24.72</v>
      </c>
      <c r="G600" s="2">
        <f t="shared" si="2"/>
        <v>25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B601" s="3"/>
      <c r="C601" s="3"/>
      <c r="D601" s="3"/>
      <c r="E601" s="3"/>
      <c r="F601" s="2">
        <f>IFERROR(__xludf.DUMMYFUNCTION("""COMPUTED_VALUE"""),32.42)</f>
        <v>32.42</v>
      </c>
      <c r="G601" s="2">
        <f t="shared" si="2"/>
        <v>32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B602" s="3"/>
      <c r="C602" s="3"/>
      <c r="D602" s="3"/>
      <c r="E602" s="3"/>
      <c r="F602" s="2">
        <f>IFERROR(__xludf.DUMMYFUNCTION("""COMPUTED_VALUE"""),22.46)</f>
        <v>22.46</v>
      </c>
      <c r="G602" s="2">
        <f t="shared" si="2"/>
        <v>22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B603" s="3"/>
      <c r="C603" s="3"/>
      <c r="D603" s="3"/>
      <c r="E603" s="3"/>
      <c r="F603" s="2">
        <f>IFERROR(__xludf.DUMMYFUNCTION("""COMPUTED_VALUE"""),8.5)</f>
        <v>8.5</v>
      </c>
      <c r="G603" s="2">
        <f t="shared" si="2"/>
        <v>9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B604" s="3"/>
      <c r="C604" s="3"/>
      <c r="D604" s="3"/>
      <c r="E604" s="3"/>
      <c r="F604" s="2">
        <f>IFERROR(__xludf.DUMMYFUNCTION("""COMPUTED_VALUE"""),16.46)</f>
        <v>16.46</v>
      </c>
      <c r="G604" s="2">
        <f t="shared" si="2"/>
        <v>16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B605" s="3"/>
      <c r="C605" s="3"/>
      <c r="D605" s="3"/>
      <c r="E605" s="3"/>
      <c r="F605" s="2">
        <f>IFERROR(__xludf.DUMMYFUNCTION("""COMPUTED_VALUE"""),16.24)</f>
        <v>16.24</v>
      </c>
      <c r="G605" s="2">
        <f t="shared" si="2"/>
        <v>16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B606" s="3"/>
      <c r="C606" s="3"/>
      <c r="D606" s="3"/>
      <c r="E606" s="3"/>
      <c r="F606" s="2">
        <f>IFERROR(__xludf.DUMMYFUNCTION("""COMPUTED_VALUE"""),8.5)</f>
        <v>8.5</v>
      </c>
      <c r="G606" s="2">
        <f t="shared" si="2"/>
        <v>9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B607" s="3"/>
      <c r="C607" s="3"/>
      <c r="D607" s="3"/>
      <c r="E607" s="3"/>
      <c r="F607" s="2">
        <f>IFERROR(__xludf.DUMMYFUNCTION("""COMPUTED_VALUE"""),12.42)</f>
        <v>12.42</v>
      </c>
      <c r="G607" s="2">
        <f t="shared" si="2"/>
        <v>12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B608" s="3"/>
      <c r="C608" s="3"/>
      <c r="D608" s="3"/>
      <c r="E608" s="3"/>
      <c r="F608" s="2">
        <f>IFERROR(__xludf.DUMMYFUNCTION("""COMPUTED_VALUE"""),19.08)</f>
        <v>19.08</v>
      </c>
      <c r="G608" s="2">
        <f t="shared" si="2"/>
        <v>19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B609" s="3"/>
      <c r="C609" s="3"/>
      <c r="D609" s="3"/>
      <c r="E609" s="3"/>
      <c r="F609" s="2">
        <f>IFERROR(__xludf.DUMMYFUNCTION("""COMPUTED_VALUE"""),8.42)</f>
        <v>8.42</v>
      </c>
      <c r="G609" s="2">
        <f t="shared" si="2"/>
        <v>8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B610" s="3"/>
      <c r="C610" s="3"/>
      <c r="D610" s="3"/>
      <c r="E610" s="3"/>
      <c r="F610" s="2">
        <f>IFERROR(__xludf.DUMMYFUNCTION("""COMPUTED_VALUE"""),32.42)</f>
        <v>32.42</v>
      </c>
      <c r="G610" s="2">
        <f t="shared" si="2"/>
        <v>32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B611" s="3"/>
      <c r="C611" s="3"/>
      <c r="D611" s="3"/>
      <c r="E611" s="3"/>
      <c r="F611" s="2">
        <f>IFERROR(__xludf.DUMMYFUNCTION("""COMPUTED_VALUE"""),13.08)</f>
        <v>13.08</v>
      </c>
      <c r="G611" s="2">
        <f t="shared" si="2"/>
        <v>13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B612" s="3"/>
      <c r="C612" s="3"/>
      <c r="D612" s="3"/>
      <c r="E612" s="3"/>
      <c r="F612" s="2">
        <f>IFERROR(__xludf.DUMMYFUNCTION("""COMPUTED_VALUE"""),11.3)</f>
        <v>11.3</v>
      </c>
      <c r="G612" s="2">
        <f t="shared" si="2"/>
        <v>11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B613" s="3"/>
      <c r="C613" s="3"/>
      <c r="D613" s="3"/>
      <c r="E613" s="3"/>
      <c r="F613" s="2">
        <f>IFERROR(__xludf.DUMMYFUNCTION("""COMPUTED_VALUE"""),27.08)</f>
        <v>27.08</v>
      </c>
      <c r="G613" s="2">
        <f t="shared" si="2"/>
        <v>27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B614" s="3"/>
      <c r="C614" s="3"/>
      <c r="D614" s="3"/>
      <c r="E614" s="3"/>
      <c r="F614" s="2">
        <f>IFERROR(__xludf.DUMMYFUNCTION("""COMPUTED_VALUE"""),18.9)</f>
        <v>18.9</v>
      </c>
      <c r="G614" s="2">
        <f t="shared" si="2"/>
        <v>19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B615" s="3"/>
      <c r="C615" s="3"/>
      <c r="D615" s="3"/>
      <c r="E615" s="3"/>
      <c r="F615" s="2">
        <f>IFERROR(__xludf.DUMMYFUNCTION("""COMPUTED_VALUE"""),10.48)</f>
        <v>10.48</v>
      </c>
      <c r="G615" s="2">
        <f t="shared" si="2"/>
        <v>10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B616" s="3"/>
      <c r="C616" s="3"/>
      <c r="D616" s="3"/>
      <c r="E616" s="3"/>
      <c r="F616" s="2">
        <f>IFERROR(__xludf.DUMMYFUNCTION("""COMPUTED_VALUE"""),8.42)</f>
        <v>8.42</v>
      </c>
      <c r="G616" s="2">
        <f t="shared" si="2"/>
        <v>8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B617" s="3"/>
      <c r="C617" s="3"/>
      <c r="D617" s="3"/>
      <c r="E617" s="3"/>
      <c r="F617" s="2">
        <f>IFERROR(__xludf.DUMMYFUNCTION("""COMPUTED_VALUE"""),8.42)</f>
        <v>8.42</v>
      </c>
      <c r="G617" s="2">
        <f t="shared" si="2"/>
        <v>8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B618" s="3"/>
      <c r="C618" s="3"/>
      <c r="D618" s="3"/>
      <c r="E618" s="3"/>
      <c r="F618" s="2">
        <f>IFERROR(__xludf.DUMMYFUNCTION("""COMPUTED_VALUE"""),38.46)</f>
        <v>38.46</v>
      </c>
      <c r="G618" s="2">
        <f t="shared" si="2"/>
        <v>38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B619" s="3"/>
      <c r="C619" s="3"/>
      <c r="D619" s="3"/>
      <c r="E619" s="3"/>
      <c r="F619" s="2">
        <f>IFERROR(__xludf.DUMMYFUNCTION("""COMPUTED_VALUE"""),27.08)</f>
        <v>27.08</v>
      </c>
      <c r="G619" s="2">
        <f t="shared" si="2"/>
        <v>27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B620" s="3"/>
      <c r="C620" s="3"/>
      <c r="D620" s="3"/>
      <c r="E620" s="3"/>
      <c r="F620" s="2">
        <f>IFERROR(__xludf.DUMMYFUNCTION("""COMPUTED_VALUE"""),38.46)</f>
        <v>38.46</v>
      </c>
      <c r="G620" s="2">
        <f t="shared" si="2"/>
        <v>38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B621" s="3"/>
      <c r="C621" s="3"/>
      <c r="D621" s="3"/>
      <c r="E621" s="3"/>
      <c r="F621" s="2">
        <f>IFERROR(__xludf.DUMMYFUNCTION("""COMPUTED_VALUE"""),12.42)</f>
        <v>12.42</v>
      </c>
      <c r="G621" s="2">
        <f t="shared" si="2"/>
        <v>12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B622" s="3"/>
      <c r="C622" s="3"/>
      <c r="D622" s="3"/>
      <c r="E622" s="3"/>
      <c r="F622" s="2">
        <f>IFERROR(__xludf.DUMMYFUNCTION("""COMPUTED_VALUE"""),13.08)</f>
        <v>13.08</v>
      </c>
      <c r="G622" s="2">
        <f t="shared" si="2"/>
        <v>13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B623" s="3"/>
      <c r="C623" s="3"/>
      <c r="D623" s="3"/>
      <c r="E623" s="3"/>
      <c r="F623" s="2">
        <f>IFERROR(__xludf.DUMMYFUNCTION("""COMPUTED_VALUE"""),27.08)</f>
        <v>27.08</v>
      </c>
      <c r="G623" s="2">
        <f t="shared" si="2"/>
        <v>27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B624" s="3"/>
      <c r="C624" s="3"/>
      <c r="D624" s="3"/>
      <c r="E624" s="3"/>
      <c r="F624" s="2">
        <f>IFERROR(__xludf.DUMMYFUNCTION("""COMPUTED_VALUE"""),16.46)</f>
        <v>16.46</v>
      </c>
      <c r="G624" s="2">
        <f t="shared" si="2"/>
        <v>16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B625" s="3"/>
      <c r="C625" s="3"/>
      <c r="D625" s="3"/>
      <c r="E625" s="3"/>
      <c r="F625" s="2">
        <f>IFERROR(__xludf.DUMMYFUNCTION("""COMPUTED_VALUE"""),16.24)</f>
        <v>16.24</v>
      </c>
      <c r="G625" s="2">
        <f t="shared" si="2"/>
        <v>16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B626" s="3"/>
      <c r="C626" s="3"/>
      <c r="D626" s="3"/>
      <c r="E626" s="3"/>
      <c r="F626" s="2">
        <f>IFERROR(__xludf.DUMMYFUNCTION("""COMPUTED_VALUE"""),57.12)</f>
        <v>57.12</v>
      </c>
      <c r="G626" s="2">
        <f t="shared" si="2"/>
        <v>57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B627" s="3"/>
      <c r="C627" s="3"/>
      <c r="D627" s="3"/>
      <c r="E627" s="3"/>
      <c r="F627" s="2">
        <f>IFERROR(__xludf.DUMMYFUNCTION("""COMPUTED_VALUE"""),10.48)</f>
        <v>10.48</v>
      </c>
      <c r="G627" s="2">
        <f t="shared" si="2"/>
        <v>10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B628" s="3"/>
      <c r="C628" s="3"/>
      <c r="D628" s="3"/>
      <c r="E628" s="3"/>
      <c r="F628" s="2">
        <f>IFERROR(__xludf.DUMMYFUNCTION("""COMPUTED_VALUE"""),38.46)</f>
        <v>38.46</v>
      </c>
      <c r="G628" s="2">
        <f t="shared" si="2"/>
        <v>38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B629" s="3"/>
      <c r="C629" s="3"/>
      <c r="D629" s="3"/>
      <c r="E629" s="3"/>
      <c r="F629" s="2">
        <f>IFERROR(__xludf.DUMMYFUNCTION("""COMPUTED_VALUE"""),22.46)</f>
        <v>22.46</v>
      </c>
      <c r="G629" s="2">
        <f t="shared" si="2"/>
        <v>22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B630" s="3"/>
      <c r="C630" s="3"/>
      <c r="D630" s="3"/>
      <c r="E630" s="3"/>
      <c r="F630" s="2">
        <f>IFERROR(__xludf.DUMMYFUNCTION("""COMPUTED_VALUE"""),16.46)</f>
        <v>16.46</v>
      </c>
      <c r="G630" s="2">
        <f t="shared" si="2"/>
        <v>16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B631" s="3"/>
      <c r="C631" s="3"/>
      <c r="D631" s="3"/>
      <c r="E631" s="3"/>
      <c r="F631" s="2">
        <f>IFERROR(__xludf.DUMMYFUNCTION("""COMPUTED_VALUE"""),16.46)</f>
        <v>16.46</v>
      </c>
      <c r="G631" s="2">
        <f t="shared" si="2"/>
        <v>16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B632" s="3"/>
      <c r="C632" s="3"/>
      <c r="D632" s="3"/>
      <c r="E632" s="3"/>
      <c r="F632" s="2">
        <f>IFERROR(__xludf.DUMMYFUNCTION("""COMPUTED_VALUE"""),27.08)</f>
        <v>27.08</v>
      </c>
      <c r="G632" s="2">
        <f t="shared" si="2"/>
        <v>27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B633" s="3"/>
      <c r="C633" s="3"/>
      <c r="D633" s="3"/>
      <c r="E633" s="3"/>
      <c r="F633" s="2">
        <f>IFERROR(__xludf.DUMMYFUNCTION("""COMPUTED_VALUE"""),27.08)</f>
        <v>27.08</v>
      </c>
      <c r="G633" s="2">
        <f t="shared" si="2"/>
        <v>27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B634" s="3"/>
      <c r="C634" s="3"/>
      <c r="D634" s="3"/>
      <c r="E634" s="3"/>
      <c r="F634" s="2">
        <f>IFERROR(__xludf.DUMMYFUNCTION("""COMPUTED_VALUE"""),12.42)</f>
        <v>12.42</v>
      </c>
      <c r="G634" s="2">
        <f t="shared" si="2"/>
        <v>12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B635" s="3"/>
      <c r="C635" s="3"/>
      <c r="D635" s="3"/>
      <c r="E635" s="3"/>
      <c r="F635" s="2">
        <f>IFERROR(__xludf.DUMMYFUNCTION("""COMPUTED_VALUE"""),10.42)</f>
        <v>10.42</v>
      </c>
      <c r="G635" s="2">
        <f t="shared" si="2"/>
        <v>10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B636" s="3"/>
      <c r="C636" s="3"/>
      <c r="D636" s="3"/>
      <c r="E636" s="3"/>
      <c r="F636" s="2">
        <f>IFERROR(__xludf.DUMMYFUNCTION("""COMPUTED_VALUE"""),16.24)</f>
        <v>16.24</v>
      </c>
      <c r="G636" s="2">
        <f t="shared" si="2"/>
        <v>16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B637" s="3"/>
      <c r="C637" s="3"/>
      <c r="D637" s="3"/>
      <c r="E637" s="3"/>
      <c r="F637" s="2">
        <f>IFERROR(__xludf.DUMMYFUNCTION("""COMPUTED_VALUE"""),13.08)</f>
        <v>13.08</v>
      </c>
      <c r="G637" s="2">
        <f t="shared" si="2"/>
        <v>13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B638" s="3"/>
      <c r="C638" s="3"/>
      <c r="D638" s="3"/>
      <c r="E638" s="3"/>
      <c r="F638" s="2">
        <f>IFERROR(__xludf.DUMMYFUNCTION("""COMPUTED_VALUE"""),6.5)</f>
        <v>6.5</v>
      </c>
      <c r="G638" s="2">
        <f t="shared" si="2"/>
        <v>7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B639" s="3"/>
      <c r="C639" s="3"/>
      <c r="D639" s="3"/>
      <c r="E639" s="3"/>
      <c r="F639" s="2">
        <f>IFERROR(__xludf.DUMMYFUNCTION("""COMPUTED_VALUE"""),57.12)</f>
        <v>57.12</v>
      </c>
      <c r="G639" s="2">
        <f t="shared" si="2"/>
        <v>57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B640" s="3"/>
      <c r="C640" s="3"/>
      <c r="D640" s="3"/>
      <c r="E640" s="3"/>
      <c r="F640" s="2">
        <f>IFERROR(__xludf.DUMMYFUNCTION("""COMPUTED_VALUE"""),57.12)</f>
        <v>57.12</v>
      </c>
      <c r="G640" s="2">
        <f t="shared" si="2"/>
        <v>57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B641" s="3"/>
      <c r="C641" s="3"/>
      <c r="D641" s="3"/>
      <c r="E641" s="3"/>
      <c r="F641" s="2">
        <f>IFERROR(__xludf.DUMMYFUNCTION("""COMPUTED_VALUE"""),10.42)</f>
        <v>10.42</v>
      </c>
      <c r="G641" s="2">
        <f t="shared" si="2"/>
        <v>10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B642" s="3"/>
      <c r="C642" s="3"/>
      <c r="D642" s="3"/>
      <c r="E642" s="3"/>
      <c r="F642" s="2">
        <f>IFERROR(__xludf.DUMMYFUNCTION("""COMPUTED_VALUE"""),24.48)</f>
        <v>24.48</v>
      </c>
      <c r="G642" s="2">
        <f t="shared" si="2"/>
        <v>24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B643" s="3"/>
      <c r="C643" s="3"/>
      <c r="D643" s="3"/>
      <c r="E643" s="3"/>
      <c r="F643" s="2">
        <f>IFERROR(__xludf.DUMMYFUNCTION("""COMPUTED_VALUE"""),16.24)</f>
        <v>16.24</v>
      </c>
      <c r="G643" s="2">
        <f t="shared" si="2"/>
        <v>16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B644" s="3"/>
      <c r="C644" s="3"/>
      <c r="D644" s="3"/>
      <c r="E644" s="3"/>
      <c r="F644" s="2">
        <f>IFERROR(__xludf.DUMMYFUNCTION("""COMPUTED_VALUE"""),16.24)</f>
        <v>16.24</v>
      </c>
      <c r="G644" s="2">
        <f t="shared" si="2"/>
        <v>16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B645" s="3"/>
      <c r="C645" s="3"/>
      <c r="D645" s="3"/>
      <c r="E645" s="3"/>
      <c r="F645" s="2">
        <f>IFERROR(__xludf.DUMMYFUNCTION("""COMPUTED_VALUE"""),24.48)</f>
        <v>24.48</v>
      </c>
      <c r="G645" s="2">
        <f t="shared" si="2"/>
        <v>24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B646" s="3"/>
      <c r="C646" s="3"/>
      <c r="D646" s="3"/>
      <c r="E646" s="3"/>
      <c r="F646" s="2">
        <f>IFERROR(__xludf.DUMMYFUNCTION("""COMPUTED_VALUE"""),7.3)</f>
        <v>7.3</v>
      </c>
      <c r="G646" s="2">
        <f t="shared" si="2"/>
        <v>7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B647" s="3"/>
      <c r="C647" s="3"/>
      <c r="D647" s="3"/>
      <c r="E647" s="3"/>
      <c r="F647" s="2">
        <f>IFERROR(__xludf.DUMMYFUNCTION("""COMPUTED_VALUE"""),10.42)</f>
        <v>10.42</v>
      </c>
      <c r="G647" s="2">
        <f t="shared" si="2"/>
        <v>10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B648" s="3"/>
      <c r="C648" s="3"/>
      <c r="D648" s="3"/>
      <c r="E648" s="3"/>
      <c r="F648" s="2">
        <f>IFERROR(__xludf.DUMMYFUNCTION("""COMPUTED_VALUE"""),7.02)</f>
        <v>7.02</v>
      </c>
      <c r="G648" s="2">
        <f t="shared" si="2"/>
        <v>7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B649" s="3"/>
      <c r="C649" s="3"/>
      <c r="D649" s="3"/>
      <c r="E649" s="3"/>
      <c r="F649" s="2">
        <f>IFERROR(__xludf.DUMMYFUNCTION("""COMPUTED_VALUE"""),17.08)</f>
        <v>17.08</v>
      </c>
      <c r="G649" s="2">
        <f t="shared" si="2"/>
        <v>17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B650" s="3"/>
      <c r="C650" s="3"/>
      <c r="D650" s="3"/>
      <c r="E650" s="3"/>
      <c r="F650" s="2">
        <f>IFERROR(__xludf.DUMMYFUNCTION("""COMPUTED_VALUE"""),30.9)</f>
        <v>30.9</v>
      </c>
      <c r="G650" s="2">
        <f t="shared" si="2"/>
        <v>31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B651" s="3"/>
      <c r="C651" s="3"/>
      <c r="D651" s="3"/>
      <c r="E651" s="3"/>
      <c r="F651" s="2">
        <f>IFERROR(__xludf.DUMMYFUNCTION("""COMPUTED_VALUE"""),11.3)</f>
        <v>11.3</v>
      </c>
      <c r="G651" s="2">
        <f t="shared" si="2"/>
        <v>11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B652" s="3"/>
      <c r="C652" s="3"/>
      <c r="D652" s="3"/>
      <c r="E652" s="3"/>
      <c r="F652" s="2">
        <f>IFERROR(__xludf.DUMMYFUNCTION("""COMPUTED_VALUE"""),22.5)</f>
        <v>22.5</v>
      </c>
      <c r="G652" s="2">
        <f t="shared" si="2"/>
        <v>23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B653" s="3"/>
      <c r="C653" s="3"/>
      <c r="D653" s="3"/>
      <c r="E653" s="3"/>
      <c r="F653" s="2">
        <f>IFERROR(__xludf.DUMMYFUNCTION("""COMPUTED_VALUE"""),25.12)</f>
        <v>25.12</v>
      </c>
      <c r="G653" s="2">
        <f t="shared" si="2"/>
        <v>25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B654" s="3"/>
      <c r="C654" s="3"/>
      <c r="D654" s="3"/>
      <c r="E654" s="3"/>
      <c r="F654" s="2">
        <f>IFERROR(__xludf.DUMMYFUNCTION("""COMPUTED_VALUE"""),22.46)</f>
        <v>22.46</v>
      </c>
      <c r="G654" s="2">
        <f t="shared" si="2"/>
        <v>22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B655" s="3"/>
      <c r="C655" s="3"/>
      <c r="D655" s="3"/>
      <c r="E655" s="3"/>
      <c r="F655" s="2">
        <f>IFERROR(__xludf.DUMMYFUNCTION("""COMPUTED_VALUE"""),7.3)</f>
        <v>7.3</v>
      </c>
      <c r="G655" s="2">
        <f t="shared" si="2"/>
        <v>7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B656" s="3"/>
      <c r="C656" s="3"/>
      <c r="D656" s="3"/>
      <c r="E656" s="3"/>
      <c r="F656" s="2">
        <f>IFERROR(__xludf.DUMMYFUNCTION("""COMPUTED_VALUE"""),14.5)</f>
        <v>14.5</v>
      </c>
      <c r="G656" s="2">
        <f t="shared" si="2"/>
        <v>15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B657" s="3"/>
      <c r="C657" s="3"/>
      <c r="D657" s="3"/>
      <c r="E657" s="3"/>
      <c r="F657" s="2">
        <f>IFERROR(__xludf.DUMMYFUNCTION("""COMPUTED_VALUE"""),12.42)</f>
        <v>12.42</v>
      </c>
      <c r="G657" s="2">
        <f t="shared" si="2"/>
        <v>12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B658" s="3"/>
      <c r="C658" s="3"/>
      <c r="D658" s="3"/>
      <c r="E658" s="3"/>
      <c r="F658" s="2">
        <f>IFERROR(__xludf.DUMMYFUNCTION("""COMPUTED_VALUE"""),32.42)</f>
        <v>32.42</v>
      </c>
      <c r="G658" s="2">
        <f t="shared" si="2"/>
        <v>32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B659" s="3"/>
      <c r="C659" s="3"/>
      <c r="D659" s="3"/>
      <c r="E659" s="3"/>
      <c r="F659" s="2">
        <f>IFERROR(__xludf.DUMMYFUNCTION("""COMPUTED_VALUE"""),34.46)</f>
        <v>34.46</v>
      </c>
      <c r="G659" s="2">
        <f t="shared" si="2"/>
        <v>34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B660" s="3"/>
      <c r="C660" s="3"/>
      <c r="D660" s="3"/>
      <c r="E660" s="3"/>
      <c r="F660" s="2">
        <f>IFERROR(__xludf.DUMMYFUNCTION("""COMPUTED_VALUE"""),34.46)</f>
        <v>34.46</v>
      </c>
      <c r="G660" s="2">
        <f t="shared" si="2"/>
        <v>34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B661" s="3"/>
      <c r="C661" s="3"/>
      <c r="D661" s="3"/>
      <c r="E661" s="3"/>
      <c r="F661" s="2">
        <f>IFERROR(__xludf.DUMMYFUNCTION("""COMPUTED_VALUE"""),10.48)</f>
        <v>10.48</v>
      </c>
      <c r="G661" s="2">
        <f t="shared" si="2"/>
        <v>10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B662" s="3"/>
      <c r="C662" s="3"/>
      <c r="D662" s="3"/>
      <c r="E662" s="3"/>
      <c r="F662" s="2">
        <f>IFERROR(__xludf.DUMMYFUNCTION("""COMPUTED_VALUE"""),32.42)</f>
        <v>32.42</v>
      </c>
      <c r="G662" s="2">
        <f t="shared" si="2"/>
        <v>32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B663" s="3"/>
      <c r="C663" s="3"/>
      <c r="D663" s="3"/>
      <c r="E663" s="3"/>
      <c r="F663" s="2">
        <f>IFERROR(__xludf.DUMMYFUNCTION("""COMPUTED_VALUE"""),23.08)</f>
        <v>23.08</v>
      </c>
      <c r="G663" s="2">
        <f t="shared" si="2"/>
        <v>23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B664" s="3"/>
      <c r="C664" s="3"/>
      <c r="D664" s="3"/>
      <c r="E664" s="3"/>
      <c r="F664" s="2">
        <f>IFERROR(__xludf.DUMMYFUNCTION("""COMPUTED_VALUE"""),11.3)</f>
        <v>11.3</v>
      </c>
      <c r="G664" s="2">
        <f t="shared" si="2"/>
        <v>11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B665" s="3"/>
      <c r="C665" s="3"/>
      <c r="D665" s="3"/>
      <c r="E665" s="3"/>
      <c r="F665" s="2">
        <f>IFERROR(__xludf.DUMMYFUNCTION("""COMPUTED_VALUE"""),13.08)</f>
        <v>13.08</v>
      </c>
      <c r="G665" s="2">
        <f t="shared" si="2"/>
        <v>13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B666" s="3"/>
      <c r="C666" s="3"/>
      <c r="D666" s="3"/>
      <c r="E666" s="3"/>
      <c r="F666" s="2">
        <f>IFERROR(__xludf.DUMMYFUNCTION("""COMPUTED_VALUE"""),38.46)</f>
        <v>38.46</v>
      </c>
      <c r="G666" s="2">
        <f t="shared" si="2"/>
        <v>38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B667" s="3"/>
      <c r="C667" s="3"/>
      <c r="D667" s="3"/>
      <c r="E667" s="3"/>
      <c r="F667" s="2">
        <f>IFERROR(__xludf.DUMMYFUNCTION("""COMPUTED_VALUE"""),8.5)</f>
        <v>8.5</v>
      </c>
      <c r="G667" s="2">
        <f t="shared" si="2"/>
        <v>9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B668" s="3"/>
      <c r="C668" s="3"/>
      <c r="D668" s="3"/>
      <c r="E668" s="3"/>
      <c r="F668" s="2">
        <f>IFERROR(__xludf.DUMMYFUNCTION("""COMPUTED_VALUE"""),30.9)</f>
        <v>30.9</v>
      </c>
      <c r="G668" s="2">
        <f t="shared" si="2"/>
        <v>31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B669" s="3"/>
      <c r="C669" s="3"/>
      <c r="D669" s="3"/>
      <c r="E669" s="3"/>
      <c r="F669" s="2">
        <f>IFERROR(__xludf.DUMMYFUNCTION("""COMPUTED_VALUE"""),23.08)</f>
        <v>23.08</v>
      </c>
      <c r="G669" s="2">
        <f t="shared" si="2"/>
        <v>23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B670" s="3"/>
      <c r="C670" s="3"/>
      <c r="D670" s="3"/>
      <c r="E670" s="3"/>
      <c r="F670" s="2">
        <f>IFERROR(__xludf.DUMMYFUNCTION("""COMPUTED_VALUE"""),16.46)</f>
        <v>16.46</v>
      </c>
      <c r="G670" s="2">
        <f t="shared" si="2"/>
        <v>16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B671" s="3"/>
      <c r="C671" s="3"/>
      <c r="D671" s="3"/>
      <c r="E671" s="3"/>
      <c r="F671" s="2">
        <f>IFERROR(__xludf.DUMMYFUNCTION("""COMPUTED_VALUE"""),25.12)</f>
        <v>25.12</v>
      </c>
      <c r="G671" s="2">
        <f t="shared" si="2"/>
        <v>25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B672" s="3"/>
      <c r="C672" s="3"/>
      <c r="D672" s="3"/>
      <c r="E672" s="3"/>
      <c r="F672" s="2">
        <f>IFERROR(__xludf.DUMMYFUNCTION("""COMPUTED_VALUE"""),14.5)</f>
        <v>14.5</v>
      </c>
      <c r="G672" s="2">
        <f t="shared" si="2"/>
        <v>15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B673" s="3"/>
      <c r="C673" s="3"/>
      <c r="D673" s="3"/>
      <c r="E673" s="3"/>
      <c r="F673" s="2">
        <f>IFERROR(__xludf.DUMMYFUNCTION("""COMPUTED_VALUE"""),10.48)</f>
        <v>10.48</v>
      </c>
      <c r="G673" s="2">
        <f t="shared" si="2"/>
        <v>10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B674" s="3"/>
      <c r="C674" s="3"/>
      <c r="D674" s="3"/>
      <c r="E674" s="3"/>
      <c r="F674" s="2">
        <f>IFERROR(__xludf.DUMMYFUNCTION("""COMPUTED_VALUE"""),24.72)</f>
        <v>24.72</v>
      </c>
      <c r="G674" s="2">
        <f t="shared" si="2"/>
        <v>25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B675" s="3"/>
      <c r="C675" s="3"/>
      <c r="D675" s="3"/>
      <c r="E675" s="3"/>
      <c r="F675" s="2">
        <f>IFERROR(__xludf.DUMMYFUNCTION("""COMPUTED_VALUE"""),12.42)</f>
        <v>12.42</v>
      </c>
      <c r="G675" s="2">
        <f t="shared" si="2"/>
        <v>12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B676" s="3"/>
      <c r="C676" s="3"/>
      <c r="D676" s="3"/>
      <c r="E676" s="3"/>
      <c r="F676" s="2">
        <f>IFERROR(__xludf.DUMMYFUNCTION("""COMPUTED_VALUE"""),13.08)</f>
        <v>13.08</v>
      </c>
      <c r="G676" s="2">
        <f t="shared" si="2"/>
        <v>13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B677" s="3"/>
      <c r="C677" s="3"/>
      <c r="D677" s="3"/>
      <c r="E677" s="3"/>
      <c r="F677" s="2">
        <f>IFERROR(__xludf.DUMMYFUNCTION("""COMPUTED_VALUE"""),10.48)</f>
        <v>10.48</v>
      </c>
      <c r="G677" s="2">
        <f t="shared" si="2"/>
        <v>10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B678" s="3"/>
      <c r="C678" s="3"/>
      <c r="D678" s="3"/>
      <c r="E678" s="3"/>
      <c r="F678" s="2">
        <f>IFERROR(__xludf.DUMMYFUNCTION("""COMPUTED_VALUE"""),27.08)</f>
        <v>27.08</v>
      </c>
      <c r="G678" s="2">
        <f t="shared" si="2"/>
        <v>27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B679" s="3"/>
      <c r="C679" s="3"/>
      <c r="D679" s="3"/>
      <c r="E679" s="3"/>
      <c r="F679" s="2">
        <f>IFERROR(__xludf.DUMMYFUNCTION("""COMPUTED_VALUE"""),34.46)</f>
        <v>34.46</v>
      </c>
      <c r="G679" s="2">
        <f t="shared" si="2"/>
        <v>34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B680" s="3"/>
      <c r="C680" s="3"/>
      <c r="D680" s="3"/>
      <c r="E680" s="3"/>
      <c r="F680" s="2">
        <f>IFERROR(__xludf.DUMMYFUNCTION("""COMPUTED_VALUE"""),18.9)</f>
        <v>18.9</v>
      </c>
      <c r="G680" s="2">
        <f t="shared" si="2"/>
        <v>19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B681" s="3"/>
      <c r="C681" s="3"/>
      <c r="D681" s="3"/>
      <c r="E681" s="3"/>
      <c r="F681" s="2">
        <f>IFERROR(__xludf.DUMMYFUNCTION("""COMPUTED_VALUE"""),19.08)</f>
        <v>19.08</v>
      </c>
      <c r="G681" s="2">
        <f t="shared" si="2"/>
        <v>19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B682" s="3"/>
      <c r="C682" s="3"/>
      <c r="D682" s="3"/>
      <c r="E682" s="3"/>
      <c r="F682" s="2">
        <f>IFERROR(__xludf.DUMMYFUNCTION("""COMPUTED_VALUE"""),28.5)</f>
        <v>28.5</v>
      </c>
      <c r="G682" s="2">
        <f t="shared" si="2"/>
        <v>29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B683" s="3"/>
      <c r="C683" s="3"/>
      <c r="D683" s="3"/>
      <c r="E683" s="3"/>
      <c r="F683" s="2">
        <f>IFERROR(__xludf.DUMMYFUNCTION("""COMPUTED_VALUE"""),11.3)</f>
        <v>11.3</v>
      </c>
      <c r="G683" s="2">
        <f t="shared" si="2"/>
        <v>11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B684" s="3"/>
      <c r="C684" s="3"/>
      <c r="D684" s="3"/>
      <c r="E684" s="3"/>
      <c r="F684" s="2">
        <f>IFERROR(__xludf.DUMMYFUNCTION("""COMPUTED_VALUE"""),16.24)</f>
        <v>16.24</v>
      </c>
      <c r="G684" s="2">
        <f t="shared" si="2"/>
        <v>16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B685" s="3"/>
      <c r="C685" s="3"/>
      <c r="D685" s="3"/>
      <c r="E685" s="3"/>
      <c r="F685" s="2">
        <f>IFERROR(__xludf.DUMMYFUNCTION("""COMPUTED_VALUE"""),23.08)</f>
        <v>23.08</v>
      </c>
      <c r="G685" s="2">
        <f t="shared" si="2"/>
        <v>23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B686" s="3"/>
      <c r="C686" s="3"/>
      <c r="D686" s="3"/>
      <c r="E686" s="3"/>
      <c r="F686" s="2">
        <f>IFERROR(__xludf.DUMMYFUNCTION("""COMPUTED_VALUE"""),13.08)</f>
        <v>13.08</v>
      </c>
      <c r="G686" s="2">
        <f t="shared" si="2"/>
        <v>13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B687" s="3"/>
      <c r="C687" s="3"/>
      <c r="D687" s="3"/>
      <c r="E687" s="3"/>
      <c r="F687" s="2">
        <f>IFERROR(__xludf.DUMMYFUNCTION("""COMPUTED_VALUE"""),38.46)</f>
        <v>38.46</v>
      </c>
      <c r="G687" s="2">
        <f t="shared" si="2"/>
        <v>38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B688" s="3"/>
      <c r="C688" s="3"/>
      <c r="D688" s="3"/>
      <c r="E688" s="3"/>
      <c r="F688" s="2">
        <f>IFERROR(__xludf.DUMMYFUNCTION("""COMPUTED_VALUE"""),16.46)</f>
        <v>16.46</v>
      </c>
      <c r="G688" s="2">
        <f t="shared" si="2"/>
        <v>16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B689" s="3"/>
      <c r="C689" s="3"/>
      <c r="D689" s="3"/>
      <c r="E689" s="3"/>
      <c r="F689" s="2">
        <f>IFERROR(__xludf.DUMMYFUNCTION("""COMPUTED_VALUE"""),23.08)</f>
        <v>23.08</v>
      </c>
      <c r="G689" s="2">
        <f t="shared" si="2"/>
        <v>23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B690" s="3"/>
      <c r="C690" s="3"/>
      <c r="D690" s="3"/>
      <c r="E690" s="3"/>
      <c r="F690" s="2">
        <f>IFERROR(__xludf.DUMMYFUNCTION("""COMPUTED_VALUE"""),6.5)</f>
        <v>6.5</v>
      </c>
      <c r="G690" s="2">
        <f t="shared" si="2"/>
        <v>7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B691" s="3"/>
      <c r="C691" s="3"/>
      <c r="D691" s="3"/>
      <c r="E691" s="3"/>
      <c r="F691" s="2">
        <f>IFERROR(__xludf.DUMMYFUNCTION("""COMPUTED_VALUE"""),13.08)</f>
        <v>13.08</v>
      </c>
      <c r="G691" s="2">
        <f t="shared" si="2"/>
        <v>13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B692" s="3"/>
      <c r="C692" s="3"/>
      <c r="D692" s="3"/>
      <c r="E692" s="3"/>
      <c r="F692" s="2">
        <f>IFERROR(__xludf.DUMMYFUNCTION("""COMPUTED_VALUE"""),37.12)</f>
        <v>37.12</v>
      </c>
      <c r="G692" s="2">
        <f t="shared" si="2"/>
        <v>37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B693" s="3"/>
      <c r="C693" s="3"/>
      <c r="D693" s="3"/>
      <c r="E693" s="3"/>
      <c r="F693" s="2">
        <f>IFERROR(__xludf.DUMMYFUNCTION("""COMPUTED_VALUE"""),38.46)</f>
        <v>38.46</v>
      </c>
      <c r="G693" s="2">
        <f t="shared" si="2"/>
        <v>38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B694" s="3"/>
      <c r="C694" s="3"/>
      <c r="D694" s="3"/>
      <c r="E694" s="3"/>
      <c r="F694" s="2">
        <f>IFERROR(__xludf.DUMMYFUNCTION("""COMPUTED_VALUE"""),14.5)</f>
        <v>14.5</v>
      </c>
      <c r="G694" s="2">
        <f t="shared" si="2"/>
        <v>15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B695" s="3"/>
      <c r="C695" s="3"/>
      <c r="D695" s="3"/>
      <c r="E695" s="3"/>
      <c r="F695" s="2">
        <f>IFERROR(__xludf.DUMMYFUNCTION("""COMPUTED_VALUE"""),7.02)</f>
        <v>7.02</v>
      </c>
      <c r="G695" s="2">
        <f t="shared" si="2"/>
        <v>7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B696" s="3"/>
      <c r="C696" s="3"/>
      <c r="D696" s="3"/>
      <c r="E696" s="3"/>
      <c r="F696" s="2">
        <f>IFERROR(__xludf.DUMMYFUNCTION("""COMPUTED_VALUE"""),11.3)</f>
        <v>11.3</v>
      </c>
      <c r="G696" s="2">
        <f t="shared" si="2"/>
        <v>11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B697" s="3"/>
      <c r="C697" s="3"/>
      <c r="D697" s="3"/>
      <c r="E697" s="3"/>
      <c r="F697" s="2">
        <f>IFERROR(__xludf.DUMMYFUNCTION("""COMPUTED_VALUE"""),7.02)</f>
        <v>7.02</v>
      </c>
      <c r="G697" s="2">
        <f t="shared" si="2"/>
        <v>7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B698" s="3"/>
      <c r="C698" s="3"/>
      <c r="D698" s="3"/>
      <c r="E698" s="3"/>
      <c r="F698" s="2">
        <f>IFERROR(__xludf.DUMMYFUNCTION("""COMPUTED_VALUE"""),10.48)</f>
        <v>10.48</v>
      </c>
      <c r="G698" s="2">
        <f t="shared" si="2"/>
        <v>10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B699" s="3"/>
      <c r="C699" s="3"/>
      <c r="D699" s="3"/>
      <c r="E699" s="3"/>
      <c r="F699" s="2">
        <f>IFERROR(__xludf.DUMMYFUNCTION("""COMPUTED_VALUE"""),13.08)</f>
        <v>13.08</v>
      </c>
      <c r="G699" s="2">
        <f t="shared" si="2"/>
        <v>13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B700" s="3"/>
      <c r="C700" s="3"/>
      <c r="D700" s="3"/>
      <c r="E700" s="3"/>
      <c r="F700" s="2">
        <f>IFERROR(__xludf.DUMMYFUNCTION("""COMPUTED_VALUE"""),24.72)</f>
        <v>24.72</v>
      </c>
      <c r="G700" s="2">
        <f t="shared" si="2"/>
        <v>25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B701" s="3"/>
      <c r="C701" s="3"/>
      <c r="D701" s="3"/>
      <c r="E701" s="3"/>
      <c r="F701" s="2">
        <f>IFERROR(__xludf.DUMMYFUNCTION("""COMPUTED_VALUE"""),12.42)</f>
        <v>12.42</v>
      </c>
      <c r="G701" s="2">
        <f t="shared" si="2"/>
        <v>12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B702" s="3"/>
      <c r="C702" s="3"/>
      <c r="D702" s="3"/>
      <c r="E702" s="3"/>
      <c r="F702" s="2">
        <f>IFERROR(__xludf.DUMMYFUNCTION("""COMPUTED_VALUE"""),18.9)</f>
        <v>18.9</v>
      </c>
      <c r="G702" s="2">
        <f t="shared" si="2"/>
        <v>19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B703" s="3"/>
      <c r="C703" s="3"/>
      <c r="D703" s="3"/>
      <c r="E703" s="3"/>
      <c r="F703" s="2">
        <f>IFERROR(__xludf.DUMMYFUNCTION("""COMPUTED_VALUE"""),8.5)</f>
        <v>8.5</v>
      </c>
      <c r="G703" s="2">
        <f t="shared" si="2"/>
        <v>9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B704" s="3"/>
      <c r="C704" s="3"/>
      <c r="D704" s="3"/>
      <c r="E704" s="3"/>
      <c r="F704" s="2">
        <f>IFERROR(__xludf.DUMMYFUNCTION("""COMPUTED_VALUE"""),22.46)</f>
        <v>22.46</v>
      </c>
      <c r="G704" s="2">
        <f t="shared" si="2"/>
        <v>22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B705" s="3"/>
      <c r="C705" s="3"/>
      <c r="D705" s="3"/>
      <c r="E705" s="3"/>
      <c r="F705" s="2">
        <f>IFERROR(__xludf.DUMMYFUNCTION("""COMPUTED_VALUE"""),7.3)</f>
        <v>7.3</v>
      </c>
      <c r="G705" s="2">
        <f t="shared" si="2"/>
        <v>7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B706" s="3"/>
      <c r="C706" s="3"/>
      <c r="D706" s="3"/>
      <c r="E706" s="3"/>
      <c r="F706" s="2">
        <f>IFERROR(__xludf.DUMMYFUNCTION("""COMPUTED_VALUE"""),12.42)</f>
        <v>12.42</v>
      </c>
      <c r="G706" s="2">
        <f t="shared" si="2"/>
        <v>12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B707" s="3"/>
      <c r="C707" s="3"/>
      <c r="D707" s="3"/>
      <c r="E707" s="3"/>
      <c r="F707" s="2">
        <f>IFERROR(__xludf.DUMMYFUNCTION("""COMPUTED_VALUE"""),30.9)</f>
        <v>30.9</v>
      </c>
      <c r="G707" s="2">
        <f t="shared" si="2"/>
        <v>31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B708" s="3"/>
      <c r="C708" s="3"/>
      <c r="D708" s="3"/>
      <c r="E708" s="3"/>
      <c r="F708" s="2">
        <f>IFERROR(__xludf.DUMMYFUNCTION("""COMPUTED_VALUE"""),38.46)</f>
        <v>38.46</v>
      </c>
      <c r="G708" s="2">
        <f t="shared" si="2"/>
        <v>38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B709" s="3"/>
      <c r="C709" s="3"/>
      <c r="D709" s="3"/>
      <c r="E709" s="3"/>
      <c r="F709" s="2">
        <f>IFERROR(__xludf.DUMMYFUNCTION("""COMPUTED_VALUE"""),7.02)</f>
        <v>7.02</v>
      </c>
      <c r="G709" s="2">
        <f t="shared" si="2"/>
        <v>7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B710" s="3"/>
      <c r="C710" s="3"/>
      <c r="D710" s="3"/>
      <c r="E710" s="3"/>
      <c r="F710" s="2">
        <f>IFERROR(__xludf.DUMMYFUNCTION("""COMPUTED_VALUE"""),8.5)</f>
        <v>8.5</v>
      </c>
      <c r="G710" s="2">
        <f t="shared" si="2"/>
        <v>9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B711" s="3"/>
      <c r="C711" s="3"/>
      <c r="D711" s="3"/>
      <c r="E711" s="3"/>
      <c r="F711" s="2">
        <f>IFERROR(__xludf.DUMMYFUNCTION("""COMPUTED_VALUE"""),12.5)</f>
        <v>12.5</v>
      </c>
      <c r="G711" s="2">
        <f t="shared" si="2"/>
        <v>13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B712" s="3"/>
      <c r="C712" s="3"/>
      <c r="D712" s="3"/>
      <c r="E712" s="3"/>
      <c r="F712" s="2">
        <f>IFERROR(__xludf.DUMMYFUNCTION("""COMPUTED_VALUE"""),57.12)</f>
        <v>57.12</v>
      </c>
      <c r="G712" s="2">
        <f t="shared" si="2"/>
        <v>57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B713" s="3"/>
      <c r="C713" s="3"/>
      <c r="D713" s="3"/>
      <c r="E713" s="3"/>
      <c r="F713" s="2">
        <f>IFERROR(__xludf.DUMMYFUNCTION("""COMPUTED_VALUE"""),19.08)</f>
        <v>19.08</v>
      </c>
      <c r="G713" s="2">
        <f t="shared" si="2"/>
        <v>19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B714" s="3"/>
      <c r="C714" s="3"/>
      <c r="D714" s="3"/>
      <c r="E714" s="3"/>
      <c r="F714" s="2">
        <f>IFERROR(__xludf.DUMMYFUNCTION("""COMPUTED_VALUE"""),12.42)</f>
        <v>12.42</v>
      </c>
      <c r="G714" s="2">
        <f t="shared" si="2"/>
        <v>12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B715" s="3"/>
      <c r="C715" s="3"/>
      <c r="D715" s="3"/>
      <c r="E715" s="3"/>
      <c r="F715" s="2">
        <f>IFERROR(__xludf.DUMMYFUNCTION("""COMPUTED_VALUE"""),8.5)</f>
        <v>8.5</v>
      </c>
      <c r="G715" s="2">
        <f t="shared" si="2"/>
        <v>9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B716" s="3"/>
      <c r="C716" s="3"/>
      <c r="D716" s="3"/>
      <c r="E716" s="3"/>
      <c r="F716" s="2">
        <f>IFERROR(__xludf.DUMMYFUNCTION("""COMPUTED_VALUE"""),13.08)</f>
        <v>13.08</v>
      </c>
      <c r="G716" s="2">
        <f t="shared" si="2"/>
        <v>13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B717" s="3"/>
      <c r="C717" s="3"/>
      <c r="D717" s="3"/>
      <c r="E717" s="3"/>
      <c r="F717" s="2">
        <f>IFERROR(__xludf.DUMMYFUNCTION("""COMPUTED_VALUE"""),6.5)</f>
        <v>6.5</v>
      </c>
      <c r="G717" s="2">
        <f t="shared" si="2"/>
        <v>7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B718" s="3"/>
      <c r="C718" s="3"/>
      <c r="D718" s="3"/>
      <c r="E718" s="3"/>
      <c r="F718" s="2">
        <f>IFERROR(__xludf.DUMMYFUNCTION("""COMPUTED_VALUE"""),8.42)</f>
        <v>8.42</v>
      </c>
      <c r="G718" s="2">
        <f t="shared" si="2"/>
        <v>8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B719" s="3"/>
      <c r="C719" s="3"/>
      <c r="D719" s="3"/>
      <c r="E719" s="3"/>
      <c r="F719" s="2">
        <f>IFERROR(__xludf.DUMMYFUNCTION("""COMPUTED_VALUE"""),22.5)</f>
        <v>22.5</v>
      </c>
      <c r="G719" s="2">
        <f t="shared" si="2"/>
        <v>23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B720" s="3"/>
      <c r="C720" s="3"/>
      <c r="D720" s="3"/>
      <c r="E720" s="3"/>
      <c r="F720" s="2">
        <f>IFERROR(__xludf.DUMMYFUNCTION("""COMPUTED_VALUE"""),34.46)</f>
        <v>34.46</v>
      </c>
      <c r="G720" s="2">
        <f t="shared" si="2"/>
        <v>34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B721" s="3"/>
      <c r="C721" s="3"/>
      <c r="D721" s="3"/>
      <c r="E721" s="3"/>
      <c r="F721" s="2">
        <f>IFERROR(__xludf.DUMMYFUNCTION("""COMPUTED_VALUE"""),27.08)</f>
        <v>27.08</v>
      </c>
      <c r="G721" s="2">
        <f t="shared" si="2"/>
        <v>27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B722" s="3"/>
      <c r="C722" s="3"/>
      <c r="D722" s="3"/>
      <c r="E722" s="3"/>
      <c r="F722" s="2">
        <f>IFERROR(__xludf.DUMMYFUNCTION("""COMPUTED_VALUE"""),10.48)</f>
        <v>10.48</v>
      </c>
      <c r="G722" s="2">
        <f t="shared" si="2"/>
        <v>10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B723" s="3"/>
      <c r="C723" s="3"/>
      <c r="D723" s="3"/>
      <c r="E723" s="3"/>
      <c r="F723" s="2">
        <f>IFERROR(__xludf.DUMMYFUNCTION("""COMPUTED_VALUE"""),11.3)</f>
        <v>11.3</v>
      </c>
      <c r="G723" s="2">
        <f t="shared" si="2"/>
        <v>11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B724" s="3"/>
      <c r="C724" s="3"/>
      <c r="D724" s="3"/>
      <c r="E724" s="3"/>
      <c r="F724" s="2">
        <f>IFERROR(__xludf.DUMMYFUNCTION("""COMPUTED_VALUE"""),27.08)</f>
        <v>27.08</v>
      </c>
      <c r="G724" s="2">
        <f t="shared" si="2"/>
        <v>27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B725" s="3"/>
      <c r="C725" s="3"/>
      <c r="D725" s="3"/>
      <c r="E725" s="3"/>
      <c r="F725" s="2">
        <f>IFERROR(__xludf.DUMMYFUNCTION("""COMPUTED_VALUE"""),38.46)</f>
        <v>38.46</v>
      </c>
      <c r="G725" s="2">
        <f t="shared" si="2"/>
        <v>38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B726" s="3"/>
      <c r="C726" s="3"/>
      <c r="D726" s="3"/>
      <c r="E726" s="3"/>
      <c r="F726" s="2">
        <f>IFERROR(__xludf.DUMMYFUNCTION("""COMPUTED_VALUE"""),18.9)</f>
        <v>18.9</v>
      </c>
      <c r="G726" s="2">
        <f t="shared" si="2"/>
        <v>19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B727" s="3"/>
      <c r="C727" s="3"/>
      <c r="D727" s="3"/>
      <c r="E727" s="3"/>
      <c r="F727" s="2">
        <f>IFERROR(__xludf.DUMMYFUNCTION("""COMPUTED_VALUE"""),10.42)</f>
        <v>10.42</v>
      </c>
      <c r="G727" s="2">
        <f t="shared" si="2"/>
        <v>10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B728" s="3"/>
      <c r="C728" s="3"/>
      <c r="D728" s="3"/>
      <c r="E728" s="3"/>
      <c r="F728" s="2">
        <f>IFERROR(__xludf.DUMMYFUNCTION("""COMPUTED_VALUE"""),32.42)</f>
        <v>32.42</v>
      </c>
      <c r="G728" s="2">
        <f t="shared" si="2"/>
        <v>32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B729" s="3"/>
      <c r="C729" s="3"/>
      <c r="D729" s="3"/>
      <c r="E729" s="3"/>
      <c r="F729" s="2">
        <f>IFERROR(__xludf.DUMMYFUNCTION("""COMPUTED_VALUE"""),16.46)</f>
        <v>16.46</v>
      </c>
      <c r="G729" s="2">
        <f t="shared" si="2"/>
        <v>16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B730" s="3"/>
      <c r="C730" s="3"/>
      <c r="D730" s="3"/>
      <c r="E730" s="3"/>
      <c r="F730" s="2">
        <f>IFERROR(__xludf.DUMMYFUNCTION("""COMPUTED_VALUE"""),8.42)</f>
        <v>8.42</v>
      </c>
      <c r="G730" s="2">
        <f t="shared" si="2"/>
        <v>8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B731" s="3"/>
      <c r="C731" s="3"/>
      <c r="D731" s="3"/>
      <c r="E731" s="3"/>
      <c r="F731" s="2">
        <f>IFERROR(__xludf.DUMMYFUNCTION("""COMPUTED_VALUE"""),24.72)</f>
        <v>24.72</v>
      </c>
      <c r="G731" s="2">
        <f t="shared" si="2"/>
        <v>25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B732" s="3"/>
      <c r="C732" s="3"/>
      <c r="D732" s="3"/>
      <c r="E732" s="3"/>
      <c r="F732" s="2">
        <f>IFERROR(__xludf.DUMMYFUNCTION("""COMPUTED_VALUE"""),7.02)</f>
        <v>7.02</v>
      </c>
      <c r="G732" s="2">
        <f t="shared" si="2"/>
        <v>7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B733" s="3"/>
      <c r="C733" s="3"/>
      <c r="D733" s="3"/>
      <c r="E733" s="3"/>
      <c r="F733" s="2">
        <f>IFERROR(__xludf.DUMMYFUNCTION("""COMPUTED_VALUE"""),27.08)</f>
        <v>27.08</v>
      </c>
      <c r="G733" s="2">
        <f t="shared" si="2"/>
        <v>27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B734" s="3"/>
      <c r="C734" s="3"/>
      <c r="D734" s="3"/>
      <c r="E734" s="3"/>
      <c r="F734" s="2">
        <f>IFERROR(__xludf.DUMMYFUNCTION("""COMPUTED_VALUE"""),27.08)</f>
        <v>27.08</v>
      </c>
      <c r="G734" s="2">
        <f t="shared" si="2"/>
        <v>27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B735" s="3"/>
      <c r="C735" s="3"/>
      <c r="D735" s="3"/>
      <c r="E735" s="3"/>
      <c r="F735" s="2">
        <f>IFERROR(__xludf.DUMMYFUNCTION("""COMPUTED_VALUE"""),17.08)</f>
        <v>17.08</v>
      </c>
      <c r="G735" s="2">
        <f t="shared" si="2"/>
        <v>17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B736" s="3"/>
      <c r="C736" s="3"/>
      <c r="D736" s="3"/>
      <c r="E736" s="3"/>
      <c r="F736" s="2">
        <f>IFERROR(__xludf.DUMMYFUNCTION("""COMPUTED_VALUE"""),12.42)</f>
        <v>12.42</v>
      </c>
      <c r="G736" s="2">
        <f t="shared" si="2"/>
        <v>12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B737" s="3"/>
      <c r="C737" s="3"/>
      <c r="D737" s="3"/>
      <c r="E737" s="3"/>
      <c r="F737" s="2">
        <f>IFERROR(__xludf.DUMMYFUNCTION("""COMPUTED_VALUE"""),57.12)</f>
        <v>57.12</v>
      </c>
      <c r="G737" s="2">
        <f t="shared" si="2"/>
        <v>57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B738" s="3"/>
      <c r="C738" s="3"/>
      <c r="D738" s="3"/>
      <c r="E738" s="3"/>
      <c r="F738" s="2">
        <f>IFERROR(__xludf.DUMMYFUNCTION("""COMPUTED_VALUE"""),7.3)</f>
        <v>7.3</v>
      </c>
      <c r="G738" s="2">
        <f t="shared" si="2"/>
        <v>7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B739" s="3"/>
      <c r="C739" s="3"/>
      <c r="D739" s="3"/>
      <c r="E739" s="3"/>
      <c r="F739" s="2">
        <f>IFERROR(__xludf.DUMMYFUNCTION("""COMPUTED_VALUE"""),8.5)</f>
        <v>8.5</v>
      </c>
      <c r="G739" s="2">
        <f t="shared" si="2"/>
        <v>9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B740" s="3"/>
      <c r="C740" s="3"/>
      <c r="D740" s="3"/>
      <c r="E740" s="3"/>
      <c r="F740" s="2">
        <f>IFERROR(__xludf.DUMMYFUNCTION("""COMPUTED_VALUE"""),30.9)</f>
        <v>30.9</v>
      </c>
      <c r="G740" s="2">
        <f t="shared" si="2"/>
        <v>31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B741" s="3"/>
      <c r="C741" s="3"/>
      <c r="D741" s="3"/>
      <c r="E741" s="3"/>
      <c r="F741" s="2">
        <f>IFERROR(__xludf.DUMMYFUNCTION("""COMPUTED_VALUE"""),28.5)</f>
        <v>28.5</v>
      </c>
      <c r="G741" s="2">
        <f t="shared" si="2"/>
        <v>29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B742" s="3"/>
      <c r="C742" s="3"/>
      <c r="D742" s="3"/>
      <c r="E742" s="3"/>
      <c r="F742" s="2">
        <f>IFERROR(__xludf.DUMMYFUNCTION("""COMPUTED_VALUE"""),6.5)</f>
        <v>6.5</v>
      </c>
      <c r="G742" s="2">
        <f t="shared" si="2"/>
        <v>7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B743" s="3"/>
      <c r="C743" s="3"/>
      <c r="D743" s="3"/>
      <c r="E743" s="3"/>
      <c r="F743" s="2">
        <f>IFERROR(__xludf.DUMMYFUNCTION("""COMPUTED_VALUE"""),12.42)</f>
        <v>12.42</v>
      </c>
      <c r="G743" s="2">
        <f t="shared" si="2"/>
        <v>12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B744" s="3"/>
      <c r="C744" s="3"/>
      <c r="D744" s="3"/>
      <c r="E744" s="3"/>
      <c r="F744" s="2">
        <f>IFERROR(__xludf.DUMMYFUNCTION("""COMPUTED_VALUE"""),7.3)</f>
        <v>7.3</v>
      </c>
      <c r="G744" s="2">
        <f t="shared" si="2"/>
        <v>7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B745" s="3"/>
      <c r="C745" s="3"/>
      <c r="D745" s="3"/>
      <c r="E745" s="3"/>
      <c r="F745" s="2">
        <f>IFERROR(__xludf.DUMMYFUNCTION("""COMPUTED_VALUE"""),32.42)</f>
        <v>32.42</v>
      </c>
      <c r="G745" s="2">
        <f t="shared" si="2"/>
        <v>32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B746" s="3"/>
      <c r="C746" s="3"/>
      <c r="D746" s="3"/>
      <c r="E746" s="3"/>
      <c r="F746" s="2">
        <f>IFERROR(__xludf.DUMMYFUNCTION("""COMPUTED_VALUE"""),7.3)</f>
        <v>7.3</v>
      </c>
      <c r="G746" s="2">
        <f t="shared" si="2"/>
        <v>7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B747" s="3"/>
      <c r="C747" s="3"/>
      <c r="D747" s="3"/>
      <c r="E747" s="3"/>
      <c r="F747" s="2">
        <f>IFERROR(__xludf.DUMMYFUNCTION("""COMPUTED_VALUE"""),10.42)</f>
        <v>10.42</v>
      </c>
      <c r="G747" s="2">
        <f t="shared" si="2"/>
        <v>10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B748" s="3"/>
      <c r="C748" s="3"/>
      <c r="D748" s="3"/>
      <c r="E748" s="3"/>
      <c r="F748" s="2">
        <f>IFERROR(__xludf.DUMMYFUNCTION("""COMPUTED_VALUE"""),27.08)</f>
        <v>27.08</v>
      </c>
      <c r="G748" s="2">
        <f t="shared" si="2"/>
        <v>27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B749" s="3"/>
      <c r="C749" s="3"/>
      <c r="D749" s="3"/>
      <c r="E749" s="3"/>
      <c r="F749" s="2">
        <f>IFERROR(__xludf.DUMMYFUNCTION("""COMPUTED_VALUE"""),14.5)</f>
        <v>14.5</v>
      </c>
      <c r="G749" s="2">
        <f t="shared" si="2"/>
        <v>15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B750" s="3"/>
      <c r="C750" s="3"/>
      <c r="D750" s="3"/>
      <c r="E750" s="3"/>
      <c r="F750" s="2">
        <f>IFERROR(__xludf.DUMMYFUNCTION("""COMPUTED_VALUE"""),38.46)</f>
        <v>38.46</v>
      </c>
      <c r="G750" s="2">
        <f t="shared" si="2"/>
        <v>38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B751" s="3"/>
      <c r="C751" s="3"/>
      <c r="D751" s="3"/>
      <c r="E751" s="3"/>
      <c r="F751" s="2">
        <f>IFERROR(__xludf.DUMMYFUNCTION("""COMPUTED_VALUE"""),10.48)</f>
        <v>10.48</v>
      </c>
      <c r="G751" s="2">
        <f t="shared" si="2"/>
        <v>10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B752" s="3"/>
      <c r="C752" s="3"/>
      <c r="D752" s="3"/>
      <c r="E752" s="3"/>
      <c r="F752" s="2">
        <f>IFERROR(__xludf.DUMMYFUNCTION("""COMPUTED_VALUE"""),14.5)</f>
        <v>14.5</v>
      </c>
      <c r="G752" s="2">
        <f t="shared" si="2"/>
        <v>15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B753" s="3"/>
      <c r="C753" s="3"/>
      <c r="D753" s="3"/>
      <c r="E753" s="3"/>
      <c r="F753" s="2">
        <f>IFERROR(__xludf.DUMMYFUNCTION("""COMPUTED_VALUE"""),13.08)</f>
        <v>13.08</v>
      </c>
      <c r="G753" s="2">
        <f t="shared" si="2"/>
        <v>13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B754" s="3"/>
      <c r="C754" s="3"/>
      <c r="D754" s="3"/>
      <c r="E754" s="3"/>
      <c r="F754" s="2">
        <f>IFERROR(__xludf.DUMMYFUNCTION("""COMPUTED_VALUE"""),37.12)</f>
        <v>37.12</v>
      </c>
      <c r="G754" s="2">
        <f t="shared" si="2"/>
        <v>37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B755" s="3"/>
      <c r="C755" s="3"/>
      <c r="D755" s="3"/>
      <c r="E755" s="3"/>
      <c r="F755" s="2">
        <f>IFERROR(__xludf.DUMMYFUNCTION("""COMPUTED_VALUE"""),25.12)</f>
        <v>25.12</v>
      </c>
      <c r="G755" s="2">
        <f t="shared" si="2"/>
        <v>25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B756" s="3"/>
      <c r="C756" s="3"/>
      <c r="D756" s="3"/>
      <c r="E756" s="3"/>
      <c r="F756" s="2">
        <f>IFERROR(__xludf.DUMMYFUNCTION("""COMPUTED_VALUE"""),27.08)</f>
        <v>27.08</v>
      </c>
      <c r="G756" s="2">
        <f t="shared" si="2"/>
        <v>27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B757" s="3"/>
      <c r="C757" s="3"/>
      <c r="D757" s="3"/>
      <c r="E757" s="3"/>
      <c r="F757" s="2">
        <f>IFERROR(__xludf.DUMMYFUNCTION("""COMPUTED_VALUE"""),25.12)</f>
        <v>25.12</v>
      </c>
      <c r="G757" s="2">
        <f t="shared" si="2"/>
        <v>25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B758" s="3"/>
      <c r="C758" s="3"/>
      <c r="D758" s="3"/>
      <c r="E758" s="3"/>
      <c r="F758" s="2">
        <f>IFERROR(__xludf.DUMMYFUNCTION("""COMPUTED_VALUE"""),8.5)</f>
        <v>8.5</v>
      </c>
      <c r="G758" s="2">
        <f t="shared" si="2"/>
        <v>9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B759" s="3"/>
      <c r="C759" s="3"/>
      <c r="D759" s="3"/>
      <c r="E759" s="3"/>
      <c r="F759" s="2">
        <f>IFERROR(__xludf.DUMMYFUNCTION("""COMPUTED_VALUE"""),8.5)</f>
        <v>8.5</v>
      </c>
      <c r="G759" s="2">
        <f t="shared" si="2"/>
        <v>9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B760" s="3"/>
      <c r="C760" s="3"/>
      <c r="D760" s="3"/>
      <c r="E760" s="3"/>
      <c r="F760" s="2">
        <f>IFERROR(__xludf.DUMMYFUNCTION("""COMPUTED_VALUE"""),32.42)</f>
        <v>32.42</v>
      </c>
      <c r="G760" s="2">
        <f t="shared" si="2"/>
        <v>32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B761" s="3"/>
      <c r="C761" s="3"/>
      <c r="D761" s="3"/>
      <c r="E761" s="3"/>
      <c r="F761" s="2">
        <f>IFERROR(__xludf.DUMMYFUNCTION("""COMPUTED_VALUE"""),28.5)</f>
        <v>28.5</v>
      </c>
      <c r="G761" s="2">
        <f t="shared" si="2"/>
        <v>29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B762" s="3"/>
      <c r="C762" s="3"/>
      <c r="D762" s="3"/>
      <c r="E762" s="3"/>
      <c r="F762" s="2">
        <f>IFERROR(__xludf.DUMMYFUNCTION("""COMPUTED_VALUE"""),6.5)</f>
        <v>6.5</v>
      </c>
      <c r="G762" s="2">
        <f t="shared" si="2"/>
        <v>7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B763" s="3"/>
      <c r="C763" s="3"/>
      <c r="D763" s="3"/>
      <c r="E763" s="3"/>
      <c r="F763" s="2">
        <f>IFERROR(__xludf.DUMMYFUNCTION("""COMPUTED_VALUE"""),8.5)</f>
        <v>8.5</v>
      </c>
      <c r="G763" s="2">
        <f t="shared" si="2"/>
        <v>9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B764" s="3"/>
      <c r="C764" s="3"/>
      <c r="D764" s="3"/>
      <c r="E764" s="3"/>
      <c r="F764" s="2">
        <f>IFERROR(__xludf.DUMMYFUNCTION("""COMPUTED_VALUE"""),25.12)</f>
        <v>25.12</v>
      </c>
      <c r="G764" s="2">
        <f t="shared" si="2"/>
        <v>25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B765" s="3"/>
      <c r="C765" s="3"/>
      <c r="D765" s="3"/>
      <c r="E765" s="3"/>
      <c r="F765" s="2">
        <f>IFERROR(__xludf.DUMMYFUNCTION("""COMPUTED_VALUE"""),12.5)</f>
        <v>12.5</v>
      </c>
      <c r="G765" s="2">
        <f t="shared" si="2"/>
        <v>13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B766" s="3"/>
      <c r="C766" s="3"/>
      <c r="D766" s="3"/>
      <c r="E766" s="3"/>
      <c r="F766" s="2">
        <f>IFERROR(__xludf.DUMMYFUNCTION("""COMPUTED_VALUE"""),57.12)</f>
        <v>57.12</v>
      </c>
      <c r="G766" s="2">
        <f t="shared" si="2"/>
        <v>57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B767" s="3"/>
      <c r="C767" s="3"/>
      <c r="D767" s="3"/>
      <c r="E767" s="3"/>
      <c r="F767" s="2">
        <f>IFERROR(__xludf.DUMMYFUNCTION("""COMPUTED_VALUE"""),38.46)</f>
        <v>38.46</v>
      </c>
      <c r="G767" s="2">
        <f t="shared" si="2"/>
        <v>38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B768" s="3"/>
      <c r="C768" s="3"/>
      <c r="D768" s="3"/>
      <c r="E768" s="3"/>
      <c r="F768" s="2">
        <f>IFERROR(__xludf.DUMMYFUNCTION("""COMPUTED_VALUE"""),16.46)</f>
        <v>16.46</v>
      </c>
      <c r="G768" s="2">
        <f t="shared" si="2"/>
        <v>16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B769" s="3"/>
      <c r="C769" s="3"/>
      <c r="D769" s="3"/>
      <c r="E769" s="3"/>
      <c r="F769" s="2">
        <f>IFERROR(__xludf.DUMMYFUNCTION("""COMPUTED_VALUE"""),22.46)</f>
        <v>22.46</v>
      </c>
      <c r="G769" s="2">
        <f t="shared" si="2"/>
        <v>22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B770" s="3"/>
      <c r="C770" s="3"/>
      <c r="D770" s="3"/>
      <c r="E770" s="3"/>
      <c r="F770" s="2">
        <f>IFERROR(__xludf.DUMMYFUNCTION("""COMPUTED_VALUE"""),27.08)</f>
        <v>27.08</v>
      </c>
      <c r="G770" s="2">
        <f t="shared" si="2"/>
        <v>27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B771" s="3"/>
      <c r="C771" s="3"/>
      <c r="D771" s="3"/>
      <c r="E771" s="3"/>
      <c r="F771" s="2">
        <f>IFERROR(__xludf.DUMMYFUNCTION("""COMPUTED_VALUE"""),22.46)</f>
        <v>22.46</v>
      </c>
      <c r="G771" s="2">
        <f t="shared" si="2"/>
        <v>22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B772" s="3"/>
      <c r="C772" s="3"/>
      <c r="D772" s="3"/>
      <c r="E772" s="3"/>
      <c r="F772" s="2">
        <f>IFERROR(__xludf.DUMMYFUNCTION("""COMPUTED_VALUE"""),6.5)</f>
        <v>6.5</v>
      </c>
      <c r="G772" s="2">
        <f t="shared" si="2"/>
        <v>7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B773" s="3"/>
      <c r="C773" s="3"/>
      <c r="D773" s="3"/>
      <c r="E773" s="3"/>
      <c r="F773" s="2">
        <f>IFERROR(__xludf.DUMMYFUNCTION("""COMPUTED_VALUE"""),13.08)</f>
        <v>13.08</v>
      </c>
      <c r="G773" s="2">
        <f t="shared" si="2"/>
        <v>13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B774" s="3"/>
      <c r="C774" s="3"/>
      <c r="D774" s="3"/>
      <c r="E774" s="3"/>
      <c r="F774" s="2">
        <f>IFERROR(__xludf.DUMMYFUNCTION("""COMPUTED_VALUE"""),6.5)</f>
        <v>6.5</v>
      </c>
      <c r="G774" s="2">
        <f t="shared" si="2"/>
        <v>7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B775" s="3"/>
      <c r="C775" s="3"/>
      <c r="D775" s="3"/>
      <c r="E775" s="3"/>
      <c r="F775" s="2">
        <f>IFERROR(__xludf.DUMMYFUNCTION("""COMPUTED_VALUE"""),30.9)</f>
        <v>30.9</v>
      </c>
      <c r="G775" s="2">
        <f t="shared" si="2"/>
        <v>31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B776" s="3"/>
      <c r="C776" s="3"/>
      <c r="D776" s="3"/>
      <c r="E776" s="3"/>
      <c r="F776" s="2">
        <f>IFERROR(__xludf.DUMMYFUNCTION("""COMPUTED_VALUE"""),27.08)</f>
        <v>27.08</v>
      </c>
      <c r="G776" s="2">
        <f t="shared" si="2"/>
        <v>27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B777" s="3"/>
      <c r="C777" s="3"/>
      <c r="D777" s="3"/>
      <c r="E777" s="3"/>
      <c r="F777" s="2">
        <f>IFERROR(__xludf.DUMMYFUNCTION("""COMPUTED_VALUE"""),38.46)</f>
        <v>38.46</v>
      </c>
      <c r="G777" s="2">
        <f t="shared" si="2"/>
        <v>38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B778" s="3"/>
      <c r="C778" s="3"/>
      <c r="D778" s="3"/>
      <c r="E778" s="3"/>
      <c r="F778" s="2">
        <f>IFERROR(__xludf.DUMMYFUNCTION("""COMPUTED_VALUE"""),13.08)</f>
        <v>13.08</v>
      </c>
      <c r="G778" s="2">
        <f t="shared" si="2"/>
        <v>13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B779" s="3"/>
      <c r="C779" s="3"/>
      <c r="D779" s="3"/>
      <c r="E779" s="3"/>
      <c r="F779" s="2">
        <f>IFERROR(__xludf.DUMMYFUNCTION("""COMPUTED_VALUE"""),7.02)</f>
        <v>7.02</v>
      </c>
      <c r="G779" s="2">
        <f t="shared" si="2"/>
        <v>7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B780" s="3"/>
      <c r="C780" s="3"/>
      <c r="D780" s="3"/>
      <c r="E780" s="3"/>
      <c r="F780" s="2">
        <f>IFERROR(__xludf.DUMMYFUNCTION("""COMPUTED_VALUE"""),16.46)</f>
        <v>16.46</v>
      </c>
      <c r="G780" s="2">
        <f t="shared" si="2"/>
        <v>16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B781" s="3"/>
      <c r="C781" s="3"/>
      <c r="D781" s="3"/>
      <c r="E781" s="3"/>
      <c r="F781" s="2">
        <f>IFERROR(__xludf.DUMMYFUNCTION("""COMPUTED_VALUE"""),28.5)</f>
        <v>28.5</v>
      </c>
      <c r="G781" s="2">
        <f t="shared" si="2"/>
        <v>29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B782" s="3"/>
      <c r="C782" s="3"/>
      <c r="D782" s="3"/>
      <c r="E782" s="3"/>
      <c r="F782" s="2">
        <f>IFERROR(__xludf.DUMMYFUNCTION("""COMPUTED_VALUE"""),14.5)</f>
        <v>14.5</v>
      </c>
      <c r="G782" s="2">
        <f t="shared" si="2"/>
        <v>15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B783" s="3"/>
      <c r="C783" s="3"/>
      <c r="D783" s="3"/>
      <c r="E783" s="3"/>
      <c r="F783" s="2">
        <f>IFERROR(__xludf.DUMMYFUNCTION("""COMPUTED_VALUE"""),8.42)</f>
        <v>8.42</v>
      </c>
      <c r="G783" s="2">
        <f t="shared" si="2"/>
        <v>8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B784" s="3"/>
      <c r="C784" s="3"/>
      <c r="D784" s="3"/>
      <c r="E784" s="3"/>
      <c r="F784" s="2">
        <f>IFERROR(__xludf.DUMMYFUNCTION("""COMPUTED_VALUE"""),6.5)</f>
        <v>6.5</v>
      </c>
      <c r="G784" s="2">
        <f t="shared" si="2"/>
        <v>7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B785" s="3"/>
      <c r="C785" s="3"/>
      <c r="D785" s="3"/>
      <c r="E785" s="3"/>
      <c r="F785" s="2">
        <f>IFERROR(__xludf.DUMMYFUNCTION("""COMPUTED_VALUE"""),24.72)</f>
        <v>24.72</v>
      </c>
      <c r="G785" s="2">
        <f t="shared" si="2"/>
        <v>25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B786" s="3"/>
      <c r="C786" s="3"/>
      <c r="D786" s="3"/>
      <c r="E786" s="3"/>
      <c r="F786" s="2">
        <f>IFERROR(__xludf.DUMMYFUNCTION("""COMPUTED_VALUE"""),8.5)</f>
        <v>8.5</v>
      </c>
      <c r="G786" s="2">
        <f t="shared" si="2"/>
        <v>9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B787" s="3"/>
      <c r="C787" s="3"/>
      <c r="D787" s="3"/>
      <c r="E787" s="3"/>
      <c r="F787" s="2">
        <f>IFERROR(__xludf.DUMMYFUNCTION("""COMPUTED_VALUE"""),13.08)</f>
        <v>13.08</v>
      </c>
      <c r="G787" s="2">
        <f t="shared" si="2"/>
        <v>13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B788" s="3"/>
      <c r="C788" s="3"/>
      <c r="D788" s="3"/>
      <c r="E788" s="3"/>
      <c r="F788" s="2">
        <f>IFERROR(__xludf.DUMMYFUNCTION("""COMPUTED_VALUE"""),24.72)</f>
        <v>24.72</v>
      </c>
      <c r="G788" s="2">
        <f t="shared" si="2"/>
        <v>25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B789" s="3"/>
      <c r="C789" s="3"/>
      <c r="D789" s="3"/>
      <c r="E789" s="3"/>
      <c r="F789" s="2">
        <f>IFERROR(__xludf.DUMMYFUNCTION("""COMPUTED_VALUE"""),19.08)</f>
        <v>19.08</v>
      </c>
      <c r="G789" s="2">
        <f t="shared" si="2"/>
        <v>19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B790" s="3"/>
      <c r="C790" s="3"/>
      <c r="D790" s="3"/>
      <c r="E790" s="3"/>
      <c r="F790" s="2">
        <f>IFERROR(__xludf.DUMMYFUNCTION("""COMPUTED_VALUE"""),12.42)</f>
        <v>12.42</v>
      </c>
      <c r="G790" s="2">
        <f t="shared" si="2"/>
        <v>12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B791" s="3"/>
      <c r="C791" s="3"/>
      <c r="D791" s="3"/>
      <c r="E791" s="3"/>
      <c r="F791" s="2">
        <f>IFERROR(__xludf.DUMMYFUNCTION("""COMPUTED_VALUE"""),6.5)</f>
        <v>6.5</v>
      </c>
      <c r="G791" s="2">
        <f t="shared" si="2"/>
        <v>7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B792" s="3"/>
      <c r="C792" s="3"/>
      <c r="D792" s="3"/>
      <c r="E792" s="3"/>
      <c r="F792" s="2">
        <f>IFERROR(__xludf.DUMMYFUNCTION("""COMPUTED_VALUE"""),23.08)</f>
        <v>23.08</v>
      </c>
      <c r="G792" s="2">
        <f t="shared" si="2"/>
        <v>23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B793" s="3"/>
      <c r="C793" s="3"/>
      <c r="D793" s="3"/>
      <c r="E793" s="3"/>
      <c r="F793" s="2">
        <f>IFERROR(__xludf.DUMMYFUNCTION("""COMPUTED_VALUE"""),12.5)</f>
        <v>12.5</v>
      </c>
      <c r="G793" s="2">
        <f t="shared" si="2"/>
        <v>13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B794" s="3"/>
      <c r="C794" s="3"/>
      <c r="D794" s="3"/>
      <c r="E794" s="3"/>
      <c r="F794" s="2">
        <f>IFERROR(__xludf.DUMMYFUNCTION("""COMPUTED_VALUE"""),19.08)</f>
        <v>19.08</v>
      </c>
      <c r="G794" s="2">
        <f t="shared" si="2"/>
        <v>19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B795" s="3"/>
      <c r="C795" s="3"/>
      <c r="D795" s="3"/>
      <c r="E795" s="3"/>
      <c r="F795" s="2">
        <f>IFERROR(__xludf.DUMMYFUNCTION("""COMPUTED_VALUE"""),32.42)</f>
        <v>32.42</v>
      </c>
      <c r="G795" s="2">
        <f t="shared" si="2"/>
        <v>32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B796" s="3"/>
      <c r="C796" s="3"/>
      <c r="D796" s="3"/>
      <c r="E796" s="3"/>
      <c r="F796" s="2">
        <f>IFERROR(__xludf.DUMMYFUNCTION("""COMPUTED_VALUE"""),27.08)</f>
        <v>27.08</v>
      </c>
      <c r="G796" s="2">
        <f t="shared" si="2"/>
        <v>27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B797" s="3"/>
      <c r="C797" s="3"/>
      <c r="D797" s="3"/>
      <c r="E797" s="3"/>
      <c r="F797" s="2">
        <f>IFERROR(__xludf.DUMMYFUNCTION("""COMPUTED_VALUE"""),22.5)</f>
        <v>22.5</v>
      </c>
      <c r="G797" s="2">
        <f t="shared" si="2"/>
        <v>23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B798" s="3"/>
      <c r="C798" s="3"/>
      <c r="D798" s="3"/>
      <c r="E798" s="3"/>
      <c r="F798" s="2">
        <f>IFERROR(__xludf.DUMMYFUNCTION("""COMPUTED_VALUE"""),11.3)</f>
        <v>11.3</v>
      </c>
      <c r="G798" s="2">
        <f t="shared" si="2"/>
        <v>11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B799" s="3"/>
      <c r="C799" s="3"/>
      <c r="D799" s="3"/>
      <c r="E799" s="3"/>
      <c r="F799" s="2">
        <f>IFERROR(__xludf.DUMMYFUNCTION("""COMPUTED_VALUE"""),30.9)</f>
        <v>30.9</v>
      </c>
      <c r="G799" s="2">
        <f t="shared" si="2"/>
        <v>31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B800" s="3"/>
      <c r="C800" s="3"/>
      <c r="D800" s="3"/>
      <c r="E800" s="3"/>
      <c r="F800" s="2">
        <f>IFERROR(__xludf.DUMMYFUNCTION("""COMPUTED_VALUE"""),12.5)</f>
        <v>12.5</v>
      </c>
      <c r="G800" s="2">
        <f t="shared" si="2"/>
        <v>13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B801" s="3"/>
      <c r="C801" s="3"/>
      <c r="D801" s="3"/>
      <c r="E801" s="3"/>
      <c r="F801" s="2">
        <f>IFERROR(__xludf.DUMMYFUNCTION("""COMPUTED_VALUE"""),34.46)</f>
        <v>34.46</v>
      </c>
      <c r="G801" s="2">
        <f t="shared" si="2"/>
        <v>34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B802" s="3"/>
      <c r="C802" s="3"/>
      <c r="D802" s="3"/>
      <c r="E802" s="3"/>
      <c r="F802" s="2">
        <f>IFERROR(__xludf.DUMMYFUNCTION("""COMPUTED_VALUE"""),12.42)</f>
        <v>12.42</v>
      </c>
      <c r="G802" s="2">
        <f t="shared" si="2"/>
        <v>12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B803" s="3"/>
      <c r="C803" s="3"/>
      <c r="D803" s="3"/>
      <c r="E803" s="3"/>
      <c r="F803" s="2">
        <f>IFERROR(__xludf.DUMMYFUNCTION("""COMPUTED_VALUE"""),24.48)</f>
        <v>24.48</v>
      </c>
      <c r="G803" s="2">
        <f t="shared" si="2"/>
        <v>24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B804" s="3"/>
      <c r="C804" s="3"/>
      <c r="D804" s="3"/>
      <c r="E804" s="3"/>
      <c r="F804" s="2">
        <f>IFERROR(__xludf.DUMMYFUNCTION("""COMPUTED_VALUE"""),6.5)</f>
        <v>6.5</v>
      </c>
      <c r="G804" s="2">
        <f t="shared" si="2"/>
        <v>7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B805" s="3"/>
      <c r="C805" s="3"/>
      <c r="D805" s="3"/>
      <c r="E805" s="3"/>
      <c r="F805" s="2">
        <f>IFERROR(__xludf.DUMMYFUNCTION("""COMPUTED_VALUE"""),10.42)</f>
        <v>10.42</v>
      </c>
      <c r="G805" s="2">
        <f t="shared" si="2"/>
        <v>10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B806" s="3"/>
      <c r="C806" s="3"/>
      <c r="D806" s="3"/>
      <c r="E806" s="3"/>
      <c r="F806" s="2">
        <f>IFERROR(__xludf.DUMMYFUNCTION("""COMPUTED_VALUE"""),23.08)</f>
        <v>23.08</v>
      </c>
      <c r="G806" s="2">
        <f t="shared" si="2"/>
        <v>23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B807" s="3"/>
      <c r="C807" s="3"/>
      <c r="D807" s="3"/>
      <c r="E807" s="3"/>
      <c r="F807" s="2">
        <f>IFERROR(__xludf.DUMMYFUNCTION("""COMPUTED_VALUE"""),34.46)</f>
        <v>34.46</v>
      </c>
      <c r="G807" s="2">
        <f t="shared" si="2"/>
        <v>34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B808" s="3"/>
      <c r="C808" s="3"/>
      <c r="D808" s="3"/>
      <c r="E808" s="3"/>
      <c r="F808" s="2">
        <f>IFERROR(__xludf.DUMMYFUNCTION("""COMPUTED_VALUE"""),37.12)</f>
        <v>37.12</v>
      </c>
      <c r="G808" s="2">
        <f t="shared" si="2"/>
        <v>37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B809" s="3"/>
      <c r="C809" s="3"/>
      <c r="D809" s="3"/>
      <c r="E809" s="3"/>
      <c r="F809" s="2">
        <f>IFERROR(__xludf.DUMMYFUNCTION("""COMPUTED_VALUE"""),7.02)</f>
        <v>7.02</v>
      </c>
      <c r="G809" s="2">
        <f t="shared" si="2"/>
        <v>7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B810" s="3"/>
      <c r="C810" s="3"/>
      <c r="D810" s="3"/>
      <c r="E810" s="3"/>
      <c r="F810" s="2">
        <f>IFERROR(__xludf.DUMMYFUNCTION("""COMPUTED_VALUE"""),18.9)</f>
        <v>18.9</v>
      </c>
      <c r="G810" s="2">
        <f t="shared" si="2"/>
        <v>19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B811" s="3"/>
      <c r="C811" s="3"/>
      <c r="D811" s="3"/>
      <c r="E811" s="3"/>
      <c r="F811" s="2">
        <f>IFERROR(__xludf.DUMMYFUNCTION("""COMPUTED_VALUE"""),17.08)</f>
        <v>17.08</v>
      </c>
      <c r="G811" s="2">
        <f t="shared" si="2"/>
        <v>17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B812" s="3"/>
      <c r="C812" s="3"/>
      <c r="D812" s="3"/>
      <c r="E812" s="3"/>
      <c r="F812" s="2">
        <f>IFERROR(__xludf.DUMMYFUNCTION("""COMPUTED_VALUE"""),12.42)</f>
        <v>12.42</v>
      </c>
      <c r="G812" s="2">
        <f t="shared" si="2"/>
        <v>12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B813" s="3"/>
      <c r="C813" s="3"/>
      <c r="D813" s="3"/>
      <c r="E813" s="3"/>
      <c r="F813" s="2">
        <f>IFERROR(__xludf.DUMMYFUNCTION("""COMPUTED_VALUE"""),37.12)</f>
        <v>37.12</v>
      </c>
      <c r="G813" s="2">
        <f t="shared" si="2"/>
        <v>37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B814" s="3"/>
      <c r="C814" s="3"/>
      <c r="D814" s="3"/>
      <c r="E814" s="3"/>
      <c r="F814" s="2">
        <f>IFERROR(__xludf.DUMMYFUNCTION("""COMPUTED_VALUE"""),8.5)</f>
        <v>8.5</v>
      </c>
      <c r="G814" s="2">
        <f t="shared" si="2"/>
        <v>9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B815" s="3"/>
      <c r="C815" s="3"/>
      <c r="D815" s="3"/>
      <c r="E815" s="3"/>
      <c r="F815" s="2">
        <f>IFERROR(__xludf.DUMMYFUNCTION("""COMPUTED_VALUE"""),37.12)</f>
        <v>37.12</v>
      </c>
      <c r="G815" s="2">
        <f t="shared" si="2"/>
        <v>37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B816" s="3"/>
      <c r="C816" s="3"/>
      <c r="D816" s="3"/>
      <c r="E816" s="3"/>
      <c r="F816" s="2">
        <f>IFERROR(__xludf.DUMMYFUNCTION("""COMPUTED_VALUE"""),25.12)</f>
        <v>25.12</v>
      </c>
      <c r="G816" s="2">
        <f t="shared" si="2"/>
        <v>25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B817" s="3"/>
      <c r="C817" s="3"/>
      <c r="D817" s="3"/>
      <c r="E817" s="3"/>
      <c r="F817" s="2">
        <f>IFERROR(__xludf.DUMMYFUNCTION("""COMPUTED_VALUE"""),24.72)</f>
        <v>24.72</v>
      </c>
      <c r="G817" s="2">
        <f t="shared" si="2"/>
        <v>25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B818" s="3"/>
      <c r="C818" s="3"/>
      <c r="D818" s="3"/>
      <c r="E818" s="3"/>
      <c r="F818" s="2">
        <f>IFERROR(__xludf.DUMMYFUNCTION("""COMPUTED_VALUE"""),19.08)</f>
        <v>19.08</v>
      </c>
      <c r="G818" s="2">
        <f t="shared" si="2"/>
        <v>19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B819" s="3"/>
      <c r="C819" s="3"/>
      <c r="D819" s="3"/>
      <c r="E819" s="3"/>
      <c r="F819" s="2">
        <f>IFERROR(__xludf.DUMMYFUNCTION("""COMPUTED_VALUE"""),28.5)</f>
        <v>28.5</v>
      </c>
      <c r="G819" s="2">
        <f t="shared" si="2"/>
        <v>29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B820" s="3"/>
      <c r="C820" s="3"/>
      <c r="D820" s="3"/>
      <c r="E820" s="3"/>
      <c r="F820" s="2">
        <f>IFERROR(__xludf.DUMMYFUNCTION("""COMPUTED_VALUE"""),10.42)</f>
        <v>10.42</v>
      </c>
      <c r="G820" s="2">
        <f t="shared" si="2"/>
        <v>10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B821" s="3"/>
      <c r="C821" s="3"/>
      <c r="D821" s="3"/>
      <c r="E821" s="3"/>
      <c r="F821" s="2">
        <f>IFERROR(__xludf.DUMMYFUNCTION("""COMPUTED_VALUE"""),16.24)</f>
        <v>16.24</v>
      </c>
      <c r="G821" s="2">
        <f t="shared" si="2"/>
        <v>16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B822" s="3"/>
      <c r="C822" s="3"/>
      <c r="D822" s="3"/>
      <c r="E822" s="3"/>
      <c r="F822" s="2">
        <f>IFERROR(__xludf.DUMMYFUNCTION("""COMPUTED_VALUE"""),13.08)</f>
        <v>13.08</v>
      </c>
      <c r="G822" s="2">
        <f t="shared" si="2"/>
        <v>13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B823" s="3"/>
      <c r="C823" s="3"/>
      <c r="D823" s="3"/>
      <c r="E823" s="3"/>
      <c r="F823" s="2">
        <f>IFERROR(__xludf.DUMMYFUNCTION("""COMPUTED_VALUE"""),57.12)</f>
        <v>57.12</v>
      </c>
      <c r="G823" s="2">
        <f t="shared" si="2"/>
        <v>57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B824" s="3"/>
      <c r="C824" s="3"/>
      <c r="D824" s="3"/>
      <c r="E824" s="3"/>
      <c r="F824" s="2">
        <f>IFERROR(__xludf.DUMMYFUNCTION("""COMPUTED_VALUE"""),27.08)</f>
        <v>27.08</v>
      </c>
      <c r="G824" s="2">
        <f t="shared" si="2"/>
        <v>27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B825" s="3"/>
      <c r="C825" s="3"/>
      <c r="D825" s="3"/>
      <c r="E825" s="3"/>
      <c r="F825" s="2">
        <f>IFERROR(__xludf.DUMMYFUNCTION("""COMPUTED_VALUE"""),19.08)</f>
        <v>19.08</v>
      </c>
      <c r="G825" s="2">
        <f t="shared" si="2"/>
        <v>19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B826" s="3"/>
      <c r="C826" s="3"/>
      <c r="D826" s="3"/>
      <c r="E826" s="3"/>
      <c r="F826" s="2">
        <f>IFERROR(__xludf.DUMMYFUNCTION("""COMPUTED_VALUE"""),30.9)</f>
        <v>30.9</v>
      </c>
      <c r="G826" s="2">
        <f t="shared" si="2"/>
        <v>31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B827" s="3"/>
      <c r="C827" s="3"/>
      <c r="D827" s="3"/>
      <c r="E827" s="3"/>
      <c r="F827" s="2">
        <f>IFERROR(__xludf.DUMMYFUNCTION("""COMPUTED_VALUE"""),24.72)</f>
        <v>24.72</v>
      </c>
      <c r="G827" s="2">
        <f t="shared" si="2"/>
        <v>25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B828" s="3"/>
      <c r="C828" s="3"/>
      <c r="D828" s="3"/>
      <c r="E828" s="3"/>
      <c r="F828" s="2">
        <f>IFERROR(__xludf.DUMMYFUNCTION("""COMPUTED_VALUE"""),28.5)</f>
        <v>28.5</v>
      </c>
      <c r="G828" s="2">
        <f t="shared" si="2"/>
        <v>29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B829" s="3"/>
      <c r="C829" s="3"/>
      <c r="D829" s="3"/>
      <c r="E829" s="3"/>
      <c r="F829" s="2">
        <f>IFERROR(__xludf.DUMMYFUNCTION("""COMPUTED_VALUE"""),6.5)</f>
        <v>6.5</v>
      </c>
      <c r="G829" s="2">
        <f t="shared" si="2"/>
        <v>7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B830" s="3"/>
      <c r="C830" s="3"/>
      <c r="D830" s="3"/>
      <c r="E830" s="3"/>
      <c r="F830" s="2">
        <f>IFERROR(__xludf.DUMMYFUNCTION("""COMPUTED_VALUE"""),13.08)</f>
        <v>13.08</v>
      </c>
      <c r="G830" s="2">
        <f t="shared" si="2"/>
        <v>13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B831" s="3"/>
      <c r="C831" s="3"/>
      <c r="D831" s="3"/>
      <c r="E831" s="3"/>
      <c r="F831" s="2">
        <f>IFERROR(__xludf.DUMMYFUNCTION("""COMPUTED_VALUE"""),32.42)</f>
        <v>32.42</v>
      </c>
      <c r="G831" s="2">
        <f t="shared" si="2"/>
        <v>32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B832" s="3"/>
      <c r="C832" s="3"/>
      <c r="D832" s="3"/>
      <c r="E832" s="3"/>
      <c r="F832" s="2">
        <f>IFERROR(__xludf.DUMMYFUNCTION("""COMPUTED_VALUE"""),8.5)</f>
        <v>8.5</v>
      </c>
      <c r="G832" s="2">
        <f t="shared" si="2"/>
        <v>9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B833" s="3"/>
      <c r="C833" s="3"/>
      <c r="D833" s="3"/>
      <c r="E833" s="3"/>
      <c r="F833" s="2">
        <f>IFERROR(__xludf.DUMMYFUNCTION("""COMPUTED_VALUE"""),13.08)</f>
        <v>13.08</v>
      </c>
      <c r="G833" s="2">
        <f t="shared" si="2"/>
        <v>13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B834" s="3"/>
      <c r="C834" s="3"/>
      <c r="D834" s="3"/>
      <c r="E834" s="3"/>
      <c r="F834" s="2">
        <f>IFERROR(__xludf.DUMMYFUNCTION("""COMPUTED_VALUE"""),10.48)</f>
        <v>10.48</v>
      </c>
      <c r="G834" s="2">
        <f t="shared" si="2"/>
        <v>10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B835" s="3"/>
      <c r="C835" s="3"/>
      <c r="D835" s="3"/>
      <c r="E835" s="3"/>
      <c r="F835" s="2">
        <f>IFERROR(__xludf.DUMMYFUNCTION("""COMPUTED_VALUE"""),7.3)</f>
        <v>7.3</v>
      </c>
      <c r="G835" s="2">
        <f t="shared" si="2"/>
        <v>7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B836" s="3"/>
      <c r="C836" s="3"/>
      <c r="D836" s="3"/>
      <c r="E836" s="3"/>
      <c r="F836" s="2">
        <f>IFERROR(__xludf.DUMMYFUNCTION("""COMPUTED_VALUE"""),6.5)</f>
        <v>6.5</v>
      </c>
      <c r="G836" s="2">
        <f t="shared" si="2"/>
        <v>7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B837" s="3"/>
      <c r="C837" s="3"/>
      <c r="D837" s="3"/>
      <c r="E837" s="3"/>
      <c r="F837" s="2">
        <f>IFERROR(__xludf.DUMMYFUNCTION("""COMPUTED_VALUE"""),8.5)</f>
        <v>8.5</v>
      </c>
      <c r="G837" s="2">
        <f t="shared" si="2"/>
        <v>9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B838" s="3"/>
      <c r="C838" s="3"/>
      <c r="D838" s="3"/>
      <c r="E838" s="3"/>
      <c r="F838" s="2">
        <f>IFERROR(__xludf.DUMMYFUNCTION("""COMPUTED_VALUE"""),30.9)</f>
        <v>30.9</v>
      </c>
      <c r="G838" s="2">
        <f t="shared" si="2"/>
        <v>31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B839" s="3"/>
      <c r="C839" s="3"/>
      <c r="D839" s="3"/>
      <c r="E839" s="3"/>
      <c r="F839" s="2">
        <f>IFERROR(__xludf.DUMMYFUNCTION("""COMPUTED_VALUE"""),6.5)</f>
        <v>6.5</v>
      </c>
      <c r="G839" s="2">
        <f t="shared" si="2"/>
        <v>7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B840" s="3"/>
      <c r="C840" s="3"/>
      <c r="D840" s="3"/>
      <c r="E840" s="3"/>
      <c r="F840" s="2">
        <f>IFERROR(__xludf.DUMMYFUNCTION("""COMPUTED_VALUE"""),17.08)</f>
        <v>17.08</v>
      </c>
      <c r="G840" s="2">
        <f t="shared" si="2"/>
        <v>17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B841" s="3"/>
      <c r="C841" s="3"/>
      <c r="D841" s="3"/>
      <c r="E841" s="3"/>
      <c r="F841" s="2">
        <f>IFERROR(__xludf.DUMMYFUNCTION("""COMPUTED_VALUE"""),8.5)</f>
        <v>8.5</v>
      </c>
      <c r="G841" s="2">
        <f t="shared" si="2"/>
        <v>9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B842" s="3"/>
      <c r="C842" s="3"/>
      <c r="D842" s="3"/>
      <c r="E842" s="3"/>
      <c r="F842" s="2">
        <f>IFERROR(__xludf.DUMMYFUNCTION("""COMPUTED_VALUE"""),7.3)</f>
        <v>7.3</v>
      </c>
      <c r="G842" s="2">
        <f t="shared" si="2"/>
        <v>7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B843" s="3"/>
      <c r="C843" s="3"/>
      <c r="D843" s="3"/>
      <c r="E843" s="3"/>
      <c r="F843" s="2">
        <f>IFERROR(__xludf.DUMMYFUNCTION("""COMPUTED_VALUE"""),7.02)</f>
        <v>7.02</v>
      </c>
      <c r="G843" s="2">
        <f t="shared" si="2"/>
        <v>7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B844" s="3"/>
      <c r="C844" s="3"/>
      <c r="D844" s="3"/>
      <c r="E844" s="3"/>
      <c r="F844" s="2">
        <f>IFERROR(__xludf.DUMMYFUNCTION("""COMPUTED_VALUE"""),18.9)</f>
        <v>18.9</v>
      </c>
      <c r="G844" s="2">
        <f t="shared" si="2"/>
        <v>19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B845" s="3"/>
      <c r="C845" s="3"/>
      <c r="D845" s="3"/>
      <c r="E845" s="3"/>
      <c r="F845" s="2">
        <f>IFERROR(__xludf.DUMMYFUNCTION("""COMPUTED_VALUE"""),17.08)</f>
        <v>17.08</v>
      </c>
      <c r="G845" s="2">
        <f t="shared" si="2"/>
        <v>17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B846" s="3"/>
      <c r="C846" s="3"/>
      <c r="D846" s="3"/>
      <c r="E846" s="3"/>
      <c r="F846" s="2">
        <f>IFERROR(__xludf.DUMMYFUNCTION("""COMPUTED_VALUE"""),10.9)</f>
        <v>10.9</v>
      </c>
      <c r="G846" s="2">
        <f t="shared" si="2"/>
        <v>11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B847" s="3"/>
      <c r="C847" s="3"/>
      <c r="D847" s="3"/>
      <c r="E847" s="3"/>
      <c r="F847" s="2">
        <f>IFERROR(__xludf.DUMMYFUNCTION("""COMPUTED_VALUE"""),34.46)</f>
        <v>34.46</v>
      </c>
      <c r="G847" s="2">
        <f t="shared" si="2"/>
        <v>34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B848" s="3"/>
      <c r="C848" s="3"/>
      <c r="D848" s="3"/>
      <c r="E848" s="3"/>
      <c r="F848" s="2">
        <f>IFERROR(__xludf.DUMMYFUNCTION("""COMPUTED_VALUE"""),30.46)</f>
        <v>30.46</v>
      </c>
      <c r="G848" s="2">
        <f t="shared" si="2"/>
        <v>30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B849" s="3"/>
      <c r="C849" s="3"/>
      <c r="D849" s="3"/>
      <c r="E849" s="3"/>
      <c r="F849" s="2">
        <f>IFERROR(__xludf.DUMMYFUNCTION("""COMPUTED_VALUE"""),30.9)</f>
        <v>30.9</v>
      </c>
      <c r="G849" s="2">
        <f t="shared" si="2"/>
        <v>31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B850" s="3"/>
      <c r="C850" s="3"/>
      <c r="D850" s="3"/>
      <c r="E850" s="3"/>
      <c r="F850" s="2">
        <f>IFERROR(__xludf.DUMMYFUNCTION("""COMPUTED_VALUE"""),10.48)</f>
        <v>10.48</v>
      </c>
      <c r="G850" s="2">
        <f t="shared" si="2"/>
        <v>10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B851" s="3"/>
      <c r="C851" s="3"/>
      <c r="D851" s="3"/>
      <c r="E851" s="3"/>
      <c r="F851" s="2">
        <f>IFERROR(__xludf.DUMMYFUNCTION("""COMPUTED_VALUE"""),13.08)</f>
        <v>13.08</v>
      </c>
      <c r="G851" s="2">
        <f t="shared" si="2"/>
        <v>13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B852" s="3"/>
      <c r="C852" s="3"/>
      <c r="D852" s="3"/>
      <c r="E852" s="3"/>
      <c r="F852" s="2">
        <f>IFERROR(__xludf.DUMMYFUNCTION("""COMPUTED_VALUE"""),32.42)</f>
        <v>32.42</v>
      </c>
      <c r="G852" s="2">
        <f t="shared" si="2"/>
        <v>32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B853" s="3"/>
      <c r="C853" s="3"/>
      <c r="D853" s="3"/>
      <c r="E853" s="3"/>
      <c r="F853" s="2">
        <f>IFERROR(__xludf.DUMMYFUNCTION("""COMPUTED_VALUE"""),19.08)</f>
        <v>19.08</v>
      </c>
      <c r="G853" s="2">
        <f t="shared" si="2"/>
        <v>19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B854" s="3"/>
      <c r="C854" s="3"/>
      <c r="D854" s="3"/>
      <c r="E854" s="3"/>
      <c r="F854" s="2">
        <f>IFERROR(__xludf.DUMMYFUNCTION("""COMPUTED_VALUE"""),27.08)</f>
        <v>27.08</v>
      </c>
      <c r="G854" s="2">
        <f t="shared" si="2"/>
        <v>27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B855" s="3"/>
      <c r="C855" s="3"/>
      <c r="D855" s="3"/>
      <c r="E855" s="3"/>
      <c r="F855" s="2">
        <f>IFERROR(__xludf.DUMMYFUNCTION("""COMPUTED_VALUE"""),24.48)</f>
        <v>24.48</v>
      </c>
      <c r="G855" s="2">
        <f t="shared" si="2"/>
        <v>24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B856" s="3"/>
      <c r="C856" s="3"/>
      <c r="D856" s="3"/>
      <c r="E856" s="3"/>
      <c r="F856" s="2">
        <f>IFERROR(__xludf.DUMMYFUNCTION("""COMPUTED_VALUE"""),18.9)</f>
        <v>18.9</v>
      </c>
      <c r="G856" s="2">
        <f t="shared" si="2"/>
        <v>19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B857" s="3"/>
      <c r="C857" s="3"/>
      <c r="D857" s="3"/>
      <c r="E857" s="3"/>
      <c r="F857" s="2">
        <f>IFERROR(__xludf.DUMMYFUNCTION("""COMPUTED_VALUE"""),12.5)</f>
        <v>12.5</v>
      </c>
      <c r="G857" s="2">
        <f t="shared" si="2"/>
        <v>13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B858" s="3"/>
      <c r="C858" s="3"/>
      <c r="D858" s="3"/>
      <c r="E858" s="3"/>
      <c r="F858" s="2">
        <f>IFERROR(__xludf.DUMMYFUNCTION("""COMPUTED_VALUE"""),7.3)</f>
        <v>7.3</v>
      </c>
      <c r="G858" s="2">
        <f t="shared" si="2"/>
        <v>7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B859" s="3"/>
      <c r="C859" s="3"/>
      <c r="D859" s="3"/>
      <c r="E859" s="3"/>
      <c r="F859" s="2">
        <f>IFERROR(__xludf.DUMMYFUNCTION("""COMPUTED_VALUE"""),24.72)</f>
        <v>24.72</v>
      </c>
      <c r="G859" s="2">
        <f t="shared" si="2"/>
        <v>25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B860" s="3"/>
      <c r="C860" s="3"/>
      <c r="D860" s="3"/>
      <c r="E860" s="3"/>
      <c r="F860" s="2">
        <f>IFERROR(__xludf.DUMMYFUNCTION("""COMPUTED_VALUE"""),16.24)</f>
        <v>16.24</v>
      </c>
      <c r="G860" s="2">
        <f t="shared" si="2"/>
        <v>16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B861" s="3"/>
      <c r="C861" s="3"/>
      <c r="D861" s="3"/>
      <c r="E861" s="3"/>
      <c r="F861" s="2">
        <f>IFERROR(__xludf.DUMMYFUNCTION("""COMPUTED_VALUE"""),8.42)</f>
        <v>8.42</v>
      </c>
      <c r="G861" s="2">
        <f t="shared" si="2"/>
        <v>8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B862" s="3"/>
      <c r="C862" s="3"/>
      <c r="D862" s="3"/>
      <c r="E862" s="3"/>
      <c r="F862" s="2">
        <f>IFERROR(__xludf.DUMMYFUNCTION("""COMPUTED_VALUE"""),23.08)</f>
        <v>23.08</v>
      </c>
      <c r="G862" s="2">
        <f t="shared" si="2"/>
        <v>23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B863" s="3"/>
      <c r="C863" s="3"/>
      <c r="D863" s="3"/>
      <c r="E863" s="3"/>
      <c r="F863" s="2">
        <f>IFERROR(__xludf.DUMMYFUNCTION("""COMPUTED_VALUE"""),16.46)</f>
        <v>16.46</v>
      </c>
      <c r="G863" s="2">
        <f t="shared" si="2"/>
        <v>16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B864" s="3"/>
      <c r="C864" s="3"/>
      <c r="D864" s="3"/>
      <c r="E864" s="3"/>
      <c r="F864" s="2">
        <f>IFERROR(__xludf.DUMMYFUNCTION("""COMPUTED_VALUE"""),27.08)</f>
        <v>27.08</v>
      </c>
      <c r="G864" s="2">
        <f t="shared" si="2"/>
        <v>27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B865" s="3"/>
      <c r="C865" s="3"/>
      <c r="D865" s="3"/>
      <c r="E865" s="3"/>
      <c r="F865" s="2">
        <f>IFERROR(__xludf.DUMMYFUNCTION("""COMPUTED_VALUE"""),16.46)</f>
        <v>16.46</v>
      </c>
      <c r="G865" s="2">
        <f t="shared" si="2"/>
        <v>16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B866" s="3"/>
      <c r="C866" s="3"/>
      <c r="D866" s="3"/>
      <c r="E866" s="3"/>
      <c r="F866" s="2">
        <f>IFERROR(__xludf.DUMMYFUNCTION("""COMPUTED_VALUE"""),19.08)</f>
        <v>19.08</v>
      </c>
      <c r="G866" s="2">
        <f t="shared" si="2"/>
        <v>19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B867" s="3"/>
      <c r="C867" s="3"/>
      <c r="D867" s="3"/>
      <c r="E867" s="3"/>
      <c r="F867" s="2">
        <f>IFERROR(__xludf.DUMMYFUNCTION("""COMPUTED_VALUE"""),16.46)</f>
        <v>16.46</v>
      </c>
      <c r="G867" s="2">
        <f t="shared" si="2"/>
        <v>16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B868" s="3"/>
      <c r="C868" s="3"/>
      <c r="D868" s="3"/>
      <c r="E868" s="3"/>
      <c r="F868" s="2">
        <f>IFERROR(__xludf.DUMMYFUNCTION("""COMPUTED_VALUE"""),16.46)</f>
        <v>16.46</v>
      </c>
      <c r="G868" s="2">
        <f t="shared" si="2"/>
        <v>16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B869" s="3"/>
      <c r="C869" s="3"/>
      <c r="D869" s="3"/>
      <c r="E869" s="3"/>
      <c r="F869" s="2">
        <f>IFERROR(__xludf.DUMMYFUNCTION("""COMPUTED_VALUE"""),30.46)</f>
        <v>30.46</v>
      </c>
      <c r="G869" s="2">
        <f t="shared" si="2"/>
        <v>30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B870" s="3"/>
      <c r="C870" s="3"/>
      <c r="D870" s="3"/>
      <c r="E870" s="3"/>
      <c r="F870" s="2">
        <f>IFERROR(__xludf.DUMMYFUNCTION("""COMPUTED_VALUE"""),7.3)</f>
        <v>7.3</v>
      </c>
      <c r="G870" s="2">
        <f t="shared" si="2"/>
        <v>7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B871" s="3"/>
      <c r="C871" s="3"/>
      <c r="D871" s="3"/>
      <c r="E871" s="3"/>
      <c r="F871" s="2">
        <f>IFERROR(__xludf.DUMMYFUNCTION("""COMPUTED_VALUE"""),27.08)</f>
        <v>27.08</v>
      </c>
      <c r="G871" s="2">
        <f t="shared" si="2"/>
        <v>27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B872" s="3"/>
      <c r="C872" s="3"/>
      <c r="D872" s="3"/>
      <c r="E872" s="3"/>
      <c r="F872" s="2">
        <f>IFERROR(__xludf.DUMMYFUNCTION("""COMPUTED_VALUE"""),14.5)</f>
        <v>14.5</v>
      </c>
      <c r="G872" s="2">
        <f t="shared" si="2"/>
        <v>15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B873" s="3"/>
      <c r="C873" s="3"/>
      <c r="D873" s="3"/>
      <c r="E873" s="3"/>
      <c r="F873" s="2">
        <f>IFERROR(__xludf.DUMMYFUNCTION("""COMPUTED_VALUE"""),10.48)</f>
        <v>10.48</v>
      </c>
      <c r="G873" s="2">
        <f t="shared" si="2"/>
        <v>10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B874" s="3"/>
      <c r="C874" s="3"/>
      <c r="D874" s="3"/>
      <c r="E874" s="3"/>
      <c r="F874" s="2">
        <f>IFERROR(__xludf.DUMMYFUNCTION("""COMPUTED_VALUE"""),57.12)</f>
        <v>57.12</v>
      </c>
      <c r="G874" s="2">
        <f t="shared" si="2"/>
        <v>57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B875" s="3"/>
      <c r="C875" s="3"/>
      <c r="D875" s="3"/>
      <c r="E875" s="3"/>
      <c r="F875" s="2">
        <f>IFERROR(__xludf.DUMMYFUNCTION("""COMPUTED_VALUE"""),17.08)</f>
        <v>17.08</v>
      </c>
      <c r="G875" s="2">
        <f t="shared" si="2"/>
        <v>17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B876" s="3"/>
      <c r="C876" s="3"/>
      <c r="D876" s="3"/>
      <c r="E876" s="3"/>
      <c r="F876" s="2">
        <f>IFERROR(__xludf.DUMMYFUNCTION("""COMPUTED_VALUE"""),32.42)</f>
        <v>32.42</v>
      </c>
      <c r="G876" s="2">
        <f t="shared" si="2"/>
        <v>32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B877" s="3"/>
      <c r="C877" s="3"/>
      <c r="D877" s="3"/>
      <c r="E877" s="3"/>
      <c r="F877" s="2">
        <f>IFERROR(__xludf.DUMMYFUNCTION("""COMPUTED_VALUE"""),57.12)</f>
        <v>57.12</v>
      </c>
      <c r="G877" s="2">
        <f t="shared" si="2"/>
        <v>57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B878" s="3"/>
      <c r="C878" s="3"/>
      <c r="D878" s="3"/>
      <c r="E878" s="3"/>
      <c r="F878" s="2">
        <f>IFERROR(__xludf.DUMMYFUNCTION("""COMPUTED_VALUE"""),23.08)</f>
        <v>23.08</v>
      </c>
      <c r="G878" s="2">
        <f t="shared" si="2"/>
        <v>23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B879" s="3"/>
      <c r="C879" s="3"/>
      <c r="D879" s="3"/>
      <c r="E879" s="3"/>
      <c r="F879" s="2">
        <f>IFERROR(__xludf.DUMMYFUNCTION("""COMPUTED_VALUE"""),8.42)</f>
        <v>8.42</v>
      </c>
      <c r="G879" s="2">
        <f t="shared" si="2"/>
        <v>8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B880" s="3"/>
      <c r="C880" s="3"/>
      <c r="D880" s="3"/>
      <c r="E880" s="3"/>
      <c r="F880" s="2">
        <f>IFERROR(__xludf.DUMMYFUNCTION("""COMPUTED_VALUE"""),12.5)</f>
        <v>12.5</v>
      </c>
      <c r="G880" s="2">
        <f t="shared" si="2"/>
        <v>13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B881" s="3"/>
      <c r="C881" s="3"/>
      <c r="D881" s="3"/>
      <c r="E881" s="3"/>
      <c r="F881" s="2">
        <f>IFERROR(__xludf.DUMMYFUNCTION("""COMPUTED_VALUE"""),6.5)</f>
        <v>6.5</v>
      </c>
      <c r="G881" s="2">
        <f t="shared" si="2"/>
        <v>7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B882" s="3"/>
      <c r="C882" s="3"/>
      <c r="D882" s="3"/>
      <c r="E882" s="3"/>
      <c r="F882" s="2">
        <f>IFERROR(__xludf.DUMMYFUNCTION("""COMPUTED_VALUE"""),11.3)</f>
        <v>11.3</v>
      </c>
      <c r="G882" s="2">
        <f t="shared" si="2"/>
        <v>11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B883" s="3"/>
      <c r="C883" s="3"/>
      <c r="D883" s="3"/>
      <c r="E883" s="3"/>
      <c r="F883" s="2">
        <f>IFERROR(__xludf.DUMMYFUNCTION("""COMPUTED_VALUE"""),19.08)</f>
        <v>19.08</v>
      </c>
      <c r="G883" s="2">
        <f t="shared" si="2"/>
        <v>19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B884" s="3"/>
      <c r="C884" s="3"/>
      <c r="D884" s="3"/>
      <c r="E884" s="3"/>
      <c r="F884" s="2">
        <f>IFERROR(__xludf.DUMMYFUNCTION("""COMPUTED_VALUE"""),19.08)</f>
        <v>19.08</v>
      </c>
      <c r="G884" s="2">
        <f t="shared" si="2"/>
        <v>19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B885" s="3"/>
      <c r="C885" s="3"/>
      <c r="D885" s="3"/>
      <c r="E885" s="3"/>
      <c r="F885" s="2">
        <f>IFERROR(__xludf.DUMMYFUNCTION("""COMPUTED_VALUE"""),18.9)</f>
        <v>18.9</v>
      </c>
      <c r="G885" s="2">
        <f t="shared" si="2"/>
        <v>19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B886" s="3"/>
      <c r="C886" s="3"/>
      <c r="D886" s="3"/>
      <c r="E886" s="3"/>
      <c r="F886" s="2">
        <f>IFERROR(__xludf.DUMMYFUNCTION("""COMPUTED_VALUE"""),30.9)</f>
        <v>30.9</v>
      </c>
      <c r="G886" s="2">
        <f t="shared" si="2"/>
        <v>31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B887" s="3"/>
      <c r="C887" s="3"/>
      <c r="D887" s="3"/>
      <c r="E887" s="3"/>
      <c r="F887" s="2">
        <f>IFERROR(__xludf.DUMMYFUNCTION("""COMPUTED_VALUE"""),7.02)</f>
        <v>7.02</v>
      </c>
      <c r="G887" s="2">
        <f t="shared" si="2"/>
        <v>7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B888" s="3"/>
      <c r="C888" s="3"/>
      <c r="D888" s="3"/>
      <c r="E888" s="3"/>
      <c r="F888" s="2">
        <f>IFERROR(__xludf.DUMMYFUNCTION("""COMPUTED_VALUE"""),19.08)</f>
        <v>19.08</v>
      </c>
      <c r="G888" s="2">
        <f t="shared" si="2"/>
        <v>19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B889" s="3"/>
      <c r="C889" s="3"/>
      <c r="D889" s="3"/>
      <c r="E889" s="3"/>
      <c r="F889" s="2">
        <f>IFERROR(__xludf.DUMMYFUNCTION("""COMPUTED_VALUE"""),57.12)</f>
        <v>57.12</v>
      </c>
      <c r="G889" s="2">
        <f t="shared" si="2"/>
        <v>57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B890" s="3"/>
      <c r="C890" s="3"/>
      <c r="D890" s="3"/>
      <c r="E890" s="3"/>
      <c r="F890" s="2">
        <f>IFERROR(__xludf.DUMMYFUNCTION("""COMPUTED_VALUE"""),28.5)</f>
        <v>28.5</v>
      </c>
      <c r="G890" s="2">
        <f t="shared" si="2"/>
        <v>29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B891" s="3"/>
      <c r="C891" s="3"/>
      <c r="D891" s="3"/>
      <c r="E891" s="3"/>
      <c r="F891" s="2">
        <f>IFERROR(__xludf.DUMMYFUNCTION("""COMPUTED_VALUE"""),27.08)</f>
        <v>27.08</v>
      </c>
      <c r="G891" s="2">
        <f t="shared" si="2"/>
        <v>27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B892" s="3"/>
      <c r="C892" s="3"/>
      <c r="D892" s="3"/>
      <c r="E892" s="3"/>
      <c r="F892" s="2">
        <f>IFERROR(__xludf.DUMMYFUNCTION("""COMPUTED_VALUE"""),8.5)</f>
        <v>8.5</v>
      </c>
      <c r="G892" s="2">
        <f t="shared" si="2"/>
        <v>9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B893" s="3"/>
      <c r="C893" s="3"/>
      <c r="D893" s="3"/>
      <c r="E893" s="3"/>
      <c r="F893" s="2">
        <f>IFERROR(__xludf.DUMMYFUNCTION("""COMPUTED_VALUE"""),24.72)</f>
        <v>24.72</v>
      </c>
      <c r="G893" s="2">
        <f t="shared" si="2"/>
        <v>25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B894" s="3"/>
      <c r="C894" s="3"/>
      <c r="D894" s="3"/>
      <c r="E894" s="3"/>
      <c r="F894" s="2">
        <f>IFERROR(__xludf.DUMMYFUNCTION("""COMPUTED_VALUE"""),38.46)</f>
        <v>38.46</v>
      </c>
      <c r="G894" s="2">
        <f t="shared" si="2"/>
        <v>38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B895" s="3"/>
      <c r="C895" s="3"/>
      <c r="D895" s="3"/>
      <c r="E895" s="3"/>
      <c r="F895" s="2">
        <f>IFERROR(__xludf.DUMMYFUNCTION("""COMPUTED_VALUE"""),30.46)</f>
        <v>30.46</v>
      </c>
      <c r="G895" s="2">
        <f t="shared" si="2"/>
        <v>30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B896" s="3"/>
      <c r="C896" s="3"/>
      <c r="D896" s="3"/>
      <c r="E896" s="3"/>
      <c r="F896" s="2">
        <f>IFERROR(__xludf.DUMMYFUNCTION("""COMPUTED_VALUE"""),8.5)</f>
        <v>8.5</v>
      </c>
      <c r="G896" s="2">
        <f t="shared" si="2"/>
        <v>9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B897" s="3"/>
      <c r="C897" s="3"/>
      <c r="D897" s="3"/>
      <c r="E897" s="3"/>
      <c r="F897" s="2">
        <f>IFERROR(__xludf.DUMMYFUNCTION("""COMPUTED_VALUE"""),10.48)</f>
        <v>10.48</v>
      </c>
      <c r="G897" s="2">
        <f t="shared" si="2"/>
        <v>10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B898" s="3"/>
      <c r="C898" s="3"/>
      <c r="D898" s="3"/>
      <c r="E898" s="3"/>
      <c r="F898" s="2">
        <f>IFERROR(__xludf.DUMMYFUNCTION("""COMPUTED_VALUE"""),19.08)</f>
        <v>19.08</v>
      </c>
      <c r="G898" s="2">
        <f t="shared" si="2"/>
        <v>19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B899" s="3"/>
      <c r="C899" s="3"/>
      <c r="D899" s="3"/>
      <c r="E899" s="3"/>
      <c r="F899" s="2">
        <f>IFERROR(__xludf.DUMMYFUNCTION("""COMPUTED_VALUE"""),8.42)</f>
        <v>8.42</v>
      </c>
      <c r="G899" s="2">
        <f t="shared" si="2"/>
        <v>8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B900" s="3"/>
      <c r="C900" s="3"/>
      <c r="D900" s="3"/>
      <c r="E900" s="3"/>
      <c r="F900" s="2">
        <f>IFERROR(__xludf.DUMMYFUNCTION("""COMPUTED_VALUE"""),8.5)</f>
        <v>8.5</v>
      </c>
      <c r="G900" s="2">
        <f t="shared" si="2"/>
        <v>9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B901" s="3"/>
      <c r="C901" s="3"/>
      <c r="D901" s="3"/>
      <c r="E901" s="3"/>
      <c r="F901" s="2">
        <f>IFERROR(__xludf.DUMMYFUNCTION("""COMPUTED_VALUE"""),14.5)</f>
        <v>14.5</v>
      </c>
      <c r="G901" s="2">
        <f t="shared" si="2"/>
        <v>15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B902" s="3"/>
      <c r="C902" s="3"/>
      <c r="D902" s="3"/>
      <c r="E902" s="3"/>
      <c r="F902" s="2">
        <f>IFERROR(__xludf.DUMMYFUNCTION("""COMPUTED_VALUE"""),23.08)</f>
        <v>23.08</v>
      </c>
      <c r="G902" s="2">
        <f t="shared" si="2"/>
        <v>23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B903" s="3"/>
      <c r="C903" s="3"/>
      <c r="D903" s="3"/>
      <c r="E903" s="3"/>
      <c r="F903" s="2">
        <f>IFERROR(__xludf.DUMMYFUNCTION("""COMPUTED_VALUE"""),24.48)</f>
        <v>24.48</v>
      </c>
      <c r="G903" s="2">
        <f t="shared" si="2"/>
        <v>24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B904" s="3"/>
      <c r="C904" s="3"/>
      <c r="D904" s="3"/>
      <c r="E904" s="3"/>
      <c r="F904" s="2">
        <f>IFERROR(__xludf.DUMMYFUNCTION("""COMPUTED_VALUE"""),22.46)</f>
        <v>22.46</v>
      </c>
      <c r="G904" s="2">
        <f t="shared" si="2"/>
        <v>22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B905" s="3"/>
      <c r="C905" s="3"/>
      <c r="D905" s="3"/>
      <c r="E905" s="3"/>
      <c r="F905" s="2">
        <f>IFERROR(__xludf.DUMMYFUNCTION("""COMPUTED_VALUE"""),16.46)</f>
        <v>16.46</v>
      </c>
      <c r="G905" s="2">
        <f t="shared" si="2"/>
        <v>16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B906" s="3"/>
      <c r="C906" s="3"/>
      <c r="D906" s="3"/>
      <c r="E906" s="3"/>
      <c r="F906" s="2">
        <f>IFERROR(__xludf.DUMMYFUNCTION("""COMPUTED_VALUE"""),30.9)</f>
        <v>30.9</v>
      </c>
      <c r="G906" s="2">
        <f t="shared" si="2"/>
        <v>31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B907" s="3"/>
      <c r="C907" s="3"/>
      <c r="D907" s="3"/>
      <c r="E907" s="3"/>
      <c r="F907" s="2">
        <f>IFERROR(__xludf.DUMMYFUNCTION("""COMPUTED_VALUE"""),12.42)</f>
        <v>12.42</v>
      </c>
      <c r="G907" s="2">
        <f t="shared" si="2"/>
        <v>12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B908" s="3"/>
      <c r="C908" s="3"/>
      <c r="D908" s="3"/>
      <c r="E908" s="3"/>
      <c r="F908" s="2">
        <f>IFERROR(__xludf.DUMMYFUNCTION("""COMPUTED_VALUE"""),7.02)</f>
        <v>7.02</v>
      </c>
      <c r="G908" s="2">
        <f t="shared" si="2"/>
        <v>7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B909" s="3"/>
      <c r="C909" s="3"/>
      <c r="D909" s="3"/>
      <c r="E909" s="3"/>
      <c r="F909" s="2">
        <f>IFERROR(__xludf.DUMMYFUNCTION("""COMPUTED_VALUE"""),34.46)</f>
        <v>34.46</v>
      </c>
      <c r="G909" s="2">
        <f t="shared" si="2"/>
        <v>34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B910" s="3"/>
      <c r="C910" s="3"/>
      <c r="D910" s="3"/>
      <c r="E910" s="3"/>
      <c r="F910" s="2">
        <f>IFERROR(__xludf.DUMMYFUNCTION("""COMPUTED_VALUE"""),32.42)</f>
        <v>32.42</v>
      </c>
      <c r="G910" s="2">
        <f t="shared" si="2"/>
        <v>32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B911" s="3"/>
      <c r="C911" s="3"/>
      <c r="D911" s="3"/>
      <c r="E911" s="3"/>
      <c r="F911" s="2">
        <f>IFERROR(__xludf.DUMMYFUNCTION("""COMPUTED_VALUE"""),12.5)</f>
        <v>12.5</v>
      </c>
      <c r="G911" s="2">
        <f t="shared" si="2"/>
        <v>13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B912" s="3"/>
      <c r="C912" s="3"/>
      <c r="D912" s="3"/>
      <c r="E912" s="3"/>
      <c r="F912" s="2">
        <f>IFERROR(__xludf.DUMMYFUNCTION("""COMPUTED_VALUE"""),13.08)</f>
        <v>13.08</v>
      </c>
      <c r="G912" s="2">
        <f t="shared" si="2"/>
        <v>13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B913" s="3"/>
      <c r="C913" s="3"/>
      <c r="D913" s="3"/>
      <c r="E913" s="3"/>
      <c r="F913" s="2">
        <f>IFERROR(__xludf.DUMMYFUNCTION("""COMPUTED_VALUE"""),6.5)</f>
        <v>6.5</v>
      </c>
      <c r="G913" s="2">
        <f t="shared" si="2"/>
        <v>7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B914" s="3"/>
      <c r="C914" s="3"/>
      <c r="D914" s="3"/>
      <c r="E914" s="3"/>
      <c r="F914" s="2">
        <f>IFERROR(__xludf.DUMMYFUNCTION("""COMPUTED_VALUE"""),37.12)</f>
        <v>37.12</v>
      </c>
      <c r="G914" s="2">
        <f t="shared" si="2"/>
        <v>37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B915" s="3"/>
      <c r="C915" s="3"/>
      <c r="D915" s="3"/>
      <c r="E915" s="3"/>
      <c r="F915" s="2">
        <f>IFERROR(__xludf.DUMMYFUNCTION("""COMPUTED_VALUE"""),22.46)</f>
        <v>22.46</v>
      </c>
      <c r="G915" s="2">
        <f t="shared" si="2"/>
        <v>22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B916" s="3"/>
      <c r="C916" s="3"/>
      <c r="D916" s="3"/>
      <c r="E916" s="3"/>
      <c r="F916" s="2">
        <f>IFERROR(__xludf.DUMMYFUNCTION("""COMPUTED_VALUE"""),30.9)</f>
        <v>30.9</v>
      </c>
      <c r="G916" s="2">
        <f t="shared" si="2"/>
        <v>31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B917" s="3"/>
      <c r="C917" s="3"/>
      <c r="D917" s="3"/>
      <c r="E917" s="3"/>
      <c r="F917" s="2">
        <f>IFERROR(__xludf.DUMMYFUNCTION("""COMPUTED_VALUE"""),27.08)</f>
        <v>27.08</v>
      </c>
      <c r="G917" s="2">
        <f t="shared" si="2"/>
        <v>27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B918" s="3"/>
      <c r="C918" s="3"/>
      <c r="D918" s="3"/>
      <c r="E918" s="3"/>
      <c r="F918" s="2">
        <f>IFERROR(__xludf.DUMMYFUNCTION("""COMPUTED_VALUE"""),7.02)</f>
        <v>7.02</v>
      </c>
      <c r="G918" s="2">
        <f t="shared" si="2"/>
        <v>7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B919" s="3"/>
      <c r="C919" s="3"/>
      <c r="D919" s="3"/>
      <c r="E919" s="3"/>
      <c r="F919" s="2">
        <f>IFERROR(__xludf.DUMMYFUNCTION("""COMPUTED_VALUE"""),10.42)</f>
        <v>10.42</v>
      </c>
      <c r="G919" s="2">
        <f t="shared" si="2"/>
        <v>10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B920" s="3"/>
      <c r="C920" s="3"/>
      <c r="D920" s="3"/>
      <c r="E920" s="3"/>
      <c r="F920" s="2">
        <f>IFERROR(__xludf.DUMMYFUNCTION("""COMPUTED_VALUE"""),6.5)</f>
        <v>6.5</v>
      </c>
      <c r="G920" s="2">
        <f t="shared" si="2"/>
        <v>7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B921" s="3"/>
      <c r="C921" s="3"/>
      <c r="D921" s="3"/>
      <c r="E921" s="3"/>
      <c r="F921" s="2">
        <f>IFERROR(__xludf.DUMMYFUNCTION("""COMPUTED_VALUE"""),19.08)</f>
        <v>19.08</v>
      </c>
      <c r="G921" s="2">
        <f t="shared" si="2"/>
        <v>19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B922" s="3"/>
      <c r="C922" s="3"/>
      <c r="D922" s="3"/>
      <c r="E922" s="3"/>
      <c r="F922" s="2">
        <f>IFERROR(__xludf.DUMMYFUNCTION("""COMPUTED_VALUE"""),27.08)</f>
        <v>27.08</v>
      </c>
      <c r="G922" s="2">
        <f t="shared" si="2"/>
        <v>27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B923" s="3"/>
      <c r="C923" s="3"/>
      <c r="D923" s="3"/>
      <c r="E923" s="3"/>
      <c r="F923" s="2">
        <f>IFERROR(__xludf.DUMMYFUNCTION("""COMPUTED_VALUE"""),6.5)</f>
        <v>6.5</v>
      </c>
      <c r="G923" s="2">
        <f t="shared" si="2"/>
        <v>7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B924" s="3"/>
      <c r="C924" s="3"/>
      <c r="D924" s="3"/>
      <c r="E924" s="3"/>
      <c r="F924" s="2">
        <f>IFERROR(__xludf.DUMMYFUNCTION("""COMPUTED_VALUE"""),22.46)</f>
        <v>22.46</v>
      </c>
      <c r="G924" s="2">
        <f t="shared" si="2"/>
        <v>22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B925" s="3"/>
      <c r="C925" s="3"/>
      <c r="D925" s="3"/>
      <c r="E925" s="3"/>
      <c r="F925" s="2">
        <f>IFERROR(__xludf.DUMMYFUNCTION("""COMPUTED_VALUE"""),8.42)</f>
        <v>8.42</v>
      </c>
      <c r="G925" s="2">
        <f t="shared" si="2"/>
        <v>8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B926" s="3"/>
      <c r="C926" s="3"/>
      <c r="D926" s="3"/>
      <c r="E926" s="3"/>
      <c r="F926" s="2">
        <f>IFERROR(__xludf.DUMMYFUNCTION("""COMPUTED_VALUE"""),12.5)</f>
        <v>12.5</v>
      </c>
      <c r="G926" s="2">
        <f t="shared" si="2"/>
        <v>13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B927" s="3"/>
      <c r="C927" s="3"/>
      <c r="D927" s="3"/>
      <c r="E927" s="3"/>
      <c r="F927" s="2">
        <f>IFERROR(__xludf.DUMMYFUNCTION("""COMPUTED_VALUE"""),22.5)</f>
        <v>22.5</v>
      </c>
      <c r="G927" s="2">
        <f t="shared" si="2"/>
        <v>23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B928" s="3"/>
      <c r="C928" s="3"/>
      <c r="D928" s="3"/>
      <c r="E928" s="3"/>
      <c r="F928" s="2">
        <f>IFERROR(__xludf.DUMMYFUNCTION("""COMPUTED_VALUE"""),8.5)</f>
        <v>8.5</v>
      </c>
      <c r="G928" s="2">
        <f t="shared" si="2"/>
        <v>9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B929" s="3"/>
      <c r="C929" s="3"/>
      <c r="D929" s="3"/>
      <c r="E929" s="3"/>
      <c r="F929" s="2">
        <f>IFERROR(__xludf.DUMMYFUNCTION("""COMPUTED_VALUE"""),34.46)</f>
        <v>34.46</v>
      </c>
      <c r="G929" s="2">
        <f t="shared" si="2"/>
        <v>34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B930" s="3"/>
      <c r="C930" s="3"/>
      <c r="D930" s="3"/>
      <c r="E930" s="3"/>
      <c r="F930" s="2">
        <f>IFERROR(__xludf.DUMMYFUNCTION("""COMPUTED_VALUE"""),30.9)</f>
        <v>30.9</v>
      </c>
      <c r="G930" s="2">
        <f t="shared" si="2"/>
        <v>31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B931" s="3"/>
      <c r="C931" s="3"/>
      <c r="D931" s="3"/>
      <c r="E931" s="3"/>
      <c r="F931" s="2">
        <f>IFERROR(__xludf.DUMMYFUNCTION("""COMPUTED_VALUE"""),24.48)</f>
        <v>24.48</v>
      </c>
      <c r="G931" s="2">
        <f t="shared" si="2"/>
        <v>24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B932" s="3"/>
      <c r="C932" s="3"/>
      <c r="D932" s="3"/>
      <c r="E932" s="3"/>
      <c r="F932" s="2">
        <f>IFERROR(__xludf.DUMMYFUNCTION("""COMPUTED_VALUE"""),16.46)</f>
        <v>16.46</v>
      </c>
      <c r="G932" s="2">
        <f t="shared" si="2"/>
        <v>16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B933" s="3"/>
      <c r="C933" s="3"/>
      <c r="D933" s="3"/>
      <c r="E933" s="3"/>
      <c r="F933" s="2">
        <f>IFERROR(__xludf.DUMMYFUNCTION("""COMPUTED_VALUE"""),38.46)</f>
        <v>38.46</v>
      </c>
      <c r="G933" s="2">
        <f t="shared" si="2"/>
        <v>38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B934" s="3"/>
      <c r="C934" s="3"/>
      <c r="D934" s="3"/>
      <c r="E934" s="3"/>
      <c r="F934" s="2">
        <f>IFERROR(__xludf.DUMMYFUNCTION("""COMPUTED_VALUE"""),23.08)</f>
        <v>23.08</v>
      </c>
      <c r="G934" s="2">
        <f t="shared" si="2"/>
        <v>23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B935" s="3"/>
      <c r="C935" s="3"/>
      <c r="D935" s="3"/>
      <c r="E935" s="3"/>
      <c r="F935" s="2">
        <f>IFERROR(__xludf.DUMMYFUNCTION("""COMPUTED_VALUE"""),8.5)</f>
        <v>8.5</v>
      </c>
      <c r="G935" s="2">
        <f t="shared" si="2"/>
        <v>9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B936" s="3"/>
      <c r="C936" s="3"/>
      <c r="D936" s="3"/>
      <c r="E936" s="3"/>
      <c r="F936" s="2">
        <f>IFERROR(__xludf.DUMMYFUNCTION("""COMPUTED_VALUE"""),22.46)</f>
        <v>22.46</v>
      </c>
      <c r="G936" s="2">
        <f t="shared" si="2"/>
        <v>22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B937" s="3"/>
      <c r="C937" s="3"/>
      <c r="D937" s="3"/>
      <c r="E937" s="3"/>
      <c r="F937" s="2">
        <f>IFERROR(__xludf.DUMMYFUNCTION("""COMPUTED_VALUE"""),24.72)</f>
        <v>24.72</v>
      </c>
      <c r="G937" s="2">
        <f t="shared" si="2"/>
        <v>25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B938" s="3"/>
      <c r="C938" s="3"/>
      <c r="D938" s="3"/>
      <c r="E938" s="3"/>
      <c r="F938" s="2">
        <f>IFERROR(__xludf.DUMMYFUNCTION("""COMPUTED_VALUE"""),10.48)</f>
        <v>10.48</v>
      </c>
      <c r="G938" s="2">
        <f t="shared" si="2"/>
        <v>10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B939" s="3"/>
      <c r="C939" s="3"/>
      <c r="D939" s="3"/>
      <c r="E939" s="3"/>
      <c r="F939" s="2">
        <f>IFERROR(__xludf.DUMMYFUNCTION("""COMPUTED_VALUE"""),16.24)</f>
        <v>16.24</v>
      </c>
      <c r="G939" s="2">
        <f t="shared" si="2"/>
        <v>16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B940" s="3"/>
      <c r="C940" s="3"/>
      <c r="D940" s="3"/>
      <c r="E940" s="3"/>
      <c r="F940" s="2">
        <f>IFERROR(__xludf.DUMMYFUNCTION("""COMPUTED_VALUE"""),19.08)</f>
        <v>19.08</v>
      </c>
      <c r="G940" s="2">
        <f t="shared" si="2"/>
        <v>19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B941" s="3"/>
      <c r="C941" s="3"/>
      <c r="D941" s="3"/>
      <c r="E941" s="3"/>
      <c r="F941" s="2">
        <f>IFERROR(__xludf.DUMMYFUNCTION("""COMPUTED_VALUE"""),12.5)</f>
        <v>12.5</v>
      </c>
      <c r="G941" s="2">
        <f t="shared" si="2"/>
        <v>13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B942" s="3"/>
      <c r="C942" s="3"/>
      <c r="D942" s="3"/>
      <c r="E942" s="3"/>
      <c r="F942" s="2">
        <f>IFERROR(__xludf.DUMMYFUNCTION("""COMPUTED_VALUE"""),6.5)</f>
        <v>6.5</v>
      </c>
      <c r="G942" s="2">
        <f t="shared" si="2"/>
        <v>7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B943" s="3"/>
      <c r="C943" s="3"/>
      <c r="D943" s="3"/>
      <c r="E943" s="3"/>
      <c r="F943" s="2">
        <f>IFERROR(__xludf.DUMMYFUNCTION("""COMPUTED_VALUE"""),16.24)</f>
        <v>16.24</v>
      </c>
      <c r="G943" s="2">
        <f t="shared" si="2"/>
        <v>16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B944" s="3"/>
      <c r="C944" s="3"/>
      <c r="D944" s="3"/>
      <c r="E944" s="3"/>
      <c r="F944" s="2">
        <f>IFERROR(__xludf.DUMMYFUNCTION("""COMPUTED_VALUE"""),16.24)</f>
        <v>16.24</v>
      </c>
      <c r="G944" s="2">
        <f t="shared" si="2"/>
        <v>16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B945" s="3"/>
      <c r="C945" s="3"/>
      <c r="D945" s="3"/>
      <c r="E945" s="3"/>
      <c r="F945" s="2">
        <f>IFERROR(__xludf.DUMMYFUNCTION("""COMPUTED_VALUE"""),27.08)</f>
        <v>27.08</v>
      </c>
      <c r="G945" s="2">
        <f t="shared" si="2"/>
        <v>27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B946" s="3"/>
      <c r="C946" s="3"/>
      <c r="D946" s="3"/>
      <c r="E946" s="3"/>
      <c r="F946" s="2">
        <f>IFERROR(__xludf.DUMMYFUNCTION("""COMPUTED_VALUE"""),30.46)</f>
        <v>30.46</v>
      </c>
      <c r="G946" s="2">
        <f t="shared" si="2"/>
        <v>30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B947" s="3"/>
      <c r="C947" s="3"/>
      <c r="D947" s="3"/>
      <c r="E947" s="3"/>
      <c r="F947" s="2">
        <f>IFERROR(__xludf.DUMMYFUNCTION("""COMPUTED_VALUE"""),11.3)</f>
        <v>11.3</v>
      </c>
      <c r="G947" s="2">
        <f t="shared" si="2"/>
        <v>11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B948" s="3"/>
      <c r="C948" s="3"/>
      <c r="D948" s="3"/>
      <c r="E948" s="3"/>
      <c r="F948" s="2">
        <f>IFERROR(__xludf.DUMMYFUNCTION("""COMPUTED_VALUE"""),25.12)</f>
        <v>25.12</v>
      </c>
      <c r="G948" s="2">
        <f t="shared" si="2"/>
        <v>25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B949" s="3"/>
      <c r="C949" s="3"/>
      <c r="D949" s="3"/>
      <c r="E949" s="3"/>
      <c r="F949" s="2">
        <f>IFERROR(__xludf.DUMMYFUNCTION("""COMPUTED_VALUE"""),32.42)</f>
        <v>32.42</v>
      </c>
      <c r="G949" s="2">
        <f t="shared" si="2"/>
        <v>32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B950" s="3"/>
      <c r="C950" s="3"/>
      <c r="D950" s="3"/>
      <c r="E950" s="3"/>
      <c r="F950" s="2">
        <f>IFERROR(__xludf.DUMMYFUNCTION("""COMPUTED_VALUE"""),12.5)</f>
        <v>12.5</v>
      </c>
      <c r="G950" s="2">
        <f t="shared" si="2"/>
        <v>13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B951" s="3"/>
      <c r="C951" s="3"/>
      <c r="D951" s="3"/>
      <c r="E951" s="3"/>
      <c r="F951" s="2">
        <f>IFERROR(__xludf.DUMMYFUNCTION("""COMPUTED_VALUE"""),16.46)</f>
        <v>16.46</v>
      </c>
      <c r="G951" s="2">
        <f t="shared" si="2"/>
        <v>16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B952" s="3"/>
      <c r="C952" s="3"/>
      <c r="D952" s="3"/>
      <c r="E952" s="3"/>
      <c r="F952" s="2">
        <f>IFERROR(__xludf.DUMMYFUNCTION("""COMPUTED_VALUE"""),12.42)</f>
        <v>12.42</v>
      </c>
      <c r="G952" s="2">
        <f t="shared" si="2"/>
        <v>12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B953" s="3"/>
      <c r="C953" s="3"/>
      <c r="D953" s="3"/>
      <c r="E953" s="3"/>
      <c r="F953" s="2">
        <f>IFERROR(__xludf.DUMMYFUNCTION("""COMPUTED_VALUE"""),10.42)</f>
        <v>10.42</v>
      </c>
      <c r="G953" s="2">
        <f t="shared" si="2"/>
        <v>10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B954" s="3"/>
      <c r="C954" s="3"/>
      <c r="D954" s="3"/>
      <c r="E954" s="3"/>
      <c r="F954" s="2">
        <f>IFERROR(__xludf.DUMMYFUNCTION("""COMPUTED_VALUE"""),13.08)</f>
        <v>13.08</v>
      </c>
      <c r="G954" s="2">
        <f t="shared" si="2"/>
        <v>13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B955" s="3"/>
      <c r="C955" s="3"/>
      <c r="D955" s="3"/>
      <c r="E955" s="3"/>
      <c r="F955" s="2">
        <f>IFERROR(__xludf.DUMMYFUNCTION("""COMPUTED_VALUE"""),17.08)</f>
        <v>17.08</v>
      </c>
      <c r="G955" s="2">
        <f t="shared" si="2"/>
        <v>17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B956" s="3"/>
      <c r="C956" s="3"/>
      <c r="D956" s="3"/>
      <c r="E956" s="3"/>
      <c r="F956" s="2">
        <f>IFERROR(__xludf.DUMMYFUNCTION("""COMPUTED_VALUE"""),27.08)</f>
        <v>27.08</v>
      </c>
      <c r="G956" s="2">
        <f t="shared" si="2"/>
        <v>27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B957" s="3"/>
      <c r="C957" s="3"/>
      <c r="D957" s="3"/>
      <c r="E957" s="3"/>
      <c r="F957" s="2">
        <f>IFERROR(__xludf.DUMMYFUNCTION("""COMPUTED_VALUE"""),22.5)</f>
        <v>22.5</v>
      </c>
      <c r="G957" s="2">
        <f t="shared" si="2"/>
        <v>23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B958" s="3"/>
      <c r="C958" s="3"/>
      <c r="D958" s="3"/>
      <c r="E958" s="3"/>
      <c r="F958" s="2">
        <f>IFERROR(__xludf.DUMMYFUNCTION("""COMPUTED_VALUE"""),57.12)</f>
        <v>57.12</v>
      </c>
      <c r="G958" s="2">
        <f t="shared" si="2"/>
        <v>57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B959" s="3"/>
      <c r="C959" s="3"/>
      <c r="D959" s="3"/>
      <c r="E959" s="3"/>
      <c r="F959" s="2">
        <f>IFERROR(__xludf.DUMMYFUNCTION("""COMPUTED_VALUE"""),7.3)</f>
        <v>7.3</v>
      </c>
      <c r="G959" s="2">
        <f t="shared" si="2"/>
        <v>7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B960" s="3"/>
      <c r="C960" s="3"/>
      <c r="D960" s="3"/>
      <c r="E960" s="3"/>
      <c r="F960" s="2">
        <f>IFERROR(__xludf.DUMMYFUNCTION("""COMPUTED_VALUE"""),7.02)</f>
        <v>7.02</v>
      </c>
      <c r="G960" s="2">
        <f t="shared" si="2"/>
        <v>7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B961" s="3"/>
      <c r="C961" s="3"/>
      <c r="D961" s="3"/>
      <c r="E961" s="3"/>
      <c r="F961" s="2">
        <f>IFERROR(__xludf.DUMMYFUNCTION("""COMPUTED_VALUE"""),37.12)</f>
        <v>37.12</v>
      </c>
      <c r="G961" s="2">
        <f t="shared" si="2"/>
        <v>37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B962" s="3"/>
      <c r="C962" s="3"/>
      <c r="D962" s="3"/>
      <c r="E962" s="3"/>
      <c r="F962" s="2">
        <f>IFERROR(__xludf.DUMMYFUNCTION("""COMPUTED_VALUE"""),30.9)</f>
        <v>30.9</v>
      </c>
      <c r="G962" s="2">
        <f t="shared" si="2"/>
        <v>31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B963" s="3"/>
      <c r="C963" s="3"/>
      <c r="D963" s="3"/>
      <c r="E963" s="3"/>
      <c r="F963" s="2">
        <f>IFERROR(__xludf.DUMMYFUNCTION("""COMPUTED_VALUE"""),28.5)</f>
        <v>28.5</v>
      </c>
      <c r="G963" s="2">
        <f t="shared" si="2"/>
        <v>29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B964" s="3"/>
      <c r="C964" s="3"/>
      <c r="D964" s="3"/>
      <c r="E964" s="3"/>
      <c r="F964" s="2">
        <f>IFERROR(__xludf.DUMMYFUNCTION("""COMPUTED_VALUE"""),8.5)</f>
        <v>8.5</v>
      </c>
      <c r="G964" s="2">
        <f t="shared" si="2"/>
        <v>9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B965" s="3"/>
      <c r="C965" s="3"/>
      <c r="D965" s="3"/>
      <c r="E965" s="3"/>
      <c r="F965" s="2">
        <f>IFERROR(__xludf.DUMMYFUNCTION("""COMPUTED_VALUE"""),23.08)</f>
        <v>23.08</v>
      </c>
      <c r="G965" s="2">
        <f t="shared" si="2"/>
        <v>23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B966" s="3"/>
      <c r="C966" s="3"/>
      <c r="D966" s="3"/>
      <c r="E966" s="3"/>
      <c r="F966" s="2">
        <f>IFERROR(__xludf.DUMMYFUNCTION("""COMPUTED_VALUE"""),24.48)</f>
        <v>24.48</v>
      </c>
      <c r="G966" s="2">
        <f t="shared" si="2"/>
        <v>24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B967" s="3"/>
      <c r="C967" s="3"/>
      <c r="D967" s="3"/>
      <c r="E967" s="3"/>
      <c r="F967" s="2">
        <f>IFERROR(__xludf.DUMMYFUNCTION("""COMPUTED_VALUE"""),16.46)</f>
        <v>16.46</v>
      </c>
      <c r="G967" s="2">
        <f t="shared" si="2"/>
        <v>16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B968" s="3"/>
      <c r="C968" s="3"/>
      <c r="D968" s="3"/>
      <c r="E968" s="3"/>
      <c r="F968" s="2">
        <f>IFERROR(__xludf.DUMMYFUNCTION("""COMPUTED_VALUE"""),7.3)</f>
        <v>7.3</v>
      </c>
      <c r="G968" s="2">
        <f t="shared" si="2"/>
        <v>7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B969" s="3"/>
      <c r="C969" s="3"/>
      <c r="D969" s="3"/>
      <c r="E969" s="3"/>
      <c r="F969" s="2">
        <f>IFERROR(__xludf.DUMMYFUNCTION("""COMPUTED_VALUE"""),13.08)</f>
        <v>13.08</v>
      </c>
      <c r="G969" s="2">
        <f t="shared" si="2"/>
        <v>13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B970" s="3"/>
      <c r="C970" s="3"/>
      <c r="D970" s="3"/>
      <c r="E970" s="3"/>
      <c r="F970" s="2">
        <f>IFERROR(__xludf.DUMMYFUNCTION("""COMPUTED_VALUE"""),13.08)</f>
        <v>13.08</v>
      </c>
      <c r="G970" s="2">
        <f t="shared" si="2"/>
        <v>13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B971" s="3"/>
      <c r="C971" s="3"/>
      <c r="D971" s="3"/>
      <c r="E971" s="3"/>
      <c r="F971" s="2">
        <f>IFERROR(__xludf.DUMMYFUNCTION("""COMPUTED_VALUE"""),8.5)</f>
        <v>8.5</v>
      </c>
      <c r="G971" s="2">
        <f t="shared" si="2"/>
        <v>9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B972" s="3"/>
      <c r="C972" s="3"/>
      <c r="D972" s="3"/>
      <c r="E972" s="3"/>
      <c r="F972" s="2">
        <f>IFERROR(__xludf.DUMMYFUNCTION("""COMPUTED_VALUE"""),14.5)</f>
        <v>14.5</v>
      </c>
      <c r="G972" s="2">
        <f t="shared" si="2"/>
        <v>15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B973" s="3"/>
      <c r="C973" s="3"/>
      <c r="D973" s="3"/>
      <c r="E973" s="3"/>
      <c r="F973" s="2">
        <f>IFERROR(__xludf.DUMMYFUNCTION("""COMPUTED_VALUE"""),27.08)</f>
        <v>27.08</v>
      </c>
      <c r="G973" s="2">
        <f t="shared" si="2"/>
        <v>27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B974" s="3"/>
      <c r="C974" s="3"/>
      <c r="D974" s="3"/>
      <c r="E974" s="3"/>
      <c r="F974" s="2">
        <f>IFERROR(__xludf.DUMMYFUNCTION("""COMPUTED_VALUE"""),38.46)</f>
        <v>38.46</v>
      </c>
      <c r="G974" s="2">
        <f t="shared" si="2"/>
        <v>38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B975" s="3"/>
      <c r="C975" s="3"/>
      <c r="D975" s="3"/>
      <c r="E975" s="3"/>
      <c r="F975" s="2">
        <f>IFERROR(__xludf.DUMMYFUNCTION("""COMPUTED_VALUE"""),8.5)</f>
        <v>8.5</v>
      </c>
      <c r="G975" s="2">
        <f t="shared" si="2"/>
        <v>9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B976" s="3"/>
      <c r="C976" s="3"/>
      <c r="D976" s="3"/>
      <c r="E976" s="3"/>
      <c r="F976" s="2">
        <f>IFERROR(__xludf.DUMMYFUNCTION("""COMPUTED_VALUE"""),19.08)</f>
        <v>19.08</v>
      </c>
      <c r="G976" s="2">
        <f t="shared" si="2"/>
        <v>19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B977" s="3"/>
      <c r="C977" s="3"/>
      <c r="D977" s="3"/>
      <c r="E977" s="3"/>
      <c r="F977" s="2">
        <f>IFERROR(__xludf.DUMMYFUNCTION("""COMPUTED_VALUE"""),34.46)</f>
        <v>34.46</v>
      </c>
      <c r="G977" s="2">
        <f t="shared" si="2"/>
        <v>34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B978" s="3"/>
      <c r="C978" s="3"/>
      <c r="D978" s="3"/>
      <c r="E978" s="3"/>
      <c r="F978" s="2">
        <f>IFERROR(__xludf.DUMMYFUNCTION("""COMPUTED_VALUE"""),13.08)</f>
        <v>13.08</v>
      </c>
      <c r="G978" s="2">
        <f t="shared" si="2"/>
        <v>13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B979" s="3"/>
      <c r="C979" s="3"/>
      <c r="D979" s="3"/>
      <c r="E979" s="3"/>
      <c r="F979" s="2">
        <f>IFERROR(__xludf.DUMMYFUNCTION("""COMPUTED_VALUE"""),27.08)</f>
        <v>27.08</v>
      </c>
      <c r="G979" s="2">
        <f t="shared" si="2"/>
        <v>27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B980" s="3"/>
      <c r="C980" s="3"/>
      <c r="D980" s="3"/>
      <c r="E980" s="3"/>
      <c r="F980" s="2">
        <f>IFERROR(__xludf.DUMMYFUNCTION("""COMPUTED_VALUE"""),8.5)</f>
        <v>8.5</v>
      </c>
      <c r="G980" s="2">
        <f t="shared" si="2"/>
        <v>9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B981" s="3"/>
      <c r="C981" s="3"/>
      <c r="D981" s="3"/>
      <c r="E981" s="3"/>
      <c r="F981" s="2">
        <f>IFERROR(__xludf.DUMMYFUNCTION("""COMPUTED_VALUE"""),13.08)</f>
        <v>13.08</v>
      </c>
      <c r="G981" s="2">
        <f t="shared" si="2"/>
        <v>13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B982" s="3"/>
      <c r="C982" s="3"/>
      <c r="D982" s="3"/>
      <c r="E982" s="3"/>
      <c r="F982" s="2">
        <f>IFERROR(__xludf.DUMMYFUNCTION("""COMPUTED_VALUE"""),27.08)</f>
        <v>27.08</v>
      </c>
      <c r="G982" s="2">
        <f t="shared" si="2"/>
        <v>27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B983" s="3"/>
      <c r="C983" s="3"/>
      <c r="D983" s="3"/>
      <c r="E983" s="3"/>
      <c r="F983" s="2">
        <f>IFERROR(__xludf.DUMMYFUNCTION("""COMPUTED_VALUE"""),19.08)</f>
        <v>19.08</v>
      </c>
      <c r="G983" s="2">
        <f t="shared" si="2"/>
        <v>19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B984" s="3"/>
      <c r="C984" s="3"/>
      <c r="D984" s="3"/>
      <c r="E984" s="3"/>
      <c r="F984" s="2">
        <f>IFERROR(__xludf.DUMMYFUNCTION("""COMPUTED_VALUE"""),24.48)</f>
        <v>24.48</v>
      </c>
      <c r="G984" s="2">
        <f t="shared" si="2"/>
        <v>24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B985" s="3"/>
      <c r="C985" s="3"/>
      <c r="D985" s="3"/>
      <c r="E985" s="3"/>
      <c r="F985" s="2">
        <f>IFERROR(__xludf.DUMMYFUNCTION("""COMPUTED_VALUE"""),24.48)</f>
        <v>24.48</v>
      </c>
      <c r="G985" s="2">
        <f t="shared" si="2"/>
        <v>24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B986" s="3"/>
      <c r="C986" s="3"/>
      <c r="D986" s="3"/>
      <c r="E986" s="3"/>
      <c r="F986" s="2">
        <f>IFERROR(__xludf.DUMMYFUNCTION("""COMPUTED_VALUE"""),10.48)</f>
        <v>10.48</v>
      </c>
      <c r="G986" s="2">
        <f t="shared" si="2"/>
        <v>10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B987" s="3"/>
      <c r="C987" s="3"/>
      <c r="D987" s="3"/>
      <c r="E987" s="3"/>
      <c r="F987" s="2">
        <f>IFERROR(__xludf.DUMMYFUNCTION("""COMPUTED_VALUE"""),14.5)</f>
        <v>14.5</v>
      </c>
      <c r="G987" s="2">
        <f t="shared" si="2"/>
        <v>15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B988" s="3"/>
      <c r="C988" s="3"/>
      <c r="D988" s="3"/>
      <c r="E988" s="3"/>
      <c r="F988" s="2">
        <f>IFERROR(__xludf.DUMMYFUNCTION("""COMPUTED_VALUE"""),32.42)</f>
        <v>32.42</v>
      </c>
      <c r="G988" s="2">
        <f t="shared" si="2"/>
        <v>32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B989" s="3"/>
      <c r="C989" s="3"/>
      <c r="D989" s="3"/>
      <c r="E989" s="3"/>
      <c r="F989" s="2">
        <f>IFERROR(__xludf.DUMMYFUNCTION("""COMPUTED_VALUE"""),16.46)</f>
        <v>16.46</v>
      </c>
      <c r="G989" s="2">
        <f t="shared" si="2"/>
        <v>16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B990" s="3"/>
      <c r="C990" s="3"/>
      <c r="D990" s="3"/>
      <c r="E990" s="3"/>
      <c r="F990" s="2">
        <f>IFERROR(__xludf.DUMMYFUNCTION("""COMPUTED_VALUE"""),7.02)</f>
        <v>7.02</v>
      </c>
      <c r="G990" s="2">
        <f t="shared" si="2"/>
        <v>7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B991" s="3"/>
      <c r="C991" s="3"/>
      <c r="D991" s="3"/>
      <c r="E991" s="3"/>
      <c r="F991" s="2">
        <f>IFERROR(__xludf.DUMMYFUNCTION("""COMPUTED_VALUE"""),34.46)</f>
        <v>34.46</v>
      </c>
      <c r="G991" s="2">
        <f t="shared" si="2"/>
        <v>34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B992" s="3"/>
      <c r="C992" s="3"/>
      <c r="D992" s="3"/>
      <c r="E992" s="3"/>
      <c r="F992" s="2">
        <f>IFERROR(__xludf.DUMMYFUNCTION("""COMPUTED_VALUE"""),22.46)</f>
        <v>22.46</v>
      </c>
      <c r="G992" s="2">
        <f t="shared" si="2"/>
        <v>22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B993" s="3"/>
      <c r="C993" s="3"/>
      <c r="D993" s="3"/>
      <c r="E993" s="3"/>
      <c r="F993" s="2">
        <f>IFERROR(__xludf.DUMMYFUNCTION("""COMPUTED_VALUE"""),12.42)</f>
        <v>12.42</v>
      </c>
      <c r="G993" s="2">
        <f t="shared" si="2"/>
        <v>12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B994" s="3"/>
      <c r="C994" s="3"/>
      <c r="D994" s="3"/>
      <c r="E994" s="3"/>
      <c r="F994" s="2">
        <f>IFERROR(__xludf.DUMMYFUNCTION("""COMPUTED_VALUE"""),7.02)</f>
        <v>7.02</v>
      </c>
      <c r="G994" s="2">
        <f t="shared" si="2"/>
        <v>7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B995" s="3"/>
      <c r="C995" s="3"/>
      <c r="D995" s="3"/>
      <c r="E995" s="3"/>
      <c r="F995" s="2">
        <f>IFERROR(__xludf.DUMMYFUNCTION("""COMPUTED_VALUE"""),6.5)</f>
        <v>6.5</v>
      </c>
      <c r="G995" s="2">
        <f t="shared" si="2"/>
        <v>7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B996" s="3"/>
      <c r="C996" s="3"/>
      <c r="D996" s="3"/>
      <c r="E996" s="3"/>
      <c r="F996" s="2">
        <f>IFERROR(__xludf.DUMMYFUNCTION("""COMPUTED_VALUE"""),37.12)</f>
        <v>37.12</v>
      </c>
      <c r="G996" s="2">
        <f t="shared" si="2"/>
        <v>37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B997" s="3"/>
      <c r="C997" s="3"/>
      <c r="D997" s="3"/>
      <c r="E997" s="3"/>
      <c r="F997" s="2">
        <f>IFERROR(__xludf.DUMMYFUNCTION("""COMPUTED_VALUE"""),22.46)</f>
        <v>22.46</v>
      </c>
      <c r="G997" s="2">
        <f t="shared" si="2"/>
        <v>22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B998" s="3"/>
      <c r="C998" s="3"/>
      <c r="D998" s="3"/>
      <c r="E998" s="3"/>
      <c r="F998" s="2">
        <f>IFERROR(__xludf.DUMMYFUNCTION("""COMPUTED_VALUE"""),17.08)</f>
        <v>17.08</v>
      </c>
      <c r="G998" s="2">
        <f t="shared" si="2"/>
        <v>17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B999" s="3"/>
      <c r="C999" s="3"/>
      <c r="D999" s="3"/>
      <c r="E999" s="3"/>
      <c r="F999" s="2">
        <f>IFERROR(__xludf.DUMMYFUNCTION("""COMPUTED_VALUE"""),7.02)</f>
        <v>7.02</v>
      </c>
      <c r="G999" s="2">
        <f t="shared" si="2"/>
        <v>7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B1000" s="3"/>
      <c r="C1000" s="3"/>
      <c r="D1000" s="3"/>
      <c r="E1000" s="3"/>
      <c r="F1000" s="2">
        <f>IFERROR(__xludf.DUMMYFUNCTION("""COMPUTED_VALUE"""),34.46)</f>
        <v>34.46</v>
      </c>
      <c r="G1000" s="2">
        <f t="shared" si="2"/>
        <v>34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B1001" s="3"/>
      <c r="C1001" s="3"/>
      <c r="D1001" s="3"/>
      <c r="E1001" s="3"/>
      <c r="F1001" s="2">
        <f>IFERROR(__xludf.DUMMYFUNCTION("""COMPUTED_VALUE"""),57.12)</f>
        <v>57.12</v>
      </c>
      <c r="G1001" s="2">
        <f t="shared" si="2"/>
        <v>57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B1002" s="3"/>
      <c r="C1002" s="3"/>
      <c r="D1002" s="3"/>
      <c r="E1002" s="3"/>
      <c r="F1002" s="2">
        <f>IFERROR(__xludf.DUMMYFUNCTION("""COMPUTED_VALUE"""),18.9)</f>
        <v>18.9</v>
      </c>
      <c r="G1002" s="2">
        <f t="shared" si="2"/>
        <v>19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B1003" s="3"/>
      <c r="C1003" s="3"/>
      <c r="D1003" s="3"/>
      <c r="E1003" s="3"/>
      <c r="F1003" s="2">
        <f>IFERROR(__xludf.DUMMYFUNCTION("""COMPUTED_VALUE"""),8.5)</f>
        <v>8.5</v>
      </c>
      <c r="G1003" s="2">
        <f t="shared" si="2"/>
        <v>9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B1004" s="3"/>
      <c r="C1004" s="3"/>
      <c r="D1004" s="3"/>
      <c r="E1004" s="3"/>
      <c r="F1004" s="2">
        <f>IFERROR(__xludf.DUMMYFUNCTION("""COMPUTED_VALUE"""),16.46)</f>
        <v>16.46</v>
      </c>
      <c r="G1004" s="2">
        <f t="shared" si="2"/>
        <v>16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B1005" s="3"/>
      <c r="C1005" s="3"/>
      <c r="D1005" s="3"/>
      <c r="E1005" s="3"/>
      <c r="F1005" s="2">
        <f>IFERROR(__xludf.DUMMYFUNCTION("""COMPUTED_VALUE"""),22.5)</f>
        <v>22.5</v>
      </c>
      <c r="G1005" s="2">
        <f t="shared" si="2"/>
        <v>23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B1006" s="3"/>
      <c r="C1006" s="3"/>
      <c r="D1006" s="3"/>
      <c r="E1006" s="3"/>
      <c r="F1006" s="2">
        <f>IFERROR(__xludf.DUMMYFUNCTION("""COMPUTED_VALUE"""),6.5)</f>
        <v>6.5</v>
      </c>
      <c r="G1006" s="2">
        <f t="shared" si="2"/>
        <v>7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B1007" s="3"/>
      <c r="C1007" s="3"/>
      <c r="D1007" s="3"/>
      <c r="E1007" s="3"/>
      <c r="F1007" s="2">
        <f>IFERROR(__xludf.DUMMYFUNCTION("""COMPUTED_VALUE"""),11.3)</f>
        <v>11.3</v>
      </c>
      <c r="G1007" s="2">
        <f t="shared" si="2"/>
        <v>11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B1008" s="3"/>
      <c r="C1008" s="3"/>
      <c r="D1008" s="3"/>
      <c r="E1008" s="3"/>
      <c r="F1008" s="2">
        <f>IFERROR(__xludf.DUMMYFUNCTION("""COMPUTED_VALUE"""),30.46)</f>
        <v>30.46</v>
      </c>
      <c r="G1008" s="2">
        <f t="shared" si="2"/>
        <v>30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B1009" s="3"/>
      <c r="C1009" s="3"/>
      <c r="D1009" s="3"/>
      <c r="E1009" s="3"/>
      <c r="F1009" s="2">
        <f>IFERROR(__xludf.DUMMYFUNCTION("""COMPUTED_VALUE"""),23.08)</f>
        <v>23.08</v>
      </c>
      <c r="G1009" s="2">
        <f t="shared" si="2"/>
        <v>23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B1010" s="3"/>
      <c r="C1010" s="3"/>
      <c r="D1010" s="3"/>
      <c r="E1010" s="3"/>
      <c r="F1010" s="2">
        <f>IFERROR(__xludf.DUMMYFUNCTION("""COMPUTED_VALUE"""),13.08)</f>
        <v>13.08</v>
      </c>
      <c r="G1010" s="2">
        <f t="shared" si="2"/>
        <v>13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B1011" s="3"/>
      <c r="C1011" s="3"/>
      <c r="D1011" s="3"/>
      <c r="E1011" s="3"/>
      <c r="F1011" s="2">
        <f>IFERROR(__xludf.DUMMYFUNCTION("""COMPUTED_VALUE"""),38.46)</f>
        <v>38.46</v>
      </c>
      <c r="G1011" s="2">
        <f t="shared" si="2"/>
        <v>38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B1012" s="3"/>
      <c r="C1012" s="3"/>
      <c r="D1012" s="3"/>
      <c r="E1012" s="3"/>
      <c r="F1012" s="2">
        <f>IFERROR(__xludf.DUMMYFUNCTION("""COMPUTED_VALUE"""),12.42)</f>
        <v>12.42</v>
      </c>
      <c r="G1012" s="2">
        <f t="shared" si="2"/>
        <v>12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B1013" s="3"/>
      <c r="C1013" s="3"/>
      <c r="D1013" s="3"/>
      <c r="E1013" s="3"/>
      <c r="F1013" s="2">
        <f>IFERROR(__xludf.DUMMYFUNCTION("""COMPUTED_VALUE"""),12.42)</f>
        <v>12.42</v>
      </c>
      <c r="G1013" s="2">
        <f t="shared" si="2"/>
        <v>12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B1014" s="3"/>
      <c r="C1014" s="3"/>
      <c r="D1014" s="3"/>
      <c r="E1014" s="3"/>
      <c r="F1014" s="2">
        <f>IFERROR(__xludf.DUMMYFUNCTION("""COMPUTED_VALUE"""),32.42)</f>
        <v>32.42</v>
      </c>
      <c r="G1014" s="2">
        <f t="shared" si="2"/>
        <v>32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B1015" s="3"/>
      <c r="C1015" s="3"/>
      <c r="D1015" s="3"/>
      <c r="E1015" s="3"/>
      <c r="F1015" s="2">
        <f>IFERROR(__xludf.DUMMYFUNCTION("""COMPUTED_VALUE"""),22.46)</f>
        <v>22.46</v>
      </c>
      <c r="G1015" s="2">
        <f t="shared" si="2"/>
        <v>22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B1016" s="3"/>
      <c r="C1016" s="3"/>
      <c r="D1016" s="3"/>
      <c r="E1016" s="3"/>
      <c r="F1016" s="2">
        <f>IFERROR(__xludf.DUMMYFUNCTION("""COMPUTED_VALUE"""),32.42)</f>
        <v>32.42</v>
      </c>
      <c r="G1016" s="2">
        <f t="shared" si="2"/>
        <v>32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B1017" s="3"/>
      <c r="C1017" s="3"/>
      <c r="D1017" s="3"/>
      <c r="E1017" s="3"/>
      <c r="F1017" s="2">
        <f>IFERROR(__xludf.DUMMYFUNCTION("""COMPUTED_VALUE"""),10.48)</f>
        <v>10.48</v>
      </c>
      <c r="G1017" s="2">
        <f t="shared" si="2"/>
        <v>10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B1018" s="3"/>
      <c r="C1018" s="3"/>
      <c r="D1018" s="3"/>
      <c r="E1018" s="3"/>
      <c r="F1018" s="2">
        <f>IFERROR(__xludf.DUMMYFUNCTION("""COMPUTED_VALUE"""),12.42)</f>
        <v>12.42</v>
      </c>
      <c r="G1018" s="2">
        <f t="shared" si="2"/>
        <v>12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B1019" s="3"/>
      <c r="C1019" s="3"/>
      <c r="D1019" s="3"/>
      <c r="E1019" s="3"/>
      <c r="F1019" s="2">
        <f>IFERROR(__xludf.DUMMYFUNCTION("""COMPUTED_VALUE"""),30.46)</f>
        <v>30.46</v>
      </c>
      <c r="G1019" s="2">
        <f t="shared" si="2"/>
        <v>30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B1020" s="3"/>
      <c r="C1020" s="3"/>
      <c r="D1020" s="3"/>
      <c r="E1020" s="3"/>
      <c r="F1020" s="2">
        <f>IFERROR(__xludf.DUMMYFUNCTION("""COMPUTED_VALUE"""),8.42)</f>
        <v>8.42</v>
      </c>
      <c r="G1020" s="2">
        <f t="shared" si="2"/>
        <v>8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B1021" s="3"/>
      <c r="C1021" s="3"/>
      <c r="D1021" s="3"/>
      <c r="E1021" s="3"/>
      <c r="F1021" s="2">
        <f>IFERROR(__xludf.DUMMYFUNCTION("""COMPUTED_VALUE"""),46.349999999999994)</f>
        <v>46.35</v>
      </c>
      <c r="G1021" s="2">
        <f t="shared" si="2"/>
        <v>46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B1022" s="3"/>
      <c r="C1022" s="3"/>
      <c r="D1022" s="3"/>
      <c r="E1022" s="3"/>
      <c r="F1022" s="2">
        <f>IFERROR(__xludf.DUMMYFUNCTION("""COMPUTED_VALUE"""),51.69)</f>
        <v>51.69</v>
      </c>
      <c r="G1022" s="2">
        <f t="shared" si="2"/>
        <v>52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B1023" s="3"/>
      <c r="C1023" s="3"/>
      <c r="D1023" s="3"/>
      <c r="E1023" s="3"/>
      <c r="F1023" s="2">
        <f>IFERROR(__xludf.DUMMYFUNCTION("""COMPUTED_VALUE"""),19.62)</f>
        <v>19.62</v>
      </c>
      <c r="G1023" s="2">
        <f t="shared" si="2"/>
        <v>20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B1024" s="3"/>
      <c r="C1024" s="3"/>
      <c r="D1024" s="3"/>
      <c r="E1024" s="3"/>
      <c r="F1024" s="2">
        <f>IFERROR(__xludf.DUMMYFUNCTION("""COMPUTED_VALUE"""),15.629999999999999)</f>
        <v>15.63</v>
      </c>
      <c r="G1024" s="2">
        <f t="shared" si="2"/>
        <v>16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B1025" s="3"/>
      <c r="C1025" s="3"/>
      <c r="D1025" s="3"/>
      <c r="E1025" s="3"/>
      <c r="F1025" s="2">
        <f>IFERROR(__xludf.DUMMYFUNCTION("""COMPUTED_VALUE"""),25.619999999999997)</f>
        <v>25.62</v>
      </c>
      <c r="G1025" s="2">
        <f t="shared" si="2"/>
        <v>26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B1026" s="3"/>
      <c r="C1026" s="3"/>
      <c r="D1026" s="3"/>
      <c r="E1026" s="3"/>
      <c r="F1026" s="2">
        <f>IFERROR(__xludf.DUMMYFUNCTION("""COMPUTED_VALUE"""),24.36)</f>
        <v>24.36</v>
      </c>
      <c r="G1026" s="2">
        <f t="shared" si="2"/>
        <v>24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B1027" s="3"/>
      <c r="C1027" s="3"/>
      <c r="D1027" s="3"/>
      <c r="E1027" s="3"/>
      <c r="F1027" s="2">
        <f>IFERROR(__xludf.DUMMYFUNCTION("""COMPUTED_VALUE"""),19.62)</f>
        <v>19.62</v>
      </c>
      <c r="G1027" s="2">
        <f t="shared" si="2"/>
        <v>20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B1028" s="3"/>
      <c r="C1028" s="3"/>
      <c r="D1028" s="3"/>
      <c r="E1028" s="3"/>
      <c r="F1028" s="2">
        <f>IFERROR(__xludf.DUMMYFUNCTION("""COMPUTED_VALUE"""),12.75)</f>
        <v>12.75</v>
      </c>
      <c r="G1028" s="2">
        <f t="shared" si="2"/>
        <v>13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B1029" s="3"/>
      <c r="C1029" s="3"/>
      <c r="D1029" s="3"/>
      <c r="E1029" s="3"/>
      <c r="F1029" s="2">
        <f>IFERROR(__xludf.DUMMYFUNCTION("""COMPUTED_VALUE"""),36.72)</f>
        <v>36.72</v>
      </c>
      <c r="G1029" s="2">
        <f t="shared" si="2"/>
        <v>37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B1030" s="3"/>
      <c r="C1030" s="3"/>
      <c r="D1030" s="3"/>
      <c r="E1030" s="3"/>
      <c r="F1030" s="2">
        <f>IFERROR(__xludf.DUMMYFUNCTION("""COMPUTED_VALUE"""),51.69)</f>
        <v>51.69</v>
      </c>
      <c r="G1030" s="2">
        <f t="shared" si="2"/>
        <v>52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B1031" s="3"/>
      <c r="C1031" s="3"/>
      <c r="D1031" s="3"/>
      <c r="E1031" s="3"/>
      <c r="F1031" s="2">
        <f>IFERROR(__xludf.DUMMYFUNCTION("""COMPUTED_VALUE"""),24.69)</f>
        <v>24.69</v>
      </c>
      <c r="G1031" s="2">
        <f t="shared" si="2"/>
        <v>25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B1032" s="3"/>
      <c r="C1032" s="3"/>
      <c r="D1032" s="3"/>
      <c r="E1032" s="3"/>
      <c r="F1032" s="2">
        <f>IFERROR(__xludf.DUMMYFUNCTION("""COMPUTED_VALUE"""),85.67999999999999)</f>
        <v>85.68</v>
      </c>
      <c r="G1032" s="2">
        <f t="shared" si="2"/>
        <v>86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B1033" s="3"/>
      <c r="C1033" s="3"/>
      <c r="D1033" s="3"/>
      <c r="E1033" s="3"/>
      <c r="F1033" s="2">
        <f>IFERROR(__xludf.DUMMYFUNCTION("""COMPUTED_VALUE"""),46.349999999999994)</f>
        <v>46.35</v>
      </c>
      <c r="G1033" s="2">
        <f t="shared" si="2"/>
        <v>46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B1034" s="3"/>
      <c r="C1034" s="3"/>
      <c r="D1034" s="3"/>
      <c r="E1034" s="3"/>
      <c r="F1034" s="2">
        <f>IFERROR(__xludf.DUMMYFUNCTION("""COMPUTED_VALUE"""),19.62)</f>
        <v>19.62</v>
      </c>
      <c r="G1034" s="2">
        <f t="shared" si="2"/>
        <v>20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B1035" s="3"/>
      <c r="C1035" s="3"/>
      <c r="D1035" s="3"/>
      <c r="E1035" s="3"/>
      <c r="F1035" s="2">
        <f>IFERROR(__xludf.DUMMYFUNCTION("""COMPUTED_VALUE"""),42.75)</f>
        <v>42.75</v>
      </c>
      <c r="G1035" s="2">
        <f t="shared" si="2"/>
        <v>43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B1036" s="3"/>
      <c r="C1036" s="3"/>
      <c r="D1036" s="3"/>
      <c r="E1036" s="3"/>
      <c r="F1036" s="2">
        <f>IFERROR(__xludf.DUMMYFUNCTION("""COMPUTED_VALUE"""),28.349999999999998)</f>
        <v>28.35</v>
      </c>
      <c r="G1036" s="2">
        <f t="shared" si="2"/>
        <v>28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B1037" s="3"/>
      <c r="C1037" s="3"/>
      <c r="D1037" s="3"/>
      <c r="E1037" s="3"/>
      <c r="F1037" s="2">
        <f>IFERROR(__xludf.DUMMYFUNCTION("""COMPUTED_VALUE"""),51.69)</f>
        <v>51.69</v>
      </c>
      <c r="G1037" s="2">
        <f t="shared" si="2"/>
        <v>52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B1038" s="3"/>
      <c r="C1038" s="3"/>
      <c r="D1038" s="3"/>
      <c r="E1038" s="3"/>
      <c r="F1038" s="2">
        <f>IFERROR(__xludf.DUMMYFUNCTION("""COMPUTED_VALUE"""),28.349999999999998)</f>
        <v>28.35</v>
      </c>
      <c r="G1038" s="2">
        <f t="shared" si="2"/>
        <v>28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B1039" s="3"/>
      <c r="C1039" s="3"/>
      <c r="D1039" s="3"/>
      <c r="E1039" s="3"/>
      <c r="F1039" s="2">
        <f>IFERROR(__xludf.DUMMYFUNCTION("""COMPUTED_VALUE"""),18.63)</f>
        <v>18.63</v>
      </c>
      <c r="G1039" s="2">
        <f t="shared" si="2"/>
        <v>19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B1040" s="3"/>
      <c r="C1040" s="3"/>
      <c r="D1040" s="3"/>
      <c r="E1040" s="3"/>
      <c r="F1040" s="2">
        <f>IFERROR(__xludf.DUMMYFUNCTION("""COMPUTED_VALUE"""),34.62)</f>
        <v>34.62</v>
      </c>
      <c r="G1040" s="2">
        <f t="shared" si="2"/>
        <v>35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B1041" s="3"/>
      <c r="C1041" s="3"/>
      <c r="D1041" s="3"/>
      <c r="E1041" s="3"/>
      <c r="F1041" s="2">
        <f>IFERROR(__xludf.DUMMYFUNCTION("""COMPUTED_VALUE"""),34.62)</f>
        <v>34.62</v>
      </c>
      <c r="G1041" s="2">
        <f t="shared" si="2"/>
        <v>35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B1042" s="3"/>
      <c r="C1042" s="3"/>
      <c r="D1042" s="3"/>
      <c r="E1042" s="3"/>
      <c r="F1042" s="2">
        <f>IFERROR(__xludf.DUMMYFUNCTION("""COMPUTED_VALUE"""),36.72)</f>
        <v>36.72</v>
      </c>
      <c r="G1042" s="2">
        <f t="shared" si="2"/>
        <v>37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B1043" s="3"/>
      <c r="C1043" s="3"/>
      <c r="D1043" s="3"/>
      <c r="E1043" s="3"/>
      <c r="F1043" s="2">
        <f>IFERROR(__xludf.DUMMYFUNCTION("""COMPUTED_VALUE"""),25.619999999999997)</f>
        <v>25.62</v>
      </c>
      <c r="G1043" s="2">
        <f t="shared" si="2"/>
        <v>26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B1044" s="3"/>
      <c r="C1044" s="3"/>
      <c r="D1044" s="3"/>
      <c r="E1044" s="3"/>
      <c r="F1044" s="2">
        <f>IFERROR(__xludf.DUMMYFUNCTION("""COMPUTED_VALUE"""),40.62)</f>
        <v>40.62</v>
      </c>
      <c r="G1044" s="2">
        <f t="shared" si="2"/>
        <v>41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B1045" s="3"/>
      <c r="C1045" s="3"/>
      <c r="D1045" s="3"/>
      <c r="E1045" s="3"/>
      <c r="F1045" s="2">
        <f>IFERROR(__xludf.DUMMYFUNCTION("""COMPUTED_VALUE"""),37.68)</f>
        <v>37.68</v>
      </c>
      <c r="G1045" s="2">
        <f t="shared" si="2"/>
        <v>38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B1046" s="3"/>
      <c r="C1046" s="3"/>
      <c r="D1046" s="3"/>
      <c r="E1046" s="3"/>
      <c r="F1046" s="2">
        <f>IFERROR(__xludf.DUMMYFUNCTION("""COMPUTED_VALUE"""),24.36)</f>
        <v>24.36</v>
      </c>
      <c r="G1046" s="2">
        <f t="shared" si="2"/>
        <v>24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B1047" s="3"/>
      <c r="C1047" s="3"/>
      <c r="D1047" s="3"/>
      <c r="E1047" s="3"/>
      <c r="F1047" s="2">
        <f>IFERROR(__xludf.DUMMYFUNCTION("""COMPUTED_VALUE"""),19.62)</f>
        <v>19.62</v>
      </c>
      <c r="G1047" s="2">
        <f t="shared" si="2"/>
        <v>20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B1048" s="3"/>
      <c r="C1048" s="3"/>
      <c r="D1048" s="3"/>
      <c r="E1048" s="3"/>
      <c r="F1048" s="2">
        <f>IFERROR(__xludf.DUMMYFUNCTION("""COMPUTED_VALUE"""),46.349999999999994)</f>
        <v>46.35</v>
      </c>
      <c r="G1048" s="2">
        <f t="shared" si="2"/>
        <v>46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B1049" s="3"/>
      <c r="C1049" s="3"/>
      <c r="D1049" s="3"/>
      <c r="E1049" s="3"/>
      <c r="F1049" s="2">
        <f>IFERROR(__xludf.DUMMYFUNCTION("""COMPUTED_VALUE"""),51.69)</f>
        <v>51.69</v>
      </c>
      <c r="G1049" s="2">
        <f t="shared" si="2"/>
        <v>52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B1050" s="3"/>
      <c r="C1050" s="3"/>
      <c r="D1050" s="3"/>
      <c r="E1050" s="3"/>
      <c r="F1050" s="2">
        <f>IFERROR(__xludf.DUMMYFUNCTION("""COMPUTED_VALUE"""),48.63)</f>
        <v>48.63</v>
      </c>
      <c r="G1050" s="2">
        <f t="shared" si="2"/>
        <v>49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B1051" s="3"/>
      <c r="C1051" s="3"/>
      <c r="D1051" s="3"/>
      <c r="E1051" s="3"/>
      <c r="F1051" s="2">
        <f>IFERROR(__xludf.DUMMYFUNCTION("""COMPUTED_VALUE"""),18.63)</f>
        <v>18.63</v>
      </c>
      <c r="G1051" s="2">
        <f t="shared" si="2"/>
        <v>19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B1052" s="3"/>
      <c r="C1052" s="3"/>
      <c r="D1052" s="3"/>
      <c r="E1052" s="3"/>
      <c r="F1052" s="2">
        <f>IFERROR(__xludf.DUMMYFUNCTION("""COMPUTED_VALUE"""),33.75)</f>
        <v>33.75</v>
      </c>
      <c r="G1052" s="2">
        <f t="shared" si="2"/>
        <v>34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B1053" s="3"/>
      <c r="C1053" s="3"/>
      <c r="D1053" s="3"/>
      <c r="E1053" s="3"/>
      <c r="F1053" s="2">
        <f>IFERROR(__xludf.DUMMYFUNCTION("""COMPUTED_VALUE"""),55.67999999999999)</f>
        <v>55.68</v>
      </c>
      <c r="G1053" s="2">
        <f t="shared" si="2"/>
        <v>56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B1054" s="3"/>
      <c r="C1054" s="3"/>
      <c r="D1054" s="3"/>
      <c r="E1054" s="3"/>
      <c r="F1054" s="2">
        <f>IFERROR(__xludf.DUMMYFUNCTION("""COMPUTED_VALUE"""),25.619999999999997)</f>
        <v>25.62</v>
      </c>
      <c r="G1054" s="2">
        <f t="shared" si="2"/>
        <v>26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B1055" s="3"/>
      <c r="C1055" s="3"/>
      <c r="D1055" s="3"/>
      <c r="E1055" s="3"/>
      <c r="F1055" s="2">
        <f>IFERROR(__xludf.DUMMYFUNCTION("""COMPUTED_VALUE"""),16.950000000000003)</f>
        <v>16.95</v>
      </c>
      <c r="G1055" s="2">
        <f t="shared" si="2"/>
        <v>17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B1056" s="3"/>
      <c r="C1056" s="3"/>
      <c r="D1056" s="3"/>
      <c r="E1056" s="3"/>
      <c r="F1056" s="2">
        <f>IFERROR(__xludf.DUMMYFUNCTION("""COMPUTED_VALUE"""),37.08)</f>
        <v>37.08</v>
      </c>
      <c r="G1056" s="2">
        <f t="shared" si="2"/>
        <v>37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B1057" s="3"/>
      <c r="C1057" s="3"/>
      <c r="D1057" s="3"/>
      <c r="E1057" s="3"/>
      <c r="F1057" s="2">
        <f>IFERROR(__xludf.DUMMYFUNCTION("""COMPUTED_VALUE"""),33.75)</f>
        <v>33.75</v>
      </c>
      <c r="G1057" s="2">
        <f t="shared" si="2"/>
        <v>34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B1058" s="3"/>
      <c r="C1058" s="3"/>
      <c r="D1058" s="3"/>
      <c r="E1058" s="3"/>
      <c r="F1058" s="2">
        <f>IFERROR(__xludf.DUMMYFUNCTION("""COMPUTED_VALUE"""),33.75)</f>
        <v>33.75</v>
      </c>
      <c r="G1058" s="2">
        <f t="shared" si="2"/>
        <v>34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B1059" s="3"/>
      <c r="C1059" s="3"/>
      <c r="D1059" s="3"/>
      <c r="E1059" s="3"/>
      <c r="F1059" s="2">
        <f>IFERROR(__xludf.DUMMYFUNCTION("""COMPUTED_VALUE"""),51.69)</f>
        <v>51.69</v>
      </c>
      <c r="G1059" s="2">
        <f t="shared" si="2"/>
        <v>52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B1060" s="3"/>
      <c r="C1060" s="3"/>
      <c r="D1060" s="3"/>
      <c r="E1060" s="3"/>
      <c r="F1060" s="2">
        <f>IFERROR(__xludf.DUMMYFUNCTION("""COMPUTED_VALUE"""),28.619999999999997)</f>
        <v>28.62</v>
      </c>
      <c r="G1060" s="2">
        <f t="shared" si="2"/>
        <v>29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B1061" s="3"/>
      <c r="C1061" s="3"/>
      <c r="D1061" s="3"/>
      <c r="E1061" s="3"/>
      <c r="F1061" s="2">
        <f>IFERROR(__xludf.DUMMYFUNCTION("""COMPUTED_VALUE"""),9.75)</f>
        <v>9.75</v>
      </c>
      <c r="G1061" s="2">
        <f t="shared" si="2"/>
        <v>10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B1062" s="3"/>
      <c r="C1062" s="3"/>
      <c r="D1062" s="3"/>
      <c r="E1062" s="3"/>
      <c r="F1062" s="2">
        <f>IFERROR(__xludf.DUMMYFUNCTION("""COMPUTED_VALUE"""),24.36)</f>
        <v>24.36</v>
      </c>
      <c r="G1062" s="2">
        <f t="shared" si="2"/>
        <v>24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B1063" s="3"/>
      <c r="C1063" s="3"/>
      <c r="D1063" s="3"/>
      <c r="E1063" s="3"/>
      <c r="F1063" s="2">
        <f>IFERROR(__xludf.DUMMYFUNCTION("""COMPUTED_VALUE"""),18.63)</f>
        <v>18.63</v>
      </c>
      <c r="G1063" s="2">
        <f t="shared" si="2"/>
        <v>19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B1064" s="3"/>
      <c r="C1064" s="3"/>
      <c r="D1064" s="3"/>
      <c r="E1064" s="3"/>
      <c r="F1064" s="2">
        <f>IFERROR(__xludf.DUMMYFUNCTION("""COMPUTED_VALUE"""),18.63)</f>
        <v>18.63</v>
      </c>
      <c r="G1064" s="2">
        <f t="shared" si="2"/>
        <v>19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B1065" s="3"/>
      <c r="C1065" s="3"/>
      <c r="D1065" s="3"/>
      <c r="E1065" s="3"/>
      <c r="F1065" s="2">
        <f>IFERROR(__xludf.DUMMYFUNCTION("""COMPUTED_VALUE"""),18.63)</f>
        <v>18.63</v>
      </c>
      <c r="G1065" s="2">
        <f t="shared" si="2"/>
        <v>19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B1066" s="3"/>
      <c r="C1066" s="3"/>
      <c r="D1066" s="3"/>
      <c r="E1066" s="3"/>
      <c r="F1066" s="2">
        <f>IFERROR(__xludf.DUMMYFUNCTION("""COMPUTED_VALUE"""),16.950000000000003)</f>
        <v>16.95</v>
      </c>
      <c r="G1066" s="2">
        <f t="shared" si="2"/>
        <v>17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B1067" s="3"/>
      <c r="C1067" s="3"/>
      <c r="D1067" s="3"/>
      <c r="E1067" s="3"/>
      <c r="F1067" s="2">
        <f>IFERROR(__xludf.DUMMYFUNCTION("""COMPUTED_VALUE"""),18.63)</f>
        <v>18.63</v>
      </c>
      <c r="G1067" s="2">
        <f t="shared" si="2"/>
        <v>19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B1068" s="3"/>
      <c r="C1068" s="3"/>
      <c r="D1068" s="3"/>
      <c r="E1068" s="3"/>
      <c r="F1068" s="2">
        <f>IFERROR(__xludf.DUMMYFUNCTION("""COMPUTED_VALUE"""),24.36)</f>
        <v>24.36</v>
      </c>
      <c r="G1068" s="2">
        <f t="shared" si="2"/>
        <v>24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B1069" s="3"/>
      <c r="C1069" s="3"/>
      <c r="D1069" s="3"/>
      <c r="E1069" s="3"/>
      <c r="F1069" s="2">
        <f>IFERROR(__xludf.DUMMYFUNCTION("""COMPUTED_VALUE"""),36.72)</f>
        <v>36.72</v>
      </c>
      <c r="G1069" s="2">
        <f t="shared" si="2"/>
        <v>37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B1070" s="3"/>
      <c r="C1070" s="3"/>
      <c r="D1070" s="3"/>
      <c r="E1070" s="3"/>
      <c r="F1070" s="2">
        <f>IFERROR(__xludf.DUMMYFUNCTION("""COMPUTED_VALUE"""),24.69)</f>
        <v>24.69</v>
      </c>
      <c r="G1070" s="2">
        <f t="shared" si="2"/>
        <v>25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B1071" s="3"/>
      <c r="C1071" s="3"/>
      <c r="D1071" s="3"/>
      <c r="E1071" s="3"/>
      <c r="F1071" s="2">
        <f>IFERROR(__xludf.DUMMYFUNCTION("""COMPUTED_VALUE"""),19.62)</f>
        <v>19.62</v>
      </c>
      <c r="G1071" s="2">
        <f t="shared" si="2"/>
        <v>20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B1072" s="3"/>
      <c r="C1072" s="3"/>
      <c r="D1072" s="3"/>
      <c r="E1072" s="3"/>
      <c r="F1072" s="2">
        <f>IFERROR(__xludf.DUMMYFUNCTION("""COMPUTED_VALUE"""),12.75)</f>
        <v>12.75</v>
      </c>
      <c r="G1072" s="2">
        <f t="shared" si="2"/>
        <v>13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B1073" s="3"/>
      <c r="C1073" s="3"/>
      <c r="D1073" s="3"/>
      <c r="E1073" s="3"/>
      <c r="F1073" s="2">
        <f>IFERROR(__xludf.DUMMYFUNCTION("""COMPUTED_VALUE"""),33.75)</f>
        <v>33.75</v>
      </c>
      <c r="G1073" s="2">
        <f t="shared" si="2"/>
        <v>34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B1074" s="3"/>
      <c r="C1074" s="3"/>
      <c r="D1074" s="3"/>
      <c r="E1074" s="3"/>
      <c r="F1074" s="2">
        <f>IFERROR(__xludf.DUMMYFUNCTION("""COMPUTED_VALUE"""),24.69)</f>
        <v>24.69</v>
      </c>
      <c r="G1074" s="2">
        <f t="shared" si="2"/>
        <v>25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B1075" s="3"/>
      <c r="C1075" s="3"/>
      <c r="D1075" s="3"/>
      <c r="E1075" s="3"/>
      <c r="F1075" s="2">
        <f>IFERROR(__xludf.DUMMYFUNCTION("""COMPUTED_VALUE"""),37.08)</f>
        <v>37.08</v>
      </c>
      <c r="G1075" s="2">
        <f t="shared" si="2"/>
        <v>37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B1076" s="3"/>
      <c r="C1076" s="3"/>
      <c r="D1076" s="3"/>
      <c r="E1076" s="3"/>
      <c r="F1076" s="2">
        <f>IFERROR(__xludf.DUMMYFUNCTION("""COMPUTED_VALUE"""),33.69)</f>
        <v>33.69</v>
      </c>
      <c r="G1076" s="2">
        <f t="shared" si="2"/>
        <v>34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B1077" s="3"/>
      <c r="C1077" s="3"/>
      <c r="D1077" s="3"/>
      <c r="E1077" s="3"/>
      <c r="F1077" s="2">
        <f>IFERROR(__xludf.DUMMYFUNCTION("""COMPUTED_VALUE"""),36.72)</f>
        <v>36.72</v>
      </c>
      <c r="G1077" s="2">
        <f t="shared" si="2"/>
        <v>37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B1078" s="3"/>
      <c r="C1078" s="3"/>
      <c r="D1078" s="3"/>
      <c r="E1078" s="3"/>
      <c r="F1078" s="2">
        <f>IFERROR(__xludf.DUMMYFUNCTION("""COMPUTED_VALUE"""),18.63)</f>
        <v>18.63</v>
      </c>
      <c r="G1078" s="2">
        <f t="shared" si="2"/>
        <v>19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>
      <c r="B1079" s="3"/>
      <c r="C1079" s="3"/>
      <c r="D1079" s="3"/>
      <c r="E1079" s="3"/>
      <c r="F1079" s="2">
        <f>IFERROR(__xludf.DUMMYFUNCTION("""COMPUTED_VALUE"""),36.72)</f>
        <v>36.72</v>
      </c>
      <c r="G1079" s="2">
        <f t="shared" si="2"/>
        <v>37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>
      <c r="B1080" s="3"/>
      <c r="C1080" s="3"/>
      <c r="D1080" s="3"/>
      <c r="E1080" s="3"/>
      <c r="F1080" s="2">
        <f>IFERROR(__xludf.DUMMYFUNCTION("""COMPUTED_VALUE"""),33.75)</f>
        <v>33.75</v>
      </c>
      <c r="G1080" s="2">
        <f t="shared" si="2"/>
        <v>34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>
      <c r="B1081" s="3"/>
      <c r="C1081" s="3"/>
      <c r="D1081" s="3"/>
      <c r="E1081" s="3"/>
      <c r="F1081" s="2">
        <f>IFERROR(__xludf.DUMMYFUNCTION("""COMPUTED_VALUE"""),24.69)</f>
        <v>24.69</v>
      </c>
      <c r="G1081" s="2">
        <f t="shared" si="2"/>
        <v>25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>
      <c r="B1082" s="3"/>
      <c r="C1082" s="3"/>
      <c r="D1082" s="3"/>
      <c r="E1082" s="3"/>
      <c r="F1082" s="2">
        <f>IFERROR(__xludf.DUMMYFUNCTION("""COMPUTED_VALUE"""),21.75)</f>
        <v>21.75</v>
      </c>
      <c r="G1082" s="2">
        <f t="shared" si="2"/>
        <v>22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>
      <c r="B1083" s="3"/>
      <c r="C1083" s="3"/>
      <c r="D1083" s="3"/>
      <c r="E1083" s="3"/>
      <c r="F1083" s="2">
        <f>IFERROR(__xludf.DUMMYFUNCTION("""COMPUTED_VALUE"""),48.63)</f>
        <v>48.63</v>
      </c>
      <c r="G1083" s="2">
        <f t="shared" si="2"/>
        <v>49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>
      <c r="B1084" s="3"/>
      <c r="C1084" s="3"/>
      <c r="D1084" s="3"/>
      <c r="E1084" s="3"/>
      <c r="F1084" s="2">
        <f>IFERROR(__xludf.DUMMYFUNCTION("""COMPUTED_VALUE"""),12.75)</f>
        <v>12.75</v>
      </c>
      <c r="G1084" s="2">
        <f t="shared" si="2"/>
        <v>13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>
      <c r="B1085" s="3"/>
      <c r="C1085" s="3"/>
      <c r="D1085" s="3"/>
      <c r="E1085" s="3"/>
      <c r="F1085" s="2">
        <f>IFERROR(__xludf.DUMMYFUNCTION("""COMPUTED_VALUE"""),42.75)</f>
        <v>42.75</v>
      </c>
      <c r="G1085" s="2">
        <f t="shared" si="2"/>
        <v>43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>
      <c r="B1086" s="3"/>
      <c r="C1086" s="3"/>
      <c r="D1086" s="3"/>
      <c r="E1086" s="3"/>
      <c r="F1086" s="2">
        <f>IFERROR(__xludf.DUMMYFUNCTION("""COMPUTED_VALUE"""),16.35)</f>
        <v>16.35</v>
      </c>
      <c r="G1086" s="2">
        <f t="shared" si="2"/>
        <v>16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>
      <c r="B1087" s="3"/>
      <c r="C1087" s="3"/>
      <c r="D1087" s="3"/>
      <c r="E1087" s="3"/>
      <c r="F1087" s="2">
        <f>IFERROR(__xludf.DUMMYFUNCTION("""COMPUTED_VALUE"""),9.75)</f>
        <v>9.75</v>
      </c>
      <c r="G1087" s="2">
        <f t="shared" si="2"/>
        <v>10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>
      <c r="B1088" s="3"/>
      <c r="C1088" s="3"/>
      <c r="D1088" s="3"/>
      <c r="E1088" s="3"/>
      <c r="F1088" s="2">
        <f>IFERROR(__xludf.DUMMYFUNCTION("""COMPUTED_VALUE"""),34.62)</f>
        <v>34.62</v>
      </c>
      <c r="G1088" s="2">
        <f t="shared" si="2"/>
        <v>35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>
      <c r="B1089" s="3"/>
      <c r="C1089" s="3"/>
      <c r="D1089" s="3"/>
      <c r="E1089" s="3"/>
      <c r="F1089" s="2">
        <f>IFERROR(__xludf.DUMMYFUNCTION("""COMPUTED_VALUE"""),12.75)</f>
        <v>12.75</v>
      </c>
      <c r="G1089" s="2">
        <f t="shared" si="2"/>
        <v>13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>
      <c r="B1090" s="3"/>
      <c r="C1090" s="3"/>
      <c r="D1090" s="3"/>
      <c r="E1090" s="3"/>
      <c r="F1090" s="2">
        <f>IFERROR(__xludf.DUMMYFUNCTION("""COMPUTED_VALUE"""),15.629999999999999)</f>
        <v>15.63</v>
      </c>
      <c r="G1090" s="2">
        <f t="shared" si="2"/>
        <v>16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>
      <c r="B1091" s="3"/>
      <c r="C1091" s="3"/>
      <c r="D1091" s="3"/>
      <c r="E1091" s="3"/>
      <c r="F1091" s="2">
        <f>IFERROR(__xludf.DUMMYFUNCTION("""COMPUTED_VALUE"""),34.62)</f>
        <v>34.62</v>
      </c>
      <c r="G1091" s="2">
        <f t="shared" si="2"/>
        <v>35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>
      <c r="B1092" s="3"/>
      <c r="C1092" s="3"/>
      <c r="D1092" s="3"/>
      <c r="E1092" s="3"/>
      <c r="F1092" s="2">
        <f>IFERROR(__xludf.DUMMYFUNCTION("""COMPUTED_VALUE"""),24.69)</f>
        <v>24.69</v>
      </c>
      <c r="G1092" s="2">
        <f t="shared" si="2"/>
        <v>25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>
      <c r="B1093" s="3"/>
      <c r="C1093" s="3"/>
      <c r="D1093" s="3"/>
      <c r="E1093" s="3"/>
      <c r="F1093" s="2">
        <f>IFERROR(__xludf.DUMMYFUNCTION("""COMPUTED_VALUE"""),10.95)</f>
        <v>10.95</v>
      </c>
      <c r="G1093" s="2">
        <f t="shared" si="2"/>
        <v>11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>
      <c r="B1094" s="3"/>
      <c r="C1094" s="3"/>
      <c r="D1094" s="3"/>
      <c r="E1094" s="3"/>
      <c r="F1094" s="2">
        <f>IFERROR(__xludf.DUMMYFUNCTION("""COMPUTED_VALUE"""),46.349999999999994)</f>
        <v>46.35</v>
      </c>
      <c r="G1094" s="2">
        <f t="shared" si="2"/>
        <v>46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>
      <c r="B1095" s="3"/>
      <c r="C1095" s="3"/>
      <c r="D1095" s="3"/>
      <c r="E1095" s="3"/>
      <c r="F1095" s="2">
        <f>IFERROR(__xludf.DUMMYFUNCTION("""COMPUTED_VALUE"""),15.72)</f>
        <v>15.72</v>
      </c>
      <c r="G1095" s="2">
        <f t="shared" si="2"/>
        <v>16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>
      <c r="B1096" s="3"/>
      <c r="C1096" s="3"/>
      <c r="D1096" s="3"/>
      <c r="E1096" s="3"/>
      <c r="F1096" s="2">
        <f>IFERROR(__xludf.DUMMYFUNCTION("""COMPUTED_VALUE"""),15.72)</f>
        <v>15.72</v>
      </c>
      <c r="G1096" s="2">
        <f t="shared" si="2"/>
        <v>16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>
      <c r="B1097" s="3"/>
      <c r="C1097" s="3"/>
      <c r="D1097" s="3"/>
      <c r="E1097" s="3"/>
      <c r="F1097" s="2">
        <f>IFERROR(__xludf.DUMMYFUNCTION("""COMPUTED_VALUE"""),25.619999999999997)</f>
        <v>25.62</v>
      </c>
      <c r="G1097" s="2">
        <f t="shared" si="2"/>
        <v>26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>
      <c r="B1098" s="3"/>
      <c r="C1098" s="3"/>
      <c r="D1098" s="3"/>
      <c r="E1098" s="3"/>
      <c r="F1098" s="2">
        <f>IFERROR(__xludf.DUMMYFUNCTION("""COMPUTED_VALUE"""),57.69)</f>
        <v>57.69</v>
      </c>
      <c r="G1098" s="2">
        <f t="shared" si="2"/>
        <v>58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>
      <c r="B1099" s="3"/>
      <c r="C1099" s="3"/>
      <c r="D1099" s="3"/>
      <c r="E1099" s="3"/>
      <c r="F1099" s="2">
        <f>IFERROR(__xludf.DUMMYFUNCTION("""COMPUTED_VALUE"""),12.75)</f>
        <v>12.75</v>
      </c>
      <c r="G1099" s="2">
        <f t="shared" si="2"/>
        <v>13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>
      <c r="B1100" s="3"/>
      <c r="C1100" s="3"/>
      <c r="D1100" s="3"/>
      <c r="E1100" s="3"/>
      <c r="F1100" s="2">
        <f>IFERROR(__xludf.DUMMYFUNCTION("""COMPUTED_VALUE"""),10.53)</f>
        <v>10.53</v>
      </c>
      <c r="G1100" s="2">
        <f t="shared" si="2"/>
        <v>11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>
      <c r="B1101" s="3"/>
      <c r="C1101" s="3"/>
      <c r="D1101" s="3"/>
      <c r="E1101" s="3"/>
      <c r="F1101" s="2">
        <f>IFERROR(__xludf.DUMMYFUNCTION("""COMPUTED_VALUE"""),46.349999999999994)</f>
        <v>46.35</v>
      </c>
      <c r="G1101" s="2">
        <f t="shared" si="2"/>
        <v>46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>
      <c r="B1102" s="3"/>
      <c r="C1102" s="3"/>
      <c r="D1102" s="3"/>
      <c r="E1102" s="3"/>
      <c r="F1102" s="2">
        <f>IFERROR(__xludf.DUMMYFUNCTION("""COMPUTED_VALUE"""),25.619999999999997)</f>
        <v>25.62</v>
      </c>
      <c r="G1102" s="2">
        <f t="shared" si="2"/>
        <v>26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>
      <c r="B1103" s="3"/>
      <c r="C1103" s="3"/>
      <c r="D1103" s="3"/>
      <c r="E1103" s="3"/>
      <c r="F1103" s="2">
        <f>IFERROR(__xludf.DUMMYFUNCTION("""COMPUTED_VALUE"""),12.75)</f>
        <v>12.75</v>
      </c>
      <c r="G1103" s="2">
        <f t="shared" si="2"/>
        <v>13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>
      <c r="B1104" s="3"/>
      <c r="C1104" s="3"/>
      <c r="D1104" s="3"/>
      <c r="E1104" s="3"/>
      <c r="F1104" s="2">
        <f>IFERROR(__xludf.DUMMYFUNCTION("""COMPUTED_VALUE"""),12.75)</f>
        <v>12.75</v>
      </c>
      <c r="G1104" s="2">
        <f t="shared" si="2"/>
        <v>13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>
      <c r="B1105" s="3"/>
      <c r="C1105" s="3"/>
      <c r="D1105" s="3"/>
      <c r="E1105" s="3"/>
      <c r="F1105" s="2">
        <f>IFERROR(__xludf.DUMMYFUNCTION("""COMPUTED_VALUE"""),18.75)</f>
        <v>18.75</v>
      </c>
      <c r="G1105" s="2">
        <f t="shared" si="2"/>
        <v>19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>
      <c r="B1106" s="3"/>
      <c r="C1106" s="3"/>
      <c r="D1106" s="3"/>
      <c r="E1106" s="3"/>
      <c r="F1106" s="2">
        <f>IFERROR(__xludf.DUMMYFUNCTION("""COMPUTED_VALUE"""),28.619999999999997)</f>
        <v>28.62</v>
      </c>
      <c r="G1106" s="2">
        <f t="shared" si="2"/>
        <v>29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>
      <c r="B1107" s="3"/>
      <c r="C1107" s="3"/>
      <c r="D1107" s="3"/>
      <c r="E1107" s="3"/>
      <c r="F1107" s="2">
        <f>IFERROR(__xludf.DUMMYFUNCTION("""COMPUTED_VALUE"""),57.69)</f>
        <v>57.69</v>
      </c>
      <c r="G1107" s="2">
        <f t="shared" si="2"/>
        <v>58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>
      <c r="B1108" s="3"/>
      <c r="C1108" s="3"/>
      <c r="D1108" s="3"/>
      <c r="E1108" s="3"/>
      <c r="F1108" s="2">
        <f>IFERROR(__xludf.DUMMYFUNCTION("""COMPUTED_VALUE"""),57.69)</f>
        <v>57.69</v>
      </c>
      <c r="G1108" s="2">
        <f t="shared" si="2"/>
        <v>58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>
      <c r="B1109" s="3"/>
      <c r="C1109" s="3"/>
      <c r="D1109" s="3"/>
      <c r="E1109" s="3"/>
      <c r="F1109" s="2">
        <f>IFERROR(__xludf.DUMMYFUNCTION("""COMPUTED_VALUE"""),55.67999999999999)</f>
        <v>55.68</v>
      </c>
      <c r="G1109" s="2">
        <f t="shared" si="2"/>
        <v>56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>
      <c r="B1110" s="3"/>
      <c r="C1110" s="3"/>
      <c r="D1110" s="3"/>
      <c r="E1110" s="3"/>
      <c r="F1110" s="2">
        <f>IFERROR(__xludf.DUMMYFUNCTION("""COMPUTED_VALUE"""),40.62)</f>
        <v>40.62</v>
      </c>
      <c r="G1110" s="2">
        <f t="shared" si="2"/>
        <v>41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>
      <c r="B1111" s="3"/>
      <c r="C1111" s="3"/>
      <c r="D1111" s="3"/>
      <c r="E1111" s="3"/>
      <c r="F1111" s="2">
        <f>IFERROR(__xludf.DUMMYFUNCTION("""COMPUTED_VALUE"""),48.63)</f>
        <v>48.63</v>
      </c>
      <c r="G1111" s="2">
        <f t="shared" si="2"/>
        <v>49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>
      <c r="B1112" s="3"/>
      <c r="C1112" s="3"/>
      <c r="D1112" s="3"/>
      <c r="E1112" s="3"/>
      <c r="F1112" s="2">
        <f>IFERROR(__xludf.DUMMYFUNCTION("""COMPUTED_VALUE"""),19.62)</f>
        <v>19.62</v>
      </c>
      <c r="G1112" s="2">
        <f t="shared" si="2"/>
        <v>20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>
      <c r="B1113" s="3"/>
      <c r="C1113" s="3"/>
      <c r="D1113" s="3"/>
      <c r="E1113" s="3"/>
      <c r="F1113" s="2">
        <f>IFERROR(__xludf.DUMMYFUNCTION("""COMPUTED_VALUE"""),12.629999999999999)</f>
        <v>12.63</v>
      </c>
      <c r="G1113" s="2">
        <f t="shared" si="2"/>
        <v>13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>
      <c r="B1114" s="3"/>
      <c r="C1114" s="3"/>
      <c r="D1114" s="3"/>
      <c r="E1114" s="3"/>
      <c r="F1114" s="2">
        <f>IFERROR(__xludf.DUMMYFUNCTION("""COMPUTED_VALUE"""),45.69)</f>
        <v>45.69</v>
      </c>
      <c r="G1114" s="2">
        <f t="shared" si="2"/>
        <v>46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>
      <c r="B1115" s="3"/>
      <c r="C1115" s="3"/>
      <c r="D1115" s="3"/>
      <c r="E1115" s="3"/>
      <c r="F1115" s="2">
        <f>IFERROR(__xludf.DUMMYFUNCTION("""COMPUTED_VALUE"""),18.75)</f>
        <v>18.75</v>
      </c>
      <c r="G1115" s="2">
        <f t="shared" si="2"/>
        <v>19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>
      <c r="B1116" s="3"/>
      <c r="C1116" s="3"/>
      <c r="D1116" s="3"/>
      <c r="E1116" s="3"/>
      <c r="F1116" s="2">
        <f>IFERROR(__xludf.DUMMYFUNCTION("""COMPUTED_VALUE"""),85.67999999999999)</f>
        <v>85.68</v>
      </c>
      <c r="G1116" s="2">
        <f t="shared" si="2"/>
        <v>86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>
      <c r="B1117" s="3"/>
      <c r="C1117" s="3"/>
      <c r="D1117" s="3"/>
      <c r="E1117" s="3"/>
      <c r="F1117" s="2">
        <f>IFERROR(__xludf.DUMMYFUNCTION("""COMPUTED_VALUE"""),40.62)</f>
        <v>40.62</v>
      </c>
      <c r="G1117" s="2">
        <f t="shared" si="2"/>
        <v>41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>
      <c r="B1118" s="3"/>
      <c r="C1118" s="3"/>
      <c r="D1118" s="3"/>
      <c r="E1118" s="3"/>
      <c r="F1118" s="2">
        <f>IFERROR(__xludf.DUMMYFUNCTION("""COMPUTED_VALUE"""),16.950000000000003)</f>
        <v>16.95</v>
      </c>
      <c r="G1118" s="2">
        <f t="shared" si="2"/>
        <v>17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>
      <c r="B1119" s="3"/>
      <c r="C1119" s="3"/>
      <c r="D1119" s="3"/>
      <c r="E1119" s="3"/>
      <c r="F1119" s="2">
        <f>IFERROR(__xludf.DUMMYFUNCTION("""COMPUTED_VALUE"""),42.75)</f>
        <v>42.75</v>
      </c>
      <c r="G1119" s="2">
        <f t="shared" si="2"/>
        <v>43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>
      <c r="B1120" s="3"/>
      <c r="C1120" s="3"/>
      <c r="D1120" s="3"/>
      <c r="E1120" s="3"/>
      <c r="F1120" s="2">
        <f>IFERROR(__xludf.DUMMYFUNCTION("""COMPUTED_VALUE"""),36.72)</f>
        <v>36.72</v>
      </c>
      <c r="G1120" s="2">
        <f t="shared" si="2"/>
        <v>37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>
      <c r="B1121" s="3"/>
      <c r="C1121" s="3"/>
      <c r="D1121" s="3"/>
      <c r="E1121" s="3"/>
      <c r="F1121" s="2">
        <f>IFERROR(__xludf.DUMMYFUNCTION("""COMPUTED_VALUE"""),28.619999999999997)</f>
        <v>28.62</v>
      </c>
      <c r="G1121" s="2">
        <f t="shared" si="2"/>
        <v>29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>
      <c r="B1122" s="3"/>
      <c r="C1122" s="3"/>
      <c r="D1122" s="3"/>
      <c r="E1122" s="3"/>
      <c r="F1122" s="2">
        <f>IFERROR(__xludf.DUMMYFUNCTION("""COMPUTED_VALUE"""),42.75)</f>
        <v>42.75</v>
      </c>
      <c r="G1122" s="2">
        <f t="shared" si="2"/>
        <v>43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>
      <c r="B1123" s="3"/>
      <c r="C1123" s="3"/>
      <c r="D1123" s="3"/>
      <c r="E1123" s="3"/>
      <c r="F1123" s="2">
        <f>IFERROR(__xludf.DUMMYFUNCTION("""COMPUTED_VALUE"""),19.62)</f>
        <v>19.62</v>
      </c>
      <c r="G1123" s="2">
        <f t="shared" si="2"/>
        <v>20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>
      <c r="B1124" s="3"/>
      <c r="C1124" s="3"/>
      <c r="D1124" s="3"/>
      <c r="E1124" s="3"/>
      <c r="F1124" s="2">
        <f>IFERROR(__xludf.DUMMYFUNCTION("""COMPUTED_VALUE"""),45.69)</f>
        <v>45.69</v>
      </c>
      <c r="G1124" s="2">
        <f t="shared" si="2"/>
        <v>46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>
      <c r="B1125" s="3"/>
      <c r="C1125" s="3"/>
      <c r="D1125" s="3"/>
      <c r="E1125" s="3"/>
      <c r="F1125" s="2">
        <f>IFERROR(__xludf.DUMMYFUNCTION("""COMPUTED_VALUE"""),24.69)</f>
        <v>24.69</v>
      </c>
      <c r="G1125" s="2">
        <f t="shared" si="2"/>
        <v>25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>
      <c r="B1126" s="3"/>
      <c r="C1126" s="3"/>
      <c r="D1126" s="3"/>
      <c r="E1126" s="3"/>
      <c r="F1126" s="2">
        <f>IFERROR(__xludf.DUMMYFUNCTION("""COMPUTED_VALUE"""),19.62)</f>
        <v>19.62</v>
      </c>
      <c r="G1126" s="2">
        <f t="shared" si="2"/>
        <v>20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>
      <c r="B1127" s="3"/>
      <c r="C1127" s="3"/>
      <c r="D1127" s="3"/>
      <c r="E1127" s="3"/>
      <c r="F1127" s="2">
        <f>IFERROR(__xludf.DUMMYFUNCTION("""COMPUTED_VALUE"""),19.62)</f>
        <v>19.62</v>
      </c>
      <c r="G1127" s="2">
        <f t="shared" si="2"/>
        <v>20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>
      <c r="B1128" s="3"/>
      <c r="C1128" s="3"/>
      <c r="D1128" s="3"/>
      <c r="E1128" s="3"/>
      <c r="F1128" s="2">
        <f>IFERROR(__xludf.DUMMYFUNCTION("""COMPUTED_VALUE"""),18.63)</f>
        <v>18.63</v>
      </c>
      <c r="G1128" s="2">
        <f t="shared" si="2"/>
        <v>19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>
      <c r="B1129" s="3"/>
      <c r="C1129" s="3"/>
      <c r="D1129" s="3"/>
      <c r="E1129" s="3"/>
      <c r="F1129" s="2">
        <f>IFERROR(__xludf.DUMMYFUNCTION("""COMPUTED_VALUE"""),36.72)</f>
        <v>36.72</v>
      </c>
      <c r="G1129" s="2">
        <f t="shared" si="2"/>
        <v>37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>
      <c r="B1130" s="3"/>
      <c r="C1130" s="3"/>
      <c r="D1130" s="3"/>
      <c r="E1130" s="3"/>
      <c r="F1130" s="2">
        <f>IFERROR(__xludf.DUMMYFUNCTION("""COMPUTED_VALUE"""),28.349999999999998)</f>
        <v>28.35</v>
      </c>
      <c r="G1130" s="2">
        <f t="shared" si="2"/>
        <v>28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>
      <c r="B1131" s="3"/>
      <c r="C1131" s="3"/>
      <c r="D1131" s="3"/>
      <c r="E1131" s="3"/>
      <c r="F1131" s="2">
        <f>IFERROR(__xludf.DUMMYFUNCTION("""COMPUTED_VALUE"""),34.62)</f>
        <v>34.62</v>
      </c>
      <c r="G1131" s="2">
        <f t="shared" si="2"/>
        <v>35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>
      <c r="B1132" s="3"/>
      <c r="C1132" s="3"/>
      <c r="D1132" s="3"/>
      <c r="E1132" s="3"/>
      <c r="F1132" s="2">
        <f>IFERROR(__xludf.DUMMYFUNCTION("""COMPUTED_VALUE"""),9.75)</f>
        <v>9.75</v>
      </c>
      <c r="G1132" s="2">
        <f t="shared" si="2"/>
        <v>10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>
      <c r="B1133" s="3"/>
      <c r="C1133" s="3"/>
      <c r="D1133" s="3"/>
      <c r="E1133" s="3"/>
      <c r="F1133" s="2">
        <f>IFERROR(__xludf.DUMMYFUNCTION("""COMPUTED_VALUE"""),34.62)</f>
        <v>34.62</v>
      </c>
      <c r="G1133" s="2">
        <f t="shared" si="2"/>
        <v>35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>
      <c r="B1134" s="3"/>
      <c r="C1134" s="3"/>
      <c r="D1134" s="3"/>
      <c r="E1134" s="3"/>
      <c r="F1134" s="2">
        <f>IFERROR(__xludf.DUMMYFUNCTION("""COMPUTED_VALUE"""),57.69)</f>
        <v>57.69</v>
      </c>
      <c r="G1134" s="2">
        <f t="shared" si="2"/>
        <v>58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>
      <c r="B1135" s="3"/>
      <c r="C1135" s="3"/>
      <c r="D1135" s="3"/>
      <c r="E1135" s="3"/>
      <c r="F1135" s="2">
        <f>IFERROR(__xludf.DUMMYFUNCTION("""COMPUTED_VALUE"""),18.75)</f>
        <v>18.75</v>
      </c>
      <c r="G1135" s="2">
        <f t="shared" si="2"/>
        <v>19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>
      <c r="B1136" s="3"/>
      <c r="C1136" s="3"/>
      <c r="D1136" s="3"/>
      <c r="E1136" s="3"/>
      <c r="F1136" s="2">
        <f>IFERROR(__xludf.DUMMYFUNCTION("""COMPUTED_VALUE"""),16.950000000000003)</f>
        <v>16.95</v>
      </c>
      <c r="G1136" s="2">
        <f t="shared" si="2"/>
        <v>17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>
      <c r="B1137" s="3"/>
      <c r="C1137" s="3"/>
      <c r="D1137" s="3"/>
      <c r="E1137" s="3"/>
      <c r="F1137" s="2">
        <f>IFERROR(__xludf.DUMMYFUNCTION("""COMPUTED_VALUE"""),21.75)</f>
        <v>21.75</v>
      </c>
      <c r="G1137" s="2">
        <f t="shared" si="2"/>
        <v>22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>
      <c r="B1138" s="3"/>
      <c r="C1138" s="3"/>
      <c r="D1138" s="3"/>
      <c r="E1138" s="3"/>
      <c r="F1138" s="2">
        <f>IFERROR(__xludf.DUMMYFUNCTION("""COMPUTED_VALUE"""),33.75)</f>
        <v>33.75</v>
      </c>
      <c r="G1138" s="2">
        <f t="shared" si="2"/>
        <v>34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>
      <c r="B1139" s="3"/>
      <c r="C1139" s="3"/>
      <c r="D1139" s="3"/>
      <c r="E1139" s="3"/>
      <c r="F1139" s="2">
        <f>IFERROR(__xludf.DUMMYFUNCTION("""COMPUTED_VALUE"""),12.75)</f>
        <v>12.75</v>
      </c>
      <c r="G1139" s="2">
        <f t="shared" si="2"/>
        <v>13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>
      <c r="B1140" s="3"/>
      <c r="C1140" s="3"/>
      <c r="D1140" s="3"/>
      <c r="E1140" s="3"/>
      <c r="F1140" s="2">
        <f>IFERROR(__xludf.DUMMYFUNCTION("""COMPUTED_VALUE"""),33.69)</f>
        <v>33.69</v>
      </c>
      <c r="G1140" s="2">
        <f t="shared" si="2"/>
        <v>34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>
      <c r="B1141" s="3"/>
      <c r="C1141" s="3"/>
      <c r="D1141" s="3"/>
      <c r="E1141" s="3"/>
      <c r="F1141" s="2">
        <f>IFERROR(__xludf.DUMMYFUNCTION("""COMPUTED_VALUE"""),12.75)</f>
        <v>12.75</v>
      </c>
      <c r="G1141" s="2">
        <f t="shared" si="2"/>
        <v>13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>
      <c r="B1142" s="3"/>
      <c r="C1142" s="3"/>
      <c r="D1142" s="3"/>
      <c r="E1142" s="3"/>
      <c r="F1142" s="2">
        <f>IFERROR(__xludf.DUMMYFUNCTION("""COMPUTED_VALUE"""),10.53)</f>
        <v>10.53</v>
      </c>
      <c r="G1142" s="2">
        <f t="shared" si="2"/>
        <v>11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>
      <c r="B1143" s="3"/>
      <c r="C1143" s="3"/>
      <c r="D1143" s="3"/>
      <c r="E1143" s="3"/>
      <c r="F1143" s="2">
        <f>IFERROR(__xludf.DUMMYFUNCTION("""COMPUTED_VALUE"""),48.63)</f>
        <v>48.63</v>
      </c>
      <c r="G1143" s="2">
        <f t="shared" si="2"/>
        <v>49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>
      <c r="B1144" s="3"/>
      <c r="C1144" s="3"/>
      <c r="D1144" s="3"/>
      <c r="E1144" s="3"/>
      <c r="F1144" s="2">
        <f>IFERROR(__xludf.DUMMYFUNCTION("""COMPUTED_VALUE"""),19.62)</f>
        <v>19.62</v>
      </c>
      <c r="G1144" s="2">
        <f t="shared" si="2"/>
        <v>20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>
      <c r="B1145" s="3"/>
      <c r="C1145" s="3"/>
      <c r="D1145" s="3"/>
      <c r="E1145" s="3"/>
      <c r="F1145" s="2">
        <f>IFERROR(__xludf.DUMMYFUNCTION("""COMPUTED_VALUE"""),19.62)</f>
        <v>19.62</v>
      </c>
      <c r="G1145" s="2">
        <f t="shared" si="2"/>
        <v>20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>
      <c r="B1146" s="3"/>
      <c r="C1146" s="3"/>
      <c r="D1146" s="3"/>
      <c r="E1146" s="3"/>
      <c r="F1146" s="2">
        <f>IFERROR(__xludf.DUMMYFUNCTION("""COMPUTED_VALUE"""),12.75)</f>
        <v>12.75</v>
      </c>
      <c r="G1146" s="2">
        <f t="shared" si="2"/>
        <v>13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>
      <c r="B1147" s="3"/>
      <c r="C1147" s="3"/>
      <c r="D1147" s="3"/>
      <c r="E1147" s="3"/>
      <c r="F1147" s="2">
        <f>IFERROR(__xludf.DUMMYFUNCTION("""COMPUTED_VALUE"""),16.35)</f>
        <v>16.35</v>
      </c>
      <c r="G1147" s="2">
        <f t="shared" si="2"/>
        <v>16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>
      <c r="B1148" s="3"/>
      <c r="C1148" s="3"/>
      <c r="D1148" s="3"/>
      <c r="E1148" s="3"/>
      <c r="F1148" s="2">
        <f>IFERROR(__xludf.DUMMYFUNCTION("""COMPUTED_VALUE"""),34.62)</f>
        <v>34.62</v>
      </c>
      <c r="G1148" s="2">
        <f t="shared" si="2"/>
        <v>35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>
      <c r="B1149" s="3"/>
      <c r="C1149" s="3"/>
      <c r="D1149" s="3"/>
      <c r="E1149" s="3"/>
      <c r="F1149" s="2">
        <f>IFERROR(__xludf.DUMMYFUNCTION("""COMPUTED_VALUE"""),48.63)</f>
        <v>48.63</v>
      </c>
      <c r="G1149" s="2">
        <f t="shared" si="2"/>
        <v>49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>
      <c r="B1150" s="3"/>
      <c r="C1150" s="3"/>
      <c r="D1150" s="3"/>
      <c r="E1150" s="3"/>
      <c r="F1150" s="2">
        <f>IFERROR(__xludf.DUMMYFUNCTION("""COMPUTED_VALUE"""),45.69)</f>
        <v>45.69</v>
      </c>
      <c r="G1150" s="2">
        <f t="shared" si="2"/>
        <v>46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>
      <c r="B1151" s="3"/>
      <c r="C1151" s="3"/>
      <c r="D1151" s="3"/>
      <c r="E1151" s="3"/>
      <c r="F1151" s="2">
        <f>IFERROR(__xludf.DUMMYFUNCTION("""COMPUTED_VALUE"""),28.619999999999997)</f>
        <v>28.62</v>
      </c>
      <c r="G1151" s="2">
        <f t="shared" si="2"/>
        <v>29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>
      <c r="B1152" s="3"/>
      <c r="C1152" s="3"/>
      <c r="D1152" s="3"/>
      <c r="E1152" s="3"/>
      <c r="F1152" s="2">
        <f>IFERROR(__xludf.DUMMYFUNCTION("""COMPUTED_VALUE"""),28.349999999999998)</f>
        <v>28.35</v>
      </c>
      <c r="G1152" s="2">
        <f t="shared" si="2"/>
        <v>28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>
      <c r="B1153" s="3"/>
      <c r="C1153" s="3"/>
      <c r="D1153" s="3"/>
      <c r="E1153" s="3"/>
      <c r="F1153" s="2">
        <f>IFERROR(__xludf.DUMMYFUNCTION("""COMPUTED_VALUE"""),18.63)</f>
        <v>18.63</v>
      </c>
      <c r="G1153" s="2">
        <f t="shared" si="2"/>
        <v>19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>
      <c r="B1154" s="3"/>
      <c r="C1154" s="3"/>
      <c r="D1154" s="3"/>
      <c r="E1154" s="3"/>
      <c r="F1154" s="2">
        <f>IFERROR(__xludf.DUMMYFUNCTION("""COMPUTED_VALUE"""),18.63)</f>
        <v>18.63</v>
      </c>
      <c r="G1154" s="2">
        <f t="shared" si="2"/>
        <v>19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>
      <c r="B1155" s="3"/>
      <c r="C1155" s="3"/>
      <c r="D1155" s="3"/>
      <c r="E1155" s="3"/>
      <c r="F1155" s="2">
        <f>IFERROR(__xludf.DUMMYFUNCTION("""COMPUTED_VALUE"""),18.63)</f>
        <v>18.63</v>
      </c>
      <c r="G1155" s="2">
        <f t="shared" si="2"/>
        <v>19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>
      <c r="B1156" s="3"/>
      <c r="C1156" s="3"/>
      <c r="D1156" s="3"/>
      <c r="E1156" s="3"/>
      <c r="F1156" s="2">
        <f>IFERROR(__xludf.DUMMYFUNCTION("""COMPUTED_VALUE"""),28.619999999999997)</f>
        <v>28.62</v>
      </c>
      <c r="G1156" s="2">
        <f t="shared" si="2"/>
        <v>29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>
      <c r="B1157" s="3"/>
      <c r="C1157" s="3"/>
      <c r="D1157" s="3"/>
      <c r="E1157" s="3"/>
      <c r="F1157" s="2">
        <f>IFERROR(__xludf.DUMMYFUNCTION("""COMPUTED_VALUE"""),16.35)</f>
        <v>16.35</v>
      </c>
      <c r="G1157" s="2">
        <f t="shared" si="2"/>
        <v>16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>
      <c r="B1158" s="3"/>
      <c r="C1158" s="3"/>
      <c r="D1158" s="3"/>
      <c r="E1158" s="3"/>
      <c r="F1158" s="2">
        <f>IFERROR(__xludf.DUMMYFUNCTION("""COMPUTED_VALUE"""),16.950000000000003)</f>
        <v>16.95</v>
      </c>
      <c r="G1158" s="2">
        <f t="shared" si="2"/>
        <v>17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>
      <c r="B1159" s="3"/>
      <c r="C1159" s="3"/>
      <c r="D1159" s="3"/>
      <c r="E1159" s="3"/>
      <c r="F1159" s="2">
        <f>IFERROR(__xludf.DUMMYFUNCTION("""COMPUTED_VALUE"""),28.619999999999997)</f>
        <v>28.62</v>
      </c>
      <c r="G1159" s="2">
        <f t="shared" si="2"/>
        <v>29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>
      <c r="B1160" s="3"/>
      <c r="C1160" s="3"/>
      <c r="D1160" s="3"/>
      <c r="E1160" s="3"/>
      <c r="F1160" s="2">
        <f>IFERROR(__xludf.DUMMYFUNCTION("""COMPUTED_VALUE"""),18.63)</f>
        <v>18.63</v>
      </c>
      <c r="G1160" s="2">
        <f t="shared" si="2"/>
        <v>19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>
      <c r="B1161" s="3"/>
      <c r="C1161" s="3"/>
      <c r="D1161" s="3"/>
      <c r="E1161" s="3"/>
      <c r="F1161" s="2">
        <f>IFERROR(__xludf.DUMMYFUNCTION("""COMPUTED_VALUE"""),15.72)</f>
        <v>15.72</v>
      </c>
      <c r="G1161" s="2">
        <f t="shared" si="2"/>
        <v>16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>
      <c r="B1162" s="3"/>
      <c r="C1162" s="3"/>
      <c r="D1162" s="3"/>
      <c r="E1162" s="3"/>
      <c r="F1162" s="2">
        <f>IFERROR(__xludf.DUMMYFUNCTION("""COMPUTED_VALUE"""),40.62)</f>
        <v>40.62</v>
      </c>
      <c r="G1162" s="2">
        <f t="shared" si="2"/>
        <v>41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>
      <c r="B1163" s="3"/>
      <c r="C1163" s="3"/>
      <c r="D1163" s="3"/>
      <c r="E1163" s="3"/>
      <c r="F1163" s="2">
        <f>IFERROR(__xludf.DUMMYFUNCTION("""COMPUTED_VALUE"""),18.75)</f>
        <v>18.75</v>
      </c>
      <c r="G1163" s="2">
        <f t="shared" si="2"/>
        <v>19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>
      <c r="B1164" s="3"/>
      <c r="C1164" s="3"/>
      <c r="D1164" s="3"/>
      <c r="E1164" s="3"/>
      <c r="F1164" s="2">
        <f>IFERROR(__xludf.DUMMYFUNCTION("""COMPUTED_VALUE"""),55.67999999999999)</f>
        <v>55.68</v>
      </c>
      <c r="G1164" s="2">
        <f t="shared" si="2"/>
        <v>56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>
      <c r="B1165" s="3"/>
      <c r="C1165" s="3"/>
      <c r="D1165" s="3"/>
      <c r="E1165" s="3"/>
      <c r="F1165" s="2">
        <f>IFERROR(__xludf.DUMMYFUNCTION("""COMPUTED_VALUE"""),12.75)</f>
        <v>12.75</v>
      </c>
      <c r="G1165" s="2">
        <f t="shared" si="2"/>
        <v>13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>
      <c r="B1166" s="3"/>
      <c r="C1166" s="3"/>
      <c r="D1166" s="3"/>
      <c r="E1166" s="3"/>
      <c r="F1166" s="2">
        <f>IFERROR(__xludf.DUMMYFUNCTION("""COMPUTED_VALUE"""),28.619999999999997)</f>
        <v>28.62</v>
      </c>
      <c r="G1166" s="2">
        <f t="shared" si="2"/>
        <v>29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>
      <c r="B1167" s="3"/>
      <c r="C1167" s="3"/>
      <c r="D1167" s="3"/>
      <c r="E1167" s="3"/>
      <c r="F1167" s="2">
        <f>IFERROR(__xludf.DUMMYFUNCTION("""COMPUTED_VALUE"""),34.62)</f>
        <v>34.62</v>
      </c>
      <c r="G1167" s="2">
        <f t="shared" si="2"/>
        <v>35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>
      <c r="B1168" s="3"/>
      <c r="C1168" s="3"/>
      <c r="D1168" s="3"/>
      <c r="E1168" s="3"/>
      <c r="F1168" s="2">
        <f>IFERROR(__xludf.DUMMYFUNCTION("""COMPUTED_VALUE"""),34.62)</f>
        <v>34.62</v>
      </c>
      <c r="G1168" s="2">
        <f t="shared" si="2"/>
        <v>35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>
      <c r="B1169" s="3"/>
      <c r="C1169" s="3"/>
      <c r="D1169" s="3"/>
      <c r="E1169" s="3"/>
      <c r="F1169" s="2">
        <f>IFERROR(__xludf.DUMMYFUNCTION("""COMPUTED_VALUE"""),10.95)</f>
        <v>10.95</v>
      </c>
      <c r="G1169" s="2">
        <f t="shared" si="2"/>
        <v>11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>
      <c r="B1170" s="3"/>
      <c r="C1170" s="3"/>
      <c r="D1170" s="3"/>
      <c r="E1170" s="3"/>
      <c r="F1170" s="2">
        <f>IFERROR(__xludf.DUMMYFUNCTION("""COMPUTED_VALUE"""),46.349999999999994)</f>
        <v>46.35</v>
      </c>
      <c r="G1170" s="2">
        <f t="shared" si="2"/>
        <v>46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>
      <c r="B1171" s="3"/>
      <c r="C1171" s="3"/>
      <c r="D1171" s="3"/>
      <c r="E1171" s="3"/>
      <c r="F1171" s="2">
        <f>IFERROR(__xludf.DUMMYFUNCTION("""COMPUTED_VALUE"""),9.75)</f>
        <v>9.75</v>
      </c>
      <c r="G1171" s="2">
        <f t="shared" si="2"/>
        <v>10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>
      <c r="B1172" s="3"/>
      <c r="C1172" s="3"/>
      <c r="D1172" s="3"/>
      <c r="E1172" s="3"/>
      <c r="F1172" s="2">
        <f>IFERROR(__xludf.DUMMYFUNCTION("""COMPUTED_VALUE"""),42.75)</f>
        <v>42.75</v>
      </c>
      <c r="G1172" s="2">
        <f t="shared" si="2"/>
        <v>43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>
      <c r="B1173" s="3"/>
      <c r="C1173" s="3"/>
      <c r="D1173" s="3"/>
      <c r="E1173" s="3"/>
      <c r="F1173" s="2">
        <f>IFERROR(__xludf.DUMMYFUNCTION("""COMPUTED_VALUE"""),15.629999999999999)</f>
        <v>15.63</v>
      </c>
      <c r="G1173" s="2">
        <f t="shared" si="2"/>
        <v>16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>
      <c r="B1174" s="3"/>
      <c r="C1174" s="3"/>
      <c r="D1174" s="3"/>
      <c r="E1174" s="3"/>
      <c r="F1174" s="2">
        <f>IFERROR(__xludf.DUMMYFUNCTION("""COMPUTED_VALUE"""),40.62)</f>
        <v>40.62</v>
      </c>
      <c r="G1174" s="2">
        <f t="shared" si="2"/>
        <v>41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>
      <c r="B1175" s="3"/>
      <c r="C1175" s="3"/>
      <c r="D1175" s="3"/>
      <c r="E1175" s="3"/>
      <c r="F1175" s="2">
        <f>IFERROR(__xludf.DUMMYFUNCTION("""COMPUTED_VALUE"""),16.950000000000003)</f>
        <v>16.95</v>
      </c>
      <c r="G1175" s="2">
        <f t="shared" si="2"/>
        <v>17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>
      <c r="B1176" s="3"/>
      <c r="C1176" s="3"/>
      <c r="D1176" s="3"/>
      <c r="E1176" s="3"/>
      <c r="F1176" s="2">
        <f>IFERROR(__xludf.DUMMYFUNCTION("""COMPUTED_VALUE"""),9.75)</f>
        <v>9.75</v>
      </c>
      <c r="G1176" s="2">
        <f t="shared" si="2"/>
        <v>10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>
      <c r="B1177" s="3"/>
      <c r="C1177" s="3"/>
      <c r="D1177" s="3"/>
      <c r="E1177" s="3"/>
      <c r="F1177" s="2">
        <f>IFERROR(__xludf.DUMMYFUNCTION("""COMPUTED_VALUE"""),40.62)</f>
        <v>40.62</v>
      </c>
      <c r="G1177" s="2">
        <f t="shared" si="2"/>
        <v>41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>
      <c r="B1178" s="3"/>
      <c r="C1178" s="3"/>
      <c r="D1178" s="3"/>
      <c r="E1178" s="3"/>
      <c r="F1178" s="2">
        <f>IFERROR(__xludf.DUMMYFUNCTION("""COMPUTED_VALUE"""),9.75)</f>
        <v>9.75</v>
      </c>
      <c r="G1178" s="2">
        <f t="shared" si="2"/>
        <v>10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>
      <c r="B1179" s="3"/>
      <c r="C1179" s="3"/>
      <c r="D1179" s="3"/>
      <c r="E1179" s="3"/>
      <c r="F1179" s="2">
        <f>IFERROR(__xludf.DUMMYFUNCTION("""COMPUTED_VALUE"""),19.62)</f>
        <v>19.62</v>
      </c>
      <c r="G1179" s="2">
        <f t="shared" si="2"/>
        <v>20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>
      <c r="B1180" s="3"/>
      <c r="C1180" s="3"/>
      <c r="D1180" s="3"/>
      <c r="E1180" s="3"/>
      <c r="F1180" s="2">
        <f>IFERROR(__xludf.DUMMYFUNCTION("""COMPUTED_VALUE"""),9.75)</f>
        <v>9.75</v>
      </c>
      <c r="G1180" s="2">
        <f t="shared" si="2"/>
        <v>10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>
      <c r="B1181" s="3"/>
      <c r="C1181" s="3"/>
      <c r="D1181" s="3"/>
      <c r="E1181" s="3"/>
      <c r="F1181" s="2">
        <f>IFERROR(__xludf.DUMMYFUNCTION("""COMPUTED_VALUE"""),16.950000000000003)</f>
        <v>16.95</v>
      </c>
      <c r="G1181" s="2">
        <f t="shared" si="2"/>
        <v>17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>
      <c r="B1182" s="3"/>
      <c r="C1182" s="3"/>
      <c r="D1182" s="3"/>
      <c r="E1182" s="3"/>
      <c r="F1182" s="2">
        <f>IFERROR(__xludf.DUMMYFUNCTION("""COMPUTED_VALUE"""),16.950000000000003)</f>
        <v>16.95</v>
      </c>
      <c r="G1182" s="2">
        <f t="shared" si="2"/>
        <v>17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>
      <c r="B1183" s="3"/>
      <c r="C1183" s="3"/>
      <c r="D1183" s="3"/>
      <c r="E1183" s="3"/>
      <c r="F1183" s="2">
        <f>IFERROR(__xludf.DUMMYFUNCTION("""COMPUTED_VALUE"""),12.75)</f>
        <v>12.75</v>
      </c>
      <c r="G1183" s="2">
        <f t="shared" si="2"/>
        <v>13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>
      <c r="B1184" s="3"/>
      <c r="C1184" s="3"/>
      <c r="D1184" s="3"/>
      <c r="E1184" s="3"/>
      <c r="F1184" s="2">
        <f>IFERROR(__xludf.DUMMYFUNCTION("""COMPUTED_VALUE"""),48.63)</f>
        <v>48.63</v>
      </c>
      <c r="G1184" s="2">
        <f t="shared" si="2"/>
        <v>49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>
      <c r="B1185" s="3"/>
      <c r="C1185" s="3"/>
      <c r="D1185" s="3"/>
      <c r="E1185" s="3"/>
      <c r="F1185" s="2">
        <f>IFERROR(__xludf.DUMMYFUNCTION("""COMPUTED_VALUE"""),19.62)</f>
        <v>19.62</v>
      </c>
      <c r="G1185" s="2">
        <f t="shared" si="2"/>
        <v>20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>
      <c r="B1186" s="3"/>
      <c r="C1186" s="3"/>
      <c r="D1186" s="3"/>
      <c r="E1186" s="3"/>
      <c r="F1186" s="2">
        <f>IFERROR(__xludf.DUMMYFUNCTION("""COMPUTED_VALUE"""),55.67999999999999)</f>
        <v>55.68</v>
      </c>
      <c r="G1186" s="2">
        <f t="shared" si="2"/>
        <v>56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>
      <c r="B1187" s="3"/>
      <c r="C1187" s="3"/>
      <c r="D1187" s="3"/>
      <c r="E1187" s="3"/>
      <c r="F1187" s="2">
        <f>IFERROR(__xludf.DUMMYFUNCTION("""COMPUTED_VALUE"""),19.62)</f>
        <v>19.62</v>
      </c>
      <c r="G1187" s="2">
        <f t="shared" si="2"/>
        <v>20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>
      <c r="B1188" s="3"/>
      <c r="C1188" s="3"/>
      <c r="D1188" s="3"/>
      <c r="E1188" s="3"/>
      <c r="F1188" s="2">
        <f>IFERROR(__xludf.DUMMYFUNCTION("""COMPUTED_VALUE"""),19.62)</f>
        <v>19.62</v>
      </c>
      <c r="G1188" s="2">
        <f t="shared" si="2"/>
        <v>20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>
      <c r="B1189" s="3"/>
      <c r="C1189" s="3"/>
      <c r="D1189" s="3"/>
      <c r="E1189" s="3"/>
      <c r="F1189" s="2">
        <f>IFERROR(__xludf.DUMMYFUNCTION("""COMPUTED_VALUE"""),55.67999999999999)</f>
        <v>55.68</v>
      </c>
      <c r="G1189" s="2">
        <f t="shared" si="2"/>
        <v>56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>
      <c r="B1190" s="3"/>
      <c r="C1190" s="3"/>
      <c r="D1190" s="3"/>
      <c r="E1190" s="3"/>
      <c r="F1190" s="2">
        <f>IFERROR(__xludf.DUMMYFUNCTION("""COMPUTED_VALUE"""),18.63)</f>
        <v>18.63</v>
      </c>
      <c r="G1190" s="2">
        <f t="shared" si="2"/>
        <v>19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>
      <c r="B1191" s="3"/>
      <c r="C1191" s="3"/>
      <c r="D1191" s="3"/>
      <c r="E1191" s="3"/>
      <c r="F1191" s="2">
        <f>IFERROR(__xludf.DUMMYFUNCTION("""COMPUTED_VALUE"""),51.69)</f>
        <v>51.69</v>
      </c>
      <c r="G1191" s="2">
        <f t="shared" si="2"/>
        <v>52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>
      <c r="B1192" s="3"/>
      <c r="C1192" s="3"/>
      <c r="D1192" s="3"/>
      <c r="E1192" s="3"/>
      <c r="F1192" s="2">
        <f>IFERROR(__xludf.DUMMYFUNCTION("""COMPUTED_VALUE"""),10.53)</f>
        <v>10.53</v>
      </c>
      <c r="G1192" s="2">
        <f t="shared" si="2"/>
        <v>11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>
      <c r="B1193" s="3"/>
      <c r="C1193" s="3"/>
      <c r="D1193" s="3"/>
      <c r="E1193" s="3"/>
      <c r="F1193" s="2">
        <f>IFERROR(__xludf.DUMMYFUNCTION("""COMPUTED_VALUE"""),46.349999999999994)</f>
        <v>46.35</v>
      </c>
      <c r="G1193" s="2">
        <f t="shared" si="2"/>
        <v>46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>
      <c r="B1194" s="3"/>
      <c r="C1194" s="3"/>
      <c r="D1194" s="3"/>
      <c r="E1194" s="3"/>
      <c r="F1194" s="2">
        <f>IFERROR(__xludf.DUMMYFUNCTION("""COMPUTED_VALUE"""),40.62)</f>
        <v>40.62</v>
      </c>
      <c r="G1194" s="2">
        <f t="shared" si="2"/>
        <v>41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>
      <c r="B1195" s="3"/>
      <c r="C1195" s="3"/>
      <c r="D1195" s="3"/>
      <c r="E1195" s="3"/>
      <c r="F1195" s="2">
        <f>IFERROR(__xludf.DUMMYFUNCTION("""COMPUTED_VALUE"""),40.62)</f>
        <v>40.62</v>
      </c>
      <c r="G1195" s="2">
        <f t="shared" si="2"/>
        <v>41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>
      <c r="B1196" s="3"/>
      <c r="C1196" s="3"/>
      <c r="D1196" s="3"/>
      <c r="E1196" s="3"/>
      <c r="F1196" s="2">
        <f>IFERROR(__xludf.DUMMYFUNCTION("""COMPUTED_VALUE"""),85.67999999999999)</f>
        <v>85.68</v>
      </c>
      <c r="G1196" s="2">
        <f t="shared" si="2"/>
        <v>86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>
      <c r="B1197" s="3"/>
      <c r="C1197" s="3"/>
      <c r="D1197" s="3"/>
      <c r="E1197" s="3"/>
      <c r="F1197" s="2">
        <f>IFERROR(__xludf.DUMMYFUNCTION("""COMPUTED_VALUE"""),48.63)</f>
        <v>48.63</v>
      </c>
      <c r="G1197" s="2">
        <f t="shared" si="2"/>
        <v>49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>
      <c r="B1198" s="3"/>
      <c r="C1198" s="3"/>
      <c r="D1198" s="3"/>
      <c r="E1198" s="3"/>
      <c r="F1198" s="2">
        <f>IFERROR(__xludf.DUMMYFUNCTION("""COMPUTED_VALUE"""),28.349999999999998)</f>
        <v>28.35</v>
      </c>
      <c r="G1198" s="2">
        <f t="shared" si="2"/>
        <v>28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>
      <c r="B1199" s="3"/>
      <c r="C1199" s="3"/>
      <c r="D1199" s="3"/>
      <c r="E1199" s="3"/>
      <c r="F1199" s="2">
        <f>IFERROR(__xludf.DUMMYFUNCTION("""COMPUTED_VALUE"""),48.63)</f>
        <v>48.63</v>
      </c>
      <c r="G1199" s="2">
        <f t="shared" si="2"/>
        <v>49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>
      <c r="B1200" s="3"/>
      <c r="C1200" s="3"/>
      <c r="D1200" s="3"/>
      <c r="E1200" s="3"/>
      <c r="F1200" s="2">
        <f>IFERROR(__xludf.DUMMYFUNCTION("""COMPUTED_VALUE"""),15.629999999999999)</f>
        <v>15.63</v>
      </c>
      <c r="G1200" s="2">
        <f t="shared" si="2"/>
        <v>16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>
      <c r="B1201" s="3"/>
      <c r="C1201" s="3"/>
      <c r="D1201" s="3"/>
      <c r="E1201" s="3"/>
      <c r="F1201" s="2">
        <f>IFERROR(__xludf.DUMMYFUNCTION("""COMPUTED_VALUE"""),10.95)</f>
        <v>10.95</v>
      </c>
      <c r="G1201" s="2">
        <f t="shared" si="2"/>
        <v>11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>
      <c r="B1202" s="3"/>
      <c r="C1202" s="3"/>
      <c r="D1202" s="3"/>
      <c r="E1202" s="3"/>
      <c r="F1202" s="2">
        <f>IFERROR(__xludf.DUMMYFUNCTION("""COMPUTED_VALUE"""),16.950000000000003)</f>
        <v>16.95</v>
      </c>
      <c r="G1202" s="2">
        <f t="shared" si="2"/>
        <v>17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>
      <c r="B1203" s="3"/>
      <c r="C1203" s="3"/>
      <c r="D1203" s="3"/>
      <c r="E1203" s="3"/>
      <c r="F1203" s="2">
        <f>IFERROR(__xludf.DUMMYFUNCTION("""COMPUTED_VALUE"""),18.75)</f>
        <v>18.75</v>
      </c>
      <c r="G1203" s="2">
        <f t="shared" si="2"/>
        <v>19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>
      <c r="B1204" s="3"/>
      <c r="C1204" s="3"/>
      <c r="D1204" s="3"/>
      <c r="E1204" s="3"/>
      <c r="F1204" s="2">
        <f>IFERROR(__xludf.DUMMYFUNCTION("""COMPUTED_VALUE"""),24.36)</f>
        <v>24.36</v>
      </c>
      <c r="G1204" s="2">
        <f t="shared" si="2"/>
        <v>24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>
      <c r="B1205" s="3"/>
      <c r="C1205" s="3"/>
      <c r="D1205" s="3"/>
      <c r="E1205" s="3"/>
      <c r="F1205" s="2">
        <f>IFERROR(__xludf.DUMMYFUNCTION("""COMPUTED_VALUE"""),12.75)</f>
        <v>12.75</v>
      </c>
      <c r="G1205" s="2">
        <f t="shared" si="2"/>
        <v>13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>
      <c r="B1206" s="3"/>
      <c r="C1206" s="3"/>
      <c r="D1206" s="3"/>
      <c r="E1206" s="3"/>
      <c r="F1206" s="2">
        <f>IFERROR(__xludf.DUMMYFUNCTION("""COMPUTED_VALUE"""),15.629999999999999)</f>
        <v>15.63</v>
      </c>
      <c r="G1206" s="2">
        <f t="shared" si="2"/>
        <v>16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>
      <c r="B1207" s="3"/>
      <c r="C1207" s="3"/>
      <c r="D1207" s="3"/>
      <c r="E1207" s="3"/>
      <c r="F1207" s="2">
        <f>IFERROR(__xludf.DUMMYFUNCTION("""COMPUTED_VALUE"""),40.62)</f>
        <v>40.62</v>
      </c>
      <c r="G1207" s="2">
        <f t="shared" si="2"/>
        <v>41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>
      <c r="B1208" s="3"/>
      <c r="C1208" s="3"/>
      <c r="D1208" s="3"/>
      <c r="E1208" s="3"/>
      <c r="F1208" s="2">
        <f>IFERROR(__xludf.DUMMYFUNCTION("""COMPUTED_VALUE"""),40.62)</f>
        <v>40.62</v>
      </c>
      <c r="G1208" s="2">
        <f t="shared" si="2"/>
        <v>41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>
      <c r="B1209" s="3"/>
      <c r="C1209" s="3"/>
      <c r="D1209" s="3"/>
      <c r="E1209" s="3"/>
      <c r="F1209" s="2">
        <f>IFERROR(__xludf.DUMMYFUNCTION("""COMPUTED_VALUE"""),24.69)</f>
        <v>24.69</v>
      </c>
      <c r="G1209" s="2">
        <f t="shared" si="2"/>
        <v>25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>
      <c r="B1210" s="3"/>
      <c r="C1210" s="3"/>
      <c r="D1210" s="3"/>
      <c r="E1210" s="3"/>
      <c r="F1210" s="2">
        <f>IFERROR(__xludf.DUMMYFUNCTION("""COMPUTED_VALUE"""),37.68)</f>
        <v>37.68</v>
      </c>
      <c r="G1210" s="2">
        <f t="shared" si="2"/>
        <v>38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>
      <c r="B1211" s="3"/>
      <c r="C1211" s="3"/>
      <c r="D1211" s="3"/>
      <c r="E1211" s="3"/>
      <c r="F1211" s="2">
        <f>IFERROR(__xludf.DUMMYFUNCTION("""COMPUTED_VALUE"""),37.08)</f>
        <v>37.08</v>
      </c>
      <c r="G1211" s="2">
        <f t="shared" si="2"/>
        <v>37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>
      <c r="B1212" s="3"/>
      <c r="C1212" s="3"/>
      <c r="D1212" s="3"/>
      <c r="E1212" s="3"/>
      <c r="F1212" s="2">
        <f>IFERROR(__xludf.DUMMYFUNCTION("""COMPUTED_VALUE"""),12.75)</f>
        <v>12.75</v>
      </c>
      <c r="G1212" s="2">
        <f t="shared" si="2"/>
        <v>13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>
      <c r="B1213" s="3"/>
      <c r="C1213" s="3"/>
      <c r="D1213" s="3"/>
      <c r="E1213" s="3"/>
      <c r="F1213" s="2">
        <f>IFERROR(__xludf.DUMMYFUNCTION("""COMPUTED_VALUE"""),57.69)</f>
        <v>57.69</v>
      </c>
      <c r="G1213" s="2">
        <f t="shared" si="2"/>
        <v>58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>
      <c r="B1214" s="3"/>
      <c r="C1214" s="3"/>
      <c r="D1214" s="3"/>
      <c r="E1214" s="3"/>
      <c r="F1214" s="2">
        <f>IFERROR(__xludf.DUMMYFUNCTION("""COMPUTED_VALUE"""),28.349999999999998)</f>
        <v>28.35</v>
      </c>
      <c r="G1214" s="2">
        <f t="shared" si="2"/>
        <v>28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>
      <c r="B1215" s="3"/>
      <c r="C1215" s="3"/>
      <c r="D1215" s="3"/>
      <c r="E1215" s="3"/>
      <c r="F1215" s="2">
        <f>IFERROR(__xludf.DUMMYFUNCTION("""COMPUTED_VALUE"""),45.69)</f>
        <v>45.69</v>
      </c>
      <c r="G1215" s="2">
        <f t="shared" si="2"/>
        <v>46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>
      <c r="B1216" s="3"/>
      <c r="C1216" s="3"/>
      <c r="D1216" s="3"/>
      <c r="E1216" s="3"/>
      <c r="F1216" s="2">
        <f>IFERROR(__xludf.DUMMYFUNCTION("""COMPUTED_VALUE"""),51.69)</f>
        <v>51.69</v>
      </c>
      <c r="G1216" s="2">
        <f t="shared" si="2"/>
        <v>52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>
      <c r="B1217" s="3"/>
      <c r="C1217" s="3"/>
      <c r="D1217" s="3"/>
      <c r="E1217" s="3"/>
      <c r="F1217" s="2">
        <f>IFERROR(__xludf.DUMMYFUNCTION("""COMPUTED_VALUE"""),12.75)</f>
        <v>12.75</v>
      </c>
      <c r="G1217" s="2">
        <f t="shared" si="2"/>
        <v>13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>
      <c r="B1218" s="3"/>
      <c r="C1218" s="3"/>
      <c r="D1218" s="3"/>
      <c r="E1218" s="3"/>
      <c r="F1218" s="2">
        <f>IFERROR(__xludf.DUMMYFUNCTION("""COMPUTED_VALUE"""),15.72)</f>
        <v>15.72</v>
      </c>
      <c r="G1218" s="2">
        <f t="shared" si="2"/>
        <v>16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>
      <c r="B1219" s="3"/>
      <c r="C1219" s="3"/>
      <c r="D1219" s="3"/>
      <c r="E1219" s="3"/>
      <c r="F1219" s="2">
        <f>IFERROR(__xludf.DUMMYFUNCTION("""COMPUTED_VALUE"""),18.75)</f>
        <v>18.75</v>
      </c>
      <c r="G1219" s="2">
        <f t="shared" si="2"/>
        <v>19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>
      <c r="B1220" s="3"/>
      <c r="C1220" s="3"/>
      <c r="D1220" s="3"/>
      <c r="E1220" s="3"/>
      <c r="F1220" s="2">
        <f>IFERROR(__xludf.DUMMYFUNCTION("""COMPUTED_VALUE"""),25.619999999999997)</f>
        <v>25.62</v>
      </c>
      <c r="G1220" s="2">
        <f t="shared" si="2"/>
        <v>26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>
      <c r="B1221" s="3"/>
      <c r="C1221" s="3"/>
      <c r="D1221" s="3"/>
      <c r="E1221" s="3"/>
      <c r="F1221" s="2">
        <f>IFERROR(__xludf.DUMMYFUNCTION("""COMPUTED_VALUE"""),10.95)</f>
        <v>10.95</v>
      </c>
      <c r="G1221" s="2">
        <f t="shared" si="2"/>
        <v>11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>
      <c r="B1222" s="3"/>
      <c r="C1222" s="3"/>
      <c r="D1222" s="3"/>
      <c r="E1222" s="3"/>
      <c r="F1222" s="2">
        <f>IFERROR(__xludf.DUMMYFUNCTION("""COMPUTED_VALUE"""),37.08)</f>
        <v>37.08</v>
      </c>
      <c r="G1222" s="2">
        <f t="shared" si="2"/>
        <v>37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>
      <c r="B1223" s="3"/>
      <c r="C1223" s="3"/>
      <c r="D1223" s="3"/>
      <c r="E1223" s="3"/>
      <c r="F1223" s="2">
        <f>IFERROR(__xludf.DUMMYFUNCTION("""COMPUTED_VALUE"""),18.75)</f>
        <v>18.75</v>
      </c>
      <c r="G1223" s="2">
        <f t="shared" si="2"/>
        <v>19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>
      <c r="B1224" s="3"/>
      <c r="C1224" s="3"/>
      <c r="D1224" s="3"/>
      <c r="E1224" s="3"/>
      <c r="F1224" s="2">
        <f>IFERROR(__xludf.DUMMYFUNCTION("""COMPUTED_VALUE"""),42.75)</f>
        <v>42.75</v>
      </c>
      <c r="G1224" s="2">
        <f t="shared" si="2"/>
        <v>43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>
      <c r="B1225" s="3"/>
      <c r="C1225" s="3"/>
      <c r="D1225" s="3"/>
      <c r="E1225" s="3"/>
      <c r="F1225" s="2">
        <f>IFERROR(__xludf.DUMMYFUNCTION("""COMPUTED_VALUE"""),10.95)</f>
        <v>10.95</v>
      </c>
      <c r="G1225" s="2">
        <f t="shared" si="2"/>
        <v>11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>
      <c r="B1226" s="3"/>
      <c r="C1226" s="3"/>
      <c r="D1226" s="3"/>
      <c r="E1226" s="3"/>
      <c r="F1226" s="2">
        <f>IFERROR(__xludf.DUMMYFUNCTION("""COMPUTED_VALUE"""),51.69)</f>
        <v>51.69</v>
      </c>
      <c r="G1226" s="2">
        <f t="shared" si="2"/>
        <v>52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>
      <c r="B1227" s="3"/>
      <c r="C1227" s="3"/>
      <c r="D1227" s="3"/>
      <c r="E1227" s="3"/>
      <c r="F1227" s="2">
        <f>IFERROR(__xludf.DUMMYFUNCTION("""COMPUTED_VALUE"""),34.62)</f>
        <v>34.62</v>
      </c>
      <c r="G1227" s="2">
        <f t="shared" si="2"/>
        <v>35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>
      <c r="B1228" s="3"/>
      <c r="C1228" s="3"/>
      <c r="D1228" s="3"/>
      <c r="E1228" s="3"/>
      <c r="F1228" s="2">
        <f>IFERROR(__xludf.DUMMYFUNCTION("""COMPUTED_VALUE"""),19.62)</f>
        <v>19.62</v>
      </c>
      <c r="G1228" s="2">
        <f t="shared" si="2"/>
        <v>20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>
      <c r="B1229" s="3"/>
      <c r="C1229" s="3"/>
      <c r="D1229" s="3"/>
      <c r="E1229" s="3"/>
      <c r="F1229" s="2">
        <f>IFERROR(__xludf.DUMMYFUNCTION("""COMPUTED_VALUE"""),24.36)</f>
        <v>24.36</v>
      </c>
      <c r="G1229" s="2">
        <f t="shared" si="2"/>
        <v>24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>
      <c r="B1230" s="3"/>
      <c r="C1230" s="3"/>
      <c r="D1230" s="3"/>
      <c r="E1230" s="3"/>
      <c r="F1230" s="2">
        <f>IFERROR(__xludf.DUMMYFUNCTION("""COMPUTED_VALUE"""),33.75)</f>
        <v>33.75</v>
      </c>
      <c r="G1230" s="2">
        <f t="shared" si="2"/>
        <v>34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>
      <c r="B1231" s="3"/>
      <c r="C1231" s="3"/>
      <c r="D1231" s="3"/>
      <c r="E1231" s="3"/>
      <c r="F1231" s="2">
        <f>IFERROR(__xludf.DUMMYFUNCTION("""COMPUTED_VALUE"""),37.68)</f>
        <v>37.68</v>
      </c>
      <c r="G1231" s="2">
        <f t="shared" si="2"/>
        <v>38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>
      <c r="B1232" s="3"/>
      <c r="C1232" s="3"/>
      <c r="D1232" s="3"/>
      <c r="E1232" s="3"/>
      <c r="F1232" s="2">
        <f>IFERROR(__xludf.DUMMYFUNCTION("""COMPUTED_VALUE"""),10.53)</f>
        <v>10.53</v>
      </c>
      <c r="G1232" s="2">
        <f t="shared" si="2"/>
        <v>11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>
      <c r="B1233" s="3"/>
      <c r="C1233" s="3"/>
      <c r="D1233" s="3"/>
      <c r="E1233" s="3"/>
      <c r="F1233" s="2">
        <f>IFERROR(__xludf.DUMMYFUNCTION("""COMPUTED_VALUE"""),12.75)</f>
        <v>12.75</v>
      </c>
      <c r="G1233" s="2">
        <f t="shared" si="2"/>
        <v>13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>
      <c r="B1234" s="3"/>
      <c r="C1234" s="3"/>
      <c r="D1234" s="3"/>
      <c r="E1234" s="3"/>
      <c r="F1234" s="2">
        <f>IFERROR(__xludf.DUMMYFUNCTION("""COMPUTED_VALUE"""),18.63)</f>
        <v>18.63</v>
      </c>
      <c r="G1234" s="2">
        <f t="shared" si="2"/>
        <v>19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>
      <c r="B1235" s="3"/>
      <c r="C1235" s="3"/>
      <c r="D1235" s="3"/>
      <c r="E1235" s="3"/>
      <c r="F1235" s="2">
        <f>IFERROR(__xludf.DUMMYFUNCTION("""COMPUTED_VALUE"""),12.75)</f>
        <v>12.75</v>
      </c>
      <c r="G1235" s="2">
        <f t="shared" si="2"/>
        <v>13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>
      <c r="B1236" s="3"/>
      <c r="C1236" s="3"/>
      <c r="D1236" s="3"/>
      <c r="E1236" s="3"/>
      <c r="F1236" s="2">
        <f>IFERROR(__xludf.DUMMYFUNCTION("""COMPUTED_VALUE"""),36.72)</f>
        <v>36.72</v>
      </c>
      <c r="G1236" s="2">
        <f t="shared" si="2"/>
        <v>37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>
      <c r="B1237" s="3"/>
      <c r="C1237" s="3"/>
      <c r="D1237" s="3"/>
      <c r="E1237" s="3"/>
      <c r="F1237" s="2">
        <f>IFERROR(__xludf.DUMMYFUNCTION("""COMPUTED_VALUE"""),28.619999999999997)</f>
        <v>28.62</v>
      </c>
      <c r="G1237" s="2">
        <f t="shared" si="2"/>
        <v>29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>
      <c r="B1238" s="3"/>
      <c r="C1238" s="3"/>
      <c r="D1238" s="3"/>
      <c r="E1238" s="3"/>
      <c r="F1238" s="2">
        <f>IFERROR(__xludf.DUMMYFUNCTION("""COMPUTED_VALUE"""),34.62)</f>
        <v>34.62</v>
      </c>
      <c r="G1238" s="2">
        <f t="shared" si="2"/>
        <v>35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>
      <c r="B1239" s="3"/>
      <c r="C1239" s="3"/>
      <c r="D1239" s="3"/>
      <c r="E1239" s="3"/>
      <c r="F1239" s="2">
        <f>IFERROR(__xludf.DUMMYFUNCTION("""COMPUTED_VALUE"""),18.63)</f>
        <v>18.63</v>
      </c>
      <c r="G1239" s="2">
        <f t="shared" si="2"/>
        <v>19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>
      <c r="B1240" s="3"/>
      <c r="C1240" s="3"/>
      <c r="D1240" s="3"/>
      <c r="E1240" s="3"/>
      <c r="F1240" s="2">
        <f>IFERROR(__xludf.DUMMYFUNCTION("""COMPUTED_VALUE"""),36.72)</f>
        <v>36.72</v>
      </c>
      <c r="G1240" s="2">
        <f t="shared" si="2"/>
        <v>37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>
      <c r="B1241" s="3"/>
      <c r="C1241" s="3"/>
      <c r="D1241" s="3"/>
      <c r="E1241" s="3"/>
      <c r="F1241" s="2">
        <f>IFERROR(__xludf.DUMMYFUNCTION("""COMPUTED_VALUE"""),40.62)</f>
        <v>40.62</v>
      </c>
      <c r="G1241" s="2">
        <f t="shared" si="2"/>
        <v>41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>
      <c r="B1242" s="3"/>
      <c r="C1242" s="3"/>
      <c r="D1242" s="3"/>
      <c r="E1242" s="3"/>
      <c r="F1242" s="2">
        <f>IFERROR(__xludf.DUMMYFUNCTION("""COMPUTED_VALUE"""),15.629999999999999)</f>
        <v>15.63</v>
      </c>
      <c r="G1242" s="2">
        <f t="shared" si="2"/>
        <v>16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>
      <c r="B1243" s="3"/>
      <c r="C1243" s="3"/>
      <c r="D1243" s="3"/>
      <c r="E1243" s="3"/>
      <c r="F1243" s="2">
        <f>IFERROR(__xludf.DUMMYFUNCTION("""COMPUTED_VALUE"""),37.08)</f>
        <v>37.08</v>
      </c>
      <c r="G1243" s="2">
        <f t="shared" si="2"/>
        <v>37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>
      <c r="B1244" s="3"/>
      <c r="C1244" s="3"/>
      <c r="D1244" s="3"/>
      <c r="E1244" s="3"/>
      <c r="F1244" s="2">
        <f>IFERROR(__xludf.DUMMYFUNCTION("""COMPUTED_VALUE"""),21.75)</f>
        <v>21.75</v>
      </c>
      <c r="G1244" s="2">
        <f t="shared" si="2"/>
        <v>22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>
      <c r="B1245" s="3"/>
      <c r="C1245" s="3"/>
      <c r="D1245" s="3"/>
      <c r="E1245" s="3"/>
      <c r="F1245" s="2">
        <f>IFERROR(__xludf.DUMMYFUNCTION("""COMPUTED_VALUE"""),28.349999999999998)</f>
        <v>28.35</v>
      </c>
      <c r="G1245" s="2">
        <f t="shared" si="2"/>
        <v>28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>
      <c r="B1246" s="3"/>
      <c r="C1246" s="3"/>
      <c r="D1246" s="3"/>
      <c r="E1246" s="3"/>
      <c r="F1246" s="2">
        <f>IFERROR(__xludf.DUMMYFUNCTION("""COMPUTED_VALUE"""),36.72)</f>
        <v>36.72</v>
      </c>
      <c r="G1246" s="2">
        <f t="shared" si="2"/>
        <v>37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>
      <c r="B1247" s="3"/>
      <c r="C1247" s="3"/>
      <c r="D1247" s="3"/>
      <c r="E1247" s="3"/>
      <c r="F1247" s="2">
        <f>IFERROR(__xludf.DUMMYFUNCTION("""COMPUTED_VALUE"""),15.629999999999999)</f>
        <v>15.63</v>
      </c>
      <c r="G1247" s="2">
        <f t="shared" si="2"/>
        <v>16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>
      <c r="B1248" s="3"/>
      <c r="C1248" s="3"/>
      <c r="D1248" s="3"/>
      <c r="E1248" s="3"/>
      <c r="F1248" s="2">
        <f>IFERROR(__xludf.DUMMYFUNCTION("""COMPUTED_VALUE"""),18.75)</f>
        <v>18.75</v>
      </c>
      <c r="G1248" s="2">
        <f t="shared" si="2"/>
        <v>19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>
      <c r="B1249" s="3"/>
      <c r="C1249" s="3"/>
      <c r="D1249" s="3"/>
      <c r="E1249" s="3"/>
      <c r="F1249" s="2">
        <f>IFERROR(__xludf.DUMMYFUNCTION("""COMPUTED_VALUE"""),48.63)</f>
        <v>48.63</v>
      </c>
      <c r="G1249" s="2">
        <f t="shared" si="2"/>
        <v>49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>
      <c r="B1250" s="3"/>
      <c r="C1250" s="3"/>
      <c r="D1250" s="3"/>
      <c r="E1250" s="3"/>
      <c r="F1250" s="2">
        <f>IFERROR(__xludf.DUMMYFUNCTION("""COMPUTED_VALUE"""),24.69)</f>
        <v>24.69</v>
      </c>
      <c r="G1250" s="2">
        <f t="shared" si="2"/>
        <v>25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>
      <c r="B1251" s="3"/>
      <c r="C1251" s="3"/>
      <c r="D1251" s="3"/>
      <c r="E1251" s="3"/>
      <c r="F1251" s="2">
        <f>IFERROR(__xludf.DUMMYFUNCTION("""COMPUTED_VALUE"""),51.69)</f>
        <v>51.69</v>
      </c>
      <c r="G1251" s="2">
        <f t="shared" si="2"/>
        <v>52</v>
      </c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>
      <c r="B1252" s="3"/>
      <c r="C1252" s="3"/>
      <c r="D1252" s="3"/>
      <c r="E1252" s="3"/>
      <c r="F1252" s="2">
        <f>IFERROR(__xludf.DUMMYFUNCTION("""COMPUTED_VALUE"""),18.63)</f>
        <v>18.63</v>
      </c>
      <c r="G1252" s="2">
        <f t="shared" si="2"/>
        <v>19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>
      <c r="B1253" s="3"/>
      <c r="C1253" s="3"/>
      <c r="D1253" s="3"/>
      <c r="E1253" s="3"/>
      <c r="F1253" s="2">
        <f>IFERROR(__xludf.DUMMYFUNCTION("""COMPUTED_VALUE"""),57.69)</f>
        <v>57.69</v>
      </c>
      <c r="G1253" s="2">
        <f t="shared" si="2"/>
        <v>58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>
      <c r="B1254" s="3"/>
      <c r="C1254" s="3"/>
      <c r="D1254" s="3"/>
      <c r="E1254" s="3"/>
      <c r="F1254" s="2">
        <f>IFERROR(__xludf.DUMMYFUNCTION("""COMPUTED_VALUE"""),9.75)</f>
        <v>9.75</v>
      </c>
      <c r="G1254" s="2">
        <f t="shared" si="2"/>
        <v>10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>
      <c r="B1255" s="3"/>
      <c r="C1255" s="3"/>
      <c r="D1255" s="3"/>
      <c r="E1255" s="3"/>
      <c r="F1255" s="2">
        <f>IFERROR(__xludf.DUMMYFUNCTION("""COMPUTED_VALUE"""),40.62)</f>
        <v>40.62</v>
      </c>
      <c r="G1255" s="2">
        <f t="shared" si="2"/>
        <v>41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>
      <c r="B1256" s="3"/>
      <c r="C1256" s="3"/>
      <c r="D1256" s="3"/>
      <c r="E1256" s="3"/>
      <c r="F1256" s="2">
        <f>IFERROR(__xludf.DUMMYFUNCTION("""COMPUTED_VALUE"""),36.72)</f>
        <v>36.72</v>
      </c>
      <c r="G1256" s="2">
        <f t="shared" si="2"/>
        <v>37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>
      <c r="B1257" s="3"/>
      <c r="C1257" s="3"/>
      <c r="D1257" s="3"/>
      <c r="E1257" s="3"/>
      <c r="F1257" s="2">
        <f>IFERROR(__xludf.DUMMYFUNCTION("""COMPUTED_VALUE"""),48.63)</f>
        <v>48.63</v>
      </c>
      <c r="G1257" s="2">
        <f t="shared" si="2"/>
        <v>49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>
      <c r="B1258" s="3"/>
      <c r="C1258" s="3"/>
      <c r="D1258" s="3"/>
      <c r="E1258" s="3"/>
      <c r="F1258" s="2">
        <f>IFERROR(__xludf.DUMMYFUNCTION("""COMPUTED_VALUE"""),34.62)</f>
        <v>34.62</v>
      </c>
      <c r="G1258" s="2">
        <f t="shared" si="2"/>
        <v>35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>
      <c r="B1259" s="3"/>
      <c r="C1259" s="3"/>
      <c r="D1259" s="3"/>
      <c r="E1259" s="3"/>
      <c r="F1259" s="2">
        <f>IFERROR(__xludf.DUMMYFUNCTION("""COMPUTED_VALUE"""),46.349999999999994)</f>
        <v>46.35</v>
      </c>
      <c r="G1259" s="2">
        <f t="shared" si="2"/>
        <v>46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>
      <c r="B1260" s="3"/>
      <c r="C1260" s="3"/>
      <c r="D1260" s="3"/>
      <c r="E1260" s="3"/>
      <c r="F1260" s="2">
        <f>IFERROR(__xludf.DUMMYFUNCTION("""COMPUTED_VALUE"""),19.62)</f>
        <v>19.62</v>
      </c>
      <c r="G1260" s="2">
        <f t="shared" si="2"/>
        <v>20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>
      <c r="B1261" s="3"/>
      <c r="C1261" s="3"/>
      <c r="D1261" s="3"/>
      <c r="E1261" s="3"/>
      <c r="F1261" s="2">
        <f>IFERROR(__xludf.DUMMYFUNCTION("""COMPUTED_VALUE"""),46.349999999999994)</f>
        <v>46.35</v>
      </c>
      <c r="G1261" s="2">
        <f t="shared" si="2"/>
        <v>46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>
      <c r="B1262" s="3"/>
      <c r="C1262" s="3"/>
      <c r="D1262" s="3"/>
      <c r="E1262" s="3"/>
      <c r="F1262" s="2">
        <f>IFERROR(__xludf.DUMMYFUNCTION("""COMPUTED_VALUE"""),36.72)</f>
        <v>36.72</v>
      </c>
      <c r="G1262" s="2">
        <f t="shared" si="2"/>
        <v>37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>
      <c r="B1263" s="3"/>
      <c r="C1263" s="3"/>
      <c r="D1263" s="3"/>
      <c r="E1263" s="3"/>
      <c r="F1263" s="2">
        <f>IFERROR(__xludf.DUMMYFUNCTION("""COMPUTED_VALUE"""),16.950000000000003)</f>
        <v>16.95</v>
      </c>
      <c r="G1263" s="2">
        <f t="shared" si="2"/>
        <v>17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>
      <c r="B1264" s="3"/>
      <c r="C1264" s="3"/>
      <c r="D1264" s="3"/>
      <c r="E1264" s="3"/>
      <c r="F1264" s="2">
        <f>IFERROR(__xludf.DUMMYFUNCTION("""COMPUTED_VALUE"""),19.62)</f>
        <v>19.62</v>
      </c>
      <c r="G1264" s="2">
        <f t="shared" si="2"/>
        <v>20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>
      <c r="B1265" s="3"/>
      <c r="C1265" s="3"/>
      <c r="D1265" s="3"/>
      <c r="E1265" s="3"/>
      <c r="F1265" s="2">
        <f>IFERROR(__xludf.DUMMYFUNCTION("""COMPUTED_VALUE"""),16.950000000000003)</f>
        <v>16.95</v>
      </c>
      <c r="G1265" s="2">
        <f t="shared" si="2"/>
        <v>17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>
      <c r="B1266" s="3"/>
      <c r="C1266" s="3"/>
      <c r="D1266" s="3"/>
      <c r="E1266" s="3"/>
      <c r="F1266" s="2">
        <f>IFERROR(__xludf.DUMMYFUNCTION("""COMPUTED_VALUE"""),28.619999999999997)</f>
        <v>28.62</v>
      </c>
      <c r="G1266" s="2">
        <f t="shared" si="2"/>
        <v>29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>
      <c r="B1267" s="3"/>
      <c r="C1267" s="3"/>
      <c r="D1267" s="3"/>
      <c r="E1267" s="3"/>
      <c r="F1267" s="2">
        <f>IFERROR(__xludf.DUMMYFUNCTION("""COMPUTED_VALUE"""),28.619999999999997)</f>
        <v>28.62</v>
      </c>
      <c r="G1267" s="2">
        <f t="shared" si="2"/>
        <v>29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>
      <c r="B1268" s="3"/>
      <c r="C1268" s="3"/>
      <c r="D1268" s="3"/>
      <c r="E1268" s="3"/>
      <c r="F1268" s="2">
        <f>IFERROR(__xludf.DUMMYFUNCTION("""COMPUTED_VALUE"""),45.69)</f>
        <v>45.69</v>
      </c>
      <c r="G1268" s="2">
        <f t="shared" si="2"/>
        <v>46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>
      <c r="B1269" s="3"/>
      <c r="C1269" s="3"/>
      <c r="D1269" s="3"/>
      <c r="E1269" s="3"/>
      <c r="F1269" s="2">
        <f>IFERROR(__xludf.DUMMYFUNCTION("""COMPUTED_VALUE"""),33.69)</f>
        <v>33.69</v>
      </c>
      <c r="G1269" s="2">
        <f t="shared" si="2"/>
        <v>34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>
      <c r="B1270" s="3"/>
      <c r="C1270" s="3"/>
      <c r="D1270" s="3"/>
      <c r="E1270" s="3"/>
      <c r="F1270" s="2">
        <f>IFERROR(__xludf.DUMMYFUNCTION("""COMPUTED_VALUE"""),18.63)</f>
        <v>18.63</v>
      </c>
      <c r="G1270" s="2">
        <f t="shared" si="2"/>
        <v>19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>
      <c r="B1271" s="3"/>
      <c r="C1271" s="3"/>
      <c r="D1271" s="3"/>
      <c r="E1271" s="3"/>
      <c r="F1271" s="2">
        <f>IFERROR(__xludf.DUMMYFUNCTION("""COMPUTED_VALUE"""),9.75)</f>
        <v>9.75</v>
      </c>
      <c r="G1271" s="2">
        <f t="shared" si="2"/>
        <v>10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>
      <c r="B1272" s="3"/>
      <c r="C1272" s="3"/>
      <c r="D1272" s="3"/>
      <c r="E1272" s="3"/>
      <c r="F1272" s="2">
        <f>IFERROR(__xludf.DUMMYFUNCTION("""COMPUTED_VALUE"""),18.63)</f>
        <v>18.63</v>
      </c>
      <c r="G1272" s="2">
        <f t="shared" si="2"/>
        <v>19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>
      <c r="B1273" s="3"/>
      <c r="C1273" s="3"/>
      <c r="D1273" s="3"/>
      <c r="E1273" s="3"/>
      <c r="F1273" s="2">
        <f>IFERROR(__xludf.DUMMYFUNCTION("""COMPUTED_VALUE"""),57.69)</f>
        <v>57.69</v>
      </c>
      <c r="G1273" s="2">
        <f t="shared" si="2"/>
        <v>58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>
      <c r="B1274" s="3"/>
      <c r="C1274" s="3"/>
      <c r="D1274" s="3"/>
      <c r="E1274" s="3"/>
      <c r="F1274" s="2">
        <f>IFERROR(__xludf.DUMMYFUNCTION("""COMPUTED_VALUE"""),9.75)</f>
        <v>9.75</v>
      </c>
      <c r="G1274" s="2">
        <f t="shared" si="2"/>
        <v>10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>
      <c r="B1275" s="3"/>
      <c r="C1275" s="3"/>
      <c r="D1275" s="3"/>
      <c r="E1275" s="3"/>
      <c r="F1275" s="2">
        <f>IFERROR(__xludf.DUMMYFUNCTION("""COMPUTED_VALUE"""),18.75)</f>
        <v>18.75</v>
      </c>
      <c r="G1275" s="2">
        <f t="shared" si="2"/>
        <v>19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>
      <c r="B1276" s="3"/>
      <c r="C1276" s="3"/>
      <c r="D1276" s="3"/>
      <c r="E1276" s="3"/>
      <c r="F1276" s="2">
        <f>IFERROR(__xludf.DUMMYFUNCTION("""COMPUTED_VALUE"""),19.62)</f>
        <v>19.62</v>
      </c>
      <c r="G1276" s="2">
        <f t="shared" si="2"/>
        <v>20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>
      <c r="B1277" s="3"/>
      <c r="C1277" s="3"/>
      <c r="D1277" s="3"/>
      <c r="E1277" s="3"/>
      <c r="F1277" s="2">
        <f>IFERROR(__xludf.DUMMYFUNCTION("""COMPUTED_VALUE"""),12.75)</f>
        <v>12.75</v>
      </c>
      <c r="G1277" s="2">
        <f t="shared" si="2"/>
        <v>13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>
      <c r="B1278" s="3"/>
      <c r="C1278" s="3"/>
      <c r="D1278" s="3"/>
      <c r="E1278" s="3"/>
      <c r="F1278" s="2">
        <f>IFERROR(__xludf.DUMMYFUNCTION("""COMPUTED_VALUE"""),85.67999999999999)</f>
        <v>85.68</v>
      </c>
      <c r="G1278" s="2">
        <f t="shared" si="2"/>
        <v>86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>
      <c r="B1279" s="3"/>
      <c r="C1279" s="3"/>
      <c r="D1279" s="3"/>
      <c r="E1279" s="3"/>
      <c r="F1279" s="2">
        <f>IFERROR(__xludf.DUMMYFUNCTION("""COMPUTED_VALUE"""),42.75)</f>
        <v>42.75</v>
      </c>
      <c r="G1279" s="2">
        <f t="shared" si="2"/>
        <v>43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>
      <c r="B1280" s="3"/>
      <c r="C1280" s="3"/>
      <c r="D1280" s="3"/>
      <c r="E1280" s="3"/>
      <c r="F1280" s="2">
        <f>IFERROR(__xludf.DUMMYFUNCTION("""COMPUTED_VALUE"""),28.619999999999997)</f>
        <v>28.62</v>
      </c>
      <c r="G1280" s="2">
        <f t="shared" si="2"/>
        <v>29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>
      <c r="B1281" s="3"/>
      <c r="C1281" s="3"/>
      <c r="D1281" s="3"/>
      <c r="E1281" s="3"/>
      <c r="F1281" s="2">
        <f>IFERROR(__xludf.DUMMYFUNCTION("""COMPUTED_VALUE"""),25.619999999999997)</f>
        <v>25.62</v>
      </c>
      <c r="G1281" s="2">
        <f t="shared" si="2"/>
        <v>26</v>
      </c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>
      <c r="B1282" s="3"/>
      <c r="C1282" s="3"/>
      <c r="D1282" s="3"/>
      <c r="E1282" s="3"/>
      <c r="F1282" s="2">
        <f>IFERROR(__xludf.DUMMYFUNCTION("""COMPUTED_VALUE"""),85.67999999999999)</f>
        <v>85.68</v>
      </c>
      <c r="G1282" s="2">
        <f t="shared" si="2"/>
        <v>86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>
      <c r="B1283" s="3"/>
      <c r="C1283" s="3"/>
      <c r="D1283" s="3"/>
      <c r="E1283" s="3"/>
      <c r="F1283" s="2">
        <f>IFERROR(__xludf.DUMMYFUNCTION("""COMPUTED_VALUE"""),9.75)</f>
        <v>9.75</v>
      </c>
      <c r="G1283" s="2">
        <f t="shared" si="2"/>
        <v>10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>
      <c r="B1284" s="3"/>
      <c r="C1284" s="3"/>
      <c r="D1284" s="3"/>
      <c r="E1284" s="3"/>
      <c r="F1284" s="2">
        <f>IFERROR(__xludf.DUMMYFUNCTION("""COMPUTED_VALUE"""),85.67999999999999)</f>
        <v>85.68</v>
      </c>
      <c r="G1284" s="2">
        <f t="shared" si="2"/>
        <v>86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>
      <c r="B1285" s="3"/>
      <c r="C1285" s="3"/>
      <c r="D1285" s="3"/>
      <c r="E1285" s="3"/>
      <c r="F1285" s="2">
        <f>IFERROR(__xludf.DUMMYFUNCTION("""COMPUTED_VALUE"""),16.35)</f>
        <v>16.35</v>
      </c>
      <c r="G1285" s="2">
        <f t="shared" si="2"/>
        <v>16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>
      <c r="B1286" s="3"/>
      <c r="C1286" s="3"/>
      <c r="D1286" s="3"/>
      <c r="E1286" s="3"/>
      <c r="F1286" s="2">
        <f>IFERROR(__xludf.DUMMYFUNCTION("""COMPUTED_VALUE"""),16.35)</f>
        <v>16.35</v>
      </c>
      <c r="G1286" s="2">
        <f t="shared" si="2"/>
        <v>16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>
      <c r="B1287" s="3"/>
      <c r="C1287" s="3"/>
      <c r="D1287" s="3"/>
      <c r="E1287" s="3"/>
      <c r="F1287" s="2">
        <f>IFERROR(__xludf.DUMMYFUNCTION("""COMPUTED_VALUE"""),12.629999999999999)</f>
        <v>12.63</v>
      </c>
      <c r="G1287" s="2">
        <f t="shared" si="2"/>
        <v>13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>
      <c r="B1288" s="3"/>
      <c r="C1288" s="3"/>
      <c r="D1288" s="3"/>
      <c r="E1288" s="3"/>
      <c r="F1288" s="2">
        <f>IFERROR(__xludf.DUMMYFUNCTION("""COMPUTED_VALUE"""),37.68)</f>
        <v>37.68</v>
      </c>
      <c r="G1288" s="2">
        <f t="shared" si="2"/>
        <v>38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>
      <c r="B1289" s="3"/>
      <c r="C1289" s="3"/>
      <c r="D1289" s="3"/>
      <c r="E1289" s="3"/>
      <c r="F1289" s="2">
        <f>IFERROR(__xludf.DUMMYFUNCTION("""COMPUTED_VALUE"""),25.619999999999997)</f>
        <v>25.62</v>
      </c>
      <c r="G1289" s="2">
        <f t="shared" si="2"/>
        <v>26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>
      <c r="B1290" s="3"/>
      <c r="C1290" s="3"/>
      <c r="D1290" s="3"/>
      <c r="E1290" s="3"/>
      <c r="F1290" s="2">
        <f>IFERROR(__xludf.DUMMYFUNCTION("""COMPUTED_VALUE"""),28.619999999999997)</f>
        <v>28.62</v>
      </c>
      <c r="G1290" s="2">
        <f t="shared" si="2"/>
        <v>29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>
      <c r="B1291" s="3"/>
      <c r="C1291" s="3"/>
      <c r="D1291" s="3"/>
      <c r="E1291" s="3"/>
      <c r="F1291" s="2">
        <f>IFERROR(__xludf.DUMMYFUNCTION("""COMPUTED_VALUE"""),85.67999999999999)</f>
        <v>85.68</v>
      </c>
      <c r="G1291" s="2">
        <f t="shared" si="2"/>
        <v>86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>
      <c r="B1292" s="3"/>
      <c r="C1292" s="3"/>
      <c r="D1292" s="3"/>
      <c r="E1292" s="3"/>
      <c r="F1292" s="2">
        <f>IFERROR(__xludf.DUMMYFUNCTION("""COMPUTED_VALUE"""),18.63)</f>
        <v>18.63</v>
      </c>
      <c r="G1292" s="2">
        <f t="shared" si="2"/>
        <v>19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>
      <c r="B1293" s="3"/>
      <c r="C1293" s="3"/>
      <c r="D1293" s="3"/>
      <c r="E1293" s="3"/>
      <c r="F1293" s="2">
        <f>IFERROR(__xludf.DUMMYFUNCTION("""COMPUTED_VALUE"""),51.69)</f>
        <v>51.69</v>
      </c>
      <c r="G1293" s="2">
        <f t="shared" si="2"/>
        <v>52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>
      <c r="B1294" s="3"/>
      <c r="C1294" s="3"/>
      <c r="D1294" s="3"/>
      <c r="E1294" s="3"/>
      <c r="F1294" s="2">
        <f>IFERROR(__xludf.DUMMYFUNCTION("""COMPUTED_VALUE"""),19.62)</f>
        <v>19.62</v>
      </c>
      <c r="G1294" s="2">
        <f t="shared" si="2"/>
        <v>20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>
      <c r="B1295" s="3"/>
      <c r="C1295" s="3"/>
      <c r="D1295" s="3"/>
      <c r="E1295" s="3"/>
      <c r="F1295" s="2">
        <f>IFERROR(__xludf.DUMMYFUNCTION("""COMPUTED_VALUE"""),45.69)</f>
        <v>45.69</v>
      </c>
      <c r="G1295" s="2">
        <f t="shared" si="2"/>
        <v>46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>
      <c r="B1296" s="3"/>
      <c r="C1296" s="3"/>
      <c r="D1296" s="3"/>
      <c r="E1296" s="3"/>
      <c r="F1296" s="2">
        <f>IFERROR(__xludf.DUMMYFUNCTION("""COMPUTED_VALUE"""),15.629999999999999)</f>
        <v>15.63</v>
      </c>
      <c r="G1296" s="2">
        <f t="shared" si="2"/>
        <v>16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>
      <c r="B1297" s="3"/>
      <c r="C1297" s="3"/>
      <c r="D1297" s="3"/>
      <c r="E1297" s="3"/>
      <c r="F1297" s="2">
        <f>IFERROR(__xludf.DUMMYFUNCTION("""COMPUTED_VALUE"""),51.69)</f>
        <v>51.69</v>
      </c>
      <c r="G1297" s="2">
        <f t="shared" si="2"/>
        <v>52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>
      <c r="B1298" s="3"/>
      <c r="C1298" s="3"/>
      <c r="D1298" s="3"/>
      <c r="E1298" s="3"/>
      <c r="F1298" s="2">
        <f>IFERROR(__xludf.DUMMYFUNCTION("""COMPUTED_VALUE"""),12.75)</f>
        <v>12.75</v>
      </c>
      <c r="G1298" s="2">
        <f t="shared" si="2"/>
        <v>13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>
      <c r="B1299" s="3"/>
      <c r="C1299" s="3"/>
      <c r="D1299" s="3"/>
      <c r="E1299" s="3"/>
      <c r="F1299" s="2">
        <f>IFERROR(__xludf.DUMMYFUNCTION("""COMPUTED_VALUE"""),57.69)</f>
        <v>57.69</v>
      </c>
      <c r="G1299" s="2">
        <f t="shared" si="2"/>
        <v>58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>
      <c r="B1300" s="3"/>
      <c r="C1300" s="3"/>
      <c r="D1300" s="3"/>
      <c r="E1300" s="3"/>
      <c r="F1300" s="2">
        <f>IFERROR(__xludf.DUMMYFUNCTION("""COMPUTED_VALUE"""),12.75)</f>
        <v>12.75</v>
      </c>
      <c r="G1300" s="2">
        <f t="shared" si="2"/>
        <v>13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>
      <c r="B1301" s="3"/>
      <c r="C1301" s="3"/>
      <c r="D1301" s="3"/>
      <c r="E1301" s="3"/>
      <c r="F1301" s="2">
        <f>IFERROR(__xludf.DUMMYFUNCTION("""COMPUTED_VALUE"""),9.75)</f>
        <v>9.75</v>
      </c>
      <c r="G1301" s="2">
        <f t="shared" si="2"/>
        <v>10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>
      <c r="B1302" s="3"/>
      <c r="C1302" s="3"/>
      <c r="D1302" s="3"/>
      <c r="E1302" s="3"/>
      <c r="F1302" s="2">
        <f>IFERROR(__xludf.DUMMYFUNCTION("""COMPUTED_VALUE"""),36.72)</f>
        <v>36.72</v>
      </c>
      <c r="G1302" s="2">
        <f t="shared" si="2"/>
        <v>37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>
      <c r="B1303" s="3"/>
      <c r="C1303" s="3"/>
      <c r="D1303" s="3"/>
      <c r="E1303" s="3"/>
      <c r="F1303" s="2">
        <f>IFERROR(__xludf.DUMMYFUNCTION("""COMPUTED_VALUE"""),24.69)</f>
        <v>24.69</v>
      </c>
      <c r="G1303" s="2">
        <f t="shared" si="2"/>
        <v>25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>
      <c r="B1304" s="3"/>
      <c r="C1304" s="3"/>
      <c r="D1304" s="3"/>
      <c r="E1304" s="3"/>
      <c r="F1304" s="2">
        <f>IFERROR(__xludf.DUMMYFUNCTION("""COMPUTED_VALUE"""),12.75)</f>
        <v>12.75</v>
      </c>
      <c r="G1304" s="2">
        <f t="shared" si="2"/>
        <v>13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>
      <c r="B1305" s="3"/>
      <c r="C1305" s="3"/>
      <c r="D1305" s="3"/>
      <c r="E1305" s="3"/>
      <c r="F1305" s="2">
        <f>IFERROR(__xludf.DUMMYFUNCTION("""COMPUTED_VALUE"""),55.67999999999999)</f>
        <v>55.68</v>
      </c>
      <c r="G1305" s="2">
        <f t="shared" si="2"/>
        <v>56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>
      <c r="B1306" s="3"/>
      <c r="C1306" s="3"/>
      <c r="D1306" s="3"/>
      <c r="E1306" s="3"/>
      <c r="F1306" s="2">
        <f>IFERROR(__xludf.DUMMYFUNCTION("""COMPUTED_VALUE"""),28.619999999999997)</f>
        <v>28.62</v>
      </c>
      <c r="G1306" s="2">
        <f t="shared" si="2"/>
        <v>29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>
      <c r="B1307" s="3"/>
      <c r="C1307" s="3"/>
      <c r="D1307" s="3"/>
      <c r="E1307" s="3"/>
      <c r="F1307" s="2">
        <f>IFERROR(__xludf.DUMMYFUNCTION("""COMPUTED_VALUE"""),34.62)</f>
        <v>34.62</v>
      </c>
      <c r="G1307" s="2">
        <f t="shared" si="2"/>
        <v>35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>
      <c r="B1308" s="3"/>
      <c r="C1308" s="3"/>
      <c r="D1308" s="3"/>
      <c r="E1308" s="3"/>
      <c r="F1308" s="2">
        <f>IFERROR(__xludf.DUMMYFUNCTION("""COMPUTED_VALUE"""),24.36)</f>
        <v>24.36</v>
      </c>
      <c r="G1308" s="2">
        <f t="shared" si="2"/>
        <v>24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>
      <c r="B1309" s="3"/>
      <c r="C1309" s="3"/>
      <c r="D1309" s="3"/>
      <c r="E1309" s="3"/>
      <c r="F1309" s="2">
        <f>IFERROR(__xludf.DUMMYFUNCTION("""COMPUTED_VALUE"""),9.75)</f>
        <v>9.75</v>
      </c>
      <c r="G1309" s="2">
        <f t="shared" si="2"/>
        <v>10</v>
      </c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>
      <c r="B1310" s="3"/>
      <c r="C1310" s="3"/>
      <c r="D1310" s="3"/>
      <c r="E1310" s="3"/>
      <c r="F1310" s="2">
        <f>IFERROR(__xludf.DUMMYFUNCTION("""COMPUTED_VALUE"""),12.629999999999999)</f>
        <v>12.63</v>
      </c>
      <c r="G1310" s="2">
        <f t="shared" si="2"/>
        <v>13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>
      <c r="B1311" s="3"/>
      <c r="C1311" s="3"/>
      <c r="D1311" s="3"/>
      <c r="E1311" s="3"/>
      <c r="F1311" s="2">
        <f>IFERROR(__xludf.DUMMYFUNCTION("""COMPUTED_VALUE"""),15.72)</f>
        <v>15.72</v>
      </c>
      <c r="G1311" s="2">
        <f t="shared" si="2"/>
        <v>16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>
      <c r="B1312" s="3"/>
      <c r="C1312" s="3"/>
      <c r="D1312" s="3"/>
      <c r="E1312" s="3"/>
      <c r="F1312" s="2">
        <f>IFERROR(__xludf.DUMMYFUNCTION("""COMPUTED_VALUE"""),12.75)</f>
        <v>12.75</v>
      </c>
      <c r="G1312" s="2">
        <f t="shared" si="2"/>
        <v>13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>
      <c r="B1313" s="3"/>
      <c r="C1313" s="3"/>
      <c r="D1313" s="3"/>
      <c r="E1313" s="3"/>
      <c r="F1313" s="2">
        <f>IFERROR(__xludf.DUMMYFUNCTION("""COMPUTED_VALUE"""),12.629999999999999)</f>
        <v>12.63</v>
      </c>
      <c r="G1313" s="2">
        <f t="shared" si="2"/>
        <v>13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>
      <c r="B1314" s="3"/>
      <c r="C1314" s="3"/>
      <c r="D1314" s="3"/>
      <c r="E1314" s="3"/>
      <c r="F1314" s="2">
        <f>IFERROR(__xludf.DUMMYFUNCTION("""COMPUTED_VALUE"""),15.72)</f>
        <v>15.72</v>
      </c>
      <c r="G1314" s="2">
        <f t="shared" si="2"/>
        <v>16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>
      <c r="B1315" s="3"/>
      <c r="C1315" s="3"/>
      <c r="D1315" s="3"/>
      <c r="E1315" s="3"/>
      <c r="F1315" s="2">
        <f>IFERROR(__xludf.DUMMYFUNCTION("""COMPUTED_VALUE"""),15.629999999999999)</f>
        <v>15.63</v>
      </c>
      <c r="G1315" s="2">
        <f t="shared" si="2"/>
        <v>16</v>
      </c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>
      <c r="B1316" s="3"/>
      <c r="C1316" s="3"/>
      <c r="D1316" s="3"/>
      <c r="E1316" s="3"/>
      <c r="F1316" s="2">
        <f>IFERROR(__xludf.DUMMYFUNCTION("""COMPUTED_VALUE"""),18.63)</f>
        <v>18.63</v>
      </c>
      <c r="G1316" s="2">
        <f t="shared" si="2"/>
        <v>19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>
      <c r="B1317" s="3"/>
      <c r="C1317" s="3"/>
      <c r="D1317" s="3"/>
      <c r="E1317" s="3"/>
      <c r="F1317" s="2">
        <f>IFERROR(__xludf.DUMMYFUNCTION("""COMPUTED_VALUE"""),24.36)</f>
        <v>24.36</v>
      </c>
      <c r="G1317" s="2">
        <f t="shared" si="2"/>
        <v>24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>
      <c r="B1318" s="3"/>
      <c r="C1318" s="3"/>
      <c r="D1318" s="3"/>
      <c r="E1318" s="3"/>
      <c r="F1318" s="2">
        <f>IFERROR(__xludf.DUMMYFUNCTION("""COMPUTED_VALUE"""),48.63)</f>
        <v>48.63</v>
      </c>
      <c r="G1318" s="2">
        <f t="shared" si="2"/>
        <v>49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>
      <c r="B1319" s="3"/>
      <c r="C1319" s="3"/>
      <c r="D1319" s="3"/>
      <c r="E1319" s="3"/>
      <c r="F1319" s="2">
        <f>IFERROR(__xludf.DUMMYFUNCTION("""COMPUTED_VALUE"""),12.75)</f>
        <v>12.75</v>
      </c>
      <c r="G1319" s="2">
        <f t="shared" si="2"/>
        <v>13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>
      <c r="B1320" s="3"/>
      <c r="C1320" s="3"/>
      <c r="D1320" s="3"/>
      <c r="E1320" s="3"/>
      <c r="F1320" s="2">
        <f>IFERROR(__xludf.DUMMYFUNCTION("""COMPUTED_VALUE"""),10.95)</f>
        <v>10.95</v>
      </c>
      <c r="G1320" s="2">
        <f t="shared" si="2"/>
        <v>11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>
      <c r="B1321" s="3"/>
      <c r="C1321" s="3"/>
      <c r="D1321" s="3"/>
      <c r="E1321" s="3"/>
      <c r="F1321" s="2">
        <f>IFERROR(__xludf.DUMMYFUNCTION("""COMPUTED_VALUE"""),28.349999999999998)</f>
        <v>28.35</v>
      </c>
      <c r="G1321" s="2">
        <f t="shared" si="2"/>
        <v>28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>
      <c r="B1322" s="3"/>
      <c r="C1322" s="3"/>
      <c r="D1322" s="3"/>
      <c r="E1322" s="3"/>
      <c r="F1322" s="2">
        <f>IFERROR(__xludf.DUMMYFUNCTION("""COMPUTED_VALUE"""),34.62)</f>
        <v>34.62</v>
      </c>
      <c r="G1322" s="2">
        <f t="shared" si="2"/>
        <v>35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>
      <c r="B1323" s="3"/>
      <c r="C1323" s="3"/>
      <c r="D1323" s="3"/>
      <c r="E1323" s="3"/>
      <c r="F1323" s="2">
        <f>IFERROR(__xludf.DUMMYFUNCTION("""COMPUTED_VALUE"""),18.63)</f>
        <v>18.63</v>
      </c>
      <c r="G1323" s="2">
        <f t="shared" si="2"/>
        <v>19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>
      <c r="B1324" s="3"/>
      <c r="C1324" s="3"/>
      <c r="D1324" s="3"/>
      <c r="E1324" s="3"/>
      <c r="F1324" s="2">
        <f>IFERROR(__xludf.DUMMYFUNCTION("""COMPUTED_VALUE"""),34.62)</f>
        <v>34.62</v>
      </c>
      <c r="G1324" s="2">
        <f t="shared" si="2"/>
        <v>35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>
      <c r="B1325" s="3"/>
      <c r="C1325" s="3"/>
      <c r="D1325" s="3"/>
      <c r="E1325" s="3"/>
      <c r="F1325" s="2">
        <f>IFERROR(__xludf.DUMMYFUNCTION("""COMPUTED_VALUE"""),40.62)</f>
        <v>40.62</v>
      </c>
      <c r="G1325" s="2">
        <f t="shared" si="2"/>
        <v>41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>
      <c r="B1326" s="3"/>
      <c r="C1326" s="3"/>
      <c r="D1326" s="3"/>
      <c r="E1326" s="3"/>
      <c r="F1326" s="2">
        <f>IFERROR(__xludf.DUMMYFUNCTION("""COMPUTED_VALUE"""),16.950000000000003)</f>
        <v>16.95</v>
      </c>
      <c r="G1326" s="2">
        <f t="shared" si="2"/>
        <v>17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>
      <c r="B1327" s="3"/>
      <c r="C1327" s="3"/>
      <c r="D1327" s="3"/>
      <c r="E1327" s="3"/>
      <c r="F1327" s="2">
        <f>IFERROR(__xludf.DUMMYFUNCTION("""COMPUTED_VALUE"""),15.72)</f>
        <v>15.72</v>
      </c>
      <c r="G1327" s="2">
        <f t="shared" si="2"/>
        <v>16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>
      <c r="B1328" s="3"/>
      <c r="C1328" s="3"/>
      <c r="D1328" s="3"/>
      <c r="E1328" s="3"/>
      <c r="F1328" s="2">
        <f>IFERROR(__xludf.DUMMYFUNCTION("""COMPUTED_VALUE"""),37.08)</f>
        <v>37.08</v>
      </c>
      <c r="G1328" s="2">
        <f t="shared" si="2"/>
        <v>37</v>
      </c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>
      <c r="B1329" s="3"/>
      <c r="C1329" s="3"/>
      <c r="D1329" s="3"/>
      <c r="E1329" s="3"/>
      <c r="F1329" s="2">
        <f>IFERROR(__xludf.DUMMYFUNCTION("""COMPUTED_VALUE"""),28.619999999999997)</f>
        <v>28.62</v>
      </c>
      <c r="G1329" s="2">
        <f t="shared" si="2"/>
        <v>29</v>
      </c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>
      <c r="B1330" s="3"/>
      <c r="C1330" s="3"/>
      <c r="D1330" s="3"/>
      <c r="E1330" s="3"/>
      <c r="F1330" s="2">
        <f>IFERROR(__xludf.DUMMYFUNCTION("""COMPUTED_VALUE"""),12.75)</f>
        <v>12.75</v>
      </c>
      <c r="G1330" s="2">
        <f t="shared" si="2"/>
        <v>13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>
      <c r="B1331" s="3"/>
      <c r="C1331" s="3"/>
      <c r="D1331" s="3"/>
      <c r="E1331" s="3"/>
      <c r="F1331" s="2">
        <f>IFERROR(__xludf.DUMMYFUNCTION("""COMPUTED_VALUE"""),16.35)</f>
        <v>16.35</v>
      </c>
      <c r="G1331" s="2">
        <f t="shared" si="2"/>
        <v>16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>
      <c r="B1332" s="3"/>
      <c r="C1332" s="3"/>
      <c r="D1332" s="3"/>
      <c r="E1332" s="3"/>
      <c r="F1332" s="2">
        <f>IFERROR(__xludf.DUMMYFUNCTION("""COMPUTED_VALUE"""),21.75)</f>
        <v>21.75</v>
      </c>
      <c r="G1332" s="2">
        <f t="shared" si="2"/>
        <v>22</v>
      </c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>
      <c r="B1333" s="3"/>
      <c r="C1333" s="3"/>
      <c r="D1333" s="3"/>
      <c r="E1333" s="3"/>
      <c r="F1333" s="2">
        <f>IFERROR(__xludf.DUMMYFUNCTION("""COMPUTED_VALUE"""),34.62)</f>
        <v>34.62</v>
      </c>
      <c r="G1333" s="2">
        <f t="shared" si="2"/>
        <v>35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>
      <c r="B1334" s="3"/>
      <c r="C1334" s="3"/>
      <c r="D1334" s="3"/>
      <c r="E1334" s="3"/>
      <c r="F1334" s="2">
        <f>IFERROR(__xludf.DUMMYFUNCTION("""COMPUTED_VALUE"""),34.62)</f>
        <v>34.62</v>
      </c>
      <c r="G1334" s="2">
        <f t="shared" si="2"/>
        <v>35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>
      <c r="B1335" s="3"/>
      <c r="C1335" s="3"/>
      <c r="D1335" s="3"/>
      <c r="E1335" s="3"/>
      <c r="F1335" s="2">
        <f>IFERROR(__xludf.DUMMYFUNCTION("""COMPUTED_VALUE"""),12.75)</f>
        <v>12.75</v>
      </c>
      <c r="G1335" s="2">
        <f t="shared" si="2"/>
        <v>13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>
      <c r="B1336" s="3"/>
      <c r="C1336" s="3"/>
      <c r="D1336" s="3"/>
      <c r="E1336" s="3"/>
      <c r="F1336" s="2">
        <f>IFERROR(__xludf.DUMMYFUNCTION("""COMPUTED_VALUE"""),37.08)</f>
        <v>37.08</v>
      </c>
      <c r="G1336" s="2">
        <f t="shared" si="2"/>
        <v>37</v>
      </c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>
      <c r="B1337" s="3"/>
      <c r="C1337" s="3"/>
      <c r="D1337" s="3"/>
      <c r="E1337" s="3"/>
      <c r="F1337" s="2">
        <f>IFERROR(__xludf.DUMMYFUNCTION("""COMPUTED_VALUE"""),18.75)</f>
        <v>18.75</v>
      </c>
      <c r="G1337" s="2">
        <f t="shared" si="2"/>
        <v>19</v>
      </c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>
      <c r="B1338" s="3"/>
      <c r="C1338" s="3"/>
      <c r="D1338" s="3"/>
      <c r="E1338" s="3"/>
      <c r="F1338" s="2">
        <f>IFERROR(__xludf.DUMMYFUNCTION("""COMPUTED_VALUE"""),12.629999999999999)</f>
        <v>12.63</v>
      </c>
      <c r="G1338" s="2">
        <f t="shared" si="2"/>
        <v>13</v>
      </c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>
      <c r="B1339" s="3"/>
      <c r="C1339" s="3"/>
      <c r="D1339" s="3"/>
      <c r="E1339" s="3"/>
      <c r="F1339" s="2">
        <f>IFERROR(__xludf.DUMMYFUNCTION("""COMPUTED_VALUE"""),16.950000000000003)</f>
        <v>16.95</v>
      </c>
      <c r="G1339" s="2">
        <f t="shared" si="2"/>
        <v>17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>
      <c r="B1340" s="3"/>
      <c r="C1340" s="3"/>
      <c r="D1340" s="3"/>
      <c r="E1340" s="3"/>
      <c r="F1340" s="2">
        <f>IFERROR(__xludf.DUMMYFUNCTION("""COMPUTED_VALUE"""),9.75)</f>
        <v>9.75</v>
      </c>
      <c r="G1340" s="2">
        <f t="shared" si="2"/>
        <v>10</v>
      </c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>
      <c r="B1341" s="3"/>
      <c r="C1341" s="3"/>
      <c r="D1341" s="3"/>
      <c r="E1341" s="3"/>
      <c r="F1341" s="2">
        <f>IFERROR(__xludf.DUMMYFUNCTION("""COMPUTED_VALUE"""),85.67999999999999)</f>
        <v>85.68</v>
      </c>
      <c r="G1341" s="2">
        <f t="shared" si="2"/>
        <v>86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>
      <c r="B1342" s="3"/>
      <c r="C1342" s="3"/>
      <c r="D1342" s="3"/>
      <c r="E1342" s="3"/>
      <c r="F1342" s="2">
        <f>IFERROR(__xludf.DUMMYFUNCTION("""COMPUTED_VALUE"""),15.629999999999999)</f>
        <v>15.63</v>
      </c>
      <c r="G1342" s="2">
        <f t="shared" si="2"/>
        <v>16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>
      <c r="B1343" s="3"/>
      <c r="C1343" s="3"/>
      <c r="D1343" s="3"/>
      <c r="E1343" s="3"/>
      <c r="F1343" s="2">
        <f>IFERROR(__xludf.DUMMYFUNCTION("""COMPUTED_VALUE"""),33.75)</f>
        <v>33.75</v>
      </c>
      <c r="G1343" s="2">
        <f t="shared" si="2"/>
        <v>34</v>
      </c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>
      <c r="B1344" s="3"/>
      <c r="C1344" s="3"/>
      <c r="D1344" s="3"/>
      <c r="E1344" s="3"/>
      <c r="F1344" s="2">
        <f>IFERROR(__xludf.DUMMYFUNCTION("""COMPUTED_VALUE"""),33.69)</f>
        <v>33.69</v>
      </c>
      <c r="G1344" s="2">
        <f t="shared" si="2"/>
        <v>34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>
      <c r="B1345" s="3"/>
      <c r="C1345" s="3"/>
      <c r="D1345" s="3"/>
      <c r="E1345" s="3"/>
      <c r="F1345" s="2">
        <f>IFERROR(__xludf.DUMMYFUNCTION("""COMPUTED_VALUE"""),24.69)</f>
        <v>24.69</v>
      </c>
      <c r="G1345" s="2">
        <f t="shared" si="2"/>
        <v>25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>
      <c r="B1346" s="3"/>
      <c r="C1346" s="3"/>
      <c r="D1346" s="3"/>
      <c r="E1346" s="3"/>
      <c r="F1346" s="2">
        <f>IFERROR(__xludf.DUMMYFUNCTION("""COMPUTED_VALUE"""),46.349999999999994)</f>
        <v>46.35</v>
      </c>
      <c r="G1346" s="2">
        <f t="shared" si="2"/>
        <v>46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>
      <c r="B1347" s="3"/>
      <c r="C1347" s="3"/>
      <c r="D1347" s="3"/>
      <c r="E1347" s="3"/>
      <c r="F1347" s="2">
        <f>IFERROR(__xludf.DUMMYFUNCTION("""COMPUTED_VALUE"""),51.69)</f>
        <v>51.69</v>
      </c>
      <c r="G1347" s="2">
        <f t="shared" si="2"/>
        <v>52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>
      <c r="B1348" s="3"/>
      <c r="C1348" s="3"/>
      <c r="D1348" s="3"/>
      <c r="E1348" s="3"/>
      <c r="F1348" s="2">
        <f>IFERROR(__xludf.DUMMYFUNCTION("""COMPUTED_VALUE"""),9.75)</f>
        <v>9.75</v>
      </c>
      <c r="G1348" s="2">
        <f t="shared" si="2"/>
        <v>10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>
      <c r="B1349" s="3"/>
      <c r="C1349" s="3"/>
      <c r="D1349" s="3"/>
      <c r="E1349" s="3"/>
      <c r="F1349" s="2">
        <f>IFERROR(__xludf.DUMMYFUNCTION("""COMPUTED_VALUE"""),16.35)</f>
        <v>16.35</v>
      </c>
      <c r="G1349" s="2">
        <f t="shared" si="2"/>
        <v>16</v>
      </c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>
      <c r="B1350" s="3"/>
      <c r="C1350" s="3"/>
      <c r="D1350" s="3"/>
      <c r="E1350" s="3"/>
      <c r="F1350" s="2">
        <f>IFERROR(__xludf.DUMMYFUNCTION("""COMPUTED_VALUE"""),48.63)</f>
        <v>48.63</v>
      </c>
      <c r="G1350" s="2">
        <f t="shared" si="2"/>
        <v>49</v>
      </c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>
      <c r="B1351" s="3"/>
      <c r="C1351" s="3"/>
      <c r="D1351" s="3"/>
      <c r="E1351" s="3"/>
      <c r="F1351" s="2">
        <f>IFERROR(__xludf.DUMMYFUNCTION("""COMPUTED_VALUE"""),12.75)</f>
        <v>12.75</v>
      </c>
      <c r="G1351" s="2">
        <f t="shared" si="2"/>
        <v>13</v>
      </c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>
      <c r="B1352" s="3"/>
      <c r="C1352" s="3"/>
      <c r="D1352" s="3"/>
      <c r="E1352" s="3"/>
      <c r="F1352" s="2">
        <f>IFERROR(__xludf.DUMMYFUNCTION("""COMPUTED_VALUE"""),55.67999999999999)</f>
        <v>55.68</v>
      </c>
      <c r="G1352" s="2">
        <f t="shared" si="2"/>
        <v>56</v>
      </c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>
      <c r="B1353" s="3"/>
      <c r="C1353" s="3"/>
      <c r="D1353" s="3"/>
      <c r="E1353" s="3"/>
      <c r="F1353" s="2">
        <f>IFERROR(__xludf.DUMMYFUNCTION("""COMPUTED_VALUE"""),45.69)</f>
        <v>45.69</v>
      </c>
      <c r="G1353" s="2">
        <f t="shared" si="2"/>
        <v>46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>
      <c r="B1354" s="3"/>
      <c r="C1354" s="3"/>
      <c r="D1354" s="3"/>
      <c r="E1354" s="3"/>
      <c r="F1354" s="2">
        <f>IFERROR(__xludf.DUMMYFUNCTION("""COMPUTED_VALUE"""),15.72)</f>
        <v>15.72</v>
      </c>
      <c r="G1354" s="2">
        <f t="shared" si="2"/>
        <v>16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>
      <c r="B1355" s="3"/>
      <c r="C1355" s="3"/>
      <c r="D1355" s="3"/>
      <c r="E1355" s="3"/>
      <c r="F1355" s="2">
        <f>IFERROR(__xludf.DUMMYFUNCTION("""COMPUTED_VALUE"""),15.629999999999999)</f>
        <v>15.63</v>
      </c>
      <c r="G1355" s="2">
        <f t="shared" si="2"/>
        <v>16</v>
      </c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>
      <c r="B1356" s="3"/>
      <c r="C1356" s="3"/>
      <c r="D1356" s="3"/>
      <c r="E1356" s="3"/>
      <c r="F1356" s="2">
        <f>IFERROR(__xludf.DUMMYFUNCTION("""COMPUTED_VALUE"""),37.08)</f>
        <v>37.08</v>
      </c>
      <c r="G1356" s="2">
        <f t="shared" si="2"/>
        <v>37</v>
      </c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>
      <c r="B1357" s="3"/>
      <c r="C1357" s="3"/>
      <c r="D1357" s="3"/>
      <c r="E1357" s="3"/>
      <c r="F1357" s="2">
        <f>IFERROR(__xludf.DUMMYFUNCTION("""COMPUTED_VALUE"""),19.62)</f>
        <v>19.62</v>
      </c>
      <c r="G1357" s="2">
        <f t="shared" si="2"/>
        <v>20</v>
      </c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>
      <c r="B1358" s="3"/>
      <c r="C1358" s="3"/>
      <c r="D1358" s="3"/>
      <c r="E1358" s="3"/>
      <c r="F1358" s="2">
        <f>IFERROR(__xludf.DUMMYFUNCTION("""COMPUTED_VALUE"""),18.63)</f>
        <v>18.63</v>
      </c>
      <c r="G1358" s="2">
        <f t="shared" si="2"/>
        <v>19</v>
      </c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>
      <c r="B1359" s="3"/>
      <c r="C1359" s="3"/>
      <c r="D1359" s="3"/>
      <c r="E1359" s="3"/>
      <c r="F1359" s="2">
        <f>IFERROR(__xludf.DUMMYFUNCTION("""COMPUTED_VALUE"""),24.69)</f>
        <v>24.69</v>
      </c>
      <c r="G1359" s="2">
        <f t="shared" si="2"/>
        <v>25</v>
      </c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>
      <c r="B1360" s="3"/>
      <c r="C1360" s="3"/>
      <c r="D1360" s="3"/>
      <c r="E1360" s="3"/>
      <c r="F1360" s="2">
        <f>IFERROR(__xludf.DUMMYFUNCTION("""COMPUTED_VALUE"""),37.68)</f>
        <v>37.68</v>
      </c>
      <c r="G1360" s="2">
        <f t="shared" si="2"/>
        <v>38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>
      <c r="B1361" s="3"/>
      <c r="C1361" s="3"/>
      <c r="D1361" s="3"/>
      <c r="E1361" s="3"/>
      <c r="F1361" s="2">
        <f>IFERROR(__xludf.DUMMYFUNCTION("""COMPUTED_VALUE"""),9.75)</f>
        <v>9.75</v>
      </c>
      <c r="G1361" s="2">
        <f t="shared" si="2"/>
        <v>10</v>
      </c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>
      <c r="B1362" s="3"/>
      <c r="C1362" s="3"/>
      <c r="D1362" s="3"/>
      <c r="E1362" s="3"/>
      <c r="F1362" s="2">
        <f>IFERROR(__xludf.DUMMYFUNCTION("""COMPUTED_VALUE"""),16.35)</f>
        <v>16.35</v>
      </c>
      <c r="G1362" s="2">
        <f t="shared" si="2"/>
        <v>16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>
      <c r="B1363" s="3"/>
      <c r="C1363" s="3"/>
      <c r="D1363" s="3"/>
      <c r="E1363" s="3"/>
      <c r="F1363" s="2">
        <f>IFERROR(__xludf.DUMMYFUNCTION("""COMPUTED_VALUE"""),9.75)</f>
        <v>9.75</v>
      </c>
      <c r="G1363" s="2">
        <f t="shared" si="2"/>
        <v>10</v>
      </c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>
      <c r="B1364" s="3"/>
      <c r="C1364" s="3"/>
      <c r="D1364" s="3"/>
      <c r="E1364" s="3"/>
      <c r="F1364" s="2">
        <f>IFERROR(__xludf.DUMMYFUNCTION("""COMPUTED_VALUE"""),9.75)</f>
        <v>9.75</v>
      </c>
      <c r="G1364" s="2">
        <f t="shared" si="2"/>
        <v>10</v>
      </c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>
      <c r="B1365" s="3"/>
      <c r="C1365" s="3"/>
      <c r="D1365" s="3"/>
      <c r="E1365" s="3"/>
      <c r="F1365" s="2">
        <f>IFERROR(__xludf.DUMMYFUNCTION("""COMPUTED_VALUE"""),9.75)</f>
        <v>9.75</v>
      </c>
      <c r="G1365" s="2">
        <f t="shared" si="2"/>
        <v>10</v>
      </c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>
      <c r="B1366" s="3"/>
      <c r="C1366" s="3"/>
      <c r="D1366" s="3"/>
      <c r="E1366" s="3"/>
      <c r="F1366" s="2">
        <f>IFERROR(__xludf.DUMMYFUNCTION("""COMPUTED_VALUE"""),28.619999999999997)</f>
        <v>28.62</v>
      </c>
      <c r="G1366" s="2">
        <f t="shared" si="2"/>
        <v>29</v>
      </c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>
      <c r="B1367" s="3"/>
      <c r="C1367" s="3"/>
      <c r="D1367" s="3"/>
      <c r="E1367" s="3"/>
      <c r="F1367" s="2">
        <f>IFERROR(__xludf.DUMMYFUNCTION("""COMPUTED_VALUE"""),16.35)</f>
        <v>16.35</v>
      </c>
      <c r="G1367" s="2">
        <f t="shared" si="2"/>
        <v>16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>
      <c r="B1368" s="3"/>
      <c r="C1368" s="3"/>
      <c r="D1368" s="3"/>
      <c r="E1368" s="3"/>
      <c r="F1368" s="2">
        <f>IFERROR(__xludf.DUMMYFUNCTION("""COMPUTED_VALUE"""),33.69)</f>
        <v>33.69</v>
      </c>
      <c r="G1368" s="2">
        <f t="shared" si="2"/>
        <v>34</v>
      </c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>
      <c r="B1369" s="3"/>
      <c r="C1369" s="3"/>
      <c r="D1369" s="3"/>
      <c r="E1369" s="3"/>
      <c r="F1369" s="2">
        <f>IFERROR(__xludf.DUMMYFUNCTION("""COMPUTED_VALUE"""),9.75)</f>
        <v>9.75</v>
      </c>
      <c r="G1369" s="2">
        <f t="shared" si="2"/>
        <v>10</v>
      </c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>
      <c r="B1370" s="3"/>
      <c r="C1370" s="3"/>
      <c r="D1370" s="3"/>
      <c r="E1370" s="3"/>
      <c r="F1370" s="2">
        <f>IFERROR(__xludf.DUMMYFUNCTION("""COMPUTED_VALUE"""),15.629999999999999)</f>
        <v>15.63</v>
      </c>
      <c r="G1370" s="2">
        <f t="shared" si="2"/>
        <v>16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>
      <c r="B1371" s="3"/>
      <c r="C1371" s="3"/>
      <c r="D1371" s="3"/>
      <c r="E1371" s="3"/>
      <c r="F1371" s="2">
        <f>IFERROR(__xludf.DUMMYFUNCTION("""COMPUTED_VALUE"""),48.63)</f>
        <v>48.63</v>
      </c>
      <c r="G1371" s="2">
        <f t="shared" si="2"/>
        <v>49</v>
      </c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>
      <c r="B1372" s="3"/>
      <c r="C1372" s="3"/>
      <c r="D1372" s="3"/>
      <c r="E1372" s="3"/>
      <c r="F1372" s="2">
        <f>IFERROR(__xludf.DUMMYFUNCTION("""COMPUTED_VALUE"""),28.619999999999997)</f>
        <v>28.62</v>
      </c>
      <c r="G1372" s="2">
        <f t="shared" si="2"/>
        <v>29</v>
      </c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>
      <c r="B1373" s="3"/>
      <c r="C1373" s="3"/>
      <c r="D1373" s="3"/>
      <c r="E1373" s="3"/>
      <c r="F1373" s="2">
        <f>IFERROR(__xludf.DUMMYFUNCTION("""COMPUTED_VALUE"""),16.950000000000003)</f>
        <v>16.95</v>
      </c>
      <c r="G1373" s="2">
        <f t="shared" si="2"/>
        <v>17</v>
      </c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>
      <c r="B1374" s="3"/>
      <c r="C1374" s="3"/>
      <c r="D1374" s="3"/>
      <c r="E1374" s="3"/>
      <c r="F1374" s="2">
        <f>IFERROR(__xludf.DUMMYFUNCTION("""COMPUTED_VALUE"""),42.75)</f>
        <v>42.75</v>
      </c>
      <c r="G1374" s="2">
        <f t="shared" si="2"/>
        <v>43</v>
      </c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>
      <c r="B1375" s="3"/>
      <c r="C1375" s="3"/>
      <c r="D1375" s="3"/>
      <c r="E1375" s="3"/>
      <c r="F1375" s="2">
        <f>IFERROR(__xludf.DUMMYFUNCTION("""COMPUTED_VALUE"""),15.629999999999999)</f>
        <v>15.63</v>
      </c>
      <c r="G1375" s="2">
        <f t="shared" si="2"/>
        <v>16</v>
      </c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>
      <c r="B1376" s="3"/>
      <c r="C1376" s="3"/>
      <c r="D1376" s="3"/>
      <c r="E1376" s="3"/>
      <c r="F1376" s="2">
        <f>IFERROR(__xludf.DUMMYFUNCTION("""COMPUTED_VALUE"""),16.35)</f>
        <v>16.35</v>
      </c>
      <c r="G1376" s="2">
        <f t="shared" si="2"/>
        <v>16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>
      <c r="B1377" s="3"/>
      <c r="C1377" s="3"/>
      <c r="D1377" s="3"/>
      <c r="E1377" s="3"/>
      <c r="F1377" s="2">
        <f>IFERROR(__xludf.DUMMYFUNCTION("""COMPUTED_VALUE"""),10.95)</f>
        <v>10.95</v>
      </c>
      <c r="G1377" s="2">
        <f t="shared" si="2"/>
        <v>11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>
      <c r="B1378" s="3"/>
      <c r="C1378" s="3"/>
      <c r="D1378" s="3"/>
      <c r="E1378" s="3"/>
      <c r="F1378" s="2">
        <f>IFERROR(__xludf.DUMMYFUNCTION("""COMPUTED_VALUE"""),18.75)</f>
        <v>18.75</v>
      </c>
      <c r="G1378" s="2">
        <f t="shared" si="2"/>
        <v>19</v>
      </c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>
      <c r="B1379" s="3"/>
      <c r="C1379" s="3"/>
      <c r="D1379" s="3"/>
      <c r="E1379" s="3"/>
      <c r="F1379" s="2">
        <f>IFERROR(__xludf.DUMMYFUNCTION("""COMPUTED_VALUE"""),10.95)</f>
        <v>10.95</v>
      </c>
      <c r="G1379" s="2">
        <f t="shared" si="2"/>
        <v>11</v>
      </c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>
      <c r="B1380" s="3"/>
      <c r="C1380" s="3"/>
      <c r="D1380" s="3"/>
      <c r="E1380" s="3"/>
      <c r="F1380" s="2">
        <f>IFERROR(__xludf.DUMMYFUNCTION("""COMPUTED_VALUE"""),51.69)</f>
        <v>51.69</v>
      </c>
      <c r="G1380" s="2">
        <f t="shared" si="2"/>
        <v>52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>
      <c r="B1381" s="3"/>
      <c r="C1381" s="3"/>
      <c r="D1381" s="3"/>
      <c r="E1381" s="3"/>
      <c r="F1381" s="2">
        <f>IFERROR(__xludf.DUMMYFUNCTION("""COMPUTED_VALUE"""),15.72)</f>
        <v>15.72</v>
      </c>
      <c r="G1381" s="2">
        <f t="shared" si="2"/>
        <v>16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>
      <c r="B1382" s="3"/>
      <c r="C1382" s="3"/>
      <c r="D1382" s="3"/>
      <c r="E1382" s="3"/>
      <c r="F1382" s="2">
        <f>IFERROR(__xludf.DUMMYFUNCTION("""COMPUTED_VALUE"""),51.69)</f>
        <v>51.69</v>
      </c>
      <c r="G1382" s="2">
        <f t="shared" si="2"/>
        <v>52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>
      <c r="B1383" s="3"/>
      <c r="C1383" s="3"/>
      <c r="D1383" s="3"/>
      <c r="E1383" s="3"/>
      <c r="F1383" s="2">
        <f>IFERROR(__xludf.DUMMYFUNCTION("""COMPUTED_VALUE"""),16.35)</f>
        <v>16.35</v>
      </c>
      <c r="G1383" s="2">
        <f t="shared" si="2"/>
        <v>16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>
      <c r="B1384" s="3"/>
      <c r="C1384" s="3"/>
      <c r="D1384" s="3"/>
      <c r="E1384" s="3"/>
      <c r="F1384" s="2">
        <f>IFERROR(__xludf.DUMMYFUNCTION("""COMPUTED_VALUE"""),36.72)</f>
        <v>36.72</v>
      </c>
      <c r="G1384" s="2">
        <f t="shared" si="2"/>
        <v>37</v>
      </c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>
      <c r="B1385" s="3"/>
      <c r="C1385" s="3"/>
      <c r="D1385" s="3"/>
      <c r="E1385" s="3"/>
      <c r="F1385" s="2">
        <f>IFERROR(__xludf.DUMMYFUNCTION("""COMPUTED_VALUE"""),85.67999999999999)</f>
        <v>85.68</v>
      </c>
      <c r="G1385" s="2">
        <f t="shared" si="2"/>
        <v>86</v>
      </c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>
      <c r="B1386" s="3"/>
      <c r="C1386" s="3"/>
      <c r="D1386" s="3"/>
      <c r="E1386" s="3"/>
      <c r="F1386" s="2">
        <f>IFERROR(__xludf.DUMMYFUNCTION("""COMPUTED_VALUE"""),85.67999999999999)</f>
        <v>85.68</v>
      </c>
      <c r="G1386" s="2">
        <f t="shared" si="2"/>
        <v>86</v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>
      <c r="B1387" s="3"/>
      <c r="C1387" s="3"/>
      <c r="D1387" s="3"/>
      <c r="E1387" s="3"/>
      <c r="F1387" s="2">
        <f>IFERROR(__xludf.DUMMYFUNCTION("""COMPUTED_VALUE"""),33.75)</f>
        <v>33.75</v>
      </c>
      <c r="G1387" s="2">
        <f t="shared" si="2"/>
        <v>34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>
      <c r="B1388" s="3"/>
      <c r="C1388" s="3"/>
      <c r="D1388" s="3"/>
      <c r="E1388" s="3"/>
      <c r="F1388" s="2">
        <f>IFERROR(__xludf.DUMMYFUNCTION("""COMPUTED_VALUE"""),40.62)</f>
        <v>40.62</v>
      </c>
      <c r="G1388" s="2">
        <f t="shared" si="2"/>
        <v>41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>
      <c r="B1389" s="3"/>
      <c r="C1389" s="3"/>
      <c r="D1389" s="3"/>
      <c r="E1389" s="3"/>
      <c r="F1389" s="2">
        <f>IFERROR(__xludf.DUMMYFUNCTION("""COMPUTED_VALUE"""),19.62)</f>
        <v>19.62</v>
      </c>
      <c r="G1389" s="2">
        <f t="shared" si="2"/>
        <v>20</v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>
      <c r="B1390" s="3"/>
      <c r="C1390" s="3"/>
      <c r="D1390" s="3"/>
      <c r="E1390" s="3"/>
      <c r="F1390" s="2">
        <f>IFERROR(__xludf.DUMMYFUNCTION("""COMPUTED_VALUE"""),18.63)</f>
        <v>18.63</v>
      </c>
      <c r="G1390" s="2">
        <f t="shared" si="2"/>
        <v>19</v>
      </c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>
      <c r="B1391" s="3"/>
      <c r="C1391" s="3"/>
      <c r="D1391" s="3"/>
      <c r="E1391" s="3"/>
      <c r="F1391" s="2">
        <f>IFERROR(__xludf.DUMMYFUNCTION("""COMPUTED_VALUE"""),18.75)</f>
        <v>18.75</v>
      </c>
      <c r="G1391" s="2">
        <f t="shared" si="2"/>
        <v>19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>
      <c r="B1392" s="3"/>
      <c r="C1392" s="3"/>
      <c r="D1392" s="3"/>
      <c r="E1392" s="3"/>
      <c r="F1392" s="2">
        <f>IFERROR(__xludf.DUMMYFUNCTION("""COMPUTED_VALUE"""),45.69)</f>
        <v>45.69</v>
      </c>
      <c r="G1392" s="2">
        <f t="shared" si="2"/>
        <v>46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>
      <c r="B1393" s="3"/>
      <c r="C1393" s="3"/>
      <c r="D1393" s="3"/>
      <c r="E1393" s="3"/>
      <c r="F1393" s="2">
        <f>IFERROR(__xludf.DUMMYFUNCTION("""COMPUTED_VALUE"""),25.619999999999997)</f>
        <v>25.62</v>
      </c>
      <c r="G1393" s="2">
        <f t="shared" si="2"/>
        <v>26</v>
      </c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>
      <c r="B1394" s="3"/>
      <c r="C1394" s="3"/>
      <c r="D1394" s="3"/>
      <c r="E1394" s="3"/>
      <c r="F1394" s="2">
        <f>IFERROR(__xludf.DUMMYFUNCTION("""COMPUTED_VALUE"""),18.63)</f>
        <v>18.63</v>
      </c>
      <c r="G1394" s="2">
        <f t="shared" si="2"/>
        <v>19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>
      <c r="B1395" s="3"/>
      <c r="C1395" s="3"/>
      <c r="D1395" s="3"/>
      <c r="E1395" s="3"/>
      <c r="F1395" s="2">
        <f>IFERROR(__xludf.DUMMYFUNCTION("""COMPUTED_VALUE"""),10.95)</f>
        <v>10.95</v>
      </c>
      <c r="G1395" s="2">
        <f t="shared" si="2"/>
        <v>11</v>
      </c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>
      <c r="B1396" s="3"/>
      <c r="C1396" s="3"/>
      <c r="D1396" s="3"/>
      <c r="E1396" s="3"/>
      <c r="F1396" s="2">
        <f>IFERROR(__xludf.DUMMYFUNCTION("""COMPUTED_VALUE"""),45.69)</f>
        <v>45.69</v>
      </c>
      <c r="G1396" s="2">
        <f t="shared" si="2"/>
        <v>46</v>
      </c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>
      <c r="B1397" s="3"/>
      <c r="C1397" s="3"/>
      <c r="D1397" s="3"/>
      <c r="E1397" s="3"/>
      <c r="F1397" s="2">
        <f>IFERROR(__xludf.DUMMYFUNCTION("""COMPUTED_VALUE"""),28.619999999999997)</f>
        <v>28.62</v>
      </c>
      <c r="G1397" s="2">
        <f t="shared" si="2"/>
        <v>29</v>
      </c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>
      <c r="B1398" s="3"/>
      <c r="C1398" s="3"/>
      <c r="D1398" s="3"/>
      <c r="E1398" s="3"/>
      <c r="F1398" s="2">
        <f>IFERROR(__xludf.DUMMYFUNCTION("""COMPUTED_VALUE"""),37.68)</f>
        <v>37.68</v>
      </c>
      <c r="G1398" s="2">
        <f t="shared" si="2"/>
        <v>38</v>
      </c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>
      <c r="B1399" s="3"/>
      <c r="C1399" s="3"/>
      <c r="D1399" s="3"/>
      <c r="E1399" s="3"/>
      <c r="F1399" s="2">
        <f>IFERROR(__xludf.DUMMYFUNCTION("""COMPUTED_VALUE"""),33.69)</f>
        <v>33.69</v>
      </c>
      <c r="G1399" s="2">
        <f t="shared" si="2"/>
        <v>34</v>
      </c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>
      <c r="B1400" s="3"/>
      <c r="C1400" s="3"/>
      <c r="D1400" s="3"/>
      <c r="E1400" s="3"/>
      <c r="F1400" s="2">
        <f>IFERROR(__xludf.DUMMYFUNCTION("""COMPUTED_VALUE"""),12.629999999999999)</f>
        <v>12.63</v>
      </c>
      <c r="G1400" s="2">
        <f t="shared" si="2"/>
        <v>13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>
      <c r="B1401" s="3"/>
      <c r="C1401" s="3"/>
      <c r="D1401" s="3"/>
      <c r="E1401" s="3"/>
      <c r="F1401" s="2">
        <f>IFERROR(__xludf.DUMMYFUNCTION("""COMPUTED_VALUE"""),55.67999999999999)</f>
        <v>55.68</v>
      </c>
      <c r="G1401" s="2">
        <f t="shared" si="2"/>
        <v>56</v>
      </c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>
      <c r="B1402" s="3"/>
      <c r="C1402" s="3"/>
      <c r="D1402" s="3"/>
      <c r="E1402" s="3"/>
      <c r="F1402" s="2">
        <f>IFERROR(__xludf.DUMMYFUNCTION("""COMPUTED_VALUE"""),25.619999999999997)</f>
        <v>25.62</v>
      </c>
      <c r="G1402" s="2">
        <f t="shared" si="2"/>
        <v>26</v>
      </c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>
      <c r="B1403" s="3"/>
      <c r="C1403" s="3"/>
      <c r="D1403" s="3"/>
      <c r="E1403" s="3"/>
      <c r="F1403" s="2">
        <f>IFERROR(__xludf.DUMMYFUNCTION("""COMPUTED_VALUE"""),18.75)</f>
        <v>18.75</v>
      </c>
      <c r="G1403" s="2">
        <f t="shared" si="2"/>
        <v>19</v>
      </c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>
      <c r="B1404" s="3"/>
      <c r="C1404" s="3"/>
      <c r="D1404" s="3"/>
      <c r="E1404" s="3"/>
      <c r="F1404" s="2">
        <f>IFERROR(__xludf.DUMMYFUNCTION("""COMPUTED_VALUE"""),18.63)</f>
        <v>18.63</v>
      </c>
      <c r="G1404" s="2">
        <f t="shared" si="2"/>
        <v>19</v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>
      <c r="B1405" s="3"/>
      <c r="C1405" s="3"/>
      <c r="D1405" s="3"/>
      <c r="E1405" s="3"/>
      <c r="F1405" s="2">
        <f>IFERROR(__xludf.DUMMYFUNCTION("""COMPUTED_VALUE"""),16.950000000000003)</f>
        <v>16.95</v>
      </c>
      <c r="G1405" s="2">
        <f t="shared" si="2"/>
        <v>17</v>
      </c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>
      <c r="B1406" s="3"/>
      <c r="C1406" s="3"/>
      <c r="D1406" s="3"/>
      <c r="E1406" s="3"/>
      <c r="F1406" s="2">
        <f>IFERROR(__xludf.DUMMYFUNCTION("""COMPUTED_VALUE"""),12.629999999999999)</f>
        <v>12.63</v>
      </c>
      <c r="G1406" s="2">
        <f t="shared" si="2"/>
        <v>13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>
      <c r="B1407" s="3"/>
      <c r="C1407" s="3"/>
      <c r="D1407" s="3"/>
      <c r="E1407" s="3"/>
      <c r="F1407" s="2">
        <f>IFERROR(__xludf.DUMMYFUNCTION("""COMPUTED_VALUE"""),48.63)</f>
        <v>48.63</v>
      </c>
      <c r="G1407" s="2">
        <f t="shared" si="2"/>
        <v>49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>
      <c r="B1408" s="3"/>
      <c r="C1408" s="3"/>
      <c r="D1408" s="3"/>
      <c r="E1408" s="3"/>
      <c r="F1408" s="2">
        <f>IFERROR(__xludf.DUMMYFUNCTION("""COMPUTED_VALUE"""),19.62)</f>
        <v>19.62</v>
      </c>
      <c r="G1408" s="2">
        <f t="shared" si="2"/>
        <v>20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>
      <c r="B1409" s="3"/>
      <c r="C1409" s="3"/>
      <c r="D1409" s="3"/>
      <c r="E1409" s="3"/>
      <c r="F1409" s="2">
        <f>IFERROR(__xludf.DUMMYFUNCTION("""COMPUTED_VALUE"""),25.619999999999997)</f>
        <v>25.62</v>
      </c>
      <c r="G1409" s="2">
        <f t="shared" si="2"/>
        <v>26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>
      <c r="B1410" s="3"/>
      <c r="C1410" s="3"/>
      <c r="D1410" s="3"/>
      <c r="E1410" s="3"/>
      <c r="F1410" s="2">
        <f>IFERROR(__xludf.DUMMYFUNCTION("""COMPUTED_VALUE"""),85.67999999999999)</f>
        <v>85.68</v>
      </c>
      <c r="G1410" s="2">
        <f t="shared" si="2"/>
        <v>86</v>
      </c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>
      <c r="B1411" s="3"/>
      <c r="C1411" s="3"/>
      <c r="D1411" s="3"/>
      <c r="E1411" s="3"/>
      <c r="F1411" s="2">
        <f>IFERROR(__xludf.DUMMYFUNCTION("""COMPUTED_VALUE"""),28.349999999999998)</f>
        <v>28.35</v>
      </c>
      <c r="G1411" s="2">
        <f t="shared" si="2"/>
        <v>28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>
      <c r="B1412" s="3"/>
      <c r="C1412" s="3"/>
      <c r="D1412" s="3"/>
      <c r="E1412" s="3"/>
      <c r="F1412" s="2">
        <f>IFERROR(__xludf.DUMMYFUNCTION("""COMPUTED_VALUE"""),46.349999999999994)</f>
        <v>46.35</v>
      </c>
      <c r="G1412" s="2">
        <f t="shared" si="2"/>
        <v>46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>
      <c r="B1413" s="3"/>
      <c r="C1413" s="3"/>
      <c r="D1413" s="3"/>
      <c r="E1413" s="3"/>
      <c r="F1413" s="2">
        <f>IFERROR(__xludf.DUMMYFUNCTION("""COMPUTED_VALUE"""),37.08)</f>
        <v>37.08</v>
      </c>
      <c r="G1413" s="2">
        <f t="shared" si="2"/>
        <v>37</v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>
      <c r="B1414" s="3"/>
      <c r="C1414" s="3"/>
      <c r="D1414" s="3"/>
      <c r="E1414" s="3"/>
      <c r="F1414" s="2">
        <f>IFERROR(__xludf.DUMMYFUNCTION("""COMPUTED_VALUE"""),18.63)</f>
        <v>18.63</v>
      </c>
      <c r="G1414" s="2">
        <f t="shared" si="2"/>
        <v>19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>
      <c r="B1415" s="3"/>
      <c r="C1415" s="3"/>
      <c r="D1415" s="3"/>
      <c r="E1415" s="3"/>
      <c r="F1415" s="2">
        <f>IFERROR(__xludf.DUMMYFUNCTION("""COMPUTED_VALUE"""),12.75)</f>
        <v>12.75</v>
      </c>
      <c r="G1415" s="2">
        <f t="shared" si="2"/>
        <v>13</v>
      </c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>
      <c r="B1416" s="3"/>
      <c r="C1416" s="3"/>
      <c r="D1416" s="3"/>
      <c r="E1416" s="3"/>
      <c r="F1416" s="2">
        <f>IFERROR(__xludf.DUMMYFUNCTION("""COMPUTED_VALUE"""),18.75)</f>
        <v>18.75</v>
      </c>
      <c r="G1416" s="2">
        <f t="shared" si="2"/>
        <v>19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>
      <c r="B1417" s="3"/>
      <c r="C1417" s="3"/>
      <c r="D1417" s="3"/>
      <c r="E1417" s="3"/>
      <c r="F1417" s="2">
        <f>IFERROR(__xludf.DUMMYFUNCTION("""COMPUTED_VALUE"""),15.72)</f>
        <v>15.72</v>
      </c>
      <c r="G1417" s="2">
        <f t="shared" si="2"/>
        <v>16</v>
      </c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>
      <c r="B1418" s="3"/>
      <c r="C1418" s="3"/>
      <c r="D1418" s="3"/>
      <c r="E1418" s="3"/>
      <c r="F1418" s="2">
        <f>IFERROR(__xludf.DUMMYFUNCTION("""COMPUTED_VALUE"""),28.349999999999998)</f>
        <v>28.35</v>
      </c>
      <c r="G1418" s="2">
        <f t="shared" si="2"/>
        <v>28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>
      <c r="B1419" s="3"/>
      <c r="C1419" s="3"/>
      <c r="D1419" s="3"/>
      <c r="E1419" s="3"/>
      <c r="F1419" s="2">
        <f>IFERROR(__xludf.DUMMYFUNCTION("""COMPUTED_VALUE"""),19.62)</f>
        <v>19.62</v>
      </c>
      <c r="G1419" s="2">
        <f t="shared" si="2"/>
        <v>20</v>
      </c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>
      <c r="B1420" s="3"/>
      <c r="C1420" s="3"/>
      <c r="D1420" s="3"/>
      <c r="E1420" s="3"/>
      <c r="F1420" s="2">
        <f>IFERROR(__xludf.DUMMYFUNCTION("""COMPUTED_VALUE"""),85.67999999999999)</f>
        <v>85.68</v>
      </c>
      <c r="G1420" s="2">
        <f t="shared" si="2"/>
        <v>86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>
      <c r="B1421" s="3"/>
      <c r="C1421" s="3"/>
      <c r="D1421" s="3"/>
      <c r="E1421" s="3"/>
      <c r="F1421" s="2">
        <f>IFERROR(__xludf.DUMMYFUNCTION("""COMPUTED_VALUE"""),19.62)</f>
        <v>19.62</v>
      </c>
      <c r="G1421" s="2">
        <f t="shared" si="2"/>
        <v>20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>
      <c r="B1422" s="3"/>
      <c r="C1422" s="3"/>
      <c r="D1422" s="3"/>
      <c r="E1422" s="3"/>
      <c r="F1422" s="2">
        <f>IFERROR(__xludf.DUMMYFUNCTION("""COMPUTED_VALUE"""),16.35)</f>
        <v>16.35</v>
      </c>
      <c r="G1422" s="2">
        <f t="shared" si="2"/>
        <v>16</v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>
      <c r="B1423" s="3"/>
      <c r="C1423" s="3"/>
      <c r="D1423" s="3"/>
      <c r="E1423" s="3"/>
      <c r="F1423" s="2">
        <f>IFERROR(__xludf.DUMMYFUNCTION("""COMPUTED_VALUE"""),33.69)</f>
        <v>33.69</v>
      </c>
      <c r="G1423" s="2">
        <f t="shared" si="2"/>
        <v>34</v>
      </c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>
      <c r="B1424" s="3"/>
      <c r="C1424" s="3"/>
      <c r="D1424" s="3"/>
      <c r="E1424" s="3"/>
      <c r="F1424" s="2">
        <f>IFERROR(__xludf.DUMMYFUNCTION("""COMPUTED_VALUE"""),85.67999999999999)</f>
        <v>85.68</v>
      </c>
      <c r="G1424" s="2">
        <f t="shared" si="2"/>
        <v>86</v>
      </c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>
      <c r="B1425" s="3"/>
      <c r="C1425" s="3"/>
      <c r="D1425" s="3"/>
      <c r="E1425" s="3"/>
      <c r="F1425" s="2">
        <f>IFERROR(__xludf.DUMMYFUNCTION("""COMPUTED_VALUE"""),40.62)</f>
        <v>40.62</v>
      </c>
      <c r="G1425" s="2">
        <f t="shared" si="2"/>
        <v>41</v>
      </c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>
      <c r="B1426" s="3"/>
      <c r="C1426" s="3"/>
      <c r="D1426" s="3"/>
      <c r="E1426" s="3"/>
      <c r="F1426" s="2">
        <f>IFERROR(__xludf.DUMMYFUNCTION("""COMPUTED_VALUE"""),51.69)</f>
        <v>51.69</v>
      </c>
      <c r="G1426" s="2">
        <f t="shared" si="2"/>
        <v>52</v>
      </c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>
      <c r="B1427" s="3"/>
      <c r="C1427" s="3"/>
      <c r="D1427" s="3"/>
      <c r="E1427" s="3"/>
      <c r="F1427" s="2">
        <f>IFERROR(__xludf.DUMMYFUNCTION("""COMPUTED_VALUE"""),28.349999999999998)</f>
        <v>28.35</v>
      </c>
      <c r="G1427" s="2">
        <f t="shared" si="2"/>
        <v>28</v>
      </c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>
      <c r="B1428" s="3"/>
      <c r="C1428" s="3"/>
      <c r="D1428" s="3"/>
      <c r="E1428" s="3"/>
      <c r="F1428" s="2">
        <f>IFERROR(__xludf.DUMMYFUNCTION("""COMPUTED_VALUE"""),12.629999999999999)</f>
        <v>12.63</v>
      </c>
      <c r="G1428" s="2">
        <f t="shared" si="2"/>
        <v>13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>
      <c r="B1429" s="3"/>
      <c r="C1429" s="3"/>
      <c r="D1429" s="3"/>
      <c r="E1429" s="3"/>
      <c r="F1429" s="2">
        <f>IFERROR(__xludf.DUMMYFUNCTION("""COMPUTED_VALUE"""),36.72)</f>
        <v>36.72</v>
      </c>
      <c r="G1429" s="2">
        <f t="shared" si="2"/>
        <v>37</v>
      </c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>
      <c r="B1430" s="3"/>
      <c r="C1430" s="3"/>
      <c r="D1430" s="3"/>
      <c r="E1430" s="3"/>
      <c r="F1430" s="2">
        <f>IFERROR(__xludf.DUMMYFUNCTION("""COMPUTED_VALUE"""),18.63)</f>
        <v>18.63</v>
      </c>
      <c r="G1430" s="2">
        <f t="shared" si="2"/>
        <v>19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>
      <c r="B1431" s="3"/>
      <c r="C1431" s="3"/>
      <c r="D1431" s="3"/>
      <c r="E1431" s="3"/>
      <c r="F1431" s="2">
        <f>IFERROR(__xludf.DUMMYFUNCTION("""COMPUTED_VALUE"""),24.69)</f>
        <v>24.69</v>
      </c>
      <c r="G1431" s="2">
        <f t="shared" si="2"/>
        <v>25</v>
      </c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>
      <c r="B1432" s="3"/>
      <c r="C1432" s="3"/>
      <c r="D1432" s="3"/>
      <c r="E1432" s="3"/>
      <c r="F1432" s="2">
        <f>IFERROR(__xludf.DUMMYFUNCTION("""COMPUTED_VALUE"""),48.63)</f>
        <v>48.63</v>
      </c>
      <c r="G1432" s="2">
        <f t="shared" si="2"/>
        <v>49</v>
      </c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>
      <c r="B1433" s="3"/>
      <c r="C1433" s="3"/>
      <c r="D1433" s="3"/>
      <c r="E1433" s="3"/>
      <c r="F1433" s="2">
        <f>IFERROR(__xludf.DUMMYFUNCTION("""COMPUTED_VALUE"""),15.629999999999999)</f>
        <v>15.63</v>
      </c>
      <c r="G1433" s="2">
        <f t="shared" si="2"/>
        <v>16</v>
      </c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>
      <c r="B1434" s="3"/>
      <c r="C1434" s="3"/>
      <c r="D1434" s="3"/>
      <c r="E1434" s="3"/>
      <c r="F1434" s="2">
        <f>IFERROR(__xludf.DUMMYFUNCTION("""COMPUTED_VALUE"""),51.69)</f>
        <v>51.69</v>
      </c>
      <c r="G1434" s="2">
        <f t="shared" si="2"/>
        <v>52</v>
      </c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>
      <c r="B1435" s="3"/>
      <c r="C1435" s="3"/>
      <c r="D1435" s="3"/>
      <c r="E1435" s="3"/>
      <c r="F1435" s="2">
        <f>IFERROR(__xludf.DUMMYFUNCTION("""COMPUTED_VALUE"""),55.67999999999999)</f>
        <v>55.68</v>
      </c>
      <c r="G1435" s="2">
        <f t="shared" si="2"/>
        <v>56</v>
      </c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>
      <c r="B1436" s="3"/>
      <c r="C1436" s="3"/>
      <c r="D1436" s="3"/>
      <c r="E1436" s="3"/>
      <c r="F1436" s="2">
        <f>IFERROR(__xludf.DUMMYFUNCTION("""COMPUTED_VALUE"""),18.75)</f>
        <v>18.75</v>
      </c>
      <c r="G1436" s="2">
        <f t="shared" si="2"/>
        <v>19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>
      <c r="B1437" s="3"/>
      <c r="C1437" s="3"/>
      <c r="D1437" s="3"/>
      <c r="E1437" s="3"/>
      <c r="F1437" s="2">
        <f>IFERROR(__xludf.DUMMYFUNCTION("""COMPUTED_VALUE"""),24.36)</f>
        <v>24.36</v>
      </c>
      <c r="G1437" s="2">
        <f t="shared" si="2"/>
        <v>24</v>
      </c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>
      <c r="B1438" s="3"/>
      <c r="C1438" s="3"/>
      <c r="D1438" s="3"/>
      <c r="E1438" s="3"/>
      <c r="F1438" s="2">
        <f>IFERROR(__xludf.DUMMYFUNCTION("""COMPUTED_VALUE"""),37.08)</f>
        <v>37.08</v>
      </c>
      <c r="G1438" s="2">
        <f t="shared" si="2"/>
        <v>37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>
      <c r="B1439" s="3"/>
      <c r="C1439" s="3"/>
      <c r="D1439" s="3"/>
      <c r="E1439" s="3"/>
      <c r="F1439" s="2">
        <f>IFERROR(__xludf.DUMMYFUNCTION("""COMPUTED_VALUE"""),36.72)</f>
        <v>36.72</v>
      </c>
      <c r="G1439" s="2">
        <f t="shared" si="2"/>
        <v>37</v>
      </c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>
      <c r="B1440" s="3"/>
      <c r="C1440" s="3"/>
      <c r="D1440" s="3"/>
      <c r="E1440" s="3"/>
      <c r="F1440" s="2">
        <f>IFERROR(__xludf.DUMMYFUNCTION("""COMPUTED_VALUE"""),9.75)</f>
        <v>9.75</v>
      </c>
      <c r="G1440" s="2">
        <f t="shared" si="2"/>
        <v>10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>
      <c r="B1441" s="3"/>
      <c r="C1441" s="3"/>
      <c r="D1441" s="3"/>
      <c r="E1441" s="3"/>
      <c r="F1441" s="2">
        <f>IFERROR(__xludf.DUMMYFUNCTION("""COMPUTED_VALUE"""),24.36)</f>
        <v>24.36</v>
      </c>
      <c r="G1441" s="2">
        <f t="shared" si="2"/>
        <v>24</v>
      </c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>
      <c r="B1442" s="3"/>
      <c r="C1442" s="3"/>
      <c r="D1442" s="3"/>
      <c r="E1442" s="3"/>
      <c r="F1442" s="2">
        <f>IFERROR(__xludf.DUMMYFUNCTION("""COMPUTED_VALUE"""),16.950000000000003)</f>
        <v>16.95</v>
      </c>
      <c r="G1442" s="2">
        <f t="shared" si="2"/>
        <v>17</v>
      </c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>
      <c r="B1443" s="3"/>
      <c r="C1443" s="3"/>
      <c r="D1443" s="3"/>
      <c r="E1443" s="3"/>
      <c r="F1443" s="2">
        <f>IFERROR(__xludf.DUMMYFUNCTION("""COMPUTED_VALUE"""),28.619999999999997)</f>
        <v>28.62</v>
      </c>
      <c r="G1443" s="2">
        <f t="shared" si="2"/>
        <v>29</v>
      </c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>
      <c r="B1444" s="3"/>
      <c r="C1444" s="3"/>
      <c r="D1444" s="3"/>
      <c r="E1444" s="3"/>
      <c r="F1444" s="2">
        <f>IFERROR(__xludf.DUMMYFUNCTION("""COMPUTED_VALUE"""),19.62)</f>
        <v>19.62</v>
      </c>
      <c r="G1444" s="2">
        <f t="shared" si="2"/>
        <v>20</v>
      </c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>
      <c r="B1445" s="3"/>
      <c r="C1445" s="3"/>
      <c r="D1445" s="3"/>
      <c r="E1445" s="3"/>
      <c r="F1445" s="2">
        <f>IFERROR(__xludf.DUMMYFUNCTION("""COMPUTED_VALUE"""),33.75)</f>
        <v>33.75</v>
      </c>
      <c r="G1445" s="2">
        <f t="shared" si="2"/>
        <v>34</v>
      </c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>
      <c r="B1446" s="3"/>
      <c r="C1446" s="3"/>
      <c r="D1446" s="3"/>
      <c r="E1446" s="3"/>
      <c r="F1446" s="2">
        <f>IFERROR(__xludf.DUMMYFUNCTION("""COMPUTED_VALUE"""),25.619999999999997)</f>
        <v>25.62</v>
      </c>
      <c r="G1446" s="2">
        <f t="shared" si="2"/>
        <v>26</v>
      </c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>
      <c r="B1447" s="3"/>
      <c r="C1447" s="3"/>
      <c r="D1447" s="3"/>
      <c r="E1447" s="3"/>
      <c r="F1447" s="2">
        <f>IFERROR(__xludf.DUMMYFUNCTION("""COMPUTED_VALUE"""),37.08)</f>
        <v>37.08</v>
      </c>
      <c r="G1447" s="2">
        <f t="shared" si="2"/>
        <v>37</v>
      </c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>
      <c r="B1448" s="3"/>
      <c r="C1448" s="3"/>
      <c r="D1448" s="3"/>
      <c r="E1448" s="3"/>
      <c r="F1448" s="2">
        <f>IFERROR(__xludf.DUMMYFUNCTION("""COMPUTED_VALUE"""),45.69)</f>
        <v>45.69</v>
      </c>
      <c r="G1448" s="2">
        <f t="shared" si="2"/>
        <v>46</v>
      </c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>
      <c r="B1449" s="3"/>
      <c r="C1449" s="3"/>
      <c r="D1449" s="3"/>
      <c r="E1449" s="3"/>
      <c r="F1449" s="2">
        <f>IFERROR(__xludf.DUMMYFUNCTION("""COMPUTED_VALUE"""),12.629999999999999)</f>
        <v>12.63</v>
      </c>
      <c r="G1449" s="2">
        <f t="shared" si="2"/>
        <v>13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>
      <c r="B1450" s="3"/>
      <c r="C1450" s="3"/>
      <c r="D1450" s="3"/>
      <c r="E1450" s="3"/>
      <c r="F1450" s="2">
        <f>IFERROR(__xludf.DUMMYFUNCTION("""COMPUTED_VALUE"""),12.629999999999999)</f>
        <v>12.63</v>
      </c>
      <c r="G1450" s="2">
        <f t="shared" si="2"/>
        <v>13</v>
      </c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>
      <c r="B1451" s="3"/>
      <c r="C1451" s="3"/>
      <c r="D1451" s="3"/>
      <c r="E1451" s="3"/>
      <c r="F1451" s="2">
        <f>IFERROR(__xludf.DUMMYFUNCTION("""COMPUTED_VALUE"""),12.75)</f>
        <v>12.75</v>
      </c>
      <c r="G1451" s="2">
        <f t="shared" si="2"/>
        <v>13</v>
      </c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>
      <c r="B1452" s="3"/>
      <c r="C1452" s="3"/>
      <c r="D1452" s="3"/>
      <c r="E1452" s="3"/>
      <c r="F1452" s="2">
        <f>IFERROR(__xludf.DUMMYFUNCTION("""COMPUTED_VALUE"""),18.63)</f>
        <v>18.63</v>
      </c>
      <c r="G1452" s="2">
        <f t="shared" si="2"/>
        <v>19</v>
      </c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>
      <c r="B1453" s="3"/>
      <c r="C1453" s="3"/>
      <c r="D1453" s="3"/>
      <c r="E1453" s="3"/>
      <c r="F1453" s="2">
        <f>IFERROR(__xludf.DUMMYFUNCTION("""COMPUTED_VALUE"""),25.619999999999997)</f>
        <v>25.62</v>
      </c>
      <c r="G1453" s="2">
        <f t="shared" si="2"/>
        <v>26</v>
      </c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>
      <c r="B1454" s="3"/>
      <c r="C1454" s="3"/>
      <c r="D1454" s="3"/>
      <c r="E1454" s="3"/>
      <c r="F1454" s="2">
        <f>IFERROR(__xludf.DUMMYFUNCTION("""COMPUTED_VALUE"""),40.62)</f>
        <v>40.62</v>
      </c>
      <c r="G1454" s="2">
        <f t="shared" si="2"/>
        <v>41</v>
      </c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>
      <c r="B1455" s="3"/>
      <c r="C1455" s="3"/>
      <c r="D1455" s="3"/>
      <c r="E1455" s="3"/>
      <c r="F1455" s="2">
        <f>IFERROR(__xludf.DUMMYFUNCTION("""COMPUTED_VALUE"""),19.62)</f>
        <v>19.62</v>
      </c>
      <c r="G1455" s="2">
        <f t="shared" si="2"/>
        <v>20</v>
      </c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>
      <c r="B1456" s="3"/>
      <c r="C1456" s="3"/>
      <c r="D1456" s="3"/>
      <c r="E1456" s="3"/>
      <c r="F1456" s="2">
        <f>IFERROR(__xludf.DUMMYFUNCTION("""COMPUTED_VALUE"""),42.75)</f>
        <v>42.75</v>
      </c>
      <c r="G1456" s="2">
        <f t="shared" si="2"/>
        <v>43</v>
      </c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>
      <c r="B1457" s="3"/>
      <c r="C1457" s="3"/>
      <c r="D1457" s="3"/>
      <c r="E1457" s="3"/>
      <c r="F1457" s="2">
        <f>IFERROR(__xludf.DUMMYFUNCTION("""COMPUTED_VALUE"""),46.349999999999994)</f>
        <v>46.35</v>
      </c>
      <c r="G1457" s="2">
        <f t="shared" si="2"/>
        <v>46</v>
      </c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>
      <c r="B1458" s="3"/>
      <c r="C1458" s="3"/>
      <c r="D1458" s="3"/>
      <c r="E1458" s="3"/>
      <c r="F1458" s="2">
        <f>IFERROR(__xludf.DUMMYFUNCTION("""COMPUTED_VALUE"""),36.72)</f>
        <v>36.72</v>
      </c>
      <c r="G1458" s="2">
        <f t="shared" si="2"/>
        <v>37</v>
      </c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>
      <c r="B1459" s="3"/>
      <c r="C1459" s="3"/>
      <c r="D1459" s="3"/>
      <c r="E1459" s="3"/>
      <c r="F1459" s="2">
        <f>IFERROR(__xludf.DUMMYFUNCTION("""COMPUTED_VALUE"""),37.68)</f>
        <v>37.68</v>
      </c>
      <c r="G1459" s="2">
        <f t="shared" si="2"/>
        <v>38</v>
      </c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>
      <c r="B1460" s="3"/>
      <c r="C1460" s="3"/>
      <c r="D1460" s="3"/>
      <c r="E1460" s="3"/>
      <c r="F1460" s="2">
        <f>IFERROR(__xludf.DUMMYFUNCTION("""COMPUTED_VALUE"""),45.69)</f>
        <v>45.69</v>
      </c>
      <c r="G1460" s="2">
        <f t="shared" si="2"/>
        <v>46</v>
      </c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>
      <c r="B1461" s="3"/>
      <c r="C1461" s="3"/>
      <c r="D1461" s="3"/>
      <c r="E1461" s="3"/>
      <c r="F1461" s="2">
        <f>IFERROR(__xludf.DUMMYFUNCTION("""COMPUTED_VALUE"""),85.67999999999999)</f>
        <v>85.68</v>
      </c>
      <c r="G1461" s="2">
        <f t="shared" si="2"/>
        <v>86</v>
      </c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>
      <c r="B1462" s="3"/>
      <c r="C1462" s="3"/>
      <c r="D1462" s="3"/>
      <c r="E1462" s="3"/>
      <c r="F1462" s="2">
        <f>IFERROR(__xludf.DUMMYFUNCTION("""COMPUTED_VALUE"""),12.75)</f>
        <v>12.75</v>
      </c>
      <c r="G1462" s="2">
        <f t="shared" si="2"/>
        <v>13</v>
      </c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>
      <c r="B1463" s="3"/>
      <c r="C1463" s="3"/>
      <c r="D1463" s="3"/>
      <c r="E1463" s="3"/>
      <c r="F1463" s="2">
        <f>IFERROR(__xludf.DUMMYFUNCTION("""COMPUTED_VALUE"""),10.53)</f>
        <v>10.53</v>
      </c>
      <c r="G1463" s="2">
        <f t="shared" si="2"/>
        <v>11</v>
      </c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>
      <c r="B1464" s="3"/>
      <c r="C1464" s="3"/>
      <c r="D1464" s="3"/>
      <c r="E1464" s="3"/>
      <c r="F1464" s="2">
        <f>IFERROR(__xludf.DUMMYFUNCTION("""COMPUTED_VALUE"""),18.75)</f>
        <v>18.75</v>
      </c>
      <c r="G1464" s="2">
        <f t="shared" si="2"/>
        <v>19</v>
      </c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>
      <c r="B1465" s="3"/>
      <c r="C1465" s="3"/>
      <c r="D1465" s="3"/>
      <c r="E1465" s="3"/>
      <c r="F1465" s="2">
        <f>IFERROR(__xludf.DUMMYFUNCTION("""COMPUTED_VALUE"""),19.62)</f>
        <v>19.62</v>
      </c>
      <c r="G1465" s="2">
        <f t="shared" si="2"/>
        <v>20</v>
      </c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>
      <c r="B1466" s="3"/>
      <c r="C1466" s="3"/>
      <c r="D1466" s="3"/>
      <c r="E1466" s="3"/>
      <c r="F1466" s="2">
        <f>IFERROR(__xludf.DUMMYFUNCTION("""COMPUTED_VALUE"""),10.53)</f>
        <v>10.53</v>
      </c>
      <c r="G1466" s="2">
        <f t="shared" si="2"/>
        <v>11</v>
      </c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>
      <c r="B1467" s="3"/>
      <c r="C1467" s="3"/>
      <c r="D1467" s="3"/>
      <c r="E1467" s="3"/>
      <c r="F1467" s="2">
        <f>IFERROR(__xludf.DUMMYFUNCTION("""COMPUTED_VALUE"""),21.75)</f>
        <v>21.75</v>
      </c>
      <c r="G1467" s="2">
        <f t="shared" si="2"/>
        <v>22</v>
      </c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>
      <c r="B1468" s="3"/>
      <c r="C1468" s="3"/>
      <c r="D1468" s="3"/>
      <c r="E1468" s="3"/>
      <c r="F1468" s="2">
        <f>IFERROR(__xludf.DUMMYFUNCTION("""COMPUTED_VALUE"""),18.63)</f>
        <v>18.63</v>
      </c>
      <c r="G1468" s="2">
        <f t="shared" si="2"/>
        <v>19</v>
      </c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>
      <c r="B1469" s="3"/>
      <c r="C1469" s="3"/>
      <c r="D1469" s="3"/>
      <c r="E1469" s="3"/>
      <c r="F1469" s="2">
        <f>IFERROR(__xludf.DUMMYFUNCTION("""COMPUTED_VALUE"""),33.75)</f>
        <v>33.75</v>
      </c>
      <c r="G1469" s="2">
        <f t="shared" si="2"/>
        <v>34</v>
      </c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>
      <c r="B1470" s="3"/>
      <c r="C1470" s="3"/>
      <c r="D1470" s="3"/>
      <c r="E1470" s="3"/>
      <c r="F1470" s="2">
        <f>IFERROR(__xludf.DUMMYFUNCTION("""COMPUTED_VALUE"""),28.349999999999998)</f>
        <v>28.35</v>
      </c>
      <c r="G1470" s="2">
        <f t="shared" si="2"/>
        <v>28</v>
      </c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>
      <c r="B1471" s="3"/>
      <c r="C1471" s="3"/>
      <c r="D1471" s="3"/>
      <c r="E1471" s="3"/>
      <c r="F1471" s="2">
        <f>IFERROR(__xludf.DUMMYFUNCTION("""COMPUTED_VALUE"""),19.62)</f>
        <v>19.62</v>
      </c>
      <c r="G1471" s="2">
        <f t="shared" si="2"/>
        <v>20</v>
      </c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>
      <c r="B1472" s="3"/>
      <c r="C1472" s="3"/>
      <c r="D1472" s="3"/>
      <c r="E1472" s="3"/>
      <c r="F1472" s="2">
        <f>IFERROR(__xludf.DUMMYFUNCTION("""COMPUTED_VALUE"""),25.619999999999997)</f>
        <v>25.62</v>
      </c>
      <c r="G1472" s="2">
        <f t="shared" si="2"/>
        <v>26</v>
      </c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>
      <c r="B1473" s="3"/>
      <c r="C1473" s="3"/>
      <c r="D1473" s="3"/>
      <c r="E1473" s="3"/>
      <c r="F1473" s="2">
        <f>IFERROR(__xludf.DUMMYFUNCTION("""COMPUTED_VALUE"""),12.75)</f>
        <v>12.75</v>
      </c>
      <c r="G1473" s="2">
        <f t="shared" si="2"/>
        <v>13</v>
      </c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>
      <c r="B1474" s="3"/>
      <c r="C1474" s="3"/>
      <c r="D1474" s="3"/>
      <c r="E1474" s="3"/>
      <c r="F1474" s="2">
        <f>IFERROR(__xludf.DUMMYFUNCTION("""COMPUTED_VALUE"""),55.67999999999999)</f>
        <v>55.68</v>
      </c>
      <c r="G1474" s="2">
        <f t="shared" si="2"/>
        <v>56</v>
      </c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>
      <c r="B1475" s="3"/>
      <c r="C1475" s="3"/>
      <c r="D1475" s="3"/>
      <c r="E1475" s="3"/>
      <c r="F1475" s="2">
        <f>IFERROR(__xludf.DUMMYFUNCTION("""COMPUTED_VALUE"""),28.619999999999997)</f>
        <v>28.62</v>
      </c>
      <c r="G1475" s="2">
        <f t="shared" si="2"/>
        <v>29</v>
      </c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>
      <c r="B1476" s="3"/>
      <c r="C1476" s="3"/>
      <c r="D1476" s="3"/>
      <c r="E1476" s="3"/>
      <c r="F1476" s="2">
        <f>IFERROR(__xludf.DUMMYFUNCTION("""COMPUTED_VALUE"""),36.72)</f>
        <v>36.72</v>
      </c>
      <c r="G1476" s="2">
        <f t="shared" si="2"/>
        <v>37</v>
      </c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>
      <c r="B1477" s="3"/>
      <c r="C1477" s="3"/>
      <c r="D1477" s="3"/>
      <c r="E1477" s="3"/>
      <c r="F1477" s="2">
        <f>IFERROR(__xludf.DUMMYFUNCTION("""COMPUTED_VALUE"""),15.72)</f>
        <v>15.72</v>
      </c>
      <c r="G1477" s="2">
        <f t="shared" si="2"/>
        <v>16</v>
      </c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>
      <c r="B1478" s="3"/>
      <c r="C1478" s="3"/>
      <c r="D1478" s="3"/>
      <c r="E1478" s="3"/>
      <c r="F1478" s="2">
        <f>IFERROR(__xludf.DUMMYFUNCTION("""COMPUTED_VALUE"""),16.950000000000003)</f>
        <v>16.95</v>
      </c>
      <c r="G1478" s="2">
        <f t="shared" si="2"/>
        <v>17</v>
      </c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>
      <c r="B1479" s="3"/>
      <c r="C1479" s="3"/>
      <c r="D1479" s="3"/>
      <c r="E1479" s="3"/>
      <c r="F1479" s="2">
        <f>IFERROR(__xludf.DUMMYFUNCTION("""COMPUTED_VALUE"""),18.63)</f>
        <v>18.63</v>
      </c>
      <c r="G1479" s="2">
        <f t="shared" si="2"/>
        <v>19</v>
      </c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>
      <c r="B1480" s="3"/>
      <c r="C1480" s="3"/>
      <c r="D1480" s="3"/>
      <c r="E1480" s="3"/>
      <c r="F1480" s="2">
        <f>IFERROR(__xludf.DUMMYFUNCTION("""COMPUTED_VALUE"""),24.36)</f>
        <v>24.36</v>
      </c>
      <c r="G1480" s="2">
        <f t="shared" si="2"/>
        <v>24</v>
      </c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>
      <c r="B1481" s="3"/>
      <c r="C1481" s="3"/>
      <c r="D1481" s="3"/>
      <c r="E1481" s="3"/>
      <c r="F1481" s="2">
        <f>IFERROR(__xludf.DUMMYFUNCTION("""COMPUTED_VALUE"""),28.619999999999997)</f>
        <v>28.62</v>
      </c>
      <c r="G1481" s="2">
        <f t="shared" si="2"/>
        <v>29</v>
      </c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>
      <c r="B1482" s="3"/>
      <c r="C1482" s="3"/>
      <c r="D1482" s="3"/>
      <c r="E1482" s="3"/>
      <c r="F1482" s="2">
        <f>IFERROR(__xludf.DUMMYFUNCTION("""COMPUTED_VALUE"""),16.950000000000003)</f>
        <v>16.95</v>
      </c>
      <c r="G1482" s="2">
        <f t="shared" si="2"/>
        <v>17</v>
      </c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>
      <c r="B1483" s="3"/>
      <c r="C1483" s="3"/>
      <c r="D1483" s="3"/>
      <c r="E1483" s="3"/>
      <c r="F1483" s="2">
        <f>IFERROR(__xludf.DUMMYFUNCTION("""COMPUTED_VALUE"""),16.35)</f>
        <v>16.35</v>
      </c>
      <c r="G1483" s="2">
        <f t="shared" si="2"/>
        <v>16</v>
      </c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>
      <c r="B1484" s="3"/>
      <c r="C1484" s="3"/>
      <c r="D1484" s="3"/>
      <c r="E1484" s="3"/>
      <c r="F1484" s="2">
        <f>IFERROR(__xludf.DUMMYFUNCTION("""COMPUTED_VALUE"""),16.35)</f>
        <v>16.35</v>
      </c>
      <c r="G1484" s="2">
        <f t="shared" si="2"/>
        <v>16</v>
      </c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>
      <c r="B1485" s="3"/>
      <c r="C1485" s="3"/>
      <c r="D1485" s="3"/>
      <c r="E1485" s="3"/>
      <c r="F1485" s="2">
        <f>IFERROR(__xludf.DUMMYFUNCTION("""COMPUTED_VALUE"""),25.619999999999997)</f>
        <v>25.62</v>
      </c>
      <c r="G1485" s="2">
        <f t="shared" si="2"/>
        <v>26</v>
      </c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>
      <c r="B1486" s="3"/>
      <c r="C1486" s="3"/>
      <c r="D1486" s="3"/>
      <c r="E1486" s="3"/>
      <c r="F1486" s="2">
        <f>IFERROR(__xludf.DUMMYFUNCTION("""COMPUTED_VALUE"""),9.75)</f>
        <v>9.75</v>
      </c>
      <c r="G1486" s="2">
        <f t="shared" si="2"/>
        <v>10</v>
      </c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>
      <c r="B1487" s="3"/>
      <c r="C1487" s="3"/>
      <c r="D1487" s="3"/>
      <c r="E1487" s="3"/>
      <c r="F1487" s="2">
        <f>IFERROR(__xludf.DUMMYFUNCTION("""COMPUTED_VALUE"""),34.62)</f>
        <v>34.62</v>
      </c>
      <c r="G1487" s="2">
        <f t="shared" si="2"/>
        <v>35</v>
      </c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>
      <c r="B1488" s="3"/>
      <c r="C1488" s="3"/>
      <c r="D1488" s="3"/>
      <c r="E1488" s="3"/>
      <c r="F1488" s="2">
        <f>IFERROR(__xludf.DUMMYFUNCTION("""COMPUTED_VALUE"""),42.75)</f>
        <v>42.75</v>
      </c>
      <c r="G1488" s="2">
        <f t="shared" si="2"/>
        <v>43</v>
      </c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>
      <c r="B1489" s="3"/>
      <c r="C1489" s="3"/>
      <c r="D1489" s="3"/>
      <c r="E1489" s="3"/>
      <c r="F1489" s="2">
        <f>IFERROR(__xludf.DUMMYFUNCTION("""COMPUTED_VALUE"""),24.36)</f>
        <v>24.36</v>
      </c>
      <c r="G1489" s="2">
        <f t="shared" si="2"/>
        <v>24</v>
      </c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>
      <c r="B1490" s="3"/>
      <c r="C1490" s="3"/>
      <c r="D1490" s="3"/>
      <c r="E1490" s="3"/>
      <c r="F1490" s="2">
        <f>IFERROR(__xludf.DUMMYFUNCTION("""COMPUTED_VALUE"""),34.62)</f>
        <v>34.62</v>
      </c>
      <c r="G1490" s="2">
        <f t="shared" si="2"/>
        <v>35</v>
      </c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>
      <c r="B1491" s="3"/>
      <c r="C1491" s="3"/>
      <c r="D1491" s="3"/>
      <c r="E1491" s="3"/>
      <c r="F1491" s="2">
        <f>IFERROR(__xludf.DUMMYFUNCTION("""COMPUTED_VALUE"""),40.62)</f>
        <v>40.62</v>
      </c>
      <c r="G1491" s="2">
        <f t="shared" si="2"/>
        <v>41</v>
      </c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>
      <c r="B1492" s="3"/>
      <c r="C1492" s="3"/>
      <c r="D1492" s="3"/>
      <c r="E1492" s="3"/>
      <c r="F1492" s="2">
        <f>IFERROR(__xludf.DUMMYFUNCTION("""COMPUTED_VALUE"""),45.69)</f>
        <v>45.69</v>
      </c>
      <c r="G1492" s="2">
        <f t="shared" si="2"/>
        <v>46</v>
      </c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>
      <c r="B1493" s="3"/>
      <c r="C1493" s="3"/>
      <c r="D1493" s="3"/>
      <c r="E1493" s="3"/>
      <c r="F1493" s="2">
        <f>IFERROR(__xludf.DUMMYFUNCTION("""COMPUTED_VALUE"""),34.62)</f>
        <v>34.62</v>
      </c>
      <c r="G1493" s="2">
        <f t="shared" si="2"/>
        <v>35</v>
      </c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>
      <c r="B1494" s="3"/>
      <c r="C1494" s="3"/>
      <c r="D1494" s="3"/>
      <c r="E1494" s="3"/>
      <c r="F1494" s="2">
        <f>IFERROR(__xludf.DUMMYFUNCTION("""COMPUTED_VALUE"""),15.629999999999999)</f>
        <v>15.63</v>
      </c>
      <c r="G1494" s="2">
        <f t="shared" si="2"/>
        <v>16</v>
      </c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>
      <c r="B1495" s="3"/>
      <c r="C1495" s="3"/>
      <c r="D1495" s="3"/>
      <c r="E1495" s="3"/>
      <c r="F1495" s="2">
        <f>IFERROR(__xludf.DUMMYFUNCTION("""COMPUTED_VALUE"""),37.08)</f>
        <v>37.08</v>
      </c>
      <c r="G1495" s="2">
        <f t="shared" si="2"/>
        <v>37</v>
      </c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>
      <c r="B1496" s="3"/>
      <c r="C1496" s="3"/>
      <c r="D1496" s="3"/>
      <c r="E1496" s="3"/>
      <c r="F1496" s="2">
        <f>IFERROR(__xludf.DUMMYFUNCTION("""COMPUTED_VALUE"""),57.69)</f>
        <v>57.69</v>
      </c>
      <c r="G1496" s="2">
        <f t="shared" si="2"/>
        <v>58</v>
      </c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>
      <c r="B1497" s="3"/>
      <c r="C1497" s="3"/>
      <c r="D1497" s="3"/>
      <c r="E1497" s="3"/>
      <c r="F1497" s="2">
        <f>IFERROR(__xludf.DUMMYFUNCTION("""COMPUTED_VALUE"""),19.62)</f>
        <v>19.62</v>
      </c>
      <c r="G1497" s="2">
        <f t="shared" si="2"/>
        <v>20</v>
      </c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>
      <c r="B1498" s="3"/>
      <c r="C1498" s="3"/>
      <c r="D1498" s="3"/>
      <c r="E1498" s="3"/>
      <c r="F1498" s="2">
        <f>IFERROR(__xludf.DUMMYFUNCTION("""COMPUTED_VALUE"""),12.629999999999999)</f>
        <v>12.63</v>
      </c>
      <c r="G1498" s="2">
        <f t="shared" si="2"/>
        <v>13</v>
      </c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>
      <c r="B1499" s="3"/>
      <c r="C1499" s="3"/>
      <c r="D1499" s="3"/>
      <c r="E1499" s="3"/>
      <c r="F1499" s="2">
        <f>IFERROR(__xludf.DUMMYFUNCTION("""COMPUTED_VALUE"""),37.68)</f>
        <v>37.68</v>
      </c>
      <c r="G1499" s="2">
        <f t="shared" si="2"/>
        <v>38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>
      <c r="B1500" s="3"/>
      <c r="C1500" s="3"/>
      <c r="D1500" s="3"/>
      <c r="E1500" s="3"/>
      <c r="F1500" s="2">
        <f>IFERROR(__xludf.DUMMYFUNCTION("""COMPUTED_VALUE"""),36.72)</f>
        <v>36.72</v>
      </c>
      <c r="G1500" s="2">
        <f t="shared" si="2"/>
        <v>37</v>
      </c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>
      <c r="B1501" s="3"/>
      <c r="C1501" s="3"/>
      <c r="D1501" s="3"/>
      <c r="E1501" s="3"/>
      <c r="F1501" s="2">
        <f>IFERROR(__xludf.DUMMYFUNCTION("""COMPUTED_VALUE"""),28.349999999999998)</f>
        <v>28.35</v>
      </c>
      <c r="G1501" s="2">
        <f t="shared" si="2"/>
        <v>28</v>
      </c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>
      <c r="B1502" s="3"/>
      <c r="C1502" s="3"/>
      <c r="D1502" s="3"/>
      <c r="E1502" s="3"/>
      <c r="F1502" s="2">
        <f>IFERROR(__xludf.DUMMYFUNCTION("""COMPUTED_VALUE"""),55.67999999999999)</f>
        <v>55.68</v>
      </c>
      <c r="G1502" s="2">
        <f t="shared" si="2"/>
        <v>56</v>
      </c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>
      <c r="B1503" s="3"/>
      <c r="C1503" s="3"/>
      <c r="D1503" s="3"/>
      <c r="E1503" s="3"/>
      <c r="F1503" s="2">
        <f>IFERROR(__xludf.DUMMYFUNCTION("""COMPUTED_VALUE"""),10.53)</f>
        <v>10.53</v>
      </c>
      <c r="G1503" s="2">
        <f t="shared" si="2"/>
        <v>11</v>
      </c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>
      <c r="B1504" s="3"/>
      <c r="C1504" s="3"/>
      <c r="D1504" s="3"/>
      <c r="E1504" s="3"/>
      <c r="F1504" s="2">
        <f>IFERROR(__xludf.DUMMYFUNCTION("""COMPUTED_VALUE"""),28.349999999999998)</f>
        <v>28.35</v>
      </c>
      <c r="G1504" s="2">
        <f t="shared" si="2"/>
        <v>28</v>
      </c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>
      <c r="B1505" s="3"/>
      <c r="C1505" s="3"/>
      <c r="D1505" s="3"/>
      <c r="E1505" s="3"/>
      <c r="F1505" s="2">
        <f>IFERROR(__xludf.DUMMYFUNCTION("""COMPUTED_VALUE"""),37.08)</f>
        <v>37.08</v>
      </c>
      <c r="G1505" s="2">
        <f t="shared" si="2"/>
        <v>37</v>
      </c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>
      <c r="B1506" s="3"/>
      <c r="C1506" s="3"/>
      <c r="D1506" s="3"/>
      <c r="E1506" s="3"/>
      <c r="F1506" s="2">
        <f>IFERROR(__xludf.DUMMYFUNCTION("""COMPUTED_VALUE"""),10.53)</f>
        <v>10.53</v>
      </c>
      <c r="G1506" s="2">
        <f t="shared" si="2"/>
        <v>11</v>
      </c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>
      <c r="B1507" s="3"/>
      <c r="C1507" s="3"/>
      <c r="D1507" s="3"/>
      <c r="E1507" s="3"/>
      <c r="F1507" s="2">
        <f>IFERROR(__xludf.DUMMYFUNCTION("""COMPUTED_VALUE"""),16.35)</f>
        <v>16.35</v>
      </c>
      <c r="G1507" s="2">
        <f t="shared" si="2"/>
        <v>16</v>
      </c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>
      <c r="B1508" s="3"/>
      <c r="C1508" s="3"/>
      <c r="D1508" s="3"/>
      <c r="E1508" s="3"/>
      <c r="F1508" s="2">
        <f>IFERROR(__xludf.DUMMYFUNCTION("""COMPUTED_VALUE"""),28.349999999999998)</f>
        <v>28.35</v>
      </c>
      <c r="G1508" s="2">
        <f t="shared" si="2"/>
        <v>28</v>
      </c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>
      <c r="B1509" s="3"/>
      <c r="C1509" s="3"/>
      <c r="D1509" s="3"/>
      <c r="E1509" s="3"/>
      <c r="F1509" s="2">
        <f>IFERROR(__xludf.DUMMYFUNCTION("""COMPUTED_VALUE"""),33.75)</f>
        <v>33.75</v>
      </c>
      <c r="G1509" s="2">
        <f t="shared" si="2"/>
        <v>34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>
      <c r="B1510" s="3"/>
      <c r="C1510" s="3"/>
      <c r="D1510" s="3"/>
      <c r="E1510" s="3"/>
      <c r="F1510" s="2">
        <f>IFERROR(__xludf.DUMMYFUNCTION("""COMPUTED_VALUE"""),24.36)</f>
        <v>24.36</v>
      </c>
      <c r="G1510" s="2">
        <f t="shared" si="2"/>
        <v>24</v>
      </c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>
      <c r="B1511" s="3"/>
      <c r="C1511" s="3"/>
      <c r="D1511" s="3"/>
      <c r="E1511" s="3"/>
      <c r="F1511" s="2">
        <f>IFERROR(__xludf.DUMMYFUNCTION("""COMPUTED_VALUE"""),37.08)</f>
        <v>37.08</v>
      </c>
      <c r="G1511" s="2">
        <f t="shared" si="2"/>
        <v>37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>
      <c r="B1512" s="3"/>
      <c r="C1512" s="3"/>
      <c r="D1512" s="3"/>
      <c r="E1512" s="3"/>
      <c r="F1512" s="2">
        <f>IFERROR(__xludf.DUMMYFUNCTION("""COMPUTED_VALUE"""),85.67999999999999)</f>
        <v>85.68</v>
      </c>
      <c r="G1512" s="2">
        <f t="shared" si="2"/>
        <v>86</v>
      </c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>
      <c r="B1513" s="3"/>
      <c r="C1513" s="3"/>
      <c r="D1513" s="3"/>
      <c r="E1513" s="3"/>
      <c r="F1513" s="2">
        <f>IFERROR(__xludf.DUMMYFUNCTION("""COMPUTED_VALUE"""),10.95)</f>
        <v>10.95</v>
      </c>
      <c r="G1513" s="2">
        <f t="shared" si="2"/>
        <v>11</v>
      </c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>
      <c r="B1514" s="3"/>
      <c r="C1514" s="3"/>
      <c r="D1514" s="3"/>
      <c r="E1514" s="3"/>
      <c r="F1514" s="2">
        <f>IFERROR(__xludf.DUMMYFUNCTION("""COMPUTED_VALUE"""),40.62)</f>
        <v>40.62</v>
      </c>
      <c r="G1514" s="2">
        <f t="shared" si="2"/>
        <v>41</v>
      </c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>
      <c r="B1515" s="3"/>
      <c r="C1515" s="3"/>
      <c r="D1515" s="3"/>
      <c r="E1515" s="3"/>
      <c r="F1515" s="2">
        <f>IFERROR(__xludf.DUMMYFUNCTION("""COMPUTED_VALUE"""),16.950000000000003)</f>
        <v>16.95</v>
      </c>
      <c r="G1515" s="2">
        <f t="shared" si="2"/>
        <v>17</v>
      </c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>
      <c r="B1516" s="3"/>
      <c r="C1516" s="3"/>
      <c r="D1516" s="3"/>
      <c r="E1516" s="3"/>
      <c r="F1516" s="2">
        <f>IFERROR(__xludf.DUMMYFUNCTION("""COMPUTED_VALUE"""),46.349999999999994)</f>
        <v>46.35</v>
      </c>
      <c r="G1516" s="2">
        <f t="shared" si="2"/>
        <v>46</v>
      </c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>
      <c r="B1517" s="3"/>
      <c r="C1517" s="3"/>
      <c r="D1517" s="3"/>
      <c r="E1517" s="3"/>
      <c r="F1517" s="2">
        <f>IFERROR(__xludf.DUMMYFUNCTION("""COMPUTED_VALUE"""),37.08)</f>
        <v>37.08</v>
      </c>
      <c r="G1517" s="2">
        <f t="shared" si="2"/>
        <v>37</v>
      </c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>
      <c r="B1518" s="3"/>
      <c r="C1518" s="3"/>
      <c r="D1518" s="3"/>
      <c r="E1518" s="3"/>
      <c r="F1518" s="2">
        <f>IFERROR(__xludf.DUMMYFUNCTION("""COMPUTED_VALUE"""),33.75)</f>
        <v>33.75</v>
      </c>
      <c r="G1518" s="2">
        <f t="shared" si="2"/>
        <v>34</v>
      </c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>
      <c r="B1519" s="3"/>
      <c r="C1519" s="3"/>
      <c r="D1519" s="3"/>
      <c r="E1519" s="3"/>
      <c r="F1519" s="2">
        <f>IFERROR(__xludf.DUMMYFUNCTION("""COMPUTED_VALUE"""),12.75)</f>
        <v>12.75</v>
      </c>
      <c r="G1519" s="2">
        <f t="shared" si="2"/>
        <v>13</v>
      </c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>
      <c r="B1520" s="3"/>
      <c r="C1520" s="3"/>
      <c r="D1520" s="3"/>
      <c r="E1520" s="3"/>
      <c r="F1520" s="2">
        <f>IFERROR(__xludf.DUMMYFUNCTION("""COMPUTED_VALUE"""),28.349999999999998)</f>
        <v>28.35</v>
      </c>
      <c r="G1520" s="2">
        <f t="shared" si="2"/>
        <v>28</v>
      </c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>
      <c r="B1521" s="3"/>
      <c r="C1521" s="3"/>
      <c r="D1521" s="3"/>
      <c r="E1521" s="3"/>
      <c r="F1521" s="2">
        <f>IFERROR(__xludf.DUMMYFUNCTION("""COMPUTED_VALUE"""),36.72)</f>
        <v>36.72</v>
      </c>
      <c r="G1521" s="2">
        <f t="shared" si="2"/>
        <v>37</v>
      </c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>
      <c r="B1522" s="3"/>
      <c r="C1522" s="3"/>
      <c r="D1522" s="3"/>
      <c r="E1522" s="3"/>
      <c r="F1522" s="2">
        <f>IFERROR(__xludf.DUMMYFUNCTION("""COMPUTED_VALUE"""),12.629999999999999)</f>
        <v>12.63</v>
      </c>
      <c r="G1522" s="2">
        <f t="shared" si="2"/>
        <v>13</v>
      </c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>
      <c r="B1523" s="3"/>
      <c r="C1523" s="3"/>
      <c r="D1523" s="3"/>
      <c r="E1523" s="3"/>
      <c r="F1523" s="2">
        <f>IFERROR(__xludf.DUMMYFUNCTION("""COMPUTED_VALUE"""),85.67999999999999)</f>
        <v>85.68</v>
      </c>
      <c r="G1523" s="2">
        <f t="shared" si="2"/>
        <v>86</v>
      </c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>
      <c r="B1524" s="3"/>
      <c r="C1524" s="3"/>
      <c r="D1524" s="3"/>
      <c r="E1524" s="3"/>
      <c r="F1524" s="2">
        <f>IFERROR(__xludf.DUMMYFUNCTION("""COMPUTED_VALUE"""),15.72)</f>
        <v>15.72</v>
      </c>
      <c r="G1524" s="2">
        <f t="shared" si="2"/>
        <v>16</v>
      </c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>
      <c r="B1525" s="3"/>
      <c r="C1525" s="3"/>
      <c r="D1525" s="3"/>
      <c r="E1525" s="3"/>
      <c r="F1525" s="2">
        <f>IFERROR(__xludf.DUMMYFUNCTION("""COMPUTED_VALUE"""),33.69)</f>
        <v>33.69</v>
      </c>
      <c r="G1525" s="2">
        <f t="shared" si="2"/>
        <v>34</v>
      </c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>
      <c r="B1526" s="3"/>
      <c r="C1526" s="3"/>
      <c r="D1526" s="3"/>
      <c r="E1526" s="3"/>
      <c r="F1526" s="2">
        <f>IFERROR(__xludf.DUMMYFUNCTION("""COMPUTED_VALUE"""),19.62)</f>
        <v>19.62</v>
      </c>
      <c r="G1526" s="2">
        <f t="shared" si="2"/>
        <v>20</v>
      </c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>
      <c r="B1527" s="3"/>
      <c r="C1527" s="3"/>
      <c r="D1527" s="3"/>
      <c r="E1527" s="3"/>
      <c r="F1527" s="2">
        <f>IFERROR(__xludf.DUMMYFUNCTION("""COMPUTED_VALUE"""),45.0)</f>
        <v>45</v>
      </c>
      <c r="G1527" s="2">
        <f t="shared" si="2"/>
        <v>45</v>
      </c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>
      <c r="B1528" s="3"/>
      <c r="C1528" s="3"/>
      <c r="D1528" s="3"/>
      <c r="E1528" s="3"/>
      <c r="F1528" s="2">
        <f>IFERROR(__xludf.DUMMYFUNCTION("""COMPUTED_VALUE"""),29.0)</f>
        <v>29</v>
      </c>
      <c r="G1528" s="2">
        <f t="shared" si="2"/>
        <v>29</v>
      </c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>
      <c r="B1529" s="3"/>
      <c r="C1529" s="3"/>
      <c r="D1529" s="3"/>
      <c r="E1529" s="3"/>
      <c r="F1529" s="2">
        <f>IFERROR(__xludf.DUMMYFUNCTION("""COMPUTED_VALUE"""),64.84)</f>
        <v>64.84</v>
      </c>
      <c r="G1529" s="2">
        <f t="shared" si="2"/>
        <v>65</v>
      </c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>
      <c r="B1530" s="3"/>
      <c r="C1530" s="3"/>
      <c r="D1530" s="3"/>
      <c r="E1530" s="3"/>
      <c r="F1530" s="2">
        <f>IFERROR(__xludf.DUMMYFUNCTION("""COMPUTED_VALUE"""),25.0)</f>
        <v>25</v>
      </c>
      <c r="G1530" s="2">
        <f t="shared" si="2"/>
        <v>25</v>
      </c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>
      <c r="B1531" s="3"/>
      <c r="C1531" s="3"/>
      <c r="D1531" s="3"/>
      <c r="E1531" s="3"/>
      <c r="F1531" s="2">
        <f>IFERROR(__xludf.DUMMYFUNCTION("""COMPUTED_VALUE"""),114.24)</f>
        <v>114.24</v>
      </c>
      <c r="G1531" s="2">
        <f t="shared" si="2"/>
        <v>114</v>
      </c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>
      <c r="B1532" s="3"/>
      <c r="C1532" s="3"/>
      <c r="D1532" s="3"/>
      <c r="E1532" s="3"/>
      <c r="F1532" s="2">
        <f>IFERROR(__xludf.DUMMYFUNCTION("""COMPUTED_VALUE"""),44.92)</f>
        <v>44.92</v>
      </c>
      <c r="G1532" s="2">
        <f t="shared" si="2"/>
        <v>45</v>
      </c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>
      <c r="B1533" s="3"/>
      <c r="C1533" s="3"/>
      <c r="D1533" s="3"/>
      <c r="E1533" s="3"/>
      <c r="F1533" s="2">
        <f>IFERROR(__xludf.DUMMYFUNCTION("""COMPUTED_VALUE"""),17.0)</f>
        <v>17</v>
      </c>
      <c r="G1533" s="2">
        <f t="shared" si="2"/>
        <v>17</v>
      </c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>
      <c r="B1534" s="3"/>
      <c r="C1534" s="3"/>
      <c r="D1534" s="3"/>
      <c r="E1534" s="3"/>
      <c r="F1534" s="2">
        <f>IFERROR(__xludf.DUMMYFUNCTION("""COMPUTED_VALUE"""),21.8)</f>
        <v>21.8</v>
      </c>
      <c r="G1534" s="2">
        <f t="shared" si="2"/>
        <v>22</v>
      </c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>
      <c r="B1535" s="3"/>
      <c r="C1535" s="3"/>
      <c r="D1535" s="3"/>
      <c r="E1535" s="3"/>
      <c r="F1535" s="2">
        <f>IFERROR(__xludf.DUMMYFUNCTION("""COMPUTED_VALUE"""),44.92)</f>
        <v>44.92</v>
      </c>
      <c r="G1535" s="2">
        <f t="shared" si="2"/>
        <v>45</v>
      </c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>
      <c r="B1536" s="3"/>
      <c r="C1536" s="3"/>
      <c r="D1536" s="3"/>
      <c r="E1536" s="3"/>
      <c r="F1536" s="2">
        <f>IFERROR(__xludf.DUMMYFUNCTION("""COMPUTED_VALUE"""),46.16)</f>
        <v>46.16</v>
      </c>
      <c r="G1536" s="2">
        <f t="shared" si="2"/>
        <v>46</v>
      </c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>
      <c r="B1537" s="3"/>
      <c r="C1537" s="3"/>
      <c r="D1537" s="3"/>
      <c r="E1537" s="3"/>
      <c r="F1537" s="2">
        <f>IFERROR(__xludf.DUMMYFUNCTION("""COMPUTED_VALUE"""),26.16)</f>
        <v>26.16</v>
      </c>
      <c r="G1537" s="2">
        <f t="shared" si="2"/>
        <v>26</v>
      </c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>
      <c r="B1538" s="3"/>
      <c r="C1538" s="3"/>
      <c r="D1538" s="3"/>
      <c r="E1538" s="3"/>
      <c r="F1538" s="2">
        <f>IFERROR(__xludf.DUMMYFUNCTION("""COMPUTED_VALUE"""),14.6)</f>
        <v>14.6</v>
      </c>
      <c r="G1538" s="2">
        <f t="shared" si="2"/>
        <v>15</v>
      </c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>
      <c r="B1539" s="3"/>
      <c r="C1539" s="3"/>
      <c r="D1539" s="3"/>
      <c r="E1539" s="3"/>
      <c r="F1539" s="2">
        <f>IFERROR(__xludf.DUMMYFUNCTION("""COMPUTED_VALUE"""),13.0)</f>
        <v>13</v>
      </c>
      <c r="G1539" s="2">
        <f t="shared" si="2"/>
        <v>13</v>
      </c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>
      <c r="B1540" s="3"/>
      <c r="C1540" s="3"/>
      <c r="D1540" s="3"/>
      <c r="E1540" s="3"/>
      <c r="F1540" s="2">
        <f>IFERROR(__xludf.DUMMYFUNCTION("""COMPUTED_VALUE"""),76.92)</f>
        <v>76.92</v>
      </c>
      <c r="G1540" s="2">
        <f t="shared" si="2"/>
        <v>77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>
      <c r="B1541" s="3"/>
      <c r="C1541" s="3"/>
      <c r="D1541" s="3"/>
      <c r="E1541" s="3"/>
      <c r="F1541" s="2">
        <f>IFERROR(__xludf.DUMMYFUNCTION("""COMPUTED_VALUE"""),29.0)</f>
        <v>29</v>
      </c>
      <c r="G1541" s="2">
        <f t="shared" si="2"/>
        <v>29</v>
      </c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>
      <c r="B1542" s="3"/>
      <c r="C1542" s="3"/>
      <c r="D1542" s="3"/>
      <c r="E1542" s="3"/>
      <c r="F1542" s="2">
        <f>IFERROR(__xludf.DUMMYFUNCTION("""COMPUTED_VALUE"""),24.84)</f>
        <v>24.84</v>
      </c>
      <c r="G1542" s="2">
        <f t="shared" si="2"/>
        <v>25</v>
      </c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>
      <c r="B1543" s="3"/>
      <c r="C1543" s="3"/>
      <c r="D1543" s="3"/>
      <c r="E1543" s="3"/>
      <c r="F1543" s="2">
        <f>IFERROR(__xludf.DUMMYFUNCTION("""COMPUTED_VALUE"""),16.84)</f>
        <v>16.84</v>
      </c>
      <c r="G1543" s="2">
        <f t="shared" si="2"/>
        <v>17</v>
      </c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>
      <c r="B1544" s="3"/>
      <c r="C1544" s="3"/>
      <c r="D1544" s="3"/>
      <c r="E1544" s="3"/>
      <c r="F1544" s="2">
        <f>IFERROR(__xludf.DUMMYFUNCTION("""COMPUTED_VALUE"""),54.16)</f>
        <v>54.16</v>
      </c>
      <c r="G1544" s="2">
        <f t="shared" si="2"/>
        <v>54</v>
      </c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>
      <c r="B1545" s="3"/>
      <c r="C1545" s="3"/>
      <c r="D1545" s="3"/>
      <c r="E1545" s="3"/>
      <c r="F1545" s="2">
        <f>IFERROR(__xludf.DUMMYFUNCTION("""COMPUTED_VALUE"""),44.92)</f>
        <v>44.92</v>
      </c>
      <c r="G1545" s="2">
        <f t="shared" si="2"/>
        <v>45</v>
      </c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>
      <c r="B1546" s="3"/>
      <c r="C1546" s="3"/>
      <c r="D1546" s="3"/>
      <c r="E1546" s="3"/>
      <c r="F1546" s="2">
        <f>IFERROR(__xludf.DUMMYFUNCTION("""COMPUTED_VALUE"""),38.16)</f>
        <v>38.16</v>
      </c>
      <c r="G1546" s="2">
        <f t="shared" si="2"/>
        <v>38</v>
      </c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>
      <c r="B1547" s="3"/>
      <c r="C1547" s="3"/>
      <c r="D1547" s="3"/>
      <c r="E1547" s="3"/>
      <c r="F1547" s="2">
        <f>IFERROR(__xludf.DUMMYFUNCTION("""COMPUTED_VALUE"""),46.16)</f>
        <v>46.16</v>
      </c>
      <c r="G1547" s="2">
        <f t="shared" si="2"/>
        <v>46</v>
      </c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>
      <c r="B1548" s="3"/>
      <c r="C1548" s="3"/>
      <c r="D1548" s="3"/>
      <c r="E1548" s="3"/>
      <c r="F1548" s="2">
        <f>IFERROR(__xludf.DUMMYFUNCTION("""COMPUTED_VALUE"""),34.16)</f>
        <v>34.16</v>
      </c>
      <c r="G1548" s="2">
        <f t="shared" si="2"/>
        <v>34</v>
      </c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>
      <c r="B1549" s="3"/>
      <c r="C1549" s="3"/>
      <c r="D1549" s="3"/>
      <c r="E1549" s="3"/>
      <c r="F1549" s="2">
        <f>IFERROR(__xludf.DUMMYFUNCTION("""COMPUTED_VALUE"""),68.92)</f>
        <v>68.92</v>
      </c>
      <c r="G1549" s="2">
        <f t="shared" si="2"/>
        <v>69</v>
      </c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>
      <c r="B1550" s="3"/>
      <c r="C1550" s="3"/>
      <c r="D1550" s="3"/>
      <c r="E1550" s="3"/>
      <c r="F1550" s="2">
        <f>IFERROR(__xludf.DUMMYFUNCTION("""COMPUTED_VALUE"""),45.0)</f>
        <v>45</v>
      </c>
      <c r="G1550" s="2">
        <f t="shared" si="2"/>
        <v>45</v>
      </c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>
      <c r="B1551" s="3"/>
      <c r="C1551" s="3"/>
      <c r="D1551" s="3"/>
      <c r="E1551" s="3"/>
      <c r="F1551" s="2">
        <f>IFERROR(__xludf.DUMMYFUNCTION("""COMPUTED_VALUE"""),13.0)</f>
        <v>13</v>
      </c>
      <c r="G1551" s="2">
        <f t="shared" si="2"/>
        <v>13</v>
      </c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>
      <c r="B1552" s="3"/>
      <c r="C1552" s="3"/>
      <c r="D1552" s="3"/>
      <c r="E1552" s="3"/>
      <c r="F1552" s="2">
        <f>IFERROR(__xludf.DUMMYFUNCTION("""COMPUTED_VALUE"""),26.16)</f>
        <v>26.16</v>
      </c>
      <c r="G1552" s="2">
        <f t="shared" si="2"/>
        <v>26</v>
      </c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>
      <c r="B1553" s="3"/>
      <c r="C1553" s="3"/>
      <c r="D1553" s="3"/>
      <c r="E1553" s="3"/>
      <c r="F1553" s="2">
        <f>IFERROR(__xludf.DUMMYFUNCTION("""COMPUTED_VALUE"""),24.84)</f>
        <v>24.84</v>
      </c>
      <c r="G1553" s="2">
        <f t="shared" si="2"/>
        <v>25</v>
      </c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>
      <c r="B1554" s="3"/>
      <c r="C1554" s="3"/>
      <c r="D1554" s="3"/>
      <c r="E1554" s="3"/>
      <c r="F1554" s="2">
        <f>IFERROR(__xludf.DUMMYFUNCTION("""COMPUTED_VALUE"""),24.84)</f>
        <v>24.84</v>
      </c>
      <c r="G1554" s="2">
        <f t="shared" si="2"/>
        <v>25</v>
      </c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>
      <c r="B1555" s="3"/>
      <c r="C1555" s="3"/>
      <c r="D1555" s="3"/>
      <c r="E1555" s="3"/>
      <c r="F1555" s="2">
        <f>IFERROR(__xludf.DUMMYFUNCTION("""COMPUTED_VALUE"""),14.04)</f>
        <v>14.04</v>
      </c>
      <c r="G1555" s="2">
        <f t="shared" si="2"/>
        <v>14</v>
      </c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>
      <c r="B1556" s="3"/>
      <c r="C1556" s="3"/>
      <c r="D1556" s="3"/>
      <c r="E1556" s="3"/>
      <c r="F1556" s="2">
        <f>IFERROR(__xludf.DUMMYFUNCTION("""COMPUTED_VALUE"""),46.16)</f>
        <v>46.16</v>
      </c>
      <c r="G1556" s="2">
        <f t="shared" si="2"/>
        <v>46</v>
      </c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>
      <c r="B1557" s="3"/>
      <c r="C1557" s="3"/>
      <c r="D1557" s="3"/>
      <c r="E1557" s="3"/>
      <c r="F1557" s="2">
        <f>IFERROR(__xludf.DUMMYFUNCTION("""COMPUTED_VALUE"""),64.84)</f>
        <v>64.84</v>
      </c>
      <c r="G1557" s="2">
        <f t="shared" si="2"/>
        <v>65</v>
      </c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>
      <c r="B1558" s="3"/>
      <c r="C1558" s="3"/>
      <c r="D1558" s="3"/>
      <c r="E1558" s="3"/>
      <c r="F1558" s="2">
        <f>IFERROR(__xludf.DUMMYFUNCTION("""COMPUTED_VALUE"""),20.84)</f>
        <v>20.84</v>
      </c>
      <c r="G1558" s="2">
        <f t="shared" si="2"/>
        <v>21</v>
      </c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>
      <c r="B1559" s="3"/>
      <c r="C1559" s="3"/>
      <c r="D1559" s="3"/>
      <c r="E1559" s="3"/>
      <c r="F1559" s="2">
        <f>IFERROR(__xludf.DUMMYFUNCTION("""COMPUTED_VALUE"""),45.0)</f>
        <v>45</v>
      </c>
      <c r="G1559" s="2">
        <f t="shared" si="2"/>
        <v>45</v>
      </c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>
      <c r="B1560" s="3"/>
      <c r="C1560" s="3"/>
      <c r="D1560" s="3"/>
      <c r="E1560" s="3"/>
      <c r="F1560" s="2">
        <f>IFERROR(__xludf.DUMMYFUNCTION("""COMPUTED_VALUE"""),22.6)</f>
        <v>22.6</v>
      </c>
      <c r="G1560" s="2">
        <f t="shared" si="2"/>
        <v>23</v>
      </c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>
      <c r="B1561" s="3"/>
      <c r="C1561" s="3"/>
      <c r="D1561" s="3"/>
      <c r="E1561" s="3"/>
      <c r="F1561" s="2">
        <f>IFERROR(__xludf.DUMMYFUNCTION("""COMPUTED_VALUE"""),74.24)</f>
        <v>74.24</v>
      </c>
      <c r="G1561" s="2">
        <f t="shared" si="2"/>
        <v>74</v>
      </c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>
      <c r="B1562" s="3"/>
      <c r="C1562" s="3"/>
      <c r="D1562" s="3"/>
      <c r="E1562" s="3"/>
      <c r="F1562" s="2">
        <f>IFERROR(__xludf.DUMMYFUNCTION("""COMPUTED_VALUE"""),25.0)</f>
        <v>25</v>
      </c>
      <c r="G1562" s="2">
        <f t="shared" si="2"/>
        <v>25</v>
      </c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>
      <c r="B1563" s="3"/>
      <c r="C1563" s="3"/>
      <c r="D1563" s="3"/>
      <c r="E1563" s="3"/>
      <c r="F1563" s="2">
        <f>IFERROR(__xludf.DUMMYFUNCTION("""COMPUTED_VALUE"""),57.0)</f>
        <v>57</v>
      </c>
      <c r="G1563" s="2">
        <f t="shared" si="2"/>
        <v>57</v>
      </c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>
      <c r="B1564" s="3"/>
      <c r="C1564" s="3"/>
      <c r="D1564" s="3"/>
      <c r="E1564" s="3"/>
      <c r="F1564" s="2">
        <f>IFERROR(__xludf.DUMMYFUNCTION("""COMPUTED_VALUE"""),32.92)</f>
        <v>32.92</v>
      </c>
      <c r="G1564" s="2">
        <f t="shared" si="2"/>
        <v>33</v>
      </c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>
      <c r="B1565" s="3"/>
      <c r="C1565" s="3"/>
      <c r="D1565" s="3"/>
      <c r="E1565" s="3"/>
      <c r="F1565" s="2">
        <f>IFERROR(__xludf.DUMMYFUNCTION("""COMPUTED_VALUE"""),48.96)</f>
        <v>48.96</v>
      </c>
      <c r="G1565" s="2">
        <f t="shared" si="2"/>
        <v>49</v>
      </c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>
      <c r="B1566" s="3"/>
      <c r="C1566" s="3"/>
      <c r="D1566" s="3"/>
      <c r="E1566" s="3"/>
      <c r="F1566" s="2">
        <f>IFERROR(__xludf.DUMMYFUNCTION("""COMPUTED_VALUE"""),48.96)</f>
        <v>48.96</v>
      </c>
      <c r="G1566" s="2">
        <f t="shared" si="2"/>
        <v>49</v>
      </c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>
      <c r="B1567" s="3"/>
      <c r="C1567" s="3"/>
      <c r="D1567" s="3"/>
      <c r="E1567" s="3"/>
      <c r="F1567" s="2">
        <f>IFERROR(__xludf.DUMMYFUNCTION("""COMPUTED_VALUE"""),74.24)</f>
        <v>74.24</v>
      </c>
      <c r="G1567" s="2">
        <f t="shared" si="2"/>
        <v>74</v>
      </c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>
      <c r="B1568" s="3"/>
      <c r="C1568" s="3"/>
      <c r="D1568" s="3"/>
      <c r="E1568" s="3"/>
      <c r="F1568" s="2">
        <f>IFERROR(__xludf.DUMMYFUNCTION("""COMPUTED_VALUE"""),25.0)</f>
        <v>25</v>
      </c>
      <c r="G1568" s="2">
        <f t="shared" si="2"/>
        <v>25</v>
      </c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>
      <c r="B1569" s="3"/>
      <c r="C1569" s="3"/>
      <c r="D1569" s="3"/>
      <c r="E1569" s="3"/>
      <c r="F1569" s="2">
        <f>IFERROR(__xludf.DUMMYFUNCTION("""COMPUTED_VALUE"""),38.16)</f>
        <v>38.16</v>
      </c>
      <c r="G1569" s="2">
        <f t="shared" si="2"/>
        <v>38</v>
      </c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>
      <c r="B1570" s="3"/>
      <c r="C1570" s="3"/>
      <c r="D1570" s="3"/>
      <c r="E1570" s="3"/>
      <c r="F1570" s="2">
        <f>IFERROR(__xludf.DUMMYFUNCTION("""COMPUTED_VALUE"""),61.8)</f>
        <v>61.8</v>
      </c>
      <c r="G1570" s="2">
        <f t="shared" si="2"/>
        <v>62</v>
      </c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>
      <c r="B1571" s="3"/>
      <c r="C1571" s="3"/>
      <c r="D1571" s="3"/>
      <c r="E1571" s="3"/>
      <c r="F1571" s="2">
        <f>IFERROR(__xludf.DUMMYFUNCTION("""COMPUTED_VALUE"""),32.92)</f>
        <v>32.92</v>
      </c>
      <c r="G1571" s="2">
        <f t="shared" si="2"/>
        <v>33</v>
      </c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>
      <c r="B1572" s="3"/>
      <c r="C1572" s="3"/>
      <c r="D1572" s="3"/>
      <c r="E1572" s="3"/>
      <c r="F1572" s="2">
        <f>IFERROR(__xludf.DUMMYFUNCTION("""COMPUTED_VALUE"""),61.8)</f>
        <v>61.8</v>
      </c>
      <c r="G1572" s="2">
        <f t="shared" si="2"/>
        <v>62</v>
      </c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>
      <c r="B1573" s="3"/>
      <c r="C1573" s="3"/>
      <c r="D1573" s="3"/>
      <c r="E1573" s="3"/>
      <c r="F1573" s="2">
        <f>IFERROR(__xludf.DUMMYFUNCTION("""COMPUTED_VALUE"""),37.8)</f>
        <v>37.8</v>
      </c>
      <c r="G1573" s="2">
        <f t="shared" si="2"/>
        <v>38</v>
      </c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>
      <c r="B1574" s="3"/>
      <c r="C1574" s="3"/>
      <c r="D1574" s="3"/>
      <c r="E1574" s="3"/>
      <c r="F1574" s="2">
        <f>IFERROR(__xludf.DUMMYFUNCTION("""COMPUTED_VALUE"""),38.16)</f>
        <v>38.16</v>
      </c>
      <c r="G1574" s="2">
        <f t="shared" si="2"/>
        <v>38</v>
      </c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>
      <c r="B1575" s="3"/>
      <c r="C1575" s="3"/>
      <c r="D1575" s="3"/>
      <c r="E1575" s="3"/>
      <c r="F1575" s="2">
        <f>IFERROR(__xludf.DUMMYFUNCTION("""COMPUTED_VALUE"""),20.96)</f>
        <v>20.96</v>
      </c>
      <c r="G1575" s="2">
        <f t="shared" si="2"/>
        <v>21</v>
      </c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>
      <c r="B1576" s="3"/>
      <c r="C1576" s="3"/>
      <c r="D1576" s="3"/>
      <c r="E1576" s="3"/>
      <c r="F1576" s="2">
        <f>IFERROR(__xludf.DUMMYFUNCTION("""COMPUTED_VALUE"""),61.8)</f>
        <v>61.8</v>
      </c>
      <c r="G1576" s="2">
        <f t="shared" si="2"/>
        <v>62</v>
      </c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>
      <c r="B1577" s="3"/>
      <c r="C1577" s="3"/>
      <c r="D1577" s="3"/>
      <c r="E1577" s="3"/>
      <c r="F1577" s="2">
        <f>IFERROR(__xludf.DUMMYFUNCTION("""COMPUTED_VALUE"""),13.0)</f>
        <v>13</v>
      </c>
      <c r="G1577" s="2">
        <f t="shared" si="2"/>
        <v>13</v>
      </c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>
      <c r="B1578" s="3"/>
      <c r="C1578" s="3"/>
      <c r="D1578" s="3"/>
      <c r="E1578" s="3"/>
      <c r="F1578" s="2">
        <f>IFERROR(__xludf.DUMMYFUNCTION("""COMPUTED_VALUE"""),26.16)</f>
        <v>26.16</v>
      </c>
      <c r="G1578" s="2">
        <f t="shared" si="2"/>
        <v>26</v>
      </c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>
      <c r="B1579" s="3"/>
      <c r="C1579" s="3"/>
      <c r="D1579" s="3"/>
      <c r="E1579" s="3"/>
      <c r="F1579" s="2">
        <f>IFERROR(__xludf.DUMMYFUNCTION("""COMPUTED_VALUE"""),26.16)</f>
        <v>26.16</v>
      </c>
      <c r="G1579" s="2">
        <f t="shared" si="2"/>
        <v>26</v>
      </c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>
      <c r="B1580" s="3"/>
      <c r="C1580" s="3"/>
      <c r="D1580" s="3"/>
      <c r="E1580" s="3"/>
      <c r="F1580" s="2">
        <f>IFERROR(__xludf.DUMMYFUNCTION("""COMPUTED_VALUE"""),32.48)</f>
        <v>32.48</v>
      </c>
      <c r="G1580" s="2">
        <f t="shared" si="2"/>
        <v>32</v>
      </c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>
      <c r="B1581" s="3"/>
      <c r="C1581" s="3"/>
      <c r="D1581" s="3"/>
      <c r="E1581" s="3"/>
      <c r="F1581" s="2">
        <f>IFERROR(__xludf.DUMMYFUNCTION("""COMPUTED_VALUE"""),21.8)</f>
        <v>21.8</v>
      </c>
      <c r="G1581" s="2">
        <f t="shared" si="2"/>
        <v>22</v>
      </c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>
      <c r="B1582" s="3"/>
      <c r="C1582" s="3"/>
      <c r="D1582" s="3"/>
      <c r="E1582" s="3"/>
      <c r="F1582" s="2">
        <f>IFERROR(__xludf.DUMMYFUNCTION("""COMPUTED_VALUE"""),44.92)</f>
        <v>44.92</v>
      </c>
      <c r="G1582" s="2">
        <f t="shared" si="2"/>
        <v>45</v>
      </c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>
      <c r="B1583" s="3"/>
      <c r="C1583" s="3"/>
      <c r="D1583" s="3"/>
      <c r="E1583" s="3"/>
      <c r="F1583" s="2">
        <f>IFERROR(__xludf.DUMMYFUNCTION("""COMPUTED_VALUE"""),54.16)</f>
        <v>54.16</v>
      </c>
      <c r="G1583" s="2">
        <f t="shared" si="2"/>
        <v>54</v>
      </c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>
      <c r="B1584" s="3"/>
      <c r="C1584" s="3"/>
      <c r="D1584" s="3"/>
      <c r="E1584" s="3"/>
      <c r="F1584" s="2">
        <f>IFERROR(__xludf.DUMMYFUNCTION("""COMPUTED_VALUE"""),24.84)</f>
        <v>24.84</v>
      </c>
      <c r="G1584" s="2">
        <f t="shared" si="2"/>
        <v>25</v>
      </c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>
      <c r="B1585" s="3"/>
      <c r="C1585" s="3"/>
      <c r="D1585" s="3"/>
      <c r="E1585" s="3"/>
      <c r="F1585" s="2">
        <f>IFERROR(__xludf.DUMMYFUNCTION("""COMPUTED_VALUE"""),25.0)</f>
        <v>25</v>
      </c>
      <c r="G1585" s="2">
        <f t="shared" si="2"/>
        <v>25</v>
      </c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>
      <c r="B1586" s="3"/>
      <c r="C1586" s="3"/>
      <c r="D1586" s="3"/>
      <c r="E1586" s="3"/>
      <c r="F1586" s="2">
        <f>IFERROR(__xludf.DUMMYFUNCTION("""COMPUTED_VALUE"""),14.04)</f>
        <v>14.04</v>
      </c>
      <c r="G1586" s="2">
        <f t="shared" si="2"/>
        <v>14</v>
      </c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>
      <c r="B1587" s="3"/>
      <c r="C1587" s="3"/>
      <c r="D1587" s="3"/>
      <c r="E1587" s="3"/>
      <c r="F1587" s="2">
        <f>IFERROR(__xludf.DUMMYFUNCTION("""COMPUTED_VALUE"""),16.84)</f>
        <v>16.84</v>
      </c>
      <c r="G1587" s="2">
        <f t="shared" si="2"/>
        <v>17</v>
      </c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>
      <c r="B1588" s="3"/>
      <c r="C1588" s="3"/>
      <c r="D1588" s="3"/>
      <c r="E1588" s="3"/>
      <c r="F1588" s="2">
        <f>IFERROR(__xludf.DUMMYFUNCTION("""COMPUTED_VALUE"""),14.04)</f>
        <v>14.04</v>
      </c>
      <c r="G1588" s="2">
        <f t="shared" si="2"/>
        <v>14</v>
      </c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>
      <c r="B1589" s="3"/>
      <c r="C1589" s="3"/>
      <c r="D1589" s="3"/>
      <c r="E1589" s="3"/>
      <c r="F1589" s="2">
        <f>IFERROR(__xludf.DUMMYFUNCTION("""COMPUTED_VALUE"""),61.8)</f>
        <v>61.8</v>
      </c>
      <c r="G1589" s="2">
        <f t="shared" si="2"/>
        <v>62</v>
      </c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>
      <c r="B1590" s="3"/>
      <c r="C1590" s="3"/>
      <c r="D1590" s="3"/>
      <c r="E1590" s="3"/>
      <c r="F1590" s="2">
        <f>IFERROR(__xludf.DUMMYFUNCTION("""COMPUTED_VALUE"""),45.0)</f>
        <v>45</v>
      </c>
      <c r="G1590" s="2">
        <f t="shared" si="2"/>
        <v>45</v>
      </c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>
      <c r="B1591" s="3"/>
      <c r="C1591" s="3"/>
      <c r="D1591" s="3"/>
      <c r="E1591" s="3"/>
      <c r="F1591" s="2">
        <f>IFERROR(__xludf.DUMMYFUNCTION("""COMPUTED_VALUE"""),114.24)</f>
        <v>114.24</v>
      </c>
      <c r="G1591" s="2">
        <f t="shared" si="2"/>
        <v>114</v>
      </c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>
      <c r="B1592" s="3"/>
      <c r="C1592" s="3"/>
      <c r="D1592" s="3"/>
      <c r="E1592" s="3"/>
      <c r="F1592" s="2">
        <f>IFERROR(__xludf.DUMMYFUNCTION("""COMPUTED_VALUE"""),68.92)</f>
        <v>68.92</v>
      </c>
      <c r="G1592" s="2">
        <f t="shared" si="2"/>
        <v>69</v>
      </c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>
      <c r="B1593" s="3"/>
      <c r="C1593" s="3"/>
      <c r="D1593" s="3"/>
      <c r="E1593" s="3"/>
      <c r="F1593" s="2">
        <f>IFERROR(__xludf.DUMMYFUNCTION("""COMPUTED_VALUE"""),61.8)</f>
        <v>61.8</v>
      </c>
      <c r="G1593" s="2">
        <f t="shared" si="2"/>
        <v>62</v>
      </c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>
      <c r="B1594" s="3"/>
      <c r="C1594" s="3"/>
      <c r="D1594" s="3"/>
      <c r="E1594" s="3"/>
      <c r="F1594" s="2">
        <f>IFERROR(__xludf.DUMMYFUNCTION("""COMPUTED_VALUE"""),13.0)</f>
        <v>13</v>
      </c>
      <c r="G1594" s="2">
        <f t="shared" si="2"/>
        <v>13</v>
      </c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>
      <c r="B1595" s="3"/>
      <c r="C1595" s="3"/>
      <c r="D1595" s="3"/>
      <c r="E1595" s="3"/>
      <c r="F1595" s="2">
        <f>IFERROR(__xludf.DUMMYFUNCTION("""COMPUTED_VALUE"""),76.92)</f>
        <v>76.92</v>
      </c>
      <c r="G1595" s="2">
        <f t="shared" si="2"/>
        <v>77</v>
      </c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>
      <c r="B1596" s="3"/>
      <c r="C1596" s="3"/>
      <c r="D1596" s="3"/>
      <c r="E1596" s="3"/>
      <c r="F1596" s="2">
        <f>IFERROR(__xludf.DUMMYFUNCTION("""COMPUTED_VALUE"""),14.04)</f>
        <v>14.04</v>
      </c>
      <c r="G1596" s="2">
        <f t="shared" si="2"/>
        <v>14</v>
      </c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>
      <c r="B1597" s="3"/>
      <c r="C1597" s="3"/>
      <c r="D1597" s="3"/>
      <c r="E1597" s="3"/>
      <c r="F1597" s="2">
        <f>IFERROR(__xludf.DUMMYFUNCTION("""COMPUTED_VALUE"""),22.6)</f>
        <v>22.6</v>
      </c>
      <c r="G1597" s="2">
        <f t="shared" si="2"/>
        <v>23</v>
      </c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>
      <c r="B1598" s="3"/>
      <c r="C1598" s="3"/>
      <c r="D1598" s="3"/>
      <c r="E1598" s="3"/>
      <c r="F1598" s="2">
        <f>IFERROR(__xludf.DUMMYFUNCTION("""COMPUTED_VALUE"""),26.16)</f>
        <v>26.16</v>
      </c>
      <c r="G1598" s="2">
        <f t="shared" si="2"/>
        <v>26</v>
      </c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>
      <c r="B1599" s="3"/>
      <c r="C1599" s="3"/>
      <c r="D1599" s="3"/>
      <c r="E1599" s="3"/>
      <c r="F1599" s="2">
        <f>IFERROR(__xludf.DUMMYFUNCTION("""COMPUTED_VALUE"""),114.24)</f>
        <v>114.24</v>
      </c>
      <c r="G1599" s="2">
        <f t="shared" si="2"/>
        <v>114</v>
      </c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>
      <c r="B1600" s="3"/>
      <c r="C1600" s="3"/>
      <c r="D1600" s="3"/>
      <c r="E1600" s="3"/>
      <c r="F1600" s="2">
        <f>IFERROR(__xludf.DUMMYFUNCTION("""COMPUTED_VALUE"""),24.84)</f>
        <v>24.84</v>
      </c>
      <c r="G1600" s="2">
        <f t="shared" si="2"/>
        <v>25</v>
      </c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>
      <c r="B1601" s="3"/>
      <c r="C1601" s="3"/>
      <c r="D1601" s="3"/>
      <c r="E1601" s="3"/>
      <c r="F1601" s="2">
        <f>IFERROR(__xludf.DUMMYFUNCTION("""COMPUTED_VALUE"""),57.0)</f>
        <v>57</v>
      </c>
      <c r="G1601" s="2">
        <f t="shared" si="2"/>
        <v>57</v>
      </c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>
      <c r="B1602" s="3"/>
      <c r="C1602" s="3"/>
      <c r="D1602" s="3"/>
      <c r="E1602" s="3"/>
      <c r="F1602" s="2">
        <f>IFERROR(__xludf.DUMMYFUNCTION("""COMPUTED_VALUE"""),17.0)</f>
        <v>17</v>
      </c>
      <c r="G1602" s="2">
        <f t="shared" si="2"/>
        <v>17</v>
      </c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>
      <c r="B1603" s="3"/>
      <c r="C1603" s="3"/>
      <c r="D1603" s="3"/>
      <c r="E1603" s="3"/>
      <c r="F1603" s="2">
        <f>IFERROR(__xludf.DUMMYFUNCTION("""COMPUTED_VALUE"""),26.16)</f>
        <v>26.16</v>
      </c>
      <c r="G1603" s="2">
        <f t="shared" si="2"/>
        <v>26</v>
      </c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>
      <c r="B1604" s="3"/>
      <c r="C1604" s="3"/>
      <c r="D1604" s="3"/>
      <c r="E1604" s="3"/>
      <c r="F1604" s="2">
        <f>IFERROR(__xludf.DUMMYFUNCTION("""COMPUTED_VALUE"""),13.0)</f>
        <v>13</v>
      </c>
      <c r="G1604" s="2">
        <f t="shared" si="2"/>
        <v>13</v>
      </c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>
      <c r="B1605" s="3"/>
      <c r="C1605" s="3"/>
      <c r="D1605" s="3"/>
      <c r="E1605" s="3"/>
      <c r="F1605" s="2">
        <f>IFERROR(__xludf.DUMMYFUNCTION("""COMPUTED_VALUE"""),16.84)</f>
        <v>16.84</v>
      </c>
      <c r="G1605" s="2">
        <f t="shared" si="2"/>
        <v>17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>
      <c r="B1606" s="3"/>
      <c r="C1606" s="3"/>
      <c r="D1606" s="3"/>
      <c r="E1606" s="3"/>
      <c r="F1606" s="2">
        <f>IFERROR(__xludf.DUMMYFUNCTION("""COMPUTED_VALUE"""),29.0)</f>
        <v>29</v>
      </c>
      <c r="G1606" s="2">
        <f t="shared" si="2"/>
        <v>29</v>
      </c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>
      <c r="B1607" s="3"/>
      <c r="C1607" s="3"/>
      <c r="D1607" s="3"/>
      <c r="E1607" s="3"/>
      <c r="F1607" s="2">
        <f>IFERROR(__xludf.DUMMYFUNCTION("""COMPUTED_VALUE"""),26.16)</f>
        <v>26.16</v>
      </c>
      <c r="G1607" s="2">
        <f t="shared" si="2"/>
        <v>26</v>
      </c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>
      <c r="B1608" s="3"/>
      <c r="C1608" s="3"/>
      <c r="D1608" s="3"/>
      <c r="E1608" s="3"/>
      <c r="F1608" s="2">
        <f>IFERROR(__xludf.DUMMYFUNCTION("""COMPUTED_VALUE"""),32.48)</f>
        <v>32.48</v>
      </c>
      <c r="G1608" s="2">
        <f t="shared" si="2"/>
        <v>32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>
      <c r="B1609" s="3"/>
      <c r="C1609" s="3"/>
      <c r="D1609" s="3"/>
      <c r="E1609" s="3"/>
      <c r="F1609" s="2">
        <f>IFERROR(__xludf.DUMMYFUNCTION("""COMPUTED_VALUE"""),48.96)</f>
        <v>48.96</v>
      </c>
      <c r="G1609" s="2">
        <f t="shared" si="2"/>
        <v>49</v>
      </c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>
      <c r="B1610" s="3"/>
      <c r="C1610" s="3"/>
      <c r="D1610" s="3"/>
      <c r="E1610" s="3"/>
      <c r="F1610" s="2">
        <f>IFERROR(__xludf.DUMMYFUNCTION("""COMPUTED_VALUE"""),68.92)</f>
        <v>68.92</v>
      </c>
      <c r="G1610" s="2">
        <f t="shared" si="2"/>
        <v>69</v>
      </c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>
      <c r="B1611" s="3"/>
      <c r="C1611" s="3"/>
      <c r="D1611" s="3"/>
      <c r="E1611" s="3"/>
      <c r="F1611" s="2">
        <f>IFERROR(__xludf.DUMMYFUNCTION("""COMPUTED_VALUE"""),24.84)</f>
        <v>24.84</v>
      </c>
      <c r="G1611" s="2">
        <f t="shared" si="2"/>
        <v>25</v>
      </c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>
      <c r="B1612" s="3"/>
      <c r="C1612" s="3"/>
      <c r="D1612" s="3"/>
      <c r="E1612" s="3"/>
      <c r="F1612" s="2">
        <f>IFERROR(__xludf.DUMMYFUNCTION("""COMPUTED_VALUE"""),25.0)</f>
        <v>25</v>
      </c>
      <c r="G1612" s="2">
        <f t="shared" si="2"/>
        <v>25</v>
      </c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>
      <c r="B1613" s="3"/>
      <c r="C1613" s="3"/>
      <c r="D1613" s="3"/>
      <c r="E1613" s="3"/>
      <c r="F1613" s="2">
        <f>IFERROR(__xludf.DUMMYFUNCTION("""COMPUTED_VALUE"""),34.16)</f>
        <v>34.16</v>
      </c>
      <c r="G1613" s="2">
        <f t="shared" si="2"/>
        <v>34</v>
      </c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>
      <c r="B1614" s="3"/>
      <c r="C1614" s="3"/>
      <c r="D1614" s="3"/>
      <c r="E1614" s="3"/>
      <c r="F1614" s="2">
        <f>IFERROR(__xludf.DUMMYFUNCTION("""COMPUTED_VALUE"""),26.16)</f>
        <v>26.16</v>
      </c>
      <c r="G1614" s="2">
        <f t="shared" si="2"/>
        <v>26</v>
      </c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>
      <c r="B1615" s="3"/>
      <c r="C1615" s="3"/>
      <c r="D1615" s="3"/>
      <c r="E1615" s="3"/>
      <c r="F1615" s="2">
        <f>IFERROR(__xludf.DUMMYFUNCTION("""COMPUTED_VALUE"""),14.04)</f>
        <v>14.04</v>
      </c>
      <c r="G1615" s="2">
        <f t="shared" si="2"/>
        <v>14</v>
      </c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>
      <c r="B1616" s="3"/>
      <c r="C1616" s="3"/>
      <c r="D1616" s="3"/>
      <c r="E1616" s="3"/>
      <c r="F1616" s="2">
        <f>IFERROR(__xludf.DUMMYFUNCTION("""COMPUTED_VALUE"""),17.0)</f>
        <v>17</v>
      </c>
      <c r="G1616" s="2">
        <f t="shared" si="2"/>
        <v>17</v>
      </c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>
      <c r="B1617" s="3"/>
      <c r="C1617" s="3"/>
      <c r="D1617" s="3"/>
      <c r="E1617" s="3"/>
      <c r="F1617" s="2">
        <f>IFERROR(__xludf.DUMMYFUNCTION("""COMPUTED_VALUE"""),32.48)</f>
        <v>32.48</v>
      </c>
      <c r="G1617" s="2">
        <f t="shared" si="2"/>
        <v>32</v>
      </c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>
      <c r="B1618" s="3"/>
      <c r="C1618" s="3"/>
      <c r="D1618" s="3"/>
      <c r="E1618" s="3"/>
      <c r="F1618" s="2">
        <f>IFERROR(__xludf.DUMMYFUNCTION("""COMPUTED_VALUE"""),13.0)</f>
        <v>13</v>
      </c>
      <c r="G1618" s="2">
        <f t="shared" si="2"/>
        <v>13</v>
      </c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>
      <c r="B1619" s="3"/>
      <c r="C1619" s="3"/>
      <c r="D1619" s="3"/>
      <c r="E1619" s="3"/>
      <c r="F1619" s="2">
        <f>IFERROR(__xludf.DUMMYFUNCTION("""COMPUTED_VALUE"""),20.84)</f>
        <v>20.84</v>
      </c>
      <c r="G1619" s="2">
        <f t="shared" si="2"/>
        <v>21</v>
      </c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>
      <c r="B1620" s="3"/>
      <c r="C1620" s="3"/>
      <c r="D1620" s="3"/>
      <c r="E1620" s="3"/>
      <c r="F1620" s="2">
        <f>IFERROR(__xludf.DUMMYFUNCTION("""COMPUTED_VALUE"""),26.16)</f>
        <v>26.16</v>
      </c>
      <c r="G1620" s="2">
        <f t="shared" si="2"/>
        <v>26</v>
      </c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>
      <c r="B1621" s="3"/>
      <c r="C1621" s="3"/>
      <c r="D1621" s="3"/>
      <c r="E1621" s="3"/>
      <c r="F1621" s="2">
        <f>IFERROR(__xludf.DUMMYFUNCTION("""COMPUTED_VALUE"""),44.92)</f>
        <v>44.92</v>
      </c>
      <c r="G1621" s="2">
        <f t="shared" si="2"/>
        <v>45</v>
      </c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>
      <c r="B1622" s="3"/>
      <c r="C1622" s="3"/>
      <c r="D1622" s="3"/>
      <c r="E1622" s="3"/>
      <c r="F1622" s="2">
        <f>IFERROR(__xludf.DUMMYFUNCTION("""COMPUTED_VALUE"""),74.24)</f>
        <v>74.24</v>
      </c>
      <c r="G1622" s="2">
        <f t="shared" si="2"/>
        <v>74</v>
      </c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>
      <c r="B1623" s="3"/>
      <c r="C1623" s="3"/>
      <c r="D1623" s="3"/>
      <c r="E1623" s="3"/>
      <c r="F1623" s="2">
        <f>IFERROR(__xludf.DUMMYFUNCTION("""COMPUTED_VALUE"""),24.84)</f>
        <v>24.84</v>
      </c>
      <c r="G1623" s="2">
        <f t="shared" si="2"/>
        <v>25</v>
      </c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>
      <c r="B1624" s="3"/>
      <c r="C1624" s="3"/>
      <c r="D1624" s="3"/>
      <c r="E1624" s="3"/>
      <c r="F1624" s="2">
        <f>IFERROR(__xludf.DUMMYFUNCTION("""COMPUTED_VALUE"""),21.8)</f>
        <v>21.8</v>
      </c>
      <c r="G1624" s="2">
        <f t="shared" si="2"/>
        <v>22</v>
      </c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>
      <c r="B1625" s="3"/>
      <c r="C1625" s="3"/>
      <c r="D1625" s="3"/>
      <c r="E1625" s="3"/>
      <c r="F1625" s="2">
        <f>IFERROR(__xludf.DUMMYFUNCTION("""COMPUTED_VALUE"""),76.92)</f>
        <v>76.92</v>
      </c>
      <c r="G1625" s="2">
        <f t="shared" si="2"/>
        <v>77</v>
      </c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>
      <c r="B1626" s="3"/>
      <c r="C1626" s="3"/>
      <c r="D1626" s="3"/>
      <c r="E1626" s="3"/>
      <c r="F1626" s="2">
        <f>IFERROR(__xludf.DUMMYFUNCTION("""COMPUTED_VALUE"""),14.6)</f>
        <v>14.6</v>
      </c>
      <c r="G1626" s="2">
        <f t="shared" si="2"/>
        <v>15</v>
      </c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>
      <c r="B1627" s="3"/>
      <c r="C1627" s="3"/>
      <c r="D1627" s="3"/>
      <c r="E1627" s="3"/>
      <c r="F1627" s="2">
        <f>IFERROR(__xludf.DUMMYFUNCTION("""COMPUTED_VALUE"""),24.84)</f>
        <v>24.84</v>
      </c>
      <c r="G1627" s="2">
        <f t="shared" si="2"/>
        <v>25</v>
      </c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>
      <c r="B1628" s="3"/>
      <c r="C1628" s="3"/>
      <c r="D1628" s="3"/>
      <c r="E1628" s="3"/>
      <c r="F1628" s="2">
        <f>IFERROR(__xludf.DUMMYFUNCTION("""COMPUTED_VALUE"""),37.8)</f>
        <v>37.8</v>
      </c>
      <c r="G1628" s="2">
        <f t="shared" si="2"/>
        <v>38</v>
      </c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>
      <c r="B1629" s="3"/>
      <c r="C1629" s="3"/>
      <c r="D1629" s="3"/>
      <c r="E1629" s="3"/>
      <c r="F1629" s="2">
        <f>IFERROR(__xludf.DUMMYFUNCTION("""COMPUTED_VALUE"""),37.8)</f>
        <v>37.8</v>
      </c>
      <c r="G1629" s="2">
        <f t="shared" si="2"/>
        <v>38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>
      <c r="B1630" s="3"/>
      <c r="C1630" s="3"/>
      <c r="D1630" s="3"/>
      <c r="E1630" s="3"/>
      <c r="F1630" s="2">
        <f>IFERROR(__xludf.DUMMYFUNCTION("""COMPUTED_VALUE"""),29.0)</f>
        <v>29</v>
      </c>
      <c r="G1630" s="2">
        <f t="shared" si="2"/>
        <v>29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>
      <c r="B1631" s="3"/>
      <c r="C1631" s="3"/>
      <c r="D1631" s="3"/>
      <c r="E1631" s="3"/>
      <c r="F1631" s="2">
        <f>IFERROR(__xludf.DUMMYFUNCTION("""COMPUTED_VALUE"""),68.92)</f>
        <v>68.92</v>
      </c>
      <c r="G1631" s="2">
        <f t="shared" si="2"/>
        <v>69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>
      <c r="B1632" s="3"/>
      <c r="C1632" s="3"/>
      <c r="D1632" s="3"/>
      <c r="E1632" s="3"/>
      <c r="F1632" s="2">
        <f>IFERROR(__xludf.DUMMYFUNCTION("""COMPUTED_VALUE"""),29.0)</f>
        <v>29</v>
      </c>
      <c r="G1632" s="2">
        <f t="shared" si="2"/>
        <v>29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>
      <c r="B1633" s="3"/>
      <c r="C1633" s="3"/>
      <c r="D1633" s="3"/>
      <c r="E1633" s="3"/>
      <c r="F1633" s="2">
        <f>IFERROR(__xludf.DUMMYFUNCTION("""COMPUTED_VALUE"""),25.0)</f>
        <v>25</v>
      </c>
      <c r="G1633" s="2">
        <f t="shared" si="2"/>
        <v>25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>
      <c r="B1634" s="3"/>
      <c r="C1634" s="3"/>
      <c r="D1634" s="3"/>
      <c r="E1634" s="3"/>
      <c r="F1634" s="2">
        <f>IFERROR(__xludf.DUMMYFUNCTION("""COMPUTED_VALUE"""),14.6)</f>
        <v>14.6</v>
      </c>
      <c r="G1634" s="2">
        <f t="shared" si="2"/>
        <v>15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>
      <c r="B1635" s="3"/>
      <c r="C1635" s="3"/>
      <c r="D1635" s="3"/>
      <c r="E1635" s="3"/>
      <c r="F1635" s="2">
        <f>IFERROR(__xludf.DUMMYFUNCTION("""COMPUTED_VALUE"""),17.0)</f>
        <v>17</v>
      </c>
      <c r="G1635" s="2">
        <f t="shared" si="2"/>
        <v>17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>
      <c r="B1636" s="3"/>
      <c r="C1636" s="3"/>
      <c r="D1636" s="3"/>
      <c r="E1636" s="3"/>
      <c r="F1636" s="2">
        <f>IFERROR(__xludf.DUMMYFUNCTION("""COMPUTED_VALUE"""),14.6)</f>
        <v>14.6</v>
      </c>
      <c r="G1636" s="2">
        <f t="shared" si="2"/>
        <v>15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>
      <c r="B1637" s="3"/>
      <c r="C1637" s="3"/>
      <c r="D1637" s="3"/>
      <c r="E1637" s="3"/>
      <c r="F1637" s="2">
        <f>IFERROR(__xludf.DUMMYFUNCTION("""COMPUTED_VALUE"""),13.0)</f>
        <v>13</v>
      </c>
      <c r="G1637" s="2">
        <f t="shared" si="2"/>
        <v>13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>
      <c r="B1638" s="3"/>
      <c r="C1638" s="3"/>
      <c r="D1638" s="3"/>
      <c r="E1638" s="3"/>
      <c r="F1638" s="2">
        <f>IFERROR(__xludf.DUMMYFUNCTION("""COMPUTED_VALUE"""),26.16)</f>
        <v>26.16</v>
      </c>
      <c r="G1638" s="2">
        <f t="shared" si="2"/>
        <v>26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>
      <c r="B1639" s="3"/>
      <c r="C1639" s="3"/>
      <c r="D1639" s="3"/>
      <c r="E1639" s="3"/>
      <c r="F1639" s="2">
        <f>IFERROR(__xludf.DUMMYFUNCTION("""COMPUTED_VALUE"""),32.48)</f>
        <v>32.48</v>
      </c>
      <c r="G1639" s="2">
        <f t="shared" si="2"/>
        <v>32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>
      <c r="B1640" s="3"/>
      <c r="C1640" s="3"/>
      <c r="D1640" s="3"/>
      <c r="E1640" s="3"/>
      <c r="F1640" s="2">
        <f>IFERROR(__xludf.DUMMYFUNCTION("""COMPUTED_VALUE"""),22.6)</f>
        <v>22.6</v>
      </c>
      <c r="G1640" s="2">
        <f t="shared" si="2"/>
        <v>23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>
      <c r="B1641" s="3"/>
      <c r="C1641" s="3"/>
      <c r="D1641" s="3"/>
      <c r="E1641" s="3"/>
      <c r="F1641" s="2">
        <f>IFERROR(__xludf.DUMMYFUNCTION("""COMPUTED_VALUE"""),60.92)</f>
        <v>60.92</v>
      </c>
      <c r="G1641" s="2">
        <f t="shared" si="2"/>
        <v>61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>
      <c r="B1642" s="3"/>
      <c r="C1642" s="3"/>
      <c r="D1642" s="3"/>
      <c r="E1642" s="3"/>
      <c r="F1642" s="2">
        <f>IFERROR(__xludf.DUMMYFUNCTION("""COMPUTED_VALUE"""),26.16)</f>
        <v>26.16</v>
      </c>
      <c r="G1642" s="2">
        <f t="shared" si="2"/>
        <v>26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>
      <c r="B1643" s="3"/>
      <c r="C1643" s="3"/>
      <c r="D1643" s="3"/>
      <c r="E1643" s="3"/>
      <c r="F1643" s="2">
        <f>IFERROR(__xludf.DUMMYFUNCTION("""COMPUTED_VALUE"""),49.44)</f>
        <v>49.44</v>
      </c>
      <c r="G1643" s="2">
        <f t="shared" si="2"/>
        <v>49</v>
      </c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>
      <c r="B1644" s="3"/>
      <c r="C1644" s="3"/>
      <c r="D1644" s="3"/>
      <c r="E1644" s="3"/>
      <c r="F1644" s="2">
        <f>IFERROR(__xludf.DUMMYFUNCTION("""COMPUTED_VALUE"""),16.84)</f>
        <v>16.84</v>
      </c>
      <c r="G1644" s="2">
        <f t="shared" si="2"/>
        <v>17</v>
      </c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>
      <c r="B1645" s="3"/>
      <c r="C1645" s="3"/>
      <c r="D1645" s="3"/>
      <c r="E1645" s="3"/>
      <c r="F1645" s="2">
        <f>IFERROR(__xludf.DUMMYFUNCTION("""COMPUTED_VALUE"""),48.96)</f>
        <v>48.96</v>
      </c>
      <c r="G1645" s="2">
        <f t="shared" si="2"/>
        <v>49</v>
      </c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>
      <c r="B1646" s="3"/>
      <c r="C1646" s="3"/>
      <c r="D1646" s="3"/>
      <c r="E1646" s="3"/>
      <c r="F1646" s="2">
        <f>IFERROR(__xludf.DUMMYFUNCTION("""COMPUTED_VALUE"""),34.16)</f>
        <v>34.16</v>
      </c>
      <c r="G1646" s="2">
        <f t="shared" si="2"/>
        <v>34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>
      <c r="B1647" s="3"/>
      <c r="C1647" s="3"/>
      <c r="D1647" s="3"/>
      <c r="E1647" s="3"/>
      <c r="F1647" s="2">
        <f>IFERROR(__xludf.DUMMYFUNCTION("""COMPUTED_VALUE"""),14.6)</f>
        <v>14.6</v>
      </c>
      <c r="G1647" s="2">
        <f t="shared" si="2"/>
        <v>15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>
      <c r="B1648" s="3"/>
      <c r="C1648" s="3"/>
      <c r="D1648" s="3"/>
      <c r="E1648" s="3"/>
      <c r="F1648" s="2">
        <f>IFERROR(__xludf.DUMMYFUNCTION("""COMPUTED_VALUE"""),34.16)</f>
        <v>34.16</v>
      </c>
      <c r="G1648" s="2">
        <f t="shared" si="2"/>
        <v>34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>
      <c r="B1649" s="3"/>
      <c r="C1649" s="3"/>
      <c r="D1649" s="3"/>
      <c r="E1649" s="3"/>
      <c r="F1649" s="2">
        <f>IFERROR(__xludf.DUMMYFUNCTION("""COMPUTED_VALUE"""),26.16)</f>
        <v>26.16</v>
      </c>
      <c r="G1649" s="2">
        <f t="shared" si="2"/>
        <v>26</v>
      </c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</row>
    <row r="1650">
      <c r="B1650" s="3"/>
      <c r="C1650" s="3"/>
      <c r="D1650" s="3"/>
      <c r="E1650" s="3"/>
      <c r="F1650" s="2">
        <f>IFERROR(__xludf.DUMMYFUNCTION("""COMPUTED_VALUE"""),44.92)</f>
        <v>44.92</v>
      </c>
      <c r="G1650" s="2">
        <f t="shared" si="2"/>
        <v>45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</row>
    <row r="1651">
      <c r="B1651" s="3"/>
      <c r="C1651" s="3"/>
      <c r="D1651" s="3"/>
      <c r="E1651" s="3"/>
      <c r="F1651" s="2">
        <f>IFERROR(__xludf.DUMMYFUNCTION("""COMPUTED_VALUE"""),48.96)</f>
        <v>48.96</v>
      </c>
      <c r="G1651" s="2">
        <f t="shared" si="2"/>
        <v>49</v>
      </c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</row>
    <row r="1652">
      <c r="B1652" s="3"/>
      <c r="C1652" s="3"/>
      <c r="D1652" s="3"/>
      <c r="E1652" s="3"/>
      <c r="F1652" s="2">
        <f>IFERROR(__xludf.DUMMYFUNCTION("""COMPUTED_VALUE"""),26.16)</f>
        <v>26.16</v>
      </c>
      <c r="G1652" s="2">
        <f t="shared" si="2"/>
        <v>26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</row>
    <row r="1653">
      <c r="B1653" s="3"/>
      <c r="C1653" s="3"/>
      <c r="D1653" s="3"/>
      <c r="E1653" s="3"/>
      <c r="F1653" s="2">
        <f>IFERROR(__xludf.DUMMYFUNCTION("""COMPUTED_VALUE"""),57.0)</f>
        <v>57</v>
      </c>
      <c r="G1653" s="2">
        <f t="shared" si="2"/>
        <v>57</v>
      </c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</row>
    <row r="1654">
      <c r="B1654" s="3"/>
      <c r="C1654" s="3"/>
      <c r="D1654" s="3"/>
      <c r="E1654" s="3"/>
      <c r="F1654" s="2">
        <f>IFERROR(__xludf.DUMMYFUNCTION("""COMPUTED_VALUE"""),26.16)</f>
        <v>26.16</v>
      </c>
      <c r="G1654" s="2">
        <f t="shared" si="2"/>
        <v>26</v>
      </c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</row>
    <row r="1655">
      <c r="B1655" s="3"/>
      <c r="C1655" s="3"/>
      <c r="D1655" s="3"/>
      <c r="E1655" s="3"/>
      <c r="F1655" s="2">
        <f>IFERROR(__xludf.DUMMYFUNCTION("""COMPUTED_VALUE"""),45.0)</f>
        <v>45</v>
      </c>
      <c r="G1655" s="2">
        <f t="shared" si="2"/>
        <v>45</v>
      </c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</row>
    <row r="1656">
      <c r="B1656" s="3"/>
      <c r="C1656" s="3"/>
      <c r="D1656" s="3"/>
      <c r="E1656" s="3"/>
      <c r="F1656" s="2">
        <f>IFERROR(__xludf.DUMMYFUNCTION("""COMPUTED_VALUE"""),54.16)</f>
        <v>54.16</v>
      </c>
      <c r="G1656" s="2">
        <f t="shared" si="2"/>
        <v>54</v>
      </c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</row>
    <row r="1657">
      <c r="B1657" s="3"/>
      <c r="C1657" s="3"/>
      <c r="D1657" s="3"/>
      <c r="E1657" s="3"/>
      <c r="F1657" s="2">
        <f>IFERROR(__xludf.DUMMYFUNCTION("""COMPUTED_VALUE"""),34.16)</f>
        <v>34.16</v>
      </c>
      <c r="G1657" s="2">
        <f t="shared" si="2"/>
        <v>34</v>
      </c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</row>
    <row r="1658">
      <c r="B1658" s="3"/>
      <c r="C1658" s="3"/>
      <c r="D1658" s="3"/>
      <c r="E1658" s="3"/>
      <c r="F1658" s="2">
        <f>IFERROR(__xludf.DUMMYFUNCTION("""COMPUTED_VALUE"""),26.16)</f>
        <v>26.16</v>
      </c>
      <c r="G1658" s="2">
        <f t="shared" si="2"/>
        <v>26</v>
      </c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</row>
    <row r="1659">
      <c r="B1659" s="3"/>
      <c r="C1659" s="3"/>
      <c r="D1659" s="3"/>
      <c r="E1659" s="3"/>
      <c r="F1659" s="2">
        <f>IFERROR(__xludf.DUMMYFUNCTION("""COMPUTED_VALUE"""),48.96)</f>
        <v>48.96</v>
      </c>
      <c r="G1659" s="2">
        <f t="shared" si="2"/>
        <v>49</v>
      </c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</row>
    <row r="1660">
      <c r="B1660" s="3"/>
      <c r="C1660" s="3"/>
      <c r="D1660" s="3"/>
      <c r="E1660" s="3"/>
      <c r="F1660" s="2">
        <f>IFERROR(__xludf.DUMMYFUNCTION("""COMPUTED_VALUE"""),57.0)</f>
        <v>57</v>
      </c>
      <c r="G1660" s="2">
        <f t="shared" si="2"/>
        <v>57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</row>
    <row r="1661">
      <c r="B1661" s="3"/>
      <c r="C1661" s="3"/>
      <c r="D1661" s="3"/>
      <c r="E1661" s="3"/>
      <c r="F1661" s="2">
        <f>IFERROR(__xludf.DUMMYFUNCTION("""COMPUTED_VALUE"""),24.84)</f>
        <v>24.84</v>
      </c>
      <c r="G1661" s="2">
        <f t="shared" si="2"/>
        <v>25</v>
      </c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</row>
    <row r="1662">
      <c r="B1662" s="3"/>
      <c r="C1662" s="3"/>
      <c r="D1662" s="3"/>
      <c r="E1662" s="3"/>
      <c r="F1662" s="2">
        <f>IFERROR(__xludf.DUMMYFUNCTION("""COMPUTED_VALUE"""),38.16)</f>
        <v>38.16</v>
      </c>
      <c r="G1662" s="2">
        <f t="shared" si="2"/>
        <v>38</v>
      </c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</row>
    <row r="1663">
      <c r="B1663" s="3"/>
      <c r="C1663" s="3"/>
      <c r="D1663" s="3"/>
      <c r="E1663" s="3"/>
      <c r="F1663" s="2">
        <f>IFERROR(__xludf.DUMMYFUNCTION("""COMPUTED_VALUE"""),20.84)</f>
        <v>20.84</v>
      </c>
      <c r="G1663" s="2">
        <f t="shared" si="2"/>
        <v>21</v>
      </c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</row>
    <row r="1664">
      <c r="B1664" s="3"/>
      <c r="C1664" s="3"/>
      <c r="D1664" s="3"/>
      <c r="E1664" s="3"/>
      <c r="F1664" s="2">
        <f>IFERROR(__xludf.DUMMYFUNCTION("""COMPUTED_VALUE"""),34.16)</f>
        <v>34.16</v>
      </c>
      <c r="G1664" s="2">
        <f t="shared" si="2"/>
        <v>34</v>
      </c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</row>
    <row r="1665">
      <c r="B1665" s="3"/>
      <c r="C1665" s="3"/>
      <c r="D1665" s="3"/>
      <c r="E1665" s="3"/>
      <c r="F1665" s="2">
        <f>IFERROR(__xludf.DUMMYFUNCTION("""COMPUTED_VALUE"""),13.0)</f>
        <v>13</v>
      </c>
      <c r="G1665" s="2">
        <f t="shared" si="2"/>
        <v>13</v>
      </c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</row>
    <row r="1666">
      <c r="B1666" s="3"/>
      <c r="C1666" s="3"/>
      <c r="D1666" s="3"/>
      <c r="E1666" s="3"/>
      <c r="F1666" s="2">
        <f>IFERROR(__xludf.DUMMYFUNCTION("""COMPUTED_VALUE"""),38.16)</f>
        <v>38.16</v>
      </c>
      <c r="G1666" s="2">
        <f t="shared" si="2"/>
        <v>38</v>
      </c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</row>
    <row r="1667">
      <c r="B1667" s="3"/>
      <c r="C1667" s="3"/>
      <c r="D1667" s="3"/>
      <c r="E1667" s="3"/>
      <c r="F1667" s="2">
        <f>IFERROR(__xludf.DUMMYFUNCTION("""COMPUTED_VALUE"""),45.0)</f>
        <v>45</v>
      </c>
      <c r="G1667" s="2">
        <f t="shared" si="2"/>
        <v>45</v>
      </c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</row>
    <row r="1668">
      <c r="B1668" s="3"/>
      <c r="C1668" s="3"/>
      <c r="D1668" s="3"/>
      <c r="E1668" s="3"/>
      <c r="F1668" s="2">
        <f>IFERROR(__xludf.DUMMYFUNCTION("""COMPUTED_VALUE"""),57.0)</f>
        <v>57</v>
      </c>
      <c r="G1668" s="2">
        <f t="shared" si="2"/>
        <v>57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</row>
    <row r="1669">
      <c r="B1669" s="3"/>
      <c r="C1669" s="3"/>
      <c r="D1669" s="3"/>
      <c r="E1669" s="3"/>
      <c r="F1669" s="2">
        <f>IFERROR(__xludf.DUMMYFUNCTION("""COMPUTED_VALUE"""),64.84)</f>
        <v>64.84</v>
      </c>
      <c r="G1669" s="2">
        <f t="shared" si="2"/>
        <v>65</v>
      </c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</row>
    <row r="1670">
      <c r="B1670" s="3"/>
      <c r="C1670" s="3"/>
      <c r="D1670" s="3"/>
      <c r="E1670" s="3"/>
      <c r="F1670" s="2">
        <f>IFERROR(__xludf.DUMMYFUNCTION("""COMPUTED_VALUE"""),50.24)</f>
        <v>50.24</v>
      </c>
      <c r="G1670" s="2">
        <f t="shared" si="2"/>
        <v>50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</row>
    <row r="1671">
      <c r="B1671" s="3"/>
      <c r="C1671" s="3"/>
      <c r="D1671" s="3"/>
      <c r="E1671" s="3"/>
      <c r="F1671" s="2">
        <f>IFERROR(__xludf.DUMMYFUNCTION("""COMPUTED_VALUE"""),14.04)</f>
        <v>14.04</v>
      </c>
      <c r="G1671" s="2">
        <f t="shared" si="2"/>
        <v>14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</row>
    <row r="1672">
      <c r="B1672" s="3"/>
      <c r="C1672" s="3"/>
      <c r="D1672" s="3"/>
      <c r="E1672" s="3"/>
      <c r="F1672" s="2">
        <f>IFERROR(__xludf.DUMMYFUNCTION("""COMPUTED_VALUE"""),26.16)</f>
        <v>26.16</v>
      </c>
      <c r="G1672" s="2">
        <f t="shared" si="2"/>
        <v>26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</row>
    <row r="1673">
      <c r="B1673" s="3"/>
      <c r="C1673" s="3"/>
      <c r="D1673" s="3"/>
      <c r="E1673" s="3"/>
      <c r="F1673" s="2">
        <f>IFERROR(__xludf.DUMMYFUNCTION("""COMPUTED_VALUE"""),21.8)</f>
        <v>21.8</v>
      </c>
      <c r="G1673" s="2">
        <f t="shared" si="2"/>
        <v>22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</row>
    <row r="1674">
      <c r="B1674" s="3"/>
      <c r="C1674" s="3"/>
      <c r="D1674" s="3"/>
      <c r="E1674" s="3"/>
      <c r="F1674" s="2">
        <f>IFERROR(__xludf.DUMMYFUNCTION("""COMPUTED_VALUE"""),14.6)</f>
        <v>14.6</v>
      </c>
      <c r="G1674" s="2">
        <f t="shared" si="2"/>
        <v>15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</row>
    <row r="1675">
      <c r="B1675" s="3"/>
      <c r="C1675" s="3"/>
      <c r="D1675" s="3"/>
      <c r="E1675" s="3"/>
      <c r="F1675" s="2">
        <f>IFERROR(__xludf.DUMMYFUNCTION("""COMPUTED_VALUE"""),38.16)</f>
        <v>38.16</v>
      </c>
      <c r="G1675" s="2">
        <f t="shared" si="2"/>
        <v>38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</row>
    <row r="1676">
      <c r="B1676" s="3"/>
      <c r="C1676" s="3"/>
      <c r="D1676" s="3"/>
      <c r="E1676" s="3"/>
      <c r="F1676" s="2">
        <f>IFERROR(__xludf.DUMMYFUNCTION("""COMPUTED_VALUE"""),13.0)</f>
        <v>13</v>
      </c>
      <c r="G1676" s="2">
        <f t="shared" si="2"/>
        <v>13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</row>
    <row r="1677">
      <c r="B1677" s="3"/>
      <c r="C1677" s="3"/>
      <c r="D1677" s="3"/>
      <c r="E1677" s="3"/>
      <c r="F1677" s="2">
        <f>IFERROR(__xludf.DUMMYFUNCTION("""COMPUTED_VALUE"""),45.0)</f>
        <v>45</v>
      </c>
      <c r="G1677" s="2">
        <f t="shared" si="2"/>
        <v>45</v>
      </c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</row>
    <row r="1678">
      <c r="B1678" s="3"/>
      <c r="C1678" s="3"/>
      <c r="D1678" s="3"/>
      <c r="E1678" s="3"/>
      <c r="F1678" s="2">
        <f>IFERROR(__xludf.DUMMYFUNCTION("""COMPUTED_VALUE"""),114.24)</f>
        <v>114.24</v>
      </c>
      <c r="G1678" s="2">
        <f t="shared" si="2"/>
        <v>114</v>
      </c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</row>
    <row r="1679">
      <c r="B1679" s="3"/>
      <c r="C1679" s="3"/>
      <c r="D1679" s="3"/>
      <c r="E1679" s="3"/>
      <c r="F1679" s="2">
        <f>IFERROR(__xludf.DUMMYFUNCTION("""COMPUTED_VALUE"""),57.0)</f>
        <v>57</v>
      </c>
      <c r="G1679" s="2">
        <f t="shared" si="2"/>
        <v>57</v>
      </c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</row>
    <row r="1680">
      <c r="B1680" s="3"/>
      <c r="C1680" s="3"/>
      <c r="D1680" s="3"/>
      <c r="E1680" s="3"/>
      <c r="F1680" s="2">
        <f>IFERROR(__xludf.DUMMYFUNCTION("""COMPUTED_VALUE"""),16.84)</f>
        <v>16.84</v>
      </c>
      <c r="G1680" s="2">
        <f t="shared" si="2"/>
        <v>17</v>
      </c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</row>
    <row r="1681">
      <c r="B1681" s="3"/>
      <c r="C1681" s="3"/>
      <c r="D1681" s="3"/>
      <c r="E1681" s="3"/>
      <c r="F1681" s="2">
        <f>IFERROR(__xludf.DUMMYFUNCTION("""COMPUTED_VALUE"""),32.48)</f>
        <v>32.48</v>
      </c>
      <c r="G1681" s="2">
        <f t="shared" si="2"/>
        <v>32</v>
      </c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</row>
    <row r="1682">
      <c r="B1682" s="3"/>
      <c r="C1682" s="3"/>
      <c r="D1682" s="3"/>
      <c r="E1682" s="3"/>
      <c r="F1682" s="2">
        <f>IFERROR(__xludf.DUMMYFUNCTION("""COMPUTED_VALUE"""),54.16)</f>
        <v>54.16</v>
      </c>
      <c r="G1682" s="2">
        <f t="shared" si="2"/>
        <v>54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</row>
    <row r="1683">
      <c r="B1683" s="3"/>
      <c r="C1683" s="3"/>
      <c r="D1683" s="3"/>
      <c r="E1683" s="3"/>
      <c r="F1683" s="2">
        <f>IFERROR(__xludf.DUMMYFUNCTION("""COMPUTED_VALUE"""),46.16)</f>
        <v>46.16</v>
      </c>
      <c r="G1683" s="2">
        <f t="shared" si="2"/>
        <v>46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</row>
    <row r="1684">
      <c r="B1684" s="3"/>
      <c r="C1684" s="3"/>
      <c r="D1684" s="3"/>
      <c r="E1684" s="3"/>
      <c r="F1684" s="2">
        <f>IFERROR(__xludf.DUMMYFUNCTION("""COMPUTED_VALUE"""),20.84)</f>
        <v>20.84</v>
      </c>
      <c r="G1684" s="2">
        <f t="shared" si="2"/>
        <v>21</v>
      </c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</row>
    <row r="1685">
      <c r="B1685" s="3"/>
      <c r="C1685" s="3"/>
      <c r="D1685" s="3"/>
      <c r="E1685" s="3"/>
      <c r="F1685" s="2">
        <f>IFERROR(__xludf.DUMMYFUNCTION("""COMPUTED_VALUE"""),37.8)</f>
        <v>37.8</v>
      </c>
      <c r="G1685" s="2">
        <f t="shared" si="2"/>
        <v>38</v>
      </c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</row>
    <row r="1686">
      <c r="B1686" s="3"/>
      <c r="C1686" s="3"/>
      <c r="D1686" s="3"/>
      <c r="E1686" s="3"/>
      <c r="F1686" s="2">
        <f>IFERROR(__xludf.DUMMYFUNCTION("""COMPUTED_VALUE"""),74.24)</f>
        <v>74.24</v>
      </c>
      <c r="G1686" s="2">
        <f t="shared" si="2"/>
        <v>74</v>
      </c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</row>
    <row r="1687">
      <c r="B1687" s="3"/>
      <c r="C1687" s="3"/>
      <c r="D1687" s="3"/>
      <c r="E1687" s="3"/>
      <c r="F1687" s="2">
        <f>IFERROR(__xludf.DUMMYFUNCTION("""COMPUTED_VALUE"""),61.8)</f>
        <v>61.8</v>
      </c>
      <c r="G1687" s="2">
        <f t="shared" si="2"/>
        <v>62</v>
      </c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</row>
    <row r="1688">
      <c r="B1688" s="3"/>
      <c r="C1688" s="3"/>
      <c r="D1688" s="3"/>
      <c r="E1688" s="3"/>
      <c r="F1688" s="2">
        <f>IFERROR(__xludf.DUMMYFUNCTION("""COMPUTED_VALUE"""),25.0)</f>
        <v>25</v>
      </c>
      <c r="G1688" s="2">
        <f t="shared" si="2"/>
        <v>25</v>
      </c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</row>
    <row r="1689">
      <c r="B1689" s="3"/>
      <c r="C1689" s="3"/>
      <c r="D1689" s="3"/>
      <c r="E1689" s="3"/>
      <c r="F1689" s="2">
        <f>IFERROR(__xludf.DUMMYFUNCTION("""COMPUTED_VALUE"""),34.16)</f>
        <v>34.16</v>
      </c>
      <c r="G1689" s="2">
        <f t="shared" si="2"/>
        <v>34</v>
      </c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</row>
    <row r="1690">
      <c r="B1690" s="3"/>
      <c r="C1690" s="3"/>
      <c r="D1690" s="3"/>
      <c r="E1690" s="3"/>
      <c r="F1690" s="2">
        <f>IFERROR(__xludf.DUMMYFUNCTION("""COMPUTED_VALUE"""),32.48)</f>
        <v>32.48</v>
      </c>
      <c r="G1690" s="2">
        <f t="shared" si="2"/>
        <v>32</v>
      </c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</row>
    <row r="1691">
      <c r="B1691" s="3"/>
      <c r="C1691" s="3"/>
      <c r="D1691" s="3"/>
      <c r="E1691" s="3"/>
      <c r="F1691" s="2">
        <f>IFERROR(__xludf.DUMMYFUNCTION("""COMPUTED_VALUE"""),17.0)</f>
        <v>17</v>
      </c>
      <c r="G1691" s="2">
        <f t="shared" si="2"/>
        <v>17</v>
      </c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</row>
    <row r="1692">
      <c r="B1692" s="3"/>
      <c r="C1692" s="3"/>
      <c r="D1692" s="3"/>
      <c r="E1692" s="3"/>
      <c r="F1692" s="2">
        <f>IFERROR(__xludf.DUMMYFUNCTION("""COMPUTED_VALUE"""),24.84)</f>
        <v>24.84</v>
      </c>
      <c r="G1692" s="2">
        <f t="shared" si="2"/>
        <v>25</v>
      </c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</row>
    <row r="1693">
      <c r="B1693" s="3"/>
      <c r="C1693" s="3"/>
      <c r="D1693" s="3"/>
      <c r="E1693" s="3"/>
      <c r="F1693" s="2">
        <f>IFERROR(__xludf.DUMMYFUNCTION("""COMPUTED_VALUE"""),64.84)</f>
        <v>64.84</v>
      </c>
      <c r="G1693" s="2">
        <f t="shared" si="2"/>
        <v>65</v>
      </c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</row>
    <row r="1694">
      <c r="B1694" s="3"/>
      <c r="C1694" s="3"/>
      <c r="D1694" s="3"/>
      <c r="E1694" s="3"/>
      <c r="F1694" s="2">
        <f>IFERROR(__xludf.DUMMYFUNCTION("""COMPUTED_VALUE"""),24.84)</f>
        <v>24.84</v>
      </c>
      <c r="G1694" s="2">
        <f t="shared" si="2"/>
        <v>25</v>
      </c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</row>
    <row r="1695">
      <c r="B1695" s="3"/>
      <c r="C1695" s="3"/>
      <c r="D1695" s="3"/>
      <c r="E1695" s="3"/>
      <c r="F1695" s="2">
        <f>IFERROR(__xludf.DUMMYFUNCTION("""COMPUTED_VALUE"""),25.0)</f>
        <v>25</v>
      </c>
      <c r="G1695" s="2">
        <f t="shared" si="2"/>
        <v>25</v>
      </c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</row>
    <row r="1696">
      <c r="B1696" s="3"/>
      <c r="C1696" s="3"/>
      <c r="D1696" s="3"/>
      <c r="E1696" s="3"/>
      <c r="F1696" s="2">
        <f>IFERROR(__xludf.DUMMYFUNCTION("""COMPUTED_VALUE"""),60.92)</f>
        <v>60.92</v>
      </c>
      <c r="G1696" s="2">
        <f t="shared" si="2"/>
        <v>61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</row>
    <row r="1697">
      <c r="B1697" s="3"/>
      <c r="C1697" s="3"/>
      <c r="D1697" s="3"/>
      <c r="E1697" s="3"/>
      <c r="F1697" s="2">
        <f>IFERROR(__xludf.DUMMYFUNCTION("""COMPUTED_VALUE"""),17.0)</f>
        <v>17</v>
      </c>
      <c r="G1697" s="2">
        <f t="shared" si="2"/>
        <v>17</v>
      </c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</row>
    <row r="1698">
      <c r="B1698" s="3"/>
      <c r="C1698" s="3"/>
      <c r="D1698" s="3"/>
      <c r="E1698" s="3"/>
      <c r="F1698" s="2">
        <f>IFERROR(__xludf.DUMMYFUNCTION("""COMPUTED_VALUE"""),74.24)</f>
        <v>74.24</v>
      </c>
      <c r="G1698" s="2">
        <f t="shared" si="2"/>
        <v>74</v>
      </c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</row>
    <row r="1699">
      <c r="B1699" s="3"/>
      <c r="C1699" s="3"/>
      <c r="D1699" s="3"/>
      <c r="E1699" s="3"/>
      <c r="F1699" s="2">
        <f>IFERROR(__xludf.DUMMYFUNCTION("""COMPUTED_VALUE"""),61.8)</f>
        <v>61.8</v>
      </c>
      <c r="G1699" s="2">
        <f t="shared" si="2"/>
        <v>62</v>
      </c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</row>
    <row r="1700">
      <c r="B1700" s="3"/>
      <c r="C1700" s="3"/>
      <c r="D1700" s="3"/>
      <c r="E1700" s="3"/>
      <c r="F1700" s="2">
        <f>IFERROR(__xludf.DUMMYFUNCTION("""COMPUTED_VALUE"""),54.16)</f>
        <v>54.16</v>
      </c>
      <c r="G1700" s="2">
        <f t="shared" si="2"/>
        <v>54</v>
      </c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>
      <c r="B1701" s="3"/>
      <c r="C1701" s="3"/>
      <c r="D1701" s="3"/>
      <c r="E1701" s="3"/>
      <c r="F1701" s="2">
        <f>IFERROR(__xludf.DUMMYFUNCTION("""COMPUTED_VALUE"""),26.16)</f>
        <v>26.16</v>
      </c>
      <c r="G1701" s="2">
        <f t="shared" si="2"/>
        <v>26</v>
      </c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>
      <c r="B1702" s="3"/>
      <c r="C1702" s="3"/>
      <c r="D1702" s="3"/>
      <c r="E1702" s="3"/>
      <c r="F1702" s="2">
        <f>IFERROR(__xludf.DUMMYFUNCTION("""COMPUTED_VALUE"""),21.8)</f>
        <v>21.8</v>
      </c>
      <c r="G1702" s="2">
        <f t="shared" si="2"/>
        <v>22</v>
      </c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>
      <c r="B1703" s="3"/>
      <c r="C1703" s="3"/>
      <c r="D1703" s="3"/>
      <c r="E1703" s="3"/>
      <c r="F1703" s="2">
        <f>IFERROR(__xludf.DUMMYFUNCTION("""COMPUTED_VALUE"""),74.24)</f>
        <v>74.24</v>
      </c>
      <c r="G1703" s="2">
        <f t="shared" si="2"/>
        <v>74</v>
      </c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>
      <c r="B1704" s="3"/>
      <c r="C1704" s="3"/>
      <c r="D1704" s="3"/>
      <c r="E1704" s="3"/>
      <c r="F1704" s="2">
        <f>IFERROR(__xludf.DUMMYFUNCTION("""COMPUTED_VALUE"""),74.24)</f>
        <v>74.24</v>
      </c>
      <c r="G1704" s="2">
        <f t="shared" si="2"/>
        <v>74</v>
      </c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>
      <c r="B1705" s="3"/>
      <c r="C1705" s="3"/>
      <c r="D1705" s="3"/>
      <c r="E1705" s="3"/>
      <c r="F1705" s="2">
        <f>IFERROR(__xludf.DUMMYFUNCTION("""COMPUTED_VALUE"""),13.0)</f>
        <v>13</v>
      </c>
      <c r="G1705" s="2">
        <f t="shared" si="2"/>
        <v>13</v>
      </c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>
      <c r="B1706" s="3"/>
      <c r="C1706" s="3"/>
      <c r="D1706" s="3"/>
      <c r="E1706" s="3"/>
      <c r="F1706" s="2">
        <f>IFERROR(__xludf.DUMMYFUNCTION("""COMPUTED_VALUE"""),54.16)</f>
        <v>54.16</v>
      </c>
      <c r="G1706" s="2">
        <f t="shared" si="2"/>
        <v>54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>
      <c r="B1707" s="3"/>
      <c r="C1707" s="3"/>
      <c r="D1707" s="3"/>
      <c r="E1707" s="3"/>
      <c r="F1707" s="2">
        <f>IFERROR(__xludf.DUMMYFUNCTION("""COMPUTED_VALUE"""),14.04)</f>
        <v>14.04</v>
      </c>
      <c r="G1707" s="2">
        <f t="shared" si="2"/>
        <v>14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>
      <c r="B1708" s="3"/>
      <c r="C1708" s="3"/>
      <c r="D1708" s="3"/>
      <c r="E1708" s="3"/>
      <c r="F1708" s="2">
        <f>IFERROR(__xludf.DUMMYFUNCTION("""COMPUTED_VALUE"""),17.0)</f>
        <v>17</v>
      </c>
      <c r="G1708" s="2">
        <f t="shared" si="2"/>
        <v>17</v>
      </c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>
      <c r="B1709" s="3"/>
      <c r="C1709" s="3"/>
      <c r="D1709" s="3"/>
      <c r="E1709" s="3"/>
      <c r="F1709" s="2">
        <f>IFERROR(__xludf.DUMMYFUNCTION("""COMPUTED_VALUE"""),13.0)</f>
        <v>13</v>
      </c>
      <c r="G1709" s="2">
        <f t="shared" si="2"/>
        <v>13</v>
      </c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>
      <c r="B1710" s="3"/>
      <c r="C1710" s="3"/>
      <c r="D1710" s="3"/>
      <c r="E1710" s="3"/>
      <c r="F1710" s="2">
        <f>IFERROR(__xludf.DUMMYFUNCTION("""COMPUTED_VALUE"""),17.0)</f>
        <v>17</v>
      </c>
      <c r="G1710" s="2">
        <f t="shared" si="2"/>
        <v>17</v>
      </c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>
      <c r="B1711" s="3"/>
      <c r="C1711" s="3"/>
      <c r="D1711" s="3"/>
      <c r="E1711" s="3"/>
      <c r="F1711" s="2">
        <f>IFERROR(__xludf.DUMMYFUNCTION("""COMPUTED_VALUE"""),46.16)</f>
        <v>46.16</v>
      </c>
      <c r="G1711" s="2">
        <f t="shared" si="2"/>
        <v>46</v>
      </c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>
      <c r="B1712" s="3"/>
      <c r="C1712" s="3"/>
      <c r="D1712" s="3"/>
      <c r="E1712" s="3"/>
      <c r="F1712" s="2">
        <f>IFERROR(__xludf.DUMMYFUNCTION("""COMPUTED_VALUE"""),22.6)</f>
        <v>22.6</v>
      </c>
      <c r="G1712" s="2">
        <f t="shared" si="2"/>
        <v>23</v>
      </c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>
      <c r="B1713" s="3"/>
      <c r="C1713" s="3"/>
      <c r="D1713" s="3"/>
      <c r="E1713" s="3"/>
      <c r="F1713" s="2">
        <f>IFERROR(__xludf.DUMMYFUNCTION("""COMPUTED_VALUE"""),16.84)</f>
        <v>16.84</v>
      </c>
      <c r="G1713" s="2">
        <f t="shared" si="2"/>
        <v>17</v>
      </c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>
      <c r="B1714" s="3"/>
      <c r="C1714" s="3"/>
      <c r="D1714" s="3"/>
      <c r="E1714" s="3"/>
      <c r="F1714" s="2">
        <f>IFERROR(__xludf.DUMMYFUNCTION("""COMPUTED_VALUE"""),17.0)</f>
        <v>17</v>
      </c>
      <c r="G1714" s="2">
        <f t="shared" si="2"/>
        <v>17</v>
      </c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>
      <c r="B1715" s="3"/>
      <c r="C1715" s="3"/>
      <c r="D1715" s="3"/>
      <c r="E1715" s="3"/>
      <c r="F1715" s="2">
        <f>IFERROR(__xludf.DUMMYFUNCTION("""COMPUTED_VALUE"""),48.96)</f>
        <v>48.96</v>
      </c>
      <c r="G1715" s="2">
        <f t="shared" si="2"/>
        <v>49</v>
      </c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>
      <c r="B1716" s="3"/>
      <c r="C1716" s="3"/>
      <c r="D1716" s="3"/>
      <c r="E1716" s="3"/>
      <c r="F1716" s="2">
        <f>IFERROR(__xludf.DUMMYFUNCTION("""COMPUTED_VALUE"""),34.16)</f>
        <v>34.16</v>
      </c>
      <c r="G1716" s="2">
        <f t="shared" si="2"/>
        <v>34</v>
      </c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>
      <c r="B1717" s="3"/>
      <c r="C1717" s="3"/>
      <c r="D1717" s="3"/>
      <c r="E1717" s="3"/>
      <c r="F1717" s="2">
        <f>IFERROR(__xludf.DUMMYFUNCTION("""COMPUTED_VALUE"""),76.92)</f>
        <v>76.92</v>
      </c>
      <c r="G1717" s="2">
        <f t="shared" si="2"/>
        <v>77</v>
      </c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>
      <c r="B1718" s="3"/>
      <c r="C1718" s="3"/>
      <c r="D1718" s="3"/>
      <c r="E1718" s="3"/>
      <c r="F1718" s="2">
        <f>IFERROR(__xludf.DUMMYFUNCTION("""COMPUTED_VALUE"""),38.16)</f>
        <v>38.16</v>
      </c>
      <c r="G1718" s="2">
        <f t="shared" si="2"/>
        <v>38</v>
      </c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>
      <c r="B1719" s="3"/>
      <c r="C1719" s="3"/>
      <c r="D1719" s="3"/>
      <c r="E1719" s="3"/>
      <c r="F1719" s="2">
        <f>IFERROR(__xludf.DUMMYFUNCTION("""COMPUTED_VALUE"""),45.0)</f>
        <v>45</v>
      </c>
      <c r="G1719" s="2">
        <f t="shared" si="2"/>
        <v>45</v>
      </c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>
      <c r="B1720" s="3"/>
      <c r="C1720" s="3"/>
      <c r="D1720" s="3"/>
      <c r="E1720" s="3"/>
      <c r="F1720" s="2">
        <f>IFERROR(__xludf.DUMMYFUNCTION("""COMPUTED_VALUE"""),64.84)</f>
        <v>64.84</v>
      </c>
      <c r="G1720" s="2">
        <f t="shared" si="2"/>
        <v>65</v>
      </c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>
      <c r="B1721" s="3"/>
      <c r="C1721" s="3"/>
      <c r="D1721" s="3"/>
      <c r="E1721" s="3"/>
      <c r="F1721" s="2">
        <f>IFERROR(__xludf.DUMMYFUNCTION("""COMPUTED_VALUE"""),54.16)</f>
        <v>54.16</v>
      </c>
      <c r="G1721" s="2">
        <f t="shared" si="2"/>
        <v>54</v>
      </c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>
      <c r="B1722" s="3"/>
      <c r="C1722" s="3"/>
      <c r="D1722" s="3"/>
      <c r="E1722" s="3"/>
      <c r="F1722" s="2">
        <f>IFERROR(__xludf.DUMMYFUNCTION("""COMPUTED_VALUE"""),32.92)</f>
        <v>32.92</v>
      </c>
      <c r="G1722" s="2">
        <f t="shared" si="2"/>
        <v>33</v>
      </c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>
      <c r="B1723" s="3"/>
      <c r="C1723" s="3"/>
      <c r="D1723" s="3"/>
      <c r="E1723" s="3"/>
      <c r="F1723" s="2">
        <f>IFERROR(__xludf.DUMMYFUNCTION("""COMPUTED_VALUE"""),21.8)</f>
        <v>21.8</v>
      </c>
      <c r="G1723" s="2">
        <f t="shared" si="2"/>
        <v>22</v>
      </c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>
      <c r="B1724" s="3"/>
      <c r="C1724" s="3"/>
      <c r="D1724" s="3"/>
      <c r="E1724" s="3"/>
      <c r="F1724" s="2">
        <f>IFERROR(__xludf.DUMMYFUNCTION("""COMPUTED_VALUE"""),26.16)</f>
        <v>26.16</v>
      </c>
      <c r="G1724" s="2">
        <f t="shared" si="2"/>
        <v>26</v>
      </c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>
      <c r="B1725" s="3"/>
      <c r="C1725" s="3"/>
      <c r="D1725" s="3"/>
      <c r="E1725" s="3"/>
      <c r="F1725" s="2">
        <f>IFERROR(__xludf.DUMMYFUNCTION("""COMPUTED_VALUE"""),26.16)</f>
        <v>26.16</v>
      </c>
      <c r="G1725" s="2">
        <f t="shared" si="2"/>
        <v>26</v>
      </c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>
      <c r="B1726" s="3"/>
      <c r="C1726" s="3"/>
      <c r="D1726" s="3"/>
      <c r="E1726" s="3"/>
      <c r="F1726" s="2">
        <f>IFERROR(__xludf.DUMMYFUNCTION("""COMPUTED_VALUE"""),14.04)</f>
        <v>14.04</v>
      </c>
      <c r="G1726" s="2">
        <f t="shared" si="2"/>
        <v>14</v>
      </c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>
      <c r="B1727" s="3"/>
      <c r="C1727" s="3"/>
      <c r="D1727" s="3"/>
      <c r="E1727" s="3"/>
      <c r="F1727" s="2">
        <f>IFERROR(__xludf.DUMMYFUNCTION("""COMPUTED_VALUE"""),16.84)</f>
        <v>16.84</v>
      </c>
      <c r="G1727" s="2">
        <f t="shared" si="2"/>
        <v>17</v>
      </c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>
      <c r="B1728" s="3"/>
      <c r="C1728" s="3"/>
      <c r="D1728" s="3"/>
      <c r="E1728" s="3"/>
      <c r="F1728" s="2">
        <f>IFERROR(__xludf.DUMMYFUNCTION("""COMPUTED_VALUE"""),45.0)</f>
        <v>45</v>
      </c>
      <c r="G1728" s="2">
        <f t="shared" si="2"/>
        <v>45</v>
      </c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>
      <c r="B1729" s="3"/>
      <c r="C1729" s="3"/>
      <c r="D1729" s="3"/>
      <c r="E1729" s="3"/>
      <c r="F1729" s="2">
        <f>IFERROR(__xludf.DUMMYFUNCTION("""COMPUTED_VALUE"""),64.84)</f>
        <v>64.84</v>
      </c>
      <c r="G1729" s="2">
        <f t="shared" si="2"/>
        <v>65</v>
      </c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>
      <c r="B1730" s="3"/>
      <c r="C1730" s="3"/>
      <c r="D1730" s="3"/>
      <c r="E1730" s="3"/>
      <c r="F1730" s="2">
        <f>IFERROR(__xludf.DUMMYFUNCTION("""COMPUTED_VALUE"""),54.16)</f>
        <v>54.16</v>
      </c>
      <c r="G1730" s="2">
        <f t="shared" si="2"/>
        <v>54</v>
      </c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>
      <c r="B1731" s="3"/>
      <c r="C1731" s="3"/>
      <c r="D1731" s="3"/>
      <c r="E1731" s="3"/>
      <c r="F1731" s="2">
        <f>IFERROR(__xludf.DUMMYFUNCTION("""COMPUTED_VALUE"""),24.84)</f>
        <v>24.84</v>
      </c>
      <c r="G1731" s="2">
        <f t="shared" si="2"/>
        <v>25</v>
      </c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>
      <c r="B1732" s="3"/>
      <c r="C1732" s="3"/>
      <c r="D1732" s="3"/>
      <c r="E1732" s="3"/>
      <c r="F1732" s="2">
        <f>IFERROR(__xludf.DUMMYFUNCTION("""COMPUTED_VALUE"""),38.16)</f>
        <v>38.16</v>
      </c>
      <c r="G1732" s="2">
        <f t="shared" si="2"/>
        <v>38</v>
      </c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>
      <c r="B1733" s="3"/>
      <c r="C1733" s="3"/>
      <c r="D1733" s="3"/>
      <c r="E1733" s="3"/>
      <c r="F1733" s="2">
        <f>IFERROR(__xludf.DUMMYFUNCTION("""COMPUTED_VALUE"""),37.8)</f>
        <v>37.8</v>
      </c>
      <c r="G1733" s="2">
        <f t="shared" si="2"/>
        <v>38</v>
      </c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>
      <c r="B1734" s="3"/>
      <c r="C1734" s="3"/>
      <c r="D1734" s="3"/>
      <c r="E1734" s="3"/>
      <c r="F1734" s="2">
        <f>IFERROR(__xludf.DUMMYFUNCTION("""COMPUTED_VALUE"""),17.0)</f>
        <v>17</v>
      </c>
      <c r="G1734" s="2">
        <f t="shared" si="2"/>
        <v>17</v>
      </c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>
      <c r="B1735" s="3"/>
      <c r="C1735" s="3"/>
      <c r="D1735" s="3"/>
      <c r="E1735" s="3"/>
      <c r="F1735" s="2">
        <f>IFERROR(__xludf.DUMMYFUNCTION("""COMPUTED_VALUE"""),26.16)</f>
        <v>26.16</v>
      </c>
      <c r="G1735" s="2">
        <f t="shared" si="2"/>
        <v>26</v>
      </c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>
      <c r="B1736" s="3"/>
      <c r="C1736" s="3"/>
      <c r="D1736" s="3"/>
      <c r="E1736" s="3"/>
      <c r="F1736" s="2">
        <f>IFERROR(__xludf.DUMMYFUNCTION("""COMPUTED_VALUE"""),20.84)</f>
        <v>20.84</v>
      </c>
      <c r="G1736" s="2">
        <f t="shared" si="2"/>
        <v>21</v>
      </c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>
      <c r="B1737" s="3"/>
      <c r="C1737" s="3"/>
      <c r="D1737" s="3"/>
      <c r="E1737" s="3"/>
      <c r="F1737" s="2">
        <f>IFERROR(__xludf.DUMMYFUNCTION("""COMPUTED_VALUE"""),54.16)</f>
        <v>54.16</v>
      </c>
      <c r="G1737" s="2">
        <f t="shared" si="2"/>
        <v>54</v>
      </c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>
      <c r="B1738" s="3"/>
      <c r="C1738" s="3"/>
      <c r="D1738" s="3"/>
      <c r="E1738" s="3"/>
      <c r="F1738" s="2">
        <f>IFERROR(__xludf.DUMMYFUNCTION("""COMPUTED_VALUE"""),32.48)</f>
        <v>32.48</v>
      </c>
      <c r="G1738" s="2">
        <f t="shared" si="2"/>
        <v>32</v>
      </c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>
      <c r="B1739" s="3"/>
      <c r="C1739" s="3"/>
      <c r="D1739" s="3"/>
      <c r="E1739" s="3"/>
      <c r="F1739" s="2">
        <f>IFERROR(__xludf.DUMMYFUNCTION("""COMPUTED_VALUE"""),32.92)</f>
        <v>32.92</v>
      </c>
      <c r="G1739" s="2">
        <f t="shared" si="2"/>
        <v>33</v>
      </c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>
      <c r="B1740" s="3"/>
      <c r="C1740" s="3"/>
      <c r="D1740" s="3"/>
      <c r="E1740" s="3"/>
      <c r="F1740" s="2">
        <f>IFERROR(__xludf.DUMMYFUNCTION("""COMPUTED_VALUE"""),54.16)</f>
        <v>54.16</v>
      </c>
      <c r="G1740" s="2">
        <f t="shared" si="2"/>
        <v>54</v>
      </c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>
      <c r="B1741" s="3"/>
      <c r="C1741" s="3"/>
      <c r="D1741" s="3"/>
      <c r="E1741" s="3"/>
      <c r="F1741" s="2">
        <f>IFERROR(__xludf.DUMMYFUNCTION("""COMPUTED_VALUE"""),54.16)</f>
        <v>54.16</v>
      </c>
      <c r="G1741" s="2">
        <f t="shared" si="2"/>
        <v>54</v>
      </c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>
      <c r="B1742" s="3"/>
      <c r="C1742" s="3"/>
      <c r="D1742" s="3"/>
      <c r="E1742" s="3"/>
      <c r="F1742" s="2">
        <f>IFERROR(__xludf.DUMMYFUNCTION("""COMPUTED_VALUE"""),14.6)</f>
        <v>14.6</v>
      </c>
      <c r="G1742" s="2">
        <f t="shared" si="2"/>
        <v>15</v>
      </c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>
      <c r="B1743" s="3"/>
      <c r="C1743" s="3"/>
      <c r="D1743" s="3"/>
      <c r="E1743" s="3"/>
      <c r="F1743" s="2">
        <f>IFERROR(__xludf.DUMMYFUNCTION("""COMPUTED_VALUE"""),44.92)</f>
        <v>44.92</v>
      </c>
      <c r="G1743" s="2">
        <f t="shared" si="2"/>
        <v>45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>
      <c r="B1744" s="3"/>
      <c r="C1744" s="3"/>
      <c r="D1744" s="3"/>
      <c r="E1744" s="3"/>
      <c r="F1744" s="2">
        <f>IFERROR(__xludf.DUMMYFUNCTION("""COMPUTED_VALUE"""),14.04)</f>
        <v>14.04</v>
      </c>
      <c r="G1744" s="2">
        <f t="shared" si="2"/>
        <v>14</v>
      </c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>
      <c r="B1745" s="3"/>
      <c r="C1745" s="3"/>
      <c r="D1745" s="3"/>
      <c r="E1745" s="3"/>
      <c r="F1745" s="2">
        <f>IFERROR(__xludf.DUMMYFUNCTION("""COMPUTED_VALUE"""),22.6)</f>
        <v>22.6</v>
      </c>
      <c r="G1745" s="2">
        <f t="shared" si="2"/>
        <v>23</v>
      </c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>
      <c r="B1746" s="3"/>
      <c r="C1746" s="3"/>
      <c r="D1746" s="3"/>
      <c r="E1746" s="3"/>
      <c r="F1746" s="2">
        <f>IFERROR(__xludf.DUMMYFUNCTION("""COMPUTED_VALUE"""),37.8)</f>
        <v>37.8</v>
      </c>
      <c r="G1746" s="2">
        <f t="shared" si="2"/>
        <v>38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>
      <c r="B1747" s="3"/>
      <c r="C1747" s="3"/>
      <c r="D1747" s="3"/>
      <c r="E1747" s="3"/>
      <c r="F1747" s="2">
        <f>IFERROR(__xludf.DUMMYFUNCTION("""COMPUTED_VALUE"""),68.92)</f>
        <v>68.92</v>
      </c>
      <c r="G1747" s="2">
        <f t="shared" si="2"/>
        <v>69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>
      <c r="B1748" s="3"/>
      <c r="C1748" s="3"/>
      <c r="D1748" s="3"/>
      <c r="E1748" s="3"/>
      <c r="F1748" s="2">
        <f>IFERROR(__xludf.DUMMYFUNCTION("""COMPUTED_VALUE"""),26.16)</f>
        <v>26.16</v>
      </c>
      <c r="G1748" s="2">
        <f t="shared" si="2"/>
        <v>26</v>
      </c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>
      <c r="B1749" s="3"/>
      <c r="C1749" s="3"/>
      <c r="D1749" s="3"/>
      <c r="E1749" s="3"/>
      <c r="F1749" s="2">
        <f>IFERROR(__xludf.DUMMYFUNCTION("""COMPUTED_VALUE"""),14.6)</f>
        <v>14.6</v>
      </c>
      <c r="G1749" s="2">
        <f t="shared" si="2"/>
        <v>15</v>
      </c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>
      <c r="B1750" s="3"/>
      <c r="C1750" s="3"/>
      <c r="D1750" s="3"/>
      <c r="E1750" s="3"/>
      <c r="F1750" s="2">
        <f>IFERROR(__xludf.DUMMYFUNCTION("""COMPUTED_VALUE"""),32.48)</f>
        <v>32.48</v>
      </c>
      <c r="G1750" s="2">
        <f t="shared" si="2"/>
        <v>32</v>
      </c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>
      <c r="B1751" s="3"/>
      <c r="C1751" s="3"/>
      <c r="D1751" s="3"/>
      <c r="E1751" s="3"/>
      <c r="F1751" s="2">
        <f>IFERROR(__xludf.DUMMYFUNCTION("""COMPUTED_VALUE"""),32.92)</f>
        <v>32.92</v>
      </c>
      <c r="G1751" s="2">
        <f t="shared" si="2"/>
        <v>33</v>
      </c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>
      <c r="B1752" s="3"/>
      <c r="C1752" s="3"/>
      <c r="D1752" s="3"/>
      <c r="E1752" s="3"/>
      <c r="F1752" s="2">
        <f>IFERROR(__xludf.DUMMYFUNCTION("""COMPUTED_VALUE"""),46.16)</f>
        <v>46.16</v>
      </c>
      <c r="G1752" s="2">
        <f t="shared" si="2"/>
        <v>46</v>
      </c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>
      <c r="B1753" s="3"/>
      <c r="C1753" s="3"/>
      <c r="D1753" s="3"/>
      <c r="E1753" s="3"/>
      <c r="F1753" s="2">
        <f>IFERROR(__xludf.DUMMYFUNCTION("""COMPUTED_VALUE"""),74.24)</f>
        <v>74.24</v>
      </c>
      <c r="G1753" s="2">
        <f t="shared" si="2"/>
        <v>74</v>
      </c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>
      <c r="B1754" s="3"/>
      <c r="C1754" s="3"/>
      <c r="D1754" s="3"/>
      <c r="E1754" s="3"/>
      <c r="F1754" s="2">
        <f>IFERROR(__xludf.DUMMYFUNCTION("""COMPUTED_VALUE"""),25.0)</f>
        <v>25</v>
      </c>
      <c r="G1754" s="2">
        <f t="shared" si="2"/>
        <v>25</v>
      </c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>
      <c r="B1755" s="3"/>
      <c r="C1755" s="3"/>
      <c r="D1755" s="3"/>
      <c r="E1755" s="3"/>
      <c r="F1755" s="2">
        <f>IFERROR(__xludf.DUMMYFUNCTION("""COMPUTED_VALUE"""),25.0)</f>
        <v>25</v>
      </c>
      <c r="G1755" s="2">
        <f t="shared" si="2"/>
        <v>25</v>
      </c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>
      <c r="B1756" s="3"/>
      <c r="C1756" s="3"/>
      <c r="D1756" s="3"/>
      <c r="E1756" s="3"/>
      <c r="F1756" s="2">
        <f>IFERROR(__xludf.DUMMYFUNCTION("""COMPUTED_VALUE"""),54.16)</f>
        <v>54.16</v>
      </c>
      <c r="G1756" s="2">
        <f t="shared" si="2"/>
        <v>54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>
      <c r="B1757" s="3"/>
      <c r="C1757" s="3"/>
      <c r="D1757" s="3"/>
      <c r="E1757" s="3"/>
      <c r="F1757" s="2">
        <f>IFERROR(__xludf.DUMMYFUNCTION("""COMPUTED_VALUE"""),60.92)</f>
        <v>60.92</v>
      </c>
      <c r="G1757" s="2">
        <f t="shared" si="2"/>
        <v>61</v>
      </c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>
      <c r="B1758" s="3"/>
      <c r="C1758" s="3"/>
      <c r="D1758" s="3"/>
      <c r="E1758" s="3"/>
      <c r="F1758" s="2">
        <f>IFERROR(__xludf.DUMMYFUNCTION("""COMPUTED_VALUE"""),21.8)</f>
        <v>21.8</v>
      </c>
      <c r="G1758" s="2">
        <f t="shared" si="2"/>
        <v>22</v>
      </c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>
      <c r="B1759" s="3"/>
      <c r="C1759" s="3"/>
      <c r="D1759" s="3"/>
      <c r="E1759" s="3"/>
      <c r="F1759" s="2">
        <f>IFERROR(__xludf.DUMMYFUNCTION("""COMPUTED_VALUE"""),60.92)</f>
        <v>60.92</v>
      </c>
      <c r="G1759" s="2">
        <f t="shared" si="2"/>
        <v>61</v>
      </c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>
      <c r="B1760" s="3"/>
      <c r="C1760" s="3"/>
      <c r="D1760" s="3"/>
      <c r="E1760" s="3"/>
      <c r="F1760" s="2">
        <f>IFERROR(__xludf.DUMMYFUNCTION("""COMPUTED_VALUE"""),26.16)</f>
        <v>26.16</v>
      </c>
      <c r="G1760" s="2">
        <f t="shared" si="2"/>
        <v>26</v>
      </c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>
      <c r="B1761" s="3"/>
      <c r="C1761" s="3"/>
      <c r="D1761" s="3"/>
      <c r="E1761" s="3"/>
      <c r="F1761" s="2">
        <f>IFERROR(__xludf.DUMMYFUNCTION("""COMPUTED_VALUE"""),46.16)</f>
        <v>46.16</v>
      </c>
      <c r="G1761" s="2">
        <f t="shared" si="2"/>
        <v>46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>
      <c r="B1762" s="3"/>
      <c r="C1762" s="3"/>
      <c r="D1762" s="3"/>
      <c r="E1762" s="3"/>
      <c r="F1762" s="2">
        <f>IFERROR(__xludf.DUMMYFUNCTION("""COMPUTED_VALUE"""),26.16)</f>
        <v>26.16</v>
      </c>
      <c r="G1762" s="2">
        <f t="shared" si="2"/>
        <v>26</v>
      </c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>
      <c r="B1763" s="3"/>
      <c r="C1763" s="3"/>
      <c r="D1763" s="3"/>
      <c r="E1763" s="3"/>
      <c r="F1763" s="2">
        <f>IFERROR(__xludf.DUMMYFUNCTION("""COMPUTED_VALUE"""),26.16)</f>
        <v>26.16</v>
      </c>
      <c r="G1763" s="2">
        <f t="shared" si="2"/>
        <v>26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>
      <c r="B1764" s="3"/>
      <c r="C1764" s="3"/>
      <c r="D1764" s="3"/>
      <c r="E1764" s="3"/>
      <c r="F1764" s="2">
        <f>IFERROR(__xludf.DUMMYFUNCTION("""COMPUTED_VALUE"""),46.16)</f>
        <v>46.16</v>
      </c>
      <c r="G1764" s="2">
        <f t="shared" si="2"/>
        <v>46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>
      <c r="B1765" s="3"/>
      <c r="C1765" s="3"/>
      <c r="D1765" s="3"/>
      <c r="E1765" s="3"/>
      <c r="F1765" s="2">
        <f>IFERROR(__xludf.DUMMYFUNCTION("""COMPUTED_VALUE"""),16.84)</f>
        <v>16.84</v>
      </c>
      <c r="G1765" s="2">
        <f t="shared" si="2"/>
        <v>17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>
      <c r="B1766" s="3"/>
      <c r="C1766" s="3"/>
      <c r="D1766" s="3"/>
      <c r="E1766" s="3"/>
      <c r="F1766" s="2">
        <f>IFERROR(__xludf.DUMMYFUNCTION("""COMPUTED_VALUE"""),37.8)</f>
        <v>37.8</v>
      </c>
      <c r="G1766" s="2">
        <f t="shared" si="2"/>
        <v>38</v>
      </c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>
      <c r="B1767" s="3"/>
      <c r="C1767" s="3"/>
      <c r="D1767" s="3"/>
      <c r="E1767" s="3"/>
      <c r="F1767" s="2">
        <f>IFERROR(__xludf.DUMMYFUNCTION("""COMPUTED_VALUE"""),17.0)</f>
        <v>17</v>
      </c>
      <c r="G1767" s="2">
        <f t="shared" si="2"/>
        <v>17</v>
      </c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>
      <c r="B1768" s="3"/>
      <c r="C1768" s="3"/>
      <c r="D1768" s="3"/>
      <c r="E1768" s="3"/>
      <c r="F1768" s="2">
        <f>IFERROR(__xludf.DUMMYFUNCTION("""COMPUTED_VALUE"""),14.04)</f>
        <v>14.04</v>
      </c>
      <c r="G1768" s="2">
        <f t="shared" si="2"/>
        <v>14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>
      <c r="B1769" s="3"/>
      <c r="C1769" s="3"/>
      <c r="D1769" s="3"/>
      <c r="E1769" s="3"/>
      <c r="F1769" s="2">
        <f>IFERROR(__xludf.DUMMYFUNCTION("""COMPUTED_VALUE"""),68.92)</f>
        <v>68.92</v>
      </c>
      <c r="G1769" s="2">
        <f t="shared" si="2"/>
        <v>69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>
      <c r="B1770" s="3"/>
      <c r="C1770" s="3"/>
      <c r="D1770" s="3"/>
      <c r="E1770" s="3"/>
      <c r="F1770" s="2">
        <f>IFERROR(__xludf.DUMMYFUNCTION("""COMPUTED_VALUE"""),64.84)</f>
        <v>64.84</v>
      </c>
      <c r="G1770" s="2">
        <f t="shared" si="2"/>
        <v>65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>
      <c r="B1771" s="3"/>
      <c r="C1771" s="3"/>
      <c r="D1771" s="3"/>
      <c r="E1771" s="3"/>
      <c r="F1771" s="2">
        <f>IFERROR(__xludf.DUMMYFUNCTION("""COMPUTED_VALUE"""),14.6)</f>
        <v>14.6</v>
      </c>
      <c r="G1771" s="2">
        <f t="shared" si="2"/>
        <v>15</v>
      </c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>
      <c r="B1772" s="3"/>
      <c r="C1772" s="3"/>
      <c r="D1772" s="3"/>
      <c r="E1772" s="3"/>
      <c r="F1772" s="2">
        <f>IFERROR(__xludf.DUMMYFUNCTION("""COMPUTED_VALUE"""),64.84)</f>
        <v>64.84</v>
      </c>
      <c r="G1772" s="2">
        <f t="shared" si="2"/>
        <v>65</v>
      </c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</row>
    <row r="1773">
      <c r="B1773" s="3"/>
      <c r="C1773" s="3"/>
      <c r="D1773" s="3"/>
      <c r="E1773" s="3"/>
      <c r="F1773" s="2">
        <f>IFERROR(__xludf.DUMMYFUNCTION("""COMPUTED_VALUE"""),20.84)</f>
        <v>20.84</v>
      </c>
      <c r="G1773" s="2">
        <f t="shared" si="2"/>
        <v>21</v>
      </c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</row>
    <row r="1774">
      <c r="B1774" s="3"/>
      <c r="C1774" s="3"/>
      <c r="D1774" s="3"/>
      <c r="E1774" s="3"/>
      <c r="F1774" s="2">
        <f>IFERROR(__xludf.DUMMYFUNCTION("""COMPUTED_VALUE"""),22.6)</f>
        <v>22.6</v>
      </c>
      <c r="G1774" s="2">
        <f t="shared" si="2"/>
        <v>23</v>
      </c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</row>
    <row r="1775">
      <c r="B1775" s="3"/>
      <c r="C1775" s="3"/>
      <c r="D1775" s="3"/>
      <c r="E1775" s="3"/>
      <c r="F1775" s="2">
        <f>IFERROR(__xludf.DUMMYFUNCTION("""COMPUTED_VALUE"""),60.92)</f>
        <v>60.92</v>
      </c>
      <c r="G1775" s="2">
        <f t="shared" si="2"/>
        <v>61</v>
      </c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</row>
    <row r="1776">
      <c r="B1776" s="3"/>
      <c r="C1776" s="3"/>
      <c r="D1776" s="3"/>
      <c r="E1776" s="3"/>
      <c r="F1776" s="2">
        <f>IFERROR(__xludf.DUMMYFUNCTION("""COMPUTED_VALUE"""),54.16)</f>
        <v>54.16</v>
      </c>
      <c r="G1776" s="2">
        <f t="shared" si="2"/>
        <v>54</v>
      </c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</row>
    <row r="1777">
      <c r="B1777" s="3"/>
      <c r="C1777" s="3"/>
      <c r="D1777" s="3"/>
      <c r="E1777" s="3"/>
      <c r="F1777" s="2">
        <f>IFERROR(__xludf.DUMMYFUNCTION("""COMPUTED_VALUE"""),17.0)</f>
        <v>17</v>
      </c>
      <c r="G1777" s="2">
        <f t="shared" si="2"/>
        <v>17</v>
      </c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</row>
    <row r="1778">
      <c r="B1778" s="3"/>
      <c r="C1778" s="3"/>
      <c r="D1778" s="3"/>
      <c r="E1778" s="3"/>
      <c r="F1778" s="2">
        <f>IFERROR(__xludf.DUMMYFUNCTION("""COMPUTED_VALUE"""),24.84)</f>
        <v>24.84</v>
      </c>
      <c r="G1778" s="2">
        <f t="shared" si="2"/>
        <v>25</v>
      </c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</row>
    <row r="1779">
      <c r="B1779" s="3"/>
      <c r="C1779" s="3"/>
      <c r="D1779" s="3"/>
      <c r="E1779" s="3"/>
      <c r="F1779" s="2">
        <f>IFERROR(__xludf.DUMMYFUNCTION("""COMPUTED_VALUE"""),60.92)</f>
        <v>60.92</v>
      </c>
      <c r="G1779" s="2">
        <f t="shared" si="2"/>
        <v>61</v>
      </c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</row>
    <row r="1780">
      <c r="B1780" s="3"/>
      <c r="C1780" s="3"/>
      <c r="D1780" s="3"/>
      <c r="E1780" s="3"/>
      <c r="F1780" s="2">
        <f>IFERROR(__xludf.DUMMYFUNCTION("""COMPUTED_VALUE"""),44.92)</f>
        <v>44.92</v>
      </c>
      <c r="G1780" s="2">
        <f t="shared" si="2"/>
        <v>45</v>
      </c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</row>
    <row r="1781">
      <c r="B1781" s="3"/>
      <c r="C1781" s="3"/>
      <c r="D1781" s="3"/>
      <c r="E1781" s="3"/>
      <c r="F1781" s="2">
        <f>IFERROR(__xludf.DUMMYFUNCTION("""COMPUTED_VALUE"""),25.0)</f>
        <v>25</v>
      </c>
      <c r="G1781" s="2">
        <f t="shared" si="2"/>
        <v>25</v>
      </c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</row>
    <row r="1782">
      <c r="B1782" s="3"/>
      <c r="C1782" s="3"/>
      <c r="D1782" s="3"/>
      <c r="E1782" s="3"/>
      <c r="F1782" s="2">
        <f>IFERROR(__xludf.DUMMYFUNCTION("""COMPUTED_VALUE"""),14.04)</f>
        <v>14.04</v>
      </c>
      <c r="G1782" s="2">
        <f t="shared" si="2"/>
        <v>14</v>
      </c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</row>
    <row r="1783">
      <c r="B1783" s="3"/>
      <c r="C1783" s="3"/>
      <c r="D1783" s="3"/>
      <c r="E1783" s="3"/>
      <c r="F1783" s="2">
        <f>IFERROR(__xludf.DUMMYFUNCTION("""COMPUTED_VALUE"""),24.84)</f>
        <v>24.84</v>
      </c>
      <c r="G1783" s="2">
        <f t="shared" si="2"/>
        <v>25</v>
      </c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</row>
    <row r="1784">
      <c r="B1784" s="3"/>
      <c r="C1784" s="3"/>
      <c r="D1784" s="3"/>
      <c r="E1784" s="3"/>
      <c r="F1784" s="2">
        <f>IFERROR(__xludf.DUMMYFUNCTION("""COMPUTED_VALUE"""),46.16)</f>
        <v>46.16</v>
      </c>
      <c r="G1784" s="2">
        <f t="shared" si="2"/>
        <v>46</v>
      </c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</row>
    <row r="1785">
      <c r="B1785" s="3"/>
      <c r="C1785" s="3"/>
      <c r="D1785" s="3"/>
      <c r="E1785" s="3"/>
      <c r="F1785" s="2">
        <f>IFERROR(__xludf.DUMMYFUNCTION("""COMPUTED_VALUE"""),48.96)</f>
        <v>48.96</v>
      </c>
      <c r="G1785" s="2">
        <f t="shared" si="2"/>
        <v>49</v>
      </c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</row>
    <row r="1786">
      <c r="B1786" s="3"/>
      <c r="C1786" s="3"/>
      <c r="D1786" s="3"/>
      <c r="E1786" s="3"/>
      <c r="F1786" s="2">
        <f>IFERROR(__xludf.DUMMYFUNCTION("""COMPUTED_VALUE"""),49.44)</f>
        <v>49.44</v>
      </c>
      <c r="G1786" s="2">
        <f t="shared" si="2"/>
        <v>49</v>
      </c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</row>
    <row r="1787">
      <c r="B1787" s="3"/>
      <c r="C1787" s="3"/>
      <c r="D1787" s="3"/>
      <c r="E1787" s="3"/>
      <c r="F1787" s="2">
        <f>IFERROR(__xludf.DUMMYFUNCTION("""COMPUTED_VALUE"""),14.04)</f>
        <v>14.04</v>
      </c>
      <c r="G1787" s="2">
        <f t="shared" si="2"/>
        <v>14</v>
      </c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</row>
    <row r="1788">
      <c r="B1788" s="3"/>
      <c r="C1788" s="3"/>
      <c r="D1788" s="3"/>
      <c r="E1788" s="3"/>
      <c r="F1788" s="2">
        <f>IFERROR(__xludf.DUMMYFUNCTION("""COMPUTED_VALUE"""),34.16)</f>
        <v>34.16</v>
      </c>
      <c r="G1788" s="2">
        <f t="shared" si="2"/>
        <v>34</v>
      </c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</row>
    <row r="1789">
      <c r="B1789" s="3"/>
      <c r="C1789" s="3"/>
      <c r="D1789" s="3"/>
      <c r="E1789" s="3"/>
      <c r="F1789" s="2">
        <f>IFERROR(__xludf.DUMMYFUNCTION("""COMPUTED_VALUE"""),20.96)</f>
        <v>20.96</v>
      </c>
      <c r="G1789" s="2">
        <f t="shared" si="2"/>
        <v>21</v>
      </c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</row>
    <row r="1790">
      <c r="B1790" s="3"/>
      <c r="C1790" s="3"/>
      <c r="D1790" s="3"/>
      <c r="E1790" s="3"/>
      <c r="F1790" s="2">
        <f>IFERROR(__xludf.DUMMYFUNCTION("""COMPUTED_VALUE"""),114.24)</f>
        <v>114.24</v>
      </c>
      <c r="G1790" s="2">
        <f t="shared" si="2"/>
        <v>114</v>
      </c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</row>
    <row r="1791">
      <c r="B1791" s="3"/>
      <c r="C1791" s="3"/>
      <c r="D1791" s="3"/>
      <c r="E1791" s="3"/>
      <c r="F1791" s="2">
        <f>IFERROR(__xludf.DUMMYFUNCTION("""COMPUTED_VALUE"""),50.24)</f>
        <v>50.24</v>
      </c>
      <c r="G1791" s="2">
        <f t="shared" si="2"/>
        <v>50</v>
      </c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</row>
    <row r="1792">
      <c r="B1792" s="3"/>
      <c r="C1792" s="3"/>
      <c r="D1792" s="3"/>
      <c r="E1792" s="3"/>
      <c r="F1792" s="2">
        <f>IFERROR(__xludf.DUMMYFUNCTION("""COMPUTED_VALUE"""),34.16)</f>
        <v>34.16</v>
      </c>
      <c r="G1792" s="2">
        <f t="shared" si="2"/>
        <v>34</v>
      </c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</row>
    <row r="1793">
      <c r="B1793" s="3"/>
      <c r="C1793" s="3"/>
      <c r="D1793" s="3"/>
      <c r="E1793" s="3"/>
      <c r="F1793" s="2">
        <f>IFERROR(__xludf.DUMMYFUNCTION("""COMPUTED_VALUE"""),68.92)</f>
        <v>68.92</v>
      </c>
      <c r="G1793" s="2">
        <f t="shared" si="2"/>
        <v>69</v>
      </c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</row>
    <row r="1794">
      <c r="B1794" s="3"/>
      <c r="C1794" s="3"/>
      <c r="D1794" s="3"/>
      <c r="E1794" s="3"/>
      <c r="F1794" s="2">
        <f>IFERROR(__xludf.DUMMYFUNCTION("""COMPUTED_VALUE"""),44.92)</f>
        <v>44.92</v>
      </c>
      <c r="G1794" s="2">
        <f t="shared" si="2"/>
        <v>45</v>
      </c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</row>
    <row r="1795">
      <c r="B1795" s="3"/>
      <c r="C1795" s="3"/>
      <c r="D1795" s="3"/>
      <c r="E1795" s="3"/>
      <c r="F1795" s="2">
        <f>IFERROR(__xludf.DUMMYFUNCTION("""COMPUTED_VALUE"""),29.0)</f>
        <v>29</v>
      </c>
      <c r="G1795" s="2">
        <f t="shared" si="2"/>
        <v>29</v>
      </c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</row>
    <row r="1796">
      <c r="B1796" s="3"/>
      <c r="C1796" s="3"/>
      <c r="D1796" s="3"/>
      <c r="E1796" s="3"/>
      <c r="F1796" s="2">
        <f>IFERROR(__xludf.DUMMYFUNCTION("""COMPUTED_VALUE"""),13.0)</f>
        <v>13</v>
      </c>
      <c r="G1796" s="2">
        <f t="shared" si="2"/>
        <v>13</v>
      </c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</row>
    <row r="1797">
      <c r="B1797" s="3"/>
      <c r="C1797" s="3"/>
      <c r="D1797" s="3"/>
      <c r="E1797" s="3"/>
      <c r="F1797" s="2">
        <f>IFERROR(__xludf.DUMMYFUNCTION("""COMPUTED_VALUE"""),20.96)</f>
        <v>20.96</v>
      </c>
      <c r="G1797" s="2">
        <f t="shared" si="2"/>
        <v>21</v>
      </c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</row>
    <row r="1798">
      <c r="B1798" s="3"/>
      <c r="C1798" s="3"/>
      <c r="D1798" s="3"/>
      <c r="E1798" s="3"/>
      <c r="F1798" s="2">
        <f>IFERROR(__xludf.DUMMYFUNCTION("""COMPUTED_VALUE"""),74.24)</f>
        <v>74.24</v>
      </c>
      <c r="G1798" s="2">
        <f t="shared" si="2"/>
        <v>74</v>
      </c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</row>
    <row r="1799">
      <c r="B1799" s="3"/>
      <c r="C1799" s="3"/>
      <c r="D1799" s="3"/>
      <c r="E1799" s="3"/>
      <c r="F1799" s="2">
        <f>IFERROR(__xludf.DUMMYFUNCTION("""COMPUTED_VALUE"""),38.16)</f>
        <v>38.16</v>
      </c>
      <c r="G1799" s="2">
        <f t="shared" si="2"/>
        <v>38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</row>
    <row r="1800">
      <c r="B1800" s="3"/>
      <c r="C1800" s="3"/>
      <c r="D1800" s="3"/>
      <c r="E1800" s="3"/>
      <c r="F1800" s="2">
        <f>IFERROR(__xludf.DUMMYFUNCTION("""COMPUTED_VALUE"""),14.04)</f>
        <v>14.04</v>
      </c>
      <c r="G1800" s="2">
        <f t="shared" si="2"/>
        <v>14</v>
      </c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</row>
    <row r="1801">
      <c r="B1801" s="3"/>
      <c r="C1801" s="3"/>
      <c r="D1801" s="3"/>
      <c r="E1801" s="3"/>
      <c r="F1801" s="2">
        <f>IFERROR(__xludf.DUMMYFUNCTION("""COMPUTED_VALUE"""),60.92)</f>
        <v>60.92</v>
      </c>
      <c r="G1801" s="2">
        <f t="shared" si="2"/>
        <v>61</v>
      </c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</row>
    <row r="1802">
      <c r="B1802" s="3"/>
      <c r="C1802" s="3"/>
      <c r="D1802" s="3"/>
      <c r="E1802" s="3"/>
      <c r="F1802" s="2">
        <f>IFERROR(__xludf.DUMMYFUNCTION("""COMPUTED_VALUE"""),25.0)</f>
        <v>25</v>
      </c>
      <c r="G1802" s="2">
        <f t="shared" si="2"/>
        <v>25</v>
      </c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</row>
    <row r="1803">
      <c r="B1803" s="3"/>
      <c r="C1803" s="3"/>
      <c r="D1803" s="3"/>
      <c r="E1803" s="3"/>
      <c r="F1803" s="2">
        <f>IFERROR(__xludf.DUMMYFUNCTION("""COMPUTED_VALUE"""),22.6)</f>
        <v>22.6</v>
      </c>
      <c r="G1803" s="2">
        <f t="shared" si="2"/>
        <v>23</v>
      </c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</row>
    <row r="1804">
      <c r="B1804" s="3"/>
      <c r="C1804" s="3"/>
      <c r="D1804" s="3"/>
      <c r="E1804" s="3"/>
      <c r="F1804" s="2">
        <f>IFERROR(__xludf.DUMMYFUNCTION("""COMPUTED_VALUE"""),24.84)</f>
        <v>24.84</v>
      </c>
      <c r="G1804" s="2">
        <f t="shared" si="2"/>
        <v>25</v>
      </c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</row>
    <row r="1805">
      <c r="B1805" s="3"/>
      <c r="C1805" s="3"/>
      <c r="D1805" s="3"/>
      <c r="E1805" s="3"/>
      <c r="F1805" s="2">
        <f>IFERROR(__xludf.DUMMYFUNCTION("""COMPUTED_VALUE"""),24.84)</f>
        <v>24.84</v>
      </c>
      <c r="G1805" s="2">
        <f t="shared" si="2"/>
        <v>25</v>
      </c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</row>
    <row r="1806">
      <c r="B1806" s="3"/>
      <c r="C1806" s="3"/>
      <c r="D1806" s="3"/>
      <c r="E1806" s="3"/>
      <c r="F1806" s="2">
        <f>IFERROR(__xludf.DUMMYFUNCTION("""COMPUTED_VALUE"""),20.96)</f>
        <v>20.96</v>
      </c>
      <c r="G1806" s="2">
        <f t="shared" si="2"/>
        <v>21</v>
      </c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</row>
    <row r="1807">
      <c r="B1807" s="3"/>
      <c r="C1807" s="3"/>
      <c r="D1807" s="3"/>
      <c r="E1807" s="3"/>
      <c r="F1807" s="2">
        <f>IFERROR(__xludf.DUMMYFUNCTION("""COMPUTED_VALUE"""),24.84)</f>
        <v>24.84</v>
      </c>
      <c r="G1807" s="2">
        <f t="shared" si="2"/>
        <v>25</v>
      </c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</row>
    <row r="1808">
      <c r="B1808" s="3"/>
      <c r="C1808" s="3"/>
      <c r="D1808" s="3"/>
      <c r="E1808" s="3"/>
      <c r="F1808" s="2">
        <f>IFERROR(__xludf.DUMMYFUNCTION("""COMPUTED_VALUE"""),60.92)</f>
        <v>60.92</v>
      </c>
      <c r="G1808" s="2">
        <f t="shared" si="2"/>
        <v>61</v>
      </c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</row>
    <row r="1809">
      <c r="B1809" s="3"/>
      <c r="C1809" s="3"/>
      <c r="D1809" s="3"/>
      <c r="E1809" s="3"/>
      <c r="F1809" s="2">
        <f>IFERROR(__xludf.DUMMYFUNCTION("""COMPUTED_VALUE"""),14.04)</f>
        <v>14.04</v>
      </c>
      <c r="G1809" s="2">
        <f t="shared" si="2"/>
        <v>14</v>
      </c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</row>
    <row r="1810">
      <c r="B1810" s="3"/>
      <c r="C1810" s="3"/>
      <c r="D1810" s="3"/>
      <c r="E1810" s="3"/>
      <c r="F1810" s="2">
        <f>IFERROR(__xludf.DUMMYFUNCTION("""COMPUTED_VALUE"""),64.84)</f>
        <v>64.84</v>
      </c>
      <c r="G1810" s="2">
        <f t="shared" si="2"/>
        <v>65</v>
      </c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</row>
    <row r="1811">
      <c r="B1811" s="3"/>
      <c r="C1811" s="3"/>
      <c r="D1811" s="3"/>
      <c r="E1811" s="3"/>
      <c r="F1811" s="2">
        <f>IFERROR(__xludf.DUMMYFUNCTION("""COMPUTED_VALUE"""),17.0)</f>
        <v>17</v>
      </c>
      <c r="G1811" s="2">
        <f t="shared" si="2"/>
        <v>17</v>
      </c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</row>
    <row r="1812">
      <c r="B1812" s="3"/>
      <c r="C1812" s="3"/>
      <c r="D1812" s="3"/>
      <c r="E1812" s="3"/>
      <c r="F1812" s="2">
        <f>IFERROR(__xludf.DUMMYFUNCTION("""COMPUTED_VALUE"""),38.16)</f>
        <v>38.16</v>
      </c>
      <c r="G1812" s="2">
        <f t="shared" si="2"/>
        <v>38</v>
      </c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</row>
    <row r="1813">
      <c r="B1813" s="3"/>
      <c r="C1813" s="3"/>
      <c r="D1813" s="3"/>
      <c r="E1813" s="3"/>
      <c r="F1813" s="2">
        <f>IFERROR(__xludf.DUMMYFUNCTION("""COMPUTED_VALUE"""),25.0)</f>
        <v>25</v>
      </c>
      <c r="G1813" s="2">
        <f t="shared" si="2"/>
        <v>25</v>
      </c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</row>
    <row r="1814">
      <c r="B1814" s="3"/>
      <c r="C1814" s="3"/>
      <c r="D1814" s="3"/>
      <c r="E1814" s="3"/>
      <c r="F1814" s="2">
        <f>IFERROR(__xludf.DUMMYFUNCTION("""COMPUTED_VALUE"""),21.8)</f>
        <v>21.8</v>
      </c>
      <c r="G1814" s="2">
        <f t="shared" si="2"/>
        <v>22</v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</row>
    <row r="1815">
      <c r="B1815" s="3"/>
      <c r="C1815" s="3"/>
      <c r="D1815" s="3"/>
      <c r="E1815" s="3"/>
      <c r="F1815" s="2">
        <f>IFERROR(__xludf.DUMMYFUNCTION("""COMPUTED_VALUE"""),37.8)</f>
        <v>37.8</v>
      </c>
      <c r="G1815" s="2">
        <f t="shared" si="2"/>
        <v>38</v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</row>
    <row r="1816">
      <c r="B1816" s="3"/>
      <c r="C1816" s="3"/>
      <c r="D1816" s="3"/>
      <c r="E1816" s="3"/>
      <c r="F1816" s="2">
        <f>IFERROR(__xludf.DUMMYFUNCTION("""COMPUTED_VALUE"""),38.16)</f>
        <v>38.16</v>
      </c>
      <c r="G1816" s="2">
        <f t="shared" si="2"/>
        <v>38</v>
      </c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</row>
    <row r="1817">
      <c r="B1817" s="3"/>
      <c r="C1817" s="3"/>
      <c r="D1817" s="3"/>
      <c r="E1817" s="3"/>
      <c r="F1817" s="2">
        <f>IFERROR(__xludf.DUMMYFUNCTION("""COMPUTED_VALUE"""),16.84)</f>
        <v>16.84</v>
      </c>
      <c r="G1817" s="2">
        <f t="shared" si="2"/>
        <v>17</v>
      </c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</row>
    <row r="1818">
      <c r="B1818" s="3"/>
      <c r="C1818" s="3"/>
      <c r="D1818" s="3"/>
      <c r="E1818" s="3"/>
      <c r="F1818" s="2">
        <f>IFERROR(__xludf.DUMMYFUNCTION("""COMPUTED_VALUE"""),49.44)</f>
        <v>49.44</v>
      </c>
      <c r="G1818" s="2">
        <f t="shared" si="2"/>
        <v>49</v>
      </c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</row>
    <row r="1819">
      <c r="B1819" s="3"/>
      <c r="C1819" s="3"/>
      <c r="D1819" s="3"/>
      <c r="E1819" s="3"/>
      <c r="F1819" s="2">
        <f>IFERROR(__xludf.DUMMYFUNCTION("""COMPUTED_VALUE"""),34.16)</f>
        <v>34.16</v>
      </c>
      <c r="G1819" s="2">
        <f t="shared" si="2"/>
        <v>34</v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</row>
    <row r="1820">
      <c r="B1820" s="3"/>
      <c r="C1820" s="3"/>
      <c r="D1820" s="3"/>
      <c r="E1820" s="3"/>
      <c r="F1820" s="2">
        <f>IFERROR(__xludf.DUMMYFUNCTION("""COMPUTED_VALUE"""),61.8)</f>
        <v>61.8</v>
      </c>
      <c r="G1820" s="2">
        <f t="shared" si="2"/>
        <v>62</v>
      </c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</row>
    <row r="1821">
      <c r="B1821" s="3"/>
      <c r="C1821" s="3"/>
      <c r="D1821" s="3"/>
      <c r="E1821" s="3"/>
      <c r="F1821" s="2">
        <f>IFERROR(__xludf.DUMMYFUNCTION("""COMPUTED_VALUE"""),114.24)</f>
        <v>114.24</v>
      </c>
      <c r="G1821" s="2">
        <f t="shared" si="2"/>
        <v>114</v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</row>
    <row r="1822">
      <c r="B1822" s="3"/>
      <c r="C1822" s="3"/>
      <c r="D1822" s="3"/>
      <c r="E1822" s="3"/>
      <c r="F1822" s="2">
        <f>IFERROR(__xludf.DUMMYFUNCTION("""COMPUTED_VALUE"""),49.44)</f>
        <v>49.44</v>
      </c>
      <c r="G1822" s="2">
        <f t="shared" si="2"/>
        <v>49</v>
      </c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>
      <c r="B1823" s="3"/>
      <c r="C1823" s="3"/>
      <c r="D1823" s="3"/>
      <c r="E1823" s="3"/>
      <c r="F1823" s="2">
        <f>IFERROR(__xludf.DUMMYFUNCTION("""COMPUTED_VALUE"""),34.16)</f>
        <v>34.16</v>
      </c>
      <c r="G1823" s="2">
        <f t="shared" si="2"/>
        <v>34</v>
      </c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>
      <c r="B1824" s="3"/>
      <c r="C1824" s="3"/>
      <c r="D1824" s="3"/>
      <c r="E1824" s="3"/>
      <c r="F1824" s="2">
        <f>IFERROR(__xludf.DUMMYFUNCTION("""COMPUTED_VALUE"""),25.0)</f>
        <v>25</v>
      </c>
      <c r="G1824" s="2">
        <f t="shared" si="2"/>
        <v>25</v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>
      <c r="B1825" s="3"/>
      <c r="C1825" s="3"/>
      <c r="D1825" s="3"/>
      <c r="E1825" s="3"/>
      <c r="F1825" s="2">
        <f>IFERROR(__xludf.DUMMYFUNCTION("""COMPUTED_VALUE"""),14.6)</f>
        <v>14.6</v>
      </c>
      <c r="G1825" s="2">
        <f t="shared" si="2"/>
        <v>15</v>
      </c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>
      <c r="B1826" s="3"/>
      <c r="C1826" s="3"/>
      <c r="D1826" s="3"/>
      <c r="E1826" s="3"/>
      <c r="F1826" s="2">
        <f>IFERROR(__xludf.DUMMYFUNCTION("""COMPUTED_VALUE"""),60.92)</f>
        <v>60.92</v>
      </c>
      <c r="G1826" s="2">
        <f t="shared" si="2"/>
        <v>61</v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>
      <c r="B1827" s="3"/>
      <c r="C1827" s="3"/>
      <c r="D1827" s="3"/>
      <c r="E1827" s="3"/>
      <c r="F1827" s="2">
        <f>IFERROR(__xludf.DUMMYFUNCTION("""COMPUTED_VALUE"""),74.24)</f>
        <v>74.24</v>
      </c>
      <c r="G1827" s="2">
        <f t="shared" si="2"/>
        <v>74</v>
      </c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>
      <c r="B1828" s="3"/>
      <c r="C1828" s="3"/>
      <c r="D1828" s="3"/>
      <c r="E1828" s="3"/>
      <c r="F1828" s="2">
        <f>IFERROR(__xludf.DUMMYFUNCTION("""COMPUTED_VALUE"""),46.16)</f>
        <v>46.16</v>
      </c>
      <c r="G1828" s="2">
        <f t="shared" si="2"/>
        <v>46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>
      <c r="B1829" s="3"/>
      <c r="C1829" s="3"/>
      <c r="D1829" s="3"/>
      <c r="E1829" s="3"/>
      <c r="F1829" s="2">
        <f>IFERROR(__xludf.DUMMYFUNCTION("""COMPUTED_VALUE"""),60.92)</f>
        <v>60.92</v>
      </c>
      <c r="G1829" s="2">
        <f t="shared" si="2"/>
        <v>61</v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>
      <c r="B1830" s="3"/>
      <c r="C1830" s="3"/>
      <c r="D1830" s="3"/>
      <c r="E1830" s="3"/>
      <c r="F1830" s="2">
        <f>IFERROR(__xludf.DUMMYFUNCTION("""COMPUTED_VALUE"""),13.0)</f>
        <v>13</v>
      </c>
      <c r="G1830" s="2">
        <f t="shared" si="2"/>
        <v>13</v>
      </c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>
      <c r="B1831" s="3"/>
      <c r="C1831" s="3"/>
      <c r="D1831" s="3"/>
      <c r="E1831" s="3"/>
      <c r="F1831" s="2">
        <f>IFERROR(__xludf.DUMMYFUNCTION("""COMPUTED_VALUE"""),24.84)</f>
        <v>24.84</v>
      </c>
      <c r="G1831" s="2">
        <f t="shared" si="2"/>
        <v>25</v>
      </c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>
      <c r="B1832" s="3"/>
      <c r="C1832" s="3"/>
      <c r="D1832" s="3"/>
      <c r="E1832" s="3"/>
      <c r="F1832" s="2">
        <f>IFERROR(__xludf.DUMMYFUNCTION("""COMPUTED_VALUE"""),114.24)</f>
        <v>114.24</v>
      </c>
      <c r="G1832" s="2">
        <f t="shared" si="2"/>
        <v>114</v>
      </c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>
      <c r="B1833" s="3"/>
      <c r="C1833" s="3"/>
      <c r="D1833" s="3"/>
      <c r="E1833" s="3"/>
      <c r="F1833" s="2">
        <f>IFERROR(__xludf.DUMMYFUNCTION("""COMPUTED_VALUE"""),76.92)</f>
        <v>76.92</v>
      </c>
      <c r="G1833" s="2">
        <f t="shared" si="2"/>
        <v>77</v>
      </c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>
      <c r="B1834" s="3"/>
      <c r="C1834" s="3"/>
      <c r="D1834" s="3"/>
      <c r="E1834" s="3"/>
      <c r="F1834" s="2">
        <f>IFERROR(__xludf.DUMMYFUNCTION("""COMPUTED_VALUE"""),17.0)</f>
        <v>17</v>
      </c>
      <c r="G1834" s="2">
        <f t="shared" si="2"/>
        <v>17</v>
      </c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>
      <c r="B1835" s="3"/>
      <c r="C1835" s="3"/>
      <c r="D1835" s="3"/>
      <c r="E1835" s="3"/>
      <c r="F1835" s="2">
        <f>IFERROR(__xludf.DUMMYFUNCTION("""COMPUTED_VALUE"""),26.16)</f>
        <v>26.16</v>
      </c>
      <c r="G1835" s="2">
        <f t="shared" si="2"/>
        <v>26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>
      <c r="B1836" s="3"/>
      <c r="C1836" s="3"/>
      <c r="D1836" s="3"/>
      <c r="E1836" s="3"/>
      <c r="F1836" s="2">
        <f>IFERROR(__xludf.DUMMYFUNCTION("""COMPUTED_VALUE"""),24.84)</f>
        <v>24.84</v>
      </c>
      <c r="G1836" s="2">
        <f t="shared" si="2"/>
        <v>25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>
      <c r="B1837" s="3"/>
      <c r="C1837" s="3"/>
      <c r="D1837" s="3"/>
      <c r="E1837" s="3"/>
      <c r="F1837" s="2">
        <f>IFERROR(__xludf.DUMMYFUNCTION("""COMPUTED_VALUE"""),26.16)</f>
        <v>26.16</v>
      </c>
      <c r="G1837" s="2">
        <f t="shared" si="2"/>
        <v>26</v>
      </c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>
      <c r="B1838" s="3"/>
      <c r="C1838" s="3"/>
      <c r="D1838" s="3"/>
      <c r="E1838" s="3"/>
      <c r="F1838" s="2">
        <f>IFERROR(__xludf.DUMMYFUNCTION("""COMPUTED_VALUE"""),38.16)</f>
        <v>38.16</v>
      </c>
      <c r="G1838" s="2">
        <f t="shared" si="2"/>
        <v>38</v>
      </c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>
      <c r="B1839" s="3"/>
      <c r="C1839" s="3"/>
      <c r="D1839" s="3"/>
      <c r="E1839" s="3"/>
      <c r="F1839" s="2">
        <f>IFERROR(__xludf.DUMMYFUNCTION("""COMPUTED_VALUE"""),60.92)</f>
        <v>60.92</v>
      </c>
      <c r="G1839" s="2">
        <f t="shared" si="2"/>
        <v>61</v>
      </c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>
      <c r="B1840" s="3"/>
      <c r="C1840" s="3"/>
      <c r="D1840" s="3"/>
      <c r="E1840" s="3"/>
      <c r="F1840" s="2">
        <f>IFERROR(__xludf.DUMMYFUNCTION("""COMPUTED_VALUE"""),25.0)</f>
        <v>25</v>
      </c>
      <c r="G1840" s="2">
        <f t="shared" si="2"/>
        <v>25</v>
      </c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>
      <c r="B1841" s="3"/>
      <c r="C1841" s="3"/>
      <c r="D1841" s="3"/>
      <c r="E1841" s="3"/>
      <c r="F1841" s="2">
        <f>IFERROR(__xludf.DUMMYFUNCTION("""COMPUTED_VALUE"""),50.24)</f>
        <v>50.24</v>
      </c>
      <c r="G1841" s="2">
        <f t="shared" si="2"/>
        <v>50</v>
      </c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>
      <c r="B1842" s="3"/>
      <c r="C1842" s="3"/>
      <c r="D1842" s="3"/>
      <c r="E1842" s="3"/>
      <c r="F1842" s="2">
        <f>IFERROR(__xludf.DUMMYFUNCTION("""COMPUTED_VALUE"""),13.0)</f>
        <v>13</v>
      </c>
      <c r="G1842" s="2">
        <f t="shared" si="2"/>
        <v>13</v>
      </c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>
      <c r="B1843" s="3"/>
      <c r="C1843" s="3"/>
      <c r="D1843" s="3"/>
      <c r="E1843" s="3"/>
      <c r="F1843" s="2">
        <f>IFERROR(__xludf.DUMMYFUNCTION("""COMPUTED_VALUE"""),21.8)</f>
        <v>21.8</v>
      </c>
      <c r="G1843" s="2">
        <f t="shared" si="2"/>
        <v>22</v>
      </c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>
      <c r="B1844" s="3"/>
      <c r="C1844" s="3"/>
      <c r="D1844" s="3"/>
      <c r="E1844" s="3"/>
      <c r="F1844" s="2">
        <f>IFERROR(__xludf.DUMMYFUNCTION("""COMPUTED_VALUE"""),17.0)</f>
        <v>17</v>
      </c>
      <c r="G1844" s="2">
        <f t="shared" si="2"/>
        <v>17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>
      <c r="B1845" s="3"/>
      <c r="C1845" s="3"/>
      <c r="D1845" s="3"/>
      <c r="E1845" s="3"/>
      <c r="F1845" s="2">
        <f>IFERROR(__xludf.DUMMYFUNCTION("""COMPUTED_VALUE"""),64.84)</f>
        <v>64.84</v>
      </c>
      <c r="G1845" s="2">
        <f t="shared" si="2"/>
        <v>65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>
      <c r="B1846" s="3"/>
      <c r="C1846" s="3"/>
      <c r="D1846" s="3"/>
      <c r="E1846" s="3"/>
      <c r="F1846" s="2">
        <f>IFERROR(__xludf.DUMMYFUNCTION("""COMPUTED_VALUE"""),37.8)</f>
        <v>37.8</v>
      </c>
      <c r="G1846" s="2">
        <f t="shared" si="2"/>
        <v>38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>
      <c r="B1847" s="3"/>
      <c r="C1847" s="3"/>
      <c r="D1847" s="3"/>
      <c r="E1847" s="3"/>
      <c r="F1847" s="2">
        <f>IFERROR(__xludf.DUMMYFUNCTION("""COMPUTED_VALUE"""),45.0)</f>
        <v>45</v>
      </c>
      <c r="G1847" s="2">
        <f t="shared" si="2"/>
        <v>45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>
      <c r="B1848" s="3"/>
      <c r="C1848" s="3"/>
      <c r="D1848" s="3"/>
      <c r="E1848" s="3"/>
      <c r="F1848" s="2">
        <f>IFERROR(__xludf.DUMMYFUNCTION("""COMPUTED_VALUE"""),25.0)</f>
        <v>25</v>
      </c>
      <c r="G1848" s="2">
        <f t="shared" si="2"/>
        <v>25</v>
      </c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>
      <c r="B1849" s="3"/>
      <c r="C1849" s="3"/>
      <c r="D1849" s="3"/>
      <c r="E1849" s="3"/>
      <c r="F1849" s="2">
        <f>IFERROR(__xludf.DUMMYFUNCTION("""COMPUTED_VALUE"""),32.48)</f>
        <v>32.48</v>
      </c>
      <c r="G1849" s="2">
        <f t="shared" si="2"/>
        <v>32</v>
      </c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>
      <c r="B1850" s="3"/>
      <c r="C1850" s="3"/>
      <c r="D1850" s="3"/>
      <c r="E1850" s="3"/>
      <c r="F1850" s="2">
        <f>IFERROR(__xludf.DUMMYFUNCTION("""COMPUTED_VALUE"""),76.92)</f>
        <v>76.92</v>
      </c>
      <c r="G1850" s="2">
        <f t="shared" si="2"/>
        <v>77</v>
      </c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>
      <c r="B1851" s="3"/>
      <c r="C1851" s="3"/>
      <c r="D1851" s="3"/>
      <c r="E1851" s="3"/>
      <c r="F1851" s="2">
        <f>IFERROR(__xludf.DUMMYFUNCTION("""COMPUTED_VALUE"""),14.04)</f>
        <v>14.04</v>
      </c>
      <c r="G1851" s="2">
        <f t="shared" si="2"/>
        <v>14</v>
      </c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>
      <c r="B1852" s="3"/>
      <c r="C1852" s="3"/>
      <c r="D1852" s="3"/>
      <c r="E1852" s="3"/>
      <c r="F1852" s="2">
        <f>IFERROR(__xludf.DUMMYFUNCTION("""COMPUTED_VALUE"""),22.6)</f>
        <v>22.6</v>
      </c>
      <c r="G1852" s="2">
        <f t="shared" si="2"/>
        <v>23</v>
      </c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>
      <c r="B1853" s="3"/>
      <c r="C1853" s="3"/>
      <c r="D1853" s="3"/>
      <c r="E1853" s="3"/>
      <c r="F1853" s="2">
        <f>IFERROR(__xludf.DUMMYFUNCTION("""COMPUTED_VALUE"""),57.0)</f>
        <v>57</v>
      </c>
      <c r="G1853" s="2">
        <f t="shared" si="2"/>
        <v>57</v>
      </c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>
      <c r="B1854" s="3"/>
      <c r="C1854" s="3"/>
      <c r="D1854" s="3"/>
      <c r="E1854" s="3"/>
      <c r="F1854" s="2">
        <f>IFERROR(__xludf.DUMMYFUNCTION("""COMPUTED_VALUE"""),13.0)</f>
        <v>13</v>
      </c>
      <c r="G1854" s="2">
        <f t="shared" si="2"/>
        <v>13</v>
      </c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>
      <c r="B1855" s="3"/>
      <c r="C1855" s="3"/>
      <c r="D1855" s="3"/>
      <c r="E1855" s="3"/>
      <c r="F1855" s="2">
        <f>IFERROR(__xludf.DUMMYFUNCTION("""COMPUTED_VALUE"""),114.24)</f>
        <v>114.24</v>
      </c>
      <c r="G1855" s="2">
        <f t="shared" si="2"/>
        <v>114</v>
      </c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>
      <c r="B1856" s="3"/>
      <c r="C1856" s="3"/>
      <c r="D1856" s="3"/>
      <c r="E1856" s="3"/>
      <c r="F1856" s="2">
        <f>IFERROR(__xludf.DUMMYFUNCTION("""COMPUTED_VALUE"""),24.84)</f>
        <v>24.84</v>
      </c>
      <c r="G1856" s="2">
        <f t="shared" si="2"/>
        <v>25</v>
      </c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>
      <c r="B1857" s="3"/>
      <c r="C1857" s="3"/>
      <c r="D1857" s="3"/>
      <c r="E1857" s="3"/>
      <c r="F1857" s="2">
        <f>IFERROR(__xludf.DUMMYFUNCTION("""COMPUTED_VALUE"""),29.0)</f>
        <v>29</v>
      </c>
      <c r="G1857" s="2">
        <f t="shared" si="2"/>
        <v>29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>
      <c r="B1858" s="3"/>
      <c r="C1858" s="3"/>
      <c r="D1858" s="3"/>
      <c r="E1858" s="3"/>
      <c r="F1858" s="2">
        <f>IFERROR(__xludf.DUMMYFUNCTION("""COMPUTED_VALUE"""),68.92)</f>
        <v>68.92</v>
      </c>
      <c r="G1858" s="2">
        <f t="shared" si="2"/>
        <v>69</v>
      </c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>
      <c r="B1859" s="3"/>
      <c r="C1859" s="3"/>
      <c r="D1859" s="3"/>
      <c r="E1859" s="3"/>
      <c r="F1859" s="2">
        <f>IFERROR(__xludf.DUMMYFUNCTION("""COMPUTED_VALUE"""),22.6)</f>
        <v>22.6</v>
      </c>
      <c r="G1859" s="2">
        <f t="shared" si="2"/>
        <v>23</v>
      </c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>
      <c r="B1860" s="3"/>
      <c r="C1860" s="3"/>
      <c r="D1860" s="3"/>
      <c r="E1860" s="3"/>
      <c r="F1860" s="2">
        <f>IFERROR(__xludf.DUMMYFUNCTION("""COMPUTED_VALUE"""),13.0)</f>
        <v>13</v>
      </c>
      <c r="G1860" s="2">
        <f t="shared" si="2"/>
        <v>13</v>
      </c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>
      <c r="B1861" s="3"/>
      <c r="C1861" s="3"/>
      <c r="D1861" s="3"/>
      <c r="E1861" s="3"/>
      <c r="F1861" s="2">
        <f>IFERROR(__xludf.DUMMYFUNCTION("""COMPUTED_VALUE"""),54.16)</f>
        <v>54.16</v>
      </c>
      <c r="G1861" s="2">
        <f t="shared" si="2"/>
        <v>54</v>
      </c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>
      <c r="B1862" s="3"/>
      <c r="C1862" s="3"/>
      <c r="D1862" s="3"/>
      <c r="E1862" s="3"/>
      <c r="F1862" s="2">
        <f>IFERROR(__xludf.DUMMYFUNCTION("""COMPUTED_VALUE"""),14.6)</f>
        <v>14.6</v>
      </c>
      <c r="G1862" s="2">
        <f t="shared" si="2"/>
        <v>15</v>
      </c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>
      <c r="B1863" s="3"/>
      <c r="C1863" s="3"/>
      <c r="D1863" s="3"/>
      <c r="E1863" s="3"/>
      <c r="F1863" s="2">
        <f>IFERROR(__xludf.DUMMYFUNCTION("""COMPUTED_VALUE"""),57.0)</f>
        <v>57</v>
      </c>
      <c r="G1863" s="2">
        <f t="shared" si="2"/>
        <v>57</v>
      </c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>
      <c r="B1864" s="3"/>
      <c r="C1864" s="3"/>
      <c r="D1864" s="3"/>
      <c r="E1864" s="3"/>
      <c r="F1864" s="2">
        <f>IFERROR(__xludf.DUMMYFUNCTION("""COMPUTED_VALUE"""),20.96)</f>
        <v>20.96</v>
      </c>
      <c r="G1864" s="2">
        <f t="shared" si="2"/>
        <v>21</v>
      </c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>
      <c r="B1865" s="3"/>
      <c r="C1865" s="3"/>
      <c r="D1865" s="3"/>
      <c r="E1865" s="3"/>
      <c r="F1865" s="2">
        <f>IFERROR(__xludf.DUMMYFUNCTION("""COMPUTED_VALUE"""),21.8)</f>
        <v>21.8</v>
      </c>
      <c r="G1865" s="2">
        <f t="shared" si="2"/>
        <v>22</v>
      </c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>
      <c r="B1866" s="3"/>
      <c r="C1866" s="3"/>
      <c r="D1866" s="3"/>
      <c r="E1866" s="3"/>
      <c r="F1866" s="2">
        <f>IFERROR(__xludf.DUMMYFUNCTION("""COMPUTED_VALUE"""),46.16)</f>
        <v>46.16</v>
      </c>
      <c r="G1866" s="2">
        <f t="shared" si="2"/>
        <v>46</v>
      </c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>
      <c r="B1867" s="3"/>
      <c r="C1867" s="3"/>
      <c r="D1867" s="3"/>
      <c r="E1867" s="3"/>
      <c r="F1867" s="2">
        <f>IFERROR(__xludf.DUMMYFUNCTION("""COMPUTED_VALUE"""),49.44)</f>
        <v>49.44</v>
      </c>
      <c r="G1867" s="2">
        <f t="shared" si="2"/>
        <v>49</v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>
      <c r="B1868" s="3"/>
      <c r="C1868" s="3"/>
      <c r="D1868" s="3"/>
      <c r="E1868" s="3"/>
      <c r="F1868" s="2">
        <f>IFERROR(__xludf.DUMMYFUNCTION("""COMPUTED_VALUE"""),17.0)</f>
        <v>17</v>
      </c>
      <c r="G1868" s="2">
        <f t="shared" si="2"/>
        <v>17</v>
      </c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>
      <c r="B1869" s="3"/>
      <c r="C1869" s="3"/>
      <c r="D1869" s="3"/>
      <c r="E1869" s="3"/>
      <c r="F1869" s="2">
        <f>IFERROR(__xludf.DUMMYFUNCTION("""COMPUTED_VALUE"""),37.8)</f>
        <v>37.8</v>
      </c>
      <c r="G1869" s="2">
        <f t="shared" si="2"/>
        <v>38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>
      <c r="B1870" s="3"/>
      <c r="C1870" s="3"/>
      <c r="D1870" s="3"/>
      <c r="E1870" s="3"/>
      <c r="F1870" s="2">
        <f>IFERROR(__xludf.DUMMYFUNCTION("""COMPUTED_VALUE"""),48.96)</f>
        <v>48.96</v>
      </c>
      <c r="G1870" s="2">
        <f t="shared" si="2"/>
        <v>49</v>
      </c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>
      <c r="B1871" s="3"/>
      <c r="C1871" s="3"/>
      <c r="D1871" s="3"/>
      <c r="E1871" s="3"/>
      <c r="F1871" s="2">
        <f>IFERROR(__xludf.DUMMYFUNCTION("""COMPUTED_VALUE"""),29.0)</f>
        <v>29</v>
      </c>
      <c r="G1871" s="2">
        <f t="shared" si="2"/>
        <v>29</v>
      </c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>
      <c r="B1872" s="3"/>
      <c r="C1872" s="3"/>
      <c r="D1872" s="3"/>
      <c r="E1872" s="3"/>
      <c r="F1872" s="2">
        <f>IFERROR(__xludf.DUMMYFUNCTION("""COMPUTED_VALUE"""),29.0)</f>
        <v>29</v>
      </c>
      <c r="G1872" s="2">
        <f t="shared" si="2"/>
        <v>29</v>
      </c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>
      <c r="B1873" s="3"/>
      <c r="C1873" s="3"/>
      <c r="D1873" s="3"/>
      <c r="E1873" s="3"/>
      <c r="F1873" s="2">
        <f>IFERROR(__xludf.DUMMYFUNCTION("""COMPUTED_VALUE"""),14.6)</f>
        <v>14.6</v>
      </c>
      <c r="G1873" s="2">
        <f t="shared" si="2"/>
        <v>15</v>
      </c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>
      <c r="B1874" s="3"/>
      <c r="C1874" s="3"/>
      <c r="D1874" s="3"/>
      <c r="E1874" s="3"/>
      <c r="F1874" s="2">
        <f>IFERROR(__xludf.DUMMYFUNCTION("""COMPUTED_VALUE"""),25.0)</f>
        <v>25</v>
      </c>
      <c r="G1874" s="2">
        <f t="shared" si="2"/>
        <v>25</v>
      </c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>
      <c r="B1875" s="3"/>
      <c r="C1875" s="3"/>
      <c r="D1875" s="3"/>
      <c r="E1875" s="3"/>
      <c r="F1875" s="2">
        <f>IFERROR(__xludf.DUMMYFUNCTION("""COMPUTED_VALUE"""),61.8)</f>
        <v>61.8</v>
      </c>
      <c r="G1875" s="2">
        <f t="shared" si="2"/>
        <v>62</v>
      </c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>
      <c r="B1876" s="3"/>
      <c r="C1876" s="3"/>
      <c r="D1876" s="3"/>
      <c r="E1876" s="3"/>
      <c r="F1876" s="2">
        <f>IFERROR(__xludf.DUMMYFUNCTION("""COMPUTED_VALUE"""),21.8)</f>
        <v>21.8</v>
      </c>
      <c r="G1876" s="2">
        <f t="shared" si="2"/>
        <v>22</v>
      </c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>
      <c r="B1877" s="3"/>
      <c r="C1877" s="3"/>
      <c r="D1877" s="3"/>
      <c r="E1877" s="3"/>
      <c r="F1877" s="2">
        <f>IFERROR(__xludf.DUMMYFUNCTION("""COMPUTED_VALUE"""),14.04)</f>
        <v>14.04</v>
      </c>
      <c r="G1877" s="2">
        <f t="shared" si="2"/>
        <v>14</v>
      </c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>
      <c r="B1878" s="3"/>
      <c r="C1878" s="3"/>
      <c r="D1878" s="3"/>
      <c r="E1878" s="3"/>
      <c r="F1878" s="2">
        <f>IFERROR(__xludf.DUMMYFUNCTION("""COMPUTED_VALUE"""),25.0)</f>
        <v>25</v>
      </c>
      <c r="G1878" s="2">
        <f t="shared" si="2"/>
        <v>25</v>
      </c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>
      <c r="B1879" s="3"/>
      <c r="C1879" s="3"/>
      <c r="D1879" s="3"/>
      <c r="E1879" s="3"/>
      <c r="F1879" s="2">
        <f>IFERROR(__xludf.DUMMYFUNCTION("""COMPUTED_VALUE"""),13.0)</f>
        <v>13</v>
      </c>
      <c r="G1879" s="2">
        <f t="shared" si="2"/>
        <v>13</v>
      </c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>
      <c r="B1880" s="3"/>
      <c r="C1880" s="3"/>
      <c r="D1880" s="3"/>
      <c r="E1880" s="3"/>
      <c r="F1880" s="2">
        <f>IFERROR(__xludf.DUMMYFUNCTION("""COMPUTED_VALUE"""),54.16)</f>
        <v>54.16</v>
      </c>
      <c r="G1880" s="2">
        <f t="shared" si="2"/>
        <v>54</v>
      </c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>
      <c r="B1881" s="3"/>
      <c r="C1881" s="3"/>
      <c r="D1881" s="3"/>
      <c r="E1881" s="3"/>
      <c r="F1881" s="2">
        <f>IFERROR(__xludf.DUMMYFUNCTION("""COMPUTED_VALUE"""),25.0)</f>
        <v>25</v>
      </c>
      <c r="G1881" s="2">
        <f t="shared" si="2"/>
        <v>25</v>
      </c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>
      <c r="B1882" s="3"/>
      <c r="C1882" s="3"/>
      <c r="D1882" s="3"/>
      <c r="E1882" s="3"/>
      <c r="F1882" s="2">
        <f>IFERROR(__xludf.DUMMYFUNCTION("""COMPUTED_VALUE"""),16.84)</f>
        <v>16.84</v>
      </c>
      <c r="G1882" s="2">
        <f t="shared" si="2"/>
        <v>17</v>
      </c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>
      <c r="B1883" s="3"/>
      <c r="C1883" s="3"/>
      <c r="D1883" s="3"/>
      <c r="E1883" s="3"/>
      <c r="F1883" s="2">
        <f>IFERROR(__xludf.DUMMYFUNCTION("""COMPUTED_VALUE"""),13.0)</f>
        <v>13</v>
      </c>
      <c r="G1883" s="2">
        <f t="shared" si="2"/>
        <v>13</v>
      </c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>
      <c r="B1884" s="3"/>
      <c r="C1884" s="3"/>
      <c r="D1884" s="3"/>
      <c r="E1884" s="3"/>
      <c r="F1884" s="2">
        <f>IFERROR(__xludf.DUMMYFUNCTION("""COMPUTED_VALUE"""),64.84)</f>
        <v>64.84</v>
      </c>
      <c r="G1884" s="2">
        <f t="shared" si="2"/>
        <v>65</v>
      </c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>
      <c r="B1885" s="3"/>
      <c r="C1885" s="3"/>
      <c r="D1885" s="3"/>
      <c r="E1885" s="3"/>
      <c r="F1885" s="2">
        <f>IFERROR(__xludf.DUMMYFUNCTION("""COMPUTED_VALUE"""),61.8)</f>
        <v>61.8</v>
      </c>
      <c r="G1885" s="2">
        <f t="shared" si="2"/>
        <v>62</v>
      </c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>
      <c r="B1886" s="3"/>
      <c r="C1886" s="3"/>
      <c r="D1886" s="3"/>
      <c r="E1886" s="3"/>
      <c r="F1886" s="2">
        <f>IFERROR(__xludf.DUMMYFUNCTION("""COMPUTED_VALUE"""),24.84)</f>
        <v>24.84</v>
      </c>
      <c r="G1886" s="2">
        <f t="shared" si="2"/>
        <v>25</v>
      </c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>
      <c r="B1887" s="3"/>
      <c r="C1887" s="3"/>
      <c r="D1887" s="3"/>
      <c r="E1887" s="3"/>
      <c r="F1887" s="2">
        <f>IFERROR(__xludf.DUMMYFUNCTION("""COMPUTED_VALUE"""),22.6)</f>
        <v>22.6</v>
      </c>
      <c r="G1887" s="2">
        <f t="shared" si="2"/>
        <v>23</v>
      </c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>
      <c r="B1888" s="3"/>
      <c r="C1888" s="3"/>
      <c r="D1888" s="3"/>
      <c r="E1888" s="3"/>
      <c r="F1888" s="2">
        <f>IFERROR(__xludf.DUMMYFUNCTION("""COMPUTED_VALUE"""),37.8)</f>
        <v>37.8</v>
      </c>
      <c r="G1888" s="2">
        <f t="shared" si="2"/>
        <v>38</v>
      </c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>
      <c r="B1889" s="3"/>
      <c r="C1889" s="3"/>
      <c r="D1889" s="3"/>
      <c r="E1889" s="3"/>
      <c r="F1889" s="2">
        <f>IFERROR(__xludf.DUMMYFUNCTION("""COMPUTED_VALUE"""),61.8)</f>
        <v>61.8</v>
      </c>
      <c r="G1889" s="2">
        <f t="shared" si="2"/>
        <v>62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>
      <c r="B1890" s="3"/>
      <c r="C1890" s="3"/>
      <c r="D1890" s="3"/>
      <c r="E1890" s="3"/>
      <c r="F1890" s="2">
        <f>IFERROR(__xludf.DUMMYFUNCTION("""COMPUTED_VALUE"""),48.96)</f>
        <v>48.96</v>
      </c>
      <c r="G1890" s="2">
        <f t="shared" si="2"/>
        <v>49</v>
      </c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>
      <c r="B1891" s="3"/>
      <c r="C1891" s="3"/>
      <c r="D1891" s="3"/>
      <c r="E1891" s="3"/>
      <c r="F1891" s="2">
        <f>IFERROR(__xludf.DUMMYFUNCTION("""COMPUTED_VALUE"""),46.16)</f>
        <v>46.16</v>
      </c>
      <c r="G1891" s="2">
        <f t="shared" si="2"/>
        <v>46</v>
      </c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>
      <c r="B1892" s="3"/>
      <c r="C1892" s="3"/>
      <c r="D1892" s="3"/>
      <c r="E1892" s="3"/>
      <c r="F1892" s="2">
        <f>IFERROR(__xludf.DUMMYFUNCTION("""COMPUTED_VALUE"""),61.8)</f>
        <v>61.8</v>
      </c>
      <c r="G1892" s="2">
        <f t="shared" si="2"/>
        <v>62</v>
      </c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>
      <c r="B1893" s="3"/>
      <c r="C1893" s="3"/>
      <c r="D1893" s="3"/>
      <c r="E1893" s="3"/>
      <c r="F1893" s="2">
        <f>IFERROR(__xludf.DUMMYFUNCTION("""COMPUTED_VALUE"""),38.16)</f>
        <v>38.16</v>
      </c>
      <c r="G1893" s="2">
        <f t="shared" si="2"/>
        <v>38</v>
      </c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>
      <c r="B1894" s="3"/>
      <c r="C1894" s="3"/>
      <c r="D1894" s="3"/>
      <c r="E1894" s="3"/>
      <c r="F1894" s="2">
        <f>IFERROR(__xludf.DUMMYFUNCTION("""COMPUTED_VALUE"""),45.0)</f>
        <v>45</v>
      </c>
      <c r="G1894" s="2">
        <f t="shared" si="2"/>
        <v>45</v>
      </c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</row>
    <row r="1895">
      <c r="B1895" s="3"/>
      <c r="C1895" s="3"/>
      <c r="D1895" s="3"/>
      <c r="E1895" s="3"/>
      <c r="F1895" s="2">
        <f>IFERROR(__xludf.DUMMYFUNCTION("""COMPUTED_VALUE"""),24.84)</f>
        <v>24.84</v>
      </c>
      <c r="G1895" s="2">
        <f t="shared" si="2"/>
        <v>25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</row>
    <row r="1896">
      <c r="B1896" s="3"/>
      <c r="C1896" s="3"/>
      <c r="D1896" s="3"/>
      <c r="E1896" s="3"/>
      <c r="F1896" s="2">
        <f>IFERROR(__xludf.DUMMYFUNCTION("""COMPUTED_VALUE"""),32.48)</f>
        <v>32.48</v>
      </c>
      <c r="G1896" s="2">
        <f t="shared" si="2"/>
        <v>32</v>
      </c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</row>
    <row r="1897">
      <c r="B1897" s="3"/>
      <c r="C1897" s="3"/>
      <c r="D1897" s="3"/>
      <c r="E1897" s="3"/>
      <c r="F1897" s="2">
        <f>IFERROR(__xludf.DUMMYFUNCTION("""COMPUTED_VALUE"""),20.84)</f>
        <v>20.84</v>
      </c>
      <c r="G1897" s="2">
        <f t="shared" si="2"/>
        <v>21</v>
      </c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</row>
    <row r="1898">
      <c r="B1898" s="3"/>
      <c r="C1898" s="3"/>
      <c r="D1898" s="3"/>
      <c r="E1898" s="3"/>
      <c r="F1898" s="2">
        <f>IFERROR(__xludf.DUMMYFUNCTION("""COMPUTED_VALUE"""),32.92)</f>
        <v>32.92</v>
      </c>
      <c r="G1898" s="2">
        <f t="shared" si="2"/>
        <v>33</v>
      </c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</row>
    <row r="1899">
      <c r="B1899" s="3"/>
      <c r="C1899" s="3"/>
      <c r="D1899" s="3"/>
      <c r="E1899" s="3"/>
      <c r="F1899" s="2">
        <f>IFERROR(__xludf.DUMMYFUNCTION("""COMPUTED_VALUE"""),46.16)</f>
        <v>46.16</v>
      </c>
      <c r="G1899" s="2">
        <f t="shared" si="2"/>
        <v>46</v>
      </c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</row>
    <row r="1900">
      <c r="B1900" s="3"/>
      <c r="C1900" s="3"/>
      <c r="D1900" s="3"/>
      <c r="E1900" s="3"/>
      <c r="F1900" s="2">
        <f>IFERROR(__xludf.DUMMYFUNCTION("""COMPUTED_VALUE"""),44.92)</f>
        <v>44.92</v>
      </c>
      <c r="G1900" s="2">
        <f t="shared" si="2"/>
        <v>45</v>
      </c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</row>
    <row r="1901">
      <c r="B1901" s="3"/>
      <c r="C1901" s="3"/>
      <c r="D1901" s="3"/>
      <c r="E1901" s="3"/>
      <c r="F1901" s="2">
        <f>IFERROR(__xludf.DUMMYFUNCTION("""COMPUTED_VALUE"""),57.0)</f>
        <v>57</v>
      </c>
      <c r="G1901" s="2">
        <f t="shared" si="2"/>
        <v>57</v>
      </c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</row>
    <row r="1902">
      <c r="B1902" s="3"/>
      <c r="C1902" s="3"/>
      <c r="D1902" s="3"/>
      <c r="E1902" s="3"/>
      <c r="F1902" s="2">
        <f>IFERROR(__xludf.DUMMYFUNCTION("""COMPUTED_VALUE"""),16.84)</f>
        <v>16.84</v>
      </c>
      <c r="G1902" s="2">
        <f t="shared" si="2"/>
        <v>17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</row>
    <row r="1903">
      <c r="B1903" s="3"/>
      <c r="C1903" s="3"/>
      <c r="D1903" s="3"/>
      <c r="E1903" s="3"/>
      <c r="F1903" s="2">
        <f>IFERROR(__xludf.DUMMYFUNCTION("""COMPUTED_VALUE"""),57.0)</f>
        <v>57</v>
      </c>
      <c r="G1903" s="2">
        <f t="shared" si="2"/>
        <v>57</v>
      </c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</row>
    <row r="1904">
      <c r="B1904" s="3"/>
      <c r="C1904" s="3"/>
      <c r="D1904" s="3"/>
      <c r="E1904" s="3"/>
      <c r="F1904" s="2">
        <f>IFERROR(__xludf.DUMMYFUNCTION("""COMPUTED_VALUE"""),14.04)</f>
        <v>14.04</v>
      </c>
      <c r="G1904" s="2">
        <f t="shared" si="2"/>
        <v>14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</row>
    <row r="1905">
      <c r="B1905" s="3"/>
      <c r="C1905" s="3"/>
      <c r="D1905" s="3"/>
      <c r="E1905" s="3"/>
      <c r="F1905" s="2">
        <f>IFERROR(__xludf.DUMMYFUNCTION("""COMPUTED_VALUE"""),26.16)</f>
        <v>26.16</v>
      </c>
      <c r="G1905" s="2">
        <f t="shared" si="2"/>
        <v>26</v>
      </c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</row>
    <row r="1906">
      <c r="B1906" s="3"/>
      <c r="C1906" s="3"/>
      <c r="D1906" s="3"/>
      <c r="E1906" s="3"/>
      <c r="F1906" s="2">
        <f>IFERROR(__xludf.DUMMYFUNCTION("""COMPUTED_VALUE"""),32.92)</f>
        <v>32.92</v>
      </c>
      <c r="G1906" s="2">
        <f t="shared" si="2"/>
        <v>33</v>
      </c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</row>
    <row r="1907">
      <c r="B1907" s="3"/>
      <c r="C1907" s="3"/>
      <c r="D1907" s="3"/>
      <c r="E1907" s="3"/>
      <c r="F1907" s="2">
        <f>IFERROR(__xludf.DUMMYFUNCTION("""COMPUTED_VALUE"""),29.0)</f>
        <v>29</v>
      </c>
      <c r="G1907" s="2">
        <f t="shared" si="2"/>
        <v>29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</row>
    <row r="1908">
      <c r="B1908" s="3"/>
      <c r="C1908" s="3"/>
      <c r="D1908" s="3"/>
      <c r="E1908" s="3"/>
      <c r="F1908" s="2">
        <f>IFERROR(__xludf.DUMMYFUNCTION("""COMPUTED_VALUE"""),24.84)</f>
        <v>24.84</v>
      </c>
      <c r="G1908" s="2">
        <f t="shared" si="2"/>
        <v>25</v>
      </c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</row>
    <row r="1909">
      <c r="B1909" s="3"/>
      <c r="C1909" s="3"/>
      <c r="D1909" s="3"/>
      <c r="E1909" s="3"/>
      <c r="F1909" s="2">
        <f>IFERROR(__xludf.DUMMYFUNCTION("""COMPUTED_VALUE"""),29.0)</f>
        <v>29</v>
      </c>
      <c r="G1909" s="2">
        <f t="shared" si="2"/>
        <v>29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</row>
    <row r="1910">
      <c r="B1910" s="3"/>
      <c r="C1910" s="3"/>
      <c r="D1910" s="3"/>
      <c r="E1910" s="3"/>
      <c r="F1910" s="2">
        <f>IFERROR(__xludf.DUMMYFUNCTION("""COMPUTED_VALUE"""),26.16)</f>
        <v>26.16</v>
      </c>
      <c r="G1910" s="2">
        <f t="shared" si="2"/>
        <v>26</v>
      </c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</row>
    <row r="1911">
      <c r="B1911" s="3"/>
      <c r="C1911" s="3"/>
      <c r="D1911" s="3"/>
      <c r="E1911" s="3"/>
      <c r="F1911" s="2">
        <f>IFERROR(__xludf.DUMMYFUNCTION("""COMPUTED_VALUE"""),64.84)</f>
        <v>64.84</v>
      </c>
      <c r="G1911" s="2">
        <f t="shared" si="2"/>
        <v>65</v>
      </c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</row>
    <row r="1912">
      <c r="B1912" s="3"/>
      <c r="C1912" s="3"/>
      <c r="D1912" s="3"/>
      <c r="E1912" s="3"/>
      <c r="F1912" s="2">
        <f>IFERROR(__xludf.DUMMYFUNCTION("""COMPUTED_VALUE"""),26.16)</f>
        <v>26.16</v>
      </c>
      <c r="G1912" s="2">
        <f t="shared" si="2"/>
        <v>26</v>
      </c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</row>
    <row r="1913">
      <c r="B1913" s="3"/>
      <c r="C1913" s="3"/>
      <c r="D1913" s="3"/>
      <c r="E1913" s="3"/>
      <c r="F1913" s="2">
        <f>IFERROR(__xludf.DUMMYFUNCTION("""COMPUTED_VALUE"""),32.92)</f>
        <v>32.92</v>
      </c>
      <c r="G1913" s="2">
        <f t="shared" si="2"/>
        <v>33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</row>
    <row r="1914">
      <c r="B1914" s="3"/>
      <c r="C1914" s="3"/>
      <c r="D1914" s="3"/>
      <c r="E1914" s="3"/>
      <c r="F1914" s="2">
        <f>IFERROR(__xludf.DUMMYFUNCTION("""COMPUTED_VALUE"""),38.16)</f>
        <v>38.16</v>
      </c>
      <c r="G1914" s="2">
        <f t="shared" si="2"/>
        <v>38</v>
      </c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</row>
    <row r="1915">
      <c r="B1915" s="3"/>
      <c r="C1915" s="3"/>
      <c r="D1915" s="3"/>
      <c r="E1915" s="3"/>
      <c r="F1915" s="2">
        <f>IFERROR(__xludf.DUMMYFUNCTION("""COMPUTED_VALUE"""),60.92)</f>
        <v>60.92</v>
      </c>
      <c r="G1915" s="2">
        <f t="shared" si="2"/>
        <v>61</v>
      </c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</row>
    <row r="1916">
      <c r="B1916" s="3"/>
      <c r="C1916" s="3"/>
      <c r="D1916" s="3"/>
      <c r="E1916" s="3"/>
      <c r="F1916" s="2">
        <f>IFERROR(__xludf.DUMMYFUNCTION("""COMPUTED_VALUE"""),61.8)</f>
        <v>61.8</v>
      </c>
      <c r="G1916" s="2">
        <f t="shared" si="2"/>
        <v>62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</row>
    <row r="1917">
      <c r="B1917" s="3"/>
      <c r="C1917" s="3"/>
      <c r="D1917" s="3"/>
      <c r="E1917" s="3"/>
      <c r="F1917" s="2">
        <f>IFERROR(__xludf.DUMMYFUNCTION("""COMPUTED_VALUE"""),64.84)</f>
        <v>64.84</v>
      </c>
      <c r="G1917" s="2">
        <f t="shared" si="2"/>
        <v>65</v>
      </c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</row>
    <row r="1918">
      <c r="B1918" s="3"/>
      <c r="C1918" s="3"/>
      <c r="D1918" s="3"/>
      <c r="E1918" s="3"/>
      <c r="F1918" s="2">
        <f>IFERROR(__xludf.DUMMYFUNCTION("""COMPUTED_VALUE"""),26.16)</f>
        <v>26.16</v>
      </c>
      <c r="G1918" s="2">
        <f t="shared" si="2"/>
        <v>26</v>
      </c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</row>
    <row r="1919">
      <c r="B1919" s="3"/>
      <c r="C1919" s="3"/>
      <c r="D1919" s="3"/>
      <c r="E1919" s="3"/>
      <c r="F1919" s="2">
        <f>IFERROR(__xludf.DUMMYFUNCTION("""COMPUTED_VALUE"""),54.16)</f>
        <v>54.16</v>
      </c>
      <c r="G1919" s="2">
        <f t="shared" si="2"/>
        <v>54</v>
      </c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</row>
    <row r="1920">
      <c r="B1920" s="3"/>
      <c r="C1920" s="3"/>
      <c r="D1920" s="3"/>
      <c r="E1920" s="3"/>
      <c r="F1920" s="2">
        <f>IFERROR(__xludf.DUMMYFUNCTION("""COMPUTED_VALUE"""),57.0)</f>
        <v>57</v>
      </c>
      <c r="G1920" s="2">
        <f t="shared" si="2"/>
        <v>57</v>
      </c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</row>
    <row r="1921">
      <c r="B1921" s="3"/>
      <c r="C1921" s="3"/>
      <c r="D1921" s="3"/>
      <c r="E1921" s="3"/>
      <c r="F1921" s="2">
        <f>IFERROR(__xludf.DUMMYFUNCTION("""COMPUTED_VALUE"""),114.24)</f>
        <v>114.24</v>
      </c>
      <c r="G1921" s="2">
        <f t="shared" si="2"/>
        <v>114</v>
      </c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</row>
    <row r="1922">
      <c r="B1922" s="3"/>
      <c r="C1922" s="3"/>
      <c r="D1922" s="3"/>
      <c r="E1922" s="3"/>
      <c r="F1922" s="2">
        <f>IFERROR(__xludf.DUMMYFUNCTION("""COMPUTED_VALUE"""),32.92)</f>
        <v>32.92</v>
      </c>
      <c r="G1922" s="2">
        <f t="shared" si="2"/>
        <v>33</v>
      </c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</row>
    <row r="1923">
      <c r="B1923" s="3"/>
      <c r="C1923" s="3"/>
      <c r="D1923" s="3"/>
      <c r="E1923" s="3"/>
      <c r="F1923" s="2">
        <f>IFERROR(__xludf.DUMMYFUNCTION("""COMPUTED_VALUE"""),14.6)</f>
        <v>14.6</v>
      </c>
      <c r="G1923" s="2">
        <f t="shared" si="2"/>
        <v>15</v>
      </c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</row>
    <row r="1924">
      <c r="B1924" s="3"/>
      <c r="C1924" s="3"/>
      <c r="D1924" s="3"/>
      <c r="E1924" s="3"/>
      <c r="F1924" s="2">
        <f>IFERROR(__xludf.DUMMYFUNCTION("""COMPUTED_VALUE"""),54.16)</f>
        <v>54.16</v>
      </c>
      <c r="G1924" s="2">
        <f t="shared" si="2"/>
        <v>54</v>
      </c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</row>
    <row r="1925">
      <c r="B1925" s="3"/>
      <c r="C1925" s="3"/>
      <c r="D1925" s="3"/>
      <c r="E1925" s="3"/>
      <c r="F1925" s="2">
        <f>IFERROR(__xludf.DUMMYFUNCTION("""COMPUTED_VALUE"""),46.16)</f>
        <v>46.16</v>
      </c>
      <c r="G1925" s="2">
        <f t="shared" si="2"/>
        <v>46</v>
      </c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</row>
    <row r="1926">
      <c r="B1926" s="3"/>
      <c r="C1926" s="3"/>
      <c r="D1926" s="3"/>
      <c r="E1926" s="3"/>
      <c r="F1926" s="2">
        <f>IFERROR(__xludf.DUMMYFUNCTION("""COMPUTED_VALUE"""),14.6)</f>
        <v>14.6</v>
      </c>
      <c r="G1926" s="2">
        <f t="shared" si="2"/>
        <v>15</v>
      </c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</row>
    <row r="1927">
      <c r="B1927" s="3"/>
      <c r="C1927" s="3"/>
      <c r="D1927" s="3"/>
      <c r="E1927" s="3"/>
      <c r="F1927" s="2">
        <f>IFERROR(__xludf.DUMMYFUNCTION("""COMPUTED_VALUE"""),17.0)</f>
        <v>17</v>
      </c>
      <c r="G1927" s="2">
        <f t="shared" si="2"/>
        <v>17</v>
      </c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</row>
    <row r="1928">
      <c r="B1928" s="3"/>
      <c r="C1928" s="3"/>
      <c r="D1928" s="3"/>
      <c r="E1928" s="3"/>
      <c r="F1928" s="2">
        <f>IFERROR(__xludf.DUMMYFUNCTION("""COMPUTED_VALUE"""),46.16)</f>
        <v>46.16</v>
      </c>
      <c r="G1928" s="2">
        <f t="shared" si="2"/>
        <v>46</v>
      </c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</row>
    <row r="1929">
      <c r="B1929" s="3"/>
      <c r="C1929" s="3"/>
      <c r="D1929" s="3"/>
      <c r="E1929" s="3"/>
      <c r="F1929" s="2">
        <f>IFERROR(__xludf.DUMMYFUNCTION("""COMPUTED_VALUE"""),24.84)</f>
        <v>24.84</v>
      </c>
      <c r="G1929" s="2">
        <f t="shared" si="2"/>
        <v>25</v>
      </c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</row>
    <row r="1930">
      <c r="B1930" s="3"/>
      <c r="C1930" s="3"/>
      <c r="D1930" s="3"/>
      <c r="E1930" s="3"/>
      <c r="F1930" s="2">
        <f>IFERROR(__xludf.DUMMYFUNCTION("""COMPUTED_VALUE"""),21.8)</f>
        <v>21.8</v>
      </c>
      <c r="G1930" s="2">
        <f t="shared" si="2"/>
        <v>22</v>
      </c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</row>
    <row r="1931">
      <c r="B1931" s="3"/>
      <c r="C1931" s="3"/>
      <c r="D1931" s="3"/>
      <c r="E1931" s="3"/>
      <c r="F1931" s="2">
        <f>IFERROR(__xludf.DUMMYFUNCTION("""COMPUTED_VALUE"""),16.84)</f>
        <v>16.84</v>
      </c>
      <c r="G1931" s="2">
        <f t="shared" si="2"/>
        <v>17</v>
      </c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</row>
    <row r="1932">
      <c r="B1932" s="3"/>
      <c r="C1932" s="3"/>
      <c r="D1932" s="3"/>
      <c r="E1932" s="3"/>
      <c r="F1932" s="2">
        <f>IFERROR(__xludf.DUMMYFUNCTION("""COMPUTED_VALUE"""),76.92)</f>
        <v>76.92</v>
      </c>
      <c r="G1932" s="2">
        <f t="shared" si="2"/>
        <v>77</v>
      </c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</row>
    <row r="1933">
      <c r="B1933" s="3"/>
      <c r="C1933" s="3"/>
      <c r="D1933" s="3"/>
      <c r="E1933" s="3"/>
      <c r="F1933" s="2">
        <f>IFERROR(__xludf.DUMMYFUNCTION("""COMPUTED_VALUE"""),74.24)</f>
        <v>74.24</v>
      </c>
      <c r="G1933" s="2">
        <f t="shared" si="2"/>
        <v>74</v>
      </c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</row>
    <row r="1934">
      <c r="B1934" s="3"/>
      <c r="C1934" s="3"/>
      <c r="D1934" s="3"/>
      <c r="E1934" s="3"/>
      <c r="F1934" s="2">
        <f>IFERROR(__xludf.DUMMYFUNCTION("""COMPUTED_VALUE"""),20.84)</f>
        <v>20.84</v>
      </c>
      <c r="G1934" s="2">
        <f t="shared" si="2"/>
        <v>21</v>
      </c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</row>
    <row r="1935">
      <c r="B1935" s="3"/>
      <c r="C1935" s="3"/>
      <c r="D1935" s="3"/>
      <c r="E1935" s="3"/>
      <c r="F1935" s="2">
        <f>IFERROR(__xludf.DUMMYFUNCTION("""COMPUTED_VALUE"""),24.84)</f>
        <v>24.84</v>
      </c>
      <c r="G1935" s="2">
        <f t="shared" si="2"/>
        <v>25</v>
      </c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</row>
    <row r="1936">
      <c r="B1936" s="3"/>
      <c r="C1936" s="3"/>
      <c r="D1936" s="3"/>
      <c r="E1936" s="3"/>
      <c r="F1936" s="2">
        <f>IFERROR(__xludf.DUMMYFUNCTION("""COMPUTED_VALUE"""),25.0)</f>
        <v>25</v>
      </c>
      <c r="G1936" s="2">
        <f t="shared" si="2"/>
        <v>25</v>
      </c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</row>
    <row r="1937">
      <c r="B1937" s="3"/>
      <c r="C1937" s="3"/>
      <c r="D1937" s="3"/>
      <c r="E1937" s="3"/>
      <c r="F1937" s="2">
        <f>IFERROR(__xludf.DUMMYFUNCTION("""COMPUTED_VALUE"""),61.8)</f>
        <v>61.8</v>
      </c>
      <c r="G1937" s="2">
        <f t="shared" si="2"/>
        <v>62</v>
      </c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</row>
    <row r="1938">
      <c r="B1938" s="3"/>
      <c r="C1938" s="3"/>
      <c r="D1938" s="3"/>
      <c r="E1938" s="3"/>
      <c r="F1938" s="2">
        <f>IFERROR(__xludf.DUMMYFUNCTION("""COMPUTED_VALUE"""),34.16)</f>
        <v>34.16</v>
      </c>
      <c r="G1938" s="2">
        <f t="shared" si="2"/>
        <v>34</v>
      </c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</row>
    <row r="1939">
      <c r="B1939" s="3"/>
      <c r="C1939" s="3"/>
      <c r="D1939" s="3"/>
      <c r="E1939" s="3"/>
      <c r="F1939" s="2">
        <f>IFERROR(__xludf.DUMMYFUNCTION("""COMPUTED_VALUE"""),20.96)</f>
        <v>20.96</v>
      </c>
      <c r="G1939" s="2">
        <f t="shared" si="2"/>
        <v>21</v>
      </c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</row>
    <row r="1940">
      <c r="B1940" s="3"/>
      <c r="C1940" s="3"/>
      <c r="D1940" s="3"/>
      <c r="E1940" s="3"/>
      <c r="F1940" s="2">
        <f>IFERROR(__xludf.DUMMYFUNCTION("""COMPUTED_VALUE"""),14.6)</f>
        <v>14.6</v>
      </c>
      <c r="G1940" s="2">
        <f t="shared" si="2"/>
        <v>15</v>
      </c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</row>
    <row r="1941">
      <c r="B1941" s="3"/>
      <c r="C1941" s="3"/>
      <c r="D1941" s="3"/>
      <c r="E1941" s="3"/>
      <c r="F1941" s="2">
        <f>IFERROR(__xludf.DUMMYFUNCTION("""COMPUTED_VALUE"""),46.16)</f>
        <v>46.16</v>
      </c>
      <c r="G1941" s="2">
        <f t="shared" si="2"/>
        <v>46</v>
      </c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</row>
    <row r="1942">
      <c r="B1942" s="3"/>
      <c r="C1942" s="3"/>
      <c r="D1942" s="3"/>
      <c r="E1942" s="3"/>
      <c r="F1942" s="2">
        <f>IFERROR(__xludf.DUMMYFUNCTION("""COMPUTED_VALUE"""),32.48)</f>
        <v>32.48</v>
      </c>
      <c r="G1942" s="2">
        <f t="shared" si="2"/>
        <v>32</v>
      </c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</row>
    <row r="1943">
      <c r="B1943" s="3"/>
      <c r="C1943" s="3"/>
      <c r="D1943" s="3"/>
      <c r="E1943" s="3"/>
      <c r="F1943" s="2">
        <f>IFERROR(__xludf.DUMMYFUNCTION("""COMPUTED_VALUE"""),114.24)</f>
        <v>114.24</v>
      </c>
      <c r="G1943" s="2">
        <f t="shared" si="2"/>
        <v>114</v>
      </c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</row>
    <row r="1944">
      <c r="B1944" s="3"/>
      <c r="C1944" s="3"/>
      <c r="D1944" s="3"/>
      <c r="E1944" s="3"/>
      <c r="F1944" s="2">
        <f>IFERROR(__xludf.DUMMYFUNCTION("""COMPUTED_VALUE"""),49.44)</f>
        <v>49.44</v>
      </c>
      <c r="G1944" s="2">
        <f t="shared" si="2"/>
        <v>49</v>
      </c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>
      <c r="B1945" s="3"/>
      <c r="C1945" s="3"/>
      <c r="D1945" s="3"/>
      <c r="E1945" s="3"/>
      <c r="F1945" s="2">
        <f>IFERROR(__xludf.DUMMYFUNCTION("""COMPUTED_VALUE"""),32.48)</f>
        <v>32.48</v>
      </c>
      <c r="G1945" s="2">
        <f t="shared" si="2"/>
        <v>32</v>
      </c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>
      <c r="B1946" s="3"/>
      <c r="C1946" s="3"/>
      <c r="D1946" s="3"/>
      <c r="E1946" s="3"/>
      <c r="F1946" s="2">
        <f>IFERROR(__xludf.DUMMYFUNCTION("""COMPUTED_VALUE"""),54.16)</f>
        <v>54.16</v>
      </c>
      <c r="G1946" s="2">
        <f t="shared" si="2"/>
        <v>54</v>
      </c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>
      <c r="B1947" s="3"/>
      <c r="C1947" s="3"/>
      <c r="D1947" s="3"/>
      <c r="E1947" s="3"/>
      <c r="F1947" s="2">
        <f>IFERROR(__xludf.DUMMYFUNCTION("""COMPUTED_VALUE"""),48.96)</f>
        <v>48.96</v>
      </c>
      <c r="G1947" s="2">
        <f t="shared" si="2"/>
        <v>49</v>
      </c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>
      <c r="B1948" s="3"/>
      <c r="C1948" s="3"/>
      <c r="D1948" s="3"/>
      <c r="E1948" s="3"/>
      <c r="F1948" s="2">
        <f>IFERROR(__xludf.DUMMYFUNCTION("""COMPUTED_VALUE"""),49.44)</f>
        <v>49.44</v>
      </c>
      <c r="G1948" s="2">
        <f t="shared" si="2"/>
        <v>49</v>
      </c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>
      <c r="B1949" s="3"/>
      <c r="C1949" s="3"/>
      <c r="D1949" s="3"/>
      <c r="E1949" s="3"/>
      <c r="F1949" s="2">
        <f>IFERROR(__xludf.DUMMYFUNCTION("""COMPUTED_VALUE"""),48.96)</f>
        <v>48.96</v>
      </c>
      <c r="G1949" s="2">
        <f t="shared" si="2"/>
        <v>49</v>
      </c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>
      <c r="B1950" s="3"/>
      <c r="C1950" s="3"/>
      <c r="D1950" s="3"/>
      <c r="E1950" s="3"/>
      <c r="F1950" s="2">
        <f>IFERROR(__xludf.DUMMYFUNCTION("""COMPUTED_VALUE"""),22.6)</f>
        <v>22.6</v>
      </c>
      <c r="G1950" s="2">
        <f t="shared" si="2"/>
        <v>23</v>
      </c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>
      <c r="B1951" s="3"/>
      <c r="C1951" s="3"/>
      <c r="D1951" s="3"/>
      <c r="E1951" s="3"/>
      <c r="F1951" s="2">
        <f>IFERROR(__xludf.DUMMYFUNCTION("""COMPUTED_VALUE"""),24.84)</f>
        <v>24.84</v>
      </c>
      <c r="G1951" s="2">
        <f t="shared" si="2"/>
        <v>25</v>
      </c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>
      <c r="B1952" s="3"/>
      <c r="C1952" s="3"/>
      <c r="D1952" s="3"/>
      <c r="E1952" s="3"/>
      <c r="F1952" s="2">
        <f>IFERROR(__xludf.DUMMYFUNCTION("""COMPUTED_VALUE"""),24.84)</f>
        <v>24.84</v>
      </c>
      <c r="G1952" s="2">
        <f t="shared" si="2"/>
        <v>25</v>
      </c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>
      <c r="B1953" s="3"/>
      <c r="C1953" s="3"/>
      <c r="D1953" s="3"/>
      <c r="E1953" s="3"/>
      <c r="F1953" s="2">
        <f>IFERROR(__xludf.DUMMYFUNCTION("""COMPUTED_VALUE"""),13.0)</f>
        <v>13</v>
      </c>
      <c r="G1953" s="2">
        <f t="shared" si="2"/>
        <v>13</v>
      </c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>
      <c r="B1954" s="3"/>
      <c r="C1954" s="3"/>
      <c r="D1954" s="3"/>
      <c r="E1954" s="3"/>
      <c r="F1954" s="2">
        <f>IFERROR(__xludf.DUMMYFUNCTION("""COMPUTED_VALUE"""),61.8)</f>
        <v>61.8</v>
      </c>
      <c r="G1954" s="2">
        <f t="shared" si="2"/>
        <v>62</v>
      </c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>
      <c r="B1955" s="3"/>
      <c r="C1955" s="3"/>
      <c r="D1955" s="3"/>
      <c r="E1955" s="3"/>
      <c r="F1955" s="2">
        <f>IFERROR(__xludf.DUMMYFUNCTION("""COMPUTED_VALUE"""),13.0)</f>
        <v>13</v>
      </c>
      <c r="G1955" s="2">
        <f t="shared" si="2"/>
        <v>13</v>
      </c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>
      <c r="B1956" s="3"/>
      <c r="C1956" s="3"/>
      <c r="D1956" s="3"/>
      <c r="E1956" s="3"/>
      <c r="F1956" s="2">
        <f>IFERROR(__xludf.DUMMYFUNCTION("""COMPUTED_VALUE"""),32.48)</f>
        <v>32.48</v>
      </c>
      <c r="G1956" s="2">
        <f t="shared" si="2"/>
        <v>32</v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>
      <c r="B1957" s="3"/>
      <c r="C1957" s="3"/>
      <c r="D1957" s="3"/>
      <c r="E1957" s="3"/>
      <c r="F1957" s="2">
        <f>IFERROR(__xludf.DUMMYFUNCTION("""COMPUTED_VALUE"""),48.96)</f>
        <v>48.96</v>
      </c>
      <c r="G1957" s="2">
        <f t="shared" si="2"/>
        <v>49</v>
      </c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>
      <c r="B1958" s="3"/>
      <c r="C1958" s="3"/>
      <c r="D1958" s="3"/>
      <c r="E1958" s="3"/>
      <c r="F1958" s="2">
        <f>IFERROR(__xludf.DUMMYFUNCTION("""COMPUTED_VALUE"""),25.0)</f>
        <v>25</v>
      </c>
      <c r="G1958" s="2">
        <f t="shared" si="2"/>
        <v>25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>
      <c r="B1959" s="3"/>
      <c r="C1959" s="3"/>
      <c r="D1959" s="3"/>
      <c r="E1959" s="3"/>
      <c r="F1959" s="2">
        <f>IFERROR(__xludf.DUMMYFUNCTION("""COMPUTED_VALUE"""),38.16)</f>
        <v>38.16</v>
      </c>
      <c r="G1959" s="2">
        <f t="shared" si="2"/>
        <v>38</v>
      </c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>
      <c r="B1960" s="3"/>
      <c r="C1960" s="3"/>
      <c r="D1960" s="3"/>
      <c r="E1960" s="3"/>
      <c r="F1960" s="2">
        <f>IFERROR(__xludf.DUMMYFUNCTION("""COMPUTED_VALUE"""),13.0)</f>
        <v>13</v>
      </c>
      <c r="G1960" s="2">
        <f t="shared" si="2"/>
        <v>13</v>
      </c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>
      <c r="B1961" s="3"/>
      <c r="C1961" s="3"/>
      <c r="D1961" s="3"/>
      <c r="E1961" s="3"/>
      <c r="F1961" s="2">
        <f>IFERROR(__xludf.DUMMYFUNCTION("""COMPUTED_VALUE"""),54.16)</f>
        <v>54.16</v>
      </c>
      <c r="G1961" s="2">
        <f t="shared" si="2"/>
        <v>54</v>
      </c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>
      <c r="B1962" s="3"/>
      <c r="C1962" s="3"/>
      <c r="D1962" s="3"/>
      <c r="E1962" s="3"/>
      <c r="F1962" s="2">
        <f>IFERROR(__xludf.DUMMYFUNCTION("""COMPUTED_VALUE"""),29.0)</f>
        <v>29</v>
      </c>
      <c r="G1962" s="2">
        <f t="shared" si="2"/>
        <v>29</v>
      </c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>
      <c r="B1963" s="3"/>
      <c r="C1963" s="3"/>
      <c r="D1963" s="3"/>
      <c r="E1963" s="3"/>
      <c r="F1963" s="2">
        <f>IFERROR(__xludf.DUMMYFUNCTION("""COMPUTED_VALUE"""),24.84)</f>
        <v>24.84</v>
      </c>
      <c r="G1963" s="2">
        <f t="shared" si="2"/>
        <v>25</v>
      </c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>
      <c r="B1964" s="3"/>
      <c r="C1964" s="3"/>
      <c r="D1964" s="3"/>
      <c r="E1964" s="3"/>
      <c r="F1964" s="2">
        <f>IFERROR(__xludf.DUMMYFUNCTION("""COMPUTED_VALUE"""),38.16)</f>
        <v>38.16</v>
      </c>
      <c r="G1964" s="2">
        <f t="shared" si="2"/>
        <v>38</v>
      </c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>
      <c r="B1965" s="3"/>
      <c r="C1965" s="3"/>
      <c r="D1965" s="3"/>
      <c r="E1965" s="3"/>
      <c r="F1965" s="2">
        <f>IFERROR(__xludf.DUMMYFUNCTION("""COMPUTED_VALUE"""),24.84)</f>
        <v>24.84</v>
      </c>
      <c r="G1965" s="2">
        <f t="shared" si="2"/>
        <v>25</v>
      </c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>
      <c r="B1966" s="3"/>
      <c r="C1966" s="3"/>
      <c r="D1966" s="3"/>
      <c r="E1966" s="3"/>
      <c r="F1966" s="2">
        <f>IFERROR(__xludf.DUMMYFUNCTION("""COMPUTED_VALUE"""),46.16)</f>
        <v>46.16</v>
      </c>
      <c r="G1966" s="2">
        <f t="shared" si="2"/>
        <v>46</v>
      </c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>
      <c r="B1967" s="3"/>
      <c r="C1967" s="3"/>
      <c r="D1967" s="3"/>
      <c r="E1967" s="3"/>
      <c r="F1967" s="2">
        <f>IFERROR(__xludf.DUMMYFUNCTION("""COMPUTED_VALUE"""),34.16)</f>
        <v>34.16</v>
      </c>
      <c r="G1967" s="2">
        <f t="shared" si="2"/>
        <v>34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>
      <c r="B1968" s="3"/>
      <c r="C1968" s="3"/>
      <c r="D1968" s="3"/>
      <c r="E1968" s="3"/>
      <c r="F1968" s="2">
        <f>IFERROR(__xludf.DUMMYFUNCTION("""COMPUTED_VALUE"""),48.96)</f>
        <v>48.96</v>
      </c>
      <c r="G1968" s="2">
        <f t="shared" si="2"/>
        <v>49</v>
      </c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>
      <c r="B1969" s="3"/>
      <c r="C1969" s="3"/>
      <c r="D1969" s="3"/>
      <c r="E1969" s="3"/>
      <c r="F1969" s="2">
        <f>IFERROR(__xludf.DUMMYFUNCTION("""COMPUTED_VALUE"""),45.0)</f>
        <v>45</v>
      </c>
      <c r="G1969" s="2">
        <f t="shared" si="2"/>
        <v>45</v>
      </c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>
      <c r="B1970" s="3"/>
      <c r="C1970" s="3"/>
      <c r="D1970" s="3"/>
      <c r="E1970" s="3"/>
      <c r="F1970" s="2">
        <f>IFERROR(__xludf.DUMMYFUNCTION("""COMPUTED_VALUE"""),61.8)</f>
        <v>61.8</v>
      </c>
      <c r="G1970" s="2">
        <f t="shared" si="2"/>
        <v>62</v>
      </c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>
      <c r="B1971" s="3"/>
      <c r="C1971" s="3"/>
      <c r="D1971" s="3"/>
      <c r="E1971" s="3"/>
      <c r="F1971" s="2">
        <f>IFERROR(__xludf.DUMMYFUNCTION("""COMPUTED_VALUE"""),54.16)</f>
        <v>54.16</v>
      </c>
      <c r="G1971" s="2">
        <f t="shared" si="2"/>
        <v>54</v>
      </c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>
      <c r="B1972" s="3"/>
      <c r="C1972" s="3"/>
      <c r="D1972" s="3"/>
      <c r="E1972" s="3"/>
      <c r="F1972" s="2">
        <f>IFERROR(__xludf.DUMMYFUNCTION("""COMPUTED_VALUE"""),76.92)</f>
        <v>76.92</v>
      </c>
      <c r="G1972" s="2">
        <f t="shared" si="2"/>
        <v>77</v>
      </c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>
      <c r="B1973" s="3"/>
      <c r="C1973" s="3"/>
      <c r="D1973" s="3"/>
      <c r="E1973" s="3"/>
      <c r="F1973" s="2">
        <f>IFERROR(__xludf.DUMMYFUNCTION("""COMPUTED_VALUE"""),54.16)</f>
        <v>54.16</v>
      </c>
      <c r="G1973" s="2">
        <f t="shared" si="2"/>
        <v>54</v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>
      <c r="B1974" s="3"/>
      <c r="C1974" s="3"/>
      <c r="D1974" s="3"/>
      <c r="E1974" s="3"/>
      <c r="F1974" s="2">
        <f>IFERROR(__xludf.DUMMYFUNCTION("""COMPUTED_VALUE"""),50.24)</f>
        <v>50.24</v>
      </c>
      <c r="G1974" s="2">
        <f t="shared" si="2"/>
        <v>50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>
      <c r="B1975" s="3"/>
      <c r="C1975" s="3"/>
      <c r="D1975" s="3"/>
      <c r="E1975" s="3"/>
      <c r="F1975" s="2">
        <f>IFERROR(__xludf.DUMMYFUNCTION("""COMPUTED_VALUE"""),54.16)</f>
        <v>54.16</v>
      </c>
      <c r="G1975" s="2">
        <f t="shared" si="2"/>
        <v>54</v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>
      <c r="B1976" s="3"/>
      <c r="C1976" s="3"/>
      <c r="D1976" s="3"/>
      <c r="E1976" s="3"/>
      <c r="F1976" s="2">
        <f>IFERROR(__xludf.DUMMYFUNCTION("""COMPUTED_VALUE"""),76.92)</f>
        <v>76.92</v>
      </c>
      <c r="G1976" s="2">
        <f t="shared" si="2"/>
        <v>77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>
      <c r="B1977" s="3"/>
      <c r="C1977" s="3"/>
      <c r="D1977" s="3"/>
      <c r="E1977" s="3"/>
      <c r="F1977" s="2">
        <f>IFERROR(__xludf.DUMMYFUNCTION("""COMPUTED_VALUE"""),34.16)</f>
        <v>34.16</v>
      </c>
      <c r="G1977" s="2">
        <f t="shared" si="2"/>
        <v>34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>
      <c r="B1978" s="3"/>
      <c r="C1978" s="3"/>
      <c r="D1978" s="3"/>
      <c r="E1978" s="3"/>
      <c r="F1978" s="2">
        <f>IFERROR(__xludf.DUMMYFUNCTION("""COMPUTED_VALUE"""),32.92)</f>
        <v>32.92</v>
      </c>
      <c r="G1978" s="2">
        <f t="shared" si="2"/>
        <v>33</v>
      </c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>
      <c r="B1979" s="3"/>
      <c r="C1979" s="3"/>
      <c r="D1979" s="3"/>
      <c r="E1979" s="3"/>
      <c r="F1979" s="2">
        <f>IFERROR(__xludf.DUMMYFUNCTION("""COMPUTED_VALUE"""),32.48)</f>
        <v>32.48</v>
      </c>
      <c r="G1979" s="2">
        <f t="shared" si="2"/>
        <v>32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>
      <c r="B1980" s="3"/>
      <c r="C1980" s="3"/>
      <c r="D1980" s="3"/>
      <c r="E1980" s="3"/>
      <c r="F1980" s="2">
        <f>IFERROR(__xludf.DUMMYFUNCTION("""COMPUTED_VALUE"""),37.8)</f>
        <v>37.8</v>
      </c>
      <c r="G1980" s="2">
        <f t="shared" si="2"/>
        <v>38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>
      <c r="B1981" s="3"/>
      <c r="C1981" s="3"/>
      <c r="D1981" s="3"/>
      <c r="E1981" s="3"/>
      <c r="F1981" s="2">
        <f>IFERROR(__xludf.DUMMYFUNCTION("""COMPUTED_VALUE"""),74.24)</f>
        <v>74.24</v>
      </c>
      <c r="G1981" s="2">
        <f t="shared" si="2"/>
        <v>74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>
      <c r="B1982" s="3"/>
      <c r="C1982" s="3"/>
      <c r="D1982" s="3"/>
      <c r="E1982" s="3"/>
      <c r="F1982" s="2">
        <f>IFERROR(__xludf.DUMMYFUNCTION("""COMPUTED_VALUE"""),14.6)</f>
        <v>14.6</v>
      </c>
      <c r="G1982" s="2">
        <f t="shared" si="2"/>
        <v>15</v>
      </c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>
      <c r="B1983" s="3"/>
      <c r="C1983" s="3"/>
      <c r="D1983" s="3"/>
      <c r="E1983" s="3"/>
      <c r="F1983" s="2">
        <f>IFERROR(__xludf.DUMMYFUNCTION("""COMPUTED_VALUE"""),13.0)</f>
        <v>13</v>
      </c>
      <c r="G1983" s="2">
        <f t="shared" si="2"/>
        <v>13</v>
      </c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>
      <c r="B1984" s="3"/>
      <c r="C1984" s="3"/>
      <c r="D1984" s="3"/>
      <c r="E1984" s="3"/>
      <c r="F1984" s="2">
        <f>IFERROR(__xludf.DUMMYFUNCTION("""COMPUTED_VALUE"""),24.84)</f>
        <v>24.84</v>
      </c>
      <c r="G1984" s="2">
        <f t="shared" si="2"/>
        <v>25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>
      <c r="B1985" s="3"/>
      <c r="C1985" s="3"/>
      <c r="D1985" s="3"/>
      <c r="E1985" s="3"/>
      <c r="F1985" s="2">
        <f>IFERROR(__xludf.DUMMYFUNCTION("""COMPUTED_VALUE"""),13.0)</f>
        <v>13</v>
      </c>
      <c r="G1985" s="2">
        <f t="shared" si="2"/>
        <v>13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>
      <c r="B1986" s="3"/>
      <c r="C1986" s="3"/>
      <c r="D1986" s="3"/>
      <c r="E1986" s="3"/>
      <c r="F1986" s="2">
        <f>IFERROR(__xludf.DUMMYFUNCTION("""COMPUTED_VALUE"""),76.92)</f>
        <v>76.92</v>
      </c>
      <c r="G1986" s="2">
        <f t="shared" si="2"/>
        <v>77</v>
      </c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>
      <c r="B1987" s="3"/>
      <c r="C1987" s="3"/>
      <c r="D1987" s="3"/>
      <c r="E1987" s="3"/>
      <c r="F1987" s="2">
        <f>IFERROR(__xludf.DUMMYFUNCTION("""COMPUTED_VALUE"""),25.0)</f>
        <v>25</v>
      </c>
      <c r="G1987" s="2">
        <f t="shared" si="2"/>
        <v>25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>
      <c r="B1988" s="3"/>
      <c r="C1988" s="3"/>
      <c r="D1988" s="3"/>
      <c r="E1988" s="3"/>
      <c r="F1988" s="2">
        <f>IFERROR(__xludf.DUMMYFUNCTION("""COMPUTED_VALUE"""),76.92)</f>
        <v>76.92</v>
      </c>
      <c r="G1988" s="2">
        <f t="shared" si="2"/>
        <v>77</v>
      </c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>
      <c r="B1989" s="3"/>
      <c r="C1989" s="3"/>
      <c r="D1989" s="3"/>
      <c r="E1989" s="3"/>
      <c r="F1989" s="2">
        <f>IFERROR(__xludf.DUMMYFUNCTION("""COMPUTED_VALUE"""),50.24)</f>
        <v>50.24</v>
      </c>
      <c r="G1989" s="2">
        <f t="shared" si="2"/>
        <v>50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>
      <c r="B1990" s="3"/>
      <c r="C1990" s="3"/>
      <c r="D1990" s="3"/>
      <c r="E1990" s="3"/>
      <c r="F1990" s="2">
        <f>IFERROR(__xludf.DUMMYFUNCTION("""COMPUTED_VALUE"""),54.16)</f>
        <v>54.16</v>
      </c>
      <c r="G1990" s="2">
        <f t="shared" si="2"/>
        <v>54</v>
      </c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>
      <c r="B1991" s="3"/>
      <c r="C1991" s="3"/>
      <c r="D1991" s="3"/>
      <c r="E1991" s="3"/>
      <c r="F1991" s="2">
        <f>IFERROR(__xludf.DUMMYFUNCTION("""COMPUTED_VALUE"""),45.0)</f>
        <v>45</v>
      </c>
      <c r="G1991" s="2">
        <f t="shared" si="2"/>
        <v>45</v>
      </c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>
      <c r="B1992" s="3"/>
      <c r="C1992" s="3"/>
      <c r="D1992" s="3"/>
      <c r="E1992" s="3"/>
      <c r="F1992" s="2">
        <f>IFERROR(__xludf.DUMMYFUNCTION("""COMPUTED_VALUE"""),60.92)</f>
        <v>60.92</v>
      </c>
      <c r="G1992" s="2">
        <f t="shared" si="2"/>
        <v>61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>
      <c r="B1993" s="3"/>
      <c r="C1993" s="3"/>
      <c r="D1993" s="3"/>
      <c r="E1993" s="3"/>
      <c r="F1993" s="2">
        <f>IFERROR(__xludf.DUMMYFUNCTION("""COMPUTED_VALUE"""),114.24)</f>
        <v>114.24</v>
      </c>
      <c r="G1993" s="2">
        <f t="shared" si="2"/>
        <v>114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>
      <c r="B1994" s="3"/>
      <c r="C1994" s="3"/>
      <c r="D1994" s="3"/>
      <c r="E1994" s="3"/>
      <c r="F1994" s="2">
        <f>IFERROR(__xludf.DUMMYFUNCTION("""COMPUTED_VALUE"""),74.24)</f>
        <v>74.24</v>
      </c>
      <c r="G1994" s="2">
        <f t="shared" si="2"/>
        <v>74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>
      <c r="B1995" s="3"/>
      <c r="C1995" s="3"/>
      <c r="D1995" s="3"/>
      <c r="E1995" s="3"/>
      <c r="F1995" s="2">
        <f>IFERROR(__xludf.DUMMYFUNCTION("""COMPUTED_VALUE"""),32.92)</f>
        <v>32.92</v>
      </c>
      <c r="G1995" s="2">
        <f t="shared" si="2"/>
        <v>33</v>
      </c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>
      <c r="B1996" s="3"/>
      <c r="C1996" s="3"/>
      <c r="D1996" s="3"/>
      <c r="E1996" s="3"/>
      <c r="F1996" s="2">
        <f>IFERROR(__xludf.DUMMYFUNCTION("""COMPUTED_VALUE"""),44.92)</f>
        <v>44.92</v>
      </c>
      <c r="G1996" s="2">
        <f t="shared" si="2"/>
        <v>45</v>
      </c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>
      <c r="B1997" s="3"/>
      <c r="C1997" s="3"/>
      <c r="D1997" s="3"/>
      <c r="E1997" s="3"/>
      <c r="F1997" s="2">
        <f>IFERROR(__xludf.DUMMYFUNCTION("""COMPUTED_VALUE"""),13.0)</f>
        <v>13</v>
      </c>
      <c r="G1997" s="2">
        <f t="shared" si="2"/>
        <v>13</v>
      </c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>
      <c r="B1998" s="3"/>
      <c r="C1998" s="3"/>
      <c r="D1998" s="3"/>
      <c r="E1998" s="3"/>
      <c r="F1998" s="2">
        <f>IFERROR(__xludf.DUMMYFUNCTION("""COMPUTED_VALUE"""),24.84)</f>
        <v>24.84</v>
      </c>
      <c r="G1998" s="2">
        <f t="shared" si="2"/>
        <v>25</v>
      </c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>
      <c r="B1999" s="3"/>
      <c r="C1999" s="3"/>
      <c r="D1999" s="3"/>
      <c r="E1999" s="3"/>
      <c r="F1999" s="2">
        <f>IFERROR(__xludf.DUMMYFUNCTION("""COMPUTED_VALUE"""),16.84)</f>
        <v>16.84</v>
      </c>
      <c r="G1999" s="2">
        <f t="shared" si="2"/>
        <v>17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>
      <c r="B2000" s="3"/>
      <c r="C2000" s="3"/>
      <c r="D2000" s="3"/>
      <c r="E2000" s="3"/>
      <c r="F2000" s="2">
        <f>IFERROR(__xludf.DUMMYFUNCTION("""COMPUTED_VALUE"""),22.6)</f>
        <v>22.6</v>
      </c>
      <c r="G2000" s="2">
        <f t="shared" si="2"/>
        <v>23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>
      <c r="B2001" s="3"/>
      <c r="C2001" s="3"/>
      <c r="D2001" s="3"/>
      <c r="E2001" s="3"/>
      <c r="F2001" s="2">
        <f>IFERROR(__xludf.DUMMYFUNCTION("""COMPUTED_VALUE"""),44.92)</f>
        <v>44.92</v>
      </c>
      <c r="G2001" s="2">
        <f t="shared" si="2"/>
        <v>45</v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>
      <c r="B2002" s="3"/>
      <c r="C2002" s="3"/>
      <c r="D2002" s="3"/>
      <c r="E2002" s="3"/>
      <c r="F2002" s="2">
        <f>IFERROR(__xludf.DUMMYFUNCTION("""COMPUTED_VALUE"""),24.84)</f>
        <v>24.84</v>
      </c>
      <c r="G2002" s="2">
        <f t="shared" si="2"/>
        <v>25</v>
      </c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>
      <c r="B2003" s="3"/>
      <c r="C2003" s="3"/>
      <c r="D2003" s="3"/>
      <c r="E2003" s="3"/>
      <c r="F2003" s="2">
        <f>IFERROR(__xludf.DUMMYFUNCTION("""COMPUTED_VALUE"""),54.16)</f>
        <v>54.16</v>
      </c>
      <c r="G2003" s="2">
        <f t="shared" si="2"/>
        <v>54</v>
      </c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>
      <c r="B2004" s="3"/>
      <c r="C2004" s="3"/>
      <c r="D2004" s="3"/>
      <c r="E2004" s="3"/>
      <c r="F2004" s="2">
        <f>IFERROR(__xludf.DUMMYFUNCTION("""COMPUTED_VALUE"""),49.44)</f>
        <v>49.44</v>
      </c>
      <c r="G2004" s="2">
        <f t="shared" si="2"/>
        <v>49</v>
      </c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>
      <c r="B2005" s="3"/>
      <c r="C2005" s="3"/>
      <c r="D2005" s="3"/>
      <c r="E2005" s="3"/>
      <c r="F2005" s="2">
        <f>IFERROR(__xludf.DUMMYFUNCTION("""COMPUTED_VALUE"""),17.0)</f>
        <v>17</v>
      </c>
      <c r="G2005" s="2">
        <f t="shared" si="2"/>
        <v>17</v>
      </c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>
      <c r="B2006" s="3"/>
      <c r="C2006" s="3"/>
      <c r="D2006" s="3"/>
      <c r="E2006" s="3"/>
      <c r="F2006" s="2">
        <f>IFERROR(__xludf.DUMMYFUNCTION("""COMPUTED_VALUE"""),32.92)</f>
        <v>32.92</v>
      </c>
      <c r="G2006" s="2">
        <f t="shared" si="2"/>
        <v>33</v>
      </c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>
      <c r="B2007" s="3"/>
      <c r="C2007" s="3"/>
      <c r="D2007" s="3"/>
      <c r="E2007" s="3"/>
      <c r="F2007" s="2">
        <f>IFERROR(__xludf.DUMMYFUNCTION("""COMPUTED_VALUE"""),57.0)</f>
        <v>57</v>
      </c>
      <c r="G2007" s="2">
        <f t="shared" si="2"/>
        <v>57</v>
      </c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>
      <c r="B2008" s="3"/>
      <c r="C2008" s="3"/>
      <c r="D2008" s="3"/>
      <c r="E2008" s="3"/>
      <c r="F2008" s="2">
        <f>IFERROR(__xludf.DUMMYFUNCTION("""COMPUTED_VALUE"""),54.16)</f>
        <v>54.16</v>
      </c>
      <c r="G2008" s="2">
        <f t="shared" si="2"/>
        <v>54</v>
      </c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>
      <c r="B2009" s="3"/>
      <c r="C2009" s="3"/>
      <c r="D2009" s="3"/>
      <c r="E2009" s="3"/>
      <c r="F2009" s="2">
        <f>IFERROR(__xludf.DUMMYFUNCTION("""COMPUTED_VALUE"""),64.84)</f>
        <v>64.84</v>
      </c>
      <c r="G2009" s="2">
        <f t="shared" si="2"/>
        <v>65</v>
      </c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>
      <c r="B2010" s="3"/>
      <c r="C2010" s="3"/>
      <c r="D2010" s="3"/>
      <c r="E2010" s="3"/>
      <c r="F2010" s="2">
        <f>IFERROR(__xludf.DUMMYFUNCTION("""COMPUTED_VALUE"""),74.24)</f>
        <v>74.24</v>
      </c>
      <c r="G2010" s="2">
        <f t="shared" si="2"/>
        <v>74</v>
      </c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>
      <c r="B2011" s="3"/>
      <c r="C2011" s="3"/>
      <c r="D2011" s="3"/>
      <c r="E2011" s="3"/>
      <c r="F2011" s="2">
        <f>IFERROR(__xludf.DUMMYFUNCTION("""COMPUTED_VALUE"""),54.16)</f>
        <v>54.16</v>
      </c>
      <c r="G2011" s="2">
        <f t="shared" si="2"/>
        <v>54</v>
      </c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>
      <c r="B2012" s="3"/>
      <c r="C2012" s="3"/>
      <c r="D2012" s="3"/>
      <c r="E2012" s="3"/>
      <c r="F2012" s="2">
        <f>IFERROR(__xludf.DUMMYFUNCTION("""COMPUTED_VALUE"""),114.24)</f>
        <v>114.24</v>
      </c>
      <c r="G2012" s="2">
        <f t="shared" si="2"/>
        <v>114</v>
      </c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>
      <c r="B2013" s="3"/>
      <c r="C2013" s="3"/>
      <c r="D2013" s="3"/>
      <c r="E2013" s="3"/>
      <c r="F2013" s="2">
        <f>IFERROR(__xludf.DUMMYFUNCTION("""COMPUTED_VALUE"""),38.16)</f>
        <v>38.16</v>
      </c>
      <c r="G2013" s="2">
        <f t="shared" si="2"/>
        <v>38</v>
      </c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</row>
    <row r="2014">
      <c r="B2014" s="3"/>
      <c r="C2014" s="3"/>
      <c r="D2014" s="3"/>
      <c r="E2014" s="3"/>
      <c r="F2014" s="2">
        <f>IFERROR(__xludf.DUMMYFUNCTION("""COMPUTED_VALUE"""),34.16)</f>
        <v>34.16</v>
      </c>
      <c r="G2014" s="2">
        <f t="shared" si="2"/>
        <v>34</v>
      </c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</row>
    <row r="2015">
      <c r="B2015" s="3"/>
      <c r="C2015" s="3"/>
      <c r="D2015" s="3"/>
      <c r="E2015" s="3"/>
      <c r="F2015" s="2">
        <f>IFERROR(__xludf.DUMMYFUNCTION("""COMPUTED_VALUE"""),64.84)</f>
        <v>64.84</v>
      </c>
      <c r="G2015" s="2">
        <f t="shared" si="2"/>
        <v>65</v>
      </c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>
      <c r="B2016" s="3"/>
      <c r="C2016" s="3"/>
      <c r="D2016" s="3"/>
      <c r="E2016" s="3"/>
      <c r="F2016" s="2">
        <f>IFERROR(__xludf.DUMMYFUNCTION("""COMPUTED_VALUE"""),21.8)</f>
        <v>21.8</v>
      </c>
      <c r="G2016" s="2">
        <f t="shared" si="2"/>
        <v>22</v>
      </c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</row>
    <row r="2017">
      <c r="B2017" s="3"/>
      <c r="C2017" s="3"/>
      <c r="D2017" s="3"/>
      <c r="E2017" s="3"/>
      <c r="F2017" s="2">
        <f>IFERROR(__xludf.DUMMYFUNCTION("""COMPUTED_VALUE"""),77.25)</f>
        <v>77.25</v>
      </c>
      <c r="G2017" s="2">
        <f t="shared" si="2"/>
        <v>77</v>
      </c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</row>
    <row r="2018">
      <c r="B2018" s="3"/>
      <c r="C2018" s="3"/>
      <c r="D2018" s="3"/>
      <c r="E2018" s="3"/>
      <c r="F2018" s="2">
        <f>IFERROR(__xludf.DUMMYFUNCTION("""COMPUTED_VALUE"""),17.549999999999997)</f>
        <v>17.55</v>
      </c>
      <c r="G2018" s="2">
        <f t="shared" si="2"/>
        <v>18</v>
      </c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</row>
    <row r="2019">
      <c r="B2019" s="3"/>
      <c r="C2019" s="3"/>
      <c r="D2019" s="3"/>
      <c r="E2019" s="3"/>
      <c r="F2019" s="2">
        <f>IFERROR(__xludf.DUMMYFUNCTION("""COMPUTED_VALUE"""),26.05)</f>
        <v>26.05</v>
      </c>
      <c r="G2019" s="2">
        <f t="shared" si="2"/>
        <v>26</v>
      </c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</row>
    <row r="2020">
      <c r="B2020" s="3"/>
      <c r="C2020" s="3"/>
      <c r="D2020" s="3"/>
      <c r="E2020" s="3"/>
      <c r="F2020" s="2">
        <f>IFERROR(__xludf.DUMMYFUNCTION("""COMPUTED_VALUE"""),142.79999999999998)</f>
        <v>142.8</v>
      </c>
      <c r="G2020" s="2">
        <f t="shared" si="2"/>
        <v>143</v>
      </c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</row>
    <row r="2021">
      <c r="B2021" s="3"/>
      <c r="C2021" s="3"/>
      <c r="D2021" s="3"/>
      <c r="E2021" s="3"/>
      <c r="F2021" s="2">
        <f>IFERROR(__xludf.DUMMYFUNCTION("""COMPUTED_VALUE"""),71.25)</f>
        <v>71.25</v>
      </c>
      <c r="G2021" s="2">
        <f t="shared" si="2"/>
        <v>71</v>
      </c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</row>
    <row r="2022">
      <c r="B2022" s="3"/>
      <c r="C2022" s="3"/>
      <c r="D2022" s="3"/>
      <c r="E2022" s="3"/>
      <c r="F2022" s="2">
        <f>IFERROR(__xludf.DUMMYFUNCTION("""COMPUTED_VALUE"""),56.25)</f>
        <v>56.25</v>
      </c>
      <c r="G2022" s="2">
        <f t="shared" si="2"/>
        <v>56</v>
      </c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</row>
    <row r="2023">
      <c r="B2023" s="3"/>
      <c r="C2023" s="3"/>
      <c r="D2023" s="3"/>
      <c r="E2023" s="3"/>
      <c r="F2023" s="2">
        <f>IFERROR(__xludf.DUMMYFUNCTION("""COMPUTED_VALUE"""),28.25)</f>
        <v>28.25</v>
      </c>
      <c r="G2023" s="2">
        <f t="shared" si="2"/>
        <v>28</v>
      </c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</row>
    <row r="2024">
      <c r="B2024" s="3"/>
      <c r="C2024" s="3"/>
      <c r="D2024" s="3"/>
      <c r="E2024" s="3"/>
      <c r="F2024" s="2">
        <f>IFERROR(__xludf.DUMMYFUNCTION("""COMPUTED_VALUE"""),41.150000000000006)</f>
        <v>41.15</v>
      </c>
      <c r="G2024" s="2">
        <f t="shared" si="2"/>
        <v>41</v>
      </c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</row>
    <row r="2025">
      <c r="B2025" s="3"/>
      <c r="C2025" s="3"/>
      <c r="D2025" s="3"/>
      <c r="E2025" s="3"/>
      <c r="F2025" s="2">
        <f>IFERROR(__xludf.DUMMYFUNCTION("""COMPUTED_VALUE"""),16.25)</f>
        <v>16.25</v>
      </c>
      <c r="G2025" s="2">
        <f t="shared" si="2"/>
        <v>16</v>
      </c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</row>
    <row r="2026">
      <c r="B2026" s="3"/>
      <c r="C2026" s="3"/>
      <c r="D2026" s="3"/>
      <c r="E2026" s="3"/>
      <c r="F2026" s="2">
        <f>IFERROR(__xludf.DUMMYFUNCTION("""COMPUTED_VALUE"""),142.79999999999998)</f>
        <v>142.8</v>
      </c>
      <c r="G2026" s="2">
        <f t="shared" si="2"/>
        <v>143</v>
      </c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</row>
    <row r="2027">
      <c r="B2027" s="3"/>
      <c r="C2027" s="3"/>
      <c r="D2027" s="3"/>
      <c r="E2027" s="3"/>
      <c r="F2027" s="2">
        <f>IFERROR(__xludf.DUMMYFUNCTION("""COMPUTED_VALUE"""),62.800000000000004)</f>
        <v>62.8</v>
      </c>
      <c r="G2027" s="2">
        <f t="shared" si="2"/>
        <v>63</v>
      </c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</row>
    <row r="2028">
      <c r="B2028" s="3"/>
      <c r="C2028" s="3"/>
      <c r="D2028" s="3"/>
      <c r="E2028" s="3"/>
      <c r="F2028" s="2">
        <f>IFERROR(__xludf.DUMMYFUNCTION("""COMPUTED_VALUE"""),18.25)</f>
        <v>18.25</v>
      </c>
      <c r="G2028" s="2">
        <f t="shared" si="2"/>
        <v>18</v>
      </c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</row>
    <row r="2029">
      <c r="B2029" s="3"/>
      <c r="C2029" s="3"/>
      <c r="D2029" s="3"/>
      <c r="E2029" s="3"/>
      <c r="F2029" s="2">
        <f>IFERROR(__xludf.DUMMYFUNCTION("""COMPUTED_VALUE"""),31.05)</f>
        <v>31.05</v>
      </c>
      <c r="G2029" s="2">
        <f t="shared" si="2"/>
        <v>31</v>
      </c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</row>
    <row r="2030">
      <c r="B2030" s="3"/>
      <c r="C2030" s="3"/>
      <c r="D2030" s="3"/>
      <c r="E2030" s="3"/>
      <c r="F2030" s="2">
        <f>IFERROR(__xludf.DUMMYFUNCTION("""COMPUTED_VALUE"""),16.25)</f>
        <v>16.25</v>
      </c>
      <c r="G2030" s="2">
        <f t="shared" si="2"/>
        <v>16</v>
      </c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</row>
    <row r="2031">
      <c r="B2031" s="3"/>
      <c r="C2031" s="3"/>
      <c r="D2031" s="3"/>
      <c r="E2031" s="3"/>
      <c r="F2031" s="2">
        <f>IFERROR(__xludf.DUMMYFUNCTION("""COMPUTED_VALUE"""),32.7)</f>
        <v>32.7</v>
      </c>
      <c r="G2031" s="2">
        <f t="shared" si="2"/>
        <v>33</v>
      </c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</row>
    <row r="2032">
      <c r="B2032" s="3"/>
      <c r="C2032" s="3"/>
      <c r="D2032" s="3"/>
      <c r="E2032" s="3"/>
      <c r="F2032" s="2">
        <f>IFERROR(__xludf.DUMMYFUNCTION("""COMPUTED_VALUE"""),21.25)</f>
        <v>21.25</v>
      </c>
      <c r="G2032" s="2">
        <f t="shared" si="2"/>
        <v>21</v>
      </c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</row>
    <row r="2033">
      <c r="B2033" s="3"/>
      <c r="C2033" s="3"/>
      <c r="D2033" s="3"/>
      <c r="E2033" s="3"/>
      <c r="F2033" s="2">
        <f>IFERROR(__xludf.DUMMYFUNCTION("""COMPUTED_VALUE"""),56.25)</f>
        <v>56.25</v>
      </c>
      <c r="G2033" s="2">
        <f t="shared" si="2"/>
        <v>56</v>
      </c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</row>
    <row r="2034">
      <c r="B2034" s="3"/>
      <c r="C2034" s="3"/>
      <c r="D2034" s="3"/>
      <c r="E2034" s="3"/>
      <c r="F2034" s="2">
        <f>IFERROR(__xludf.DUMMYFUNCTION("""COMPUTED_VALUE"""),32.7)</f>
        <v>32.7</v>
      </c>
      <c r="G2034" s="2">
        <f t="shared" si="2"/>
        <v>33</v>
      </c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</row>
    <row r="2035">
      <c r="B2035" s="3"/>
      <c r="C2035" s="3"/>
      <c r="D2035" s="3"/>
      <c r="E2035" s="3"/>
      <c r="F2035" s="2">
        <f>IFERROR(__xludf.DUMMYFUNCTION("""COMPUTED_VALUE"""),31.05)</f>
        <v>31.05</v>
      </c>
      <c r="G2035" s="2">
        <f t="shared" si="2"/>
        <v>31</v>
      </c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</row>
    <row r="2036">
      <c r="B2036" s="3"/>
      <c r="C2036" s="3"/>
      <c r="D2036" s="3"/>
      <c r="E2036" s="3"/>
      <c r="F2036" s="2">
        <f>IFERROR(__xludf.DUMMYFUNCTION("""COMPUTED_VALUE"""),36.25)</f>
        <v>36.25</v>
      </c>
      <c r="G2036" s="2">
        <f t="shared" si="2"/>
        <v>36</v>
      </c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</row>
    <row r="2037">
      <c r="B2037" s="3"/>
      <c r="C2037" s="3"/>
      <c r="D2037" s="3"/>
      <c r="E2037" s="3"/>
      <c r="F2037" s="2">
        <f>IFERROR(__xludf.DUMMYFUNCTION("""COMPUTED_VALUE"""),26.05)</f>
        <v>26.05</v>
      </c>
      <c r="G2037" s="2">
        <f t="shared" si="2"/>
        <v>26</v>
      </c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</row>
    <row r="2038">
      <c r="B2038" s="3"/>
      <c r="C2038" s="3"/>
      <c r="D2038" s="3"/>
      <c r="E2038" s="3"/>
      <c r="F2038" s="2">
        <f>IFERROR(__xludf.DUMMYFUNCTION("""COMPUTED_VALUE"""),47.699999999999996)</f>
        <v>47.7</v>
      </c>
      <c r="G2038" s="2">
        <f t="shared" si="2"/>
        <v>48</v>
      </c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</row>
    <row r="2039">
      <c r="B2039" s="3"/>
      <c r="C2039" s="3"/>
      <c r="D2039" s="3"/>
      <c r="E2039" s="3"/>
      <c r="F2039" s="2">
        <f>IFERROR(__xludf.DUMMYFUNCTION("""COMPUTED_VALUE"""),41.150000000000006)</f>
        <v>41.15</v>
      </c>
      <c r="G2039" s="2">
        <f t="shared" si="2"/>
        <v>41</v>
      </c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</row>
    <row r="2040">
      <c r="B2040" s="3"/>
      <c r="C2040" s="3"/>
      <c r="D2040" s="3"/>
      <c r="E2040" s="3"/>
      <c r="F2040" s="2">
        <f>IFERROR(__xludf.DUMMYFUNCTION("""COMPUTED_VALUE"""),62.800000000000004)</f>
        <v>62.8</v>
      </c>
      <c r="G2040" s="2">
        <f t="shared" si="2"/>
        <v>63</v>
      </c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</row>
    <row r="2041">
      <c r="B2041" s="3"/>
      <c r="C2041" s="3"/>
      <c r="D2041" s="3"/>
      <c r="E2041" s="3"/>
      <c r="F2041" s="2">
        <f>IFERROR(__xludf.DUMMYFUNCTION("""COMPUTED_VALUE"""),31.05)</f>
        <v>31.05</v>
      </c>
      <c r="G2041" s="2">
        <f t="shared" si="2"/>
        <v>31</v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</row>
    <row r="2042">
      <c r="B2042" s="3"/>
      <c r="C2042" s="3"/>
      <c r="D2042" s="3"/>
      <c r="E2042" s="3"/>
      <c r="F2042" s="2">
        <f>IFERROR(__xludf.DUMMYFUNCTION("""COMPUTED_VALUE"""),62.800000000000004)</f>
        <v>62.8</v>
      </c>
      <c r="G2042" s="2">
        <f t="shared" si="2"/>
        <v>63</v>
      </c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</row>
    <row r="2043">
      <c r="B2043" s="3"/>
      <c r="C2043" s="3"/>
      <c r="D2043" s="3"/>
      <c r="E2043" s="3"/>
      <c r="F2043" s="2">
        <f>IFERROR(__xludf.DUMMYFUNCTION("""COMPUTED_VALUE"""),57.699999999999996)</f>
        <v>57.7</v>
      </c>
      <c r="G2043" s="2">
        <f t="shared" si="2"/>
        <v>58</v>
      </c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</row>
    <row r="2044">
      <c r="B2044" s="3"/>
      <c r="C2044" s="3"/>
      <c r="D2044" s="3"/>
      <c r="E2044" s="3"/>
      <c r="F2044" s="2">
        <f>IFERROR(__xludf.DUMMYFUNCTION("""COMPUTED_VALUE"""),57.699999999999996)</f>
        <v>57.7</v>
      </c>
      <c r="G2044" s="2">
        <f t="shared" si="2"/>
        <v>58</v>
      </c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</row>
    <row r="2045">
      <c r="B2045" s="3"/>
      <c r="C2045" s="3"/>
      <c r="D2045" s="3"/>
      <c r="E2045" s="3"/>
      <c r="F2045" s="2">
        <f>IFERROR(__xludf.DUMMYFUNCTION("""COMPUTED_VALUE"""),56.150000000000006)</f>
        <v>56.15</v>
      </c>
      <c r="G2045" s="2">
        <f t="shared" si="2"/>
        <v>56</v>
      </c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</row>
    <row r="2046">
      <c r="B2046" s="3"/>
      <c r="C2046" s="3"/>
      <c r="D2046" s="3"/>
      <c r="E2046" s="3"/>
      <c r="F2046" s="2">
        <f>IFERROR(__xludf.DUMMYFUNCTION("""COMPUTED_VALUE"""),40.599999999999994)</f>
        <v>40.6</v>
      </c>
      <c r="G2046" s="2">
        <f t="shared" si="2"/>
        <v>41</v>
      </c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</row>
    <row r="2047">
      <c r="B2047" s="3"/>
      <c r="C2047" s="3"/>
      <c r="D2047" s="3"/>
      <c r="E2047" s="3"/>
      <c r="F2047" s="2">
        <f>IFERROR(__xludf.DUMMYFUNCTION("""COMPUTED_VALUE"""),26.05)</f>
        <v>26.05</v>
      </c>
      <c r="G2047" s="2">
        <f t="shared" si="2"/>
        <v>26</v>
      </c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</row>
    <row r="2048">
      <c r="B2048" s="3"/>
      <c r="C2048" s="3"/>
      <c r="D2048" s="3"/>
      <c r="E2048" s="3"/>
      <c r="F2048" s="2">
        <f>IFERROR(__xludf.DUMMYFUNCTION("""COMPUTED_VALUE"""),96.15)</f>
        <v>96.15</v>
      </c>
      <c r="G2048" s="2">
        <f t="shared" si="2"/>
        <v>96</v>
      </c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</row>
    <row r="2049">
      <c r="B2049" s="3"/>
      <c r="C2049" s="3"/>
      <c r="D2049" s="3"/>
      <c r="E2049" s="3"/>
      <c r="F2049" s="2">
        <f>IFERROR(__xludf.DUMMYFUNCTION("""COMPUTED_VALUE"""),86.15)</f>
        <v>86.15</v>
      </c>
      <c r="G2049" s="2">
        <f t="shared" si="2"/>
        <v>86</v>
      </c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</row>
    <row r="2050">
      <c r="B2050" s="3"/>
      <c r="C2050" s="3"/>
      <c r="D2050" s="3"/>
      <c r="E2050" s="3"/>
      <c r="F2050" s="2">
        <f>IFERROR(__xludf.DUMMYFUNCTION("""COMPUTED_VALUE"""),21.05)</f>
        <v>21.05</v>
      </c>
      <c r="G2050" s="2">
        <f t="shared" si="2"/>
        <v>21</v>
      </c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</row>
    <row r="2051">
      <c r="B2051" s="3"/>
      <c r="C2051" s="3"/>
      <c r="D2051" s="3"/>
      <c r="E2051" s="3"/>
      <c r="F2051" s="2">
        <f>IFERROR(__xludf.DUMMYFUNCTION("""COMPUTED_VALUE"""),17.549999999999997)</f>
        <v>17.55</v>
      </c>
      <c r="G2051" s="2">
        <f t="shared" si="2"/>
        <v>18</v>
      </c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</row>
    <row r="2052">
      <c r="B2052" s="3"/>
      <c r="C2052" s="3"/>
      <c r="D2052" s="3"/>
      <c r="E2052" s="3"/>
      <c r="F2052" s="2">
        <f>IFERROR(__xludf.DUMMYFUNCTION("""COMPUTED_VALUE"""),31.25)</f>
        <v>31.25</v>
      </c>
      <c r="G2052" s="2">
        <f t="shared" si="2"/>
        <v>31</v>
      </c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</row>
    <row r="2053">
      <c r="B2053" s="3"/>
      <c r="C2053" s="3"/>
      <c r="D2053" s="3"/>
      <c r="E2053" s="3"/>
      <c r="F2053" s="2">
        <f>IFERROR(__xludf.DUMMYFUNCTION("""COMPUTED_VALUE"""),96.15)</f>
        <v>96.15</v>
      </c>
      <c r="G2053" s="2">
        <f t="shared" si="2"/>
        <v>96</v>
      </c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</row>
    <row r="2054">
      <c r="B2054" s="3"/>
      <c r="C2054" s="3"/>
      <c r="D2054" s="3"/>
      <c r="E2054" s="3"/>
      <c r="F2054" s="2">
        <f>IFERROR(__xludf.DUMMYFUNCTION("""COMPUTED_VALUE"""),32.7)</f>
        <v>32.7</v>
      </c>
      <c r="G2054" s="2">
        <f t="shared" si="2"/>
        <v>33</v>
      </c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</row>
    <row r="2055">
      <c r="B2055" s="3"/>
      <c r="C2055" s="3"/>
      <c r="D2055" s="3"/>
      <c r="E2055" s="3"/>
      <c r="F2055" s="2">
        <f>IFERROR(__xludf.DUMMYFUNCTION("""COMPUTED_VALUE"""),41.150000000000006)</f>
        <v>41.15</v>
      </c>
      <c r="G2055" s="2">
        <f t="shared" si="2"/>
        <v>41</v>
      </c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</row>
    <row r="2056">
      <c r="B2056" s="3"/>
      <c r="C2056" s="3"/>
      <c r="D2056" s="3"/>
      <c r="E2056" s="3"/>
      <c r="F2056" s="2">
        <f>IFERROR(__xludf.DUMMYFUNCTION("""COMPUTED_VALUE"""),77.25)</f>
        <v>77.25</v>
      </c>
      <c r="G2056" s="2">
        <f t="shared" si="2"/>
        <v>77</v>
      </c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</row>
    <row r="2057">
      <c r="B2057" s="3"/>
      <c r="C2057" s="3"/>
      <c r="D2057" s="3"/>
      <c r="E2057" s="3"/>
      <c r="F2057" s="2">
        <f>IFERROR(__xludf.DUMMYFUNCTION("""COMPUTED_VALUE"""),61.8)</f>
        <v>61.8</v>
      </c>
      <c r="G2057" s="2">
        <f t="shared" si="2"/>
        <v>62</v>
      </c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</row>
    <row r="2058">
      <c r="B2058" s="3"/>
      <c r="C2058" s="3"/>
      <c r="D2058" s="3"/>
      <c r="E2058" s="3"/>
      <c r="F2058" s="2">
        <f>IFERROR(__xludf.DUMMYFUNCTION("""COMPUTED_VALUE"""),81.05000000000001)</f>
        <v>81.05</v>
      </c>
      <c r="G2058" s="2">
        <f t="shared" si="2"/>
        <v>81</v>
      </c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</row>
    <row r="2059">
      <c r="B2059" s="3"/>
      <c r="C2059" s="3"/>
      <c r="D2059" s="3"/>
      <c r="E2059" s="3"/>
      <c r="F2059" s="2">
        <f>IFERROR(__xludf.DUMMYFUNCTION("""COMPUTED_VALUE"""),57.699999999999996)</f>
        <v>57.7</v>
      </c>
      <c r="G2059" s="2">
        <f t="shared" si="2"/>
        <v>58</v>
      </c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</row>
    <row r="2060">
      <c r="B2060" s="3"/>
      <c r="C2060" s="3"/>
      <c r="D2060" s="3"/>
      <c r="E2060" s="3"/>
      <c r="F2060" s="2">
        <f>IFERROR(__xludf.DUMMYFUNCTION("""COMPUTED_VALUE"""),56.150000000000006)</f>
        <v>56.15</v>
      </c>
      <c r="G2060" s="2">
        <f t="shared" si="2"/>
        <v>56</v>
      </c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</row>
    <row r="2061">
      <c r="B2061" s="3"/>
      <c r="C2061" s="3"/>
      <c r="D2061" s="3"/>
      <c r="E2061" s="3"/>
      <c r="F2061" s="2">
        <f>IFERROR(__xludf.DUMMYFUNCTION("""COMPUTED_VALUE"""),16.25)</f>
        <v>16.25</v>
      </c>
      <c r="G2061" s="2">
        <f t="shared" si="2"/>
        <v>16</v>
      </c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</row>
    <row r="2062">
      <c r="B2062" s="3"/>
      <c r="C2062" s="3"/>
      <c r="D2062" s="3"/>
      <c r="E2062" s="3"/>
      <c r="F2062" s="2">
        <f>IFERROR(__xludf.DUMMYFUNCTION("""COMPUTED_VALUE"""),26.05)</f>
        <v>26.05</v>
      </c>
      <c r="G2062" s="2">
        <f t="shared" si="2"/>
        <v>26</v>
      </c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</row>
    <row r="2063">
      <c r="B2063" s="3"/>
      <c r="C2063" s="3"/>
      <c r="D2063" s="3"/>
      <c r="E2063" s="3"/>
      <c r="F2063" s="2">
        <f>IFERROR(__xludf.DUMMYFUNCTION("""COMPUTED_VALUE"""),40.599999999999994)</f>
        <v>40.6</v>
      </c>
      <c r="G2063" s="2">
        <f t="shared" si="2"/>
        <v>41</v>
      </c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</row>
    <row r="2064">
      <c r="B2064" s="3"/>
      <c r="C2064" s="3"/>
      <c r="D2064" s="3"/>
      <c r="E2064" s="3"/>
      <c r="F2064" s="2">
        <f>IFERROR(__xludf.DUMMYFUNCTION("""COMPUTED_VALUE"""),61.8)</f>
        <v>61.8</v>
      </c>
      <c r="G2064" s="2">
        <f t="shared" si="2"/>
        <v>62</v>
      </c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</row>
    <row r="2065">
      <c r="B2065" s="3"/>
      <c r="C2065" s="3"/>
      <c r="D2065" s="3"/>
      <c r="E2065" s="3"/>
      <c r="F2065" s="2">
        <f>IFERROR(__xludf.DUMMYFUNCTION("""COMPUTED_VALUE"""),27.25)</f>
        <v>27.25</v>
      </c>
      <c r="G2065" s="2">
        <f t="shared" si="2"/>
        <v>27</v>
      </c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</row>
    <row r="2066">
      <c r="B2066" s="3"/>
      <c r="C2066" s="3"/>
      <c r="D2066" s="3"/>
      <c r="E2066" s="3"/>
      <c r="F2066" s="2">
        <f>IFERROR(__xludf.DUMMYFUNCTION("""COMPUTED_VALUE"""),26.05)</f>
        <v>26.05</v>
      </c>
      <c r="G2066" s="2">
        <f t="shared" si="2"/>
        <v>26</v>
      </c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>
      <c r="B2067" s="3"/>
      <c r="C2067" s="3"/>
      <c r="D2067" s="3"/>
      <c r="E2067" s="3"/>
      <c r="F2067" s="2">
        <f>IFERROR(__xludf.DUMMYFUNCTION("""COMPUTED_VALUE"""),41.150000000000006)</f>
        <v>41.15</v>
      </c>
      <c r="G2067" s="2">
        <f t="shared" si="2"/>
        <v>41</v>
      </c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>
      <c r="B2068" s="3"/>
      <c r="C2068" s="3"/>
      <c r="D2068" s="3"/>
      <c r="E2068" s="3"/>
      <c r="F2068" s="2">
        <f>IFERROR(__xludf.DUMMYFUNCTION("""COMPUTED_VALUE"""),62.800000000000004)</f>
        <v>62.8</v>
      </c>
      <c r="G2068" s="2">
        <f t="shared" si="2"/>
        <v>63</v>
      </c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>
      <c r="B2069" s="3"/>
      <c r="C2069" s="3"/>
      <c r="D2069" s="3"/>
      <c r="E2069" s="3"/>
      <c r="F2069" s="2">
        <f>IFERROR(__xludf.DUMMYFUNCTION("""COMPUTED_VALUE"""),47.699999999999996)</f>
        <v>47.7</v>
      </c>
      <c r="G2069" s="2">
        <f t="shared" si="2"/>
        <v>48</v>
      </c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>
      <c r="B2070" s="3"/>
      <c r="C2070" s="3"/>
      <c r="D2070" s="3"/>
      <c r="E2070" s="3"/>
      <c r="F2070" s="2">
        <f>IFERROR(__xludf.DUMMYFUNCTION("""COMPUTED_VALUE"""),57.699999999999996)</f>
        <v>57.7</v>
      </c>
      <c r="G2070" s="2">
        <f t="shared" si="2"/>
        <v>58</v>
      </c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</row>
    <row r="2071">
      <c r="B2071" s="3"/>
      <c r="C2071" s="3"/>
      <c r="D2071" s="3"/>
      <c r="E2071" s="3"/>
      <c r="F2071" s="2">
        <f>IFERROR(__xludf.DUMMYFUNCTION("""COMPUTED_VALUE"""),47.699999999999996)</f>
        <v>47.7</v>
      </c>
      <c r="G2071" s="2">
        <f t="shared" si="2"/>
        <v>48</v>
      </c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>
      <c r="B2072" s="3"/>
      <c r="C2072" s="3"/>
      <c r="D2072" s="3"/>
      <c r="E2072" s="3"/>
      <c r="F2072" s="2">
        <f>IFERROR(__xludf.DUMMYFUNCTION("""COMPUTED_VALUE"""),56.150000000000006)</f>
        <v>56.15</v>
      </c>
      <c r="G2072" s="2">
        <f t="shared" si="2"/>
        <v>56</v>
      </c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>
      <c r="B2073" s="3"/>
      <c r="C2073" s="3"/>
      <c r="D2073" s="3"/>
      <c r="E2073" s="3"/>
      <c r="F2073" s="2">
        <f>IFERROR(__xludf.DUMMYFUNCTION("""COMPUTED_VALUE"""),47.699999999999996)</f>
        <v>47.7</v>
      </c>
      <c r="G2073" s="2">
        <f t="shared" si="2"/>
        <v>48</v>
      </c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>
      <c r="B2074" s="3"/>
      <c r="C2074" s="3"/>
      <c r="D2074" s="3"/>
      <c r="E2074" s="3"/>
      <c r="F2074" s="2">
        <f>IFERROR(__xludf.DUMMYFUNCTION("""COMPUTED_VALUE"""),77.25)</f>
        <v>77.25</v>
      </c>
      <c r="G2074" s="2">
        <f t="shared" si="2"/>
        <v>77</v>
      </c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</row>
    <row r="2075">
      <c r="B2075" s="3"/>
      <c r="C2075" s="3"/>
      <c r="D2075" s="3"/>
      <c r="E2075" s="3"/>
      <c r="F2075" s="2">
        <f>IFERROR(__xludf.DUMMYFUNCTION("""COMPUTED_VALUE"""),17.549999999999997)</f>
        <v>17.55</v>
      </c>
      <c r="G2075" s="2">
        <f t="shared" si="2"/>
        <v>18</v>
      </c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</row>
    <row r="2076">
      <c r="B2076" s="3"/>
      <c r="C2076" s="3"/>
      <c r="D2076" s="3"/>
      <c r="E2076" s="3"/>
      <c r="F2076" s="2">
        <f>IFERROR(__xludf.DUMMYFUNCTION("""COMPUTED_VALUE"""),56.150000000000006)</f>
        <v>56.15</v>
      </c>
      <c r="G2076" s="2">
        <f t="shared" si="2"/>
        <v>56</v>
      </c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>
      <c r="B2077" s="3"/>
      <c r="C2077" s="3"/>
      <c r="D2077" s="3"/>
      <c r="E2077" s="3"/>
      <c r="F2077" s="2">
        <f>IFERROR(__xludf.DUMMYFUNCTION("""COMPUTED_VALUE"""),142.79999999999998)</f>
        <v>142.8</v>
      </c>
      <c r="G2077" s="2">
        <f t="shared" si="2"/>
        <v>143</v>
      </c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>
      <c r="B2078" s="3"/>
      <c r="C2078" s="3"/>
      <c r="D2078" s="3"/>
      <c r="E2078" s="3"/>
      <c r="F2078" s="2">
        <f>IFERROR(__xludf.DUMMYFUNCTION("""COMPUTED_VALUE"""),86.15)</f>
        <v>86.15</v>
      </c>
      <c r="G2078" s="2">
        <f t="shared" si="2"/>
        <v>86</v>
      </c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>
      <c r="B2079" s="3"/>
      <c r="C2079" s="3"/>
      <c r="D2079" s="3"/>
      <c r="E2079" s="3"/>
      <c r="F2079" s="2">
        <f>IFERROR(__xludf.DUMMYFUNCTION("""COMPUTED_VALUE"""),56.150000000000006)</f>
        <v>56.15</v>
      </c>
      <c r="G2079" s="2">
        <f t="shared" si="2"/>
        <v>56</v>
      </c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>
      <c r="B2080" s="3"/>
      <c r="C2080" s="3"/>
      <c r="D2080" s="3"/>
      <c r="E2080" s="3"/>
      <c r="F2080" s="2">
        <f>IFERROR(__xludf.DUMMYFUNCTION("""COMPUTED_VALUE"""),36.25)</f>
        <v>36.25</v>
      </c>
      <c r="G2080" s="2">
        <f t="shared" si="2"/>
        <v>36</v>
      </c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>
      <c r="B2081" s="3"/>
      <c r="C2081" s="3"/>
      <c r="D2081" s="3"/>
      <c r="E2081" s="3"/>
      <c r="F2081" s="2">
        <f>IFERROR(__xludf.DUMMYFUNCTION("""COMPUTED_VALUE"""),62.800000000000004)</f>
        <v>62.8</v>
      </c>
      <c r="G2081" s="2">
        <f t="shared" si="2"/>
        <v>63</v>
      </c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>
      <c r="B2082" s="3"/>
      <c r="C2082" s="3"/>
      <c r="D2082" s="3"/>
      <c r="E2082" s="3"/>
      <c r="F2082" s="2">
        <f>IFERROR(__xludf.DUMMYFUNCTION("""COMPUTED_VALUE"""),92.8)</f>
        <v>92.8</v>
      </c>
      <c r="G2082" s="2">
        <f t="shared" si="2"/>
        <v>93</v>
      </c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>
      <c r="B2083" s="3"/>
      <c r="C2083" s="3"/>
      <c r="D2083" s="3"/>
      <c r="E2083" s="3"/>
      <c r="F2083" s="2">
        <f>IFERROR(__xludf.DUMMYFUNCTION("""COMPUTED_VALUE"""),71.25)</f>
        <v>71.25</v>
      </c>
      <c r="G2083" s="2">
        <f t="shared" si="2"/>
        <v>71</v>
      </c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>
      <c r="B2084" s="3"/>
      <c r="C2084" s="3"/>
      <c r="D2084" s="3"/>
      <c r="E2084" s="3"/>
      <c r="F2084" s="2">
        <f>IFERROR(__xludf.DUMMYFUNCTION("""COMPUTED_VALUE"""),86.15)</f>
        <v>86.15</v>
      </c>
      <c r="G2084" s="2">
        <f t="shared" si="2"/>
        <v>86</v>
      </c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>
      <c r="B2085" s="3"/>
      <c r="C2085" s="3"/>
      <c r="D2085" s="3"/>
      <c r="E2085" s="3"/>
      <c r="F2085" s="2">
        <f>IFERROR(__xludf.DUMMYFUNCTION("""COMPUTED_VALUE"""),31.25)</f>
        <v>31.25</v>
      </c>
      <c r="G2085" s="2">
        <f t="shared" si="2"/>
        <v>31</v>
      </c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>
      <c r="B2086" s="3"/>
      <c r="C2086" s="3"/>
      <c r="D2086" s="3"/>
      <c r="E2086" s="3"/>
      <c r="F2086" s="2">
        <f>IFERROR(__xludf.DUMMYFUNCTION("""COMPUTED_VALUE"""),47.699999999999996)</f>
        <v>47.7</v>
      </c>
      <c r="G2086" s="2">
        <f t="shared" si="2"/>
        <v>48</v>
      </c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>
      <c r="B2087" s="3"/>
      <c r="C2087" s="3"/>
      <c r="D2087" s="3"/>
      <c r="E2087" s="3"/>
      <c r="F2087" s="2">
        <f>IFERROR(__xludf.DUMMYFUNCTION("""COMPUTED_VALUE"""),21.05)</f>
        <v>21.05</v>
      </c>
      <c r="G2087" s="2">
        <f t="shared" si="2"/>
        <v>21</v>
      </c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>
      <c r="B2088" s="3"/>
      <c r="C2088" s="3"/>
      <c r="D2088" s="3"/>
      <c r="E2088" s="3"/>
      <c r="F2088" s="2">
        <f>IFERROR(__xludf.DUMMYFUNCTION("""COMPUTED_VALUE"""),67.69999999999999)</f>
        <v>67.7</v>
      </c>
      <c r="G2088" s="2">
        <f t="shared" si="2"/>
        <v>68</v>
      </c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>
      <c r="B2089" s="3"/>
      <c r="C2089" s="3"/>
      <c r="D2089" s="3"/>
      <c r="E2089" s="3"/>
      <c r="F2089" s="2">
        <f>IFERROR(__xludf.DUMMYFUNCTION("""COMPUTED_VALUE"""),56.25)</f>
        <v>56.25</v>
      </c>
      <c r="G2089" s="2">
        <f t="shared" si="2"/>
        <v>56</v>
      </c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>
      <c r="B2090" s="3"/>
      <c r="C2090" s="3"/>
      <c r="D2090" s="3"/>
      <c r="E2090" s="3"/>
      <c r="F2090" s="2">
        <f>IFERROR(__xludf.DUMMYFUNCTION("""COMPUTED_VALUE"""),76.15)</f>
        <v>76.15</v>
      </c>
      <c r="G2090" s="2">
        <f t="shared" si="2"/>
        <v>76</v>
      </c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>
      <c r="B2091" s="3"/>
      <c r="C2091" s="3"/>
      <c r="D2091" s="3"/>
      <c r="E2091" s="3"/>
      <c r="F2091" s="2">
        <f>IFERROR(__xludf.DUMMYFUNCTION("""COMPUTED_VALUE"""),77.25)</f>
        <v>77.25</v>
      </c>
      <c r="G2091" s="2">
        <f t="shared" si="2"/>
        <v>77</v>
      </c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>
      <c r="B2092" s="3"/>
      <c r="C2092" s="3"/>
      <c r="D2092" s="3"/>
      <c r="E2092" s="3"/>
      <c r="F2092" s="2">
        <f>IFERROR(__xludf.DUMMYFUNCTION("""COMPUTED_VALUE"""),21.25)</f>
        <v>21.25</v>
      </c>
      <c r="G2092" s="2">
        <f t="shared" si="2"/>
        <v>21</v>
      </c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>
      <c r="B2093" s="3"/>
      <c r="C2093" s="3"/>
      <c r="D2093" s="3"/>
      <c r="E2093" s="3"/>
      <c r="F2093" s="2">
        <f>IFERROR(__xludf.DUMMYFUNCTION("""COMPUTED_VALUE"""),41.150000000000006)</f>
        <v>41.15</v>
      </c>
      <c r="G2093" s="2">
        <f t="shared" si="2"/>
        <v>41</v>
      </c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</row>
    <row r="2094">
      <c r="B2094" s="3"/>
      <c r="C2094" s="3"/>
      <c r="D2094" s="3"/>
      <c r="E2094" s="3"/>
      <c r="F2094" s="2">
        <f>IFERROR(__xludf.DUMMYFUNCTION("""COMPUTED_VALUE"""),61.8)</f>
        <v>61.8</v>
      </c>
      <c r="G2094" s="2">
        <f t="shared" si="2"/>
        <v>62</v>
      </c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>
      <c r="B2095" s="3"/>
      <c r="C2095" s="3"/>
      <c r="D2095" s="3"/>
      <c r="E2095" s="3"/>
      <c r="F2095" s="2">
        <f>IFERROR(__xludf.DUMMYFUNCTION("""COMPUTED_VALUE"""),18.25)</f>
        <v>18.25</v>
      </c>
      <c r="G2095" s="2">
        <f t="shared" si="2"/>
        <v>18</v>
      </c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>
      <c r="B2096" s="3"/>
      <c r="C2096" s="3"/>
      <c r="D2096" s="3"/>
      <c r="E2096" s="3"/>
      <c r="F2096" s="2">
        <f>IFERROR(__xludf.DUMMYFUNCTION("""COMPUTED_VALUE"""),61.8)</f>
        <v>61.8</v>
      </c>
      <c r="G2096" s="2">
        <f t="shared" si="2"/>
        <v>62</v>
      </c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>
      <c r="B2097" s="3"/>
      <c r="C2097" s="3"/>
      <c r="D2097" s="3"/>
      <c r="E2097" s="3"/>
      <c r="F2097" s="2">
        <f>IFERROR(__xludf.DUMMYFUNCTION("""COMPUTED_VALUE"""),40.599999999999994)</f>
        <v>40.6</v>
      </c>
      <c r="G2097" s="2">
        <f t="shared" si="2"/>
        <v>41</v>
      </c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>
      <c r="B2098" s="3"/>
      <c r="C2098" s="3"/>
      <c r="D2098" s="3"/>
      <c r="E2098" s="3"/>
      <c r="F2098" s="2">
        <f>IFERROR(__xludf.DUMMYFUNCTION("""COMPUTED_VALUE"""),92.8)</f>
        <v>92.8</v>
      </c>
      <c r="G2098" s="2">
        <f t="shared" si="2"/>
        <v>93</v>
      </c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>
      <c r="B2099" s="3"/>
      <c r="C2099" s="3"/>
      <c r="D2099" s="3"/>
      <c r="E2099" s="3"/>
      <c r="F2099" s="2">
        <f>IFERROR(__xludf.DUMMYFUNCTION("""COMPUTED_VALUE"""),16.25)</f>
        <v>16.25</v>
      </c>
      <c r="G2099" s="2">
        <f t="shared" si="2"/>
        <v>16</v>
      </c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>
      <c r="B2100" s="3"/>
      <c r="C2100" s="3"/>
      <c r="D2100" s="3"/>
      <c r="E2100" s="3"/>
      <c r="F2100" s="2">
        <f>IFERROR(__xludf.DUMMYFUNCTION("""COMPUTED_VALUE"""),16.25)</f>
        <v>16.25</v>
      </c>
      <c r="G2100" s="2">
        <f t="shared" si="2"/>
        <v>16</v>
      </c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>
      <c r="B2101" s="3"/>
      <c r="C2101" s="3"/>
      <c r="D2101" s="3"/>
      <c r="E2101" s="3"/>
      <c r="F2101" s="2">
        <f>IFERROR(__xludf.DUMMYFUNCTION("""COMPUTED_VALUE"""),28.25)</f>
        <v>28.25</v>
      </c>
      <c r="G2101" s="2">
        <f t="shared" si="2"/>
        <v>28</v>
      </c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>
      <c r="B2102" s="3"/>
      <c r="C2102" s="3"/>
      <c r="D2102" s="3"/>
      <c r="E2102" s="3"/>
      <c r="F2102" s="2">
        <f>IFERROR(__xludf.DUMMYFUNCTION("""COMPUTED_VALUE"""),16.25)</f>
        <v>16.25</v>
      </c>
      <c r="G2102" s="2">
        <f t="shared" si="2"/>
        <v>16</v>
      </c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</row>
    <row r="2103">
      <c r="B2103" s="3"/>
      <c r="C2103" s="3"/>
      <c r="D2103" s="3"/>
      <c r="E2103" s="3"/>
      <c r="F2103" s="2">
        <f>IFERROR(__xludf.DUMMYFUNCTION("""COMPUTED_VALUE"""),47.699999999999996)</f>
        <v>47.7</v>
      </c>
      <c r="G2103" s="2">
        <f t="shared" si="2"/>
        <v>48</v>
      </c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>
      <c r="B2104" s="3"/>
      <c r="C2104" s="3"/>
      <c r="D2104" s="3"/>
      <c r="E2104" s="3"/>
      <c r="F2104" s="2">
        <f>IFERROR(__xludf.DUMMYFUNCTION("""COMPUTED_VALUE"""),86.15)</f>
        <v>86.15</v>
      </c>
      <c r="G2104" s="2">
        <f t="shared" si="2"/>
        <v>86</v>
      </c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</row>
    <row r="2105">
      <c r="B2105" s="3"/>
      <c r="C2105" s="3"/>
      <c r="D2105" s="3"/>
      <c r="E2105" s="3"/>
      <c r="F2105" s="2">
        <f>IFERROR(__xludf.DUMMYFUNCTION("""COMPUTED_VALUE"""),67.69999999999999)</f>
        <v>67.7</v>
      </c>
      <c r="G2105" s="2">
        <f t="shared" si="2"/>
        <v>68</v>
      </c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</row>
    <row r="2106">
      <c r="B2106" s="3"/>
      <c r="C2106" s="3"/>
      <c r="D2106" s="3"/>
      <c r="E2106" s="3"/>
      <c r="F2106" s="2">
        <f>IFERROR(__xludf.DUMMYFUNCTION("""COMPUTED_VALUE"""),57.699999999999996)</f>
        <v>57.7</v>
      </c>
      <c r="G2106" s="2">
        <f t="shared" si="2"/>
        <v>58</v>
      </c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</row>
    <row r="2107">
      <c r="B2107" s="3"/>
      <c r="C2107" s="3"/>
      <c r="D2107" s="3"/>
      <c r="E2107" s="3"/>
      <c r="F2107" s="2">
        <f>IFERROR(__xludf.DUMMYFUNCTION("""COMPUTED_VALUE"""),21.25)</f>
        <v>21.25</v>
      </c>
      <c r="G2107" s="2">
        <f t="shared" si="2"/>
        <v>21</v>
      </c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</row>
    <row r="2108">
      <c r="B2108" s="3"/>
      <c r="C2108" s="3"/>
      <c r="D2108" s="3"/>
      <c r="E2108" s="3"/>
      <c r="F2108" s="2">
        <f>IFERROR(__xludf.DUMMYFUNCTION("""COMPUTED_VALUE"""),32.7)</f>
        <v>32.7</v>
      </c>
      <c r="G2108" s="2">
        <f t="shared" si="2"/>
        <v>33</v>
      </c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</row>
    <row r="2109">
      <c r="B2109" s="3"/>
      <c r="C2109" s="3"/>
      <c r="D2109" s="3"/>
      <c r="E2109" s="3"/>
      <c r="F2109" s="2">
        <f>IFERROR(__xludf.DUMMYFUNCTION("""COMPUTED_VALUE"""),16.25)</f>
        <v>16.25</v>
      </c>
      <c r="G2109" s="2">
        <f t="shared" si="2"/>
        <v>16</v>
      </c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</row>
    <row r="2110">
      <c r="B2110" s="3"/>
      <c r="C2110" s="3"/>
      <c r="D2110" s="3"/>
      <c r="E2110" s="3"/>
      <c r="F2110" s="2">
        <f>IFERROR(__xludf.DUMMYFUNCTION("""COMPUTED_VALUE"""),32.7)</f>
        <v>32.7</v>
      </c>
      <c r="G2110" s="2">
        <f t="shared" si="2"/>
        <v>33</v>
      </c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</row>
    <row r="2111">
      <c r="B2111" s="3"/>
      <c r="C2111" s="3"/>
      <c r="D2111" s="3"/>
      <c r="E2111" s="3"/>
      <c r="F2111" s="2">
        <f>IFERROR(__xludf.DUMMYFUNCTION("""COMPUTED_VALUE"""),47.25)</f>
        <v>47.25</v>
      </c>
      <c r="G2111" s="2">
        <f t="shared" si="2"/>
        <v>47</v>
      </c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</row>
    <row r="2112">
      <c r="B2112" s="3"/>
      <c r="C2112" s="3"/>
      <c r="D2112" s="3"/>
      <c r="E2112" s="3"/>
      <c r="F2112" s="2">
        <f>IFERROR(__xludf.DUMMYFUNCTION("""COMPUTED_VALUE"""),77.25)</f>
        <v>77.25</v>
      </c>
      <c r="G2112" s="2">
        <f t="shared" si="2"/>
        <v>77</v>
      </c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</row>
    <row r="2113">
      <c r="B2113" s="3"/>
      <c r="C2113" s="3"/>
      <c r="D2113" s="3"/>
      <c r="E2113" s="3"/>
      <c r="F2113" s="2">
        <f>IFERROR(__xludf.DUMMYFUNCTION("""COMPUTED_VALUE"""),61.2)</f>
        <v>61.2</v>
      </c>
      <c r="G2113" s="2">
        <f t="shared" si="2"/>
        <v>61</v>
      </c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</row>
    <row r="2114">
      <c r="B2114" s="3"/>
      <c r="C2114" s="3"/>
      <c r="D2114" s="3"/>
      <c r="E2114" s="3"/>
      <c r="F2114" s="2">
        <f>IFERROR(__xludf.DUMMYFUNCTION("""COMPUTED_VALUE"""),21.05)</f>
        <v>21.05</v>
      </c>
      <c r="G2114" s="2">
        <f t="shared" si="2"/>
        <v>21</v>
      </c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</row>
    <row r="2115">
      <c r="B2115" s="3"/>
      <c r="C2115" s="3"/>
      <c r="D2115" s="3"/>
      <c r="E2115" s="3"/>
      <c r="F2115" s="2">
        <f>IFERROR(__xludf.DUMMYFUNCTION("""COMPUTED_VALUE"""),26.200000000000003)</f>
        <v>26.2</v>
      </c>
      <c r="G2115" s="2">
        <f t="shared" si="2"/>
        <v>26</v>
      </c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</row>
    <row r="2116">
      <c r="B2116" s="3"/>
      <c r="C2116" s="3"/>
      <c r="D2116" s="3"/>
      <c r="E2116" s="3"/>
      <c r="F2116" s="2">
        <f>IFERROR(__xludf.DUMMYFUNCTION("""COMPUTED_VALUE"""),27.25)</f>
        <v>27.25</v>
      </c>
      <c r="G2116" s="2">
        <f t="shared" si="2"/>
        <v>27</v>
      </c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</row>
    <row r="2117">
      <c r="B2117" s="3"/>
      <c r="C2117" s="3"/>
      <c r="D2117" s="3"/>
      <c r="E2117" s="3"/>
      <c r="F2117" s="2">
        <f>IFERROR(__xludf.DUMMYFUNCTION("""COMPUTED_VALUE"""),42.699999999999996)</f>
        <v>42.7</v>
      </c>
      <c r="G2117" s="2">
        <f t="shared" si="2"/>
        <v>43</v>
      </c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</row>
    <row r="2118">
      <c r="B2118" s="3"/>
      <c r="C2118" s="3"/>
      <c r="D2118" s="3"/>
      <c r="E2118" s="3"/>
      <c r="F2118" s="2">
        <f>IFERROR(__xludf.DUMMYFUNCTION("""COMPUTED_VALUE"""),62.800000000000004)</f>
        <v>62.8</v>
      </c>
      <c r="G2118" s="2">
        <f t="shared" si="2"/>
        <v>63</v>
      </c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</row>
    <row r="2119">
      <c r="B2119" s="3"/>
      <c r="C2119" s="3"/>
      <c r="D2119" s="3"/>
      <c r="E2119" s="3"/>
      <c r="F2119" s="2">
        <f>IFERROR(__xludf.DUMMYFUNCTION("""COMPUTED_VALUE"""),36.25)</f>
        <v>36.25</v>
      </c>
      <c r="G2119" s="2">
        <f t="shared" si="2"/>
        <v>36</v>
      </c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</row>
    <row r="2120">
      <c r="B2120" s="3"/>
      <c r="C2120" s="3"/>
      <c r="D2120" s="3"/>
      <c r="E2120" s="3"/>
      <c r="F2120" s="2">
        <f>IFERROR(__xludf.DUMMYFUNCTION("""COMPUTED_VALUE"""),81.05000000000001)</f>
        <v>81.05</v>
      </c>
      <c r="G2120" s="2">
        <f t="shared" si="2"/>
        <v>81</v>
      </c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</row>
    <row r="2121">
      <c r="B2121" s="3"/>
      <c r="C2121" s="3"/>
      <c r="D2121" s="3"/>
      <c r="E2121" s="3"/>
      <c r="F2121" s="2">
        <f>IFERROR(__xludf.DUMMYFUNCTION("""COMPUTED_VALUE"""),28.25)</f>
        <v>28.25</v>
      </c>
      <c r="G2121" s="2">
        <f t="shared" si="2"/>
        <v>28</v>
      </c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>
      <c r="B2122" s="3"/>
      <c r="C2122" s="3"/>
      <c r="D2122" s="3"/>
      <c r="E2122" s="3"/>
      <c r="F2122" s="2">
        <f>IFERROR(__xludf.DUMMYFUNCTION("""COMPUTED_VALUE"""),62.800000000000004)</f>
        <v>62.8</v>
      </c>
      <c r="G2122" s="2">
        <f t="shared" si="2"/>
        <v>63</v>
      </c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</row>
    <row r="2123">
      <c r="B2123" s="3"/>
      <c r="C2123" s="3"/>
      <c r="D2123" s="3"/>
      <c r="E2123" s="3"/>
      <c r="F2123" s="2">
        <f>IFERROR(__xludf.DUMMYFUNCTION("""COMPUTED_VALUE"""),86.15)</f>
        <v>86.15</v>
      </c>
      <c r="G2123" s="2">
        <f t="shared" si="2"/>
        <v>86</v>
      </c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>
      <c r="B2124" s="3"/>
      <c r="C2124" s="3"/>
      <c r="D2124" s="3"/>
      <c r="E2124" s="3"/>
      <c r="F2124" s="2">
        <f>IFERROR(__xludf.DUMMYFUNCTION("""COMPUTED_VALUE"""),27.25)</f>
        <v>27.25</v>
      </c>
      <c r="G2124" s="2">
        <f t="shared" si="2"/>
        <v>27</v>
      </c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>
      <c r="B2125" s="3"/>
      <c r="C2125" s="3"/>
      <c r="D2125" s="3"/>
      <c r="E2125" s="3"/>
      <c r="F2125" s="2">
        <f>IFERROR(__xludf.DUMMYFUNCTION("""COMPUTED_VALUE"""),31.25)</f>
        <v>31.25</v>
      </c>
      <c r="G2125" s="2">
        <f t="shared" si="2"/>
        <v>31</v>
      </c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>
      <c r="B2126" s="3"/>
      <c r="C2126" s="3"/>
      <c r="D2126" s="3"/>
      <c r="E2126" s="3"/>
      <c r="F2126" s="2">
        <f>IFERROR(__xludf.DUMMYFUNCTION("""COMPUTED_VALUE"""),31.05)</f>
        <v>31.05</v>
      </c>
      <c r="G2126" s="2">
        <f t="shared" si="2"/>
        <v>31</v>
      </c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</row>
    <row r="2127">
      <c r="B2127" s="3"/>
      <c r="C2127" s="3"/>
      <c r="D2127" s="3"/>
      <c r="E2127" s="3"/>
      <c r="F2127" s="2">
        <f>IFERROR(__xludf.DUMMYFUNCTION("""COMPUTED_VALUE"""),67.69999999999999)</f>
        <v>67.7</v>
      </c>
      <c r="G2127" s="2">
        <f t="shared" si="2"/>
        <v>68</v>
      </c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>
      <c r="B2128" s="3"/>
      <c r="C2128" s="3"/>
      <c r="D2128" s="3"/>
      <c r="E2128" s="3"/>
      <c r="F2128" s="2">
        <f>IFERROR(__xludf.DUMMYFUNCTION("""COMPUTED_VALUE"""),61.2)</f>
        <v>61.2</v>
      </c>
      <c r="G2128" s="2">
        <f t="shared" si="2"/>
        <v>61</v>
      </c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</row>
    <row r="2129">
      <c r="B2129" s="3"/>
      <c r="C2129" s="3"/>
      <c r="D2129" s="3"/>
      <c r="E2129" s="3"/>
      <c r="F2129" s="2">
        <f>IFERROR(__xludf.DUMMYFUNCTION("""COMPUTED_VALUE"""),67.69999999999999)</f>
        <v>67.7</v>
      </c>
      <c r="G2129" s="2">
        <f t="shared" si="2"/>
        <v>68</v>
      </c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>
      <c r="B2130" s="3"/>
      <c r="C2130" s="3"/>
      <c r="D2130" s="3"/>
      <c r="E2130" s="3"/>
      <c r="F2130" s="2">
        <f>IFERROR(__xludf.DUMMYFUNCTION("""COMPUTED_VALUE"""),86.15)</f>
        <v>86.15</v>
      </c>
      <c r="G2130" s="2">
        <f t="shared" si="2"/>
        <v>86</v>
      </c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</row>
    <row r="2131">
      <c r="B2131" s="3"/>
      <c r="C2131" s="3"/>
      <c r="D2131" s="3"/>
      <c r="E2131" s="3"/>
      <c r="F2131" s="2">
        <f>IFERROR(__xludf.DUMMYFUNCTION("""COMPUTED_VALUE"""),47.699999999999996)</f>
        <v>47.7</v>
      </c>
      <c r="G2131" s="2">
        <f t="shared" si="2"/>
        <v>48</v>
      </c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>
      <c r="B2132" s="3"/>
      <c r="C2132" s="3"/>
      <c r="D2132" s="3"/>
      <c r="E2132" s="3"/>
      <c r="F2132" s="2">
        <f>IFERROR(__xludf.DUMMYFUNCTION("""COMPUTED_VALUE"""),21.25)</f>
        <v>21.25</v>
      </c>
      <c r="G2132" s="2">
        <f t="shared" si="2"/>
        <v>21</v>
      </c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>
      <c r="B2133" s="3"/>
      <c r="C2133" s="3"/>
      <c r="D2133" s="3"/>
      <c r="E2133" s="3"/>
      <c r="F2133" s="2">
        <f>IFERROR(__xludf.DUMMYFUNCTION("""COMPUTED_VALUE"""),56.25)</f>
        <v>56.25</v>
      </c>
      <c r="G2133" s="2">
        <f t="shared" si="2"/>
        <v>56</v>
      </c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</row>
    <row r="2134">
      <c r="B2134" s="3"/>
      <c r="C2134" s="3"/>
      <c r="D2134" s="3"/>
      <c r="E2134" s="3"/>
      <c r="F2134" s="2">
        <f>IFERROR(__xludf.DUMMYFUNCTION("""COMPUTED_VALUE"""),40.599999999999994)</f>
        <v>40.6</v>
      </c>
      <c r="G2134" s="2">
        <f t="shared" si="2"/>
        <v>41</v>
      </c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>
      <c r="B2135" s="3"/>
      <c r="C2135" s="3"/>
      <c r="D2135" s="3"/>
      <c r="E2135" s="3"/>
      <c r="F2135" s="2">
        <f>IFERROR(__xludf.DUMMYFUNCTION("""COMPUTED_VALUE"""),86.15)</f>
        <v>86.15</v>
      </c>
      <c r="G2135" s="2">
        <f t="shared" si="2"/>
        <v>86</v>
      </c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>
      <c r="B2136" s="3"/>
      <c r="C2136" s="3"/>
      <c r="D2136" s="3"/>
      <c r="E2136" s="3"/>
      <c r="F2136" s="2">
        <f>IFERROR(__xludf.DUMMYFUNCTION("""COMPUTED_VALUE"""),16.25)</f>
        <v>16.25</v>
      </c>
      <c r="G2136" s="2">
        <f t="shared" si="2"/>
        <v>16</v>
      </c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</row>
    <row r="2137">
      <c r="B2137" s="3"/>
      <c r="C2137" s="3"/>
      <c r="D2137" s="3"/>
      <c r="E2137" s="3"/>
      <c r="F2137" s="2">
        <f>IFERROR(__xludf.DUMMYFUNCTION("""COMPUTED_VALUE"""),31.25)</f>
        <v>31.25</v>
      </c>
      <c r="G2137" s="2">
        <f t="shared" si="2"/>
        <v>31</v>
      </c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>
      <c r="B2138" s="3"/>
      <c r="C2138" s="3"/>
      <c r="D2138" s="3"/>
      <c r="E2138" s="3"/>
      <c r="F2138" s="2">
        <f>IFERROR(__xludf.DUMMYFUNCTION("""COMPUTED_VALUE"""),16.25)</f>
        <v>16.25</v>
      </c>
      <c r="G2138" s="2">
        <f t="shared" si="2"/>
        <v>16</v>
      </c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</row>
    <row r="2139">
      <c r="B2139" s="3"/>
      <c r="C2139" s="3"/>
      <c r="D2139" s="3"/>
      <c r="E2139" s="3"/>
      <c r="F2139" s="2">
        <f>IFERROR(__xludf.DUMMYFUNCTION("""COMPUTED_VALUE"""),61.2)</f>
        <v>61.2</v>
      </c>
      <c r="G2139" s="2">
        <f t="shared" si="2"/>
        <v>61</v>
      </c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</row>
    <row r="2140">
      <c r="B2140" s="3"/>
      <c r="C2140" s="3"/>
      <c r="D2140" s="3"/>
      <c r="E2140" s="3"/>
      <c r="F2140" s="2">
        <f>IFERROR(__xludf.DUMMYFUNCTION("""COMPUTED_VALUE"""),42.699999999999996)</f>
        <v>42.7</v>
      </c>
      <c r="G2140" s="2">
        <f t="shared" si="2"/>
        <v>43</v>
      </c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</row>
    <row r="2141">
      <c r="B2141" s="3"/>
      <c r="C2141" s="3"/>
      <c r="D2141" s="3"/>
      <c r="E2141" s="3"/>
      <c r="F2141" s="2">
        <f>IFERROR(__xludf.DUMMYFUNCTION("""COMPUTED_VALUE"""),27.25)</f>
        <v>27.25</v>
      </c>
      <c r="G2141" s="2">
        <f t="shared" si="2"/>
        <v>27</v>
      </c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</row>
    <row r="2142">
      <c r="B2142" s="3"/>
      <c r="C2142" s="3"/>
      <c r="D2142" s="3"/>
      <c r="E2142" s="3"/>
      <c r="F2142" s="2">
        <f>IFERROR(__xludf.DUMMYFUNCTION("""COMPUTED_VALUE"""),47.25)</f>
        <v>47.25</v>
      </c>
      <c r="G2142" s="2">
        <f t="shared" si="2"/>
        <v>47</v>
      </c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</row>
    <row r="2143">
      <c r="B2143" s="3"/>
      <c r="C2143" s="3"/>
      <c r="D2143" s="3"/>
      <c r="E2143" s="3"/>
      <c r="F2143" s="2">
        <f>IFERROR(__xludf.DUMMYFUNCTION("""COMPUTED_VALUE"""),40.599999999999994)</f>
        <v>40.6</v>
      </c>
      <c r="G2143" s="2">
        <f t="shared" si="2"/>
        <v>41</v>
      </c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</row>
    <row r="2144">
      <c r="B2144" s="3"/>
      <c r="C2144" s="3"/>
      <c r="D2144" s="3"/>
      <c r="E2144" s="3"/>
      <c r="F2144" s="2">
        <f>IFERROR(__xludf.DUMMYFUNCTION("""COMPUTED_VALUE"""),27.25)</f>
        <v>27.25</v>
      </c>
      <c r="G2144" s="2">
        <f t="shared" si="2"/>
        <v>27</v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</row>
    <row r="2145">
      <c r="B2145" s="3"/>
      <c r="C2145" s="3"/>
      <c r="D2145" s="3"/>
      <c r="E2145" s="3"/>
      <c r="F2145" s="2">
        <f>IFERROR(__xludf.DUMMYFUNCTION("""COMPUTED_VALUE"""),28.25)</f>
        <v>28.25</v>
      </c>
      <c r="G2145" s="2">
        <f t="shared" si="2"/>
        <v>28</v>
      </c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</row>
    <row r="2146">
      <c r="B2146" s="3"/>
      <c r="C2146" s="3"/>
      <c r="D2146" s="3"/>
      <c r="E2146" s="3"/>
      <c r="F2146" s="2">
        <f>IFERROR(__xludf.DUMMYFUNCTION("""COMPUTED_VALUE"""),31.05)</f>
        <v>31.05</v>
      </c>
      <c r="G2146" s="2">
        <f t="shared" si="2"/>
        <v>31</v>
      </c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</row>
    <row r="2147">
      <c r="B2147" s="3"/>
      <c r="C2147" s="3"/>
      <c r="D2147" s="3"/>
      <c r="E2147" s="3"/>
      <c r="F2147" s="2">
        <f>IFERROR(__xludf.DUMMYFUNCTION("""COMPUTED_VALUE"""),57.699999999999996)</f>
        <v>57.7</v>
      </c>
      <c r="G2147" s="2">
        <f t="shared" si="2"/>
        <v>58</v>
      </c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</row>
    <row r="2148">
      <c r="B2148" s="3"/>
      <c r="C2148" s="3"/>
      <c r="D2148" s="3"/>
      <c r="E2148" s="3"/>
      <c r="F2148" s="2">
        <f>IFERROR(__xludf.DUMMYFUNCTION("""COMPUTED_VALUE"""),40.599999999999994)</f>
        <v>40.6</v>
      </c>
      <c r="G2148" s="2">
        <f t="shared" si="2"/>
        <v>41</v>
      </c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</row>
    <row r="2149">
      <c r="B2149" s="3"/>
      <c r="C2149" s="3"/>
      <c r="D2149" s="3"/>
      <c r="E2149" s="3"/>
      <c r="F2149" s="2">
        <f>IFERROR(__xludf.DUMMYFUNCTION("""COMPUTED_VALUE"""),47.699999999999996)</f>
        <v>47.7</v>
      </c>
      <c r="G2149" s="2">
        <f t="shared" si="2"/>
        <v>48</v>
      </c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</row>
    <row r="2150">
      <c r="B2150" s="3"/>
      <c r="C2150" s="3"/>
      <c r="D2150" s="3"/>
      <c r="E2150" s="3"/>
      <c r="F2150" s="2">
        <f>IFERROR(__xludf.DUMMYFUNCTION("""COMPUTED_VALUE"""),71.25)</f>
        <v>71.25</v>
      </c>
      <c r="G2150" s="2">
        <f t="shared" si="2"/>
        <v>71</v>
      </c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</row>
    <row r="2151">
      <c r="B2151" s="3"/>
      <c r="C2151" s="3"/>
      <c r="D2151" s="3"/>
      <c r="E2151" s="3"/>
      <c r="F2151" s="2">
        <f>IFERROR(__xludf.DUMMYFUNCTION("""COMPUTED_VALUE"""),77.25)</f>
        <v>77.25</v>
      </c>
      <c r="G2151" s="2">
        <f t="shared" si="2"/>
        <v>77</v>
      </c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</row>
    <row r="2152">
      <c r="B2152" s="3"/>
      <c r="C2152" s="3"/>
      <c r="D2152" s="3"/>
      <c r="E2152" s="3"/>
      <c r="F2152" s="2">
        <f>IFERROR(__xludf.DUMMYFUNCTION("""COMPUTED_VALUE"""),81.05000000000001)</f>
        <v>81.05</v>
      </c>
      <c r="G2152" s="2">
        <f t="shared" si="2"/>
        <v>81</v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</row>
    <row r="2153">
      <c r="B2153" s="3"/>
      <c r="C2153" s="3"/>
      <c r="D2153" s="3"/>
      <c r="E2153" s="3"/>
      <c r="F2153" s="2">
        <f>IFERROR(__xludf.DUMMYFUNCTION("""COMPUTED_VALUE"""),71.25)</f>
        <v>71.25</v>
      </c>
      <c r="G2153" s="2">
        <f t="shared" si="2"/>
        <v>71</v>
      </c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</row>
    <row r="2154">
      <c r="B2154" s="3"/>
      <c r="C2154" s="3"/>
      <c r="D2154" s="3"/>
      <c r="E2154" s="3"/>
      <c r="F2154" s="2">
        <f>IFERROR(__xludf.DUMMYFUNCTION("""COMPUTED_VALUE"""),96.15)</f>
        <v>96.15</v>
      </c>
      <c r="G2154" s="2">
        <f t="shared" si="2"/>
        <v>96</v>
      </c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</row>
    <row r="2155">
      <c r="B2155" s="3"/>
      <c r="C2155" s="3"/>
      <c r="D2155" s="3"/>
      <c r="E2155" s="3"/>
      <c r="F2155" s="2">
        <f>IFERROR(__xludf.DUMMYFUNCTION("""COMPUTED_VALUE"""),62.800000000000004)</f>
        <v>62.8</v>
      </c>
      <c r="G2155" s="2">
        <f t="shared" si="2"/>
        <v>63</v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</row>
    <row r="2156">
      <c r="B2156" s="3"/>
      <c r="C2156" s="3"/>
      <c r="D2156" s="3"/>
      <c r="E2156" s="3"/>
      <c r="F2156" s="2">
        <f>IFERROR(__xludf.DUMMYFUNCTION("""COMPUTED_VALUE"""),81.05000000000001)</f>
        <v>81.05</v>
      </c>
      <c r="G2156" s="2">
        <f t="shared" si="2"/>
        <v>81</v>
      </c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</row>
    <row r="2157">
      <c r="B2157" s="3"/>
      <c r="C2157" s="3"/>
      <c r="D2157" s="3"/>
      <c r="E2157" s="3"/>
      <c r="F2157" s="2">
        <f>IFERROR(__xludf.DUMMYFUNCTION("""COMPUTED_VALUE"""),86.15)</f>
        <v>86.15</v>
      </c>
      <c r="G2157" s="2">
        <f t="shared" si="2"/>
        <v>86</v>
      </c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</row>
    <row r="2158">
      <c r="B2158" s="3"/>
      <c r="C2158" s="3"/>
      <c r="D2158" s="3"/>
      <c r="E2158" s="3"/>
      <c r="F2158" s="2">
        <f>IFERROR(__xludf.DUMMYFUNCTION("""COMPUTED_VALUE"""),26.200000000000003)</f>
        <v>26.2</v>
      </c>
      <c r="G2158" s="2">
        <f t="shared" si="2"/>
        <v>26</v>
      </c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</row>
    <row r="2159">
      <c r="B2159" s="3"/>
      <c r="C2159" s="3"/>
      <c r="D2159" s="3"/>
      <c r="E2159" s="3"/>
      <c r="F2159" s="2">
        <f>IFERROR(__xludf.DUMMYFUNCTION("""COMPUTED_VALUE"""),21.25)</f>
        <v>21.25</v>
      </c>
      <c r="G2159" s="2">
        <f t="shared" si="2"/>
        <v>21</v>
      </c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</row>
    <row r="2160">
      <c r="B2160" s="3"/>
      <c r="C2160" s="3"/>
      <c r="D2160" s="3"/>
      <c r="E2160" s="3"/>
      <c r="F2160" s="2">
        <f>IFERROR(__xludf.DUMMYFUNCTION("""COMPUTED_VALUE"""),31.05)</f>
        <v>31.05</v>
      </c>
      <c r="G2160" s="2">
        <f t="shared" si="2"/>
        <v>31</v>
      </c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</row>
    <row r="2161">
      <c r="B2161" s="3"/>
      <c r="C2161" s="3"/>
      <c r="D2161" s="3"/>
      <c r="E2161" s="3"/>
      <c r="F2161" s="2">
        <f>IFERROR(__xludf.DUMMYFUNCTION("""COMPUTED_VALUE"""),61.2)</f>
        <v>61.2</v>
      </c>
      <c r="G2161" s="2">
        <f t="shared" si="2"/>
        <v>61</v>
      </c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</row>
    <row r="2162">
      <c r="B2162" s="3"/>
      <c r="C2162" s="3"/>
      <c r="D2162" s="3"/>
      <c r="E2162" s="3"/>
      <c r="F2162" s="2">
        <f>IFERROR(__xludf.DUMMYFUNCTION("""COMPUTED_VALUE"""),86.15)</f>
        <v>86.15</v>
      </c>
      <c r="G2162" s="2">
        <f t="shared" si="2"/>
        <v>86</v>
      </c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</row>
    <row r="2163">
      <c r="B2163" s="3"/>
      <c r="C2163" s="3"/>
      <c r="D2163" s="3"/>
      <c r="E2163" s="3"/>
      <c r="F2163" s="2">
        <f>IFERROR(__xludf.DUMMYFUNCTION("""COMPUTED_VALUE"""),18.25)</f>
        <v>18.25</v>
      </c>
      <c r="G2163" s="2">
        <f t="shared" si="2"/>
        <v>18</v>
      </c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</row>
    <row r="2164">
      <c r="B2164" s="3"/>
      <c r="C2164" s="3"/>
      <c r="D2164" s="3"/>
      <c r="E2164" s="3"/>
      <c r="F2164" s="2">
        <f>IFERROR(__xludf.DUMMYFUNCTION("""COMPUTED_VALUE"""),26.200000000000003)</f>
        <v>26.2</v>
      </c>
      <c r="G2164" s="2">
        <f t="shared" si="2"/>
        <v>26</v>
      </c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</row>
    <row r="2165">
      <c r="B2165" s="3"/>
      <c r="C2165" s="3"/>
      <c r="D2165" s="3"/>
      <c r="E2165" s="3"/>
      <c r="F2165" s="2">
        <f>IFERROR(__xludf.DUMMYFUNCTION("""COMPUTED_VALUE"""),62.800000000000004)</f>
        <v>62.8</v>
      </c>
      <c r="G2165" s="2">
        <f t="shared" si="2"/>
        <v>63</v>
      </c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</row>
    <row r="2166">
      <c r="B2166" s="3"/>
      <c r="C2166" s="3"/>
      <c r="D2166" s="3"/>
      <c r="E2166" s="3"/>
      <c r="F2166" s="2">
        <f>IFERROR(__xludf.DUMMYFUNCTION("""COMPUTED_VALUE"""),57.699999999999996)</f>
        <v>57.7</v>
      </c>
      <c r="G2166" s="2">
        <f t="shared" si="2"/>
        <v>58</v>
      </c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</row>
    <row r="2167">
      <c r="B2167" s="3"/>
      <c r="C2167" s="3"/>
      <c r="D2167" s="3"/>
      <c r="E2167" s="3"/>
      <c r="F2167" s="2">
        <f>IFERROR(__xludf.DUMMYFUNCTION("""COMPUTED_VALUE"""),41.150000000000006)</f>
        <v>41.15</v>
      </c>
      <c r="G2167" s="2">
        <f t="shared" si="2"/>
        <v>41</v>
      </c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</row>
    <row r="2168">
      <c r="B2168" s="3"/>
      <c r="C2168" s="3"/>
      <c r="D2168" s="3"/>
      <c r="E2168" s="3"/>
      <c r="F2168" s="2">
        <f>IFERROR(__xludf.DUMMYFUNCTION("""COMPUTED_VALUE"""),21.25)</f>
        <v>21.25</v>
      </c>
      <c r="G2168" s="2">
        <f t="shared" si="2"/>
        <v>21</v>
      </c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</row>
    <row r="2169">
      <c r="B2169" s="3"/>
      <c r="C2169" s="3"/>
      <c r="D2169" s="3"/>
      <c r="E2169" s="3"/>
      <c r="F2169" s="2">
        <f>IFERROR(__xludf.DUMMYFUNCTION("""COMPUTED_VALUE"""),67.69999999999999)</f>
        <v>67.7</v>
      </c>
      <c r="G2169" s="2">
        <f t="shared" si="2"/>
        <v>68</v>
      </c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</row>
    <row r="2170">
      <c r="B2170" s="3"/>
      <c r="C2170" s="3"/>
      <c r="D2170" s="3"/>
      <c r="E2170" s="3"/>
      <c r="F2170" s="2">
        <f>IFERROR(__xludf.DUMMYFUNCTION("""COMPUTED_VALUE"""),31.25)</f>
        <v>31.25</v>
      </c>
      <c r="G2170" s="2">
        <f t="shared" si="2"/>
        <v>31</v>
      </c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</row>
    <row r="2171">
      <c r="B2171" s="3"/>
      <c r="C2171" s="3"/>
      <c r="D2171" s="3"/>
      <c r="E2171" s="3"/>
      <c r="F2171" s="2">
        <f>IFERROR(__xludf.DUMMYFUNCTION("""COMPUTED_VALUE"""),142.79999999999998)</f>
        <v>142.8</v>
      </c>
      <c r="G2171" s="2">
        <f t="shared" si="2"/>
        <v>143</v>
      </c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</row>
    <row r="2172">
      <c r="B2172" s="3"/>
      <c r="C2172" s="3"/>
      <c r="D2172" s="3"/>
      <c r="E2172" s="3"/>
      <c r="F2172" s="2">
        <f>IFERROR(__xludf.DUMMYFUNCTION("""COMPUTED_VALUE"""),96.15)</f>
        <v>96.15</v>
      </c>
      <c r="G2172" s="2">
        <f t="shared" si="2"/>
        <v>96</v>
      </c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</row>
    <row r="2173">
      <c r="B2173" s="3"/>
      <c r="C2173" s="3"/>
      <c r="D2173" s="3"/>
      <c r="E2173" s="3"/>
      <c r="F2173" s="2">
        <f>IFERROR(__xludf.DUMMYFUNCTION("""COMPUTED_VALUE"""),36.25)</f>
        <v>36.25</v>
      </c>
      <c r="G2173" s="2">
        <f t="shared" si="2"/>
        <v>36</v>
      </c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</row>
    <row r="2174">
      <c r="B2174" s="3"/>
      <c r="C2174" s="3"/>
      <c r="D2174" s="3"/>
      <c r="E2174" s="3"/>
      <c r="F2174" s="2">
        <f>IFERROR(__xludf.DUMMYFUNCTION("""COMPUTED_VALUE"""),71.25)</f>
        <v>71.25</v>
      </c>
      <c r="G2174" s="2">
        <f t="shared" si="2"/>
        <v>71</v>
      </c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</row>
    <row r="2175">
      <c r="B2175" s="3"/>
      <c r="C2175" s="3"/>
      <c r="D2175" s="3"/>
      <c r="E2175" s="3"/>
      <c r="F2175" s="2">
        <f>IFERROR(__xludf.DUMMYFUNCTION("""COMPUTED_VALUE"""),36.25)</f>
        <v>36.25</v>
      </c>
      <c r="G2175" s="2">
        <f t="shared" si="2"/>
        <v>36</v>
      </c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</row>
    <row r="2176">
      <c r="B2176" s="3"/>
      <c r="C2176" s="3"/>
      <c r="D2176" s="3"/>
      <c r="E2176" s="3"/>
      <c r="F2176" s="2">
        <f>IFERROR(__xludf.DUMMYFUNCTION("""COMPUTED_VALUE"""),16.25)</f>
        <v>16.25</v>
      </c>
      <c r="G2176" s="2">
        <f t="shared" si="2"/>
        <v>16</v>
      </c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</row>
    <row r="2177">
      <c r="B2177" s="3"/>
      <c r="C2177" s="3"/>
      <c r="D2177" s="3"/>
      <c r="E2177" s="3"/>
      <c r="F2177" s="2">
        <f>IFERROR(__xludf.DUMMYFUNCTION("""COMPUTED_VALUE"""),40.599999999999994)</f>
        <v>40.6</v>
      </c>
      <c r="G2177" s="2">
        <f t="shared" si="2"/>
        <v>41</v>
      </c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</row>
    <row r="2178">
      <c r="B2178" s="3"/>
      <c r="C2178" s="3"/>
      <c r="D2178" s="3"/>
      <c r="E2178" s="3"/>
      <c r="F2178" s="2">
        <f>IFERROR(__xludf.DUMMYFUNCTION("""COMPUTED_VALUE"""),31.05)</f>
        <v>31.05</v>
      </c>
      <c r="G2178" s="2">
        <f t="shared" si="2"/>
        <v>31</v>
      </c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</row>
    <row r="2179">
      <c r="B2179" s="3"/>
      <c r="C2179" s="3"/>
      <c r="D2179" s="3"/>
      <c r="E2179" s="3"/>
      <c r="F2179" s="2">
        <f>IFERROR(__xludf.DUMMYFUNCTION("""COMPUTED_VALUE"""),47.25)</f>
        <v>47.25</v>
      </c>
      <c r="G2179" s="2">
        <f t="shared" si="2"/>
        <v>47</v>
      </c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</row>
    <row r="2180">
      <c r="B2180" s="3"/>
      <c r="C2180" s="3"/>
      <c r="D2180" s="3"/>
      <c r="E2180" s="3"/>
      <c r="F2180" s="2">
        <f>IFERROR(__xludf.DUMMYFUNCTION("""COMPUTED_VALUE"""),81.05000000000001)</f>
        <v>81.05</v>
      </c>
      <c r="G2180" s="2">
        <f t="shared" si="2"/>
        <v>81</v>
      </c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</row>
    <row r="2181">
      <c r="B2181" s="3"/>
      <c r="C2181" s="3"/>
      <c r="D2181" s="3"/>
      <c r="E2181" s="3"/>
      <c r="F2181" s="2">
        <f>IFERROR(__xludf.DUMMYFUNCTION("""COMPUTED_VALUE"""),42.699999999999996)</f>
        <v>42.7</v>
      </c>
      <c r="G2181" s="2">
        <f t="shared" si="2"/>
        <v>43</v>
      </c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</row>
    <row r="2182">
      <c r="B2182" s="3"/>
      <c r="C2182" s="3"/>
      <c r="D2182" s="3"/>
      <c r="E2182" s="3"/>
      <c r="F2182" s="2">
        <f>IFERROR(__xludf.DUMMYFUNCTION("""COMPUTED_VALUE"""),47.699999999999996)</f>
        <v>47.7</v>
      </c>
      <c r="G2182" s="2">
        <f t="shared" si="2"/>
        <v>48</v>
      </c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</row>
    <row r="2183">
      <c r="B2183" s="3"/>
      <c r="C2183" s="3"/>
      <c r="D2183" s="3"/>
      <c r="E2183" s="3"/>
      <c r="F2183" s="2">
        <f>IFERROR(__xludf.DUMMYFUNCTION("""COMPUTED_VALUE"""),28.25)</f>
        <v>28.25</v>
      </c>
      <c r="G2183" s="2">
        <f t="shared" si="2"/>
        <v>28</v>
      </c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</row>
    <row r="2184">
      <c r="B2184" s="3"/>
      <c r="C2184" s="3"/>
      <c r="D2184" s="3"/>
      <c r="E2184" s="3"/>
      <c r="F2184" s="2">
        <f>IFERROR(__xludf.DUMMYFUNCTION("""COMPUTED_VALUE"""),47.699999999999996)</f>
        <v>47.7</v>
      </c>
      <c r="G2184" s="2">
        <f t="shared" si="2"/>
        <v>48</v>
      </c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</row>
    <row r="2185">
      <c r="B2185" s="3"/>
      <c r="C2185" s="3"/>
      <c r="D2185" s="3"/>
      <c r="E2185" s="3"/>
      <c r="F2185" s="2">
        <f>IFERROR(__xludf.DUMMYFUNCTION("""COMPUTED_VALUE"""),31.25)</f>
        <v>31.25</v>
      </c>
      <c r="G2185" s="2">
        <f t="shared" si="2"/>
        <v>31</v>
      </c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</row>
    <row r="2186">
      <c r="B2186" s="3"/>
      <c r="C2186" s="3"/>
      <c r="D2186" s="3"/>
      <c r="E2186" s="3"/>
      <c r="F2186" s="2">
        <f>IFERROR(__xludf.DUMMYFUNCTION("""COMPUTED_VALUE"""),67.69999999999999)</f>
        <v>67.7</v>
      </c>
      <c r="G2186" s="2">
        <f t="shared" si="2"/>
        <v>68</v>
      </c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</row>
    <row r="2187">
      <c r="B2187" s="3"/>
      <c r="C2187" s="3"/>
      <c r="D2187" s="3"/>
      <c r="E2187" s="3"/>
      <c r="F2187" s="2">
        <f>IFERROR(__xludf.DUMMYFUNCTION("""COMPUTED_VALUE"""),28.25)</f>
        <v>28.25</v>
      </c>
      <c r="G2187" s="2">
        <f t="shared" si="2"/>
        <v>28</v>
      </c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</row>
    <row r="2188">
      <c r="B2188" s="3"/>
      <c r="C2188" s="3"/>
      <c r="D2188" s="3"/>
      <c r="E2188" s="3"/>
      <c r="F2188" s="2">
        <f>IFERROR(__xludf.DUMMYFUNCTION("""COMPUTED_VALUE"""),47.699999999999996)</f>
        <v>47.7</v>
      </c>
      <c r="G2188" s="2">
        <f t="shared" si="2"/>
        <v>48</v>
      </c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>
      <c r="B2189" s="3"/>
      <c r="C2189" s="3"/>
      <c r="D2189" s="3"/>
      <c r="E2189" s="3"/>
      <c r="F2189" s="2">
        <f>IFERROR(__xludf.DUMMYFUNCTION("""COMPUTED_VALUE"""),76.15)</f>
        <v>76.15</v>
      </c>
      <c r="G2189" s="2">
        <f t="shared" si="2"/>
        <v>76</v>
      </c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</row>
    <row r="2190">
      <c r="B2190" s="3"/>
      <c r="C2190" s="3"/>
      <c r="D2190" s="3"/>
      <c r="E2190" s="3"/>
      <c r="F2190" s="2">
        <f>IFERROR(__xludf.DUMMYFUNCTION("""COMPUTED_VALUE"""),18.25)</f>
        <v>18.25</v>
      </c>
      <c r="G2190" s="2">
        <f t="shared" si="2"/>
        <v>18</v>
      </c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>
      <c r="B2191" s="3"/>
      <c r="C2191" s="3"/>
      <c r="D2191" s="3"/>
      <c r="E2191" s="3"/>
      <c r="F2191" s="2">
        <f>IFERROR(__xludf.DUMMYFUNCTION("""COMPUTED_VALUE"""),21.05)</f>
        <v>21.05</v>
      </c>
      <c r="G2191" s="2">
        <f t="shared" si="2"/>
        <v>21</v>
      </c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</row>
    <row r="2192">
      <c r="B2192" s="3"/>
      <c r="C2192" s="3"/>
      <c r="D2192" s="3"/>
      <c r="E2192" s="3"/>
      <c r="F2192" s="2">
        <f>IFERROR(__xludf.DUMMYFUNCTION("""COMPUTED_VALUE"""),41.150000000000006)</f>
        <v>41.15</v>
      </c>
      <c r="G2192" s="2">
        <f t="shared" si="2"/>
        <v>41</v>
      </c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>
      <c r="B2193" s="3"/>
      <c r="C2193" s="3"/>
      <c r="D2193" s="3"/>
      <c r="E2193" s="3"/>
      <c r="F2193" s="2">
        <f>IFERROR(__xludf.DUMMYFUNCTION("""COMPUTED_VALUE"""),57.699999999999996)</f>
        <v>57.7</v>
      </c>
      <c r="G2193" s="2">
        <f t="shared" si="2"/>
        <v>58</v>
      </c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>
      <c r="B2194" s="3"/>
      <c r="C2194" s="3"/>
      <c r="D2194" s="3"/>
      <c r="E2194" s="3"/>
      <c r="F2194" s="2">
        <f>IFERROR(__xludf.DUMMYFUNCTION("""COMPUTED_VALUE"""),77.25)</f>
        <v>77.25</v>
      </c>
      <c r="G2194" s="2">
        <f t="shared" si="2"/>
        <v>77</v>
      </c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</row>
    <row r="2195">
      <c r="B2195" s="3"/>
      <c r="C2195" s="3"/>
      <c r="D2195" s="3"/>
      <c r="E2195" s="3"/>
      <c r="F2195" s="2">
        <f>IFERROR(__xludf.DUMMYFUNCTION("""COMPUTED_VALUE"""),67.69999999999999)</f>
        <v>67.7</v>
      </c>
      <c r="G2195" s="2">
        <f t="shared" si="2"/>
        <v>68</v>
      </c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</row>
    <row r="2196">
      <c r="B2196" s="3"/>
      <c r="C2196" s="3"/>
      <c r="D2196" s="3"/>
      <c r="E2196" s="3"/>
      <c r="F2196" s="2">
        <f>IFERROR(__xludf.DUMMYFUNCTION("""COMPUTED_VALUE"""),47.699999999999996)</f>
        <v>47.7</v>
      </c>
      <c r="G2196" s="2">
        <f t="shared" si="2"/>
        <v>48</v>
      </c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</row>
    <row r="2197">
      <c r="B2197" s="3"/>
      <c r="C2197" s="3"/>
      <c r="D2197" s="3"/>
      <c r="E2197" s="3"/>
      <c r="F2197" s="2">
        <f>IFERROR(__xludf.DUMMYFUNCTION("""COMPUTED_VALUE"""),31.05)</f>
        <v>31.05</v>
      </c>
      <c r="G2197" s="2">
        <f t="shared" si="2"/>
        <v>31</v>
      </c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>
      <c r="B2198" s="3"/>
      <c r="C2198" s="3"/>
      <c r="D2198" s="3"/>
      <c r="E2198" s="3"/>
      <c r="F2198" s="2">
        <f>IFERROR(__xludf.DUMMYFUNCTION("""COMPUTED_VALUE"""),17.549999999999997)</f>
        <v>17.55</v>
      </c>
      <c r="G2198" s="2">
        <f t="shared" si="2"/>
        <v>18</v>
      </c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>
      <c r="B2199" s="3"/>
      <c r="C2199" s="3"/>
      <c r="D2199" s="3"/>
      <c r="E2199" s="3"/>
      <c r="F2199" s="2">
        <f>IFERROR(__xludf.DUMMYFUNCTION("""COMPUTED_VALUE"""),31.05)</f>
        <v>31.05</v>
      </c>
      <c r="G2199" s="2">
        <f t="shared" si="2"/>
        <v>31</v>
      </c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>
      <c r="B2200" s="3"/>
      <c r="C2200" s="3"/>
      <c r="D2200" s="3"/>
      <c r="E2200" s="3"/>
      <c r="F2200" s="2">
        <f>IFERROR(__xludf.DUMMYFUNCTION("""COMPUTED_VALUE"""),47.25)</f>
        <v>47.25</v>
      </c>
      <c r="G2200" s="2">
        <f t="shared" si="2"/>
        <v>47</v>
      </c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>
      <c r="B2201" s="3"/>
      <c r="C2201" s="3"/>
      <c r="D2201" s="3"/>
      <c r="E2201" s="3"/>
      <c r="F2201" s="2">
        <f>IFERROR(__xludf.DUMMYFUNCTION("""COMPUTED_VALUE"""),81.05000000000001)</f>
        <v>81.05</v>
      </c>
      <c r="G2201" s="2">
        <f t="shared" si="2"/>
        <v>81</v>
      </c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</row>
    <row r="2202">
      <c r="B2202" s="3"/>
      <c r="C2202" s="3"/>
      <c r="D2202" s="3"/>
      <c r="E2202" s="3"/>
      <c r="F2202" s="2">
        <f>IFERROR(__xludf.DUMMYFUNCTION("""COMPUTED_VALUE"""),67.69999999999999)</f>
        <v>67.7</v>
      </c>
      <c r="G2202" s="2">
        <f t="shared" si="2"/>
        <v>68</v>
      </c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</row>
    <row r="2203">
      <c r="B2203" s="3"/>
      <c r="C2203" s="3"/>
      <c r="D2203" s="3"/>
      <c r="E2203" s="3"/>
      <c r="F2203" s="2">
        <f>IFERROR(__xludf.DUMMYFUNCTION("""COMPUTED_VALUE"""),27.25)</f>
        <v>27.25</v>
      </c>
      <c r="G2203" s="2">
        <f t="shared" si="2"/>
        <v>27</v>
      </c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</row>
    <row r="2204">
      <c r="B2204" s="3"/>
      <c r="C2204" s="3"/>
      <c r="D2204" s="3"/>
      <c r="E2204" s="3"/>
      <c r="F2204" s="2">
        <f>IFERROR(__xludf.DUMMYFUNCTION("""COMPUTED_VALUE"""),26.200000000000003)</f>
        <v>26.2</v>
      </c>
      <c r="G2204" s="2">
        <f t="shared" si="2"/>
        <v>26</v>
      </c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>
      <c r="B2205" s="3"/>
      <c r="C2205" s="3"/>
      <c r="D2205" s="3"/>
      <c r="E2205" s="3"/>
      <c r="F2205" s="2">
        <f>IFERROR(__xludf.DUMMYFUNCTION("""COMPUTED_VALUE"""),26.200000000000003)</f>
        <v>26.2</v>
      </c>
      <c r="G2205" s="2">
        <f t="shared" si="2"/>
        <v>26</v>
      </c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>
      <c r="B2206" s="3"/>
      <c r="C2206" s="3"/>
      <c r="D2206" s="3"/>
      <c r="E2206" s="3"/>
      <c r="F2206" s="2">
        <f>IFERROR(__xludf.DUMMYFUNCTION("""COMPUTED_VALUE"""),31.05)</f>
        <v>31.05</v>
      </c>
      <c r="G2206" s="2">
        <f t="shared" si="2"/>
        <v>31</v>
      </c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>
      <c r="B2207" s="3"/>
      <c r="C2207" s="3"/>
      <c r="D2207" s="3"/>
      <c r="E2207" s="3"/>
      <c r="F2207" s="2">
        <f>IFERROR(__xludf.DUMMYFUNCTION("""COMPUTED_VALUE"""),16.25)</f>
        <v>16.25</v>
      </c>
      <c r="G2207" s="2">
        <f t="shared" si="2"/>
        <v>16</v>
      </c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>
      <c r="B2208" s="3"/>
      <c r="C2208" s="3"/>
      <c r="D2208" s="3"/>
      <c r="E2208" s="3"/>
      <c r="F2208" s="2">
        <f>IFERROR(__xludf.DUMMYFUNCTION("""COMPUTED_VALUE"""),28.25)</f>
        <v>28.25</v>
      </c>
      <c r="G2208" s="2">
        <f t="shared" si="2"/>
        <v>28</v>
      </c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>
      <c r="B2209" s="3"/>
      <c r="C2209" s="3"/>
      <c r="D2209" s="3"/>
      <c r="E2209" s="3"/>
      <c r="F2209" s="2">
        <f>IFERROR(__xludf.DUMMYFUNCTION("""COMPUTED_VALUE"""),67.69999999999999)</f>
        <v>67.7</v>
      </c>
      <c r="G2209" s="2">
        <f t="shared" si="2"/>
        <v>68</v>
      </c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>
      <c r="B2210" s="3"/>
      <c r="C2210" s="3"/>
      <c r="D2210" s="3"/>
      <c r="E2210" s="3"/>
      <c r="F2210" s="2">
        <f>IFERROR(__xludf.DUMMYFUNCTION("""COMPUTED_VALUE"""),28.25)</f>
        <v>28.25</v>
      </c>
      <c r="G2210" s="2">
        <f t="shared" si="2"/>
        <v>28</v>
      </c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>
      <c r="B2211" s="3"/>
      <c r="C2211" s="3"/>
      <c r="D2211" s="3"/>
      <c r="E2211" s="3"/>
      <c r="F2211" s="2">
        <f>IFERROR(__xludf.DUMMYFUNCTION("""COMPUTED_VALUE"""),16.25)</f>
        <v>16.25</v>
      </c>
      <c r="G2211" s="2">
        <f t="shared" si="2"/>
        <v>16</v>
      </c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>
      <c r="B2212" s="3"/>
      <c r="C2212" s="3"/>
      <c r="D2212" s="3"/>
      <c r="E2212" s="3"/>
      <c r="F2212" s="2">
        <f>IFERROR(__xludf.DUMMYFUNCTION("""COMPUTED_VALUE"""),81.05000000000001)</f>
        <v>81.05</v>
      </c>
      <c r="G2212" s="2">
        <f t="shared" si="2"/>
        <v>81</v>
      </c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>
      <c r="B2213" s="3"/>
      <c r="C2213" s="3"/>
      <c r="D2213" s="3"/>
      <c r="E2213" s="3"/>
      <c r="F2213" s="2">
        <f>IFERROR(__xludf.DUMMYFUNCTION("""COMPUTED_VALUE"""),92.8)</f>
        <v>92.8</v>
      </c>
      <c r="G2213" s="2">
        <f t="shared" si="2"/>
        <v>93</v>
      </c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>
      <c r="B2214" s="3"/>
      <c r="C2214" s="3"/>
      <c r="D2214" s="3"/>
      <c r="E2214" s="3"/>
      <c r="F2214" s="2">
        <f>IFERROR(__xludf.DUMMYFUNCTION("""COMPUTED_VALUE"""),16.25)</f>
        <v>16.25</v>
      </c>
      <c r="G2214" s="2">
        <f t="shared" si="2"/>
        <v>16</v>
      </c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>
      <c r="B2215" s="3"/>
      <c r="C2215" s="3"/>
      <c r="D2215" s="3"/>
      <c r="E2215" s="3"/>
      <c r="F2215" s="2">
        <f>IFERROR(__xludf.DUMMYFUNCTION("""COMPUTED_VALUE"""),62.800000000000004)</f>
        <v>62.8</v>
      </c>
      <c r="G2215" s="2">
        <f t="shared" si="2"/>
        <v>63</v>
      </c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>
      <c r="B2216" s="3"/>
      <c r="C2216" s="3"/>
      <c r="D2216" s="3"/>
      <c r="E2216" s="3"/>
      <c r="F2216" s="2">
        <f>IFERROR(__xludf.DUMMYFUNCTION("""COMPUTED_VALUE"""),57.699999999999996)</f>
        <v>57.7</v>
      </c>
      <c r="G2216" s="2">
        <f t="shared" si="2"/>
        <v>58</v>
      </c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>
      <c r="B2217" s="3"/>
      <c r="C2217" s="3"/>
      <c r="D2217" s="3"/>
      <c r="E2217" s="3"/>
      <c r="F2217" s="2">
        <f>IFERROR(__xludf.DUMMYFUNCTION("""COMPUTED_VALUE"""),41.150000000000006)</f>
        <v>41.15</v>
      </c>
      <c r="G2217" s="2">
        <f t="shared" si="2"/>
        <v>41</v>
      </c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>
      <c r="B2218" s="3"/>
      <c r="C2218" s="3"/>
      <c r="D2218" s="3"/>
      <c r="E2218" s="3"/>
      <c r="F2218" s="2">
        <f>IFERROR(__xludf.DUMMYFUNCTION("""COMPUTED_VALUE"""),56.150000000000006)</f>
        <v>56.15</v>
      </c>
      <c r="G2218" s="2">
        <f t="shared" si="2"/>
        <v>56</v>
      </c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</row>
    <row r="2219">
      <c r="B2219" s="3"/>
      <c r="C2219" s="3"/>
      <c r="D2219" s="3"/>
      <c r="E2219" s="3"/>
      <c r="F2219" s="2">
        <f>IFERROR(__xludf.DUMMYFUNCTION("""COMPUTED_VALUE"""),62.800000000000004)</f>
        <v>62.8</v>
      </c>
      <c r="G2219" s="2">
        <f t="shared" si="2"/>
        <v>63</v>
      </c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>
      <c r="B2220" s="3"/>
      <c r="C2220" s="3"/>
      <c r="D2220" s="3"/>
      <c r="E2220" s="3"/>
      <c r="F2220" s="2">
        <f>IFERROR(__xludf.DUMMYFUNCTION("""COMPUTED_VALUE"""),56.25)</f>
        <v>56.25</v>
      </c>
      <c r="G2220" s="2">
        <f t="shared" si="2"/>
        <v>56</v>
      </c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>
      <c r="B2221" s="3"/>
      <c r="C2221" s="3"/>
      <c r="D2221" s="3"/>
      <c r="E2221" s="3"/>
      <c r="F2221" s="2">
        <f>IFERROR(__xludf.DUMMYFUNCTION("""COMPUTED_VALUE"""),21.25)</f>
        <v>21.25</v>
      </c>
      <c r="G2221" s="2">
        <f t="shared" si="2"/>
        <v>21</v>
      </c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>
      <c r="B2222" s="3"/>
      <c r="C2222" s="3"/>
      <c r="D2222" s="3"/>
      <c r="E2222" s="3"/>
      <c r="F2222" s="2">
        <f>IFERROR(__xludf.DUMMYFUNCTION("""COMPUTED_VALUE"""),21.05)</f>
        <v>21.05</v>
      </c>
      <c r="G2222" s="2">
        <f t="shared" si="2"/>
        <v>21</v>
      </c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>
      <c r="B2223" s="3"/>
      <c r="C2223" s="3"/>
      <c r="D2223" s="3"/>
      <c r="E2223" s="3"/>
      <c r="F2223" s="2">
        <f>IFERROR(__xludf.DUMMYFUNCTION("""COMPUTED_VALUE"""),67.69999999999999)</f>
        <v>67.7</v>
      </c>
      <c r="G2223" s="2">
        <f t="shared" si="2"/>
        <v>68</v>
      </c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>
      <c r="B2224" s="3"/>
      <c r="C2224" s="3"/>
      <c r="D2224" s="3"/>
      <c r="E2224" s="3"/>
      <c r="F2224" s="2">
        <f>IFERROR(__xludf.DUMMYFUNCTION("""COMPUTED_VALUE"""),32.7)</f>
        <v>32.7</v>
      </c>
      <c r="G2224" s="2">
        <f t="shared" si="2"/>
        <v>33</v>
      </c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</row>
    <row r="2225">
      <c r="B2225" s="3"/>
      <c r="C2225" s="3"/>
      <c r="D2225" s="3"/>
      <c r="E2225" s="3"/>
      <c r="F2225" s="2">
        <f>IFERROR(__xludf.DUMMYFUNCTION("""COMPUTED_VALUE"""),92.8)</f>
        <v>92.8</v>
      </c>
      <c r="G2225" s="2">
        <f t="shared" si="2"/>
        <v>93</v>
      </c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>
      <c r="B2226" s="3"/>
      <c r="C2226" s="3"/>
      <c r="D2226" s="3"/>
      <c r="E2226" s="3"/>
      <c r="F2226" s="2">
        <f>IFERROR(__xludf.DUMMYFUNCTION("""COMPUTED_VALUE"""),40.599999999999994)</f>
        <v>40.6</v>
      </c>
      <c r="G2226" s="2">
        <f t="shared" si="2"/>
        <v>41</v>
      </c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>
      <c r="B2227" s="3"/>
      <c r="C2227" s="3"/>
      <c r="D2227" s="3"/>
      <c r="E2227" s="3"/>
      <c r="F2227" s="2">
        <f>IFERROR(__xludf.DUMMYFUNCTION("""COMPUTED_VALUE"""),32.7)</f>
        <v>32.7</v>
      </c>
      <c r="G2227" s="2">
        <f t="shared" si="2"/>
        <v>33</v>
      </c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>
      <c r="B2228" s="3"/>
      <c r="C2228" s="3"/>
      <c r="D2228" s="3"/>
      <c r="E2228" s="3"/>
      <c r="F2228" s="2">
        <f>IFERROR(__xludf.DUMMYFUNCTION("""COMPUTED_VALUE"""),57.699999999999996)</f>
        <v>57.7</v>
      </c>
      <c r="G2228" s="2">
        <f t="shared" si="2"/>
        <v>58</v>
      </c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>
      <c r="B2229" s="3"/>
      <c r="C2229" s="3"/>
      <c r="D2229" s="3"/>
      <c r="E2229" s="3"/>
      <c r="F2229" s="2">
        <f>IFERROR(__xludf.DUMMYFUNCTION("""COMPUTED_VALUE"""),21.25)</f>
        <v>21.25</v>
      </c>
      <c r="G2229" s="2">
        <f t="shared" si="2"/>
        <v>21</v>
      </c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>
      <c r="B2230" s="3"/>
      <c r="C2230" s="3"/>
      <c r="D2230" s="3"/>
      <c r="E2230" s="3"/>
      <c r="F2230" s="2">
        <f>IFERROR(__xludf.DUMMYFUNCTION("""COMPUTED_VALUE"""),56.25)</f>
        <v>56.25</v>
      </c>
      <c r="G2230" s="2">
        <f t="shared" si="2"/>
        <v>56</v>
      </c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>
      <c r="B2231" s="3"/>
      <c r="C2231" s="3"/>
      <c r="D2231" s="3"/>
      <c r="E2231" s="3"/>
      <c r="F2231" s="2">
        <f>IFERROR(__xludf.DUMMYFUNCTION("""COMPUTED_VALUE"""),32.7)</f>
        <v>32.7</v>
      </c>
      <c r="G2231" s="2">
        <f t="shared" si="2"/>
        <v>33</v>
      </c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>
      <c r="B2232" s="3"/>
      <c r="C2232" s="3"/>
      <c r="D2232" s="3"/>
      <c r="E2232" s="3"/>
      <c r="F2232" s="2">
        <f>IFERROR(__xludf.DUMMYFUNCTION("""COMPUTED_VALUE"""),36.25)</f>
        <v>36.25</v>
      </c>
      <c r="G2232" s="2">
        <f t="shared" si="2"/>
        <v>36</v>
      </c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>
      <c r="B2233" s="3"/>
      <c r="C2233" s="3"/>
      <c r="D2233" s="3"/>
      <c r="E2233" s="3"/>
      <c r="F2233" s="2">
        <f>IFERROR(__xludf.DUMMYFUNCTION("""COMPUTED_VALUE"""),31.05)</f>
        <v>31.05</v>
      </c>
      <c r="G2233" s="2">
        <f t="shared" si="2"/>
        <v>31</v>
      </c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>
      <c r="B2234" s="3"/>
      <c r="C2234" s="3"/>
      <c r="D2234" s="3"/>
      <c r="E2234" s="3"/>
      <c r="F2234" s="2">
        <f>IFERROR(__xludf.DUMMYFUNCTION("""COMPUTED_VALUE"""),18.25)</f>
        <v>18.25</v>
      </c>
      <c r="G2234" s="2">
        <f t="shared" si="2"/>
        <v>18</v>
      </c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>
      <c r="B2235" s="3"/>
      <c r="C2235" s="3"/>
      <c r="D2235" s="3"/>
      <c r="E2235" s="3"/>
      <c r="F2235" s="2">
        <f>IFERROR(__xludf.DUMMYFUNCTION("""COMPUTED_VALUE"""),21.25)</f>
        <v>21.25</v>
      </c>
      <c r="G2235" s="2">
        <f t="shared" si="2"/>
        <v>21</v>
      </c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>
      <c r="B2236" s="3"/>
      <c r="C2236" s="3"/>
      <c r="D2236" s="3"/>
      <c r="E2236" s="3"/>
      <c r="F2236" s="2">
        <f>IFERROR(__xludf.DUMMYFUNCTION("""COMPUTED_VALUE"""),67.69999999999999)</f>
        <v>67.7</v>
      </c>
      <c r="G2236" s="2">
        <f t="shared" si="2"/>
        <v>68</v>
      </c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>
      <c r="B2237" s="3"/>
      <c r="C2237" s="3"/>
      <c r="D2237" s="3"/>
      <c r="E2237" s="3"/>
      <c r="F2237" s="2">
        <f>IFERROR(__xludf.DUMMYFUNCTION("""COMPUTED_VALUE"""),77.25)</f>
        <v>77.25</v>
      </c>
      <c r="G2237" s="2">
        <f t="shared" si="2"/>
        <v>77</v>
      </c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</row>
    <row r="2238">
      <c r="B2238" s="3"/>
      <c r="C2238" s="3"/>
      <c r="D2238" s="3"/>
      <c r="E2238" s="3"/>
      <c r="F2238" s="2">
        <f>IFERROR(__xludf.DUMMYFUNCTION("""COMPUTED_VALUE"""),96.15)</f>
        <v>96.15</v>
      </c>
      <c r="G2238" s="2">
        <f t="shared" si="2"/>
        <v>96</v>
      </c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>
      <c r="B2239" s="3"/>
      <c r="C2239" s="3"/>
      <c r="D2239" s="3"/>
      <c r="E2239" s="3"/>
      <c r="F2239" s="2">
        <f>IFERROR(__xludf.DUMMYFUNCTION("""COMPUTED_VALUE"""),17.549999999999997)</f>
        <v>17.55</v>
      </c>
      <c r="G2239" s="2">
        <f t="shared" si="2"/>
        <v>18</v>
      </c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</row>
    <row r="2240">
      <c r="B2240" s="3"/>
      <c r="C2240" s="3"/>
      <c r="D2240" s="3"/>
      <c r="E2240" s="3"/>
      <c r="F2240" s="2">
        <f>IFERROR(__xludf.DUMMYFUNCTION("""COMPUTED_VALUE"""),26.05)</f>
        <v>26.05</v>
      </c>
      <c r="G2240" s="2">
        <f t="shared" si="2"/>
        <v>26</v>
      </c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>
      <c r="B2241" s="3"/>
      <c r="C2241" s="3"/>
      <c r="D2241" s="3"/>
      <c r="E2241" s="3"/>
      <c r="F2241" s="2">
        <f>IFERROR(__xludf.DUMMYFUNCTION("""COMPUTED_VALUE"""),36.25)</f>
        <v>36.25</v>
      </c>
      <c r="G2241" s="2">
        <f t="shared" si="2"/>
        <v>36</v>
      </c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>
      <c r="B2242" s="3"/>
      <c r="C2242" s="3"/>
      <c r="D2242" s="3"/>
      <c r="E2242" s="3"/>
      <c r="F2242" s="2">
        <f>IFERROR(__xludf.DUMMYFUNCTION("""COMPUTED_VALUE"""),17.549999999999997)</f>
        <v>17.55</v>
      </c>
      <c r="G2242" s="2">
        <f t="shared" si="2"/>
        <v>18</v>
      </c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>
      <c r="B2243" s="3"/>
      <c r="C2243" s="3"/>
      <c r="D2243" s="3"/>
      <c r="E2243" s="3"/>
      <c r="F2243" s="2">
        <f>IFERROR(__xludf.DUMMYFUNCTION("""COMPUTED_VALUE"""),28.25)</f>
        <v>28.25</v>
      </c>
      <c r="G2243" s="2">
        <f t="shared" si="2"/>
        <v>28</v>
      </c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>
      <c r="B2244" s="3"/>
      <c r="C2244" s="3"/>
      <c r="D2244" s="3"/>
      <c r="E2244" s="3"/>
      <c r="F2244" s="2">
        <f>IFERROR(__xludf.DUMMYFUNCTION("""COMPUTED_VALUE"""),61.2)</f>
        <v>61.2</v>
      </c>
      <c r="G2244" s="2">
        <f t="shared" si="2"/>
        <v>61</v>
      </c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>
      <c r="B2245" s="3"/>
      <c r="C2245" s="3"/>
      <c r="D2245" s="3"/>
      <c r="E2245" s="3"/>
      <c r="F2245" s="2">
        <f>IFERROR(__xludf.DUMMYFUNCTION("""COMPUTED_VALUE"""),31.05)</f>
        <v>31.05</v>
      </c>
      <c r="G2245" s="2">
        <f t="shared" si="2"/>
        <v>31</v>
      </c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>
      <c r="B2246" s="3"/>
      <c r="C2246" s="3"/>
      <c r="D2246" s="3"/>
      <c r="E2246" s="3"/>
      <c r="F2246" s="2">
        <f>IFERROR(__xludf.DUMMYFUNCTION("""COMPUTED_VALUE"""),81.05000000000001)</f>
        <v>81.05</v>
      </c>
      <c r="G2246" s="2">
        <f t="shared" si="2"/>
        <v>81</v>
      </c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</row>
    <row r="2247">
      <c r="B2247" s="3"/>
      <c r="C2247" s="3"/>
      <c r="D2247" s="3"/>
      <c r="E2247" s="3"/>
      <c r="F2247" s="2">
        <f>IFERROR(__xludf.DUMMYFUNCTION("""COMPUTED_VALUE"""),32.7)</f>
        <v>32.7</v>
      </c>
      <c r="G2247" s="2">
        <f t="shared" si="2"/>
        <v>33</v>
      </c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</row>
    <row r="2248">
      <c r="B2248" s="3"/>
      <c r="C2248" s="3"/>
      <c r="D2248" s="3"/>
      <c r="E2248" s="3"/>
      <c r="F2248" s="2">
        <f>IFERROR(__xludf.DUMMYFUNCTION("""COMPUTED_VALUE"""),96.15)</f>
        <v>96.15</v>
      </c>
      <c r="G2248" s="2">
        <f t="shared" si="2"/>
        <v>96</v>
      </c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</row>
    <row r="2249">
      <c r="B2249" s="3"/>
      <c r="C2249" s="3"/>
      <c r="D2249" s="3"/>
      <c r="E2249" s="3"/>
      <c r="F2249" s="2">
        <f>IFERROR(__xludf.DUMMYFUNCTION("""COMPUTED_VALUE"""),92.8)</f>
        <v>92.8</v>
      </c>
      <c r="G2249" s="2">
        <f t="shared" si="2"/>
        <v>93</v>
      </c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</row>
    <row r="2250">
      <c r="B2250" s="3"/>
      <c r="C2250" s="3"/>
      <c r="D2250" s="3"/>
      <c r="E2250" s="3"/>
      <c r="F2250" s="2">
        <f>IFERROR(__xludf.DUMMYFUNCTION("""COMPUTED_VALUE"""),31.25)</f>
        <v>31.25</v>
      </c>
      <c r="G2250" s="2">
        <f t="shared" si="2"/>
        <v>31</v>
      </c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</row>
    <row r="2251">
      <c r="B2251" s="3"/>
      <c r="C2251" s="3"/>
      <c r="D2251" s="3"/>
      <c r="E2251" s="3"/>
      <c r="F2251" s="2">
        <f>IFERROR(__xludf.DUMMYFUNCTION("""COMPUTED_VALUE"""),76.15)</f>
        <v>76.15</v>
      </c>
      <c r="G2251" s="2">
        <f t="shared" si="2"/>
        <v>76</v>
      </c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</row>
    <row r="2252">
      <c r="B2252" s="3"/>
      <c r="C2252" s="3"/>
      <c r="D2252" s="3"/>
      <c r="E2252" s="3"/>
      <c r="F2252" s="2">
        <f>IFERROR(__xludf.DUMMYFUNCTION("""COMPUTED_VALUE"""),17.549999999999997)</f>
        <v>17.55</v>
      </c>
      <c r="G2252" s="2">
        <f t="shared" si="2"/>
        <v>18</v>
      </c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>
      <c r="B2253" s="3"/>
      <c r="C2253" s="3"/>
      <c r="D2253" s="3"/>
      <c r="E2253" s="3"/>
      <c r="F2253" s="2">
        <f>IFERROR(__xludf.DUMMYFUNCTION("""COMPUTED_VALUE"""),56.150000000000006)</f>
        <v>56.15</v>
      </c>
      <c r="G2253" s="2">
        <f t="shared" si="2"/>
        <v>56</v>
      </c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>
      <c r="B2254" s="3"/>
      <c r="C2254" s="3"/>
      <c r="D2254" s="3"/>
      <c r="E2254" s="3"/>
      <c r="F2254" s="2">
        <f>IFERROR(__xludf.DUMMYFUNCTION("""COMPUTED_VALUE"""),21.25)</f>
        <v>21.25</v>
      </c>
      <c r="G2254" s="2">
        <f t="shared" si="2"/>
        <v>21</v>
      </c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</row>
    <row r="2255">
      <c r="B2255" s="3"/>
      <c r="C2255" s="3"/>
      <c r="D2255" s="3"/>
      <c r="E2255" s="3"/>
      <c r="F2255" s="2">
        <f>IFERROR(__xludf.DUMMYFUNCTION("""COMPUTED_VALUE"""),77.25)</f>
        <v>77.25</v>
      </c>
      <c r="G2255" s="2">
        <f t="shared" si="2"/>
        <v>77</v>
      </c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</row>
    <row r="2256">
      <c r="B2256" s="3"/>
      <c r="C2256" s="3"/>
      <c r="D2256" s="3"/>
      <c r="E2256" s="3"/>
      <c r="F2256" s="2">
        <f>IFERROR(__xludf.DUMMYFUNCTION("""COMPUTED_VALUE"""),92.8)</f>
        <v>92.8</v>
      </c>
      <c r="G2256" s="2">
        <f t="shared" si="2"/>
        <v>93</v>
      </c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>
      <c r="B2257" s="3"/>
      <c r="C2257" s="3"/>
      <c r="D2257" s="3"/>
      <c r="E2257" s="3"/>
      <c r="F2257" s="2">
        <f>IFERROR(__xludf.DUMMYFUNCTION("""COMPUTED_VALUE"""),17.549999999999997)</f>
        <v>17.55</v>
      </c>
      <c r="G2257" s="2">
        <f t="shared" si="2"/>
        <v>18</v>
      </c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>
      <c r="B2258" s="3"/>
      <c r="C2258" s="3"/>
      <c r="D2258" s="3"/>
      <c r="E2258" s="3"/>
      <c r="F2258" s="2">
        <f>IFERROR(__xludf.DUMMYFUNCTION("""COMPUTED_VALUE"""),36.25)</f>
        <v>36.25</v>
      </c>
      <c r="G2258" s="2">
        <f t="shared" si="2"/>
        <v>36</v>
      </c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>
      <c r="B2259" s="3"/>
      <c r="C2259" s="3"/>
      <c r="D2259" s="3"/>
      <c r="E2259" s="3"/>
      <c r="F2259" s="2">
        <f>IFERROR(__xludf.DUMMYFUNCTION("""COMPUTED_VALUE"""),40.599999999999994)</f>
        <v>40.6</v>
      </c>
      <c r="G2259" s="2">
        <f t="shared" si="2"/>
        <v>41</v>
      </c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>
      <c r="B2260" s="3"/>
      <c r="C2260" s="3"/>
      <c r="D2260" s="3"/>
      <c r="E2260" s="3"/>
      <c r="F2260" s="2">
        <f>IFERROR(__xludf.DUMMYFUNCTION("""COMPUTED_VALUE"""),57.699999999999996)</f>
        <v>57.7</v>
      </c>
      <c r="G2260" s="2">
        <f t="shared" si="2"/>
        <v>58</v>
      </c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>
      <c r="B2261" s="3"/>
      <c r="C2261" s="3"/>
      <c r="D2261" s="3"/>
      <c r="E2261" s="3"/>
      <c r="F2261" s="2">
        <f>IFERROR(__xludf.DUMMYFUNCTION("""COMPUTED_VALUE"""),32.7)</f>
        <v>32.7</v>
      </c>
      <c r="G2261" s="2">
        <f t="shared" si="2"/>
        <v>33</v>
      </c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</row>
    <row r="2262">
      <c r="B2262" s="3"/>
      <c r="C2262" s="3"/>
      <c r="D2262" s="3"/>
      <c r="E2262" s="3"/>
      <c r="F2262" s="2">
        <f>IFERROR(__xludf.DUMMYFUNCTION("""COMPUTED_VALUE"""),92.8)</f>
        <v>92.8</v>
      </c>
      <c r="G2262" s="2">
        <f t="shared" si="2"/>
        <v>93</v>
      </c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</row>
    <row r="2263">
      <c r="B2263" s="3"/>
      <c r="C2263" s="3"/>
      <c r="D2263" s="3"/>
      <c r="E2263" s="3"/>
      <c r="F2263" s="2">
        <f>IFERROR(__xludf.DUMMYFUNCTION("""COMPUTED_VALUE"""),26.200000000000003)</f>
        <v>26.2</v>
      </c>
      <c r="G2263" s="2">
        <f t="shared" si="2"/>
        <v>26</v>
      </c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</row>
    <row r="2264">
      <c r="B2264" s="3"/>
      <c r="C2264" s="3"/>
      <c r="D2264" s="3"/>
      <c r="E2264" s="3"/>
      <c r="F2264" s="2">
        <f>IFERROR(__xludf.DUMMYFUNCTION("""COMPUTED_VALUE"""),26.200000000000003)</f>
        <v>26.2</v>
      </c>
      <c r="G2264" s="2">
        <f t="shared" si="2"/>
        <v>26</v>
      </c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>
      <c r="B2265" s="3"/>
      <c r="C2265" s="3"/>
      <c r="D2265" s="3"/>
      <c r="E2265" s="3"/>
      <c r="F2265" s="2">
        <f>IFERROR(__xludf.DUMMYFUNCTION("""COMPUTED_VALUE"""),67.69999999999999)</f>
        <v>67.7</v>
      </c>
      <c r="G2265" s="2">
        <f t="shared" si="2"/>
        <v>68</v>
      </c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</row>
    <row r="2266">
      <c r="B2266" s="3"/>
      <c r="C2266" s="3"/>
      <c r="D2266" s="3"/>
      <c r="E2266" s="3"/>
      <c r="F2266" s="2">
        <f>IFERROR(__xludf.DUMMYFUNCTION("""COMPUTED_VALUE"""),42.699999999999996)</f>
        <v>42.7</v>
      </c>
      <c r="G2266" s="2">
        <f t="shared" si="2"/>
        <v>43</v>
      </c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>
      <c r="B2267" s="3"/>
      <c r="C2267" s="3"/>
      <c r="D2267" s="3"/>
      <c r="E2267" s="3"/>
      <c r="F2267" s="2">
        <f>IFERROR(__xludf.DUMMYFUNCTION("""COMPUTED_VALUE"""),67.69999999999999)</f>
        <v>67.7</v>
      </c>
      <c r="G2267" s="2">
        <f t="shared" si="2"/>
        <v>68</v>
      </c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</row>
    <row r="2268">
      <c r="B2268" s="3"/>
      <c r="C2268" s="3"/>
      <c r="D2268" s="3"/>
      <c r="E2268" s="3"/>
      <c r="F2268" s="2">
        <f>IFERROR(__xludf.DUMMYFUNCTION("""COMPUTED_VALUE"""),21.25)</f>
        <v>21.25</v>
      </c>
      <c r="G2268" s="2">
        <f t="shared" si="2"/>
        <v>21</v>
      </c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>
      <c r="B2269" s="3"/>
      <c r="C2269" s="3"/>
      <c r="D2269" s="3"/>
      <c r="E2269" s="3"/>
      <c r="F2269" s="2">
        <f>IFERROR(__xludf.DUMMYFUNCTION("""COMPUTED_VALUE"""),31.05)</f>
        <v>31.05</v>
      </c>
      <c r="G2269" s="2">
        <f t="shared" si="2"/>
        <v>31</v>
      </c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>
      <c r="B2270" s="3"/>
      <c r="C2270" s="3"/>
      <c r="D2270" s="3"/>
      <c r="E2270" s="3"/>
      <c r="F2270" s="2">
        <f>IFERROR(__xludf.DUMMYFUNCTION("""COMPUTED_VALUE"""),21.25)</f>
        <v>21.25</v>
      </c>
      <c r="G2270" s="2">
        <f t="shared" si="2"/>
        <v>21</v>
      </c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>
      <c r="B2271" s="3"/>
      <c r="C2271" s="3"/>
      <c r="D2271" s="3"/>
      <c r="E2271" s="3"/>
      <c r="F2271" s="2">
        <f>IFERROR(__xludf.DUMMYFUNCTION("""COMPUTED_VALUE"""),31.05)</f>
        <v>31.05</v>
      </c>
      <c r="G2271" s="2">
        <f t="shared" si="2"/>
        <v>31</v>
      </c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>
      <c r="B2272" s="3"/>
      <c r="C2272" s="3"/>
      <c r="D2272" s="3"/>
      <c r="E2272" s="3"/>
      <c r="F2272" s="2">
        <f>IFERROR(__xludf.DUMMYFUNCTION("""COMPUTED_VALUE"""),18.25)</f>
        <v>18.25</v>
      </c>
      <c r="G2272" s="2">
        <f t="shared" si="2"/>
        <v>18</v>
      </c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</row>
    <row r="2273">
      <c r="B2273" s="3"/>
      <c r="C2273" s="3"/>
      <c r="D2273" s="3"/>
      <c r="E2273" s="3"/>
      <c r="F2273" s="2">
        <f>IFERROR(__xludf.DUMMYFUNCTION("""COMPUTED_VALUE"""),16.25)</f>
        <v>16.25</v>
      </c>
      <c r="G2273" s="2">
        <f t="shared" si="2"/>
        <v>16</v>
      </c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4">
      <c r="B2274" s="3"/>
      <c r="C2274" s="3"/>
      <c r="D2274" s="3"/>
      <c r="E2274" s="3"/>
      <c r="F2274" s="2">
        <f>IFERROR(__xludf.DUMMYFUNCTION("""COMPUTED_VALUE"""),28.25)</f>
        <v>28.25</v>
      </c>
      <c r="G2274" s="2">
        <f t="shared" si="2"/>
        <v>28</v>
      </c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>
      <c r="B2275" s="3"/>
      <c r="C2275" s="3"/>
      <c r="D2275" s="3"/>
      <c r="E2275" s="3"/>
      <c r="F2275" s="2">
        <f>IFERROR(__xludf.DUMMYFUNCTION("""COMPUTED_VALUE"""),32.7)</f>
        <v>32.7</v>
      </c>
      <c r="G2275" s="2">
        <f t="shared" si="2"/>
        <v>33</v>
      </c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</row>
    <row r="2276">
      <c r="B2276" s="3"/>
      <c r="C2276" s="3"/>
      <c r="D2276" s="3"/>
      <c r="E2276" s="3"/>
      <c r="F2276" s="2">
        <f>IFERROR(__xludf.DUMMYFUNCTION("""COMPUTED_VALUE"""),56.25)</f>
        <v>56.25</v>
      </c>
      <c r="G2276" s="2">
        <f t="shared" si="2"/>
        <v>56</v>
      </c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>
      <c r="B2277" s="3"/>
      <c r="C2277" s="3"/>
      <c r="D2277" s="3"/>
      <c r="E2277" s="3"/>
      <c r="F2277" s="2">
        <f>IFERROR(__xludf.DUMMYFUNCTION("""COMPUTED_VALUE"""),31.05)</f>
        <v>31.05</v>
      </c>
      <c r="G2277" s="2">
        <f t="shared" si="2"/>
        <v>31</v>
      </c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</row>
    <row r="2278">
      <c r="B2278" s="3"/>
      <c r="C2278" s="3"/>
      <c r="D2278" s="3"/>
      <c r="E2278" s="3"/>
      <c r="F2278" s="2">
        <f>IFERROR(__xludf.DUMMYFUNCTION("""COMPUTED_VALUE"""),31.05)</f>
        <v>31.05</v>
      </c>
      <c r="G2278" s="2">
        <f t="shared" si="2"/>
        <v>31</v>
      </c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>
      <c r="B2279" s="3"/>
      <c r="C2279" s="3"/>
      <c r="D2279" s="3"/>
      <c r="E2279" s="3"/>
      <c r="F2279" s="2">
        <f>IFERROR(__xludf.DUMMYFUNCTION("""COMPUTED_VALUE"""),26.05)</f>
        <v>26.05</v>
      </c>
      <c r="G2279" s="2">
        <f t="shared" si="2"/>
        <v>26</v>
      </c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>
      <c r="B2280" s="3"/>
      <c r="C2280" s="3"/>
      <c r="D2280" s="3"/>
      <c r="E2280" s="3"/>
      <c r="F2280" s="2">
        <f>IFERROR(__xludf.DUMMYFUNCTION("""COMPUTED_VALUE"""),32.7)</f>
        <v>32.7</v>
      </c>
      <c r="G2280" s="2">
        <f t="shared" si="2"/>
        <v>33</v>
      </c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>
      <c r="B2281" s="3"/>
      <c r="C2281" s="3"/>
      <c r="D2281" s="3"/>
      <c r="E2281" s="3"/>
      <c r="F2281" s="2">
        <f>IFERROR(__xludf.DUMMYFUNCTION("""COMPUTED_VALUE"""),41.150000000000006)</f>
        <v>41.15</v>
      </c>
      <c r="G2281" s="2">
        <f t="shared" si="2"/>
        <v>41</v>
      </c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>
      <c r="B2282" s="3"/>
      <c r="C2282" s="3"/>
      <c r="D2282" s="3"/>
      <c r="E2282" s="3"/>
      <c r="F2282" s="2">
        <f>IFERROR(__xludf.DUMMYFUNCTION("""COMPUTED_VALUE"""),17.549999999999997)</f>
        <v>17.55</v>
      </c>
      <c r="G2282" s="2">
        <f t="shared" si="2"/>
        <v>18</v>
      </c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>
      <c r="B2283" s="3"/>
      <c r="C2283" s="3"/>
      <c r="D2283" s="3"/>
      <c r="E2283" s="3"/>
      <c r="F2283" s="2">
        <f>IFERROR(__xludf.DUMMYFUNCTION("""COMPUTED_VALUE"""),27.25)</f>
        <v>27.25</v>
      </c>
      <c r="G2283" s="2">
        <f t="shared" si="2"/>
        <v>27</v>
      </c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</row>
    <row r="2284">
      <c r="B2284" s="3"/>
      <c r="C2284" s="3"/>
      <c r="D2284" s="3"/>
      <c r="E2284" s="3"/>
      <c r="F2284" s="2">
        <f>IFERROR(__xludf.DUMMYFUNCTION("""COMPUTED_VALUE"""),57.699999999999996)</f>
        <v>57.7</v>
      </c>
      <c r="G2284" s="2">
        <f t="shared" si="2"/>
        <v>58</v>
      </c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>
      <c r="B2285" s="3"/>
      <c r="C2285" s="3"/>
      <c r="D2285" s="3"/>
      <c r="E2285" s="3"/>
      <c r="F2285" s="2">
        <f>IFERROR(__xludf.DUMMYFUNCTION("""COMPUTED_VALUE"""),76.15)</f>
        <v>76.15</v>
      </c>
      <c r="G2285" s="2">
        <f t="shared" si="2"/>
        <v>76</v>
      </c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>
      <c r="B2286" s="3"/>
      <c r="C2286" s="3"/>
      <c r="D2286" s="3"/>
      <c r="E2286" s="3"/>
      <c r="F2286" s="2">
        <f>IFERROR(__xludf.DUMMYFUNCTION("""COMPUTED_VALUE"""),62.800000000000004)</f>
        <v>62.8</v>
      </c>
      <c r="G2286" s="2">
        <f t="shared" si="2"/>
        <v>63</v>
      </c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>
      <c r="B2287" s="3"/>
      <c r="C2287" s="3"/>
      <c r="D2287" s="3"/>
      <c r="E2287" s="3"/>
      <c r="F2287" s="2">
        <f>IFERROR(__xludf.DUMMYFUNCTION("""COMPUTED_VALUE"""),16.25)</f>
        <v>16.25</v>
      </c>
      <c r="G2287" s="2">
        <f t="shared" si="2"/>
        <v>16</v>
      </c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>
      <c r="B2288" s="3"/>
      <c r="C2288" s="3"/>
      <c r="D2288" s="3"/>
      <c r="E2288" s="3"/>
      <c r="F2288" s="2">
        <f>IFERROR(__xludf.DUMMYFUNCTION("""COMPUTED_VALUE"""),31.05)</f>
        <v>31.05</v>
      </c>
      <c r="G2288" s="2">
        <f t="shared" si="2"/>
        <v>31</v>
      </c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>
      <c r="B2289" s="3"/>
      <c r="C2289" s="3"/>
      <c r="D2289" s="3"/>
      <c r="E2289" s="3"/>
      <c r="F2289" s="2">
        <f>IFERROR(__xludf.DUMMYFUNCTION("""COMPUTED_VALUE"""),41.150000000000006)</f>
        <v>41.15</v>
      </c>
      <c r="G2289" s="2">
        <f t="shared" si="2"/>
        <v>41</v>
      </c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>
      <c r="B2290" s="3"/>
      <c r="C2290" s="3"/>
      <c r="D2290" s="3"/>
      <c r="E2290" s="3"/>
      <c r="F2290" s="2">
        <f>IFERROR(__xludf.DUMMYFUNCTION("""COMPUTED_VALUE"""),47.25)</f>
        <v>47.25</v>
      </c>
      <c r="G2290" s="2">
        <f t="shared" si="2"/>
        <v>47</v>
      </c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>
      <c r="B2291" s="3"/>
      <c r="C2291" s="3"/>
      <c r="D2291" s="3"/>
      <c r="E2291" s="3"/>
      <c r="F2291" s="2">
        <f>IFERROR(__xludf.DUMMYFUNCTION("""COMPUTED_VALUE"""),142.79999999999998)</f>
        <v>142.8</v>
      </c>
      <c r="G2291" s="2">
        <f t="shared" si="2"/>
        <v>143</v>
      </c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>
      <c r="B2292" s="3"/>
      <c r="C2292" s="3"/>
      <c r="D2292" s="3"/>
      <c r="E2292" s="3"/>
      <c r="F2292" s="2">
        <f>IFERROR(__xludf.DUMMYFUNCTION("""COMPUTED_VALUE"""),81.05000000000001)</f>
        <v>81.05</v>
      </c>
      <c r="G2292" s="2">
        <f t="shared" si="2"/>
        <v>81</v>
      </c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>
      <c r="B2293" s="3"/>
      <c r="C2293" s="3"/>
      <c r="D2293" s="3"/>
      <c r="E2293" s="3"/>
      <c r="F2293" s="2">
        <f>IFERROR(__xludf.DUMMYFUNCTION("""COMPUTED_VALUE"""),61.2)</f>
        <v>61.2</v>
      </c>
      <c r="G2293" s="2">
        <f t="shared" si="2"/>
        <v>61</v>
      </c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</row>
    <row r="2294">
      <c r="B2294" s="3"/>
      <c r="C2294" s="3"/>
      <c r="D2294" s="3"/>
      <c r="E2294" s="3"/>
      <c r="F2294" s="2">
        <f>IFERROR(__xludf.DUMMYFUNCTION("""COMPUTED_VALUE"""),26.200000000000003)</f>
        <v>26.2</v>
      </c>
      <c r="G2294" s="2">
        <f t="shared" si="2"/>
        <v>26</v>
      </c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>
      <c r="B2295" s="3"/>
      <c r="C2295" s="3"/>
      <c r="D2295" s="3"/>
      <c r="E2295" s="3"/>
      <c r="F2295" s="2">
        <f>IFERROR(__xludf.DUMMYFUNCTION("""COMPUTED_VALUE"""),26.200000000000003)</f>
        <v>26.2</v>
      </c>
      <c r="G2295" s="2">
        <f t="shared" si="2"/>
        <v>26</v>
      </c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>
      <c r="B2296" s="3"/>
      <c r="C2296" s="3"/>
      <c r="D2296" s="3"/>
      <c r="E2296" s="3"/>
      <c r="F2296" s="2">
        <f>IFERROR(__xludf.DUMMYFUNCTION("""COMPUTED_VALUE"""),96.15)</f>
        <v>96.15</v>
      </c>
      <c r="G2296" s="2">
        <f t="shared" si="2"/>
        <v>96</v>
      </c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>
      <c r="B2297" s="3"/>
      <c r="C2297" s="3"/>
      <c r="D2297" s="3"/>
      <c r="E2297" s="3"/>
      <c r="F2297" s="2">
        <f>IFERROR(__xludf.DUMMYFUNCTION("""COMPUTED_VALUE"""),92.8)</f>
        <v>92.8</v>
      </c>
      <c r="G2297" s="2">
        <f t="shared" si="2"/>
        <v>93</v>
      </c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>
      <c r="B2298" s="3"/>
      <c r="C2298" s="3"/>
      <c r="D2298" s="3"/>
      <c r="E2298" s="3"/>
      <c r="F2298" s="2">
        <f>IFERROR(__xludf.DUMMYFUNCTION("""COMPUTED_VALUE"""),16.25)</f>
        <v>16.25</v>
      </c>
      <c r="G2298" s="2">
        <f t="shared" si="2"/>
        <v>16</v>
      </c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>
      <c r="B2299" s="3"/>
      <c r="C2299" s="3"/>
      <c r="D2299" s="3"/>
      <c r="E2299" s="3"/>
      <c r="F2299" s="2">
        <f>IFERROR(__xludf.DUMMYFUNCTION("""COMPUTED_VALUE"""),47.699999999999996)</f>
        <v>47.7</v>
      </c>
      <c r="G2299" s="2">
        <f t="shared" si="2"/>
        <v>48</v>
      </c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>
      <c r="B2300" s="3"/>
      <c r="C2300" s="3"/>
      <c r="D2300" s="3"/>
      <c r="E2300" s="3"/>
      <c r="F2300" s="2">
        <f>IFERROR(__xludf.DUMMYFUNCTION("""COMPUTED_VALUE"""),18.25)</f>
        <v>18.25</v>
      </c>
      <c r="G2300" s="2">
        <f t="shared" si="2"/>
        <v>18</v>
      </c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>
      <c r="B2301" s="3"/>
      <c r="C2301" s="3"/>
      <c r="D2301" s="3"/>
      <c r="E2301" s="3"/>
      <c r="F2301" s="2">
        <f>IFERROR(__xludf.DUMMYFUNCTION("""COMPUTED_VALUE"""),18.25)</f>
        <v>18.25</v>
      </c>
      <c r="G2301" s="2">
        <f t="shared" si="2"/>
        <v>18</v>
      </c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>
      <c r="B2302" s="3"/>
      <c r="C2302" s="3"/>
      <c r="D2302" s="3"/>
      <c r="E2302" s="3"/>
      <c r="F2302" s="2">
        <f>IFERROR(__xludf.DUMMYFUNCTION("""COMPUTED_VALUE"""),31.25)</f>
        <v>31.25</v>
      </c>
      <c r="G2302" s="2">
        <f t="shared" si="2"/>
        <v>31</v>
      </c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</row>
    <row r="2303">
      <c r="B2303" s="3"/>
      <c r="C2303" s="3"/>
      <c r="D2303" s="3"/>
      <c r="E2303" s="3"/>
      <c r="F2303" s="2">
        <f>IFERROR(__xludf.DUMMYFUNCTION("""COMPUTED_VALUE"""),16.25)</f>
        <v>16.25</v>
      </c>
      <c r="G2303" s="2">
        <f t="shared" si="2"/>
        <v>16</v>
      </c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>
      <c r="B2304" s="3"/>
      <c r="C2304" s="3"/>
      <c r="D2304" s="3"/>
      <c r="E2304" s="3"/>
      <c r="F2304" s="2">
        <f>IFERROR(__xludf.DUMMYFUNCTION("""COMPUTED_VALUE"""),47.699999999999996)</f>
        <v>47.7</v>
      </c>
      <c r="G2304" s="2">
        <f t="shared" si="2"/>
        <v>48</v>
      </c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>
      <c r="B2305" s="3"/>
      <c r="C2305" s="3"/>
      <c r="D2305" s="3"/>
      <c r="E2305" s="3"/>
      <c r="F2305" s="2">
        <f>IFERROR(__xludf.DUMMYFUNCTION("""COMPUTED_VALUE"""),27.25)</f>
        <v>27.25</v>
      </c>
      <c r="G2305" s="2">
        <f t="shared" si="2"/>
        <v>27</v>
      </c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</row>
    <row r="2306">
      <c r="B2306" s="3"/>
      <c r="C2306" s="3"/>
      <c r="D2306" s="3"/>
      <c r="E2306" s="3"/>
      <c r="F2306" s="2">
        <f>IFERROR(__xludf.DUMMYFUNCTION("""COMPUTED_VALUE"""),17.549999999999997)</f>
        <v>17.55</v>
      </c>
      <c r="G2306" s="2">
        <f t="shared" si="2"/>
        <v>18</v>
      </c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>
      <c r="B2307" s="3"/>
      <c r="C2307" s="3"/>
      <c r="D2307" s="3"/>
      <c r="E2307" s="3"/>
      <c r="F2307" s="2">
        <f>IFERROR(__xludf.DUMMYFUNCTION("""COMPUTED_VALUE"""),57.699999999999996)</f>
        <v>57.7</v>
      </c>
      <c r="G2307" s="2">
        <f t="shared" si="2"/>
        <v>58</v>
      </c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>
      <c r="B2308" s="3"/>
      <c r="C2308" s="3"/>
      <c r="D2308" s="3"/>
      <c r="E2308" s="3"/>
      <c r="F2308" s="2">
        <f>IFERROR(__xludf.DUMMYFUNCTION("""COMPUTED_VALUE"""),92.8)</f>
        <v>92.8</v>
      </c>
      <c r="G2308" s="2">
        <f t="shared" si="2"/>
        <v>93</v>
      </c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>
      <c r="B2309" s="3"/>
      <c r="C2309" s="3"/>
      <c r="D2309" s="3"/>
      <c r="E2309" s="3"/>
      <c r="F2309" s="2">
        <f>IFERROR(__xludf.DUMMYFUNCTION("""COMPUTED_VALUE"""),67.69999999999999)</f>
        <v>67.7</v>
      </c>
      <c r="G2309" s="2">
        <f t="shared" si="2"/>
        <v>68</v>
      </c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>
      <c r="B2310" s="3"/>
      <c r="C2310" s="3"/>
      <c r="D2310" s="3"/>
      <c r="E2310" s="3"/>
      <c r="F2310" s="2">
        <f>IFERROR(__xludf.DUMMYFUNCTION("""COMPUTED_VALUE"""),27.25)</f>
        <v>27.25</v>
      </c>
      <c r="G2310" s="2">
        <f t="shared" si="2"/>
        <v>27</v>
      </c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>
      <c r="B2311" s="3"/>
      <c r="C2311" s="3"/>
      <c r="D2311" s="3"/>
      <c r="E2311" s="3"/>
      <c r="F2311" s="2">
        <f>IFERROR(__xludf.DUMMYFUNCTION("""COMPUTED_VALUE"""),56.150000000000006)</f>
        <v>56.15</v>
      </c>
      <c r="G2311" s="2">
        <f t="shared" si="2"/>
        <v>56</v>
      </c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>
      <c r="B2312" s="3"/>
      <c r="C2312" s="3"/>
      <c r="D2312" s="3"/>
      <c r="E2312" s="3"/>
      <c r="F2312" s="2">
        <f>IFERROR(__xludf.DUMMYFUNCTION("""COMPUTED_VALUE"""),42.699999999999996)</f>
        <v>42.7</v>
      </c>
      <c r="G2312" s="2">
        <f t="shared" si="2"/>
        <v>43</v>
      </c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>
      <c r="B2313" s="3"/>
      <c r="C2313" s="3"/>
      <c r="D2313" s="3"/>
      <c r="E2313" s="3"/>
      <c r="F2313" s="2">
        <f>IFERROR(__xludf.DUMMYFUNCTION("""COMPUTED_VALUE"""),21.25)</f>
        <v>21.25</v>
      </c>
      <c r="G2313" s="2">
        <f t="shared" si="2"/>
        <v>21</v>
      </c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>
      <c r="B2314" s="3"/>
      <c r="C2314" s="3"/>
      <c r="D2314" s="3"/>
      <c r="E2314" s="3"/>
      <c r="F2314" s="2">
        <f>IFERROR(__xludf.DUMMYFUNCTION("""COMPUTED_VALUE"""),32.7)</f>
        <v>32.7</v>
      </c>
      <c r="G2314" s="2">
        <f t="shared" si="2"/>
        <v>33</v>
      </c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>
      <c r="B2315" s="3"/>
      <c r="C2315" s="3"/>
      <c r="D2315" s="3"/>
      <c r="E2315" s="3"/>
      <c r="F2315" s="2">
        <f>IFERROR(__xludf.DUMMYFUNCTION("""COMPUTED_VALUE"""),77.25)</f>
        <v>77.25</v>
      </c>
      <c r="G2315" s="2">
        <f t="shared" si="2"/>
        <v>77</v>
      </c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>
      <c r="B2316" s="3"/>
      <c r="C2316" s="3"/>
      <c r="D2316" s="3"/>
      <c r="E2316" s="3"/>
      <c r="F2316" s="2">
        <f>IFERROR(__xludf.DUMMYFUNCTION("""COMPUTED_VALUE"""),28.25)</f>
        <v>28.25</v>
      </c>
      <c r="G2316" s="2">
        <f t="shared" si="2"/>
        <v>28</v>
      </c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>
      <c r="B2317" s="3"/>
      <c r="C2317" s="3"/>
      <c r="D2317" s="3"/>
      <c r="E2317" s="3"/>
      <c r="F2317" s="2">
        <f>IFERROR(__xludf.DUMMYFUNCTION("""COMPUTED_VALUE"""),142.79999999999998)</f>
        <v>142.8</v>
      </c>
      <c r="G2317" s="2">
        <f t="shared" si="2"/>
        <v>143</v>
      </c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>
      <c r="B2318" s="3"/>
      <c r="C2318" s="3"/>
      <c r="D2318" s="3"/>
      <c r="E2318" s="3"/>
      <c r="F2318" s="2">
        <f>IFERROR(__xludf.DUMMYFUNCTION("""COMPUTED_VALUE"""),71.25)</f>
        <v>71.25</v>
      </c>
      <c r="G2318" s="2">
        <f t="shared" si="2"/>
        <v>71</v>
      </c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</row>
    <row r="2319">
      <c r="B2319" s="3"/>
      <c r="C2319" s="3"/>
      <c r="D2319" s="3"/>
      <c r="E2319" s="3"/>
      <c r="F2319" s="2">
        <f>IFERROR(__xludf.DUMMYFUNCTION("""COMPUTED_VALUE"""),81.05000000000001)</f>
        <v>81.05</v>
      </c>
      <c r="G2319" s="2">
        <f t="shared" si="2"/>
        <v>81</v>
      </c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>
      <c r="B2320" s="3"/>
      <c r="C2320" s="3"/>
      <c r="D2320" s="3"/>
      <c r="E2320" s="3"/>
      <c r="F2320" s="2">
        <f>IFERROR(__xludf.DUMMYFUNCTION("""COMPUTED_VALUE"""),26.05)</f>
        <v>26.05</v>
      </c>
      <c r="G2320" s="2">
        <f t="shared" si="2"/>
        <v>26</v>
      </c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>
      <c r="B2321" s="3"/>
      <c r="C2321" s="3"/>
      <c r="D2321" s="3"/>
      <c r="E2321" s="3"/>
      <c r="F2321" s="2">
        <f>IFERROR(__xludf.DUMMYFUNCTION("""COMPUTED_VALUE"""),31.25)</f>
        <v>31.25</v>
      </c>
      <c r="G2321" s="2">
        <f t="shared" si="2"/>
        <v>31</v>
      </c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>
      <c r="B2322" s="3"/>
      <c r="C2322" s="3"/>
      <c r="D2322" s="3"/>
      <c r="E2322" s="3"/>
      <c r="F2322" s="2">
        <f>IFERROR(__xludf.DUMMYFUNCTION("""COMPUTED_VALUE"""),81.05000000000001)</f>
        <v>81.05</v>
      </c>
      <c r="G2322" s="2">
        <f t="shared" si="2"/>
        <v>81</v>
      </c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>
      <c r="B2323" s="3"/>
      <c r="C2323" s="3"/>
      <c r="D2323" s="3"/>
      <c r="E2323" s="3"/>
      <c r="F2323" s="2">
        <f>IFERROR(__xludf.DUMMYFUNCTION("""COMPUTED_VALUE"""),40.599999999999994)</f>
        <v>40.6</v>
      </c>
      <c r="G2323" s="2">
        <f t="shared" si="2"/>
        <v>41</v>
      </c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>
      <c r="B2324" s="3"/>
      <c r="C2324" s="3"/>
      <c r="D2324" s="3"/>
      <c r="E2324" s="3"/>
      <c r="F2324" s="2">
        <f>IFERROR(__xludf.DUMMYFUNCTION("""COMPUTED_VALUE"""),21.25)</f>
        <v>21.25</v>
      </c>
      <c r="G2324" s="2">
        <f t="shared" si="2"/>
        <v>21</v>
      </c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>
      <c r="B2325" s="3"/>
      <c r="C2325" s="3"/>
      <c r="D2325" s="3"/>
      <c r="E2325" s="3"/>
      <c r="F2325" s="2">
        <f>IFERROR(__xludf.DUMMYFUNCTION("""COMPUTED_VALUE"""),21.25)</f>
        <v>21.25</v>
      </c>
      <c r="G2325" s="2">
        <f t="shared" si="2"/>
        <v>21</v>
      </c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>
      <c r="B2326" s="3"/>
      <c r="C2326" s="3"/>
      <c r="D2326" s="3"/>
      <c r="E2326" s="3"/>
      <c r="F2326" s="2">
        <f>IFERROR(__xludf.DUMMYFUNCTION("""COMPUTED_VALUE"""),67.69999999999999)</f>
        <v>67.7</v>
      </c>
      <c r="G2326" s="2">
        <f t="shared" si="2"/>
        <v>68</v>
      </c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>
      <c r="B2327" s="3"/>
      <c r="C2327" s="3"/>
      <c r="D2327" s="3"/>
      <c r="E2327" s="3"/>
      <c r="F2327" s="2">
        <f>IFERROR(__xludf.DUMMYFUNCTION("""COMPUTED_VALUE"""),67.69999999999999)</f>
        <v>67.7</v>
      </c>
      <c r="G2327" s="2">
        <f t="shared" si="2"/>
        <v>68</v>
      </c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>
      <c r="B2328" s="3"/>
      <c r="C2328" s="3"/>
      <c r="D2328" s="3"/>
      <c r="E2328" s="3"/>
      <c r="F2328" s="2">
        <f>IFERROR(__xludf.DUMMYFUNCTION("""COMPUTED_VALUE"""),28.25)</f>
        <v>28.25</v>
      </c>
      <c r="G2328" s="2">
        <f t="shared" si="2"/>
        <v>28</v>
      </c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</row>
    <row r="2329">
      <c r="B2329" s="3"/>
      <c r="C2329" s="3"/>
      <c r="D2329" s="3"/>
      <c r="E2329" s="3"/>
      <c r="F2329" s="2">
        <f>IFERROR(__xludf.DUMMYFUNCTION("""COMPUTED_VALUE"""),142.79999999999998)</f>
        <v>142.8</v>
      </c>
      <c r="G2329" s="2">
        <f t="shared" si="2"/>
        <v>143</v>
      </c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>
      <c r="B2330" s="3"/>
      <c r="C2330" s="3"/>
      <c r="D2330" s="3"/>
      <c r="E2330" s="3"/>
      <c r="F2330" s="2">
        <f>IFERROR(__xludf.DUMMYFUNCTION("""COMPUTED_VALUE"""),27.25)</f>
        <v>27.25</v>
      </c>
      <c r="G2330" s="2">
        <f t="shared" si="2"/>
        <v>27</v>
      </c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>
      <c r="B2331" s="3"/>
      <c r="C2331" s="3"/>
      <c r="D2331" s="3"/>
      <c r="E2331" s="3"/>
      <c r="F2331" s="2">
        <f>IFERROR(__xludf.DUMMYFUNCTION("""COMPUTED_VALUE"""),71.25)</f>
        <v>71.25</v>
      </c>
      <c r="G2331" s="2">
        <f t="shared" si="2"/>
        <v>71</v>
      </c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</row>
    <row r="2332">
      <c r="B2332" s="3"/>
      <c r="C2332" s="3"/>
      <c r="D2332" s="3"/>
      <c r="E2332" s="3"/>
      <c r="F2332" s="2">
        <f>IFERROR(__xludf.DUMMYFUNCTION("""COMPUTED_VALUE"""),27.25)</f>
        <v>27.25</v>
      </c>
      <c r="G2332" s="2">
        <f t="shared" si="2"/>
        <v>27</v>
      </c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>
      <c r="B2333" s="3"/>
      <c r="C2333" s="3"/>
      <c r="D2333" s="3"/>
      <c r="E2333" s="3"/>
      <c r="F2333" s="2">
        <f>IFERROR(__xludf.DUMMYFUNCTION("""COMPUTED_VALUE"""),16.25)</f>
        <v>16.25</v>
      </c>
      <c r="G2333" s="2">
        <f t="shared" si="2"/>
        <v>16</v>
      </c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</row>
    <row r="2334">
      <c r="B2334" s="3"/>
      <c r="C2334" s="3"/>
      <c r="D2334" s="3"/>
      <c r="E2334" s="3"/>
      <c r="F2334" s="2">
        <f>IFERROR(__xludf.DUMMYFUNCTION("""COMPUTED_VALUE"""),77.25)</f>
        <v>77.25</v>
      </c>
      <c r="G2334" s="2">
        <f t="shared" si="2"/>
        <v>77</v>
      </c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>
      <c r="B2335" s="3"/>
      <c r="C2335" s="3"/>
      <c r="D2335" s="3"/>
      <c r="E2335" s="3"/>
      <c r="F2335" s="2">
        <f>IFERROR(__xludf.DUMMYFUNCTION("""COMPUTED_VALUE"""),21.25)</f>
        <v>21.25</v>
      </c>
      <c r="G2335" s="2">
        <f t="shared" si="2"/>
        <v>21</v>
      </c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>
      <c r="B2336" s="3"/>
      <c r="C2336" s="3"/>
      <c r="D2336" s="3"/>
      <c r="E2336" s="3"/>
      <c r="F2336" s="2">
        <f>IFERROR(__xludf.DUMMYFUNCTION("""COMPUTED_VALUE"""),31.05)</f>
        <v>31.05</v>
      </c>
      <c r="G2336" s="2">
        <f t="shared" si="2"/>
        <v>31</v>
      </c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</row>
    <row r="2337">
      <c r="B2337" s="3"/>
      <c r="C2337" s="3"/>
      <c r="D2337" s="3"/>
      <c r="E2337" s="3"/>
      <c r="F2337" s="2">
        <f>IFERROR(__xludf.DUMMYFUNCTION("""COMPUTED_VALUE"""),67.69999999999999)</f>
        <v>67.7</v>
      </c>
      <c r="G2337" s="2">
        <f t="shared" si="2"/>
        <v>68</v>
      </c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>
      <c r="B2338" s="3"/>
      <c r="C2338" s="3"/>
      <c r="D2338" s="3"/>
      <c r="E2338" s="3"/>
      <c r="F2338" s="2">
        <f>IFERROR(__xludf.DUMMYFUNCTION("""COMPUTED_VALUE"""),77.25)</f>
        <v>77.25</v>
      </c>
      <c r="G2338" s="2">
        <f t="shared" si="2"/>
        <v>77</v>
      </c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>
      <c r="B2339" s="3"/>
      <c r="C2339" s="3"/>
      <c r="D2339" s="3"/>
      <c r="E2339" s="3"/>
      <c r="F2339" s="2">
        <f>IFERROR(__xludf.DUMMYFUNCTION("""COMPUTED_VALUE"""),67.69999999999999)</f>
        <v>67.7</v>
      </c>
      <c r="G2339" s="2">
        <f t="shared" si="2"/>
        <v>68</v>
      </c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</row>
    <row r="2340">
      <c r="B2340" s="3"/>
      <c r="C2340" s="3"/>
      <c r="D2340" s="3"/>
      <c r="E2340" s="3"/>
      <c r="F2340" s="2">
        <f>IFERROR(__xludf.DUMMYFUNCTION("""COMPUTED_VALUE"""),31.05)</f>
        <v>31.05</v>
      </c>
      <c r="G2340" s="2">
        <f t="shared" si="2"/>
        <v>31</v>
      </c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>
      <c r="B2341" s="3"/>
      <c r="C2341" s="3"/>
      <c r="D2341" s="3"/>
      <c r="E2341" s="3"/>
      <c r="F2341" s="2">
        <f>IFERROR(__xludf.DUMMYFUNCTION("""COMPUTED_VALUE"""),32.7)</f>
        <v>32.7</v>
      </c>
      <c r="G2341" s="2">
        <f t="shared" si="2"/>
        <v>33</v>
      </c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>
      <c r="B2342" s="3"/>
      <c r="C2342" s="3"/>
      <c r="D2342" s="3"/>
      <c r="E2342" s="3"/>
      <c r="F2342" s="2">
        <f>IFERROR(__xludf.DUMMYFUNCTION("""COMPUTED_VALUE"""),32.7)</f>
        <v>32.7</v>
      </c>
      <c r="G2342" s="2">
        <f t="shared" si="2"/>
        <v>33</v>
      </c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>
      <c r="B2343" s="3"/>
      <c r="C2343" s="3"/>
      <c r="D2343" s="3"/>
      <c r="E2343" s="3"/>
      <c r="F2343" s="2">
        <f>IFERROR(__xludf.DUMMYFUNCTION("""COMPUTED_VALUE"""),31.25)</f>
        <v>31.25</v>
      </c>
      <c r="G2343" s="2">
        <f t="shared" si="2"/>
        <v>31</v>
      </c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>
      <c r="B2344" s="3"/>
      <c r="C2344" s="3"/>
      <c r="D2344" s="3"/>
      <c r="E2344" s="3"/>
      <c r="F2344" s="2">
        <f>IFERROR(__xludf.DUMMYFUNCTION("""COMPUTED_VALUE"""),56.150000000000006)</f>
        <v>56.15</v>
      </c>
      <c r="G2344" s="2">
        <f t="shared" si="2"/>
        <v>56</v>
      </c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>
      <c r="B2345" s="3"/>
      <c r="C2345" s="3"/>
      <c r="D2345" s="3"/>
      <c r="E2345" s="3"/>
      <c r="F2345" s="2">
        <f>IFERROR(__xludf.DUMMYFUNCTION("""COMPUTED_VALUE"""),142.79999999999998)</f>
        <v>142.8</v>
      </c>
      <c r="G2345" s="2">
        <f t="shared" si="2"/>
        <v>143</v>
      </c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>
      <c r="B2346" s="3"/>
      <c r="C2346" s="3"/>
      <c r="D2346" s="3"/>
      <c r="E2346" s="3"/>
      <c r="F2346" s="2">
        <f>IFERROR(__xludf.DUMMYFUNCTION("""COMPUTED_VALUE"""),81.05000000000001)</f>
        <v>81.05</v>
      </c>
      <c r="G2346" s="2">
        <f t="shared" si="2"/>
        <v>81</v>
      </c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>
      <c r="B2347" s="3"/>
      <c r="C2347" s="3"/>
      <c r="D2347" s="3"/>
      <c r="E2347" s="3"/>
      <c r="F2347" s="2">
        <f>IFERROR(__xludf.DUMMYFUNCTION("""COMPUTED_VALUE"""),96.15)</f>
        <v>96.15</v>
      </c>
      <c r="G2347" s="2">
        <f t="shared" si="2"/>
        <v>96</v>
      </c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>
      <c r="B2348" s="3"/>
      <c r="C2348" s="3"/>
      <c r="D2348" s="3"/>
      <c r="E2348" s="3"/>
      <c r="F2348" s="2">
        <f>IFERROR(__xludf.DUMMYFUNCTION("""COMPUTED_VALUE"""),81.05000000000001)</f>
        <v>81.05</v>
      </c>
      <c r="G2348" s="2">
        <f t="shared" si="2"/>
        <v>81</v>
      </c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>
      <c r="B2349" s="3"/>
      <c r="C2349" s="3"/>
      <c r="D2349" s="3"/>
      <c r="E2349" s="3"/>
      <c r="F2349" s="2">
        <f>IFERROR(__xludf.DUMMYFUNCTION("""COMPUTED_VALUE"""),57.699999999999996)</f>
        <v>57.7</v>
      </c>
      <c r="G2349" s="2">
        <f t="shared" si="2"/>
        <v>58</v>
      </c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>
      <c r="B2350" s="3"/>
      <c r="C2350" s="3"/>
      <c r="D2350" s="3"/>
      <c r="E2350" s="3"/>
      <c r="F2350" s="2">
        <f>IFERROR(__xludf.DUMMYFUNCTION("""COMPUTED_VALUE"""),61.2)</f>
        <v>61.2</v>
      </c>
      <c r="G2350" s="2">
        <f t="shared" si="2"/>
        <v>61</v>
      </c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>
      <c r="B2351" s="3"/>
      <c r="C2351" s="3"/>
      <c r="D2351" s="3"/>
      <c r="E2351" s="3"/>
      <c r="F2351" s="2">
        <f>IFERROR(__xludf.DUMMYFUNCTION("""COMPUTED_VALUE"""),81.05000000000001)</f>
        <v>81.05</v>
      </c>
      <c r="G2351" s="2">
        <f t="shared" si="2"/>
        <v>81</v>
      </c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>
      <c r="B2352" s="3"/>
      <c r="C2352" s="3"/>
      <c r="D2352" s="3"/>
      <c r="E2352" s="3"/>
      <c r="F2352" s="2">
        <f>IFERROR(__xludf.DUMMYFUNCTION("""COMPUTED_VALUE"""),31.05)</f>
        <v>31.05</v>
      </c>
      <c r="G2352" s="2">
        <f t="shared" si="2"/>
        <v>31</v>
      </c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>
      <c r="B2353" s="3"/>
      <c r="C2353" s="3"/>
      <c r="D2353" s="3"/>
      <c r="E2353" s="3"/>
      <c r="F2353" s="2">
        <f>IFERROR(__xludf.DUMMYFUNCTION("""COMPUTED_VALUE"""),31.05)</f>
        <v>31.05</v>
      </c>
      <c r="G2353" s="2">
        <f t="shared" si="2"/>
        <v>31</v>
      </c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>
      <c r="B2354" s="3"/>
      <c r="C2354" s="3"/>
      <c r="D2354" s="3"/>
      <c r="E2354" s="3"/>
      <c r="F2354" s="2">
        <f>IFERROR(__xludf.DUMMYFUNCTION("""COMPUTED_VALUE"""),47.699999999999996)</f>
        <v>47.7</v>
      </c>
      <c r="G2354" s="2">
        <f t="shared" si="2"/>
        <v>48</v>
      </c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>
      <c r="B2355" s="3"/>
      <c r="C2355" s="3"/>
      <c r="D2355" s="3"/>
      <c r="E2355" s="3"/>
      <c r="F2355" s="2">
        <f>IFERROR(__xludf.DUMMYFUNCTION("""COMPUTED_VALUE"""),86.15)</f>
        <v>86.15</v>
      </c>
      <c r="G2355" s="2">
        <f t="shared" si="2"/>
        <v>86</v>
      </c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</row>
    <row r="2356">
      <c r="B2356" s="3"/>
      <c r="C2356" s="3"/>
      <c r="D2356" s="3"/>
      <c r="E2356" s="3"/>
      <c r="F2356" s="2">
        <f>IFERROR(__xludf.DUMMYFUNCTION("""COMPUTED_VALUE"""),32.7)</f>
        <v>32.7</v>
      </c>
      <c r="G2356" s="2">
        <f t="shared" si="2"/>
        <v>33</v>
      </c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>
      <c r="B2357" s="3"/>
      <c r="C2357" s="3"/>
      <c r="D2357" s="3"/>
      <c r="E2357" s="3"/>
      <c r="F2357" s="2">
        <f>IFERROR(__xludf.DUMMYFUNCTION("""COMPUTED_VALUE"""),142.79999999999998)</f>
        <v>142.8</v>
      </c>
      <c r="G2357" s="2">
        <f t="shared" si="2"/>
        <v>143</v>
      </c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>
      <c r="B2358" s="3"/>
      <c r="C2358" s="3"/>
      <c r="D2358" s="3"/>
      <c r="E2358" s="3"/>
      <c r="F2358" s="2">
        <f>IFERROR(__xludf.DUMMYFUNCTION("""COMPUTED_VALUE"""),26.200000000000003)</f>
        <v>26.2</v>
      </c>
      <c r="G2358" s="2">
        <f t="shared" si="2"/>
        <v>26</v>
      </c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>
      <c r="B2359" s="3"/>
      <c r="C2359" s="3"/>
      <c r="D2359" s="3"/>
      <c r="E2359" s="3"/>
      <c r="F2359" s="2">
        <f>IFERROR(__xludf.DUMMYFUNCTION("""COMPUTED_VALUE"""),18.25)</f>
        <v>18.25</v>
      </c>
      <c r="G2359" s="2">
        <f t="shared" si="2"/>
        <v>18</v>
      </c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>
      <c r="B2360" s="3"/>
      <c r="C2360" s="3"/>
      <c r="D2360" s="3"/>
      <c r="E2360" s="3"/>
      <c r="F2360" s="2">
        <f>IFERROR(__xludf.DUMMYFUNCTION("""COMPUTED_VALUE"""),71.25)</f>
        <v>71.25</v>
      </c>
      <c r="G2360" s="2">
        <f t="shared" si="2"/>
        <v>71</v>
      </c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>
      <c r="B2361" s="3"/>
      <c r="C2361" s="3"/>
      <c r="D2361" s="3"/>
      <c r="E2361" s="3"/>
      <c r="F2361" s="2">
        <f>IFERROR(__xludf.DUMMYFUNCTION("""COMPUTED_VALUE"""),61.2)</f>
        <v>61.2</v>
      </c>
      <c r="G2361" s="2">
        <f t="shared" si="2"/>
        <v>61</v>
      </c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>
      <c r="B2362" s="3"/>
      <c r="C2362" s="3"/>
      <c r="D2362" s="3"/>
      <c r="E2362" s="3"/>
      <c r="F2362" s="2">
        <f>IFERROR(__xludf.DUMMYFUNCTION("""COMPUTED_VALUE"""),31.25)</f>
        <v>31.25</v>
      </c>
      <c r="G2362" s="2">
        <f t="shared" si="2"/>
        <v>31</v>
      </c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>
      <c r="B2363" s="3"/>
      <c r="C2363" s="3"/>
      <c r="D2363" s="3"/>
      <c r="E2363" s="3"/>
      <c r="F2363" s="2">
        <f>IFERROR(__xludf.DUMMYFUNCTION("""COMPUTED_VALUE"""),47.699999999999996)</f>
        <v>47.7</v>
      </c>
      <c r="G2363" s="2">
        <f t="shared" si="2"/>
        <v>48</v>
      </c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>
      <c r="B2364" s="3"/>
      <c r="C2364" s="3"/>
      <c r="D2364" s="3"/>
      <c r="E2364" s="3"/>
      <c r="F2364" s="2">
        <f>IFERROR(__xludf.DUMMYFUNCTION("""COMPUTED_VALUE"""),32.7)</f>
        <v>32.7</v>
      </c>
      <c r="G2364" s="2">
        <f t="shared" si="2"/>
        <v>33</v>
      </c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</row>
    <row r="2365">
      <c r="B2365" s="3"/>
      <c r="C2365" s="3"/>
      <c r="D2365" s="3"/>
      <c r="E2365" s="3"/>
      <c r="F2365" s="2">
        <f>IFERROR(__xludf.DUMMYFUNCTION("""COMPUTED_VALUE"""),16.25)</f>
        <v>16.25</v>
      </c>
      <c r="G2365" s="2">
        <f t="shared" si="2"/>
        <v>16</v>
      </c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>
      <c r="B2366" s="3"/>
      <c r="C2366" s="3"/>
      <c r="D2366" s="3"/>
      <c r="E2366" s="3"/>
      <c r="F2366" s="2">
        <f>IFERROR(__xludf.DUMMYFUNCTION("""COMPUTED_VALUE"""),18.25)</f>
        <v>18.25</v>
      </c>
      <c r="G2366" s="2">
        <f t="shared" si="2"/>
        <v>18</v>
      </c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>
      <c r="B2367" s="3"/>
      <c r="C2367" s="3"/>
      <c r="D2367" s="3"/>
      <c r="E2367" s="3"/>
      <c r="F2367" s="2">
        <f>IFERROR(__xludf.DUMMYFUNCTION("""COMPUTED_VALUE"""),71.25)</f>
        <v>71.25</v>
      </c>
      <c r="G2367" s="2">
        <f t="shared" si="2"/>
        <v>71</v>
      </c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>
      <c r="B2368" s="3"/>
      <c r="C2368" s="3"/>
      <c r="D2368" s="3"/>
      <c r="E2368" s="3"/>
      <c r="F2368" s="2">
        <f>IFERROR(__xludf.DUMMYFUNCTION("""COMPUTED_VALUE"""),32.7)</f>
        <v>32.7</v>
      </c>
      <c r="G2368" s="2">
        <f t="shared" si="2"/>
        <v>33</v>
      </c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>
      <c r="B2369" s="3"/>
      <c r="C2369" s="3"/>
      <c r="D2369" s="3"/>
      <c r="E2369" s="3"/>
      <c r="F2369" s="2">
        <f>IFERROR(__xludf.DUMMYFUNCTION("""COMPUTED_VALUE"""),96.15)</f>
        <v>96.15</v>
      </c>
      <c r="G2369" s="2">
        <f t="shared" si="2"/>
        <v>96</v>
      </c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>
      <c r="B2370" s="3"/>
      <c r="C2370" s="3"/>
      <c r="D2370" s="3"/>
      <c r="E2370" s="3"/>
      <c r="F2370" s="2">
        <f>IFERROR(__xludf.DUMMYFUNCTION("""COMPUTED_VALUE"""),26.05)</f>
        <v>26.05</v>
      </c>
      <c r="G2370" s="2">
        <f t="shared" si="2"/>
        <v>26</v>
      </c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>
      <c r="B2371" s="3"/>
      <c r="C2371" s="3"/>
      <c r="D2371" s="3"/>
      <c r="E2371" s="3"/>
      <c r="F2371" s="2">
        <f>IFERROR(__xludf.DUMMYFUNCTION("""COMPUTED_VALUE"""),86.15)</f>
        <v>86.15</v>
      </c>
      <c r="G2371" s="2">
        <f t="shared" si="2"/>
        <v>86</v>
      </c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>
      <c r="B2372" s="3"/>
      <c r="C2372" s="3"/>
      <c r="D2372" s="3"/>
      <c r="E2372" s="3"/>
      <c r="F2372" s="2">
        <f>IFERROR(__xludf.DUMMYFUNCTION("""COMPUTED_VALUE"""),71.25)</f>
        <v>71.25</v>
      </c>
      <c r="G2372" s="2">
        <f t="shared" si="2"/>
        <v>71</v>
      </c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>
      <c r="B2373" s="3"/>
      <c r="C2373" s="3"/>
      <c r="D2373" s="3"/>
      <c r="E2373" s="3"/>
      <c r="F2373" s="2">
        <f>IFERROR(__xludf.DUMMYFUNCTION("""COMPUTED_VALUE"""),71.25)</f>
        <v>71.25</v>
      </c>
      <c r="G2373" s="2">
        <f t="shared" si="2"/>
        <v>71</v>
      </c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>
      <c r="B2374" s="3"/>
      <c r="C2374" s="3"/>
      <c r="D2374" s="3"/>
      <c r="E2374" s="3"/>
      <c r="F2374" s="2">
        <f>IFERROR(__xludf.DUMMYFUNCTION("""COMPUTED_VALUE"""),92.8)</f>
        <v>92.8</v>
      </c>
      <c r="G2374" s="2">
        <f t="shared" si="2"/>
        <v>93</v>
      </c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>
      <c r="B2375" s="3"/>
      <c r="C2375" s="3"/>
      <c r="D2375" s="3"/>
      <c r="E2375" s="3"/>
      <c r="F2375" s="2">
        <f>IFERROR(__xludf.DUMMYFUNCTION("""COMPUTED_VALUE"""),16.25)</f>
        <v>16.25</v>
      </c>
      <c r="G2375" s="2">
        <f t="shared" si="2"/>
        <v>16</v>
      </c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>
      <c r="B2376" s="3"/>
      <c r="C2376" s="3"/>
      <c r="D2376" s="3"/>
      <c r="E2376" s="3"/>
      <c r="F2376" s="2">
        <f>IFERROR(__xludf.DUMMYFUNCTION("""COMPUTED_VALUE"""),142.79999999999998)</f>
        <v>142.8</v>
      </c>
      <c r="G2376" s="2">
        <f t="shared" si="2"/>
        <v>143</v>
      </c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>
      <c r="B2377" s="3"/>
      <c r="C2377" s="3"/>
      <c r="D2377" s="3"/>
      <c r="E2377" s="3"/>
      <c r="F2377" s="2">
        <f>IFERROR(__xludf.DUMMYFUNCTION("""COMPUTED_VALUE"""),31.05)</f>
        <v>31.05</v>
      </c>
      <c r="G2377" s="2">
        <f t="shared" si="2"/>
        <v>31</v>
      </c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>
      <c r="B2378" s="3"/>
      <c r="C2378" s="3"/>
      <c r="D2378" s="3"/>
      <c r="E2378" s="3"/>
      <c r="F2378" s="2">
        <f>IFERROR(__xludf.DUMMYFUNCTION("""COMPUTED_VALUE"""),31.05)</f>
        <v>31.05</v>
      </c>
      <c r="G2378" s="2">
        <f t="shared" si="2"/>
        <v>31</v>
      </c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>
      <c r="B2379" s="3"/>
      <c r="C2379" s="3"/>
      <c r="D2379" s="3"/>
      <c r="E2379" s="3"/>
      <c r="F2379" s="2">
        <f>IFERROR(__xludf.DUMMYFUNCTION("""COMPUTED_VALUE"""),142.79999999999998)</f>
        <v>142.8</v>
      </c>
      <c r="G2379" s="2">
        <f t="shared" si="2"/>
        <v>143</v>
      </c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>
      <c r="B2380" s="3"/>
      <c r="C2380" s="3"/>
      <c r="D2380" s="3"/>
      <c r="E2380" s="3"/>
      <c r="F2380" s="2">
        <f>IFERROR(__xludf.DUMMYFUNCTION("""COMPUTED_VALUE"""),41.150000000000006)</f>
        <v>41.15</v>
      </c>
      <c r="G2380" s="2">
        <f t="shared" si="2"/>
        <v>41</v>
      </c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>
      <c r="B2381" s="3"/>
      <c r="C2381" s="3"/>
      <c r="D2381" s="3"/>
      <c r="E2381" s="3"/>
      <c r="F2381" s="2">
        <f>IFERROR(__xludf.DUMMYFUNCTION("""COMPUTED_VALUE"""),47.25)</f>
        <v>47.25</v>
      </c>
      <c r="G2381" s="2">
        <f t="shared" si="2"/>
        <v>47</v>
      </c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>
      <c r="B2382" s="3"/>
      <c r="C2382" s="3"/>
      <c r="D2382" s="3"/>
      <c r="E2382" s="3"/>
      <c r="F2382" s="2">
        <f>IFERROR(__xludf.DUMMYFUNCTION("""COMPUTED_VALUE"""),21.25)</f>
        <v>21.25</v>
      </c>
      <c r="G2382" s="2">
        <f t="shared" si="2"/>
        <v>21</v>
      </c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>
      <c r="B2383" s="3"/>
      <c r="C2383" s="3"/>
      <c r="D2383" s="3"/>
      <c r="E2383" s="3"/>
      <c r="F2383" s="2">
        <f>IFERROR(__xludf.DUMMYFUNCTION("""COMPUTED_VALUE"""),26.200000000000003)</f>
        <v>26.2</v>
      </c>
      <c r="G2383" s="2">
        <f t="shared" si="2"/>
        <v>26</v>
      </c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>
      <c r="B2384" s="3"/>
      <c r="C2384" s="3"/>
      <c r="D2384" s="3"/>
      <c r="E2384" s="3"/>
      <c r="F2384" s="2">
        <f>IFERROR(__xludf.DUMMYFUNCTION("""COMPUTED_VALUE"""),142.79999999999998)</f>
        <v>142.8</v>
      </c>
      <c r="G2384" s="2">
        <f t="shared" si="2"/>
        <v>143</v>
      </c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>
      <c r="B2385" s="3"/>
      <c r="C2385" s="3"/>
      <c r="D2385" s="3"/>
      <c r="E2385" s="3"/>
      <c r="F2385" s="2">
        <f>IFERROR(__xludf.DUMMYFUNCTION("""COMPUTED_VALUE"""),26.200000000000003)</f>
        <v>26.2</v>
      </c>
      <c r="G2385" s="2">
        <f t="shared" si="2"/>
        <v>26</v>
      </c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>
      <c r="B2386" s="3"/>
      <c r="C2386" s="3"/>
      <c r="D2386" s="3"/>
      <c r="E2386" s="3"/>
      <c r="F2386" s="2">
        <f>IFERROR(__xludf.DUMMYFUNCTION("""COMPUTED_VALUE"""),21.25)</f>
        <v>21.25</v>
      </c>
      <c r="G2386" s="2">
        <f t="shared" si="2"/>
        <v>21</v>
      </c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</row>
    <row r="2387">
      <c r="B2387" s="3"/>
      <c r="C2387" s="3"/>
      <c r="D2387" s="3"/>
      <c r="E2387" s="3"/>
      <c r="F2387" s="2">
        <f>IFERROR(__xludf.DUMMYFUNCTION("""COMPUTED_VALUE"""),32.7)</f>
        <v>32.7</v>
      </c>
      <c r="G2387" s="2">
        <f t="shared" si="2"/>
        <v>33</v>
      </c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>
      <c r="B2388" s="3"/>
      <c r="C2388" s="3"/>
      <c r="D2388" s="3"/>
      <c r="E2388" s="3"/>
      <c r="F2388" s="2">
        <f>IFERROR(__xludf.DUMMYFUNCTION("""COMPUTED_VALUE"""),92.8)</f>
        <v>92.8</v>
      </c>
      <c r="G2388" s="2">
        <f t="shared" si="2"/>
        <v>93</v>
      </c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>
      <c r="B2389" s="3"/>
      <c r="C2389" s="3"/>
      <c r="D2389" s="3"/>
      <c r="E2389" s="3"/>
      <c r="F2389" s="2">
        <f>IFERROR(__xludf.DUMMYFUNCTION("""COMPUTED_VALUE"""),26.05)</f>
        <v>26.05</v>
      </c>
      <c r="G2389" s="2">
        <f t="shared" si="2"/>
        <v>26</v>
      </c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>
      <c r="B2390" s="3"/>
      <c r="C2390" s="3"/>
      <c r="D2390" s="3"/>
      <c r="E2390" s="3"/>
      <c r="F2390" s="2">
        <f>IFERROR(__xludf.DUMMYFUNCTION("""COMPUTED_VALUE"""),16.25)</f>
        <v>16.25</v>
      </c>
      <c r="G2390" s="2">
        <f t="shared" si="2"/>
        <v>16</v>
      </c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>
      <c r="B2391" s="3"/>
      <c r="C2391" s="3"/>
      <c r="D2391" s="3"/>
      <c r="E2391" s="3"/>
      <c r="F2391" s="2">
        <f>IFERROR(__xludf.DUMMYFUNCTION("""COMPUTED_VALUE"""),32.7)</f>
        <v>32.7</v>
      </c>
      <c r="G2391" s="2">
        <f t="shared" si="2"/>
        <v>33</v>
      </c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>
      <c r="B2392" s="3"/>
      <c r="C2392" s="3"/>
      <c r="D2392" s="3"/>
      <c r="E2392" s="3"/>
      <c r="F2392" s="2">
        <f>IFERROR(__xludf.DUMMYFUNCTION("""COMPUTED_VALUE"""),21.25)</f>
        <v>21.25</v>
      </c>
      <c r="G2392" s="2">
        <f t="shared" si="2"/>
        <v>21</v>
      </c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>
      <c r="B2393" s="3"/>
      <c r="C2393" s="3"/>
      <c r="D2393" s="3"/>
      <c r="E2393" s="3"/>
      <c r="F2393" s="2">
        <f>IFERROR(__xludf.DUMMYFUNCTION("""COMPUTED_VALUE"""),71.25)</f>
        <v>71.25</v>
      </c>
      <c r="G2393" s="2">
        <f t="shared" si="2"/>
        <v>71</v>
      </c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>
      <c r="B2394" s="3"/>
      <c r="C2394" s="3"/>
      <c r="D2394" s="3"/>
      <c r="E2394" s="3"/>
      <c r="F2394" s="2">
        <f>IFERROR(__xludf.DUMMYFUNCTION("""COMPUTED_VALUE"""),17.549999999999997)</f>
        <v>17.55</v>
      </c>
      <c r="G2394" s="2">
        <f t="shared" si="2"/>
        <v>18</v>
      </c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>
      <c r="B2395" s="3"/>
      <c r="C2395" s="3"/>
      <c r="D2395" s="3"/>
      <c r="E2395" s="3"/>
      <c r="F2395" s="2">
        <f>IFERROR(__xludf.DUMMYFUNCTION("""COMPUTED_VALUE"""),21.05)</f>
        <v>21.05</v>
      </c>
      <c r="G2395" s="2">
        <f t="shared" si="2"/>
        <v>21</v>
      </c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>
      <c r="B2396" s="3"/>
      <c r="C2396" s="3"/>
      <c r="D2396" s="3"/>
      <c r="E2396" s="3"/>
      <c r="F2396" s="2">
        <f>IFERROR(__xludf.DUMMYFUNCTION("""COMPUTED_VALUE"""),36.25)</f>
        <v>36.25</v>
      </c>
      <c r="G2396" s="2">
        <f t="shared" si="2"/>
        <v>36</v>
      </c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>
      <c r="B2397" s="3"/>
      <c r="C2397" s="3"/>
      <c r="D2397" s="3"/>
      <c r="E2397" s="3"/>
      <c r="F2397" s="2">
        <f>IFERROR(__xludf.DUMMYFUNCTION("""COMPUTED_VALUE"""),47.25)</f>
        <v>47.25</v>
      </c>
      <c r="G2397" s="2">
        <f t="shared" si="2"/>
        <v>47</v>
      </c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>
      <c r="B2398" s="3"/>
      <c r="C2398" s="3"/>
      <c r="D2398" s="3"/>
      <c r="E2398" s="3"/>
      <c r="F2398" s="2">
        <f>IFERROR(__xludf.DUMMYFUNCTION("""COMPUTED_VALUE"""),21.25)</f>
        <v>21.25</v>
      </c>
      <c r="G2398" s="2">
        <f t="shared" si="2"/>
        <v>21</v>
      </c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>
      <c r="B2399" s="3"/>
      <c r="C2399" s="3"/>
      <c r="D2399" s="3"/>
      <c r="E2399" s="3"/>
      <c r="F2399" s="2">
        <f>IFERROR(__xludf.DUMMYFUNCTION("""COMPUTED_VALUE"""),16.25)</f>
        <v>16.25</v>
      </c>
      <c r="G2399" s="2">
        <f t="shared" si="2"/>
        <v>16</v>
      </c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>
      <c r="B2400" s="3"/>
      <c r="C2400" s="3"/>
      <c r="D2400" s="3"/>
      <c r="E2400" s="3"/>
      <c r="F2400" s="2">
        <f>IFERROR(__xludf.DUMMYFUNCTION("""COMPUTED_VALUE"""),26.05)</f>
        <v>26.05</v>
      </c>
      <c r="G2400" s="2">
        <f t="shared" si="2"/>
        <v>26</v>
      </c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>
      <c r="B2401" s="3"/>
      <c r="C2401" s="3"/>
      <c r="D2401" s="3"/>
      <c r="E2401" s="3"/>
      <c r="F2401" s="2">
        <f>IFERROR(__xludf.DUMMYFUNCTION("""COMPUTED_VALUE"""),67.69999999999999)</f>
        <v>67.7</v>
      </c>
      <c r="G2401" s="2">
        <f t="shared" si="2"/>
        <v>68</v>
      </c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>
      <c r="B2402" s="3"/>
      <c r="C2402" s="3"/>
      <c r="D2402" s="3"/>
      <c r="E2402" s="3"/>
      <c r="F2402" s="2">
        <f>IFERROR(__xludf.DUMMYFUNCTION("""COMPUTED_VALUE"""),62.800000000000004)</f>
        <v>62.8</v>
      </c>
      <c r="G2402" s="2">
        <f t="shared" si="2"/>
        <v>63</v>
      </c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>
      <c r="B2403" s="3"/>
      <c r="C2403" s="3"/>
      <c r="D2403" s="3"/>
      <c r="E2403" s="3"/>
      <c r="F2403" s="2">
        <f>IFERROR(__xludf.DUMMYFUNCTION("""COMPUTED_VALUE"""),36.25)</f>
        <v>36.25</v>
      </c>
      <c r="G2403" s="2">
        <f t="shared" si="2"/>
        <v>36</v>
      </c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>
      <c r="B2404" s="3"/>
      <c r="C2404" s="3"/>
      <c r="D2404" s="3"/>
      <c r="E2404" s="3"/>
      <c r="F2404" s="2">
        <f>IFERROR(__xludf.DUMMYFUNCTION("""COMPUTED_VALUE"""),28.25)</f>
        <v>28.25</v>
      </c>
      <c r="G2404" s="2">
        <f t="shared" si="2"/>
        <v>28</v>
      </c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>
      <c r="B2405" s="3"/>
      <c r="C2405" s="3"/>
      <c r="D2405" s="3"/>
      <c r="E2405" s="3"/>
      <c r="F2405" s="2">
        <f>IFERROR(__xludf.DUMMYFUNCTION("""COMPUTED_VALUE"""),17.549999999999997)</f>
        <v>17.55</v>
      </c>
      <c r="G2405" s="2">
        <f t="shared" si="2"/>
        <v>18</v>
      </c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>
      <c r="B2406" s="3"/>
      <c r="C2406" s="3"/>
      <c r="D2406" s="3"/>
      <c r="E2406" s="3"/>
      <c r="F2406" s="2">
        <f>IFERROR(__xludf.DUMMYFUNCTION("""COMPUTED_VALUE"""),21.25)</f>
        <v>21.25</v>
      </c>
      <c r="G2406" s="2">
        <f t="shared" si="2"/>
        <v>21</v>
      </c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>
      <c r="B2407" s="3"/>
      <c r="C2407" s="3"/>
      <c r="D2407" s="3"/>
      <c r="E2407" s="3"/>
      <c r="F2407" s="2">
        <f>IFERROR(__xludf.DUMMYFUNCTION("""COMPUTED_VALUE"""),67.69999999999999)</f>
        <v>67.7</v>
      </c>
      <c r="G2407" s="2">
        <f t="shared" si="2"/>
        <v>68</v>
      </c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>
      <c r="B2408" s="3"/>
      <c r="C2408" s="3"/>
      <c r="D2408" s="3"/>
      <c r="E2408" s="3"/>
      <c r="F2408" s="2">
        <f>IFERROR(__xludf.DUMMYFUNCTION("""COMPUTED_VALUE"""),27.25)</f>
        <v>27.25</v>
      </c>
      <c r="G2408" s="2">
        <f t="shared" si="2"/>
        <v>27</v>
      </c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>
      <c r="B2409" s="3"/>
      <c r="C2409" s="3"/>
      <c r="D2409" s="3"/>
      <c r="E2409" s="3"/>
      <c r="F2409" s="2">
        <f>IFERROR(__xludf.DUMMYFUNCTION("""COMPUTED_VALUE"""),71.25)</f>
        <v>71.25</v>
      </c>
      <c r="G2409" s="2">
        <f t="shared" si="2"/>
        <v>71</v>
      </c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>
      <c r="B2410" s="3"/>
      <c r="C2410" s="3"/>
      <c r="D2410" s="3"/>
      <c r="E2410" s="3"/>
      <c r="F2410" s="2">
        <f>IFERROR(__xludf.DUMMYFUNCTION("""COMPUTED_VALUE"""),77.25)</f>
        <v>77.25</v>
      </c>
      <c r="G2410" s="2">
        <f t="shared" si="2"/>
        <v>77</v>
      </c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>
      <c r="B2411" s="3"/>
      <c r="C2411" s="3"/>
      <c r="D2411" s="3"/>
      <c r="E2411" s="3"/>
      <c r="F2411" s="2">
        <f>IFERROR(__xludf.DUMMYFUNCTION("""COMPUTED_VALUE"""),17.549999999999997)</f>
        <v>17.55</v>
      </c>
      <c r="G2411" s="2">
        <f t="shared" si="2"/>
        <v>18</v>
      </c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>
      <c r="B2412" s="3"/>
      <c r="C2412" s="3"/>
      <c r="D2412" s="3"/>
      <c r="E2412" s="3"/>
      <c r="F2412" s="2">
        <f>IFERROR(__xludf.DUMMYFUNCTION("""COMPUTED_VALUE"""),47.25)</f>
        <v>47.25</v>
      </c>
      <c r="G2412" s="2">
        <f t="shared" si="2"/>
        <v>47</v>
      </c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>
      <c r="B2413" s="3"/>
      <c r="C2413" s="3"/>
      <c r="D2413" s="3"/>
      <c r="E2413" s="3"/>
      <c r="F2413" s="2">
        <f>IFERROR(__xludf.DUMMYFUNCTION("""COMPUTED_VALUE"""),71.25)</f>
        <v>71.25</v>
      </c>
      <c r="G2413" s="2">
        <f t="shared" si="2"/>
        <v>71</v>
      </c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>
      <c r="B2414" s="3"/>
      <c r="C2414" s="3"/>
      <c r="D2414" s="3"/>
      <c r="E2414" s="3"/>
      <c r="F2414" s="2">
        <f>IFERROR(__xludf.DUMMYFUNCTION("""COMPUTED_VALUE"""),57.699999999999996)</f>
        <v>57.7</v>
      </c>
      <c r="G2414" s="2">
        <f t="shared" si="2"/>
        <v>58</v>
      </c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>
      <c r="B2415" s="3"/>
      <c r="C2415" s="3"/>
      <c r="D2415" s="3"/>
      <c r="E2415" s="3"/>
      <c r="F2415" s="2">
        <f>IFERROR(__xludf.DUMMYFUNCTION("""COMPUTED_VALUE"""),21.05)</f>
        <v>21.05</v>
      </c>
      <c r="G2415" s="2">
        <f t="shared" si="2"/>
        <v>21</v>
      </c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</row>
    <row r="2416">
      <c r="B2416" s="3"/>
      <c r="C2416" s="3"/>
      <c r="D2416" s="3"/>
      <c r="E2416" s="3"/>
      <c r="F2416" s="2">
        <f>IFERROR(__xludf.DUMMYFUNCTION("""COMPUTED_VALUE"""),32.7)</f>
        <v>32.7</v>
      </c>
      <c r="G2416" s="2">
        <f t="shared" si="2"/>
        <v>33</v>
      </c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>
      <c r="B2417" s="3"/>
      <c r="C2417" s="3"/>
      <c r="D2417" s="3"/>
      <c r="E2417" s="3"/>
      <c r="F2417" s="2">
        <f>IFERROR(__xludf.DUMMYFUNCTION("""COMPUTED_VALUE"""),16.25)</f>
        <v>16.25</v>
      </c>
      <c r="G2417" s="2">
        <f t="shared" si="2"/>
        <v>16</v>
      </c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>
      <c r="B2418" s="3"/>
      <c r="C2418" s="3"/>
      <c r="D2418" s="3"/>
      <c r="E2418" s="3"/>
      <c r="F2418" s="2">
        <f>IFERROR(__xludf.DUMMYFUNCTION("""COMPUTED_VALUE"""),71.25)</f>
        <v>71.25</v>
      </c>
      <c r="G2418" s="2">
        <f t="shared" si="2"/>
        <v>71</v>
      </c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>
      <c r="B2419" s="3"/>
      <c r="C2419" s="3"/>
      <c r="D2419" s="3"/>
      <c r="E2419" s="3"/>
      <c r="F2419" s="2">
        <f>IFERROR(__xludf.DUMMYFUNCTION("""COMPUTED_VALUE"""),42.699999999999996)</f>
        <v>42.7</v>
      </c>
      <c r="G2419" s="2">
        <f t="shared" si="2"/>
        <v>43</v>
      </c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>
      <c r="B2420" s="3"/>
      <c r="C2420" s="3"/>
      <c r="D2420" s="3"/>
      <c r="E2420" s="3"/>
      <c r="F2420" s="2">
        <f>IFERROR(__xludf.DUMMYFUNCTION("""COMPUTED_VALUE"""),92.8)</f>
        <v>92.8</v>
      </c>
      <c r="G2420" s="2">
        <f t="shared" si="2"/>
        <v>93</v>
      </c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</row>
    <row r="2421">
      <c r="B2421" s="3"/>
      <c r="C2421" s="3"/>
      <c r="D2421" s="3"/>
      <c r="E2421" s="3"/>
      <c r="F2421" s="2">
        <f>IFERROR(__xludf.DUMMYFUNCTION("""COMPUTED_VALUE"""),41.150000000000006)</f>
        <v>41.15</v>
      </c>
      <c r="G2421" s="2">
        <f t="shared" si="2"/>
        <v>41</v>
      </c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</row>
    <row r="2422">
      <c r="B2422" s="3"/>
      <c r="C2422" s="3"/>
      <c r="D2422" s="3"/>
      <c r="E2422" s="3"/>
      <c r="F2422" s="2">
        <f>IFERROR(__xludf.DUMMYFUNCTION("""COMPUTED_VALUE"""),41.150000000000006)</f>
        <v>41.15</v>
      </c>
      <c r="G2422" s="2">
        <f t="shared" si="2"/>
        <v>41</v>
      </c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</row>
    <row r="2423">
      <c r="B2423" s="3"/>
      <c r="C2423" s="3"/>
      <c r="D2423" s="3"/>
      <c r="E2423" s="3"/>
      <c r="F2423" s="2">
        <f>IFERROR(__xludf.DUMMYFUNCTION("""COMPUTED_VALUE"""),18.25)</f>
        <v>18.25</v>
      </c>
      <c r="G2423" s="2">
        <f t="shared" si="2"/>
        <v>18</v>
      </c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</row>
    <row r="2424">
      <c r="B2424" s="3"/>
      <c r="C2424" s="3"/>
      <c r="D2424" s="3"/>
      <c r="E2424" s="3"/>
      <c r="F2424" s="2">
        <f>IFERROR(__xludf.DUMMYFUNCTION("""COMPUTED_VALUE"""),21.05)</f>
        <v>21.05</v>
      </c>
      <c r="G2424" s="2">
        <f t="shared" si="2"/>
        <v>21</v>
      </c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</row>
    <row r="2425">
      <c r="B2425" s="3"/>
      <c r="C2425" s="3"/>
      <c r="D2425" s="3"/>
      <c r="E2425" s="3"/>
      <c r="F2425" s="2">
        <f>IFERROR(__xludf.DUMMYFUNCTION("""COMPUTED_VALUE"""),40.599999999999994)</f>
        <v>40.6</v>
      </c>
      <c r="G2425" s="2">
        <f t="shared" si="2"/>
        <v>41</v>
      </c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</row>
    <row r="2426">
      <c r="B2426" s="3"/>
      <c r="C2426" s="3"/>
      <c r="D2426" s="3"/>
      <c r="E2426" s="3"/>
      <c r="F2426" s="2">
        <f>IFERROR(__xludf.DUMMYFUNCTION("""COMPUTED_VALUE"""),16.25)</f>
        <v>16.25</v>
      </c>
      <c r="G2426" s="2">
        <f t="shared" si="2"/>
        <v>16</v>
      </c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</row>
    <row r="2427">
      <c r="B2427" s="3"/>
      <c r="C2427" s="3"/>
      <c r="D2427" s="3"/>
      <c r="E2427" s="3"/>
      <c r="F2427" s="2">
        <f>IFERROR(__xludf.DUMMYFUNCTION("""COMPUTED_VALUE"""),56.25)</f>
        <v>56.25</v>
      </c>
      <c r="G2427" s="2">
        <f t="shared" si="2"/>
        <v>56</v>
      </c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</row>
    <row r="2428">
      <c r="B2428" s="3"/>
      <c r="C2428" s="3"/>
      <c r="D2428" s="3"/>
      <c r="E2428" s="3"/>
      <c r="F2428" s="2">
        <f>IFERROR(__xludf.DUMMYFUNCTION("""COMPUTED_VALUE"""),16.25)</f>
        <v>16.25</v>
      </c>
      <c r="G2428" s="2">
        <f t="shared" si="2"/>
        <v>16</v>
      </c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</row>
    <row r="2429">
      <c r="B2429" s="3"/>
      <c r="C2429" s="3"/>
      <c r="D2429" s="3"/>
      <c r="E2429" s="3"/>
      <c r="F2429" s="2">
        <f>IFERROR(__xludf.DUMMYFUNCTION("""COMPUTED_VALUE"""),67.69999999999999)</f>
        <v>67.7</v>
      </c>
      <c r="G2429" s="2">
        <f t="shared" si="2"/>
        <v>68</v>
      </c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</row>
    <row r="2430">
      <c r="B2430" s="3"/>
      <c r="C2430" s="3"/>
      <c r="D2430" s="3"/>
      <c r="E2430" s="3"/>
      <c r="F2430" s="2">
        <f>IFERROR(__xludf.DUMMYFUNCTION("""COMPUTED_VALUE"""),21.25)</f>
        <v>21.25</v>
      </c>
      <c r="G2430" s="2">
        <f t="shared" si="2"/>
        <v>21</v>
      </c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</row>
    <row r="2431">
      <c r="B2431" s="3"/>
      <c r="C2431" s="3"/>
      <c r="D2431" s="3"/>
      <c r="E2431" s="3"/>
      <c r="F2431" s="2">
        <f>IFERROR(__xludf.DUMMYFUNCTION("""COMPUTED_VALUE"""),31.05)</f>
        <v>31.05</v>
      </c>
      <c r="G2431" s="2">
        <f t="shared" si="2"/>
        <v>31</v>
      </c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</row>
    <row r="2432">
      <c r="B2432" s="3"/>
      <c r="C2432" s="3"/>
      <c r="D2432" s="3"/>
      <c r="E2432" s="3"/>
      <c r="F2432" s="2">
        <f>IFERROR(__xludf.DUMMYFUNCTION("""COMPUTED_VALUE"""),26.05)</f>
        <v>26.05</v>
      </c>
      <c r="G2432" s="2">
        <f t="shared" si="2"/>
        <v>26</v>
      </c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</row>
    <row r="2433">
      <c r="B2433" s="3"/>
      <c r="C2433" s="3"/>
      <c r="D2433" s="3"/>
      <c r="E2433" s="3"/>
      <c r="F2433" s="2">
        <f>IFERROR(__xludf.DUMMYFUNCTION("""COMPUTED_VALUE"""),76.15)</f>
        <v>76.15</v>
      </c>
      <c r="G2433" s="2">
        <f t="shared" si="2"/>
        <v>76</v>
      </c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</row>
    <row r="2434">
      <c r="B2434" s="3"/>
      <c r="C2434" s="3"/>
      <c r="D2434" s="3"/>
      <c r="E2434" s="3"/>
      <c r="F2434" s="2">
        <f>IFERROR(__xludf.DUMMYFUNCTION("""COMPUTED_VALUE"""),16.25)</f>
        <v>16.25</v>
      </c>
      <c r="G2434" s="2">
        <f t="shared" si="2"/>
        <v>16</v>
      </c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</row>
    <row r="2435">
      <c r="B2435" s="3"/>
      <c r="C2435" s="3"/>
      <c r="D2435" s="3"/>
      <c r="E2435" s="3"/>
      <c r="F2435" s="2">
        <f>IFERROR(__xludf.DUMMYFUNCTION("""COMPUTED_VALUE"""),31.05)</f>
        <v>31.05</v>
      </c>
      <c r="G2435" s="2">
        <f t="shared" si="2"/>
        <v>31</v>
      </c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</row>
    <row r="2436">
      <c r="B2436" s="3"/>
      <c r="C2436" s="3"/>
      <c r="D2436" s="3"/>
      <c r="E2436" s="3"/>
      <c r="F2436" s="2">
        <f>IFERROR(__xludf.DUMMYFUNCTION("""COMPUTED_VALUE"""),16.25)</f>
        <v>16.25</v>
      </c>
      <c r="G2436" s="2">
        <f t="shared" si="2"/>
        <v>16</v>
      </c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</row>
    <row r="2437">
      <c r="B2437" s="3"/>
      <c r="C2437" s="3"/>
      <c r="D2437" s="3"/>
      <c r="E2437" s="3"/>
      <c r="F2437" s="2">
        <f>IFERROR(__xludf.DUMMYFUNCTION("""COMPUTED_VALUE"""),31.05)</f>
        <v>31.05</v>
      </c>
      <c r="G2437" s="2">
        <f t="shared" si="2"/>
        <v>31</v>
      </c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</row>
    <row r="2438">
      <c r="B2438" s="3"/>
      <c r="C2438" s="3"/>
      <c r="D2438" s="3"/>
      <c r="E2438" s="3"/>
      <c r="F2438" s="2">
        <f>IFERROR(__xludf.DUMMYFUNCTION("""COMPUTED_VALUE"""),67.69999999999999)</f>
        <v>67.7</v>
      </c>
      <c r="G2438" s="2">
        <f t="shared" si="2"/>
        <v>68</v>
      </c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</row>
    <row r="2439">
      <c r="B2439" s="3"/>
      <c r="C2439" s="3"/>
      <c r="D2439" s="3"/>
      <c r="E2439" s="3"/>
      <c r="F2439" s="2">
        <f>IFERROR(__xludf.DUMMYFUNCTION("""COMPUTED_VALUE"""),32.7)</f>
        <v>32.7</v>
      </c>
      <c r="G2439" s="2">
        <f t="shared" si="2"/>
        <v>33</v>
      </c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</row>
    <row r="2440">
      <c r="B2440" s="3"/>
      <c r="C2440" s="3"/>
      <c r="D2440" s="3"/>
      <c r="E2440" s="3"/>
      <c r="F2440" s="2">
        <f>IFERROR(__xludf.DUMMYFUNCTION("""COMPUTED_VALUE"""),81.05000000000001)</f>
        <v>81.05</v>
      </c>
      <c r="G2440" s="2">
        <f t="shared" si="2"/>
        <v>81</v>
      </c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</row>
    <row r="2441">
      <c r="B2441" s="3"/>
      <c r="C2441" s="3"/>
      <c r="D2441" s="3"/>
      <c r="E2441" s="3"/>
      <c r="F2441" s="2">
        <f>IFERROR(__xludf.DUMMYFUNCTION("""COMPUTED_VALUE"""),21.25)</f>
        <v>21.25</v>
      </c>
      <c r="G2441" s="2">
        <f t="shared" si="2"/>
        <v>21</v>
      </c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</row>
    <row r="2442">
      <c r="B2442" s="3"/>
      <c r="C2442" s="3"/>
      <c r="D2442" s="3"/>
      <c r="E2442" s="3"/>
      <c r="F2442" s="2">
        <f>IFERROR(__xludf.DUMMYFUNCTION("""COMPUTED_VALUE"""),40.599999999999994)</f>
        <v>40.6</v>
      </c>
      <c r="G2442" s="2">
        <f t="shared" si="2"/>
        <v>41</v>
      </c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</row>
    <row r="2443">
      <c r="B2443" s="3"/>
      <c r="C2443" s="3"/>
      <c r="D2443" s="3"/>
      <c r="E2443" s="3"/>
      <c r="F2443" s="2">
        <f>IFERROR(__xludf.DUMMYFUNCTION("""COMPUTED_VALUE"""),47.699999999999996)</f>
        <v>47.7</v>
      </c>
      <c r="G2443" s="2">
        <f t="shared" si="2"/>
        <v>48</v>
      </c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</row>
    <row r="2444">
      <c r="B2444" s="3"/>
      <c r="C2444" s="3"/>
      <c r="D2444" s="3"/>
      <c r="E2444" s="3"/>
      <c r="F2444" s="2">
        <f>IFERROR(__xludf.DUMMYFUNCTION("""COMPUTED_VALUE"""),67.69999999999999)</f>
        <v>67.7</v>
      </c>
      <c r="G2444" s="2">
        <f t="shared" si="2"/>
        <v>68</v>
      </c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</row>
    <row r="2445">
      <c r="B2445" s="3"/>
      <c r="C2445" s="3"/>
      <c r="D2445" s="3"/>
      <c r="E2445" s="3"/>
      <c r="F2445" s="2">
        <f>IFERROR(__xludf.DUMMYFUNCTION("""COMPUTED_VALUE"""),77.25)</f>
        <v>77.25</v>
      </c>
      <c r="G2445" s="2">
        <f t="shared" si="2"/>
        <v>77</v>
      </c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</row>
    <row r="2446">
      <c r="B2446" s="3"/>
      <c r="C2446" s="3"/>
      <c r="D2446" s="3"/>
      <c r="E2446" s="3"/>
      <c r="F2446" s="2">
        <f>IFERROR(__xludf.DUMMYFUNCTION("""COMPUTED_VALUE"""),31.05)</f>
        <v>31.05</v>
      </c>
      <c r="G2446" s="2">
        <f t="shared" si="2"/>
        <v>31</v>
      </c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</row>
    <row r="2447">
      <c r="B2447" s="3"/>
      <c r="C2447" s="3"/>
      <c r="D2447" s="3"/>
      <c r="E2447" s="3"/>
      <c r="F2447" s="2">
        <f>IFERROR(__xludf.DUMMYFUNCTION("""COMPUTED_VALUE"""),61.8)</f>
        <v>61.8</v>
      </c>
      <c r="G2447" s="2">
        <f t="shared" si="2"/>
        <v>62</v>
      </c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</row>
    <row r="2448">
      <c r="B2448" s="3"/>
      <c r="C2448" s="3"/>
      <c r="D2448" s="3"/>
      <c r="E2448" s="3"/>
      <c r="F2448" s="2">
        <f>IFERROR(__xludf.DUMMYFUNCTION("""COMPUTED_VALUE"""),47.699999999999996)</f>
        <v>47.7</v>
      </c>
      <c r="G2448" s="2">
        <f t="shared" si="2"/>
        <v>48</v>
      </c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</row>
    <row r="2449">
      <c r="B2449" s="3"/>
      <c r="C2449" s="3"/>
      <c r="D2449" s="3"/>
      <c r="E2449" s="3"/>
      <c r="F2449" s="2">
        <f>IFERROR(__xludf.DUMMYFUNCTION("""COMPUTED_VALUE"""),27.25)</f>
        <v>27.25</v>
      </c>
      <c r="G2449" s="2">
        <f t="shared" si="2"/>
        <v>27</v>
      </c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</row>
    <row r="2450">
      <c r="B2450" s="3"/>
      <c r="C2450" s="3"/>
      <c r="D2450" s="3"/>
      <c r="E2450" s="3"/>
      <c r="F2450" s="2">
        <f>IFERROR(__xludf.DUMMYFUNCTION("""COMPUTED_VALUE"""),56.150000000000006)</f>
        <v>56.15</v>
      </c>
      <c r="G2450" s="2">
        <f t="shared" si="2"/>
        <v>56</v>
      </c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</row>
    <row r="2451">
      <c r="B2451" s="3"/>
      <c r="C2451" s="3"/>
      <c r="D2451" s="3"/>
      <c r="E2451" s="3"/>
      <c r="F2451" s="2">
        <f>IFERROR(__xludf.DUMMYFUNCTION("""COMPUTED_VALUE"""),57.699999999999996)</f>
        <v>57.7</v>
      </c>
      <c r="G2451" s="2">
        <f t="shared" si="2"/>
        <v>58</v>
      </c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</row>
    <row r="2452">
      <c r="B2452" s="3"/>
      <c r="C2452" s="3"/>
      <c r="D2452" s="3"/>
      <c r="E2452" s="3"/>
      <c r="F2452" s="2">
        <f>IFERROR(__xludf.DUMMYFUNCTION("""COMPUTED_VALUE"""),40.599999999999994)</f>
        <v>40.6</v>
      </c>
      <c r="G2452" s="2">
        <f t="shared" si="2"/>
        <v>41</v>
      </c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</row>
    <row r="2453">
      <c r="B2453" s="3"/>
      <c r="C2453" s="3"/>
      <c r="D2453" s="3"/>
      <c r="E2453" s="3"/>
      <c r="F2453" s="2">
        <f>IFERROR(__xludf.DUMMYFUNCTION("""COMPUTED_VALUE"""),28.25)</f>
        <v>28.25</v>
      </c>
      <c r="G2453" s="2">
        <f t="shared" si="2"/>
        <v>28</v>
      </c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</row>
    <row r="2454">
      <c r="B2454" s="3"/>
      <c r="C2454" s="3"/>
      <c r="D2454" s="3"/>
      <c r="E2454" s="3"/>
      <c r="F2454" s="2">
        <f>IFERROR(__xludf.DUMMYFUNCTION("""COMPUTED_VALUE"""),81.05000000000001)</f>
        <v>81.05</v>
      </c>
      <c r="G2454" s="2">
        <f t="shared" si="2"/>
        <v>81</v>
      </c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</row>
    <row r="2455">
      <c r="B2455" s="3"/>
      <c r="C2455" s="3"/>
      <c r="D2455" s="3"/>
      <c r="E2455" s="3"/>
      <c r="F2455" s="2">
        <f>IFERROR(__xludf.DUMMYFUNCTION("""COMPUTED_VALUE"""),81.05000000000001)</f>
        <v>81.05</v>
      </c>
      <c r="G2455" s="2">
        <f t="shared" si="2"/>
        <v>81</v>
      </c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</row>
    <row r="2456">
      <c r="B2456" s="3"/>
      <c r="C2456" s="3"/>
      <c r="D2456" s="3"/>
      <c r="E2456" s="3"/>
      <c r="F2456" s="2">
        <f>IFERROR(__xludf.DUMMYFUNCTION("""COMPUTED_VALUE"""),41.150000000000006)</f>
        <v>41.15</v>
      </c>
      <c r="G2456" s="2">
        <f t="shared" si="2"/>
        <v>41</v>
      </c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</row>
    <row r="2457">
      <c r="B2457" s="3"/>
      <c r="C2457" s="3"/>
      <c r="D2457" s="3"/>
      <c r="E2457" s="3"/>
      <c r="F2457" s="2">
        <f>IFERROR(__xludf.DUMMYFUNCTION("""COMPUTED_VALUE"""),47.699999999999996)</f>
        <v>47.7</v>
      </c>
      <c r="G2457" s="2">
        <f t="shared" si="2"/>
        <v>48</v>
      </c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</row>
    <row r="2458">
      <c r="B2458" s="3"/>
      <c r="C2458" s="3"/>
      <c r="D2458" s="3"/>
      <c r="E2458" s="3"/>
      <c r="F2458" s="2">
        <f>IFERROR(__xludf.DUMMYFUNCTION("""COMPUTED_VALUE"""),21.25)</f>
        <v>21.25</v>
      </c>
      <c r="G2458" s="2">
        <f t="shared" si="2"/>
        <v>21</v>
      </c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</row>
    <row r="2459">
      <c r="B2459" s="3"/>
      <c r="C2459" s="3"/>
      <c r="D2459" s="3"/>
      <c r="E2459" s="3"/>
      <c r="F2459" s="2">
        <f>IFERROR(__xludf.DUMMYFUNCTION("""COMPUTED_VALUE"""),47.25)</f>
        <v>47.25</v>
      </c>
      <c r="G2459" s="2">
        <f t="shared" si="2"/>
        <v>47</v>
      </c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</row>
    <row r="2460">
      <c r="B2460" s="3"/>
      <c r="C2460" s="3"/>
      <c r="D2460" s="3"/>
      <c r="E2460" s="3"/>
      <c r="F2460" s="2">
        <f>IFERROR(__xludf.DUMMYFUNCTION("""COMPUTED_VALUE"""),71.25)</f>
        <v>71.25</v>
      </c>
      <c r="G2460" s="2">
        <f t="shared" si="2"/>
        <v>71</v>
      </c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</row>
    <row r="2461">
      <c r="B2461" s="3"/>
      <c r="C2461" s="3"/>
      <c r="D2461" s="3"/>
      <c r="E2461" s="3"/>
      <c r="F2461" s="2">
        <f>IFERROR(__xludf.DUMMYFUNCTION("""COMPUTED_VALUE"""),31.25)</f>
        <v>31.25</v>
      </c>
      <c r="G2461" s="2">
        <f t="shared" si="2"/>
        <v>31</v>
      </c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</row>
    <row r="2462">
      <c r="B2462" s="3"/>
      <c r="C2462" s="3"/>
      <c r="D2462" s="3"/>
      <c r="E2462" s="3"/>
      <c r="F2462" s="2">
        <f>IFERROR(__xludf.DUMMYFUNCTION("""COMPUTED_VALUE"""),61.8)</f>
        <v>61.8</v>
      </c>
      <c r="G2462" s="2">
        <f t="shared" si="2"/>
        <v>62</v>
      </c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</row>
    <row r="2463">
      <c r="B2463" s="3"/>
      <c r="C2463" s="3"/>
      <c r="D2463" s="3"/>
      <c r="E2463" s="3"/>
      <c r="F2463" s="2">
        <f>IFERROR(__xludf.DUMMYFUNCTION("""COMPUTED_VALUE"""),47.25)</f>
        <v>47.25</v>
      </c>
      <c r="G2463" s="2">
        <f t="shared" si="2"/>
        <v>47</v>
      </c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</row>
    <row r="2464">
      <c r="B2464" s="3"/>
      <c r="C2464" s="3"/>
      <c r="D2464" s="3"/>
      <c r="E2464" s="3"/>
      <c r="F2464" s="2">
        <f>IFERROR(__xludf.DUMMYFUNCTION("""COMPUTED_VALUE"""),42.699999999999996)</f>
        <v>42.7</v>
      </c>
      <c r="G2464" s="2">
        <f t="shared" si="2"/>
        <v>43</v>
      </c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</row>
    <row r="2465">
      <c r="B2465" s="3"/>
      <c r="C2465" s="3"/>
      <c r="D2465" s="3"/>
      <c r="E2465" s="3"/>
      <c r="F2465" s="2">
        <f>IFERROR(__xludf.DUMMYFUNCTION("""COMPUTED_VALUE"""),16.25)</f>
        <v>16.25</v>
      </c>
      <c r="G2465" s="2">
        <f t="shared" si="2"/>
        <v>16</v>
      </c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</row>
    <row r="2466">
      <c r="B2466" s="3"/>
      <c r="C2466" s="3"/>
      <c r="D2466" s="3"/>
      <c r="E2466" s="3"/>
      <c r="F2466" s="2">
        <f>IFERROR(__xludf.DUMMYFUNCTION("""COMPUTED_VALUE"""),61.8)</f>
        <v>61.8</v>
      </c>
      <c r="G2466" s="2">
        <f t="shared" si="2"/>
        <v>62</v>
      </c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</row>
    <row r="2467">
      <c r="B2467" s="3"/>
      <c r="C2467" s="3"/>
      <c r="D2467" s="3"/>
      <c r="E2467" s="3"/>
      <c r="F2467" s="2">
        <f>IFERROR(__xludf.DUMMYFUNCTION("""COMPUTED_VALUE"""),92.8)</f>
        <v>92.8</v>
      </c>
      <c r="G2467" s="2">
        <f t="shared" si="2"/>
        <v>93</v>
      </c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</row>
    <row r="2468">
      <c r="B2468" s="3"/>
      <c r="C2468" s="3"/>
      <c r="D2468" s="3"/>
      <c r="E2468" s="3"/>
      <c r="F2468" s="2">
        <f>IFERROR(__xludf.DUMMYFUNCTION("""COMPUTED_VALUE"""),26.05)</f>
        <v>26.05</v>
      </c>
      <c r="G2468" s="2">
        <f t="shared" si="2"/>
        <v>26</v>
      </c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</row>
    <row r="2469">
      <c r="B2469" s="3"/>
      <c r="C2469" s="3"/>
      <c r="D2469" s="3"/>
      <c r="E2469" s="3"/>
      <c r="F2469" s="2">
        <f>IFERROR(__xludf.DUMMYFUNCTION("""COMPUTED_VALUE"""),17.549999999999997)</f>
        <v>17.55</v>
      </c>
      <c r="G2469" s="2">
        <f t="shared" si="2"/>
        <v>18</v>
      </c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</row>
    <row r="2470">
      <c r="B2470" s="3"/>
      <c r="C2470" s="3"/>
      <c r="D2470" s="3"/>
      <c r="E2470" s="3"/>
      <c r="F2470" s="2">
        <f>IFERROR(__xludf.DUMMYFUNCTION("""COMPUTED_VALUE"""),56.150000000000006)</f>
        <v>56.15</v>
      </c>
      <c r="G2470" s="2">
        <f t="shared" si="2"/>
        <v>56</v>
      </c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</row>
    <row r="2471">
      <c r="B2471" s="3"/>
      <c r="C2471" s="3"/>
      <c r="D2471" s="3"/>
      <c r="E2471" s="3"/>
      <c r="F2471" s="2">
        <f>IFERROR(__xludf.DUMMYFUNCTION("""COMPUTED_VALUE"""),40.599999999999994)</f>
        <v>40.6</v>
      </c>
      <c r="G2471" s="2">
        <f t="shared" si="2"/>
        <v>41</v>
      </c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</row>
    <row r="2472">
      <c r="B2472" s="3"/>
      <c r="C2472" s="3"/>
      <c r="D2472" s="3"/>
      <c r="E2472" s="3"/>
      <c r="F2472" s="2">
        <f>IFERROR(__xludf.DUMMYFUNCTION("""COMPUTED_VALUE"""),61.2)</f>
        <v>61.2</v>
      </c>
      <c r="G2472" s="2">
        <f t="shared" si="2"/>
        <v>61</v>
      </c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</row>
    <row r="2473">
      <c r="B2473" s="3"/>
      <c r="C2473" s="3"/>
      <c r="D2473" s="3"/>
      <c r="E2473" s="3"/>
      <c r="F2473" s="2">
        <f>IFERROR(__xludf.DUMMYFUNCTION("""COMPUTED_VALUE"""),62.800000000000004)</f>
        <v>62.8</v>
      </c>
      <c r="G2473" s="2">
        <f t="shared" si="2"/>
        <v>63</v>
      </c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</row>
    <row r="2474">
      <c r="B2474" s="3"/>
      <c r="C2474" s="3"/>
      <c r="D2474" s="3"/>
      <c r="E2474" s="3"/>
      <c r="F2474" s="2">
        <f>IFERROR(__xludf.DUMMYFUNCTION("""COMPUTED_VALUE"""),61.8)</f>
        <v>61.8</v>
      </c>
      <c r="G2474" s="2">
        <f t="shared" si="2"/>
        <v>62</v>
      </c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</row>
    <row r="2475">
      <c r="B2475" s="3"/>
      <c r="C2475" s="3"/>
      <c r="D2475" s="3"/>
      <c r="E2475" s="3"/>
      <c r="F2475" s="2">
        <f>IFERROR(__xludf.DUMMYFUNCTION("""COMPUTED_VALUE"""),40.599999999999994)</f>
        <v>40.6</v>
      </c>
      <c r="G2475" s="2">
        <f t="shared" si="2"/>
        <v>41</v>
      </c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</row>
    <row r="2476">
      <c r="B2476" s="3"/>
      <c r="C2476" s="3"/>
      <c r="D2476" s="3"/>
      <c r="E2476" s="3"/>
      <c r="F2476" s="2">
        <f>IFERROR(__xludf.DUMMYFUNCTION("""COMPUTED_VALUE"""),57.699999999999996)</f>
        <v>57.7</v>
      </c>
      <c r="G2476" s="2">
        <f t="shared" si="2"/>
        <v>58</v>
      </c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</row>
    <row r="2477">
      <c r="B2477" s="3"/>
      <c r="C2477" s="3"/>
      <c r="D2477" s="3"/>
      <c r="E2477" s="3"/>
      <c r="F2477" s="2">
        <f>IFERROR(__xludf.DUMMYFUNCTION("""COMPUTED_VALUE"""),77.25)</f>
        <v>77.25</v>
      </c>
      <c r="G2477" s="2">
        <f t="shared" si="2"/>
        <v>77</v>
      </c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</row>
    <row r="2478">
      <c r="B2478" s="3"/>
      <c r="C2478" s="3"/>
      <c r="D2478" s="3"/>
      <c r="E2478" s="3"/>
      <c r="F2478" s="2">
        <f>IFERROR(__xludf.DUMMYFUNCTION("""COMPUTED_VALUE"""),31.25)</f>
        <v>31.25</v>
      </c>
      <c r="G2478" s="2">
        <f t="shared" si="2"/>
        <v>31</v>
      </c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>
      <c r="B2479" s="3"/>
      <c r="C2479" s="3"/>
      <c r="D2479" s="3"/>
      <c r="E2479" s="3"/>
      <c r="F2479" s="2">
        <f>IFERROR(__xludf.DUMMYFUNCTION("""COMPUTED_VALUE"""),32.7)</f>
        <v>32.7</v>
      </c>
      <c r="G2479" s="2">
        <f t="shared" si="2"/>
        <v>33</v>
      </c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>
      <c r="B2480" s="3"/>
      <c r="C2480" s="3"/>
      <c r="D2480" s="3"/>
      <c r="E2480" s="3"/>
      <c r="F2480" s="2">
        <f>IFERROR(__xludf.DUMMYFUNCTION("""COMPUTED_VALUE"""),86.15)</f>
        <v>86.15</v>
      </c>
      <c r="G2480" s="2">
        <f t="shared" si="2"/>
        <v>86</v>
      </c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>
      <c r="B2481" s="3"/>
      <c r="C2481" s="3"/>
      <c r="D2481" s="3"/>
      <c r="E2481" s="3"/>
      <c r="F2481" s="2">
        <f>IFERROR(__xludf.DUMMYFUNCTION("""COMPUTED_VALUE"""),32.7)</f>
        <v>32.7</v>
      </c>
      <c r="G2481" s="2">
        <f t="shared" si="2"/>
        <v>33</v>
      </c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>
      <c r="B2482" s="3"/>
      <c r="C2482" s="3"/>
      <c r="D2482" s="3"/>
      <c r="E2482" s="3"/>
      <c r="F2482" s="2">
        <f>IFERROR(__xludf.DUMMYFUNCTION("""COMPUTED_VALUE"""),77.25)</f>
        <v>77.25</v>
      </c>
      <c r="G2482" s="2">
        <f t="shared" si="2"/>
        <v>77</v>
      </c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>
      <c r="B2483" s="3"/>
      <c r="C2483" s="3"/>
      <c r="D2483" s="3"/>
      <c r="E2483" s="3"/>
      <c r="F2483" s="2">
        <f>IFERROR(__xludf.DUMMYFUNCTION("""COMPUTED_VALUE"""),47.25)</f>
        <v>47.25</v>
      </c>
      <c r="G2483" s="2">
        <f t="shared" si="2"/>
        <v>47</v>
      </c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>
      <c r="B2484" s="3"/>
      <c r="C2484" s="3"/>
      <c r="D2484" s="3"/>
      <c r="E2484" s="3"/>
      <c r="F2484" s="2">
        <f>IFERROR(__xludf.DUMMYFUNCTION("""COMPUTED_VALUE"""),21.25)</f>
        <v>21.25</v>
      </c>
      <c r="G2484" s="2">
        <f t="shared" si="2"/>
        <v>21</v>
      </c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>
      <c r="B2485" s="3"/>
      <c r="C2485" s="3"/>
      <c r="D2485" s="3"/>
      <c r="E2485" s="3"/>
      <c r="F2485" s="2">
        <f>IFERROR(__xludf.DUMMYFUNCTION("""COMPUTED_VALUE"""),57.699999999999996)</f>
        <v>57.7</v>
      </c>
      <c r="G2485" s="2">
        <f t="shared" si="2"/>
        <v>58</v>
      </c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>
      <c r="B2486" s="3"/>
      <c r="C2486" s="3"/>
      <c r="D2486" s="3"/>
      <c r="E2486" s="3"/>
      <c r="F2486" s="2">
        <f>IFERROR(__xludf.DUMMYFUNCTION("""COMPUTED_VALUE"""),61.2)</f>
        <v>61.2</v>
      </c>
      <c r="G2486" s="2">
        <f t="shared" si="2"/>
        <v>61</v>
      </c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>
      <c r="B2487" s="3"/>
      <c r="C2487" s="3"/>
      <c r="D2487" s="3"/>
      <c r="E2487" s="3"/>
      <c r="F2487" s="2">
        <f>IFERROR(__xludf.DUMMYFUNCTION("""COMPUTED_VALUE"""),31.05)</f>
        <v>31.05</v>
      </c>
      <c r="G2487" s="2">
        <f t="shared" si="2"/>
        <v>31</v>
      </c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>
      <c r="B2488" s="3"/>
      <c r="C2488" s="3"/>
      <c r="D2488" s="3"/>
      <c r="E2488" s="3"/>
      <c r="F2488" s="2">
        <f>IFERROR(__xludf.DUMMYFUNCTION("""COMPUTED_VALUE"""),77.25)</f>
        <v>77.25</v>
      </c>
      <c r="G2488" s="2">
        <f t="shared" si="2"/>
        <v>77</v>
      </c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>
      <c r="B2489" s="3"/>
      <c r="C2489" s="3"/>
      <c r="D2489" s="3"/>
      <c r="E2489" s="3"/>
      <c r="F2489" s="2">
        <f>IFERROR(__xludf.DUMMYFUNCTION("""COMPUTED_VALUE"""),142.79999999999998)</f>
        <v>142.8</v>
      </c>
      <c r="G2489" s="2">
        <f t="shared" si="2"/>
        <v>143</v>
      </c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>
      <c r="B2490" s="3"/>
      <c r="C2490" s="3"/>
      <c r="D2490" s="3"/>
      <c r="E2490" s="3"/>
      <c r="F2490" s="2">
        <f>IFERROR(__xludf.DUMMYFUNCTION("""COMPUTED_VALUE"""),71.25)</f>
        <v>71.25</v>
      </c>
      <c r="G2490" s="2">
        <f t="shared" si="2"/>
        <v>71</v>
      </c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>
      <c r="B2491" s="3"/>
      <c r="C2491" s="3"/>
      <c r="D2491" s="3"/>
      <c r="E2491" s="3"/>
      <c r="F2491" s="2">
        <f>IFERROR(__xludf.DUMMYFUNCTION("""COMPUTED_VALUE"""),57.699999999999996)</f>
        <v>57.7</v>
      </c>
      <c r="G2491" s="2">
        <f t="shared" si="2"/>
        <v>58</v>
      </c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>
      <c r="B2492" s="3"/>
      <c r="C2492" s="3"/>
      <c r="D2492" s="3"/>
      <c r="E2492" s="3"/>
      <c r="F2492" s="2">
        <f>IFERROR(__xludf.DUMMYFUNCTION("""COMPUTED_VALUE"""),21.05)</f>
        <v>21.05</v>
      </c>
      <c r="G2492" s="2">
        <f t="shared" si="2"/>
        <v>21</v>
      </c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>
      <c r="B2493" s="3"/>
      <c r="C2493" s="3"/>
      <c r="D2493" s="3"/>
      <c r="E2493" s="3"/>
      <c r="F2493" s="2">
        <f>IFERROR(__xludf.DUMMYFUNCTION("""COMPUTED_VALUE"""),26.05)</f>
        <v>26.05</v>
      </c>
      <c r="G2493" s="2">
        <f t="shared" si="2"/>
        <v>26</v>
      </c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>
      <c r="B2494" s="3"/>
      <c r="C2494" s="3"/>
      <c r="D2494" s="3"/>
      <c r="E2494" s="3"/>
      <c r="F2494" s="2">
        <f>IFERROR(__xludf.DUMMYFUNCTION("""COMPUTED_VALUE"""),21.25)</f>
        <v>21.25</v>
      </c>
      <c r="G2494" s="2">
        <f t="shared" si="2"/>
        <v>21</v>
      </c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>
      <c r="B2495" s="3"/>
      <c r="C2495" s="3"/>
      <c r="D2495" s="3"/>
      <c r="E2495" s="3"/>
      <c r="F2495" s="2">
        <f>IFERROR(__xludf.DUMMYFUNCTION("""COMPUTED_VALUE"""),76.15)</f>
        <v>76.15</v>
      </c>
      <c r="G2495" s="2">
        <f t="shared" si="2"/>
        <v>76</v>
      </c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>
      <c r="B2496" s="3"/>
      <c r="C2496" s="3"/>
      <c r="D2496" s="3"/>
      <c r="E2496" s="3"/>
      <c r="F2496" s="2">
        <f>IFERROR(__xludf.DUMMYFUNCTION("""COMPUTED_VALUE"""),56.150000000000006)</f>
        <v>56.15</v>
      </c>
      <c r="G2496" s="2">
        <f t="shared" si="2"/>
        <v>56</v>
      </c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>
      <c r="B2497" s="3"/>
      <c r="C2497" s="3"/>
      <c r="D2497" s="3"/>
      <c r="E2497" s="3"/>
      <c r="F2497" s="2">
        <f>IFERROR(__xludf.DUMMYFUNCTION("""COMPUTED_VALUE"""),86.15)</f>
        <v>86.15</v>
      </c>
      <c r="G2497" s="2">
        <f t="shared" si="2"/>
        <v>86</v>
      </c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>
      <c r="B2498" s="3"/>
      <c r="C2498" s="3"/>
      <c r="D2498" s="3"/>
      <c r="E2498" s="3"/>
      <c r="F2498" s="2">
        <f>IFERROR(__xludf.DUMMYFUNCTION("""COMPUTED_VALUE"""),62.800000000000004)</f>
        <v>62.8</v>
      </c>
      <c r="G2498" s="2">
        <f t="shared" si="2"/>
        <v>63</v>
      </c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>
      <c r="B2499" s="3"/>
      <c r="C2499" s="3"/>
      <c r="D2499" s="3"/>
      <c r="E2499" s="3"/>
      <c r="F2499" s="2">
        <f>IFERROR(__xludf.DUMMYFUNCTION("""COMPUTED_VALUE"""),47.699999999999996)</f>
        <v>47.7</v>
      </c>
      <c r="G2499" s="2">
        <f t="shared" si="2"/>
        <v>48</v>
      </c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>
      <c r="B2500" s="3"/>
      <c r="C2500" s="3"/>
      <c r="D2500" s="3"/>
      <c r="E2500" s="3"/>
      <c r="F2500" s="2">
        <f>IFERROR(__xludf.DUMMYFUNCTION("""COMPUTED_VALUE"""),76.15)</f>
        <v>76.15</v>
      </c>
      <c r="G2500" s="2">
        <f t="shared" si="2"/>
        <v>76</v>
      </c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>
      <c r="B2501" s="3"/>
      <c r="C2501" s="3"/>
      <c r="D2501" s="3"/>
      <c r="E2501" s="3"/>
      <c r="F2501" s="2">
        <f>IFERROR(__xludf.DUMMYFUNCTION("""COMPUTED_VALUE"""),40.599999999999994)</f>
        <v>40.6</v>
      </c>
      <c r="G2501" s="2">
        <f t="shared" si="2"/>
        <v>41</v>
      </c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>
      <c r="B2502" s="3"/>
      <c r="C2502" s="3"/>
      <c r="D2502" s="3"/>
      <c r="E2502" s="3"/>
      <c r="F2502" s="2">
        <f>IFERROR(__xludf.DUMMYFUNCTION("""COMPUTED_VALUE"""),31.05)</f>
        <v>31.05</v>
      </c>
      <c r="G2502" s="2">
        <f t="shared" si="2"/>
        <v>31</v>
      </c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>
      <c r="B2503" s="3"/>
      <c r="C2503" s="3"/>
      <c r="D2503" s="3"/>
      <c r="E2503" s="3"/>
      <c r="F2503" s="2">
        <f>IFERROR(__xludf.DUMMYFUNCTION("""COMPUTED_VALUE"""),56.25)</f>
        <v>56.25</v>
      </c>
      <c r="G2503" s="2">
        <f t="shared" si="2"/>
        <v>56</v>
      </c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>
      <c r="B2504" s="3"/>
      <c r="C2504" s="3"/>
      <c r="D2504" s="3"/>
      <c r="E2504" s="3"/>
      <c r="F2504" s="2">
        <f>IFERROR(__xludf.DUMMYFUNCTION("""COMPUTED_VALUE"""),92.8)</f>
        <v>92.8</v>
      </c>
      <c r="G2504" s="2">
        <f t="shared" si="2"/>
        <v>93</v>
      </c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>
      <c r="B2505" s="3"/>
      <c r="C2505" s="3"/>
      <c r="D2505" s="3"/>
      <c r="E2505" s="3"/>
      <c r="F2505" s="2">
        <f>IFERROR(__xludf.DUMMYFUNCTION("""COMPUTED_VALUE"""),26.200000000000003)</f>
        <v>26.2</v>
      </c>
      <c r="G2505" s="2">
        <f t="shared" si="2"/>
        <v>26</v>
      </c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>
      <c r="B2506" s="3"/>
      <c r="C2506" s="3"/>
      <c r="D2506" s="3"/>
      <c r="E2506" s="3"/>
      <c r="F2506" s="2">
        <f>IFERROR(__xludf.DUMMYFUNCTION("""COMPUTED_VALUE"""),40.599999999999994)</f>
        <v>40.6</v>
      </c>
      <c r="G2506" s="2">
        <f t="shared" si="2"/>
        <v>41</v>
      </c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>
      <c r="B2507" s="3"/>
      <c r="C2507" s="3"/>
      <c r="D2507" s="3"/>
      <c r="E2507" s="3"/>
      <c r="F2507" s="2">
        <f>IFERROR(__xludf.DUMMYFUNCTION("""COMPUTED_VALUE"""),77.25)</f>
        <v>77.25</v>
      </c>
      <c r="G2507" s="2">
        <f t="shared" si="2"/>
        <v>77</v>
      </c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>
      <c r="B2508" s="3"/>
      <c r="C2508" s="3"/>
      <c r="D2508" s="3"/>
      <c r="E2508" s="3"/>
      <c r="F2508" s="2">
        <f>IFERROR(__xludf.DUMMYFUNCTION("""COMPUTED_VALUE"""),71.25)</f>
        <v>71.25</v>
      </c>
      <c r="G2508" s="2">
        <f t="shared" si="2"/>
        <v>71</v>
      </c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>
      <c r="B2509" s="3"/>
      <c r="C2509" s="3"/>
      <c r="D2509" s="3"/>
      <c r="E2509" s="3"/>
      <c r="F2509" s="2">
        <f>IFERROR(__xludf.DUMMYFUNCTION("""COMPUTED_VALUE"""),31.44)</f>
        <v>31.44</v>
      </c>
      <c r="G2509" s="2">
        <f t="shared" si="2"/>
        <v>31</v>
      </c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>
      <c r="B2510" s="3"/>
      <c r="C2510" s="3"/>
      <c r="D2510" s="3"/>
      <c r="E2510" s="3"/>
      <c r="F2510" s="2">
        <f>IFERROR(__xludf.DUMMYFUNCTION("""COMPUTED_VALUE"""),69.24)</f>
        <v>69.24</v>
      </c>
      <c r="G2510" s="2">
        <f t="shared" si="2"/>
        <v>69</v>
      </c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>
      <c r="B2511" s="3"/>
      <c r="C2511" s="3"/>
      <c r="D2511" s="3"/>
      <c r="E2511" s="3"/>
      <c r="F2511" s="2">
        <f>IFERROR(__xludf.DUMMYFUNCTION("""COMPUTED_VALUE"""),171.35999999999999)</f>
        <v>171.36</v>
      </c>
      <c r="G2511" s="2">
        <f t="shared" si="2"/>
        <v>171</v>
      </c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>
      <c r="B2512" s="3"/>
      <c r="C2512" s="3"/>
      <c r="D2512" s="3"/>
      <c r="E2512" s="3"/>
      <c r="F2512" s="2">
        <f>IFERROR(__xludf.DUMMYFUNCTION("""COMPUTED_VALUE"""),103.38)</f>
        <v>103.38</v>
      </c>
      <c r="G2512" s="2">
        <f t="shared" si="2"/>
        <v>103</v>
      </c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>
      <c r="B2513" s="3"/>
      <c r="C2513" s="3"/>
      <c r="D2513" s="3"/>
      <c r="E2513" s="3"/>
      <c r="F2513" s="2">
        <f>IFERROR(__xludf.DUMMYFUNCTION("""COMPUTED_VALUE"""),31.44)</f>
        <v>31.44</v>
      </c>
      <c r="G2513" s="2">
        <f t="shared" si="2"/>
        <v>31</v>
      </c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>
      <c r="B2514" s="3"/>
      <c r="C2514" s="3"/>
      <c r="D2514" s="3"/>
      <c r="E2514" s="3"/>
      <c r="F2514" s="2">
        <f>IFERROR(__xludf.DUMMYFUNCTION("""COMPUTED_VALUE"""),115.38)</f>
        <v>115.38</v>
      </c>
      <c r="G2514" s="2">
        <f t="shared" si="2"/>
        <v>115</v>
      </c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>
      <c r="B2515" s="3"/>
      <c r="C2515" s="3"/>
      <c r="D2515" s="3"/>
      <c r="E2515" s="3"/>
      <c r="F2515" s="2">
        <f>IFERROR(__xludf.DUMMYFUNCTION("""COMPUTED_VALUE"""),33.900000000000006)</f>
        <v>33.9</v>
      </c>
      <c r="G2515" s="2">
        <f t="shared" si="2"/>
        <v>34</v>
      </c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>
      <c r="B2516" s="3"/>
      <c r="C2516" s="3"/>
      <c r="D2516" s="3"/>
      <c r="E2516" s="3"/>
      <c r="F2516" s="2">
        <f>IFERROR(__xludf.DUMMYFUNCTION("""COMPUTED_VALUE"""),69.24)</f>
        <v>69.24</v>
      </c>
      <c r="G2516" s="2">
        <f t="shared" si="2"/>
        <v>69</v>
      </c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>
      <c r="B2517" s="3"/>
      <c r="C2517" s="3"/>
      <c r="D2517" s="3"/>
      <c r="E2517" s="3"/>
      <c r="F2517" s="2">
        <f>IFERROR(__xludf.DUMMYFUNCTION("""COMPUTED_VALUE"""),39.24)</f>
        <v>39.24</v>
      </c>
      <c r="G2517" s="2">
        <f t="shared" si="2"/>
        <v>39</v>
      </c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>
      <c r="B2518" s="3"/>
      <c r="C2518" s="3"/>
      <c r="D2518" s="3"/>
      <c r="E2518" s="3"/>
      <c r="F2518" s="2">
        <f>IFERROR(__xludf.DUMMYFUNCTION("""COMPUTED_VALUE"""),97.26)</f>
        <v>97.26</v>
      </c>
      <c r="G2518" s="2">
        <f t="shared" si="2"/>
        <v>97</v>
      </c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>
      <c r="B2519" s="3"/>
      <c r="C2519" s="3"/>
      <c r="D2519" s="3"/>
      <c r="E2519" s="3"/>
      <c r="F2519" s="2">
        <f>IFERROR(__xludf.DUMMYFUNCTION("""COMPUTED_VALUE"""),56.699999999999996)</f>
        <v>56.7</v>
      </c>
      <c r="G2519" s="2">
        <f t="shared" si="2"/>
        <v>57</v>
      </c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>
      <c r="B2520" s="3"/>
      <c r="C2520" s="3"/>
      <c r="D2520" s="3"/>
      <c r="E2520" s="3"/>
      <c r="F2520" s="2">
        <f>IFERROR(__xludf.DUMMYFUNCTION("""COMPUTED_VALUE"""),67.5)</f>
        <v>67.5</v>
      </c>
      <c r="G2520" s="2">
        <f t="shared" si="2"/>
        <v>68</v>
      </c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>
      <c r="B2521" s="3"/>
      <c r="C2521" s="3"/>
      <c r="D2521" s="3"/>
      <c r="E2521" s="3"/>
      <c r="F2521" s="2">
        <f>IFERROR(__xludf.DUMMYFUNCTION("""COMPUTED_VALUE"""),48.72)</f>
        <v>48.72</v>
      </c>
      <c r="G2521" s="2">
        <f t="shared" si="2"/>
        <v>49</v>
      </c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>
      <c r="B2522" s="3"/>
      <c r="C2522" s="3"/>
      <c r="D2522" s="3"/>
      <c r="E2522" s="3"/>
      <c r="F2522" s="2">
        <f>IFERROR(__xludf.DUMMYFUNCTION("""COMPUTED_VALUE"""),92.69999999999999)</f>
        <v>92.7</v>
      </c>
      <c r="G2522" s="2">
        <f t="shared" si="2"/>
        <v>93</v>
      </c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>
      <c r="B2523" s="3"/>
      <c r="C2523" s="3"/>
      <c r="D2523" s="3"/>
      <c r="E2523" s="3"/>
      <c r="F2523" s="2">
        <f>IFERROR(__xludf.DUMMYFUNCTION("""COMPUTED_VALUE"""),73.44)</f>
        <v>73.44</v>
      </c>
      <c r="G2523" s="2">
        <f t="shared" si="2"/>
        <v>73</v>
      </c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>
      <c r="B2524" s="3"/>
      <c r="C2524" s="3"/>
      <c r="D2524" s="3"/>
      <c r="E2524" s="3"/>
      <c r="F2524" s="2">
        <f>IFERROR(__xludf.DUMMYFUNCTION("""COMPUTED_VALUE"""),81.24)</f>
        <v>81.24</v>
      </c>
      <c r="G2524" s="2">
        <f t="shared" si="2"/>
        <v>81</v>
      </c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>
      <c r="B2525" s="3"/>
      <c r="C2525" s="3"/>
      <c r="D2525" s="3"/>
      <c r="E2525" s="3"/>
      <c r="F2525" s="2">
        <f>IFERROR(__xludf.DUMMYFUNCTION("""COMPUTED_VALUE"""),75.36)</f>
        <v>75.36</v>
      </c>
      <c r="G2525" s="2">
        <f t="shared" si="2"/>
        <v>75</v>
      </c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>
      <c r="B2526" s="3"/>
      <c r="C2526" s="3"/>
      <c r="D2526" s="3"/>
      <c r="E2526" s="3"/>
      <c r="F2526" s="2">
        <f>IFERROR(__xludf.DUMMYFUNCTION("""COMPUTED_VALUE"""),74.16)</f>
        <v>74.16</v>
      </c>
      <c r="G2526" s="2">
        <f t="shared" si="2"/>
        <v>74</v>
      </c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>
      <c r="B2527" s="3"/>
      <c r="C2527" s="3"/>
      <c r="D2527" s="3"/>
      <c r="E2527" s="3"/>
      <c r="F2527" s="2">
        <f>IFERROR(__xludf.DUMMYFUNCTION("""COMPUTED_VALUE"""),115.38)</f>
        <v>115.38</v>
      </c>
      <c r="G2527" s="2">
        <f t="shared" si="2"/>
        <v>115</v>
      </c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>
      <c r="B2528" s="3"/>
      <c r="C2528" s="3"/>
      <c r="D2528" s="3"/>
      <c r="E2528" s="3"/>
      <c r="F2528" s="2">
        <f>IFERROR(__xludf.DUMMYFUNCTION("""COMPUTED_VALUE"""),21.06)</f>
        <v>21.06</v>
      </c>
      <c r="G2528" s="2">
        <f t="shared" si="2"/>
        <v>21</v>
      </c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>
      <c r="B2529" s="3"/>
      <c r="C2529" s="3"/>
      <c r="D2529" s="3"/>
      <c r="E2529" s="3"/>
      <c r="F2529" s="2">
        <f>IFERROR(__xludf.DUMMYFUNCTION("""COMPUTED_VALUE"""),81.24)</f>
        <v>81.24</v>
      </c>
      <c r="G2529" s="2">
        <f t="shared" si="2"/>
        <v>81</v>
      </c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>
      <c r="B2530" s="3"/>
      <c r="C2530" s="3"/>
      <c r="D2530" s="3"/>
      <c r="E2530" s="3"/>
      <c r="F2530" s="2">
        <f>IFERROR(__xludf.DUMMYFUNCTION("""COMPUTED_VALUE"""),19.5)</f>
        <v>19.5</v>
      </c>
      <c r="G2530" s="2">
        <f t="shared" si="2"/>
        <v>20</v>
      </c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>
      <c r="B2531" s="3"/>
      <c r="C2531" s="3"/>
      <c r="D2531" s="3"/>
      <c r="E2531" s="3"/>
      <c r="F2531" s="2">
        <f>IFERROR(__xludf.DUMMYFUNCTION("""COMPUTED_VALUE"""),37.5)</f>
        <v>37.5</v>
      </c>
      <c r="G2531" s="2">
        <f t="shared" si="2"/>
        <v>38</v>
      </c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>
      <c r="B2532" s="3"/>
      <c r="C2532" s="3"/>
      <c r="D2532" s="3"/>
      <c r="E2532" s="3"/>
      <c r="F2532" s="2">
        <f>IFERROR(__xludf.DUMMYFUNCTION("""COMPUTED_VALUE"""),31.44)</f>
        <v>31.44</v>
      </c>
      <c r="G2532" s="2">
        <f t="shared" si="2"/>
        <v>31</v>
      </c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>
      <c r="B2533" s="3"/>
      <c r="C2533" s="3"/>
      <c r="D2533" s="3"/>
      <c r="E2533" s="3"/>
      <c r="F2533" s="2">
        <f>IFERROR(__xludf.DUMMYFUNCTION("""COMPUTED_VALUE"""),21.06)</f>
        <v>21.06</v>
      </c>
      <c r="G2533" s="2">
        <f t="shared" si="2"/>
        <v>21</v>
      </c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>
      <c r="B2534" s="3"/>
      <c r="C2534" s="3"/>
      <c r="D2534" s="3"/>
      <c r="E2534" s="3"/>
      <c r="F2534" s="2">
        <f>IFERROR(__xludf.DUMMYFUNCTION("""COMPUTED_VALUE"""),67.38)</f>
        <v>67.38</v>
      </c>
      <c r="G2534" s="2">
        <f t="shared" si="2"/>
        <v>67</v>
      </c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>
      <c r="B2535" s="3"/>
      <c r="C2535" s="3"/>
      <c r="D2535" s="3"/>
      <c r="E2535" s="3"/>
      <c r="F2535" s="2">
        <f>IFERROR(__xludf.DUMMYFUNCTION("""COMPUTED_VALUE"""),92.69999999999999)</f>
        <v>92.7</v>
      </c>
      <c r="G2535" s="2">
        <f t="shared" si="2"/>
        <v>93</v>
      </c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>
      <c r="B2536" s="3"/>
      <c r="C2536" s="3"/>
      <c r="D2536" s="3"/>
      <c r="E2536" s="3"/>
      <c r="F2536" s="2">
        <f>IFERROR(__xludf.DUMMYFUNCTION("""COMPUTED_VALUE"""),37.26)</f>
        <v>37.26</v>
      </c>
      <c r="G2536" s="2">
        <f t="shared" si="2"/>
        <v>37</v>
      </c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>
      <c r="B2537" s="3"/>
      <c r="C2537" s="3"/>
      <c r="D2537" s="3"/>
      <c r="E2537" s="3"/>
      <c r="F2537" s="2">
        <f>IFERROR(__xludf.DUMMYFUNCTION("""COMPUTED_VALUE"""),56.699999999999996)</f>
        <v>56.7</v>
      </c>
      <c r="G2537" s="2">
        <f t="shared" si="2"/>
        <v>57</v>
      </c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>
      <c r="B2538" s="3"/>
      <c r="C2538" s="3"/>
      <c r="D2538" s="3"/>
      <c r="E2538" s="3"/>
      <c r="F2538" s="2">
        <f>IFERROR(__xludf.DUMMYFUNCTION("""COMPUTED_VALUE"""),92.69999999999999)</f>
        <v>92.7</v>
      </c>
      <c r="G2538" s="2">
        <f t="shared" si="2"/>
        <v>93</v>
      </c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>
      <c r="B2539" s="3"/>
      <c r="C2539" s="3"/>
      <c r="D2539" s="3"/>
      <c r="E2539" s="3"/>
      <c r="F2539" s="2">
        <f>IFERROR(__xludf.DUMMYFUNCTION("""COMPUTED_VALUE"""),37.26)</f>
        <v>37.26</v>
      </c>
      <c r="G2539" s="2">
        <f t="shared" si="2"/>
        <v>37</v>
      </c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>
      <c r="B2540" s="3"/>
      <c r="C2540" s="3"/>
      <c r="D2540" s="3"/>
      <c r="E2540" s="3"/>
      <c r="F2540" s="2">
        <f>IFERROR(__xludf.DUMMYFUNCTION("""COMPUTED_VALUE"""),91.38)</f>
        <v>91.38</v>
      </c>
      <c r="G2540" s="2">
        <f t="shared" si="2"/>
        <v>91</v>
      </c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>
      <c r="B2541" s="3"/>
      <c r="C2541" s="3"/>
      <c r="D2541" s="3"/>
      <c r="E2541" s="3"/>
      <c r="F2541" s="2">
        <f>IFERROR(__xludf.DUMMYFUNCTION("""COMPUTED_VALUE"""),171.35999999999999)</f>
        <v>171.36</v>
      </c>
      <c r="G2541" s="2">
        <f t="shared" si="2"/>
        <v>171</v>
      </c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>
      <c r="B2542" s="3"/>
      <c r="C2542" s="3"/>
      <c r="D2542" s="3"/>
      <c r="E2542" s="3"/>
      <c r="F2542" s="2">
        <f>IFERROR(__xludf.DUMMYFUNCTION("""COMPUTED_VALUE"""),92.69999999999999)</f>
        <v>92.7</v>
      </c>
      <c r="G2542" s="2">
        <f t="shared" si="2"/>
        <v>93</v>
      </c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>
      <c r="B2543" s="3"/>
      <c r="C2543" s="3"/>
      <c r="D2543" s="3"/>
      <c r="E2543" s="3"/>
      <c r="F2543" s="2">
        <f>IFERROR(__xludf.DUMMYFUNCTION("""COMPUTED_VALUE"""),81.24)</f>
        <v>81.24</v>
      </c>
      <c r="G2543" s="2">
        <f t="shared" si="2"/>
        <v>81</v>
      </c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>
      <c r="B2544" s="3"/>
      <c r="C2544" s="3"/>
      <c r="D2544" s="3"/>
      <c r="E2544" s="3"/>
      <c r="F2544" s="2">
        <f>IFERROR(__xludf.DUMMYFUNCTION("""COMPUTED_VALUE"""),25.5)</f>
        <v>25.5</v>
      </c>
      <c r="G2544" s="2">
        <f t="shared" si="2"/>
        <v>26</v>
      </c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>
      <c r="B2545" s="3"/>
      <c r="C2545" s="3"/>
      <c r="D2545" s="3"/>
      <c r="E2545" s="3"/>
      <c r="F2545" s="2">
        <f>IFERROR(__xludf.DUMMYFUNCTION("""COMPUTED_VALUE"""),33.900000000000006)</f>
        <v>33.9</v>
      </c>
      <c r="G2545" s="2">
        <f t="shared" si="2"/>
        <v>34</v>
      </c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>
      <c r="B2546" s="3"/>
      <c r="C2546" s="3"/>
      <c r="D2546" s="3"/>
      <c r="E2546" s="3"/>
      <c r="F2546" s="2">
        <f>IFERROR(__xludf.DUMMYFUNCTION("""COMPUTED_VALUE"""),39.24)</f>
        <v>39.24</v>
      </c>
      <c r="G2546" s="2">
        <f t="shared" si="2"/>
        <v>39</v>
      </c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>
      <c r="B2547" s="3"/>
      <c r="C2547" s="3"/>
      <c r="D2547" s="3"/>
      <c r="E2547" s="3"/>
      <c r="F2547" s="2">
        <f>IFERROR(__xludf.DUMMYFUNCTION("""COMPUTED_VALUE"""),51.239999999999995)</f>
        <v>51.24</v>
      </c>
      <c r="G2547" s="2">
        <f t="shared" si="2"/>
        <v>51</v>
      </c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>
      <c r="B2548" s="3"/>
      <c r="C2548" s="3"/>
      <c r="D2548" s="3"/>
      <c r="E2548" s="3"/>
      <c r="F2548" s="2">
        <f>IFERROR(__xludf.DUMMYFUNCTION("""COMPUTED_VALUE"""),25.259999999999998)</f>
        <v>25.26</v>
      </c>
      <c r="G2548" s="2">
        <f t="shared" si="2"/>
        <v>25</v>
      </c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>
      <c r="B2549" s="3"/>
      <c r="C2549" s="3"/>
      <c r="D2549" s="3"/>
      <c r="E2549" s="3"/>
      <c r="F2549" s="2">
        <f>IFERROR(__xludf.DUMMYFUNCTION("""COMPUTED_VALUE"""),25.259999999999998)</f>
        <v>25.26</v>
      </c>
      <c r="G2549" s="2">
        <f t="shared" si="2"/>
        <v>25</v>
      </c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>
      <c r="B2550" s="3"/>
      <c r="C2550" s="3"/>
      <c r="D2550" s="3"/>
      <c r="E2550" s="3"/>
      <c r="F2550" s="2">
        <f>IFERROR(__xludf.DUMMYFUNCTION("""COMPUTED_VALUE"""),85.5)</f>
        <v>85.5</v>
      </c>
      <c r="G2550" s="2">
        <f t="shared" si="2"/>
        <v>86</v>
      </c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</row>
    <row r="2551">
      <c r="B2551" s="3"/>
      <c r="C2551" s="3"/>
      <c r="D2551" s="3"/>
      <c r="E2551" s="3"/>
      <c r="F2551" s="2">
        <f>IFERROR(__xludf.DUMMYFUNCTION("""COMPUTED_VALUE"""),81.24)</f>
        <v>81.24</v>
      </c>
      <c r="G2551" s="2">
        <f t="shared" si="2"/>
        <v>81</v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>
      <c r="B2552" s="3"/>
      <c r="C2552" s="3"/>
      <c r="D2552" s="3"/>
      <c r="E2552" s="3"/>
      <c r="F2552" s="2">
        <f>IFERROR(__xludf.DUMMYFUNCTION("""COMPUTED_VALUE"""),25.5)</f>
        <v>25.5</v>
      </c>
      <c r="G2552" s="2">
        <f t="shared" si="2"/>
        <v>26</v>
      </c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>
      <c r="B2553" s="3"/>
      <c r="C2553" s="3"/>
      <c r="D2553" s="3"/>
      <c r="E2553" s="3"/>
      <c r="F2553" s="2">
        <f>IFERROR(__xludf.DUMMYFUNCTION("""COMPUTED_VALUE"""),115.38)</f>
        <v>115.38</v>
      </c>
      <c r="G2553" s="2">
        <f t="shared" si="2"/>
        <v>115</v>
      </c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>
      <c r="B2554" s="3"/>
      <c r="C2554" s="3"/>
      <c r="D2554" s="3"/>
      <c r="E2554" s="3"/>
      <c r="F2554" s="2">
        <f>IFERROR(__xludf.DUMMYFUNCTION("""COMPUTED_VALUE"""),19.5)</f>
        <v>19.5</v>
      </c>
      <c r="G2554" s="2">
        <f t="shared" si="2"/>
        <v>20</v>
      </c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>
      <c r="B2555" s="3"/>
      <c r="C2555" s="3"/>
      <c r="D2555" s="3"/>
      <c r="E2555" s="3"/>
      <c r="F2555" s="2">
        <f>IFERROR(__xludf.DUMMYFUNCTION("""COMPUTED_VALUE"""),25.5)</f>
        <v>25.5</v>
      </c>
      <c r="G2555" s="2">
        <f t="shared" si="2"/>
        <v>26</v>
      </c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>
      <c r="B2556" s="3"/>
      <c r="C2556" s="3"/>
      <c r="D2556" s="3"/>
      <c r="E2556" s="3"/>
      <c r="F2556" s="2">
        <f>IFERROR(__xludf.DUMMYFUNCTION("""COMPUTED_VALUE"""),111.35999999999999)</f>
        <v>111.36</v>
      </c>
      <c r="G2556" s="2">
        <f t="shared" si="2"/>
        <v>111</v>
      </c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>
      <c r="B2557" s="3"/>
      <c r="C2557" s="3"/>
      <c r="D2557" s="3"/>
      <c r="E2557" s="3"/>
      <c r="F2557" s="2">
        <f>IFERROR(__xludf.DUMMYFUNCTION("""COMPUTED_VALUE"""),81.24)</f>
        <v>81.24</v>
      </c>
      <c r="G2557" s="2">
        <f t="shared" si="2"/>
        <v>81</v>
      </c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>
      <c r="B2558" s="3"/>
      <c r="C2558" s="3"/>
      <c r="D2558" s="3"/>
      <c r="E2558" s="3"/>
      <c r="F2558" s="2">
        <f>IFERROR(__xludf.DUMMYFUNCTION("""COMPUTED_VALUE"""),81.24)</f>
        <v>81.24</v>
      </c>
      <c r="G2558" s="2">
        <f t="shared" si="2"/>
        <v>81</v>
      </c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>
      <c r="B2559" s="3"/>
      <c r="C2559" s="3"/>
      <c r="D2559" s="3"/>
      <c r="E2559" s="3"/>
      <c r="F2559" s="2">
        <f>IFERROR(__xludf.DUMMYFUNCTION("""COMPUTED_VALUE"""),111.35999999999999)</f>
        <v>111.36</v>
      </c>
      <c r="G2559" s="2">
        <f t="shared" si="2"/>
        <v>111</v>
      </c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>
      <c r="B2560" s="3"/>
      <c r="C2560" s="3"/>
      <c r="D2560" s="3"/>
      <c r="E2560" s="3"/>
      <c r="F2560" s="2">
        <f>IFERROR(__xludf.DUMMYFUNCTION("""COMPUTED_VALUE"""),75.36)</f>
        <v>75.36</v>
      </c>
      <c r="G2560" s="2">
        <f t="shared" si="2"/>
        <v>75</v>
      </c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>
      <c r="B2561" s="3"/>
      <c r="C2561" s="3"/>
      <c r="D2561" s="3"/>
      <c r="E2561" s="3"/>
      <c r="F2561" s="2">
        <f>IFERROR(__xludf.DUMMYFUNCTION("""COMPUTED_VALUE"""),31.44)</f>
        <v>31.44</v>
      </c>
      <c r="G2561" s="2">
        <f t="shared" si="2"/>
        <v>31</v>
      </c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>
      <c r="B2562" s="3"/>
      <c r="C2562" s="3"/>
      <c r="D2562" s="3"/>
      <c r="E2562" s="3"/>
      <c r="F2562" s="2">
        <f>IFERROR(__xludf.DUMMYFUNCTION("""COMPUTED_VALUE"""),69.24)</f>
        <v>69.24</v>
      </c>
      <c r="G2562" s="2">
        <f t="shared" si="2"/>
        <v>69</v>
      </c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>
      <c r="B2563" s="3"/>
      <c r="C2563" s="3"/>
      <c r="D2563" s="3"/>
      <c r="E2563" s="3"/>
      <c r="F2563" s="2">
        <f>IFERROR(__xludf.DUMMYFUNCTION("""COMPUTED_VALUE"""),75.36)</f>
        <v>75.36</v>
      </c>
      <c r="G2563" s="2">
        <f t="shared" si="2"/>
        <v>75</v>
      </c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>
      <c r="B2564" s="3"/>
      <c r="C2564" s="3"/>
      <c r="D2564" s="3"/>
      <c r="E2564" s="3"/>
      <c r="F2564" s="2">
        <f>IFERROR(__xludf.DUMMYFUNCTION("""COMPUTED_VALUE"""),171.35999999999999)</f>
        <v>171.36</v>
      </c>
      <c r="G2564" s="2">
        <f t="shared" si="2"/>
        <v>171</v>
      </c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>
      <c r="B2565" s="3"/>
      <c r="C2565" s="3"/>
      <c r="D2565" s="3"/>
      <c r="E2565" s="3"/>
      <c r="F2565" s="2">
        <f>IFERROR(__xludf.DUMMYFUNCTION("""COMPUTED_VALUE"""),103.38)</f>
        <v>103.38</v>
      </c>
      <c r="G2565" s="2">
        <f t="shared" si="2"/>
        <v>103</v>
      </c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>
      <c r="B2566" s="3"/>
      <c r="C2566" s="3"/>
      <c r="D2566" s="3"/>
      <c r="E2566" s="3"/>
      <c r="F2566" s="2">
        <f>IFERROR(__xludf.DUMMYFUNCTION("""COMPUTED_VALUE"""),31.44)</f>
        <v>31.44</v>
      </c>
      <c r="G2566" s="2">
        <f t="shared" si="2"/>
        <v>31</v>
      </c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>
      <c r="B2567" s="3"/>
      <c r="C2567" s="3"/>
      <c r="D2567" s="3"/>
      <c r="E2567" s="3"/>
      <c r="F2567" s="2">
        <f>IFERROR(__xludf.DUMMYFUNCTION("""COMPUTED_VALUE"""),103.38)</f>
        <v>103.38</v>
      </c>
      <c r="G2567" s="2">
        <f t="shared" si="2"/>
        <v>103</v>
      </c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>
      <c r="B2568" s="3"/>
      <c r="C2568" s="3"/>
      <c r="D2568" s="3"/>
      <c r="E2568" s="3"/>
      <c r="F2568" s="2">
        <f>IFERROR(__xludf.DUMMYFUNCTION("""COMPUTED_VALUE"""),73.44)</f>
        <v>73.44</v>
      </c>
      <c r="G2568" s="2">
        <f t="shared" si="2"/>
        <v>73</v>
      </c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>
      <c r="B2569" s="3"/>
      <c r="C2569" s="3"/>
      <c r="D2569" s="3"/>
      <c r="E2569" s="3"/>
      <c r="F2569" s="2">
        <f>IFERROR(__xludf.DUMMYFUNCTION("""COMPUTED_VALUE"""),67.5)</f>
        <v>67.5</v>
      </c>
      <c r="G2569" s="2">
        <f t="shared" si="2"/>
        <v>68</v>
      </c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>
      <c r="B2570" s="3"/>
      <c r="C2570" s="3"/>
      <c r="D2570" s="3"/>
      <c r="E2570" s="3"/>
      <c r="F2570" s="2">
        <f>IFERROR(__xludf.DUMMYFUNCTION("""COMPUTED_VALUE"""),37.26)</f>
        <v>37.26</v>
      </c>
      <c r="G2570" s="2">
        <f t="shared" si="2"/>
        <v>37</v>
      </c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>
      <c r="B2571" s="3"/>
      <c r="C2571" s="3"/>
      <c r="D2571" s="3"/>
      <c r="E2571" s="3"/>
      <c r="F2571" s="2">
        <f>IFERROR(__xludf.DUMMYFUNCTION("""COMPUTED_VALUE"""),32.7)</f>
        <v>32.7</v>
      </c>
      <c r="G2571" s="2">
        <f t="shared" si="2"/>
        <v>33</v>
      </c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>
      <c r="B2572" s="3"/>
      <c r="C2572" s="3"/>
      <c r="D2572" s="3"/>
      <c r="E2572" s="3"/>
      <c r="F2572" s="2">
        <f>IFERROR(__xludf.DUMMYFUNCTION("""COMPUTED_VALUE"""),32.7)</f>
        <v>32.7</v>
      </c>
      <c r="G2572" s="2">
        <f t="shared" si="2"/>
        <v>33</v>
      </c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>
      <c r="B2573" s="3"/>
      <c r="C2573" s="3"/>
      <c r="D2573" s="3"/>
      <c r="E2573" s="3"/>
      <c r="F2573" s="2">
        <f>IFERROR(__xludf.DUMMYFUNCTION("""COMPUTED_VALUE"""),67.38)</f>
        <v>67.38</v>
      </c>
      <c r="G2573" s="2">
        <f t="shared" si="2"/>
        <v>67</v>
      </c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>
      <c r="B2574" s="3"/>
      <c r="C2574" s="3"/>
      <c r="D2574" s="3"/>
      <c r="E2574" s="3"/>
      <c r="F2574" s="2">
        <f>IFERROR(__xludf.DUMMYFUNCTION("""COMPUTED_VALUE"""),21.06)</f>
        <v>21.06</v>
      </c>
      <c r="G2574" s="2">
        <f t="shared" si="2"/>
        <v>21</v>
      </c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>
      <c r="B2575" s="3"/>
      <c r="C2575" s="3"/>
      <c r="D2575" s="3"/>
      <c r="E2575" s="3"/>
      <c r="F2575" s="2">
        <f>IFERROR(__xludf.DUMMYFUNCTION("""COMPUTED_VALUE"""),37.5)</f>
        <v>37.5</v>
      </c>
      <c r="G2575" s="2">
        <f t="shared" si="2"/>
        <v>38</v>
      </c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>
      <c r="B2576" s="3"/>
      <c r="C2576" s="3"/>
      <c r="D2576" s="3"/>
      <c r="E2576" s="3"/>
      <c r="F2576" s="2">
        <f>IFERROR(__xludf.DUMMYFUNCTION("""COMPUTED_VALUE"""),115.38)</f>
        <v>115.38</v>
      </c>
      <c r="G2576" s="2">
        <f t="shared" si="2"/>
        <v>115</v>
      </c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>
      <c r="B2577" s="3"/>
      <c r="C2577" s="3"/>
      <c r="D2577" s="3"/>
      <c r="E2577" s="3"/>
      <c r="F2577" s="2">
        <f>IFERROR(__xludf.DUMMYFUNCTION("""COMPUTED_VALUE"""),31.44)</f>
        <v>31.44</v>
      </c>
      <c r="G2577" s="2">
        <f t="shared" si="2"/>
        <v>31</v>
      </c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>
      <c r="B2578" s="3"/>
      <c r="C2578" s="3"/>
      <c r="D2578" s="3"/>
      <c r="E2578" s="3"/>
      <c r="F2578" s="2">
        <f>IFERROR(__xludf.DUMMYFUNCTION("""COMPUTED_VALUE"""),31.44)</f>
        <v>31.44</v>
      </c>
      <c r="G2578" s="2">
        <f t="shared" si="2"/>
        <v>31</v>
      </c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>
      <c r="B2579" s="3"/>
      <c r="C2579" s="3"/>
      <c r="D2579" s="3"/>
      <c r="E2579" s="3"/>
      <c r="F2579" s="2">
        <f>IFERROR(__xludf.DUMMYFUNCTION("""COMPUTED_VALUE"""),74.16)</f>
        <v>74.16</v>
      </c>
      <c r="G2579" s="2">
        <f t="shared" si="2"/>
        <v>74</v>
      </c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>
      <c r="B2580" s="3"/>
      <c r="C2580" s="3"/>
      <c r="D2580" s="3"/>
      <c r="E2580" s="3"/>
      <c r="F2580" s="2">
        <f>IFERROR(__xludf.DUMMYFUNCTION("""COMPUTED_VALUE"""),92.69999999999999)</f>
        <v>92.7</v>
      </c>
      <c r="G2580" s="2">
        <f t="shared" si="2"/>
        <v>93</v>
      </c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>
      <c r="B2581" s="3"/>
      <c r="C2581" s="3"/>
      <c r="D2581" s="3"/>
      <c r="E2581" s="3"/>
      <c r="F2581" s="2">
        <f>IFERROR(__xludf.DUMMYFUNCTION("""COMPUTED_VALUE"""),19.5)</f>
        <v>19.5</v>
      </c>
      <c r="G2581" s="2">
        <f t="shared" si="2"/>
        <v>20</v>
      </c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>
      <c r="B2582" s="3"/>
      <c r="C2582" s="3"/>
      <c r="D2582" s="3"/>
      <c r="E2582" s="3"/>
      <c r="F2582" s="2">
        <f>IFERROR(__xludf.DUMMYFUNCTION("""COMPUTED_VALUE"""),37.26)</f>
        <v>37.26</v>
      </c>
      <c r="G2582" s="2">
        <f t="shared" si="2"/>
        <v>37</v>
      </c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>
      <c r="B2583" s="3"/>
      <c r="C2583" s="3"/>
      <c r="D2583" s="3"/>
      <c r="E2583" s="3"/>
      <c r="F2583" s="2">
        <f>IFERROR(__xludf.DUMMYFUNCTION("""COMPUTED_VALUE"""),91.38)</f>
        <v>91.38</v>
      </c>
      <c r="G2583" s="2">
        <f t="shared" si="2"/>
        <v>91</v>
      </c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>
      <c r="B2584" s="3"/>
      <c r="C2584" s="3"/>
      <c r="D2584" s="3"/>
      <c r="E2584" s="3"/>
      <c r="F2584" s="2">
        <f>IFERROR(__xludf.DUMMYFUNCTION("""COMPUTED_VALUE"""),48.72)</f>
        <v>48.72</v>
      </c>
      <c r="G2584" s="2">
        <f t="shared" si="2"/>
        <v>49</v>
      </c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>
      <c r="B2585" s="3"/>
      <c r="C2585" s="3"/>
      <c r="D2585" s="3"/>
      <c r="E2585" s="3"/>
      <c r="F2585" s="2">
        <f>IFERROR(__xludf.DUMMYFUNCTION("""COMPUTED_VALUE"""),73.44)</f>
        <v>73.44</v>
      </c>
      <c r="G2585" s="2">
        <f t="shared" si="2"/>
        <v>73</v>
      </c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>
      <c r="B2586" s="3"/>
      <c r="C2586" s="3"/>
      <c r="D2586" s="3"/>
      <c r="E2586" s="3"/>
      <c r="F2586" s="2">
        <f>IFERROR(__xludf.DUMMYFUNCTION("""COMPUTED_VALUE"""),81.24)</f>
        <v>81.24</v>
      </c>
      <c r="G2586" s="2">
        <f t="shared" si="2"/>
        <v>81</v>
      </c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>
      <c r="B2587" s="3"/>
      <c r="C2587" s="3"/>
      <c r="D2587" s="3"/>
      <c r="E2587" s="3"/>
      <c r="F2587" s="2">
        <f>IFERROR(__xludf.DUMMYFUNCTION("""COMPUTED_VALUE"""),31.259999999999998)</f>
        <v>31.26</v>
      </c>
      <c r="G2587" s="2">
        <f t="shared" si="2"/>
        <v>31</v>
      </c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>
      <c r="B2588" s="3"/>
      <c r="C2588" s="3"/>
      <c r="D2588" s="3"/>
      <c r="E2588" s="3"/>
      <c r="F2588" s="2">
        <f>IFERROR(__xludf.DUMMYFUNCTION("""COMPUTED_VALUE"""),67.5)</f>
        <v>67.5</v>
      </c>
      <c r="G2588" s="2">
        <f t="shared" si="2"/>
        <v>68</v>
      </c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>
      <c r="B2589" s="3"/>
      <c r="C2589" s="3"/>
      <c r="D2589" s="3"/>
      <c r="E2589" s="3"/>
      <c r="F2589" s="2">
        <f>IFERROR(__xludf.DUMMYFUNCTION("""COMPUTED_VALUE"""),81.24)</f>
        <v>81.24</v>
      </c>
      <c r="G2589" s="2">
        <f t="shared" si="2"/>
        <v>81</v>
      </c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>
      <c r="B2590" s="3"/>
      <c r="C2590" s="3"/>
      <c r="D2590" s="3"/>
      <c r="E2590" s="3"/>
      <c r="F2590" s="2">
        <f>IFERROR(__xludf.DUMMYFUNCTION("""COMPUTED_VALUE"""),37.5)</f>
        <v>37.5</v>
      </c>
      <c r="G2590" s="2">
        <f t="shared" si="2"/>
        <v>38</v>
      </c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>
      <c r="B2591" s="3"/>
      <c r="C2591" s="3"/>
      <c r="D2591" s="3"/>
      <c r="E2591" s="3"/>
      <c r="F2591" s="2">
        <f>IFERROR(__xludf.DUMMYFUNCTION("""COMPUTED_VALUE"""),25.259999999999998)</f>
        <v>25.26</v>
      </c>
      <c r="G2591" s="2">
        <f t="shared" si="2"/>
        <v>25</v>
      </c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>
      <c r="B2592" s="3"/>
      <c r="C2592" s="3"/>
      <c r="D2592" s="3"/>
      <c r="E2592" s="3"/>
      <c r="F2592" s="2">
        <f>IFERROR(__xludf.DUMMYFUNCTION("""COMPUTED_VALUE"""),37.26)</f>
        <v>37.26</v>
      </c>
      <c r="G2592" s="2">
        <f t="shared" si="2"/>
        <v>37</v>
      </c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>
      <c r="B2593" s="3"/>
      <c r="C2593" s="3"/>
      <c r="D2593" s="3"/>
      <c r="E2593" s="3"/>
      <c r="F2593" s="2">
        <f>IFERROR(__xludf.DUMMYFUNCTION("""COMPUTED_VALUE"""),31.44)</f>
        <v>31.44</v>
      </c>
      <c r="G2593" s="2">
        <f t="shared" si="2"/>
        <v>31</v>
      </c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>
      <c r="B2594" s="3"/>
      <c r="C2594" s="3"/>
      <c r="D2594" s="3"/>
      <c r="E2594" s="3"/>
      <c r="F2594" s="2">
        <f>IFERROR(__xludf.DUMMYFUNCTION("""COMPUTED_VALUE"""),74.16)</f>
        <v>74.16</v>
      </c>
      <c r="G2594" s="2">
        <f t="shared" si="2"/>
        <v>74</v>
      </c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>
      <c r="B2595" s="3"/>
      <c r="C2595" s="3"/>
      <c r="D2595" s="3"/>
      <c r="E2595" s="3"/>
      <c r="F2595" s="2">
        <f>IFERROR(__xludf.DUMMYFUNCTION("""COMPUTED_VALUE"""),69.24)</f>
        <v>69.24</v>
      </c>
      <c r="G2595" s="2">
        <f t="shared" si="2"/>
        <v>69</v>
      </c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>
      <c r="B2596" s="3"/>
      <c r="C2596" s="3"/>
      <c r="D2596" s="3"/>
      <c r="E2596" s="3"/>
      <c r="F2596" s="2">
        <f>IFERROR(__xludf.DUMMYFUNCTION("""COMPUTED_VALUE"""),75.36)</f>
        <v>75.36</v>
      </c>
      <c r="G2596" s="2">
        <f t="shared" si="2"/>
        <v>75</v>
      </c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>
      <c r="B2597" s="3"/>
      <c r="C2597" s="3"/>
      <c r="D2597" s="3"/>
      <c r="E2597" s="3"/>
      <c r="F2597" s="2">
        <f>IFERROR(__xludf.DUMMYFUNCTION("""COMPUTED_VALUE"""),43.5)</f>
        <v>43.5</v>
      </c>
      <c r="G2597" s="2">
        <f t="shared" si="2"/>
        <v>44</v>
      </c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>
      <c r="B2598" s="3"/>
      <c r="C2598" s="3"/>
      <c r="D2598" s="3"/>
      <c r="E2598" s="3"/>
      <c r="F2598" s="2">
        <f>IFERROR(__xludf.DUMMYFUNCTION("""COMPUTED_VALUE"""),25.259999999999998)</f>
        <v>25.26</v>
      </c>
      <c r="G2598" s="2">
        <f t="shared" si="2"/>
        <v>25</v>
      </c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>
      <c r="B2599" s="3"/>
      <c r="C2599" s="3"/>
      <c r="D2599" s="3"/>
      <c r="E2599" s="3"/>
      <c r="F2599" s="2">
        <f>IFERROR(__xludf.DUMMYFUNCTION("""COMPUTED_VALUE"""),92.69999999999999)</f>
        <v>92.7</v>
      </c>
      <c r="G2599" s="2">
        <f t="shared" si="2"/>
        <v>93</v>
      </c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0">
      <c r="B2600" s="3"/>
      <c r="C2600" s="3"/>
      <c r="D2600" s="3"/>
      <c r="E2600" s="3"/>
      <c r="F2600" s="2">
        <f>IFERROR(__xludf.DUMMYFUNCTION("""COMPUTED_VALUE"""),49.38)</f>
        <v>49.38</v>
      </c>
      <c r="G2600" s="2">
        <f t="shared" si="2"/>
        <v>49</v>
      </c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</row>
    <row r="2601">
      <c r="B2601" s="3"/>
      <c r="C2601" s="3"/>
      <c r="D2601" s="3"/>
      <c r="E2601" s="3"/>
      <c r="F2601" s="2">
        <f>IFERROR(__xludf.DUMMYFUNCTION("""COMPUTED_VALUE"""),37.26)</f>
        <v>37.26</v>
      </c>
      <c r="G2601" s="2">
        <f t="shared" si="2"/>
        <v>37</v>
      </c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>
      <c r="B2602" s="3"/>
      <c r="C2602" s="3"/>
      <c r="D2602" s="3"/>
      <c r="E2602" s="3"/>
      <c r="F2602" s="2">
        <f>IFERROR(__xludf.DUMMYFUNCTION("""COMPUTED_VALUE"""),91.38)</f>
        <v>91.38</v>
      </c>
      <c r="G2602" s="2">
        <f t="shared" si="2"/>
        <v>91</v>
      </c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>
      <c r="B2603" s="3"/>
      <c r="C2603" s="3"/>
      <c r="D2603" s="3"/>
      <c r="E2603" s="3"/>
      <c r="F2603" s="2">
        <f>IFERROR(__xludf.DUMMYFUNCTION("""COMPUTED_VALUE"""),49.38)</f>
        <v>49.38</v>
      </c>
      <c r="G2603" s="2">
        <f t="shared" si="2"/>
        <v>49</v>
      </c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>
      <c r="B2604" s="3"/>
      <c r="C2604" s="3"/>
      <c r="D2604" s="3"/>
      <c r="E2604" s="3"/>
      <c r="F2604" s="2">
        <f>IFERROR(__xludf.DUMMYFUNCTION("""COMPUTED_VALUE"""),39.24)</f>
        <v>39.24</v>
      </c>
      <c r="G2604" s="2">
        <f t="shared" si="2"/>
        <v>39</v>
      </c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>
      <c r="B2605" s="3"/>
      <c r="C2605" s="3"/>
      <c r="D2605" s="3"/>
      <c r="E2605" s="3"/>
      <c r="F2605" s="2">
        <f>IFERROR(__xludf.DUMMYFUNCTION("""COMPUTED_VALUE"""),48.72)</f>
        <v>48.72</v>
      </c>
      <c r="G2605" s="2">
        <f t="shared" si="2"/>
        <v>49</v>
      </c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>
      <c r="B2606" s="3"/>
      <c r="C2606" s="3"/>
      <c r="D2606" s="3"/>
      <c r="E2606" s="3"/>
      <c r="F2606" s="2">
        <f>IFERROR(__xludf.DUMMYFUNCTION("""COMPUTED_VALUE"""),92.69999999999999)</f>
        <v>92.7</v>
      </c>
      <c r="G2606" s="2">
        <f t="shared" si="2"/>
        <v>93</v>
      </c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>
      <c r="B2607" s="3"/>
      <c r="C2607" s="3"/>
      <c r="D2607" s="3"/>
      <c r="E2607" s="3"/>
      <c r="F2607" s="2">
        <f>IFERROR(__xludf.DUMMYFUNCTION("""COMPUTED_VALUE"""),21.9)</f>
        <v>21.9</v>
      </c>
      <c r="G2607" s="2">
        <f t="shared" si="2"/>
        <v>22</v>
      </c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>
      <c r="B2608" s="3"/>
      <c r="C2608" s="3"/>
      <c r="D2608" s="3"/>
      <c r="E2608" s="3"/>
      <c r="F2608" s="2">
        <f>IFERROR(__xludf.DUMMYFUNCTION("""COMPUTED_VALUE"""),39.24)</f>
        <v>39.24</v>
      </c>
      <c r="G2608" s="2">
        <f t="shared" si="2"/>
        <v>39</v>
      </c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</row>
    <row r="2609">
      <c r="B2609" s="3"/>
      <c r="C2609" s="3"/>
      <c r="D2609" s="3"/>
      <c r="E2609" s="3"/>
      <c r="F2609" s="2">
        <f>IFERROR(__xludf.DUMMYFUNCTION("""COMPUTED_VALUE"""),69.24)</f>
        <v>69.24</v>
      </c>
      <c r="G2609" s="2">
        <f t="shared" si="2"/>
        <v>69</v>
      </c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>
      <c r="B2610" s="3"/>
      <c r="C2610" s="3"/>
      <c r="D2610" s="3"/>
      <c r="E2610" s="3"/>
      <c r="F2610" s="2">
        <f>IFERROR(__xludf.DUMMYFUNCTION("""COMPUTED_VALUE"""),31.259999999999998)</f>
        <v>31.26</v>
      </c>
      <c r="G2610" s="2">
        <f t="shared" si="2"/>
        <v>31</v>
      </c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>
      <c r="B2611" s="3"/>
      <c r="C2611" s="3"/>
      <c r="D2611" s="3"/>
      <c r="E2611" s="3"/>
      <c r="F2611" s="2">
        <f>IFERROR(__xludf.DUMMYFUNCTION("""COMPUTED_VALUE"""),39.24)</f>
        <v>39.24</v>
      </c>
      <c r="G2611" s="2">
        <f t="shared" si="2"/>
        <v>39</v>
      </c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>
      <c r="B2612" s="3"/>
      <c r="C2612" s="3"/>
      <c r="D2612" s="3"/>
      <c r="E2612" s="3"/>
      <c r="F2612" s="2">
        <f>IFERROR(__xludf.DUMMYFUNCTION("""COMPUTED_VALUE"""),25.5)</f>
        <v>25.5</v>
      </c>
      <c r="G2612" s="2">
        <f t="shared" si="2"/>
        <v>26</v>
      </c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>
      <c r="B2613" s="3"/>
      <c r="C2613" s="3"/>
      <c r="D2613" s="3"/>
      <c r="E2613" s="3"/>
      <c r="F2613" s="2">
        <f>IFERROR(__xludf.DUMMYFUNCTION("""COMPUTED_VALUE"""),97.26)</f>
        <v>97.26</v>
      </c>
      <c r="G2613" s="2">
        <f t="shared" si="2"/>
        <v>97</v>
      </c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>
      <c r="B2614" s="3"/>
      <c r="C2614" s="3"/>
      <c r="D2614" s="3"/>
      <c r="E2614" s="3"/>
      <c r="F2614" s="2">
        <f>IFERROR(__xludf.DUMMYFUNCTION("""COMPUTED_VALUE"""),56.699999999999996)</f>
        <v>56.7</v>
      </c>
      <c r="G2614" s="2">
        <f t="shared" si="2"/>
        <v>57</v>
      </c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</row>
    <row r="2615">
      <c r="B2615" s="3"/>
      <c r="C2615" s="3"/>
      <c r="D2615" s="3"/>
      <c r="E2615" s="3"/>
      <c r="F2615" s="2">
        <f>IFERROR(__xludf.DUMMYFUNCTION("""COMPUTED_VALUE"""),31.259999999999998)</f>
        <v>31.26</v>
      </c>
      <c r="G2615" s="2">
        <f t="shared" si="2"/>
        <v>31</v>
      </c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>
      <c r="B2616" s="3"/>
      <c r="C2616" s="3"/>
      <c r="D2616" s="3"/>
      <c r="E2616" s="3"/>
      <c r="F2616" s="2">
        <f>IFERROR(__xludf.DUMMYFUNCTION("""COMPUTED_VALUE"""),81.24)</f>
        <v>81.24</v>
      </c>
      <c r="G2616" s="2">
        <f t="shared" si="2"/>
        <v>81</v>
      </c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>
      <c r="B2617" s="3"/>
      <c r="C2617" s="3"/>
      <c r="D2617" s="3"/>
      <c r="E2617" s="3"/>
      <c r="F2617" s="2">
        <f>IFERROR(__xludf.DUMMYFUNCTION("""COMPUTED_VALUE"""),97.26)</f>
        <v>97.26</v>
      </c>
      <c r="G2617" s="2">
        <f t="shared" si="2"/>
        <v>97</v>
      </c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>
      <c r="B2618" s="3"/>
      <c r="C2618" s="3"/>
      <c r="D2618" s="3"/>
      <c r="E2618" s="3"/>
      <c r="F2618" s="2">
        <f>IFERROR(__xludf.DUMMYFUNCTION("""COMPUTED_VALUE"""),31.44)</f>
        <v>31.44</v>
      </c>
      <c r="G2618" s="2">
        <f t="shared" si="2"/>
        <v>31</v>
      </c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>
      <c r="B2619" s="3"/>
      <c r="C2619" s="3"/>
      <c r="D2619" s="3"/>
      <c r="E2619" s="3"/>
      <c r="F2619" s="2">
        <f>IFERROR(__xludf.DUMMYFUNCTION("""COMPUTED_VALUE"""),56.699999999999996)</f>
        <v>56.7</v>
      </c>
      <c r="G2619" s="2">
        <f t="shared" si="2"/>
        <v>57</v>
      </c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>
      <c r="B2620" s="3"/>
      <c r="C2620" s="3"/>
      <c r="D2620" s="3"/>
      <c r="E2620" s="3"/>
      <c r="F2620" s="2">
        <f>IFERROR(__xludf.DUMMYFUNCTION("""COMPUTED_VALUE"""),37.26)</f>
        <v>37.26</v>
      </c>
      <c r="G2620" s="2">
        <f t="shared" si="2"/>
        <v>37</v>
      </c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>
      <c r="B2621" s="3"/>
      <c r="C2621" s="3"/>
      <c r="D2621" s="3"/>
      <c r="E2621" s="3"/>
      <c r="F2621" s="2">
        <f>IFERROR(__xludf.DUMMYFUNCTION("""COMPUTED_VALUE"""),25.5)</f>
        <v>25.5</v>
      </c>
      <c r="G2621" s="2">
        <f t="shared" si="2"/>
        <v>26</v>
      </c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>
      <c r="B2622" s="3"/>
      <c r="C2622" s="3"/>
      <c r="D2622" s="3"/>
      <c r="E2622" s="3"/>
      <c r="F2622" s="2">
        <f>IFERROR(__xludf.DUMMYFUNCTION("""COMPUTED_VALUE"""),39.24)</f>
        <v>39.24</v>
      </c>
      <c r="G2622" s="2">
        <f t="shared" si="2"/>
        <v>39</v>
      </c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>
      <c r="B2623" s="3"/>
      <c r="C2623" s="3"/>
      <c r="D2623" s="3"/>
      <c r="E2623" s="3"/>
      <c r="F2623" s="2">
        <f>IFERROR(__xludf.DUMMYFUNCTION("""COMPUTED_VALUE"""),37.5)</f>
        <v>37.5</v>
      </c>
      <c r="G2623" s="2">
        <f t="shared" si="2"/>
        <v>38</v>
      </c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>
      <c r="B2624" s="3"/>
      <c r="C2624" s="3"/>
      <c r="D2624" s="3"/>
      <c r="E2624" s="3"/>
      <c r="F2624" s="2">
        <f>IFERROR(__xludf.DUMMYFUNCTION("""COMPUTED_VALUE"""),37.26)</f>
        <v>37.26</v>
      </c>
      <c r="G2624" s="2">
        <f t="shared" si="2"/>
        <v>37</v>
      </c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>
      <c r="B2625" s="3"/>
      <c r="C2625" s="3"/>
      <c r="D2625" s="3"/>
      <c r="E2625" s="3"/>
      <c r="F2625" s="2">
        <f>IFERROR(__xludf.DUMMYFUNCTION("""COMPUTED_VALUE"""),37.5)</f>
        <v>37.5</v>
      </c>
      <c r="G2625" s="2">
        <f t="shared" si="2"/>
        <v>38</v>
      </c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>
      <c r="B2626" s="3"/>
      <c r="C2626" s="3"/>
      <c r="D2626" s="3"/>
      <c r="E2626" s="3"/>
      <c r="F2626" s="2">
        <f>IFERROR(__xludf.DUMMYFUNCTION("""COMPUTED_VALUE"""),57.239999999999995)</f>
        <v>57.24</v>
      </c>
      <c r="G2626" s="2">
        <f t="shared" si="2"/>
        <v>57</v>
      </c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>
      <c r="B2627" s="3"/>
      <c r="C2627" s="3"/>
      <c r="D2627" s="3"/>
      <c r="E2627" s="3"/>
      <c r="F2627" s="2">
        <f>IFERROR(__xludf.DUMMYFUNCTION("""COMPUTED_VALUE"""),111.35999999999999)</f>
        <v>111.36</v>
      </c>
      <c r="G2627" s="2">
        <f t="shared" si="2"/>
        <v>111</v>
      </c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>
      <c r="B2628" s="3"/>
      <c r="C2628" s="3"/>
      <c r="D2628" s="3"/>
      <c r="E2628" s="3"/>
      <c r="F2628" s="2">
        <f>IFERROR(__xludf.DUMMYFUNCTION("""COMPUTED_VALUE"""),81.24)</f>
        <v>81.24</v>
      </c>
      <c r="G2628" s="2">
        <f t="shared" si="2"/>
        <v>81</v>
      </c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>
      <c r="B2629" s="3"/>
      <c r="C2629" s="3"/>
      <c r="D2629" s="3"/>
      <c r="E2629" s="3"/>
      <c r="F2629" s="2">
        <f>IFERROR(__xludf.DUMMYFUNCTION("""COMPUTED_VALUE"""),97.26)</f>
        <v>97.26</v>
      </c>
      <c r="G2629" s="2">
        <f t="shared" si="2"/>
        <v>97</v>
      </c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>
      <c r="B2630" s="3"/>
      <c r="C2630" s="3"/>
      <c r="D2630" s="3"/>
      <c r="E2630" s="3"/>
      <c r="F2630" s="2">
        <f>IFERROR(__xludf.DUMMYFUNCTION("""COMPUTED_VALUE"""),19.5)</f>
        <v>19.5</v>
      </c>
      <c r="G2630" s="2">
        <f t="shared" si="2"/>
        <v>20</v>
      </c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>
      <c r="B2631" s="3"/>
      <c r="C2631" s="3"/>
      <c r="D2631" s="3"/>
      <c r="E2631" s="3"/>
      <c r="F2631" s="2">
        <f>IFERROR(__xludf.DUMMYFUNCTION("""COMPUTED_VALUE"""),37.26)</f>
        <v>37.26</v>
      </c>
      <c r="G2631" s="2">
        <f t="shared" si="2"/>
        <v>37</v>
      </c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>
      <c r="B2632" s="3"/>
      <c r="C2632" s="3"/>
      <c r="D2632" s="3"/>
      <c r="E2632" s="3"/>
      <c r="F2632" s="2">
        <f>IFERROR(__xludf.DUMMYFUNCTION("""COMPUTED_VALUE"""),33.900000000000006)</f>
        <v>33.9</v>
      </c>
      <c r="G2632" s="2">
        <f t="shared" si="2"/>
        <v>34</v>
      </c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>
      <c r="B2633" s="3"/>
      <c r="C2633" s="3"/>
      <c r="D2633" s="3"/>
      <c r="E2633" s="3"/>
      <c r="F2633" s="2">
        <f>IFERROR(__xludf.DUMMYFUNCTION("""COMPUTED_VALUE"""),115.38)</f>
        <v>115.38</v>
      </c>
      <c r="G2633" s="2">
        <f t="shared" si="2"/>
        <v>115</v>
      </c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>
      <c r="B2634" s="3"/>
      <c r="C2634" s="3"/>
      <c r="D2634" s="3"/>
      <c r="E2634" s="3"/>
      <c r="F2634" s="2">
        <f>IFERROR(__xludf.DUMMYFUNCTION("""COMPUTED_VALUE"""),37.26)</f>
        <v>37.26</v>
      </c>
      <c r="G2634" s="2">
        <f t="shared" si="2"/>
        <v>37</v>
      </c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>
      <c r="B2635" s="3"/>
      <c r="C2635" s="3"/>
      <c r="D2635" s="3"/>
      <c r="E2635" s="3"/>
      <c r="F2635" s="2">
        <f>IFERROR(__xludf.DUMMYFUNCTION("""COMPUTED_VALUE"""),73.44)</f>
        <v>73.44</v>
      </c>
      <c r="G2635" s="2">
        <f t="shared" si="2"/>
        <v>73</v>
      </c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>
      <c r="B2636" s="3"/>
      <c r="C2636" s="3"/>
      <c r="D2636" s="3"/>
      <c r="E2636" s="3"/>
      <c r="F2636" s="2">
        <f>IFERROR(__xludf.DUMMYFUNCTION("""COMPUTED_VALUE"""),171.35999999999999)</f>
        <v>171.36</v>
      </c>
      <c r="G2636" s="2">
        <f t="shared" si="2"/>
        <v>171</v>
      </c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>
      <c r="B2637" s="3"/>
      <c r="C2637" s="3"/>
      <c r="D2637" s="3"/>
      <c r="E2637" s="3"/>
      <c r="F2637" s="2">
        <f>IFERROR(__xludf.DUMMYFUNCTION("""COMPUTED_VALUE"""),67.5)</f>
        <v>67.5</v>
      </c>
      <c r="G2637" s="2">
        <f t="shared" si="2"/>
        <v>68</v>
      </c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>
      <c r="B2638" s="3"/>
      <c r="C2638" s="3"/>
      <c r="D2638" s="3"/>
      <c r="E2638" s="3"/>
      <c r="F2638" s="2">
        <f>IFERROR(__xludf.DUMMYFUNCTION("""COMPUTED_VALUE"""),111.35999999999999)</f>
        <v>111.36</v>
      </c>
      <c r="G2638" s="2">
        <f t="shared" si="2"/>
        <v>111</v>
      </c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>
      <c r="B2639" s="3"/>
      <c r="C2639" s="3"/>
      <c r="D2639" s="3"/>
      <c r="E2639" s="3"/>
      <c r="F2639" s="2">
        <f>IFERROR(__xludf.DUMMYFUNCTION("""COMPUTED_VALUE"""),91.38)</f>
        <v>91.38</v>
      </c>
      <c r="G2639" s="2">
        <f t="shared" si="2"/>
        <v>91</v>
      </c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>
      <c r="B2640" s="3"/>
      <c r="C2640" s="3"/>
      <c r="D2640" s="3"/>
      <c r="E2640" s="3"/>
      <c r="F2640" s="2">
        <f>IFERROR(__xludf.DUMMYFUNCTION("""COMPUTED_VALUE"""),21.9)</f>
        <v>21.9</v>
      </c>
      <c r="G2640" s="2">
        <f t="shared" si="2"/>
        <v>22</v>
      </c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>
      <c r="B2641" s="3"/>
      <c r="C2641" s="3"/>
      <c r="D2641" s="3"/>
      <c r="E2641" s="3"/>
      <c r="F2641" s="2">
        <f>IFERROR(__xludf.DUMMYFUNCTION("""COMPUTED_VALUE"""),92.69999999999999)</f>
        <v>92.7</v>
      </c>
      <c r="G2641" s="2">
        <f t="shared" si="2"/>
        <v>93</v>
      </c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>
      <c r="B2642" s="3"/>
      <c r="C2642" s="3"/>
      <c r="D2642" s="3"/>
      <c r="E2642" s="3"/>
      <c r="F2642" s="2">
        <f>IFERROR(__xludf.DUMMYFUNCTION("""COMPUTED_VALUE"""),39.24)</f>
        <v>39.24</v>
      </c>
      <c r="G2642" s="2">
        <f t="shared" si="2"/>
        <v>39</v>
      </c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>
      <c r="B2643" s="3"/>
      <c r="C2643" s="3"/>
      <c r="D2643" s="3"/>
      <c r="E2643" s="3"/>
      <c r="F2643" s="2">
        <f>IFERROR(__xludf.DUMMYFUNCTION("""COMPUTED_VALUE"""),49.38)</f>
        <v>49.38</v>
      </c>
      <c r="G2643" s="2">
        <f t="shared" si="2"/>
        <v>49</v>
      </c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>
      <c r="B2644" s="3"/>
      <c r="C2644" s="3"/>
      <c r="D2644" s="3"/>
      <c r="E2644" s="3"/>
      <c r="F2644" s="2">
        <f>IFERROR(__xludf.DUMMYFUNCTION("""COMPUTED_VALUE"""),97.26)</f>
        <v>97.26</v>
      </c>
      <c r="G2644" s="2">
        <f t="shared" si="2"/>
        <v>97</v>
      </c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>
      <c r="B2645" s="3"/>
      <c r="C2645" s="3"/>
      <c r="D2645" s="3"/>
      <c r="E2645" s="3"/>
      <c r="F2645" s="2">
        <f>IFERROR(__xludf.DUMMYFUNCTION("""COMPUTED_VALUE"""),115.38)</f>
        <v>115.38</v>
      </c>
      <c r="G2645" s="2">
        <f t="shared" si="2"/>
        <v>115</v>
      </c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>
      <c r="B2646" s="3"/>
      <c r="C2646" s="3"/>
      <c r="D2646" s="3"/>
      <c r="E2646" s="3"/>
      <c r="F2646" s="2">
        <f>IFERROR(__xludf.DUMMYFUNCTION("""COMPUTED_VALUE"""),97.26)</f>
        <v>97.26</v>
      </c>
      <c r="G2646" s="2">
        <f t="shared" si="2"/>
        <v>97</v>
      </c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>
      <c r="B2647" s="3"/>
      <c r="C2647" s="3"/>
      <c r="D2647" s="3"/>
      <c r="E2647" s="3"/>
      <c r="F2647" s="2">
        <f>IFERROR(__xludf.DUMMYFUNCTION("""COMPUTED_VALUE"""),81.24)</f>
        <v>81.24</v>
      </c>
      <c r="G2647" s="2">
        <f t="shared" si="2"/>
        <v>81</v>
      </c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>
      <c r="B2648" s="3"/>
      <c r="C2648" s="3"/>
      <c r="D2648" s="3"/>
      <c r="E2648" s="3"/>
      <c r="F2648" s="2">
        <f>IFERROR(__xludf.DUMMYFUNCTION("""COMPUTED_VALUE"""),31.259999999999998)</f>
        <v>31.26</v>
      </c>
      <c r="G2648" s="2">
        <f t="shared" si="2"/>
        <v>31</v>
      </c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>
      <c r="B2649" s="3"/>
      <c r="C2649" s="3"/>
      <c r="D2649" s="3"/>
      <c r="E2649" s="3"/>
      <c r="F2649" s="2">
        <f>IFERROR(__xludf.DUMMYFUNCTION("""COMPUTED_VALUE"""),81.24)</f>
        <v>81.24</v>
      </c>
      <c r="G2649" s="2">
        <f t="shared" si="2"/>
        <v>81</v>
      </c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>
      <c r="B2650" s="3"/>
      <c r="C2650" s="3"/>
      <c r="D2650" s="3"/>
      <c r="E2650" s="3"/>
      <c r="F2650" s="2">
        <f>IFERROR(__xludf.DUMMYFUNCTION("""COMPUTED_VALUE"""),48.72)</f>
        <v>48.72</v>
      </c>
      <c r="G2650" s="2">
        <f t="shared" si="2"/>
        <v>49</v>
      </c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>
      <c r="B2651" s="3"/>
      <c r="C2651" s="3"/>
      <c r="D2651" s="3"/>
      <c r="E2651" s="3"/>
      <c r="F2651" s="2">
        <f>IFERROR(__xludf.DUMMYFUNCTION("""COMPUTED_VALUE"""),91.38)</f>
        <v>91.38</v>
      </c>
      <c r="G2651" s="2">
        <f t="shared" si="2"/>
        <v>91</v>
      </c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>
      <c r="B2652" s="3"/>
      <c r="C2652" s="3"/>
      <c r="D2652" s="3"/>
      <c r="E2652" s="3"/>
      <c r="F2652" s="2">
        <f>IFERROR(__xludf.DUMMYFUNCTION("""COMPUTED_VALUE"""),69.24)</f>
        <v>69.24</v>
      </c>
      <c r="G2652" s="2">
        <f t="shared" si="2"/>
        <v>69</v>
      </c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>
      <c r="B2653" s="3"/>
      <c r="C2653" s="3"/>
      <c r="D2653" s="3"/>
      <c r="E2653" s="3"/>
      <c r="F2653" s="2">
        <f>IFERROR(__xludf.DUMMYFUNCTION("""COMPUTED_VALUE"""),81.24)</f>
        <v>81.24</v>
      </c>
      <c r="G2653" s="2">
        <f t="shared" si="2"/>
        <v>81</v>
      </c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>
      <c r="B2654" s="3"/>
      <c r="C2654" s="3"/>
      <c r="D2654" s="3"/>
      <c r="E2654" s="3"/>
      <c r="F2654" s="2">
        <f>IFERROR(__xludf.DUMMYFUNCTION("""COMPUTED_VALUE"""),37.26)</f>
        <v>37.26</v>
      </c>
      <c r="G2654" s="2">
        <f t="shared" si="2"/>
        <v>37</v>
      </c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>
      <c r="B2655" s="3"/>
      <c r="C2655" s="3"/>
      <c r="D2655" s="3"/>
      <c r="E2655" s="3"/>
      <c r="F2655" s="2">
        <f>IFERROR(__xludf.DUMMYFUNCTION("""COMPUTED_VALUE"""),103.38)</f>
        <v>103.38</v>
      </c>
      <c r="G2655" s="2">
        <f t="shared" si="2"/>
        <v>103</v>
      </c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>
      <c r="B2656" s="3"/>
      <c r="C2656" s="3"/>
      <c r="D2656" s="3"/>
      <c r="E2656" s="3"/>
      <c r="F2656" s="2">
        <f>IFERROR(__xludf.DUMMYFUNCTION("""COMPUTED_VALUE"""),37.5)</f>
        <v>37.5</v>
      </c>
      <c r="G2656" s="2">
        <f t="shared" si="2"/>
        <v>38</v>
      </c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>
      <c r="B2657" s="3"/>
      <c r="C2657" s="3"/>
      <c r="D2657" s="3"/>
      <c r="E2657" s="3"/>
      <c r="F2657" s="2">
        <f>IFERROR(__xludf.DUMMYFUNCTION("""COMPUTED_VALUE"""),48.72)</f>
        <v>48.72</v>
      </c>
      <c r="G2657" s="2">
        <f t="shared" si="2"/>
        <v>49</v>
      </c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>
      <c r="B2658" s="3"/>
      <c r="C2658" s="3"/>
      <c r="D2658" s="3"/>
      <c r="E2658" s="3"/>
      <c r="F2658" s="2">
        <f>IFERROR(__xludf.DUMMYFUNCTION("""COMPUTED_VALUE"""),21.9)</f>
        <v>21.9</v>
      </c>
      <c r="G2658" s="2">
        <f t="shared" si="2"/>
        <v>22</v>
      </c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>
      <c r="B2659" s="3"/>
      <c r="C2659" s="3"/>
      <c r="D2659" s="3"/>
      <c r="E2659" s="3"/>
      <c r="F2659" s="2">
        <f>IFERROR(__xludf.DUMMYFUNCTION("""COMPUTED_VALUE"""),171.35999999999999)</f>
        <v>171.36</v>
      </c>
      <c r="G2659" s="2">
        <f t="shared" si="2"/>
        <v>171</v>
      </c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>
      <c r="B2660" s="3"/>
      <c r="C2660" s="3"/>
      <c r="D2660" s="3"/>
      <c r="E2660" s="3"/>
      <c r="F2660" s="2">
        <f>IFERROR(__xludf.DUMMYFUNCTION("""COMPUTED_VALUE"""),21.9)</f>
        <v>21.9</v>
      </c>
      <c r="G2660" s="2">
        <f t="shared" si="2"/>
        <v>22</v>
      </c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>
      <c r="B2661" s="3"/>
      <c r="C2661" s="3"/>
      <c r="D2661" s="3"/>
      <c r="E2661" s="3"/>
      <c r="F2661" s="2">
        <f>IFERROR(__xludf.DUMMYFUNCTION("""COMPUTED_VALUE"""),67.38)</f>
        <v>67.38</v>
      </c>
      <c r="G2661" s="2">
        <f t="shared" si="2"/>
        <v>67</v>
      </c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>
      <c r="B2662" s="3"/>
      <c r="C2662" s="3"/>
      <c r="D2662" s="3"/>
      <c r="E2662" s="3"/>
      <c r="F2662" s="2">
        <f>IFERROR(__xludf.DUMMYFUNCTION("""COMPUTED_VALUE"""),25.5)</f>
        <v>25.5</v>
      </c>
      <c r="G2662" s="2">
        <f t="shared" si="2"/>
        <v>26</v>
      </c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>
      <c r="B2663" s="3"/>
      <c r="C2663" s="3"/>
      <c r="D2663" s="3"/>
      <c r="E2663" s="3"/>
      <c r="F2663" s="2">
        <f>IFERROR(__xludf.DUMMYFUNCTION("""COMPUTED_VALUE"""),19.5)</f>
        <v>19.5</v>
      </c>
      <c r="G2663" s="2">
        <f t="shared" si="2"/>
        <v>20</v>
      </c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>
      <c r="B2664" s="3"/>
      <c r="C2664" s="3"/>
      <c r="D2664" s="3"/>
      <c r="E2664" s="3"/>
      <c r="F2664" s="2">
        <f>IFERROR(__xludf.DUMMYFUNCTION("""COMPUTED_VALUE"""),56.699999999999996)</f>
        <v>56.7</v>
      </c>
      <c r="G2664" s="2">
        <f t="shared" si="2"/>
        <v>57</v>
      </c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>
      <c r="B2665" s="3"/>
      <c r="C2665" s="3"/>
      <c r="D2665" s="3"/>
      <c r="E2665" s="3"/>
      <c r="F2665" s="2">
        <f>IFERROR(__xludf.DUMMYFUNCTION("""COMPUTED_VALUE"""),33.900000000000006)</f>
        <v>33.9</v>
      </c>
      <c r="G2665" s="2">
        <f t="shared" si="2"/>
        <v>34</v>
      </c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>
      <c r="B2666" s="3"/>
      <c r="C2666" s="3"/>
      <c r="D2666" s="3"/>
      <c r="E2666" s="3"/>
      <c r="F2666" s="2">
        <f>IFERROR(__xludf.DUMMYFUNCTION("""COMPUTED_VALUE"""),67.5)</f>
        <v>67.5</v>
      </c>
      <c r="G2666" s="2">
        <f t="shared" si="2"/>
        <v>68</v>
      </c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>
      <c r="B2667" s="3"/>
      <c r="C2667" s="3"/>
      <c r="D2667" s="3"/>
      <c r="E2667" s="3"/>
      <c r="F2667" s="2">
        <f>IFERROR(__xludf.DUMMYFUNCTION("""COMPUTED_VALUE"""),74.16)</f>
        <v>74.16</v>
      </c>
      <c r="G2667" s="2">
        <f t="shared" si="2"/>
        <v>74</v>
      </c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>
      <c r="B2668" s="3"/>
      <c r="C2668" s="3"/>
      <c r="D2668" s="3"/>
      <c r="E2668" s="3"/>
      <c r="F2668" s="2">
        <f>IFERROR(__xludf.DUMMYFUNCTION("""COMPUTED_VALUE"""),33.900000000000006)</f>
        <v>33.9</v>
      </c>
      <c r="G2668" s="2">
        <f t="shared" si="2"/>
        <v>34</v>
      </c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>
      <c r="B2669" s="3"/>
      <c r="C2669" s="3"/>
      <c r="D2669" s="3"/>
      <c r="E2669" s="3"/>
      <c r="F2669" s="2">
        <f>IFERROR(__xludf.DUMMYFUNCTION("""COMPUTED_VALUE"""),37.26)</f>
        <v>37.26</v>
      </c>
      <c r="G2669" s="2">
        <f t="shared" si="2"/>
        <v>37</v>
      </c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>
      <c r="B2670" s="3"/>
      <c r="C2670" s="3"/>
      <c r="D2670" s="3"/>
      <c r="E2670" s="3"/>
      <c r="F2670" s="2">
        <f>IFERROR(__xludf.DUMMYFUNCTION("""COMPUTED_VALUE"""),75.36)</f>
        <v>75.36</v>
      </c>
      <c r="G2670" s="2">
        <f t="shared" si="2"/>
        <v>75</v>
      </c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>
      <c r="B2671" s="3"/>
      <c r="C2671" s="3"/>
      <c r="D2671" s="3"/>
      <c r="E2671" s="3"/>
      <c r="F2671" s="2">
        <f>IFERROR(__xludf.DUMMYFUNCTION("""COMPUTED_VALUE"""),21.06)</f>
        <v>21.06</v>
      </c>
      <c r="G2671" s="2">
        <f t="shared" si="2"/>
        <v>21</v>
      </c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>
      <c r="B2672" s="3"/>
      <c r="C2672" s="3"/>
      <c r="D2672" s="3"/>
      <c r="E2672" s="3"/>
      <c r="F2672" s="2">
        <f>IFERROR(__xludf.DUMMYFUNCTION("""COMPUTED_VALUE"""),97.26)</f>
        <v>97.26</v>
      </c>
      <c r="G2672" s="2">
        <f t="shared" si="2"/>
        <v>97</v>
      </c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>
      <c r="B2673" s="3"/>
      <c r="C2673" s="3"/>
      <c r="D2673" s="3"/>
      <c r="E2673" s="3"/>
      <c r="F2673" s="2">
        <f>IFERROR(__xludf.DUMMYFUNCTION("""COMPUTED_VALUE"""),85.5)</f>
        <v>85.5</v>
      </c>
      <c r="G2673" s="2">
        <f t="shared" si="2"/>
        <v>86</v>
      </c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>
      <c r="B2674" s="3"/>
      <c r="C2674" s="3"/>
      <c r="D2674" s="3"/>
      <c r="E2674" s="3"/>
      <c r="F2674" s="2">
        <f>IFERROR(__xludf.DUMMYFUNCTION("""COMPUTED_VALUE"""),67.5)</f>
        <v>67.5</v>
      </c>
      <c r="G2674" s="2">
        <f t="shared" si="2"/>
        <v>68</v>
      </c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>
      <c r="B2675" s="3"/>
      <c r="C2675" s="3"/>
      <c r="D2675" s="3"/>
      <c r="E2675" s="3"/>
      <c r="F2675" s="2">
        <f>IFERROR(__xludf.DUMMYFUNCTION("""COMPUTED_VALUE"""),67.38)</f>
        <v>67.38</v>
      </c>
      <c r="G2675" s="2">
        <f t="shared" si="2"/>
        <v>67</v>
      </c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>
      <c r="B2676" s="3"/>
      <c r="C2676" s="3"/>
      <c r="D2676" s="3"/>
      <c r="E2676" s="3"/>
      <c r="F2676" s="2">
        <f>IFERROR(__xludf.DUMMYFUNCTION("""COMPUTED_VALUE"""),32.7)</f>
        <v>32.7</v>
      </c>
      <c r="G2676" s="2">
        <f t="shared" si="2"/>
        <v>33</v>
      </c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>
      <c r="B2677" s="3"/>
      <c r="C2677" s="3"/>
      <c r="D2677" s="3"/>
      <c r="E2677" s="3"/>
      <c r="F2677" s="2">
        <f>IFERROR(__xludf.DUMMYFUNCTION("""COMPUTED_VALUE"""),115.38)</f>
        <v>115.38</v>
      </c>
      <c r="G2677" s="2">
        <f t="shared" si="2"/>
        <v>115</v>
      </c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>
      <c r="B2678" s="3"/>
      <c r="C2678" s="3"/>
      <c r="D2678" s="3"/>
      <c r="E2678" s="3"/>
      <c r="F2678" s="2">
        <f>IFERROR(__xludf.DUMMYFUNCTION("""COMPUTED_VALUE"""),33.900000000000006)</f>
        <v>33.9</v>
      </c>
      <c r="G2678" s="2">
        <f t="shared" si="2"/>
        <v>34</v>
      </c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>
      <c r="B2679" s="3"/>
      <c r="C2679" s="3"/>
      <c r="D2679" s="3"/>
      <c r="E2679" s="3"/>
      <c r="F2679" s="2">
        <f>IFERROR(__xludf.DUMMYFUNCTION("""COMPUTED_VALUE"""),57.239999999999995)</f>
        <v>57.24</v>
      </c>
      <c r="G2679" s="2">
        <f t="shared" si="2"/>
        <v>57</v>
      </c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>
      <c r="B2680" s="3"/>
      <c r="C2680" s="3"/>
      <c r="D2680" s="3"/>
      <c r="E2680" s="3"/>
      <c r="F2680" s="2">
        <f>IFERROR(__xludf.DUMMYFUNCTION("""COMPUTED_VALUE"""),37.5)</f>
        <v>37.5</v>
      </c>
      <c r="G2680" s="2">
        <f t="shared" si="2"/>
        <v>38</v>
      </c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>
      <c r="B2681" s="3"/>
      <c r="C2681" s="3"/>
      <c r="D2681" s="3"/>
      <c r="E2681" s="3"/>
      <c r="F2681" s="2">
        <f>IFERROR(__xludf.DUMMYFUNCTION("""COMPUTED_VALUE"""),67.38)</f>
        <v>67.38</v>
      </c>
      <c r="G2681" s="2">
        <f t="shared" si="2"/>
        <v>67</v>
      </c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>
      <c r="B2682" s="3"/>
      <c r="C2682" s="3"/>
      <c r="D2682" s="3"/>
      <c r="E2682" s="3"/>
      <c r="F2682" s="2">
        <f>IFERROR(__xludf.DUMMYFUNCTION("""COMPUTED_VALUE"""),31.44)</f>
        <v>31.44</v>
      </c>
      <c r="G2682" s="2">
        <f t="shared" si="2"/>
        <v>31</v>
      </c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>
      <c r="B2683" s="3"/>
      <c r="C2683" s="3"/>
      <c r="D2683" s="3"/>
      <c r="E2683" s="3"/>
      <c r="F2683" s="2">
        <f>IFERROR(__xludf.DUMMYFUNCTION("""COMPUTED_VALUE"""),21.06)</f>
        <v>21.06</v>
      </c>
      <c r="G2683" s="2">
        <f t="shared" si="2"/>
        <v>21</v>
      </c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>
      <c r="B2684" s="3"/>
      <c r="C2684" s="3"/>
      <c r="D2684" s="3"/>
      <c r="E2684" s="3"/>
      <c r="F2684" s="2">
        <f>IFERROR(__xludf.DUMMYFUNCTION("""COMPUTED_VALUE"""),19.5)</f>
        <v>19.5</v>
      </c>
      <c r="G2684" s="2">
        <f t="shared" si="2"/>
        <v>20</v>
      </c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>
      <c r="B2685" s="3"/>
      <c r="C2685" s="3"/>
      <c r="D2685" s="3"/>
      <c r="E2685" s="3"/>
      <c r="F2685" s="2">
        <f>IFERROR(__xludf.DUMMYFUNCTION("""COMPUTED_VALUE"""),37.26)</f>
        <v>37.26</v>
      </c>
      <c r="G2685" s="2">
        <f t="shared" si="2"/>
        <v>37</v>
      </c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>
      <c r="B2686" s="3"/>
      <c r="C2686" s="3"/>
      <c r="D2686" s="3"/>
      <c r="E2686" s="3"/>
      <c r="F2686" s="2">
        <f>IFERROR(__xludf.DUMMYFUNCTION("""COMPUTED_VALUE"""),73.44)</f>
        <v>73.44</v>
      </c>
      <c r="G2686" s="2">
        <f t="shared" si="2"/>
        <v>73</v>
      </c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>
      <c r="B2687" s="3"/>
      <c r="C2687" s="3"/>
      <c r="D2687" s="3"/>
      <c r="E2687" s="3"/>
      <c r="F2687" s="2">
        <f>IFERROR(__xludf.DUMMYFUNCTION("""COMPUTED_VALUE"""),37.26)</f>
        <v>37.26</v>
      </c>
      <c r="G2687" s="2">
        <f t="shared" si="2"/>
        <v>37</v>
      </c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>
      <c r="B2688" s="3"/>
      <c r="C2688" s="3"/>
      <c r="D2688" s="3"/>
      <c r="E2688" s="3"/>
      <c r="F2688" s="2">
        <f>IFERROR(__xludf.DUMMYFUNCTION("""COMPUTED_VALUE"""),74.16)</f>
        <v>74.16</v>
      </c>
      <c r="G2688" s="2">
        <f t="shared" si="2"/>
        <v>74</v>
      </c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>
      <c r="B2689" s="3"/>
      <c r="C2689" s="3"/>
      <c r="D2689" s="3"/>
      <c r="E2689" s="3"/>
      <c r="F2689" s="2">
        <f>IFERROR(__xludf.DUMMYFUNCTION("""COMPUTED_VALUE"""),74.16)</f>
        <v>74.16</v>
      </c>
      <c r="G2689" s="2">
        <f t="shared" si="2"/>
        <v>74</v>
      </c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>
      <c r="B2690" s="3"/>
      <c r="C2690" s="3"/>
      <c r="D2690" s="3"/>
      <c r="E2690" s="3"/>
      <c r="F2690" s="2">
        <f>IFERROR(__xludf.DUMMYFUNCTION("""COMPUTED_VALUE"""),19.5)</f>
        <v>19.5</v>
      </c>
      <c r="G2690" s="2">
        <f t="shared" si="2"/>
        <v>20</v>
      </c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>
      <c r="B2691" s="3"/>
      <c r="C2691" s="3"/>
      <c r="D2691" s="3"/>
      <c r="E2691" s="3"/>
      <c r="F2691" s="2">
        <f>IFERROR(__xludf.DUMMYFUNCTION("""COMPUTED_VALUE"""),37.26)</f>
        <v>37.26</v>
      </c>
      <c r="G2691" s="2">
        <f t="shared" si="2"/>
        <v>37</v>
      </c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>
      <c r="B2692" s="3"/>
      <c r="C2692" s="3"/>
      <c r="D2692" s="3"/>
      <c r="E2692" s="3"/>
      <c r="F2692" s="2">
        <f>IFERROR(__xludf.DUMMYFUNCTION("""COMPUTED_VALUE"""),92.69999999999999)</f>
        <v>92.7</v>
      </c>
      <c r="G2692" s="2">
        <f t="shared" si="2"/>
        <v>93</v>
      </c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>
      <c r="B2693" s="3"/>
      <c r="C2693" s="3"/>
      <c r="D2693" s="3"/>
      <c r="E2693" s="3"/>
      <c r="F2693" s="2">
        <f>IFERROR(__xludf.DUMMYFUNCTION("""COMPUTED_VALUE"""),25.5)</f>
        <v>25.5</v>
      </c>
      <c r="G2693" s="2">
        <f t="shared" si="2"/>
        <v>26</v>
      </c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>
      <c r="B2694" s="3"/>
      <c r="C2694" s="3"/>
      <c r="D2694" s="3"/>
      <c r="E2694" s="3"/>
      <c r="F2694" s="2">
        <f>IFERROR(__xludf.DUMMYFUNCTION("""COMPUTED_VALUE"""),67.5)</f>
        <v>67.5</v>
      </c>
      <c r="G2694" s="2">
        <f t="shared" si="2"/>
        <v>68</v>
      </c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>
      <c r="B2695" s="3"/>
      <c r="C2695" s="3"/>
      <c r="D2695" s="3"/>
      <c r="E2695" s="3"/>
      <c r="F2695" s="2">
        <f>IFERROR(__xludf.DUMMYFUNCTION("""COMPUTED_VALUE"""),43.5)</f>
        <v>43.5</v>
      </c>
      <c r="G2695" s="2">
        <f t="shared" si="2"/>
        <v>44</v>
      </c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>
      <c r="B2696" s="3"/>
      <c r="C2696" s="3"/>
      <c r="D2696" s="3"/>
      <c r="E2696" s="3"/>
      <c r="F2696" s="2">
        <f>IFERROR(__xludf.DUMMYFUNCTION("""COMPUTED_VALUE"""),31.44)</f>
        <v>31.44</v>
      </c>
      <c r="G2696" s="2">
        <f t="shared" si="2"/>
        <v>31</v>
      </c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>
      <c r="B2697" s="3"/>
      <c r="C2697" s="3"/>
      <c r="D2697" s="3"/>
      <c r="E2697" s="3"/>
      <c r="F2697" s="2">
        <f>IFERROR(__xludf.DUMMYFUNCTION("""COMPUTED_VALUE"""),57.239999999999995)</f>
        <v>57.24</v>
      </c>
      <c r="G2697" s="2">
        <f t="shared" si="2"/>
        <v>57</v>
      </c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>
      <c r="B2698" s="3"/>
      <c r="C2698" s="3"/>
      <c r="D2698" s="3"/>
      <c r="E2698" s="3"/>
      <c r="F2698" s="2">
        <f>IFERROR(__xludf.DUMMYFUNCTION("""COMPUTED_VALUE"""),25.259999999999998)</f>
        <v>25.26</v>
      </c>
      <c r="G2698" s="2">
        <f t="shared" si="2"/>
        <v>25</v>
      </c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>
      <c r="B2699" s="3"/>
      <c r="C2699" s="3"/>
      <c r="D2699" s="3"/>
      <c r="E2699" s="3"/>
      <c r="F2699" s="2">
        <f>IFERROR(__xludf.DUMMYFUNCTION("""COMPUTED_VALUE"""),67.5)</f>
        <v>67.5</v>
      </c>
      <c r="G2699" s="2">
        <f t="shared" si="2"/>
        <v>68</v>
      </c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>
      <c r="B2700" s="3"/>
      <c r="C2700" s="3"/>
      <c r="D2700" s="3"/>
      <c r="E2700" s="3"/>
      <c r="F2700" s="2">
        <f>IFERROR(__xludf.DUMMYFUNCTION("""COMPUTED_VALUE"""),103.38)</f>
        <v>103.38</v>
      </c>
      <c r="G2700" s="2">
        <f t="shared" si="2"/>
        <v>103</v>
      </c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>
      <c r="B2701" s="3"/>
      <c r="C2701" s="3"/>
      <c r="D2701" s="3"/>
      <c r="E2701" s="3"/>
      <c r="F2701" s="2">
        <f>IFERROR(__xludf.DUMMYFUNCTION("""COMPUTED_VALUE"""),85.5)</f>
        <v>85.5</v>
      </c>
      <c r="G2701" s="2">
        <f t="shared" si="2"/>
        <v>86</v>
      </c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>
      <c r="B2702" s="3"/>
      <c r="C2702" s="3"/>
      <c r="D2702" s="3"/>
      <c r="E2702" s="3"/>
      <c r="F2702" s="2">
        <f>IFERROR(__xludf.DUMMYFUNCTION("""COMPUTED_VALUE"""),85.5)</f>
        <v>85.5</v>
      </c>
      <c r="G2702" s="2">
        <f t="shared" si="2"/>
        <v>86</v>
      </c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>
      <c r="B2703" s="3"/>
      <c r="C2703" s="3"/>
      <c r="D2703" s="3"/>
      <c r="E2703" s="3"/>
      <c r="F2703" s="2">
        <f>IFERROR(__xludf.DUMMYFUNCTION("""COMPUTED_VALUE"""),91.38)</f>
        <v>91.38</v>
      </c>
      <c r="G2703" s="2">
        <f t="shared" si="2"/>
        <v>91</v>
      </c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>
      <c r="B2704" s="3"/>
      <c r="C2704" s="3"/>
      <c r="D2704" s="3"/>
      <c r="E2704" s="3"/>
      <c r="F2704" s="2">
        <f>IFERROR(__xludf.DUMMYFUNCTION("""COMPUTED_VALUE"""),31.259999999999998)</f>
        <v>31.26</v>
      </c>
      <c r="G2704" s="2">
        <f t="shared" si="2"/>
        <v>31</v>
      </c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>
      <c r="B2705" s="3"/>
      <c r="C2705" s="3"/>
      <c r="D2705" s="3"/>
      <c r="E2705" s="3"/>
      <c r="F2705" s="2">
        <f>IFERROR(__xludf.DUMMYFUNCTION("""COMPUTED_VALUE"""),19.5)</f>
        <v>19.5</v>
      </c>
      <c r="G2705" s="2">
        <f t="shared" si="2"/>
        <v>20</v>
      </c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>
      <c r="B2706" s="3"/>
      <c r="C2706" s="3"/>
      <c r="D2706" s="3"/>
      <c r="E2706" s="3"/>
      <c r="F2706" s="2">
        <f>IFERROR(__xludf.DUMMYFUNCTION("""COMPUTED_VALUE"""),92.69999999999999)</f>
        <v>92.7</v>
      </c>
      <c r="G2706" s="2">
        <f t="shared" si="2"/>
        <v>93</v>
      </c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>
      <c r="B2707" s="3"/>
      <c r="C2707" s="3"/>
      <c r="D2707" s="3"/>
      <c r="E2707" s="3"/>
      <c r="F2707" s="2">
        <f>IFERROR(__xludf.DUMMYFUNCTION("""COMPUTED_VALUE"""),19.5)</f>
        <v>19.5</v>
      </c>
      <c r="G2707" s="2">
        <f t="shared" si="2"/>
        <v>20</v>
      </c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>
      <c r="B2708" s="3"/>
      <c r="C2708" s="3"/>
      <c r="D2708" s="3"/>
      <c r="E2708" s="3"/>
      <c r="F2708" s="2">
        <f>IFERROR(__xludf.DUMMYFUNCTION("""COMPUTED_VALUE"""),37.26)</f>
        <v>37.26</v>
      </c>
      <c r="G2708" s="2">
        <f t="shared" si="2"/>
        <v>37</v>
      </c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>
      <c r="B2709" s="3"/>
      <c r="C2709" s="3"/>
      <c r="D2709" s="3"/>
      <c r="E2709" s="3"/>
      <c r="F2709" s="2">
        <f>IFERROR(__xludf.DUMMYFUNCTION("""COMPUTED_VALUE"""),67.5)</f>
        <v>67.5</v>
      </c>
      <c r="G2709" s="2">
        <f t="shared" si="2"/>
        <v>68</v>
      </c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>
      <c r="B2710" s="3"/>
      <c r="C2710" s="3"/>
      <c r="D2710" s="3"/>
      <c r="E2710" s="3"/>
      <c r="F2710" s="2">
        <f>IFERROR(__xludf.DUMMYFUNCTION("""COMPUTED_VALUE"""),69.24)</f>
        <v>69.24</v>
      </c>
      <c r="G2710" s="2">
        <f t="shared" si="2"/>
        <v>69</v>
      </c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>
      <c r="B2711" s="3"/>
      <c r="C2711" s="3"/>
      <c r="D2711" s="3"/>
      <c r="E2711" s="3"/>
      <c r="F2711" s="2">
        <f>IFERROR(__xludf.DUMMYFUNCTION("""COMPUTED_VALUE"""),19.5)</f>
        <v>19.5</v>
      </c>
      <c r="G2711" s="2">
        <f t="shared" si="2"/>
        <v>20</v>
      </c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>
      <c r="B2712" s="3"/>
      <c r="C2712" s="3"/>
      <c r="D2712" s="3"/>
      <c r="E2712" s="3"/>
      <c r="F2712" s="2">
        <f>IFERROR(__xludf.DUMMYFUNCTION("""COMPUTED_VALUE"""),43.5)</f>
        <v>43.5</v>
      </c>
      <c r="G2712" s="2">
        <f t="shared" si="2"/>
        <v>44</v>
      </c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>
      <c r="B2713" s="3"/>
      <c r="C2713" s="3"/>
      <c r="D2713" s="3"/>
      <c r="E2713" s="3"/>
      <c r="F2713" s="2">
        <f>IFERROR(__xludf.DUMMYFUNCTION("""COMPUTED_VALUE"""),57.239999999999995)</f>
        <v>57.24</v>
      </c>
      <c r="G2713" s="2">
        <f t="shared" si="2"/>
        <v>57</v>
      </c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>
      <c r="B2714" s="3"/>
      <c r="C2714" s="3"/>
      <c r="D2714" s="3"/>
      <c r="E2714" s="3"/>
      <c r="F2714" s="2">
        <f>IFERROR(__xludf.DUMMYFUNCTION("""COMPUTED_VALUE"""),103.38)</f>
        <v>103.38</v>
      </c>
      <c r="G2714" s="2">
        <f t="shared" si="2"/>
        <v>103</v>
      </c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>
      <c r="B2715" s="3"/>
      <c r="C2715" s="3"/>
      <c r="D2715" s="3"/>
      <c r="E2715" s="3"/>
      <c r="F2715" s="2">
        <f>IFERROR(__xludf.DUMMYFUNCTION("""COMPUTED_VALUE"""),51.239999999999995)</f>
        <v>51.24</v>
      </c>
      <c r="G2715" s="2">
        <f t="shared" si="2"/>
        <v>51</v>
      </c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>
      <c r="B2716" s="3"/>
      <c r="C2716" s="3"/>
      <c r="D2716" s="3"/>
      <c r="E2716" s="3"/>
      <c r="F2716" s="2">
        <f>IFERROR(__xludf.DUMMYFUNCTION("""COMPUTED_VALUE"""),37.26)</f>
        <v>37.26</v>
      </c>
      <c r="G2716" s="2">
        <f t="shared" si="2"/>
        <v>37</v>
      </c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>
      <c r="B2717" s="3"/>
      <c r="C2717" s="3"/>
      <c r="D2717" s="3"/>
      <c r="E2717" s="3"/>
      <c r="F2717" s="2">
        <f>IFERROR(__xludf.DUMMYFUNCTION("""COMPUTED_VALUE"""),75.36)</f>
        <v>75.36</v>
      </c>
      <c r="G2717" s="2">
        <f t="shared" si="2"/>
        <v>75</v>
      </c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>
      <c r="B2718" s="3"/>
      <c r="C2718" s="3"/>
      <c r="D2718" s="3"/>
      <c r="E2718" s="3"/>
      <c r="F2718" s="2">
        <f>IFERROR(__xludf.DUMMYFUNCTION("""COMPUTED_VALUE"""),37.26)</f>
        <v>37.26</v>
      </c>
      <c r="G2718" s="2">
        <f t="shared" si="2"/>
        <v>37</v>
      </c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</row>
    <row r="2719">
      <c r="B2719" s="3"/>
      <c r="C2719" s="3"/>
      <c r="D2719" s="3"/>
      <c r="E2719" s="3"/>
      <c r="F2719" s="2">
        <f>IFERROR(__xludf.DUMMYFUNCTION("""COMPUTED_VALUE"""),75.36)</f>
        <v>75.36</v>
      </c>
      <c r="G2719" s="2">
        <f t="shared" si="2"/>
        <v>75</v>
      </c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</row>
    <row r="2720">
      <c r="B2720" s="3"/>
      <c r="C2720" s="3"/>
      <c r="D2720" s="3"/>
      <c r="E2720" s="3"/>
      <c r="F2720" s="2">
        <f>IFERROR(__xludf.DUMMYFUNCTION("""COMPUTED_VALUE"""),25.5)</f>
        <v>25.5</v>
      </c>
      <c r="G2720" s="2">
        <f t="shared" si="2"/>
        <v>26</v>
      </c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</row>
    <row r="2721">
      <c r="B2721" s="3"/>
      <c r="C2721" s="3"/>
      <c r="D2721" s="3"/>
      <c r="E2721" s="3"/>
      <c r="F2721" s="2">
        <f>IFERROR(__xludf.DUMMYFUNCTION("""COMPUTED_VALUE"""),171.35999999999999)</f>
        <v>171.36</v>
      </c>
      <c r="G2721" s="2">
        <f t="shared" si="2"/>
        <v>171</v>
      </c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</row>
    <row r="2722">
      <c r="B2722" s="3"/>
      <c r="C2722" s="3"/>
      <c r="D2722" s="3"/>
      <c r="E2722" s="3"/>
      <c r="F2722" s="2">
        <f>IFERROR(__xludf.DUMMYFUNCTION("""COMPUTED_VALUE"""),73.44)</f>
        <v>73.44</v>
      </c>
      <c r="G2722" s="2">
        <f t="shared" si="2"/>
        <v>73</v>
      </c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</row>
    <row r="2723">
      <c r="B2723" s="3"/>
      <c r="C2723" s="3"/>
      <c r="D2723" s="3"/>
      <c r="E2723" s="3"/>
      <c r="F2723" s="2">
        <f>IFERROR(__xludf.DUMMYFUNCTION("""COMPUTED_VALUE"""),103.38)</f>
        <v>103.38</v>
      </c>
      <c r="G2723" s="2">
        <f t="shared" si="2"/>
        <v>103</v>
      </c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</row>
    <row r="2724">
      <c r="B2724" s="3"/>
      <c r="C2724" s="3"/>
      <c r="D2724" s="3"/>
      <c r="E2724" s="3"/>
      <c r="F2724" s="2">
        <f>IFERROR(__xludf.DUMMYFUNCTION("""COMPUTED_VALUE"""),31.44)</f>
        <v>31.44</v>
      </c>
      <c r="G2724" s="2">
        <f t="shared" si="2"/>
        <v>31</v>
      </c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</row>
    <row r="2725">
      <c r="B2725" s="3"/>
      <c r="C2725" s="3"/>
      <c r="D2725" s="3"/>
      <c r="E2725" s="3"/>
      <c r="F2725" s="2">
        <f>IFERROR(__xludf.DUMMYFUNCTION("""COMPUTED_VALUE"""),115.38)</f>
        <v>115.38</v>
      </c>
      <c r="G2725" s="2">
        <f t="shared" si="2"/>
        <v>115</v>
      </c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</row>
    <row r="2726">
      <c r="B2726" s="3"/>
      <c r="C2726" s="3"/>
      <c r="D2726" s="3"/>
      <c r="E2726" s="3"/>
      <c r="F2726" s="2">
        <f>IFERROR(__xludf.DUMMYFUNCTION("""COMPUTED_VALUE"""),67.38)</f>
        <v>67.38</v>
      </c>
      <c r="G2726" s="2">
        <f t="shared" si="2"/>
        <v>67</v>
      </c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</row>
    <row r="2727">
      <c r="B2727" s="3"/>
      <c r="C2727" s="3"/>
      <c r="D2727" s="3"/>
      <c r="E2727" s="3"/>
      <c r="F2727" s="2">
        <f>IFERROR(__xludf.DUMMYFUNCTION("""COMPUTED_VALUE"""),67.38)</f>
        <v>67.38</v>
      </c>
      <c r="G2727" s="2">
        <f t="shared" si="2"/>
        <v>67</v>
      </c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</row>
    <row r="2728">
      <c r="B2728" s="3"/>
      <c r="C2728" s="3"/>
      <c r="D2728" s="3"/>
      <c r="E2728" s="3"/>
      <c r="F2728" s="2">
        <f>IFERROR(__xludf.DUMMYFUNCTION("""COMPUTED_VALUE"""),69.24)</f>
        <v>69.24</v>
      </c>
      <c r="G2728" s="2">
        <f t="shared" si="2"/>
        <v>69</v>
      </c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</row>
    <row r="2729">
      <c r="B2729" s="3"/>
      <c r="C2729" s="3"/>
      <c r="D2729" s="3"/>
      <c r="E2729" s="3"/>
      <c r="F2729" s="2">
        <f>IFERROR(__xludf.DUMMYFUNCTION("""COMPUTED_VALUE"""),37.26)</f>
        <v>37.26</v>
      </c>
      <c r="G2729" s="2">
        <f t="shared" si="2"/>
        <v>37</v>
      </c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</row>
    <row r="2730">
      <c r="B2730" s="3"/>
      <c r="C2730" s="3"/>
      <c r="D2730" s="3"/>
      <c r="E2730" s="3"/>
      <c r="F2730" s="2">
        <f>IFERROR(__xludf.DUMMYFUNCTION("""COMPUTED_VALUE"""),115.38)</f>
        <v>115.38</v>
      </c>
      <c r="G2730" s="2">
        <f t="shared" si="2"/>
        <v>115</v>
      </c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</row>
    <row r="2731">
      <c r="B2731" s="3"/>
      <c r="C2731" s="3"/>
      <c r="D2731" s="3"/>
      <c r="E2731" s="3"/>
      <c r="F2731" s="2">
        <f>IFERROR(__xludf.DUMMYFUNCTION("""COMPUTED_VALUE"""),21.9)</f>
        <v>21.9</v>
      </c>
      <c r="G2731" s="2">
        <f t="shared" si="2"/>
        <v>22</v>
      </c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</row>
    <row r="2732">
      <c r="B2732" s="3"/>
      <c r="C2732" s="3"/>
      <c r="D2732" s="3"/>
      <c r="E2732" s="3"/>
      <c r="F2732" s="2">
        <f>IFERROR(__xludf.DUMMYFUNCTION("""COMPUTED_VALUE"""),56.699999999999996)</f>
        <v>56.7</v>
      </c>
      <c r="G2732" s="2">
        <f t="shared" si="2"/>
        <v>57</v>
      </c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</row>
    <row r="2733">
      <c r="B2733" s="3"/>
      <c r="C2733" s="3"/>
      <c r="D2733" s="3"/>
      <c r="E2733" s="3"/>
      <c r="F2733" s="2">
        <f>IFERROR(__xludf.DUMMYFUNCTION("""COMPUTED_VALUE"""),48.72)</f>
        <v>48.72</v>
      </c>
      <c r="G2733" s="2">
        <f t="shared" si="2"/>
        <v>49</v>
      </c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</row>
    <row r="2734">
      <c r="B2734" s="3"/>
      <c r="C2734" s="3"/>
      <c r="D2734" s="3"/>
      <c r="E2734" s="3"/>
      <c r="F2734" s="2">
        <f>IFERROR(__xludf.DUMMYFUNCTION("""COMPUTED_VALUE"""),37.26)</f>
        <v>37.26</v>
      </c>
      <c r="G2734" s="2">
        <f t="shared" si="2"/>
        <v>37</v>
      </c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</row>
    <row r="2735">
      <c r="B2735" s="3"/>
      <c r="C2735" s="3"/>
      <c r="D2735" s="3"/>
      <c r="E2735" s="3"/>
      <c r="F2735" s="2">
        <f>IFERROR(__xludf.DUMMYFUNCTION("""COMPUTED_VALUE"""),49.38)</f>
        <v>49.38</v>
      </c>
      <c r="G2735" s="2">
        <f t="shared" si="2"/>
        <v>49</v>
      </c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</row>
    <row r="2736">
      <c r="B2736" s="3"/>
      <c r="C2736" s="3"/>
      <c r="D2736" s="3"/>
      <c r="E2736" s="3"/>
      <c r="F2736" s="2">
        <f>IFERROR(__xludf.DUMMYFUNCTION("""COMPUTED_VALUE"""),81.24)</f>
        <v>81.24</v>
      </c>
      <c r="G2736" s="2">
        <f t="shared" si="2"/>
        <v>81</v>
      </c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</row>
    <row r="2737">
      <c r="B2737" s="3"/>
      <c r="C2737" s="3"/>
      <c r="D2737" s="3"/>
      <c r="E2737" s="3"/>
      <c r="F2737" s="2">
        <f>IFERROR(__xludf.DUMMYFUNCTION("""COMPUTED_VALUE"""),49.38)</f>
        <v>49.38</v>
      </c>
      <c r="G2737" s="2">
        <f t="shared" si="2"/>
        <v>49</v>
      </c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</row>
    <row r="2738">
      <c r="B2738" s="3"/>
      <c r="C2738" s="3"/>
      <c r="D2738" s="3"/>
      <c r="E2738" s="3"/>
      <c r="F2738" s="2">
        <f>IFERROR(__xludf.DUMMYFUNCTION("""COMPUTED_VALUE"""),115.38)</f>
        <v>115.38</v>
      </c>
      <c r="G2738" s="2">
        <f t="shared" si="2"/>
        <v>115</v>
      </c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</row>
    <row r="2739">
      <c r="B2739" s="3"/>
      <c r="C2739" s="3"/>
      <c r="D2739" s="3"/>
      <c r="E2739" s="3"/>
      <c r="F2739" s="2">
        <f>IFERROR(__xludf.DUMMYFUNCTION("""COMPUTED_VALUE"""),25.5)</f>
        <v>25.5</v>
      </c>
      <c r="G2739" s="2">
        <f t="shared" si="2"/>
        <v>26</v>
      </c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</row>
    <row r="2740">
      <c r="B2740" s="3"/>
      <c r="C2740" s="3"/>
      <c r="D2740" s="3"/>
      <c r="E2740" s="3"/>
      <c r="F2740" s="2">
        <f>IFERROR(__xludf.DUMMYFUNCTION("""COMPUTED_VALUE"""),39.24)</f>
        <v>39.24</v>
      </c>
      <c r="G2740" s="2">
        <f t="shared" si="2"/>
        <v>39</v>
      </c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</row>
    <row r="2741">
      <c r="B2741" s="3"/>
      <c r="C2741" s="3"/>
      <c r="D2741" s="3"/>
      <c r="E2741" s="3"/>
      <c r="F2741" s="2">
        <f>IFERROR(__xludf.DUMMYFUNCTION("""COMPUTED_VALUE"""),19.5)</f>
        <v>19.5</v>
      </c>
      <c r="G2741" s="2">
        <f t="shared" si="2"/>
        <v>20</v>
      </c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</row>
    <row r="2742">
      <c r="B2742" s="3"/>
      <c r="C2742" s="3"/>
      <c r="D2742" s="3"/>
      <c r="E2742" s="3"/>
      <c r="F2742" s="2">
        <f>IFERROR(__xludf.DUMMYFUNCTION("""COMPUTED_VALUE"""),39.24)</f>
        <v>39.24</v>
      </c>
      <c r="G2742" s="2">
        <f t="shared" si="2"/>
        <v>39</v>
      </c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</row>
    <row r="2743">
      <c r="B2743" s="3"/>
      <c r="C2743" s="3"/>
      <c r="D2743" s="3"/>
      <c r="E2743" s="3"/>
      <c r="F2743" s="2">
        <f>IFERROR(__xludf.DUMMYFUNCTION("""COMPUTED_VALUE"""),43.5)</f>
        <v>43.5</v>
      </c>
      <c r="G2743" s="2">
        <f t="shared" si="2"/>
        <v>44</v>
      </c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</row>
    <row r="2744">
      <c r="B2744" s="3"/>
      <c r="C2744" s="3"/>
      <c r="D2744" s="3"/>
      <c r="E2744" s="3"/>
      <c r="F2744" s="2">
        <f>IFERROR(__xludf.DUMMYFUNCTION("""COMPUTED_VALUE"""),32.7)</f>
        <v>32.7</v>
      </c>
      <c r="G2744" s="2">
        <f t="shared" si="2"/>
        <v>33</v>
      </c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</row>
    <row r="2745">
      <c r="B2745" s="3"/>
      <c r="C2745" s="3"/>
      <c r="D2745" s="3"/>
      <c r="E2745" s="3"/>
      <c r="F2745" s="2">
        <f>IFERROR(__xludf.DUMMYFUNCTION("""COMPUTED_VALUE"""),73.44)</f>
        <v>73.44</v>
      </c>
      <c r="G2745" s="2">
        <f t="shared" si="2"/>
        <v>73</v>
      </c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</row>
    <row r="2746">
      <c r="B2746" s="3"/>
      <c r="C2746" s="3"/>
      <c r="D2746" s="3"/>
      <c r="E2746" s="3"/>
      <c r="F2746" s="2">
        <f>IFERROR(__xludf.DUMMYFUNCTION("""COMPUTED_VALUE"""),25.5)</f>
        <v>25.5</v>
      </c>
      <c r="G2746" s="2">
        <f t="shared" si="2"/>
        <v>26</v>
      </c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</row>
    <row r="2747">
      <c r="B2747" s="3"/>
      <c r="C2747" s="3"/>
      <c r="D2747" s="3"/>
      <c r="E2747" s="3"/>
      <c r="F2747" s="2">
        <f>IFERROR(__xludf.DUMMYFUNCTION("""COMPUTED_VALUE"""),32.7)</f>
        <v>32.7</v>
      </c>
      <c r="G2747" s="2">
        <f t="shared" si="2"/>
        <v>33</v>
      </c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</row>
    <row r="2748">
      <c r="B2748" s="3"/>
      <c r="C2748" s="3"/>
      <c r="D2748" s="3"/>
      <c r="E2748" s="3"/>
      <c r="F2748" s="2">
        <f>IFERROR(__xludf.DUMMYFUNCTION("""COMPUTED_VALUE"""),67.5)</f>
        <v>67.5</v>
      </c>
      <c r="G2748" s="2">
        <f t="shared" si="2"/>
        <v>68</v>
      </c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</row>
    <row r="2749">
      <c r="B2749" s="3"/>
      <c r="C2749" s="3"/>
      <c r="D2749" s="3"/>
      <c r="E2749" s="3"/>
      <c r="F2749" s="2">
        <f>IFERROR(__xludf.DUMMYFUNCTION("""COMPUTED_VALUE"""),49.38)</f>
        <v>49.38</v>
      </c>
      <c r="G2749" s="2">
        <f t="shared" si="2"/>
        <v>49</v>
      </c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</row>
    <row r="2750">
      <c r="B2750" s="3"/>
      <c r="C2750" s="3"/>
      <c r="D2750" s="3"/>
      <c r="E2750" s="3"/>
      <c r="F2750" s="2">
        <f>IFERROR(__xludf.DUMMYFUNCTION("""COMPUTED_VALUE"""),32.7)</f>
        <v>32.7</v>
      </c>
      <c r="G2750" s="2">
        <f t="shared" si="2"/>
        <v>33</v>
      </c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</row>
    <row r="2751">
      <c r="B2751" s="3"/>
      <c r="C2751" s="3"/>
      <c r="D2751" s="3"/>
      <c r="E2751" s="3"/>
      <c r="F2751" s="2">
        <f>IFERROR(__xludf.DUMMYFUNCTION("""COMPUTED_VALUE"""),39.24)</f>
        <v>39.24</v>
      </c>
      <c r="G2751" s="2">
        <f t="shared" si="2"/>
        <v>39</v>
      </c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</row>
    <row r="2752">
      <c r="B2752" s="3"/>
      <c r="C2752" s="3"/>
      <c r="D2752" s="3"/>
      <c r="E2752" s="3"/>
      <c r="F2752" s="2">
        <f>IFERROR(__xludf.DUMMYFUNCTION("""COMPUTED_VALUE"""),48.72)</f>
        <v>48.72</v>
      </c>
      <c r="G2752" s="2">
        <f t="shared" si="2"/>
        <v>49</v>
      </c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</row>
    <row r="2753">
      <c r="B2753" s="3"/>
      <c r="C2753" s="3"/>
      <c r="D2753" s="3"/>
      <c r="E2753" s="3"/>
      <c r="F2753" s="2">
        <f>IFERROR(__xludf.DUMMYFUNCTION("""COMPUTED_VALUE"""),73.44)</f>
        <v>73.44</v>
      </c>
      <c r="G2753" s="2">
        <f t="shared" si="2"/>
        <v>73</v>
      </c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</row>
    <row r="2754">
      <c r="B2754" s="3"/>
      <c r="C2754" s="3"/>
      <c r="D2754" s="3"/>
      <c r="E2754" s="3"/>
      <c r="F2754" s="2">
        <f>IFERROR(__xludf.DUMMYFUNCTION("""COMPUTED_VALUE"""),32.7)</f>
        <v>32.7</v>
      </c>
      <c r="G2754" s="2">
        <f t="shared" si="2"/>
        <v>33</v>
      </c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</row>
    <row r="2755">
      <c r="B2755" s="3"/>
      <c r="C2755" s="3"/>
      <c r="D2755" s="3"/>
      <c r="E2755" s="3"/>
      <c r="F2755" s="2">
        <f>IFERROR(__xludf.DUMMYFUNCTION("""COMPUTED_VALUE"""),32.7)</f>
        <v>32.7</v>
      </c>
      <c r="G2755" s="2">
        <f t="shared" si="2"/>
        <v>33</v>
      </c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</row>
    <row r="2756">
      <c r="B2756" s="3"/>
      <c r="C2756" s="3"/>
      <c r="D2756" s="3"/>
      <c r="E2756" s="3"/>
      <c r="F2756" s="2">
        <f>IFERROR(__xludf.DUMMYFUNCTION("""COMPUTED_VALUE"""),51.239999999999995)</f>
        <v>51.24</v>
      </c>
      <c r="G2756" s="2">
        <f t="shared" si="2"/>
        <v>51</v>
      </c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</row>
    <row r="2757">
      <c r="B2757" s="3"/>
      <c r="C2757" s="3"/>
      <c r="D2757" s="3"/>
      <c r="E2757" s="3"/>
      <c r="F2757" s="2">
        <f>IFERROR(__xludf.DUMMYFUNCTION("""COMPUTED_VALUE"""),31.44)</f>
        <v>31.44</v>
      </c>
      <c r="G2757" s="2">
        <f t="shared" si="2"/>
        <v>31</v>
      </c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</row>
    <row r="2758">
      <c r="B2758" s="3"/>
      <c r="C2758" s="3"/>
      <c r="D2758" s="3"/>
      <c r="E2758" s="3"/>
      <c r="F2758" s="2">
        <f>IFERROR(__xludf.DUMMYFUNCTION("""COMPUTED_VALUE"""),171.35999999999999)</f>
        <v>171.36</v>
      </c>
      <c r="G2758" s="2">
        <f t="shared" si="2"/>
        <v>171</v>
      </c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</row>
    <row r="2759">
      <c r="B2759" s="3"/>
      <c r="C2759" s="3"/>
      <c r="D2759" s="3"/>
      <c r="E2759" s="3"/>
      <c r="F2759" s="2">
        <f>IFERROR(__xludf.DUMMYFUNCTION("""COMPUTED_VALUE"""),25.259999999999998)</f>
        <v>25.26</v>
      </c>
      <c r="G2759" s="2">
        <f t="shared" si="2"/>
        <v>25</v>
      </c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</row>
    <row r="2760">
      <c r="B2760" s="3"/>
      <c r="C2760" s="3"/>
      <c r="D2760" s="3"/>
      <c r="E2760" s="3"/>
      <c r="F2760" s="2">
        <f>IFERROR(__xludf.DUMMYFUNCTION("""COMPUTED_VALUE"""),81.24)</f>
        <v>81.24</v>
      </c>
      <c r="G2760" s="2">
        <f t="shared" si="2"/>
        <v>81</v>
      </c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</row>
    <row r="2761">
      <c r="B2761" s="3"/>
      <c r="C2761" s="3"/>
      <c r="D2761" s="3"/>
      <c r="E2761" s="3"/>
      <c r="F2761" s="2">
        <f>IFERROR(__xludf.DUMMYFUNCTION("""COMPUTED_VALUE"""),25.5)</f>
        <v>25.5</v>
      </c>
      <c r="G2761" s="2">
        <f t="shared" si="2"/>
        <v>26</v>
      </c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</row>
    <row r="2762">
      <c r="B2762" s="3"/>
      <c r="C2762" s="3"/>
      <c r="D2762" s="3"/>
      <c r="E2762" s="3"/>
      <c r="F2762" s="2">
        <f>IFERROR(__xludf.DUMMYFUNCTION("""COMPUTED_VALUE"""),75.36)</f>
        <v>75.36</v>
      </c>
      <c r="G2762" s="2">
        <f t="shared" si="2"/>
        <v>75</v>
      </c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</row>
    <row r="2763">
      <c r="B2763" s="3"/>
      <c r="C2763" s="3"/>
      <c r="D2763" s="3"/>
      <c r="E2763" s="3"/>
      <c r="F2763" s="2">
        <f>IFERROR(__xludf.DUMMYFUNCTION("""COMPUTED_VALUE"""),43.5)</f>
        <v>43.5</v>
      </c>
      <c r="G2763" s="2">
        <f t="shared" si="2"/>
        <v>44</v>
      </c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</row>
    <row r="2764">
      <c r="B2764" s="3"/>
      <c r="C2764" s="3"/>
      <c r="D2764" s="3"/>
      <c r="E2764" s="3"/>
      <c r="F2764" s="2">
        <f>IFERROR(__xludf.DUMMYFUNCTION("""COMPUTED_VALUE"""),25.5)</f>
        <v>25.5</v>
      </c>
      <c r="G2764" s="2">
        <f t="shared" si="2"/>
        <v>26</v>
      </c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</row>
    <row r="2765">
      <c r="B2765" s="3"/>
      <c r="C2765" s="3"/>
      <c r="D2765" s="3"/>
      <c r="E2765" s="3"/>
      <c r="F2765" s="2">
        <f>IFERROR(__xludf.DUMMYFUNCTION("""COMPUTED_VALUE"""),37.26)</f>
        <v>37.26</v>
      </c>
      <c r="G2765" s="2">
        <f t="shared" si="2"/>
        <v>37</v>
      </c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</row>
    <row r="2766">
      <c r="B2766" s="3"/>
      <c r="C2766" s="3"/>
      <c r="D2766" s="3"/>
      <c r="E2766" s="3"/>
      <c r="F2766" s="2">
        <f>IFERROR(__xludf.DUMMYFUNCTION("""COMPUTED_VALUE"""),49.38)</f>
        <v>49.38</v>
      </c>
      <c r="G2766" s="2">
        <f t="shared" si="2"/>
        <v>49</v>
      </c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</row>
    <row r="2767">
      <c r="B2767" s="3"/>
      <c r="C2767" s="3"/>
      <c r="D2767" s="3"/>
      <c r="E2767" s="3"/>
      <c r="F2767" s="2">
        <f>IFERROR(__xludf.DUMMYFUNCTION("""COMPUTED_VALUE"""),111.35999999999999)</f>
        <v>111.36</v>
      </c>
      <c r="G2767" s="2">
        <f t="shared" si="2"/>
        <v>111</v>
      </c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</row>
    <row r="2768">
      <c r="B2768" s="3"/>
      <c r="C2768" s="3"/>
      <c r="D2768" s="3"/>
      <c r="E2768" s="3"/>
      <c r="F2768" s="2">
        <f>IFERROR(__xludf.DUMMYFUNCTION("""COMPUTED_VALUE"""),57.239999999999995)</f>
        <v>57.24</v>
      </c>
      <c r="G2768" s="2">
        <f t="shared" si="2"/>
        <v>57</v>
      </c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>
      <c r="B2769" s="3"/>
      <c r="C2769" s="3"/>
      <c r="D2769" s="3"/>
      <c r="E2769" s="3"/>
      <c r="F2769" s="2">
        <f>IFERROR(__xludf.DUMMYFUNCTION("""COMPUTED_VALUE"""),39.24)</f>
        <v>39.24</v>
      </c>
      <c r="G2769" s="2">
        <f t="shared" si="2"/>
        <v>39</v>
      </c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>
      <c r="B2770" s="3"/>
      <c r="C2770" s="3"/>
      <c r="D2770" s="3"/>
      <c r="E2770" s="3"/>
      <c r="F2770" s="2">
        <f>IFERROR(__xludf.DUMMYFUNCTION("""COMPUTED_VALUE"""),21.9)</f>
        <v>21.9</v>
      </c>
      <c r="G2770" s="2">
        <f t="shared" si="2"/>
        <v>22</v>
      </c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>
      <c r="B2771" s="3"/>
      <c r="C2771" s="3"/>
      <c r="D2771" s="3"/>
      <c r="E2771" s="3"/>
      <c r="F2771" s="2">
        <f>IFERROR(__xludf.DUMMYFUNCTION("""COMPUTED_VALUE"""),69.24)</f>
        <v>69.24</v>
      </c>
      <c r="G2771" s="2">
        <f t="shared" si="2"/>
        <v>69</v>
      </c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>
      <c r="B2772" s="3"/>
      <c r="C2772" s="3"/>
      <c r="D2772" s="3"/>
      <c r="E2772" s="3"/>
      <c r="F2772" s="2">
        <f>IFERROR(__xludf.DUMMYFUNCTION("""COMPUTED_VALUE"""),25.5)</f>
        <v>25.5</v>
      </c>
      <c r="G2772" s="2">
        <f t="shared" si="2"/>
        <v>26</v>
      </c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>
      <c r="B2773" s="3"/>
      <c r="C2773" s="3"/>
      <c r="D2773" s="3"/>
      <c r="E2773" s="3"/>
      <c r="F2773" s="2">
        <f>IFERROR(__xludf.DUMMYFUNCTION("""COMPUTED_VALUE"""),92.69999999999999)</f>
        <v>92.7</v>
      </c>
      <c r="G2773" s="2">
        <f t="shared" si="2"/>
        <v>93</v>
      </c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</row>
    <row r="2774">
      <c r="B2774" s="3"/>
      <c r="C2774" s="3"/>
      <c r="D2774" s="3"/>
      <c r="E2774" s="3"/>
      <c r="F2774" s="2">
        <f>IFERROR(__xludf.DUMMYFUNCTION("""COMPUTED_VALUE"""),75.36)</f>
        <v>75.36</v>
      </c>
      <c r="G2774" s="2">
        <f t="shared" si="2"/>
        <v>75</v>
      </c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>
      <c r="B2775" s="3"/>
      <c r="C2775" s="3"/>
      <c r="D2775" s="3"/>
      <c r="E2775" s="3"/>
      <c r="F2775" s="2">
        <f>IFERROR(__xludf.DUMMYFUNCTION("""COMPUTED_VALUE"""),31.44)</f>
        <v>31.44</v>
      </c>
      <c r="G2775" s="2">
        <f t="shared" si="2"/>
        <v>31</v>
      </c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>
      <c r="B2776" s="3"/>
      <c r="C2776" s="3"/>
      <c r="D2776" s="3"/>
      <c r="E2776" s="3"/>
      <c r="F2776" s="2">
        <f>IFERROR(__xludf.DUMMYFUNCTION("""COMPUTED_VALUE"""),25.5)</f>
        <v>25.5</v>
      </c>
      <c r="G2776" s="2">
        <f t="shared" si="2"/>
        <v>26</v>
      </c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>
      <c r="B2777" s="3"/>
      <c r="C2777" s="3"/>
      <c r="D2777" s="3"/>
      <c r="E2777" s="3"/>
      <c r="F2777" s="2">
        <f>IFERROR(__xludf.DUMMYFUNCTION("""COMPUTED_VALUE"""),111.35999999999999)</f>
        <v>111.36</v>
      </c>
      <c r="G2777" s="2">
        <f t="shared" si="2"/>
        <v>111</v>
      </c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</row>
    <row r="2778">
      <c r="B2778" s="3"/>
      <c r="C2778" s="3"/>
      <c r="D2778" s="3"/>
      <c r="E2778" s="3"/>
      <c r="F2778" s="2">
        <f>IFERROR(__xludf.DUMMYFUNCTION("""COMPUTED_VALUE"""),31.44)</f>
        <v>31.44</v>
      </c>
      <c r="G2778" s="2">
        <f t="shared" si="2"/>
        <v>31</v>
      </c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>
      <c r="B2779" s="3"/>
      <c r="C2779" s="3"/>
      <c r="D2779" s="3"/>
      <c r="E2779" s="3"/>
      <c r="F2779" s="2">
        <f>IFERROR(__xludf.DUMMYFUNCTION("""COMPUTED_VALUE"""),48.72)</f>
        <v>48.72</v>
      </c>
      <c r="G2779" s="2">
        <f t="shared" si="2"/>
        <v>49</v>
      </c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>
      <c r="B2780" s="3"/>
      <c r="C2780" s="3"/>
      <c r="D2780" s="3"/>
      <c r="E2780" s="3"/>
      <c r="F2780" s="2">
        <f>IFERROR(__xludf.DUMMYFUNCTION("""COMPUTED_VALUE"""),37.5)</f>
        <v>37.5</v>
      </c>
      <c r="G2780" s="2">
        <f t="shared" si="2"/>
        <v>38</v>
      </c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>
      <c r="B2781" s="3"/>
      <c r="C2781" s="3"/>
      <c r="D2781" s="3"/>
      <c r="E2781" s="3"/>
      <c r="F2781" s="2">
        <f>IFERROR(__xludf.DUMMYFUNCTION("""COMPUTED_VALUE"""),171.35999999999999)</f>
        <v>171.36</v>
      </c>
      <c r="G2781" s="2">
        <f t="shared" si="2"/>
        <v>171</v>
      </c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>
      <c r="B2782" s="3"/>
      <c r="C2782" s="3"/>
      <c r="D2782" s="3"/>
      <c r="E2782" s="3"/>
      <c r="F2782" s="2">
        <f>IFERROR(__xludf.DUMMYFUNCTION("""COMPUTED_VALUE"""),67.5)</f>
        <v>67.5</v>
      </c>
      <c r="G2782" s="2">
        <f t="shared" si="2"/>
        <v>68</v>
      </c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</row>
    <row r="2783">
      <c r="B2783" s="3"/>
      <c r="C2783" s="3"/>
      <c r="D2783" s="3"/>
      <c r="E2783" s="3"/>
      <c r="F2783" s="2">
        <f>IFERROR(__xludf.DUMMYFUNCTION("""COMPUTED_VALUE"""),33.900000000000006)</f>
        <v>33.9</v>
      </c>
      <c r="G2783" s="2">
        <f t="shared" si="2"/>
        <v>34</v>
      </c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</row>
    <row r="2784">
      <c r="B2784" s="3"/>
      <c r="C2784" s="3"/>
      <c r="D2784" s="3"/>
      <c r="E2784" s="3"/>
      <c r="F2784" s="2">
        <f>IFERROR(__xludf.DUMMYFUNCTION("""COMPUTED_VALUE"""),67.5)</f>
        <v>67.5</v>
      </c>
      <c r="G2784" s="2">
        <f t="shared" si="2"/>
        <v>68</v>
      </c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>
      <c r="B2785" s="3"/>
      <c r="C2785" s="3"/>
      <c r="D2785" s="3"/>
      <c r="E2785" s="3"/>
      <c r="F2785" s="2">
        <f>IFERROR(__xludf.DUMMYFUNCTION("""COMPUTED_VALUE"""),25.5)</f>
        <v>25.5</v>
      </c>
      <c r="G2785" s="2">
        <f t="shared" si="2"/>
        <v>26</v>
      </c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</row>
    <row r="2786">
      <c r="B2786" s="3"/>
      <c r="C2786" s="3"/>
      <c r="D2786" s="3"/>
      <c r="E2786" s="3"/>
      <c r="F2786" s="2">
        <f>IFERROR(__xludf.DUMMYFUNCTION("""COMPUTED_VALUE"""),31.259999999999998)</f>
        <v>31.26</v>
      </c>
      <c r="G2786" s="2">
        <f t="shared" si="2"/>
        <v>31</v>
      </c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>
      <c r="B2787" s="3"/>
      <c r="C2787" s="3"/>
      <c r="D2787" s="3"/>
      <c r="E2787" s="3"/>
      <c r="F2787" s="2">
        <f>IFERROR(__xludf.DUMMYFUNCTION("""COMPUTED_VALUE"""),31.44)</f>
        <v>31.44</v>
      </c>
      <c r="G2787" s="2">
        <f t="shared" si="2"/>
        <v>31</v>
      </c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>
      <c r="B2788" s="3"/>
      <c r="C2788" s="3"/>
      <c r="D2788" s="3"/>
      <c r="E2788" s="3"/>
      <c r="F2788" s="2">
        <f>IFERROR(__xludf.DUMMYFUNCTION("""COMPUTED_VALUE"""),171.35999999999999)</f>
        <v>171.36</v>
      </c>
      <c r="G2788" s="2">
        <f t="shared" si="2"/>
        <v>171</v>
      </c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>
      <c r="B2789" s="3"/>
      <c r="C2789" s="3"/>
      <c r="D2789" s="3"/>
      <c r="E2789" s="3"/>
      <c r="F2789" s="2">
        <f>IFERROR(__xludf.DUMMYFUNCTION("""COMPUTED_VALUE"""),81.24)</f>
        <v>81.24</v>
      </c>
      <c r="G2789" s="2">
        <f t="shared" si="2"/>
        <v>81</v>
      </c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>
      <c r="B2790" s="3"/>
      <c r="C2790" s="3"/>
      <c r="D2790" s="3"/>
      <c r="E2790" s="3"/>
      <c r="F2790" s="2">
        <f>IFERROR(__xludf.DUMMYFUNCTION("""COMPUTED_VALUE"""),67.38)</f>
        <v>67.38</v>
      </c>
      <c r="G2790" s="2">
        <f t="shared" si="2"/>
        <v>67</v>
      </c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>
      <c r="B2791" s="3"/>
      <c r="C2791" s="3"/>
      <c r="D2791" s="3"/>
      <c r="E2791" s="3"/>
      <c r="F2791" s="2">
        <f>IFERROR(__xludf.DUMMYFUNCTION("""COMPUTED_VALUE"""),69.24)</f>
        <v>69.24</v>
      </c>
      <c r="G2791" s="2">
        <f t="shared" si="2"/>
        <v>69</v>
      </c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>
      <c r="B2792" s="3"/>
      <c r="C2792" s="3"/>
      <c r="D2792" s="3"/>
      <c r="E2792" s="3"/>
      <c r="F2792" s="2">
        <f>IFERROR(__xludf.DUMMYFUNCTION("""COMPUTED_VALUE"""),57.239999999999995)</f>
        <v>57.24</v>
      </c>
      <c r="G2792" s="2">
        <f t="shared" si="2"/>
        <v>57</v>
      </c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>
      <c r="B2793" s="3"/>
      <c r="C2793" s="3"/>
      <c r="D2793" s="3"/>
      <c r="E2793" s="3"/>
      <c r="F2793" s="2">
        <f>IFERROR(__xludf.DUMMYFUNCTION("""COMPUTED_VALUE"""),49.38)</f>
        <v>49.38</v>
      </c>
      <c r="G2793" s="2">
        <f t="shared" si="2"/>
        <v>49</v>
      </c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>
      <c r="B2794" s="3"/>
      <c r="C2794" s="3"/>
      <c r="D2794" s="3"/>
      <c r="E2794" s="3"/>
      <c r="F2794" s="2">
        <f>IFERROR(__xludf.DUMMYFUNCTION("""COMPUTED_VALUE"""),48.72)</f>
        <v>48.72</v>
      </c>
      <c r="G2794" s="2">
        <f t="shared" si="2"/>
        <v>49</v>
      </c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>
      <c r="B2795" s="3"/>
      <c r="C2795" s="3"/>
      <c r="D2795" s="3"/>
      <c r="E2795" s="3"/>
      <c r="F2795" s="2">
        <f>IFERROR(__xludf.DUMMYFUNCTION("""COMPUTED_VALUE"""),21.06)</f>
        <v>21.06</v>
      </c>
      <c r="G2795" s="2">
        <f t="shared" si="2"/>
        <v>21</v>
      </c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>
      <c r="B2796" s="3"/>
      <c r="C2796" s="3"/>
      <c r="D2796" s="3"/>
      <c r="E2796" s="3"/>
      <c r="F2796" s="2">
        <f>IFERROR(__xludf.DUMMYFUNCTION("""COMPUTED_VALUE"""),97.26)</f>
        <v>97.26</v>
      </c>
      <c r="G2796" s="2">
        <f t="shared" si="2"/>
        <v>97</v>
      </c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>
      <c r="B2797" s="3"/>
      <c r="C2797" s="3"/>
      <c r="D2797" s="3"/>
      <c r="E2797" s="3"/>
      <c r="F2797" s="2">
        <f>IFERROR(__xludf.DUMMYFUNCTION("""COMPUTED_VALUE"""),37.26)</f>
        <v>37.26</v>
      </c>
      <c r="G2797" s="2">
        <f t="shared" si="2"/>
        <v>37</v>
      </c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>
      <c r="B2798" s="3"/>
      <c r="C2798" s="3"/>
      <c r="D2798" s="3"/>
      <c r="E2798" s="3"/>
      <c r="F2798" s="2">
        <f>IFERROR(__xludf.DUMMYFUNCTION("""COMPUTED_VALUE"""),171.35999999999999)</f>
        <v>171.36</v>
      </c>
      <c r="G2798" s="2">
        <f t="shared" si="2"/>
        <v>171</v>
      </c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>
      <c r="B2799" s="3"/>
      <c r="C2799" s="3"/>
      <c r="D2799" s="3"/>
      <c r="E2799" s="3"/>
      <c r="F2799" s="2">
        <f>IFERROR(__xludf.DUMMYFUNCTION("""COMPUTED_VALUE"""),97.26)</f>
        <v>97.26</v>
      </c>
      <c r="G2799" s="2">
        <f t="shared" si="2"/>
        <v>97</v>
      </c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>
      <c r="B2800" s="3"/>
      <c r="C2800" s="3"/>
      <c r="D2800" s="3"/>
      <c r="E2800" s="3"/>
      <c r="F2800" s="2">
        <f>IFERROR(__xludf.DUMMYFUNCTION("""COMPUTED_VALUE"""),67.5)</f>
        <v>67.5</v>
      </c>
      <c r="G2800" s="2">
        <f t="shared" si="2"/>
        <v>68</v>
      </c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>
      <c r="B2801" s="3"/>
      <c r="C2801" s="3"/>
      <c r="D2801" s="3"/>
      <c r="E2801" s="3"/>
      <c r="F2801" s="2">
        <f>IFERROR(__xludf.DUMMYFUNCTION("""COMPUTED_VALUE"""),75.36)</f>
        <v>75.36</v>
      </c>
      <c r="G2801" s="2">
        <f t="shared" si="2"/>
        <v>75</v>
      </c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>
      <c r="B2802" s="3"/>
      <c r="C2802" s="3"/>
      <c r="D2802" s="3"/>
      <c r="E2802" s="3"/>
      <c r="F2802" s="2">
        <f>IFERROR(__xludf.DUMMYFUNCTION("""COMPUTED_VALUE"""),67.5)</f>
        <v>67.5</v>
      </c>
      <c r="G2802" s="2">
        <f t="shared" si="2"/>
        <v>68</v>
      </c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>
      <c r="B2803" s="3"/>
      <c r="C2803" s="3"/>
      <c r="D2803" s="3"/>
      <c r="E2803" s="3"/>
      <c r="F2803" s="2">
        <f>IFERROR(__xludf.DUMMYFUNCTION("""COMPUTED_VALUE"""),57.239999999999995)</f>
        <v>57.24</v>
      </c>
      <c r="G2803" s="2">
        <f t="shared" si="2"/>
        <v>57</v>
      </c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>
      <c r="B2804" s="3"/>
      <c r="C2804" s="3"/>
      <c r="D2804" s="3"/>
      <c r="E2804" s="3"/>
      <c r="F2804" s="2">
        <f>IFERROR(__xludf.DUMMYFUNCTION("""COMPUTED_VALUE"""),33.900000000000006)</f>
        <v>33.9</v>
      </c>
      <c r="G2804" s="2">
        <f t="shared" si="2"/>
        <v>34</v>
      </c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>
      <c r="B2805" s="3"/>
      <c r="C2805" s="3"/>
      <c r="D2805" s="3"/>
      <c r="E2805" s="3"/>
      <c r="F2805" s="2">
        <f>IFERROR(__xludf.DUMMYFUNCTION("""COMPUTED_VALUE"""),25.5)</f>
        <v>25.5</v>
      </c>
      <c r="G2805" s="2">
        <f t="shared" si="2"/>
        <v>26</v>
      </c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>
      <c r="B2806" s="3"/>
      <c r="C2806" s="3"/>
      <c r="D2806" s="3"/>
      <c r="E2806" s="3"/>
      <c r="F2806" s="2">
        <f>IFERROR(__xludf.DUMMYFUNCTION("""COMPUTED_VALUE"""),21.06)</f>
        <v>21.06</v>
      </c>
      <c r="G2806" s="2">
        <f t="shared" si="2"/>
        <v>21</v>
      </c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>
      <c r="B2807" s="3"/>
      <c r="C2807" s="3"/>
      <c r="D2807" s="3"/>
      <c r="E2807" s="3"/>
      <c r="F2807" s="2">
        <f>IFERROR(__xludf.DUMMYFUNCTION("""COMPUTED_VALUE"""),115.38)</f>
        <v>115.38</v>
      </c>
      <c r="G2807" s="2">
        <f t="shared" si="2"/>
        <v>115</v>
      </c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>
      <c r="B2808" s="3"/>
      <c r="C2808" s="3"/>
      <c r="D2808" s="3"/>
      <c r="E2808" s="3"/>
      <c r="F2808" s="2">
        <f>IFERROR(__xludf.DUMMYFUNCTION("""COMPUTED_VALUE"""),91.38)</f>
        <v>91.38</v>
      </c>
      <c r="G2808" s="2">
        <f t="shared" si="2"/>
        <v>91</v>
      </c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>
      <c r="B2809" s="3"/>
      <c r="C2809" s="3"/>
      <c r="D2809" s="3"/>
      <c r="E2809" s="3"/>
      <c r="F2809" s="2">
        <f>IFERROR(__xludf.DUMMYFUNCTION("""COMPUTED_VALUE"""),37.26)</f>
        <v>37.26</v>
      </c>
      <c r="G2809" s="2">
        <f t="shared" si="2"/>
        <v>37</v>
      </c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>
      <c r="B2810" s="3"/>
      <c r="C2810" s="3"/>
      <c r="D2810" s="3"/>
      <c r="E2810" s="3"/>
      <c r="F2810" s="2">
        <f>IFERROR(__xludf.DUMMYFUNCTION("""COMPUTED_VALUE"""),19.5)</f>
        <v>19.5</v>
      </c>
      <c r="G2810" s="2">
        <f t="shared" si="2"/>
        <v>20</v>
      </c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>
      <c r="B2811" s="3"/>
      <c r="C2811" s="3"/>
      <c r="D2811" s="3"/>
      <c r="E2811" s="3"/>
      <c r="F2811" s="2">
        <f>IFERROR(__xludf.DUMMYFUNCTION("""COMPUTED_VALUE"""),73.44)</f>
        <v>73.44</v>
      </c>
      <c r="G2811" s="2">
        <f t="shared" si="2"/>
        <v>73</v>
      </c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>
      <c r="B2812" s="3"/>
      <c r="C2812" s="3"/>
      <c r="D2812" s="3"/>
      <c r="E2812" s="3"/>
      <c r="F2812" s="2">
        <f>IFERROR(__xludf.DUMMYFUNCTION("""COMPUTED_VALUE"""),67.38)</f>
        <v>67.38</v>
      </c>
      <c r="G2812" s="2">
        <f t="shared" si="2"/>
        <v>67</v>
      </c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>
      <c r="B2813" s="3"/>
      <c r="C2813" s="3"/>
      <c r="D2813" s="3"/>
      <c r="E2813" s="3"/>
      <c r="F2813" s="2">
        <f>IFERROR(__xludf.DUMMYFUNCTION("""COMPUTED_VALUE"""),81.24)</f>
        <v>81.24</v>
      </c>
      <c r="G2813" s="2">
        <f t="shared" si="2"/>
        <v>81</v>
      </c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>
      <c r="B2814" s="3"/>
      <c r="C2814" s="3"/>
      <c r="D2814" s="3"/>
      <c r="E2814" s="3"/>
      <c r="F2814" s="2">
        <f>IFERROR(__xludf.DUMMYFUNCTION("""COMPUTED_VALUE"""),115.38)</f>
        <v>115.38</v>
      </c>
      <c r="G2814" s="2">
        <f t="shared" si="2"/>
        <v>115</v>
      </c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>
      <c r="B2815" s="3"/>
      <c r="C2815" s="3"/>
      <c r="D2815" s="3"/>
      <c r="E2815" s="3"/>
      <c r="F2815" s="2">
        <f>IFERROR(__xludf.DUMMYFUNCTION("""COMPUTED_VALUE"""),37.5)</f>
        <v>37.5</v>
      </c>
      <c r="G2815" s="2">
        <f t="shared" si="2"/>
        <v>38</v>
      </c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>
      <c r="B2816" s="3"/>
      <c r="C2816" s="3"/>
      <c r="D2816" s="3"/>
      <c r="E2816" s="3"/>
      <c r="F2816" s="2">
        <f>IFERROR(__xludf.DUMMYFUNCTION("""COMPUTED_VALUE"""),25.5)</f>
        <v>25.5</v>
      </c>
      <c r="G2816" s="2">
        <f t="shared" si="2"/>
        <v>26</v>
      </c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>
      <c r="B2817" s="3"/>
      <c r="C2817" s="3"/>
      <c r="D2817" s="3"/>
      <c r="E2817" s="3"/>
      <c r="F2817" s="2">
        <f>IFERROR(__xludf.DUMMYFUNCTION("""COMPUTED_VALUE"""),32.7)</f>
        <v>32.7</v>
      </c>
      <c r="G2817" s="2">
        <f t="shared" si="2"/>
        <v>33</v>
      </c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>
      <c r="B2818" s="3"/>
      <c r="C2818" s="3"/>
      <c r="D2818" s="3"/>
      <c r="E2818" s="3"/>
      <c r="F2818" s="2">
        <f>IFERROR(__xludf.DUMMYFUNCTION("""COMPUTED_VALUE"""),171.35999999999999)</f>
        <v>171.36</v>
      </c>
      <c r="G2818" s="2">
        <f t="shared" si="2"/>
        <v>171</v>
      </c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>
      <c r="B2819" s="3"/>
      <c r="C2819" s="3"/>
      <c r="D2819" s="3"/>
      <c r="E2819" s="3"/>
      <c r="F2819" s="2">
        <f>IFERROR(__xludf.DUMMYFUNCTION("""COMPUTED_VALUE"""),21.9)</f>
        <v>21.9</v>
      </c>
      <c r="G2819" s="2">
        <f t="shared" si="2"/>
        <v>22</v>
      </c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>
      <c r="B2820" s="3"/>
      <c r="C2820" s="3"/>
      <c r="D2820" s="3"/>
      <c r="E2820" s="3"/>
      <c r="F2820" s="2">
        <f>IFERROR(__xludf.DUMMYFUNCTION("""COMPUTED_VALUE"""),75.36)</f>
        <v>75.36</v>
      </c>
      <c r="G2820" s="2">
        <f t="shared" si="2"/>
        <v>75</v>
      </c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>
      <c r="B2821" s="3"/>
      <c r="C2821" s="3"/>
      <c r="D2821" s="3"/>
      <c r="E2821" s="3"/>
      <c r="F2821" s="2">
        <f>IFERROR(__xludf.DUMMYFUNCTION("""COMPUTED_VALUE"""),32.7)</f>
        <v>32.7</v>
      </c>
      <c r="G2821" s="2">
        <f t="shared" si="2"/>
        <v>33</v>
      </c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>
      <c r="B2822" s="3"/>
      <c r="C2822" s="3"/>
      <c r="D2822" s="3"/>
      <c r="E2822" s="3"/>
      <c r="F2822" s="2">
        <f>IFERROR(__xludf.DUMMYFUNCTION("""COMPUTED_VALUE"""),75.36)</f>
        <v>75.36</v>
      </c>
      <c r="G2822" s="2">
        <f t="shared" si="2"/>
        <v>75</v>
      </c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>
      <c r="B2823" s="3"/>
      <c r="C2823" s="3"/>
      <c r="D2823" s="3"/>
      <c r="E2823" s="3"/>
      <c r="F2823" s="2">
        <f>IFERROR(__xludf.DUMMYFUNCTION("""COMPUTED_VALUE"""),49.38)</f>
        <v>49.38</v>
      </c>
      <c r="G2823" s="2">
        <f t="shared" si="2"/>
        <v>49</v>
      </c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>
      <c r="B2824" s="3"/>
      <c r="C2824" s="3"/>
      <c r="D2824" s="3"/>
      <c r="E2824" s="3"/>
      <c r="F2824" s="2">
        <f>IFERROR(__xludf.DUMMYFUNCTION("""COMPUTED_VALUE"""),39.24)</f>
        <v>39.24</v>
      </c>
      <c r="G2824" s="2">
        <f t="shared" si="2"/>
        <v>39</v>
      </c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>
      <c r="B2825" s="3"/>
      <c r="C2825" s="3"/>
      <c r="D2825" s="3"/>
      <c r="E2825" s="3"/>
      <c r="F2825" s="2">
        <f>IFERROR(__xludf.DUMMYFUNCTION("""COMPUTED_VALUE"""),97.26)</f>
        <v>97.26</v>
      </c>
      <c r="G2825" s="2">
        <f t="shared" si="2"/>
        <v>97</v>
      </c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>
      <c r="B2826" s="3"/>
      <c r="C2826" s="3"/>
      <c r="D2826" s="3"/>
      <c r="E2826" s="3"/>
      <c r="F2826" s="2">
        <f>IFERROR(__xludf.DUMMYFUNCTION("""COMPUTED_VALUE"""),92.69999999999999)</f>
        <v>92.7</v>
      </c>
      <c r="G2826" s="2">
        <f t="shared" si="2"/>
        <v>93</v>
      </c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>
      <c r="B2827" s="3"/>
      <c r="C2827" s="3"/>
      <c r="D2827" s="3"/>
      <c r="E2827" s="3"/>
      <c r="F2827" s="2">
        <f>IFERROR(__xludf.DUMMYFUNCTION("""COMPUTED_VALUE"""),33.900000000000006)</f>
        <v>33.9</v>
      </c>
      <c r="G2827" s="2">
        <f t="shared" si="2"/>
        <v>34</v>
      </c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>
      <c r="B2828" s="3"/>
      <c r="C2828" s="3"/>
      <c r="D2828" s="3"/>
      <c r="E2828" s="3"/>
      <c r="F2828" s="2">
        <f>IFERROR(__xludf.DUMMYFUNCTION("""COMPUTED_VALUE"""),85.5)</f>
        <v>85.5</v>
      </c>
      <c r="G2828" s="2">
        <f t="shared" si="2"/>
        <v>86</v>
      </c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>
      <c r="B2829" s="3"/>
      <c r="C2829" s="3"/>
      <c r="D2829" s="3"/>
      <c r="E2829" s="3"/>
      <c r="F2829" s="2">
        <f>IFERROR(__xludf.DUMMYFUNCTION("""COMPUTED_VALUE"""),31.44)</f>
        <v>31.44</v>
      </c>
      <c r="G2829" s="2">
        <f t="shared" si="2"/>
        <v>31</v>
      </c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>
      <c r="B2830" s="3"/>
      <c r="C2830" s="3"/>
      <c r="D2830" s="3"/>
      <c r="E2830" s="3"/>
      <c r="F2830" s="2">
        <f>IFERROR(__xludf.DUMMYFUNCTION("""COMPUTED_VALUE"""),97.26)</f>
        <v>97.26</v>
      </c>
      <c r="G2830" s="2">
        <f t="shared" si="2"/>
        <v>97</v>
      </c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>
      <c r="B2831" s="3"/>
      <c r="C2831" s="3"/>
      <c r="D2831" s="3"/>
      <c r="E2831" s="3"/>
      <c r="F2831" s="2">
        <f>IFERROR(__xludf.DUMMYFUNCTION("""COMPUTED_VALUE"""),37.5)</f>
        <v>37.5</v>
      </c>
      <c r="G2831" s="2">
        <f t="shared" si="2"/>
        <v>38</v>
      </c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>
      <c r="B2832" s="3"/>
      <c r="C2832" s="3"/>
      <c r="D2832" s="3"/>
      <c r="E2832" s="3"/>
      <c r="F2832" s="2">
        <f>IFERROR(__xludf.DUMMYFUNCTION("""COMPUTED_VALUE"""),81.24)</f>
        <v>81.24</v>
      </c>
      <c r="G2832" s="2">
        <f t="shared" si="2"/>
        <v>81</v>
      </c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>
      <c r="B2833" s="3"/>
      <c r="C2833" s="3"/>
      <c r="D2833" s="3"/>
      <c r="E2833" s="3"/>
      <c r="F2833" s="2">
        <f>IFERROR(__xludf.DUMMYFUNCTION("""COMPUTED_VALUE"""),91.38)</f>
        <v>91.38</v>
      </c>
      <c r="G2833" s="2">
        <f t="shared" si="2"/>
        <v>91</v>
      </c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>
      <c r="B2834" s="3"/>
      <c r="C2834" s="3"/>
      <c r="D2834" s="3"/>
      <c r="E2834" s="3"/>
      <c r="F2834" s="2">
        <f>IFERROR(__xludf.DUMMYFUNCTION("""COMPUTED_VALUE"""),37.5)</f>
        <v>37.5</v>
      </c>
      <c r="G2834" s="2">
        <f t="shared" si="2"/>
        <v>38</v>
      </c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>
      <c r="B2835" s="3"/>
      <c r="C2835" s="3"/>
      <c r="D2835" s="3"/>
      <c r="E2835" s="3"/>
      <c r="F2835" s="2">
        <f>IFERROR(__xludf.DUMMYFUNCTION("""COMPUTED_VALUE"""),51.239999999999995)</f>
        <v>51.24</v>
      </c>
      <c r="G2835" s="2">
        <f t="shared" si="2"/>
        <v>51</v>
      </c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>
      <c r="B2836" s="3"/>
      <c r="C2836" s="3"/>
      <c r="D2836" s="3"/>
      <c r="E2836" s="3"/>
      <c r="F2836" s="2">
        <f>IFERROR(__xludf.DUMMYFUNCTION("""COMPUTED_VALUE"""),31.259999999999998)</f>
        <v>31.26</v>
      </c>
      <c r="G2836" s="2">
        <f t="shared" si="2"/>
        <v>31</v>
      </c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>
      <c r="B2837" s="3"/>
      <c r="C2837" s="3"/>
      <c r="D2837" s="3"/>
      <c r="E2837" s="3"/>
      <c r="F2837" s="2">
        <f>IFERROR(__xludf.DUMMYFUNCTION("""COMPUTED_VALUE"""),85.5)</f>
        <v>85.5</v>
      </c>
      <c r="G2837" s="2">
        <f t="shared" si="2"/>
        <v>86</v>
      </c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>
      <c r="B2838" s="3"/>
      <c r="C2838" s="3"/>
      <c r="D2838" s="3"/>
      <c r="E2838" s="3"/>
      <c r="F2838" s="2">
        <f>IFERROR(__xludf.DUMMYFUNCTION("""COMPUTED_VALUE"""),32.7)</f>
        <v>32.7</v>
      </c>
      <c r="G2838" s="2">
        <f t="shared" si="2"/>
        <v>33</v>
      </c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>
      <c r="B2839" s="3"/>
      <c r="C2839" s="3"/>
      <c r="D2839" s="3"/>
      <c r="E2839" s="3"/>
      <c r="F2839" s="2">
        <f>IFERROR(__xludf.DUMMYFUNCTION("""COMPUTED_VALUE"""),21.06)</f>
        <v>21.06</v>
      </c>
      <c r="G2839" s="2">
        <f t="shared" si="2"/>
        <v>21</v>
      </c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>
      <c r="B2840" s="3"/>
      <c r="C2840" s="3"/>
      <c r="D2840" s="3"/>
      <c r="E2840" s="3"/>
      <c r="F2840" s="2">
        <f>IFERROR(__xludf.DUMMYFUNCTION("""COMPUTED_VALUE"""),111.35999999999999)</f>
        <v>111.36</v>
      </c>
      <c r="G2840" s="2">
        <f t="shared" si="2"/>
        <v>111</v>
      </c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>
      <c r="B2841" s="3"/>
      <c r="C2841" s="3"/>
      <c r="D2841" s="3"/>
      <c r="E2841" s="3"/>
      <c r="F2841" s="2">
        <f>IFERROR(__xludf.DUMMYFUNCTION("""COMPUTED_VALUE"""),57.239999999999995)</f>
        <v>57.24</v>
      </c>
      <c r="G2841" s="2">
        <f t="shared" si="2"/>
        <v>57</v>
      </c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>
      <c r="B2842" s="3"/>
      <c r="C2842" s="3"/>
      <c r="D2842" s="3"/>
      <c r="E2842" s="3"/>
      <c r="F2842" s="2">
        <f>IFERROR(__xludf.DUMMYFUNCTION("""COMPUTED_VALUE"""),92.69999999999999)</f>
        <v>92.7</v>
      </c>
      <c r="G2842" s="2">
        <f t="shared" si="2"/>
        <v>93</v>
      </c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>
      <c r="B2843" s="3"/>
      <c r="C2843" s="3"/>
      <c r="D2843" s="3"/>
      <c r="E2843" s="3"/>
      <c r="F2843" s="2">
        <f>IFERROR(__xludf.DUMMYFUNCTION("""COMPUTED_VALUE"""),37.26)</f>
        <v>37.26</v>
      </c>
      <c r="G2843" s="2">
        <f t="shared" si="2"/>
        <v>37</v>
      </c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>
      <c r="B2844" s="3"/>
      <c r="C2844" s="3"/>
      <c r="D2844" s="3"/>
      <c r="E2844" s="3"/>
      <c r="F2844" s="2">
        <f>IFERROR(__xludf.DUMMYFUNCTION("""COMPUTED_VALUE"""),31.259999999999998)</f>
        <v>31.26</v>
      </c>
      <c r="G2844" s="2">
        <f t="shared" si="2"/>
        <v>31</v>
      </c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>
      <c r="B2845" s="3"/>
      <c r="C2845" s="3"/>
      <c r="D2845" s="3"/>
      <c r="E2845" s="3"/>
      <c r="F2845" s="2">
        <f>IFERROR(__xludf.DUMMYFUNCTION("""COMPUTED_VALUE"""),103.38)</f>
        <v>103.38</v>
      </c>
      <c r="G2845" s="2">
        <f t="shared" si="2"/>
        <v>103</v>
      </c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>
      <c r="B2846" s="3"/>
      <c r="C2846" s="3"/>
      <c r="D2846" s="3"/>
      <c r="E2846" s="3"/>
      <c r="F2846" s="2">
        <f>IFERROR(__xludf.DUMMYFUNCTION("""COMPUTED_VALUE"""),25.259999999999998)</f>
        <v>25.26</v>
      </c>
      <c r="G2846" s="2">
        <f t="shared" si="2"/>
        <v>25</v>
      </c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>
      <c r="B2847" s="3"/>
      <c r="C2847" s="3"/>
      <c r="D2847" s="3"/>
      <c r="E2847" s="3"/>
      <c r="F2847" s="2">
        <f>IFERROR(__xludf.DUMMYFUNCTION("""COMPUTED_VALUE"""),33.900000000000006)</f>
        <v>33.9</v>
      </c>
      <c r="G2847" s="2">
        <f t="shared" si="2"/>
        <v>34</v>
      </c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>
      <c r="B2848" s="3"/>
      <c r="C2848" s="3"/>
      <c r="D2848" s="3"/>
      <c r="E2848" s="3"/>
      <c r="F2848" s="2">
        <f>IFERROR(__xludf.DUMMYFUNCTION("""COMPUTED_VALUE"""),51.239999999999995)</f>
        <v>51.24</v>
      </c>
      <c r="G2848" s="2">
        <f t="shared" si="2"/>
        <v>51</v>
      </c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>
      <c r="B2849" s="3"/>
      <c r="C2849" s="3"/>
      <c r="D2849" s="3"/>
      <c r="E2849" s="3"/>
      <c r="F2849" s="2">
        <f>IFERROR(__xludf.DUMMYFUNCTION("""COMPUTED_VALUE"""),19.5)</f>
        <v>19.5</v>
      </c>
      <c r="G2849" s="2">
        <f t="shared" si="2"/>
        <v>20</v>
      </c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>
      <c r="B2850" s="3"/>
      <c r="C2850" s="3"/>
      <c r="D2850" s="3"/>
      <c r="E2850" s="3"/>
      <c r="F2850" s="2">
        <f>IFERROR(__xludf.DUMMYFUNCTION("""COMPUTED_VALUE"""),19.5)</f>
        <v>19.5</v>
      </c>
      <c r="G2850" s="2">
        <f t="shared" si="2"/>
        <v>20</v>
      </c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>
      <c r="B2851" s="3"/>
      <c r="C2851" s="3"/>
      <c r="D2851" s="3"/>
      <c r="E2851" s="3"/>
      <c r="F2851" s="2">
        <f>IFERROR(__xludf.DUMMYFUNCTION("""COMPUTED_VALUE"""),37.26)</f>
        <v>37.26</v>
      </c>
      <c r="G2851" s="2">
        <f t="shared" si="2"/>
        <v>37</v>
      </c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>
      <c r="B2852" s="3"/>
      <c r="C2852" s="3"/>
      <c r="D2852" s="3"/>
      <c r="E2852" s="3"/>
      <c r="F2852" s="2">
        <f>IFERROR(__xludf.DUMMYFUNCTION("""COMPUTED_VALUE"""),31.259999999999998)</f>
        <v>31.26</v>
      </c>
      <c r="G2852" s="2">
        <f t="shared" si="2"/>
        <v>31</v>
      </c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>
      <c r="B2853" s="3"/>
      <c r="C2853" s="3"/>
      <c r="D2853" s="3"/>
      <c r="E2853" s="3"/>
      <c r="F2853" s="2">
        <f>IFERROR(__xludf.DUMMYFUNCTION("""COMPUTED_VALUE"""),67.38)</f>
        <v>67.38</v>
      </c>
      <c r="G2853" s="2">
        <f t="shared" si="2"/>
        <v>67</v>
      </c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>
      <c r="B2854" s="3"/>
      <c r="C2854" s="3"/>
      <c r="D2854" s="3"/>
      <c r="E2854" s="3"/>
      <c r="F2854" s="2">
        <f>IFERROR(__xludf.DUMMYFUNCTION("""COMPUTED_VALUE"""),39.24)</f>
        <v>39.24</v>
      </c>
      <c r="G2854" s="2">
        <f t="shared" si="2"/>
        <v>39</v>
      </c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>
      <c r="B2855" s="3"/>
      <c r="C2855" s="3"/>
      <c r="D2855" s="3"/>
      <c r="E2855" s="3"/>
      <c r="F2855" s="2">
        <f>IFERROR(__xludf.DUMMYFUNCTION("""COMPUTED_VALUE"""),49.38)</f>
        <v>49.38</v>
      </c>
      <c r="G2855" s="2">
        <f t="shared" si="2"/>
        <v>49</v>
      </c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>
      <c r="B2856" s="3"/>
      <c r="C2856" s="3"/>
      <c r="D2856" s="3"/>
      <c r="E2856" s="3"/>
      <c r="F2856" s="2">
        <f>IFERROR(__xludf.DUMMYFUNCTION("""COMPUTED_VALUE"""),57.239999999999995)</f>
        <v>57.24</v>
      </c>
      <c r="G2856" s="2">
        <f t="shared" si="2"/>
        <v>57</v>
      </c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>
      <c r="B2857" s="3"/>
      <c r="C2857" s="3"/>
      <c r="D2857" s="3"/>
      <c r="E2857" s="3"/>
      <c r="F2857" s="2">
        <f>IFERROR(__xludf.DUMMYFUNCTION("""COMPUTED_VALUE"""),81.24)</f>
        <v>81.24</v>
      </c>
      <c r="G2857" s="2">
        <f t="shared" si="2"/>
        <v>81</v>
      </c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>
      <c r="B2858" s="3"/>
      <c r="C2858" s="3"/>
      <c r="D2858" s="3"/>
      <c r="E2858" s="3"/>
      <c r="F2858" s="2">
        <f>IFERROR(__xludf.DUMMYFUNCTION("""COMPUTED_VALUE"""),115.38)</f>
        <v>115.38</v>
      </c>
      <c r="G2858" s="2">
        <f t="shared" si="2"/>
        <v>115</v>
      </c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>
      <c r="B2859" s="3"/>
      <c r="C2859" s="3"/>
      <c r="D2859" s="3"/>
      <c r="E2859" s="3"/>
      <c r="F2859" s="2">
        <f>IFERROR(__xludf.DUMMYFUNCTION("""COMPUTED_VALUE"""),51.239999999999995)</f>
        <v>51.24</v>
      </c>
      <c r="G2859" s="2">
        <f t="shared" si="2"/>
        <v>51</v>
      </c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>
      <c r="B2860" s="3"/>
      <c r="C2860" s="3"/>
      <c r="D2860" s="3"/>
      <c r="E2860" s="3"/>
      <c r="F2860" s="2">
        <f>IFERROR(__xludf.DUMMYFUNCTION("""COMPUTED_VALUE"""),69.24)</f>
        <v>69.24</v>
      </c>
      <c r="G2860" s="2">
        <f t="shared" si="2"/>
        <v>69</v>
      </c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>
      <c r="B2861" s="3"/>
      <c r="C2861" s="3"/>
      <c r="D2861" s="3"/>
      <c r="E2861" s="3"/>
      <c r="F2861" s="2">
        <f>IFERROR(__xludf.DUMMYFUNCTION("""COMPUTED_VALUE"""),85.5)</f>
        <v>85.5</v>
      </c>
      <c r="G2861" s="2">
        <f t="shared" si="2"/>
        <v>86</v>
      </c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>
      <c r="B2862" s="3"/>
      <c r="C2862" s="3"/>
      <c r="D2862" s="3"/>
      <c r="E2862" s="3"/>
      <c r="F2862" s="2">
        <f>IFERROR(__xludf.DUMMYFUNCTION("""COMPUTED_VALUE"""),25.5)</f>
        <v>25.5</v>
      </c>
      <c r="G2862" s="2">
        <f t="shared" si="2"/>
        <v>26</v>
      </c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>
      <c r="B2863" s="3"/>
      <c r="C2863" s="3"/>
      <c r="D2863" s="3"/>
      <c r="E2863" s="3"/>
      <c r="F2863" s="2">
        <f>IFERROR(__xludf.DUMMYFUNCTION("""COMPUTED_VALUE"""),39.24)</f>
        <v>39.24</v>
      </c>
      <c r="G2863" s="2">
        <f t="shared" si="2"/>
        <v>39</v>
      </c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>
      <c r="B2864" s="3"/>
      <c r="C2864" s="3"/>
      <c r="D2864" s="3"/>
      <c r="E2864" s="3"/>
      <c r="F2864" s="2">
        <f>IFERROR(__xludf.DUMMYFUNCTION("""COMPUTED_VALUE"""),33.900000000000006)</f>
        <v>33.9</v>
      </c>
      <c r="G2864" s="2">
        <f t="shared" si="2"/>
        <v>34</v>
      </c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>
      <c r="B2865" s="3"/>
      <c r="C2865" s="3"/>
      <c r="D2865" s="3"/>
      <c r="E2865" s="3"/>
      <c r="F2865" s="2">
        <f>IFERROR(__xludf.DUMMYFUNCTION("""COMPUTED_VALUE"""),67.5)</f>
        <v>67.5</v>
      </c>
      <c r="G2865" s="2">
        <f t="shared" si="2"/>
        <v>68</v>
      </c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>
      <c r="B2866" s="3"/>
      <c r="C2866" s="3"/>
      <c r="D2866" s="3"/>
      <c r="E2866" s="3"/>
      <c r="F2866" s="2">
        <f>IFERROR(__xludf.DUMMYFUNCTION("""COMPUTED_VALUE"""),97.26)</f>
        <v>97.26</v>
      </c>
      <c r="G2866" s="2">
        <f t="shared" si="2"/>
        <v>97</v>
      </c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>
      <c r="B2867" s="3"/>
      <c r="C2867" s="3"/>
      <c r="D2867" s="3"/>
      <c r="E2867" s="3"/>
      <c r="F2867" s="2">
        <f>IFERROR(__xludf.DUMMYFUNCTION("""COMPUTED_VALUE"""),31.259999999999998)</f>
        <v>31.26</v>
      </c>
      <c r="G2867" s="2">
        <f t="shared" si="2"/>
        <v>31</v>
      </c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>
      <c r="B2868" s="3"/>
      <c r="C2868" s="3"/>
      <c r="D2868" s="3"/>
      <c r="E2868" s="3"/>
      <c r="F2868" s="2">
        <f>IFERROR(__xludf.DUMMYFUNCTION("""COMPUTED_VALUE"""),48.72)</f>
        <v>48.72</v>
      </c>
      <c r="G2868" s="2">
        <f t="shared" si="2"/>
        <v>49</v>
      </c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>
      <c r="B2869" s="3"/>
      <c r="C2869" s="3"/>
      <c r="D2869" s="3"/>
      <c r="E2869" s="3"/>
      <c r="F2869" s="2">
        <f>IFERROR(__xludf.DUMMYFUNCTION("""COMPUTED_VALUE"""),91.38)</f>
        <v>91.38</v>
      </c>
      <c r="G2869" s="2">
        <f t="shared" si="2"/>
        <v>91</v>
      </c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>
      <c r="B2870" s="3"/>
      <c r="C2870" s="3"/>
      <c r="D2870" s="3"/>
      <c r="E2870" s="3"/>
      <c r="F2870" s="2">
        <f>IFERROR(__xludf.DUMMYFUNCTION("""COMPUTED_VALUE"""),171.35999999999999)</f>
        <v>171.36</v>
      </c>
      <c r="G2870" s="2">
        <f t="shared" si="2"/>
        <v>171</v>
      </c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>
      <c r="B2871" s="3"/>
      <c r="C2871" s="3"/>
      <c r="D2871" s="3"/>
      <c r="E2871" s="3"/>
      <c r="F2871" s="2">
        <f>IFERROR(__xludf.DUMMYFUNCTION("""COMPUTED_VALUE"""),57.239999999999995)</f>
        <v>57.24</v>
      </c>
      <c r="G2871" s="2">
        <f t="shared" si="2"/>
        <v>57</v>
      </c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>
      <c r="B2872" s="3"/>
      <c r="C2872" s="3"/>
      <c r="D2872" s="3"/>
      <c r="E2872" s="3"/>
      <c r="F2872" s="2">
        <f>IFERROR(__xludf.DUMMYFUNCTION("""COMPUTED_VALUE"""),33.900000000000006)</f>
        <v>33.9</v>
      </c>
      <c r="G2872" s="2">
        <f t="shared" si="2"/>
        <v>34</v>
      </c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>
      <c r="B2873" s="3"/>
      <c r="C2873" s="3"/>
      <c r="D2873" s="3"/>
      <c r="E2873" s="3"/>
      <c r="F2873" s="2">
        <f>IFERROR(__xludf.DUMMYFUNCTION("""COMPUTED_VALUE"""),75.36)</f>
        <v>75.36</v>
      </c>
      <c r="G2873" s="2">
        <f t="shared" si="2"/>
        <v>75</v>
      </c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>
      <c r="B2874" s="3"/>
      <c r="C2874" s="3"/>
      <c r="D2874" s="3"/>
      <c r="E2874" s="3"/>
      <c r="F2874" s="2">
        <f>IFERROR(__xludf.DUMMYFUNCTION("""COMPUTED_VALUE"""),49.38)</f>
        <v>49.38</v>
      </c>
      <c r="G2874" s="2">
        <f t="shared" si="2"/>
        <v>49</v>
      </c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>
      <c r="B2875" s="3"/>
      <c r="C2875" s="3"/>
      <c r="D2875" s="3"/>
      <c r="E2875" s="3"/>
      <c r="F2875" s="2">
        <f>IFERROR(__xludf.DUMMYFUNCTION("""COMPUTED_VALUE"""),57.239999999999995)</f>
        <v>57.24</v>
      </c>
      <c r="G2875" s="2">
        <f t="shared" si="2"/>
        <v>57</v>
      </c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>
      <c r="B2876" s="3"/>
      <c r="C2876" s="3"/>
      <c r="D2876" s="3"/>
      <c r="E2876" s="3"/>
      <c r="F2876" s="2">
        <f>IFERROR(__xludf.DUMMYFUNCTION("""COMPUTED_VALUE"""),21.06)</f>
        <v>21.06</v>
      </c>
      <c r="G2876" s="2">
        <f t="shared" si="2"/>
        <v>21</v>
      </c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>
      <c r="B2877" s="3"/>
      <c r="C2877" s="3"/>
      <c r="D2877" s="3"/>
      <c r="E2877" s="3"/>
      <c r="F2877" s="2">
        <f>IFERROR(__xludf.DUMMYFUNCTION("""COMPUTED_VALUE"""),21.9)</f>
        <v>21.9</v>
      </c>
      <c r="G2877" s="2">
        <f t="shared" si="2"/>
        <v>22</v>
      </c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>
      <c r="B2878" s="3"/>
      <c r="C2878" s="3"/>
      <c r="D2878" s="3"/>
      <c r="E2878" s="3"/>
      <c r="F2878" s="2">
        <f>IFERROR(__xludf.DUMMYFUNCTION("""COMPUTED_VALUE"""),171.35999999999999)</f>
        <v>171.36</v>
      </c>
      <c r="G2878" s="2">
        <f t="shared" si="2"/>
        <v>171</v>
      </c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>
      <c r="B2879" s="3"/>
      <c r="C2879" s="3"/>
      <c r="D2879" s="3"/>
      <c r="E2879" s="3"/>
      <c r="F2879" s="2">
        <f>IFERROR(__xludf.DUMMYFUNCTION("""COMPUTED_VALUE"""),37.26)</f>
        <v>37.26</v>
      </c>
      <c r="G2879" s="2">
        <f t="shared" si="2"/>
        <v>37</v>
      </c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>
      <c r="B2880" s="3"/>
      <c r="C2880" s="3"/>
      <c r="D2880" s="3"/>
      <c r="E2880" s="3"/>
      <c r="F2880" s="2">
        <f>IFERROR(__xludf.DUMMYFUNCTION("""COMPUTED_VALUE"""),92.69999999999999)</f>
        <v>92.7</v>
      </c>
      <c r="G2880" s="2">
        <f t="shared" si="2"/>
        <v>93</v>
      </c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>
      <c r="B2881" s="3"/>
      <c r="C2881" s="3"/>
      <c r="D2881" s="3"/>
      <c r="E2881" s="3"/>
      <c r="F2881" s="2">
        <f>IFERROR(__xludf.DUMMYFUNCTION("""COMPUTED_VALUE"""),31.259999999999998)</f>
        <v>31.26</v>
      </c>
      <c r="G2881" s="2">
        <f t="shared" si="2"/>
        <v>31</v>
      </c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>
      <c r="B2882" s="3"/>
      <c r="C2882" s="3"/>
      <c r="D2882" s="3"/>
      <c r="E2882" s="3"/>
      <c r="F2882" s="2">
        <f>IFERROR(__xludf.DUMMYFUNCTION("""COMPUTED_VALUE"""),37.5)</f>
        <v>37.5</v>
      </c>
      <c r="G2882" s="2">
        <f t="shared" si="2"/>
        <v>38</v>
      </c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>
      <c r="B2883" s="3"/>
      <c r="C2883" s="3"/>
      <c r="D2883" s="3"/>
      <c r="E2883" s="3"/>
      <c r="F2883" s="2">
        <f>IFERROR(__xludf.DUMMYFUNCTION("""COMPUTED_VALUE"""),67.5)</f>
        <v>67.5</v>
      </c>
      <c r="G2883" s="2">
        <f t="shared" si="2"/>
        <v>68</v>
      </c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>
      <c r="B2884" s="3"/>
      <c r="C2884" s="3"/>
      <c r="D2884" s="3"/>
      <c r="E2884" s="3"/>
      <c r="F2884" s="2">
        <f>IFERROR(__xludf.DUMMYFUNCTION("""COMPUTED_VALUE"""),43.5)</f>
        <v>43.5</v>
      </c>
      <c r="G2884" s="2">
        <f t="shared" si="2"/>
        <v>44</v>
      </c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>
      <c r="B2885" s="3"/>
      <c r="C2885" s="3"/>
      <c r="D2885" s="3"/>
      <c r="E2885" s="3"/>
      <c r="F2885" s="2">
        <f>IFERROR(__xludf.DUMMYFUNCTION("""COMPUTED_VALUE"""),74.16)</f>
        <v>74.16</v>
      </c>
      <c r="G2885" s="2">
        <f t="shared" si="2"/>
        <v>74</v>
      </c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>
      <c r="B2886" s="3"/>
      <c r="C2886" s="3"/>
      <c r="D2886" s="3"/>
      <c r="E2886" s="3"/>
      <c r="F2886" s="2">
        <f>IFERROR(__xludf.DUMMYFUNCTION("""COMPUTED_VALUE"""),37.26)</f>
        <v>37.26</v>
      </c>
      <c r="G2886" s="2">
        <f t="shared" si="2"/>
        <v>37</v>
      </c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>
      <c r="B2887" s="3"/>
      <c r="C2887" s="3"/>
      <c r="D2887" s="3"/>
      <c r="E2887" s="3"/>
      <c r="F2887" s="2">
        <f>IFERROR(__xludf.DUMMYFUNCTION("""COMPUTED_VALUE"""),39.24)</f>
        <v>39.24</v>
      </c>
      <c r="G2887" s="2">
        <f t="shared" si="2"/>
        <v>39</v>
      </c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>
      <c r="B2888" s="3"/>
      <c r="C2888" s="3"/>
      <c r="D2888" s="3"/>
      <c r="E2888" s="3"/>
      <c r="F2888" s="2">
        <f>IFERROR(__xludf.DUMMYFUNCTION("""COMPUTED_VALUE"""),81.24)</f>
        <v>81.24</v>
      </c>
      <c r="G2888" s="2">
        <f t="shared" si="2"/>
        <v>81</v>
      </c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>
      <c r="B2889" s="3"/>
      <c r="C2889" s="3"/>
      <c r="D2889" s="3"/>
      <c r="E2889" s="3"/>
      <c r="F2889" s="2">
        <f>IFERROR(__xludf.DUMMYFUNCTION("""COMPUTED_VALUE"""),21.9)</f>
        <v>21.9</v>
      </c>
      <c r="G2889" s="2">
        <f t="shared" si="2"/>
        <v>22</v>
      </c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>
      <c r="B2890" s="3"/>
      <c r="C2890" s="3"/>
      <c r="D2890" s="3"/>
      <c r="E2890" s="3"/>
      <c r="F2890" s="2">
        <f>IFERROR(__xludf.DUMMYFUNCTION("""COMPUTED_VALUE"""),37.5)</f>
        <v>37.5</v>
      </c>
      <c r="G2890" s="2">
        <f t="shared" si="2"/>
        <v>38</v>
      </c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>
      <c r="B2891" s="3"/>
      <c r="C2891" s="3"/>
      <c r="D2891" s="3"/>
      <c r="E2891" s="3"/>
      <c r="F2891" s="2">
        <f>IFERROR(__xludf.DUMMYFUNCTION("""COMPUTED_VALUE"""),91.38)</f>
        <v>91.38</v>
      </c>
      <c r="G2891" s="2">
        <f t="shared" si="2"/>
        <v>91</v>
      </c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</row>
    <row r="2892">
      <c r="B2892" s="3"/>
      <c r="C2892" s="3"/>
      <c r="D2892" s="3"/>
      <c r="E2892" s="3"/>
      <c r="F2892" s="2">
        <f>IFERROR(__xludf.DUMMYFUNCTION("""COMPUTED_VALUE"""),25.5)</f>
        <v>25.5</v>
      </c>
      <c r="G2892" s="2">
        <f t="shared" si="2"/>
        <v>26</v>
      </c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>
      <c r="B2893" s="3"/>
      <c r="C2893" s="3"/>
      <c r="D2893" s="3"/>
      <c r="E2893" s="3"/>
      <c r="F2893" s="2">
        <f>IFERROR(__xludf.DUMMYFUNCTION("""COMPUTED_VALUE"""),69.24)</f>
        <v>69.24</v>
      </c>
      <c r="G2893" s="2">
        <f t="shared" si="2"/>
        <v>69</v>
      </c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>
      <c r="B2894" s="3"/>
      <c r="C2894" s="3"/>
      <c r="D2894" s="3"/>
      <c r="E2894" s="3"/>
      <c r="F2894" s="2">
        <f>IFERROR(__xludf.DUMMYFUNCTION("""COMPUTED_VALUE"""),31.44)</f>
        <v>31.44</v>
      </c>
      <c r="G2894" s="2">
        <f t="shared" si="2"/>
        <v>31</v>
      </c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>
      <c r="B2895" s="3"/>
      <c r="C2895" s="3"/>
      <c r="D2895" s="3"/>
      <c r="E2895" s="3"/>
      <c r="F2895" s="2">
        <f>IFERROR(__xludf.DUMMYFUNCTION("""COMPUTED_VALUE"""),39.24)</f>
        <v>39.24</v>
      </c>
      <c r="G2895" s="2">
        <f t="shared" si="2"/>
        <v>39</v>
      </c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>
      <c r="B2896" s="3"/>
      <c r="C2896" s="3"/>
      <c r="D2896" s="3"/>
      <c r="E2896" s="3"/>
      <c r="F2896" s="2">
        <f>IFERROR(__xludf.DUMMYFUNCTION("""COMPUTED_VALUE"""),37.5)</f>
        <v>37.5</v>
      </c>
      <c r="G2896" s="2">
        <f t="shared" si="2"/>
        <v>38</v>
      </c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</row>
    <row r="2897">
      <c r="B2897" s="3"/>
      <c r="C2897" s="3"/>
      <c r="D2897" s="3"/>
      <c r="E2897" s="3"/>
      <c r="F2897" s="2">
        <f>IFERROR(__xludf.DUMMYFUNCTION("""COMPUTED_VALUE"""),32.7)</f>
        <v>32.7</v>
      </c>
      <c r="G2897" s="2">
        <f t="shared" si="2"/>
        <v>33</v>
      </c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</row>
    <row r="2898">
      <c r="B2898" s="3"/>
      <c r="C2898" s="3"/>
      <c r="D2898" s="3"/>
      <c r="E2898" s="3"/>
      <c r="F2898" s="2">
        <f>IFERROR(__xludf.DUMMYFUNCTION("""COMPUTED_VALUE"""),25.5)</f>
        <v>25.5</v>
      </c>
      <c r="G2898" s="2">
        <f t="shared" si="2"/>
        <v>26</v>
      </c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</row>
    <row r="2899">
      <c r="B2899" s="3"/>
      <c r="C2899" s="3"/>
      <c r="D2899" s="3"/>
      <c r="E2899" s="3"/>
      <c r="F2899" s="2">
        <f>IFERROR(__xludf.DUMMYFUNCTION("""COMPUTED_VALUE"""),31.44)</f>
        <v>31.44</v>
      </c>
      <c r="G2899" s="2">
        <f t="shared" si="2"/>
        <v>31</v>
      </c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>
      <c r="B2900" s="3"/>
      <c r="C2900" s="3"/>
      <c r="D2900" s="3"/>
      <c r="E2900" s="3"/>
      <c r="F2900" s="2">
        <f>IFERROR(__xludf.DUMMYFUNCTION("""COMPUTED_VALUE"""),74.16)</f>
        <v>74.16</v>
      </c>
      <c r="G2900" s="2">
        <f t="shared" si="2"/>
        <v>74</v>
      </c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>
      <c r="B2901" s="3"/>
      <c r="C2901" s="3"/>
      <c r="D2901" s="3"/>
      <c r="E2901" s="3"/>
      <c r="F2901" s="2">
        <f>IFERROR(__xludf.DUMMYFUNCTION("""COMPUTED_VALUE"""),115.38)</f>
        <v>115.38</v>
      </c>
      <c r="G2901" s="2">
        <f t="shared" si="2"/>
        <v>115</v>
      </c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</row>
    <row r="2902">
      <c r="B2902" s="3"/>
      <c r="C2902" s="3"/>
      <c r="D2902" s="3"/>
      <c r="E2902" s="3"/>
      <c r="F2902" s="2">
        <f>IFERROR(__xludf.DUMMYFUNCTION("""COMPUTED_VALUE"""),85.5)</f>
        <v>85.5</v>
      </c>
      <c r="G2902" s="2">
        <f t="shared" si="2"/>
        <v>86</v>
      </c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</row>
    <row r="2903">
      <c r="B2903" s="3"/>
      <c r="C2903" s="3"/>
      <c r="D2903" s="3"/>
      <c r="E2903" s="3"/>
      <c r="F2903" s="2">
        <f>IFERROR(__xludf.DUMMYFUNCTION("""COMPUTED_VALUE"""),67.5)</f>
        <v>67.5</v>
      </c>
      <c r="G2903" s="2">
        <f t="shared" si="2"/>
        <v>68</v>
      </c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</row>
    <row r="2904">
      <c r="B2904" s="3"/>
      <c r="C2904" s="3"/>
      <c r="D2904" s="3"/>
      <c r="E2904" s="3"/>
      <c r="F2904" s="2">
        <f>IFERROR(__xludf.DUMMYFUNCTION("""COMPUTED_VALUE"""),75.36)</f>
        <v>75.36</v>
      </c>
      <c r="G2904" s="2">
        <f t="shared" si="2"/>
        <v>75</v>
      </c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>
      <c r="B2905" s="3"/>
      <c r="C2905" s="3"/>
      <c r="D2905" s="3"/>
      <c r="E2905" s="3"/>
      <c r="F2905" s="2">
        <f>IFERROR(__xludf.DUMMYFUNCTION("""COMPUTED_VALUE"""),32.7)</f>
        <v>32.7</v>
      </c>
      <c r="G2905" s="2">
        <f t="shared" si="2"/>
        <v>33</v>
      </c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</row>
    <row r="2906">
      <c r="B2906" s="3"/>
      <c r="C2906" s="3"/>
      <c r="D2906" s="3"/>
      <c r="E2906" s="3"/>
      <c r="F2906" s="2">
        <f>IFERROR(__xludf.DUMMYFUNCTION("""COMPUTED_VALUE"""),81.24)</f>
        <v>81.24</v>
      </c>
      <c r="G2906" s="2">
        <f t="shared" si="2"/>
        <v>81</v>
      </c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>
      <c r="B2907" s="3"/>
      <c r="C2907" s="3"/>
      <c r="D2907" s="3"/>
      <c r="E2907" s="3"/>
      <c r="F2907" s="2">
        <f>IFERROR(__xludf.DUMMYFUNCTION("""COMPUTED_VALUE"""),43.5)</f>
        <v>43.5</v>
      </c>
      <c r="G2907" s="2">
        <f t="shared" si="2"/>
        <v>44</v>
      </c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</row>
    <row r="2908">
      <c r="B2908" s="3"/>
      <c r="C2908" s="3"/>
      <c r="D2908" s="3"/>
      <c r="E2908" s="3"/>
      <c r="F2908" s="2">
        <f>IFERROR(__xludf.DUMMYFUNCTION("""COMPUTED_VALUE"""),37.26)</f>
        <v>37.26</v>
      </c>
      <c r="G2908" s="2">
        <f t="shared" si="2"/>
        <v>37</v>
      </c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</row>
    <row r="2909">
      <c r="B2909" s="3"/>
      <c r="C2909" s="3"/>
      <c r="D2909" s="3"/>
      <c r="E2909" s="3"/>
      <c r="F2909" s="2">
        <f>IFERROR(__xludf.DUMMYFUNCTION("""COMPUTED_VALUE"""),25.5)</f>
        <v>25.5</v>
      </c>
      <c r="G2909" s="2">
        <f t="shared" si="2"/>
        <v>26</v>
      </c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</row>
    <row r="2910">
      <c r="B2910" s="3"/>
      <c r="C2910" s="3"/>
      <c r="D2910" s="3"/>
      <c r="E2910" s="3"/>
      <c r="F2910" s="2">
        <f>IFERROR(__xludf.DUMMYFUNCTION("""COMPUTED_VALUE"""),81.24)</f>
        <v>81.24</v>
      </c>
      <c r="G2910" s="2">
        <f t="shared" si="2"/>
        <v>81</v>
      </c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</row>
    <row r="2911">
      <c r="B2911" s="3"/>
      <c r="C2911" s="3"/>
      <c r="D2911" s="3"/>
      <c r="E2911" s="3"/>
      <c r="F2911" s="2">
        <f>IFERROR(__xludf.DUMMYFUNCTION("""COMPUTED_VALUE"""),21.06)</f>
        <v>21.06</v>
      </c>
      <c r="G2911" s="2">
        <f t="shared" si="2"/>
        <v>21</v>
      </c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</row>
    <row r="2912">
      <c r="B2912" s="3"/>
      <c r="C2912" s="3"/>
      <c r="D2912" s="3"/>
      <c r="E2912" s="3"/>
      <c r="F2912" s="2">
        <f>IFERROR(__xludf.DUMMYFUNCTION("""COMPUTED_VALUE"""),31.44)</f>
        <v>31.44</v>
      </c>
      <c r="G2912" s="2">
        <f t="shared" si="2"/>
        <v>31</v>
      </c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>
      <c r="B2913" s="3"/>
      <c r="C2913" s="3"/>
      <c r="D2913" s="3"/>
      <c r="E2913" s="3"/>
      <c r="F2913" s="2">
        <f>IFERROR(__xludf.DUMMYFUNCTION("""COMPUTED_VALUE"""),43.5)</f>
        <v>43.5</v>
      </c>
      <c r="G2913" s="2">
        <f t="shared" si="2"/>
        <v>44</v>
      </c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</row>
    <row r="2914">
      <c r="B2914" s="3"/>
      <c r="C2914" s="3"/>
      <c r="D2914" s="3"/>
      <c r="E2914" s="3"/>
      <c r="F2914" s="2">
        <f>IFERROR(__xludf.DUMMYFUNCTION("""COMPUTED_VALUE"""),43.5)</f>
        <v>43.5</v>
      </c>
      <c r="G2914" s="2">
        <f t="shared" si="2"/>
        <v>44</v>
      </c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</row>
    <row r="2915">
      <c r="B2915" s="3"/>
      <c r="C2915" s="3"/>
      <c r="D2915" s="3"/>
      <c r="E2915" s="3"/>
      <c r="F2915" s="2">
        <f>IFERROR(__xludf.DUMMYFUNCTION("""COMPUTED_VALUE"""),21.9)</f>
        <v>21.9</v>
      </c>
      <c r="G2915" s="2">
        <f t="shared" si="2"/>
        <v>22</v>
      </c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</row>
    <row r="2916">
      <c r="B2916" s="3"/>
      <c r="C2916" s="3"/>
      <c r="D2916" s="3"/>
      <c r="E2916" s="3"/>
      <c r="F2916" s="2">
        <f>IFERROR(__xludf.DUMMYFUNCTION("""COMPUTED_VALUE"""),67.5)</f>
        <v>67.5</v>
      </c>
      <c r="G2916" s="2">
        <f t="shared" si="2"/>
        <v>68</v>
      </c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>
      <c r="B2917" s="3"/>
      <c r="C2917" s="3"/>
      <c r="D2917" s="3"/>
      <c r="E2917" s="3"/>
      <c r="F2917" s="2">
        <f>IFERROR(__xludf.DUMMYFUNCTION("""COMPUTED_VALUE"""),57.239999999999995)</f>
        <v>57.24</v>
      </c>
      <c r="G2917" s="2">
        <f t="shared" si="2"/>
        <v>57</v>
      </c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</row>
    <row r="2918">
      <c r="B2918" s="3"/>
      <c r="C2918" s="3"/>
      <c r="D2918" s="3"/>
      <c r="E2918" s="3"/>
      <c r="F2918" s="2">
        <f>IFERROR(__xludf.DUMMYFUNCTION("""COMPUTED_VALUE"""),103.38)</f>
        <v>103.38</v>
      </c>
      <c r="G2918" s="2">
        <f t="shared" si="2"/>
        <v>103</v>
      </c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>
      <c r="B2919" s="3"/>
      <c r="C2919" s="3"/>
      <c r="D2919" s="3"/>
      <c r="E2919" s="3"/>
      <c r="F2919" s="2">
        <f>IFERROR(__xludf.DUMMYFUNCTION("""COMPUTED_VALUE"""),33.900000000000006)</f>
        <v>33.9</v>
      </c>
      <c r="G2919" s="2">
        <f t="shared" si="2"/>
        <v>34</v>
      </c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</row>
    <row r="2920">
      <c r="B2920" s="3"/>
      <c r="C2920" s="3"/>
      <c r="D2920" s="3"/>
      <c r="E2920" s="3"/>
      <c r="F2920" s="2">
        <f>IFERROR(__xludf.DUMMYFUNCTION("""COMPUTED_VALUE"""),32.7)</f>
        <v>32.7</v>
      </c>
      <c r="G2920" s="2">
        <f t="shared" si="2"/>
        <v>33</v>
      </c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>
      <c r="B2921" s="3"/>
      <c r="C2921" s="3"/>
      <c r="D2921" s="3"/>
      <c r="E2921" s="3"/>
      <c r="F2921" s="2">
        <f>IFERROR(__xludf.DUMMYFUNCTION("""COMPUTED_VALUE"""),37.5)</f>
        <v>37.5</v>
      </c>
      <c r="G2921" s="2">
        <f t="shared" si="2"/>
        <v>38</v>
      </c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  <row r="2922">
      <c r="B2922" s="3"/>
      <c r="C2922" s="3"/>
      <c r="D2922" s="3"/>
      <c r="E2922" s="3"/>
      <c r="F2922" s="2">
        <f>IFERROR(__xludf.DUMMYFUNCTION("""COMPUTED_VALUE"""),37.5)</f>
        <v>37.5</v>
      </c>
      <c r="G2922" s="2">
        <f t="shared" si="2"/>
        <v>38</v>
      </c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>
      <c r="B2923" s="3"/>
      <c r="C2923" s="3"/>
      <c r="D2923" s="3"/>
      <c r="E2923" s="3"/>
      <c r="F2923" s="2">
        <f>IFERROR(__xludf.DUMMYFUNCTION("""COMPUTED_VALUE"""),37.26)</f>
        <v>37.26</v>
      </c>
      <c r="G2923" s="2">
        <f t="shared" si="2"/>
        <v>37</v>
      </c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>
      <c r="B2924" s="3"/>
      <c r="C2924" s="3"/>
      <c r="D2924" s="3"/>
      <c r="E2924" s="3"/>
      <c r="F2924" s="2">
        <f>IFERROR(__xludf.DUMMYFUNCTION("""COMPUTED_VALUE"""),19.5)</f>
        <v>19.5</v>
      </c>
      <c r="G2924" s="2">
        <f t="shared" si="2"/>
        <v>20</v>
      </c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</row>
    <row r="2925">
      <c r="B2925" s="3"/>
      <c r="C2925" s="3"/>
      <c r="D2925" s="3"/>
      <c r="E2925" s="3"/>
      <c r="F2925" s="2">
        <f>IFERROR(__xludf.DUMMYFUNCTION("""COMPUTED_VALUE"""),39.24)</f>
        <v>39.24</v>
      </c>
      <c r="G2925" s="2">
        <f t="shared" si="2"/>
        <v>39</v>
      </c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>
      <c r="B2926" s="3"/>
      <c r="C2926" s="3"/>
      <c r="D2926" s="3"/>
      <c r="E2926" s="3"/>
      <c r="F2926" s="2">
        <f>IFERROR(__xludf.DUMMYFUNCTION("""COMPUTED_VALUE"""),57.239999999999995)</f>
        <v>57.24</v>
      </c>
      <c r="G2926" s="2">
        <f t="shared" si="2"/>
        <v>57</v>
      </c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</row>
    <row r="2927">
      <c r="B2927" s="3"/>
      <c r="C2927" s="3"/>
      <c r="D2927" s="3"/>
      <c r="E2927" s="3"/>
      <c r="F2927" s="2">
        <f>IFERROR(__xludf.DUMMYFUNCTION("""COMPUTED_VALUE"""),97.26)</f>
        <v>97.26</v>
      </c>
      <c r="G2927" s="2">
        <f t="shared" si="2"/>
        <v>97</v>
      </c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28">
      <c r="B2928" s="3"/>
      <c r="C2928" s="3"/>
      <c r="D2928" s="3"/>
      <c r="E2928" s="3"/>
      <c r="F2928" s="2">
        <f>IFERROR(__xludf.DUMMYFUNCTION("""COMPUTED_VALUE"""),67.5)</f>
        <v>67.5</v>
      </c>
      <c r="G2928" s="2">
        <f t="shared" si="2"/>
        <v>68</v>
      </c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</row>
    <row r="2929">
      <c r="B2929" s="3"/>
      <c r="C2929" s="3"/>
      <c r="D2929" s="3"/>
      <c r="E2929" s="3"/>
      <c r="F2929" s="2">
        <f>IFERROR(__xludf.DUMMYFUNCTION("""COMPUTED_VALUE"""),73.44)</f>
        <v>73.44</v>
      </c>
      <c r="G2929" s="2">
        <f t="shared" si="2"/>
        <v>73</v>
      </c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</row>
    <row r="2930">
      <c r="B2930" s="3"/>
      <c r="C2930" s="3"/>
      <c r="D2930" s="3"/>
      <c r="E2930" s="3"/>
      <c r="F2930" s="2">
        <f>IFERROR(__xludf.DUMMYFUNCTION("""COMPUTED_VALUE"""),32.7)</f>
        <v>32.7</v>
      </c>
      <c r="G2930" s="2">
        <f t="shared" si="2"/>
        <v>33</v>
      </c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</row>
    <row r="2931">
      <c r="B2931" s="3"/>
      <c r="C2931" s="3"/>
      <c r="D2931" s="3"/>
      <c r="E2931" s="3"/>
      <c r="F2931" s="2">
        <f>IFERROR(__xludf.DUMMYFUNCTION("""COMPUTED_VALUE"""),49.38)</f>
        <v>49.38</v>
      </c>
      <c r="G2931" s="2">
        <f t="shared" si="2"/>
        <v>49</v>
      </c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</row>
    <row r="2932">
      <c r="B2932" s="3"/>
      <c r="C2932" s="3"/>
      <c r="D2932" s="3"/>
      <c r="E2932" s="3"/>
      <c r="F2932" s="2">
        <f>IFERROR(__xludf.DUMMYFUNCTION("""COMPUTED_VALUE"""),25.259999999999998)</f>
        <v>25.26</v>
      </c>
      <c r="G2932" s="2">
        <f t="shared" si="2"/>
        <v>25</v>
      </c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</row>
    <row r="2933">
      <c r="B2933" s="3"/>
      <c r="C2933" s="3"/>
      <c r="D2933" s="3"/>
      <c r="E2933" s="3"/>
      <c r="F2933" s="2">
        <f>IFERROR(__xludf.DUMMYFUNCTION("""COMPUTED_VALUE"""),37.26)</f>
        <v>37.26</v>
      </c>
      <c r="G2933" s="2">
        <f t="shared" si="2"/>
        <v>37</v>
      </c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</row>
    <row r="2934">
      <c r="B2934" s="3"/>
      <c r="C2934" s="3"/>
      <c r="D2934" s="3"/>
      <c r="E2934" s="3"/>
      <c r="F2934" s="2">
        <f>IFERROR(__xludf.DUMMYFUNCTION("""COMPUTED_VALUE"""),39.24)</f>
        <v>39.24</v>
      </c>
      <c r="G2934" s="2">
        <f t="shared" si="2"/>
        <v>39</v>
      </c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</row>
    <row r="2935">
      <c r="B2935" s="3"/>
      <c r="C2935" s="3"/>
      <c r="D2935" s="3"/>
      <c r="E2935" s="3"/>
      <c r="F2935" s="2">
        <f>IFERROR(__xludf.DUMMYFUNCTION("""COMPUTED_VALUE"""),32.7)</f>
        <v>32.7</v>
      </c>
      <c r="G2935" s="2">
        <f t="shared" si="2"/>
        <v>33</v>
      </c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</row>
    <row r="2936">
      <c r="B2936" s="3"/>
      <c r="C2936" s="3"/>
      <c r="D2936" s="3"/>
      <c r="E2936" s="3"/>
      <c r="F2936" s="2">
        <f>IFERROR(__xludf.DUMMYFUNCTION("""COMPUTED_VALUE"""),25.5)</f>
        <v>25.5</v>
      </c>
      <c r="G2936" s="2">
        <f t="shared" si="2"/>
        <v>26</v>
      </c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</row>
    <row r="2937">
      <c r="B2937" s="3"/>
      <c r="C2937" s="3"/>
      <c r="D2937" s="3"/>
      <c r="E2937" s="3"/>
      <c r="F2937" s="2">
        <f>IFERROR(__xludf.DUMMYFUNCTION("""COMPUTED_VALUE"""),51.239999999999995)</f>
        <v>51.24</v>
      </c>
      <c r="G2937" s="2">
        <f t="shared" si="2"/>
        <v>51</v>
      </c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</row>
    <row r="2938">
      <c r="B2938" s="3"/>
      <c r="C2938" s="3"/>
      <c r="D2938" s="3"/>
      <c r="E2938" s="3"/>
      <c r="F2938" s="2">
        <f>IFERROR(__xludf.DUMMYFUNCTION("""COMPUTED_VALUE"""),57.239999999999995)</f>
        <v>57.24</v>
      </c>
      <c r="G2938" s="2">
        <f t="shared" si="2"/>
        <v>57</v>
      </c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</row>
    <row r="2939">
      <c r="B2939" s="3"/>
      <c r="C2939" s="3"/>
      <c r="D2939" s="3"/>
      <c r="E2939" s="3"/>
      <c r="F2939" s="2">
        <f>IFERROR(__xludf.DUMMYFUNCTION("""COMPUTED_VALUE"""),171.35999999999999)</f>
        <v>171.36</v>
      </c>
      <c r="G2939" s="2">
        <f t="shared" si="2"/>
        <v>171</v>
      </c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</row>
    <row r="2940">
      <c r="B2940" s="3"/>
      <c r="C2940" s="3"/>
      <c r="D2940" s="3"/>
      <c r="E2940" s="3"/>
      <c r="F2940" s="2">
        <f>IFERROR(__xludf.DUMMYFUNCTION("""COMPUTED_VALUE"""),39.24)</f>
        <v>39.24</v>
      </c>
      <c r="G2940" s="2">
        <f t="shared" si="2"/>
        <v>39</v>
      </c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</row>
    <row r="2941">
      <c r="B2941" s="3"/>
      <c r="C2941" s="3"/>
      <c r="D2941" s="3"/>
      <c r="E2941" s="3"/>
      <c r="F2941" s="2">
        <f>IFERROR(__xludf.DUMMYFUNCTION("""COMPUTED_VALUE"""),73.44)</f>
        <v>73.44</v>
      </c>
      <c r="G2941" s="2">
        <f t="shared" si="2"/>
        <v>73</v>
      </c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</row>
    <row r="2942">
      <c r="B2942" s="3"/>
      <c r="C2942" s="3"/>
      <c r="D2942" s="3"/>
      <c r="E2942" s="3"/>
      <c r="F2942" s="2">
        <f>IFERROR(__xludf.DUMMYFUNCTION("""COMPUTED_VALUE"""),103.38)</f>
        <v>103.38</v>
      </c>
      <c r="G2942" s="2">
        <f t="shared" si="2"/>
        <v>103</v>
      </c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</row>
    <row r="2943">
      <c r="B2943" s="3"/>
      <c r="C2943" s="3"/>
      <c r="D2943" s="3"/>
      <c r="E2943" s="3"/>
      <c r="F2943" s="2">
        <f>IFERROR(__xludf.DUMMYFUNCTION("""COMPUTED_VALUE"""),57.239999999999995)</f>
        <v>57.24</v>
      </c>
      <c r="G2943" s="2">
        <f t="shared" si="2"/>
        <v>57</v>
      </c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</row>
    <row r="2944">
      <c r="B2944" s="3"/>
      <c r="C2944" s="3"/>
      <c r="D2944" s="3"/>
      <c r="E2944" s="3"/>
      <c r="F2944" s="2">
        <f>IFERROR(__xludf.DUMMYFUNCTION("""COMPUTED_VALUE"""),19.5)</f>
        <v>19.5</v>
      </c>
      <c r="G2944" s="2">
        <f t="shared" si="2"/>
        <v>20</v>
      </c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</row>
    <row r="2945">
      <c r="B2945" s="3"/>
      <c r="C2945" s="3"/>
      <c r="D2945" s="3"/>
      <c r="E2945" s="3"/>
      <c r="F2945" s="2">
        <f>IFERROR(__xludf.DUMMYFUNCTION("""COMPUTED_VALUE"""),33.900000000000006)</f>
        <v>33.9</v>
      </c>
      <c r="G2945" s="2">
        <f t="shared" si="2"/>
        <v>34</v>
      </c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</row>
    <row r="2946">
      <c r="B2946" s="3"/>
      <c r="C2946" s="3"/>
      <c r="D2946" s="3"/>
      <c r="E2946" s="3"/>
      <c r="F2946" s="2">
        <f>IFERROR(__xludf.DUMMYFUNCTION("""COMPUTED_VALUE"""),97.26)</f>
        <v>97.26</v>
      </c>
      <c r="G2946" s="2">
        <f t="shared" si="2"/>
        <v>97</v>
      </c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</row>
    <row r="2947">
      <c r="B2947" s="3"/>
      <c r="C2947" s="3"/>
      <c r="D2947" s="3"/>
      <c r="E2947" s="3"/>
      <c r="F2947" s="2">
        <f>IFERROR(__xludf.DUMMYFUNCTION("""COMPUTED_VALUE"""),92.69999999999999)</f>
        <v>92.7</v>
      </c>
      <c r="G2947" s="2">
        <f t="shared" si="2"/>
        <v>93</v>
      </c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</row>
    <row r="2948">
      <c r="B2948" s="3"/>
      <c r="C2948" s="3"/>
      <c r="D2948" s="3"/>
      <c r="E2948" s="3"/>
      <c r="F2948" s="2">
        <f>IFERROR(__xludf.DUMMYFUNCTION("""COMPUTED_VALUE"""),51.239999999999995)</f>
        <v>51.24</v>
      </c>
      <c r="G2948" s="2">
        <f t="shared" si="2"/>
        <v>51</v>
      </c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</row>
    <row r="2949">
      <c r="B2949" s="3"/>
      <c r="C2949" s="3"/>
      <c r="D2949" s="3"/>
      <c r="E2949" s="3"/>
      <c r="F2949" s="2">
        <f>IFERROR(__xludf.DUMMYFUNCTION("""COMPUTED_VALUE"""),115.38)</f>
        <v>115.38</v>
      </c>
      <c r="G2949" s="2">
        <f t="shared" si="2"/>
        <v>115</v>
      </c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</row>
    <row r="2950">
      <c r="B2950" s="3"/>
      <c r="C2950" s="3"/>
      <c r="D2950" s="3"/>
      <c r="E2950" s="3"/>
      <c r="F2950" s="2">
        <f>IFERROR(__xludf.DUMMYFUNCTION("""COMPUTED_VALUE"""),49.38)</f>
        <v>49.38</v>
      </c>
      <c r="G2950" s="2">
        <f t="shared" si="2"/>
        <v>49</v>
      </c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</row>
    <row r="2951">
      <c r="B2951" s="3"/>
      <c r="C2951" s="3"/>
      <c r="D2951" s="3"/>
      <c r="E2951" s="3"/>
      <c r="F2951" s="2">
        <f>IFERROR(__xludf.DUMMYFUNCTION("""COMPUTED_VALUE"""),37.26)</f>
        <v>37.26</v>
      </c>
      <c r="G2951" s="2">
        <f t="shared" si="2"/>
        <v>37</v>
      </c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</row>
    <row r="2952">
      <c r="B2952" s="3"/>
      <c r="C2952" s="3"/>
      <c r="D2952" s="3"/>
      <c r="E2952" s="3"/>
      <c r="F2952" s="2">
        <f>IFERROR(__xludf.DUMMYFUNCTION("""COMPUTED_VALUE"""),91.38)</f>
        <v>91.38</v>
      </c>
      <c r="G2952" s="2">
        <f t="shared" si="2"/>
        <v>91</v>
      </c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</row>
    <row r="2953">
      <c r="B2953" s="3"/>
      <c r="C2953" s="3"/>
      <c r="D2953" s="3"/>
      <c r="E2953" s="3"/>
      <c r="F2953" s="2">
        <f>IFERROR(__xludf.DUMMYFUNCTION("""COMPUTED_VALUE"""),67.38)</f>
        <v>67.38</v>
      </c>
      <c r="G2953" s="2">
        <f t="shared" si="2"/>
        <v>67</v>
      </c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</row>
    <row r="2954">
      <c r="B2954" s="3"/>
      <c r="C2954" s="3"/>
      <c r="D2954" s="3"/>
      <c r="E2954" s="3"/>
      <c r="F2954" s="2">
        <f>IFERROR(__xludf.DUMMYFUNCTION("""COMPUTED_VALUE"""),81.24)</f>
        <v>81.24</v>
      </c>
      <c r="G2954" s="2">
        <f t="shared" si="2"/>
        <v>81</v>
      </c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</row>
    <row r="2955">
      <c r="B2955" s="3"/>
      <c r="C2955" s="3"/>
      <c r="D2955" s="3"/>
      <c r="E2955" s="3"/>
      <c r="F2955" s="2">
        <f>IFERROR(__xludf.DUMMYFUNCTION("""COMPUTED_VALUE"""),19.5)</f>
        <v>19.5</v>
      </c>
      <c r="G2955" s="2">
        <f t="shared" si="2"/>
        <v>20</v>
      </c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</row>
    <row r="2956">
      <c r="B2956" s="3"/>
      <c r="C2956" s="3"/>
      <c r="D2956" s="3"/>
      <c r="E2956" s="3"/>
      <c r="F2956" s="2">
        <f>IFERROR(__xludf.DUMMYFUNCTION("""COMPUTED_VALUE"""),81.24)</f>
        <v>81.24</v>
      </c>
      <c r="G2956" s="2">
        <f t="shared" si="2"/>
        <v>81</v>
      </c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</row>
    <row r="2957">
      <c r="B2957" s="3"/>
      <c r="C2957" s="3"/>
      <c r="D2957" s="3"/>
      <c r="E2957" s="3"/>
      <c r="F2957" s="2">
        <f>IFERROR(__xludf.DUMMYFUNCTION("""COMPUTED_VALUE"""),57.239999999999995)</f>
        <v>57.24</v>
      </c>
      <c r="G2957" s="2">
        <f t="shared" si="2"/>
        <v>57</v>
      </c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</row>
    <row r="2958">
      <c r="B2958" s="3"/>
      <c r="C2958" s="3"/>
      <c r="D2958" s="3"/>
      <c r="E2958" s="3"/>
      <c r="F2958" s="2">
        <f>IFERROR(__xludf.DUMMYFUNCTION("""COMPUTED_VALUE"""),111.35999999999999)</f>
        <v>111.36</v>
      </c>
      <c r="G2958" s="2">
        <f t="shared" si="2"/>
        <v>111</v>
      </c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</row>
    <row r="2959">
      <c r="B2959" s="3"/>
      <c r="C2959" s="3"/>
      <c r="D2959" s="3"/>
      <c r="E2959" s="3"/>
      <c r="F2959" s="2">
        <f>IFERROR(__xludf.DUMMYFUNCTION("""COMPUTED_VALUE"""),25.5)</f>
        <v>25.5</v>
      </c>
      <c r="G2959" s="2">
        <f t="shared" si="2"/>
        <v>26</v>
      </c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</row>
    <row r="2960">
      <c r="B2960" s="3"/>
      <c r="C2960" s="3"/>
      <c r="D2960" s="3"/>
      <c r="E2960" s="3"/>
      <c r="F2960" s="2">
        <f>IFERROR(__xludf.DUMMYFUNCTION("""COMPUTED_VALUE"""),81.24)</f>
        <v>81.24</v>
      </c>
      <c r="G2960" s="2">
        <f t="shared" si="2"/>
        <v>81</v>
      </c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</row>
    <row r="2961">
      <c r="B2961" s="3"/>
      <c r="C2961" s="3"/>
      <c r="D2961" s="3"/>
      <c r="E2961" s="3"/>
      <c r="F2961" s="2">
        <f>IFERROR(__xludf.DUMMYFUNCTION("""COMPUTED_VALUE"""),32.7)</f>
        <v>32.7</v>
      </c>
      <c r="G2961" s="2">
        <f t="shared" si="2"/>
        <v>33</v>
      </c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</row>
    <row r="2962">
      <c r="B2962" s="3"/>
      <c r="C2962" s="3"/>
      <c r="D2962" s="3"/>
      <c r="E2962" s="3"/>
      <c r="F2962" s="2">
        <f>IFERROR(__xludf.DUMMYFUNCTION("""COMPUTED_VALUE"""),33.900000000000006)</f>
        <v>33.9</v>
      </c>
      <c r="G2962" s="2">
        <f t="shared" si="2"/>
        <v>34</v>
      </c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</row>
    <row r="2963">
      <c r="B2963" s="3"/>
      <c r="C2963" s="3"/>
      <c r="D2963" s="3"/>
      <c r="E2963" s="3"/>
      <c r="F2963" s="2">
        <f>IFERROR(__xludf.DUMMYFUNCTION("""COMPUTED_VALUE"""),67.5)</f>
        <v>67.5</v>
      </c>
      <c r="G2963" s="2">
        <f t="shared" si="2"/>
        <v>68</v>
      </c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</row>
    <row r="2964">
      <c r="B2964" s="3"/>
      <c r="C2964" s="3"/>
      <c r="D2964" s="3"/>
      <c r="E2964" s="3"/>
      <c r="F2964" s="2">
        <f>IFERROR(__xludf.DUMMYFUNCTION("""COMPUTED_VALUE"""),81.24)</f>
        <v>81.24</v>
      </c>
      <c r="G2964" s="2">
        <f t="shared" si="2"/>
        <v>81</v>
      </c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</row>
    <row r="2965">
      <c r="B2965" s="3"/>
      <c r="C2965" s="3"/>
      <c r="D2965" s="3"/>
      <c r="E2965" s="3"/>
      <c r="F2965" s="2">
        <f>IFERROR(__xludf.DUMMYFUNCTION("""COMPUTED_VALUE"""),67.5)</f>
        <v>67.5</v>
      </c>
      <c r="G2965" s="2">
        <f t="shared" si="2"/>
        <v>68</v>
      </c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</row>
    <row r="2966">
      <c r="B2966" s="3"/>
      <c r="C2966" s="3"/>
      <c r="D2966" s="3"/>
      <c r="E2966" s="3"/>
      <c r="F2966" s="2">
        <f>IFERROR(__xludf.DUMMYFUNCTION("""COMPUTED_VALUE"""),91.38)</f>
        <v>91.38</v>
      </c>
      <c r="G2966" s="2">
        <f t="shared" si="2"/>
        <v>91</v>
      </c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</row>
    <row r="2967">
      <c r="B2967" s="3"/>
      <c r="C2967" s="3"/>
      <c r="D2967" s="3"/>
      <c r="E2967" s="3"/>
      <c r="F2967" s="2">
        <f>IFERROR(__xludf.DUMMYFUNCTION("""COMPUTED_VALUE"""),92.69999999999999)</f>
        <v>92.7</v>
      </c>
      <c r="G2967" s="2">
        <f t="shared" si="2"/>
        <v>93</v>
      </c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>
      <c r="B2968" s="3"/>
      <c r="C2968" s="3"/>
      <c r="D2968" s="3"/>
      <c r="E2968" s="3"/>
      <c r="F2968" s="2">
        <f>IFERROR(__xludf.DUMMYFUNCTION("""COMPUTED_VALUE"""),37.26)</f>
        <v>37.26</v>
      </c>
      <c r="G2968" s="2">
        <f t="shared" si="2"/>
        <v>37</v>
      </c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</row>
    <row r="2969">
      <c r="B2969" s="3"/>
      <c r="C2969" s="3"/>
      <c r="D2969" s="3"/>
      <c r="E2969" s="3"/>
      <c r="F2969" s="2">
        <f>IFERROR(__xludf.DUMMYFUNCTION("""COMPUTED_VALUE"""),49.38)</f>
        <v>49.38</v>
      </c>
      <c r="G2969" s="2">
        <f t="shared" si="2"/>
        <v>49</v>
      </c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</row>
    <row r="2970">
      <c r="B2970" s="3"/>
      <c r="C2970" s="3"/>
      <c r="D2970" s="3"/>
      <c r="E2970" s="3"/>
      <c r="F2970" s="2">
        <f>IFERROR(__xludf.DUMMYFUNCTION("""COMPUTED_VALUE"""),111.35999999999999)</f>
        <v>111.36</v>
      </c>
      <c r="G2970" s="2">
        <f t="shared" si="2"/>
        <v>111</v>
      </c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</row>
    <row r="2971">
      <c r="B2971" s="3"/>
      <c r="C2971" s="3"/>
      <c r="D2971" s="3"/>
      <c r="E2971" s="3"/>
      <c r="F2971" s="2">
        <f>IFERROR(__xludf.DUMMYFUNCTION("""COMPUTED_VALUE"""),171.35999999999999)</f>
        <v>171.36</v>
      </c>
      <c r="G2971" s="2">
        <f t="shared" si="2"/>
        <v>171</v>
      </c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</row>
    <row r="2972">
      <c r="B2972" s="3"/>
      <c r="C2972" s="3"/>
      <c r="D2972" s="3"/>
      <c r="E2972" s="3"/>
      <c r="F2972" s="2">
        <f>IFERROR(__xludf.DUMMYFUNCTION("""COMPUTED_VALUE"""),31.259999999999998)</f>
        <v>31.26</v>
      </c>
      <c r="G2972" s="2">
        <f t="shared" si="2"/>
        <v>31</v>
      </c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</row>
    <row r="2973">
      <c r="B2973" s="3"/>
      <c r="C2973" s="3"/>
      <c r="D2973" s="3"/>
      <c r="E2973" s="3"/>
      <c r="F2973" s="2">
        <f>IFERROR(__xludf.DUMMYFUNCTION("""COMPUTED_VALUE"""),171.35999999999999)</f>
        <v>171.36</v>
      </c>
      <c r="G2973" s="2">
        <f t="shared" si="2"/>
        <v>171</v>
      </c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</row>
    <row r="2974">
      <c r="B2974" s="3"/>
      <c r="C2974" s="3"/>
      <c r="D2974" s="3"/>
      <c r="E2974" s="3"/>
      <c r="F2974" s="2">
        <f>IFERROR(__xludf.DUMMYFUNCTION("""COMPUTED_VALUE"""),171.35999999999999)</f>
        <v>171.36</v>
      </c>
      <c r="G2974" s="2">
        <f t="shared" si="2"/>
        <v>171</v>
      </c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</row>
    <row r="2975">
      <c r="B2975" s="3"/>
      <c r="C2975" s="3"/>
      <c r="D2975" s="3"/>
      <c r="E2975" s="3"/>
      <c r="F2975" s="2">
        <f>IFERROR(__xludf.DUMMYFUNCTION("""COMPUTED_VALUE"""),37.26)</f>
        <v>37.26</v>
      </c>
      <c r="G2975" s="2">
        <f t="shared" si="2"/>
        <v>37</v>
      </c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</row>
    <row r="2976">
      <c r="B2976" s="3"/>
      <c r="C2976" s="3"/>
      <c r="D2976" s="3"/>
      <c r="E2976" s="3"/>
      <c r="F2976" s="2">
        <f>IFERROR(__xludf.DUMMYFUNCTION("""COMPUTED_VALUE"""),69.24)</f>
        <v>69.24</v>
      </c>
      <c r="G2976" s="2">
        <f t="shared" si="2"/>
        <v>69</v>
      </c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</row>
    <row r="2977">
      <c r="B2977" s="3"/>
      <c r="C2977" s="3"/>
      <c r="D2977" s="3"/>
      <c r="E2977" s="3"/>
      <c r="F2977" s="2">
        <f>IFERROR(__xludf.DUMMYFUNCTION("""COMPUTED_VALUE"""),67.38)</f>
        <v>67.38</v>
      </c>
      <c r="G2977" s="2">
        <f t="shared" si="2"/>
        <v>67</v>
      </c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</row>
    <row r="2978">
      <c r="B2978" s="3"/>
      <c r="C2978" s="3"/>
      <c r="D2978" s="3"/>
      <c r="E2978" s="3"/>
      <c r="F2978" s="2">
        <f>IFERROR(__xludf.DUMMYFUNCTION("""COMPUTED_VALUE"""),37.26)</f>
        <v>37.26</v>
      </c>
      <c r="G2978" s="2">
        <f t="shared" si="2"/>
        <v>37</v>
      </c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</row>
    <row r="2979">
      <c r="B2979" s="3"/>
      <c r="C2979" s="3"/>
      <c r="D2979" s="3"/>
      <c r="E2979" s="3"/>
      <c r="F2979" s="2">
        <f>IFERROR(__xludf.DUMMYFUNCTION("""COMPUTED_VALUE"""),37.26)</f>
        <v>37.26</v>
      </c>
      <c r="G2979" s="2">
        <f t="shared" si="2"/>
        <v>37</v>
      </c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</row>
    <row r="2980">
      <c r="B2980" s="3"/>
      <c r="C2980" s="3"/>
      <c r="D2980" s="3"/>
      <c r="E2980" s="3"/>
      <c r="F2980" s="2">
        <f>IFERROR(__xludf.DUMMYFUNCTION("""COMPUTED_VALUE"""),37.26)</f>
        <v>37.26</v>
      </c>
      <c r="G2980" s="2">
        <f t="shared" si="2"/>
        <v>37</v>
      </c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</row>
    <row r="2981">
      <c r="B2981" s="3"/>
      <c r="C2981" s="3"/>
      <c r="D2981" s="3"/>
      <c r="E2981" s="3"/>
      <c r="F2981" s="2">
        <f>IFERROR(__xludf.DUMMYFUNCTION("""COMPUTED_VALUE"""),92.69999999999999)</f>
        <v>92.7</v>
      </c>
      <c r="G2981" s="2">
        <f t="shared" si="2"/>
        <v>93</v>
      </c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</row>
    <row r="2982">
      <c r="B2982" s="3"/>
      <c r="C2982" s="3"/>
      <c r="D2982" s="3"/>
      <c r="E2982" s="3"/>
      <c r="F2982" s="2">
        <f>IFERROR(__xludf.DUMMYFUNCTION("""COMPUTED_VALUE"""),43.5)</f>
        <v>43.5</v>
      </c>
      <c r="G2982" s="2">
        <f t="shared" si="2"/>
        <v>44</v>
      </c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</row>
    <row r="2983">
      <c r="B2983" s="3"/>
      <c r="C2983" s="3"/>
      <c r="D2983" s="3"/>
      <c r="E2983" s="3"/>
      <c r="F2983" s="2">
        <f>IFERROR(__xludf.DUMMYFUNCTION("""COMPUTED_VALUE"""),75.36)</f>
        <v>75.36</v>
      </c>
      <c r="G2983" s="2">
        <f t="shared" si="2"/>
        <v>75</v>
      </c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</row>
    <row r="2984">
      <c r="B2984" s="3"/>
      <c r="C2984" s="3"/>
      <c r="D2984" s="3"/>
      <c r="E2984" s="3"/>
      <c r="F2984" s="2">
        <f>IFERROR(__xludf.DUMMYFUNCTION("""COMPUTED_VALUE"""),31.259999999999998)</f>
        <v>31.26</v>
      </c>
      <c r="G2984" s="2">
        <f t="shared" si="2"/>
        <v>31</v>
      </c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</row>
    <row r="2985">
      <c r="B2985" s="3"/>
      <c r="C2985" s="3"/>
      <c r="D2985" s="3"/>
      <c r="E2985" s="3"/>
      <c r="F2985" s="2">
        <f>IFERROR(__xludf.DUMMYFUNCTION("""COMPUTED_VALUE"""),67.38)</f>
        <v>67.38</v>
      </c>
      <c r="G2985" s="2">
        <f t="shared" si="2"/>
        <v>67</v>
      </c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</row>
    <row r="2986">
      <c r="B2986" s="3"/>
      <c r="C2986" s="3"/>
      <c r="D2986" s="3"/>
      <c r="E2986" s="3"/>
      <c r="F2986" s="2">
        <f>IFERROR(__xludf.DUMMYFUNCTION("""COMPUTED_VALUE"""),31.259999999999998)</f>
        <v>31.26</v>
      </c>
      <c r="G2986" s="2">
        <f t="shared" si="2"/>
        <v>31</v>
      </c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</row>
    <row r="2987">
      <c r="B2987" s="3"/>
      <c r="C2987" s="3"/>
      <c r="D2987" s="3"/>
      <c r="E2987" s="3"/>
      <c r="F2987" s="2">
        <f>IFERROR(__xludf.DUMMYFUNCTION("""COMPUTED_VALUE"""),103.38)</f>
        <v>103.38</v>
      </c>
      <c r="G2987" s="2">
        <f t="shared" si="2"/>
        <v>103</v>
      </c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</row>
    <row r="2988">
      <c r="B2988" s="3"/>
      <c r="C2988" s="3"/>
      <c r="D2988" s="3"/>
      <c r="E2988" s="3"/>
      <c r="F2988" s="2">
        <f>IFERROR(__xludf.DUMMYFUNCTION("""COMPUTED_VALUE"""),69.24)</f>
        <v>69.24</v>
      </c>
      <c r="G2988" s="2">
        <f t="shared" si="2"/>
        <v>69</v>
      </c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</row>
    <row r="2989">
      <c r="B2989" s="3"/>
      <c r="C2989" s="3"/>
      <c r="D2989" s="3"/>
      <c r="E2989" s="3"/>
      <c r="F2989" s="2">
        <f>IFERROR(__xludf.DUMMYFUNCTION("""COMPUTED_VALUE"""),37.26)</f>
        <v>37.26</v>
      </c>
      <c r="G2989" s="2">
        <f t="shared" si="2"/>
        <v>37</v>
      </c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</row>
    <row r="2990">
      <c r="B2990" s="3"/>
      <c r="C2990" s="3"/>
      <c r="D2990" s="3"/>
      <c r="E2990" s="3"/>
      <c r="F2990" s="2">
        <f>IFERROR(__xludf.DUMMYFUNCTION("""COMPUTED_VALUE"""),19.5)</f>
        <v>19.5</v>
      </c>
      <c r="G2990" s="2">
        <f t="shared" si="2"/>
        <v>20</v>
      </c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</row>
    <row r="2991">
      <c r="B2991" s="3"/>
      <c r="C2991" s="3"/>
      <c r="D2991" s="3"/>
      <c r="E2991" s="3"/>
      <c r="F2991" s="2">
        <f>IFERROR(__xludf.DUMMYFUNCTION("""COMPUTED_VALUE"""),73.44)</f>
        <v>73.44</v>
      </c>
      <c r="G2991" s="2">
        <f t="shared" si="2"/>
        <v>73</v>
      </c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</row>
    <row r="2992">
      <c r="B2992" s="3"/>
      <c r="C2992" s="3"/>
      <c r="D2992" s="3"/>
      <c r="E2992" s="3"/>
      <c r="F2992" s="2">
        <f>IFERROR(__xludf.DUMMYFUNCTION("""COMPUTED_VALUE"""),75.36)</f>
        <v>75.36</v>
      </c>
      <c r="G2992" s="2">
        <f t="shared" si="2"/>
        <v>75</v>
      </c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</row>
    <row r="2993">
      <c r="B2993" s="3"/>
      <c r="C2993" s="3"/>
      <c r="D2993" s="3"/>
      <c r="E2993" s="3"/>
      <c r="F2993" s="2">
        <f>IFERROR(__xludf.DUMMYFUNCTION("""COMPUTED_VALUE"""),33.900000000000006)</f>
        <v>33.9</v>
      </c>
      <c r="G2993" s="2">
        <f t="shared" si="2"/>
        <v>34</v>
      </c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</row>
    <row r="2994">
      <c r="B2994" s="3"/>
      <c r="C2994" s="3"/>
      <c r="D2994" s="3"/>
      <c r="E2994" s="3"/>
      <c r="F2994" s="2">
        <f>IFERROR(__xludf.DUMMYFUNCTION("""COMPUTED_VALUE"""),19.5)</f>
        <v>19.5</v>
      </c>
      <c r="G2994" s="2">
        <f t="shared" si="2"/>
        <v>20</v>
      </c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</row>
    <row r="2995">
      <c r="B2995" s="3"/>
      <c r="C2995" s="3"/>
      <c r="D2995" s="3"/>
      <c r="E2995" s="3"/>
      <c r="F2995" s="2">
        <f>IFERROR(__xludf.DUMMYFUNCTION("""COMPUTED_VALUE"""),37.26)</f>
        <v>37.26</v>
      </c>
      <c r="G2995" s="2">
        <f t="shared" si="2"/>
        <v>37</v>
      </c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</row>
    <row r="2996">
      <c r="B2996" s="3"/>
      <c r="C2996" s="3"/>
      <c r="D2996" s="3"/>
      <c r="E2996" s="3"/>
      <c r="F2996" s="2">
        <f>IFERROR(__xludf.DUMMYFUNCTION("""COMPUTED_VALUE"""),103.38)</f>
        <v>103.38</v>
      </c>
      <c r="G2996" s="2">
        <f t="shared" si="2"/>
        <v>103</v>
      </c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</row>
    <row r="2997">
      <c r="B2997" s="3"/>
      <c r="C2997" s="3"/>
      <c r="D2997" s="3"/>
      <c r="E2997" s="3"/>
      <c r="F2997" s="2">
        <f>IFERROR(__xludf.DUMMYFUNCTION("""COMPUTED_VALUE"""),37.26)</f>
        <v>37.26</v>
      </c>
      <c r="G2997" s="2">
        <f t="shared" si="2"/>
        <v>37</v>
      </c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</row>
    <row r="2998">
      <c r="B2998" s="3"/>
      <c r="C2998" s="3"/>
      <c r="D2998" s="3"/>
      <c r="E2998" s="3"/>
      <c r="F2998" s="2">
        <f>IFERROR(__xludf.DUMMYFUNCTION("""COMPUTED_VALUE"""),85.5)</f>
        <v>85.5</v>
      </c>
      <c r="G2998" s="2">
        <f t="shared" si="2"/>
        <v>86</v>
      </c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</row>
    <row r="2999">
      <c r="B2999" s="3"/>
      <c r="C2999" s="3"/>
      <c r="D2999" s="3"/>
      <c r="E2999" s="3"/>
      <c r="F2999" s="2">
        <f>IFERROR(__xludf.DUMMYFUNCTION("""COMPUTED_VALUE"""),56.699999999999996)</f>
        <v>56.7</v>
      </c>
      <c r="G2999" s="2">
        <f t="shared" si="2"/>
        <v>57</v>
      </c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</row>
    <row r="3000">
      <c r="B3000" s="3"/>
      <c r="C3000" s="3"/>
      <c r="D3000" s="3"/>
      <c r="E3000" s="3"/>
      <c r="F3000" s="2">
        <f>IFERROR(__xludf.DUMMYFUNCTION("""COMPUTED_VALUE"""),25.5)</f>
        <v>25.5</v>
      </c>
      <c r="G3000" s="2">
        <f t="shared" si="2"/>
        <v>26</v>
      </c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</row>
    <row r="3001">
      <c r="B3001" s="3"/>
      <c r="C3001" s="3"/>
      <c r="D3001" s="3"/>
      <c r="E3001" s="3"/>
      <c r="F3001" s="2">
        <f>IFERROR(__xludf.DUMMYFUNCTION("""COMPUTED_VALUE"""),48.72)</f>
        <v>48.72</v>
      </c>
      <c r="G3001" s="2">
        <f t="shared" si="2"/>
        <v>49</v>
      </c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</row>
    <row r="3002">
      <c r="B3002" s="3"/>
      <c r="C3002" s="3"/>
      <c r="D3002" s="3"/>
      <c r="E3002" s="3"/>
      <c r="F3002" s="2">
        <f>IFERROR(__xludf.DUMMYFUNCTION("""COMPUTED_VALUE"""),48.72)</f>
        <v>48.72</v>
      </c>
      <c r="G3002" s="2">
        <f t="shared" si="2"/>
        <v>49</v>
      </c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</row>
    <row r="3003">
      <c r="A3003" s="3"/>
      <c r="B3003" s="3"/>
      <c r="C3003" s="3"/>
      <c r="D3003" s="3"/>
      <c r="E3003" s="3"/>
      <c r="F3003" s="2"/>
      <c r="G3003" s="2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</row>
    <row r="3004">
      <c r="A3004" s="3"/>
      <c r="B3004" s="3"/>
      <c r="C3004" s="3"/>
      <c r="D3004" s="3"/>
      <c r="E3004" s="3"/>
      <c r="F3004" s="2"/>
      <c r="G3004" s="2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</row>
    <row r="3005">
      <c r="A3005" s="3"/>
      <c r="B3005" s="3"/>
      <c r="C3005" s="3"/>
      <c r="D3005" s="3"/>
      <c r="E3005" s="3"/>
      <c r="F3005" s="2"/>
      <c r="G3005" s="2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</row>
    <row r="3006">
      <c r="A3006" s="3"/>
      <c r="B3006" s="3"/>
      <c r="C3006" s="3"/>
      <c r="D3006" s="3"/>
      <c r="E3006" s="3"/>
      <c r="F3006" s="2"/>
      <c r="G3006" s="2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</row>
    <row r="3007">
      <c r="A3007" s="3"/>
      <c r="B3007" s="3"/>
      <c r="C3007" s="3"/>
      <c r="D3007" s="3"/>
      <c r="E3007" s="3"/>
      <c r="F3007" s="2"/>
      <c r="G3007" s="2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</row>
    <row r="3008">
      <c r="A3008" s="3"/>
      <c r="B3008" s="3"/>
      <c r="C3008" s="3"/>
      <c r="D3008" s="3"/>
      <c r="E3008" s="3"/>
      <c r="F3008" s="2"/>
      <c r="G3008" s="2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</row>
    <row r="3009">
      <c r="A3009" s="3"/>
      <c r="B3009" s="3"/>
      <c r="C3009" s="3"/>
      <c r="D3009" s="3"/>
      <c r="E3009" s="3"/>
      <c r="F3009" s="2"/>
      <c r="G3009" s="2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</row>
    <row r="3010">
      <c r="A3010" s="3"/>
      <c r="B3010" s="3"/>
      <c r="C3010" s="3"/>
      <c r="D3010" s="3"/>
      <c r="E3010" s="3"/>
      <c r="F3010" s="2"/>
      <c r="G3010" s="2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</row>
    <row r="3011">
      <c r="A3011" s="3"/>
      <c r="B3011" s="3"/>
      <c r="C3011" s="3"/>
      <c r="D3011" s="3"/>
      <c r="E3011" s="3"/>
      <c r="F3011" s="2"/>
      <c r="G3011" s="2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</row>
    <row r="3012">
      <c r="A3012" s="3"/>
      <c r="B3012" s="3"/>
      <c r="C3012" s="3"/>
      <c r="D3012" s="3"/>
      <c r="E3012" s="3"/>
      <c r="F3012" s="2"/>
      <c r="G3012" s="2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</row>
    <row r="3013">
      <c r="A3013" s="3"/>
      <c r="B3013" s="3"/>
      <c r="C3013" s="3"/>
      <c r="D3013" s="3"/>
      <c r="E3013" s="3"/>
      <c r="F3013" s="2"/>
      <c r="G3013" s="2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</row>
    <row r="3014">
      <c r="A3014" s="3"/>
      <c r="B3014" s="3"/>
      <c r="C3014" s="3"/>
      <c r="D3014" s="3"/>
      <c r="E3014" s="3"/>
      <c r="F3014" s="2"/>
      <c r="G3014" s="2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</row>
    <row r="3015">
      <c r="A3015" s="3"/>
      <c r="B3015" s="3"/>
      <c r="C3015" s="3"/>
      <c r="D3015" s="3"/>
      <c r="E3015" s="3"/>
      <c r="F3015" s="2"/>
      <c r="G3015" s="2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</row>
    <row r="3016">
      <c r="A3016" s="3"/>
      <c r="B3016" s="3"/>
      <c r="C3016" s="3"/>
      <c r="D3016" s="3"/>
      <c r="E3016" s="3"/>
      <c r="F3016" s="2"/>
      <c r="G3016" s="2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</row>
    <row r="3017">
      <c r="A3017" s="3"/>
      <c r="B3017" s="3"/>
      <c r="C3017" s="3"/>
      <c r="D3017" s="3"/>
      <c r="E3017" s="3"/>
      <c r="F3017" s="2"/>
      <c r="G3017" s="2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</row>
    <row r="3018">
      <c r="A3018" s="3"/>
      <c r="B3018" s="3"/>
      <c r="C3018" s="3"/>
      <c r="D3018" s="3"/>
      <c r="E3018" s="3"/>
      <c r="F3018" s="2"/>
      <c r="G3018" s="2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</row>
    <row r="3019">
      <c r="A3019" s="3"/>
      <c r="B3019" s="3"/>
      <c r="C3019" s="3"/>
      <c r="D3019" s="3"/>
      <c r="E3019" s="3"/>
      <c r="F3019" s="2"/>
      <c r="G3019" s="2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</row>
    <row r="3020">
      <c r="A3020" s="3"/>
      <c r="B3020" s="3"/>
      <c r="C3020" s="3"/>
      <c r="D3020" s="3"/>
      <c r="E3020" s="3"/>
      <c r="F3020" s="2"/>
      <c r="G3020" s="2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</row>
    <row r="3021">
      <c r="A3021" s="3"/>
      <c r="B3021" s="3"/>
      <c r="C3021" s="3"/>
      <c r="D3021" s="3"/>
      <c r="E3021" s="3"/>
      <c r="F3021" s="2"/>
      <c r="G3021" s="2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</row>
    <row r="3022">
      <c r="A3022" s="3"/>
      <c r="B3022" s="3"/>
      <c r="C3022" s="3"/>
      <c r="D3022" s="3"/>
      <c r="E3022" s="3"/>
      <c r="F3022" s="2"/>
      <c r="G3022" s="2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</row>
    <row r="3023">
      <c r="A3023" s="3"/>
      <c r="B3023" s="3"/>
      <c r="C3023" s="3"/>
      <c r="D3023" s="3"/>
      <c r="E3023" s="3"/>
      <c r="F3023" s="2"/>
      <c r="G3023" s="2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</row>
    <row r="3024">
      <c r="A3024" s="3"/>
      <c r="B3024" s="3"/>
      <c r="C3024" s="3"/>
      <c r="D3024" s="3"/>
      <c r="E3024" s="3"/>
      <c r="F3024" s="2"/>
      <c r="G3024" s="2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</row>
    <row r="3025">
      <c r="A3025" s="3"/>
      <c r="B3025" s="3"/>
      <c r="C3025" s="3"/>
      <c r="D3025" s="3"/>
      <c r="E3025" s="3"/>
      <c r="F3025" s="2"/>
      <c r="G3025" s="2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</row>
    <row r="3026">
      <c r="A3026" s="3"/>
      <c r="B3026" s="3"/>
      <c r="C3026" s="3"/>
      <c r="D3026" s="3"/>
      <c r="E3026" s="3"/>
      <c r="F3026" s="2"/>
      <c r="G3026" s="2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</row>
    <row r="3027">
      <c r="A3027" s="3"/>
      <c r="B3027" s="3"/>
      <c r="C3027" s="3"/>
      <c r="D3027" s="3"/>
      <c r="E3027" s="3"/>
      <c r="F3027" s="2"/>
      <c r="G3027" s="2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</row>
    <row r="3028">
      <c r="A3028" s="3"/>
      <c r="B3028" s="3"/>
      <c r="C3028" s="3"/>
      <c r="D3028" s="3"/>
      <c r="E3028" s="3"/>
      <c r="F3028" s="2"/>
      <c r="G3028" s="2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</row>
    <row r="3029">
      <c r="A3029" s="3"/>
      <c r="B3029" s="3"/>
      <c r="C3029" s="3"/>
      <c r="D3029" s="3"/>
      <c r="E3029" s="3"/>
      <c r="F3029" s="2"/>
      <c r="G3029" s="2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</row>
    <row r="3030">
      <c r="A3030" s="3"/>
      <c r="B3030" s="3"/>
      <c r="C3030" s="3"/>
      <c r="D3030" s="3"/>
      <c r="E3030" s="3"/>
      <c r="F3030" s="2"/>
      <c r="G3030" s="2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</row>
    <row r="3031">
      <c r="A3031" s="3"/>
      <c r="B3031" s="3"/>
      <c r="C3031" s="3"/>
      <c r="D3031" s="3"/>
      <c r="E3031" s="3"/>
      <c r="F3031" s="2"/>
      <c r="G3031" s="2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</row>
    <row r="3032">
      <c r="A3032" s="3"/>
      <c r="B3032" s="3"/>
      <c r="C3032" s="3"/>
      <c r="D3032" s="3"/>
      <c r="E3032" s="3"/>
      <c r="F3032" s="2"/>
      <c r="G3032" s="2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</row>
    <row r="3033">
      <c r="A3033" s="3"/>
      <c r="B3033" s="3"/>
      <c r="C3033" s="3"/>
      <c r="D3033" s="3"/>
      <c r="E3033" s="3"/>
      <c r="F3033" s="2"/>
      <c r="G3033" s="2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</row>
    <row r="3034">
      <c r="A3034" s="3"/>
      <c r="B3034" s="3"/>
      <c r="C3034" s="3"/>
      <c r="D3034" s="3"/>
      <c r="E3034" s="3"/>
      <c r="F3034" s="2"/>
      <c r="G3034" s="2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</row>
    <row r="3035">
      <c r="A3035" s="3"/>
      <c r="B3035" s="3"/>
      <c r="C3035" s="3"/>
      <c r="D3035" s="3"/>
      <c r="E3035" s="3"/>
      <c r="F3035" s="2"/>
      <c r="G3035" s="2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</row>
    <row r="3036">
      <c r="A3036" s="3"/>
      <c r="B3036" s="3"/>
      <c r="C3036" s="3"/>
      <c r="D3036" s="3"/>
      <c r="E3036" s="3"/>
      <c r="F3036" s="2"/>
      <c r="G3036" s="2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</row>
    <row r="3037">
      <c r="A3037" s="3"/>
      <c r="B3037" s="3"/>
      <c r="C3037" s="3"/>
      <c r="D3037" s="3"/>
      <c r="E3037" s="3"/>
      <c r="F3037" s="2"/>
      <c r="G3037" s="2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</row>
    <row r="3038">
      <c r="A3038" s="3"/>
      <c r="B3038" s="3"/>
      <c r="C3038" s="3"/>
      <c r="D3038" s="3"/>
      <c r="E3038" s="3"/>
      <c r="F3038" s="2"/>
      <c r="G3038" s="2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</row>
    <row r="3039">
      <c r="A3039" s="3"/>
      <c r="B3039" s="3"/>
      <c r="C3039" s="3"/>
      <c r="D3039" s="3"/>
      <c r="E3039" s="3"/>
      <c r="F3039" s="2"/>
      <c r="G3039" s="2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</row>
    <row r="3040">
      <c r="A3040" s="3"/>
      <c r="B3040" s="3"/>
      <c r="C3040" s="3"/>
      <c r="D3040" s="3"/>
      <c r="E3040" s="3"/>
      <c r="F3040" s="2"/>
      <c r="G3040" s="2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</row>
    <row r="3041">
      <c r="A3041" s="3"/>
      <c r="B3041" s="3"/>
      <c r="C3041" s="3"/>
      <c r="D3041" s="3"/>
      <c r="E3041" s="3"/>
      <c r="F3041" s="2"/>
      <c r="G3041" s="2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</row>
    <row r="3042">
      <c r="A3042" s="3"/>
      <c r="B3042" s="3"/>
      <c r="C3042" s="3"/>
      <c r="D3042" s="3"/>
      <c r="E3042" s="3"/>
      <c r="F3042" s="2"/>
      <c r="G3042" s="2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</row>
    <row r="3043">
      <c r="A3043" s="3"/>
      <c r="B3043" s="3"/>
      <c r="C3043" s="3"/>
      <c r="D3043" s="3"/>
      <c r="E3043" s="3"/>
      <c r="F3043" s="2"/>
      <c r="G3043" s="2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</row>
    <row r="3044">
      <c r="A3044" s="3"/>
      <c r="B3044" s="3"/>
      <c r="C3044" s="3"/>
      <c r="D3044" s="3"/>
      <c r="E3044" s="3"/>
      <c r="F3044" s="2"/>
      <c r="G3044" s="2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</row>
    <row r="3045">
      <c r="A3045" s="3"/>
      <c r="B3045" s="3"/>
      <c r="C3045" s="3"/>
      <c r="D3045" s="3"/>
      <c r="E3045" s="3"/>
      <c r="F3045" s="2"/>
      <c r="G3045" s="2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</row>
    <row r="3046">
      <c r="A3046" s="3"/>
      <c r="B3046" s="3"/>
      <c r="C3046" s="3"/>
      <c r="D3046" s="3"/>
      <c r="E3046" s="3"/>
      <c r="F3046" s="2"/>
      <c r="G3046" s="2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</row>
    <row r="3047">
      <c r="A3047" s="3"/>
      <c r="B3047" s="3"/>
      <c r="C3047" s="3"/>
      <c r="D3047" s="3"/>
      <c r="E3047" s="3"/>
      <c r="F3047" s="2"/>
      <c r="G3047" s="2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</row>
    <row r="3048">
      <c r="A3048" s="3"/>
      <c r="B3048" s="3"/>
      <c r="C3048" s="3"/>
      <c r="D3048" s="3"/>
      <c r="E3048" s="3"/>
      <c r="F3048" s="2"/>
      <c r="G3048" s="2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</row>
    <row r="3049">
      <c r="A3049" s="3"/>
      <c r="B3049" s="3"/>
      <c r="C3049" s="3"/>
      <c r="D3049" s="3"/>
      <c r="E3049" s="3"/>
      <c r="F3049" s="2"/>
      <c r="G3049" s="2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</row>
    <row r="3050">
      <c r="A3050" s="3"/>
      <c r="B3050" s="3"/>
      <c r="C3050" s="3"/>
      <c r="D3050" s="3"/>
      <c r="E3050" s="3"/>
      <c r="F3050" s="2"/>
      <c r="G3050" s="2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</row>
    <row r="3051">
      <c r="A3051" s="3"/>
      <c r="B3051" s="3"/>
      <c r="C3051" s="3"/>
      <c r="D3051" s="3"/>
      <c r="E3051" s="3"/>
      <c r="F3051" s="2"/>
      <c r="G3051" s="2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</row>
    <row r="3052">
      <c r="A3052" s="3"/>
      <c r="B3052" s="3"/>
      <c r="C3052" s="3"/>
      <c r="D3052" s="3"/>
      <c r="E3052" s="3"/>
      <c r="F3052" s="2"/>
      <c r="G3052" s="2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</row>
    <row r="3053">
      <c r="A3053" s="3"/>
      <c r="B3053" s="3"/>
      <c r="C3053" s="3"/>
      <c r="D3053" s="3"/>
      <c r="E3053" s="3"/>
      <c r="F3053" s="2"/>
      <c r="G3053" s="2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</row>
    <row r="3054">
      <c r="A3054" s="3"/>
      <c r="B3054" s="3"/>
      <c r="C3054" s="3"/>
      <c r="D3054" s="3"/>
      <c r="E3054" s="3"/>
      <c r="F3054" s="2"/>
      <c r="G3054" s="2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</row>
    <row r="3055">
      <c r="A3055" s="3"/>
      <c r="B3055" s="3"/>
      <c r="C3055" s="3"/>
      <c r="D3055" s="3"/>
      <c r="E3055" s="3"/>
      <c r="F3055" s="2"/>
      <c r="G3055" s="2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</row>
    <row r="3056">
      <c r="A3056" s="3"/>
      <c r="B3056" s="3"/>
      <c r="C3056" s="3"/>
      <c r="D3056" s="3"/>
      <c r="E3056" s="3"/>
      <c r="F3056" s="2"/>
      <c r="G3056" s="2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</row>
    <row r="3057">
      <c r="A3057" s="3"/>
      <c r="B3057" s="3"/>
      <c r="C3057" s="3"/>
      <c r="D3057" s="3"/>
      <c r="E3057" s="3"/>
      <c r="F3057" s="2"/>
      <c r="G3057" s="2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</row>
    <row r="3058">
      <c r="A3058" s="3"/>
      <c r="B3058" s="3"/>
      <c r="C3058" s="3"/>
      <c r="D3058" s="3"/>
      <c r="E3058" s="3"/>
      <c r="F3058" s="2"/>
      <c r="G3058" s="2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</row>
    <row r="3059">
      <c r="A3059" s="3"/>
      <c r="B3059" s="3"/>
      <c r="C3059" s="3"/>
      <c r="D3059" s="3"/>
      <c r="E3059" s="3"/>
      <c r="F3059" s="2"/>
      <c r="G3059" s="2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</row>
    <row r="3060">
      <c r="A3060" s="3"/>
      <c r="B3060" s="3"/>
      <c r="C3060" s="3"/>
      <c r="D3060" s="3"/>
      <c r="E3060" s="3"/>
      <c r="F3060" s="2"/>
      <c r="G3060" s="2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</row>
    <row r="3061">
      <c r="A3061" s="3"/>
      <c r="B3061" s="3"/>
      <c r="C3061" s="3"/>
      <c r="D3061" s="3"/>
      <c r="E3061" s="3"/>
      <c r="F3061" s="2"/>
      <c r="G3061" s="2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</row>
    <row r="3062">
      <c r="A3062" s="3"/>
      <c r="B3062" s="3"/>
      <c r="C3062" s="3"/>
      <c r="D3062" s="3"/>
      <c r="E3062" s="3"/>
      <c r="F3062" s="2"/>
      <c r="G3062" s="2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</row>
    <row r="3063">
      <c r="A3063" s="3"/>
      <c r="B3063" s="3"/>
      <c r="C3063" s="3"/>
      <c r="D3063" s="3"/>
      <c r="E3063" s="3"/>
      <c r="F3063" s="2"/>
      <c r="G3063" s="2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</row>
    <row r="3064">
      <c r="A3064" s="3"/>
      <c r="B3064" s="3"/>
      <c r="C3064" s="3"/>
      <c r="D3064" s="3"/>
      <c r="E3064" s="3"/>
      <c r="F3064" s="2"/>
      <c r="G3064" s="2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</row>
    <row r="3065">
      <c r="A3065" s="3"/>
      <c r="B3065" s="3"/>
      <c r="C3065" s="3"/>
      <c r="D3065" s="3"/>
      <c r="E3065" s="3"/>
      <c r="F3065" s="2"/>
      <c r="G3065" s="2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</row>
    <row r="3066">
      <c r="A3066" s="3"/>
      <c r="B3066" s="3"/>
      <c r="C3066" s="3"/>
      <c r="D3066" s="3"/>
      <c r="E3066" s="3"/>
      <c r="F3066" s="2"/>
      <c r="G3066" s="2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</row>
    <row r="3067">
      <c r="A3067" s="3"/>
      <c r="B3067" s="3"/>
      <c r="C3067" s="3"/>
      <c r="D3067" s="3"/>
      <c r="E3067" s="3"/>
      <c r="F3067" s="2"/>
      <c r="G3067" s="2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</row>
    <row r="3068">
      <c r="A3068" s="3"/>
      <c r="B3068" s="3"/>
      <c r="C3068" s="3"/>
      <c r="D3068" s="3"/>
      <c r="E3068" s="3"/>
      <c r="F3068" s="2"/>
      <c r="G3068" s="2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</row>
    <row r="3069">
      <c r="A3069" s="3"/>
      <c r="B3069" s="3"/>
      <c r="C3069" s="3"/>
      <c r="D3069" s="3"/>
      <c r="E3069" s="3"/>
      <c r="F3069" s="2"/>
      <c r="G3069" s="2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</row>
    <row r="3070">
      <c r="A3070" s="3"/>
      <c r="B3070" s="3"/>
      <c r="C3070" s="3"/>
      <c r="D3070" s="3"/>
      <c r="E3070" s="3"/>
      <c r="F3070" s="2"/>
      <c r="G3070" s="2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</row>
    <row r="3071">
      <c r="A3071" s="3"/>
      <c r="B3071" s="3"/>
      <c r="C3071" s="3"/>
      <c r="D3071" s="3"/>
      <c r="E3071" s="3"/>
      <c r="F3071" s="2"/>
      <c r="G3071" s="2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</row>
    <row r="3072">
      <c r="A3072" s="3"/>
      <c r="B3072" s="3"/>
      <c r="C3072" s="3"/>
      <c r="D3072" s="3"/>
      <c r="E3072" s="3"/>
      <c r="F3072" s="2"/>
      <c r="G3072" s="2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</row>
    <row r="3073">
      <c r="A3073" s="3"/>
      <c r="B3073" s="3"/>
      <c r="C3073" s="3"/>
      <c r="D3073" s="3"/>
      <c r="E3073" s="3"/>
      <c r="F3073" s="2"/>
      <c r="G3073" s="2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>
      <c r="A3074" s="3"/>
      <c r="B3074" s="3"/>
      <c r="C3074" s="3"/>
      <c r="D3074" s="3"/>
      <c r="E3074" s="3"/>
      <c r="F3074" s="2"/>
      <c r="G3074" s="2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</row>
    <row r="3075">
      <c r="A3075" s="3"/>
      <c r="B3075" s="3"/>
      <c r="C3075" s="3"/>
      <c r="D3075" s="3"/>
      <c r="E3075" s="3"/>
      <c r="F3075" s="2"/>
      <c r="G3075" s="2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</row>
    <row r="3076">
      <c r="A3076" s="3"/>
      <c r="B3076" s="3"/>
      <c r="C3076" s="3"/>
      <c r="D3076" s="3"/>
      <c r="E3076" s="3"/>
      <c r="F3076" s="2"/>
      <c r="G3076" s="2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</row>
    <row r="3077">
      <c r="A3077" s="3"/>
      <c r="B3077" s="3"/>
      <c r="C3077" s="3"/>
      <c r="D3077" s="3"/>
      <c r="E3077" s="3"/>
      <c r="F3077" s="2"/>
      <c r="G3077" s="2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</row>
    <row r="3078">
      <c r="A3078" s="3"/>
      <c r="B3078" s="3"/>
      <c r="C3078" s="3"/>
      <c r="D3078" s="3"/>
      <c r="E3078" s="3"/>
      <c r="F3078" s="2"/>
      <c r="G3078" s="2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</row>
    <row r="3079">
      <c r="A3079" s="3"/>
      <c r="B3079" s="3"/>
      <c r="C3079" s="3"/>
      <c r="D3079" s="3"/>
      <c r="E3079" s="3"/>
      <c r="F3079" s="2"/>
      <c r="G3079" s="2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</row>
    <row r="3080">
      <c r="A3080" s="3"/>
      <c r="B3080" s="3"/>
      <c r="C3080" s="3"/>
      <c r="D3080" s="3"/>
      <c r="E3080" s="3"/>
      <c r="F3080" s="2"/>
      <c r="G3080" s="2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</row>
    <row r="3081">
      <c r="A3081" s="3"/>
      <c r="B3081" s="3"/>
      <c r="C3081" s="3"/>
      <c r="D3081" s="3"/>
      <c r="E3081" s="3"/>
      <c r="F3081" s="2"/>
      <c r="G3081" s="2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</row>
    <row r="3082">
      <c r="A3082" s="3"/>
      <c r="B3082" s="3"/>
      <c r="C3082" s="3"/>
      <c r="D3082" s="3"/>
      <c r="E3082" s="3"/>
      <c r="F3082" s="2"/>
      <c r="G3082" s="2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</row>
    <row r="3083">
      <c r="A3083" s="3"/>
      <c r="B3083" s="3"/>
      <c r="C3083" s="3"/>
      <c r="D3083" s="3"/>
      <c r="E3083" s="3"/>
      <c r="F3083" s="2"/>
      <c r="G3083" s="2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</row>
    <row r="3084">
      <c r="A3084" s="3"/>
      <c r="B3084" s="3"/>
      <c r="C3084" s="3"/>
      <c r="D3084" s="3"/>
      <c r="E3084" s="3"/>
      <c r="F3084" s="2"/>
      <c r="G3084" s="2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</row>
    <row r="3085">
      <c r="A3085" s="3"/>
      <c r="B3085" s="3"/>
      <c r="C3085" s="3"/>
      <c r="D3085" s="3"/>
      <c r="E3085" s="3"/>
      <c r="F3085" s="2"/>
      <c r="G3085" s="2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</row>
    <row r="3086">
      <c r="A3086" s="3"/>
      <c r="B3086" s="3"/>
      <c r="C3086" s="3"/>
      <c r="D3086" s="3"/>
      <c r="E3086" s="3"/>
      <c r="F3086" s="2"/>
      <c r="G3086" s="2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</row>
    <row r="3087">
      <c r="A3087" s="3"/>
      <c r="B3087" s="3"/>
      <c r="C3087" s="3"/>
      <c r="D3087" s="3"/>
      <c r="E3087" s="3"/>
      <c r="F3087" s="2"/>
      <c r="G3087" s="2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</row>
    <row r="3088">
      <c r="A3088" s="3"/>
      <c r="B3088" s="3"/>
      <c r="C3088" s="3"/>
      <c r="D3088" s="3"/>
      <c r="E3088" s="3"/>
      <c r="F3088" s="2"/>
      <c r="G3088" s="2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</row>
    <row r="3089">
      <c r="A3089" s="3"/>
      <c r="B3089" s="3"/>
      <c r="C3089" s="3"/>
      <c r="D3089" s="3"/>
      <c r="E3089" s="3"/>
      <c r="F3089" s="2"/>
      <c r="G3089" s="2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</row>
    <row r="3090">
      <c r="A3090" s="3"/>
      <c r="B3090" s="3"/>
      <c r="C3090" s="3"/>
      <c r="D3090" s="3"/>
      <c r="E3090" s="3"/>
      <c r="F3090" s="2"/>
      <c r="G3090" s="2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</row>
    <row r="3091">
      <c r="A3091" s="3"/>
      <c r="B3091" s="3"/>
      <c r="C3091" s="3"/>
      <c r="D3091" s="3"/>
      <c r="E3091" s="3"/>
      <c r="F3091" s="2"/>
      <c r="G3091" s="2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</row>
    <row r="3092">
      <c r="A3092" s="3"/>
      <c r="B3092" s="3"/>
      <c r="C3092" s="3"/>
      <c r="D3092" s="3"/>
      <c r="E3092" s="3"/>
      <c r="F3092" s="2"/>
      <c r="G3092" s="2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</row>
    <row r="3093">
      <c r="A3093" s="3"/>
      <c r="B3093" s="3"/>
      <c r="C3093" s="3"/>
      <c r="D3093" s="3"/>
      <c r="E3093" s="3"/>
      <c r="F3093" s="2"/>
      <c r="G3093" s="2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</row>
    <row r="3094">
      <c r="A3094" s="3"/>
      <c r="B3094" s="3"/>
      <c r="C3094" s="3"/>
      <c r="D3094" s="3"/>
      <c r="E3094" s="3"/>
      <c r="F3094" s="2"/>
      <c r="G3094" s="2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</row>
    <row r="3095">
      <c r="A3095" s="3"/>
      <c r="B3095" s="3"/>
      <c r="C3095" s="3"/>
      <c r="D3095" s="3"/>
      <c r="E3095" s="3"/>
      <c r="F3095" s="2"/>
      <c r="G3095" s="2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</row>
    <row r="3096">
      <c r="A3096" s="3"/>
      <c r="B3096" s="3"/>
      <c r="C3096" s="3"/>
      <c r="D3096" s="3"/>
      <c r="E3096" s="3"/>
      <c r="F3096" s="2"/>
      <c r="G3096" s="2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</row>
    <row r="3097">
      <c r="A3097" s="3"/>
      <c r="B3097" s="3"/>
      <c r="C3097" s="3"/>
      <c r="D3097" s="3"/>
      <c r="E3097" s="3"/>
      <c r="F3097" s="2"/>
      <c r="G3097" s="2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</row>
    <row r="3098">
      <c r="A3098" s="3"/>
      <c r="B3098" s="3"/>
      <c r="C3098" s="3"/>
      <c r="D3098" s="3"/>
      <c r="E3098" s="3"/>
      <c r="F3098" s="2"/>
      <c r="G3098" s="2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</row>
    <row r="3099">
      <c r="A3099" s="3"/>
      <c r="B3099" s="3"/>
      <c r="C3099" s="3"/>
      <c r="D3099" s="3"/>
      <c r="E3099" s="3"/>
      <c r="F3099" s="2"/>
      <c r="G3099" s="2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</row>
    <row r="3100">
      <c r="A3100" s="3"/>
      <c r="B3100" s="3"/>
      <c r="C3100" s="3"/>
      <c r="D3100" s="3"/>
      <c r="E3100" s="3"/>
      <c r="F3100" s="2"/>
      <c r="G3100" s="2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</row>
    <row r="3101">
      <c r="A3101" s="3"/>
      <c r="B3101" s="3"/>
      <c r="C3101" s="3"/>
      <c r="D3101" s="3"/>
      <c r="E3101" s="3"/>
      <c r="F3101" s="2"/>
      <c r="G3101" s="2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</row>
    <row r="3102">
      <c r="A3102" s="3"/>
      <c r="B3102" s="3"/>
      <c r="C3102" s="3"/>
      <c r="D3102" s="3"/>
      <c r="E3102" s="3"/>
      <c r="F3102" s="2"/>
      <c r="G3102" s="2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</row>
    <row r="3103">
      <c r="A3103" s="3"/>
      <c r="B3103" s="3"/>
      <c r="C3103" s="3"/>
      <c r="D3103" s="3"/>
      <c r="E3103" s="3"/>
      <c r="F3103" s="2"/>
      <c r="G3103" s="2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</row>
    <row r="3104">
      <c r="A3104" s="3"/>
      <c r="B3104" s="3"/>
      <c r="C3104" s="3"/>
      <c r="D3104" s="3"/>
      <c r="E3104" s="3"/>
      <c r="F3104" s="2"/>
      <c r="G3104" s="2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</row>
    <row r="3105">
      <c r="A3105" s="3"/>
      <c r="B3105" s="3"/>
      <c r="C3105" s="3"/>
      <c r="D3105" s="3"/>
      <c r="E3105" s="3"/>
      <c r="F3105" s="2"/>
      <c r="G3105" s="2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</row>
    <row r="3106">
      <c r="A3106" s="3"/>
      <c r="B3106" s="3"/>
      <c r="C3106" s="3"/>
      <c r="D3106" s="3"/>
      <c r="E3106" s="3"/>
      <c r="F3106" s="2"/>
      <c r="G3106" s="2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</row>
    <row r="3107">
      <c r="A3107" s="3"/>
      <c r="B3107" s="3"/>
      <c r="C3107" s="3"/>
      <c r="D3107" s="3"/>
      <c r="E3107" s="3"/>
      <c r="F3107" s="2"/>
      <c r="G3107" s="2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</row>
    <row r="3108">
      <c r="A3108" s="3"/>
      <c r="B3108" s="3"/>
      <c r="C3108" s="3"/>
      <c r="D3108" s="3"/>
      <c r="E3108" s="3"/>
      <c r="F3108" s="2"/>
      <c r="G3108" s="2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</row>
    <row r="3109">
      <c r="A3109" s="3"/>
      <c r="B3109" s="3"/>
      <c r="C3109" s="3"/>
      <c r="D3109" s="3"/>
      <c r="E3109" s="3"/>
      <c r="F3109" s="2"/>
      <c r="G3109" s="2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</row>
    <row r="3110">
      <c r="A3110" s="3"/>
      <c r="B3110" s="3"/>
      <c r="C3110" s="3"/>
      <c r="D3110" s="3"/>
      <c r="E3110" s="3"/>
      <c r="F3110" s="2"/>
      <c r="G3110" s="2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</row>
    <row r="3111">
      <c r="A3111" s="3"/>
      <c r="B3111" s="3"/>
      <c r="C3111" s="3"/>
      <c r="D3111" s="3"/>
      <c r="E3111" s="3"/>
      <c r="F3111" s="2"/>
      <c r="G3111" s="2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</row>
    <row r="3112">
      <c r="A3112" s="3"/>
      <c r="B3112" s="3"/>
      <c r="C3112" s="3"/>
      <c r="D3112" s="3"/>
      <c r="E3112" s="3"/>
      <c r="F3112" s="2"/>
      <c r="G3112" s="2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</row>
    <row r="3113">
      <c r="A3113" s="3"/>
      <c r="B3113" s="3"/>
      <c r="C3113" s="3"/>
      <c r="D3113" s="3"/>
      <c r="E3113" s="3"/>
      <c r="F3113" s="2"/>
      <c r="G3113" s="2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</row>
    <row r="3114">
      <c r="A3114" s="3"/>
      <c r="B3114" s="3"/>
      <c r="C3114" s="3"/>
      <c r="D3114" s="3"/>
      <c r="E3114" s="3"/>
      <c r="F3114" s="2"/>
      <c r="G3114" s="2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</row>
    <row r="3115">
      <c r="A3115" s="3"/>
      <c r="B3115" s="3"/>
      <c r="C3115" s="3"/>
      <c r="D3115" s="3"/>
      <c r="E3115" s="3"/>
      <c r="F3115" s="2"/>
      <c r="G3115" s="2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</row>
    <row r="3116">
      <c r="A3116" s="3"/>
      <c r="B3116" s="3"/>
      <c r="C3116" s="3"/>
      <c r="D3116" s="3"/>
      <c r="E3116" s="3"/>
      <c r="F3116" s="2"/>
      <c r="G3116" s="2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</row>
    <row r="3117">
      <c r="A3117" s="3"/>
      <c r="B3117" s="3"/>
      <c r="C3117" s="3"/>
      <c r="D3117" s="3"/>
      <c r="E3117" s="3"/>
      <c r="F3117" s="2"/>
      <c r="G3117" s="2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</row>
    <row r="3118">
      <c r="A3118" s="3"/>
      <c r="B3118" s="3"/>
      <c r="C3118" s="3"/>
      <c r="D3118" s="3"/>
      <c r="E3118" s="3"/>
      <c r="F3118" s="2"/>
      <c r="G3118" s="2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</row>
    <row r="3119">
      <c r="A3119" s="3"/>
      <c r="B3119" s="3"/>
      <c r="C3119" s="3"/>
      <c r="D3119" s="3"/>
      <c r="E3119" s="3"/>
      <c r="F3119" s="2"/>
      <c r="G3119" s="2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</row>
    <row r="3120">
      <c r="A3120" s="3"/>
      <c r="B3120" s="3"/>
      <c r="C3120" s="3"/>
      <c r="D3120" s="3"/>
      <c r="E3120" s="3"/>
      <c r="F3120" s="2"/>
      <c r="G3120" s="2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</row>
    <row r="3121">
      <c r="A3121" s="3"/>
      <c r="B3121" s="3"/>
      <c r="C3121" s="3"/>
      <c r="D3121" s="3"/>
      <c r="E3121" s="3"/>
      <c r="F3121" s="2"/>
      <c r="G3121" s="2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</row>
    <row r="3122">
      <c r="A3122" s="3"/>
      <c r="B3122" s="3"/>
      <c r="C3122" s="3"/>
      <c r="D3122" s="3"/>
      <c r="E3122" s="3"/>
      <c r="F3122" s="2"/>
      <c r="G3122" s="2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</row>
    <row r="3123">
      <c r="A3123" s="3"/>
      <c r="B3123" s="3"/>
      <c r="C3123" s="3"/>
      <c r="D3123" s="3"/>
      <c r="E3123" s="3"/>
      <c r="F3123" s="2"/>
      <c r="G3123" s="2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</row>
    <row r="3124">
      <c r="A3124" s="3"/>
      <c r="B3124" s="3"/>
      <c r="C3124" s="3"/>
      <c r="D3124" s="3"/>
      <c r="E3124" s="3"/>
      <c r="F3124" s="2"/>
      <c r="G3124" s="2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</row>
    <row r="3125">
      <c r="A3125" s="3"/>
      <c r="B3125" s="3"/>
      <c r="C3125" s="3"/>
      <c r="D3125" s="3"/>
      <c r="E3125" s="3"/>
      <c r="F3125" s="2"/>
      <c r="G3125" s="2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</row>
    <row r="3126">
      <c r="A3126" s="3"/>
      <c r="B3126" s="3"/>
      <c r="C3126" s="3"/>
      <c r="D3126" s="3"/>
      <c r="E3126" s="3"/>
      <c r="F3126" s="2"/>
      <c r="G3126" s="2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</row>
    <row r="3127">
      <c r="A3127" s="3"/>
      <c r="B3127" s="3"/>
      <c r="C3127" s="3"/>
      <c r="D3127" s="3"/>
      <c r="E3127" s="3"/>
      <c r="F3127" s="2"/>
      <c r="G3127" s="2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</row>
    <row r="3128">
      <c r="A3128" s="3"/>
      <c r="B3128" s="3"/>
      <c r="C3128" s="3"/>
      <c r="D3128" s="3"/>
      <c r="E3128" s="3"/>
      <c r="F3128" s="2"/>
      <c r="G3128" s="2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</row>
    <row r="3129">
      <c r="A3129" s="3"/>
      <c r="B3129" s="3"/>
      <c r="C3129" s="3"/>
      <c r="D3129" s="3"/>
      <c r="E3129" s="3"/>
      <c r="F3129" s="2"/>
      <c r="G3129" s="2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</row>
    <row r="3130">
      <c r="A3130" s="3"/>
      <c r="B3130" s="3"/>
      <c r="C3130" s="3"/>
      <c r="D3130" s="3"/>
      <c r="E3130" s="3"/>
      <c r="F3130" s="2"/>
      <c r="G3130" s="2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</row>
    <row r="3131">
      <c r="A3131" s="3"/>
      <c r="B3131" s="3"/>
      <c r="C3131" s="3"/>
      <c r="D3131" s="3"/>
      <c r="E3131" s="3"/>
      <c r="F3131" s="2"/>
      <c r="G3131" s="2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</row>
    <row r="3132">
      <c r="A3132" s="3"/>
      <c r="B3132" s="3"/>
      <c r="C3132" s="3"/>
      <c r="D3132" s="3"/>
      <c r="E3132" s="3"/>
      <c r="F3132" s="2"/>
      <c r="G3132" s="2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</row>
    <row r="3133">
      <c r="A3133" s="3"/>
      <c r="B3133" s="3"/>
      <c r="C3133" s="3"/>
      <c r="D3133" s="3"/>
      <c r="E3133" s="3"/>
      <c r="F3133" s="2"/>
      <c r="G3133" s="2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</row>
    <row r="3134">
      <c r="A3134" s="3"/>
      <c r="B3134" s="3"/>
      <c r="C3134" s="3"/>
      <c r="D3134" s="3"/>
      <c r="E3134" s="3"/>
      <c r="F3134" s="2"/>
      <c r="G3134" s="2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</row>
    <row r="3135">
      <c r="A3135" s="3"/>
      <c r="B3135" s="3"/>
      <c r="C3135" s="3"/>
      <c r="D3135" s="3"/>
      <c r="E3135" s="3"/>
      <c r="F3135" s="2"/>
      <c r="G3135" s="2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</row>
    <row r="3136">
      <c r="A3136" s="3"/>
      <c r="B3136" s="3"/>
      <c r="C3136" s="3"/>
      <c r="D3136" s="3"/>
      <c r="E3136" s="3"/>
      <c r="F3136" s="2"/>
      <c r="G3136" s="2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</row>
    <row r="3137">
      <c r="A3137" s="3"/>
      <c r="B3137" s="3"/>
      <c r="C3137" s="3"/>
      <c r="D3137" s="3"/>
      <c r="E3137" s="3"/>
      <c r="F3137" s="2"/>
      <c r="G3137" s="2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</row>
    <row r="3138">
      <c r="A3138" s="3"/>
      <c r="B3138" s="3"/>
      <c r="C3138" s="3"/>
      <c r="D3138" s="3"/>
      <c r="E3138" s="3"/>
      <c r="F3138" s="2"/>
      <c r="G3138" s="2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</row>
    <row r="3139">
      <c r="A3139" s="3"/>
      <c r="B3139" s="3"/>
      <c r="C3139" s="3"/>
      <c r="D3139" s="3"/>
      <c r="E3139" s="3"/>
      <c r="F3139" s="2"/>
      <c r="G3139" s="2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</row>
    <row r="3140">
      <c r="A3140" s="3"/>
      <c r="B3140" s="3"/>
      <c r="C3140" s="3"/>
      <c r="D3140" s="3"/>
      <c r="E3140" s="3"/>
      <c r="F3140" s="2"/>
      <c r="G3140" s="2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</row>
    <row r="3141">
      <c r="A3141" s="3"/>
      <c r="B3141" s="3"/>
      <c r="C3141" s="3"/>
      <c r="D3141" s="3"/>
      <c r="E3141" s="3"/>
      <c r="F3141" s="2"/>
      <c r="G3141" s="2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</row>
    <row r="3142">
      <c r="A3142" s="3"/>
      <c r="B3142" s="3"/>
      <c r="C3142" s="3"/>
      <c r="D3142" s="3"/>
      <c r="E3142" s="3"/>
      <c r="F3142" s="2"/>
      <c r="G3142" s="2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</row>
    <row r="3143">
      <c r="A3143" s="3"/>
      <c r="B3143" s="3"/>
      <c r="C3143" s="3"/>
      <c r="D3143" s="3"/>
      <c r="E3143" s="3"/>
      <c r="F3143" s="2"/>
      <c r="G3143" s="2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</row>
    <row r="3144">
      <c r="A3144" s="3"/>
      <c r="B3144" s="3"/>
      <c r="C3144" s="3"/>
      <c r="D3144" s="3"/>
      <c r="E3144" s="3"/>
      <c r="F3144" s="2"/>
      <c r="G3144" s="2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</row>
    <row r="3145">
      <c r="A3145" s="3"/>
      <c r="B3145" s="3"/>
      <c r="C3145" s="3"/>
      <c r="D3145" s="3"/>
      <c r="E3145" s="3"/>
      <c r="F3145" s="2"/>
      <c r="G3145" s="2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</row>
    <row r="3146">
      <c r="A3146" s="3"/>
      <c r="B3146" s="3"/>
      <c r="C3146" s="3"/>
      <c r="D3146" s="3"/>
      <c r="E3146" s="3"/>
      <c r="F3146" s="2"/>
      <c r="G3146" s="2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</row>
    <row r="3147">
      <c r="A3147" s="3"/>
      <c r="B3147" s="3"/>
      <c r="C3147" s="3"/>
      <c r="D3147" s="3"/>
      <c r="E3147" s="3"/>
      <c r="F3147" s="2"/>
      <c r="G3147" s="2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</row>
    <row r="3148">
      <c r="A3148" s="3"/>
      <c r="B3148" s="3"/>
      <c r="C3148" s="3"/>
      <c r="D3148" s="3"/>
      <c r="E3148" s="3"/>
      <c r="F3148" s="2"/>
      <c r="G3148" s="2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</row>
    <row r="3149">
      <c r="A3149" s="3"/>
      <c r="B3149" s="3"/>
      <c r="C3149" s="3"/>
      <c r="D3149" s="3"/>
      <c r="E3149" s="3"/>
      <c r="F3149" s="2"/>
      <c r="G3149" s="2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</row>
    <row r="3150">
      <c r="A3150" s="3"/>
      <c r="B3150" s="3"/>
      <c r="C3150" s="3"/>
      <c r="D3150" s="3"/>
      <c r="E3150" s="3"/>
      <c r="F3150" s="2"/>
      <c r="G3150" s="2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</row>
    <row r="3151">
      <c r="A3151" s="3"/>
      <c r="B3151" s="3"/>
      <c r="C3151" s="3"/>
      <c r="D3151" s="3"/>
      <c r="E3151" s="3"/>
      <c r="F3151" s="2"/>
      <c r="G3151" s="2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</row>
    <row r="3152">
      <c r="A3152" s="3"/>
      <c r="B3152" s="3"/>
      <c r="C3152" s="3"/>
      <c r="D3152" s="3"/>
      <c r="E3152" s="3"/>
      <c r="F3152" s="2"/>
      <c r="G3152" s="2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</row>
    <row r="3153">
      <c r="A3153" s="3"/>
      <c r="B3153" s="3"/>
      <c r="C3153" s="3"/>
      <c r="D3153" s="3"/>
      <c r="E3153" s="3"/>
      <c r="F3153" s="2"/>
      <c r="G3153" s="2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</row>
    <row r="3154">
      <c r="A3154" s="3"/>
      <c r="B3154" s="3"/>
      <c r="C3154" s="3"/>
      <c r="D3154" s="3"/>
      <c r="E3154" s="3"/>
      <c r="F3154" s="2"/>
      <c r="G3154" s="2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</row>
    <row r="3155">
      <c r="A3155" s="3"/>
      <c r="B3155" s="3"/>
      <c r="C3155" s="3"/>
      <c r="D3155" s="3"/>
      <c r="E3155" s="3"/>
      <c r="F3155" s="2"/>
      <c r="G3155" s="2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</row>
    <row r="3156">
      <c r="A3156" s="3"/>
      <c r="B3156" s="3"/>
      <c r="C3156" s="3"/>
      <c r="D3156" s="3"/>
      <c r="E3156" s="3"/>
      <c r="F3156" s="2"/>
      <c r="G3156" s="2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</row>
    <row r="3157">
      <c r="A3157" s="3"/>
      <c r="B3157" s="3"/>
      <c r="C3157" s="3"/>
      <c r="D3157" s="3"/>
      <c r="E3157" s="3"/>
      <c r="F3157" s="2"/>
      <c r="G3157" s="2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</row>
    <row r="3158">
      <c r="A3158" s="3"/>
      <c r="B3158" s="3"/>
      <c r="C3158" s="3"/>
      <c r="D3158" s="3"/>
      <c r="E3158" s="3"/>
      <c r="F3158" s="2"/>
      <c r="G3158" s="2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</row>
    <row r="3159">
      <c r="A3159" s="3"/>
      <c r="B3159" s="3"/>
      <c r="C3159" s="3"/>
      <c r="D3159" s="3"/>
      <c r="E3159" s="3"/>
      <c r="F3159" s="2"/>
      <c r="G3159" s="2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</row>
    <row r="3160">
      <c r="A3160" s="3"/>
      <c r="B3160" s="3"/>
      <c r="C3160" s="3"/>
      <c r="D3160" s="3"/>
      <c r="E3160" s="3"/>
      <c r="F3160" s="2"/>
      <c r="G3160" s="2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</row>
    <row r="3161">
      <c r="A3161" s="3"/>
      <c r="B3161" s="3"/>
      <c r="C3161" s="3"/>
      <c r="D3161" s="3"/>
      <c r="E3161" s="3"/>
      <c r="F3161" s="2"/>
      <c r="G3161" s="2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</row>
    <row r="3162">
      <c r="A3162" s="3"/>
      <c r="B3162" s="3"/>
      <c r="C3162" s="3"/>
      <c r="D3162" s="3"/>
      <c r="E3162" s="3"/>
      <c r="F3162" s="2"/>
      <c r="G3162" s="2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</row>
    <row r="3163">
      <c r="A3163" s="3"/>
      <c r="B3163" s="3"/>
      <c r="C3163" s="3"/>
      <c r="D3163" s="3"/>
      <c r="E3163" s="3"/>
      <c r="F3163" s="2"/>
      <c r="G3163" s="2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</row>
    <row r="3164">
      <c r="A3164" s="3"/>
      <c r="B3164" s="3"/>
      <c r="C3164" s="3"/>
      <c r="D3164" s="3"/>
      <c r="E3164" s="3"/>
      <c r="F3164" s="2"/>
      <c r="G3164" s="2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</row>
    <row r="3165">
      <c r="A3165" s="3"/>
      <c r="B3165" s="3"/>
      <c r="C3165" s="3"/>
      <c r="D3165" s="3"/>
      <c r="E3165" s="3"/>
      <c r="F3165" s="2"/>
      <c r="G3165" s="2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</row>
    <row r="3166">
      <c r="A3166" s="3"/>
      <c r="B3166" s="3"/>
      <c r="C3166" s="3"/>
      <c r="D3166" s="3"/>
      <c r="E3166" s="3"/>
      <c r="F3166" s="2"/>
      <c r="G3166" s="2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</row>
    <row r="3167">
      <c r="A3167" s="3"/>
      <c r="B3167" s="3"/>
      <c r="C3167" s="3"/>
      <c r="D3167" s="3"/>
      <c r="E3167" s="3"/>
      <c r="F3167" s="2"/>
      <c r="G3167" s="2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</row>
    <row r="3168">
      <c r="A3168" s="3"/>
      <c r="B3168" s="3"/>
      <c r="C3168" s="3"/>
      <c r="D3168" s="3"/>
      <c r="E3168" s="3"/>
      <c r="F3168" s="2"/>
      <c r="G3168" s="2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</row>
    <row r="3169">
      <c r="A3169" s="3"/>
      <c r="B3169" s="3"/>
      <c r="C3169" s="3"/>
      <c r="D3169" s="3"/>
      <c r="E3169" s="3"/>
      <c r="F3169" s="2"/>
      <c r="G3169" s="2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</row>
    <row r="3170">
      <c r="A3170" s="3"/>
      <c r="B3170" s="3"/>
      <c r="C3170" s="3"/>
      <c r="D3170" s="3"/>
      <c r="E3170" s="3"/>
      <c r="F3170" s="2"/>
      <c r="G3170" s="2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</row>
    <row r="3171">
      <c r="A3171" s="3"/>
      <c r="B3171" s="3"/>
      <c r="C3171" s="3"/>
      <c r="D3171" s="3"/>
      <c r="E3171" s="3"/>
      <c r="F3171" s="2"/>
      <c r="G3171" s="2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</row>
    <row r="3172">
      <c r="A3172" s="3"/>
      <c r="B3172" s="3"/>
      <c r="C3172" s="3"/>
      <c r="D3172" s="3"/>
      <c r="E3172" s="3"/>
      <c r="F3172" s="2"/>
      <c r="G3172" s="2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</row>
    <row r="3173">
      <c r="A3173" s="3"/>
      <c r="B3173" s="3"/>
      <c r="C3173" s="3"/>
      <c r="D3173" s="3"/>
      <c r="E3173" s="3"/>
      <c r="F3173" s="2"/>
      <c r="G3173" s="2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</row>
    <row r="3174">
      <c r="A3174" s="3"/>
      <c r="B3174" s="3"/>
      <c r="C3174" s="3"/>
      <c r="D3174" s="3"/>
      <c r="E3174" s="3"/>
      <c r="F3174" s="2"/>
      <c r="G3174" s="2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</row>
    <row r="3175">
      <c r="A3175" s="3"/>
      <c r="B3175" s="3"/>
      <c r="C3175" s="3"/>
      <c r="D3175" s="3"/>
      <c r="E3175" s="3"/>
      <c r="F3175" s="2"/>
      <c r="G3175" s="2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</row>
    <row r="3176">
      <c r="A3176" s="3"/>
      <c r="B3176" s="3"/>
      <c r="C3176" s="3"/>
      <c r="D3176" s="3"/>
      <c r="E3176" s="3"/>
      <c r="F3176" s="2"/>
      <c r="G3176" s="2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</row>
    <row r="3177">
      <c r="A3177" s="3"/>
      <c r="B3177" s="3"/>
      <c r="C3177" s="3"/>
      <c r="D3177" s="3"/>
      <c r="E3177" s="3"/>
      <c r="F3177" s="2"/>
      <c r="G3177" s="2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</row>
    <row r="3178">
      <c r="A3178" s="3"/>
      <c r="B3178" s="3"/>
      <c r="C3178" s="3"/>
      <c r="D3178" s="3"/>
      <c r="E3178" s="3"/>
      <c r="F3178" s="2"/>
      <c r="G3178" s="2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</row>
    <row r="3179">
      <c r="A3179" s="3"/>
      <c r="B3179" s="3"/>
      <c r="C3179" s="3"/>
      <c r="D3179" s="3"/>
      <c r="E3179" s="3"/>
      <c r="F3179" s="2"/>
      <c r="G3179" s="2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</row>
    <row r="3180">
      <c r="A3180" s="3"/>
      <c r="B3180" s="3"/>
      <c r="C3180" s="3"/>
      <c r="D3180" s="3"/>
      <c r="E3180" s="3"/>
      <c r="F3180" s="2"/>
      <c r="G3180" s="2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</row>
    <row r="3181">
      <c r="A3181" s="3"/>
      <c r="B3181" s="3"/>
      <c r="C3181" s="3"/>
      <c r="D3181" s="3"/>
      <c r="E3181" s="3"/>
      <c r="F3181" s="2"/>
      <c r="G3181" s="2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</row>
    <row r="3182">
      <c r="A3182" s="3"/>
      <c r="B3182" s="3"/>
      <c r="C3182" s="3"/>
      <c r="D3182" s="3"/>
      <c r="E3182" s="3"/>
      <c r="F3182" s="2"/>
      <c r="G3182" s="2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</row>
    <row r="3183">
      <c r="A3183" s="3"/>
      <c r="B3183" s="3"/>
      <c r="C3183" s="3"/>
      <c r="D3183" s="3"/>
      <c r="E3183" s="3"/>
      <c r="F3183" s="2"/>
      <c r="G3183" s="2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</row>
    <row r="3184">
      <c r="A3184" s="3"/>
      <c r="B3184" s="3"/>
      <c r="C3184" s="3"/>
      <c r="D3184" s="3"/>
      <c r="E3184" s="3"/>
      <c r="F3184" s="2"/>
      <c r="G3184" s="2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</row>
    <row r="3185">
      <c r="A3185" s="3"/>
      <c r="B3185" s="3"/>
      <c r="C3185" s="3"/>
      <c r="D3185" s="3"/>
      <c r="E3185" s="3"/>
      <c r="F3185" s="2"/>
      <c r="G3185" s="2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</row>
    <row r="3186">
      <c r="A3186" s="3"/>
      <c r="B3186" s="3"/>
      <c r="C3186" s="3"/>
      <c r="D3186" s="3"/>
      <c r="E3186" s="3"/>
      <c r="F3186" s="2"/>
      <c r="G3186" s="2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</row>
    <row r="3187">
      <c r="A3187" s="3"/>
      <c r="B3187" s="3"/>
      <c r="C3187" s="3"/>
      <c r="D3187" s="3"/>
      <c r="E3187" s="3"/>
      <c r="F3187" s="2"/>
      <c r="G3187" s="2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</row>
    <row r="3188">
      <c r="A3188" s="3"/>
      <c r="B3188" s="3"/>
      <c r="C3188" s="3"/>
      <c r="D3188" s="3"/>
      <c r="E3188" s="3"/>
      <c r="F3188" s="2"/>
      <c r="G3188" s="2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</row>
    <row r="3189">
      <c r="A3189" s="3"/>
      <c r="B3189" s="3"/>
      <c r="C3189" s="3"/>
      <c r="D3189" s="3"/>
      <c r="E3189" s="3"/>
      <c r="F3189" s="2"/>
      <c r="G3189" s="2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</row>
    <row r="3190">
      <c r="A3190" s="3"/>
      <c r="B3190" s="3"/>
      <c r="C3190" s="3"/>
      <c r="D3190" s="3"/>
      <c r="E3190" s="3"/>
      <c r="F3190" s="2"/>
      <c r="G3190" s="2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</row>
    <row r="3191">
      <c r="A3191" s="3"/>
      <c r="B3191" s="3"/>
      <c r="C3191" s="3"/>
      <c r="D3191" s="3"/>
      <c r="E3191" s="3"/>
      <c r="F3191" s="2"/>
      <c r="G3191" s="2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</row>
    <row r="3192">
      <c r="A3192" s="3"/>
      <c r="B3192" s="3"/>
      <c r="C3192" s="3"/>
      <c r="D3192" s="3"/>
      <c r="E3192" s="3"/>
      <c r="F3192" s="2"/>
      <c r="G3192" s="2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</row>
    <row r="3193">
      <c r="A3193" s="3"/>
      <c r="B3193" s="3"/>
      <c r="C3193" s="3"/>
      <c r="D3193" s="3"/>
      <c r="E3193" s="3"/>
      <c r="F3193" s="2"/>
      <c r="G3193" s="2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</row>
    <row r="3194">
      <c r="A3194" s="3"/>
      <c r="B3194" s="3"/>
      <c r="C3194" s="3"/>
      <c r="D3194" s="3"/>
      <c r="E3194" s="3"/>
      <c r="F3194" s="2"/>
      <c r="G3194" s="2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</row>
    <row r="3195">
      <c r="A3195" s="3"/>
      <c r="B3195" s="3"/>
      <c r="C3195" s="3"/>
      <c r="D3195" s="3"/>
      <c r="E3195" s="3"/>
      <c r="F3195" s="2"/>
      <c r="G3195" s="2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</row>
    <row r="3196">
      <c r="A3196" s="3"/>
      <c r="B3196" s="3"/>
      <c r="C3196" s="3"/>
      <c r="D3196" s="3"/>
      <c r="E3196" s="3"/>
      <c r="F3196" s="2"/>
      <c r="G3196" s="2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</row>
    <row r="3197">
      <c r="A3197" s="3"/>
      <c r="B3197" s="3"/>
      <c r="C3197" s="3"/>
      <c r="D3197" s="3"/>
      <c r="E3197" s="3"/>
      <c r="F3197" s="2"/>
      <c r="G3197" s="2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</row>
    <row r="3198">
      <c r="A3198" s="3"/>
      <c r="B3198" s="3"/>
      <c r="C3198" s="3"/>
      <c r="D3198" s="3"/>
      <c r="E3198" s="3"/>
      <c r="F3198" s="2"/>
      <c r="G3198" s="2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</row>
    <row r="3199">
      <c r="A3199" s="3"/>
      <c r="B3199" s="3"/>
      <c r="C3199" s="3"/>
      <c r="D3199" s="3"/>
      <c r="E3199" s="3"/>
      <c r="F3199" s="2"/>
      <c r="G3199" s="2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</row>
    <row r="3200">
      <c r="A3200" s="3"/>
      <c r="B3200" s="3"/>
      <c r="C3200" s="3"/>
      <c r="D3200" s="3"/>
      <c r="E3200" s="3"/>
      <c r="F3200" s="2"/>
      <c r="G3200" s="2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</row>
    <row r="3201">
      <c r="A3201" s="3"/>
      <c r="B3201" s="3"/>
      <c r="C3201" s="3"/>
      <c r="D3201" s="3"/>
      <c r="E3201" s="3"/>
      <c r="F3201" s="2"/>
      <c r="G3201" s="2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</row>
    <row r="3202">
      <c r="A3202" s="3"/>
      <c r="B3202" s="3"/>
      <c r="C3202" s="3"/>
      <c r="D3202" s="3"/>
      <c r="E3202" s="3"/>
      <c r="F3202" s="2"/>
      <c r="G3202" s="2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</row>
    <row r="3203">
      <c r="A3203" s="3"/>
      <c r="B3203" s="3"/>
      <c r="C3203" s="3"/>
      <c r="D3203" s="3"/>
      <c r="E3203" s="3"/>
      <c r="F3203" s="2"/>
      <c r="G3203" s="2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</row>
    <row r="3204">
      <c r="A3204" s="3"/>
      <c r="B3204" s="3"/>
      <c r="C3204" s="3"/>
      <c r="D3204" s="3"/>
      <c r="E3204" s="3"/>
      <c r="F3204" s="2"/>
      <c r="G3204" s="2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</row>
    <row r="3205">
      <c r="A3205" s="3"/>
      <c r="B3205" s="3"/>
      <c r="C3205" s="3"/>
      <c r="D3205" s="3"/>
      <c r="E3205" s="3"/>
      <c r="F3205" s="2"/>
      <c r="G3205" s="2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</row>
    <row r="3206">
      <c r="A3206" s="3"/>
      <c r="B3206" s="3"/>
      <c r="C3206" s="3"/>
      <c r="D3206" s="3"/>
      <c r="E3206" s="3"/>
      <c r="F3206" s="2"/>
      <c r="G3206" s="2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</row>
    <row r="3207">
      <c r="A3207" s="3"/>
      <c r="B3207" s="3"/>
      <c r="C3207" s="3"/>
      <c r="D3207" s="3"/>
      <c r="E3207" s="3"/>
      <c r="F3207" s="2"/>
      <c r="G3207" s="2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</row>
    <row r="3208">
      <c r="A3208" s="3"/>
      <c r="B3208" s="3"/>
      <c r="C3208" s="3"/>
      <c r="D3208" s="3"/>
      <c r="E3208" s="3"/>
      <c r="F3208" s="2"/>
      <c r="G3208" s="2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</row>
    <row r="3209">
      <c r="A3209" s="3"/>
      <c r="B3209" s="3"/>
      <c r="C3209" s="3"/>
      <c r="D3209" s="3"/>
      <c r="E3209" s="3"/>
      <c r="F3209" s="2"/>
      <c r="G3209" s="2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</row>
    <row r="3210">
      <c r="A3210" s="3"/>
      <c r="B3210" s="3"/>
      <c r="C3210" s="3"/>
      <c r="D3210" s="3"/>
      <c r="E3210" s="3"/>
      <c r="F3210" s="2"/>
      <c r="G3210" s="2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</row>
    <row r="3211">
      <c r="A3211" s="3"/>
      <c r="B3211" s="3"/>
      <c r="C3211" s="3"/>
      <c r="D3211" s="3"/>
      <c r="E3211" s="3"/>
      <c r="F3211" s="2"/>
      <c r="G3211" s="2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</row>
    <row r="3212">
      <c r="A3212" s="3"/>
      <c r="B3212" s="3"/>
      <c r="C3212" s="3"/>
      <c r="D3212" s="3"/>
      <c r="E3212" s="3"/>
      <c r="F3212" s="2"/>
      <c r="G3212" s="2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</row>
    <row r="3213">
      <c r="A3213" s="3"/>
      <c r="B3213" s="3"/>
      <c r="C3213" s="3"/>
      <c r="D3213" s="3"/>
      <c r="E3213" s="3"/>
      <c r="F3213" s="2"/>
      <c r="G3213" s="2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</row>
    <row r="3214">
      <c r="A3214" s="3"/>
      <c r="B3214" s="3"/>
      <c r="C3214" s="3"/>
      <c r="D3214" s="3"/>
      <c r="E3214" s="3"/>
      <c r="F3214" s="2"/>
      <c r="G3214" s="2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</row>
    <row r="3215">
      <c r="A3215" s="3"/>
      <c r="B3215" s="3"/>
      <c r="C3215" s="3"/>
      <c r="D3215" s="3"/>
      <c r="E3215" s="3"/>
      <c r="F3215" s="2"/>
      <c r="G3215" s="2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</row>
    <row r="3216">
      <c r="A3216" s="3"/>
      <c r="B3216" s="3"/>
      <c r="C3216" s="3"/>
      <c r="D3216" s="3"/>
      <c r="E3216" s="3"/>
      <c r="F3216" s="2"/>
      <c r="G3216" s="2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</row>
    <row r="3217">
      <c r="A3217" s="3"/>
      <c r="B3217" s="3"/>
      <c r="C3217" s="3"/>
      <c r="D3217" s="3"/>
      <c r="E3217" s="3"/>
      <c r="F3217" s="2"/>
      <c r="G3217" s="2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</row>
    <row r="3218">
      <c r="A3218" s="3"/>
      <c r="B3218" s="3"/>
      <c r="C3218" s="3"/>
      <c r="D3218" s="3"/>
      <c r="E3218" s="3"/>
      <c r="F3218" s="2"/>
      <c r="G3218" s="2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</row>
    <row r="3219">
      <c r="A3219" s="3"/>
      <c r="B3219" s="3"/>
      <c r="C3219" s="3"/>
      <c r="D3219" s="3"/>
      <c r="E3219" s="3"/>
      <c r="F3219" s="2"/>
      <c r="G3219" s="2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</row>
    <row r="3220">
      <c r="A3220" s="3"/>
      <c r="B3220" s="3"/>
      <c r="C3220" s="3"/>
      <c r="D3220" s="3"/>
      <c r="E3220" s="3"/>
      <c r="F3220" s="2"/>
      <c r="G3220" s="2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</row>
    <row r="3221">
      <c r="A3221" s="3"/>
      <c r="B3221" s="3"/>
      <c r="C3221" s="3"/>
      <c r="D3221" s="3"/>
      <c r="E3221" s="3"/>
      <c r="F3221" s="2"/>
      <c r="G3221" s="2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</row>
    <row r="3222">
      <c r="A3222" s="3"/>
      <c r="B3222" s="3"/>
      <c r="C3222" s="3"/>
      <c r="D3222" s="3"/>
      <c r="E3222" s="3"/>
      <c r="F3222" s="2"/>
      <c r="G3222" s="2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</row>
    <row r="3223">
      <c r="A3223" s="3"/>
      <c r="B3223" s="3"/>
      <c r="C3223" s="3"/>
      <c r="D3223" s="3"/>
      <c r="E3223" s="3"/>
      <c r="F3223" s="2"/>
      <c r="G3223" s="2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</row>
    <row r="3224">
      <c r="A3224" s="3"/>
      <c r="B3224" s="3"/>
      <c r="C3224" s="3"/>
      <c r="D3224" s="3"/>
      <c r="E3224" s="3"/>
      <c r="F3224" s="2"/>
      <c r="G3224" s="2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</row>
    <row r="3225">
      <c r="A3225" s="3"/>
      <c r="B3225" s="3"/>
      <c r="C3225" s="3"/>
      <c r="D3225" s="3"/>
      <c r="E3225" s="3"/>
      <c r="F3225" s="2"/>
      <c r="G3225" s="2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</row>
    <row r="3226">
      <c r="A3226" s="3"/>
      <c r="B3226" s="3"/>
      <c r="C3226" s="3"/>
      <c r="D3226" s="3"/>
      <c r="E3226" s="3"/>
      <c r="F3226" s="2"/>
      <c r="G3226" s="2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</row>
    <row r="3227">
      <c r="A3227" s="3"/>
      <c r="B3227" s="3"/>
      <c r="C3227" s="3"/>
      <c r="D3227" s="3"/>
      <c r="E3227" s="3"/>
      <c r="F3227" s="2"/>
      <c r="G3227" s="2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</row>
    <row r="3228">
      <c r="A3228" s="3"/>
      <c r="B3228" s="3"/>
      <c r="C3228" s="3"/>
      <c r="D3228" s="3"/>
      <c r="E3228" s="3"/>
      <c r="F3228" s="2"/>
      <c r="G3228" s="2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</row>
    <row r="3229">
      <c r="A3229" s="3"/>
      <c r="B3229" s="3"/>
      <c r="C3229" s="3"/>
      <c r="D3229" s="3"/>
      <c r="E3229" s="3"/>
      <c r="F3229" s="2"/>
      <c r="G3229" s="2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</row>
    <row r="3230">
      <c r="A3230" s="3"/>
      <c r="B3230" s="3"/>
      <c r="C3230" s="3"/>
      <c r="D3230" s="3"/>
      <c r="E3230" s="3"/>
      <c r="F3230" s="2"/>
      <c r="G3230" s="2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</row>
    <row r="3231">
      <c r="A3231" s="3"/>
      <c r="B3231" s="3"/>
      <c r="C3231" s="3"/>
      <c r="D3231" s="3"/>
      <c r="E3231" s="3"/>
      <c r="F3231" s="2"/>
      <c r="G3231" s="2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</row>
    <row r="3232">
      <c r="A3232" s="3"/>
      <c r="B3232" s="3"/>
      <c r="C3232" s="3"/>
      <c r="D3232" s="3"/>
      <c r="E3232" s="3"/>
      <c r="F3232" s="2"/>
      <c r="G3232" s="2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</row>
    <row r="3233">
      <c r="A3233" s="3"/>
      <c r="B3233" s="3"/>
      <c r="C3233" s="3"/>
      <c r="D3233" s="3"/>
      <c r="E3233" s="3"/>
      <c r="F3233" s="2"/>
      <c r="G3233" s="2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</row>
    <row r="3234">
      <c r="A3234" s="3"/>
      <c r="B3234" s="3"/>
      <c r="C3234" s="3"/>
      <c r="D3234" s="3"/>
      <c r="E3234" s="3"/>
      <c r="F3234" s="2"/>
      <c r="G3234" s="2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</row>
    <row r="3235">
      <c r="A3235" s="3"/>
      <c r="B3235" s="3"/>
      <c r="C3235" s="3"/>
      <c r="D3235" s="3"/>
      <c r="E3235" s="3"/>
      <c r="F3235" s="2"/>
      <c r="G3235" s="2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</row>
    <row r="3236">
      <c r="A3236" s="3"/>
      <c r="B3236" s="3"/>
      <c r="C3236" s="3"/>
      <c r="D3236" s="3"/>
      <c r="E3236" s="3"/>
      <c r="F3236" s="2"/>
      <c r="G3236" s="2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</row>
    <row r="3237">
      <c r="A3237" s="3"/>
      <c r="B3237" s="3"/>
      <c r="C3237" s="3"/>
      <c r="D3237" s="3"/>
      <c r="E3237" s="3"/>
      <c r="F3237" s="2"/>
      <c r="G3237" s="2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</row>
    <row r="3238">
      <c r="A3238" s="3"/>
      <c r="B3238" s="3"/>
      <c r="C3238" s="3"/>
      <c r="D3238" s="3"/>
      <c r="E3238" s="3"/>
      <c r="F3238" s="2"/>
      <c r="G3238" s="2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</row>
    <row r="3239">
      <c r="A3239" s="3"/>
      <c r="B3239" s="3"/>
      <c r="C3239" s="3"/>
      <c r="D3239" s="3"/>
      <c r="E3239" s="3"/>
      <c r="F3239" s="2"/>
      <c r="G3239" s="2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</row>
    <row r="3240">
      <c r="A3240" s="3"/>
      <c r="B3240" s="3"/>
      <c r="C3240" s="3"/>
      <c r="D3240" s="3"/>
      <c r="E3240" s="3"/>
      <c r="F3240" s="2"/>
      <c r="G3240" s="2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</row>
    <row r="3241">
      <c r="A3241" s="3"/>
      <c r="B3241" s="3"/>
      <c r="C3241" s="3"/>
      <c r="D3241" s="3"/>
      <c r="E3241" s="3"/>
      <c r="F3241" s="2"/>
      <c r="G3241" s="2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</row>
    <row r="3242">
      <c r="A3242" s="3"/>
      <c r="B3242" s="3"/>
      <c r="C3242" s="3"/>
      <c r="D3242" s="3"/>
      <c r="E3242" s="3"/>
      <c r="F3242" s="2"/>
      <c r="G3242" s="2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</row>
    <row r="3243">
      <c r="A3243" s="3"/>
      <c r="B3243" s="3"/>
      <c r="C3243" s="3"/>
      <c r="D3243" s="3"/>
      <c r="E3243" s="3"/>
      <c r="F3243" s="2"/>
      <c r="G3243" s="2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</row>
    <row r="3244">
      <c r="A3244" s="3"/>
      <c r="B3244" s="3"/>
      <c r="C3244" s="3"/>
      <c r="D3244" s="3"/>
      <c r="E3244" s="3"/>
      <c r="F3244" s="2"/>
      <c r="G3244" s="2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</row>
    <row r="3245">
      <c r="A3245" s="3"/>
      <c r="B3245" s="3"/>
      <c r="C3245" s="3"/>
      <c r="D3245" s="3"/>
      <c r="E3245" s="3"/>
      <c r="F3245" s="2"/>
      <c r="G3245" s="2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</row>
    <row r="3246">
      <c r="A3246" s="3"/>
      <c r="B3246" s="3"/>
      <c r="C3246" s="3"/>
      <c r="D3246" s="3"/>
      <c r="E3246" s="3"/>
      <c r="F3246" s="2"/>
      <c r="G3246" s="2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</row>
    <row r="3247">
      <c r="A3247" s="3"/>
      <c r="B3247" s="3"/>
      <c r="C3247" s="3"/>
      <c r="D3247" s="3"/>
      <c r="E3247" s="3"/>
      <c r="F3247" s="2"/>
      <c r="G3247" s="2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</row>
    <row r="3248">
      <c r="A3248" s="3"/>
      <c r="B3248" s="3"/>
      <c r="C3248" s="3"/>
      <c r="D3248" s="3"/>
      <c r="E3248" s="3"/>
      <c r="F3248" s="2"/>
      <c r="G3248" s="2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</row>
    <row r="3249">
      <c r="A3249" s="3"/>
      <c r="B3249" s="3"/>
      <c r="C3249" s="3"/>
      <c r="D3249" s="3"/>
      <c r="E3249" s="3"/>
      <c r="F3249" s="2"/>
      <c r="G3249" s="2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</row>
    <row r="3250">
      <c r="A3250" s="3"/>
      <c r="B3250" s="3"/>
      <c r="C3250" s="3"/>
      <c r="D3250" s="3"/>
      <c r="E3250" s="3"/>
      <c r="F3250" s="2"/>
      <c r="G3250" s="2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</row>
    <row r="3251">
      <c r="A3251" s="3"/>
      <c r="B3251" s="3"/>
      <c r="C3251" s="3"/>
      <c r="D3251" s="3"/>
      <c r="E3251" s="3"/>
      <c r="F3251" s="2"/>
      <c r="G3251" s="2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</row>
    <row r="3252">
      <c r="A3252" s="3"/>
      <c r="B3252" s="3"/>
      <c r="C3252" s="3"/>
      <c r="D3252" s="3"/>
      <c r="E3252" s="3"/>
      <c r="F3252" s="2"/>
      <c r="G3252" s="2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</row>
    <row r="3253">
      <c r="A3253" s="3"/>
      <c r="B3253" s="3"/>
      <c r="C3253" s="3"/>
      <c r="D3253" s="3"/>
      <c r="E3253" s="3"/>
      <c r="F3253" s="2"/>
      <c r="G3253" s="2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</row>
    <row r="3254">
      <c r="A3254" s="3"/>
      <c r="B3254" s="3"/>
      <c r="C3254" s="3"/>
      <c r="D3254" s="3"/>
      <c r="E3254" s="3"/>
      <c r="F3254" s="2"/>
      <c r="G3254" s="2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</row>
    <row r="3255">
      <c r="A3255" s="3"/>
      <c r="B3255" s="3"/>
      <c r="C3255" s="3"/>
      <c r="D3255" s="3"/>
      <c r="E3255" s="3"/>
      <c r="F3255" s="2"/>
      <c r="G3255" s="2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</row>
    <row r="3256">
      <c r="A3256" s="3"/>
      <c r="B3256" s="3"/>
      <c r="C3256" s="3"/>
      <c r="D3256" s="3"/>
      <c r="E3256" s="3"/>
      <c r="F3256" s="2"/>
      <c r="G3256" s="2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</row>
    <row r="3257">
      <c r="A3257" s="3"/>
      <c r="B3257" s="3"/>
      <c r="C3257" s="3"/>
      <c r="D3257" s="3"/>
      <c r="E3257" s="3"/>
      <c r="F3257" s="2"/>
      <c r="G3257" s="2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</row>
    <row r="3258">
      <c r="A3258" s="3"/>
      <c r="B3258" s="3"/>
      <c r="C3258" s="3"/>
      <c r="D3258" s="3"/>
      <c r="E3258" s="3"/>
      <c r="F3258" s="2"/>
      <c r="G3258" s="2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</row>
    <row r="3259">
      <c r="A3259" s="3"/>
      <c r="B3259" s="3"/>
      <c r="C3259" s="3"/>
      <c r="D3259" s="3"/>
      <c r="E3259" s="3"/>
      <c r="F3259" s="2"/>
      <c r="G3259" s="2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</row>
    <row r="3260">
      <c r="A3260" s="3"/>
      <c r="B3260" s="3"/>
      <c r="C3260" s="3"/>
      <c r="D3260" s="3"/>
      <c r="E3260" s="3"/>
      <c r="F3260" s="2"/>
      <c r="G3260" s="2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</row>
    <row r="3261">
      <c r="A3261" s="3"/>
      <c r="B3261" s="3"/>
      <c r="C3261" s="3"/>
      <c r="D3261" s="3"/>
      <c r="E3261" s="3"/>
      <c r="F3261" s="2"/>
      <c r="G3261" s="2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</row>
    <row r="3262">
      <c r="A3262" s="3"/>
      <c r="B3262" s="3"/>
      <c r="C3262" s="3"/>
      <c r="D3262" s="3"/>
      <c r="E3262" s="3"/>
      <c r="F3262" s="2"/>
      <c r="G3262" s="2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</row>
    <row r="3263">
      <c r="A3263" s="3"/>
      <c r="B3263" s="3"/>
      <c r="C3263" s="3"/>
      <c r="D3263" s="3"/>
      <c r="E3263" s="3"/>
      <c r="F3263" s="2"/>
      <c r="G3263" s="2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</row>
    <row r="3264">
      <c r="A3264" s="3"/>
      <c r="B3264" s="3"/>
      <c r="C3264" s="3"/>
      <c r="D3264" s="3"/>
      <c r="E3264" s="3"/>
      <c r="F3264" s="2"/>
      <c r="G3264" s="2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</row>
    <row r="3265">
      <c r="A3265" s="3"/>
      <c r="B3265" s="3"/>
      <c r="C3265" s="3"/>
      <c r="D3265" s="3"/>
      <c r="E3265" s="3"/>
      <c r="F3265" s="2"/>
      <c r="G3265" s="2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</row>
    <row r="3266">
      <c r="A3266" s="3"/>
      <c r="B3266" s="3"/>
      <c r="C3266" s="3"/>
      <c r="D3266" s="3"/>
      <c r="E3266" s="3"/>
      <c r="F3266" s="2"/>
      <c r="G3266" s="2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</row>
    <row r="3267">
      <c r="A3267" s="3"/>
      <c r="B3267" s="3"/>
      <c r="C3267" s="3"/>
      <c r="D3267" s="3"/>
      <c r="E3267" s="3"/>
      <c r="F3267" s="2"/>
      <c r="G3267" s="2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</row>
    <row r="3268">
      <c r="A3268" s="3"/>
      <c r="B3268" s="3"/>
      <c r="C3268" s="3"/>
      <c r="D3268" s="3"/>
      <c r="E3268" s="3"/>
      <c r="F3268" s="2"/>
      <c r="G3268" s="2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</row>
    <row r="3269">
      <c r="A3269" s="3"/>
      <c r="B3269" s="3"/>
      <c r="C3269" s="3"/>
      <c r="D3269" s="3"/>
      <c r="E3269" s="3"/>
      <c r="F3269" s="2"/>
      <c r="G3269" s="2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</row>
    <row r="3270">
      <c r="A3270" s="3"/>
      <c r="B3270" s="3"/>
      <c r="C3270" s="3"/>
      <c r="D3270" s="3"/>
      <c r="E3270" s="3"/>
      <c r="F3270" s="2"/>
      <c r="G3270" s="2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</row>
    <row r="3271">
      <c r="A3271" s="3"/>
      <c r="B3271" s="3"/>
      <c r="C3271" s="3"/>
      <c r="D3271" s="3"/>
      <c r="E3271" s="3"/>
      <c r="F3271" s="2"/>
      <c r="G3271" s="2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</row>
    <row r="3272">
      <c r="A3272" s="3"/>
      <c r="B3272" s="3"/>
      <c r="C3272" s="3"/>
      <c r="D3272" s="3"/>
      <c r="E3272" s="3"/>
      <c r="F3272" s="2"/>
      <c r="G3272" s="2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</row>
    <row r="3273">
      <c r="A3273" s="3"/>
      <c r="B3273" s="3"/>
      <c r="C3273" s="3"/>
      <c r="D3273" s="3"/>
      <c r="E3273" s="3"/>
      <c r="F3273" s="2"/>
      <c r="G3273" s="2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</row>
    <row r="3274">
      <c r="A3274" s="3"/>
      <c r="B3274" s="3"/>
      <c r="C3274" s="3"/>
      <c r="D3274" s="3"/>
      <c r="E3274" s="3"/>
      <c r="F3274" s="2"/>
      <c r="G3274" s="2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</row>
    <row r="3275">
      <c r="A3275" s="3"/>
      <c r="B3275" s="3"/>
      <c r="C3275" s="3"/>
      <c r="D3275" s="3"/>
      <c r="E3275" s="3"/>
      <c r="F3275" s="2"/>
      <c r="G3275" s="2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</row>
    <row r="3276">
      <c r="A3276" s="3"/>
      <c r="B3276" s="3"/>
      <c r="C3276" s="3"/>
      <c r="D3276" s="3"/>
      <c r="E3276" s="3"/>
      <c r="F3276" s="2"/>
      <c r="G3276" s="2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</row>
    <row r="3277">
      <c r="A3277" s="3"/>
      <c r="B3277" s="3"/>
      <c r="C3277" s="3"/>
      <c r="D3277" s="3"/>
      <c r="E3277" s="3"/>
      <c r="F3277" s="2"/>
      <c r="G3277" s="2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</row>
    <row r="3278">
      <c r="A3278" s="3"/>
      <c r="B3278" s="3"/>
      <c r="C3278" s="3"/>
      <c r="D3278" s="3"/>
      <c r="E3278" s="3"/>
      <c r="F3278" s="2"/>
      <c r="G3278" s="2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</row>
    <row r="3279">
      <c r="A3279" s="3"/>
      <c r="B3279" s="3"/>
      <c r="C3279" s="3"/>
      <c r="D3279" s="3"/>
      <c r="E3279" s="3"/>
      <c r="F3279" s="2"/>
      <c r="G3279" s="2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</row>
    <row r="3280">
      <c r="A3280" s="3"/>
      <c r="B3280" s="3"/>
      <c r="C3280" s="3"/>
      <c r="D3280" s="3"/>
      <c r="E3280" s="3"/>
      <c r="F3280" s="2"/>
      <c r="G3280" s="2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</row>
    <row r="3281">
      <c r="A3281" s="3"/>
      <c r="B3281" s="3"/>
      <c r="C3281" s="3"/>
      <c r="D3281" s="3"/>
      <c r="E3281" s="3"/>
      <c r="F3281" s="2"/>
      <c r="G3281" s="2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</row>
    <row r="3282">
      <c r="A3282" s="3"/>
      <c r="B3282" s="3"/>
      <c r="C3282" s="3"/>
      <c r="D3282" s="3"/>
      <c r="E3282" s="3"/>
      <c r="F3282" s="2"/>
      <c r="G3282" s="2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</row>
    <row r="3283">
      <c r="A3283" s="3"/>
      <c r="B3283" s="3"/>
      <c r="C3283" s="3"/>
      <c r="D3283" s="3"/>
      <c r="E3283" s="3"/>
      <c r="F3283" s="2"/>
      <c r="G3283" s="2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</row>
    <row r="3284">
      <c r="A3284" s="3"/>
      <c r="B3284" s="3"/>
      <c r="C3284" s="3"/>
      <c r="D3284" s="3"/>
      <c r="E3284" s="3"/>
      <c r="F3284" s="2"/>
      <c r="G3284" s="2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</row>
    <row r="3285">
      <c r="A3285" s="3"/>
      <c r="B3285" s="3"/>
      <c r="C3285" s="3"/>
      <c r="D3285" s="3"/>
      <c r="E3285" s="3"/>
      <c r="F3285" s="2"/>
      <c r="G3285" s="2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</row>
    <row r="3286">
      <c r="A3286" s="3"/>
      <c r="B3286" s="3"/>
      <c r="C3286" s="3"/>
      <c r="D3286" s="3"/>
      <c r="E3286" s="3"/>
      <c r="F3286" s="2"/>
      <c r="G3286" s="2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</row>
    <row r="3287">
      <c r="A3287" s="3"/>
      <c r="B3287" s="3"/>
      <c r="C3287" s="3"/>
      <c r="D3287" s="3"/>
      <c r="E3287" s="3"/>
      <c r="F3287" s="2"/>
      <c r="G3287" s="2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</row>
    <row r="3288">
      <c r="A3288" s="3"/>
      <c r="B3288" s="3"/>
      <c r="C3288" s="3"/>
      <c r="D3288" s="3"/>
      <c r="E3288" s="3"/>
      <c r="F3288" s="2"/>
      <c r="G3288" s="2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</row>
    <row r="3289">
      <c r="A3289" s="3"/>
      <c r="B3289" s="3"/>
      <c r="C3289" s="3"/>
      <c r="D3289" s="3"/>
      <c r="E3289" s="3"/>
      <c r="F3289" s="2"/>
      <c r="G3289" s="2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</row>
    <row r="3290">
      <c r="A3290" s="3"/>
      <c r="B3290" s="3"/>
      <c r="C3290" s="3"/>
      <c r="D3290" s="3"/>
      <c r="E3290" s="3"/>
      <c r="F3290" s="2"/>
      <c r="G3290" s="2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</row>
    <row r="3291">
      <c r="A3291" s="3"/>
      <c r="B3291" s="3"/>
      <c r="C3291" s="3"/>
      <c r="D3291" s="3"/>
      <c r="E3291" s="3"/>
      <c r="F3291" s="2"/>
      <c r="G3291" s="2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</row>
    <row r="3292">
      <c r="A3292" s="3"/>
      <c r="B3292" s="3"/>
      <c r="C3292" s="3"/>
      <c r="D3292" s="3"/>
      <c r="E3292" s="3"/>
      <c r="F3292" s="2"/>
      <c r="G3292" s="2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</row>
    <row r="3293">
      <c r="A3293" s="3"/>
      <c r="B3293" s="3"/>
      <c r="C3293" s="3"/>
      <c r="D3293" s="3"/>
      <c r="E3293" s="3"/>
      <c r="F3293" s="2"/>
      <c r="G3293" s="2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</row>
    <row r="3294">
      <c r="A3294" s="3"/>
      <c r="B3294" s="3"/>
      <c r="C3294" s="3"/>
      <c r="D3294" s="3"/>
      <c r="E3294" s="3"/>
      <c r="F3294" s="2"/>
      <c r="G3294" s="2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</row>
    <row r="3295">
      <c r="A3295" s="3"/>
      <c r="B3295" s="3"/>
      <c r="C3295" s="3"/>
      <c r="D3295" s="3"/>
      <c r="E3295" s="3"/>
      <c r="F3295" s="2"/>
      <c r="G3295" s="2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</row>
    <row r="3296">
      <c r="A3296" s="3"/>
      <c r="B3296" s="3"/>
      <c r="C3296" s="3"/>
      <c r="D3296" s="3"/>
      <c r="E3296" s="3"/>
      <c r="F3296" s="2"/>
      <c r="G3296" s="2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</row>
    <row r="3297">
      <c r="A3297" s="3"/>
      <c r="B3297" s="3"/>
      <c r="C3297" s="3"/>
      <c r="D3297" s="3"/>
      <c r="E3297" s="3"/>
      <c r="F3297" s="2"/>
      <c r="G3297" s="2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</row>
    <row r="3298">
      <c r="A3298" s="3"/>
      <c r="B3298" s="3"/>
      <c r="C3298" s="3"/>
      <c r="D3298" s="3"/>
      <c r="E3298" s="3"/>
      <c r="F3298" s="2"/>
      <c r="G3298" s="2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</row>
    <row r="3299">
      <c r="A3299" s="3"/>
      <c r="B3299" s="3"/>
      <c r="C3299" s="3"/>
      <c r="D3299" s="3"/>
      <c r="E3299" s="3"/>
      <c r="F3299" s="2"/>
      <c r="G3299" s="2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</row>
    <row r="3300">
      <c r="A3300" s="3"/>
      <c r="B3300" s="3"/>
      <c r="C3300" s="3"/>
      <c r="D3300" s="3"/>
      <c r="E3300" s="3"/>
      <c r="F3300" s="2"/>
      <c r="G3300" s="2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</row>
    <row r="3301">
      <c r="A3301" s="3"/>
      <c r="B3301" s="3"/>
      <c r="C3301" s="3"/>
      <c r="D3301" s="3"/>
      <c r="E3301" s="3"/>
      <c r="F3301" s="2"/>
      <c r="G3301" s="2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</row>
    <row r="3302">
      <c r="A3302" s="3"/>
      <c r="B3302" s="3"/>
      <c r="C3302" s="3"/>
      <c r="D3302" s="3"/>
      <c r="E3302" s="3"/>
      <c r="F3302" s="2"/>
      <c r="G3302" s="2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</row>
    <row r="3303">
      <c r="A3303" s="3"/>
      <c r="B3303" s="3"/>
      <c r="C3303" s="3"/>
      <c r="D3303" s="3"/>
      <c r="E3303" s="3"/>
      <c r="F3303" s="2"/>
      <c r="G3303" s="2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</row>
    <row r="3304">
      <c r="A3304" s="3"/>
      <c r="B3304" s="3"/>
      <c r="C3304" s="3"/>
      <c r="D3304" s="3"/>
      <c r="E3304" s="3"/>
      <c r="F3304" s="2"/>
      <c r="G3304" s="2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</row>
    <row r="3305">
      <c r="A3305" s="3"/>
      <c r="B3305" s="3"/>
      <c r="C3305" s="3"/>
      <c r="D3305" s="3"/>
      <c r="E3305" s="3"/>
      <c r="F3305" s="2"/>
      <c r="G3305" s="2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</row>
    <row r="3306">
      <c r="A3306" s="3"/>
      <c r="B3306" s="3"/>
      <c r="C3306" s="3"/>
      <c r="D3306" s="3"/>
      <c r="E3306" s="3"/>
      <c r="F3306" s="2"/>
      <c r="G3306" s="2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</row>
    <row r="3307">
      <c r="A3307" s="3"/>
      <c r="B3307" s="3"/>
      <c r="C3307" s="3"/>
      <c r="D3307" s="3"/>
      <c r="E3307" s="3"/>
      <c r="F3307" s="2"/>
      <c r="G3307" s="2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</row>
    <row r="3308">
      <c r="A3308" s="3"/>
      <c r="B3308" s="3"/>
      <c r="C3308" s="3"/>
      <c r="D3308" s="3"/>
      <c r="E3308" s="3"/>
      <c r="F3308" s="2"/>
      <c r="G3308" s="2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</row>
    <row r="3309">
      <c r="A3309" s="3"/>
      <c r="B3309" s="3"/>
      <c r="C3309" s="3"/>
      <c r="D3309" s="3"/>
      <c r="E3309" s="3"/>
      <c r="F3309" s="2"/>
      <c r="G3309" s="2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</row>
    <row r="3310">
      <c r="A3310" s="3"/>
      <c r="B3310" s="3"/>
      <c r="C3310" s="3"/>
      <c r="D3310" s="3"/>
      <c r="E3310" s="3"/>
      <c r="F3310" s="2"/>
      <c r="G3310" s="2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</row>
    <row r="3311">
      <c r="A3311" s="3"/>
      <c r="B3311" s="3"/>
      <c r="C3311" s="3"/>
      <c r="D3311" s="3"/>
      <c r="E3311" s="3"/>
      <c r="F3311" s="2"/>
      <c r="G3311" s="2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</row>
    <row r="3312">
      <c r="A3312" s="3"/>
      <c r="B3312" s="3"/>
      <c r="C3312" s="3"/>
      <c r="D3312" s="3"/>
      <c r="E3312" s="3"/>
      <c r="F3312" s="2"/>
      <c r="G3312" s="2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</row>
    <row r="3313">
      <c r="A3313" s="3"/>
      <c r="B3313" s="3"/>
      <c r="C3313" s="3"/>
      <c r="D3313" s="3"/>
      <c r="E3313" s="3"/>
      <c r="F3313" s="2"/>
      <c r="G3313" s="2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</row>
    <row r="3314">
      <c r="A3314" s="3"/>
      <c r="B3314" s="3"/>
      <c r="C3314" s="3"/>
      <c r="D3314" s="3"/>
      <c r="E3314" s="3"/>
      <c r="F3314" s="2"/>
      <c r="G3314" s="2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</row>
    <row r="3315">
      <c r="A3315" s="3"/>
      <c r="B3315" s="3"/>
      <c r="C3315" s="3"/>
      <c r="D3315" s="3"/>
      <c r="E3315" s="3"/>
      <c r="F3315" s="2"/>
      <c r="G3315" s="2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</row>
    <row r="3316">
      <c r="A3316" s="3"/>
      <c r="B3316" s="3"/>
      <c r="C3316" s="3"/>
      <c r="D3316" s="3"/>
      <c r="E3316" s="3"/>
      <c r="F3316" s="2"/>
      <c r="G3316" s="2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</row>
    <row r="3317">
      <c r="A3317" s="3"/>
      <c r="B3317" s="3"/>
      <c r="C3317" s="3"/>
      <c r="D3317" s="3"/>
      <c r="E3317" s="3"/>
      <c r="F3317" s="2"/>
      <c r="G3317" s="2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</row>
    <row r="3318">
      <c r="A3318" s="3"/>
      <c r="B3318" s="3"/>
      <c r="C3318" s="3"/>
      <c r="D3318" s="3"/>
      <c r="E3318" s="3"/>
      <c r="F3318" s="2"/>
      <c r="G3318" s="2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</row>
    <row r="3319">
      <c r="A3319" s="3"/>
      <c r="B3319" s="3"/>
      <c r="C3319" s="3"/>
      <c r="D3319" s="3"/>
      <c r="E3319" s="3"/>
      <c r="F3319" s="2"/>
      <c r="G3319" s="2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</row>
    <row r="3320">
      <c r="A3320" s="3"/>
      <c r="B3320" s="3"/>
      <c r="C3320" s="3"/>
      <c r="D3320" s="3"/>
      <c r="E3320" s="3"/>
      <c r="F3320" s="2"/>
      <c r="G3320" s="2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</row>
    <row r="3321">
      <c r="A3321" s="3"/>
      <c r="B3321" s="3"/>
      <c r="C3321" s="3"/>
      <c r="D3321" s="3"/>
      <c r="E3321" s="3"/>
      <c r="F3321" s="2"/>
      <c r="G3321" s="2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</row>
    <row r="3322">
      <c r="A3322" s="3"/>
      <c r="B3322" s="3"/>
      <c r="C3322" s="3"/>
      <c r="D3322" s="3"/>
      <c r="E3322" s="3"/>
      <c r="F3322" s="2"/>
      <c r="G3322" s="2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</row>
    <row r="3323">
      <c r="A3323" s="3"/>
      <c r="B3323" s="3"/>
      <c r="C3323" s="3"/>
      <c r="D3323" s="3"/>
      <c r="E3323" s="3"/>
      <c r="F3323" s="2"/>
      <c r="G3323" s="2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</row>
    <row r="3324">
      <c r="A3324" s="3"/>
      <c r="B3324" s="3"/>
      <c r="C3324" s="3"/>
      <c r="D3324" s="3"/>
      <c r="E3324" s="3"/>
      <c r="F3324" s="2"/>
      <c r="G3324" s="2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</row>
    <row r="3325">
      <c r="A3325" s="3"/>
      <c r="B3325" s="3"/>
      <c r="C3325" s="3"/>
      <c r="D3325" s="3"/>
      <c r="E3325" s="3"/>
      <c r="F3325" s="2"/>
      <c r="G3325" s="2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</row>
    <row r="3326">
      <c r="A3326" s="3"/>
      <c r="B3326" s="3"/>
      <c r="C3326" s="3"/>
      <c r="D3326" s="3"/>
      <c r="E3326" s="3"/>
      <c r="F3326" s="2"/>
      <c r="G3326" s="2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</row>
    <row r="3327">
      <c r="A3327" s="3"/>
      <c r="B3327" s="3"/>
      <c r="C3327" s="3"/>
      <c r="D3327" s="3"/>
      <c r="E3327" s="3"/>
      <c r="F3327" s="2"/>
      <c r="G3327" s="2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</row>
    <row r="3328">
      <c r="A3328" s="3"/>
      <c r="B3328" s="3"/>
      <c r="C3328" s="3"/>
      <c r="D3328" s="3"/>
      <c r="E3328" s="3"/>
      <c r="F3328" s="2"/>
      <c r="G3328" s="2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</row>
    <row r="3329">
      <c r="A3329" s="3"/>
      <c r="B3329" s="3"/>
      <c r="C3329" s="3"/>
      <c r="D3329" s="3"/>
      <c r="E3329" s="3"/>
      <c r="F3329" s="2"/>
      <c r="G3329" s="2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</row>
    <row r="3330">
      <c r="A3330" s="3"/>
      <c r="B3330" s="3"/>
      <c r="C3330" s="3"/>
      <c r="D3330" s="3"/>
      <c r="E3330" s="3"/>
      <c r="F3330" s="2"/>
      <c r="G3330" s="2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</row>
    <row r="3331">
      <c r="A3331" s="3"/>
      <c r="B3331" s="3"/>
      <c r="C3331" s="3"/>
      <c r="D3331" s="3"/>
      <c r="E3331" s="3"/>
      <c r="F3331" s="2"/>
      <c r="G3331" s="2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</row>
    <row r="3332">
      <c r="A3332" s="3"/>
      <c r="B3332" s="3"/>
      <c r="C3332" s="3"/>
      <c r="D3332" s="3"/>
      <c r="E3332" s="3"/>
      <c r="F3332" s="2"/>
      <c r="G3332" s="2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</row>
    <row r="3333">
      <c r="A3333" s="3"/>
      <c r="B3333" s="3"/>
      <c r="C3333" s="3"/>
      <c r="D3333" s="3"/>
      <c r="E3333" s="3"/>
      <c r="F3333" s="2"/>
      <c r="G3333" s="2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</row>
    <row r="3334">
      <c r="A3334" s="3"/>
      <c r="B3334" s="3"/>
      <c r="C3334" s="3"/>
      <c r="D3334" s="3"/>
      <c r="E3334" s="3"/>
      <c r="F3334" s="2"/>
      <c r="G3334" s="2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</row>
    <row r="3335">
      <c r="A3335" s="3"/>
      <c r="B3335" s="3"/>
      <c r="C3335" s="3"/>
      <c r="D3335" s="3"/>
      <c r="E3335" s="3"/>
      <c r="F3335" s="2"/>
      <c r="G3335" s="2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</row>
    <row r="3336">
      <c r="A3336" s="3"/>
      <c r="B3336" s="3"/>
      <c r="C3336" s="3"/>
      <c r="D3336" s="3"/>
      <c r="E3336" s="3"/>
      <c r="F3336" s="2"/>
      <c r="G3336" s="2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</row>
    <row r="3337">
      <c r="A3337" s="3"/>
      <c r="B3337" s="3"/>
      <c r="C3337" s="3"/>
      <c r="D3337" s="3"/>
      <c r="E3337" s="3"/>
      <c r="F3337" s="2"/>
      <c r="G3337" s="2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</row>
    <row r="3338">
      <c r="A3338" s="3"/>
      <c r="B3338" s="3"/>
      <c r="C3338" s="3"/>
      <c r="D3338" s="3"/>
      <c r="E3338" s="3"/>
      <c r="F3338" s="2"/>
      <c r="G3338" s="2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</row>
    <row r="3339">
      <c r="A3339" s="3"/>
      <c r="B3339" s="3"/>
      <c r="C3339" s="3"/>
      <c r="D3339" s="3"/>
      <c r="E3339" s="3"/>
      <c r="F3339" s="2"/>
      <c r="G3339" s="2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</row>
    <row r="3340">
      <c r="A3340" s="3"/>
      <c r="B3340" s="3"/>
      <c r="C3340" s="3"/>
      <c r="D3340" s="3"/>
      <c r="E3340" s="3"/>
      <c r="F3340" s="2"/>
      <c r="G3340" s="2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</row>
    <row r="3341">
      <c r="A3341" s="3"/>
      <c r="B3341" s="3"/>
      <c r="C3341" s="3"/>
      <c r="D3341" s="3"/>
      <c r="E3341" s="3"/>
      <c r="F3341" s="2"/>
      <c r="G3341" s="2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</row>
    <row r="3342">
      <c r="A3342" s="3"/>
      <c r="B3342" s="3"/>
      <c r="C3342" s="3"/>
      <c r="D3342" s="3"/>
      <c r="E3342" s="3"/>
      <c r="F3342" s="2"/>
      <c r="G3342" s="2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</row>
    <row r="3343">
      <c r="A3343" s="3"/>
      <c r="B3343" s="3"/>
      <c r="C3343" s="3"/>
      <c r="D3343" s="3"/>
      <c r="E3343" s="3"/>
      <c r="F3343" s="2"/>
      <c r="G3343" s="2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</row>
    <row r="3344">
      <c r="A3344" s="3"/>
      <c r="B3344" s="3"/>
      <c r="C3344" s="3"/>
      <c r="D3344" s="3"/>
      <c r="E3344" s="3"/>
      <c r="F3344" s="2"/>
      <c r="G3344" s="2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</row>
    <row r="3345">
      <c r="A3345" s="3"/>
      <c r="B3345" s="3"/>
      <c r="C3345" s="3"/>
      <c r="D3345" s="3"/>
      <c r="E3345" s="3"/>
      <c r="F3345" s="2"/>
      <c r="G3345" s="2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</row>
    <row r="3346">
      <c r="A3346" s="3"/>
      <c r="B3346" s="3"/>
      <c r="C3346" s="3"/>
      <c r="D3346" s="3"/>
      <c r="E3346" s="3"/>
      <c r="F3346" s="2"/>
      <c r="G3346" s="2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</row>
    <row r="3347">
      <c r="A3347" s="3"/>
      <c r="B3347" s="3"/>
      <c r="C3347" s="3"/>
      <c r="D3347" s="3"/>
      <c r="E3347" s="3"/>
      <c r="F3347" s="2"/>
      <c r="G3347" s="2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</row>
    <row r="3348">
      <c r="A3348" s="3"/>
      <c r="B3348" s="3"/>
      <c r="C3348" s="3"/>
      <c r="D3348" s="3"/>
      <c r="E3348" s="3"/>
      <c r="F3348" s="2"/>
      <c r="G3348" s="2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</row>
    <row r="3349">
      <c r="A3349" s="3"/>
      <c r="B3349" s="3"/>
      <c r="C3349" s="3"/>
      <c r="D3349" s="3"/>
      <c r="E3349" s="3"/>
      <c r="F3349" s="2"/>
      <c r="G3349" s="2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</row>
    <row r="3350">
      <c r="A3350" s="3"/>
      <c r="B3350" s="3"/>
      <c r="C3350" s="3"/>
      <c r="D3350" s="3"/>
      <c r="E3350" s="3"/>
      <c r="F3350" s="2"/>
      <c r="G3350" s="2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</row>
    <row r="3351">
      <c r="A3351" s="3"/>
      <c r="B3351" s="3"/>
      <c r="C3351" s="3"/>
      <c r="D3351" s="3"/>
      <c r="E3351" s="3"/>
      <c r="F3351" s="2"/>
      <c r="G3351" s="2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</row>
    <row r="3352">
      <c r="A3352" s="3"/>
      <c r="B3352" s="3"/>
      <c r="C3352" s="3"/>
      <c r="D3352" s="3"/>
      <c r="E3352" s="3"/>
      <c r="F3352" s="2"/>
      <c r="G3352" s="2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</row>
    <row r="3353">
      <c r="A3353" s="3"/>
      <c r="B3353" s="3"/>
      <c r="C3353" s="3"/>
      <c r="D3353" s="3"/>
      <c r="E3353" s="3"/>
      <c r="F3353" s="2"/>
      <c r="G3353" s="2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</row>
    <row r="3354">
      <c r="A3354" s="3"/>
      <c r="B3354" s="3"/>
      <c r="C3354" s="3"/>
      <c r="D3354" s="3"/>
      <c r="E3354" s="3"/>
      <c r="F3354" s="2"/>
      <c r="G3354" s="2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</row>
    <row r="3355">
      <c r="A3355" s="3"/>
      <c r="B3355" s="3"/>
      <c r="C3355" s="3"/>
      <c r="D3355" s="3"/>
      <c r="E3355" s="3"/>
      <c r="F3355" s="2"/>
      <c r="G3355" s="2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</row>
    <row r="3356">
      <c r="A3356" s="3"/>
      <c r="B3356" s="3"/>
      <c r="C3356" s="3"/>
      <c r="D3356" s="3"/>
      <c r="E3356" s="3"/>
      <c r="F3356" s="2"/>
      <c r="G3356" s="2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</row>
    <row r="3357">
      <c r="A3357" s="3"/>
      <c r="B3357" s="3"/>
      <c r="C3357" s="3"/>
      <c r="D3357" s="3"/>
      <c r="E3357" s="3"/>
      <c r="F3357" s="2"/>
      <c r="G3357" s="2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</row>
    <row r="3358">
      <c r="A3358" s="3"/>
      <c r="B3358" s="3"/>
      <c r="C3358" s="3"/>
      <c r="D3358" s="3"/>
      <c r="E3358" s="3"/>
      <c r="F3358" s="2"/>
      <c r="G3358" s="2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</row>
    <row r="3359">
      <c r="A3359" s="3"/>
      <c r="B3359" s="3"/>
      <c r="C3359" s="3"/>
      <c r="D3359" s="3"/>
      <c r="E3359" s="3"/>
      <c r="F3359" s="2"/>
      <c r="G3359" s="2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</row>
    <row r="3360">
      <c r="A3360" s="3"/>
      <c r="B3360" s="3"/>
      <c r="C3360" s="3"/>
      <c r="D3360" s="3"/>
      <c r="E3360" s="3"/>
      <c r="F3360" s="2"/>
      <c r="G3360" s="2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</row>
    <row r="3361">
      <c r="A3361" s="3"/>
      <c r="B3361" s="3"/>
      <c r="C3361" s="3"/>
      <c r="D3361" s="3"/>
      <c r="E3361" s="3"/>
      <c r="F3361" s="2"/>
      <c r="G3361" s="2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</row>
    <row r="3362">
      <c r="A3362" s="3"/>
      <c r="B3362" s="3"/>
      <c r="C3362" s="3"/>
      <c r="D3362" s="3"/>
      <c r="E3362" s="3"/>
      <c r="F3362" s="2"/>
      <c r="G3362" s="2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</row>
    <row r="3363">
      <c r="A3363" s="3"/>
      <c r="B3363" s="3"/>
      <c r="C3363" s="3"/>
      <c r="D3363" s="3"/>
      <c r="E3363" s="3"/>
      <c r="F3363" s="2"/>
      <c r="G3363" s="2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</row>
    <row r="3364">
      <c r="A3364" s="3"/>
      <c r="B3364" s="3"/>
      <c r="C3364" s="3"/>
      <c r="D3364" s="3"/>
      <c r="E3364" s="3"/>
      <c r="F3364" s="2"/>
      <c r="G3364" s="2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</row>
    <row r="3365">
      <c r="A3365" s="3"/>
      <c r="B3365" s="3"/>
      <c r="C3365" s="3"/>
      <c r="D3365" s="3"/>
      <c r="E3365" s="3"/>
      <c r="F3365" s="2"/>
      <c r="G3365" s="2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</row>
    <row r="3366">
      <c r="A3366" s="3"/>
      <c r="B3366" s="3"/>
      <c r="C3366" s="3"/>
      <c r="D3366" s="3"/>
      <c r="E3366" s="3"/>
      <c r="F3366" s="2"/>
      <c r="G3366" s="2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</row>
    <row r="3367">
      <c r="A3367" s="3"/>
      <c r="B3367" s="3"/>
      <c r="C3367" s="3"/>
      <c r="D3367" s="3"/>
      <c r="E3367" s="3"/>
      <c r="F3367" s="2"/>
      <c r="G3367" s="2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</row>
    <row r="3368">
      <c r="A3368" s="3"/>
      <c r="B3368" s="3"/>
      <c r="C3368" s="3"/>
      <c r="D3368" s="3"/>
      <c r="E3368" s="3"/>
      <c r="F3368" s="2"/>
      <c r="G3368" s="2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</row>
    <row r="3369">
      <c r="A3369" s="3"/>
      <c r="B3369" s="3"/>
      <c r="C3369" s="3"/>
      <c r="D3369" s="3"/>
      <c r="E3369" s="3"/>
      <c r="F3369" s="2"/>
      <c r="G3369" s="2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</row>
    <row r="3370">
      <c r="A3370" s="3"/>
      <c r="B3370" s="3"/>
      <c r="C3370" s="3"/>
      <c r="D3370" s="3"/>
      <c r="E3370" s="3"/>
      <c r="F3370" s="2"/>
      <c r="G3370" s="2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</row>
    <row r="3371">
      <c r="A3371" s="3"/>
      <c r="B3371" s="3"/>
      <c r="C3371" s="3"/>
      <c r="D3371" s="3"/>
      <c r="E3371" s="3"/>
      <c r="F3371" s="2"/>
      <c r="G3371" s="2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</row>
    <row r="3372">
      <c r="A3372" s="3"/>
      <c r="B3372" s="3"/>
      <c r="C3372" s="3"/>
      <c r="D3372" s="3"/>
      <c r="E3372" s="3"/>
      <c r="F3372" s="2"/>
      <c r="G3372" s="2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</row>
    <row r="3373">
      <c r="A3373" s="3"/>
      <c r="B3373" s="3"/>
      <c r="C3373" s="3"/>
      <c r="D3373" s="3"/>
      <c r="E3373" s="3"/>
      <c r="F3373" s="2"/>
      <c r="G3373" s="2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</row>
    <row r="3374">
      <c r="A3374" s="3"/>
      <c r="B3374" s="3"/>
      <c r="C3374" s="3"/>
      <c r="D3374" s="3"/>
      <c r="E3374" s="3"/>
      <c r="F3374" s="2"/>
      <c r="G3374" s="2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</row>
    <row r="3375">
      <c r="A3375" s="3"/>
      <c r="B3375" s="3"/>
      <c r="C3375" s="3"/>
      <c r="D3375" s="3"/>
      <c r="E3375" s="3"/>
      <c r="F3375" s="2"/>
      <c r="G3375" s="2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</row>
    <row r="3376">
      <c r="A3376" s="3"/>
      <c r="B3376" s="3"/>
      <c r="C3376" s="3"/>
      <c r="D3376" s="3"/>
      <c r="E3376" s="3"/>
      <c r="F3376" s="2"/>
      <c r="G3376" s="2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</row>
    <row r="3377">
      <c r="A3377" s="3"/>
      <c r="B3377" s="3"/>
      <c r="C3377" s="3"/>
      <c r="D3377" s="3"/>
      <c r="E3377" s="3"/>
      <c r="F3377" s="2"/>
      <c r="G3377" s="2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</row>
    <row r="3378">
      <c r="A3378" s="3"/>
      <c r="B3378" s="3"/>
      <c r="C3378" s="3"/>
      <c r="D3378" s="3"/>
      <c r="E3378" s="3"/>
      <c r="F3378" s="2"/>
      <c r="G3378" s="2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</row>
    <row r="3379">
      <c r="A3379" s="3"/>
      <c r="B3379" s="3"/>
      <c r="C3379" s="3"/>
      <c r="D3379" s="3"/>
      <c r="E3379" s="3"/>
      <c r="F3379" s="2"/>
      <c r="G3379" s="2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</row>
    <row r="3380">
      <c r="A3380" s="3"/>
      <c r="B3380" s="3"/>
      <c r="C3380" s="3"/>
      <c r="D3380" s="3"/>
      <c r="E3380" s="3"/>
      <c r="F3380" s="2"/>
      <c r="G3380" s="2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</row>
    <row r="3381">
      <c r="A3381" s="3"/>
      <c r="B3381" s="3"/>
      <c r="C3381" s="3"/>
      <c r="D3381" s="3"/>
      <c r="E3381" s="3"/>
      <c r="F3381" s="2"/>
      <c r="G3381" s="2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</row>
    <row r="3382">
      <c r="A3382" s="3"/>
      <c r="B3382" s="3"/>
      <c r="C3382" s="3"/>
      <c r="D3382" s="3"/>
      <c r="E3382" s="3"/>
      <c r="F3382" s="2"/>
      <c r="G3382" s="2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</row>
    <row r="3383">
      <c r="A3383" s="3"/>
      <c r="B3383" s="3"/>
      <c r="C3383" s="3"/>
      <c r="D3383" s="3"/>
      <c r="E3383" s="3"/>
      <c r="F3383" s="2"/>
      <c r="G3383" s="2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</row>
    <row r="3384">
      <c r="A3384" s="3"/>
      <c r="B3384" s="3"/>
      <c r="C3384" s="3"/>
      <c r="D3384" s="3"/>
      <c r="E3384" s="3"/>
      <c r="F3384" s="2"/>
      <c r="G3384" s="2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</row>
    <row r="3385">
      <c r="A3385" s="3"/>
      <c r="B3385" s="3"/>
      <c r="C3385" s="3"/>
      <c r="D3385" s="3"/>
      <c r="E3385" s="3"/>
      <c r="F3385" s="2"/>
      <c r="G3385" s="2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</row>
    <row r="3386">
      <c r="A3386" s="3"/>
      <c r="B3386" s="3"/>
      <c r="C3386" s="3"/>
      <c r="D3386" s="3"/>
      <c r="E3386" s="3"/>
      <c r="F3386" s="2"/>
      <c r="G3386" s="2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</row>
    <row r="3387">
      <c r="A3387" s="3"/>
      <c r="B3387" s="3"/>
      <c r="C3387" s="3"/>
      <c r="D3387" s="3"/>
      <c r="E3387" s="3"/>
      <c r="F3387" s="2"/>
      <c r="G3387" s="2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</row>
    <row r="3388">
      <c r="A3388" s="3"/>
      <c r="B3388" s="3"/>
      <c r="C3388" s="3"/>
      <c r="D3388" s="3"/>
      <c r="E3388" s="3"/>
      <c r="F3388" s="2"/>
      <c r="G3388" s="2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</row>
    <row r="3389">
      <c r="A3389" s="3"/>
      <c r="B3389" s="3"/>
      <c r="C3389" s="3"/>
      <c r="D3389" s="3"/>
      <c r="E3389" s="3"/>
      <c r="F3389" s="2"/>
      <c r="G3389" s="2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</row>
    <row r="3390">
      <c r="A3390" s="3"/>
      <c r="B3390" s="3"/>
      <c r="C3390" s="3"/>
      <c r="D3390" s="3"/>
      <c r="E3390" s="3"/>
      <c r="F3390" s="2"/>
      <c r="G3390" s="2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</row>
    <row r="3391">
      <c r="A3391" s="3"/>
      <c r="B3391" s="3"/>
      <c r="C3391" s="3"/>
      <c r="D3391" s="3"/>
      <c r="E3391" s="3"/>
      <c r="F3391" s="2"/>
      <c r="G3391" s="2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</row>
    <row r="3392">
      <c r="A3392" s="3"/>
      <c r="B3392" s="3"/>
      <c r="C3392" s="3"/>
      <c r="D3392" s="3"/>
      <c r="E3392" s="3"/>
      <c r="F3392" s="2"/>
      <c r="G3392" s="2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</row>
    <row r="3393">
      <c r="A3393" s="3"/>
      <c r="B3393" s="3"/>
      <c r="C3393" s="3"/>
      <c r="D3393" s="3"/>
      <c r="E3393" s="3"/>
      <c r="F3393" s="2"/>
      <c r="G3393" s="2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</row>
    <row r="3394">
      <c r="A3394" s="3"/>
      <c r="B3394" s="3"/>
      <c r="C3394" s="3"/>
      <c r="D3394" s="3"/>
      <c r="E3394" s="3"/>
      <c r="F3394" s="2"/>
      <c r="G3394" s="2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</row>
    <row r="3395">
      <c r="A3395" s="3"/>
      <c r="B3395" s="3"/>
      <c r="C3395" s="3"/>
      <c r="D3395" s="3"/>
      <c r="E3395" s="3"/>
      <c r="F3395" s="2"/>
      <c r="G3395" s="2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</row>
    <row r="3396">
      <c r="A3396" s="3"/>
      <c r="B3396" s="3"/>
      <c r="C3396" s="3"/>
      <c r="D3396" s="3"/>
      <c r="E3396" s="3"/>
      <c r="F3396" s="2"/>
      <c r="G3396" s="2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</row>
    <row r="3397">
      <c r="A3397" s="3"/>
      <c r="B3397" s="3"/>
      <c r="C3397" s="3"/>
      <c r="D3397" s="3"/>
      <c r="E3397" s="3"/>
      <c r="F3397" s="2"/>
      <c r="G3397" s="2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</row>
    <row r="3398">
      <c r="A3398" s="3"/>
      <c r="B3398" s="3"/>
      <c r="C3398" s="3"/>
      <c r="D3398" s="3"/>
      <c r="E3398" s="3"/>
      <c r="F3398" s="2"/>
      <c r="G3398" s="2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</row>
    <row r="3399">
      <c r="A3399" s="3"/>
      <c r="B3399" s="3"/>
      <c r="C3399" s="3"/>
      <c r="D3399" s="3"/>
      <c r="E3399" s="3"/>
      <c r="F3399" s="2"/>
      <c r="G3399" s="2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</row>
    <row r="3400">
      <c r="A3400" s="3"/>
      <c r="B3400" s="3"/>
      <c r="C3400" s="3"/>
      <c r="D3400" s="3"/>
      <c r="E3400" s="3"/>
      <c r="F3400" s="2"/>
      <c r="G3400" s="2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</row>
    <row r="3401">
      <c r="A3401" s="3"/>
      <c r="B3401" s="3"/>
      <c r="C3401" s="3"/>
      <c r="D3401" s="3"/>
      <c r="E3401" s="3"/>
      <c r="F3401" s="2"/>
      <c r="G3401" s="2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</row>
    <row r="3402">
      <c r="A3402" s="3"/>
      <c r="B3402" s="3"/>
      <c r="C3402" s="3"/>
      <c r="D3402" s="3"/>
      <c r="E3402" s="3"/>
      <c r="F3402" s="2"/>
      <c r="G3402" s="2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</row>
    <row r="3403">
      <c r="A3403" s="3"/>
      <c r="B3403" s="3"/>
      <c r="C3403" s="3"/>
      <c r="D3403" s="3"/>
      <c r="E3403" s="3"/>
      <c r="F3403" s="2"/>
      <c r="G3403" s="2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</row>
    <row r="3404">
      <c r="A3404" s="3"/>
      <c r="B3404" s="3"/>
      <c r="C3404" s="3"/>
      <c r="D3404" s="3"/>
      <c r="E3404" s="3"/>
      <c r="F3404" s="2"/>
      <c r="G3404" s="2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</row>
    <row r="3405">
      <c r="A3405" s="3"/>
      <c r="B3405" s="3"/>
      <c r="C3405" s="3"/>
      <c r="D3405" s="3"/>
      <c r="E3405" s="3"/>
      <c r="F3405" s="2"/>
      <c r="G3405" s="2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</row>
    <row r="3406">
      <c r="A3406" s="3"/>
      <c r="B3406" s="3"/>
      <c r="C3406" s="3"/>
      <c r="D3406" s="3"/>
      <c r="E3406" s="3"/>
      <c r="F3406" s="2"/>
      <c r="G3406" s="2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</row>
    <row r="3407">
      <c r="A3407" s="3"/>
      <c r="B3407" s="3"/>
      <c r="C3407" s="3"/>
      <c r="D3407" s="3"/>
      <c r="E3407" s="3"/>
      <c r="F3407" s="2"/>
      <c r="G3407" s="2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</row>
    <row r="3408">
      <c r="A3408" s="3"/>
      <c r="B3408" s="3"/>
      <c r="C3408" s="3"/>
      <c r="D3408" s="3"/>
      <c r="E3408" s="3"/>
      <c r="F3408" s="2"/>
      <c r="G3408" s="2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</row>
    <row r="3409">
      <c r="A3409" s="3"/>
      <c r="B3409" s="3"/>
      <c r="C3409" s="3"/>
      <c r="D3409" s="3"/>
      <c r="E3409" s="3"/>
      <c r="F3409" s="2"/>
      <c r="G3409" s="2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</row>
    <row r="3410">
      <c r="A3410" s="3"/>
      <c r="B3410" s="3"/>
      <c r="C3410" s="3"/>
      <c r="D3410" s="3"/>
      <c r="E3410" s="3"/>
      <c r="F3410" s="2"/>
      <c r="G3410" s="2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</row>
    <row r="3411">
      <c r="A3411" s="3"/>
      <c r="B3411" s="3"/>
      <c r="C3411" s="3"/>
      <c r="D3411" s="3"/>
      <c r="E3411" s="3"/>
      <c r="F3411" s="2"/>
      <c r="G3411" s="2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</row>
    <row r="3412">
      <c r="A3412" s="3"/>
      <c r="B3412" s="3"/>
      <c r="C3412" s="3"/>
      <c r="D3412" s="3"/>
      <c r="E3412" s="3"/>
      <c r="F3412" s="2"/>
      <c r="G3412" s="2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</row>
    <row r="3413">
      <c r="A3413" s="3"/>
      <c r="B3413" s="3"/>
      <c r="C3413" s="3"/>
      <c r="D3413" s="3"/>
      <c r="E3413" s="3"/>
      <c r="F3413" s="2"/>
      <c r="G3413" s="2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</row>
    <row r="3414">
      <c r="A3414" s="3"/>
      <c r="B3414" s="3"/>
      <c r="C3414" s="3"/>
      <c r="D3414" s="3"/>
      <c r="E3414" s="3"/>
      <c r="F3414" s="2"/>
      <c r="G3414" s="2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</row>
    <row r="3415">
      <c r="A3415" s="3"/>
      <c r="B3415" s="3"/>
      <c r="C3415" s="3"/>
      <c r="D3415" s="3"/>
      <c r="E3415" s="3"/>
      <c r="F3415" s="2"/>
      <c r="G3415" s="2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</row>
    <row r="3416">
      <c r="A3416" s="3"/>
      <c r="B3416" s="3"/>
      <c r="C3416" s="3"/>
      <c r="D3416" s="3"/>
      <c r="E3416" s="3"/>
      <c r="F3416" s="2"/>
      <c r="G3416" s="2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</row>
    <row r="3417">
      <c r="A3417" s="3"/>
      <c r="B3417" s="3"/>
      <c r="C3417" s="3"/>
      <c r="D3417" s="3"/>
      <c r="E3417" s="3"/>
      <c r="F3417" s="2"/>
      <c r="G3417" s="2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</row>
    <row r="3418">
      <c r="A3418" s="3"/>
      <c r="B3418" s="3"/>
      <c r="C3418" s="3"/>
      <c r="D3418" s="3"/>
      <c r="E3418" s="3"/>
      <c r="F3418" s="2"/>
      <c r="G3418" s="2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</row>
    <row r="3419">
      <c r="A3419" s="3"/>
      <c r="B3419" s="3"/>
      <c r="C3419" s="3"/>
      <c r="D3419" s="3"/>
      <c r="E3419" s="3"/>
      <c r="F3419" s="2"/>
      <c r="G3419" s="2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</row>
    <row r="3420">
      <c r="A3420" s="3"/>
      <c r="B3420" s="3"/>
      <c r="C3420" s="3"/>
      <c r="D3420" s="3"/>
      <c r="E3420" s="3"/>
      <c r="F3420" s="2"/>
      <c r="G3420" s="2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</row>
    <row r="3421">
      <c r="A3421" s="3"/>
      <c r="B3421" s="3"/>
      <c r="C3421" s="3"/>
      <c r="D3421" s="3"/>
      <c r="E3421" s="3"/>
      <c r="F3421" s="2"/>
      <c r="G3421" s="2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</row>
    <row r="3422">
      <c r="A3422" s="3"/>
      <c r="B3422" s="3"/>
      <c r="C3422" s="3"/>
      <c r="D3422" s="3"/>
      <c r="E3422" s="3"/>
      <c r="F3422" s="2"/>
      <c r="G3422" s="2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</row>
    <row r="3423">
      <c r="A3423" s="3"/>
      <c r="B3423" s="3"/>
      <c r="C3423" s="3"/>
      <c r="D3423" s="3"/>
      <c r="E3423" s="3"/>
      <c r="F3423" s="2"/>
      <c r="G3423" s="2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</row>
    <row r="3424">
      <c r="A3424" s="3"/>
      <c r="B3424" s="3"/>
      <c r="C3424" s="3"/>
      <c r="D3424" s="3"/>
      <c r="E3424" s="3"/>
      <c r="F3424" s="2"/>
      <c r="G3424" s="2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</row>
    <row r="3425">
      <c r="A3425" s="3"/>
      <c r="B3425" s="3"/>
      <c r="C3425" s="3"/>
      <c r="D3425" s="3"/>
      <c r="E3425" s="3"/>
      <c r="F3425" s="2"/>
      <c r="G3425" s="2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</row>
    <row r="3426">
      <c r="A3426" s="3"/>
      <c r="B3426" s="3"/>
      <c r="C3426" s="3"/>
      <c r="D3426" s="3"/>
      <c r="E3426" s="3"/>
      <c r="F3426" s="2"/>
      <c r="G3426" s="2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</row>
    <row r="3427">
      <c r="A3427" s="3"/>
      <c r="B3427" s="3"/>
      <c r="C3427" s="3"/>
      <c r="D3427" s="3"/>
      <c r="E3427" s="3"/>
      <c r="F3427" s="2"/>
      <c r="G3427" s="2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</row>
    <row r="3428">
      <c r="A3428" s="3"/>
      <c r="B3428" s="3"/>
      <c r="C3428" s="3"/>
      <c r="D3428" s="3"/>
      <c r="E3428" s="3"/>
      <c r="F3428" s="2"/>
      <c r="G3428" s="2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</row>
    <row r="3429">
      <c r="A3429" s="3"/>
      <c r="B3429" s="3"/>
      <c r="C3429" s="3"/>
      <c r="D3429" s="3"/>
      <c r="E3429" s="3"/>
      <c r="F3429" s="2"/>
      <c r="G3429" s="2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</row>
    <row r="3430">
      <c r="A3430" s="3"/>
      <c r="B3430" s="3"/>
      <c r="C3430" s="3"/>
      <c r="D3430" s="3"/>
      <c r="E3430" s="3"/>
      <c r="F3430" s="2"/>
      <c r="G3430" s="2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</row>
    <row r="3431">
      <c r="A3431" s="3"/>
      <c r="B3431" s="3"/>
      <c r="C3431" s="3"/>
      <c r="D3431" s="3"/>
      <c r="E3431" s="3"/>
      <c r="F3431" s="2"/>
      <c r="G3431" s="2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</row>
    <row r="3432">
      <c r="A3432" s="3"/>
      <c r="B3432" s="3"/>
      <c r="C3432" s="3"/>
      <c r="D3432" s="3"/>
      <c r="E3432" s="3"/>
      <c r="F3432" s="2"/>
      <c r="G3432" s="2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</row>
    <row r="3433">
      <c r="A3433" s="3"/>
      <c r="B3433" s="3"/>
      <c r="C3433" s="3"/>
      <c r="D3433" s="3"/>
      <c r="E3433" s="3"/>
      <c r="F3433" s="2"/>
      <c r="G3433" s="2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</row>
    <row r="3434">
      <c r="A3434" s="3"/>
      <c r="B3434" s="3"/>
      <c r="C3434" s="3"/>
      <c r="D3434" s="3"/>
      <c r="E3434" s="3"/>
      <c r="F3434" s="2"/>
      <c r="G3434" s="2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</row>
    <row r="3435">
      <c r="A3435" s="3"/>
      <c r="B3435" s="3"/>
      <c r="C3435" s="3"/>
      <c r="D3435" s="3"/>
      <c r="E3435" s="3"/>
      <c r="F3435" s="2"/>
      <c r="G3435" s="2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</row>
    <row r="3436">
      <c r="A3436" s="3"/>
      <c r="B3436" s="3"/>
      <c r="C3436" s="3"/>
      <c r="D3436" s="3"/>
      <c r="E3436" s="3"/>
      <c r="F3436" s="2"/>
      <c r="G3436" s="2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</row>
    <row r="3437">
      <c r="A3437" s="3"/>
      <c r="B3437" s="3"/>
      <c r="C3437" s="3"/>
      <c r="D3437" s="3"/>
      <c r="E3437" s="3"/>
      <c r="F3437" s="2"/>
      <c r="G3437" s="2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</row>
    <row r="3438">
      <c r="A3438" s="3"/>
      <c r="B3438" s="3"/>
      <c r="C3438" s="3"/>
      <c r="D3438" s="3"/>
      <c r="E3438" s="3"/>
      <c r="F3438" s="2"/>
      <c r="G3438" s="2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</row>
    <row r="3439">
      <c r="A3439" s="3"/>
      <c r="B3439" s="3"/>
      <c r="C3439" s="3"/>
      <c r="D3439" s="3"/>
      <c r="E3439" s="3"/>
      <c r="F3439" s="2"/>
      <c r="G3439" s="2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</row>
    <row r="3440">
      <c r="A3440" s="3"/>
      <c r="B3440" s="3"/>
      <c r="C3440" s="3"/>
      <c r="D3440" s="3"/>
      <c r="E3440" s="3"/>
      <c r="F3440" s="2"/>
      <c r="G3440" s="2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</row>
    <row r="3441">
      <c r="A3441" s="3"/>
      <c r="B3441" s="3"/>
      <c r="C3441" s="3"/>
      <c r="D3441" s="3"/>
      <c r="E3441" s="3"/>
      <c r="F3441" s="2"/>
      <c r="G3441" s="2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</row>
    <row r="3442">
      <c r="A3442" s="3"/>
      <c r="B3442" s="3"/>
      <c r="C3442" s="3"/>
      <c r="D3442" s="3"/>
      <c r="E3442" s="3"/>
      <c r="F3442" s="2"/>
      <c r="G3442" s="2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</row>
    <row r="3443">
      <c r="A3443" s="3"/>
      <c r="B3443" s="3"/>
      <c r="C3443" s="3"/>
      <c r="D3443" s="3"/>
      <c r="E3443" s="3"/>
      <c r="F3443" s="2"/>
      <c r="G3443" s="2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</row>
    <row r="3444">
      <c r="A3444" s="3"/>
      <c r="B3444" s="3"/>
      <c r="C3444" s="3"/>
      <c r="D3444" s="3"/>
      <c r="E3444" s="3"/>
      <c r="F3444" s="2"/>
      <c r="G3444" s="2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</row>
    <row r="3445">
      <c r="A3445" s="3"/>
      <c r="B3445" s="3"/>
      <c r="C3445" s="3"/>
      <c r="D3445" s="3"/>
      <c r="E3445" s="3"/>
      <c r="F3445" s="2"/>
      <c r="G3445" s="2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</row>
    <row r="3446">
      <c r="A3446" s="3"/>
      <c r="B3446" s="3"/>
      <c r="C3446" s="3"/>
      <c r="D3446" s="3"/>
      <c r="E3446" s="3"/>
      <c r="F3446" s="2"/>
      <c r="G3446" s="2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</row>
    <row r="3447">
      <c r="A3447" s="3"/>
      <c r="B3447" s="3"/>
      <c r="C3447" s="3"/>
      <c r="D3447" s="3"/>
      <c r="E3447" s="3"/>
      <c r="F3447" s="2"/>
      <c r="G3447" s="2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</row>
    <row r="3448">
      <c r="A3448" s="3"/>
      <c r="B3448" s="3"/>
      <c r="C3448" s="3"/>
      <c r="D3448" s="3"/>
      <c r="E3448" s="3"/>
      <c r="F3448" s="2"/>
      <c r="G3448" s="2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</row>
    <row r="3449">
      <c r="A3449" s="3"/>
      <c r="B3449" s="3"/>
      <c r="C3449" s="3"/>
      <c r="D3449" s="3"/>
      <c r="E3449" s="3"/>
      <c r="F3449" s="2"/>
      <c r="G3449" s="2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</row>
    <row r="3450">
      <c r="A3450" s="3"/>
      <c r="B3450" s="3"/>
      <c r="C3450" s="3"/>
      <c r="D3450" s="3"/>
      <c r="E3450" s="3"/>
      <c r="F3450" s="2"/>
      <c r="G3450" s="2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</row>
    <row r="3451">
      <c r="A3451" s="3"/>
      <c r="B3451" s="3"/>
      <c r="C3451" s="3"/>
      <c r="D3451" s="3"/>
      <c r="E3451" s="3"/>
      <c r="F3451" s="2"/>
      <c r="G3451" s="2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</row>
    <row r="3452">
      <c r="A3452" s="3"/>
      <c r="B3452" s="3"/>
      <c r="C3452" s="3"/>
      <c r="D3452" s="3"/>
      <c r="E3452" s="3"/>
      <c r="F3452" s="2"/>
      <c r="G3452" s="2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</row>
    <row r="3453">
      <c r="A3453" s="3"/>
      <c r="B3453" s="3"/>
      <c r="C3453" s="3"/>
      <c r="D3453" s="3"/>
      <c r="E3453" s="3"/>
      <c r="F3453" s="2"/>
      <c r="G3453" s="2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</row>
    <row r="3454">
      <c r="A3454" s="3"/>
      <c r="B3454" s="3"/>
      <c r="C3454" s="3"/>
      <c r="D3454" s="3"/>
      <c r="E3454" s="3"/>
      <c r="F3454" s="2"/>
      <c r="G3454" s="2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</row>
    <row r="3455">
      <c r="A3455" s="3"/>
      <c r="B3455" s="3"/>
      <c r="C3455" s="3"/>
      <c r="D3455" s="3"/>
      <c r="E3455" s="3"/>
      <c r="F3455" s="2"/>
      <c r="G3455" s="2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</row>
    <row r="3456">
      <c r="A3456" s="3"/>
      <c r="B3456" s="3"/>
      <c r="C3456" s="3"/>
      <c r="D3456" s="3"/>
      <c r="E3456" s="3"/>
      <c r="F3456" s="2"/>
      <c r="G3456" s="2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</row>
    <row r="3457">
      <c r="A3457" s="3"/>
      <c r="B3457" s="3"/>
      <c r="C3457" s="3"/>
      <c r="D3457" s="3"/>
      <c r="E3457" s="3"/>
      <c r="F3457" s="2"/>
      <c r="G3457" s="2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</row>
    <row r="3458">
      <c r="A3458" s="3"/>
      <c r="B3458" s="3"/>
      <c r="C3458" s="3"/>
      <c r="D3458" s="3"/>
      <c r="E3458" s="3"/>
      <c r="F3458" s="2"/>
      <c r="G3458" s="2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</row>
    <row r="3459">
      <c r="A3459" s="3"/>
      <c r="B3459" s="3"/>
      <c r="C3459" s="3"/>
      <c r="D3459" s="3"/>
      <c r="E3459" s="3"/>
      <c r="F3459" s="2"/>
      <c r="G3459" s="2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</row>
    <row r="3460">
      <c r="A3460" s="3"/>
      <c r="B3460" s="3"/>
      <c r="C3460" s="3"/>
      <c r="D3460" s="3"/>
      <c r="E3460" s="3"/>
      <c r="F3460" s="2"/>
      <c r="G3460" s="2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</row>
    <row r="3461">
      <c r="A3461" s="3"/>
      <c r="B3461" s="3"/>
      <c r="C3461" s="3"/>
      <c r="D3461" s="3"/>
      <c r="E3461" s="3"/>
      <c r="F3461" s="2"/>
      <c r="G3461" s="2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</row>
    <row r="3462">
      <c r="A3462" s="3"/>
      <c r="B3462" s="3"/>
      <c r="C3462" s="3"/>
      <c r="D3462" s="3"/>
      <c r="E3462" s="3"/>
      <c r="F3462" s="2"/>
      <c r="G3462" s="2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</row>
    <row r="3463">
      <c r="A3463" s="3"/>
      <c r="B3463" s="3"/>
      <c r="C3463" s="3"/>
      <c r="D3463" s="3"/>
      <c r="E3463" s="3"/>
      <c r="F3463" s="2"/>
      <c r="G3463" s="2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</row>
    <row r="3464">
      <c r="A3464" s="3"/>
      <c r="B3464" s="3"/>
      <c r="C3464" s="3"/>
      <c r="D3464" s="3"/>
      <c r="E3464" s="3"/>
      <c r="F3464" s="2"/>
      <c r="G3464" s="2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</row>
    <row r="3465">
      <c r="A3465" s="3"/>
      <c r="B3465" s="3"/>
      <c r="C3465" s="3"/>
      <c r="D3465" s="3"/>
      <c r="E3465" s="3"/>
      <c r="F3465" s="2"/>
      <c r="G3465" s="2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</row>
    <row r="3466">
      <c r="A3466" s="3"/>
      <c r="B3466" s="3"/>
      <c r="C3466" s="3"/>
      <c r="D3466" s="3"/>
      <c r="E3466" s="3"/>
      <c r="F3466" s="2"/>
      <c r="G3466" s="2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</row>
    <row r="3467">
      <c r="A3467" s="3"/>
      <c r="B3467" s="3"/>
      <c r="C3467" s="3"/>
      <c r="D3467" s="3"/>
      <c r="E3467" s="3"/>
      <c r="F3467" s="2"/>
      <c r="G3467" s="2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</row>
    <row r="3468">
      <c r="A3468" s="3"/>
      <c r="B3468" s="3"/>
      <c r="C3468" s="3"/>
      <c r="D3468" s="3"/>
      <c r="E3468" s="3"/>
      <c r="F3468" s="2"/>
      <c r="G3468" s="2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</row>
    <row r="3469">
      <c r="A3469" s="3"/>
      <c r="B3469" s="3"/>
      <c r="C3469" s="3"/>
      <c r="D3469" s="3"/>
      <c r="E3469" s="3"/>
      <c r="F3469" s="2"/>
      <c r="G3469" s="2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</row>
    <row r="3470">
      <c r="A3470" s="3"/>
      <c r="B3470" s="3"/>
      <c r="C3470" s="3"/>
      <c r="D3470" s="3"/>
      <c r="E3470" s="3"/>
      <c r="F3470" s="2"/>
      <c r="G3470" s="2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</row>
    <row r="3471">
      <c r="A3471" s="3"/>
      <c r="B3471" s="3"/>
      <c r="C3471" s="3"/>
      <c r="D3471" s="3"/>
      <c r="E3471" s="3"/>
      <c r="F3471" s="2"/>
      <c r="G3471" s="2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</row>
    <row r="3472">
      <c r="A3472" s="3"/>
      <c r="B3472" s="3"/>
      <c r="C3472" s="3"/>
      <c r="D3472" s="3"/>
      <c r="E3472" s="3"/>
      <c r="F3472" s="2"/>
      <c r="G3472" s="2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</row>
    <row r="3473">
      <c r="A3473" s="3"/>
      <c r="B3473" s="3"/>
      <c r="C3473" s="3"/>
      <c r="D3473" s="3"/>
      <c r="E3473" s="3"/>
      <c r="F3473" s="2"/>
      <c r="G3473" s="2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</row>
    <row r="3474">
      <c r="A3474" s="3"/>
      <c r="B3474" s="3"/>
      <c r="C3474" s="3"/>
      <c r="D3474" s="3"/>
      <c r="E3474" s="3"/>
      <c r="F3474" s="2"/>
      <c r="G3474" s="2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</row>
    <row r="3475">
      <c r="A3475" s="3"/>
      <c r="B3475" s="3"/>
      <c r="C3475" s="3"/>
      <c r="D3475" s="3"/>
      <c r="E3475" s="3"/>
      <c r="F3475" s="2"/>
      <c r="G3475" s="2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</row>
    <row r="3476">
      <c r="A3476" s="3"/>
      <c r="B3476" s="3"/>
      <c r="C3476" s="3"/>
      <c r="D3476" s="3"/>
      <c r="E3476" s="3"/>
      <c r="F3476" s="2"/>
      <c r="G3476" s="2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</row>
    <row r="3477">
      <c r="A3477" s="3"/>
      <c r="B3477" s="3"/>
      <c r="C3477" s="3"/>
      <c r="D3477" s="3"/>
      <c r="E3477" s="3"/>
      <c r="F3477" s="2"/>
      <c r="G3477" s="2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</row>
    <row r="3478">
      <c r="A3478" s="3"/>
      <c r="B3478" s="3"/>
      <c r="C3478" s="3"/>
      <c r="D3478" s="3"/>
      <c r="E3478" s="3"/>
      <c r="F3478" s="2"/>
      <c r="G3478" s="2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</row>
    <row r="3479">
      <c r="A3479" s="3"/>
      <c r="B3479" s="3"/>
      <c r="C3479" s="3"/>
      <c r="D3479" s="3"/>
      <c r="E3479" s="3"/>
      <c r="F3479" s="2"/>
      <c r="G3479" s="2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</row>
    <row r="3480">
      <c r="A3480" s="3"/>
      <c r="B3480" s="3"/>
      <c r="C3480" s="3"/>
      <c r="D3480" s="3"/>
      <c r="E3480" s="3"/>
      <c r="F3480" s="2"/>
      <c r="G3480" s="2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</row>
    <row r="3481">
      <c r="A3481" s="3"/>
      <c r="B3481" s="3"/>
      <c r="C3481" s="3"/>
      <c r="D3481" s="3"/>
      <c r="E3481" s="3"/>
      <c r="F3481" s="2"/>
      <c r="G3481" s="2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</row>
    <row r="3482">
      <c r="A3482" s="3"/>
      <c r="B3482" s="3"/>
      <c r="C3482" s="3"/>
      <c r="D3482" s="3"/>
      <c r="E3482" s="3"/>
      <c r="F3482" s="2"/>
      <c r="G3482" s="2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</row>
    <row r="3483">
      <c r="A3483" s="3"/>
      <c r="B3483" s="3"/>
      <c r="C3483" s="3"/>
      <c r="D3483" s="3"/>
      <c r="E3483" s="3"/>
      <c r="F3483" s="2"/>
      <c r="G3483" s="2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</row>
    <row r="3484">
      <c r="A3484" s="3"/>
      <c r="B3484" s="3"/>
      <c r="C3484" s="3"/>
      <c r="D3484" s="3"/>
      <c r="E3484" s="3"/>
      <c r="F3484" s="2"/>
      <c r="G3484" s="2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</row>
    <row r="3485">
      <c r="A3485" s="3"/>
      <c r="B3485" s="3"/>
      <c r="C3485" s="3"/>
      <c r="D3485" s="3"/>
      <c r="E3485" s="3"/>
      <c r="F3485" s="2"/>
      <c r="G3485" s="2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</row>
    <row r="3486">
      <c r="A3486" s="3"/>
      <c r="B3486" s="3"/>
      <c r="C3486" s="3"/>
      <c r="D3486" s="3"/>
      <c r="E3486" s="3"/>
      <c r="F3486" s="2"/>
      <c r="G3486" s="2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</row>
    <row r="3487">
      <c r="A3487" s="3"/>
      <c r="B3487" s="3"/>
      <c r="C3487" s="3"/>
      <c r="D3487" s="3"/>
      <c r="E3487" s="3"/>
      <c r="F3487" s="2"/>
      <c r="G3487" s="2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</row>
    <row r="3488">
      <c r="A3488" s="3"/>
      <c r="B3488" s="3"/>
      <c r="C3488" s="3"/>
      <c r="D3488" s="3"/>
      <c r="E3488" s="3"/>
      <c r="F3488" s="2"/>
      <c r="G3488" s="2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</row>
    <row r="3489">
      <c r="A3489" s="3"/>
      <c r="B3489" s="3"/>
      <c r="C3489" s="3"/>
      <c r="D3489" s="3"/>
      <c r="E3489" s="3"/>
      <c r="F3489" s="2"/>
      <c r="G3489" s="2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</row>
    <row r="3490">
      <c r="A3490" s="3"/>
      <c r="B3490" s="3"/>
      <c r="C3490" s="3"/>
      <c r="D3490" s="3"/>
      <c r="E3490" s="3"/>
      <c r="F3490" s="2"/>
      <c r="G3490" s="2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</row>
    <row r="3491">
      <c r="A3491" s="3"/>
      <c r="B3491" s="3"/>
      <c r="C3491" s="3"/>
      <c r="D3491" s="3"/>
      <c r="E3491" s="3"/>
      <c r="F3491" s="2"/>
      <c r="G3491" s="2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</row>
    <row r="3492">
      <c r="A3492" s="3"/>
      <c r="B3492" s="3"/>
      <c r="C3492" s="3"/>
      <c r="D3492" s="3"/>
      <c r="E3492" s="3"/>
      <c r="F3492" s="2"/>
      <c r="G3492" s="2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</row>
    <row r="3493">
      <c r="A3493" s="3"/>
      <c r="B3493" s="3"/>
      <c r="C3493" s="3"/>
      <c r="D3493" s="3"/>
      <c r="E3493" s="3"/>
      <c r="F3493" s="2"/>
      <c r="G3493" s="2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</row>
    <row r="3494">
      <c r="A3494" s="3"/>
      <c r="B3494" s="3"/>
      <c r="C3494" s="3"/>
      <c r="D3494" s="3"/>
      <c r="E3494" s="3"/>
      <c r="F3494" s="2"/>
      <c r="G3494" s="2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</row>
    <row r="3495">
      <c r="A3495" s="3"/>
      <c r="B3495" s="3"/>
      <c r="C3495" s="3"/>
      <c r="D3495" s="3"/>
      <c r="E3495" s="3"/>
      <c r="F3495" s="2"/>
      <c r="G3495" s="2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</row>
    <row r="3496">
      <c r="A3496" s="3"/>
      <c r="B3496" s="3"/>
      <c r="C3496" s="3"/>
      <c r="D3496" s="3"/>
      <c r="E3496" s="3"/>
      <c r="F3496" s="2"/>
      <c r="G3496" s="2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</row>
    <row r="3497">
      <c r="A3497" s="3"/>
      <c r="B3497" s="3"/>
      <c r="C3497" s="3"/>
      <c r="D3497" s="3"/>
      <c r="E3497" s="3"/>
      <c r="F3497" s="2"/>
      <c r="G3497" s="2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</row>
    <row r="3498">
      <c r="A3498" s="3"/>
      <c r="B3498" s="3"/>
      <c r="C3498" s="3"/>
      <c r="D3498" s="3"/>
      <c r="E3498" s="3"/>
      <c r="F3498" s="2"/>
      <c r="G3498" s="2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</row>
    <row r="3499">
      <c r="A3499" s="3"/>
      <c r="B3499" s="3"/>
      <c r="C3499" s="3"/>
      <c r="D3499" s="3"/>
      <c r="E3499" s="3"/>
      <c r="F3499" s="2"/>
      <c r="G3499" s="2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</row>
    <row r="3500">
      <c r="A3500" s="3"/>
      <c r="B3500" s="3"/>
      <c r="C3500" s="3"/>
      <c r="D3500" s="3"/>
      <c r="E3500" s="3"/>
      <c r="F3500" s="2"/>
      <c r="G3500" s="2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</row>
    <row r="3501">
      <c r="A3501" s="3"/>
      <c r="B3501" s="3"/>
      <c r="C3501" s="3"/>
      <c r="D3501" s="3"/>
      <c r="E3501" s="3"/>
      <c r="F3501" s="2"/>
      <c r="G3501" s="2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</row>
    <row r="3502">
      <c r="A3502" s="3"/>
      <c r="B3502" s="3"/>
      <c r="C3502" s="3"/>
      <c r="D3502" s="3"/>
      <c r="E3502" s="3"/>
      <c r="F3502" s="2"/>
      <c r="G3502" s="2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4" max="4" width="20.13"/>
    <col customWidth="1" min="5" max="5" width="17.13"/>
  </cols>
  <sheetData>
    <row r="1"/>
    <row r="2"/>
    <row r="3"/>
    <row r="4"/>
    <row r="5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7.0"/>
    <col customWidth="1" min="3" max="3" width="16.13"/>
    <col customWidth="1" min="4" max="4" width="19.13"/>
    <col customWidth="1" min="5" max="5" width="15.38"/>
    <col customWidth="1" min="6" max="6" width="19.0"/>
    <col customWidth="1" min="7" max="7" width="18.88"/>
  </cols>
  <sheetData>
    <row r="1" ht="22.5" customHeight="1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</row>
    <row r="2" ht="22.5" customHeight="1">
      <c r="A2" s="25">
        <v>919.0</v>
      </c>
      <c r="B2" s="26">
        <v>45322.0</v>
      </c>
      <c r="C2" s="25">
        <v>10.0</v>
      </c>
      <c r="D2" s="25">
        <v>25.0</v>
      </c>
      <c r="E2" s="25">
        <v>5.0</v>
      </c>
      <c r="F2" s="25">
        <v>1.0</v>
      </c>
      <c r="G2" s="27" t="s">
        <v>24</v>
      </c>
    </row>
    <row r="3" ht="22.5" customHeight="1">
      <c r="A3" s="25">
        <v>947.0</v>
      </c>
      <c r="B3" s="26">
        <v>45322.0</v>
      </c>
      <c r="C3" s="25">
        <v>106.0</v>
      </c>
      <c r="D3" s="25">
        <v>5.0</v>
      </c>
      <c r="E3" s="25">
        <v>1.0</v>
      </c>
      <c r="F3" s="25">
        <v>4.0</v>
      </c>
      <c r="G3" s="27" t="s">
        <v>24</v>
      </c>
    </row>
    <row r="4" ht="22.5" customHeight="1">
      <c r="A4" s="25">
        <v>1317.0</v>
      </c>
      <c r="B4" s="26">
        <v>45322.0</v>
      </c>
      <c r="C4" s="25">
        <v>235.0</v>
      </c>
      <c r="D4" s="25">
        <v>25.0</v>
      </c>
      <c r="E4" s="25">
        <v>3.0</v>
      </c>
      <c r="F4" s="25">
        <v>3.0</v>
      </c>
      <c r="G4" s="27" t="s">
        <v>24</v>
      </c>
    </row>
    <row r="5" ht="22.5" customHeight="1">
      <c r="A5" s="25">
        <v>1607.0</v>
      </c>
      <c r="B5" s="26">
        <v>45322.0</v>
      </c>
      <c r="C5" s="25">
        <v>114.0</v>
      </c>
      <c r="D5" s="25">
        <v>15.0</v>
      </c>
      <c r="E5" s="25">
        <v>5.0</v>
      </c>
      <c r="F5" s="25">
        <v>1.0</v>
      </c>
      <c r="G5" s="27" t="s">
        <v>24</v>
      </c>
    </row>
    <row r="6" ht="22.5" customHeight="1">
      <c r="A6" s="25">
        <v>2038.0</v>
      </c>
      <c r="B6" s="26">
        <v>45322.0</v>
      </c>
      <c r="C6" s="25">
        <v>132.0</v>
      </c>
      <c r="D6" s="25">
        <v>2.0</v>
      </c>
      <c r="E6" s="25">
        <v>5.0</v>
      </c>
      <c r="F6" s="25">
        <v>4.0</v>
      </c>
      <c r="G6" s="27" t="s">
        <v>24</v>
      </c>
    </row>
    <row r="7" ht="22.5" customHeight="1">
      <c r="A7" s="25">
        <v>2436.0</v>
      </c>
      <c r="B7" s="26">
        <v>45322.0</v>
      </c>
      <c r="C7" s="25">
        <v>282.0</v>
      </c>
      <c r="D7" s="25">
        <v>3.0</v>
      </c>
      <c r="E7" s="25">
        <v>3.0</v>
      </c>
      <c r="F7" s="25">
        <v>1.0</v>
      </c>
      <c r="G7" s="27" t="s">
        <v>24</v>
      </c>
    </row>
    <row r="8" ht="22.5" customHeight="1">
      <c r="A8" s="25">
        <v>2578.0</v>
      </c>
      <c r="B8" s="26">
        <v>45322.0</v>
      </c>
      <c r="C8" s="25">
        <v>201.0</v>
      </c>
      <c r="D8" s="25">
        <v>31.0</v>
      </c>
      <c r="E8" s="25">
        <v>6.0</v>
      </c>
      <c r="F8" s="25">
        <v>3.0</v>
      </c>
      <c r="G8" s="27" t="s">
        <v>24</v>
      </c>
    </row>
    <row r="9" ht="22.5" customHeight="1">
      <c r="A9" s="25">
        <v>448.0</v>
      </c>
      <c r="B9" s="26">
        <v>45323.0</v>
      </c>
      <c r="C9" s="25">
        <v>5.0</v>
      </c>
      <c r="D9" s="25">
        <v>19.0</v>
      </c>
      <c r="E9" s="25">
        <v>3.0</v>
      </c>
      <c r="F9" s="25">
        <v>4.0</v>
      </c>
      <c r="G9" s="27" t="s">
        <v>25</v>
      </c>
    </row>
    <row r="10" ht="22.5" customHeight="1">
      <c r="A10" s="25">
        <v>492.0</v>
      </c>
      <c r="B10" s="26">
        <v>45323.0</v>
      </c>
      <c r="C10" s="25">
        <v>114.0</v>
      </c>
      <c r="D10" s="25">
        <v>29.0</v>
      </c>
      <c r="E10" s="25">
        <v>6.0</v>
      </c>
      <c r="F10" s="25">
        <v>4.0</v>
      </c>
      <c r="G10" s="27" t="s">
        <v>24</v>
      </c>
    </row>
    <row r="11" ht="22.5" customHeight="1">
      <c r="A11" s="25">
        <v>1099.0</v>
      </c>
      <c r="B11" s="26">
        <v>45323.0</v>
      </c>
      <c r="C11" s="25">
        <v>282.0</v>
      </c>
      <c r="D11" s="25">
        <v>28.0</v>
      </c>
      <c r="E11" s="25">
        <v>1.0</v>
      </c>
      <c r="F11" s="25">
        <v>4.0</v>
      </c>
      <c r="G11" s="27" t="s">
        <v>24</v>
      </c>
    </row>
    <row r="12" ht="22.5" customHeight="1">
      <c r="A12" s="25">
        <v>1439.0</v>
      </c>
      <c r="B12" s="26">
        <v>45323.0</v>
      </c>
      <c r="C12" s="25">
        <v>130.0</v>
      </c>
      <c r="D12" s="25">
        <v>18.0</v>
      </c>
      <c r="E12" s="25">
        <v>2.0</v>
      </c>
      <c r="F12" s="25">
        <v>2.0</v>
      </c>
      <c r="G12" s="27" t="s">
        <v>24</v>
      </c>
    </row>
    <row r="13" ht="22.5" customHeight="1">
      <c r="A13" s="25">
        <v>1565.0</v>
      </c>
      <c r="B13" s="26">
        <v>45323.0</v>
      </c>
      <c r="C13" s="25">
        <v>97.0</v>
      </c>
      <c r="D13" s="25">
        <v>6.0</v>
      </c>
      <c r="E13" s="25">
        <v>6.0</v>
      </c>
      <c r="F13" s="25">
        <v>2.0</v>
      </c>
      <c r="G13" s="27" t="s">
        <v>24</v>
      </c>
    </row>
    <row r="14" ht="22.5" customHeight="1">
      <c r="A14" s="25">
        <v>1776.0</v>
      </c>
      <c r="B14" s="26">
        <v>45323.0</v>
      </c>
      <c r="C14" s="25">
        <v>247.0</v>
      </c>
      <c r="D14" s="25">
        <v>7.0</v>
      </c>
      <c r="E14" s="25">
        <v>4.0</v>
      </c>
      <c r="F14" s="25">
        <v>4.0</v>
      </c>
      <c r="G14" s="27" t="s">
        <v>24</v>
      </c>
    </row>
    <row r="15" ht="22.5" customHeight="1">
      <c r="A15" s="25">
        <v>2190.0</v>
      </c>
      <c r="B15" s="26">
        <v>45323.0</v>
      </c>
      <c r="C15" s="25">
        <v>98.0</v>
      </c>
      <c r="D15" s="25">
        <v>16.0</v>
      </c>
      <c r="E15" s="25">
        <v>1.0</v>
      </c>
      <c r="F15" s="25">
        <v>1.0</v>
      </c>
      <c r="G15" s="27" t="s">
        <v>25</v>
      </c>
    </row>
    <row r="16" ht="22.5" customHeight="1">
      <c r="A16" s="25">
        <v>2755.0</v>
      </c>
      <c r="B16" s="26">
        <v>45323.0</v>
      </c>
      <c r="C16" s="25">
        <v>27.0</v>
      </c>
      <c r="D16" s="25">
        <v>18.0</v>
      </c>
      <c r="E16" s="25">
        <v>4.0</v>
      </c>
      <c r="F16" s="25">
        <v>4.0</v>
      </c>
      <c r="G16" s="27" t="s">
        <v>24</v>
      </c>
    </row>
    <row r="17" ht="22.5" customHeight="1">
      <c r="A17" s="25">
        <v>43.0</v>
      </c>
      <c r="B17" s="26">
        <v>45324.0</v>
      </c>
      <c r="C17" s="25">
        <v>294.0</v>
      </c>
      <c r="D17" s="25">
        <v>31.0</v>
      </c>
      <c r="E17" s="25">
        <v>1.0</v>
      </c>
      <c r="F17" s="25">
        <v>4.0</v>
      </c>
      <c r="G17" s="27" t="s">
        <v>24</v>
      </c>
    </row>
    <row r="18" ht="22.5" customHeight="1">
      <c r="A18" s="25">
        <v>272.0</v>
      </c>
      <c r="B18" s="26">
        <v>45324.0</v>
      </c>
      <c r="C18" s="25">
        <v>60.0</v>
      </c>
      <c r="D18" s="25">
        <v>3.0</v>
      </c>
      <c r="E18" s="25">
        <v>6.0</v>
      </c>
      <c r="F18" s="25">
        <v>4.0</v>
      </c>
      <c r="G18" s="27" t="s">
        <v>24</v>
      </c>
    </row>
    <row r="19" ht="22.5" customHeight="1">
      <c r="A19" s="25">
        <v>349.0</v>
      </c>
      <c r="B19" s="26">
        <v>45324.0</v>
      </c>
      <c r="C19" s="25">
        <v>203.0</v>
      </c>
      <c r="D19" s="25">
        <v>2.0</v>
      </c>
      <c r="E19" s="25">
        <v>3.0</v>
      </c>
      <c r="F19" s="25">
        <v>4.0</v>
      </c>
      <c r="G19" s="27" t="s">
        <v>24</v>
      </c>
    </row>
    <row r="20" ht="22.5" customHeight="1">
      <c r="A20" s="25">
        <v>351.0</v>
      </c>
      <c r="B20" s="26">
        <v>45324.0</v>
      </c>
      <c r="C20" s="25">
        <v>45.0</v>
      </c>
      <c r="D20" s="25">
        <v>8.0</v>
      </c>
      <c r="E20" s="25">
        <v>4.0</v>
      </c>
      <c r="F20" s="25">
        <v>3.0</v>
      </c>
      <c r="G20" s="27" t="s">
        <v>24</v>
      </c>
    </row>
    <row r="21" ht="22.5" customHeight="1">
      <c r="A21" s="25">
        <v>822.0</v>
      </c>
      <c r="B21" s="26">
        <v>45324.0</v>
      </c>
      <c r="C21" s="25">
        <v>1.0</v>
      </c>
      <c r="D21" s="25">
        <v>32.0</v>
      </c>
      <c r="E21" s="25">
        <v>4.0</v>
      </c>
      <c r="F21" s="25">
        <v>5.0</v>
      </c>
      <c r="G21" s="27" t="s">
        <v>24</v>
      </c>
    </row>
    <row r="22" ht="22.5" customHeight="1">
      <c r="A22" s="25">
        <v>1078.0</v>
      </c>
      <c r="B22" s="26">
        <v>45324.0</v>
      </c>
      <c r="C22" s="25">
        <v>218.0</v>
      </c>
      <c r="D22" s="25">
        <v>6.0</v>
      </c>
      <c r="E22" s="25">
        <v>5.0</v>
      </c>
      <c r="F22" s="25">
        <v>5.0</v>
      </c>
      <c r="G22" s="27" t="s">
        <v>24</v>
      </c>
    </row>
    <row r="23" ht="22.5" customHeight="1">
      <c r="A23" s="25">
        <v>1595.0</v>
      </c>
      <c r="B23" s="26">
        <v>45324.0</v>
      </c>
      <c r="C23" s="25">
        <v>129.0</v>
      </c>
      <c r="D23" s="25">
        <v>31.0</v>
      </c>
      <c r="E23" s="25">
        <v>6.0</v>
      </c>
      <c r="F23" s="25">
        <v>1.0</v>
      </c>
      <c r="G23" s="27" t="s">
        <v>24</v>
      </c>
    </row>
    <row r="24" ht="22.5" customHeight="1">
      <c r="A24" s="25">
        <v>2746.0</v>
      </c>
      <c r="B24" s="26">
        <v>45324.0</v>
      </c>
      <c r="C24" s="25">
        <v>217.0</v>
      </c>
      <c r="D24" s="25">
        <v>4.0</v>
      </c>
      <c r="E24" s="25">
        <v>1.0</v>
      </c>
      <c r="F24" s="25">
        <v>4.0</v>
      </c>
      <c r="G24" s="27" t="s">
        <v>24</v>
      </c>
    </row>
    <row r="25" ht="22.5" customHeight="1">
      <c r="A25" s="25">
        <v>262.0</v>
      </c>
      <c r="B25" s="26">
        <v>45325.0</v>
      </c>
      <c r="C25" s="25">
        <v>156.0</v>
      </c>
      <c r="D25" s="25">
        <v>33.0</v>
      </c>
      <c r="E25" s="25">
        <v>3.0</v>
      </c>
      <c r="F25" s="25">
        <v>4.0</v>
      </c>
      <c r="G25" s="27" t="s">
        <v>25</v>
      </c>
    </row>
    <row r="26" ht="22.5" customHeight="1">
      <c r="A26" s="25">
        <v>997.0</v>
      </c>
      <c r="B26" s="26">
        <v>45325.0</v>
      </c>
      <c r="C26" s="25">
        <v>245.0</v>
      </c>
      <c r="D26" s="25">
        <v>12.0</v>
      </c>
      <c r="E26" s="25">
        <v>3.0</v>
      </c>
      <c r="F26" s="25">
        <v>5.0</v>
      </c>
      <c r="G26" s="27" t="s">
        <v>24</v>
      </c>
    </row>
    <row r="27" ht="22.5" customHeight="1">
      <c r="A27" s="25">
        <v>1221.0</v>
      </c>
      <c r="B27" s="26">
        <v>45325.0</v>
      </c>
      <c r="C27" s="25">
        <v>251.0</v>
      </c>
      <c r="D27" s="25">
        <v>10.0</v>
      </c>
      <c r="E27" s="25">
        <v>5.0</v>
      </c>
      <c r="F27" s="25">
        <v>5.0</v>
      </c>
      <c r="G27" s="27" t="s">
        <v>25</v>
      </c>
    </row>
    <row r="28" ht="22.5" customHeight="1">
      <c r="A28" s="25">
        <v>1931.0</v>
      </c>
      <c r="B28" s="26">
        <v>45325.0</v>
      </c>
      <c r="C28" s="25">
        <v>204.0</v>
      </c>
      <c r="D28" s="25">
        <v>6.0</v>
      </c>
      <c r="E28" s="25">
        <v>4.0</v>
      </c>
      <c r="F28" s="25">
        <v>5.0</v>
      </c>
      <c r="G28" s="27" t="s">
        <v>24</v>
      </c>
    </row>
    <row r="29" ht="22.5" customHeight="1">
      <c r="A29" s="25">
        <v>1967.0</v>
      </c>
      <c r="B29" s="26">
        <v>45325.0</v>
      </c>
      <c r="C29" s="25">
        <v>32.0</v>
      </c>
      <c r="D29" s="25">
        <v>7.0</v>
      </c>
      <c r="E29" s="25">
        <v>5.0</v>
      </c>
      <c r="F29" s="25">
        <v>4.0</v>
      </c>
      <c r="G29" s="27" t="s">
        <v>24</v>
      </c>
    </row>
    <row r="30" ht="22.5" customHeight="1">
      <c r="A30" s="25">
        <v>2328.0</v>
      </c>
      <c r="B30" s="26">
        <v>45325.0</v>
      </c>
      <c r="C30" s="25">
        <v>275.0</v>
      </c>
      <c r="D30" s="25">
        <v>23.0</v>
      </c>
      <c r="E30" s="25">
        <v>1.0</v>
      </c>
      <c r="F30" s="25">
        <v>2.0</v>
      </c>
      <c r="G30" s="27" t="s">
        <v>24</v>
      </c>
    </row>
    <row r="31" ht="22.5" customHeight="1">
      <c r="A31" s="25">
        <v>420.0</v>
      </c>
      <c r="B31" s="26">
        <v>45326.0</v>
      </c>
      <c r="C31" s="25">
        <v>259.0</v>
      </c>
      <c r="D31" s="25">
        <v>32.0</v>
      </c>
      <c r="E31" s="25">
        <v>1.0</v>
      </c>
      <c r="F31" s="25">
        <v>2.0</v>
      </c>
      <c r="G31" s="27" t="s">
        <v>25</v>
      </c>
    </row>
    <row r="32" ht="22.5" customHeight="1">
      <c r="A32" s="25">
        <v>546.0</v>
      </c>
      <c r="B32" s="26">
        <v>45326.0</v>
      </c>
      <c r="C32" s="25">
        <v>66.0</v>
      </c>
      <c r="D32" s="25">
        <v>19.0</v>
      </c>
      <c r="E32" s="25">
        <v>3.0</v>
      </c>
      <c r="F32" s="25">
        <v>4.0</v>
      </c>
      <c r="G32" s="27" t="s">
        <v>24</v>
      </c>
    </row>
    <row r="33" ht="22.5" customHeight="1">
      <c r="A33" s="25">
        <v>680.0</v>
      </c>
      <c r="B33" s="26">
        <v>45326.0</v>
      </c>
      <c r="C33" s="25">
        <v>112.0</v>
      </c>
      <c r="D33" s="25">
        <v>37.0</v>
      </c>
      <c r="E33" s="25">
        <v>2.0</v>
      </c>
      <c r="F33" s="25">
        <v>5.0</v>
      </c>
      <c r="G33" s="27" t="s">
        <v>24</v>
      </c>
    </row>
    <row r="34" ht="22.5" customHeight="1">
      <c r="A34" s="25">
        <v>2263.0</v>
      </c>
      <c r="B34" s="26">
        <v>45326.0</v>
      </c>
      <c r="C34" s="25">
        <v>48.0</v>
      </c>
      <c r="D34" s="25">
        <v>27.0</v>
      </c>
      <c r="E34" s="25">
        <v>1.0</v>
      </c>
      <c r="F34" s="25">
        <v>5.0</v>
      </c>
      <c r="G34" s="27" t="s">
        <v>24</v>
      </c>
    </row>
    <row r="35" ht="22.5" customHeight="1">
      <c r="A35" s="25">
        <v>2752.0</v>
      </c>
      <c r="B35" s="26">
        <v>45326.0</v>
      </c>
      <c r="C35" s="25">
        <v>125.0</v>
      </c>
      <c r="D35" s="25">
        <v>35.0</v>
      </c>
      <c r="E35" s="25">
        <v>3.0</v>
      </c>
      <c r="F35" s="25">
        <v>4.0</v>
      </c>
      <c r="G35" s="27" t="s">
        <v>24</v>
      </c>
    </row>
    <row r="36" ht="22.5" customHeight="1">
      <c r="A36" s="25">
        <v>2889.0</v>
      </c>
      <c r="B36" s="26">
        <v>45326.0</v>
      </c>
      <c r="C36" s="25">
        <v>48.0</v>
      </c>
      <c r="D36" s="25">
        <v>24.0</v>
      </c>
      <c r="E36" s="25">
        <v>2.0</v>
      </c>
      <c r="F36" s="25">
        <v>3.0</v>
      </c>
      <c r="G36" s="27" t="s">
        <v>25</v>
      </c>
    </row>
    <row r="37" ht="22.5" customHeight="1">
      <c r="A37" s="25">
        <v>2896.0</v>
      </c>
      <c r="B37" s="26">
        <v>45326.0</v>
      </c>
      <c r="C37" s="25">
        <v>106.0</v>
      </c>
      <c r="D37" s="25">
        <v>21.0</v>
      </c>
      <c r="E37" s="25">
        <v>1.0</v>
      </c>
      <c r="F37" s="25">
        <v>2.0</v>
      </c>
      <c r="G37" s="27" t="s">
        <v>24</v>
      </c>
    </row>
    <row r="38" ht="22.5" customHeight="1">
      <c r="A38" s="25">
        <v>277.0</v>
      </c>
      <c r="B38" s="26">
        <v>45327.0</v>
      </c>
      <c r="C38" s="25">
        <v>159.0</v>
      </c>
      <c r="D38" s="25">
        <v>4.0</v>
      </c>
      <c r="E38" s="25">
        <v>6.0</v>
      </c>
      <c r="F38" s="25">
        <v>4.0</v>
      </c>
      <c r="G38" s="27" t="s">
        <v>24</v>
      </c>
    </row>
    <row r="39" ht="22.5" customHeight="1">
      <c r="A39" s="25">
        <v>497.0</v>
      </c>
      <c r="B39" s="26">
        <v>45327.0</v>
      </c>
      <c r="C39" s="25">
        <v>169.0</v>
      </c>
      <c r="D39" s="25">
        <v>5.0</v>
      </c>
      <c r="E39" s="25">
        <v>6.0</v>
      </c>
      <c r="F39" s="25">
        <v>3.0</v>
      </c>
      <c r="G39" s="27" t="s">
        <v>24</v>
      </c>
    </row>
    <row r="40" ht="22.5" customHeight="1">
      <c r="A40" s="25">
        <v>503.0</v>
      </c>
      <c r="B40" s="26">
        <v>45327.0</v>
      </c>
      <c r="C40" s="25">
        <v>169.0</v>
      </c>
      <c r="D40" s="25">
        <v>5.0</v>
      </c>
      <c r="E40" s="25">
        <v>5.0</v>
      </c>
      <c r="F40" s="25">
        <v>1.0</v>
      </c>
      <c r="G40" s="27" t="s">
        <v>24</v>
      </c>
    </row>
    <row r="41" ht="22.5" customHeight="1">
      <c r="A41" s="25">
        <v>1198.0</v>
      </c>
      <c r="B41" s="26">
        <v>45327.0</v>
      </c>
      <c r="C41" s="25">
        <v>102.0</v>
      </c>
      <c r="D41" s="25">
        <v>13.0</v>
      </c>
      <c r="E41" s="25">
        <v>2.0</v>
      </c>
      <c r="F41" s="25">
        <v>1.0</v>
      </c>
      <c r="G41" s="27" t="s">
        <v>24</v>
      </c>
    </row>
    <row r="42" ht="22.5" customHeight="1">
      <c r="A42" s="25">
        <v>1449.0</v>
      </c>
      <c r="B42" s="26">
        <v>45327.0</v>
      </c>
      <c r="C42" s="25">
        <v>172.0</v>
      </c>
      <c r="D42" s="25">
        <v>29.0</v>
      </c>
      <c r="E42" s="25">
        <v>6.0</v>
      </c>
      <c r="F42" s="25">
        <v>2.0</v>
      </c>
      <c r="G42" s="27" t="s">
        <v>24</v>
      </c>
    </row>
    <row r="43" ht="22.5" customHeight="1">
      <c r="A43" s="25">
        <v>1759.0</v>
      </c>
      <c r="B43" s="26">
        <v>45327.0</v>
      </c>
      <c r="C43" s="25">
        <v>255.0</v>
      </c>
      <c r="D43" s="25">
        <v>23.0</v>
      </c>
      <c r="E43" s="25">
        <v>5.0</v>
      </c>
      <c r="F43" s="25">
        <v>5.0</v>
      </c>
      <c r="G43" s="27" t="s">
        <v>25</v>
      </c>
    </row>
    <row r="44" ht="22.5" customHeight="1">
      <c r="A44" s="25">
        <v>2873.0</v>
      </c>
      <c r="B44" s="26">
        <v>45327.0</v>
      </c>
      <c r="C44" s="25">
        <v>230.0</v>
      </c>
      <c r="D44" s="25">
        <v>13.0</v>
      </c>
      <c r="E44" s="25">
        <v>2.0</v>
      </c>
      <c r="F44" s="25">
        <v>2.0</v>
      </c>
      <c r="G44" s="27" t="s">
        <v>24</v>
      </c>
    </row>
    <row r="45" ht="22.5" customHeight="1">
      <c r="A45" s="25">
        <v>484.0</v>
      </c>
      <c r="B45" s="26">
        <v>45328.0</v>
      </c>
      <c r="C45" s="25">
        <v>168.0</v>
      </c>
      <c r="D45" s="25">
        <v>35.0</v>
      </c>
      <c r="E45" s="25">
        <v>1.0</v>
      </c>
      <c r="F45" s="25">
        <v>2.0</v>
      </c>
      <c r="G45" s="27" t="s">
        <v>24</v>
      </c>
    </row>
    <row r="46" ht="22.5" customHeight="1">
      <c r="A46" s="25">
        <v>593.0</v>
      </c>
      <c r="B46" s="26">
        <v>45328.0</v>
      </c>
      <c r="C46" s="25">
        <v>258.0</v>
      </c>
      <c r="D46" s="25">
        <v>11.0</v>
      </c>
      <c r="E46" s="25">
        <v>4.0</v>
      </c>
      <c r="F46" s="25">
        <v>5.0</v>
      </c>
      <c r="G46" s="27" t="s">
        <v>24</v>
      </c>
    </row>
    <row r="47" ht="22.5" customHeight="1">
      <c r="A47" s="25">
        <v>809.0</v>
      </c>
      <c r="B47" s="26">
        <v>45328.0</v>
      </c>
      <c r="C47" s="25">
        <v>159.0</v>
      </c>
      <c r="D47" s="25">
        <v>19.0</v>
      </c>
      <c r="E47" s="25">
        <v>6.0</v>
      </c>
      <c r="F47" s="25">
        <v>5.0</v>
      </c>
      <c r="G47" s="27" t="s">
        <v>25</v>
      </c>
    </row>
    <row r="48" ht="22.5" customHeight="1">
      <c r="A48" s="25">
        <v>1656.0</v>
      </c>
      <c r="B48" s="26">
        <v>45328.0</v>
      </c>
      <c r="C48" s="25">
        <v>283.0</v>
      </c>
      <c r="D48" s="25">
        <v>1.0</v>
      </c>
      <c r="E48" s="25">
        <v>3.0</v>
      </c>
      <c r="F48" s="25">
        <v>4.0</v>
      </c>
      <c r="G48" s="27" t="s">
        <v>24</v>
      </c>
    </row>
    <row r="49" ht="22.5" customHeight="1">
      <c r="A49" s="25">
        <v>1735.0</v>
      </c>
      <c r="B49" s="26">
        <v>45328.0</v>
      </c>
      <c r="C49" s="25">
        <v>130.0</v>
      </c>
      <c r="D49" s="25">
        <v>8.0</v>
      </c>
      <c r="E49" s="25">
        <v>6.0</v>
      </c>
      <c r="F49" s="25">
        <v>5.0</v>
      </c>
      <c r="G49" s="27" t="s">
        <v>24</v>
      </c>
    </row>
    <row r="50" ht="22.5" customHeight="1">
      <c r="A50" s="25">
        <v>2126.0</v>
      </c>
      <c r="B50" s="26">
        <v>45328.0</v>
      </c>
      <c r="C50" s="25">
        <v>181.0</v>
      </c>
      <c r="D50" s="25">
        <v>3.0</v>
      </c>
      <c r="E50" s="25">
        <v>3.0</v>
      </c>
      <c r="F50" s="25">
        <v>4.0</v>
      </c>
      <c r="G50" s="27" t="s">
        <v>25</v>
      </c>
    </row>
    <row r="51" ht="22.5" customHeight="1">
      <c r="A51" s="25">
        <v>2540.0</v>
      </c>
      <c r="B51" s="26">
        <v>45328.0</v>
      </c>
      <c r="C51" s="25">
        <v>75.0</v>
      </c>
      <c r="D51" s="25">
        <v>28.0</v>
      </c>
      <c r="E51" s="25">
        <v>6.0</v>
      </c>
      <c r="F51" s="25">
        <v>1.0</v>
      </c>
      <c r="G51" s="27" t="s">
        <v>25</v>
      </c>
    </row>
    <row r="52" ht="22.5" customHeight="1">
      <c r="A52" s="25">
        <v>2680.0</v>
      </c>
      <c r="B52" s="26">
        <v>45328.0</v>
      </c>
      <c r="C52" s="25">
        <v>155.0</v>
      </c>
      <c r="D52" s="25">
        <v>18.0</v>
      </c>
      <c r="E52" s="25">
        <v>2.0</v>
      </c>
      <c r="F52" s="25">
        <v>4.0</v>
      </c>
      <c r="G52" s="27" t="s">
        <v>24</v>
      </c>
    </row>
    <row r="53" ht="22.5" customHeight="1">
      <c r="A53" s="25">
        <v>116.0</v>
      </c>
      <c r="B53" s="26">
        <v>45329.0</v>
      </c>
      <c r="C53" s="25">
        <v>71.0</v>
      </c>
      <c r="D53" s="25">
        <v>35.0</v>
      </c>
      <c r="E53" s="25">
        <v>4.0</v>
      </c>
      <c r="F53" s="25">
        <v>3.0</v>
      </c>
      <c r="G53" s="27" t="s">
        <v>24</v>
      </c>
    </row>
    <row r="54" ht="22.5" customHeight="1">
      <c r="A54" s="25">
        <v>215.0</v>
      </c>
      <c r="B54" s="26">
        <v>45329.0</v>
      </c>
      <c r="C54" s="25">
        <v>64.0</v>
      </c>
      <c r="D54" s="25">
        <v>31.0</v>
      </c>
      <c r="E54" s="25">
        <v>2.0</v>
      </c>
      <c r="F54" s="25">
        <v>4.0</v>
      </c>
      <c r="G54" s="27" t="s">
        <v>25</v>
      </c>
    </row>
    <row r="55" ht="22.5" customHeight="1">
      <c r="A55" s="25">
        <v>441.0</v>
      </c>
      <c r="B55" s="26">
        <v>45329.0</v>
      </c>
      <c r="C55" s="25">
        <v>21.0</v>
      </c>
      <c r="D55" s="25">
        <v>7.0</v>
      </c>
      <c r="E55" s="25">
        <v>6.0</v>
      </c>
      <c r="F55" s="25">
        <v>3.0</v>
      </c>
      <c r="G55" s="27" t="s">
        <v>24</v>
      </c>
    </row>
    <row r="56" ht="22.5" customHeight="1">
      <c r="A56" s="25">
        <v>471.0</v>
      </c>
      <c r="B56" s="26">
        <v>45329.0</v>
      </c>
      <c r="C56" s="25">
        <v>108.0</v>
      </c>
      <c r="D56" s="25">
        <v>12.0</v>
      </c>
      <c r="E56" s="25">
        <v>6.0</v>
      </c>
      <c r="F56" s="25">
        <v>5.0</v>
      </c>
      <c r="G56" s="27" t="s">
        <v>25</v>
      </c>
    </row>
    <row r="57" ht="22.5" customHeight="1">
      <c r="A57" s="25">
        <v>1136.0</v>
      </c>
      <c r="B57" s="26">
        <v>45329.0</v>
      </c>
      <c r="C57" s="25">
        <v>187.0</v>
      </c>
      <c r="D57" s="25">
        <v>23.0</v>
      </c>
      <c r="E57" s="25">
        <v>3.0</v>
      </c>
      <c r="F57" s="25">
        <v>3.0</v>
      </c>
      <c r="G57" s="27" t="s">
        <v>24</v>
      </c>
    </row>
    <row r="58" ht="22.5" customHeight="1">
      <c r="A58" s="25">
        <v>1753.0</v>
      </c>
      <c r="B58" s="26">
        <v>45329.0</v>
      </c>
      <c r="C58" s="25">
        <v>35.0</v>
      </c>
      <c r="D58" s="25">
        <v>17.0</v>
      </c>
      <c r="E58" s="25">
        <v>2.0</v>
      </c>
      <c r="F58" s="25">
        <v>4.0</v>
      </c>
      <c r="G58" s="27" t="s">
        <v>25</v>
      </c>
    </row>
    <row r="59" ht="22.5" customHeight="1">
      <c r="A59" s="25">
        <v>2127.0</v>
      </c>
      <c r="B59" s="26">
        <v>45329.0</v>
      </c>
      <c r="C59" s="25">
        <v>180.0</v>
      </c>
      <c r="D59" s="25">
        <v>6.0</v>
      </c>
      <c r="E59" s="25">
        <v>3.0</v>
      </c>
      <c r="F59" s="25">
        <v>3.0</v>
      </c>
      <c r="G59" s="27" t="s">
        <v>24</v>
      </c>
    </row>
    <row r="60" ht="22.5" customHeight="1">
      <c r="A60" s="25">
        <v>2209.0</v>
      </c>
      <c r="B60" s="26">
        <v>45329.0</v>
      </c>
      <c r="C60" s="25">
        <v>151.0</v>
      </c>
      <c r="D60" s="25">
        <v>3.0</v>
      </c>
      <c r="E60" s="25">
        <v>2.0</v>
      </c>
      <c r="F60" s="25">
        <v>1.0</v>
      </c>
      <c r="G60" s="27" t="s">
        <v>24</v>
      </c>
    </row>
    <row r="61" ht="22.5" customHeight="1">
      <c r="A61" s="25">
        <v>2935.0</v>
      </c>
      <c r="B61" s="26">
        <v>45329.0</v>
      </c>
      <c r="C61" s="25">
        <v>164.0</v>
      </c>
      <c r="D61" s="25">
        <v>25.0</v>
      </c>
      <c r="E61" s="25">
        <v>3.0</v>
      </c>
      <c r="F61" s="25">
        <v>4.0</v>
      </c>
      <c r="G61" s="27" t="s">
        <v>24</v>
      </c>
    </row>
    <row r="62" ht="22.5" customHeight="1">
      <c r="A62" s="25">
        <v>734.0</v>
      </c>
      <c r="B62" s="26">
        <v>45330.0</v>
      </c>
      <c r="C62" s="25">
        <v>212.0</v>
      </c>
      <c r="D62" s="25">
        <v>36.0</v>
      </c>
      <c r="E62" s="25">
        <v>5.0</v>
      </c>
      <c r="F62" s="25">
        <v>2.0</v>
      </c>
      <c r="G62" s="27" t="s">
        <v>24</v>
      </c>
    </row>
    <row r="63" ht="22.5" customHeight="1">
      <c r="A63" s="25">
        <v>2043.0</v>
      </c>
      <c r="B63" s="26">
        <v>45330.0</v>
      </c>
      <c r="C63" s="25">
        <v>318.0</v>
      </c>
      <c r="D63" s="25">
        <v>27.0</v>
      </c>
      <c r="E63" s="25">
        <v>2.0</v>
      </c>
      <c r="F63" s="25">
        <v>5.0</v>
      </c>
      <c r="G63" s="27" t="s">
        <v>24</v>
      </c>
    </row>
    <row r="64" ht="22.5" customHeight="1">
      <c r="A64" s="25">
        <v>2335.0</v>
      </c>
      <c r="B64" s="26">
        <v>45330.0</v>
      </c>
      <c r="C64" s="25">
        <v>56.0</v>
      </c>
      <c r="D64" s="25">
        <v>38.0</v>
      </c>
      <c r="E64" s="25">
        <v>2.0</v>
      </c>
      <c r="F64" s="25">
        <v>5.0</v>
      </c>
      <c r="G64" s="27" t="s">
        <v>24</v>
      </c>
    </row>
    <row r="65" ht="22.5" customHeight="1">
      <c r="A65" s="25">
        <v>2770.0</v>
      </c>
      <c r="B65" s="26">
        <v>45330.0</v>
      </c>
      <c r="C65" s="25">
        <v>295.0</v>
      </c>
      <c r="D65" s="25">
        <v>34.0</v>
      </c>
      <c r="E65" s="25">
        <v>4.0</v>
      </c>
      <c r="F65" s="25">
        <v>2.0</v>
      </c>
      <c r="G65" s="27" t="s">
        <v>24</v>
      </c>
    </row>
    <row r="66" ht="22.5" customHeight="1">
      <c r="A66" s="25">
        <v>226.0</v>
      </c>
      <c r="B66" s="26">
        <v>45331.0</v>
      </c>
      <c r="C66" s="25">
        <v>3.0</v>
      </c>
      <c r="D66" s="25">
        <v>11.0</v>
      </c>
      <c r="E66" s="25">
        <v>4.0</v>
      </c>
      <c r="F66" s="25">
        <v>1.0</v>
      </c>
      <c r="G66" s="27" t="s">
        <v>24</v>
      </c>
    </row>
    <row r="67" ht="22.5" customHeight="1">
      <c r="A67" s="25">
        <v>1044.0</v>
      </c>
      <c r="B67" s="26">
        <v>45331.0</v>
      </c>
      <c r="C67" s="25">
        <v>69.0</v>
      </c>
      <c r="D67" s="25">
        <v>29.0</v>
      </c>
      <c r="E67" s="25">
        <v>1.0</v>
      </c>
      <c r="F67" s="25">
        <v>5.0</v>
      </c>
      <c r="G67" s="27" t="s">
        <v>24</v>
      </c>
    </row>
    <row r="68" ht="22.5" customHeight="1">
      <c r="A68" s="25">
        <v>1162.0</v>
      </c>
      <c r="B68" s="26">
        <v>45331.0</v>
      </c>
      <c r="C68" s="25">
        <v>104.0</v>
      </c>
      <c r="D68" s="25">
        <v>17.0</v>
      </c>
      <c r="E68" s="25">
        <v>2.0</v>
      </c>
      <c r="F68" s="25">
        <v>3.0</v>
      </c>
      <c r="G68" s="27" t="s">
        <v>24</v>
      </c>
    </row>
    <row r="69" ht="22.5" customHeight="1">
      <c r="A69" s="25">
        <v>1725.0</v>
      </c>
      <c r="B69" s="26">
        <v>45331.0</v>
      </c>
      <c r="C69" s="25">
        <v>293.0</v>
      </c>
      <c r="D69" s="25">
        <v>25.0</v>
      </c>
      <c r="E69" s="25">
        <v>6.0</v>
      </c>
      <c r="F69" s="25">
        <v>4.0</v>
      </c>
      <c r="G69" s="27" t="s">
        <v>24</v>
      </c>
    </row>
    <row r="70" ht="22.5" customHeight="1">
      <c r="A70" s="25">
        <v>1878.0</v>
      </c>
      <c r="B70" s="26">
        <v>45331.0</v>
      </c>
      <c r="C70" s="25">
        <v>214.0</v>
      </c>
      <c r="D70" s="25">
        <v>17.0</v>
      </c>
      <c r="E70" s="25">
        <v>3.0</v>
      </c>
      <c r="F70" s="25">
        <v>4.0</v>
      </c>
      <c r="G70" s="27" t="s">
        <v>24</v>
      </c>
    </row>
    <row r="71" ht="22.5" customHeight="1">
      <c r="A71" s="25">
        <v>2480.0</v>
      </c>
      <c r="B71" s="26">
        <v>45331.0</v>
      </c>
      <c r="C71" s="25">
        <v>278.0</v>
      </c>
      <c r="D71" s="25">
        <v>22.0</v>
      </c>
      <c r="E71" s="25">
        <v>1.0</v>
      </c>
      <c r="F71" s="25">
        <v>1.0</v>
      </c>
      <c r="G71" s="27" t="s">
        <v>24</v>
      </c>
    </row>
    <row r="72" ht="22.5" customHeight="1">
      <c r="A72" s="25">
        <v>2610.0</v>
      </c>
      <c r="B72" s="26">
        <v>45331.0</v>
      </c>
      <c r="C72" s="25">
        <v>78.0</v>
      </c>
      <c r="D72" s="25">
        <v>1.0</v>
      </c>
      <c r="E72" s="25">
        <v>6.0</v>
      </c>
      <c r="F72" s="25">
        <v>4.0</v>
      </c>
      <c r="G72" s="27" t="s">
        <v>24</v>
      </c>
    </row>
    <row r="73" ht="22.5" customHeight="1">
      <c r="A73" s="25">
        <v>2947.0</v>
      </c>
      <c r="B73" s="26">
        <v>45331.0</v>
      </c>
      <c r="C73" s="25">
        <v>28.0</v>
      </c>
      <c r="D73" s="25">
        <v>6.0</v>
      </c>
      <c r="E73" s="25">
        <v>5.0</v>
      </c>
      <c r="F73" s="25">
        <v>4.0</v>
      </c>
      <c r="G73" s="27" t="s">
        <v>25</v>
      </c>
    </row>
    <row r="74" ht="22.5" customHeight="1">
      <c r="A74" s="25">
        <v>117.0</v>
      </c>
      <c r="B74" s="26">
        <v>45332.0</v>
      </c>
      <c r="C74" s="25">
        <v>288.0</v>
      </c>
      <c r="D74" s="25">
        <v>10.0</v>
      </c>
      <c r="E74" s="25">
        <v>3.0</v>
      </c>
      <c r="F74" s="25">
        <v>2.0</v>
      </c>
      <c r="G74" s="27" t="s">
        <v>25</v>
      </c>
    </row>
    <row r="75" ht="22.5" customHeight="1">
      <c r="A75" s="25">
        <v>1102.0</v>
      </c>
      <c r="B75" s="26">
        <v>45332.0</v>
      </c>
      <c r="C75" s="25">
        <v>59.0</v>
      </c>
      <c r="D75" s="25">
        <v>29.0</v>
      </c>
      <c r="E75" s="25">
        <v>4.0</v>
      </c>
      <c r="F75" s="25">
        <v>3.0</v>
      </c>
      <c r="G75" s="27" t="s">
        <v>24</v>
      </c>
    </row>
    <row r="76" ht="22.5" customHeight="1">
      <c r="A76" s="25">
        <v>1217.0</v>
      </c>
      <c r="B76" s="26">
        <v>45332.0</v>
      </c>
      <c r="C76" s="25">
        <v>144.0</v>
      </c>
      <c r="D76" s="25">
        <v>22.0</v>
      </c>
      <c r="E76" s="25">
        <v>2.0</v>
      </c>
      <c r="F76" s="25">
        <v>4.0</v>
      </c>
      <c r="G76" s="27" t="s">
        <v>24</v>
      </c>
    </row>
    <row r="77" ht="22.5" customHeight="1">
      <c r="A77" s="25">
        <v>1363.0</v>
      </c>
      <c r="B77" s="26">
        <v>45332.0</v>
      </c>
      <c r="C77" s="25">
        <v>314.0</v>
      </c>
      <c r="D77" s="25">
        <v>28.0</v>
      </c>
      <c r="E77" s="25">
        <v>3.0</v>
      </c>
      <c r="F77" s="25">
        <v>3.0</v>
      </c>
      <c r="G77" s="27" t="s">
        <v>25</v>
      </c>
    </row>
    <row r="78" ht="22.5" customHeight="1">
      <c r="A78" s="25">
        <v>1600.0</v>
      </c>
      <c r="B78" s="26">
        <v>45332.0</v>
      </c>
      <c r="C78" s="25">
        <v>230.0</v>
      </c>
      <c r="D78" s="25">
        <v>24.0</v>
      </c>
      <c r="E78" s="25">
        <v>6.0</v>
      </c>
      <c r="F78" s="25">
        <v>3.0</v>
      </c>
      <c r="G78" s="27" t="s">
        <v>24</v>
      </c>
    </row>
    <row r="79" ht="22.5" customHeight="1">
      <c r="A79" s="25">
        <v>2719.0</v>
      </c>
      <c r="B79" s="26">
        <v>45332.0</v>
      </c>
      <c r="C79" s="25">
        <v>57.0</v>
      </c>
      <c r="D79" s="25">
        <v>16.0</v>
      </c>
      <c r="E79" s="25">
        <v>1.0</v>
      </c>
      <c r="F79" s="25">
        <v>4.0</v>
      </c>
      <c r="G79" s="27" t="s">
        <v>24</v>
      </c>
    </row>
    <row r="80" ht="22.5" customHeight="1">
      <c r="A80" s="25">
        <v>621.0</v>
      </c>
      <c r="B80" s="26">
        <v>45333.0</v>
      </c>
      <c r="C80" s="25">
        <v>166.0</v>
      </c>
      <c r="D80" s="25">
        <v>3.0</v>
      </c>
      <c r="E80" s="25">
        <v>3.0</v>
      </c>
      <c r="F80" s="25">
        <v>3.0</v>
      </c>
      <c r="G80" s="27" t="s">
        <v>24</v>
      </c>
    </row>
    <row r="81" ht="22.5" customHeight="1">
      <c r="A81" s="25">
        <v>995.0</v>
      </c>
      <c r="B81" s="26">
        <v>45333.0</v>
      </c>
      <c r="C81" s="25">
        <v>224.0</v>
      </c>
      <c r="D81" s="25">
        <v>13.0</v>
      </c>
      <c r="E81" s="25">
        <v>5.0</v>
      </c>
      <c r="F81" s="25">
        <v>5.0</v>
      </c>
      <c r="G81" s="27" t="s">
        <v>24</v>
      </c>
    </row>
    <row r="82" ht="22.5" customHeight="1">
      <c r="A82" s="25">
        <v>1218.0</v>
      </c>
      <c r="B82" s="26">
        <v>45333.0</v>
      </c>
      <c r="C82" s="25">
        <v>34.0</v>
      </c>
      <c r="D82" s="25">
        <v>29.0</v>
      </c>
      <c r="E82" s="25">
        <v>1.0</v>
      </c>
      <c r="F82" s="25">
        <v>2.0</v>
      </c>
      <c r="G82" s="27" t="s">
        <v>24</v>
      </c>
    </row>
    <row r="83" ht="22.5" customHeight="1">
      <c r="A83" s="25">
        <v>1362.0</v>
      </c>
      <c r="B83" s="26">
        <v>45333.0</v>
      </c>
      <c r="C83" s="25">
        <v>120.0</v>
      </c>
      <c r="D83" s="25">
        <v>19.0</v>
      </c>
      <c r="E83" s="25">
        <v>2.0</v>
      </c>
      <c r="F83" s="25">
        <v>5.0</v>
      </c>
      <c r="G83" s="27" t="s">
        <v>25</v>
      </c>
    </row>
    <row r="84" ht="22.5" customHeight="1">
      <c r="A84" s="25">
        <v>1651.0</v>
      </c>
      <c r="B84" s="26">
        <v>45333.0</v>
      </c>
      <c r="C84" s="25">
        <v>85.0</v>
      </c>
      <c r="D84" s="25">
        <v>13.0</v>
      </c>
      <c r="E84" s="25">
        <v>6.0</v>
      </c>
      <c r="F84" s="25">
        <v>4.0</v>
      </c>
      <c r="G84" s="27" t="s">
        <v>24</v>
      </c>
    </row>
    <row r="85" ht="22.5" customHeight="1">
      <c r="A85" s="25">
        <v>1680.0</v>
      </c>
      <c r="B85" s="26">
        <v>45333.0</v>
      </c>
      <c r="C85" s="25">
        <v>241.0</v>
      </c>
      <c r="D85" s="25">
        <v>28.0</v>
      </c>
      <c r="E85" s="25">
        <v>3.0</v>
      </c>
      <c r="F85" s="25">
        <v>3.0</v>
      </c>
      <c r="G85" s="27" t="s">
        <v>24</v>
      </c>
    </row>
    <row r="86" ht="22.5" customHeight="1">
      <c r="A86" s="25">
        <v>1754.0</v>
      </c>
      <c r="B86" s="26">
        <v>45333.0</v>
      </c>
      <c r="C86" s="25">
        <v>212.0</v>
      </c>
      <c r="D86" s="25">
        <v>27.0</v>
      </c>
      <c r="E86" s="25">
        <v>3.0</v>
      </c>
      <c r="F86" s="25">
        <v>5.0</v>
      </c>
      <c r="G86" s="27" t="s">
        <v>24</v>
      </c>
    </row>
    <row r="87" ht="22.5" customHeight="1">
      <c r="A87" s="25">
        <v>1934.0</v>
      </c>
      <c r="B87" s="26">
        <v>45333.0</v>
      </c>
      <c r="C87" s="25">
        <v>69.0</v>
      </c>
      <c r="D87" s="25">
        <v>27.0</v>
      </c>
      <c r="E87" s="25">
        <v>1.0</v>
      </c>
      <c r="F87" s="25">
        <v>2.0</v>
      </c>
      <c r="G87" s="27" t="s">
        <v>24</v>
      </c>
    </row>
    <row r="88" ht="22.5" customHeight="1">
      <c r="A88" s="25">
        <v>2534.0</v>
      </c>
      <c r="B88" s="26">
        <v>45333.0</v>
      </c>
      <c r="C88" s="25">
        <v>250.0</v>
      </c>
      <c r="D88" s="25">
        <v>11.0</v>
      </c>
      <c r="E88" s="25">
        <v>1.0</v>
      </c>
      <c r="F88" s="25">
        <v>5.0</v>
      </c>
      <c r="G88" s="27" t="s">
        <v>24</v>
      </c>
    </row>
    <row r="89" ht="22.5" customHeight="1">
      <c r="A89" s="25">
        <v>2642.0</v>
      </c>
      <c r="B89" s="26">
        <v>45333.0</v>
      </c>
      <c r="C89" s="25">
        <v>54.0</v>
      </c>
      <c r="D89" s="25">
        <v>37.0</v>
      </c>
      <c r="E89" s="25">
        <v>5.0</v>
      </c>
      <c r="F89" s="25">
        <v>4.0</v>
      </c>
      <c r="G89" s="27" t="s">
        <v>24</v>
      </c>
    </row>
    <row r="90" ht="22.5" customHeight="1">
      <c r="A90" s="25">
        <v>2703.0</v>
      </c>
      <c r="B90" s="26">
        <v>45333.0</v>
      </c>
      <c r="C90" s="25">
        <v>255.0</v>
      </c>
      <c r="D90" s="25">
        <v>29.0</v>
      </c>
      <c r="E90" s="25">
        <v>3.0</v>
      </c>
      <c r="F90" s="25">
        <v>1.0</v>
      </c>
      <c r="G90" s="27" t="s">
        <v>25</v>
      </c>
    </row>
    <row r="91" ht="22.5" customHeight="1">
      <c r="A91" s="25">
        <v>2874.0</v>
      </c>
      <c r="B91" s="26">
        <v>45333.0</v>
      </c>
      <c r="C91" s="25">
        <v>87.0</v>
      </c>
      <c r="D91" s="25">
        <v>19.0</v>
      </c>
      <c r="E91" s="25">
        <v>4.0</v>
      </c>
      <c r="F91" s="25">
        <v>5.0</v>
      </c>
      <c r="G91" s="27" t="s">
        <v>24</v>
      </c>
    </row>
    <row r="92" ht="22.5" customHeight="1">
      <c r="A92" s="25">
        <v>2933.0</v>
      </c>
      <c r="B92" s="26">
        <v>45333.0</v>
      </c>
      <c r="C92" s="25">
        <v>307.0</v>
      </c>
      <c r="D92" s="25">
        <v>37.0</v>
      </c>
      <c r="E92" s="25">
        <v>4.0</v>
      </c>
      <c r="F92" s="25">
        <v>5.0</v>
      </c>
      <c r="G92" s="27" t="s">
        <v>24</v>
      </c>
    </row>
    <row r="93" ht="22.5" customHeight="1">
      <c r="A93" s="25">
        <v>29.0</v>
      </c>
      <c r="B93" s="26">
        <v>45334.0</v>
      </c>
      <c r="C93" s="25">
        <v>205.0</v>
      </c>
      <c r="D93" s="25">
        <v>38.0</v>
      </c>
      <c r="E93" s="25">
        <v>2.0</v>
      </c>
      <c r="F93" s="25">
        <v>3.0</v>
      </c>
      <c r="G93" s="27" t="s">
        <v>24</v>
      </c>
    </row>
    <row r="94" ht="22.5" customHeight="1">
      <c r="A94" s="25">
        <v>237.0</v>
      </c>
      <c r="B94" s="26">
        <v>45334.0</v>
      </c>
      <c r="C94" s="25">
        <v>182.0</v>
      </c>
      <c r="D94" s="25">
        <v>21.0</v>
      </c>
      <c r="E94" s="25">
        <v>4.0</v>
      </c>
      <c r="F94" s="25">
        <v>1.0</v>
      </c>
      <c r="G94" s="27" t="s">
        <v>24</v>
      </c>
    </row>
    <row r="95" ht="22.5" customHeight="1">
      <c r="A95" s="25">
        <v>488.0</v>
      </c>
      <c r="B95" s="26">
        <v>45334.0</v>
      </c>
      <c r="C95" s="25">
        <v>47.0</v>
      </c>
      <c r="D95" s="25">
        <v>14.0</v>
      </c>
      <c r="E95" s="25">
        <v>2.0</v>
      </c>
      <c r="F95" s="25">
        <v>5.0</v>
      </c>
      <c r="G95" s="27" t="s">
        <v>24</v>
      </c>
    </row>
    <row r="96" ht="22.5" customHeight="1">
      <c r="A96" s="25">
        <v>1168.0</v>
      </c>
      <c r="B96" s="26">
        <v>45334.0</v>
      </c>
      <c r="C96" s="25">
        <v>286.0</v>
      </c>
      <c r="D96" s="25">
        <v>4.0</v>
      </c>
      <c r="E96" s="25">
        <v>4.0</v>
      </c>
      <c r="F96" s="25">
        <v>5.0</v>
      </c>
      <c r="G96" s="27" t="s">
        <v>24</v>
      </c>
    </row>
    <row r="97" ht="22.5" customHeight="1">
      <c r="A97" s="25">
        <v>1540.0</v>
      </c>
      <c r="B97" s="26">
        <v>45334.0</v>
      </c>
      <c r="C97" s="25">
        <v>273.0</v>
      </c>
      <c r="D97" s="25">
        <v>14.0</v>
      </c>
      <c r="E97" s="25">
        <v>6.0</v>
      </c>
      <c r="F97" s="25">
        <v>3.0</v>
      </c>
      <c r="G97" s="27" t="s">
        <v>24</v>
      </c>
    </row>
    <row r="98" ht="22.5" customHeight="1">
      <c r="A98" s="25">
        <v>2007.0</v>
      </c>
      <c r="B98" s="26">
        <v>45334.0</v>
      </c>
      <c r="C98" s="25">
        <v>288.0</v>
      </c>
      <c r="D98" s="25">
        <v>14.0</v>
      </c>
      <c r="E98" s="25">
        <v>2.0</v>
      </c>
      <c r="F98" s="25">
        <v>4.0</v>
      </c>
      <c r="G98" s="27" t="s">
        <v>24</v>
      </c>
    </row>
    <row r="99" ht="22.5" customHeight="1">
      <c r="A99" s="25">
        <v>2236.0</v>
      </c>
      <c r="B99" s="26">
        <v>45334.0</v>
      </c>
      <c r="C99" s="25">
        <v>295.0</v>
      </c>
      <c r="D99" s="25">
        <v>18.0</v>
      </c>
      <c r="E99" s="25">
        <v>4.0</v>
      </c>
      <c r="F99" s="25">
        <v>5.0</v>
      </c>
      <c r="G99" s="27" t="s">
        <v>24</v>
      </c>
    </row>
    <row r="100" ht="22.5" customHeight="1">
      <c r="A100" s="25">
        <v>8.0</v>
      </c>
      <c r="B100" s="26">
        <v>45335.0</v>
      </c>
      <c r="C100" s="25">
        <v>214.0</v>
      </c>
      <c r="D100" s="25">
        <v>38.0</v>
      </c>
      <c r="E100" s="25">
        <v>4.0</v>
      </c>
      <c r="F100" s="25">
        <v>4.0</v>
      </c>
      <c r="G100" s="27" t="s">
        <v>24</v>
      </c>
    </row>
    <row r="101" ht="22.5" customHeight="1">
      <c r="A101" s="25">
        <v>14.0</v>
      </c>
      <c r="B101" s="26">
        <v>45335.0</v>
      </c>
      <c r="C101" s="25">
        <v>171.0</v>
      </c>
      <c r="D101" s="25">
        <v>22.0</v>
      </c>
      <c r="E101" s="25">
        <v>4.0</v>
      </c>
      <c r="F101" s="25">
        <v>3.0</v>
      </c>
      <c r="G101" s="27" t="s">
        <v>24</v>
      </c>
    </row>
    <row r="102" ht="22.5" customHeight="1">
      <c r="A102" s="25">
        <v>459.0</v>
      </c>
      <c r="B102" s="26">
        <v>45335.0</v>
      </c>
      <c r="C102" s="25">
        <v>128.0</v>
      </c>
      <c r="D102" s="25">
        <v>24.0</v>
      </c>
      <c r="E102" s="25">
        <v>4.0</v>
      </c>
      <c r="F102" s="25">
        <v>3.0</v>
      </c>
      <c r="G102" s="27" t="s">
        <v>24</v>
      </c>
    </row>
    <row r="103" ht="22.5" customHeight="1">
      <c r="A103" s="25">
        <v>681.0</v>
      </c>
      <c r="B103" s="26">
        <v>45335.0</v>
      </c>
      <c r="C103" s="25">
        <v>14.0</v>
      </c>
      <c r="D103" s="25">
        <v>29.0</v>
      </c>
      <c r="E103" s="25">
        <v>3.0</v>
      </c>
      <c r="F103" s="25">
        <v>3.0</v>
      </c>
      <c r="G103" s="27" t="s">
        <v>24</v>
      </c>
    </row>
    <row r="104" ht="22.5" customHeight="1">
      <c r="A104" s="25">
        <v>821.0</v>
      </c>
      <c r="B104" s="26">
        <v>45335.0</v>
      </c>
      <c r="C104" s="25">
        <v>43.0</v>
      </c>
      <c r="D104" s="25">
        <v>1.0</v>
      </c>
      <c r="E104" s="25">
        <v>3.0</v>
      </c>
      <c r="F104" s="25">
        <v>5.0</v>
      </c>
      <c r="G104" s="27" t="s">
        <v>25</v>
      </c>
    </row>
    <row r="105" ht="22.5" customHeight="1">
      <c r="A105" s="25">
        <v>908.0</v>
      </c>
      <c r="B105" s="26">
        <v>45335.0</v>
      </c>
      <c r="C105" s="25">
        <v>141.0</v>
      </c>
      <c r="D105" s="25">
        <v>11.0</v>
      </c>
      <c r="E105" s="25">
        <v>4.0</v>
      </c>
      <c r="F105" s="25">
        <v>4.0</v>
      </c>
      <c r="G105" s="27" t="s">
        <v>25</v>
      </c>
    </row>
    <row r="106" ht="22.5" customHeight="1">
      <c r="A106" s="25">
        <v>1826.0</v>
      </c>
      <c r="B106" s="26">
        <v>45335.0</v>
      </c>
      <c r="C106" s="25">
        <v>300.0</v>
      </c>
      <c r="D106" s="25">
        <v>20.0</v>
      </c>
      <c r="E106" s="25">
        <v>1.0</v>
      </c>
      <c r="F106" s="25">
        <v>1.0</v>
      </c>
      <c r="G106" s="27" t="s">
        <v>24</v>
      </c>
    </row>
    <row r="107" ht="22.5" customHeight="1">
      <c r="A107" s="25">
        <v>2355.0</v>
      </c>
      <c r="B107" s="26">
        <v>45335.0</v>
      </c>
      <c r="C107" s="25">
        <v>150.0</v>
      </c>
      <c r="D107" s="25">
        <v>35.0</v>
      </c>
      <c r="E107" s="25">
        <v>2.0</v>
      </c>
      <c r="F107" s="25">
        <v>5.0</v>
      </c>
      <c r="G107" s="27" t="s">
        <v>24</v>
      </c>
    </row>
    <row r="108" ht="22.5" customHeight="1">
      <c r="A108" s="25">
        <v>2555.0</v>
      </c>
      <c r="B108" s="26">
        <v>45335.0</v>
      </c>
      <c r="C108" s="25">
        <v>130.0</v>
      </c>
      <c r="D108" s="25">
        <v>33.0</v>
      </c>
      <c r="E108" s="25">
        <v>3.0</v>
      </c>
      <c r="F108" s="25">
        <v>5.0</v>
      </c>
      <c r="G108" s="27" t="s">
        <v>24</v>
      </c>
    </row>
    <row r="109" ht="22.5" customHeight="1">
      <c r="A109" s="25">
        <v>2572.0</v>
      </c>
      <c r="B109" s="26">
        <v>45335.0</v>
      </c>
      <c r="C109" s="25">
        <v>258.0</v>
      </c>
      <c r="D109" s="25">
        <v>26.0</v>
      </c>
      <c r="E109" s="25">
        <v>4.0</v>
      </c>
      <c r="F109" s="25">
        <v>1.0</v>
      </c>
      <c r="G109" s="27" t="s">
        <v>24</v>
      </c>
    </row>
    <row r="110" ht="22.5" customHeight="1">
      <c r="A110" s="25">
        <v>2687.0</v>
      </c>
      <c r="B110" s="26">
        <v>45335.0</v>
      </c>
      <c r="C110" s="25">
        <v>73.0</v>
      </c>
      <c r="D110" s="25">
        <v>29.0</v>
      </c>
      <c r="E110" s="25">
        <v>4.0</v>
      </c>
      <c r="F110" s="25">
        <v>5.0</v>
      </c>
      <c r="G110" s="27" t="s">
        <v>24</v>
      </c>
    </row>
    <row r="111" ht="22.5" customHeight="1">
      <c r="A111" s="25">
        <v>2709.0</v>
      </c>
      <c r="B111" s="26">
        <v>45335.0</v>
      </c>
      <c r="C111" s="25">
        <v>304.0</v>
      </c>
      <c r="D111" s="25">
        <v>12.0</v>
      </c>
      <c r="E111" s="25">
        <v>2.0</v>
      </c>
      <c r="F111" s="25">
        <v>1.0</v>
      </c>
      <c r="G111" s="27" t="s">
        <v>25</v>
      </c>
    </row>
    <row r="112" ht="22.5" customHeight="1">
      <c r="A112" s="25">
        <v>1271.0</v>
      </c>
      <c r="B112" s="26">
        <v>45336.0</v>
      </c>
      <c r="C112" s="25">
        <v>190.0</v>
      </c>
      <c r="D112" s="25">
        <v>27.0</v>
      </c>
      <c r="E112" s="25">
        <v>5.0</v>
      </c>
      <c r="F112" s="25">
        <v>3.0</v>
      </c>
      <c r="G112" s="27" t="s">
        <v>24</v>
      </c>
    </row>
    <row r="113" ht="22.5" customHeight="1">
      <c r="A113" s="25">
        <v>1975.0</v>
      </c>
      <c r="B113" s="26">
        <v>45336.0</v>
      </c>
      <c r="C113" s="25">
        <v>118.0</v>
      </c>
      <c r="D113" s="25">
        <v>4.0</v>
      </c>
      <c r="E113" s="25">
        <v>6.0</v>
      </c>
      <c r="F113" s="25">
        <v>5.0</v>
      </c>
      <c r="G113" s="27" t="s">
        <v>24</v>
      </c>
    </row>
    <row r="114" ht="22.5" customHeight="1">
      <c r="A114" s="25">
        <v>2076.0</v>
      </c>
      <c r="B114" s="26">
        <v>45336.0</v>
      </c>
      <c r="C114" s="25">
        <v>5.0</v>
      </c>
      <c r="D114" s="25">
        <v>1.0</v>
      </c>
      <c r="E114" s="25">
        <v>1.0</v>
      </c>
      <c r="F114" s="25">
        <v>4.0</v>
      </c>
      <c r="G114" s="27" t="s">
        <v>24</v>
      </c>
    </row>
    <row r="115" ht="22.5" customHeight="1">
      <c r="A115" s="25">
        <v>2559.0</v>
      </c>
      <c r="B115" s="26">
        <v>45336.0</v>
      </c>
      <c r="C115" s="25">
        <v>87.0</v>
      </c>
      <c r="D115" s="25">
        <v>15.0</v>
      </c>
      <c r="E115" s="25">
        <v>6.0</v>
      </c>
      <c r="F115" s="25">
        <v>1.0</v>
      </c>
      <c r="G115" s="27" t="s">
        <v>25</v>
      </c>
    </row>
    <row r="116" ht="22.5" customHeight="1">
      <c r="A116" s="25">
        <v>2763.0</v>
      </c>
      <c r="B116" s="26">
        <v>45336.0</v>
      </c>
      <c r="C116" s="25">
        <v>273.0</v>
      </c>
      <c r="D116" s="25">
        <v>21.0</v>
      </c>
      <c r="E116" s="25">
        <v>5.0</v>
      </c>
      <c r="F116" s="25">
        <v>5.0</v>
      </c>
      <c r="G116" s="27" t="s">
        <v>24</v>
      </c>
    </row>
    <row r="117" ht="22.5" customHeight="1">
      <c r="A117" s="25">
        <v>2801.0</v>
      </c>
      <c r="B117" s="26">
        <v>45336.0</v>
      </c>
      <c r="C117" s="25">
        <v>105.0</v>
      </c>
      <c r="D117" s="25">
        <v>17.0</v>
      </c>
      <c r="E117" s="25">
        <v>5.0</v>
      </c>
      <c r="F117" s="25">
        <v>3.0</v>
      </c>
      <c r="G117" s="27" t="s">
        <v>24</v>
      </c>
    </row>
    <row r="118" ht="22.5" customHeight="1">
      <c r="A118" s="25">
        <v>34.0</v>
      </c>
      <c r="B118" s="26">
        <v>45337.0</v>
      </c>
      <c r="C118" s="25">
        <v>325.0</v>
      </c>
      <c r="D118" s="25">
        <v>35.0</v>
      </c>
      <c r="E118" s="25">
        <v>5.0</v>
      </c>
      <c r="F118" s="25">
        <v>2.0</v>
      </c>
      <c r="G118" s="27" t="s">
        <v>24</v>
      </c>
    </row>
    <row r="119" ht="22.5" customHeight="1">
      <c r="A119" s="25">
        <v>294.0</v>
      </c>
      <c r="B119" s="26">
        <v>45337.0</v>
      </c>
      <c r="C119" s="25">
        <v>85.0</v>
      </c>
      <c r="D119" s="25">
        <v>24.0</v>
      </c>
      <c r="E119" s="25">
        <v>3.0</v>
      </c>
      <c r="F119" s="25">
        <v>2.0</v>
      </c>
      <c r="G119" s="27" t="s">
        <v>24</v>
      </c>
    </row>
    <row r="120" ht="22.5" customHeight="1">
      <c r="A120" s="25">
        <v>627.0</v>
      </c>
      <c r="B120" s="26">
        <v>45337.0</v>
      </c>
      <c r="C120" s="25">
        <v>312.0</v>
      </c>
      <c r="D120" s="25">
        <v>24.0</v>
      </c>
      <c r="E120" s="25">
        <v>6.0</v>
      </c>
      <c r="F120" s="25">
        <v>5.0</v>
      </c>
      <c r="G120" s="27" t="s">
        <v>24</v>
      </c>
    </row>
    <row r="121" ht="22.5" customHeight="1">
      <c r="A121" s="25">
        <v>696.0</v>
      </c>
      <c r="B121" s="26">
        <v>45337.0</v>
      </c>
      <c r="C121" s="25">
        <v>76.0</v>
      </c>
      <c r="D121" s="25">
        <v>13.0</v>
      </c>
      <c r="E121" s="25">
        <v>3.0</v>
      </c>
      <c r="F121" s="25">
        <v>1.0</v>
      </c>
      <c r="G121" s="27" t="s">
        <v>24</v>
      </c>
    </row>
    <row r="122" ht="22.5" customHeight="1">
      <c r="A122" s="25">
        <v>938.0</v>
      </c>
      <c r="B122" s="26">
        <v>45337.0</v>
      </c>
      <c r="C122" s="25">
        <v>204.0</v>
      </c>
      <c r="D122" s="25">
        <v>1.0</v>
      </c>
      <c r="E122" s="25">
        <v>1.0</v>
      </c>
      <c r="F122" s="25">
        <v>4.0</v>
      </c>
      <c r="G122" s="27" t="s">
        <v>24</v>
      </c>
    </row>
    <row r="123" ht="22.5" customHeight="1">
      <c r="A123" s="25">
        <v>1700.0</v>
      </c>
      <c r="B123" s="26">
        <v>45337.0</v>
      </c>
      <c r="C123" s="25">
        <v>158.0</v>
      </c>
      <c r="D123" s="25">
        <v>33.0</v>
      </c>
      <c r="E123" s="25">
        <v>4.0</v>
      </c>
      <c r="F123" s="25">
        <v>4.0</v>
      </c>
      <c r="G123" s="27" t="s">
        <v>24</v>
      </c>
    </row>
    <row r="124" ht="22.5" customHeight="1">
      <c r="A124" s="25">
        <v>1928.0</v>
      </c>
      <c r="B124" s="26">
        <v>45337.0</v>
      </c>
      <c r="C124" s="25">
        <v>310.0</v>
      </c>
      <c r="D124" s="25">
        <v>35.0</v>
      </c>
      <c r="E124" s="25">
        <v>1.0</v>
      </c>
      <c r="F124" s="25">
        <v>1.0</v>
      </c>
      <c r="G124" s="27" t="s">
        <v>24</v>
      </c>
    </row>
    <row r="125" ht="22.5" customHeight="1">
      <c r="A125" s="25">
        <v>2214.0</v>
      </c>
      <c r="B125" s="26">
        <v>45337.0</v>
      </c>
      <c r="C125" s="25">
        <v>187.0</v>
      </c>
      <c r="D125" s="25">
        <v>7.0</v>
      </c>
      <c r="E125" s="25">
        <v>5.0</v>
      </c>
      <c r="F125" s="25">
        <v>5.0</v>
      </c>
      <c r="G125" s="27" t="s">
        <v>24</v>
      </c>
    </row>
    <row r="126" ht="22.5" customHeight="1">
      <c r="A126" s="25">
        <v>2238.0</v>
      </c>
      <c r="B126" s="26">
        <v>45337.0</v>
      </c>
      <c r="C126" s="25">
        <v>231.0</v>
      </c>
      <c r="D126" s="25">
        <v>12.0</v>
      </c>
      <c r="E126" s="25">
        <v>3.0</v>
      </c>
      <c r="F126" s="25">
        <v>4.0</v>
      </c>
      <c r="G126" s="27" t="s">
        <v>24</v>
      </c>
    </row>
    <row r="127" ht="22.5" customHeight="1">
      <c r="A127" s="25">
        <v>2481.0</v>
      </c>
      <c r="B127" s="26">
        <v>45337.0</v>
      </c>
      <c r="C127" s="25">
        <v>166.0</v>
      </c>
      <c r="D127" s="25">
        <v>4.0</v>
      </c>
      <c r="E127" s="25">
        <v>2.0</v>
      </c>
      <c r="F127" s="25">
        <v>5.0</v>
      </c>
      <c r="G127" s="27" t="s">
        <v>25</v>
      </c>
    </row>
    <row r="128" ht="22.5" customHeight="1">
      <c r="A128" s="25">
        <v>2604.0</v>
      </c>
      <c r="B128" s="26">
        <v>45337.0</v>
      </c>
      <c r="C128" s="25">
        <v>319.0</v>
      </c>
      <c r="D128" s="25">
        <v>23.0</v>
      </c>
      <c r="E128" s="25">
        <v>1.0</v>
      </c>
      <c r="F128" s="25">
        <v>5.0</v>
      </c>
      <c r="G128" s="27" t="s">
        <v>24</v>
      </c>
    </row>
    <row r="129" ht="22.5" customHeight="1">
      <c r="A129" s="25">
        <v>481.0</v>
      </c>
      <c r="B129" s="26">
        <v>45338.0</v>
      </c>
      <c r="C129" s="25">
        <v>109.0</v>
      </c>
      <c r="D129" s="25">
        <v>19.0</v>
      </c>
      <c r="E129" s="25">
        <v>3.0</v>
      </c>
      <c r="F129" s="25">
        <v>3.0</v>
      </c>
      <c r="G129" s="27" t="s">
        <v>24</v>
      </c>
    </row>
    <row r="130" ht="22.5" customHeight="1">
      <c r="A130" s="25">
        <v>641.0</v>
      </c>
      <c r="B130" s="26">
        <v>45338.0</v>
      </c>
      <c r="C130" s="25">
        <v>184.0</v>
      </c>
      <c r="D130" s="25">
        <v>17.0</v>
      </c>
      <c r="E130" s="25">
        <v>5.0</v>
      </c>
      <c r="F130" s="25">
        <v>5.0</v>
      </c>
      <c r="G130" s="27" t="s">
        <v>24</v>
      </c>
    </row>
    <row r="131" ht="22.5" customHeight="1">
      <c r="A131" s="25">
        <v>735.0</v>
      </c>
      <c r="B131" s="26">
        <v>45338.0</v>
      </c>
      <c r="C131" s="25">
        <v>183.0</v>
      </c>
      <c r="D131" s="25">
        <v>20.0</v>
      </c>
      <c r="E131" s="25">
        <v>2.0</v>
      </c>
      <c r="F131" s="25">
        <v>1.0</v>
      </c>
      <c r="G131" s="27" t="s">
        <v>24</v>
      </c>
    </row>
    <row r="132" ht="22.5" customHeight="1">
      <c r="A132" s="25">
        <v>779.0</v>
      </c>
      <c r="B132" s="26">
        <v>45338.0</v>
      </c>
      <c r="C132" s="25">
        <v>252.0</v>
      </c>
      <c r="D132" s="25">
        <v>14.0</v>
      </c>
      <c r="E132" s="25">
        <v>2.0</v>
      </c>
      <c r="F132" s="25">
        <v>3.0</v>
      </c>
      <c r="G132" s="27" t="s">
        <v>24</v>
      </c>
    </row>
    <row r="133" ht="22.5" customHeight="1">
      <c r="A133" s="25">
        <v>1174.0</v>
      </c>
      <c r="B133" s="26">
        <v>45338.0</v>
      </c>
      <c r="C133" s="25">
        <v>286.0</v>
      </c>
      <c r="D133" s="25">
        <v>14.0</v>
      </c>
      <c r="E133" s="25">
        <v>1.0</v>
      </c>
      <c r="F133" s="25">
        <v>1.0</v>
      </c>
      <c r="G133" s="27" t="s">
        <v>24</v>
      </c>
    </row>
    <row r="134" ht="22.5" customHeight="1">
      <c r="A134" s="25">
        <v>1253.0</v>
      </c>
      <c r="B134" s="26">
        <v>45338.0</v>
      </c>
      <c r="C134" s="25">
        <v>50.0</v>
      </c>
      <c r="D134" s="25">
        <v>13.0</v>
      </c>
      <c r="E134" s="25">
        <v>1.0</v>
      </c>
      <c r="F134" s="25">
        <v>2.0</v>
      </c>
      <c r="G134" s="27" t="s">
        <v>24</v>
      </c>
    </row>
    <row r="135" ht="22.5" customHeight="1">
      <c r="A135" s="25">
        <v>1263.0</v>
      </c>
      <c r="B135" s="26">
        <v>45338.0</v>
      </c>
      <c r="C135" s="25">
        <v>48.0</v>
      </c>
      <c r="D135" s="25">
        <v>38.0</v>
      </c>
      <c r="E135" s="25">
        <v>5.0</v>
      </c>
      <c r="F135" s="25">
        <v>3.0</v>
      </c>
      <c r="G135" s="27" t="s">
        <v>24</v>
      </c>
    </row>
    <row r="136" ht="22.5" customHeight="1">
      <c r="A136" s="25">
        <v>1479.0</v>
      </c>
      <c r="B136" s="26">
        <v>45338.0</v>
      </c>
      <c r="C136" s="25">
        <v>211.0</v>
      </c>
      <c r="D136" s="25">
        <v>33.0</v>
      </c>
      <c r="E136" s="25">
        <v>1.0</v>
      </c>
      <c r="F136" s="25">
        <v>1.0</v>
      </c>
      <c r="G136" s="27" t="s">
        <v>24</v>
      </c>
    </row>
    <row r="137" ht="22.5" customHeight="1">
      <c r="A137" s="25">
        <v>2323.0</v>
      </c>
      <c r="B137" s="26">
        <v>45338.0</v>
      </c>
      <c r="C137" s="25">
        <v>98.0</v>
      </c>
      <c r="D137" s="25">
        <v>25.0</v>
      </c>
      <c r="E137" s="25">
        <v>3.0</v>
      </c>
      <c r="F137" s="25">
        <v>3.0</v>
      </c>
      <c r="G137" s="27" t="s">
        <v>24</v>
      </c>
    </row>
    <row r="138" ht="22.5" customHeight="1">
      <c r="A138" s="25">
        <v>2362.0</v>
      </c>
      <c r="B138" s="26">
        <v>45338.0</v>
      </c>
      <c r="C138" s="25">
        <v>109.0</v>
      </c>
      <c r="D138" s="25">
        <v>36.0</v>
      </c>
      <c r="E138" s="25">
        <v>6.0</v>
      </c>
      <c r="F138" s="25">
        <v>1.0</v>
      </c>
      <c r="G138" s="27" t="s">
        <v>24</v>
      </c>
    </row>
    <row r="139" ht="22.5" customHeight="1">
      <c r="A139" s="25">
        <v>2771.0</v>
      </c>
      <c r="B139" s="26">
        <v>45338.0</v>
      </c>
      <c r="C139" s="25">
        <v>39.0</v>
      </c>
      <c r="D139" s="25">
        <v>7.0</v>
      </c>
      <c r="E139" s="25">
        <v>2.0</v>
      </c>
      <c r="F139" s="25">
        <v>3.0</v>
      </c>
      <c r="G139" s="27" t="s">
        <v>24</v>
      </c>
    </row>
    <row r="140" ht="22.5" customHeight="1">
      <c r="A140" s="25">
        <v>2937.0</v>
      </c>
      <c r="B140" s="26">
        <v>45338.0</v>
      </c>
      <c r="C140" s="25">
        <v>124.0</v>
      </c>
      <c r="D140" s="25">
        <v>3.0</v>
      </c>
      <c r="E140" s="25">
        <v>3.0</v>
      </c>
      <c r="F140" s="25">
        <v>2.0</v>
      </c>
      <c r="G140" s="27" t="s">
        <v>24</v>
      </c>
    </row>
    <row r="141" ht="22.5" customHeight="1">
      <c r="A141" s="25">
        <v>207.0</v>
      </c>
      <c r="B141" s="26">
        <v>45339.0</v>
      </c>
      <c r="C141" s="25">
        <v>203.0</v>
      </c>
      <c r="D141" s="25">
        <v>20.0</v>
      </c>
      <c r="E141" s="25">
        <v>2.0</v>
      </c>
      <c r="F141" s="25">
        <v>5.0</v>
      </c>
      <c r="G141" s="27" t="s">
        <v>24</v>
      </c>
    </row>
    <row r="142" ht="22.5" customHeight="1">
      <c r="A142" s="25">
        <v>297.0</v>
      </c>
      <c r="B142" s="26">
        <v>45339.0</v>
      </c>
      <c r="C142" s="25">
        <v>302.0</v>
      </c>
      <c r="D142" s="25">
        <v>3.0</v>
      </c>
      <c r="E142" s="25">
        <v>4.0</v>
      </c>
      <c r="F142" s="25">
        <v>5.0</v>
      </c>
      <c r="G142" s="27" t="s">
        <v>25</v>
      </c>
    </row>
    <row r="143" ht="22.5" customHeight="1">
      <c r="A143" s="25">
        <v>386.0</v>
      </c>
      <c r="B143" s="26">
        <v>45339.0</v>
      </c>
      <c r="C143" s="25">
        <v>250.0</v>
      </c>
      <c r="D143" s="25">
        <v>32.0</v>
      </c>
      <c r="E143" s="25">
        <v>6.0</v>
      </c>
      <c r="F143" s="25">
        <v>5.0</v>
      </c>
      <c r="G143" s="27" t="s">
        <v>25</v>
      </c>
    </row>
    <row r="144" ht="22.5" customHeight="1">
      <c r="A144" s="25">
        <v>572.0</v>
      </c>
      <c r="B144" s="26">
        <v>45339.0</v>
      </c>
      <c r="C144" s="25">
        <v>95.0</v>
      </c>
      <c r="D144" s="25">
        <v>18.0</v>
      </c>
      <c r="E144" s="25">
        <v>5.0</v>
      </c>
      <c r="F144" s="25">
        <v>1.0</v>
      </c>
      <c r="G144" s="27" t="s">
        <v>24</v>
      </c>
    </row>
    <row r="145" ht="22.5" customHeight="1">
      <c r="A145" s="25">
        <v>812.0</v>
      </c>
      <c r="B145" s="26">
        <v>45339.0</v>
      </c>
      <c r="C145" s="25">
        <v>280.0</v>
      </c>
      <c r="D145" s="25">
        <v>7.0</v>
      </c>
      <c r="E145" s="25">
        <v>4.0</v>
      </c>
      <c r="F145" s="25">
        <v>3.0</v>
      </c>
      <c r="G145" s="27" t="s">
        <v>24</v>
      </c>
    </row>
    <row r="146" ht="22.5" customHeight="1">
      <c r="A146" s="25">
        <v>1079.0</v>
      </c>
      <c r="B146" s="26">
        <v>45339.0</v>
      </c>
      <c r="C146" s="25">
        <v>8.0</v>
      </c>
      <c r="D146" s="25">
        <v>31.0</v>
      </c>
      <c r="E146" s="25">
        <v>6.0</v>
      </c>
      <c r="F146" s="25">
        <v>3.0</v>
      </c>
      <c r="G146" s="27" t="s">
        <v>24</v>
      </c>
    </row>
    <row r="147" ht="22.5" customHeight="1">
      <c r="A147" s="25">
        <v>1095.0</v>
      </c>
      <c r="B147" s="26">
        <v>45339.0</v>
      </c>
      <c r="C147" s="25">
        <v>326.0</v>
      </c>
      <c r="D147" s="25">
        <v>2.0</v>
      </c>
      <c r="E147" s="25">
        <v>5.0</v>
      </c>
      <c r="F147" s="25">
        <v>5.0</v>
      </c>
      <c r="G147" s="27" t="s">
        <v>25</v>
      </c>
    </row>
    <row r="148" ht="22.5" customHeight="1">
      <c r="A148" s="25">
        <v>1842.0</v>
      </c>
      <c r="B148" s="26">
        <v>45339.0</v>
      </c>
      <c r="C148" s="25">
        <v>224.0</v>
      </c>
      <c r="D148" s="25">
        <v>29.0</v>
      </c>
      <c r="E148" s="25">
        <v>2.0</v>
      </c>
      <c r="F148" s="25">
        <v>1.0</v>
      </c>
      <c r="G148" s="27" t="s">
        <v>24</v>
      </c>
    </row>
    <row r="149" ht="22.5" customHeight="1">
      <c r="A149" s="25">
        <v>1863.0</v>
      </c>
      <c r="B149" s="26">
        <v>45339.0</v>
      </c>
      <c r="C149" s="25">
        <v>46.0</v>
      </c>
      <c r="D149" s="25">
        <v>26.0</v>
      </c>
      <c r="E149" s="25">
        <v>5.0</v>
      </c>
      <c r="F149" s="25">
        <v>4.0</v>
      </c>
      <c r="G149" s="27" t="s">
        <v>24</v>
      </c>
    </row>
    <row r="150" ht="22.5" customHeight="1">
      <c r="A150" s="25">
        <v>2045.0</v>
      </c>
      <c r="B150" s="26">
        <v>45339.0</v>
      </c>
      <c r="C150" s="25">
        <v>97.0</v>
      </c>
      <c r="D150" s="25">
        <v>8.0</v>
      </c>
      <c r="E150" s="25">
        <v>3.0</v>
      </c>
      <c r="F150" s="25">
        <v>4.0</v>
      </c>
      <c r="G150" s="27" t="s">
        <v>24</v>
      </c>
    </row>
    <row r="151" ht="22.5" customHeight="1">
      <c r="A151" s="25">
        <v>2375.0</v>
      </c>
      <c r="B151" s="26">
        <v>45339.0</v>
      </c>
      <c r="C151" s="25">
        <v>82.0</v>
      </c>
      <c r="D151" s="25">
        <v>38.0</v>
      </c>
      <c r="E151" s="25">
        <v>1.0</v>
      </c>
      <c r="F151" s="25">
        <v>3.0</v>
      </c>
      <c r="G151" s="27" t="s">
        <v>24</v>
      </c>
    </row>
    <row r="152" ht="22.5" customHeight="1">
      <c r="A152" s="25">
        <v>2634.0</v>
      </c>
      <c r="B152" s="26">
        <v>45339.0</v>
      </c>
      <c r="C152" s="25">
        <v>31.0</v>
      </c>
      <c r="D152" s="25">
        <v>15.0</v>
      </c>
      <c r="E152" s="25">
        <v>6.0</v>
      </c>
      <c r="F152" s="25">
        <v>5.0</v>
      </c>
      <c r="G152" s="27" t="s">
        <v>24</v>
      </c>
    </row>
    <row r="153" ht="22.5" customHeight="1">
      <c r="A153" s="25">
        <v>77.0</v>
      </c>
      <c r="B153" s="26">
        <v>45340.0</v>
      </c>
      <c r="C153" s="25">
        <v>320.0</v>
      </c>
      <c r="D153" s="25">
        <v>27.0</v>
      </c>
      <c r="E153" s="25">
        <v>2.0</v>
      </c>
      <c r="F153" s="25">
        <v>3.0</v>
      </c>
      <c r="G153" s="27" t="s">
        <v>24</v>
      </c>
    </row>
    <row r="154" ht="22.5" customHeight="1">
      <c r="A154" s="25">
        <v>131.0</v>
      </c>
      <c r="B154" s="26">
        <v>45340.0</v>
      </c>
      <c r="C154" s="25">
        <v>17.0</v>
      </c>
      <c r="D154" s="25">
        <v>23.0</v>
      </c>
      <c r="E154" s="25">
        <v>5.0</v>
      </c>
      <c r="F154" s="25">
        <v>4.0</v>
      </c>
      <c r="G154" s="27" t="s">
        <v>24</v>
      </c>
    </row>
    <row r="155" ht="22.5" customHeight="1">
      <c r="A155" s="25">
        <v>166.0</v>
      </c>
      <c r="B155" s="26">
        <v>45340.0</v>
      </c>
      <c r="C155" s="25">
        <v>25.0</v>
      </c>
      <c r="D155" s="25">
        <v>13.0</v>
      </c>
      <c r="E155" s="25">
        <v>5.0</v>
      </c>
      <c r="F155" s="25">
        <v>5.0</v>
      </c>
      <c r="G155" s="27" t="s">
        <v>24</v>
      </c>
    </row>
    <row r="156" ht="22.5" customHeight="1">
      <c r="A156" s="25">
        <v>223.0</v>
      </c>
      <c r="B156" s="26">
        <v>45340.0</v>
      </c>
      <c r="C156" s="25">
        <v>221.0</v>
      </c>
      <c r="D156" s="25">
        <v>29.0</v>
      </c>
      <c r="E156" s="25">
        <v>1.0</v>
      </c>
      <c r="F156" s="25">
        <v>5.0</v>
      </c>
      <c r="G156" s="27" t="s">
        <v>24</v>
      </c>
    </row>
    <row r="157" ht="22.5" customHeight="1">
      <c r="A157" s="25">
        <v>236.0</v>
      </c>
      <c r="B157" s="26">
        <v>45340.0</v>
      </c>
      <c r="C157" s="25">
        <v>44.0</v>
      </c>
      <c r="D157" s="25">
        <v>21.0</v>
      </c>
      <c r="E157" s="25">
        <v>4.0</v>
      </c>
      <c r="F157" s="25">
        <v>5.0</v>
      </c>
      <c r="G157" s="27" t="s">
        <v>25</v>
      </c>
    </row>
    <row r="158" ht="22.5" customHeight="1">
      <c r="A158" s="25">
        <v>434.0</v>
      </c>
      <c r="B158" s="26">
        <v>45340.0</v>
      </c>
      <c r="C158" s="25">
        <v>90.0</v>
      </c>
      <c r="D158" s="25">
        <v>23.0</v>
      </c>
      <c r="E158" s="25">
        <v>1.0</v>
      </c>
      <c r="F158" s="25">
        <v>5.0</v>
      </c>
      <c r="G158" s="27" t="s">
        <v>24</v>
      </c>
    </row>
    <row r="159" ht="22.5" customHeight="1">
      <c r="A159" s="25">
        <v>539.0</v>
      </c>
      <c r="B159" s="26">
        <v>45340.0</v>
      </c>
      <c r="C159" s="25">
        <v>274.0</v>
      </c>
      <c r="D159" s="25">
        <v>14.0</v>
      </c>
      <c r="E159" s="25">
        <v>2.0</v>
      </c>
      <c r="F159" s="25">
        <v>5.0</v>
      </c>
      <c r="G159" s="27" t="s">
        <v>24</v>
      </c>
    </row>
    <row r="160" ht="22.5" customHeight="1">
      <c r="A160" s="25">
        <v>801.0</v>
      </c>
      <c r="B160" s="26">
        <v>45340.0</v>
      </c>
      <c r="C160" s="25">
        <v>37.0</v>
      </c>
      <c r="D160" s="25">
        <v>27.0</v>
      </c>
      <c r="E160" s="25">
        <v>3.0</v>
      </c>
      <c r="F160" s="25">
        <v>1.0</v>
      </c>
      <c r="G160" s="27" t="s">
        <v>24</v>
      </c>
    </row>
    <row r="161" ht="22.5" customHeight="1">
      <c r="A161" s="25">
        <v>1007.0</v>
      </c>
      <c r="B161" s="26">
        <v>45340.0</v>
      </c>
      <c r="C161" s="25">
        <v>77.0</v>
      </c>
      <c r="D161" s="25">
        <v>11.0</v>
      </c>
      <c r="E161" s="25">
        <v>6.0</v>
      </c>
      <c r="F161" s="25">
        <v>5.0</v>
      </c>
      <c r="G161" s="27" t="s">
        <v>24</v>
      </c>
    </row>
    <row r="162" ht="22.5" customHeight="1">
      <c r="A162" s="25">
        <v>1181.0</v>
      </c>
      <c r="B162" s="26">
        <v>45340.0</v>
      </c>
      <c r="C162" s="25">
        <v>171.0</v>
      </c>
      <c r="D162" s="25">
        <v>17.0</v>
      </c>
      <c r="E162" s="25">
        <v>4.0</v>
      </c>
      <c r="F162" s="25">
        <v>4.0</v>
      </c>
      <c r="G162" s="27" t="s">
        <v>24</v>
      </c>
    </row>
    <row r="163" ht="22.5" customHeight="1">
      <c r="A163" s="25">
        <v>1625.0</v>
      </c>
      <c r="B163" s="26">
        <v>45340.0</v>
      </c>
      <c r="C163" s="25">
        <v>145.0</v>
      </c>
      <c r="D163" s="25">
        <v>38.0</v>
      </c>
      <c r="E163" s="25">
        <v>4.0</v>
      </c>
      <c r="F163" s="25">
        <v>3.0</v>
      </c>
      <c r="G163" s="27" t="s">
        <v>24</v>
      </c>
    </row>
    <row r="164" ht="22.5" customHeight="1">
      <c r="A164" s="25">
        <v>1983.0</v>
      </c>
      <c r="B164" s="26">
        <v>45340.0</v>
      </c>
      <c r="C164" s="25">
        <v>63.0</v>
      </c>
      <c r="D164" s="25">
        <v>27.0</v>
      </c>
      <c r="E164" s="25">
        <v>4.0</v>
      </c>
      <c r="F164" s="25">
        <v>5.0</v>
      </c>
      <c r="G164" s="27" t="s">
        <v>24</v>
      </c>
    </row>
    <row r="165" ht="22.5" customHeight="1">
      <c r="A165" s="25">
        <v>2409.0</v>
      </c>
      <c r="B165" s="26">
        <v>45340.0</v>
      </c>
      <c r="C165" s="25">
        <v>252.0</v>
      </c>
      <c r="D165" s="25">
        <v>15.0</v>
      </c>
      <c r="E165" s="25">
        <v>4.0</v>
      </c>
      <c r="F165" s="25">
        <v>5.0</v>
      </c>
      <c r="G165" s="27" t="s">
        <v>24</v>
      </c>
    </row>
    <row r="166" ht="22.5" customHeight="1">
      <c r="A166" s="25">
        <v>2964.0</v>
      </c>
      <c r="B166" s="26">
        <v>45340.0</v>
      </c>
      <c r="C166" s="25">
        <v>269.0</v>
      </c>
      <c r="D166" s="25">
        <v>7.0</v>
      </c>
      <c r="E166" s="25">
        <v>2.0</v>
      </c>
      <c r="F166" s="25">
        <v>1.0</v>
      </c>
      <c r="G166" s="27" t="s">
        <v>24</v>
      </c>
    </row>
    <row r="167" ht="22.5" customHeight="1">
      <c r="A167" s="25">
        <v>53.0</v>
      </c>
      <c r="B167" s="26">
        <v>45341.0</v>
      </c>
      <c r="C167" s="25">
        <v>66.0</v>
      </c>
      <c r="D167" s="25">
        <v>30.0</v>
      </c>
      <c r="E167" s="25">
        <v>2.0</v>
      </c>
      <c r="F167" s="25">
        <v>5.0</v>
      </c>
      <c r="G167" s="27" t="s">
        <v>24</v>
      </c>
    </row>
    <row r="168" ht="22.5" customHeight="1">
      <c r="A168" s="25">
        <v>447.0</v>
      </c>
      <c r="B168" s="26">
        <v>45341.0</v>
      </c>
      <c r="C168" s="25">
        <v>249.0</v>
      </c>
      <c r="D168" s="25">
        <v>27.0</v>
      </c>
      <c r="E168" s="25">
        <v>5.0</v>
      </c>
      <c r="F168" s="25">
        <v>1.0</v>
      </c>
      <c r="G168" s="27" t="s">
        <v>24</v>
      </c>
    </row>
    <row r="169" ht="22.5" customHeight="1">
      <c r="A169" s="25">
        <v>454.0</v>
      </c>
      <c r="B169" s="26">
        <v>45341.0</v>
      </c>
      <c r="C169" s="25">
        <v>131.0</v>
      </c>
      <c r="D169" s="25">
        <v>13.0</v>
      </c>
      <c r="E169" s="25">
        <v>5.0</v>
      </c>
      <c r="F169" s="25">
        <v>4.0</v>
      </c>
      <c r="G169" s="27" t="s">
        <v>24</v>
      </c>
    </row>
    <row r="170" ht="22.5" customHeight="1">
      <c r="A170" s="25">
        <v>1332.0</v>
      </c>
      <c r="B170" s="26">
        <v>45341.0</v>
      </c>
      <c r="C170" s="25">
        <v>1.0</v>
      </c>
      <c r="D170" s="25">
        <v>29.0</v>
      </c>
      <c r="E170" s="25">
        <v>4.0</v>
      </c>
      <c r="F170" s="25">
        <v>4.0</v>
      </c>
      <c r="G170" s="27" t="s">
        <v>24</v>
      </c>
    </row>
    <row r="171" ht="22.5" customHeight="1">
      <c r="A171" s="25">
        <v>1722.0</v>
      </c>
      <c r="B171" s="26">
        <v>45341.0</v>
      </c>
      <c r="C171" s="25">
        <v>266.0</v>
      </c>
      <c r="D171" s="25">
        <v>7.0</v>
      </c>
      <c r="E171" s="25">
        <v>3.0</v>
      </c>
      <c r="F171" s="25">
        <v>4.0</v>
      </c>
      <c r="G171" s="27" t="s">
        <v>24</v>
      </c>
    </row>
    <row r="172" ht="22.5" customHeight="1">
      <c r="A172" s="25">
        <v>2134.0</v>
      </c>
      <c r="B172" s="26">
        <v>45341.0</v>
      </c>
      <c r="C172" s="25">
        <v>116.0</v>
      </c>
      <c r="D172" s="25">
        <v>29.0</v>
      </c>
      <c r="E172" s="25">
        <v>5.0</v>
      </c>
      <c r="F172" s="25">
        <v>2.0</v>
      </c>
      <c r="G172" s="27" t="s">
        <v>24</v>
      </c>
    </row>
    <row r="173" ht="22.5" customHeight="1">
      <c r="A173" s="25">
        <v>2310.0</v>
      </c>
      <c r="B173" s="26">
        <v>45341.0</v>
      </c>
      <c r="C173" s="25">
        <v>139.0</v>
      </c>
      <c r="D173" s="25">
        <v>11.0</v>
      </c>
      <c r="E173" s="25">
        <v>2.0</v>
      </c>
      <c r="F173" s="25">
        <v>5.0</v>
      </c>
      <c r="G173" s="27" t="s">
        <v>24</v>
      </c>
    </row>
    <row r="174" ht="22.5" customHeight="1">
      <c r="A174" s="25">
        <v>2926.0</v>
      </c>
      <c r="B174" s="26">
        <v>45341.0</v>
      </c>
      <c r="C174" s="25">
        <v>210.0</v>
      </c>
      <c r="D174" s="25">
        <v>37.0</v>
      </c>
      <c r="E174" s="25">
        <v>2.0</v>
      </c>
      <c r="F174" s="25">
        <v>1.0</v>
      </c>
      <c r="G174" s="27" t="s">
        <v>24</v>
      </c>
    </row>
    <row r="175" ht="22.5" customHeight="1">
      <c r="A175" s="25">
        <v>2969.0</v>
      </c>
      <c r="B175" s="26">
        <v>45341.0</v>
      </c>
      <c r="C175" s="25">
        <v>128.0</v>
      </c>
      <c r="D175" s="25">
        <v>9.0</v>
      </c>
      <c r="E175" s="25">
        <v>1.0</v>
      </c>
      <c r="F175" s="25">
        <v>5.0</v>
      </c>
      <c r="G175" s="27" t="s">
        <v>24</v>
      </c>
    </row>
    <row r="176" ht="22.5" customHeight="1">
      <c r="A176" s="25">
        <v>11.0</v>
      </c>
      <c r="B176" s="26">
        <v>45342.0</v>
      </c>
      <c r="C176" s="25">
        <v>237.0</v>
      </c>
      <c r="D176" s="25">
        <v>25.0</v>
      </c>
      <c r="E176" s="25">
        <v>6.0</v>
      </c>
      <c r="F176" s="25">
        <v>1.0</v>
      </c>
      <c r="G176" s="27" t="s">
        <v>24</v>
      </c>
    </row>
    <row r="177" ht="22.5" customHeight="1">
      <c r="A177" s="25">
        <v>110.0</v>
      </c>
      <c r="B177" s="26">
        <v>45342.0</v>
      </c>
      <c r="C177" s="25">
        <v>31.0</v>
      </c>
      <c r="D177" s="25">
        <v>11.0</v>
      </c>
      <c r="E177" s="25">
        <v>2.0</v>
      </c>
      <c r="F177" s="25">
        <v>3.0</v>
      </c>
      <c r="G177" s="27" t="s">
        <v>24</v>
      </c>
    </row>
    <row r="178" ht="22.5" customHeight="1">
      <c r="A178" s="25">
        <v>979.0</v>
      </c>
      <c r="B178" s="26">
        <v>45342.0</v>
      </c>
      <c r="C178" s="25">
        <v>30.0</v>
      </c>
      <c r="D178" s="25">
        <v>29.0</v>
      </c>
      <c r="E178" s="25">
        <v>5.0</v>
      </c>
      <c r="F178" s="25">
        <v>1.0</v>
      </c>
      <c r="G178" s="27" t="s">
        <v>24</v>
      </c>
    </row>
    <row r="179" ht="22.5" customHeight="1">
      <c r="A179" s="25">
        <v>1633.0</v>
      </c>
      <c r="B179" s="26">
        <v>45342.0</v>
      </c>
      <c r="C179" s="25">
        <v>27.0</v>
      </c>
      <c r="D179" s="25">
        <v>11.0</v>
      </c>
      <c r="E179" s="25">
        <v>5.0</v>
      </c>
      <c r="F179" s="25">
        <v>4.0</v>
      </c>
      <c r="G179" s="27" t="s">
        <v>24</v>
      </c>
    </row>
    <row r="180" ht="22.5" customHeight="1">
      <c r="A180" s="25">
        <v>2176.0</v>
      </c>
      <c r="B180" s="26">
        <v>45342.0</v>
      </c>
      <c r="C180" s="25">
        <v>48.0</v>
      </c>
      <c r="D180" s="25">
        <v>12.0</v>
      </c>
      <c r="E180" s="25">
        <v>5.0</v>
      </c>
      <c r="F180" s="25">
        <v>1.0</v>
      </c>
      <c r="G180" s="27" t="s">
        <v>24</v>
      </c>
    </row>
    <row r="181" ht="22.5" customHeight="1">
      <c r="A181" s="25">
        <v>2227.0</v>
      </c>
      <c r="B181" s="26">
        <v>45342.0</v>
      </c>
      <c r="C181" s="25">
        <v>239.0</v>
      </c>
      <c r="D181" s="25">
        <v>8.0</v>
      </c>
      <c r="E181" s="25">
        <v>4.0</v>
      </c>
      <c r="F181" s="25">
        <v>5.0</v>
      </c>
      <c r="G181" s="27" t="s">
        <v>24</v>
      </c>
    </row>
    <row r="182" ht="22.5" customHeight="1">
      <c r="A182" s="25">
        <v>2325.0</v>
      </c>
      <c r="B182" s="26">
        <v>45342.0</v>
      </c>
      <c r="C182" s="25">
        <v>13.0</v>
      </c>
      <c r="D182" s="25">
        <v>2.0</v>
      </c>
      <c r="E182" s="25">
        <v>4.0</v>
      </c>
      <c r="F182" s="25">
        <v>4.0</v>
      </c>
      <c r="G182" s="27" t="s">
        <v>24</v>
      </c>
    </row>
    <row r="183" ht="22.5" customHeight="1">
      <c r="A183" s="25">
        <v>2427.0</v>
      </c>
      <c r="B183" s="26">
        <v>45342.0</v>
      </c>
      <c r="C183" s="25">
        <v>57.0</v>
      </c>
      <c r="D183" s="25">
        <v>35.0</v>
      </c>
      <c r="E183" s="25">
        <v>2.0</v>
      </c>
      <c r="F183" s="25">
        <v>1.0</v>
      </c>
      <c r="G183" s="27" t="s">
        <v>24</v>
      </c>
    </row>
    <row r="184" ht="22.5" customHeight="1">
      <c r="A184" s="25">
        <v>2929.0</v>
      </c>
      <c r="B184" s="26">
        <v>45342.0</v>
      </c>
      <c r="C184" s="25">
        <v>28.0</v>
      </c>
      <c r="D184" s="25">
        <v>11.0</v>
      </c>
      <c r="E184" s="25">
        <v>1.0</v>
      </c>
      <c r="F184" s="25">
        <v>3.0</v>
      </c>
      <c r="G184" s="27" t="s">
        <v>24</v>
      </c>
    </row>
    <row r="185" ht="22.5" customHeight="1">
      <c r="A185" s="25">
        <v>168.0</v>
      </c>
      <c r="B185" s="26">
        <v>45343.0</v>
      </c>
      <c r="C185" s="25">
        <v>186.0</v>
      </c>
      <c r="D185" s="25">
        <v>2.0</v>
      </c>
      <c r="E185" s="25">
        <v>1.0</v>
      </c>
      <c r="F185" s="25">
        <v>4.0</v>
      </c>
      <c r="G185" s="27" t="s">
        <v>24</v>
      </c>
    </row>
    <row r="186" ht="22.5" customHeight="1">
      <c r="A186" s="25">
        <v>691.0</v>
      </c>
      <c r="B186" s="26">
        <v>45343.0</v>
      </c>
      <c r="C186" s="25">
        <v>175.0</v>
      </c>
      <c r="D186" s="25">
        <v>14.0</v>
      </c>
      <c r="E186" s="25">
        <v>1.0</v>
      </c>
      <c r="F186" s="25">
        <v>1.0</v>
      </c>
      <c r="G186" s="27" t="s">
        <v>24</v>
      </c>
    </row>
    <row r="187" ht="22.5" customHeight="1">
      <c r="A187" s="25">
        <v>851.0</v>
      </c>
      <c r="B187" s="26">
        <v>45343.0</v>
      </c>
      <c r="C187" s="25">
        <v>13.0</v>
      </c>
      <c r="D187" s="25">
        <v>14.0</v>
      </c>
      <c r="E187" s="25">
        <v>2.0</v>
      </c>
      <c r="F187" s="25">
        <v>4.0</v>
      </c>
      <c r="G187" s="27" t="s">
        <v>24</v>
      </c>
    </row>
    <row r="188" ht="22.5" customHeight="1">
      <c r="A188" s="25">
        <v>986.0</v>
      </c>
      <c r="B188" s="26">
        <v>45343.0</v>
      </c>
      <c r="C188" s="25">
        <v>273.0</v>
      </c>
      <c r="D188" s="25">
        <v>7.0</v>
      </c>
      <c r="E188" s="25">
        <v>4.0</v>
      </c>
      <c r="F188" s="25">
        <v>1.0</v>
      </c>
      <c r="G188" s="27" t="s">
        <v>24</v>
      </c>
    </row>
    <row r="189" ht="22.5" customHeight="1">
      <c r="A189" s="25">
        <v>1041.0</v>
      </c>
      <c r="B189" s="26">
        <v>45343.0</v>
      </c>
      <c r="C189" s="25">
        <v>312.0</v>
      </c>
      <c r="D189" s="25">
        <v>9.0</v>
      </c>
      <c r="E189" s="25">
        <v>3.0</v>
      </c>
      <c r="F189" s="25">
        <v>3.0</v>
      </c>
      <c r="G189" s="27" t="s">
        <v>24</v>
      </c>
    </row>
    <row r="190" ht="22.5" customHeight="1">
      <c r="A190" s="25">
        <v>2560.0</v>
      </c>
      <c r="B190" s="26">
        <v>45343.0</v>
      </c>
      <c r="C190" s="25">
        <v>249.0</v>
      </c>
      <c r="D190" s="25">
        <v>33.0</v>
      </c>
      <c r="E190" s="25">
        <v>3.0</v>
      </c>
      <c r="F190" s="25">
        <v>5.0</v>
      </c>
      <c r="G190" s="27" t="s">
        <v>24</v>
      </c>
    </row>
    <row r="191" ht="22.5" customHeight="1">
      <c r="A191" s="25">
        <v>2751.0</v>
      </c>
      <c r="B191" s="26">
        <v>45343.0</v>
      </c>
      <c r="C191" s="25">
        <v>19.0</v>
      </c>
      <c r="D191" s="25">
        <v>2.0</v>
      </c>
      <c r="E191" s="25">
        <v>5.0</v>
      </c>
      <c r="F191" s="25">
        <v>4.0</v>
      </c>
      <c r="G191" s="27" t="s">
        <v>24</v>
      </c>
    </row>
    <row r="192" ht="22.5" customHeight="1">
      <c r="A192" s="25">
        <v>2905.0</v>
      </c>
      <c r="B192" s="26">
        <v>45343.0</v>
      </c>
      <c r="C192" s="25">
        <v>226.0</v>
      </c>
      <c r="D192" s="25">
        <v>5.0</v>
      </c>
      <c r="E192" s="25">
        <v>4.0</v>
      </c>
      <c r="F192" s="25">
        <v>4.0</v>
      </c>
      <c r="G192" s="27" t="s">
        <v>24</v>
      </c>
    </row>
    <row r="193" ht="22.5" customHeight="1">
      <c r="A193" s="25">
        <v>338.0</v>
      </c>
      <c r="B193" s="26">
        <v>45344.0</v>
      </c>
      <c r="C193" s="25">
        <v>103.0</v>
      </c>
      <c r="D193" s="25">
        <v>12.0</v>
      </c>
      <c r="E193" s="25">
        <v>2.0</v>
      </c>
      <c r="F193" s="25">
        <v>3.0</v>
      </c>
      <c r="G193" s="27" t="s">
        <v>24</v>
      </c>
    </row>
    <row r="194" ht="22.5" customHeight="1">
      <c r="A194" s="25">
        <v>407.0</v>
      </c>
      <c r="B194" s="26">
        <v>45344.0</v>
      </c>
      <c r="C194" s="25">
        <v>32.0</v>
      </c>
      <c r="D194" s="25">
        <v>5.0</v>
      </c>
      <c r="E194" s="25">
        <v>3.0</v>
      </c>
      <c r="F194" s="25">
        <v>3.0</v>
      </c>
      <c r="G194" s="27" t="s">
        <v>24</v>
      </c>
    </row>
    <row r="195" ht="22.5" customHeight="1">
      <c r="A195" s="25">
        <v>1184.0</v>
      </c>
      <c r="B195" s="26">
        <v>45344.0</v>
      </c>
      <c r="C195" s="25">
        <v>106.0</v>
      </c>
      <c r="D195" s="25">
        <v>38.0</v>
      </c>
      <c r="E195" s="25">
        <v>6.0</v>
      </c>
      <c r="F195" s="25">
        <v>5.0</v>
      </c>
      <c r="G195" s="27" t="s">
        <v>24</v>
      </c>
    </row>
    <row r="196" ht="22.5" customHeight="1">
      <c r="A196" s="25">
        <v>1200.0</v>
      </c>
      <c r="B196" s="26">
        <v>45344.0</v>
      </c>
      <c r="C196" s="25">
        <v>143.0</v>
      </c>
      <c r="D196" s="25">
        <v>32.0</v>
      </c>
      <c r="E196" s="25">
        <v>1.0</v>
      </c>
      <c r="F196" s="25">
        <v>5.0</v>
      </c>
      <c r="G196" s="27" t="s">
        <v>25</v>
      </c>
    </row>
    <row r="197" ht="22.5" customHeight="1">
      <c r="A197" s="25">
        <v>1792.0</v>
      </c>
      <c r="B197" s="26">
        <v>45344.0</v>
      </c>
      <c r="C197" s="25">
        <v>81.0</v>
      </c>
      <c r="D197" s="25">
        <v>9.0</v>
      </c>
      <c r="E197" s="25">
        <v>4.0</v>
      </c>
      <c r="F197" s="25">
        <v>1.0</v>
      </c>
      <c r="G197" s="27" t="s">
        <v>24</v>
      </c>
    </row>
    <row r="198" ht="22.5" customHeight="1">
      <c r="A198" s="25">
        <v>2027.0</v>
      </c>
      <c r="B198" s="26">
        <v>45344.0</v>
      </c>
      <c r="C198" s="25">
        <v>184.0</v>
      </c>
      <c r="D198" s="25">
        <v>32.0</v>
      </c>
      <c r="E198" s="25">
        <v>4.0</v>
      </c>
      <c r="F198" s="25">
        <v>1.0</v>
      </c>
      <c r="G198" s="27" t="s">
        <v>24</v>
      </c>
    </row>
    <row r="199" ht="22.5" customHeight="1">
      <c r="A199" s="25">
        <v>2206.0</v>
      </c>
      <c r="B199" s="26">
        <v>45344.0</v>
      </c>
      <c r="C199" s="25">
        <v>236.0</v>
      </c>
      <c r="D199" s="25">
        <v>23.0</v>
      </c>
      <c r="E199" s="25">
        <v>1.0</v>
      </c>
      <c r="F199" s="25">
        <v>1.0</v>
      </c>
      <c r="G199" s="27" t="s">
        <v>24</v>
      </c>
    </row>
    <row r="200" ht="22.5" customHeight="1">
      <c r="A200" s="25">
        <v>2235.0</v>
      </c>
      <c r="B200" s="26">
        <v>45344.0</v>
      </c>
      <c r="C200" s="25">
        <v>20.0</v>
      </c>
      <c r="D200" s="25">
        <v>28.0</v>
      </c>
      <c r="E200" s="25">
        <v>6.0</v>
      </c>
      <c r="F200" s="25">
        <v>5.0</v>
      </c>
      <c r="G200" s="27" t="s">
        <v>24</v>
      </c>
    </row>
    <row r="201" ht="22.5" customHeight="1">
      <c r="A201" s="25">
        <v>2449.0</v>
      </c>
      <c r="B201" s="26">
        <v>45344.0</v>
      </c>
      <c r="C201" s="25">
        <v>262.0</v>
      </c>
      <c r="D201" s="25">
        <v>1.0</v>
      </c>
      <c r="E201" s="25">
        <v>2.0</v>
      </c>
      <c r="F201" s="25">
        <v>5.0</v>
      </c>
      <c r="G201" s="27" t="s">
        <v>25</v>
      </c>
    </row>
    <row r="202" ht="22.5" customHeight="1">
      <c r="A202" s="25">
        <v>2527.0</v>
      </c>
      <c r="B202" s="26">
        <v>45344.0</v>
      </c>
      <c r="C202" s="25">
        <v>55.0</v>
      </c>
      <c r="D202" s="25">
        <v>14.0</v>
      </c>
      <c r="E202" s="25">
        <v>3.0</v>
      </c>
      <c r="F202" s="25">
        <v>5.0</v>
      </c>
      <c r="G202" s="27" t="s">
        <v>24</v>
      </c>
    </row>
    <row r="203" ht="22.5" customHeight="1">
      <c r="A203" s="25">
        <v>85.0</v>
      </c>
      <c r="B203" s="26">
        <v>45345.0</v>
      </c>
      <c r="C203" s="25">
        <v>91.0</v>
      </c>
      <c r="D203" s="25">
        <v>4.0</v>
      </c>
      <c r="E203" s="25">
        <v>5.0</v>
      </c>
      <c r="F203" s="25">
        <v>2.0</v>
      </c>
      <c r="G203" s="27" t="s">
        <v>24</v>
      </c>
    </row>
    <row r="204" ht="22.5" customHeight="1">
      <c r="A204" s="25">
        <v>784.0</v>
      </c>
      <c r="B204" s="26">
        <v>45345.0</v>
      </c>
      <c r="C204" s="25">
        <v>279.0</v>
      </c>
      <c r="D204" s="25">
        <v>10.0</v>
      </c>
      <c r="E204" s="25">
        <v>4.0</v>
      </c>
      <c r="F204" s="25">
        <v>2.0</v>
      </c>
      <c r="G204" s="27" t="s">
        <v>24</v>
      </c>
    </row>
    <row r="205" ht="22.5" customHeight="1">
      <c r="A205" s="25">
        <v>1586.0</v>
      </c>
      <c r="B205" s="26">
        <v>45345.0</v>
      </c>
      <c r="C205" s="25">
        <v>166.0</v>
      </c>
      <c r="D205" s="25">
        <v>38.0</v>
      </c>
      <c r="E205" s="25">
        <v>2.0</v>
      </c>
      <c r="F205" s="25">
        <v>4.0</v>
      </c>
      <c r="G205" s="27" t="s">
        <v>25</v>
      </c>
    </row>
    <row r="206" ht="22.5" customHeight="1">
      <c r="A206" s="25">
        <v>2869.0</v>
      </c>
      <c r="B206" s="26">
        <v>45345.0</v>
      </c>
      <c r="C206" s="25">
        <v>247.0</v>
      </c>
      <c r="D206" s="25">
        <v>4.0</v>
      </c>
      <c r="E206" s="25">
        <v>2.0</v>
      </c>
      <c r="F206" s="25">
        <v>4.0</v>
      </c>
      <c r="G206" s="27" t="s">
        <v>24</v>
      </c>
    </row>
    <row r="207" ht="22.5" customHeight="1">
      <c r="A207" s="25">
        <v>2982.0</v>
      </c>
      <c r="B207" s="26">
        <v>45345.0</v>
      </c>
      <c r="C207" s="25">
        <v>229.0</v>
      </c>
      <c r="D207" s="25">
        <v>34.0</v>
      </c>
      <c r="E207" s="25">
        <v>2.0</v>
      </c>
      <c r="F207" s="25">
        <v>4.0</v>
      </c>
      <c r="G207" s="27" t="s">
        <v>24</v>
      </c>
    </row>
    <row r="208" ht="22.5" customHeight="1">
      <c r="A208" s="25">
        <v>88.0</v>
      </c>
      <c r="B208" s="26">
        <v>45346.0</v>
      </c>
      <c r="C208" s="25">
        <v>176.0</v>
      </c>
      <c r="D208" s="25">
        <v>37.0</v>
      </c>
      <c r="E208" s="25">
        <v>1.0</v>
      </c>
      <c r="F208" s="25">
        <v>5.0</v>
      </c>
      <c r="G208" s="27" t="s">
        <v>24</v>
      </c>
    </row>
    <row r="209" ht="22.5" customHeight="1">
      <c r="A209" s="25">
        <v>267.0</v>
      </c>
      <c r="B209" s="26">
        <v>45346.0</v>
      </c>
      <c r="C209" s="25">
        <v>273.0</v>
      </c>
      <c r="D209" s="25">
        <v>13.0</v>
      </c>
      <c r="E209" s="25">
        <v>1.0</v>
      </c>
      <c r="F209" s="25">
        <v>4.0</v>
      </c>
      <c r="G209" s="27" t="s">
        <v>25</v>
      </c>
    </row>
    <row r="210" ht="22.5" customHeight="1">
      <c r="A210" s="25">
        <v>342.0</v>
      </c>
      <c r="B210" s="26">
        <v>45346.0</v>
      </c>
      <c r="C210" s="25">
        <v>109.0</v>
      </c>
      <c r="D210" s="25">
        <v>7.0</v>
      </c>
      <c r="E210" s="25">
        <v>3.0</v>
      </c>
      <c r="F210" s="25">
        <v>3.0</v>
      </c>
      <c r="G210" s="27" t="s">
        <v>24</v>
      </c>
    </row>
    <row r="211" ht="22.5" customHeight="1">
      <c r="A211" s="25">
        <v>783.0</v>
      </c>
      <c r="B211" s="26">
        <v>45346.0</v>
      </c>
      <c r="C211" s="25">
        <v>124.0</v>
      </c>
      <c r="D211" s="25">
        <v>30.0</v>
      </c>
      <c r="E211" s="25">
        <v>1.0</v>
      </c>
      <c r="F211" s="25">
        <v>2.0</v>
      </c>
      <c r="G211" s="27" t="s">
        <v>24</v>
      </c>
    </row>
    <row r="212" ht="22.5" customHeight="1">
      <c r="A212" s="25">
        <v>948.0</v>
      </c>
      <c r="B212" s="26">
        <v>45346.0</v>
      </c>
      <c r="C212" s="25">
        <v>218.0</v>
      </c>
      <c r="D212" s="25">
        <v>11.0</v>
      </c>
      <c r="E212" s="25">
        <v>1.0</v>
      </c>
      <c r="F212" s="25">
        <v>4.0</v>
      </c>
      <c r="G212" s="27" t="s">
        <v>24</v>
      </c>
    </row>
    <row r="213" ht="22.5" customHeight="1">
      <c r="A213" s="25">
        <v>1416.0</v>
      </c>
      <c r="B213" s="26">
        <v>45346.0</v>
      </c>
      <c r="C213" s="25">
        <v>31.0</v>
      </c>
      <c r="D213" s="25">
        <v>38.0</v>
      </c>
      <c r="E213" s="25">
        <v>2.0</v>
      </c>
      <c r="F213" s="25">
        <v>5.0</v>
      </c>
      <c r="G213" s="27" t="s">
        <v>24</v>
      </c>
    </row>
    <row r="214" ht="22.5" customHeight="1">
      <c r="A214" s="25">
        <v>1674.0</v>
      </c>
      <c r="B214" s="26">
        <v>45346.0</v>
      </c>
      <c r="C214" s="25">
        <v>75.0</v>
      </c>
      <c r="D214" s="25">
        <v>23.0</v>
      </c>
      <c r="E214" s="25">
        <v>4.0</v>
      </c>
      <c r="F214" s="25">
        <v>5.0</v>
      </c>
      <c r="G214" s="27" t="s">
        <v>25</v>
      </c>
    </row>
    <row r="215" ht="22.5" customHeight="1">
      <c r="A215" s="25">
        <v>1852.0</v>
      </c>
      <c r="B215" s="26">
        <v>45346.0</v>
      </c>
      <c r="C215" s="25">
        <v>230.0</v>
      </c>
      <c r="D215" s="25">
        <v>1.0</v>
      </c>
      <c r="E215" s="25">
        <v>4.0</v>
      </c>
      <c r="F215" s="25">
        <v>5.0</v>
      </c>
      <c r="G215" s="27" t="s">
        <v>25</v>
      </c>
    </row>
    <row r="216" ht="22.5" customHeight="1">
      <c r="A216" s="25">
        <v>2439.0</v>
      </c>
      <c r="B216" s="26">
        <v>45346.0</v>
      </c>
      <c r="C216" s="25">
        <v>142.0</v>
      </c>
      <c r="D216" s="25">
        <v>7.0</v>
      </c>
      <c r="E216" s="25">
        <v>3.0</v>
      </c>
      <c r="F216" s="25">
        <v>5.0</v>
      </c>
      <c r="G216" s="27" t="s">
        <v>24</v>
      </c>
    </row>
    <row r="217" ht="22.5" customHeight="1">
      <c r="A217" s="25">
        <v>2835.0</v>
      </c>
      <c r="B217" s="26">
        <v>45346.0</v>
      </c>
      <c r="C217" s="25">
        <v>57.0</v>
      </c>
      <c r="D217" s="25">
        <v>3.0</v>
      </c>
      <c r="E217" s="25">
        <v>5.0</v>
      </c>
      <c r="F217" s="25">
        <v>5.0</v>
      </c>
      <c r="G217" s="27" t="s">
        <v>25</v>
      </c>
    </row>
    <row r="218" ht="22.5" customHeight="1">
      <c r="A218" s="25">
        <v>134.0</v>
      </c>
      <c r="B218" s="26">
        <v>45347.0</v>
      </c>
      <c r="C218" s="25">
        <v>308.0</v>
      </c>
      <c r="D218" s="25">
        <v>10.0</v>
      </c>
      <c r="E218" s="25">
        <v>1.0</v>
      </c>
      <c r="F218" s="25">
        <v>4.0</v>
      </c>
      <c r="G218" s="27" t="s">
        <v>24</v>
      </c>
    </row>
    <row r="219" ht="22.5" customHeight="1">
      <c r="A219" s="25">
        <v>1999.0</v>
      </c>
      <c r="B219" s="26">
        <v>45347.0</v>
      </c>
      <c r="C219" s="25">
        <v>209.0</v>
      </c>
      <c r="D219" s="25">
        <v>33.0</v>
      </c>
      <c r="E219" s="25">
        <v>2.0</v>
      </c>
      <c r="F219" s="25">
        <v>5.0</v>
      </c>
      <c r="G219" s="27" t="s">
        <v>24</v>
      </c>
    </row>
    <row r="220" ht="22.5" customHeight="1">
      <c r="A220" s="25">
        <v>2155.0</v>
      </c>
      <c r="B220" s="26">
        <v>45347.0</v>
      </c>
      <c r="C220" s="25">
        <v>162.0</v>
      </c>
      <c r="D220" s="25">
        <v>17.0</v>
      </c>
      <c r="E220" s="25">
        <v>1.0</v>
      </c>
      <c r="F220" s="25">
        <v>3.0</v>
      </c>
      <c r="G220" s="27" t="s">
        <v>25</v>
      </c>
    </row>
    <row r="221" ht="22.5" customHeight="1">
      <c r="A221" s="25">
        <v>2309.0</v>
      </c>
      <c r="B221" s="26">
        <v>45347.0</v>
      </c>
      <c r="C221" s="25">
        <v>82.0</v>
      </c>
      <c r="D221" s="25">
        <v>1.0</v>
      </c>
      <c r="E221" s="25">
        <v>4.0</v>
      </c>
      <c r="F221" s="25">
        <v>4.0</v>
      </c>
      <c r="G221" s="27" t="s">
        <v>25</v>
      </c>
    </row>
    <row r="222" ht="22.5" customHeight="1">
      <c r="A222" s="25">
        <v>2331.0</v>
      </c>
      <c r="B222" s="26">
        <v>45347.0</v>
      </c>
      <c r="C222" s="25">
        <v>228.0</v>
      </c>
      <c r="D222" s="25">
        <v>1.0</v>
      </c>
      <c r="E222" s="25">
        <v>2.0</v>
      </c>
      <c r="F222" s="25">
        <v>3.0</v>
      </c>
      <c r="G222" s="27" t="s">
        <v>24</v>
      </c>
    </row>
    <row r="223" ht="22.5" customHeight="1">
      <c r="A223" s="25">
        <v>2729.0</v>
      </c>
      <c r="B223" s="26">
        <v>45347.0</v>
      </c>
      <c r="C223" s="25">
        <v>166.0</v>
      </c>
      <c r="D223" s="25">
        <v>9.0</v>
      </c>
      <c r="E223" s="25">
        <v>4.0</v>
      </c>
      <c r="F223" s="25">
        <v>3.0</v>
      </c>
      <c r="G223" s="27" t="s">
        <v>24</v>
      </c>
    </row>
    <row r="224" ht="22.5" customHeight="1">
      <c r="A224" s="25">
        <v>39.0</v>
      </c>
      <c r="B224" s="26">
        <v>45348.0</v>
      </c>
      <c r="C224" s="25">
        <v>183.0</v>
      </c>
      <c r="D224" s="25">
        <v>26.0</v>
      </c>
      <c r="E224" s="25">
        <v>2.0</v>
      </c>
      <c r="F224" s="25">
        <v>4.0</v>
      </c>
      <c r="G224" s="27" t="s">
        <v>24</v>
      </c>
    </row>
    <row r="225" ht="22.5" customHeight="1">
      <c r="A225" s="25">
        <v>577.0</v>
      </c>
      <c r="B225" s="26">
        <v>45348.0</v>
      </c>
      <c r="C225" s="25">
        <v>169.0</v>
      </c>
      <c r="D225" s="25">
        <v>3.0</v>
      </c>
      <c r="E225" s="25">
        <v>1.0</v>
      </c>
      <c r="F225" s="25">
        <v>3.0</v>
      </c>
      <c r="G225" s="27" t="s">
        <v>24</v>
      </c>
    </row>
    <row r="226" ht="22.5" customHeight="1">
      <c r="A226" s="25">
        <v>1287.0</v>
      </c>
      <c r="B226" s="26">
        <v>45348.0</v>
      </c>
      <c r="C226" s="25">
        <v>22.0</v>
      </c>
      <c r="D226" s="25">
        <v>25.0</v>
      </c>
      <c r="E226" s="25">
        <v>6.0</v>
      </c>
      <c r="F226" s="25">
        <v>1.0</v>
      </c>
      <c r="G226" s="27" t="s">
        <v>24</v>
      </c>
    </row>
    <row r="227" ht="22.5" customHeight="1">
      <c r="A227" s="25">
        <v>1830.0</v>
      </c>
      <c r="B227" s="26">
        <v>45348.0</v>
      </c>
      <c r="C227" s="25">
        <v>291.0</v>
      </c>
      <c r="D227" s="25">
        <v>32.0</v>
      </c>
      <c r="E227" s="25">
        <v>4.0</v>
      </c>
      <c r="F227" s="25">
        <v>4.0</v>
      </c>
      <c r="G227" s="27" t="s">
        <v>24</v>
      </c>
    </row>
    <row r="228" ht="22.5" customHeight="1">
      <c r="A228" s="25">
        <v>2067.0</v>
      </c>
      <c r="B228" s="26">
        <v>45348.0</v>
      </c>
      <c r="C228" s="25">
        <v>73.0</v>
      </c>
      <c r="D228" s="25">
        <v>23.0</v>
      </c>
      <c r="E228" s="25">
        <v>1.0</v>
      </c>
      <c r="F228" s="25">
        <v>4.0</v>
      </c>
      <c r="G228" s="27" t="s">
        <v>24</v>
      </c>
    </row>
    <row r="229" ht="22.5" customHeight="1">
      <c r="A229" s="25">
        <v>2978.0</v>
      </c>
      <c r="B229" s="26">
        <v>45348.0</v>
      </c>
      <c r="C229" s="25">
        <v>108.0</v>
      </c>
      <c r="D229" s="25">
        <v>3.0</v>
      </c>
      <c r="E229" s="25">
        <v>3.0</v>
      </c>
      <c r="F229" s="25">
        <v>1.0</v>
      </c>
      <c r="G229" s="27" t="s">
        <v>24</v>
      </c>
    </row>
    <row r="230" ht="22.5" customHeight="1">
      <c r="A230" s="25">
        <v>713.0</v>
      </c>
      <c r="B230" s="26">
        <v>45349.0</v>
      </c>
      <c r="C230" s="25">
        <v>64.0</v>
      </c>
      <c r="D230" s="25">
        <v>14.0</v>
      </c>
      <c r="E230" s="25">
        <v>2.0</v>
      </c>
      <c r="F230" s="25">
        <v>4.0</v>
      </c>
      <c r="G230" s="27" t="s">
        <v>24</v>
      </c>
    </row>
    <row r="231" ht="22.5" customHeight="1">
      <c r="A231" s="25">
        <v>1841.0</v>
      </c>
      <c r="B231" s="26">
        <v>45349.0</v>
      </c>
      <c r="C231" s="25">
        <v>37.0</v>
      </c>
      <c r="D231" s="25">
        <v>38.0</v>
      </c>
      <c r="E231" s="25">
        <v>6.0</v>
      </c>
      <c r="F231" s="25">
        <v>5.0</v>
      </c>
      <c r="G231" s="27" t="s">
        <v>24</v>
      </c>
    </row>
    <row r="232" ht="22.5" customHeight="1">
      <c r="A232" s="25">
        <v>2248.0</v>
      </c>
      <c r="B232" s="26">
        <v>45349.0</v>
      </c>
      <c r="C232" s="25">
        <v>16.0</v>
      </c>
      <c r="D232" s="25">
        <v>22.0</v>
      </c>
      <c r="E232" s="25">
        <v>1.0</v>
      </c>
      <c r="F232" s="25">
        <v>4.0</v>
      </c>
      <c r="G232" s="27" t="s">
        <v>25</v>
      </c>
    </row>
    <row r="233" ht="22.5" customHeight="1">
      <c r="A233" s="25">
        <v>2272.0</v>
      </c>
      <c r="B233" s="26">
        <v>45349.0</v>
      </c>
      <c r="C233" s="25">
        <v>85.0</v>
      </c>
      <c r="D233" s="25">
        <v>16.0</v>
      </c>
      <c r="E233" s="25">
        <v>6.0</v>
      </c>
      <c r="F233" s="25">
        <v>4.0</v>
      </c>
      <c r="G233" s="27" t="s">
        <v>24</v>
      </c>
    </row>
    <row r="234" ht="22.5" customHeight="1">
      <c r="A234" s="25">
        <v>2442.0</v>
      </c>
      <c r="B234" s="26">
        <v>45349.0</v>
      </c>
      <c r="C234" s="25">
        <v>266.0</v>
      </c>
      <c r="D234" s="25">
        <v>26.0</v>
      </c>
      <c r="E234" s="25">
        <v>3.0</v>
      </c>
      <c r="F234" s="25">
        <v>5.0</v>
      </c>
      <c r="G234" s="27" t="s">
        <v>24</v>
      </c>
    </row>
    <row r="235" ht="22.5" customHeight="1">
      <c r="A235" s="25">
        <v>2789.0</v>
      </c>
      <c r="B235" s="26">
        <v>45349.0</v>
      </c>
      <c r="C235" s="25">
        <v>35.0</v>
      </c>
      <c r="D235" s="25">
        <v>22.0</v>
      </c>
      <c r="E235" s="25">
        <v>5.0</v>
      </c>
      <c r="F235" s="25">
        <v>1.0</v>
      </c>
      <c r="G235" s="27" t="s">
        <v>24</v>
      </c>
    </row>
    <row r="236" ht="22.5" customHeight="1">
      <c r="A236" s="25">
        <v>2901.0</v>
      </c>
      <c r="B236" s="26">
        <v>45349.0</v>
      </c>
      <c r="C236" s="25">
        <v>34.0</v>
      </c>
      <c r="D236" s="25">
        <v>19.0</v>
      </c>
      <c r="E236" s="25">
        <v>1.0</v>
      </c>
      <c r="F236" s="25">
        <v>4.0</v>
      </c>
      <c r="G236" s="27" t="s">
        <v>24</v>
      </c>
    </row>
    <row r="237" ht="22.5" customHeight="1">
      <c r="A237" s="25">
        <v>89.0</v>
      </c>
      <c r="B237" s="26">
        <v>45350.0</v>
      </c>
      <c r="C237" s="25">
        <v>6.0</v>
      </c>
      <c r="D237" s="25">
        <v>10.0</v>
      </c>
      <c r="E237" s="25">
        <v>2.0</v>
      </c>
      <c r="F237" s="25">
        <v>3.0</v>
      </c>
      <c r="G237" s="27" t="s">
        <v>24</v>
      </c>
    </row>
    <row r="238" ht="22.5" customHeight="1">
      <c r="A238" s="25">
        <v>271.0</v>
      </c>
      <c r="B238" s="26">
        <v>45350.0</v>
      </c>
      <c r="C238" s="25">
        <v>66.0</v>
      </c>
      <c r="D238" s="25">
        <v>6.0</v>
      </c>
      <c r="E238" s="25">
        <v>6.0</v>
      </c>
      <c r="F238" s="25">
        <v>4.0</v>
      </c>
      <c r="G238" s="27" t="s">
        <v>24</v>
      </c>
    </row>
    <row r="239" ht="22.5" customHeight="1">
      <c r="A239" s="25">
        <v>545.0</v>
      </c>
      <c r="B239" s="26">
        <v>45350.0</v>
      </c>
      <c r="C239" s="25">
        <v>20.0</v>
      </c>
      <c r="D239" s="25">
        <v>26.0</v>
      </c>
      <c r="E239" s="25">
        <v>4.0</v>
      </c>
      <c r="F239" s="25">
        <v>4.0</v>
      </c>
      <c r="G239" s="27" t="s">
        <v>24</v>
      </c>
    </row>
    <row r="240" ht="22.5" customHeight="1">
      <c r="A240" s="25">
        <v>795.0</v>
      </c>
      <c r="B240" s="26">
        <v>45350.0</v>
      </c>
      <c r="C240" s="25">
        <v>256.0</v>
      </c>
      <c r="D240" s="25">
        <v>25.0</v>
      </c>
      <c r="E240" s="25">
        <v>6.0</v>
      </c>
      <c r="F240" s="25">
        <v>5.0</v>
      </c>
      <c r="G240" s="27" t="s">
        <v>24</v>
      </c>
    </row>
    <row r="241" ht="22.5" customHeight="1">
      <c r="A241" s="25">
        <v>1749.0</v>
      </c>
      <c r="B241" s="26">
        <v>45350.0</v>
      </c>
      <c r="C241" s="25">
        <v>95.0</v>
      </c>
      <c r="D241" s="25">
        <v>33.0</v>
      </c>
      <c r="E241" s="25">
        <v>1.0</v>
      </c>
      <c r="F241" s="25">
        <v>5.0</v>
      </c>
      <c r="G241" s="27" t="s">
        <v>24</v>
      </c>
    </row>
    <row r="242" ht="22.5" customHeight="1">
      <c r="A242" s="25">
        <v>2047.0</v>
      </c>
      <c r="B242" s="26">
        <v>45350.0</v>
      </c>
      <c r="C242" s="25">
        <v>117.0</v>
      </c>
      <c r="D242" s="25">
        <v>17.0</v>
      </c>
      <c r="E242" s="25">
        <v>1.0</v>
      </c>
      <c r="F242" s="25">
        <v>5.0</v>
      </c>
      <c r="G242" s="27" t="s">
        <v>24</v>
      </c>
    </row>
    <row r="243" ht="22.5" customHeight="1">
      <c r="A243" s="25">
        <v>2294.0</v>
      </c>
      <c r="B243" s="26">
        <v>45350.0</v>
      </c>
      <c r="C243" s="25">
        <v>316.0</v>
      </c>
      <c r="D243" s="25">
        <v>35.0</v>
      </c>
      <c r="E243" s="25">
        <v>2.0</v>
      </c>
      <c r="F243" s="25">
        <v>1.0</v>
      </c>
      <c r="G243" s="27" t="s">
        <v>24</v>
      </c>
    </row>
    <row r="244" ht="22.5" customHeight="1">
      <c r="A244" s="25">
        <v>2346.0</v>
      </c>
      <c r="B244" s="26">
        <v>45350.0</v>
      </c>
      <c r="C244" s="25">
        <v>274.0</v>
      </c>
      <c r="D244" s="25">
        <v>25.0</v>
      </c>
      <c r="E244" s="25">
        <v>4.0</v>
      </c>
      <c r="F244" s="25">
        <v>3.0</v>
      </c>
      <c r="G244" s="27" t="s">
        <v>24</v>
      </c>
    </row>
    <row r="245" ht="22.5" customHeight="1">
      <c r="A245" s="25">
        <v>2460.0</v>
      </c>
      <c r="B245" s="26">
        <v>45350.0</v>
      </c>
      <c r="C245" s="25">
        <v>301.0</v>
      </c>
      <c r="D245" s="25">
        <v>15.0</v>
      </c>
      <c r="E245" s="25">
        <v>5.0</v>
      </c>
      <c r="F245" s="25">
        <v>4.0</v>
      </c>
      <c r="G245" s="27" t="s">
        <v>24</v>
      </c>
    </row>
    <row r="246" ht="22.5" customHeight="1">
      <c r="A246" s="25">
        <v>2550.0</v>
      </c>
      <c r="B246" s="26">
        <v>45350.0</v>
      </c>
      <c r="C246" s="25">
        <v>138.0</v>
      </c>
      <c r="D246" s="25">
        <v>23.0</v>
      </c>
      <c r="E246" s="25">
        <v>4.0</v>
      </c>
      <c r="F246" s="25">
        <v>3.0</v>
      </c>
      <c r="G246" s="27" t="s">
        <v>25</v>
      </c>
    </row>
    <row r="247" ht="22.5" customHeight="1">
      <c r="A247" s="25">
        <v>2600.0</v>
      </c>
      <c r="B247" s="26">
        <v>45350.0</v>
      </c>
      <c r="C247" s="25">
        <v>187.0</v>
      </c>
      <c r="D247" s="25">
        <v>25.0</v>
      </c>
      <c r="E247" s="25">
        <v>4.0</v>
      </c>
      <c r="F247" s="25">
        <v>5.0</v>
      </c>
      <c r="G247" s="27" t="s">
        <v>24</v>
      </c>
    </row>
    <row r="248" ht="22.5" customHeight="1">
      <c r="A248" s="25">
        <v>3.0</v>
      </c>
      <c r="B248" s="26">
        <v>45351.0</v>
      </c>
      <c r="C248" s="25">
        <v>31.0</v>
      </c>
      <c r="D248" s="25">
        <v>21.0</v>
      </c>
      <c r="E248" s="25">
        <v>3.0</v>
      </c>
      <c r="F248" s="25">
        <v>3.0</v>
      </c>
      <c r="G248" s="27" t="s">
        <v>24</v>
      </c>
    </row>
    <row r="249" ht="22.5" customHeight="1">
      <c r="A249" s="25">
        <v>123.0</v>
      </c>
      <c r="B249" s="26">
        <v>45351.0</v>
      </c>
      <c r="C249" s="25">
        <v>169.0</v>
      </c>
      <c r="D249" s="25">
        <v>32.0</v>
      </c>
      <c r="E249" s="25">
        <v>5.0</v>
      </c>
      <c r="F249" s="25">
        <v>5.0</v>
      </c>
      <c r="G249" s="27" t="s">
        <v>24</v>
      </c>
    </row>
    <row r="250" ht="22.5" customHeight="1">
      <c r="A250" s="25">
        <v>452.0</v>
      </c>
      <c r="B250" s="26">
        <v>45351.0</v>
      </c>
      <c r="C250" s="25">
        <v>115.0</v>
      </c>
      <c r="D250" s="25">
        <v>4.0</v>
      </c>
      <c r="E250" s="25">
        <v>5.0</v>
      </c>
      <c r="F250" s="25">
        <v>4.0</v>
      </c>
      <c r="G250" s="27" t="s">
        <v>24</v>
      </c>
    </row>
    <row r="251" ht="22.5" customHeight="1">
      <c r="A251" s="25">
        <v>1037.0</v>
      </c>
      <c r="B251" s="26">
        <v>45351.0</v>
      </c>
      <c r="C251" s="25">
        <v>48.0</v>
      </c>
      <c r="D251" s="25">
        <v>30.0</v>
      </c>
      <c r="E251" s="25">
        <v>6.0</v>
      </c>
      <c r="F251" s="25">
        <v>4.0</v>
      </c>
      <c r="G251" s="27" t="s">
        <v>24</v>
      </c>
    </row>
    <row r="252" ht="22.5" customHeight="1">
      <c r="A252" s="25">
        <v>1190.0</v>
      </c>
      <c r="B252" s="26">
        <v>45351.0</v>
      </c>
      <c r="C252" s="25">
        <v>119.0</v>
      </c>
      <c r="D252" s="25">
        <v>21.0</v>
      </c>
      <c r="E252" s="25">
        <v>1.0</v>
      </c>
      <c r="F252" s="25">
        <v>3.0</v>
      </c>
      <c r="G252" s="27" t="s">
        <v>24</v>
      </c>
    </row>
    <row r="253" ht="22.5" customHeight="1">
      <c r="A253" s="25">
        <v>1313.0</v>
      </c>
      <c r="B253" s="26">
        <v>45351.0</v>
      </c>
      <c r="C253" s="25">
        <v>95.0</v>
      </c>
      <c r="D253" s="25">
        <v>13.0</v>
      </c>
      <c r="E253" s="25">
        <v>2.0</v>
      </c>
      <c r="F253" s="25">
        <v>3.0</v>
      </c>
      <c r="G253" s="27" t="s">
        <v>24</v>
      </c>
    </row>
    <row r="254" ht="22.5" customHeight="1">
      <c r="A254" s="25">
        <v>1713.0</v>
      </c>
      <c r="B254" s="26">
        <v>45351.0</v>
      </c>
      <c r="C254" s="25">
        <v>265.0</v>
      </c>
      <c r="D254" s="25">
        <v>14.0</v>
      </c>
      <c r="E254" s="25">
        <v>2.0</v>
      </c>
      <c r="F254" s="25">
        <v>4.0</v>
      </c>
      <c r="G254" s="27" t="s">
        <v>24</v>
      </c>
    </row>
    <row r="255" ht="22.5" customHeight="1">
      <c r="A255" s="25">
        <v>1907.0</v>
      </c>
      <c r="B255" s="26">
        <v>45351.0</v>
      </c>
      <c r="C255" s="25">
        <v>278.0</v>
      </c>
      <c r="D255" s="25">
        <v>12.0</v>
      </c>
      <c r="E255" s="25">
        <v>3.0</v>
      </c>
      <c r="F255" s="25">
        <v>5.0</v>
      </c>
      <c r="G255" s="27" t="s">
        <v>25</v>
      </c>
    </row>
    <row r="256" ht="22.5" customHeight="1">
      <c r="A256" s="25">
        <v>2059.0</v>
      </c>
      <c r="B256" s="26">
        <v>45351.0</v>
      </c>
      <c r="C256" s="25">
        <v>84.0</v>
      </c>
      <c r="D256" s="25">
        <v>20.0</v>
      </c>
      <c r="E256" s="25">
        <v>6.0</v>
      </c>
      <c r="F256" s="25">
        <v>3.0</v>
      </c>
      <c r="G256" s="27" t="s">
        <v>24</v>
      </c>
    </row>
    <row r="257" ht="22.5" customHeight="1">
      <c r="A257" s="25">
        <v>2606.0</v>
      </c>
      <c r="B257" s="26">
        <v>45351.0</v>
      </c>
      <c r="C257" s="25">
        <v>221.0</v>
      </c>
      <c r="D257" s="25">
        <v>7.0</v>
      </c>
      <c r="E257" s="25">
        <v>2.0</v>
      </c>
      <c r="F257" s="25">
        <v>4.0</v>
      </c>
      <c r="G257" s="27" t="s">
        <v>24</v>
      </c>
    </row>
    <row r="258" ht="22.5" customHeight="1">
      <c r="A258" s="25">
        <v>66.0</v>
      </c>
      <c r="B258" s="26">
        <v>45352.0</v>
      </c>
      <c r="C258" s="25">
        <v>97.0</v>
      </c>
      <c r="D258" s="25">
        <v>27.0</v>
      </c>
      <c r="E258" s="25">
        <v>3.0</v>
      </c>
      <c r="F258" s="25">
        <v>5.0</v>
      </c>
      <c r="G258" s="27" t="s">
        <v>24</v>
      </c>
    </row>
    <row r="259" ht="22.5" customHeight="1">
      <c r="A259" s="25">
        <v>183.0</v>
      </c>
      <c r="B259" s="26">
        <v>45352.0</v>
      </c>
      <c r="C259" s="25">
        <v>31.0</v>
      </c>
      <c r="D259" s="25">
        <v>38.0</v>
      </c>
      <c r="E259" s="25">
        <v>3.0</v>
      </c>
      <c r="F259" s="25">
        <v>3.0</v>
      </c>
      <c r="G259" s="27" t="s">
        <v>24</v>
      </c>
    </row>
    <row r="260" ht="22.5" customHeight="1">
      <c r="A260" s="25">
        <v>1188.0</v>
      </c>
      <c r="B260" s="26">
        <v>45352.0</v>
      </c>
      <c r="C260" s="25">
        <v>255.0</v>
      </c>
      <c r="D260" s="25">
        <v>27.0</v>
      </c>
      <c r="E260" s="25">
        <v>3.0</v>
      </c>
      <c r="F260" s="25">
        <v>5.0</v>
      </c>
      <c r="G260" s="27" t="s">
        <v>25</v>
      </c>
    </row>
    <row r="261" ht="22.5" customHeight="1">
      <c r="A261" s="25">
        <v>1422.0</v>
      </c>
      <c r="B261" s="26">
        <v>45352.0</v>
      </c>
      <c r="C261" s="25">
        <v>58.0</v>
      </c>
      <c r="D261" s="25">
        <v>2.0</v>
      </c>
      <c r="E261" s="25">
        <v>1.0</v>
      </c>
      <c r="F261" s="25">
        <v>4.0</v>
      </c>
      <c r="G261" s="27" t="s">
        <v>24</v>
      </c>
    </row>
    <row r="262" ht="22.5" customHeight="1">
      <c r="A262" s="25">
        <v>1465.0</v>
      </c>
      <c r="B262" s="26">
        <v>45352.0</v>
      </c>
      <c r="C262" s="25">
        <v>36.0</v>
      </c>
      <c r="D262" s="25">
        <v>14.0</v>
      </c>
      <c r="E262" s="25">
        <v>2.0</v>
      </c>
      <c r="F262" s="25">
        <v>5.0</v>
      </c>
      <c r="G262" s="27" t="s">
        <v>24</v>
      </c>
    </row>
    <row r="263" ht="22.5" customHeight="1">
      <c r="A263" s="25">
        <v>1535.0</v>
      </c>
      <c r="B263" s="26">
        <v>45352.0</v>
      </c>
      <c r="C263" s="25">
        <v>255.0</v>
      </c>
      <c r="D263" s="25">
        <v>8.0</v>
      </c>
      <c r="E263" s="25">
        <v>1.0</v>
      </c>
      <c r="F263" s="25">
        <v>3.0</v>
      </c>
      <c r="G263" s="27" t="s">
        <v>24</v>
      </c>
    </row>
    <row r="264" ht="22.5" customHeight="1">
      <c r="A264" s="25">
        <v>2280.0</v>
      </c>
      <c r="B264" s="26">
        <v>45352.0</v>
      </c>
      <c r="C264" s="25">
        <v>134.0</v>
      </c>
      <c r="D264" s="25">
        <v>18.0</v>
      </c>
      <c r="E264" s="25">
        <v>1.0</v>
      </c>
      <c r="F264" s="25">
        <v>4.0</v>
      </c>
      <c r="G264" s="27" t="s">
        <v>24</v>
      </c>
    </row>
    <row r="265" ht="22.5" customHeight="1">
      <c r="A265" s="25">
        <v>2668.0</v>
      </c>
      <c r="B265" s="26">
        <v>45352.0</v>
      </c>
      <c r="C265" s="25">
        <v>117.0</v>
      </c>
      <c r="D265" s="25">
        <v>19.0</v>
      </c>
      <c r="E265" s="25">
        <v>5.0</v>
      </c>
      <c r="F265" s="25">
        <v>1.0</v>
      </c>
      <c r="G265" s="27" t="s">
        <v>25</v>
      </c>
    </row>
    <row r="266" ht="22.5" customHeight="1">
      <c r="A266" s="25">
        <v>2845.0</v>
      </c>
      <c r="B266" s="26">
        <v>45352.0</v>
      </c>
      <c r="C266" s="25">
        <v>71.0</v>
      </c>
      <c r="D266" s="25">
        <v>5.0</v>
      </c>
      <c r="E266" s="25">
        <v>6.0</v>
      </c>
      <c r="F266" s="25">
        <v>3.0</v>
      </c>
      <c r="G266" s="27" t="s">
        <v>24</v>
      </c>
    </row>
    <row r="267" ht="22.5" customHeight="1">
      <c r="A267" s="25">
        <v>72.0</v>
      </c>
      <c r="B267" s="26">
        <v>45353.0</v>
      </c>
      <c r="C267" s="25">
        <v>144.0</v>
      </c>
      <c r="D267" s="25">
        <v>23.0</v>
      </c>
      <c r="E267" s="25">
        <v>5.0</v>
      </c>
      <c r="F267" s="25">
        <v>2.0</v>
      </c>
      <c r="G267" s="27" t="s">
        <v>24</v>
      </c>
    </row>
    <row r="268" ht="22.5" customHeight="1">
      <c r="A268" s="25">
        <v>786.0</v>
      </c>
      <c r="B268" s="26">
        <v>45353.0</v>
      </c>
      <c r="C268" s="25">
        <v>292.0</v>
      </c>
      <c r="D268" s="25">
        <v>19.0</v>
      </c>
      <c r="E268" s="25">
        <v>6.0</v>
      </c>
      <c r="F268" s="25">
        <v>4.0</v>
      </c>
      <c r="G268" s="27" t="s">
        <v>25</v>
      </c>
    </row>
    <row r="269" ht="22.5" customHeight="1">
      <c r="A269" s="25">
        <v>2094.0</v>
      </c>
      <c r="B269" s="26">
        <v>45353.0</v>
      </c>
      <c r="C269" s="25">
        <v>276.0</v>
      </c>
      <c r="D269" s="25">
        <v>25.0</v>
      </c>
      <c r="E269" s="25">
        <v>5.0</v>
      </c>
      <c r="F269" s="25">
        <v>3.0</v>
      </c>
      <c r="G269" s="27" t="s">
        <v>24</v>
      </c>
    </row>
    <row r="270" ht="22.5" customHeight="1">
      <c r="A270" s="25">
        <v>2278.0</v>
      </c>
      <c r="B270" s="26">
        <v>45353.0</v>
      </c>
      <c r="C270" s="25">
        <v>163.0</v>
      </c>
      <c r="D270" s="25">
        <v>5.0</v>
      </c>
      <c r="E270" s="25">
        <v>3.0</v>
      </c>
      <c r="F270" s="25">
        <v>5.0</v>
      </c>
      <c r="G270" s="27" t="s">
        <v>24</v>
      </c>
    </row>
    <row r="271" ht="22.5" customHeight="1">
      <c r="A271" s="25">
        <v>95.0</v>
      </c>
      <c r="B271" s="26">
        <v>45354.0</v>
      </c>
      <c r="C271" s="25">
        <v>67.0</v>
      </c>
      <c r="D271" s="25">
        <v>14.0</v>
      </c>
      <c r="E271" s="25">
        <v>5.0</v>
      </c>
      <c r="F271" s="25">
        <v>4.0</v>
      </c>
      <c r="G271" s="27" t="s">
        <v>24</v>
      </c>
    </row>
    <row r="272" ht="22.5" customHeight="1">
      <c r="A272" s="25">
        <v>365.0</v>
      </c>
      <c r="B272" s="26">
        <v>45354.0</v>
      </c>
      <c r="C272" s="25">
        <v>90.0</v>
      </c>
      <c r="D272" s="25">
        <v>8.0</v>
      </c>
      <c r="E272" s="25">
        <v>5.0</v>
      </c>
      <c r="F272" s="25">
        <v>5.0</v>
      </c>
      <c r="G272" s="27" t="s">
        <v>24</v>
      </c>
    </row>
    <row r="273" ht="22.5" customHeight="1">
      <c r="A273" s="25">
        <v>382.0</v>
      </c>
      <c r="B273" s="26">
        <v>45354.0</v>
      </c>
      <c r="C273" s="25">
        <v>208.0</v>
      </c>
      <c r="D273" s="25">
        <v>12.0</v>
      </c>
      <c r="E273" s="25">
        <v>1.0</v>
      </c>
      <c r="F273" s="25">
        <v>3.0</v>
      </c>
      <c r="G273" s="27" t="s">
        <v>24</v>
      </c>
    </row>
    <row r="274" ht="22.5" customHeight="1">
      <c r="A274" s="25">
        <v>428.0</v>
      </c>
      <c r="B274" s="26">
        <v>45354.0</v>
      </c>
      <c r="C274" s="25">
        <v>308.0</v>
      </c>
      <c r="D274" s="25">
        <v>28.0</v>
      </c>
      <c r="E274" s="25">
        <v>4.0</v>
      </c>
      <c r="F274" s="25">
        <v>5.0</v>
      </c>
      <c r="G274" s="27" t="s">
        <v>24</v>
      </c>
    </row>
    <row r="275" ht="22.5" customHeight="1">
      <c r="A275" s="25">
        <v>610.0</v>
      </c>
      <c r="B275" s="26">
        <v>45354.0</v>
      </c>
      <c r="C275" s="25">
        <v>197.0</v>
      </c>
      <c r="D275" s="25">
        <v>38.0</v>
      </c>
      <c r="E275" s="25">
        <v>3.0</v>
      </c>
      <c r="F275" s="25">
        <v>4.0</v>
      </c>
      <c r="G275" s="27" t="s">
        <v>25</v>
      </c>
    </row>
    <row r="276" ht="22.5" customHeight="1">
      <c r="A276" s="25">
        <v>1069.0</v>
      </c>
      <c r="B276" s="26">
        <v>45354.0</v>
      </c>
      <c r="C276" s="25">
        <v>37.0</v>
      </c>
      <c r="D276" s="25">
        <v>26.0</v>
      </c>
      <c r="E276" s="25">
        <v>1.0</v>
      </c>
      <c r="F276" s="25">
        <v>5.0</v>
      </c>
      <c r="G276" s="27" t="s">
        <v>24</v>
      </c>
    </row>
    <row r="277" ht="22.5" customHeight="1">
      <c r="A277" s="25">
        <v>1164.0</v>
      </c>
      <c r="B277" s="26">
        <v>45354.0</v>
      </c>
      <c r="C277" s="25">
        <v>97.0</v>
      </c>
      <c r="D277" s="25">
        <v>12.0</v>
      </c>
      <c r="E277" s="25">
        <v>3.0</v>
      </c>
      <c r="F277" s="25">
        <v>4.0</v>
      </c>
      <c r="G277" s="27" t="s">
        <v>25</v>
      </c>
    </row>
    <row r="278" ht="22.5" customHeight="1">
      <c r="A278" s="25">
        <v>1214.0</v>
      </c>
      <c r="B278" s="26">
        <v>45354.0</v>
      </c>
      <c r="C278" s="25">
        <v>67.0</v>
      </c>
      <c r="D278" s="25">
        <v>5.0</v>
      </c>
      <c r="E278" s="25">
        <v>1.0</v>
      </c>
      <c r="F278" s="25">
        <v>4.0</v>
      </c>
      <c r="G278" s="27" t="s">
        <v>24</v>
      </c>
    </row>
    <row r="279" ht="22.5" customHeight="1">
      <c r="A279" s="25">
        <v>1501.0</v>
      </c>
      <c r="B279" s="26">
        <v>45354.0</v>
      </c>
      <c r="C279" s="25">
        <v>42.0</v>
      </c>
      <c r="D279" s="25">
        <v>29.0</v>
      </c>
      <c r="E279" s="25">
        <v>5.0</v>
      </c>
      <c r="F279" s="25">
        <v>5.0</v>
      </c>
      <c r="G279" s="27" t="s">
        <v>24</v>
      </c>
    </row>
    <row r="280" ht="22.5" customHeight="1">
      <c r="A280" s="25">
        <v>1730.0</v>
      </c>
      <c r="B280" s="26">
        <v>45354.0</v>
      </c>
      <c r="C280" s="25">
        <v>160.0</v>
      </c>
      <c r="D280" s="25">
        <v>33.0</v>
      </c>
      <c r="E280" s="25">
        <v>6.0</v>
      </c>
      <c r="F280" s="25">
        <v>3.0</v>
      </c>
      <c r="G280" s="27" t="s">
        <v>24</v>
      </c>
    </row>
    <row r="281" ht="22.5" customHeight="1">
      <c r="A281" s="25">
        <v>1867.0</v>
      </c>
      <c r="B281" s="26">
        <v>45354.0</v>
      </c>
      <c r="C281" s="25">
        <v>132.0</v>
      </c>
      <c r="D281" s="25">
        <v>22.0</v>
      </c>
      <c r="E281" s="25">
        <v>6.0</v>
      </c>
      <c r="F281" s="25">
        <v>5.0</v>
      </c>
      <c r="G281" s="27" t="s">
        <v>25</v>
      </c>
    </row>
    <row r="282" ht="22.5" customHeight="1">
      <c r="A282" s="25">
        <v>2042.0</v>
      </c>
      <c r="B282" s="26">
        <v>45354.0</v>
      </c>
      <c r="C282" s="25">
        <v>221.0</v>
      </c>
      <c r="D282" s="25">
        <v>22.0</v>
      </c>
      <c r="E282" s="25">
        <v>6.0</v>
      </c>
      <c r="F282" s="25">
        <v>5.0</v>
      </c>
      <c r="G282" s="27" t="s">
        <v>24</v>
      </c>
    </row>
    <row r="283" ht="22.5" customHeight="1">
      <c r="A283" s="25">
        <v>2327.0</v>
      </c>
      <c r="B283" s="26">
        <v>45354.0</v>
      </c>
      <c r="C283" s="25">
        <v>62.0</v>
      </c>
      <c r="D283" s="25">
        <v>26.0</v>
      </c>
      <c r="E283" s="25">
        <v>4.0</v>
      </c>
      <c r="F283" s="25">
        <v>5.0</v>
      </c>
      <c r="G283" s="27" t="s">
        <v>24</v>
      </c>
    </row>
    <row r="284" ht="22.5" customHeight="1">
      <c r="A284" s="25">
        <v>2391.0</v>
      </c>
      <c r="B284" s="26">
        <v>45354.0</v>
      </c>
      <c r="C284" s="25">
        <v>271.0</v>
      </c>
      <c r="D284" s="25">
        <v>32.0</v>
      </c>
      <c r="E284" s="25">
        <v>1.0</v>
      </c>
      <c r="F284" s="25">
        <v>4.0</v>
      </c>
      <c r="G284" s="27" t="s">
        <v>24</v>
      </c>
    </row>
    <row r="285" ht="22.5" customHeight="1">
      <c r="A285" s="25">
        <v>2420.0</v>
      </c>
      <c r="B285" s="26">
        <v>45354.0</v>
      </c>
      <c r="C285" s="25">
        <v>17.0</v>
      </c>
      <c r="D285" s="25">
        <v>1.0</v>
      </c>
      <c r="E285" s="25">
        <v>2.0</v>
      </c>
      <c r="F285" s="25">
        <v>2.0</v>
      </c>
      <c r="G285" s="27" t="s">
        <v>24</v>
      </c>
    </row>
    <row r="286" ht="22.5" customHeight="1">
      <c r="A286" s="25">
        <v>2778.0</v>
      </c>
      <c r="B286" s="26">
        <v>45354.0</v>
      </c>
      <c r="C286" s="25">
        <v>64.0</v>
      </c>
      <c r="D286" s="25">
        <v>32.0</v>
      </c>
      <c r="E286" s="25">
        <v>1.0</v>
      </c>
      <c r="F286" s="25">
        <v>4.0</v>
      </c>
      <c r="G286" s="27" t="s">
        <v>24</v>
      </c>
    </row>
    <row r="287" ht="22.5" customHeight="1">
      <c r="A287" s="25">
        <v>275.0</v>
      </c>
      <c r="B287" s="26">
        <v>45355.0</v>
      </c>
      <c r="C287" s="25">
        <v>27.0</v>
      </c>
      <c r="D287" s="25">
        <v>11.0</v>
      </c>
      <c r="E287" s="25">
        <v>5.0</v>
      </c>
      <c r="F287" s="25">
        <v>4.0</v>
      </c>
      <c r="G287" s="27" t="s">
        <v>24</v>
      </c>
    </row>
    <row r="288" ht="22.5" customHeight="1">
      <c r="A288" s="25">
        <v>298.0</v>
      </c>
      <c r="B288" s="26">
        <v>45355.0</v>
      </c>
      <c r="C288" s="25">
        <v>158.0</v>
      </c>
      <c r="D288" s="25">
        <v>1.0</v>
      </c>
      <c r="E288" s="25">
        <v>3.0</v>
      </c>
      <c r="F288" s="25">
        <v>4.0</v>
      </c>
      <c r="G288" s="27" t="s">
        <v>24</v>
      </c>
    </row>
    <row r="289" ht="22.5" customHeight="1">
      <c r="A289" s="25">
        <v>1531.0</v>
      </c>
      <c r="B289" s="26">
        <v>45355.0</v>
      </c>
      <c r="C289" s="25">
        <v>326.0</v>
      </c>
      <c r="D289" s="25">
        <v>14.0</v>
      </c>
      <c r="E289" s="25">
        <v>1.0</v>
      </c>
      <c r="F289" s="25">
        <v>3.0</v>
      </c>
      <c r="G289" s="27" t="s">
        <v>25</v>
      </c>
    </row>
    <row r="290" ht="22.5" customHeight="1">
      <c r="A290" s="25">
        <v>1737.0</v>
      </c>
      <c r="B290" s="26">
        <v>45355.0</v>
      </c>
      <c r="C290" s="25">
        <v>149.0</v>
      </c>
      <c r="D290" s="25">
        <v>21.0</v>
      </c>
      <c r="E290" s="25">
        <v>5.0</v>
      </c>
      <c r="F290" s="25">
        <v>5.0</v>
      </c>
      <c r="G290" s="27" t="s">
        <v>24</v>
      </c>
    </row>
    <row r="291" ht="22.5" customHeight="1">
      <c r="A291" s="25">
        <v>2547.0</v>
      </c>
      <c r="B291" s="26">
        <v>45355.0</v>
      </c>
      <c r="C291" s="25">
        <v>80.0</v>
      </c>
      <c r="D291" s="25">
        <v>2.0</v>
      </c>
      <c r="E291" s="25">
        <v>5.0</v>
      </c>
      <c r="F291" s="25">
        <v>3.0</v>
      </c>
      <c r="G291" s="27" t="s">
        <v>24</v>
      </c>
    </row>
    <row r="292" ht="22.5" customHeight="1">
      <c r="A292" s="25">
        <v>2913.0</v>
      </c>
      <c r="B292" s="26">
        <v>45355.0</v>
      </c>
      <c r="C292" s="25">
        <v>283.0</v>
      </c>
      <c r="D292" s="25">
        <v>10.0</v>
      </c>
      <c r="E292" s="25">
        <v>6.0</v>
      </c>
      <c r="F292" s="25">
        <v>5.0</v>
      </c>
      <c r="G292" s="27" t="s">
        <v>24</v>
      </c>
    </row>
    <row r="293" ht="22.5" customHeight="1">
      <c r="A293" s="25">
        <v>290.0</v>
      </c>
      <c r="B293" s="26">
        <v>45356.0</v>
      </c>
      <c r="C293" s="25">
        <v>123.0</v>
      </c>
      <c r="D293" s="25">
        <v>31.0</v>
      </c>
      <c r="E293" s="25">
        <v>4.0</v>
      </c>
      <c r="F293" s="25">
        <v>2.0</v>
      </c>
      <c r="G293" s="27" t="s">
        <v>24</v>
      </c>
    </row>
    <row r="294" ht="22.5" customHeight="1">
      <c r="A294" s="25">
        <v>408.0</v>
      </c>
      <c r="B294" s="26">
        <v>45356.0</v>
      </c>
      <c r="C294" s="25">
        <v>7.0</v>
      </c>
      <c r="D294" s="25">
        <v>12.0</v>
      </c>
      <c r="E294" s="25">
        <v>5.0</v>
      </c>
      <c r="F294" s="25">
        <v>3.0</v>
      </c>
      <c r="G294" s="27" t="s">
        <v>24</v>
      </c>
    </row>
    <row r="295" ht="22.5" customHeight="1">
      <c r="A295" s="25">
        <v>1171.0</v>
      </c>
      <c r="B295" s="26">
        <v>45356.0</v>
      </c>
      <c r="C295" s="25">
        <v>8.0</v>
      </c>
      <c r="D295" s="25">
        <v>14.0</v>
      </c>
      <c r="E295" s="25">
        <v>5.0</v>
      </c>
      <c r="F295" s="25">
        <v>3.0</v>
      </c>
      <c r="G295" s="27" t="s">
        <v>24</v>
      </c>
    </row>
    <row r="296" ht="22.5" customHeight="1">
      <c r="A296" s="25">
        <v>1589.0</v>
      </c>
      <c r="B296" s="26">
        <v>45356.0</v>
      </c>
      <c r="C296" s="25">
        <v>112.0</v>
      </c>
      <c r="D296" s="25">
        <v>26.0</v>
      </c>
      <c r="E296" s="25">
        <v>2.0</v>
      </c>
      <c r="F296" s="25">
        <v>4.0</v>
      </c>
      <c r="G296" s="27" t="s">
        <v>25</v>
      </c>
    </row>
    <row r="297" ht="22.5" customHeight="1">
      <c r="A297" s="25">
        <v>2479.0</v>
      </c>
      <c r="B297" s="26">
        <v>45356.0</v>
      </c>
      <c r="C297" s="25">
        <v>85.0</v>
      </c>
      <c r="D297" s="25">
        <v>34.0</v>
      </c>
      <c r="E297" s="25">
        <v>5.0</v>
      </c>
      <c r="F297" s="25">
        <v>5.0</v>
      </c>
      <c r="G297" s="27" t="s">
        <v>24</v>
      </c>
    </row>
    <row r="298" ht="22.5" customHeight="1">
      <c r="A298" s="25">
        <v>2669.0</v>
      </c>
      <c r="B298" s="26">
        <v>45356.0</v>
      </c>
      <c r="C298" s="25">
        <v>68.0</v>
      </c>
      <c r="D298" s="25">
        <v>2.0</v>
      </c>
      <c r="E298" s="25">
        <v>5.0</v>
      </c>
      <c r="F298" s="25">
        <v>1.0</v>
      </c>
      <c r="G298" s="27" t="s">
        <v>25</v>
      </c>
    </row>
    <row r="299" ht="22.5" customHeight="1">
      <c r="A299" s="25">
        <v>28.0</v>
      </c>
      <c r="B299" s="26">
        <v>45357.0</v>
      </c>
      <c r="C299" s="25">
        <v>240.0</v>
      </c>
      <c r="D299" s="25">
        <v>23.0</v>
      </c>
      <c r="E299" s="25">
        <v>3.0</v>
      </c>
      <c r="F299" s="25">
        <v>3.0</v>
      </c>
      <c r="G299" s="27" t="s">
        <v>25</v>
      </c>
    </row>
    <row r="300" ht="22.5" customHeight="1">
      <c r="A300" s="25">
        <v>311.0</v>
      </c>
      <c r="B300" s="26">
        <v>45357.0</v>
      </c>
      <c r="C300" s="25">
        <v>68.0</v>
      </c>
      <c r="D300" s="25">
        <v>24.0</v>
      </c>
      <c r="E300" s="25">
        <v>6.0</v>
      </c>
      <c r="F300" s="25">
        <v>4.0</v>
      </c>
      <c r="G300" s="27" t="s">
        <v>24</v>
      </c>
    </row>
    <row r="301" ht="22.5" customHeight="1">
      <c r="A301" s="25">
        <v>916.0</v>
      </c>
      <c r="B301" s="26">
        <v>45357.0</v>
      </c>
      <c r="C301" s="25">
        <v>307.0</v>
      </c>
      <c r="D301" s="25">
        <v>17.0</v>
      </c>
      <c r="E301" s="25">
        <v>3.0</v>
      </c>
      <c r="F301" s="25">
        <v>3.0</v>
      </c>
      <c r="G301" s="27" t="s">
        <v>25</v>
      </c>
    </row>
    <row r="302" ht="22.5" customHeight="1">
      <c r="A302" s="25">
        <v>1524.0</v>
      </c>
      <c r="B302" s="26">
        <v>45357.0</v>
      </c>
      <c r="C302" s="25">
        <v>292.0</v>
      </c>
      <c r="D302" s="25">
        <v>34.0</v>
      </c>
      <c r="E302" s="25">
        <v>2.0</v>
      </c>
      <c r="F302" s="25">
        <v>5.0</v>
      </c>
      <c r="G302" s="27" t="s">
        <v>24</v>
      </c>
    </row>
    <row r="303" ht="22.5" customHeight="1">
      <c r="A303" s="25">
        <v>2157.0</v>
      </c>
      <c r="B303" s="26">
        <v>45357.0</v>
      </c>
      <c r="C303" s="25">
        <v>193.0</v>
      </c>
      <c r="D303" s="25">
        <v>2.0</v>
      </c>
      <c r="E303" s="25">
        <v>1.0</v>
      </c>
      <c r="F303" s="25">
        <v>3.0</v>
      </c>
      <c r="G303" s="27" t="s">
        <v>24</v>
      </c>
    </row>
    <row r="304" ht="22.5" customHeight="1">
      <c r="A304" s="25">
        <v>2301.0</v>
      </c>
      <c r="B304" s="26">
        <v>45357.0</v>
      </c>
      <c r="C304" s="25">
        <v>321.0</v>
      </c>
      <c r="D304" s="25">
        <v>7.0</v>
      </c>
      <c r="E304" s="25">
        <v>1.0</v>
      </c>
      <c r="F304" s="25">
        <v>1.0</v>
      </c>
      <c r="G304" s="27" t="s">
        <v>24</v>
      </c>
    </row>
    <row r="305" ht="22.5" customHeight="1">
      <c r="A305" s="25">
        <v>2665.0</v>
      </c>
      <c r="B305" s="26">
        <v>45357.0</v>
      </c>
      <c r="C305" s="25">
        <v>36.0</v>
      </c>
      <c r="D305" s="25">
        <v>20.0</v>
      </c>
      <c r="E305" s="25">
        <v>6.0</v>
      </c>
      <c r="F305" s="25">
        <v>5.0</v>
      </c>
      <c r="G305" s="27" t="s">
        <v>25</v>
      </c>
    </row>
    <row r="306" ht="22.5" customHeight="1">
      <c r="A306" s="25">
        <v>210.0</v>
      </c>
      <c r="B306" s="26">
        <v>45358.0</v>
      </c>
      <c r="C306" s="25">
        <v>215.0</v>
      </c>
      <c r="D306" s="25">
        <v>35.0</v>
      </c>
      <c r="E306" s="25">
        <v>3.0</v>
      </c>
      <c r="F306" s="25">
        <v>4.0</v>
      </c>
      <c r="G306" s="27" t="s">
        <v>24</v>
      </c>
    </row>
    <row r="307" ht="22.5" customHeight="1">
      <c r="A307" s="25">
        <v>556.0</v>
      </c>
      <c r="B307" s="26">
        <v>45358.0</v>
      </c>
      <c r="C307" s="25">
        <v>104.0</v>
      </c>
      <c r="D307" s="25">
        <v>23.0</v>
      </c>
      <c r="E307" s="25">
        <v>5.0</v>
      </c>
      <c r="F307" s="25">
        <v>1.0</v>
      </c>
      <c r="G307" s="27" t="s">
        <v>25</v>
      </c>
    </row>
    <row r="308" ht="22.5" customHeight="1">
      <c r="A308" s="25">
        <v>606.0</v>
      </c>
      <c r="B308" s="26">
        <v>45358.0</v>
      </c>
      <c r="C308" s="25">
        <v>46.0</v>
      </c>
      <c r="D308" s="25">
        <v>20.0</v>
      </c>
      <c r="E308" s="25">
        <v>2.0</v>
      </c>
      <c r="F308" s="25">
        <v>5.0</v>
      </c>
      <c r="G308" s="27" t="s">
        <v>24</v>
      </c>
    </row>
    <row r="309" ht="22.5" customHeight="1">
      <c r="A309" s="25">
        <v>820.0</v>
      </c>
      <c r="B309" s="26">
        <v>45358.0</v>
      </c>
      <c r="C309" s="25">
        <v>148.0</v>
      </c>
      <c r="D309" s="25">
        <v>7.0</v>
      </c>
      <c r="E309" s="25">
        <v>3.0</v>
      </c>
      <c r="F309" s="25">
        <v>5.0</v>
      </c>
      <c r="G309" s="27" t="s">
        <v>24</v>
      </c>
    </row>
    <row r="310" ht="22.5" customHeight="1">
      <c r="A310" s="25">
        <v>1185.0</v>
      </c>
      <c r="B310" s="26">
        <v>45358.0</v>
      </c>
      <c r="C310" s="25">
        <v>58.0</v>
      </c>
      <c r="D310" s="25">
        <v>22.0</v>
      </c>
      <c r="E310" s="25">
        <v>2.0</v>
      </c>
      <c r="F310" s="25">
        <v>4.0</v>
      </c>
      <c r="G310" s="27" t="s">
        <v>25</v>
      </c>
    </row>
    <row r="311" ht="22.5" customHeight="1">
      <c r="A311" s="25">
        <v>1444.0</v>
      </c>
      <c r="B311" s="26">
        <v>45358.0</v>
      </c>
      <c r="C311" s="25">
        <v>23.0</v>
      </c>
      <c r="D311" s="25">
        <v>25.0</v>
      </c>
      <c r="E311" s="25">
        <v>4.0</v>
      </c>
      <c r="F311" s="25">
        <v>4.0</v>
      </c>
      <c r="G311" s="27" t="s">
        <v>24</v>
      </c>
    </row>
    <row r="312" ht="22.5" customHeight="1">
      <c r="A312" s="25">
        <v>1756.0</v>
      </c>
      <c r="B312" s="26">
        <v>45358.0</v>
      </c>
      <c r="C312" s="25">
        <v>309.0</v>
      </c>
      <c r="D312" s="25">
        <v>13.0</v>
      </c>
      <c r="E312" s="25">
        <v>5.0</v>
      </c>
      <c r="F312" s="25">
        <v>4.0</v>
      </c>
      <c r="G312" s="27" t="s">
        <v>24</v>
      </c>
    </row>
    <row r="313" ht="22.5" customHeight="1">
      <c r="A313" s="25">
        <v>1796.0</v>
      </c>
      <c r="B313" s="26">
        <v>45358.0</v>
      </c>
      <c r="C313" s="25">
        <v>32.0</v>
      </c>
      <c r="D313" s="25">
        <v>4.0</v>
      </c>
      <c r="E313" s="25">
        <v>2.0</v>
      </c>
      <c r="F313" s="25">
        <v>4.0</v>
      </c>
      <c r="G313" s="27" t="s">
        <v>24</v>
      </c>
    </row>
    <row r="314" ht="22.5" customHeight="1">
      <c r="A314" s="25">
        <v>2156.0</v>
      </c>
      <c r="B314" s="26">
        <v>45358.0</v>
      </c>
      <c r="C314" s="25">
        <v>193.0</v>
      </c>
      <c r="D314" s="25">
        <v>26.0</v>
      </c>
      <c r="E314" s="25">
        <v>5.0</v>
      </c>
      <c r="F314" s="25">
        <v>1.0</v>
      </c>
      <c r="G314" s="27" t="s">
        <v>24</v>
      </c>
    </row>
    <row r="315" ht="22.5" customHeight="1">
      <c r="A315" s="25">
        <v>2175.0</v>
      </c>
      <c r="B315" s="26">
        <v>45358.0</v>
      </c>
      <c r="C315" s="25">
        <v>255.0</v>
      </c>
      <c r="D315" s="25">
        <v>3.0</v>
      </c>
      <c r="E315" s="25">
        <v>1.0</v>
      </c>
      <c r="F315" s="25">
        <v>4.0</v>
      </c>
      <c r="G315" s="27" t="s">
        <v>24</v>
      </c>
    </row>
    <row r="316" ht="22.5" customHeight="1">
      <c r="A316" s="25">
        <v>2183.0</v>
      </c>
      <c r="B316" s="26">
        <v>45358.0</v>
      </c>
      <c r="C316" s="25">
        <v>38.0</v>
      </c>
      <c r="D316" s="25">
        <v>36.0</v>
      </c>
      <c r="E316" s="25">
        <v>4.0</v>
      </c>
      <c r="F316" s="25">
        <v>1.0</v>
      </c>
      <c r="G316" s="27" t="s">
        <v>24</v>
      </c>
    </row>
    <row r="317" ht="22.5" customHeight="1">
      <c r="A317" s="25">
        <v>2366.0</v>
      </c>
      <c r="B317" s="26">
        <v>45358.0</v>
      </c>
      <c r="C317" s="25">
        <v>222.0</v>
      </c>
      <c r="D317" s="25">
        <v>17.0</v>
      </c>
      <c r="E317" s="25">
        <v>2.0</v>
      </c>
      <c r="F317" s="25">
        <v>4.0</v>
      </c>
      <c r="G317" s="27" t="s">
        <v>24</v>
      </c>
    </row>
    <row r="318" ht="22.5" customHeight="1">
      <c r="A318" s="25">
        <v>2732.0</v>
      </c>
      <c r="B318" s="26">
        <v>45358.0</v>
      </c>
      <c r="C318" s="25">
        <v>311.0</v>
      </c>
      <c r="D318" s="25">
        <v>4.0</v>
      </c>
      <c r="E318" s="25">
        <v>6.0</v>
      </c>
      <c r="F318" s="25">
        <v>3.0</v>
      </c>
      <c r="G318" s="27" t="s">
        <v>24</v>
      </c>
    </row>
    <row r="319" ht="22.5" customHeight="1">
      <c r="A319" s="25">
        <v>54.0</v>
      </c>
      <c r="B319" s="26">
        <v>45359.0</v>
      </c>
      <c r="C319" s="25">
        <v>108.0</v>
      </c>
      <c r="D319" s="25">
        <v>13.0</v>
      </c>
      <c r="E319" s="25">
        <v>1.0</v>
      </c>
      <c r="F319" s="25">
        <v>2.0</v>
      </c>
      <c r="G319" s="27" t="s">
        <v>24</v>
      </c>
    </row>
    <row r="320" ht="22.5" customHeight="1">
      <c r="A320" s="25">
        <v>438.0</v>
      </c>
      <c r="B320" s="26">
        <v>45359.0</v>
      </c>
      <c r="C320" s="25">
        <v>307.0</v>
      </c>
      <c r="D320" s="25">
        <v>29.0</v>
      </c>
      <c r="E320" s="25">
        <v>5.0</v>
      </c>
      <c r="F320" s="25">
        <v>2.0</v>
      </c>
      <c r="G320" s="27" t="s">
        <v>24</v>
      </c>
    </row>
    <row r="321" ht="22.5" customHeight="1">
      <c r="A321" s="25">
        <v>620.0</v>
      </c>
      <c r="B321" s="26">
        <v>45359.0</v>
      </c>
      <c r="C321" s="25">
        <v>257.0</v>
      </c>
      <c r="D321" s="25">
        <v>21.0</v>
      </c>
      <c r="E321" s="25">
        <v>6.0</v>
      </c>
      <c r="F321" s="25">
        <v>3.0</v>
      </c>
      <c r="G321" s="27" t="s">
        <v>24</v>
      </c>
    </row>
    <row r="322" ht="22.5" customHeight="1">
      <c r="A322" s="25">
        <v>876.0</v>
      </c>
      <c r="B322" s="26">
        <v>45359.0</v>
      </c>
      <c r="C322" s="25">
        <v>42.0</v>
      </c>
      <c r="D322" s="25">
        <v>23.0</v>
      </c>
      <c r="E322" s="25">
        <v>3.0</v>
      </c>
      <c r="F322" s="25">
        <v>2.0</v>
      </c>
      <c r="G322" s="27" t="s">
        <v>24</v>
      </c>
    </row>
    <row r="323" ht="22.5" customHeight="1">
      <c r="A323" s="25">
        <v>1226.0</v>
      </c>
      <c r="B323" s="26">
        <v>45359.0</v>
      </c>
      <c r="C323" s="25">
        <v>91.0</v>
      </c>
      <c r="D323" s="25">
        <v>35.0</v>
      </c>
      <c r="E323" s="25">
        <v>6.0</v>
      </c>
      <c r="F323" s="25">
        <v>5.0</v>
      </c>
      <c r="G323" s="27" t="s">
        <v>24</v>
      </c>
    </row>
    <row r="324" ht="22.5" customHeight="1">
      <c r="A324" s="25">
        <v>1463.0</v>
      </c>
      <c r="B324" s="26">
        <v>45359.0</v>
      </c>
      <c r="C324" s="25">
        <v>299.0</v>
      </c>
      <c r="D324" s="25">
        <v>17.0</v>
      </c>
      <c r="E324" s="25">
        <v>4.0</v>
      </c>
      <c r="F324" s="25">
        <v>2.0</v>
      </c>
      <c r="G324" s="27" t="s">
        <v>24</v>
      </c>
    </row>
    <row r="325" ht="22.5" customHeight="1">
      <c r="A325" s="25">
        <v>1577.0</v>
      </c>
      <c r="B325" s="26">
        <v>45359.0</v>
      </c>
      <c r="C325" s="25">
        <v>25.0</v>
      </c>
      <c r="D325" s="25">
        <v>26.0</v>
      </c>
      <c r="E325" s="25">
        <v>5.0</v>
      </c>
      <c r="F325" s="25">
        <v>4.0</v>
      </c>
      <c r="G325" s="27" t="s">
        <v>25</v>
      </c>
    </row>
    <row r="326" ht="22.5" customHeight="1">
      <c r="A326" s="25">
        <v>2398.0</v>
      </c>
      <c r="B326" s="26">
        <v>45359.0</v>
      </c>
      <c r="C326" s="25">
        <v>203.0</v>
      </c>
      <c r="D326" s="25">
        <v>30.0</v>
      </c>
      <c r="E326" s="25">
        <v>1.0</v>
      </c>
      <c r="F326" s="25">
        <v>4.0</v>
      </c>
      <c r="G326" s="27" t="s">
        <v>24</v>
      </c>
    </row>
    <row r="327" ht="22.5" customHeight="1">
      <c r="A327" s="25">
        <v>362.0</v>
      </c>
      <c r="B327" s="26">
        <v>45360.0</v>
      </c>
      <c r="C327" s="25">
        <v>30.0</v>
      </c>
      <c r="D327" s="25">
        <v>15.0</v>
      </c>
      <c r="E327" s="25">
        <v>2.0</v>
      </c>
      <c r="F327" s="25">
        <v>4.0</v>
      </c>
      <c r="G327" s="27" t="s">
        <v>24</v>
      </c>
    </row>
    <row r="328" ht="22.5" customHeight="1">
      <c r="A328" s="25">
        <v>444.0</v>
      </c>
      <c r="B328" s="26">
        <v>45360.0</v>
      </c>
      <c r="C328" s="25">
        <v>164.0</v>
      </c>
      <c r="D328" s="25">
        <v>9.0</v>
      </c>
      <c r="E328" s="25">
        <v>6.0</v>
      </c>
      <c r="F328" s="25">
        <v>5.0</v>
      </c>
      <c r="G328" s="27" t="s">
        <v>24</v>
      </c>
    </row>
    <row r="329" ht="22.5" customHeight="1">
      <c r="A329" s="25">
        <v>790.0</v>
      </c>
      <c r="B329" s="26">
        <v>45360.0</v>
      </c>
      <c r="C329" s="25">
        <v>119.0</v>
      </c>
      <c r="D329" s="25">
        <v>24.0</v>
      </c>
      <c r="E329" s="25">
        <v>6.0</v>
      </c>
      <c r="F329" s="25">
        <v>1.0</v>
      </c>
      <c r="G329" s="27" t="s">
        <v>24</v>
      </c>
    </row>
    <row r="330" ht="22.5" customHeight="1">
      <c r="A330" s="25">
        <v>1634.0</v>
      </c>
      <c r="B330" s="26">
        <v>45360.0</v>
      </c>
      <c r="C330" s="25">
        <v>206.0</v>
      </c>
      <c r="D330" s="25">
        <v>14.0</v>
      </c>
      <c r="E330" s="25">
        <v>3.0</v>
      </c>
      <c r="F330" s="25">
        <v>5.0</v>
      </c>
      <c r="G330" s="27" t="s">
        <v>25</v>
      </c>
    </row>
    <row r="331" ht="22.5" customHeight="1">
      <c r="A331" s="25">
        <v>1788.0</v>
      </c>
      <c r="B331" s="26">
        <v>45360.0</v>
      </c>
      <c r="C331" s="25">
        <v>180.0</v>
      </c>
      <c r="D331" s="25">
        <v>2.0</v>
      </c>
      <c r="E331" s="25">
        <v>2.0</v>
      </c>
      <c r="F331" s="25">
        <v>4.0</v>
      </c>
      <c r="G331" s="27" t="s">
        <v>24</v>
      </c>
    </row>
    <row r="332" ht="22.5" customHeight="1">
      <c r="A332" s="25">
        <v>2512.0</v>
      </c>
      <c r="B332" s="26">
        <v>45360.0</v>
      </c>
      <c r="C332" s="25">
        <v>87.0</v>
      </c>
      <c r="D332" s="25">
        <v>36.0</v>
      </c>
      <c r="E332" s="25">
        <v>1.0</v>
      </c>
      <c r="F332" s="25">
        <v>4.0</v>
      </c>
      <c r="G332" s="27" t="s">
        <v>24</v>
      </c>
    </row>
    <row r="333" ht="22.5" customHeight="1">
      <c r="A333" s="25">
        <v>2769.0</v>
      </c>
      <c r="B333" s="26">
        <v>45360.0</v>
      </c>
      <c r="C333" s="25">
        <v>33.0</v>
      </c>
      <c r="D333" s="25">
        <v>24.0</v>
      </c>
      <c r="E333" s="25">
        <v>6.0</v>
      </c>
      <c r="F333" s="25">
        <v>3.0</v>
      </c>
      <c r="G333" s="27" t="s">
        <v>24</v>
      </c>
    </row>
    <row r="334" ht="22.5" customHeight="1">
      <c r="A334" s="25">
        <v>35.0</v>
      </c>
      <c r="B334" s="26">
        <v>45361.0</v>
      </c>
      <c r="C334" s="25">
        <v>62.0</v>
      </c>
      <c r="D334" s="25">
        <v>9.0</v>
      </c>
      <c r="E334" s="25">
        <v>6.0</v>
      </c>
      <c r="F334" s="25">
        <v>3.0</v>
      </c>
      <c r="G334" s="27" t="s">
        <v>24</v>
      </c>
    </row>
    <row r="335" ht="22.5" customHeight="1">
      <c r="A335" s="25">
        <v>152.0</v>
      </c>
      <c r="B335" s="26">
        <v>45361.0</v>
      </c>
      <c r="C335" s="25">
        <v>64.0</v>
      </c>
      <c r="D335" s="25">
        <v>11.0</v>
      </c>
      <c r="E335" s="25">
        <v>5.0</v>
      </c>
      <c r="F335" s="25">
        <v>4.0</v>
      </c>
      <c r="G335" s="27" t="s">
        <v>24</v>
      </c>
    </row>
    <row r="336" ht="22.5" customHeight="1">
      <c r="A336" s="25">
        <v>1142.0</v>
      </c>
      <c r="B336" s="26">
        <v>45361.0</v>
      </c>
      <c r="C336" s="25">
        <v>164.0</v>
      </c>
      <c r="D336" s="25">
        <v>13.0</v>
      </c>
      <c r="E336" s="25">
        <v>6.0</v>
      </c>
      <c r="F336" s="25">
        <v>1.0</v>
      </c>
      <c r="G336" s="27" t="s">
        <v>24</v>
      </c>
    </row>
    <row r="337" ht="22.5" customHeight="1">
      <c r="A337" s="25">
        <v>1639.0</v>
      </c>
      <c r="B337" s="26">
        <v>45361.0</v>
      </c>
      <c r="C337" s="25">
        <v>230.0</v>
      </c>
      <c r="D337" s="25">
        <v>26.0</v>
      </c>
      <c r="E337" s="25">
        <v>5.0</v>
      </c>
      <c r="F337" s="25">
        <v>4.0</v>
      </c>
      <c r="G337" s="27" t="s">
        <v>24</v>
      </c>
    </row>
    <row r="338" ht="22.5" customHeight="1">
      <c r="A338" s="25">
        <v>1957.0</v>
      </c>
      <c r="B338" s="26">
        <v>45361.0</v>
      </c>
      <c r="C338" s="25">
        <v>217.0</v>
      </c>
      <c r="D338" s="25">
        <v>37.0</v>
      </c>
      <c r="E338" s="25">
        <v>2.0</v>
      </c>
      <c r="F338" s="25">
        <v>1.0</v>
      </c>
      <c r="G338" s="27" t="s">
        <v>24</v>
      </c>
    </row>
    <row r="339" ht="22.5" customHeight="1">
      <c r="A339" s="25">
        <v>2678.0</v>
      </c>
      <c r="B339" s="26">
        <v>45361.0</v>
      </c>
      <c r="C339" s="25">
        <v>11.0</v>
      </c>
      <c r="D339" s="25">
        <v>31.0</v>
      </c>
      <c r="E339" s="25">
        <v>6.0</v>
      </c>
      <c r="F339" s="25">
        <v>5.0</v>
      </c>
      <c r="G339" s="27" t="s">
        <v>25</v>
      </c>
    </row>
    <row r="340" ht="22.5" customHeight="1">
      <c r="A340" s="25">
        <v>923.0</v>
      </c>
      <c r="B340" s="26">
        <v>45362.0</v>
      </c>
      <c r="C340" s="25">
        <v>172.0</v>
      </c>
      <c r="D340" s="25">
        <v>2.0</v>
      </c>
      <c r="E340" s="25">
        <v>1.0</v>
      </c>
      <c r="F340" s="25">
        <v>1.0</v>
      </c>
      <c r="G340" s="27" t="s">
        <v>24</v>
      </c>
    </row>
    <row r="341" ht="22.5" customHeight="1">
      <c r="A341" s="25">
        <v>1148.0</v>
      </c>
      <c r="B341" s="26">
        <v>45362.0</v>
      </c>
      <c r="C341" s="25">
        <v>67.0</v>
      </c>
      <c r="D341" s="25">
        <v>25.0</v>
      </c>
      <c r="E341" s="25">
        <v>5.0</v>
      </c>
      <c r="F341" s="25">
        <v>4.0</v>
      </c>
      <c r="G341" s="27" t="s">
        <v>25</v>
      </c>
    </row>
    <row r="342" ht="22.5" customHeight="1">
      <c r="A342" s="25">
        <v>1564.0</v>
      </c>
      <c r="B342" s="26">
        <v>45362.0</v>
      </c>
      <c r="C342" s="25">
        <v>238.0</v>
      </c>
      <c r="D342" s="25">
        <v>23.0</v>
      </c>
      <c r="E342" s="25">
        <v>2.0</v>
      </c>
      <c r="F342" s="25">
        <v>2.0</v>
      </c>
      <c r="G342" s="27" t="s">
        <v>24</v>
      </c>
    </row>
    <row r="343" ht="22.5" customHeight="1">
      <c r="A343" s="25">
        <v>2058.0</v>
      </c>
      <c r="B343" s="26">
        <v>45362.0</v>
      </c>
      <c r="C343" s="25">
        <v>206.0</v>
      </c>
      <c r="D343" s="25">
        <v>9.0</v>
      </c>
      <c r="E343" s="25">
        <v>2.0</v>
      </c>
      <c r="F343" s="25">
        <v>4.0</v>
      </c>
      <c r="G343" s="27" t="s">
        <v>24</v>
      </c>
    </row>
    <row r="344" ht="22.5" customHeight="1">
      <c r="A344" s="25">
        <v>2132.0</v>
      </c>
      <c r="B344" s="26">
        <v>45362.0</v>
      </c>
      <c r="C344" s="25">
        <v>215.0</v>
      </c>
      <c r="D344" s="25">
        <v>11.0</v>
      </c>
      <c r="E344" s="25">
        <v>3.0</v>
      </c>
      <c r="F344" s="25">
        <v>3.0</v>
      </c>
      <c r="G344" s="27" t="s">
        <v>24</v>
      </c>
    </row>
    <row r="345" ht="22.5" customHeight="1">
      <c r="A345" s="25">
        <v>2253.0</v>
      </c>
      <c r="B345" s="26">
        <v>45362.0</v>
      </c>
      <c r="C345" s="25">
        <v>278.0</v>
      </c>
      <c r="D345" s="25">
        <v>2.0</v>
      </c>
      <c r="E345" s="25">
        <v>2.0</v>
      </c>
      <c r="F345" s="25">
        <v>2.0</v>
      </c>
      <c r="G345" s="27" t="s">
        <v>24</v>
      </c>
    </row>
    <row r="346" ht="22.5" customHeight="1">
      <c r="A346" s="25">
        <v>437.0</v>
      </c>
      <c r="B346" s="26">
        <v>45363.0</v>
      </c>
      <c r="C346" s="25">
        <v>211.0</v>
      </c>
      <c r="D346" s="25">
        <v>15.0</v>
      </c>
      <c r="E346" s="25">
        <v>5.0</v>
      </c>
      <c r="F346" s="25">
        <v>1.0</v>
      </c>
      <c r="G346" s="27" t="s">
        <v>24</v>
      </c>
    </row>
    <row r="347" ht="22.5" customHeight="1">
      <c r="A347" s="25">
        <v>971.0</v>
      </c>
      <c r="B347" s="26">
        <v>45363.0</v>
      </c>
      <c r="C347" s="25">
        <v>213.0</v>
      </c>
      <c r="D347" s="25">
        <v>29.0</v>
      </c>
      <c r="E347" s="25">
        <v>6.0</v>
      </c>
      <c r="F347" s="25">
        <v>4.0</v>
      </c>
      <c r="G347" s="27" t="s">
        <v>24</v>
      </c>
    </row>
    <row r="348" ht="22.5" customHeight="1">
      <c r="A348" s="25">
        <v>2019.0</v>
      </c>
      <c r="B348" s="26">
        <v>45363.0</v>
      </c>
      <c r="C348" s="25">
        <v>49.0</v>
      </c>
      <c r="D348" s="25">
        <v>13.0</v>
      </c>
      <c r="E348" s="25">
        <v>6.0</v>
      </c>
      <c r="F348" s="25">
        <v>4.0</v>
      </c>
      <c r="G348" s="27" t="s">
        <v>24</v>
      </c>
    </row>
    <row r="349" ht="22.5" customHeight="1">
      <c r="A349" s="25">
        <v>2291.0</v>
      </c>
      <c r="B349" s="26">
        <v>45363.0</v>
      </c>
      <c r="C349" s="25">
        <v>69.0</v>
      </c>
      <c r="D349" s="25">
        <v>6.0</v>
      </c>
      <c r="E349" s="25">
        <v>6.0</v>
      </c>
      <c r="F349" s="25">
        <v>5.0</v>
      </c>
      <c r="G349" s="27" t="s">
        <v>24</v>
      </c>
    </row>
    <row r="350" ht="22.5" customHeight="1">
      <c r="A350" s="25">
        <v>2416.0</v>
      </c>
      <c r="B350" s="26">
        <v>45363.0</v>
      </c>
      <c r="C350" s="25">
        <v>49.0</v>
      </c>
      <c r="D350" s="25">
        <v>11.0</v>
      </c>
      <c r="E350" s="25">
        <v>5.0</v>
      </c>
      <c r="F350" s="25">
        <v>4.0</v>
      </c>
      <c r="G350" s="27" t="s">
        <v>24</v>
      </c>
    </row>
    <row r="351" ht="22.5" customHeight="1">
      <c r="A351" s="25">
        <v>2519.0</v>
      </c>
      <c r="B351" s="26">
        <v>45363.0</v>
      </c>
      <c r="C351" s="25">
        <v>30.0</v>
      </c>
      <c r="D351" s="25">
        <v>3.0</v>
      </c>
      <c r="E351" s="25">
        <v>6.0</v>
      </c>
      <c r="F351" s="25">
        <v>1.0</v>
      </c>
      <c r="G351" s="27" t="s">
        <v>24</v>
      </c>
    </row>
    <row r="352" ht="22.5" customHeight="1">
      <c r="A352" s="25">
        <v>2524.0</v>
      </c>
      <c r="B352" s="26">
        <v>45363.0</v>
      </c>
      <c r="C352" s="25">
        <v>117.0</v>
      </c>
      <c r="D352" s="25">
        <v>9.0</v>
      </c>
      <c r="E352" s="25">
        <v>2.0</v>
      </c>
      <c r="F352" s="25">
        <v>3.0</v>
      </c>
      <c r="G352" s="27" t="s">
        <v>25</v>
      </c>
    </row>
    <row r="353" ht="22.5" customHeight="1">
      <c r="A353" s="25">
        <v>2989.0</v>
      </c>
      <c r="B353" s="26">
        <v>45363.0</v>
      </c>
      <c r="C353" s="25">
        <v>147.0</v>
      </c>
      <c r="D353" s="25">
        <v>31.0</v>
      </c>
      <c r="E353" s="25">
        <v>6.0</v>
      </c>
      <c r="F353" s="25">
        <v>3.0</v>
      </c>
      <c r="G353" s="27" t="s">
        <v>24</v>
      </c>
    </row>
    <row r="354" ht="22.5" customHeight="1">
      <c r="A354" s="25">
        <v>426.0</v>
      </c>
      <c r="B354" s="26">
        <v>45364.0</v>
      </c>
      <c r="C354" s="25">
        <v>100.0</v>
      </c>
      <c r="D354" s="25">
        <v>17.0</v>
      </c>
      <c r="E354" s="25">
        <v>4.0</v>
      </c>
      <c r="F354" s="25">
        <v>4.0</v>
      </c>
      <c r="G354" s="27" t="s">
        <v>24</v>
      </c>
    </row>
    <row r="355" ht="22.5" customHeight="1">
      <c r="A355" s="25">
        <v>537.0</v>
      </c>
      <c r="B355" s="26">
        <v>45364.0</v>
      </c>
      <c r="C355" s="25">
        <v>262.0</v>
      </c>
      <c r="D355" s="25">
        <v>3.0</v>
      </c>
      <c r="E355" s="25">
        <v>6.0</v>
      </c>
      <c r="F355" s="25">
        <v>2.0</v>
      </c>
      <c r="G355" s="27" t="s">
        <v>24</v>
      </c>
    </row>
    <row r="356" ht="22.5" customHeight="1">
      <c r="A356" s="25">
        <v>656.0</v>
      </c>
      <c r="B356" s="26">
        <v>45364.0</v>
      </c>
      <c r="C356" s="25">
        <v>35.0</v>
      </c>
      <c r="D356" s="25">
        <v>6.0</v>
      </c>
      <c r="E356" s="25">
        <v>5.0</v>
      </c>
      <c r="F356" s="25">
        <v>3.0</v>
      </c>
      <c r="G356" s="27" t="s">
        <v>24</v>
      </c>
    </row>
    <row r="357" ht="22.5" customHeight="1">
      <c r="A357" s="25">
        <v>756.0</v>
      </c>
      <c r="B357" s="26">
        <v>45364.0</v>
      </c>
      <c r="C357" s="25">
        <v>81.0</v>
      </c>
      <c r="D357" s="25">
        <v>12.0</v>
      </c>
      <c r="E357" s="25">
        <v>4.0</v>
      </c>
      <c r="F357" s="25">
        <v>4.0</v>
      </c>
      <c r="G357" s="27" t="s">
        <v>24</v>
      </c>
    </row>
    <row r="358" ht="22.5" customHeight="1">
      <c r="A358" s="25">
        <v>762.0</v>
      </c>
      <c r="B358" s="26">
        <v>45364.0</v>
      </c>
      <c r="C358" s="25">
        <v>81.0</v>
      </c>
      <c r="D358" s="25">
        <v>3.0</v>
      </c>
      <c r="E358" s="25">
        <v>5.0</v>
      </c>
      <c r="F358" s="25">
        <v>1.0</v>
      </c>
      <c r="G358" s="27" t="s">
        <v>24</v>
      </c>
    </row>
    <row r="359" ht="22.5" customHeight="1">
      <c r="A359" s="25">
        <v>1808.0</v>
      </c>
      <c r="B359" s="26">
        <v>45364.0</v>
      </c>
      <c r="C359" s="25">
        <v>303.0</v>
      </c>
      <c r="D359" s="25">
        <v>11.0</v>
      </c>
      <c r="E359" s="25">
        <v>5.0</v>
      </c>
      <c r="F359" s="25">
        <v>2.0</v>
      </c>
      <c r="G359" s="27" t="s">
        <v>24</v>
      </c>
    </row>
    <row r="360" ht="22.5" customHeight="1">
      <c r="A360" s="25">
        <v>1970.0</v>
      </c>
      <c r="B360" s="26">
        <v>45364.0</v>
      </c>
      <c r="C360" s="25">
        <v>167.0</v>
      </c>
      <c r="D360" s="25">
        <v>10.0</v>
      </c>
      <c r="E360" s="25">
        <v>1.0</v>
      </c>
      <c r="F360" s="25">
        <v>2.0</v>
      </c>
      <c r="G360" s="27" t="s">
        <v>24</v>
      </c>
    </row>
    <row r="361" ht="22.5" customHeight="1">
      <c r="A361" s="25">
        <v>2180.0</v>
      </c>
      <c r="B361" s="26">
        <v>45364.0</v>
      </c>
      <c r="C361" s="25">
        <v>74.0</v>
      </c>
      <c r="D361" s="25">
        <v>18.0</v>
      </c>
      <c r="E361" s="25">
        <v>5.0</v>
      </c>
      <c r="F361" s="25">
        <v>3.0</v>
      </c>
      <c r="G361" s="27" t="s">
        <v>24</v>
      </c>
    </row>
    <row r="362" ht="22.5" customHeight="1">
      <c r="A362" s="25">
        <v>2260.0</v>
      </c>
      <c r="B362" s="26">
        <v>45364.0</v>
      </c>
      <c r="C362" s="25">
        <v>54.0</v>
      </c>
      <c r="D362" s="25">
        <v>1.0</v>
      </c>
      <c r="E362" s="25">
        <v>3.0</v>
      </c>
      <c r="F362" s="25">
        <v>5.0</v>
      </c>
      <c r="G362" s="27" t="s">
        <v>24</v>
      </c>
    </row>
    <row r="363" ht="22.5" customHeight="1">
      <c r="A363" s="25">
        <v>2274.0</v>
      </c>
      <c r="B363" s="26">
        <v>45364.0</v>
      </c>
      <c r="C363" s="25">
        <v>213.0</v>
      </c>
      <c r="D363" s="25">
        <v>35.0</v>
      </c>
      <c r="E363" s="25">
        <v>1.0</v>
      </c>
      <c r="F363" s="25">
        <v>1.0</v>
      </c>
      <c r="G363" s="27" t="s">
        <v>24</v>
      </c>
    </row>
    <row r="364" ht="22.5" customHeight="1">
      <c r="A364" s="25">
        <v>31.0</v>
      </c>
      <c r="B364" s="26">
        <v>45365.0</v>
      </c>
      <c r="C364" s="25">
        <v>267.0</v>
      </c>
      <c r="D364" s="25">
        <v>2.0</v>
      </c>
      <c r="E364" s="25">
        <v>1.0</v>
      </c>
      <c r="F364" s="25">
        <v>3.0</v>
      </c>
      <c r="G364" s="27" t="s">
        <v>24</v>
      </c>
    </row>
    <row r="365" ht="22.5" customHeight="1">
      <c r="A365" s="25">
        <v>124.0</v>
      </c>
      <c r="B365" s="26">
        <v>45365.0</v>
      </c>
      <c r="C365" s="25">
        <v>173.0</v>
      </c>
      <c r="D365" s="25">
        <v>13.0</v>
      </c>
      <c r="E365" s="25">
        <v>5.0</v>
      </c>
      <c r="F365" s="25">
        <v>3.0</v>
      </c>
      <c r="G365" s="27" t="s">
        <v>24</v>
      </c>
    </row>
    <row r="366" ht="22.5" customHeight="1">
      <c r="A366" s="25">
        <v>225.0</v>
      </c>
      <c r="B366" s="26">
        <v>45365.0</v>
      </c>
      <c r="C366" s="25">
        <v>104.0</v>
      </c>
      <c r="D366" s="25">
        <v>38.0</v>
      </c>
      <c r="E366" s="25">
        <v>3.0</v>
      </c>
      <c r="F366" s="25">
        <v>4.0</v>
      </c>
      <c r="G366" s="27" t="s">
        <v>25</v>
      </c>
    </row>
    <row r="367" ht="22.5" customHeight="1">
      <c r="A367" s="25">
        <v>607.0</v>
      </c>
      <c r="B367" s="26">
        <v>45365.0</v>
      </c>
      <c r="C367" s="25">
        <v>251.0</v>
      </c>
      <c r="D367" s="25">
        <v>9.0</v>
      </c>
      <c r="E367" s="25">
        <v>5.0</v>
      </c>
      <c r="F367" s="25">
        <v>2.0</v>
      </c>
      <c r="G367" s="27" t="s">
        <v>24</v>
      </c>
    </row>
    <row r="368" ht="22.5" customHeight="1">
      <c r="A368" s="25">
        <v>705.0</v>
      </c>
      <c r="B368" s="26">
        <v>45365.0</v>
      </c>
      <c r="C368" s="25">
        <v>185.0</v>
      </c>
      <c r="D368" s="25">
        <v>17.0</v>
      </c>
      <c r="E368" s="25">
        <v>2.0</v>
      </c>
      <c r="F368" s="25">
        <v>1.0</v>
      </c>
      <c r="G368" s="27" t="s">
        <v>24</v>
      </c>
    </row>
    <row r="369" ht="22.5" customHeight="1">
      <c r="A369" s="25">
        <v>1033.0</v>
      </c>
      <c r="B369" s="26">
        <v>45365.0</v>
      </c>
      <c r="C369" s="25">
        <v>78.0</v>
      </c>
      <c r="D369" s="25">
        <v>1.0</v>
      </c>
      <c r="E369" s="25">
        <v>3.0</v>
      </c>
      <c r="F369" s="25">
        <v>5.0</v>
      </c>
      <c r="G369" s="27" t="s">
        <v>24</v>
      </c>
    </row>
    <row r="370" ht="22.5" customHeight="1">
      <c r="A370" s="25">
        <v>1228.0</v>
      </c>
      <c r="B370" s="26">
        <v>45365.0</v>
      </c>
      <c r="C370" s="25">
        <v>291.0</v>
      </c>
      <c r="D370" s="25">
        <v>1.0</v>
      </c>
      <c r="E370" s="25">
        <v>6.0</v>
      </c>
      <c r="F370" s="25">
        <v>1.0</v>
      </c>
      <c r="G370" s="27" t="s">
        <v>24</v>
      </c>
    </row>
    <row r="371" ht="22.5" customHeight="1">
      <c r="A371" s="25">
        <v>1537.0</v>
      </c>
      <c r="B371" s="26">
        <v>45365.0</v>
      </c>
      <c r="C371" s="25">
        <v>138.0</v>
      </c>
      <c r="D371" s="25">
        <v>37.0</v>
      </c>
      <c r="E371" s="25">
        <v>1.0</v>
      </c>
      <c r="F371" s="25">
        <v>1.0</v>
      </c>
      <c r="G371" s="27" t="s">
        <v>24</v>
      </c>
    </row>
    <row r="372" ht="22.5" customHeight="1">
      <c r="A372" s="25">
        <v>1864.0</v>
      </c>
      <c r="B372" s="26">
        <v>45365.0</v>
      </c>
      <c r="C372" s="25">
        <v>15.0</v>
      </c>
      <c r="D372" s="25">
        <v>10.0</v>
      </c>
      <c r="E372" s="25">
        <v>5.0</v>
      </c>
      <c r="F372" s="25">
        <v>4.0</v>
      </c>
      <c r="G372" s="27" t="s">
        <v>24</v>
      </c>
    </row>
    <row r="373" ht="22.5" customHeight="1">
      <c r="A373" s="25">
        <v>2545.0</v>
      </c>
      <c r="B373" s="26">
        <v>45365.0</v>
      </c>
      <c r="C373" s="25">
        <v>233.0</v>
      </c>
      <c r="D373" s="25">
        <v>12.0</v>
      </c>
      <c r="E373" s="25">
        <v>1.0</v>
      </c>
      <c r="F373" s="25">
        <v>4.0</v>
      </c>
      <c r="G373" s="27" t="s">
        <v>24</v>
      </c>
    </row>
    <row r="374" ht="22.5" customHeight="1">
      <c r="A374" s="25">
        <v>2973.0</v>
      </c>
      <c r="B374" s="26">
        <v>45365.0</v>
      </c>
      <c r="C374" s="25">
        <v>134.0</v>
      </c>
      <c r="D374" s="25">
        <v>7.0</v>
      </c>
      <c r="E374" s="25">
        <v>3.0</v>
      </c>
      <c r="F374" s="25">
        <v>3.0</v>
      </c>
      <c r="G374" s="27" t="s">
        <v>24</v>
      </c>
    </row>
    <row r="375" ht="22.5" customHeight="1">
      <c r="A375" s="25">
        <v>817.0</v>
      </c>
      <c r="B375" s="26">
        <v>45366.0</v>
      </c>
      <c r="C375" s="25">
        <v>31.0</v>
      </c>
      <c r="D375" s="25">
        <v>3.0</v>
      </c>
      <c r="E375" s="25">
        <v>2.0</v>
      </c>
      <c r="F375" s="25">
        <v>4.0</v>
      </c>
      <c r="G375" s="27" t="s">
        <v>24</v>
      </c>
    </row>
    <row r="376" ht="22.5" customHeight="1">
      <c r="A376" s="25">
        <v>1494.0</v>
      </c>
      <c r="B376" s="26">
        <v>45366.0</v>
      </c>
      <c r="C376" s="25">
        <v>157.0</v>
      </c>
      <c r="D376" s="25">
        <v>23.0</v>
      </c>
      <c r="E376" s="25">
        <v>3.0</v>
      </c>
      <c r="F376" s="25">
        <v>1.0</v>
      </c>
      <c r="G376" s="27" t="s">
        <v>24</v>
      </c>
    </row>
    <row r="377" ht="22.5" customHeight="1">
      <c r="A377" s="25">
        <v>1601.0</v>
      </c>
      <c r="B377" s="26">
        <v>45366.0</v>
      </c>
      <c r="C377" s="25">
        <v>313.0</v>
      </c>
      <c r="D377" s="25">
        <v>34.0</v>
      </c>
      <c r="E377" s="25">
        <v>4.0</v>
      </c>
      <c r="F377" s="25">
        <v>1.0</v>
      </c>
      <c r="G377" s="27" t="s">
        <v>24</v>
      </c>
    </row>
    <row r="378" ht="22.5" customHeight="1">
      <c r="A378" s="25">
        <v>1618.0</v>
      </c>
      <c r="B378" s="26">
        <v>45366.0</v>
      </c>
      <c r="C378" s="25">
        <v>14.0</v>
      </c>
      <c r="D378" s="25">
        <v>18.0</v>
      </c>
      <c r="E378" s="25">
        <v>3.0</v>
      </c>
      <c r="F378" s="25">
        <v>5.0</v>
      </c>
      <c r="G378" s="27" t="s">
        <v>25</v>
      </c>
    </row>
    <row r="379" ht="22.5" customHeight="1">
      <c r="A379" s="25">
        <v>1622.0</v>
      </c>
      <c r="B379" s="26">
        <v>45366.0</v>
      </c>
      <c r="C379" s="25">
        <v>211.0</v>
      </c>
      <c r="D379" s="25">
        <v>16.0</v>
      </c>
      <c r="E379" s="25">
        <v>2.0</v>
      </c>
      <c r="F379" s="25">
        <v>5.0</v>
      </c>
      <c r="G379" s="27" t="s">
        <v>24</v>
      </c>
    </row>
    <row r="380" ht="22.5" customHeight="1">
      <c r="A380" s="25">
        <v>1646.0</v>
      </c>
      <c r="B380" s="26">
        <v>45366.0</v>
      </c>
      <c r="C380" s="25">
        <v>143.0</v>
      </c>
      <c r="D380" s="25">
        <v>8.0</v>
      </c>
      <c r="E380" s="25">
        <v>3.0</v>
      </c>
      <c r="F380" s="25">
        <v>3.0</v>
      </c>
      <c r="G380" s="27" t="s">
        <v>24</v>
      </c>
    </row>
    <row r="381" ht="22.5" customHeight="1">
      <c r="A381" s="25">
        <v>2073.0</v>
      </c>
      <c r="B381" s="26">
        <v>45366.0</v>
      </c>
      <c r="C381" s="25">
        <v>283.0</v>
      </c>
      <c r="D381" s="25">
        <v>11.0</v>
      </c>
      <c r="E381" s="25">
        <v>4.0</v>
      </c>
      <c r="F381" s="25">
        <v>4.0</v>
      </c>
      <c r="G381" s="27" t="s">
        <v>24</v>
      </c>
    </row>
    <row r="382" ht="22.5" customHeight="1">
      <c r="A382" s="25">
        <v>2107.0</v>
      </c>
      <c r="B382" s="26">
        <v>45366.0</v>
      </c>
      <c r="C382" s="25">
        <v>299.0</v>
      </c>
      <c r="D382" s="25">
        <v>3.0</v>
      </c>
      <c r="E382" s="25">
        <v>5.0</v>
      </c>
      <c r="F382" s="25">
        <v>3.0</v>
      </c>
      <c r="G382" s="27" t="s">
        <v>24</v>
      </c>
    </row>
    <row r="383" ht="22.5" customHeight="1">
      <c r="A383" s="25">
        <v>2204.0</v>
      </c>
      <c r="B383" s="26">
        <v>45366.0</v>
      </c>
      <c r="C383" s="25">
        <v>55.0</v>
      </c>
      <c r="D383" s="25">
        <v>28.0</v>
      </c>
      <c r="E383" s="25">
        <v>1.0</v>
      </c>
      <c r="F383" s="25">
        <v>5.0</v>
      </c>
      <c r="G383" s="27" t="s">
        <v>24</v>
      </c>
    </row>
    <row r="384" ht="22.5" customHeight="1">
      <c r="A384" s="25">
        <v>2660.0</v>
      </c>
      <c r="B384" s="26">
        <v>45366.0</v>
      </c>
      <c r="C384" s="25">
        <v>28.0</v>
      </c>
      <c r="D384" s="25">
        <v>7.0</v>
      </c>
      <c r="E384" s="25">
        <v>6.0</v>
      </c>
      <c r="F384" s="25">
        <v>4.0</v>
      </c>
      <c r="G384" s="27" t="s">
        <v>24</v>
      </c>
    </row>
    <row r="385" ht="22.5" customHeight="1">
      <c r="A385" s="25">
        <v>2808.0</v>
      </c>
      <c r="B385" s="26">
        <v>45366.0</v>
      </c>
      <c r="C385" s="25">
        <v>11.0</v>
      </c>
      <c r="D385" s="25">
        <v>38.0</v>
      </c>
      <c r="E385" s="25">
        <v>6.0</v>
      </c>
      <c r="F385" s="25">
        <v>4.0</v>
      </c>
      <c r="G385" s="27" t="s">
        <v>24</v>
      </c>
    </row>
    <row r="386" ht="22.5" customHeight="1">
      <c r="A386" s="25">
        <v>40.0</v>
      </c>
      <c r="B386" s="26">
        <v>45367.0</v>
      </c>
      <c r="C386" s="25">
        <v>125.0</v>
      </c>
      <c r="D386" s="25">
        <v>34.0</v>
      </c>
      <c r="E386" s="25">
        <v>6.0</v>
      </c>
      <c r="F386" s="25">
        <v>1.0</v>
      </c>
      <c r="G386" s="27" t="s">
        <v>24</v>
      </c>
    </row>
    <row r="387" ht="22.5" customHeight="1">
      <c r="A387" s="25">
        <v>42.0</v>
      </c>
      <c r="B387" s="26">
        <v>45367.0</v>
      </c>
      <c r="C387" s="25">
        <v>259.0</v>
      </c>
      <c r="D387" s="25">
        <v>32.0</v>
      </c>
      <c r="E387" s="25">
        <v>5.0</v>
      </c>
      <c r="F387" s="25">
        <v>5.0</v>
      </c>
      <c r="G387" s="27" t="s">
        <v>24</v>
      </c>
    </row>
    <row r="388" ht="22.5" customHeight="1">
      <c r="A388" s="25">
        <v>199.0</v>
      </c>
      <c r="B388" s="26">
        <v>45367.0</v>
      </c>
      <c r="C388" s="25">
        <v>226.0</v>
      </c>
      <c r="D388" s="25">
        <v>30.0</v>
      </c>
      <c r="E388" s="25">
        <v>4.0</v>
      </c>
      <c r="F388" s="25">
        <v>4.0</v>
      </c>
      <c r="G388" s="27" t="s">
        <v>25</v>
      </c>
    </row>
    <row r="389" ht="22.5" customHeight="1">
      <c r="A389" s="25">
        <v>1083.0</v>
      </c>
      <c r="B389" s="26">
        <v>45367.0</v>
      </c>
      <c r="C389" s="25">
        <v>111.0</v>
      </c>
      <c r="D389" s="25">
        <v>26.0</v>
      </c>
      <c r="E389" s="25">
        <v>5.0</v>
      </c>
      <c r="F389" s="25">
        <v>4.0</v>
      </c>
      <c r="G389" s="27" t="s">
        <v>24</v>
      </c>
    </row>
    <row r="390" ht="22.5" customHeight="1">
      <c r="A390" s="25">
        <v>1085.0</v>
      </c>
      <c r="B390" s="26">
        <v>45367.0</v>
      </c>
      <c r="C390" s="25">
        <v>232.0</v>
      </c>
      <c r="D390" s="25">
        <v>20.0</v>
      </c>
      <c r="E390" s="25">
        <v>3.0</v>
      </c>
      <c r="F390" s="25">
        <v>3.0</v>
      </c>
      <c r="G390" s="27" t="s">
        <v>24</v>
      </c>
    </row>
    <row r="391" ht="22.5" customHeight="1">
      <c r="A391" s="25">
        <v>1111.0</v>
      </c>
      <c r="B391" s="26">
        <v>45367.0</v>
      </c>
      <c r="C391" s="25">
        <v>65.0</v>
      </c>
      <c r="D391" s="25">
        <v>16.0</v>
      </c>
      <c r="E391" s="25">
        <v>2.0</v>
      </c>
      <c r="F391" s="25">
        <v>3.0</v>
      </c>
      <c r="G391" s="27" t="s">
        <v>24</v>
      </c>
    </row>
    <row r="392" ht="22.5" customHeight="1">
      <c r="A392" s="25">
        <v>1249.0</v>
      </c>
      <c r="B392" s="26">
        <v>45367.0</v>
      </c>
      <c r="C392" s="25">
        <v>77.0</v>
      </c>
      <c r="D392" s="25">
        <v>21.0</v>
      </c>
      <c r="E392" s="25">
        <v>1.0</v>
      </c>
      <c r="F392" s="25">
        <v>3.0</v>
      </c>
      <c r="G392" s="27" t="s">
        <v>24</v>
      </c>
    </row>
    <row r="393" ht="22.5" customHeight="1">
      <c r="A393" s="25">
        <v>1561.0</v>
      </c>
      <c r="B393" s="26">
        <v>45367.0</v>
      </c>
      <c r="C393" s="25">
        <v>200.0</v>
      </c>
      <c r="D393" s="25">
        <v>22.0</v>
      </c>
      <c r="E393" s="25">
        <v>5.0</v>
      </c>
      <c r="F393" s="25">
        <v>4.0</v>
      </c>
      <c r="G393" s="27" t="s">
        <v>24</v>
      </c>
    </row>
    <row r="394" ht="22.5" customHeight="1">
      <c r="A394" s="25">
        <v>1708.0</v>
      </c>
      <c r="B394" s="26">
        <v>45367.0</v>
      </c>
      <c r="C394" s="25">
        <v>68.0</v>
      </c>
      <c r="D394" s="25">
        <v>16.0</v>
      </c>
      <c r="E394" s="25">
        <v>1.0</v>
      </c>
      <c r="F394" s="25">
        <v>4.0</v>
      </c>
      <c r="G394" s="27" t="s">
        <v>24</v>
      </c>
    </row>
    <row r="395" ht="22.5" customHeight="1">
      <c r="A395" s="25">
        <v>2201.0</v>
      </c>
      <c r="B395" s="26">
        <v>45367.0</v>
      </c>
      <c r="C395" s="25">
        <v>63.0</v>
      </c>
      <c r="D395" s="25">
        <v>34.0</v>
      </c>
      <c r="E395" s="25">
        <v>6.0</v>
      </c>
      <c r="F395" s="25">
        <v>5.0</v>
      </c>
      <c r="G395" s="27" t="s">
        <v>24</v>
      </c>
    </row>
    <row r="396" ht="22.5" customHeight="1">
      <c r="A396" s="25">
        <v>2264.0</v>
      </c>
      <c r="B396" s="26">
        <v>45367.0</v>
      </c>
      <c r="C396" s="25">
        <v>87.0</v>
      </c>
      <c r="D396" s="25">
        <v>11.0</v>
      </c>
      <c r="E396" s="25">
        <v>6.0</v>
      </c>
      <c r="F396" s="25">
        <v>5.0</v>
      </c>
      <c r="G396" s="27" t="s">
        <v>24</v>
      </c>
    </row>
    <row r="397" ht="22.5" customHeight="1">
      <c r="A397" s="25">
        <v>2689.0</v>
      </c>
      <c r="B397" s="26">
        <v>45367.0</v>
      </c>
      <c r="C397" s="25">
        <v>108.0</v>
      </c>
      <c r="D397" s="25">
        <v>30.0</v>
      </c>
      <c r="E397" s="25">
        <v>5.0</v>
      </c>
      <c r="F397" s="25">
        <v>4.0</v>
      </c>
      <c r="G397" s="27" t="s">
        <v>24</v>
      </c>
    </row>
    <row r="398" ht="22.5" customHeight="1">
      <c r="A398" s="25">
        <v>2740.0</v>
      </c>
      <c r="B398" s="26">
        <v>45367.0</v>
      </c>
      <c r="C398" s="25">
        <v>224.0</v>
      </c>
      <c r="D398" s="25">
        <v>7.0</v>
      </c>
      <c r="E398" s="25">
        <v>5.0</v>
      </c>
      <c r="F398" s="25">
        <v>4.0</v>
      </c>
      <c r="G398" s="27" t="s">
        <v>24</v>
      </c>
    </row>
    <row r="399" ht="22.5" customHeight="1">
      <c r="A399" s="25">
        <v>2951.0</v>
      </c>
      <c r="B399" s="26">
        <v>45367.0</v>
      </c>
      <c r="C399" s="25">
        <v>229.0</v>
      </c>
      <c r="D399" s="25">
        <v>32.0</v>
      </c>
      <c r="E399" s="25">
        <v>1.0</v>
      </c>
      <c r="F399" s="25">
        <v>4.0</v>
      </c>
      <c r="G399" s="27" t="s">
        <v>24</v>
      </c>
    </row>
    <row r="400" ht="22.5" customHeight="1">
      <c r="A400" s="25">
        <v>18.0</v>
      </c>
      <c r="B400" s="26">
        <v>45368.0</v>
      </c>
      <c r="C400" s="25">
        <v>179.0</v>
      </c>
      <c r="D400" s="25">
        <v>10.0</v>
      </c>
      <c r="E400" s="25">
        <v>3.0</v>
      </c>
      <c r="F400" s="25">
        <v>4.0</v>
      </c>
      <c r="G400" s="27" t="s">
        <v>24</v>
      </c>
    </row>
    <row r="401" ht="22.5" customHeight="1">
      <c r="A401" s="25">
        <v>827.0</v>
      </c>
      <c r="B401" s="26">
        <v>45368.0</v>
      </c>
      <c r="C401" s="25">
        <v>246.0</v>
      </c>
      <c r="D401" s="25">
        <v>8.0</v>
      </c>
      <c r="E401" s="25">
        <v>2.0</v>
      </c>
      <c r="F401" s="25">
        <v>5.0</v>
      </c>
      <c r="G401" s="27" t="s">
        <v>24</v>
      </c>
    </row>
    <row r="402" ht="22.5" customHeight="1">
      <c r="A402" s="25">
        <v>875.0</v>
      </c>
      <c r="B402" s="26">
        <v>45368.0</v>
      </c>
      <c r="C402" s="25">
        <v>321.0</v>
      </c>
      <c r="D402" s="25">
        <v>15.0</v>
      </c>
      <c r="E402" s="25">
        <v>6.0</v>
      </c>
      <c r="F402" s="25">
        <v>5.0</v>
      </c>
      <c r="G402" s="27" t="s">
        <v>24</v>
      </c>
    </row>
    <row r="403" ht="22.5" customHeight="1">
      <c r="A403" s="25">
        <v>884.0</v>
      </c>
      <c r="B403" s="26">
        <v>45368.0</v>
      </c>
      <c r="C403" s="25">
        <v>312.0</v>
      </c>
      <c r="D403" s="25">
        <v>16.0</v>
      </c>
      <c r="E403" s="25">
        <v>5.0</v>
      </c>
      <c r="F403" s="25">
        <v>2.0</v>
      </c>
      <c r="G403" s="27" t="s">
        <v>25</v>
      </c>
    </row>
    <row r="404" ht="22.5" customHeight="1">
      <c r="A404" s="25">
        <v>1121.0</v>
      </c>
      <c r="B404" s="26">
        <v>45368.0</v>
      </c>
      <c r="C404" s="25">
        <v>88.0</v>
      </c>
      <c r="D404" s="25">
        <v>34.0</v>
      </c>
      <c r="E404" s="25">
        <v>3.0</v>
      </c>
      <c r="F404" s="25">
        <v>5.0</v>
      </c>
      <c r="G404" s="27" t="s">
        <v>25</v>
      </c>
    </row>
    <row r="405" ht="22.5" customHeight="1">
      <c r="A405" s="25">
        <v>1137.0</v>
      </c>
      <c r="B405" s="26">
        <v>45368.0</v>
      </c>
      <c r="C405" s="25">
        <v>295.0</v>
      </c>
      <c r="D405" s="25">
        <v>32.0</v>
      </c>
      <c r="E405" s="25">
        <v>6.0</v>
      </c>
      <c r="F405" s="25">
        <v>3.0</v>
      </c>
      <c r="G405" s="27" t="s">
        <v>24</v>
      </c>
    </row>
    <row r="406" ht="22.5" customHeight="1">
      <c r="A406" s="25">
        <v>1290.0</v>
      </c>
      <c r="B406" s="26">
        <v>45368.0</v>
      </c>
      <c r="C406" s="25">
        <v>323.0</v>
      </c>
      <c r="D406" s="25">
        <v>25.0</v>
      </c>
      <c r="E406" s="25">
        <v>5.0</v>
      </c>
      <c r="F406" s="25">
        <v>3.0</v>
      </c>
      <c r="G406" s="27" t="s">
        <v>24</v>
      </c>
    </row>
    <row r="407" ht="22.5" customHeight="1">
      <c r="A407" s="25">
        <v>1682.0</v>
      </c>
      <c r="B407" s="26">
        <v>45368.0</v>
      </c>
      <c r="C407" s="25">
        <v>48.0</v>
      </c>
      <c r="D407" s="25">
        <v>38.0</v>
      </c>
      <c r="E407" s="25">
        <v>4.0</v>
      </c>
      <c r="F407" s="25">
        <v>4.0</v>
      </c>
      <c r="G407" s="27" t="s">
        <v>24</v>
      </c>
    </row>
    <row r="408" ht="22.5" customHeight="1">
      <c r="A408" s="25">
        <v>2091.0</v>
      </c>
      <c r="B408" s="26">
        <v>45368.0</v>
      </c>
      <c r="C408" s="25">
        <v>44.0</v>
      </c>
      <c r="D408" s="25">
        <v>21.0</v>
      </c>
      <c r="E408" s="25">
        <v>3.0</v>
      </c>
      <c r="F408" s="25">
        <v>5.0</v>
      </c>
      <c r="G408" s="27" t="s">
        <v>24</v>
      </c>
    </row>
    <row r="409" ht="22.5" customHeight="1">
      <c r="A409" s="25">
        <v>2261.0</v>
      </c>
      <c r="B409" s="26">
        <v>45368.0</v>
      </c>
      <c r="C409" s="25">
        <v>305.0</v>
      </c>
      <c r="D409" s="25">
        <v>4.0</v>
      </c>
      <c r="E409" s="25">
        <v>6.0</v>
      </c>
      <c r="F409" s="25">
        <v>4.0</v>
      </c>
      <c r="G409" s="27" t="s">
        <v>24</v>
      </c>
    </row>
    <row r="410" ht="22.5" customHeight="1">
      <c r="A410" s="25">
        <v>2478.0</v>
      </c>
      <c r="B410" s="26">
        <v>45368.0</v>
      </c>
      <c r="C410" s="25">
        <v>109.0</v>
      </c>
      <c r="D410" s="25">
        <v>29.0</v>
      </c>
      <c r="E410" s="25">
        <v>3.0</v>
      </c>
      <c r="F410" s="25">
        <v>3.0</v>
      </c>
      <c r="G410" s="27" t="s">
        <v>24</v>
      </c>
    </row>
    <row r="411" ht="22.5" customHeight="1">
      <c r="A411" s="25">
        <v>414.0</v>
      </c>
      <c r="B411" s="26">
        <v>45369.0</v>
      </c>
      <c r="C411" s="25">
        <v>151.0</v>
      </c>
      <c r="D411" s="25">
        <v>35.0</v>
      </c>
      <c r="E411" s="25">
        <v>3.0</v>
      </c>
      <c r="F411" s="25">
        <v>5.0</v>
      </c>
      <c r="G411" s="27" t="s">
        <v>24</v>
      </c>
    </row>
    <row r="412" ht="22.5" customHeight="1">
      <c r="A412" s="25">
        <v>1133.0</v>
      </c>
      <c r="B412" s="26">
        <v>45369.0</v>
      </c>
      <c r="C412" s="25">
        <v>313.0</v>
      </c>
      <c r="D412" s="25">
        <v>32.0</v>
      </c>
      <c r="E412" s="25">
        <v>4.0</v>
      </c>
      <c r="F412" s="25">
        <v>5.0</v>
      </c>
      <c r="G412" s="27" t="s">
        <v>24</v>
      </c>
    </row>
    <row r="413" ht="22.5" customHeight="1">
      <c r="A413" s="25">
        <v>1156.0</v>
      </c>
      <c r="B413" s="26">
        <v>45369.0</v>
      </c>
      <c r="C413" s="25">
        <v>37.0</v>
      </c>
      <c r="D413" s="25">
        <v>2.0</v>
      </c>
      <c r="E413" s="25">
        <v>3.0</v>
      </c>
      <c r="F413" s="25">
        <v>1.0</v>
      </c>
      <c r="G413" s="27" t="s">
        <v>24</v>
      </c>
    </row>
    <row r="414" ht="22.5" customHeight="1">
      <c r="A414" s="25">
        <v>1545.0</v>
      </c>
      <c r="B414" s="26">
        <v>45369.0</v>
      </c>
      <c r="C414" s="25">
        <v>8.0</v>
      </c>
      <c r="D414" s="25">
        <v>19.0</v>
      </c>
      <c r="E414" s="25">
        <v>2.0</v>
      </c>
      <c r="F414" s="25">
        <v>1.0</v>
      </c>
      <c r="G414" s="27" t="s">
        <v>24</v>
      </c>
    </row>
    <row r="415" ht="22.5" customHeight="1">
      <c r="A415" s="25">
        <v>2135.0</v>
      </c>
      <c r="B415" s="26">
        <v>45369.0</v>
      </c>
      <c r="C415" s="25">
        <v>50.0</v>
      </c>
      <c r="D415" s="25">
        <v>31.0</v>
      </c>
      <c r="E415" s="25">
        <v>6.0</v>
      </c>
      <c r="F415" s="25">
        <v>4.0</v>
      </c>
      <c r="G415" s="27" t="s">
        <v>24</v>
      </c>
    </row>
    <row r="416" ht="22.5" customHeight="1">
      <c r="A416" s="25">
        <v>2917.0</v>
      </c>
      <c r="B416" s="26">
        <v>45369.0</v>
      </c>
      <c r="C416" s="25">
        <v>17.0</v>
      </c>
      <c r="D416" s="25">
        <v>35.0</v>
      </c>
      <c r="E416" s="25">
        <v>5.0</v>
      </c>
      <c r="F416" s="25">
        <v>3.0</v>
      </c>
      <c r="G416" s="27" t="s">
        <v>25</v>
      </c>
    </row>
    <row r="417" ht="22.5" customHeight="1">
      <c r="A417" s="25">
        <v>2981.0</v>
      </c>
      <c r="B417" s="26">
        <v>45369.0</v>
      </c>
      <c r="C417" s="25">
        <v>36.0</v>
      </c>
      <c r="D417" s="25">
        <v>11.0</v>
      </c>
      <c r="E417" s="25">
        <v>2.0</v>
      </c>
      <c r="F417" s="25">
        <v>4.0</v>
      </c>
      <c r="G417" s="27" t="s">
        <v>24</v>
      </c>
    </row>
    <row r="418" ht="22.5" customHeight="1">
      <c r="A418" s="25">
        <v>44.0</v>
      </c>
      <c r="B418" s="26">
        <v>45370.0</v>
      </c>
      <c r="C418" s="25">
        <v>122.0</v>
      </c>
      <c r="D418" s="25">
        <v>30.0</v>
      </c>
      <c r="E418" s="25">
        <v>2.0</v>
      </c>
      <c r="F418" s="25">
        <v>4.0</v>
      </c>
      <c r="G418" s="27" t="s">
        <v>24</v>
      </c>
    </row>
    <row r="419" ht="22.5" customHeight="1">
      <c r="A419" s="25">
        <v>208.0</v>
      </c>
      <c r="B419" s="26">
        <v>45370.0</v>
      </c>
      <c r="C419" s="25">
        <v>66.0</v>
      </c>
      <c r="D419" s="25">
        <v>29.0</v>
      </c>
      <c r="E419" s="25">
        <v>3.0</v>
      </c>
      <c r="F419" s="25">
        <v>1.0</v>
      </c>
      <c r="G419" s="27" t="s">
        <v>24</v>
      </c>
    </row>
    <row r="420" ht="22.5" customHeight="1">
      <c r="A420" s="25">
        <v>1357.0</v>
      </c>
      <c r="B420" s="26">
        <v>45370.0</v>
      </c>
      <c r="C420" s="25">
        <v>71.0</v>
      </c>
      <c r="D420" s="25">
        <v>23.0</v>
      </c>
      <c r="E420" s="25">
        <v>5.0</v>
      </c>
      <c r="F420" s="25">
        <v>1.0</v>
      </c>
      <c r="G420" s="27" t="s">
        <v>25</v>
      </c>
    </row>
    <row r="421" ht="22.5" customHeight="1">
      <c r="A421" s="25">
        <v>1777.0</v>
      </c>
      <c r="B421" s="26">
        <v>45370.0</v>
      </c>
      <c r="C421" s="25">
        <v>113.0</v>
      </c>
      <c r="D421" s="25">
        <v>3.0</v>
      </c>
      <c r="E421" s="25">
        <v>2.0</v>
      </c>
      <c r="F421" s="25">
        <v>5.0</v>
      </c>
      <c r="G421" s="27" t="s">
        <v>24</v>
      </c>
    </row>
    <row r="422" ht="22.5" customHeight="1">
      <c r="A422" s="25">
        <v>1874.0</v>
      </c>
      <c r="B422" s="26">
        <v>45370.0</v>
      </c>
      <c r="C422" s="25">
        <v>92.0</v>
      </c>
      <c r="D422" s="25">
        <v>15.0</v>
      </c>
      <c r="E422" s="25">
        <v>4.0</v>
      </c>
      <c r="F422" s="25">
        <v>3.0</v>
      </c>
      <c r="G422" s="27" t="s">
        <v>24</v>
      </c>
    </row>
    <row r="423" ht="22.5" customHeight="1">
      <c r="A423" s="25">
        <v>2112.0</v>
      </c>
      <c r="B423" s="26">
        <v>45370.0</v>
      </c>
      <c r="C423" s="25">
        <v>119.0</v>
      </c>
      <c r="D423" s="25">
        <v>22.0</v>
      </c>
      <c r="E423" s="25">
        <v>4.0</v>
      </c>
      <c r="F423" s="25">
        <v>2.0</v>
      </c>
      <c r="G423" s="27" t="s">
        <v>25</v>
      </c>
    </row>
    <row r="424" ht="22.5" customHeight="1">
      <c r="A424" s="25">
        <v>2563.0</v>
      </c>
      <c r="B424" s="26">
        <v>45370.0</v>
      </c>
      <c r="C424" s="25">
        <v>99.0</v>
      </c>
      <c r="D424" s="25">
        <v>15.0</v>
      </c>
      <c r="E424" s="25">
        <v>4.0</v>
      </c>
      <c r="F424" s="25">
        <v>4.0</v>
      </c>
      <c r="G424" s="27" t="s">
        <v>24</v>
      </c>
    </row>
    <row r="425" ht="22.5" customHeight="1">
      <c r="A425" s="25">
        <v>2585.0</v>
      </c>
      <c r="B425" s="26">
        <v>45370.0</v>
      </c>
      <c r="C425" s="25">
        <v>323.0</v>
      </c>
      <c r="D425" s="25">
        <v>19.0</v>
      </c>
      <c r="E425" s="25">
        <v>1.0</v>
      </c>
      <c r="F425" s="25">
        <v>1.0</v>
      </c>
      <c r="G425" s="27" t="s">
        <v>24</v>
      </c>
    </row>
    <row r="426" ht="22.5" customHeight="1">
      <c r="A426" s="25">
        <v>2628.0</v>
      </c>
      <c r="B426" s="26">
        <v>45370.0</v>
      </c>
      <c r="C426" s="25">
        <v>195.0</v>
      </c>
      <c r="D426" s="25">
        <v>14.0</v>
      </c>
      <c r="E426" s="25">
        <v>5.0</v>
      </c>
      <c r="F426" s="25">
        <v>2.0</v>
      </c>
      <c r="G426" s="27" t="s">
        <v>24</v>
      </c>
    </row>
    <row r="427" ht="22.5" customHeight="1">
      <c r="A427" s="25">
        <v>118.0</v>
      </c>
      <c r="B427" s="26">
        <v>45371.0</v>
      </c>
      <c r="C427" s="25">
        <v>26.0</v>
      </c>
      <c r="D427" s="25">
        <v>25.0</v>
      </c>
      <c r="E427" s="25">
        <v>4.0</v>
      </c>
      <c r="F427" s="25">
        <v>5.0</v>
      </c>
      <c r="G427" s="27" t="s">
        <v>24</v>
      </c>
    </row>
    <row r="428" ht="22.5" customHeight="1">
      <c r="A428" s="25">
        <v>741.0</v>
      </c>
      <c r="B428" s="26">
        <v>45371.0</v>
      </c>
      <c r="C428" s="25">
        <v>222.0</v>
      </c>
      <c r="D428" s="25">
        <v>31.0</v>
      </c>
      <c r="E428" s="25">
        <v>6.0</v>
      </c>
      <c r="F428" s="25">
        <v>5.0</v>
      </c>
      <c r="G428" s="27" t="s">
        <v>24</v>
      </c>
    </row>
    <row r="429" ht="22.5" customHeight="1">
      <c r="A429" s="25">
        <v>968.0</v>
      </c>
      <c r="B429" s="26">
        <v>45371.0</v>
      </c>
      <c r="C429" s="25">
        <v>3.0</v>
      </c>
      <c r="D429" s="25">
        <v>23.0</v>
      </c>
      <c r="E429" s="25">
        <v>3.0</v>
      </c>
      <c r="F429" s="25">
        <v>4.0</v>
      </c>
      <c r="G429" s="27" t="s">
        <v>24</v>
      </c>
    </row>
    <row r="430" ht="22.5" customHeight="1">
      <c r="A430" s="25">
        <v>1071.0</v>
      </c>
      <c r="B430" s="26">
        <v>45371.0</v>
      </c>
      <c r="C430" s="25">
        <v>135.0</v>
      </c>
      <c r="D430" s="25">
        <v>14.0</v>
      </c>
      <c r="E430" s="25">
        <v>6.0</v>
      </c>
      <c r="F430" s="25">
        <v>4.0</v>
      </c>
      <c r="G430" s="27" t="s">
        <v>24</v>
      </c>
    </row>
    <row r="431" ht="22.5" customHeight="1">
      <c r="A431" s="25">
        <v>1108.0</v>
      </c>
      <c r="B431" s="26">
        <v>45371.0</v>
      </c>
      <c r="C431" s="25">
        <v>270.0</v>
      </c>
      <c r="D431" s="25">
        <v>25.0</v>
      </c>
      <c r="E431" s="25">
        <v>6.0</v>
      </c>
      <c r="F431" s="25">
        <v>2.0</v>
      </c>
      <c r="G431" s="27" t="s">
        <v>25</v>
      </c>
    </row>
    <row r="432" ht="22.5" customHeight="1">
      <c r="A432" s="25">
        <v>1130.0</v>
      </c>
      <c r="B432" s="26">
        <v>45371.0</v>
      </c>
      <c r="C432" s="25">
        <v>213.0</v>
      </c>
      <c r="D432" s="25">
        <v>4.0</v>
      </c>
      <c r="E432" s="25">
        <v>2.0</v>
      </c>
      <c r="F432" s="25">
        <v>2.0</v>
      </c>
      <c r="G432" s="27" t="s">
        <v>24</v>
      </c>
    </row>
    <row r="433" ht="22.5" customHeight="1">
      <c r="A433" s="25">
        <v>1903.0</v>
      </c>
      <c r="B433" s="26">
        <v>45371.0</v>
      </c>
      <c r="C433" s="25">
        <v>278.0</v>
      </c>
      <c r="D433" s="25">
        <v>33.0</v>
      </c>
      <c r="E433" s="25">
        <v>2.0</v>
      </c>
      <c r="F433" s="25">
        <v>5.0</v>
      </c>
      <c r="G433" s="27" t="s">
        <v>24</v>
      </c>
    </row>
    <row r="434" ht="22.5" customHeight="1">
      <c r="A434" s="25">
        <v>1920.0</v>
      </c>
      <c r="B434" s="26">
        <v>45371.0</v>
      </c>
      <c r="C434" s="25">
        <v>184.0</v>
      </c>
      <c r="D434" s="25">
        <v>36.0</v>
      </c>
      <c r="E434" s="25">
        <v>6.0</v>
      </c>
      <c r="F434" s="25">
        <v>3.0</v>
      </c>
      <c r="G434" s="27" t="s">
        <v>24</v>
      </c>
    </row>
    <row r="435" ht="22.5" customHeight="1">
      <c r="A435" s="25">
        <v>1984.0</v>
      </c>
      <c r="B435" s="26">
        <v>45371.0</v>
      </c>
      <c r="C435" s="25">
        <v>321.0</v>
      </c>
      <c r="D435" s="25">
        <v>38.0</v>
      </c>
      <c r="E435" s="25">
        <v>2.0</v>
      </c>
      <c r="F435" s="25">
        <v>1.0</v>
      </c>
      <c r="G435" s="27" t="s">
        <v>25</v>
      </c>
    </row>
    <row r="436" ht="22.5" customHeight="1">
      <c r="A436" s="25">
        <v>2054.0</v>
      </c>
      <c r="B436" s="26">
        <v>45371.0</v>
      </c>
      <c r="C436" s="25">
        <v>209.0</v>
      </c>
      <c r="D436" s="25">
        <v>37.0</v>
      </c>
      <c r="E436" s="25">
        <v>3.0</v>
      </c>
      <c r="F436" s="25">
        <v>5.0</v>
      </c>
      <c r="G436" s="27" t="s">
        <v>24</v>
      </c>
    </row>
    <row r="437" ht="22.5" customHeight="1">
      <c r="A437" s="25">
        <v>2720.0</v>
      </c>
      <c r="B437" s="26">
        <v>45371.0</v>
      </c>
      <c r="C437" s="25">
        <v>145.0</v>
      </c>
      <c r="D437" s="25">
        <v>7.0</v>
      </c>
      <c r="E437" s="25">
        <v>4.0</v>
      </c>
      <c r="F437" s="25">
        <v>3.0</v>
      </c>
      <c r="G437" s="27" t="s">
        <v>24</v>
      </c>
    </row>
    <row r="438" ht="22.5" customHeight="1">
      <c r="A438" s="25">
        <v>911.0</v>
      </c>
      <c r="B438" s="26">
        <v>45372.0</v>
      </c>
      <c r="C438" s="25">
        <v>288.0</v>
      </c>
      <c r="D438" s="25">
        <v>19.0</v>
      </c>
      <c r="E438" s="25">
        <v>1.0</v>
      </c>
      <c r="F438" s="25">
        <v>4.0</v>
      </c>
      <c r="G438" s="27" t="s">
        <v>24</v>
      </c>
    </row>
    <row r="439" ht="22.5" customHeight="1">
      <c r="A439" s="25">
        <v>1096.0</v>
      </c>
      <c r="B439" s="26">
        <v>45372.0</v>
      </c>
      <c r="C439" s="25">
        <v>204.0</v>
      </c>
      <c r="D439" s="25">
        <v>37.0</v>
      </c>
      <c r="E439" s="25">
        <v>5.0</v>
      </c>
      <c r="F439" s="25">
        <v>4.0</v>
      </c>
      <c r="G439" s="27" t="s">
        <v>24</v>
      </c>
    </row>
    <row r="440" ht="22.5" customHeight="1">
      <c r="A440" s="25">
        <v>1098.0</v>
      </c>
      <c r="B440" s="26">
        <v>45372.0</v>
      </c>
      <c r="C440" s="25">
        <v>178.0</v>
      </c>
      <c r="D440" s="25">
        <v>25.0</v>
      </c>
      <c r="E440" s="25">
        <v>3.0</v>
      </c>
      <c r="F440" s="25">
        <v>4.0</v>
      </c>
      <c r="G440" s="27" t="s">
        <v>24</v>
      </c>
    </row>
    <row r="441" ht="22.5" customHeight="1">
      <c r="A441" s="25">
        <v>1473.0</v>
      </c>
      <c r="B441" s="26">
        <v>45372.0</v>
      </c>
      <c r="C441" s="25">
        <v>255.0</v>
      </c>
      <c r="D441" s="25">
        <v>18.0</v>
      </c>
      <c r="E441" s="25">
        <v>1.0</v>
      </c>
      <c r="F441" s="25">
        <v>5.0</v>
      </c>
      <c r="G441" s="27" t="s">
        <v>25</v>
      </c>
    </row>
    <row r="442" ht="22.5" customHeight="1">
      <c r="A442" s="25">
        <v>1606.0</v>
      </c>
      <c r="B442" s="26">
        <v>45372.0</v>
      </c>
      <c r="C442" s="25">
        <v>278.0</v>
      </c>
      <c r="D442" s="25">
        <v>27.0</v>
      </c>
      <c r="E442" s="25">
        <v>6.0</v>
      </c>
      <c r="F442" s="25">
        <v>4.0</v>
      </c>
      <c r="G442" s="27" t="s">
        <v>24</v>
      </c>
    </row>
    <row r="443" ht="22.5" customHeight="1">
      <c r="A443" s="25">
        <v>1998.0</v>
      </c>
      <c r="B443" s="26">
        <v>45372.0</v>
      </c>
      <c r="C443" s="25">
        <v>279.0</v>
      </c>
      <c r="D443" s="25">
        <v>31.0</v>
      </c>
      <c r="E443" s="25">
        <v>1.0</v>
      </c>
      <c r="F443" s="25">
        <v>1.0</v>
      </c>
      <c r="G443" s="27" t="s">
        <v>25</v>
      </c>
    </row>
    <row r="444" ht="22.5" customHeight="1">
      <c r="A444" s="25">
        <v>2243.0</v>
      </c>
      <c r="B444" s="26">
        <v>45372.0</v>
      </c>
      <c r="C444" s="25">
        <v>326.0</v>
      </c>
      <c r="D444" s="25">
        <v>18.0</v>
      </c>
      <c r="E444" s="25">
        <v>2.0</v>
      </c>
      <c r="F444" s="25">
        <v>2.0</v>
      </c>
      <c r="G444" s="27" t="s">
        <v>24</v>
      </c>
    </row>
    <row r="445" ht="22.5" customHeight="1">
      <c r="A445" s="25">
        <v>2397.0</v>
      </c>
      <c r="B445" s="26">
        <v>45372.0</v>
      </c>
      <c r="C445" s="25">
        <v>238.0</v>
      </c>
      <c r="D445" s="25">
        <v>32.0</v>
      </c>
      <c r="E445" s="25">
        <v>2.0</v>
      </c>
      <c r="F445" s="25">
        <v>3.0</v>
      </c>
      <c r="G445" s="27" t="s">
        <v>24</v>
      </c>
    </row>
    <row r="446" ht="22.5" customHeight="1">
      <c r="A446" s="25">
        <v>416.0</v>
      </c>
      <c r="B446" s="26">
        <v>45373.0</v>
      </c>
      <c r="C446" s="25">
        <v>110.0</v>
      </c>
      <c r="D446" s="25">
        <v>29.0</v>
      </c>
      <c r="E446" s="25">
        <v>2.0</v>
      </c>
      <c r="F446" s="25">
        <v>4.0</v>
      </c>
      <c r="G446" s="27" t="s">
        <v>24</v>
      </c>
    </row>
    <row r="447" ht="22.5" customHeight="1">
      <c r="A447" s="25">
        <v>608.0</v>
      </c>
      <c r="B447" s="26">
        <v>45373.0</v>
      </c>
      <c r="C447" s="25">
        <v>105.0</v>
      </c>
      <c r="D447" s="25">
        <v>14.0</v>
      </c>
      <c r="E447" s="25">
        <v>5.0</v>
      </c>
      <c r="F447" s="25">
        <v>3.0</v>
      </c>
      <c r="G447" s="27" t="s">
        <v>24</v>
      </c>
    </row>
    <row r="448" ht="22.5" customHeight="1">
      <c r="A448" s="25">
        <v>1028.0</v>
      </c>
      <c r="B448" s="26">
        <v>45373.0</v>
      </c>
      <c r="C448" s="25">
        <v>267.0</v>
      </c>
      <c r="D448" s="25">
        <v>31.0</v>
      </c>
      <c r="E448" s="25">
        <v>3.0</v>
      </c>
      <c r="F448" s="25">
        <v>4.0</v>
      </c>
      <c r="G448" s="27" t="s">
        <v>24</v>
      </c>
    </row>
    <row r="449" ht="22.5" customHeight="1">
      <c r="A449" s="25">
        <v>1118.0</v>
      </c>
      <c r="B449" s="26">
        <v>45373.0</v>
      </c>
      <c r="C449" s="25">
        <v>106.0</v>
      </c>
      <c r="D449" s="25">
        <v>13.0</v>
      </c>
      <c r="E449" s="25">
        <v>2.0</v>
      </c>
      <c r="F449" s="25">
        <v>1.0</v>
      </c>
      <c r="G449" s="27" t="s">
        <v>24</v>
      </c>
    </row>
    <row r="450" ht="22.5" customHeight="1">
      <c r="A450" s="25">
        <v>1210.0</v>
      </c>
      <c r="B450" s="26">
        <v>45373.0</v>
      </c>
      <c r="C450" s="25">
        <v>266.0</v>
      </c>
      <c r="D450" s="25">
        <v>6.0</v>
      </c>
      <c r="E450" s="25">
        <v>4.0</v>
      </c>
      <c r="F450" s="25">
        <v>5.0</v>
      </c>
      <c r="G450" s="27" t="s">
        <v>24</v>
      </c>
    </row>
    <row r="451" ht="22.5" customHeight="1">
      <c r="A451" s="25">
        <v>1504.0</v>
      </c>
      <c r="B451" s="26">
        <v>45373.0</v>
      </c>
      <c r="C451" s="25">
        <v>168.0</v>
      </c>
      <c r="D451" s="25">
        <v>3.0</v>
      </c>
      <c r="E451" s="25">
        <v>4.0</v>
      </c>
      <c r="F451" s="25">
        <v>4.0</v>
      </c>
      <c r="G451" s="27" t="s">
        <v>24</v>
      </c>
    </row>
    <row r="452" ht="22.5" customHeight="1">
      <c r="A452" s="25">
        <v>1773.0</v>
      </c>
      <c r="B452" s="26">
        <v>45373.0</v>
      </c>
      <c r="C452" s="25">
        <v>88.0</v>
      </c>
      <c r="D452" s="25">
        <v>25.0</v>
      </c>
      <c r="E452" s="25">
        <v>4.0</v>
      </c>
      <c r="F452" s="25">
        <v>5.0</v>
      </c>
      <c r="G452" s="27" t="s">
        <v>24</v>
      </c>
    </row>
    <row r="453" ht="22.5" customHeight="1">
      <c r="A453" s="25">
        <v>1809.0</v>
      </c>
      <c r="B453" s="26">
        <v>45373.0</v>
      </c>
      <c r="C453" s="25">
        <v>90.0</v>
      </c>
      <c r="D453" s="25">
        <v>31.0</v>
      </c>
      <c r="E453" s="25">
        <v>3.0</v>
      </c>
      <c r="F453" s="25">
        <v>3.0</v>
      </c>
      <c r="G453" s="27" t="s">
        <v>24</v>
      </c>
    </row>
    <row r="454" ht="22.5" customHeight="1">
      <c r="A454" s="25">
        <v>2040.0</v>
      </c>
      <c r="B454" s="26">
        <v>45373.0</v>
      </c>
      <c r="C454" s="25">
        <v>313.0</v>
      </c>
      <c r="D454" s="25">
        <v>12.0</v>
      </c>
      <c r="E454" s="25">
        <v>5.0</v>
      </c>
      <c r="F454" s="25">
        <v>1.0</v>
      </c>
      <c r="G454" s="27" t="s">
        <v>24</v>
      </c>
    </row>
    <row r="455" ht="22.5" customHeight="1">
      <c r="A455" s="25">
        <v>2251.0</v>
      </c>
      <c r="B455" s="26">
        <v>45373.0</v>
      </c>
      <c r="C455" s="25">
        <v>238.0</v>
      </c>
      <c r="D455" s="25">
        <v>36.0</v>
      </c>
      <c r="E455" s="25">
        <v>4.0</v>
      </c>
      <c r="F455" s="25">
        <v>5.0</v>
      </c>
      <c r="G455" s="27" t="s">
        <v>24</v>
      </c>
    </row>
    <row r="456" ht="22.5" customHeight="1">
      <c r="A456" s="25">
        <v>2372.0</v>
      </c>
      <c r="B456" s="26">
        <v>45373.0</v>
      </c>
      <c r="C456" s="25">
        <v>177.0</v>
      </c>
      <c r="D456" s="25">
        <v>8.0</v>
      </c>
      <c r="E456" s="25">
        <v>1.0</v>
      </c>
      <c r="F456" s="25">
        <v>1.0</v>
      </c>
      <c r="G456" s="27" t="s">
        <v>24</v>
      </c>
    </row>
    <row r="457" ht="22.5" customHeight="1">
      <c r="A457" s="25">
        <v>2907.0</v>
      </c>
      <c r="B457" s="26">
        <v>45373.0</v>
      </c>
      <c r="C457" s="25">
        <v>207.0</v>
      </c>
      <c r="D457" s="25">
        <v>6.0</v>
      </c>
      <c r="E457" s="25">
        <v>2.0</v>
      </c>
      <c r="F457" s="25">
        <v>3.0</v>
      </c>
      <c r="G457" s="27" t="s">
        <v>24</v>
      </c>
    </row>
    <row r="458" ht="22.5" customHeight="1">
      <c r="A458" s="25">
        <v>405.0</v>
      </c>
      <c r="B458" s="26">
        <v>45374.0</v>
      </c>
      <c r="C458" s="25">
        <v>122.0</v>
      </c>
      <c r="D458" s="25">
        <v>16.0</v>
      </c>
      <c r="E458" s="25">
        <v>2.0</v>
      </c>
      <c r="F458" s="25">
        <v>4.0</v>
      </c>
      <c r="G458" s="27" t="s">
        <v>25</v>
      </c>
    </row>
    <row r="459" ht="22.5" customHeight="1">
      <c r="A459" s="25">
        <v>970.0</v>
      </c>
      <c r="B459" s="26">
        <v>45374.0</v>
      </c>
      <c r="C459" s="25">
        <v>212.0</v>
      </c>
      <c r="D459" s="25">
        <v>16.0</v>
      </c>
      <c r="E459" s="25">
        <v>6.0</v>
      </c>
      <c r="F459" s="25">
        <v>3.0</v>
      </c>
      <c r="G459" s="27" t="s">
        <v>24</v>
      </c>
    </row>
    <row r="460" ht="22.5" customHeight="1">
      <c r="A460" s="25">
        <v>1795.0</v>
      </c>
      <c r="B460" s="26">
        <v>45374.0</v>
      </c>
      <c r="C460" s="25">
        <v>1.0</v>
      </c>
      <c r="D460" s="25">
        <v>12.0</v>
      </c>
      <c r="E460" s="25">
        <v>6.0</v>
      </c>
      <c r="F460" s="25">
        <v>4.0</v>
      </c>
      <c r="G460" s="27" t="s">
        <v>24</v>
      </c>
    </row>
    <row r="461" ht="22.5" customHeight="1">
      <c r="A461" s="25">
        <v>1814.0</v>
      </c>
      <c r="B461" s="26">
        <v>45374.0</v>
      </c>
      <c r="C461" s="25">
        <v>175.0</v>
      </c>
      <c r="D461" s="25">
        <v>4.0</v>
      </c>
      <c r="E461" s="25">
        <v>4.0</v>
      </c>
      <c r="F461" s="25">
        <v>1.0</v>
      </c>
      <c r="G461" s="27" t="s">
        <v>24</v>
      </c>
    </row>
    <row r="462" ht="22.5" customHeight="1">
      <c r="A462" s="25">
        <v>2258.0</v>
      </c>
      <c r="B462" s="26">
        <v>45374.0</v>
      </c>
      <c r="C462" s="25">
        <v>17.0</v>
      </c>
      <c r="D462" s="25">
        <v>33.0</v>
      </c>
      <c r="E462" s="25">
        <v>3.0</v>
      </c>
      <c r="F462" s="25">
        <v>4.0</v>
      </c>
      <c r="G462" s="27" t="s">
        <v>24</v>
      </c>
    </row>
    <row r="463" ht="22.5" customHeight="1">
      <c r="A463" s="25">
        <v>2467.0</v>
      </c>
      <c r="B463" s="26">
        <v>45374.0</v>
      </c>
      <c r="C463" s="25">
        <v>25.0</v>
      </c>
      <c r="D463" s="25">
        <v>4.0</v>
      </c>
      <c r="E463" s="25">
        <v>3.0</v>
      </c>
      <c r="F463" s="25">
        <v>5.0</v>
      </c>
      <c r="G463" s="27" t="s">
        <v>24</v>
      </c>
    </row>
    <row r="464" ht="22.5" customHeight="1">
      <c r="A464" s="25">
        <v>2815.0</v>
      </c>
      <c r="B464" s="26">
        <v>45374.0</v>
      </c>
      <c r="C464" s="25">
        <v>171.0</v>
      </c>
      <c r="D464" s="25">
        <v>1.0</v>
      </c>
      <c r="E464" s="25">
        <v>6.0</v>
      </c>
      <c r="F464" s="25">
        <v>5.0</v>
      </c>
      <c r="G464" s="27" t="s">
        <v>24</v>
      </c>
    </row>
    <row r="465" ht="22.5" customHeight="1">
      <c r="A465" s="25">
        <v>785.0</v>
      </c>
      <c r="B465" s="26">
        <v>45375.0</v>
      </c>
      <c r="C465" s="25">
        <v>132.0</v>
      </c>
      <c r="D465" s="25">
        <v>9.0</v>
      </c>
      <c r="E465" s="25">
        <v>5.0</v>
      </c>
      <c r="F465" s="25">
        <v>5.0</v>
      </c>
      <c r="G465" s="27" t="s">
        <v>24</v>
      </c>
    </row>
    <row r="466" ht="22.5" customHeight="1">
      <c r="A466" s="25">
        <v>1549.0</v>
      </c>
      <c r="B466" s="26">
        <v>45375.0</v>
      </c>
      <c r="C466" s="25">
        <v>260.0</v>
      </c>
      <c r="D466" s="25">
        <v>17.0</v>
      </c>
      <c r="E466" s="25">
        <v>1.0</v>
      </c>
      <c r="F466" s="25">
        <v>2.0</v>
      </c>
      <c r="G466" s="27" t="s">
        <v>24</v>
      </c>
    </row>
    <row r="467" ht="22.5" customHeight="1">
      <c r="A467" s="25">
        <v>1942.0</v>
      </c>
      <c r="B467" s="26">
        <v>45375.0</v>
      </c>
      <c r="C467" s="25">
        <v>41.0</v>
      </c>
      <c r="D467" s="25">
        <v>31.0</v>
      </c>
      <c r="E467" s="25">
        <v>1.0</v>
      </c>
      <c r="F467" s="25">
        <v>4.0</v>
      </c>
      <c r="G467" s="27" t="s">
        <v>25</v>
      </c>
    </row>
    <row r="468" ht="22.5" customHeight="1">
      <c r="A468" s="25">
        <v>1947.0</v>
      </c>
      <c r="B468" s="26">
        <v>45375.0</v>
      </c>
      <c r="C468" s="25">
        <v>288.0</v>
      </c>
      <c r="D468" s="25">
        <v>29.0</v>
      </c>
      <c r="E468" s="25">
        <v>2.0</v>
      </c>
      <c r="F468" s="25">
        <v>5.0</v>
      </c>
      <c r="G468" s="27" t="s">
        <v>24</v>
      </c>
    </row>
    <row r="469" ht="22.5" customHeight="1">
      <c r="A469" s="25">
        <v>2008.0</v>
      </c>
      <c r="B469" s="26">
        <v>45375.0</v>
      </c>
      <c r="C469" s="25">
        <v>162.0</v>
      </c>
      <c r="D469" s="25">
        <v>15.0</v>
      </c>
      <c r="E469" s="25">
        <v>4.0</v>
      </c>
      <c r="F469" s="25">
        <v>4.0</v>
      </c>
      <c r="G469" s="27" t="s">
        <v>24</v>
      </c>
    </row>
    <row r="470" ht="22.5" customHeight="1">
      <c r="A470" s="25">
        <v>2861.0</v>
      </c>
      <c r="B470" s="26">
        <v>45375.0</v>
      </c>
      <c r="C470" s="25">
        <v>147.0</v>
      </c>
      <c r="D470" s="25">
        <v>21.0</v>
      </c>
      <c r="E470" s="25">
        <v>5.0</v>
      </c>
      <c r="F470" s="25">
        <v>4.0</v>
      </c>
      <c r="G470" s="27" t="s">
        <v>24</v>
      </c>
    </row>
    <row r="471" ht="22.5" customHeight="1">
      <c r="A471" s="25">
        <v>113.0</v>
      </c>
      <c r="B471" s="26">
        <v>45376.0</v>
      </c>
      <c r="C471" s="25">
        <v>72.0</v>
      </c>
      <c r="D471" s="25">
        <v>19.0</v>
      </c>
      <c r="E471" s="25">
        <v>1.0</v>
      </c>
      <c r="F471" s="25">
        <v>3.0</v>
      </c>
      <c r="G471" s="27" t="s">
        <v>25</v>
      </c>
    </row>
    <row r="472" ht="22.5" customHeight="1">
      <c r="A472" s="25">
        <v>170.0</v>
      </c>
      <c r="B472" s="26">
        <v>45376.0</v>
      </c>
      <c r="C472" s="25">
        <v>269.0</v>
      </c>
      <c r="D472" s="25">
        <v>20.0</v>
      </c>
      <c r="E472" s="25">
        <v>3.0</v>
      </c>
      <c r="F472" s="25">
        <v>4.0</v>
      </c>
      <c r="G472" s="27" t="s">
        <v>24</v>
      </c>
    </row>
    <row r="473" ht="22.5" customHeight="1">
      <c r="A473" s="25">
        <v>378.0</v>
      </c>
      <c r="B473" s="26">
        <v>45376.0</v>
      </c>
      <c r="C473" s="25">
        <v>199.0</v>
      </c>
      <c r="D473" s="25">
        <v>25.0</v>
      </c>
      <c r="E473" s="25">
        <v>1.0</v>
      </c>
      <c r="F473" s="25">
        <v>4.0</v>
      </c>
      <c r="G473" s="27" t="s">
        <v>24</v>
      </c>
    </row>
    <row r="474" ht="22.5" customHeight="1">
      <c r="A474" s="25">
        <v>1139.0</v>
      </c>
      <c r="B474" s="26">
        <v>45376.0</v>
      </c>
      <c r="C474" s="25">
        <v>8.0</v>
      </c>
      <c r="D474" s="25">
        <v>36.0</v>
      </c>
      <c r="E474" s="25">
        <v>5.0</v>
      </c>
      <c r="F474" s="25">
        <v>1.0</v>
      </c>
      <c r="G474" s="27" t="s">
        <v>24</v>
      </c>
    </row>
    <row r="475" ht="22.5" customHeight="1">
      <c r="A475" s="25">
        <v>1399.0</v>
      </c>
      <c r="B475" s="26">
        <v>45376.0</v>
      </c>
      <c r="C475" s="25">
        <v>90.0</v>
      </c>
      <c r="D475" s="25">
        <v>27.0</v>
      </c>
      <c r="E475" s="25">
        <v>2.0</v>
      </c>
      <c r="F475" s="25">
        <v>3.0</v>
      </c>
      <c r="G475" s="27" t="s">
        <v>24</v>
      </c>
    </row>
    <row r="476" ht="22.5" customHeight="1">
      <c r="A476" s="25">
        <v>1710.0</v>
      </c>
      <c r="B476" s="26">
        <v>45376.0</v>
      </c>
      <c r="C476" s="25">
        <v>131.0</v>
      </c>
      <c r="D476" s="25">
        <v>27.0</v>
      </c>
      <c r="E476" s="25">
        <v>1.0</v>
      </c>
      <c r="F476" s="25">
        <v>3.0</v>
      </c>
      <c r="G476" s="27" t="s">
        <v>24</v>
      </c>
    </row>
    <row r="477" ht="22.5" customHeight="1">
      <c r="A477" s="25">
        <v>1866.0</v>
      </c>
      <c r="B477" s="26">
        <v>45376.0</v>
      </c>
      <c r="C477" s="25">
        <v>272.0</v>
      </c>
      <c r="D477" s="25">
        <v>5.0</v>
      </c>
      <c r="E477" s="25">
        <v>5.0</v>
      </c>
      <c r="F477" s="25">
        <v>1.0</v>
      </c>
      <c r="G477" s="27" t="s">
        <v>24</v>
      </c>
    </row>
    <row r="478" ht="22.5" customHeight="1">
      <c r="A478" s="25">
        <v>2164.0</v>
      </c>
      <c r="B478" s="26">
        <v>45376.0</v>
      </c>
      <c r="C478" s="25">
        <v>292.0</v>
      </c>
      <c r="D478" s="25">
        <v>36.0</v>
      </c>
      <c r="E478" s="25">
        <v>5.0</v>
      </c>
      <c r="F478" s="25">
        <v>5.0</v>
      </c>
      <c r="G478" s="27" t="s">
        <v>24</v>
      </c>
    </row>
    <row r="479" ht="22.5" customHeight="1">
      <c r="A479" s="25">
        <v>2854.0</v>
      </c>
      <c r="B479" s="26">
        <v>45376.0</v>
      </c>
      <c r="C479" s="25">
        <v>208.0</v>
      </c>
      <c r="D479" s="25">
        <v>33.0</v>
      </c>
      <c r="E479" s="25">
        <v>2.0</v>
      </c>
      <c r="F479" s="25">
        <v>5.0</v>
      </c>
      <c r="G479" s="27" t="s">
        <v>25</v>
      </c>
    </row>
    <row r="480" ht="22.5" customHeight="1">
      <c r="A480" s="25">
        <v>2993.0</v>
      </c>
      <c r="B480" s="26">
        <v>45376.0</v>
      </c>
      <c r="C480" s="25">
        <v>117.0</v>
      </c>
      <c r="D480" s="25">
        <v>4.0</v>
      </c>
      <c r="E480" s="25">
        <v>2.0</v>
      </c>
      <c r="F480" s="25">
        <v>1.0</v>
      </c>
      <c r="G480" s="27" t="s">
        <v>24</v>
      </c>
    </row>
    <row r="481" ht="22.5" customHeight="1">
      <c r="A481" s="25">
        <v>464.0</v>
      </c>
      <c r="B481" s="26">
        <v>45377.0</v>
      </c>
      <c r="C481" s="25">
        <v>323.0</v>
      </c>
      <c r="D481" s="25">
        <v>5.0</v>
      </c>
      <c r="E481" s="25">
        <v>4.0</v>
      </c>
      <c r="F481" s="25">
        <v>4.0</v>
      </c>
      <c r="G481" s="27" t="s">
        <v>24</v>
      </c>
    </row>
    <row r="482" ht="22.5" customHeight="1">
      <c r="A482" s="25">
        <v>469.0</v>
      </c>
      <c r="B482" s="26">
        <v>45377.0</v>
      </c>
      <c r="C482" s="25">
        <v>134.0</v>
      </c>
      <c r="D482" s="25">
        <v>17.0</v>
      </c>
      <c r="E482" s="25">
        <v>4.0</v>
      </c>
      <c r="F482" s="25">
        <v>4.0</v>
      </c>
      <c r="G482" s="27" t="s">
        <v>24</v>
      </c>
    </row>
    <row r="483" ht="22.5" customHeight="1">
      <c r="A483" s="25">
        <v>1025.0</v>
      </c>
      <c r="B483" s="26">
        <v>45377.0</v>
      </c>
      <c r="C483" s="25">
        <v>288.0</v>
      </c>
      <c r="D483" s="25">
        <v>15.0</v>
      </c>
      <c r="E483" s="25">
        <v>3.0</v>
      </c>
      <c r="F483" s="25">
        <v>5.0</v>
      </c>
      <c r="G483" s="27" t="s">
        <v>25</v>
      </c>
    </row>
    <row r="484" ht="22.5" customHeight="1">
      <c r="A484" s="25">
        <v>1125.0</v>
      </c>
      <c r="B484" s="26">
        <v>45377.0</v>
      </c>
      <c r="C484" s="25">
        <v>9.0</v>
      </c>
      <c r="D484" s="25">
        <v>26.0</v>
      </c>
      <c r="E484" s="25">
        <v>5.0</v>
      </c>
      <c r="F484" s="25">
        <v>4.0</v>
      </c>
      <c r="G484" s="27" t="s">
        <v>25</v>
      </c>
    </row>
    <row r="485" ht="22.5" customHeight="1">
      <c r="A485" s="25">
        <v>1321.0</v>
      </c>
      <c r="B485" s="26">
        <v>45377.0</v>
      </c>
      <c r="C485" s="25">
        <v>94.0</v>
      </c>
      <c r="D485" s="25">
        <v>6.0</v>
      </c>
      <c r="E485" s="25">
        <v>4.0</v>
      </c>
      <c r="F485" s="25">
        <v>1.0</v>
      </c>
      <c r="G485" s="27" t="s">
        <v>24</v>
      </c>
    </row>
    <row r="486" ht="22.5" customHeight="1">
      <c r="A486" s="25">
        <v>1556.0</v>
      </c>
      <c r="B486" s="26">
        <v>45377.0</v>
      </c>
      <c r="C486" s="25">
        <v>65.0</v>
      </c>
      <c r="D486" s="25">
        <v>8.0</v>
      </c>
      <c r="E486" s="25">
        <v>2.0</v>
      </c>
      <c r="F486" s="25">
        <v>1.0</v>
      </c>
      <c r="G486" s="27" t="s">
        <v>24</v>
      </c>
    </row>
    <row r="487" ht="22.5" customHeight="1">
      <c r="A487" s="25">
        <v>1667.0</v>
      </c>
      <c r="B487" s="26">
        <v>45377.0</v>
      </c>
      <c r="C487" s="25">
        <v>81.0</v>
      </c>
      <c r="D487" s="25">
        <v>24.0</v>
      </c>
      <c r="E487" s="25">
        <v>6.0</v>
      </c>
      <c r="F487" s="25">
        <v>3.0</v>
      </c>
      <c r="G487" s="27" t="s">
        <v>24</v>
      </c>
    </row>
    <row r="488" ht="22.5" customHeight="1">
      <c r="A488" s="25">
        <v>2182.0</v>
      </c>
      <c r="B488" s="26">
        <v>45377.0</v>
      </c>
      <c r="C488" s="25">
        <v>116.0</v>
      </c>
      <c r="D488" s="25">
        <v>2.0</v>
      </c>
      <c r="E488" s="25">
        <v>6.0</v>
      </c>
      <c r="F488" s="25">
        <v>2.0</v>
      </c>
      <c r="G488" s="27" t="s">
        <v>24</v>
      </c>
    </row>
    <row r="489" ht="22.5" customHeight="1">
      <c r="A489" s="25">
        <v>2570.0</v>
      </c>
      <c r="B489" s="26">
        <v>45377.0</v>
      </c>
      <c r="C489" s="25">
        <v>17.0</v>
      </c>
      <c r="D489" s="25">
        <v>7.0</v>
      </c>
      <c r="E489" s="25">
        <v>6.0</v>
      </c>
      <c r="F489" s="25">
        <v>5.0</v>
      </c>
      <c r="G489" s="27" t="s">
        <v>24</v>
      </c>
    </row>
    <row r="490" ht="22.5" customHeight="1">
      <c r="A490" s="25">
        <v>2623.0</v>
      </c>
      <c r="B490" s="26">
        <v>45377.0</v>
      </c>
      <c r="C490" s="25">
        <v>237.0</v>
      </c>
      <c r="D490" s="25">
        <v>3.0</v>
      </c>
      <c r="E490" s="25">
        <v>5.0</v>
      </c>
      <c r="F490" s="25">
        <v>4.0</v>
      </c>
      <c r="G490" s="27" t="s">
        <v>24</v>
      </c>
    </row>
    <row r="491" ht="22.5" customHeight="1">
      <c r="A491" s="25">
        <v>2683.0</v>
      </c>
      <c r="B491" s="26">
        <v>45377.0</v>
      </c>
      <c r="C491" s="25">
        <v>14.0</v>
      </c>
      <c r="D491" s="25">
        <v>28.0</v>
      </c>
      <c r="E491" s="25">
        <v>1.0</v>
      </c>
      <c r="F491" s="25">
        <v>2.0</v>
      </c>
      <c r="G491" s="27" t="s">
        <v>24</v>
      </c>
    </row>
    <row r="492" ht="22.5" customHeight="1">
      <c r="A492" s="25">
        <v>172.0</v>
      </c>
      <c r="B492" s="26">
        <v>45378.0</v>
      </c>
      <c r="C492" s="25">
        <v>268.0</v>
      </c>
      <c r="D492" s="25">
        <v>24.0</v>
      </c>
      <c r="E492" s="25">
        <v>6.0</v>
      </c>
      <c r="F492" s="25">
        <v>1.0</v>
      </c>
      <c r="G492" s="27" t="s">
        <v>24</v>
      </c>
    </row>
    <row r="493" ht="22.5" customHeight="1">
      <c r="A493" s="25">
        <v>295.0</v>
      </c>
      <c r="B493" s="26">
        <v>45378.0</v>
      </c>
      <c r="C493" s="25">
        <v>223.0</v>
      </c>
      <c r="D493" s="25">
        <v>32.0</v>
      </c>
      <c r="E493" s="25">
        <v>6.0</v>
      </c>
      <c r="F493" s="25">
        <v>2.0</v>
      </c>
      <c r="G493" s="27" t="s">
        <v>24</v>
      </c>
    </row>
    <row r="494" ht="22.5" customHeight="1">
      <c r="A494" s="25">
        <v>559.0</v>
      </c>
      <c r="B494" s="26">
        <v>45378.0</v>
      </c>
      <c r="C494" s="25">
        <v>97.0</v>
      </c>
      <c r="D494" s="25">
        <v>24.0</v>
      </c>
      <c r="E494" s="25">
        <v>5.0</v>
      </c>
      <c r="F494" s="25">
        <v>2.0</v>
      </c>
      <c r="G494" s="27" t="s">
        <v>24</v>
      </c>
    </row>
    <row r="495" ht="22.5" customHeight="1">
      <c r="A495" s="25">
        <v>737.0</v>
      </c>
      <c r="B495" s="26">
        <v>45378.0</v>
      </c>
      <c r="C495" s="25">
        <v>48.0</v>
      </c>
      <c r="D495" s="25">
        <v>30.0</v>
      </c>
      <c r="E495" s="25">
        <v>1.0</v>
      </c>
      <c r="F495" s="25">
        <v>5.0</v>
      </c>
      <c r="G495" s="27" t="s">
        <v>24</v>
      </c>
    </row>
    <row r="496" ht="22.5" customHeight="1">
      <c r="A496" s="25">
        <v>1278.0</v>
      </c>
      <c r="B496" s="26">
        <v>45378.0</v>
      </c>
      <c r="C496" s="25">
        <v>11.0</v>
      </c>
      <c r="D496" s="25">
        <v>29.0</v>
      </c>
      <c r="E496" s="25">
        <v>5.0</v>
      </c>
      <c r="F496" s="25">
        <v>4.0</v>
      </c>
      <c r="G496" s="27" t="s">
        <v>25</v>
      </c>
    </row>
    <row r="497" ht="22.5" customHeight="1">
      <c r="A497" s="25">
        <v>1312.0</v>
      </c>
      <c r="B497" s="26">
        <v>45378.0</v>
      </c>
      <c r="C497" s="25">
        <v>215.0</v>
      </c>
      <c r="D497" s="25">
        <v>35.0</v>
      </c>
      <c r="E497" s="25">
        <v>5.0</v>
      </c>
      <c r="F497" s="25">
        <v>3.0</v>
      </c>
      <c r="G497" s="27" t="s">
        <v>24</v>
      </c>
    </row>
    <row r="498" ht="22.5" customHeight="1">
      <c r="A498" s="25">
        <v>1627.0</v>
      </c>
      <c r="B498" s="26">
        <v>45378.0</v>
      </c>
      <c r="C498" s="25">
        <v>323.0</v>
      </c>
      <c r="D498" s="25">
        <v>13.0</v>
      </c>
      <c r="E498" s="25">
        <v>1.0</v>
      </c>
      <c r="F498" s="25">
        <v>5.0</v>
      </c>
      <c r="G498" s="27" t="s">
        <v>24</v>
      </c>
    </row>
    <row r="499" ht="22.5" customHeight="1">
      <c r="A499" s="25">
        <v>1666.0</v>
      </c>
      <c r="B499" s="26">
        <v>45378.0</v>
      </c>
      <c r="C499" s="25">
        <v>56.0</v>
      </c>
      <c r="D499" s="25">
        <v>25.0</v>
      </c>
      <c r="E499" s="25">
        <v>1.0</v>
      </c>
      <c r="F499" s="25">
        <v>3.0</v>
      </c>
      <c r="G499" s="27" t="s">
        <v>24</v>
      </c>
    </row>
    <row r="500" ht="22.5" customHeight="1">
      <c r="A500" s="25">
        <v>1679.0</v>
      </c>
      <c r="B500" s="26">
        <v>45378.0</v>
      </c>
      <c r="C500" s="25">
        <v>273.0</v>
      </c>
      <c r="D500" s="25">
        <v>38.0</v>
      </c>
      <c r="E500" s="25">
        <v>4.0</v>
      </c>
      <c r="F500" s="25">
        <v>3.0</v>
      </c>
      <c r="G500" s="27" t="s">
        <v>24</v>
      </c>
    </row>
    <row r="501" ht="22.5" customHeight="1">
      <c r="A501" s="25">
        <v>2048.0</v>
      </c>
      <c r="B501" s="26">
        <v>45378.0</v>
      </c>
      <c r="C501" s="25">
        <v>261.0</v>
      </c>
      <c r="D501" s="25">
        <v>25.0</v>
      </c>
      <c r="E501" s="25">
        <v>3.0</v>
      </c>
      <c r="F501" s="25">
        <v>4.0</v>
      </c>
      <c r="G501" s="27" t="s">
        <v>24</v>
      </c>
    </row>
    <row r="502" ht="22.5" customHeight="1">
      <c r="A502" s="25">
        <v>2225.0</v>
      </c>
      <c r="B502" s="26">
        <v>45378.0</v>
      </c>
      <c r="C502" s="25">
        <v>269.0</v>
      </c>
      <c r="D502" s="25">
        <v>34.0</v>
      </c>
      <c r="E502" s="25">
        <v>1.0</v>
      </c>
      <c r="F502" s="25">
        <v>4.0</v>
      </c>
      <c r="G502" s="27" t="s">
        <v>24</v>
      </c>
    </row>
    <row r="503" ht="22.5" customHeight="1">
      <c r="A503" s="25">
        <v>2630.0</v>
      </c>
      <c r="B503" s="26">
        <v>45378.0</v>
      </c>
      <c r="C503" s="25">
        <v>223.0</v>
      </c>
      <c r="D503" s="25">
        <v>19.0</v>
      </c>
      <c r="E503" s="25">
        <v>5.0</v>
      </c>
      <c r="F503" s="25">
        <v>3.0</v>
      </c>
      <c r="G503" s="27" t="s">
        <v>24</v>
      </c>
    </row>
    <row r="504" ht="22.5" customHeight="1">
      <c r="A504" s="25">
        <v>249.0</v>
      </c>
      <c r="B504" s="26">
        <v>45379.0</v>
      </c>
      <c r="C504" s="25">
        <v>1.0</v>
      </c>
      <c r="D504" s="25">
        <v>31.0</v>
      </c>
      <c r="E504" s="25">
        <v>2.0</v>
      </c>
      <c r="F504" s="25">
        <v>5.0</v>
      </c>
      <c r="G504" s="27" t="s">
        <v>25</v>
      </c>
    </row>
    <row r="505" ht="22.5" customHeight="1">
      <c r="A505" s="25">
        <v>279.0</v>
      </c>
      <c r="B505" s="26">
        <v>45379.0</v>
      </c>
      <c r="C505" s="25">
        <v>54.0</v>
      </c>
      <c r="D505" s="25">
        <v>10.0</v>
      </c>
      <c r="E505" s="25">
        <v>4.0</v>
      </c>
      <c r="F505" s="25">
        <v>4.0</v>
      </c>
      <c r="G505" s="27" t="s">
        <v>24</v>
      </c>
    </row>
    <row r="506" ht="22.5" customHeight="1">
      <c r="A506" s="25">
        <v>321.0</v>
      </c>
      <c r="B506" s="26">
        <v>45379.0</v>
      </c>
      <c r="C506" s="25">
        <v>205.0</v>
      </c>
      <c r="D506" s="25">
        <v>35.0</v>
      </c>
      <c r="E506" s="25">
        <v>4.0</v>
      </c>
      <c r="F506" s="25">
        <v>5.0</v>
      </c>
      <c r="G506" s="27" t="s">
        <v>24</v>
      </c>
    </row>
    <row r="507" ht="22.5" customHeight="1">
      <c r="A507" s="25">
        <v>669.0</v>
      </c>
      <c r="B507" s="26">
        <v>45379.0</v>
      </c>
      <c r="C507" s="25">
        <v>44.0</v>
      </c>
      <c r="D507" s="25">
        <v>19.0</v>
      </c>
      <c r="E507" s="25">
        <v>4.0</v>
      </c>
      <c r="F507" s="25">
        <v>3.0</v>
      </c>
      <c r="G507" s="27" t="s">
        <v>24</v>
      </c>
    </row>
    <row r="508" ht="22.5" customHeight="1">
      <c r="A508" s="25">
        <v>988.0</v>
      </c>
      <c r="B508" s="26">
        <v>45379.0</v>
      </c>
      <c r="C508" s="25">
        <v>266.0</v>
      </c>
      <c r="D508" s="25">
        <v>21.0</v>
      </c>
      <c r="E508" s="25">
        <v>5.0</v>
      </c>
      <c r="F508" s="25">
        <v>2.0</v>
      </c>
      <c r="G508" s="27" t="s">
        <v>24</v>
      </c>
    </row>
    <row r="509" ht="22.5" customHeight="1">
      <c r="A509" s="25">
        <v>1086.0</v>
      </c>
      <c r="B509" s="26">
        <v>45379.0</v>
      </c>
      <c r="C509" s="25">
        <v>40.0</v>
      </c>
      <c r="D509" s="25">
        <v>22.0</v>
      </c>
      <c r="E509" s="25">
        <v>6.0</v>
      </c>
      <c r="F509" s="25">
        <v>5.0</v>
      </c>
      <c r="G509" s="27" t="s">
        <v>24</v>
      </c>
    </row>
    <row r="510" ht="22.5" customHeight="1">
      <c r="A510" s="25">
        <v>1153.0</v>
      </c>
      <c r="B510" s="26">
        <v>45379.0</v>
      </c>
      <c r="C510" s="25">
        <v>130.0</v>
      </c>
      <c r="D510" s="25">
        <v>27.0</v>
      </c>
      <c r="E510" s="25">
        <v>6.0</v>
      </c>
      <c r="F510" s="25">
        <v>3.0</v>
      </c>
      <c r="G510" s="27" t="s">
        <v>24</v>
      </c>
    </row>
    <row r="511" ht="22.5" customHeight="1">
      <c r="A511" s="25">
        <v>2507.0</v>
      </c>
      <c r="B511" s="26">
        <v>45379.0</v>
      </c>
      <c r="C511" s="25">
        <v>243.0</v>
      </c>
      <c r="D511" s="25">
        <v>33.0</v>
      </c>
      <c r="E511" s="25">
        <v>3.0</v>
      </c>
      <c r="F511" s="25">
        <v>4.0</v>
      </c>
      <c r="G511" s="27" t="s">
        <v>24</v>
      </c>
    </row>
    <row r="512" ht="22.5" customHeight="1">
      <c r="A512" s="25">
        <v>86.0</v>
      </c>
      <c r="B512" s="26">
        <v>45380.0</v>
      </c>
      <c r="C512" s="25">
        <v>188.0</v>
      </c>
      <c r="D512" s="25">
        <v>30.0</v>
      </c>
      <c r="E512" s="25">
        <v>2.0</v>
      </c>
      <c r="F512" s="25">
        <v>4.0</v>
      </c>
      <c r="G512" s="27" t="s">
        <v>24</v>
      </c>
    </row>
    <row r="513" ht="22.5" customHeight="1">
      <c r="A513" s="25">
        <v>189.0</v>
      </c>
      <c r="B513" s="26">
        <v>45380.0</v>
      </c>
      <c r="C513" s="25">
        <v>170.0</v>
      </c>
      <c r="D513" s="25">
        <v>30.0</v>
      </c>
      <c r="E513" s="25">
        <v>1.0</v>
      </c>
      <c r="F513" s="25">
        <v>1.0</v>
      </c>
      <c r="G513" s="27" t="s">
        <v>24</v>
      </c>
    </row>
    <row r="514" ht="22.5" customHeight="1">
      <c r="A514" s="25">
        <v>468.0</v>
      </c>
      <c r="B514" s="26">
        <v>45380.0</v>
      </c>
      <c r="C514" s="25">
        <v>45.0</v>
      </c>
      <c r="D514" s="25">
        <v>17.0</v>
      </c>
      <c r="E514" s="25">
        <v>5.0</v>
      </c>
      <c r="F514" s="25">
        <v>1.0</v>
      </c>
      <c r="G514" s="27" t="s">
        <v>24</v>
      </c>
    </row>
    <row r="515" ht="22.5" customHeight="1">
      <c r="A515" s="25">
        <v>511.0</v>
      </c>
      <c r="B515" s="26">
        <v>45380.0</v>
      </c>
      <c r="C515" s="25">
        <v>98.0</v>
      </c>
      <c r="D515" s="25">
        <v>31.0</v>
      </c>
      <c r="E515" s="25">
        <v>6.0</v>
      </c>
      <c r="F515" s="25">
        <v>3.0</v>
      </c>
      <c r="G515" s="27" t="s">
        <v>24</v>
      </c>
    </row>
    <row r="516" ht="22.5" customHeight="1">
      <c r="A516" s="25">
        <v>1129.0</v>
      </c>
      <c r="B516" s="26">
        <v>45380.0</v>
      </c>
      <c r="C516" s="25">
        <v>275.0</v>
      </c>
      <c r="D516" s="25">
        <v>36.0</v>
      </c>
      <c r="E516" s="25">
        <v>4.0</v>
      </c>
      <c r="F516" s="25">
        <v>4.0</v>
      </c>
      <c r="G516" s="27" t="s">
        <v>25</v>
      </c>
    </row>
    <row r="517" ht="22.5" customHeight="1">
      <c r="A517" s="25">
        <v>1169.0</v>
      </c>
      <c r="B517" s="26">
        <v>45380.0</v>
      </c>
      <c r="C517" s="25">
        <v>8.0</v>
      </c>
      <c r="D517" s="25">
        <v>28.0</v>
      </c>
      <c r="E517" s="25">
        <v>5.0</v>
      </c>
      <c r="F517" s="25">
        <v>4.0</v>
      </c>
      <c r="G517" s="27" t="s">
        <v>24</v>
      </c>
    </row>
    <row r="518" ht="22.5" customHeight="1">
      <c r="A518" s="25">
        <v>1409.0</v>
      </c>
      <c r="B518" s="26">
        <v>45380.0</v>
      </c>
      <c r="C518" s="25">
        <v>86.0</v>
      </c>
      <c r="D518" s="25">
        <v>14.0</v>
      </c>
      <c r="E518" s="25">
        <v>6.0</v>
      </c>
      <c r="F518" s="25">
        <v>4.0</v>
      </c>
      <c r="G518" s="27" t="s">
        <v>24</v>
      </c>
    </row>
    <row r="519" ht="22.5" customHeight="1">
      <c r="A519" s="25">
        <v>1828.0</v>
      </c>
      <c r="B519" s="26">
        <v>45380.0</v>
      </c>
      <c r="C519" s="25">
        <v>52.0</v>
      </c>
      <c r="D519" s="25">
        <v>14.0</v>
      </c>
      <c r="E519" s="25">
        <v>2.0</v>
      </c>
      <c r="F519" s="25">
        <v>2.0</v>
      </c>
      <c r="G519" s="27" t="s">
        <v>24</v>
      </c>
    </row>
    <row r="520" ht="22.5" customHeight="1">
      <c r="A520" s="25">
        <v>2142.0</v>
      </c>
      <c r="B520" s="26">
        <v>45380.0</v>
      </c>
      <c r="C520" s="25">
        <v>165.0</v>
      </c>
      <c r="D520" s="25">
        <v>23.0</v>
      </c>
      <c r="E520" s="25">
        <v>2.0</v>
      </c>
      <c r="F520" s="25">
        <v>1.0</v>
      </c>
      <c r="G520" s="27" t="s">
        <v>25</v>
      </c>
    </row>
    <row r="521" ht="22.5" customHeight="1">
      <c r="A521" s="25">
        <v>265.0</v>
      </c>
      <c r="B521" s="26">
        <v>45381.0</v>
      </c>
      <c r="C521" s="25">
        <v>257.0</v>
      </c>
      <c r="D521" s="25">
        <v>28.0</v>
      </c>
      <c r="E521" s="25">
        <v>1.0</v>
      </c>
      <c r="F521" s="25">
        <v>1.0</v>
      </c>
      <c r="G521" s="27" t="s">
        <v>24</v>
      </c>
    </row>
    <row r="522" ht="22.5" customHeight="1">
      <c r="A522" s="25">
        <v>432.0</v>
      </c>
      <c r="B522" s="26">
        <v>45381.0</v>
      </c>
      <c r="C522" s="25">
        <v>197.0</v>
      </c>
      <c r="D522" s="25">
        <v>25.0</v>
      </c>
      <c r="E522" s="25">
        <v>5.0</v>
      </c>
      <c r="F522" s="25">
        <v>3.0</v>
      </c>
      <c r="G522" s="27" t="s">
        <v>24</v>
      </c>
    </row>
    <row r="523" ht="22.5" customHeight="1">
      <c r="A523" s="25">
        <v>1624.0</v>
      </c>
      <c r="B523" s="26">
        <v>45381.0</v>
      </c>
      <c r="C523" s="25">
        <v>71.0</v>
      </c>
      <c r="D523" s="25">
        <v>1.0</v>
      </c>
      <c r="E523" s="25">
        <v>2.0</v>
      </c>
      <c r="F523" s="25">
        <v>5.0</v>
      </c>
      <c r="G523" s="27" t="s">
        <v>24</v>
      </c>
    </row>
    <row r="524" ht="22.5" customHeight="1">
      <c r="A524" s="25">
        <v>2580.0</v>
      </c>
      <c r="B524" s="26">
        <v>45381.0</v>
      </c>
      <c r="C524" s="25">
        <v>287.0</v>
      </c>
      <c r="D524" s="25">
        <v>22.0</v>
      </c>
      <c r="E524" s="25">
        <v>4.0</v>
      </c>
      <c r="F524" s="25">
        <v>3.0</v>
      </c>
      <c r="G524" s="27" t="s">
        <v>25</v>
      </c>
    </row>
    <row r="525" ht="22.5" customHeight="1">
      <c r="A525" s="25">
        <v>2863.0</v>
      </c>
      <c r="B525" s="26">
        <v>45381.0</v>
      </c>
      <c r="C525" s="25">
        <v>194.0</v>
      </c>
      <c r="D525" s="25">
        <v>1.0</v>
      </c>
      <c r="E525" s="25">
        <v>5.0</v>
      </c>
      <c r="F525" s="25">
        <v>5.0</v>
      </c>
      <c r="G525" s="27" t="s">
        <v>24</v>
      </c>
    </row>
    <row r="526" ht="22.5" customHeight="1">
      <c r="A526" s="25">
        <v>2891.0</v>
      </c>
      <c r="B526" s="26">
        <v>45381.0</v>
      </c>
      <c r="C526" s="25">
        <v>76.0</v>
      </c>
      <c r="D526" s="25">
        <v>7.0</v>
      </c>
      <c r="E526" s="25">
        <v>1.0</v>
      </c>
      <c r="F526" s="25">
        <v>4.0</v>
      </c>
      <c r="G526" s="27" t="s">
        <v>24</v>
      </c>
    </row>
    <row r="527" ht="22.5" customHeight="1">
      <c r="A527" s="25">
        <v>209.0</v>
      </c>
      <c r="B527" s="26">
        <v>45382.0</v>
      </c>
      <c r="C527" s="25">
        <v>311.0</v>
      </c>
      <c r="D527" s="25">
        <v>35.0</v>
      </c>
      <c r="E527" s="25">
        <v>3.0</v>
      </c>
      <c r="F527" s="25">
        <v>2.0</v>
      </c>
      <c r="G527" s="27" t="s">
        <v>24</v>
      </c>
    </row>
    <row r="528" ht="22.5" customHeight="1">
      <c r="A528" s="25">
        <v>293.0</v>
      </c>
      <c r="B528" s="26">
        <v>45382.0</v>
      </c>
      <c r="C528" s="25">
        <v>310.0</v>
      </c>
      <c r="D528" s="25">
        <v>35.0</v>
      </c>
      <c r="E528" s="25">
        <v>3.0</v>
      </c>
      <c r="F528" s="25">
        <v>3.0</v>
      </c>
      <c r="G528" s="27" t="s">
        <v>24</v>
      </c>
    </row>
    <row r="529" ht="22.5" customHeight="1">
      <c r="A529" s="25">
        <v>433.0</v>
      </c>
      <c r="B529" s="26">
        <v>45382.0</v>
      </c>
      <c r="C529" s="25">
        <v>218.0</v>
      </c>
      <c r="D529" s="25">
        <v>29.0</v>
      </c>
      <c r="E529" s="25">
        <v>6.0</v>
      </c>
      <c r="F529" s="25">
        <v>5.0</v>
      </c>
      <c r="G529" s="27" t="s">
        <v>24</v>
      </c>
    </row>
    <row r="530" ht="22.5" customHeight="1">
      <c r="A530" s="25">
        <v>590.0</v>
      </c>
      <c r="B530" s="26">
        <v>45382.0</v>
      </c>
      <c r="C530" s="25">
        <v>194.0</v>
      </c>
      <c r="D530" s="25">
        <v>13.0</v>
      </c>
      <c r="E530" s="25">
        <v>6.0</v>
      </c>
      <c r="F530" s="25">
        <v>1.0</v>
      </c>
      <c r="G530" s="27" t="s">
        <v>24</v>
      </c>
    </row>
    <row r="531" ht="22.5" customHeight="1">
      <c r="A531" s="25">
        <v>853.0</v>
      </c>
      <c r="B531" s="26">
        <v>45382.0</v>
      </c>
      <c r="C531" s="25">
        <v>176.0</v>
      </c>
      <c r="D531" s="25">
        <v>35.0</v>
      </c>
      <c r="E531" s="25">
        <v>2.0</v>
      </c>
      <c r="F531" s="25">
        <v>4.0</v>
      </c>
      <c r="G531" s="27" t="s">
        <v>24</v>
      </c>
    </row>
    <row r="532" ht="22.5" customHeight="1">
      <c r="A532" s="25">
        <v>1045.0</v>
      </c>
      <c r="B532" s="26">
        <v>45382.0</v>
      </c>
      <c r="C532" s="25">
        <v>258.0</v>
      </c>
      <c r="D532" s="25">
        <v>32.0</v>
      </c>
      <c r="E532" s="25">
        <v>3.0</v>
      </c>
      <c r="F532" s="25">
        <v>4.0</v>
      </c>
      <c r="G532" s="27" t="s">
        <v>24</v>
      </c>
    </row>
    <row r="533" ht="22.5" customHeight="1">
      <c r="A533" s="25">
        <v>1705.0</v>
      </c>
      <c r="B533" s="26">
        <v>45382.0</v>
      </c>
      <c r="C533" s="25">
        <v>321.0</v>
      </c>
      <c r="D533" s="25">
        <v>18.0</v>
      </c>
      <c r="E533" s="25">
        <v>4.0</v>
      </c>
      <c r="F533" s="25">
        <v>1.0</v>
      </c>
      <c r="G533" s="27" t="s">
        <v>24</v>
      </c>
    </row>
    <row r="534" ht="22.5" customHeight="1">
      <c r="A534" s="25">
        <v>1976.0</v>
      </c>
      <c r="B534" s="26">
        <v>45382.0</v>
      </c>
      <c r="C534" s="25">
        <v>299.0</v>
      </c>
      <c r="D534" s="25">
        <v>18.0</v>
      </c>
      <c r="E534" s="25">
        <v>6.0</v>
      </c>
      <c r="F534" s="25">
        <v>5.0</v>
      </c>
      <c r="G534" s="27" t="s">
        <v>24</v>
      </c>
    </row>
    <row r="535" ht="22.5" customHeight="1">
      <c r="A535" s="25">
        <v>2213.0</v>
      </c>
      <c r="B535" s="26">
        <v>45382.0</v>
      </c>
      <c r="C535" s="25">
        <v>230.0</v>
      </c>
      <c r="D535" s="25">
        <v>19.0</v>
      </c>
      <c r="E535" s="25">
        <v>4.0</v>
      </c>
      <c r="F535" s="25">
        <v>2.0</v>
      </c>
      <c r="G535" s="27" t="s">
        <v>25</v>
      </c>
    </row>
    <row r="536" ht="22.5" customHeight="1">
      <c r="A536" s="25">
        <v>2303.0</v>
      </c>
      <c r="B536" s="26">
        <v>45383.0</v>
      </c>
      <c r="C536" s="25">
        <v>314.0</v>
      </c>
      <c r="D536" s="25">
        <v>2.0</v>
      </c>
      <c r="E536" s="25">
        <v>1.0</v>
      </c>
      <c r="F536" s="25">
        <v>5.0</v>
      </c>
      <c r="G536" s="27" t="s">
        <v>25</v>
      </c>
    </row>
    <row r="537" ht="22.5" customHeight="1">
      <c r="A537" s="25">
        <v>2326.0</v>
      </c>
      <c r="B537" s="26">
        <v>45383.0</v>
      </c>
      <c r="C537" s="25">
        <v>201.0</v>
      </c>
      <c r="D537" s="25">
        <v>26.0</v>
      </c>
      <c r="E537" s="25">
        <v>3.0</v>
      </c>
      <c r="F537" s="25">
        <v>5.0</v>
      </c>
      <c r="G537" s="27" t="s">
        <v>24</v>
      </c>
    </row>
    <row r="538" ht="22.5" customHeight="1">
      <c r="A538" s="25">
        <v>2385.0</v>
      </c>
      <c r="B538" s="26">
        <v>45383.0</v>
      </c>
      <c r="C538" s="25">
        <v>76.0</v>
      </c>
      <c r="D538" s="25">
        <v>12.0</v>
      </c>
      <c r="E538" s="25">
        <v>4.0</v>
      </c>
      <c r="F538" s="25">
        <v>3.0</v>
      </c>
      <c r="G538" s="27" t="s">
        <v>24</v>
      </c>
    </row>
    <row r="539" ht="22.5" customHeight="1">
      <c r="A539" s="25">
        <v>2611.0</v>
      </c>
      <c r="B539" s="26">
        <v>45383.0</v>
      </c>
      <c r="C539" s="25">
        <v>63.0</v>
      </c>
      <c r="D539" s="25">
        <v>1.0</v>
      </c>
      <c r="E539" s="25">
        <v>4.0</v>
      </c>
      <c r="F539" s="25">
        <v>5.0</v>
      </c>
      <c r="G539" s="27" t="s">
        <v>24</v>
      </c>
    </row>
    <row r="540" ht="22.5" customHeight="1">
      <c r="A540" s="25">
        <v>2914.0</v>
      </c>
      <c r="B540" s="26">
        <v>45383.0</v>
      </c>
      <c r="C540" s="25">
        <v>66.0</v>
      </c>
      <c r="D540" s="25">
        <v>22.0</v>
      </c>
      <c r="E540" s="25">
        <v>6.0</v>
      </c>
      <c r="F540" s="25">
        <v>4.0</v>
      </c>
      <c r="G540" s="27" t="s">
        <v>25</v>
      </c>
    </row>
    <row r="541" ht="22.5" customHeight="1">
      <c r="A541" s="25">
        <v>160.0</v>
      </c>
      <c r="B541" s="26">
        <v>45384.0</v>
      </c>
      <c r="C541" s="25">
        <v>106.0</v>
      </c>
      <c r="D541" s="25">
        <v>25.0</v>
      </c>
      <c r="E541" s="25">
        <v>6.0</v>
      </c>
      <c r="F541" s="25">
        <v>4.0</v>
      </c>
      <c r="G541" s="27" t="s">
        <v>24</v>
      </c>
    </row>
    <row r="542" ht="22.5" customHeight="1">
      <c r="A542" s="25">
        <v>837.0</v>
      </c>
      <c r="B542" s="26">
        <v>45384.0</v>
      </c>
      <c r="C542" s="25">
        <v>102.0</v>
      </c>
      <c r="D542" s="25">
        <v>4.0</v>
      </c>
      <c r="E542" s="25">
        <v>3.0</v>
      </c>
      <c r="F542" s="25">
        <v>1.0</v>
      </c>
      <c r="G542" s="27" t="s">
        <v>24</v>
      </c>
    </row>
    <row r="543" ht="22.5" customHeight="1">
      <c r="A543" s="25">
        <v>1224.0</v>
      </c>
      <c r="B543" s="26">
        <v>45384.0</v>
      </c>
      <c r="C543" s="25">
        <v>60.0</v>
      </c>
      <c r="D543" s="25">
        <v>4.0</v>
      </c>
      <c r="E543" s="25">
        <v>3.0</v>
      </c>
      <c r="F543" s="25">
        <v>5.0</v>
      </c>
      <c r="G543" s="27" t="s">
        <v>25</v>
      </c>
    </row>
    <row r="544" ht="22.5" customHeight="1">
      <c r="A544" s="25">
        <v>1819.0</v>
      </c>
      <c r="B544" s="26">
        <v>45384.0</v>
      </c>
      <c r="C544" s="25">
        <v>192.0</v>
      </c>
      <c r="D544" s="25">
        <v>22.0</v>
      </c>
      <c r="E544" s="25">
        <v>5.0</v>
      </c>
      <c r="F544" s="25">
        <v>1.0</v>
      </c>
      <c r="G544" s="27" t="s">
        <v>25</v>
      </c>
    </row>
    <row r="545" ht="22.5" customHeight="1">
      <c r="A545" s="25">
        <v>1968.0</v>
      </c>
      <c r="B545" s="26">
        <v>45384.0</v>
      </c>
      <c r="C545" s="25">
        <v>285.0</v>
      </c>
      <c r="D545" s="25">
        <v>12.0</v>
      </c>
      <c r="E545" s="25">
        <v>2.0</v>
      </c>
      <c r="F545" s="25">
        <v>5.0</v>
      </c>
      <c r="G545" s="27" t="s">
        <v>25</v>
      </c>
    </row>
    <row r="546" ht="22.5" customHeight="1">
      <c r="A546" s="25">
        <v>2413.0</v>
      </c>
      <c r="B546" s="26">
        <v>45384.0</v>
      </c>
      <c r="C546" s="25">
        <v>248.0</v>
      </c>
      <c r="D546" s="25">
        <v>31.0</v>
      </c>
      <c r="E546" s="25">
        <v>5.0</v>
      </c>
      <c r="F546" s="25">
        <v>4.0</v>
      </c>
      <c r="G546" s="27" t="s">
        <v>24</v>
      </c>
    </row>
    <row r="547" ht="22.5" customHeight="1">
      <c r="A547" s="25">
        <v>2465.0</v>
      </c>
      <c r="B547" s="26">
        <v>45384.0</v>
      </c>
      <c r="C547" s="25">
        <v>240.0</v>
      </c>
      <c r="D547" s="25">
        <v>9.0</v>
      </c>
      <c r="E547" s="25">
        <v>3.0</v>
      </c>
      <c r="F547" s="25">
        <v>2.0</v>
      </c>
      <c r="G547" s="27" t="s">
        <v>24</v>
      </c>
    </row>
    <row r="548" ht="22.5" customHeight="1">
      <c r="A548" s="25">
        <v>2899.0</v>
      </c>
      <c r="B548" s="26">
        <v>45384.0</v>
      </c>
      <c r="C548" s="25">
        <v>163.0</v>
      </c>
      <c r="D548" s="25">
        <v>34.0</v>
      </c>
      <c r="E548" s="25">
        <v>5.0</v>
      </c>
      <c r="F548" s="25">
        <v>1.0</v>
      </c>
      <c r="G548" s="27" t="s">
        <v>25</v>
      </c>
    </row>
    <row r="549" ht="22.5" customHeight="1">
      <c r="A549" s="25">
        <v>232.0</v>
      </c>
      <c r="B549" s="26">
        <v>45385.0</v>
      </c>
      <c r="C549" s="25">
        <v>144.0</v>
      </c>
      <c r="D549" s="25">
        <v>24.0</v>
      </c>
      <c r="E549" s="25">
        <v>3.0</v>
      </c>
      <c r="F549" s="25">
        <v>3.0</v>
      </c>
      <c r="G549" s="27" t="s">
        <v>24</v>
      </c>
    </row>
    <row r="550" ht="22.5" customHeight="1">
      <c r="A550" s="25">
        <v>339.0</v>
      </c>
      <c r="B550" s="26">
        <v>45385.0</v>
      </c>
      <c r="C550" s="25">
        <v>81.0</v>
      </c>
      <c r="D550" s="25">
        <v>21.0</v>
      </c>
      <c r="E550" s="25">
        <v>1.0</v>
      </c>
      <c r="F550" s="25">
        <v>3.0</v>
      </c>
      <c r="G550" s="27" t="s">
        <v>24</v>
      </c>
    </row>
    <row r="551" ht="22.5" customHeight="1">
      <c r="A551" s="25">
        <v>844.0</v>
      </c>
      <c r="B551" s="26">
        <v>45385.0</v>
      </c>
      <c r="C551" s="25">
        <v>258.0</v>
      </c>
      <c r="D551" s="25">
        <v>22.0</v>
      </c>
      <c r="E551" s="25">
        <v>2.0</v>
      </c>
      <c r="F551" s="25">
        <v>2.0</v>
      </c>
      <c r="G551" s="27" t="s">
        <v>25</v>
      </c>
    </row>
    <row r="552" ht="22.5" customHeight="1">
      <c r="A552" s="25">
        <v>1687.0</v>
      </c>
      <c r="B552" s="26">
        <v>45385.0</v>
      </c>
      <c r="C552" s="25">
        <v>160.0</v>
      </c>
      <c r="D552" s="25">
        <v>23.0</v>
      </c>
      <c r="E552" s="25">
        <v>6.0</v>
      </c>
      <c r="F552" s="25">
        <v>5.0</v>
      </c>
      <c r="G552" s="27" t="s">
        <v>24</v>
      </c>
    </row>
    <row r="553" ht="22.5" customHeight="1">
      <c r="A553" s="25">
        <v>1704.0</v>
      </c>
      <c r="B553" s="26">
        <v>45385.0</v>
      </c>
      <c r="C553" s="25">
        <v>104.0</v>
      </c>
      <c r="D553" s="25">
        <v>3.0</v>
      </c>
      <c r="E553" s="25">
        <v>4.0</v>
      </c>
      <c r="F553" s="25">
        <v>4.0</v>
      </c>
      <c r="G553" s="27" t="s">
        <v>24</v>
      </c>
    </row>
    <row r="554" ht="22.5" customHeight="1">
      <c r="A554" s="25">
        <v>1913.0</v>
      </c>
      <c r="B554" s="26">
        <v>45385.0</v>
      </c>
      <c r="C554" s="25">
        <v>78.0</v>
      </c>
      <c r="D554" s="25">
        <v>33.0</v>
      </c>
      <c r="E554" s="25">
        <v>5.0</v>
      </c>
      <c r="F554" s="25">
        <v>4.0</v>
      </c>
      <c r="G554" s="27" t="s">
        <v>24</v>
      </c>
    </row>
    <row r="555" ht="22.5" customHeight="1">
      <c r="A555" s="25">
        <v>2532.0</v>
      </c>
      <c r="B555" s="26">
        <v>45385.0</v>
      </c>
      <c r="C555" s="25">
        <v>28.0</v>
      </c>
      <c r="D555" s="25">
        <v>13.0</v>
      </c>
      <c r="E555" s="25">
        <v>5.0</v>
      </c>
      <c r="F555" s="25">
        <v>4.0</v>
      </c>
      <c r="G555" s="27" t="s">
        <v>24</v>
      </c>
    </row>
    <row r="556" ht="22.5" customHeight="1">
      <c r="A556" s="25">
        <v>2571.0</v>
      </c>
      <c r="B556" s="26">
        <v>45385.0</v>
      </c>
      <c r="C556" s="25">
        <v>54.0</v>
      </c>
      <c r="D556" s="25">
        <v>18.0</v>
      </c>
      <c r="E556" s="25">
        <v>5.0</v>
      </c>
      <c r="F556" s="25">
        <v>4.0</v>
      </c>
      <c r="G556" s="27" t="s">
        <v>24</v>
      </c>
    </row>
    <row r="557" ht="22.5" customHeight="1">
      <c r="A557" s="25">
        <v>2641.0</v>
      </c>
      <c r="B557" s="26">
        <v>45385.0</v>
      </c>
      <c r="C557" s="25">
        <v>172.0</v>
      </c>
      <c r="D557" s="25">
        <v>8.0</v>
      </c>
      <c r="E557" s="25">
        <v>3.0</v>
      </c>
      <c r="F557" s="25">
        <v>3.0</v>
      </c>
      <c r="G557" s="27" t="s">
        <v>24</v>
      </c>
    </row>
    <row r="558" ht="22.5" customHeight="1">
      <c r="A558" s="25">
        <v>2795.0</v>
      </c>
      <c r="B558" s="26">
        <v>45385.0</v>
      </c>
      <c r="C558" s="25">
        <v>39.0</v>
      </c>
      <c r="D558" s="25">
        <v>8.0</v>
      </c>
      <c r="E558" s="25">
        <v>5.0</v>
      </c>
      <c r="F558" s="25">
        <v>4.0</v>
      </c>
      <c r="G558" s="27" t="s">
        <v>24</v>
      </c>
    </row>
    <row r="559" ht="22.5" customHeight="1">
      <c r="A559" s="25">
        <v>2954.0</v>
      </c>
      <c r="B559" s="26">
        <v>45385.0</v>
      </c>
      <c r="C559" s="25">
        <v>237.0</v>
      </c>
      <c r="D559" s="25">
        <v>27.0</v>
      </c>
      <c r="E559" s="25">
        <v>6.0</v>
      </c>
      <c r="F559" s="25">
        <v>3.0</v>
      </c>
      <c r="G559" s="27" t="s">
        <v>24</v>
      </c>
    </row>
    <row r="560" ht="22.5" customHeight="1">
      <c r="A560" s="25">
        <v>2961.0</v>
      </c>
      <c r="B560" s="26">
        <v>45385.0</v>
      </c>
      <c r="C560" s="25">
        <v>141.0</v>
      </c>
      <c r="D560" s="25">
        <v>25.0</v>
      </c>
      <c r="E560" s="25">
        <v>2.0</v>
      </c>
      <c r="F560" s="25">
        <v>1.0</v>
      </c>
      <c r="G560" s="27" t="s">
        <v>24</v>
      </c>
    </row>
    <row r="561" ht="22.5" customHeight="1">
      <c r="A561" s="25">
        <v>327.0</v>
      </c>
      <c r="B561" s="26">
        <v>45386.0</v>
      </c>
      <c r="C561" s="25">
        <v>203.0</v>
      </c>
      <c r="D561" s="25">
        <v>27.0</v>
      </c>
      <c r="E561" s="25">
        <v>4.0</v>
      </c>
      <c r="F561" s="25">
        <v>2.0</v>
      </c>
      <c r="G561" s="27" t="s">
        <v>24</v>
      </c>
    </row>
    <row r="562" ht="22.5" customHeight="1">
      <c r="A562" s="25">
        <v>491.0</v>
      </c>
      <c r="B562" s="26">
        <v>45386.0</v>
      </c>
      <c r="C562" s="25">
        <v>25.0</v>
      </c>
      <c r="D562" s="25">
        <v>5.0</v>
      </c>
      <c r="E562" s="25">
        <v>5.0</v>
      </c>
      <c r="F562" s="25">
        <v>5.0</v>
      </c>
      <c r="G562" s="27" t="s">
        <v>24</v>
      </c>
    </row>
    <row r="563" ht="22.5" customHeight="1">
      <c r="A563" s="25">
        <v>1175.0</v>
      </c>
      <c r="B563" s="26">
        <v>45386.0</v>
      </c>
      <c r="C563" s="25">
        <v>189.0</v>
      </c>
      <c r="D563" s="25">
        <v>17.0</v>
      </c>
      <c r="E563" s="25">
        <v>3.0</v>
      </c>
      <c r="F563" s="25">
        <v>1.0</v>
      </c>
      <c r="G563" s="27" t="s">
        <v>24</v>
      </c>
    </row>
    <row r="564" ht="22.5" customHeight="1">
      <c r="A564" s="25">
        <v>1417.0</v>
      </c>
      <c r="B564" s="26">
        <v>45386.0</v>
      </c>
      <c r="C564" s="25">
        <v>126.0</v>
      </c>
      <c r="D564" s="25">
        <v>13.0</v>
      </c>
      <c r="E564" s="25">
        <v>5.0</v>
      </c>
      <c r="F564" s="25">
        <v>3.0</v>
      </c>
      <c r="G564" s="27" t="s">
        <v>24</v>
      </c>
    </row>
    <row r="565" ht="22.5" customHeight="1">
      <c r="A565" s="25">
        <v>1782.0</v>
      </c>
      <c r="B565" s="26">
        <v>45386.0</v>
      </c>
      <c r="C565" s="25">
        <v>145.0</v>
      </c>
      <c r="D565" s="25">
        <v>13.0</v>
      </c>
      <c r="E565" s="25">
        <v>2.0</v>
      </c>
      <c r="F565" s="25">
        <v>3.0</v>
      </c>
      <c r="G565" s="27" t="s">
        <v>24</v>
      </c>
    </row>
    <row r="566" ht="22.5" customHeight="1">
      <c r="A566" s="25">
        <v>1872.0</v>
      </c>
      <c r="B566" s="26">
        <v>45386.0</v>
      </c>
      <c r="C566" s="25">
        <v>239.0</v>
      </c>
      <c r="D566" s="25">
        <v>16.0</v>
      </c>
      <c r="E566" s="25">
        <v>6.0</v>
      </c>
      <c r="F566" s="25">
        <v>1.0</v>
      </c>
      <c r="G566" s="27" t="s">
        <v>24</v>
      </c>
    </row>
    <row r="567" ht="22.5" customHeight="1">
      <c r="A567" s="25">
        <v>2844.0</v>
      </c>
      <c r="B567" s="26">
        <v>45386.0</v>
      </c>
      <c r="C567" s="25">
        <v>213.0</v>
      </c>
      <c r="D567" s="25">
        <v>22.0</v>
      </c>
      <c r="E567" s="25">
        <v>3.0</v>
      </c>
      <c r="F567" s="25">
        <v>5.0</v>
      </c>
      <c r="G567" s="27" t="s">
        <v>24</v>
      </c>
    </row>
    <row r="568" ht="22.5" customHeight="1">
      <c r="A568" s="25">
        <v>2879.0</v>
      </c>
      <c r="B568" s="26">
        <v>45386.0</v>
      </c>
      <c r="C568" s="25">
        <v>186.0</v>
      </c>
      <c r="D568" s="25">
        <v>3.0</v>
      </c>
      <c r="E568" s="25">
        <v>5.0</v>
      </c>
      <c r="F568" s="25">
        <v>4.0</v>
      </c>
      <c r="G568" s="27" t="s">
        <v>24</v>
      </c>
    </row>
    <row r="569" ht="22.5" customHeight="1">
      <c r="A569" s="25">
        <v>245.0</v>
      </c>
      <c r="B569" s="26">
        <v>45387.0</v>
      </c>
      <c r="C569" s="25">
        <v>101.0</v>
      </c>
      <c r="D569" s="25">
        <v>32.0</v>
      </c>
      <c r="E569" s="25">
        <v>4.0</v>
      </c>
      <c r="F569" s="25">
        <v>4.0</v>
      </c>
      <c r="G569" s="27" t="s">
        <v>24</v>
      </c>
    </row>
    <row r="570" ht="22.5" customHeight="1">
      <c r="A570" s="25">
        <v>799.0</v>
      </c>
      <c r="B570" s="26">
        <v>45387.0</v>
      </c>
      <c r="C570" s="25">
        <v>55.0</v>
      </c>
      <c r="D570" s="25">
        <v>19.0</v>
      </c>
      <c r="E570" s="25">
        <v>1.0</v>
      </c>
      <c r="F570" s="25">
        <v>5.0</v>
      </c>
      <c r="G570" s="27" t="s">
        <v>25</v>
      </c>
    </row>
    <row r="571" ht="22.5" customHeight="1">
      <c r="A571" s="25">
        <v>905.0</v>
      </c>
      <c r="B571" s="26">
        <v>45387.0</v>
      </c>
      <c r="C571" s="25">
        <v>151.0</v>
      </c>
      <c r="D571" s="25">
        <v>3.0</v>
      </c>
      <c r="E571" s="25">
        <v>2.0</v>
      </c>
      <c r="F571" s="25">
        <v>4.0</v>
      </c>
      <c r="G571" s="27" t="s">
        <v>24</v>
      </c>
    </row>
    <row r="572" ht="22.5" customHeight="1">
      <c r="A572" s="25">
        <v>1195.0</v>
      </c>
      <c r="B572" s="26">
        <v>45387.0</v>
      </c>
      <c r="C572" s="25">
        <v>47.0</v>
      </c>
      <c r="D572" s="25">
        <v>16.0</v>
      </c>
      <c r="E572" s="25">
        <v>3.0</v>
      </c>
      <c r="F572" s="25">
        <v>3.0</v>
      </c>
      <c r="G572" s="27" t="s">
        <v>24</v>
      </c>
    </row>
    <row r="573" ht="22.5" customHeight="1">
      <c r="A573" s="25">
        <v>2276.0</v>
      </c>
      <c r="B573" s="26">
        <v>45387.0</v>
      </c>
      <c r="C573" s="25">
        <v>62.0</v>
      </c>
      <c r="D573" s="25">
        <v>23.0</v>
      </c>
      <c r="E573" s="25">
        <v>6.0</v>
      </c>
      <c r="F573" s="25">
        <v>4.0</v>
      </c>
      <c r="G573" s="27" t="s">
        <v>25</v>
      </c>
    </row>
    <row r="574" ht="22.5" customHeight="1">
      <c r="A574" s="25">
        <v>2884.0</v>
      </c>
      <c r="B574" s="26">
        <v>45387.0</v>
      </c>
      <c r="C574" s="25">
        <v>307.0</v>
      </c>
      <c r="D574" s="25">
        <v>32.0</v>
      </c>
      <c r="E574" s="25">
        <v>3.0</v>
      </c>
      <c r="F574" s="25">
        <v>1.0</v>
      </c>
      <c r="G574" s="27" t="s">
        <v>24</v>
      </c>
    </row>
    <row r="575" ht="22.5" customHeight="1">
      <c r="A575" s="25">
        <v>2945.0</v>
      </c>
      <c r="B575" s="26">
        <v>45387.0</v>
      </c>
      <c r="C575" s="25">
        <v>245.0</v>
      </c>
      <c r="D575" s="25">
        <v>20.0</v>
      </c>
      <c r="E575" s="25">
        <v>1.0</v>
      </c>
      <c r="F575" s="25">
        <v>5.0</v>
      </c>
      <c r="G575" s="27" t="s">
        <v>24</v>
      </c>
    </row>
    <row r="576" ht="22.5" customHeight="1">
      <c r="A576" s="25">
        <v>2995.0</v>
      </c>
      <c r="B576" s="26">
        <v>45387.0</v>
      </c>
      <c r="C576" s="25">
        <v>38.0</v>
      </c>
      <c r="D576" s="25">
        <v>34.0</v>
      </c>
      <c r="E576" s="25">
        <v>5.0</v>
      </c>
      <c r="F576" s="25">
        <v>5.0</v>
      </c>
      <c r="G576" s="27" t="s">
        <v>24</v>
      </c>
    </row>
    <row r="577" ht="22.5" customHeight="1">
      <c r="A577" s="25">
        <v>10.0</v>
      </c>
      <c r="B577" s="26">
        <v>45388.0</v>
      </c>
      <c r="C577" s="25">
        <v>232.0</v>
      </c>
      <c r="D577" s="25">
        <v>37.0</v>
      </c>
      <c r="E577" s="25">
        <v>2.0</v>
      </c>
      <c r="F577" s="25">
        <v>3.0</v>
      </c>
      <c r="G577" s="27" t="s">
        <v>24</v>
      </c>
    </row>
    <row r="578" ht="22.5" customHeight="1">
      <c r="A578" s="25">
        <v>1068.0</v>
      </c>
      <c r="B578" s="26">
        <v>45388.0</v>
      </c>
      <c r="C578" s="25">
        <v>318.0</v>
      </c>
      <c r="D578" s="25">
        <v>6.0</v>
      </c>
      <c r="E578" s="25">
        <v>3.0</v>
      </c>
      <c r="F578" s="25">
        <v>5.0</v>
      </c>
      <c r="G578" s="27" t="s">
        <v>24</v>
      </c>
    </row>
    <row r="579" ht="22.5" customHeight="1">
      <c r="A579" s="25">
        <v>1960.0</v>
      </c>
      <c r="B579" s="26">
        <v>45388.0</v>
      </c>
      <c r="C579" s="25">
        <v>266.0</v>
      </c>
      <c r="D579" s="25">
        <v>30.0</v>
      </c>
      <c r="E579" s="25">
        <v>3.0</v>
      </c>
      <c r="F579" s="25">
        <v>5.0</v>
      </c>
      <c r="G579" s="27" t="s">
        <v>24</v>
      </c>
    </row>
    <row r="580" ht="22.5" customHeight="1">
      <c r="A580" s="25">
        <v>2718.0</v>
      </c>
      <c r="B580" s="26">
        <v>45388.0</v>
      </c>
      <c r="C580" s="25">
        <v>157.0</v>
      </c>
      <c r="D580" s="25">
        <v>32.0</v>
      </c>
      <c r="E580" s="25">
        <v>1.0</v>
      </c>
      <c r="F580" s="25">
        <v>5.0</v>
      </c>
      <c r="G580" s="27" t="s">
        <v>24</v>
      </c>
    </row>
    <row r="581" ht="22.5" customHeight="1">
      <c r="A581" s="25">
        <v>395.0</v>
      </c>
      <c r="B581" s="26">
        <v>45389.0</v>
      </c>
      <c r="C581" s="25">
        <v>75.0</v>
      </c>
      <c r="D581" s="25">
        <v>32.0</v>
      </c>
      <c r="E581" s="25">
        <v>5.0</v>
      </c>
      <c r="F581" s="25">
        <v>5.0</v>
      </c>
      <c r="G581" s="27" t="s">
        <v>24</v>
      </c>
    </row>
    <row r="582" ht="22.5" customHeight="1">
      <c r="A582" s="25">
        <v>453.0</v>
      </c>
      <c r="B582" s="26">
        <v>45389.0</v>
      </c>
      <c r="C582" s="25">
        <v>75.0</v>
      </c>
      <c r="D582" s="25">
        <v>12.0</v>
      </c>
      <c r="E582" s="25">
        <v>2.0</v>
      </c>
      <c r="F582" s="25">
        <v>4.0</v>
      </c>
      <c r="G582" s="27" t="s">
        <v>24</v>
      </c>
    </row>
    <row r="583" ht="22.5" customHeight="1">
      <c r="A583" s="25">
        <v>657.0</v>
      </c>
      <c r="B583" s="26">
        <v>45389.0</v>
      </c>
      <c r="C583" s="25">
        <v>57.0</v>
      </c>
      <c r="D583" s="25">
        <v>36.0</v>
      </c>
      <c r="E583" s="25">
        <v>1.0</v>
      </c>
      <c r="F583" s="25">
        <v>4.0</v>
      </c>
      <c r="G583" s="27" t="s">
        <v>24</v>
      </c>
    </row>
    <row r="584" ht="22.5" customHeight="1">
      <c r="A584" s="25">
        <v>1220.0</v>
      </c>
      <c r="B584" s="26">
        <v>45389.0</v>
      </c>
      <c r="C584" s="25">
        <v>224.0</v>
      </c>
      <c r="D584" s="25">
        <v>38.0</v>
      </c>
      <c r="E584" s="25">
        <v>5.0</v>
      </c>
      <c r="F584" s="25">
        <v>3.0</v>
      </c>
      <c r="G584" s="27" t="s">
        <v>24</v>
      </c>
    </row>
    <row r="585" ht="22.5" customHeight="1">
      <c r="A585" s="25">
        <v>2084.0</v>
      </c>
      <c r="B585" s="26">
        <v>45389.0</v>
      </c>
      <c r="C585" s="25">
        <v>138.0</v>
      </c>
      <c r="D585" s="25">
        <v>33.0</v>
      </c>
      <c r="E585" s="25">
        <v>4.0</v>
      </c>
      <c r="F585" s="25">
        <v>3.0</v>
      </c>
      <c r="G585" s="27" t="s">
        <v>24</v>
      </c>
    </row>
    <row r="586" ht="22.5" customHeight="1">
      <c r="A586" s="25">
        <v>2726.0</v>
      </c>
      <c r="B586" s="26">
        <v>45389.0</v>
      </c>
      <c r="C586" s="25">
        <v>166.0</v>
      </c>
      <c r="D586" s="25">
        <v>17.0</v>
      </c>
      <c r="E586" s="25">
        <v>6.0</v>
      </c>
      <c r="F586" s="25">
        <v>4.0</v>
      </c>
      <c r="G586" s="27" t="s">
        <v>24</v>
      </c>
    </row>
    <row r="587" ht="22.5" customHeight="1">
      <c r="A587" s="25">
        <v>2731.0</v>
      </c>
      <c r="B587" s="26">
        <v>45389.0</v>
      </c>
      <c r="C587" s="25">
        <v>132.0</v>
      </c>
      <c r="D587" s="25">
        <v>5.0</v>
      </c>
      <c r="E587" s="25">
        <v>3.0</v>
      </c>
      <c r="F587" s="25">
        <v>1.0</v>
      </c>
      <c r="G587" s="27" t="s">
        <v>25</v>
      </c>
    </row>
    <row r="588" ht="22.5" customHeight="1">
      <c r="A588" s="25">
        <v>108.0</v>
      </c>
      <c r="B588" s="26">
        <v>45390.0</v>
      </c>
      <c r="C588" s="25">
        <v>153.0</v>
      </c>
      <c r="D588" s="25">
        <v>17.0</v>
      </c>
      <c r="E588" s="25">
        <v>4.0</v>
      </c>
      <c r="F588" s="25">
        <v>4.0</v>
      </c>
      <c r="G588" s="27" t="s">
        <v>24</v>
      </c>
    </row>
    <row r="589" ht="22.5" customHeight="1">
      <c r="A589" s="25">
        <v>581.0</v>
      </c>
      <c r="B589" s="26">
        <v>45390.0</v>
      </c>
      <c r="C589" s="25">
        <v>297.0</v>
      </c>
      <c r="D589" s="25">
        <v>6.0</v>
      </c>
      <c r="E589" s="25">
        <v>1.0</v>
      </c>
      <c r="F589" s="25">
        <v>3.0</v>
      </c>
      <c r="G589" s="27" t="s">
        <v>25</v>
      </c>
    </row>
    <row r="590" ht="22.5" customHeight="1">
      <c r="A590" s="25">
        <v>1470.0</v>
      </c>
      <c r="B590" s="26">
        <v>45390.0</v>
      </c>
      <c r="C590" s="25">
        <v>38.0</v>
      </c>
      <c r="D590" s="25">
        <v>24.0</v>
      </c>
      <c r="E590" s="25">
        <v>5.0</v>
      </c>
      <c r="F590" s="25">
        <v>5.0</v>
      </c>
      <c r="G590" s="27" t="s">
        <v>24</v>
      </c>
    </row>
    <row r="591" ht="22.5" customHeight="1">
      <c r="A591" s="25">
        <v>1834.0</v>
      </c>
      <c r="B591" s="26">
        <v>45390.0</v>
      </c>
      <c r="C591" s="25">
        <v>141.0</v>
      </c>
      <c r="D591" s="25">
        <v>7.0</v>
      </c>
      <c r="E591" s="25">
        <v>1.0</v>
      </c>
      <c r="F591" s="25">
        <v>5.0</v>
      </c>
      <c r="G591" s="27" t="s">
        <v>24</v>
      </c>
    </row>
    <row r="592" ht="22.5" customHeight="1">
      <c r="A592" s="25">
        <v>1840.0</v>
      </c>
      <c r="B592" s="26">
        <v>45390.0</v>
      </c>
      <c r="C592" s="25">
        <v>241.0</v>
      </c>
      <c r="D592" s="25">
        <v>12.0</v>
      </c>
      <c r="E592" s="25">
        <v>6.0</v>
      </c>
      <c r="F592" s="25">
        <v>3.0</v>
      </c>
      <c r="G592" s="27" t="s">
        <v>24</v>
      </c>
    </row>
    <row r="593" ht="22.5" customHeight="1">
      <c r="A593" s="25">
        <v>2140.0</v>
      </c>
      <c r="B593" s="26">
        <v>45390.0</v>
      </c>
      <c r="C593" s="25">
        <v>174.0</v>
      </c>
      <c r="D593" s="25">
        <v>9.0</v>
      </c>
      <c r="E593" s="25">
        <v>1.0</v>
      </c>
      <c r="F593" s="25">
        <v>4.0</v>
      </c>
      <c r="G593" s="27" t="s">
        <v>24</v>
      </c>
    </row>
    <row r="594" ht="22.5" customHeight="1">
      <c r="A594" s="25">
        <v>2885.0</v>
      </c>
      <c r="B594" s="26">
        <v>45390.0</v>
      </c>
      <c r="C594" s="25">
        <v>245.0</v>
      </c>
      <c r="D594" s="25">
        <v>24.0</v>
      </c>
      <c r="E594" s="25">
        <v>1.0</v>
      </c>
      <c r="F594" s="25">
        <v>2.0</v>
      </c>
      <c r="G594" s="27" t="s">
        <v>24</v>
      </c>
    </row>
    <row r="595" ht="22.5" customHeight="1">
      <c r="A595" s="25">
        <v>80.0</v>
      </c>
      <c r="B595" s="26">
        <v>45391.0</v>
      </c>
      <c r="C595" s="25">
        <v>313.0</v>
      </c>
      <c r="D595" s="25">
        <v>25.0</v>
      </c>
      <c r="E595" s="25">
        <v>6.0</v>
      </c>
      <c r="F595" s="25">
        <v>3.0</v>
      </c>
      <c r="G595" s="27" t="s">
        <v>24</v>
      </c>
    </row>
    <row r="596" ht="22.5" customHeight="1">
      <c r="A596" s="25">
        <v>600.0</v>
      </c>
      <c r="B596" s="26">
        <v>45391.0</v>
      </c>
      <c r="C596" s="25">
        <v>142.0</v>
      </c>
      <c r="D596" s="25">
        <v>14.0</v>
      </c>
      <c r="E596" s="25">
        <v>2.0</v>
      </c>
      <c r="F596" s="25">
        <v>4.0</v>
      </c>
      <c r="G596" s="27" t="s">
        <v>24</v>
      </c>
    </row>
    <row r="597" ht="22.5" customHeight="1">
      <c r="A597" s="25">
        <v>962.0</v>
      </c>
      <c r="B597" s="26">
        <v>45391.0</v>
      </c>
      <c r="C597" s="25">
        <v>275.0</v>
      </c>
      <c r="D597" s="25">
        <v>8.0</v>
      </c>
      <c r="E597" s="25">
        <v>2.0</v>
      </c>
      <c r="F597" s="25">
        <v>4.0</v>
      </c>
      <c r="G597" s="27" t="s">
        <v>24</v>
      </c>
    </row>
    <row r="598" ht="22.5" customHeight="1">
      <c r="A598" s="25">
        <v>1331.0</v>
      </c>
      <c r="B598" s="26">
        <v>45391.0</v>
      </c>
      <c r="C598" s="25">
        <v>51.0</v>
      </c>
      <c r="D598" s="25">
        <v>11.0</v>
      </c>
      <c r="E598" s="25">
        <v>2.0</v>
      </c>
      <c r="F598" s="25">
        <v>4.0</v>
      </c>
      <c r="G598" s="27" t="s">
        <v>24</v>
      </c>
    </row>
    <row r="599" ht="22.5" customHeight="1">
      <c r="A599" s="25">
        <v>1474.0</v>
      </c>
      <c r="B599" s="26">
        <v>45391.0</v>
      </c>
      <c r="C599" s="25">
        <v>321.0</v>
      </c>
      <c r="D599" s="25">
        <v>9.0</v>
      </c>
      <c r="E599" s="25">
        <v>1.0</v>
      </c>
      <c r="F599" s="25">
        <v>4.0</v>
      </c>
      <c r="G599" s="27" t="s">
        <v>24</v>
      </c>
    </row>
    <row r="600" ht="22.5" customHeight="1">
      <c r="A600" s="25">
        <v>2341.0</v>
      </c>
      <c r="B600" s="26">
        <v>45391.0</v>
      </c>
      <c r="C600" s="25">
        <v>23.0</v>
      </c>
      <c r="D600" s="25">
        <v>10.0</v>
      </c>
      <c r="E600" s="25">
        <v>3.0</v>
      </c>
      <c r="F600" s="25">
        <v>5.0</v>
      </c>
      <c r="G600" s="27" t="s">
        <v>24</v>
      </c>
    </row>
    <row r="601" ht="22.5" customHeight="1">
      <c r="A601" s="25">
        <v>2716.0</v>
      </c>
      <c r="B601" s="26">
        <v>45391.0</v>
      </c>
      <c r="C601" s="25">
        <v>162.0</v>
      </c>
      <c r="D601" s="25">
        <v>15.0</v>
      </c>
      <c r="E601" s="25">
        <v>4.0</v>
      </c>
      <c r="F601" s="25">
        <v>3.0</v>
      </c>
      <c r="G601" s="27" t="s">
        <v>24</v>
      </c>
    </row>
    <row r="602" ht="22.5" customHeight="1">
      <c r="A602" s="25">
        <v>2920.0</v>
      </c>
      <c r="B602" s="26">
        <v>45391.0</v>
      </c>
      <c r="C602" s="25">
        <v>207.0</v>
      </c>
      <c r="D602" s="25">
        <v>35.0</v>
      </c>
      <c r="E602" s="25">
        <v>2.0</v>
      </c>
      <c r="F602" s="25">
        <v>3.0</v>
      </c>
      <c r="G602" s="27" t="s">
        <v>24</v>
      </c>
    </row>
    <row r="603" ht="22.5" customHeight="1">
      <c r="A603" s="25">
        <v>102.0</v>
      </c>
      <c r="B603" s="26">
        <v>45392.0</v>
      </c>
      <c r="C603" s="25">
        <v>282.0</v>
      </c>
      <c r="D603" s="25">
        <v>26.0</v>
      </c>
      <c r="E603" s="25">
        <v>1.0</v>
      </c>
      <c r="F603" s="25">
        <v>3.0</v>
      </c>
      <c r="G603" s="27" t="s">
        <v>24</v>
      </c>
    </row>
    <row r="604" ht="22.5" customHeight="1">
      <c r="A604" s="25">
        <v>239.0</v>
      </c>
      <c r="B604" s="26">
        <v>45392.0</v>
      </c>
      <c r="C604" s="25">
        <v>197.0</v>
      </c>
      <c r="D604" s="25">
        <v>37.0</v>
      </c>
      <c r="E604" s="25">
        <v>6.0</v>
      </c>
      <c r="F604" s="25">
        <v>5.0</v>
      </c>
      <c r="G604" s="27" t="s">
        <v>24</v>
      </c>
    </row>
    <row r="605" ht="22.5" customHeight="1">
      <c r="A605" s="25">
        <v>532.0</v>
      </c>
      <c r="B605" s="26">
        <v>45392.0</v>
      </c>
      <c r="C605" s="25">
        <v>233.0</v>
      </c>
      <c r="D605" s="25">
        <v>1.0</v>
      </c>
      <c r="E605" s="25">
        <v>3.0</v>
      </c>
      <c r="F605" s="25">
        <v>1.0</v>
      </c>
      <c r="G605" s="27" t="s">
        <v>24</v>
      </c>
    </row>
    <row r="606" ht="22.5" customHeight="1">
      <c r="A606" s="25">
        <v>1046.0</v>
      </c>
      <c r="B606" s="26">
        <v>45392.0</v>
      </c>
      <c r="C606" s="25">
        <v>288.0</v>
      </c>
      <c r="D606" s="25">
        <v>1.0</v>
      </c>
      <c r="E606" s="25">
        <v>5.0</v>
      </c>
      <c r="F606" s="25">
        <v>3.0</v>
      </c>
      <c r="G606" s="27" t="s">
        <v>24</v>
      </c>
    </row>
    <row r="607" ht="22.5" customHeight="1">
      <c r="A607" s="25">
        <v>1612.0</v>
      </c>
      <c r="B607" s="26">
        <v>45392.0</v>
      </c>
      <c r="C607" s="25">
        <v>68.0</v>
      </c>
      <c r="D607" s="25">
        <v>20.0</v>
      </c>
      <c r="E607" s="25">
        <v>4.0</v>
      </c>
      <c r="F607" s="25">
        <v>4.0</v>
      </c>
      <c r="G607" s="27" t="s">
        <v>25</v>
      </c>
    </row>
    <row r="608" ht="22.5" customHeight="1">
      <c r="A608" s="25">
        <v>1904.0</v>
      </c>
      <c r="B608" s="26">
        <v>45392.0</v>
      </c>
      <c r="C608" s="25">
        <v>231.0</v>
      </c>
      <c r="D608" s="25">
        <v>12.0</v>
      </c>
      <c r="E608" s="25">
        <v>4.0</v>
      </c>
      <c r="F608" s="25">
        <v>4.0</v>
      </c>
      <c r="G608" s="27" t="s">
        <v>24</v>
      </c>
    </row>
    <row r="609" ht="22.5" customHeight="1">
      <c r="A609" s="25">
        <v>2490.0</v>
      </c>
      <c r="B609" s="26">
        <v>45392.0</v>
      </c>
      <c r="C609" s="25">
        <v>162.0</v>
      </c>
      <c r="D609" s="25">
        <v>26.0</v>
      </c>
      <c r="E609" s="25">
        <v>3.0</v>
      </c>
      <c r="F609" s="25">
        <v>5.0</v>
      </c>
      <c r="G609" s="27" t="s">
        <v>24</v>
      </c>
    </row>
    <row r="610" ht="22.5" customHeight="1">
      <c r="A610" s="25">
        <v>2758.0</v>
      </c>
      <c r="B610" s="26">
        <v>45392.0</v>
      </c>
      <c r="C610" s="25">
        <v>273.0</v>
      </c>
      <c r="D610" s="25">
        <v>23.0</v>
      </c>
      <c r="E610" s="25">
        <v>2.0</v>
      </c>
      <c r="F610" s="25">
        <v>4.0</v>
      </c>
      <c r="G610" s="27" t="s">
        <v>24</v>
      </c>
    </row>
    <row r="611" ht="22.5" customHeight="1">
      <c r="A611" s="25">
        <v>2785.0</v>
      </c>
      <c r="B611" s="26">
        <v>45392.0</v>
      </c>
      <c r="C611" s="25">
        <v>191.0</v>
      </c>
      <c r="D611" s="25">
        <v>17.0</v>
      </c>
      <c r="E611" s="25">
        <v>6.0</v>
      </c>
      <c r="F611" s="25">
        <v>5.0</v>
      </c>
      <c r="G611" s="27" t="s">
        <v>24</v>
      </c>
    </row>
    <row r="612" ht="22.5" customHeight="1">
      <c r="A612" s="25">
        <v>354.0</v>
      </c>
      <c r="B612" s="26">
        <v>45393.0</v>
      </c>
      <c r="C612" s="25">
        <v>195.0</v>
      </c>
      <c r="D612" s="25">
        <v>29.0</v>
      </c>
      <c r="E612" s="25">
        <v>6.0</v>
      </c>
      <c r="F612" s="25">
        <v>1.0</v>
      </c>
      <c r="G612" s="27" t="s">
        <v>24</v>
      </c>
    </row>
    <row r="613" ht="22.5" customHeight="1">
      <c r="A613" s="25">
        <v>677.0</v>
      </c>
      <c r="B613" s="26">
        <v>45393.0</v>
      </c>
      <c r="C613" s="25">
        <v>291.0</v>
      </c>
      <c r="D613" s="25">
        <v>10.0</v>
      </c>
      <c r="E613" s="25">
        <v>3.0</v>
      </c>
      <c r="F613" s="25">
        <v>5.0</v>
      </c>
      <c r="G613" s="27" t="s">
        <v>24</v>
      </c>
    </row>
    <row r="614" ht="22.5" customHeight="1">
      <c r="A614" s="25">
        <v>873.0</v>
      </c>
      <c r="B614" s="26">
        <v>45393.0</v>
      </c>
      <c r="C614" s="25">
        <v>72.0</v>
      </c>
      <c r="D614" s="25">
        <v>26.0</v>
      </c>
      <c r="E614" s="25">
        <v>1.0</v>
      </c>
      <c r="F614" s="25">
        <v>4.0</v>
      </c>
      <c r="G614" s="27" t="s">
        <v>24</v>
      </c>
    </row>
    <row r="615" ht="22.5" customHeight="1">
      <c r="A615" s="25">
        <v>1110.0</v>
      </c>
      <c r="B615" s="26">
        <v>45393.0</v>
      </c>
      <c r="C615" s="25">
        <v>284.0</v>
      </c>
      <c r="D615" s="25">
        <v>12.0</v>
      </c>
      <c r="E615" s="25">
        <v>2.0</v>
      </c>
      <c r="F615" s="25">
        <v>4.0</v>
      </c>
      <c r="G615" s="27" t="s">
        <v>24</v>
      </c>
    </row>
    <row r="616" ht="22.5" customHeight="1">
      <c r="A616" s="25">
        <v>2469.0</v>
      </c>
      <c r="B616" s="26">
        <v>45393.0</v>
      </c>
      <c r="C616" s="25">
        <v>79.0</v>
      </c>
      <c r="D616" s="25">
        <v>36.0</v>
      </c>
      <c r="E616" s="25">
        <v>4.0</v>
      </c>
      <c r="F616" s="25">
        <v>5.0</v>
      </c>
      <c r="G616" s="27" t="s">
        <v>25</v>
      </c>
    </row>
    <row r="617" ht="22.5" customHeight="1">
      <c r="A617" s="25">
        <v>2561.0</v>
      </c>
      <c r="B617" s="26">
        <v>45393.0</v>
      </c>
      <c r="C617" s="25">
        <v>133.0</v>
      </c>
      <c r="D617" s="25">
        <v>19.0</v>
      </c>
      <c r="E617" s="25">
        <v>3.0</v>
      </c>
      <c r="F617" s="25">
        <v>1.0</v>
      </c>
      <c r="G617" s="27" t="s">
        <v>24</v>
      </c>
    </row>
    <row r="618" ht="22.5" customHeight="1">
      <c r="A618" s="25">
        <v>379.0</v>
      </c>
      <c r="B618" s="26">
        <v>45394.0</v>
      </c>
      <c r="C618" s="25">
        <v>67.0</v>
      </c>
      <c r="D618" s="25">
        <v>2.0</v>
      </c>
      <c r="E618" s="25">
        <v>4.0</v>
      </c>
      <c r="F618" s="25">
        <v>1.0</v>
      </c>
      <c r="G618" s="27" t="s">
        <v>24</v>
      </c>
    </row>
    <row r="619" ht="22.5" customHeight="1">
      <c r="A619" s="25">
        <v>831.0</v>
      </c>
      <c r="B619" s="26">
        <v>45394.0</v>
      </c>
      <c r="C619" s="25">
        <v>94.0</v>
      </c>
      <c r="D619" s="25">
        <v>19.0</v>
      </c>
      <c r="E619" s="25">
        <v>4.0</v>
      </c>
      <c r="F619" s="25">
        <v>3.0</v>
      </c>
      <c r="G619" s="27" t="s">
        <v>25</v>
      </c>
    </row>
    <row r="620" ht="22.5" customHeight="1">
      <c r="A620" s="25">
        <v>1143.0</v>
      </c>
      <c r="B620" s="26">
        <v>45394.0</v>
      </c>
      <c r="C620" s="25">
        <v>266.0</v>
      </c>
      <c r="D620" s="25">
        <v>20.0</v>
      </c>
      <c r="E620" s="25">
        <v>2.0</v>
      </c>
      <c r="F620" s="25">
        <v>5.0</v>
      </c>
      <c r="G620" s="27" t="s">
        <v>24</v>
      </c>
    </row>
    <row r="621" ht="22.5" customHeight="1">
      <c r="A621" s="25">
        <v>1149.0</v>
      </c>
      <c r="B621" s="26">
        <v>45394.0</v>
      </c>
      <c r="C621" s="25">
        <v>272.0</v>
      </c>
      <c r="D621" s="25">
        <v>24.0</v>
      </c>
      <c r="E621" s="25">
        <v>5.0</v>
      </c>
      <c r="F621" s="25">
        <v>5.0</v>
      </c>
      <c r="G621" s="27" t="s">
        <v>24</v>
      </c>
    </row>
    <row r="622" ht="22.5" customHeight="1">
      <c r="A622" s="25">
        <v>1157.0</v>
      </c>
      <c r="B622" s="26">
        <v>45394.0</v>
      </c>
      <c r="C622" s="25">
        <v>90.0</v>
      </c>
      <c r="D622" s="25">
        <v>11.0</v>
      </c>
      <c r="E622" s="25">
        <v>4.0</v>
      </c>
      <c r="F622" s="25">
        <v>3.0</v>
      </c>
      <c r="G622" s="27" t="s">
        <v>24</v>
      </c>
    </row>
    <row r="623" ht="22.5" customHeight="1">
      <c r="A623" s="25">
        <v>1299.0</v>
      </c>
      <c r="B623" s="26">
        <v>45394.0</v>
      </c>
      <c r="C623" s="25">
        <v>223.0</v>
      </c>
      <c r="D623" s="25">
        <v>16.0</v>
      </c>
      <c r="E623" s="25">
        <v>3.0</v>
      </c>
      <c r="F623" s="25">
        <v>3.0</v>
      </c>
      <c r="G623" s="27" t="s">
        <v>24</v>
      </c>
    </row>
    <row r="624" ht="22.5" customHeight="1">
      <c r="A624" s="25">
        <v>1647.0</v>
      </c>
      <c r="B624" s="26">
        <v>45394.0</v>
      </c>
      <c r="C624" s="25">
        <v>74.0</v>
      </c>
      <c r="D624" s="25">
        <v>9.0</v>
      </c>
      <c r="E624" s="25">
        <v>4.0</v>
      </c>
      <c r="F624" s="25">
        <v>4.0</v>
      </c>
      <c r="G624" s="27" t="s">
        <v>24</v>
      </c>
    </row>
    <row r="625" ht="22.5" customHeight="1">
      <c r="A625" s="25">
        <v>1698.0</v>
      </c>
      <c r="B625" s="26">
        <v>45394.0</v>
      </c>
      <c r="C625" s="25">
        <v>272.0</v>
      </c>
      <c r="D625" s="25">
        <v>3.0</v>
      </c>
      <c r="E625" s="25">
        <v>5.0</v>
      </c>
      <c r="F625" s="25">
        <v>5.0</v>
      </c>
      <c r="G625" s="27" t="s">
        <v>24</v>
      </c>
    </row>
    <row r="626" ht="22.5" customHeight="1">
      <c r="A626" s="25">
        <v>1915.0</v>
      </c>
      <c r="B626" s="26">
        <v>45394.0</v>
      </c>
      <c r="C626" s="25">
        <v>21.0</v>
      </c>
      <c r="D626" s="25">
        <v>27.0</v>
      </c>
      <c r="E626" s="25">
        <v>4.0</v>
      </c>
      <c r="F626" s="25">
        <v>4.0</v>
      </c>
      <c r="G626" s="27" t="s">
        <v>24</v>
      </c>
    </row>
    <row r="627" ht="22.5" customHeight="1">
      <c r="A627" s="25">
        <v>2137.0</v>
      </c>
      <c r="B627" s="26">
        <v>45394.0</v>
      </c>
      <c r="C627" s="25">
        <v>202.0</v>
      </c>
      <c r="D627" s="25">
        <v>5.0</v>
      </c>
      <c r="E627" s="25">
        <v>1.0</v>
      </c>
      <c r="F627" s="25">
        <v>4.0</v>
      </c>
      <c r="G627" s="27" t="s">
        <v>24</v>
      </c>
    </row>
    <row r="628" ht="22.5" customHeight="1">
      <c r="A628" s="25">
        <v>2229.0</v>
      </c>
      <c r="B628" s="26">
        <v>45394.0</v>
      </c>
      <c r="C628" s="25">
        <v>312.0</v>
      </c>
      <c r="D628" s="25">
        <v>27.0</v>
      </c>
      <c r="E628" s="25">
        <v>2.0</v>
      </c>
      <c r="F628" s="25">
        <v>1.0</v>
      </c>
      <c r="G628" s="27" t="s">
        <v>24</v>
      </c>
    </row>
    <row r="629" ht="22.5" customHeight="1">
      <c r="A629" s="25">
        <v>2306.0</v>
      </c>
      <c r="B629" s="26">
        <v>45394.0</v>
      </c>
      <c r="C629" s="25">
        <v>242.0</v>
      </c>
      <c r="D629" s="25">
        <v>2.0</v>
      </c>
      <c r="E629" s="25">
        <v>6.0</v>
      </c>
      <c r="F629" s="25">
        <v>3.0</v>
      </c>
      <c r="G629" s="27" t="s">
        <v>24</v>
      </c>
    </row>
    <row r="630" ht="22.5" customHeight="1">
      <c r="A630" s="25">
        <v>2497.0</v>
      </c>
      <c r="B630" s="26">
        <v>45394.0</v>
      </c>
      <c r="C630" s="25">
        <v>105.0</v>
      </c>
      <c r="D630" s="25">
        <v>26.0</v>
      </c>
      <c r="E630" s="25">
        <v>5.0</v>
      </c>
      <c r="F630" s="25">
        <v>4.0</v>
      </c>
      <c r="G630" s="27" t="s">
        <v>24</v>
      </c>
    </row>
    <row r="631" ht="22.5" customHeight="1">
      <c r="A631" s="25">
        <v>2581.0</v>
      </c>
      <c r="B631" s="26">
        <v>45394.0</v>
      </c>
      <c r="C631" s="25">
        <v>260.0</v>
      </c>
      <c r="D631" s="25">
        <v>26.0</v>
      </c>
      <c r="E631" s="25">
        <v>2.0</v>
      </c>
      <c r="F631" s="25">
        <v>4.0</v>
      </c>
      <c r="G631" s="27" t="s">
        <v>24</v>
      </c>
    </row>
    <row r="632" ht="22.5" customHeight="1">
      <c r="A632" s="25">
        <v>328.0</v>
      </c>
      <c r="B632" s="26">
        <v>45395.0</v>
      </c>
      <c r="C632" s="25">
        <v>167.0</v>
      </c>
      <c r="D632" s="25">
        <v>23.0</v>
      </c>
      <c r="E632" s="25">
        <v>3.0</v>
      </c>
      <c r="F632" s="25">
        <v>3.0</v>
      </c>
      <c r="G632" s="27" t="s">
        <v>25</v>
      </c>
    </row>
    <row r="633" ht="22.5" customHeight="1">
      <c r="A633" s="25">
        <v>788.0</v>
      </c>
      <c r="B633" s="26">
        <v>45395.0</v>
      </c>
      <c r="C633" s="25">
        <v>52.0</v>
      </c>
      <c r="D633" s="25">
        <v>33.0</v>
      </c>
      <c r="E633" s="25">
        <v>1.0</v>
      </c>
      <c r="F633" s="25">
        <v>2.0</v>
      </c>
      <c r="G633" s="27" t="s">
        <v>24</v>
      </c>
    </row>
    <row r="634" ht="22.5" customHeight="1">
      <c r="A634" s="25">
        <v>1574.0</v>
      </c>
      <c r="B634" s="26">
        <v>45395.0</v>
      </c>
      <c r="C634" s="25">
        <v>204.0</v>
      </c>
      <c r="D634" s="25">
        <v>20.0</v>
      </c>
      <c r="E634" s="25">
        <v>5.0</v>
      </c>
      <c r="F634" s="25">
        <v>4.0</v>
      </c>
      <c r="G634" s="27" t="s">
        <v>24</v>
      </c>
    </row>
    <row r="635" ht="22.5" customHeight="1">
      <c r="A635" s="25">
        <v>1899.0</v>
      </c>
      <c r="B635" s="26">
        <v>45395.0</v>
      </c>
      <c r="C635" s="25">
        <v>176.0</v>
      </c>
      <c r="D635" s="25">
        <v>22.0</v>
      </c>
      <c r="E635" s="25">
        <v>2.0</v>
      </c>
      <c r="F635" s="25">
        <v>5.0</v>
      </c>
      <c r="G635" s="27" t="s">
        <v>24</v>
      </c>
    </row>
    <row r="636" ht="22.5" customHeight="1">
      <c r="A636" s="25">
        <v>2138.0</v>
      </c>
      <c r="B636" s="26">
        <v>45395.0</v>
      </c>
      <c r="C636" s="25">
        <v>281.0</v>
      </c>
      <c r="D636" s="25">
        <v>7.0</v>
      </c>
      <c r="E636" s="25">
        <v>5.0</v>
      </c>
      <c r="F636" s="25">
        <v>2.0</v>
      </c>
      <c r="G636" s="27" t="s">
        <v>24</v>
      </c>
    </row>
    <row r="637" ht="22.5" customHeight="1">
      <c r="A637" s="25">
        <v>2159.0</v>
      </c>
      <c r="B637" s="26">
        <v>45395.0</v>
      </c>
      <c r="C637" s="25">
        <v>288.0</v>
      </c>
      <c r="D637" s="25">
        <v>19.0</v>
      </c>
      <c r="E637" s="25">
        <v>3.0</v>
      </c>
      <c r="F637" s="25">
        <v>1.0</v>
      </c>
      <c r="G637" s="27" t="s">
        <v>24</v>
      </c>
    </row>
    <row r="638" ht="22.5" customHeight="1">
      <c r="A638" s="25">
        <v>2395.0</v>
      </c>
      <c r="B638" s="26">
        <v>45395.0</v>
      </c>
      <c r="C638" s="25">
        <v>248.0</v>
      </c>
      <c r="D638" s="25">
        <v>12.0</v>
      </c>
      <c r="E638" s="25">
        <v>5.0</v>
      </c>
      <c r="F638" s="25">
        <v>3.0</v>
      </c>
      <c r="G638" s="27" t="s">
        <v>24</v>
      </c>
    </row>
    <row r="639" ht="22.5" customHeight="1">
      <c r="A639" s="25">
        <v>2403.0</v>
      </c>
      <c r="B639" s="26">
        <v>45395.0</v>
      </c>
      <c r="C639" s="25">
        <v>15.0</v>
      </c>
      <c r="D639" s="25">
        <v>8.0</v>
      </c>
      <c r="E639" s="25">
        <v>2.0</v>
      </c>
      <c r="F639" s="25">
        <v>4.0</v>
      </c>
      <c r="G639" s="27" t="s">
        <v>24</v>
      </c>
    </row>
    <row r="640" ht="22.5" customHeight="1">
      <c r="A640" s="25">
        <v>2458.0</v>
      </c>
      <c r="B640" s="26">
        <v>45395.0</v>
      </c>
      <c r="C640" s="25">
        <v>105.0</v>
      </c>
      <c r="D640" s="25">
        <v>24.0</v>
      </c>
      <c r="E640" s="25">
        <v>1.0</v>
      </c>
      <c r="F640" s="25">
        <v>4.0</v>
      </c>
      <c r="G640" s="27" t="s">
        <v>25</v>
      </c>
    </row>
    <row r="641" ht="22.5" customHeight="1">
      <c r="A641" s="25">
        <v>248.0</v>
      </c>
      <c r="B641" s="26">
        <v>45396.0</v>
      </c>
      <c r="C641" s="25">
        <v>132.0</v>
      </c>
      <c r="D641" s="25">
        <v>3.0</v>
      </c>
      <c r="E641" s="25">
        <v>5.0</v>
      </c>
      <c r="F641" s="25">
        <v>5.0</v>
      </c>
      <c r="G641" s="27" t="s">
        <v>25</v>
      </c>
    </row>
    <row r="642" ht="22.5" customHeight="1">
      <c r="A642" s="25">
        <v>340.0</v>
      </c>
      <c r="B642" s="26">
        <v>45396.0</v>
      </c>
      <c r="C642" s="25">
        <v>271.0</v>
      </c>
      <c r="D642" s="25">
        <v>19.0</v>
      </c>
      <c r="E642" s="25">
        <v>2.0</v>
      </c>
      <c r="F642" s="25">
        <v>3.0</v>
      </c>
      <c r="G642" s="27" t="s">
        <v>25</v>
      </c>
    </row>
    <row r="643" ht="22.5" customHeight="1">
      <c r="A643" s="25">
        <v>371.0</v>
      </c>
      <c r="B643" s="26">
        <v>45396.0</v>
      </c>
      <c r="C643" s="25">
        <v>105.0</v>
      </c>
      <c r="D643" s="25">
        <v>5.0</v>
      </c>
      <c r="E643" s="25">
        <v>2.0</v>
      </c>
      <c r="F643" s="25">
        <v>4.0</v>
      </c>
      <c r="G643" s="27" t="s">
        <v>24</v>
      </c>
    </row>
    <row r="644" ht="22.5" customHeight="1">
      <c r="A644" s="25">
        <v>708.0</v>
      </c>
      <c r="B644" s="26">
        <v>45396.0</v>
      </c>
      <c r="C644" s="25">
        <v>164.0</v>
      </c>
      <c r="D644" s="25">
        <v>17.0</v>
      </c>
      <c r="E644" s="25">
        <v>3.0</v>
      </c>
      <c r="F644" s="25">
        <v>1.0</v>
      </c>
      <c r="G644" s="27" t="s">
        <v>24</v>
      </c>
    </row>
    <row r="645" ht="22.5" customHeight="1">
      <c r="A645" s="25">
        <v>864.0</v>
      </c>
      <c r="B645" s="26">
        <v>45396.0</v>
      </c>
      <c r="C645" s="25">
        <v>190.0</v>
      </c>
      <c r="D645" s="25">
        <v>21.0</v>
      </c>
      <c r="E645" s="25">
        <v>5.0</v>
      </c>
      <c r="F645" s="25">
        <v>4.0</v>
      </c>
      <c r="G645" s="27" t="s">
        <v>24</v>
      </c>
    </row>
    <row r="646" ht="22.5" customHeight="1">
      <c r="A646" s="25">
        <v>1868.0</v>
      </c>
      <c r="B646" s="26">
        <v>45396.0</v>
      </c>
      <c r="C646" s="25">
        <v>234.0</v>
      </c>
      <c r="D646" s="25">
        <v>19.0</v>
      </c>
      <c r="E646" s="25">
        <v>6.0</v>
      </c>
      <c r="F646" s="25">
        <v>1.0</v>
      </c>
      <c r="G646" s="27" t="s">
        <v>25</v>
      </c>
    </row>
    <row r="647" ht="22.5" customHeight="1">
      <c r="A647" s="25">
        <v>1922.0</v>
      </c>
      <c r="B647" s="26">
        <v>45396.0</v>
      </c>
      <c r="C647" s="25">
        <v>269.0</v>
      </c>
      <c r="D647" s="25">
        <v>31.0</v>
      </c>
      <c r="E647" s="25">
        <v>1.0</v>
      </c>
      <c r="F647" s="25">
        <v>5.0</v>
      </c>
      <c r="G647" s="27" t="s">
        <v>25</v>
      </c>
    </row>
    <row r="648" ht="22.5" customHeight="1">
      <c r="A648" s="25">
        <v>2051.0</v>
      </c>
      <c r="B648" s="26">
        <v>45396.0</v>
      </c>
      <c r="C648" s="25">
        <v>165.0</v>
      </c>
      <c r="D648" s="25">
        <v>30.0</v>
      </c>
      <c r="E648" s="25">
        <v>2.0</v>
      </c>
      <c r="F648" s="25">
        <v>5.0</v>
      </c>
      <c r="G648" s="27" t="s">
        <v>24</v>
      </c>
    </row>
    <row r="649" ht="22.5" customHeight="1">
      <c r="A649" s="25">
        <v>2838.0</v>
      </c>
      <c r="B649" s="26">
        <v>45396.0</v>
      </c>
      <c r="C649" s="25">
        <v>41.0</v>
      </c>
      <c r="D649" s="25">
        <v>28.0</v>
      </c>
      <c r="E649" s="25">
        <v>2.0</v>
      </c>
      <c r="F649" s="25">
        <v>3.0</v>
      </c>
      <c r="G649" s="27" t="s">
        <v>24</v>
      </c>
    </row>
    <row r="650" ht="22.5" customHeight="1">
      <c r="A650" s="25">
        <v>15.0</v>
      </c>
      <c r="B650" s="26">
        <v>45397.0</v>
      </c>
      <c r="C650" s="25">
        <v>219.0</v>
      </c>
      <c r="D650" s="25">
        <v>34.0</v>
      </c>
      <c r="E650" s="25">
        <v>4.0</v>
      </c>
      <c r="F650" s="25">
        <v>3.0</v>
      </c>
      <c r="G650" s="27" t="s">
        <v>24</v>
      </c>
    </row>
    <row r="651" ht="22.5" customHeight="1">
      <c r="A651" s="25">
        <v>82.0</v>
      </c>
      <c r="B651" s="26">
        <v>45397.0</v>
      </c>
      <c r="C651" s="25">
        <v>246.0</v>
      </c>
      <c r="D651" s="25">
        <v>27.0</v>
      </c>
      <c r="E651" s="25">
        <v>3.0</v>
      </c>
      <c r="F651" s="25">
        <v>4.0</v>
      </c>
      <c r="G651" s="27" t="s">
        <v>24</v>
      </c>
    </row>
    <row r="652" ht="22.5" customHeight="1">
      <c r="A652" s="25">
        <v>194.0</v>
      </c>
      <c r="B652" s="26">
        <v>45397.0</v>
      </c>
      <c r="C652" s="25">
        <v>45.0</v>
      </c>
      <c r="D652" s="25">
        <v>32.0</v>
      </c>
      <c r="E652" s="25">
        <v>5.0</v>
      </c>
      <c r="F652" s="25">
        <v>5.0</v>
      </c>
      <c r="G652" s="27" t="s">
        <v>25</v>
      </c>
    </row>
    <row r="653" ht="22.5" customHeight="1">
      <c r="A653" s="25">
        <v>361.0</v>
      </c>
      <c r="B653" s="26">
        <v>45397.0</v>
      </c>
      <c r="C653" s="25">
        <v>226.0</v>
      </c>
      <c r="D653" s="25">
        <v>20.0</v>
      </c>
      <c r="E653" s="25">
        <v>6.0</v>
      </c>
      <c r="F653" s="25">
        <v>5.0</v>
      </c>
      <c r="G653" s="27" t="s">
        <v>24</v>
      </c>
    </row>
    <row r="654" ht="22.5" customHeight="1">
      <c r="A654" s="25">
        <v>431.0</v>
      </c>
      <c r="B654" s="26">
        <v>45397.0</v>
      </c>
      <c r="C654" s="25">
        <v>231.0</v>
      </c>
      <c r="D654" s="25">
        <v>33.0</v>
      </c>
      <c r="E654" s="25">
        <v>1.0</v>
      </c>
      <c r="F654" s="25">
        <v>2.0</v>
      </c>
      <c r="G654" s="27" t="s">
        <v>24</v>
      </c>
    </row>
    <row r="655" ht="22.5" customHeight="1">
      <c r="A655" s="25">
        <v>651.0</v>
      </c>
      <c r="B655" s="26">
        <v>45397.0</v>
      </c>
      <c r="C655" s="25">
        <v>150.0</v>
      </c>
      <c r="D655" s="25">
        <v>8.0</v>
      </c>
      <c r="E655" s="25">
        <v>6.0</v>
      </c>
      <c r="F655" s="25">
        <v>3.0</v>
      </c>
      <c r="G655" s="27" t="s">
        <v>24</v>
      </c>
    </row>
    <row r="656" ht="22.5" customHeight="1">
      <c r="A656" s="25">
        <v>1001.0</v>
      </c>
      <c r="B656" s="26">
        <v>45397.0</v>
      </c>
      <c r="C656" s="25">
        <v>325.0</v>
      </c>
      <c r="D656" s="25">
        <v>4.0</v>
      </c>
      <c r="E656" s="25">
        <v>4.0</v>
      </c>
      <c r="F656" s="25">
        <v>4.0</v>
      </c>
      <c r="G656" s="27" t="s">
        <v>24</v>
      </c>
    </row>
    <row r="657" ht="22.5" customHeight="1">
      <c r="A657" s="25">
        <v>1286.0</v>
      </c>
      <c r="B657" s="26">
        <v>45397.0</v>
      </c>
      <c r="C657" s="25">
        <v>110.0</v>
      </c>
      <c r="D657" s="25">
        <v>21.0</v>
      </c>
      <c r="E657" s="25">
        <v>5.0</v>
      </c>
      <c r="F657" s="25">
        <v>5.0</v>
      </c>
      <c r="G657" s="27" t="s">
        <v>25</v>
      </c>
    </row>
    <row r="658" ht="22.5" customHeight="1">
      <c r="A658" s="25">
        <v>1498.0</v>
      </c>
      <c r="B658" s="26">
        <v>45397.0</v>
      </c>
      <c r="C658" s="25">
        <v>216.0</v>
      </c>
      <c r="D658" s="25">
        <v>37.0</v>
      </c>
      <c r="E658" s="25">
        <v>4.0</v>
      </c>
      <c r="F658" s="25">
        <v>3.0</v>
      </c>
      <c r="G658" s="27" t="s">
        <v>24</v>
      </c>
    </row>
    <row r="659" ht="22.5" customHeight="1">
      <c r="A659" s="25">
        <v>2949.0</v>
      </c>
      <c r="B659" s="26">
        <v>45397.0</v>
      </c>
      <c r="C659" s="25">
        <v>24.0</v>
      </c>
      <c r="D659" s="25">
        <v>28.0</v>
      </c>
      <c r="E659" s="25">
        <v>6.0</v>
      </c>
      <c r="F659" s="25">
        <v>4.0</v>
      </c>
      <c r="G659" s="27" t="s">
        <v>24</v>
      </c>
    </row>
    <row r="660" ht="22.5" customHeight="1">
      <c r="A660" s="25">
        <v>399.0</v>
      </c>
      <c r="B660" s="26">
        <v>45398.0</v>
      </c>
      <c r="C660" s="25">
        <v>115.0</v>
      </c>
      <c r="D660" s="25">
        <v>38.0</v>
      </c>
      <c r="E660" s="25">
        <v>4.0</v>
      </c>
      <c r="F660" s="25">
        <v>4.0</v>
      </c>
      <c r="G660" s="27" t="s">
        <v>24</v>
      </c>
    </row>
    <row r="661" ht="22.5" customHeight="1">
      <c r="A661" s="25">
        <v>807.0</v>
      </c>
      <c r="B661" s="26">
        <v>45398.0</v>
      </c>
      <c r="C661" s="25">
        <v>181.0</v>
      </c>
      <c r="D661" s="25">
        <v>1.0</v>
      </c>
      <c r="E661" s="25">
        <v>5.0</v>
      </c>
      <c r="F661" s="25">
        <v>3.0</v>
      </c>
      <c r="G661" s="27" t="s">
        <v>24</v>
      </c>
    </row>
    <row r="662" ht="22.5" customHeight="1">
      <c r="A662" s="25">
        <v>976.0</v>
      </c>
      <c r="B662" s="26">
        <v>45398.0</v>
      </c>
      <c r="C662" s="25">
        <v>110.0</v>
      </c>
      <c r="D662" s="25">
        <v>31.0</v>
      </c>
      <c r="E662" s="25">
        <v>2.0</v>
      </c>
      <c r="F662" s="25">
        <v>4.0</v>
      </c>
      <c r="G662" s="27" t="s">
        <v>24</v>
      </c>
    </row>
    <row r="663" ht="22.5" customHeight="1">
      <c r="A663" s="25">
        <v>1258.0</v>
      </c>
      <c r="B663" s="26">
        <v>45398.0</v>
      </c>
      <c r="C663" s="25">
        <v>48.0</v>
      </c>
      <c r="D663" s="25">
        <v>28.0</v>
      </c>
      <c r="E663" s="25">
        <v>4.0</v>
      </c>
      <c r="F663" s="25">
        <v>1.0</v>
      </c>
      <c r="G663" s="27" t="s">
        <v>24</v>
      </c>
    </row>
    <row r="664" ht="22.5" customHeight="1">
      <c r="A664" s="25">
        <v>1307.0</v>
      </c>
      <c r="B664" s="26">
        <v>45398.0</v>
      </c>
      <c r="C664" s="25">
        <v>46.0</v>
      </c>
      <c r="D664" s="25">
        <v>1.0</v>
      </c>
      <c r="E664" s="25">
        <v>3.0</v>
      </c>
      <c r="F664" s="25">
        <v>5.0</v>
      </c>
      <c r="G664" s="27" t="s">
        <v>24</v>
      </c>
    </row>
    <row r="665" ht="22.5" customHeight="1">
      <c r="A665" s="25">
        <v>1319.0</v>
      </c>
      <c r="B665" s="26">
        <v>45398.0</v>
      </c>
      <c r="C665" s="25">
        <v>28.0</v>
      </c>
      <c r="D665" s="25">
        <v>3.0</v>
      </c>
      <c r="E665" s="25">
        <v>1.0</v>
      </c>
      <c r="F665" s="25">
        <v>4.0</v>
      </c>
      <c r="G665" s="27" t="s">
        <v>24</v>
      </c>
    </row>
    <row r="666" ht="22.5" customHeight="1">
      <c r="A666" s="25">
        <v>1717.0</v>
      </c>
      <c r="B666" s="26">
        <v>45398.0</v>
      </c>
      <c r="C666" s="25">
        <v>171.0</v>
      </c>
      <c r="D666" s="25">
        <v>33.0</v>
      </c>
      <c r="E666" s="25">
        <v>5.0</v>
      </c>
      <c r="F666" s="25">
        <v>5.0</v>
      </c>
      <c r="G666" s="27" t="s">
        <v>24</v>
      </c>
    </row>
    <row r="667" ht="22.5" customHeight="1">
      <c r="A667" s="25">
        <v>2162.0</v>
      </c>
      <c r="B667" s="26">
        <v>45398.0</v>
      </c>
      <c r="C667" s="25">
        <v>304.0</v>
      </c>
      <c r="D667" s="25">
        <v>28.0</v>
      </c>
      <c r="E667" s="25">
        <v>4.0</v>
      </c>
      <c r="F667" s="25">
        <v>4.0</v>
      </c>
      <c r="G667" s="27" t="s">
        <v>25</v>
      </c>
    </row>
    <row r="668" ht="22.5" customHeight="1">
      <c r="A668" s="25">
        <v>2407.0</v>
      </c>
      <c r="B668" s="26">
        <v>45398.0</v>
      </c>
      <c r="C668" s="25">
        <v>209.0</v>
      </c>
      <c r="D668" s="25">
        <v>34.0</v>
      </c>
      <c r="E668" s="25">
        <v>5.0</v>
      </c>
      <c r="F668" s="25">
        <v>3.0</v>
      </c>
      <c r="G668" s="27" t="s">
        <v>24</v>
      </c>
    </row>
    <row r="669" ht="22.5" customHeight="1">
      <c r="A669" s="25">
        <v>547.0</v>
      </c>
      <c r="B669" s="26">
        <v>45399.0</v>
      </c>
      <c r="C669" s="25">
        <v>69.0</v>
      </c>
      <c r="D669" s="25">
        <v>22.0</v>
      </c>
      <c r="E669" s="25">
        <v>2.0</v>
      </c>
      <c r="F669" s="25">
        <v>4.0</v>
      </c>
      <c r="G669" s="27" t="s">
        <v>25</v>
      </c>
    </row>
    <row r="670" ht="22.5" customHeight="1">
      <c r="A670" s="25">
        <v>1177.0</v>
      </c>
      <c r="B670" s="26">
        <v>45399.0</v>
      </c>
      <c r="C670" s="25">
        <v>192.0</v>
      </c>
      <c r="D670" s="25">
        <v>22.0</v>
      </c>
      <c r="E670" s="25">
        <v>1.0</v>
      </c>
      <c r="F670" s="25">
        <v>4.0</v>
      </c>
      <c r="G670" s="27" t="s">
        <v>24</v>
      </c>
    </row>
    <row r="671" ht="22.5" customHeight="1">
      <c r="A671" s="25">
        <v>2368.0</v>
      </c>
      <c r="B671" s="26">
        <v>45399.0</v>
      </c>
      <c r="C671" s="25">
        <v>245.0</v>
      </c>
      <c r="D671" s="25">
        <v>33.0</v>
      </c>
      <c r="E671" s="25">
        <v>1.0</v>
      </c>
      <c r="F671" s="25">
        <v>4.0</v>
      </c>
      <c r="G671" s="27" t="s">
        <v>24</v>
      </c>
    </row>
    <row r="672" ht="22.5" customHeight="1">
      <c r="A672" s="25">
        <v>2962.0</v>
      </c>
      <c r="B672" s="26">
        <v>45399.0</v>
      </c>
      <c r="C672" s="25">
        <v>314.0</v>
      </c>
      <c r="D672" s="25">
        <v>2.0</v>
      </c>
      <c r="E672" s="25">
        <v>6.0</v>
      </c>
      <c r="F672" s="25">
        <v>3.0</v>
      </c>
      <c r="G672" s="27" t="s">
        <v>25</v>
      </c>
    </row>
    <row r="673" ht="22.5" customHeight="1">
      <c r="A673" s="25">
        <v>421.0</v>
      </c>
      <c r="B673" s="26">
        <v>45400.0</v>
      </c>
      <c r="C673" s="25">
        <v>86.0</v>
      </c>
      <c r="D673" s="25">
        <v>28.0</v>
      </c>
      <c r="E673" s="25">
        <v>3.0</v>
      </c>
      <c r="F673" s="25">
        <v>4.0</v>
      </c>
      <c r="G673" s="27" t="s">
        <v>25</v>
      </c>
    </row>
    <row r="674" ht="22.5" customHeight="1">
      <c r="A674" s="25">
        <v>1107.0</v>
      </c>
      <c r="B674" s="26">
        <v>45400.0</v>
      </c>
      <c r="C674" s="25">
        <v>223.0</v>
      </c>
      <c r="D674" s="25">
        <v>18.0</v>
      </c>
      <c r="E674" s="25">
        <v>4.0</v>
      </c>
      <c r="F674" s="25">
        <v>4.0</v>
      </c>
      <c r="G674" s="27" t="s">
        <v>25</v>
      </c>
    </row>
    <row r="675" ht="22.5" customHeight="1">
      <c r="A675" s="25">
        <v>1282.0</v>
      </c>
      <c r="B675" s="26">
        <v>45400.0</v>
      </c>
      <c r="C675" s="25">
        <v>280.0</v>
      </c>
      <c r="D675" s="25">
        <v>31.0</v>
      </c>
      <c r="E675" s="25">
        <v>1.0</v>
      </c>
      <c r="F675" s="25">
        <v>2.0</v>
      </c>
      <c r="G675" s="27" t="s">
        <v>24</v>
      </c>
    </row>
    <row r="676" ht="22.5" customHeight="1">
      <c r="A676" s="25">
        <v>1325.0</v>
      </c>
      <c r="B676" s="26">
        <v>45400.0</v>
      </c>
      <c r="C676" s="25">
        <v>89.0</v>
      </c>
      <c r="D676" s="25">
        <v>24.0</v>
      </c>
      <c r="E676" s="25">
        <v>6.0</v>
      </c>
      <c r="F676" s="25">
        <v>1.0</v>
      </c>
      <c r="G676" s="27" t="s">
        <v>24</v>
      </c>
    </row>
    <row r="677" ht="22.5" customHeight="1">
      <c r="A677" s="25">
        <v>1379.0</v>
      </c>
      <c r="B677" s="26">
        <v>45400.0</v>
      </c>
      <c r="C677" s="25">
        <v>301.0</v>
      </c>
      <c r="D677" s="25">
        <v>18.0</v>
      </c>
      <c r="E677" s="25">
        <v>1.0</v>
      </c>
      <c r="F677" s="25">
        <v>3.0</v>
      </c>
      <c r="G677" s="27" t="s">
        <v>24</v>
      </c>
    </row>
    <row r="678" ht="22.5" customHeight="1">
      <c r="A678" s="25">
        <v>1951.0</v>
      </c>
      <c r="B678" s="26">
        <v>45400.0</v>
      </c>
      <c r="C678" s="25">
        <v>212.0</v>
      </c>
      <c r="D678" s="25">
        <v>8.0</v>
      </c>
      <c r="E678" s="25">
        <v>6.0</v>
      </c>
      <c r="F678" s="25">
        <v>1.0</v>
      </c>
      <c r="G678" s="27" t="s">
        <v>24</v>
      </c>
    </row>
    <row r="679" ht="22.5" customHeight="1">
      <c r="A679" s="25">
        <v>2632.0</v>
      </c>
      <c r="B679" s="26">
        <v>45400.0</v>
      </c>
      <c r="C679" s="25">
        <v>53.0</v>
      </c>
      <c r="D679" s="25">
        <v>31.0</v>
      </c>
      <c r="E679" s="25">
        <v>6.0</v>
      </c>
      <c r="F679" s="25">
        <v>3.0</v>
      </c>
      <c r="G679" s="27" t="s">
        <v>24</v>
      </c>
    </row>
    <row r="680" ht="22.5" customHeight="1">
      <c r="A680" s="25">
        <v>2661.0</v>
      </c>
      <c r="B680" s="26">
        <v>45400.0</v>
      </c>
      <c r="C680" s="25">
        <v>121.0</v>
      </c>
      <c r="D680" s="25">
        <v>29.0</v>
      </c>
      <c r="E680" s="25">
        <v>3.0</v>
      </c>
      <c r="F680" s="25">
        <v>2.0</v>
      </c>
      <c r="G680" s="27" t="s">
        <v>24</v>
      </c>
    </row>
    <row r="681" ht="22.5" customHeight="1">
      <c r="A681" s="25">
        <v>2777.0</v>
      </c>
      <c r="B681" s="26">
        <v>45400.0</v>
      </c>
      <c r="C681" s="25">
        <v>24.0</v>
      </c>
      <c r="D681" s="25">
        <v>28.0</v>
      </c>
      <c r="E681" s="25">
        <v>6.0</v>
      </c>
      <c r="F681" s="25">
        <v>4.0</v>
      </c>
      <c r="G681" s="27" t="s">
        <v>24</v>
      </c>
    </row>
    <row r="682" ht="22.5" customHeight="1">
      <c r="A682" s="25">
        <v>1320.0</v>
      </c>
      <c r="B682" s="26">
        <v>45401.0</v>
      </c>
      <c r="C682" s="25">
        <v>324.0</v>
      </c>
      <c r="D682" s="25">
        <v>22.0</v>
      </c>
      <c r="E682" s="25">
        <v>2.0</v>
      </c>
      <c r="F682" s="25">
        <v>4.0</v>
      </c>
      <c r="G682" s="27" t="s">
        <v>25</v>
      </c>
    </row>
    <row r="683" ht="22.5" customHeight="1">
      <c r="A683" s="25">
        <v>2081.0</v>
      </c>
      <c r="B683" s="26">
        <v>45401.0</v>
      </c>
      <c r="C683" s="25">
        <v>206.0</v>
      </c>
      <c r="D683" s="25">
        <v>3.0</v>
      </c>
      <c r="E683" s="25">
        <v>1.0</v>
      </c>
      <c r="F683" s="25">
        <v>1.0</v>
      </c>
      <c r="G683" s="27" t="s">
        <v>24</v>
      </c>
    </row>
    <row r="684" ht="22.5" customHeight="1">
      <c r="A684" s="25">
        <v>2087.0</v>
      </c>
      <c r="B684" s="26">
        <v>45401.0</v>
      </c>
      <c r="C684" s="25">
        <v>103.0</v>
      </c>
      <c r="D684" s="25">
        <v>27.0</v>
      </c>
      <c r="E684" s="25">
        <v>6.0</v>
      </c>
      <c r="F684" s="25">
        <v>3.0</v>
      </c>
      <c r="G684" s="27" t="s">
        <v>24</v>
      </c>
    </row>
    <row r="685" ht="22.5" customHeight="1">
      <c r="A685" s="25">
        <v>2149.0</v>
      </c>
      <c r="B685" s="26">
        <v>45401.0</v>
      </c>
      <c r="C685" s="25">
        <v>82.0</v>
      </c>
      <c r="D685" s="25">
        <v>3.0</v>
      </c>
      <c r="E685" s="25">
        <v>4.0</v>
      </c>
      <c r="F685" s="25">
        <v>4.0</v>
      </c>
      <c r="G685" s="27" t="s">
        <v>24</v>
      </c>
    </row>
    <row r="686" ht="22.5" customHeight="1">
      <c r="A686" s="25">
        <v>2666.0</v>
      </c>
      <c r="B686" s="26">
        <v>45401.0</v>
      </c>
      <c r="C686" s="25">
        <v>12.0</v>
      </c>
      <c r="D686" s="25">
        <v>36.0</v>
      </c>
      <c r="E686" s="25">
        <v>3.0</v>
      </c>
      <c r="F686" s="25">
        <v>3.0</v>
      </c>
      <c r="G686" s="27" t="s">
        <v>24</v>
      </c>
    </row>
    <row r="687" ht="22.5" customHeight="1">
      <c r="A687" s="25">
        <v>724.0</v>
      </c>
      <c r="B687" s="26">
        <v>45402.0</v>
      </c>
      <c r="C687" s="25">
        <v>298.0</v>
      </c>
      <c r="D687" s="25">
        <v>4.0</v>
      </c>
      <c r="E687" s="25">
        <v>2.0</v>
      </c>
      <c r="F687" s="25">
        <v>2.0</v>
      </c>
      <c r="G687" s="27" t="s">
        <v>24</v>
      </c>
    </row>
    <row r="688" ht="22.5" customHeight="1">
      <c r="A688" s="25">
        <v>800.0</v>
      </c>
      <c r="B688" s="26">
        <v>45402.0</v>
      </c>
      <c r="C688" s="25">
        <v>56.0</v>
      </c>
      <c r="D688" s="25">
        <v>29.0</v>
      </c>
      <c r="E688" s="25">
        <v>3.0</v>
      </c>
      <c r="F688" s="25">
        <v>3.0</v>
      </c>
      <c r="G688" s="27" t="s">
        <v>24</v>
      </c>
    </row>
    <row r="689" ht="22.5" customHeight="1">
      <c r="A689" s="25">
        <v>1575.0</v>
      </c>
      <c r="B689" s="26">
        <v>45402.0</v>
      </c>
      <c r="C689" s="25">
        <v>66.0</v>
      </c>
      <c r="D689" s="25">
        <v>4.0</v>
      </c>
      <c r="E689" s="25">
        <v>3.0</v>
      </c>
      <c r="F689" s="25">
        <v>4.0</v>
      </c>
      <c r="G689" s="27" t="s">
        <v>24</v>
      </c>
    </row>
    <row r="690" ht="22.5" customHeight="1">
      <c r="A690" s="25">
        <v>1605.0</v>
      </c>
      <c r="B690" s="26">
        <v>45402.0</v>
      </c>
      <c r="C690" s="25">
        <v>180.0</v>
      </c>
      <c r="D690" s="25">
        <v>20.0</v>
      </c>
      <c r="E690" s="25">
        <v>6.0</v>
      </c>
      <c r="F690" s="25">
        <v>2.0</v>
      </c>
      <c r="G690" s="27" t="s">
        <v>25</v>
      </c>
    </row>
    <row r="691" ht="22.5" customHeight="1">
      <c r="A691" s="25">
        <v>1707.0</v>
      </c>
      <c r="B691" s="26">
        <v>45402.0</v>
      </c>
      <c r="C691" s="25">
        <v>223.0</v>
      </c>
      <c r="D691" s="25">
        <v>30.0</v>
      </c>
      <c r="E691" s="25">
        <v>2.0</v>
      </c>
      <c r="F691" s="25">
        <v>5.0</v>
      </c>
      <c r="G691" s="27" t="s">
        <v>24</v>
      </c>
    </row>
    <row r="692" ht="22.5" customHeight="1">
      <c r="A692" s="25">
        <v>2092.0</v>
      </c>
      <c r="B692" s="26">
        <v>45402.0</v>
      </c>
      <c r="C692" s="25">
        <v>272.0</v>
      </c>
      <c r="D692" s="25">
        <v>23.0</v>
      </c>
      <c r="E692" s="25">
        <v>1.0</v>
      </c>
      <c r="F692" s="25">
        <v>3.0</v>
      </c>
      <c r="G692" s="27" t="s">
        <v>24</v>
      </c>
    </row>
    <row r="693" ht="22.5" customHeight="1">
      <c r="A693" s="25">
        <v>2205.0</v>
      </c>
      <c r="B693" s="26">
        <v>45402.0</v>
      </c>
      <c r="C693" s="25">
        <v>233.0</v>
      </c>
      <c r="D693" s="25">
        <v>4.0</v>
      </c>
      <c r="E693" s="25">
        <v>2.0</v>
      </c>
      <c r="F693" s="25">
        <v>4.0</v>
      </c>
      <c r="G693" s="27" t="s">
        <v>24</v>
      </c>
    </row>
    <row r="694" ht="22.5" customHeight="1">
      <c r="A694" s="25">
        <v>2434.0</v>
      </c>
      <c r="B694" s="26">
        <v>45402.0</v>
      </c>
      <c r="C694" s="25">
        <v>211.0</v>
      </c>
      <c r="D694" s="25">
        <v>28.0</v>
      </c>
      <c r="E694" s="25">
        <v>5.0</v>
      </c>
      <c r="F694" s="25">
        <v>3.0</v>
      </c>
      <c r="G694" s="27" t="s">
        <v>25</v>
      </c>
    </row>
    <row r="695" ht="22.5" customHeight="1">
      <c r="A695" s="25">
        <v>2596.0</v>
      </c>
      <c r="B695" s="26">
        <v>45402.0</v>
      </c>
      <c r="C695" s="25">
        <v>287.0</v>
      </c>
      <c r="D695" s="25">
        <v>12.0</v>
      </c>
      <c r="E695" s="25">
        <v>5.0</v>
      </c>
      <c r="F695" s="25">
        <v>1.0</v>
      </c>
      <c r="G695" s="27" t="s">
        <v>24</v>
      </c>
    </row>
    <row r="696" ht="22.5" customHeight="1">
      <c r="A696" s="25">
        <v>2635.0</v>
      </c>
      <c r="B696" s="26">
        <v>45402.0</v>
      </c>
      <c r="C696" s="25">
        <v>263.0</v>
      </c>
      <c r="D696" s="25">
        <v>34.0</v>
      </c>
      <c r="E696" s="25">
        <v>5.0</v>
      </c>
      <c r="F696" s="25">
        <v>1.0</v>
      </c>
      <c r="G696" s="27" t="s">
        <v>24</v>
      </c>
    </row>
    <row r="697" ht="22.5" customHeight="1">
      <c r="A697" s="25">
        <v>135.0</v>
      </c>
      <c r="B697" s="26">
        <v>45403.0</v>
      </c>
      <c r="C697" s="25">
        <v>254.0</v>
      </c>
      <c r="D697" s="25">
        <v>38.0</v>
      </c>
      <c r="E697" s="25">
        <v>2.0</v>
      </c>
      <c r="F697" s="25">
        <v>5.0</v>
      </c>
      <c r="G697" s="27" t="s">
        <v>24</v>
      </c>
    </row>
    <row r="698" ht="22.5" customHeight="1">
      <c r="A698" s="25">
        <v>259.0</v>
      </c>
      <c r="B698" s="26">
        <v>45403.0</v>
      </c>
      <c r="C698" s="25">
        <v>288.0</v>
      </c>
      <c r="D698" s="25">
        <v>32.0</v>
      </c>
      <c r="E698" s="25">
        <v>3.0</v>
      </c>
      <c r="F698" s="25">
        <v>2.0</v>
      </c>
      <c r="G698" s="27" t="s">
        <v>24</v>
      </c>
    </row>
    <row r="699" ht="22.5" customHeight="1">
      <c r="A699" s="25">
        <v>598.0</v>
      </c>
      <c r="B699" s="26">
        <v>45403.0</v>
      </c>
      <c r="C699" s="25">
        <v>186.0</v>
      </c>
      <c r="D699" s="25">
        <v>4.0</v>
      </c>
      <c r="E699" s="25">
        <v>1.0</v>
      </c>
      <c r="F699" s="25">
        <v>1.0</v>
      </c>
      <c r="G699" s="27" t="s">
        <v>24</v>
      </c>
    </row>
    <row r="700" ht="22.5" customHeight="1">
      <c r="A700" s="25">
        <v>1026.0</v>
      </c>
      <c r="B700" s="26">
        <v>45403.0</v>
      </c>
      <c r="C700" s="25">
        <v>131.0</v>
      </c>
      <c r="D700" s="25">
        <v>17.0</v>
      </c>
      <c r="E700" s="25">
        <v>2.0</v>
      </c>
      <c r="F700" s="25">
        <v>4.0</v>
      </c>
      <c r="G700" s="27" t="s">
        <v>25</v>
      </c>
    </row>
    <row r="701" ht="22.5" customHeight="1">
      <c r="A701" s="25">
        <v>1194.0</v>
      </c>
      <c r="B701" s="26">
        <v>45403.0</v>
      </c>
      <c r="C701" s="25">
        <v>237.0</v>
      </c>
      <c r="D701" s="25">
        <v>17.0</v>
      </c>
      <c r="E701" s="25">
        <v>6.0</v>
      </c>
      <c r="F701" s="25">
        <v>4.0</v>
      </c>
      <c r="G701" s="27" t="s">
        <v>24</v>
      </c>
    </row>
    <row r="702" ht="22.5" customHeight="1">
      <c r="A702" s="25">
        <v>1456.0</v>
      </c>
      <c r="B702" s="26">
        <v>45403.0</v>
      </c>
      <c r="C702" s="25">
        <v>271.0</v>
      </c>
      <c r="D702" s="25">
        <v>18.0</v>
      </c>
      <c r="E702" s="25">
        <v>4.0</v>
      </c>
      <c r="F702" s="25">
        <v>1.0</v>
      </c>
      <c r="G702" s="27" t="s">
        <v>24</v>
      </c>
    </row>
    <row r="703" ht="22.5" customHeight="1">
      <c r="A703" s="25">
        <v>1638.0</v>
      </c>
      <c r="B703" s="26">
        <v>45403.0</v>
      </c>
      <c r="C703" s="25">
        <v>151.0</v>
      </c>
      <c r="D703" s="25">
        <v>18.0</v>
      </c>
      <c r="E703" s="25">
        <v>1.0</v>
      </c>
      <c r="F703" s="25">
        <v>4.0</v>
      </c>
      <c r="G703" s="27" t="s">
        <v>24</v>
      </c>
    </row>
    <row r="704" ht="22.5" customHeight="1">
      <c r="A704" s="25">
        <v>1714.0</v>
      </c>
      <c r="B704" s="26">
        <v>45403.0</v>
      </c>
      <c r="C704" s="25">
        <v>242.0</v>
      </c>
      <c r="D704" s="25">
        <v>32.0</v>
      </c>
      <c r="E704" s="25">
        <v>4.0</v>
      </c>
      <c r="F704" s="25">
        <v>5.0</v>
      </c>
      <c r="G704" s="27" t="s">
        <v>24</v>
      </c>
    </row>
    <row r="705" ht="22.5" customHeight="1">
      <c r="A705" s="25">
        <v>1894.0</v>
      </c>
      <c r="B705" s="26">
        <v>45403.0</v>
      </c>
      <c r="C705" s="25">
        <v>1.0</v>
      </c>
      <c r="D705" s="25">
        <v>37.0</v>
      </c>
      <c r="E705" s="25">
        <v>4.0</v>
      </c>
      <c r="F705" s="25">
        <v>4.0</v>
      </c>
      <c r="G705" s="27" t="s">
        <v>24</v>
      </c>
    </row>
    <row r="706" ht="22.5" customHeight="1">
      <c r="A706" s="25">
        <v>2055.0</v>
      </c>
      <c r="B706" s="26">
        <v>45403.0</v>
      </c>
      <c r="C706" s="25">
        <v>186.0</v>
      </c>
      <c r="D706" s="25">
        <v>5.0</v>
      </c>
      <c r="E706" s="25">
        <v>3.0</v>
      </c>
      <c r="F706" s="25">
        <v>5.0</v>
      </c>
      <c r="G706" s="27" t="s">
        <v>24</v>
      </c>
    </row>
    <row r="707" ht="22.5" customHeight="1">
      <c r="A707" s="25">
        <v>2066.0</v>
      </c>
      <c r="B707" s="26">
        <v>45403.0</v>
      </c>
      <c r="C707" s="25">
        <v>288.0</v>
      </c>
      <c r="D707" s="25">
        <v>11.0</v>
      </c>
      <c r="E707" s="25">
        <v>1.0</v>
      </c>
      <c r="F707" s="25">
        <v>4.0</v>
      </c>
      <c r="G707" s="27" t="s">
        <v>24</v>
      </c>
    </row>
    <row r="708" ht="22.5" customHeight="1">
      <c r="A708" s="25">
        <v>2356.0</v>
      </c>
      <c r="B708" s="26">
        <v>45403.0</v>
      </c>
      <c r="C708" s="25">
        <v>139.0</v>
      </c>
      <c r="D708" s="25">
        <v>19.0</v>
      </c>
      <c r="E708" s="25">
        <v>1.0</v>
      </c>
      <c r="F708" s="25">
        <v>4.0</v>
      </c>
      <c r="G708" s="27" t="s">
        <v>24</v>
      </c>
    </row>
    <row r="709" ht="22.5" customHeight="1">
      <c r="A709" s="25">
        <v>2426.0</v>
      </c>
      <c r="B709" s="26">
        <v>45403.0</v>
      </c>
      <c r="C709" s="25">
        <v>75.0</v>
      </c>
      <c r="D709" s="25">
        <v>30.0</v>
      </c>
      <c r="E709" s="25">
        <v>2.0</v>
      </c>
      <c r="F709" s="25">
        <v>4.0</v>
      </c>
      <c r="G709" s="27" t="s">
        <v>24</v>
      </c>
    </row>
    <row r="710" ht="22.5" customHeight="1">
      <c r="A710" s="25">
        <v>2499.0</v>
      </c>
      <c r="B710" s="26">
        <v>45403.0</v>
      </c>
      <c r="C710" s="25">
        <v>310.0</v>
      </c>
      <c r="D710" s="25">
        <v>24.0</v>
      </c>
      <c r="E710" s="25">
        <v>1.0</v>
      </c>
      <c r="F710" s="25">
        <v>3.0</v>
      </c>
      <c r="G710" s="27" t="s">
        <v>25</v>
      </c>
    </row>
    <row r="711" ht="22.5" customHeight="1">
      <c r="A711" s="25">
        <v>2827.0</v>
      </c>
      <c r="B711" s="26">
        <v>45403.0</v>
      </c>
      <c r="C711" s="25">
        <v>305.0</v>
      </c>
      <c r="D711" s="25">
        <v>23.0</v>
      </c>
      <c r="E711" s="25">
        <v>2.0</v>
      </c>
      <c r="F711" s="25">
        <v>5.0</v>
      </c>
      <c r="G711" s="27" t="s">
        <v>24</v>
      </c>
    </row>
    <row r="712" ht="22.5" customHeight="1">
      <c r="A712" s="25">
        <v>523.0</v>
      </c>
      <c r="B712" s="26">
        <v>45404.0</v>
      </c>
      <c r="C712" s="25">
        <v>107.0</v>
      </c>
      <c r="D712" s="25">
        <v>12.0</v>
      </c>
      <c r="E712" s="25">
        <v>2.0</v>
      </c>
      <c r="F712" s="25">
        <v>1.0</v>
      </c>
      <c r="G712" s="27" t="s">
        <v>24</v>
      </c>
    </row>
    <row r="713" ht="22.5" customHeight="1">
      <c r="A713" s="25">
        <v>806.0</v>
      </c>
      <c r="B713" s="26">
        <v>45404.0</v>
      </c>
      <c r="C713" s="25">
        <v>225.0</v>
      </c>
      <c r="D713" s="25">
        <v>32.0</v>
      </c>
      <c r="E713" s="25">
        <v>6.0</v>
      </c>
      <c r="F713" s="25">
        <v>2.0</v>
      </c>
      <c r="G713" s="27" t="s">
        <v>24</v>
      </c>
    </row>
    <row r="714" ht="22.5" customHeight="1">
      <c r="A714" s="25">
        <v>1074.0</v>
      </c>
      <c r="B714" s="26">
        <v>45404.0</v>
      </c>
      <c r="C714" s="25">
        <v>320.0</v>
      </c>
      <c r="D714" s="25">
        <v>38.0</v>
      </c>
      <c r="E714" s="25">
        <v>6.0</v>
      </c>
      <c r="F714" s="25">
        <v>3.0</v>
      </c>
      <c r="G714" s="27" t="s">
        <v>24</v>
      </c>
    </row>
    <row r="715" ht="22.5" customHeight="1">
      <c r="A715" s="25">
        <v>1406.0</v>
      </c>
      <c r="B715" s="26">
        <v>45404.0</v>
      </c>
      <c r="C715" s="25">
        <v>100.0</v>
      </c>
      <c r="D715" s="25">
        <v>23.0</v>
      </c>
      <c r="E715" s="25">
        <v>1.0</v>
      </c>
      <c r="F715" s="25">
        <v>3.0</v>
      </c>
      <c r="G715" s="27" t="s">
        <v>24</v>
      </c>
    </row>
    <row r="716" ht="22.5" customHeight="1">
      <c r="A716" s="25">
        <v>1806.0</v>
      </c>
      <c r="B716" s="26">
        <v>45404.0</v>
      </c>
      <c r="C716" s="25">
        <v>233.0</v>
      </c>
      <c r="D716" s="25">
        <v>35.0</v>
      </c>
      <c r="E716" s="25">
        <v>4.0</v>
      </c>
      <c r="F716" s="25">
        <v>2.0</v>
      </c>
      <c r="G716" s="27" t="s">
        <v>24</v>
      </c>
    </row>
    <row r="717" ht="22.5" customHeight="1">
      <c r="A717" s="25">
        <v>1853.0</v>
      </c>
      <c r="B717" s="26">
        <v>45404.0</v>
      </c>
      <c r="C717" s="25">
        <v>273.0</v>
      </c>
      <c r="D717" s="25">
        <v>5.0</v>
      </c>
      <c r="E717" s="25">
        <v>5.0</v>
      </c>
      <c r="F717" s="25">
        <v>4.0</v>
      </c>
      <c r="G717" s="27" t="s">
        <v>24</v>
      </c>
    </row>
    <row r="718" ht="22.5" customHeight="1">
      <c r="A718" s="25">
        <v>2925.0</v>
      </c>
      <c r="B718" s="26">
        <v>45404.0</v>
      </c>
      <c r="C718" s="25">
        <v>209.0</v>
      </c>
      <c r="D718" s="25">
        <v>18.0</v>
      </c>
      <c r="E718" s="25">
        <v>3.0</v>
      </c>
      <c r="F718" s="25">
        <v>2.0</v>
      </c>
      <c r="G718" s="27" t="s">
        <v>24</v>
      </c>
    </row>
    <row r="719" ht="22.5" customHeight="1">
      <c r="A719" s="25">
        <v>61.0</v>
      </c>
      <c r="B719" s="26">
        <v>45405.0</v>
      </c>
      <c r="C719" s="25">
        <v>319.0</v>
      </c>
      <c r="D719" s="25">
        <v>6.0</v>
      </c>
      <c r="E719" s="25">
        <v>2.0</v>
      </c>
      <c r="F719" s="25">
        <v>1.0</v>
      </c>
      <c r="G719" s="27" t="s">
        <v>24</v>
      </c>
    </row>
    <row r="720" ht="22.5" customHeight="1">
      <c r="A720" s="25">
        <v>849.0</v>
      </c>
      <c r="B720" s="26">
        <v>45405.0</v>
      </c>
      <c r="C720" s="25">
        <v>177.0</v>
      </c>
      <c r="D720" s="25">
        <v>31.0</v>
      </c>
      <c r="E720" s="25">
        <v>2.0</v>
      </c>
      <c r="F720" s="25">
        <v>5.0</v>
      </c>
      <c r="G720" s="27" t="s">
        <v>24</v>
      </c>
    </row>
    <row r="721" ht="22.5" customHeight="1">
      <c r="A721" s="25">
        <v>1254.0</v>
      </c>
      <c r="B721" s="26">
        <v>45405.0</v>
      </c>
      <c r="C721" s="25">
        <v>294.0</v>
      </c>
      <c r="D721" s="25">
        <v>4.0</v>
      </c>
      <c r="E721" s="25">
        <v>2.0</v>
      </c>
      <c r="F721" s="25">
        <v>4.0</v>
      </c>
      <c r="G721" s="27" t="s">
        <v>24</v>
      </c>
    </row>
    <row r="722" ht="22.5" customHeight="1">
      <c r="A722" s="25">
        <v>1677.0</v>
      </c>
      <c r="B722" s="26">
        <v>45405.0</v>
      </c>
      <c r="C722" s="25">
        <v>122.0</v>
      </c>
      <c r="D722" s="25">
        <v>5.0</v>
      </c>
      <c r="E722" s="25">
        <v>1.0</v>
      </c>
      <c r="F722" s="25">
        <v>2.0</v>
      </c>
      <c r="G722" s="27" t="s">
        <v>25</v>
      </c>
    </row>
    <row r="723" ht="22.5" customHeight="1">
      <c r="A723" s="25">
        <v>1686.0</v>
      </c>
      <c r="B723" s="26">
        <v>45405.0</v>
      </c>
      <c r="C723" s="25">
        <v>73.0</v>
      </c>
      <c r="D723" s="25">
        <v>37.0</v>
      </c>
      <c r="E723" s="25">
        <v>1.0</v>
      </c>
      <c r="F723" s="25">
        <v>4.0</v>
      </c>
      <c r="G723" s="27" t="s">
        <v>24</v>
      </c>
    </row>
    <row r="724" ht="22.5" customHeight="1">
      <c r="A724" s="25">
        <v>1732.0</v>
      </c>
      <c r="B724" s="26">
        <v>45405.0</v>
      </c>
      <c r="C724" s="25">
        <v>215.0</v>
      </c>
      <c r="D724" s="25">
        <v>38.0</v>
      </c>
      <c r="E724" s="25">
        <v>5.0</v>
      </c>
      <c r="F724" s="25">
        <v>4.0</v>
      </c>
      <c r="G724" s="27" t="s">
        <v>24</v>
      </c>
    </row>
    <row r="725" ht="22.5" customHeight="1">
      <c r="A725" s="25">
        <v>1800.0</v>
      </c>
      <c r="B725" s="26">
        <v>45405.0</v>
      </c>
      <c r="C725" s="25">
        <v>313.0</v>
      </c>
      <c r="D725" s="25">
        <v>37.0</v>
      </c>
      <c r="E725" s="25">
        <v>4.0</v>
      </c>
      <c r="F725" s="25">
        <v>5.0</v>
      </c>
      <c r="G725" s="27" t="s">
        <v>25</v>
      </c>
    </row>
    <row r="726" ht="22.5" customHeight="1">
      <c r="A726" s="25">
        <v>119.0</v>
      </c>
      <c r="B726" s="26">
        <v>45406.0</v>
      </c>
      <c r="C726" s="25">
        <v>55.0</v>
      </c>
      <c r="D726" s="25">
        <v>21.0</v>
      </c>
      <c r="E726" s="25">
        <v>4.0</v>
      </c>
      <c r="F726" s="25">
        <v>5.0</v>
      </c>
      <c r="G726" s="27" t="s">
        <v>24</v>
      </c>
    </row>
    <row r="727" ht="22.5" customHeight="1">
      <c r="A727" s="25">
        <v>909.0</v>
      </c>
      <c r="B727" s="26">
        <v>45406.0</v>
      </c>
      <c r="C727" s="25">
        <v>287.0</v>
      </c>
      <c r="D727" s="25">
        <v>31.0</v>
      </c>
      <c r="E727" s="25">
        <v>1.0</v>
      </c>
      <c r="F727" s="25">
        <v>1.0</v>
      </c>
      <c r="G727" s="27" t="s">
        <v>24</v>
      </c>
    </row>
    <row r="728" ht="22.5" customHeight="1">
      <c r="A728" s="25">
        <v>1460.0</v>
      </c>
      <c r="B728" s="26">
        <v>45406.0</v>
      </c>
      <c r="C728" s="25">
        <v>40.0</v>
      </c>
      <c r="D728" s="25">
        <v>17.0</v>
      </c>
      <c r="E728" s="25">
        <v>4.0</v>
      </c>
      <c r="F728" s="25">
        <v>3.0</v>
      </c>
      <c r="G728" s="27" t="s">
        <v>24</v>
      </c>
    </row>
    <row r="729" ht="22.5" customHeight="1">
      <c r="A729" s="25">
        <v>1783.0</v>
      </c>
      <c r="B729" s="26">
        <v>45406.0</v>
      </c>
      <c r="C729" s="25">
        <v>301.0</v>
      </c>
      <c r="D729" s="25">
        <v>11.0</v>
      </c>
      <c r="E729" s="25">
        <v>2.0</v>
      </c>
      <c r="F729" s="25">
        <v>4.0</v>
      </c>
      <c r="G729" s="27" t="s">
        <v>24</v>
      </c>
    </row>
    <row r="730" ht="22.5" customHeight="1">
      <c r="A730" s="25">
        <v>1996.0</v>
      </c>
      <c r="B730" s="26">
        <v>45406.0</v>
      </c>
      <c r="C730" s="25">
        <v>117.0</v>
      </c>
      <c r="D730" s="25">
        <v>23.0</v>
      </c>
      <c r="E730" s="25">
        <v>2.0</v>
      </c>
      <c r="F730" s="25">
        <v>3.0</v>
      </c>
      <c r="G730" s="27" t="s">
        <v>24</v>
      </c>
    </row>
    <row r="731" ht="22.5" customHeight="1">
      <c r="A731" s="25">
        <v>2145.0</v>
      </c>
      <c r="B731" s="26">
        <v>45406.0</v>
      </c>
      <c r="C731" s="25">
        <v>38.0</v>
      </c>
      <c r="D731" s="25">
        <v>12.0</v>
      </c>
      <c r="E731" s="25">
        <v>4.0</v>
      </c>
      <c r="F731" s="25">
        <v>2.0</v>
      </c>
      <c r="G731" s="27" t="s">
        <v>24</v>
      </c>
    </row>
    <row r="732" ht="22.5" customHeight="1">
      <c r="A732" s="25">
        <v>2584.0</v>
      </c>
      <c r="B732" s="26">
        <v>45406.0</v>
      </c>
      <c r="C732" s="25">
        <v>141.0</v>
      </c>
      <c r="D732" s="25">
        <v>5.0</v>
      </c>
      <c r="E732" s="25">
        <v>4.0</v>
      </c>
      <c r="F732" s="25">
        <v>4.0</v>
      </c>
      <c r="G732" s="27" t="s">
        <v>24</v>
      </c>
    </row>
    <row r="733" ht="22.5" customHeight="1">
      <c r="A733" s="25">
        <v>2645.0</v>
      </c>
      <c r="B733" s="26">
        <v>45406.0</v>
      </c>
      <c r="C733" s="25">
        <v>182.0</v>
      </c>
      <c r="D733" s="25">
        <v>32.0</v>
      </c>
      <c r="E733" s="25">
        <v>6.0</v>
      </c>
      <c r="F733" s="25">
        <v>5.0</v>
      </c>
      <c r="G733" s="27" t="s">
        <v>24</v>
      </c>
    </row>
    <row r="734" ht="22.5" customHeight="1">
      <c r="A734" s="25">
        <v>87.0</v>
      </c>
      <c r="B734" s="26">
        <v>45407.0</v>
      </c>
      <c r="C734" s="25">
        <v>152.0</v>
      </c>
      <c r="D734" s="25">
        <v>26.0</v>
      </c>
      <c r="E734" s="25">
        <v>6.0</v>
      </c>
      <c r="F734" s="25">
        <v>5.0</v>
      </c>
      <c r="G734" s="27" t="s">
        <v>24</v>
      </c>
    </row>
    <row r="735" ht="22.5" customHeight="1">
      <c r="A735" s="25">
        <v>251.0</v>
      </c>
      <c r="B735" s="26">
        <v>45407.0</v>
      </c>
      <c r="C735" s="25">
        <v>158.0</v>
      </c>
      <c r="D735" s="25">
        <v>4.0</v>
      </c>
      <c r="E735" s="25">
        <v>1.0</v>
      </c>
      <c r="F735" s="25">
        <v>4.0</v>
      </c>
      <c r="G735" s="27" t="s">
        <v>24</v>
      </c>
    </row>
    <row r="736" ht="22.5" customHeight="1">
      <c r="A736" s="25">
        <v>751.0</v>
      </c>
      <c r="B736" s="26">
        <v>45407.0</v>
      </c>
      <c r="C736" s="25">
        <v>259.0</v>
      </c>
      <c r="D736" s="25">
        <v>23.0</v>
      </c>
      <c r="E736" s="25">
        <v>2.0</v>
      </c>
      <c r="F736" s="25">
        <v>1.0</v>
      </c>
      <c r="G736" s="27" t="s">
        <v>25</v>
      </c>
    </row>
    <row r="737" ht="22.5" customHeight="1">
      <c r="A737" s="25">
        <v>792.0</v>
      </c>
      <c r="B737" s="26">
        <v>45407.0</v>
      </c>
      <c r="C737" s="25">
        <v>130.0</v>
      </c>
      <c r="D737" s="25">
        <v>1.0</v>
      </c>
      <c r="E737" s="25">
        <v>1.0</v>
      </c>
      <c r="F737" s="25">
        <v>1.0</v>
      </c>
      <c r="G737" s="27" t="s">
        <v>24</v>
      </c>
    </row>
    <row r="738" ht="22.5" customHeight="1">
      <c r="A738" s="25">
        <v>952.0</v>
      </c>
      <c r="B738" s="26">
        <v>45407.0</v>
      </c>
      <c r="C738" s="25">
        <v>207.0</v>
      </c>
      <c r="D738" s="25">
        <v>7.0</v>
      </c>
      <c r="E738" s="25">
        <v>3.0</v>
      </c>
      <c r="F738" s="25">
        <v>3.0</v>
      </c>
      <c r="G738" s="27" t="s">
        <v>24</v>
      </c>
    </row>
    <row r="739" ht="22.5" customHeight="1">
      <c r="A739" s="25">
        <v>1060.0</v>
      </c>
      <c r="B739" s="26">
        <v>45407.0</v>
      </c>
      <c r="C739" s="25">
        <v>56.0</v>
      </c>
      <c r="D739" s="25">
        <v>29.0</v>
      </c>
      <c r="E739" s="25">
        <v>5.0</v>
      </c>
      <c r="F739" s="25">
        <v>3.0</v>
      </c>
      <c r="G739" s="27" t="s">
        <v>24</v>
      </c>
    </row>
    <row r="740" ht="22.5" customHeight="1">
      <c r="A740" s="25">
        <v>1088.0</v>
      </c>
      <c r="B740" s="26">
        <v>45407.0</v>
      </c>
      <c r="C740" s="25">
        <v>274.0</v>
      </c>
      <c r="D740" s="25">
        <v>30.0</v>
      </c>
      <c r="E740" s="25">
        <v>2.0</v>
      </c>
      <c r="F740" s="25">
        <v>2.0</v>
      </c>
      <c r="G740" s="27" t="s">
        <v>24</v>
      </c>
    </row>
    <row r="741" ht="22.5" customHeight="1">
      <c r="A741" s="25">
        <v>1657.0</v>
      </c>
      <c r="B741" s="26">
        <v>45407.0</v>
      </c>
      <c r="C741" s="25">
        <v>298.0</v>
      </c>
      <c r="D741" s="25">
        <v>12.0</v>
      </c>
      <c r="E741" s="25">
        <v>5.0</v>
      </c>
      <c r="F741" s="25">
        <v>1.0</v>
      </c>
      <c r="G741" s="27" t="s">
        <v>24</v>
      </c>
    </row>
    <row r="742" ht="22.5" customHeight="1">
      <c r="A742" s="25">
        <v>1900.0</v>
      </c>
      <c r="B742" s="26">
        <v>45407.0</v>
      </c>
      <c r="C742" s="25">
        <v>222.0</v>
      </c>
      <c r="D742" s="25">
        <v>24.0</v>
      </c>
      <c r="E742" s="25">
        <v>2.0</v>
      </c>
      <c r="F742" s="25">
        <v>3.0</v>
      </c>
      <c r="G742" s="27" t="s">
        <v>24</v>
      </c>
    </row>
    <row r="743" ht="22.5" customHeight="1">
      <c r="A743" s="25">
        <v>2184.0</v>
      </c>
      <c r="B743" s="26">
        <v>45407.0</v>
      </c>
      <c r="C743" s="25">
        <v>68.0</v>
      </c>
      <c r="D743" s="25">
        <v>9.0</v>
      </c>
      <c r="E743" s="25">
        <v>6.0</v>
      </c>
      <c r="F743" s="25">
        <v>5.0</v>
      </c>
      <c r="G743" s="27" t="s">
        <v>24</v>
      </c>
    </row>
    <row r="744" ht="22.5" customHeight="1">
      <c r="A744" s="25">
        <v>2269.0</v>
      </c>
      <c r="B744" s="26">
        <v>45407.0</v>
      </c>
      <c r="C744" s="25">
        <v>13.0</v>
      </c>
      <c r="D744" s="25">
        <v>24.0</v>
      </c>
      <c r="E744" s="25">
        <v>6.0</v>
      </c>
      <c r="F744" s="25">
        <v>1.0</v>
      </c>
      <c r="G744" s="27" t="s">
        <v>24</v>
      </c>
    </row>
    <row r="745" ht="22.5" customHeight="1">
      <c r="A745" s="25">
        <v>2615.0</v>
      </c>
      <c r="B745" s="26">
        <v>45407.0</v>
      </c>
      <c r="C745" s="25">
        <v>277.0</v>
      </c>
      <c r="D745" s="25">
        <v>16.0</v>
      </c>
      <c r="E745" s="25">
        <v>4.0</v>
      </c>
      <c r="F745" s="25">
        <v>5.0</v>
      </c>
      <c r="G745" s="27" t="s">
        <v>24</v>
      </c>
    </row>
    <row r="746" ht="22.5" customHeight="1">
      <c r="A746" s="25">
        <v>2974.0</v>
      </c>
      <c r="B746" s="26">
        <v>45407.0</v>
      </c>
      <c r="C746" s="25">
        <v>315.0</v>
      </c>
      <c r="D746" s="25">
        <v>17.0</v>
      </c>
      <c r="E746" s="25">
        <v>4.0</v>
      </c>
      <c r="F746" s="25">
        <v>3.0</v>
      </c>
      <c r="G746" s="27" t="s">
        <v>24</v>
      </c>
    </row>
    <row r="747" ht="22.5" customHeight="1">
      <c r="A747" s="25">
        <v>617.0</v>
      </c>
      <c r="B747" s="26">
        <v>45408.0</v>
      </c>
      <c r="C747" s="25">
        <v>313.0</v>
      </c>
      <c r="D747" s="25">
        <v>8.0</v>
      </c>
      <c r="E747" s="25">
        <v>6.0</v>
      </c>
      <c r="F747" s="25">
        <v>1.0</v>
      </c>
      <c r="G747" s="27" t="s">
        <v>24</v>
      </c>
    </row>
    <row r="748" ht="22.5" customHeight="1">
      <c r="A748" s="25">
        <v>763.0</v>
      </c>
      <c r="B748" s="26">
        <v>45408.0</v>
      </c>
      <c r="C748" s="25">
        <v>254.0</v>
      </c>
      <c r="D748" s="25">
        <v>27.0</v>
      </c>
      <c r="E748" s="25">
        <v>2.0</v>
      </c>
      <c r="F748" s="25">
        <v>3.0</v>
      </c>
      <c r="G748" s="27" t="s">
        <v>24</v>
      </c>
    </row>
    <row r="749" ht="22.5" customHeight="1">
      <c r="A749" s="25">
        <v>826.0</v>
      </c>
      <c r="B749" s="26">
        <v>45408.0</v>
      </c>
      <c r="C749" s="25">
        <v>137.0</v>
      </c>
      <c r="D749" s="25">
        <v>26.0</v>
      </c>
      <c r="E749" s="25">
        <v>5.0</v>
      </c>
      <c r="F749" s="25">
        <v>4.0</v>
      </c>
      <c r="G749" s="27" t="s">
        <v>24</v>
      </c>
    </row>
    <row r="750" ht="22.5" customHeight="1">
      <c r="A750" s="25">
        <v>1616.0</v>
      </c>
      <c r="B750" s="26">
        <v>45408.0</v>
      </c>
      <c r="C750" s="25">
        <v>144.0</v>
      </c>
      <c r="D750" s="25">
        <v>34.0</v>
      </c>
      <c r="E750" s="25">
        <v>1.0</v>
      </c>
      <c r="F750" s="25">
        <v>1.0</v>
      </c>
      <c r="G750" s="27" t="s">
        <v>24</v>
      </c>
    </row>
    <row r="751" ht="22.5" customHeight="1">
      <c r="A751" s="25">
        <v>1621.0</v>
      </c>
      <c r="B751" s="26">
        <v>45408.0</v>
      </c>
      <c r="C751" s="25">
        <v>193.0</v>
      </c>
      <c r="D751" s="25">
        <v>2.0</v>
      </c>
      <c r="E751" s="25">
        <v>2.0</v>
      </c>
      <c r="F751" s="25">
        <v>1.0</v>
      </c>
      <c r="G751" s="27" t="s">
        <v>24</v>
      </c>
    </row>
    <row r="752" ht="22.5" customHeight="1">
      <c r="A752" s="25">
        <v>1733.0</v>
      </c>
      <c r="B752" s="26">
        <v>45408.0</v>
      </c>
      <c r="C752" s="25">
        <v>185.0</v>
      </c>
      <c r="D752" s="25">
        <v>10.0</v>
      </c>
      <c r="E752" s="25">
        <v>5.0</v>
      </c>
      <c r="F752" s="25">
        <v>5.0</v>
      </c>
      <c r="G752" s="27" t="s">
        <v>24</v>
      </c>
    </row>
    <row r="753" ht="22.5" customHeight="1">
      <c r="A753" s="25">
        <v>2117.0</v>
      </c>
      <c r="B753" s="26">
        <v>45408.0</v>
      </c>
      <c r="C753" s="25">
        <v>82.0</v>
      </c>
      <c r="D753" s="25">
        <v>12.0</v>
      </c>
      <c r="E753" s="25">
        <v>2.0</v>
      </c>
      <c r="F753" s="25">
        <v>5.0</v>
      </c>
      <c r="G753" s="27" t="s">
        <v>24</v>
      </c>
    </row>
    <row r="754" ht="22.5" customHeight="1">
      <c r="A754" s="25">
        <v>2554.0</v>
      </c>
      <c r="B754" s="26">
        <v>45408.0</v>
      </c>
      <c r="C754" s="25">
        <v>306.0</v>
      </c>
      <c r="D754" s="25">
        <v>36.0</v>
      </c>
      <c r="E754" s="25">
        <v>1.0</v>
      </c>
      <c r="F754" s="25">
        <v>4.0</v>
      </c>
      <c r="G754" s="27" t="s">
        <v>24</v>
      </c>
    </row>
    <row r="755" ht="22.5" customHeight="1">
      <c r="A755" s="25">
        <v>2741.0</v>
      </c>
      <c r="B755" s="26">
        <v>45408.0</v>
      </c>
      <c r="C755" s="25">
        <v>48.0</v>
      </c>
      <c r="D755" s="25">
        <v>25.0</v>
      </c>
      <c r="E755" s="25">
        <v>5.0</v>
      </c>
      <c r="F755" s="25">
        <v>5.0</v>
      </c>
      <c r="G755" s="27" t="s">
        <v>24</v>
      </c>
    </row>
    <row r="756" ht="22.5" customHeight="1">
      <c r="A756" s="25">
        <v>842.0</v>
      </c>
      <c r="B756" s="26">
        <v>45409.0</v>
      </c>
      <c r="C756" s="25">
        <v>307.0</v>
      </c>
      <c r="D756" s="25">
        <v>14.0</v>
      </c>
      <c r="E756" s="25">
        <v>4.0</v>
      </c>
      <c r="F756" s="25">
        <v>4.0</v>
      </c>
      <c r="G756" s="27" t="s">
        <v>24</v>
      </c>
    </row>
    <row r="757" ht="22.5" customHeight="1">
      <c r="A757" s="25">
        <v>889.0</v>
      </c>
      <c r="B757" s="26">
        <v>45409.0</v>
      </c>
      <c r="C757" s="25">
        <v>51.0</v>
      </c>
      <c r="D757" s="25">
        <v>17.0</v>
      </c>
      <c r="E757" s="25">
        <v>2.0</v>
      </c>
      <c r="F757" s="25">
        <v>5.0</v>
      </c>
      <c r="G757" s="27" t="s">
        <v>24</v>
      </c>
    </row>
    <row r="758" ht="22.5" customHeight="1">
      <c r="A758" s="25">
        <v>1128.0</v>
      </c>
      <c r="B758" s="26">
        <v>45409.0</v>
      </c>
      <c r="C758" s="25">
        <v>59.0</v>
      </c>
      <c r="D758" s="25">
        <v>20.0</v>
      </c>
      <c r="E758" s="25">
        <v>3.0</v>
      </c>
      <c r="F758" s="25">
        <v>5.0</v>
      </c>
      <c r="G758" s="27" t="s">
        <v>24</v>
      </c>
    </row>
    <row r="759" ht="22.5" customHeight="1">
      <c r="A759" s="25">
        <v>1266.0</v>
      </c>
      <c r="B759" s="26">
        <v>45409.0</v>
      </c>
      <c r="C759" s="25">
        <v>70.0</v>
      </c>
      <c r="D759" s="25">
        <v>21.0</v>
      </c>
      <c r="E759" s="25">
        <v>6.0</v>
      </c>
      <c r="F759" s="25">
        <v>4.0</v>
      </c>
      <c r="G759" s="27" t="s">
        <v>24</v>
      </c>
    </row>
    <row r="760" ht="22.5" customHeight="1">
      <c r="A760" s="25">
        <v>1505.0</v>
      </c>
      <c r="B760" s="26">
        <v>45409.0</v>
      </c>
      <c r="C760" s="25">
        <v>13.0</v>
      </c>
      <c r="D760" s="25">
        <v>8.0</v>
      </c>
      <c r="E760" s="25">
        <v>5.0</v>
      </c>
      <c r="F760" s="25">
        <v>4.0</v>
      </c>
      <c r="G760" s="27" t="s">
        <v>24</v>
      </c>
    </row>
    <row r="761" ht="22.5" customHeight="1">
      <c r="A761" s="25">
        <v>1572.0</v>
      </c>
      <c r="B761" s="26">
        <v>45409.0</v>
      </c>
      <c r="C761" s="25">
        <v>314.0</v>
      </c>
      <c r="D761" s="25">
        <v>24.0</v>
      </c>
      <c r="E761" s="25">
        <v>1.0</v>
      </c>
      <c r="F761" s="25">
        <v>4.0</v>
      </c>
      <c r="G761" s="27" t="s">
        <v>24</v>
      </c>
    </row>
    <row r="762" ht="22.5" customHeight="1">
      <c r="A762" s="25">
        <v>2169.0</v>
      </c>
      <c r="B762" s="26">
        <v>45409.0</v>
      </c>
      <c r="C762" s="25">
        <v>284.0</v>
      </c>
      <c r="D762" s="25">
        <v>38.0</v>
      </c>
      <c r="E762" s="25">
        <v>6.0</v>
      </c>
      <c r="F762" s="25">
        <v>4.0</v>
      </c>
      <c r="G762" s="27" t="s">
        <v>24</v>
      </c>
    </row>
    <row r="763" ht="22.5" customHeight="1">
      <c r="A763" s="25">
        <v>2245.0</v>
      </c>
      <c r="B763" s="26">
        <v>45409.0</v>
      </c>
      <c r="C763" s="25">
        <v>167.0</v>
      </c>
      <c r="D763" s="25">
        <v>22.0</v>
      </c>
      <c r="E763" s="25">
        <v>4.0</v>
      </c>
      <c r="F763" s="25">
        <v>3.0</v>
      </c>
      <c r="G763" s="27" t="s">
        <v>24</v>
      </c>
    </row>
    <row r="764" ht="22.5" customHeight="1">
      <c r="A764" s="25">
        <v>2281.0</v>
      </c>
      <c r="B764" s="26">
        <v>45409.0</v>
      </c>
      <c r="C764" s="25">
        <v>283.0</v>
      </c>
      <c r="D764" s="25">
        <v>10.0</v>
      </c>
      <c r="E764" s="25">
        <v>5.0</v>
      </c>
      <c r="F764" s="25">
        <v>4.0</v>
      </c>
      <c r="G764" s="27" t="s">
        <v>25</v>
      </c>
    </row>
    <row r="765" ht="22.5" customHeight="1">
      <c r="A765" s="25">
        <v>592.0</v>
      </c>
      <c r="B765" s="26">
        <v>45410.0</v>
      </c>
      <c r="C765" s="25">
        <v>102.0</v>
      </c>
      <c r="D765" s="25">
        <v>5.0</v>
      </c>
      <c r="E765" s="25">
        <v>6.0</v>
      </c>
      <c r="F765" s="25">
        <v>5.0</v>
      </c>
      <c r="G765" s="27" t="s">
        <v>25</v>
      </c>
    </row>
    <row r="766" ht="22.5" customHeight="1">
      <c r="A766" s="25">
        <v>858.0</v>
      </c>
      <c r="B766" s="26">
        <v>45410.0</v>
      </c>
      <c r="C766" s="25">
        <v>67.0</v>
      </c>
      <c r="D766" s="25">
        <v>1.0</v>
      </c>
      <c r="E766" s="25">
        <v>4.0</v>
      </c>
      <c r="F766" s="25">
        <v>3.0</v>
      </c>
      <c r="G766" s="27" t="s">
        <v>25</v>
      </c>
    </row>
    <row r="767" ht="22.5" customHeight="1">
      <c r="A767" s="25">
        <v>1689.0</v>
      </c>
      <c r="B767" s="26">
        <v>45410.0</v>
      </c>
      <c r="C767" s="25">
        <v>28.0</v>
      </c>
      <c r="D767" s="25">
        <v>33.0</v>
      </c>
      <c r="E767" s="25">
        <v>4.0</v>
      </c>
      <c r="F767" s="25">
        <v>1.0</v>
      </c>
      <c r="G767" s="27" t="s">
        <v>24</v>
      </c>
    </row>
    <row r="768" ht="22.5" customHeight="1">
      <c r="A768" s="25">
        <v>1988.0</v>
      </c>
      <c r="B768" s="26">
        <v>45410.0</v>
      </c>
      <c r="C768" s="25">
        <v>114.0</v>
      </c>
      <c r="D768" s="25">
        <v>21.0</v>
      </c>
      <c r="E768" s="25">
        <v>2.0</v>
      </c>
      <c r="F768" s="25">
        <v>5.0</v>
      </c>
      <c r="G768" s="27" t="s">
        <v>24</v>
      </c>
    </row>
    <row r="769" ht="22.5" customHeight="1">
      <c r="A769" s="25">
        <v>2128.0</v>
      </c>
      <c r="B769" s="26">
        <v>45410.0</v>
      </c>
      <c r="C769" s="25">
        <v>314.0</v>
      </c>
      <c r="D769" s="25">
        <v>35.0</v>
      </c>
      <c r="E769" s="25">
        <v>1.0</v>
      </c>
      <c r="F769" s="25">
        <v>1.0</v>
      </c>
      <c r="G769" s="27" t="s">
        <v>25</v>
      </c>
    </row>
    <row r="770" ht="22.5" customHeight="1">
      <c r="A770" s="25">
        <v>2539.0</v>
      </c>
      <c r="B770" s="26">
        <v>45410.0</v>
      </c>
      <c r="C770" s="25">
        <v>135.0</v>
      </c>
      <c r="D770" s="25">
        <v>37.0</v>
      </c>
      <c r="E770" s="25">
        <v>4.0</v>
      </c>
      <c r="F770" s="25">
        <v>3.0</v>
      </c>
      <c r="G770" s="27" t="s">
        <v>24</v>
      </c>
    </row>
    <row r="771" ht="22.5" customHeight="1">
      <c r="A771" s="25">
        <v>2799.0</v>
      </c>
      <c r="B771" s="26">
        <v>45410.0</v>
      </c>
      <c r="C771" s="25">
        <v>217.0</v>
      </c>
      <c r="D771" s="25">
        <v>2.0</v>
      </c>
      <c r="E771" s="25">
        <v>1.0</v>
      </c>
      <c r="F771" s="25">
        <v>5.0</v>
      </c>
      <c r="G771" s="27" t="s">
        <v>25</v>
      </c>
    </row>
    <row r="772" ht="22.5" customHeight="1">
      <c r="A772" s="25">
        <v>2851.0</v>
      </c>
      <c r="B772" s="26">
        <v>45410.0</v>
      </c>
      <c r="C772" s="25">
        <v>316.0</v>
      </c>
      <c r="D772" s="25">
        <v>33.0</v>
      </c>
      <c r="E772" s="25">
        <v>4.0</v>
      </c>
      <c r="F772" s="25">
        <v>1.0</v>
      </c>
      <c r="G772" s="27" t="s">
        <v>24</v>
      </c>
    </row>
    <row r="773" ht="22.5" customHeight="1">
      <c r="A773" s="25">
        <v>2957.0</v>
      </c>
      <c r="B773" s="26">
        <v>45410.0</v>
      </c>
      <c r="C773" s="25">
        <v>249.0</v>
      </c>
      <c r="D773" s="25">
        <v>4.0</v>
      </c>
      <c r="E773" s="25">
        <v>6.0</v>
      </c>
      <c r="F773" s="25">
        <v>1.0</v>
      </c>
      <c r="G773" s="27" t="s">
        <v>24</v>
      </c>
    </row>
    <row r="774" ht="22.5" customHeight="1">
      <c r="A774" s="25">
        <v>217.0</v>
      </c>
      <c r="B774" s="26">
        <v>45411.0</v>
      </c>
      <c r="C774" s="25">
        <v>100.0</v>
      </c>
      <c r="D774" s="25">
        <v>17.0</v>
      </c>
      <c r="E774" s="25">
        <v>4.0</v>
      </c>
      <c r="F774" s="25">
        <v>5.0</v>
      </c>
      <c r="G774" s="27" t="s">
        <v>24</v>
      </c>
    </row>
    <row r="775" ht="22.5" customHeight="1">
      <c r="A775" s="25">
        <v>1114.0</v>
      </c>
      <c r="B775" s="26">
        <v>45411.0</v>
      </c>
      <c r="C775" s="25">
        <v>47.0</v>
      </c>
      <c r="D775" s="25">
        <v>38.0</v>
      </c>
      <c r="E775" s="25">
        <v>6.0</v>
      </c>
      <c r="F775" s="25">
        <v>4.0</v>
      </c>
      <c r="G775" s="27" t="s">
        <v>24</v>
      </c>
    </row>
    <row r="776" ht="22.5" customHeight="1">
      <c r="A776" s="25">
        <v>1115.0</v>
      </c>
      <c r="B776" s="26">
        <v>45411.0</v>
      </c>
      <c r="C776" s="25">
        <v>159.0</v>
      </c>
      <c r="D776" s="25">
        <v>1.0</v>
      </c>
      <c r="E776" s="25">
        <v>6.0</v>
      </c>
      <c r="F776" s="25">
        <v>2.0</v>
      </c>
      <c r="G776" s="27" t="s">
        <v>24</v>
      </c>
    </row>
    <row r="777" ht="22.5" customHeight="1">
      <c r="A777" s="25">
        <v>1207.0</v>
      </c>
      <c r="B777" s="26">
        <v>45411.0</v>
      </c>
      <c r="C777" s="25">
        <v>159.0</v>
      </c>
      <c r="D777" s="25">
        <v>11.0</v>
      </c>
      <c r="E777" s="25">
        <v>4.0</v>
      </c>
      <c r="F777" s="25">
        <v>4.0</v>
      </c>
      <c r="G777" s="27" t="s">
        <v>24</v>
      </c>
    </row>
    <row r="778" ht="22.5" customHeight="1">
      <c r="A778" s="25">
        <v>1211.0</v>
      </c>
      <c r="B778" s="26">
        <v>45411.0</v>
      </c>
      <c r="C778" s="25">
        <v>104.0</v>
      </c>
      <c r="D778" s="25">
        <v>4.0</v>
      </c>
      <c r="E778" s="25">
        <v>5.0</v>
      </c>
      <c r="F778" s="25">
        <v>5.0</v>
      </c>
      <c r="G778" s="27" t="s">
        <v>24</v>
      </c>
    </row>
    <row r="779" ht="22.5" customHeight="1">
      <c r="A779" s="25">
        <v>1552.0</v>
      </c>
      <c r="B779" s="26">
        <v>45411.0</v>
      </c>
      <c r="C779" s="25">
        <v>21.0</v>
      </c>
      <c r="D779" s="25">
        <v>6.0</v>
      </c>
      <c r="E779" s="25">
        <v>6.0</v>
      </c>
      <c r="F779" s="25">
        <v>1.0</v>
      </c>
      <c r="G779" s="27" t="s">
        <v>24</v>
      </c>
    </row>
    <row r="780" ht="22.5" customHeight="1">
      <c r="A780" s="25">
        <v>1889.0</v>
      </c>
      <c r="B780" s="26">
        <v>45411.0</v>
      </c>
      <c r="C780" s="25">
        <v>237.0</v>
      </c>
      <c r="D780" s="25">
        <v>1.0</v>
      </c>
      <c r="E780" s="25">
        <v>4.0</v>
      </c>
      <c r="F780" s="25">
        <v>1.0</v>
      </c>
      <c r="G780" s="27" t="s">
        <v>24</v>
      </c>
    </row>
    <row r="781" ht="22.5" customHeight="1">
      <c r="A781" s="25">
        <v>1952.0</v>
      </c>
      <c r="B781" s="26">
        <v>45411.0</v>
      </c>
      <c r="C781" s="25">
        <v>190.0</v>
      </c>
      <c r="D781" s="25">
        <v>19.0</v>
      </c>
      <c r="E781" s="25">
        <v>4.0</v>
      </c>
      <c r="F781" s="25">
        <v>5.0</v>
      </c>
      <c r="G781" s="27" t="s">
        <v>25</v>
      </c>
    </row>
    <row r="782" ht="22.5" customHeight="1">
      <c r="A782" s="25">
        <v>2105.0</v>
      </c>
      <c r="B782" s="26">
        <v>45411.0</v>
      </c>
      <c r="C782" s="25">
        <v>85.0</v>
      </c>
      <c r="D782" s="25">
        <v>12.0</v>
      </c>
      <c r="E782" s="25">
        <v>1.0</v>
      </c>
      <c r="F782" s="25">
        <v>3.0</v>
      </c>
      <c r="G782" s="27" t="s">
        <v>25</v>
      </c>
    </row>
    <row r="783" ht="22.5" customHeight="1">
      <c r="A783" s="25">
        <v>2786.0</v>
      </c>
      <c r="B783" s="26">
        <v>45411.0</v>
      </c>
      <c r="C783" s="25">
        <v>106.0</v>
      </c>
      <c r="D783" s="25">
        <v>7.0</v>
      </c>
      <c r="E783" s="25">
        <v>6.0</v>
      </c>
      <c r="F783" s="25">
        <v>1.0</v>
      </c>
      <c r="G783" s="27" t="s">
        <v>24</v>
      </c>
    </row>
    <row r="784" ht="22.5" customHeight="1">
      <c r="A784" s="25">
        <v>2999.0</v>
      </c>
      <c r="B784" s="26">
        <v>45411.0</v>
      </c>
      <c r="C784" s="25">
        <v>320.0</v>
      </c>
      <c r="D784" s="25">
        <v>11.0</v>
      </c>
      <c r="E784" s="25">
        <v>3.0</v>
      </c>
      <c r="F784" s="25">
        <v>4.0</v>
      </c>
      <c r="G784" s="27" t="s">
        <v>24</v>
      </c>
    </row>
    <row r="785" ht="22.5" customHeight="1">
      <c r="A785" s="25">
        <v>353.0</v>
      </c>
      <c r="B785" s="26">
        <v>45412.0</v>
      </c>
      <c r="C785" s="25">
        <v>181.0</v>
      </c>
      <c r="D785" s="25">
        <v>10.0</v>
      </c>
      <c r="E785" s="25">
        <v>4.0</v>
      </c>
      <c r="F785" s="25">
        <v>5.0</v>
      </c>
      <c r="G785" s="27" t="s">
        <v>24</v>
      </c>
    </row>
    <row r="786" ht="22.5" customHeight="1">
      <c r="A786" s="25">
        <v>625.0</v>
      </c>
      <c r="B786" s="26">
        <v>45412.0</v>
      </c>
      <c r="C786" s="25">
        <v>11.0</v>
      </c>
      <c r="D786" s="25">
        <v>18.0</v>
      </c>
      <c r="E786" s="25">
        <v>1.0</v>
      </c>
      <c r="F786" s="25">
        <v>2.0</v>
      </c>
      <c r="G786" s="27" t="s">
        <v>24</v>
      </c>
    </row>
    <row r="787" ht="22.5" customHeight="1">
      <c r="A787" s="25">
        <v>898.0</v>
      </c>
      <c r="B787" s="26">
        <v>45412.0</v>
      </c>
      <c r="C787" s="25">
        <v>179.0</v>
      </c>
      <c r="D787" s="25">
        <v>9.0</v>
      </c>
      <c r="E787" s="25">
        <v>6.0</v>
      </c>
      <c r="F787" s="25">
        <v>4.0</v>
      </c>
      <c r="G787" s="27" t="s">
        <v>24</v>
      </c>
    </row>
    <row r="788" ht="22.5" customHeight="1">
      <c r="A788" s="25">
        <v>1127.0</v>
      </c>
      <c r="B788" s="26">
        <v>45412.0</v>
      </c>
      <c r="C788" s="25">
        <v>136.0</v>
      </c>
      <c r="D788" s="25">
        <v>6.0</v>
      </c>
      <c r="E788" s="25">
        <v>2.0</v>
      </c>
      <c r="F788" s="25">
        <v>4.0</v>
      </c>
      <c r="G788" s="27" t="s">
        <v>24</v>
      </c>
    </row>
    <row r="789" ht="22.5" customHeight="1">
      <c r="A789" s="25">
        <v>1238.0</v>
      </c>
      <c r="B789" s="26">
        <v>45412.0</v>
      </c>
      <c r="C789" s="25">
        <v>254.0</v>
      </c>
      <c r="D789" s="25">
        <v>6.0</v>
      </c>
      <c r="E789" s="25">
        <v>2.0</v>
      </c>
      <c r="F789" s="25">
        <v>1.0</v>
      </c>
      <c r="G789" s="27" t="s">
        <v>25</v>
      </c>
    </row>
    <row r="790" ht="22.5" customHeight="1">
      <c r="A790" s="25">
        <v>1652.0</v>
      </c>
      <c r="B790" s="26">
        <v>45412.0</v>
      </c>
      <c r="C790" s="25">
        <v>106.0</v>
      </c>
      <c r="D790" s="25">
        <v>19.0</v>
      </c>
      <c r="E790" s="25">
        <v>4.0</v>
      </c>
      <c r="F790" s="25">
        <v>3.0</v>
      </c>
      <c r="G790" s="27" t="s">
        <v>24</v>
      </c>
    </row>
    <row r="791" ht="22.5" customHeight="1">
      <c r="A791" s="25">
        <v>2222.0</v>
      </c>
      <c r="B791" s="26">
        <v>45412.0</v>
      </c>
      <c r="C791" s="25">
        <v>163.0</v>
      </c>
      <c r="D791" s="25">
        <v>21.0</v>
      </c>
      <c r="E791" s="25">
        <v>1.0</v>
      </c>
      <c r="F791" s="25">
        <v>3.0</v>
      </c>
      <c r="G791" s="27" t="s">
        <v>24</v>
      </c>
    </row>
    <row r="792" ht="22.5" customHeight="1">
      <c r="A792" s="25">
        <v>2402.0</v>
      </c>
      <c r="B792" s="26">
        <v>45412.0</v>
      </c>
      <c r="C792" s="25">
        <v>90.0</v>
      </c>
      <c r="D792" s="25">
        <v>16.0</v>
      </c>
      <c r="E792" s="25">
        <v>6.0</v>
      </c>
      <c r="F792" s="25">
        <v>2.0</v>
      </c>
      <c r="G792" s="27" t="s">
        <v>24</v>
      </c>
    </row>
    <row r="793" ht="22.5" customHeight="1">
      <c r="A793" s="25">
        <v>2495.0</v>
      </c>
      <c r="B793" s="26">
        <v>45412.0</v>
      </c>
      <c r="C793" s="25">
        <v>299.0</v>
      </c>
      <c r="D793" s="25">
        <v>7.0</v>
      </c>
      <c r="E793" s="25">
        <v>4.0</v>
      </c>
      <c r="F793" s="25">
        <v>4.0</v>
      </c>
      <c r="G793" s="27" t="s">
        <v>24</v>
      </c>
    </row>
    <row r="794" ht="22.5" customHeight="1">
      <c r="A794" s="25">
        <v>419.0</v>
      </c>
      <c r="B794" s="26">
        <v>45413.0</v>
      </c>
      <c r="C794" s="25">
        <v>149.0</v>
      </c>
      <c r="D794" s="25">
        <v>2.0</v>
      </c>
      <c r="E794" s="25">
        <v>2.0</v>
      </c>
      <c r="F794" s="25">
        <v>3.0</v>
      </c>
      <c r="G794" s="27" t="s">
        <v>24</v>
      </c>
    </row>
    <row r="795" ht="22.5" customHeight="1">
      <c r="A795" s="25">
        <v>659.0</v>
      </c>
      <c r="B795" s="26">
        <v>45413.0</v>
      </c>
      <c r="C795" s="25">
        <v>213.0</v>
      </c>
      <c r="D795" s="25">
        <v>1.0</v>
      </c>
      <c r="E795" s="25">
        <v>2.0</v>
      </c>
      <c r="F795" s="25">
        <v>3.0</v>
      </c>
      <c r="G795" s="27" t="s">
        <v>24</v>
      </c>
    </row>
    <row r="796" ht="22.5" customHeight="1">
      <c r="A796" s="25">
        <v>1237.0</v>
      </c>
      <c r="B796" s="26">
        <v>45413.0</v>
      </c>
      <c r="C796" s="25">
        <v>247.0</v>
      </c>
      <c r="D796" s="25">
        <v>37.0</v>
      </c>
      <c r="E796" s="25">
        <v>6.0</v>
      </c>
      <c r="F796" s="25">
        <v>4.0</v>
      </c>
      <c r="G796" s="27" t="s">
        <v>24</v>
      </c>
    </row>
    <row r="797" ht="22.5" customHeight="1">
      <c r="A797" s="25">
        <v>1247.0</v>
      </c>
      <c r="B797" s="26">
        <v>45413.0</v>
      </c>
      <c r="C797" s="25">
        <v>87.0</v>
      </c>
      <c r="D797" s="25">
        <v>25.0</v>
      </c>
      <c r="E797" s="25">
        <v>6.0</v>
      </c>
      <c r="F797" s="25">
        <v>1.0</v>
      </c>
      <c r="G797" s="27" t="s">
        <v>24</v>
      </c>
    </row>
    <row r="798" ht="22.5" customHeight="1">
      <c r="A798" s="25">
        <v>1472.0</v>
      </c>
      <c r="B798" s="26">
        <v>45413.0</v>
      </c>
      <c r="C798" s="25">
        <v>1.0</v>
      </c>
      <c r="D798" s="25">
        <v>12.0</v>
      </c>
      <c r="E798" s="25">
        <v>2.0</v>
      </c>
      <c r="F798" s="25">
        <v>3.0</v>
      </c>
      <c r="G798" s="27" t="s">
        <v>24</v>
      </c>
    </row>
    <row r="799" ht="22.5" customHeight="1">
      <c r="A799" s="25">
        <v>1961.0</v>
      </c>
      <c r="B799" s="26">
        <v>45413.0</v>
      </c>
      <c r="C799" s="25">
        <v>177.0</v>
      </c>
      <c r="D799" s="25">
        <v>35.0</v>
      </c>
      <c r="E799" s="25">
        <v>3.0</v>
      </c>
      <c r="F799" s="25">
        <v>5.0</v>
      </c>
      <c r="G799" s="27" t="s">
        <v>24</v>
      </c>
    </row>
    <row r="800" ht="22.5" customHeight="1">
      <c r="A800" s="25">
        <v>1986.0</v>
      </c>
      <c r="B800" s="26">
        <v>45413.0</v>
      </c>
      <c r="C800" s="25">
        <v>278.0</v>
      </c>
      <c r="D800" s="25">
        <v>17.0</v>
      </c>
      <c r="E800" s="25">
        <v>6.0</v>
      </c>
      <c r="F800" s="25">
        <v>5.0</v>
      </c>
      <c r="G800" s="27" t="s">
        <v>24</v>
      </c>
    </row>
    <row r="801" ht="22.5" customHeight="1">
      <c r="A801" s="25">
        <v>2659.0</v>
      </c>
      <c r="B801" s="26">
        <v>45413.0</v>
      </c>
      <c r="C801" s="25">
        <v>274.0</v>
      </c>
      <c r="D801" s="25">
        <v>13.0</v>
      </c>
      <c r="E801" s="25">
        <v>5.0</v>
      </c>
      <c r="F801" s="25">
        <v>4.0</v>
      </c>
      <c r="G801" s="27" t="s">
        <v>24</v>
      </c>
    </row>
    <row r="802" ht="22.5" customHeight="1">
      <c r="A802" s="25">
        <v>2890.0</v>
      </c>
      <c r="B802" s="26">
        <v>45413.0</v>
      </c>
      <c r="C802" s="25">
        <v>156.0</v>
      </c>
      <c r="D802" s="25">
        <v>8.0</v>
      </c>
      <c r="E802" s="25">
        <v>5.0</v>
      </c>
      <c r="F802" s="25">
        <v>4.0</v>
      </c>
      <c r="G802" s="27" t="s">
        <v>24</v>
      </c>
    </row>
    <row r="803" ht="22.5" customHeight="1">
      <c r="A803" s="25">
        <v>169.0</v>
      </c>
      <c r="B803" s="26">
        <v>45414.0</v>
      </c>
      <c r="C803" s="25">
        <v>279.0</v>
      </c>
      <c r="D803" s="25">
        <v>24.0</v>
      </c>
      <c r="E803" s="25">
        <v>4.0</v>
      </c>
      <c r="F803" s="25">
        <v>2.0</v>
      </c>
      <c r="G803" s="27" t="s">
        <v>24</v>
      </c>
    </row>
    <row r="804" ht="22.5" customHeight="1">
      <c r="A804" s="25">
        <v>287.0</v>
      </c>
      <c r="B804" s="26">
        <v>45414.0</v>
      </c>
      <c r="C804" s="25">
        <v>70.0</v>
      </c>
      <c r="D804" s="25">
        <v>23.0</v>
      </c>
      <c r="E804" s="25">
        <v>6.0</v>
      </c>
      <c r="F804" s="25">
        <v>2.0</v>
      </c>
      <c r="G804" s="27" t="s">
        <v>24</v>
      </c>
    </row>
    <row r="805" ht="22.5" customHeight="1">
      <c r="A805" s="25">
        <v>692.0</v>
      </c>
      <c r="B805" s="26">
        <v>45414.0</v>
      </c>
      <c r="C805" s="25">
        <v>303.0</v>
      </c>
      <c r="D805" s="25">
        <v>3.0</v>
      </c>
      <c r="E805" s="25">
        <v>5.0</v>
      </c>
      <c r="F805" s="25">
        <v>5.0</v>
      </c>
      <c r="G805" s="27" t="s">
        <v>24</v>
      </c>
    </row>
    <row r="806" ht="22.5" customHeight="1">
      <c r="A806" s="25">
        <v>1609.0</v>
      </c>
      <c r="B806" s="26">
        <v>45414.0</v>
      </c>
      <c r="C806" s="25">
        <v>286.0</v>
      </c>
      <c r="D806" s="25">
        <v>15.0</v>
      </c>
      <c r="E806" s="25">
        <v>3.0</v>
      </c>
      <c r="F806" s="25">
        <v>2.0</v>
      </c>
      <c r="G806" s="27" t="s">
        <v>24</v>
      </c>
    </row>
    <row r="807" ht="22.5" customHeight="1">
      <c r="A807" s="25">
        <v>1926.0</v>
      </c>
      <c r="B807" s="26">
        <v>45414.0</v>
      </c>
      <c r="C807" s="25">
        <v>55.0</v>
      </c>
      <c r="D807" s="25">
        <v>33.0</v>
      </c>
      <c r="E807" s="25">
        <v>1.0</v>
      </c>
      <c r="F807" s="25">
        <v>4.0</v>
      </c>
      <c r="G807" s="27" t="s">
        <v>24</v>
      </c>
    </row>
    <row r="808" ht="22.5" customHeight="1">
      <c r="A808" s="25">
        <v>2810.0</v>
      </c>
      <c r="B808" s="26">
        <v>45414.0</v>
      </c>
      <c r="C808" s="25">
        <v>314.0</v>
      </c>
      <c r="D808" s="25">
        <v>12.0</v>
      </c>
      <c r="E808" s="25">
        <v>2.0</v>
      </c>
      <c r="F808" s="25">
        <v>1.0</v>
      </c>
      <c r="G808" s="27" t="s">
        <v>25</v>
      </c>
    </row>
    <row r="809" ht="22.5" customHeight="1">
      <c r="A809" s="25">
        <v>2826.0</v>
      </c>
      <c r="B809" s="26">
        <v>45414.0</v>
      </c>
      <c r="C809" s="25">
        <v>323.0</v>
      </c>
      <c r="D809" s="25">
        <v>34.0</v>
      </c>
      <c r="E809" s="25">
        <v>1.0</v>
      </c>
      <c r="F809" s="25">
        <v>5.0</v>
      </c>
      <c r="G809" s="27" t="s">
        <v>24</v>
      </c>
    </row>
    <row r="810" ht="22.5" customHeight="1">
      <c r="A810" s="25">
        <v>2883.0</v>
      </c>
      <c r="B810" s="26">
        <v>45414.0</v>
      </c>
      <c r="C810" s="25">
        <v>251.0</v>
      </c>
      <c r="D810" s="25">
        <v>5.0</v>
      </c>
      <c r="E810" s="25">
        <v>1.0</v>
      </c>
      <c r="F810" s="25">
        <v>5.0</v>
      </c>
      <c r="G810" s="27" t="s">
        <v>24</v>
      </c>
    </row>
    <row r="811" ht="22.5" customHeight="1">
      <c r="A811" s="25">
        <v>2938.0</v>
      </c>
      <c r="B811" s="26">
        <v>45414.0</v>
      </c>
      <c r="C811" s="25">
        <v>12.0</v>
      </c>
      <c r="D811" s="25">
        <v>31.0</v>
      </c>
      <c r="E811" s="25">
        <v>5.0</v>
      </c>
      <c r="F811" s="25">
        <v>4.0</v>
      </c>
      <c r="G811" s="27" t="s">
        <v>24</v>
      </c>
    </row>
    <row r="812" ht="22.5" customHeight="1">
      <c r="A812" s="25">
        <v>60.0</v>
      </c>
      <c r="B812" s="26">
        <v>45415.0</v>
      </c>
      <c r="C812" s="25">
        <v>53.0</v>
      </c>
      <c r="D812" s="25">
        <v>20.0</v>
      </c>
      <c r="E812" s="25">
        <v>5.0</v>
      </c>
      <c r="F812" s="25">
        <v>3.0</v>
      </c>
      <c r="G812" s="27" t="s">
        <v>24</v>
      </c>
    </row>
    <row r="813" ht="22.5" customHeight="1">
      <c r="A813" s="25">
        <v>270.0</v>
      </c>
      <c r="B813" s="26">
        <v>45415.0</v>
      </c>
      <c r="C813" s="25">
        <v>326.0</v>
      </c>
      <c r="D813" s="25">
        <v>8.0</v>
      </c>
      <c r="E813" s="25">
        <v>6.0</v>
      </c>
      <c r="F813" s="25">
        <v>5.0</v>
      </c>
      <c r="G813" s="27" t="s">
        <v>25</v>
      </c>
    </row>
    <row r="814" ht="22.5" customHeight="1">
      <c r="A814" s="25">
        <v>472.0</v>
      </c>
      <c r="B814" s="26">
        <v>45415.0</v>
      </c>
      <c r="C814" s="25">
        <v>123.0</v>
      </c>
      <c r="D814" s="25">
        <v>33.0</v>
      </c>
      <c r="E814" s="25">
        <v>4.0</v>
      </c>
      <c r="F814" s="25">
        <v>3.0</v>
      </c>
      <c r="G814" s="27" t="s">
        <v>24</v>
      </c>
    </row>
    <row r="815" ht="22.5" customHeight="1">
      <c r="A815" s="25">
        <v>1274.0</v>
      </c>
      <c r="B815" s="26">
        <v>45415.0</v>
      </c>
      <c r="C815" s="25">
        <v>187.0</v>
      </c>
      <c r="D815" s="25">
        <v>17.0</v>
      </c>
      <c r="E815" s="25">
        <v>4.0</v>
      </c>
      <c r="F815" s="25">
        <v>1.0</v>
      </c>
      <c r="G815" s="27" t="s">
        <v>24</v>
      </c>
    </row>
    <row r="816" ht="22.5" customHeight="1">
      <c r="A816" s="25">
        <v>1655.0</v>
      </c>
      <c r="B816" s="26">
        <v>45415.0</v>
      </c>
      <c r="C816" s="25">
        <v>293.0</v>
      </c>
      <c r="D816" s="25">
        <v>27.0</v>
      </c>
      <c r="E816" s="25">
        <v>5.0</v>
      </c>
      <c r="F816" s="25">
        <v>4.0</v>
      </c>
      <c r="G816" s="27" t="s">
        <v>24</v>
      </c>
    </row>
    <row r="817" ht="22.5" customHeight="1">
      <c r="A817" s="25">
        <v>1774.0</v>
      </c>
      <c r="B817" s="26">
        <v>45415.0</v>
      </c>
      <c r="C817" s="25">
        <v>232.0</v>
      </c>
      <c r="D817" s="25">
        <v>8.0</v>
      </c>
      <c r="E817" s="25">
        <v>3.0</v>
      </c>
      <c r="F817" s="25">
        <v>4.0</v>
      </c>
      <c r="G817" s="27" t="s">
        <v>24</v>
      </c>
    </row>
    <row r="818" ht="22.5" customHeight="1">
      <c r="A818" s="25">
        <v>2109.0</v>
      </c>
      <c r="B818" s="26">
        <v>45415.0</v>
      </c>
      <c r="C818" s="25">
        <v>284.0</v>
      </c>
      <c r="D818" s="25">
        <v>1.0</v>
      </c>
      <c r="E818" s="25">
        <v>2.0</v>
      </c>
      <c r="F818" s="25">
        <v>1.0</v>
      </c>
      <c r="G818" s="27" t="s">
        <v>24</v>
      </c>
    </row>
    <row r="819" ht="22.5" customHeight="1">
      <c r="A819" s="25">
        <v>2388.0</v>
      </c>
      <c r="B819" s="26">
        <v>45415.0</v>
      </c>
      <c r="C819" s="25">
        <v>128.0</v>
      </c>
      <c r="D819" s="25">
        <v>37.0</v>
      </c>
      <c r="E819" s="25">
        <v>2.0</v>
      </c>
      <c r="F819" s="25">
        <v>5.0</v>
      </c>
      <c r="G819" s="27" t="s">
        <v>24</v>
      </c>
    </row>
    <row r="820" ht="22.5" customHeight="1">
      <c r="A820" s="25">
        <v>2898.0</v>
      </c>
      <c r="B820" s="26">
        <v>45415.0</v>
      </c>
      <c r="C820" s="25">
        <v>188.0</v>
      </c>
      <c r="D820" s="25">
        <v>1.0</v>
      </c>
      <c r="E820" s="25">
        <v>5.0</v>
      </c>
      <c r="F820" s="25">
        <v>4.0</v>
      </c>
      <c r="G820" s="27" t="s">
        <v>24</v>
      </c>
    </row>
    <row r="821" ht="22.5" customHeight="1">
      <c r="A821" s="25">
        <v>2943.0</v>
      </c>
      <c r="B821" s="26">
        <v>45415.0</v>
      </c>
      <c r="C821" s="25">
        <v>181.0</v>
      </c>
      <c r="D821" s="25">
        <v>17.0</v>
      </c>
      <c r="E821" s="25">
        <v>3.0</v>
      </c>
      <c r="F821" s="25">
        <v>1.0</v>
      </c>
      <c r="G821" s="27" t="s">
        <v>24</v>
      </c>
    </row>
    <row r="822" ht="22.5" customHeight="1">
      <c r="A822" s="25">
        <v>103.0</v>
      </c>
      <c r="B822" s="26">
        <v>45416.0</v>
      </c>
      <c r="C822" s="25">
        <v>98.0</v>
      </c>
      <c r="D822" s="25">
        <v>17.0</v>
      </c>
      <c r="E822" s="25">
        <v>3.0</v>
      </c>
      <c r="F822" s="25">
        <v>5.0</v>
      </c>
      <c r="G822" s="27" t="s">
        <v>24</v>
      </c>
    </row>
    <row r="823" ht="22.5" customHeight="1">
      <c r="A823" s="25">
        <v>238.0</v>
      </c>
      <c r="B823" s="26">
        <v>45416.0</v>
      </c>
      <c r="C823" s="25">
        <v>25.0</v>
      </c>
      <c r="D823" s="25">
        <v>2.0</v>
      </c>
      <c r="E823" s="25">
        <v>2.0</v>
      </c>
      <c r="F823" s="25">
        <v>3.0</v>
      </c>
      <c r="G823" s="27" t="s">
        <v>24</v>
      </c>
    </row>
    <row r="824" ht="22.5" customHeight="1">
      <c r="A824" s="25">
        <v>727.0</v>
      </c>
      <c r="B824" s="26">
        <v>45416.0</v>
      </c>
      <c r="C824" s="25">
        <v>241.0</v>
      </c>
      <c r="D824" s="25">
        <v>4.0</v>
      </c>
      <c r="E824" s="25">
        <v>6.0</v>
      </c>
      <c r="F824" s="25">
        <v>3.0</v>
      </c>
      <c r="G824" s="27" t="s">
        <v>24</v>
      </c>
    </row>
    <row r="825" ht="22.5" customHeight="1">
      <c r="A825" s="25">
        <v>766.0</v>
      </c>
      <c r="B825" s="26">
        <v>45416.0</v>
      </c>
      <c r="C825" s="25">
        <v>166.0</v>
      </c>
      <c r="D825" s="25">
        <v>8.0</v>
      </c>
      <c r="E825" s="25">
        <v>6.0</v>
      </c>
      <c r="F825" s="25">
        <v>3.0</v>
      </c>
      <c r="G825" s="27" t="s">
        <v>25</v>
      </c>
    </row>
    <row r="826" ht="22.5" customHeight="1">
      <c r="A826" s="25">
        <v>1613.0</v>
      </c>
      <c r="B826" s="26">
        <v>45416.0</v>
      </c>
      <c r="C826" s="25">
        <v>12.0</v>
      </c>
      <c r="D826" s="25">
        <v>3.0</v>
      </c>
      <c r="E826" s="25">
        <v>5.0</v>
      </c>
      <c r="F826" s="25">
        <v>1.0</v>
      </c>
      <c r="G826" s="27" t="s">
        <v>24</v>
      </c>
    </row>
    <row r="827" ht="22.5" customHeight="1">
      <c r="A827" s="25">
        <v>1743.0</v>
      </c>
      <c r="B827" s="26">
        <v>45416.0</v>
      </c>
      <c r="C827" s="25">
        <v>9.0</v>
      </c>
      <c r="D827" s="25">
        <v>1.0</v>
      </c>
      <c r="E827" s="25">
        <v>4.0</v>
      </c>
      <c r="F827" s="25">
        <v>4.0</v>
      </c>
      <c r="G827" s="27" t="s">
        <v>24</v>
      </c>
    </row>
    <row r="828" ht="22.5" customHeight="1">
      <c r="A828" s="25">
        <v>2146.0</v>
      </c>
      <c r="B828" s="26">
        <v>45416.0</v>
      </c>
      <c r="C828" s="25">
        <v>278.0</v>
      </c>
      <c r="D828" s="25">
        <v>15.0</v>
      </c>
      <c r="E828" s="25">
        <v>2.0</v>
      </c>
      <c r="F828" s="25">
        <v>4.0</v>
      </c>
      <c r="G828" s="27" t="s">
        <v>24</v>
      </c>
    </row>
    <row r="829" ht="22.5" customHeight="1">
      <c r="A829" s="25">
        <v>2605.0</v>
      </c>
      <c r="B829" s="26">
        <v>45416.0</v>
      </c>
      <c r="C829" s="25">
        <v>210.0</v>
      </c>
      <c r="D829" s="25">
        <v>24.0</v>
      </c>
      <c r="E829" s="25">
        <v>6.0</v>
      </c>
      <c r="F829" s="25">
        <v>5.0</v>
      </c>
      <c r="G829" s="27" t="s">
        <v>24</v>
      </c>
    </row>
    <row r="830" ht="22.5" customHeight="1">
      <c r="A830" s="25">
        <v>174.0</v>
      </c>
      <c r="B830" s="26">
        <v>45417.0</v>
      </c>
      <c r="C830" s="25">
        <v>264.0</v>
      </c>
      <c r="D830" s="25">
        <v>2.0</v>
      </c>
      <c r="E830" s="25">
        <v>1.0</v>
      </c>
      <c r="F830" s="25">
        <v>3.0</v>
      </c>
      <c r="G830" s="27" t="s">
        <v>24</v>
      </c>
    </row>
    <row r="831" ht="22.5" customHeight="1">
      <c r="A831" s="25">
        <v>1738.0</v>
      </c>
      <c r="B831" s="26">
        <v>45417.0</v>
      </c>
      <c r="C831" s="25">
        <v>198.0</v>
      </c>
      <c r="D831" s="25">
        <v>10.0</v>
      </c>
      <c r="E831" s="25">
        <v>4.0</v>
      </c>
      <c r="F831" s="25">
        <v>4.0</v>
      </c>
      <c r="G831" s="27" t="s">
        <v>24</v>
      </c>
    </row>
    <row r="832" ht="22.5" customHeight="1">
      <c r="A832" s="25">
        <v>2313.0</v>
      </c>
      <c r="B832" s="26">
        <v>45417.0</v>
      </c>
      <c r="C832" s="25">
        <v>122.0</v>
      </c>
      <c r="D832" s="25">
        <v>33.0</v>
      </c>
      <c r="E832" s="25">
        <v>2.0</v>
      </c>
      <c r="F832" s="25">
        <v>3.0</v>
      </c>
      <c r="G832" s="27" t="s">
        <v>24</v>
      </c>
    </row>
    <row r="833" ht="22.5" customHeight="1">
      <c r="A833" s="25">
        <v>2473.0</v>
      </c>
      <c r="B833" s="26">
        <v>45417.0</v>
      </c>
      <c r="C833" s="25">
        <v>181.0</v>
      </c>
      <c r="D833" s="25">
        <v>37.0</v>
      </c>
      <c r="E833" s="25">
        <v>5.0</v>
      </c>
      <c r="F833" s="25">
        <v>4.0</v>
      </c>
      <c r="G833" s="27" t="s">
        <v>24</v>
      </c>
    </row>
    <row r="834" ht="22.5" customHeight="1">
      <c r="A834" s="25">
        <v>2544.0</v>
      </c>
      <c r="B834" s="26">
        <v>45417.0</v>
      </c>
      <c r="C834" s="25">
        <v>34.0</v>
      </c>
      <c r="D834" s="25">
        <v>30.0</v>
      </c>
      <c r="E834" s="25">
        <v>1.0</v>
      </c>
      <c r="F834" s="25">
        <v>1.0</v>
      </c>
      <c r="G834" s="27" t="s">
        <v>24</v>
      </c>
    </row>
    <row r="835" ht="22.5" customHeight="1">
      <c r="A835" s="25">
        <v>2840.0</v>
      </c>
      <c r="B835" s="26">
        <v>45417.0</v>
      </c>
      <c r="C835" s="25">
        <v>289.0</v>
      </c>
      <c r="D835" s="25">
        <v>35.0</v>
      </c>
      <c r="E835" s="25">
        <v>3.0</v>
      </c>
      <c r="F835" s="25">
        <v>4.0</v>
      </c>
      <c r="G835" s="27" t="s">
        <v>24</v>
      </c>
    </row>
    <row r="836" ht="22.5" customHeight="1">
      <c r="A836" s="25">
        <v>2924.0</v>
      </c>
      <c r="B836" s="26">
        <v>45417.0</v>
      </c>
      <c r="C836" s="25">
        <v>158.0</v>
      </c>
      <c r="D836" s="25">
        <v>2.0</v>
      </c>
      <c r="E836" s="25">
        <v>6.0</v>
      </c>
      <c r="F836" s="25">
        <v>1.0</v>
      </c>
      <c r="G836" s="27" t="s">
        <v>24</v>
      </c>
    </row>
    <row r="837" ht="22.5" customHeight="1">
      <c r="A837" s="25">
        <v>2997.0</v>
      </c>
      <c r="B837" s="26">
        <v>45417.0</v>
      </c>
      <c r="C837" s="25">
        <v>178.0</v>
      </c>
      <c r="D837" s="25">
        <v>25.0</v>
      </c>
      <c r="E837" s="25">
        <v>2.0</v>
      </c>
      <c r="F837" s="25">
        <v>5.0</v>
      </c>
      <c r="G837" s="27" t="s">
        <v>24</v>
      </c>
    </row>
    <row r="838" ht="22.5" customHeight="1">
      <c r="A838" s="25">
        <v>455.0</v>
      </c>
      <c r="B838" s="26">
        <v>45418.0</v>
      </c>
      <c r="C838" s="25">
        <v>4.0</v>
      </c>
      <c r="D838" s="25">
        <v>27.0</v>
      </c>
      <c r="E838" s="25">
        <v>4.0</v>
      </c>
      <c r="F838" s="25">
        <v>3.0</v>
      </c>
      <c r="G838" s="27" t="s">
        <v>24</v>
      </c>
    </row>
    <row r="839" ht="22.5" customHeight="1">
      <c r="A839" s="25">
        <v>614.0</v>
      </c>
      <c r="B839" s="26">
        <v>45418.0</v>
      </c>
      <c r="C839" s="25">
        <v>245.0</v>
      </c>
      <c r="D839" s="25">
        <v>34.0</v>
      </c>
      <c r="E839" s="25">
        <v>3.0</v>
      </c>
      <c r="F839" s="25">
        <v>5.0</v>
      </c>
      <c r="G839" s="27" t="s">
        <v>24</v>
      </c>
    </row>
    <row r="840" ht="22.5" customHeight="1">
      <c r="A840" s="25">
        <v>815.0</v>
      </c>
      <c r="B840" s="26">
        <v>45418.0</v>
      </c>
      <c r="C840" s="25">
        <v>186.0</v>
      </c>
      <c r="D840" s="25">
        <v>5.0</v>
      </c>
      <c r="E840" s="25">
        <v>2.0</v>
      </c>
      <c r="F840" s="25">
        <v>4.0</v>
      </c>
      <c r="G840" s="27" t="s">
        <v>24</v>
      </c>
    </row>
    <row r="841" ht="22.5" customHeight="1">
      <c r="A841" s="25">
        <v>1424.0</v>
      </c>
      <c r="B841" s="26">
        <v>45418.0</v>
      </c>
      <c r="C841" s="25">
        <v>174.0</v>
      </c>
      <c r="D841" s="25">
        <v>35.0</v>
      </c>
      <c r="E841" s="25">
        <v>1.0</v>
      </c>
      <c r="F841" s="25">
        <v>5.0</v>
      </c>
      <c r="G841" s="27" t="s">
        <v>24</v>
      </c>
    </row>
    <row r="842" ht="22.5" customHeight="1">
      <c r="A842" s="25">
        <v>1433.0</v>
      </c>
      <c r="B842" s="26">
        <v>45418.0</v>
      </c>
      <c r="C842" s="25">
        <v>222.0</v>
      </c>
      <c r="D842" s="25">
        <v>16.0</v>
      </c>
      <c r="E842" s="25">
        <v>1.0</v>
      </c>
      <c r="F842" s="25">
        <v>1.0</v>
      </c>
      <c r="G842" s="27" t="s">
        <v>25</v>
      </c>
    </row>
    <row r="843" ht="22.5" customHeight="1">
      <c r="A843" s="25">
        <v>1517.0</v>
      </c>
      <c r="B843" s="26">
        <v>45418.0</v>
      </c>
      <c r="C843" s="25">
        <v>106.0</v>
      </c>
      <c r="D843" s="25">
        <v>31.0</v>
      </c>
      <c r="E843" s="25">
        <v>5.0</v>
      </c>
      <c r="F843" s="25">
        <v>5.0</v>
      </c>
      <c r="G843" s="27" t="s">
        <v>24</v>
      </c>
    </row>
    <row r="844" ht="22.5" customHeight="1">
      <c r="A844" s="25">
        <v>2379.0</v>
      </c>
      <c r="B844" s="26">
        <v>45418.0</v>
      </c>
      <c r="C844" s="25">
        <v>321.0</v>
      </c>
      <c r="D844" s="25">
        <v>13.0</v>
      </c>
      <c r="E844" s="25">
        <v>5.0</v>
      </c>
      <c r="F844" s="25">
        <v>1.0</v>
      </c>
      <c r="G844" s="27" t="s">
        <v>24</v>
      </c>
    </row>
    <row r="845" ht="22.5" customHeight="1">
      <c r="A845" s="25">
        <v>2602.0</v>
      </c>
      <c r="B845" s="26">
        <v>45418.0</v>
      </c>
      <c r="C845" s="25">
        <v>157.0</v>
      </c>
      <c r="D845" s="25">
        <v>37.0</v>
      </c>
      <c r="E845" s="25">
        <v>1.0</v>
      </c>
      <c r="F845" s="25">
        <v>5.0</v>
      </c>
      <c r="G845" s="27" t="s">
        <v>24</v>
      </c>
    </row>
    <row r="846" ht="22.5" customHeight="1">
      <c r="A846" s="25">
        <v>2950.0</v>
      </c>
      <c r="B846" s="26">
        <v>45418.0</v>
      </c>
      <c r="C846" s="25">
        <v>307.0</v>
      </c>
      <c r="D846" s="25">
        <v>26.0</v>
      </c>
      <c r="E846" s="25">
        <v>4.0</v>
      </c>
      <c r="F846" s="25">
        <v>1.0</v>
      </c>
      <c r="G846" s="27" t="s">
        <v>24</v>
      </c>
    </row>
    <row r="847" ht="22.5" customHeight="1">
      <c r="A847" s="25">
        <v>140.0</v>
      </c>
      <c r="B847" s="26">
        <v>45419.0</v>
      </c>
      <c r="C847" s="25">
        <v>220.0</v>
      </c>
      <c r="D847" s="25">
        <v>29.0</v>
      </c>
      <c r="E847" s="25">
        <v>3.0</v>
      </c>
      <c r="F847" s="25">
        <v>5.0</v>
      </c>
      <c r="G847" s="27" t="s">
        <v>24</v>
      </c>
    </row>
    <row r="848" ht="22.5" customHeight="1">
      <c r="A848" s="25">
        <v>686.0</v>
      </c>
      <c r="B848" s="26">
        <v>45419.0</v>
      </c>
      <c r="C848" s="25">
        <v>171.0</v>
      </c>
      <c r="D848" s="25">
        <v>16.0</v>
      </c>
      <c r="E848" s="25">
        <v>1.0</v>
      </c>
      <c r="F848" s="25">
        <v>3.0</v>
      </c>
      <c r="G848" s="27" t="s">
        <v>24</v>
      </c>
    </row>
    <row r="849" ht="22.5" customHeight="1">
      <c r="A849" s="25">
        <v>1250.0</v>
      </c>
      <c r="B849" s="26">
        <v>45419.0</v>
      </c>
      <c r="C849" s="25">
        <v>234.0</v>
      </c>
      <c r="D849" s="25">
        <v>8.0</v>
      </c>
      <c r="E849" s="25">
        <v>1.0</v>
      </c>
      <c r="F849" s="25">
        <v>2.0</v>
      </c>
      <c r="G849" s="27" t="s">
        <v>24</v>
      </c>
    </row>
    <row r="850" ht="22.5" customHeight="1">
      <c r="A850" s="25">
        <v>1734.0</v>
      </c>
      <c r="B850" s="26">
        <v>45419.0</v>
      </c>
      <c r="C850" s="25">
        <v>311.0</v>
      </c>
      <c r="D850" s="25">
        <v>8.0</v>
      </c>
      <c r="E850" s="25">
        <v>3.0</v>
      </c>
      <c r="F850" s="25">
        <v>5.0</v>
      </c>
      <c r="G850" s="27" t="s">
        <v>24</v>
      </c>
    </row>
    <row r="851" ht="22.5" customHeight="1">
      <c r="A851" s="25">
        <v>1739.0</v>
      </c>
      <c r="B851" s="26">
        <v>45419.0</v>
      </c>
      <c r="C851" s="25">
        <v>222.0</v>
      </c>
      <c r="D851" s="25">
        <v>2.0</v>
      </c>
      <c r="E851" s="25">
        <v>4.0</v>
      </c>
      <c r="F851" s="25">
        <v>4.0</v>
      </c>
      <c r="G851" s="27" t="s">
        <v>24</v>
      </c>
    </row>
    <row r="852" ht="22.5" customHeight="1">
      <c r="A852" s="25">
        <v>1802.0</v>
      </c>
      <c r="B852" s="26">
        <v>45419.0</v>
      </c>
      <c r="C852" s="25">
        <v>81.0</v>
      </c>
      <c r="D852" s="25">
        <v>30.0</v>
      </c>
      <c r="E852" s="25">
        <v>6.0</v>
      </c>
      <c r="F852" s="25">
        <v>2.0</v>
      </c>
      <c r="G852" s="27" t="s">
        <v>24</v>
      </c>
    </row>
    <row r="853" ht="22.5" customHeight="1">
      <c r="A853" s="25">
        <v>2110.0</v>
      </c>
      <c r="B853" s="26">
        <v>45419.0</v>
      </c>
      <c r="C853" s="25">
        <v>27.0</v>
      </c>
      <c r="D853" s="25">
        <v>29.0</v>
      </c>
      <c r="E853" s="25">
        <v>5.0</v>
      </c>
      <c r="F853" s="25">
        <v>2.0</v>
      </c>
      <c r="G853" s="27" t="s">
        <v>25</v>
      </c>
    </row>
    <row r="854" ht="22.5" customHeight="1">
      <c r="A854" s="25">
        <v>2136.0</v>
      </c>
      <c r="B854" s="26">
        <v>45419.0</v>
      </c>
      <c r="C854" s="25">
        <v>150.0</v>
      </c>
      <c r="D854" s="25">
        <v>12.0</v>
      </c>
      <c r="E854" s="25">
        <v>6.0</v>
      </c>
      <c r="F854" s="25">
        <v>2.0</v>
      </c>
      <c r="G854" s="27" t="s">
        <v>24</v>
      </c>
    </row>
    <row r="855" ht="22.5" customHeight="1">
      <c r="A855" s="25">
        <v>2568.0</v>
      </c>
      <c r="B855" s="26">
        <v>45419.0</v>
      </c>
      <c r="C855" s="25">
        <v>92.0</v>
      </c>
      <c r="D855" s="25">
        <v>33.0</v>
      </c>
      <c r="E855" s="25">
        <v>4.0</v>
      </c>
      <c r="F855" s="25">
        <v>4.0</v>
      </c>
      <c r="G855" s="27" t="s">
        <v>24</v>
      </c>
    </row>
    <row r="856" ht="22.5" customHeight="1">
      <c r="A856" s="25">
        <v>897.0</v>
      </c>
      <c r="B856" s="26">
        <v>45420.0</v>
      </c>
      <c r="C856" s="25">
        <v>234.0</v>
      </c>
      <c r="D856" s="25">
        <v>23.0</v>
      </c>
      <c r="E856" s="25">
        <v>5.0</v>
      </c>
      <c r="F856" s="25">
        <v>4.0</v>
      </c>
      <c r="G856" s="27" t="s">
        <v>24</v>
      </c>
    </row>
    <row r="857" ht="22.5" customHeight="1">
      <c r="A857" s="25">
        <v>1051.0</v>
      </c>
      <c r="B857" s="26">
        <v>45420.0</v>
      </c>
      <c r="C857" s="25">
        <v>308.0</v>
      </c>
      <c r="D857" s="25">
        <v>7.0</v>
      </c>
      <c r="E857" s="25">
        <v>2.0</v>
      </c>
      <c r="F857" s="25">
        <v>5.0</v>
      </c>
      <c r="G857" s="27" t="s">
        <v>25</v>
      </c>
    </row>
    <row r="858" ht="22.5" customHeight="1">
      <c r="A858" s="25">
        <v>1235.0</v>
      </c>
      <c r="B858" s="26">
        <v>45420.0</v>
      </c>
      <c r="C858" s="25">
        <v>250.0</v>
      </c>
      <c r="D858" s="25">
        <v>16.0</v>
      </c>
      <c r="E858" s="25">
        <v>6.0</v>
      </c>
      <c r="F858" s="25">
        <v>3.0</v>
      </c>
      <c r="G858" s="27" t="s">
        <v>23</v>
      </c>
    </row>
    <row r="859" ht="22.5" customHeight="1">
      <c r="A859" s="25">
        <v>1270.0</v>
      </c>
      <c r="B859" s="26">
        <v>45420.0</v>
      </c>
      <c r="C859" s="25">
        <v>173.0</v>
      </c>
      <c r="D859" s="25">
        <v>29.0</v>
      </c>
      <c r="E859" s="25">
        <v>6.0</v>
      </c>
      <c r="F859" s="25">
        <v>4.0</v>
      </c>
      <c r="G859" s="27" t="s">
        <v>24</v>
      </c>
    </row>
    <row r="860" ht="22.5" customHeight="1">
      <c r="A860" s="25">
        <v>1648.0</v>
      </c>
      <c r="B860" s="26">
        <v>45420.0</v>
      </c>
      <c r="C860" s="25">
        <v>50.0</v>
      </c>
      <c r="D860" s="25">
        <v>31.0</v>
      </c>
      <c r="E860" s="25">
        <v>1.0</v>
      </c>
      <c r="F860" s="25">
        <v>5.0</v>
      </c>
      <c r="G860" s="27" t="s">
        <v>24</v>
      </c>
    </row>
    <row r="861" ht="22.5" customHeight="1">
      <c r="A861" s="25">
        <v>1659.0</v>
      </c>
      <c r="B861" s="26">
        <v>45420.0</v>
      </c>
      <c r="C861" s="25">
        <v>283.0</v>
      </c>
      <c r="D861" s="25">
        <v>21.0</v>
      </c>
      <c r="E861" s="25">
        <v>4.0</v>
      </c>
      <c r="F861" s="25">
        <v>5.0</v>
      </c>
      <c r="G861" s="27" t="s">
        <v>25</v>
      </c>
    </row>
    <row r="862" ht="22.5" customHeight="1">
      <c r="A862" s="25">
        <v>2487.0</v>
      </c>
      <c r="B862" s="26">
        <v>45420.0</v>
      </c>
      <c r="C862" s="25">
        <v>250.0</v>
      </c>
      <c r="D862" s="25">
        <v>35.0</v>
      </c>
      <c r="E862" s="25">
        <v>5.0</v>
      </c>
      <c r="F862" s="25">
        <v>3.0</v>
      </c>
      <c r="G862" s="27" t="s">
        <v>25</v>
      </c>
    </row>
    <row r="863" ht="22.5" customHeight="1">
      <c r="A863" s="25">
        <v>1019.0</v>
      </c>
      <c r="B863" s="26">
        <v>45421.0</v>
      </c>
      <c r="C863" s="25">
        <v>225.0</v>
      </c>
      <c r="D863" s="25">
        <v>26.0</v>
      </c>
      <c r="E863" s="25">
        <v>4.0</v>
      </c>
      <c r="F863" s="25">
        <v>4.0</v>
      </c>
      <c r="G863" s="27" t="s">
        <v>24</v>
      </c>
    </row>
    <row r="864" ht="22.5" customHeight="1">
      <c r="A864" s="25">
        <v>1921.0</v>
      </c>
      <c r="B864" s="26">
        <v>45421.0</v>
      </c>
      <c r="C864" s="25">
        <v>192.0</v>
      </c>
      <c r="D864" s="25">
        <v>24.0</v>
      </c>
      <c r="E864" s="25">
        <v>6.0</v>
      </c>
      <c r="F864" s="25">
        <v>4.0</v>
      </c>
      <c r="G864" s="27" t="s">
        <v>24</v>
      </c>
    </row>
    <row r="865" ht="22.5" customHeight="1">
      <c r="A865" s="25">
        <v>2193.0</v>
      </c>
      <c r="B865" s="26">
        <v>45421.0</v>
      </c>
      <c r="C865" s="25">
        <v>244.0</v>
      </c>
      <c r="D865" s="25">
        <v>30.0</v>
      </c>
      <c r="E865" s="25">
        <v>5.0</v>
      </c>
      <c r="F865" s="25">
        <v>1.0</v>
      </c>
      <c r="G865" s="27" t="s">
        <v>24</v>
      </c>
    </row>
    <row r="866" ht="22.5" customHeight="1">
      <c r="A866" s="25">
        <v>2452.0</v>
      </c>
      <c r="B866" s="26">
        <v>45421.0</v>
      </c>
      <c r="C866" s="25">
        <v>215.0</v>
      </c>
      <c r="D866" s="25">
        <v>32.0</v>
      </c>
      <c r="E866" s="25">
        <v>5.0</v>
      </c>
      <c r="F866" s="25">
        <v>1.0</v>
      </c>
      <c r="G866" s="27" t="s">
        <v>24</v>
      </c>
    </row>
    <row r="867" ht="22.5" customHeight="1">
      <c r="A867" s="25">
        <v>2485.0</v>
      </c>
      <c r="B867" s="26">
        <v>45421.0</v>
      </c>
      <c r="C867" s="25">
        <v>66.0</v>
      </c>
      <c r="D867" s="25">
        <v>6.0</v>
      </c>
      <c r="E867" s="25">
        <v>5.0</v>
      </c>
      <c r="F867" s="25">
        <v>5.0</v>
      </c>
      <c r="G867" s="27" t="s">
        <v>24</v>
      </c>
    </row>
    <row r="868" ht="22.5" customHeight="1">
      <c r="A868" s="25">
        <v>90.0</v>
      </c>
      <c r="B868" s="26">
        <v>45422.0</v>
      </c>
      <c r="C868" s="25">
        <v>161.0</v>
      </c>
      <c r="D868" s="25">
        <v>16.0</v>
      </c>
      <c r="E868" s="25">
        <v>3.0</v>
      </c>
      <c r="F868" s="25">
        <v>5.0</v>
      </c>
      <c r="G868" s="27" t="s">
        <v>24</v>
      </c>
    </row>
    <row r="869" ht="22.5" customHeight="1">
      <c r="A869" s="25">
        <v>182.0</v>
      </c>
      <c r="B869" s="26">
        <v>45422.0</v>
      </c>
      <c r="C869" s="25">
        <v>301.0</v>
      </c>
      <c r="D869" s="25">
        <v>13.0</v>
      </c>
      <c r="E869" s="25">
        <v>2.0</v>
      </c>
      <c r="F869" s="25">
        <v>3.0</v>
      </c>
      <c r="G869" s="27" t="s">
        <v>24</v>
      </c>
    </row>
    <row r="870" ht="22.5" customHeight="1">
      <c r="A870" s="25">
        <v>303.0</v>
      </c>
      <c r="B870" s="26">
        <v>45422.0</v>
      </c>
      <c r="C870" s="25">
        <v>216.0</v>
      </c>
      <c r="D870" s="25">
        <v>3.0</v>
      </c>
      <c r="E870" s="25">
        <v>1.0</v>
      </c>
      <c r="F870" s="25">
        <v>4.0</v>
      </c>
      <c r="G870" s="27" t="s">
        <v>25</v>
      </c>
    </row>
    <row r="871" ht="22.5" customHeight="1">
      <c r="A871" s="25">
        <v>422.0</v>
      </c>
      <c r="B871" s="26">
        <v>45422.0</v>
      </c>
      <c r="C871" s="25">
        <v>81.0</v>
      </c>
      <c r="D871" s="25">
        <v>11.0</v>
      </c>
      <c r="E871" s="25">
        <v>2.0</v>
      </c>
      <c r="F871" s="25">
        <v>4.0</v>
      </c>
      <c r="G871" s="27" t="s">
        <v>24</v>
      </c>
    </row>
    <row r="872" ht="22.5" customHeight="1">
      <c r="A872" s="25">
        <v>524.0</v>
      </c>
      <c r="B872" s="26">
        <v>45422.0</v>
      </c>
      <c r="C872" s="25">
        <v>54.0</v>
      </c>
      <c r="D872" s="25">
        <v>7.0</v>
      </c>
      <c r="E872" s="25">
        <v>4.0</v>
      </c>
      <c r="F872" s="25">
        <v>4.0</v>
      </c>
      <c r="G872" s="27" t="s">
        <v>25</v>
      </c>
    </row>
    <row r="873" ht="22.5" customHeight="1">
      <c r="A873" s="25">
        <v>778.0</v>
      </c>
      <c r="B873" s="26">
        <v>45422.0</v>
      </c>
      <c r="C873" s="25">
        <v>46.0</v>
      </c>
      <c r="D873" s="25">
        <v>6.0</v>
      </c>
      <c r="E873" s="25">
        <v>1.0</v>
      </c>
      <c r="F873" s="25">
        <v>4.0</v>
      </c>
      <c r="G873" s="27" t="s">
        <v>24</v>
      </c>
    </row>
    <row r="874" ht="22.5" customHeight="1">
      <c r="A874" s="25">
        <v>1031.0</v>
      </c>
      <c r="B874" s="26">
        <v>45422.0</v>
      </c>
      <c r="C874" s="25">
        <v>103.0</v>
      </c>
      <c r="D874" s="25">
        <v>10.0</v>
      </c>
      <c r="E874" s="25">
        <v>4.0</v>
      </c>
      <c r="F874" s="25">
        <v>5.0</v>
      </c>
      <c r="G874" s="27" t="s">
        <v>24</v>
      </c>
    </row>
    <row r="875" ht="22.5" customHeight="1">
      <c r="A875" s="25">
        <v>1268.0</v>
      </c>
      <c r="B875" s="26">
        <v>45422.0</v>
      </c>
      <c r="C875" s="25">
        <v>14.0</v>
      </c>
      <c r="D875" s="25">
        <v>8.0</v>
      </c>
      <c r="E875" s="25">
        <v>4.0</v>
      </c>
      <c r="F875" s="25">
        <v>1.0</v>
      </c>
      <c r="G875" s="27" t="s">
        <v>25</v>
      </c>
    </row>
    <row r="876" ht="22.5" customHeight="1">
      <c r="A876" s="25">
        <v>1385.0</v>
      </c>
      <c r="B876" s="26">
        <v>45422.0</v>
      </c>
      <c r="C876" s="25">
        <v>151.0</v>
      </c>
      <c r="D876" s="25">
        <v>13.0</v>
      </c>
      <c r="E876" s="25">
        <v>4.0</v>
      </c>
      <c r="F876" s="25">
        <v>5.0</v>
      </c>
      <c r="G876" s="27" t="s">
        <v>24</v>
      </c>
    </row>
    <row r="877" ht="22.5" customHeight="1">
      <c r="A877" s="25">
        <v>1387.0</v>
      </c>
      <c r="B877" s="26">
        <v>45422.0</v>
      </c>
      <c r="C877" s="25">
        <v>156.0</v>
      </c>
      <c r="D877" s="25">
        <v>27.0</v>
      </c>
      <c r="E877" s="25">
        <v>6.0</v>
      </c>
      <c r="F877" s="25">
        <v>5.0</v>
      </c>
      <c r="G877" s="27" t="s">
        <v>24</v>
      </c>
    </row>
    <row r="878" ht="22.5" customHeight="1">
      <c r="A878" s="25">
        <v>1447.0</v>
      </c>
      <c r="B878" s="26">
        <v>45422.0</v>
      </c>
      <c r="C878" s="25">
        <v>75.0</v>
      </c>
      <c r="D878" s="25">
        <v>37.0</v>
      </c>
      <c r="E878" s="25">
        <v>2.0</v>
      </c>
      <c r="F878" s="25">
        <v>5.0</v>
      </c>
      <c r="G878" s="27" t="s">
        <v>24</v>
      </c>
    </row>
    <row r="879" ht="22.5" customHeight="1">
      <c r="A879" s="25">
        <v>1467.0</v>
      </c>
      <c r="B879" s="26">
        <v>45422.0</v>
      </c>
      <c r="C879" s="25">
        <v>59.0</v>
      </c>
      <c r="D879" s="25">
        <v>4.0</v>
      </c>
      <c r="E879" s="25">
        <v>1.0</v>
      </c>
      <c r="F879" s="25">
        <v>1.0</v>
      </c>
      <c r="G879" s="27" t="s">
        <v>24</v>
      </c>
    </row>
    <row r="880" ht="22.5" customHeight="1">
      <c r="A880" s="25">
        <v>1824.0</v>
      </c>
      <c r="B880" s="26">
        <v>45422.0</v>
      </c>
      <c r="C880" s="25">
        <v>73.0</v>
      </c>
      <c r="D880" s="25">
        <v>26.0</v>
      </c>
      <c r="E880" s="25">
        <v>3.0</v>
      </c>
      <c r="F880" s="25">
        <v>1.0</v>
      </c>
      <c r="G880" s="27" t="s">
        <v>24</v>
      </c>
    </row>
    <row r="881" ht="22.5" customHeight="1">
      <c r="A881" s="25">
        <v>2005.0</v>
      </c>
      <c r="B881" s="26">
        <v>45422.0</v>
      </c>
      <c r="C881" s="25">
        <v>45.0</v>
      </c>
      <c r="D881" s="25">
        <v>28.0</v>
      </c>
      <c r="E881" s="25">
        <v>3.0</v>
      </c>
      <c r="F881" s="25">
        <v>4.0</v>
      </c>
      <c r="G881" s="27" t="s">
        <v>25</v>
      </c>
    </row>
    <row r="882" ht="22.5" customHeight="1">
      <c r="A882" s="25">
        <v>2311.0</v>
      </c>
      <c r="B882" s="26">
        <v>45422.0</v>
      </c>
      <c r="C882" s="25">
        <v>45.0</v>
      </c>
      <c r="D882" s="25">
        <v>18.0</v>
      </c>
      <c r="E882" s="25">
        <v>2.0</v>
      </c>
      <c r="F882" s="25">
        <v>4.0</v>
      </c>
      <c r="G882" s="27" t="s">
        <v>24</v>
      </c>
    </row>
    <row r="883" ht="22.5" customHeight="1">
      <c r="A883" s="25">
        <v>2794.0</v>
      </c>
      <c r="B883" s="26">
        <v>45422.0</v>
      </c>
      <c r="C883" s="25">
        <v>114.0</v>
      </c>
      <c r="D883" s="25">
        <v>38.0</v>
      </c>
      <c r="E883" s="25">
        <v>2.0</v>
      </c>
      <c r="F883" s="25">
        <v>5.0</v>
      </c>
      <c r="G883" s="27" t="s">
        <v>25</v>
      </c>
    </row>
    <row r="884" ht="22.5" customHeight="1">
      <c r="A884" s="25">
        <v>63.0</v>
      </c>
      <c r="B884" s="26">
        <v>45423.0</v>
      </c>
      <c r="C884" s="25">
        <v>180.0</v>
      </c>
      <c r="D884" s="25">
        <v>33.0</v>
      </c>
      <c r="E884" s="25">
        <v>1.0</v>
      </c>
      <c r="F884" s="25">
        <v>3.0</v>
      </c>
      <c r="G884" s="27" t="s">
        <v>24</v>
      </c>
    </row>
    <row r="885" ht="22.5" customHeight="1">
      <c r="A885" s="25">
        <v>214.0</v>
      </c>
      <c r="B885" s="26">
        <v>45423.0</v>
      </c>
      <c r="C885" s="25">
        <v>9.0</v>
      </c>
      <c r="D885" s="25">
        <v>8.0</v>
      </c>
      <c r="E885" s="25">
        <v>2.0</v>
      </c>
      <c r="F885" s="25">
        <v>5.0</v>
      </c>
      <c r="G885" s="27" t="s">
        <v>24</v>
      </c>
    </row>
    <row r="886" ht="22.5" customHeight="1">
      <c r="A886" s="25">
        <v>857.0</v>
      </c>
      <c r="B886" s="26">
        <v>45423.0</v>
      </c>
      <c r="C886" s="25">
        <v>325.0</v>
      </c>
      <c r="D886" s="25">
        <v>24.0</v>
      </c>
      <c r="E886" s="25">
        <v>1.0</v>
      </c>
      <c r="F886" s="25">
        <v>1.0</v>
      </c>
      <c r="G886" s="27" t="s">
        <v>24</v>
      </c>
    </row>
    <row r="887" ht="22.5" customHeight="1">
      <c r="A887" s="25">
        <v>1050.0</v>
      </c>
      <c r="B887" s="26">
        <v>45423.0</v>
      </c>
      <c r="C887" s="25">
        <v>115.0</v>
      </c>
      <c r="D887" s="25">
        <v>27.0</v>
      </c>
      <c r="E887" s="25">
        <v>3.0</v>
      </c>
      <c r="F887" s="25">
        <v>4.0</v>
      </c>
      <c r="G887" s="27" t="s">
        <v>24</v>
      </c>
    </row>
    <row r="888" ht="22.5" customHeight="1">
      <c r="A888" s="25">
        <v>1140.0</v>
      </c>
      <c r="B888" s="26">
        <v>45423.0</v>
      </c>
      <c r="C888" s="25">
        <v>184.0</v>
      </c>
      <c r="D888" s="25">
        <v>23.0</v>
      </c>
      <c r="E888" s="25">
        <v>1.0</v>
      </c>
      <c r="F888" s="25">
        <v>5.0</v>
      </c>
      <c r="G888" s="27" t="s">
        <v>25</v>
      </c>
    </row>
    <row r="889" ht="22.5" customHeight="1">
      <c r="A889" s="25">
        <v>1351.0</v>
      </c>
      <c r="B889" s="26">
        <v>45423.0</v>
      </c>
      <c r="C889" s="25">
        <v>222.0</v>
      </c>
      <c r="D889" s="25">
        <v>4.0</v>
      </c>
      <c r="E889" s="25">
        <v>5.0</v>
      </c>
      <c r="F889" s="25">
        <v>5.0</v>
      </c>
      <c r="G889" s="27" t="s">
        <v>24</v>
      </c>
    </row>
    <row r="890" ht="22.5" customHeight="1">
      <c r="A890" s="25">
        <v>1747.0</v>
      </c>
      <c r="B890" s="26">
        <v>45423.0</v>
      </c>
      <c r="C890" s="25">
        <v>138.0</v>
      </c>
      <c r="D890" s="25">
        <v>15.0</v>
      </c>
      <c r="E890" s="25">
        <v>4.0</v>
      </c>
      <c r="F890" s="25">
        <v>2.0</v>
      </c>
      <c r="G890" s="27" t="s">
        <v>24</v>
      </c>
    </row>
    <row r="891" ht="22.5" customHeight="1">
      <c r="A891" s="25">
        <v>1847.0</v>
      </c>
      <c r="B891" s="26">
        <v>45423.0</v>
      </c>
      <c r="C891" s="25">
        <v>56.0</v>
      </c>
      <c r="D891" s="25">
        <v>18.0</v>
      </c>
      <c r="E891" s="25">
        <v>5.0</v>
      </c>
      <c r="F891" s="25">
        <v>4.0</v>
      </c>
      <c r="G891" s="27" t="s">
        <v>25</v>
      </c>
    </row>
    <row r="892" ht="22.5" customHeight="1">
      <c r="A892" s="25">
        <v>1876.0</v>
      </c>
      <c r="B892" s="26">
        <v>45423.0</v>
      </c>
      <c r="C892" s="25">
        <v>265.0</v>
      </c>
      <c r="D892" s="25">
        <v>3.0</v>
      </c>
      <c r="E892" s="25">
        <v>6.0</v>
      </c>
      <c r="F892" s="25">
        <v>5.0</v>
      </c>
      <c r="G892" s="27" t="s">
        <v>24</v>
      </c>
    </row>
    <row r="893" ht="22.5" customHeight="1">
      <c r="A893" s="25">
        <v>2332.0</v>
      </c>
      <c r="B893" s="26">
        <v>45423.0</v>
      </c>
      <c r="C893" s="25">
        <v>301.0</v>
      </c>
      <c r="D893" s="25">
        <v>3.0</v>
      </c>
      <c r="E893" s="25">
        <v>2.0</v>
      </c>
      <c r="F893" s="25">
        <v>5.0</v>
      </c>
      <c r="G893" s="27" t="s">
        <v>24</v>
      </c>
    </row>
    <row r="894" ht="22.5" customHeight="1">
      <c r="A894" s="25">
        <v>2520.0</v>
      </c>
      <c r="B894" s="26">
        <v>45423.0</v>
      </c>
      <c r="C894" s="25">
        <v>103.0</v>
      </c>
      <c r="D894" s="25">
        <v>10.0</v>
      </c>
      <c r="E894" s="25">
        <v>5.0</v>
      </c>
      <c r="F894" s="25">
        <v>5.0</v>
      </c>
      <c r="G894" s="27" t="s">
        <v>24</v>
      </c>
    </row>
    <row r="895" ht="22.5" customHeight="1">
      <c r="A895" s="25">
        <v>2567.0</v>
      </c>
      <c r="B895" s="26">
        <v>45423.0</v>
      </c>
      <c r="C895" s="25">
        <v>56.0</v>
      </c>
      <c r="D895" s="25">
        <v>27.0</v>
      </c>
      <c r="E895" s="25">
        <v>3.0</v>
      </c>
      <c r="F895" s="25">
        <v>5.0</v>
      </c>
      <c r="G895" s="27" t="s">
        <v>24</v>
      </c>
    </row>
    <row r="896" ht="22.5" customHeight="1">
      <c r="A896" s="25">
        <v>2892.0</v>
      </c>
      <c r="B896" s="26">
        <v>45423.0</v>
      </c>
      <c r="C896" s="25">
        <v>185.0</v>
      </c>
      <c r="D896" s="25">
        <v>27.0</v>
      </c>
      <c r="E896" s="25">
        <v>3.0</v>
      </c>
      <c r="F896" s="25">
        <v>5.0</v>
      </c>
      <c r="G896" s="27" t="s">
        <v>24</v>
      </c>
    </row>
    <row r="897" ht="22.5" customHeight="1">
      <c r="A897" s="25">
        <v>49.0</v>
      </c>
      <c r="B897" s="26">
        <v>45424.0</v>
      </c>
      <c r="C897" s="25">
        <v>237.0</v>
      </c>
      <c r="D897" s="25">
        <v>26.0</v>
      </c>
      <c r="E897" s="25">
        <v>3.0</v>
      </c>
      <c r="F897" s="25">
        <v>5.0</v>
      </c>
      <c r="G897" s="27" t="s">
        <v>25</v>
      </c>
    </row>
    <row r="898" ht="22.5" customHeight="1">
      <c r="A898" s="25">
        <v>350.0</v>
      </c>
      <c r="B898" s="26">
        <v>45424.0</v>
      </c>
      <c r="C898" s="25">
        <v>98.0</v>
      </c>
      <c r="D898" s="25">
        <v>34.0</v>
      </c>
      <c r="E898" s="25">
        <v>3.0</v>
      </c>
      <c r="F898" s="25">
        <v>1.0</v>
      </c>
      <c r="G898" s="27" t="s">
        <v>24</v>
      </c>
    </row>
    <row r="899" ht="22.5" customHeight="1">
      <c r="A899" s="25">
        <v>715.0</v>
      </c>
      <c r="B899" s="26">
        <v>45424.0</v>
      </c>
      <c r="C899" s="25">
        <v>281.0</v>
      </c>
      <c r="D899" s="25">
        <v>11.0</v>
      </c>
      <c r="E899" s="25">
        <v>1.0</v>
      </c>
      <c r="F899" s="25">
        <v>4.0</v>
      </c>
      <c r="G899" s="27" t="s">
        <v>24</v>
      </c>
    </row>
    <row r="900" ht="22.5" customHeight="1">
      <c r="A900" s="25">
        <v>1151.0</v>
      </c>
      <c r="B900" s="26">
        <v>45424.0</v>
      </c>
      <c r="C900" s="25">
        <v>59.0</v>
      </c>
      <c r="D900" s="25">
        <v>5.0</v>
      </c>
      <c r="E900" s="25">
        <v>3.0</v>
      </c>
      <c r="F900" s="25">
        <v>5.0</v>
      </c>
      <c r="G900" s="27" t="s">
        <v>24</v>
      </c>
    </row>
    <row r="901" ht="22.5" customHeight="1">
      <c r="A901" s="25">
        <v>1923.0</v>
      </c>
      <c r="B901" s="26">
        <v>45424.0</v>
      </c>
      <c r="C901" s="25">
        <v>112.0</v>
      </c>
      <c r="D901" s="25">
        <v>18.0</v>
      </c>
      <c r="E901" s="25">
        <v>5.0</v>
      </c>
      <c r="F901" s="25">
        <v>5.0</v>
      </c>
      <c r="G901" s="27" t="s">
        <v>24</v>
      </c>
    </row>
    <row r="902" ht="22.5" customHeight="1">
      <c r="A902" s="25">
        <v>2114.0</v>
      </c>
      <c r="B902" s="26">
        <v>45424.0</v>
      </c>
      <c r="C902" s="25">
        <v>119.0</v>
      </c>
      <c r="D902" s="25">
        <v>17.0</v>
      </c>
      <c r="E902" s="25">
        <v>4.0</v>
      </c>
      <c r="F902" s="25">
        <v>5.0</v>
      </c>
      <c r="G902" s="27" t="s">
        <v>25</v>
      </c>
    </row>
    <row r="903" ht="22.5" customHeight="1">
      <c r="A903" s="25">
        <v>2289.0</v>
      </c>
      <c r="B903" s="26">
        <v>45424.0</v>
      </c>
      <c r="C903" s="25">
        <v>288.0</v>
      </c>
      <c r="D903" s="25">
        <v>32.0</v>
      </c>
      <c r="E903" s="25">
        <v>6.0</v>
      </c>
      <c r="F903" s="25">
        <v>1.0</v>
      </c>
      <c r="G903" s="27" t="s">
        <v>25</v>
      </c>
    </row>
    <row r="904" ht="22.5" customHeight="1">
      <c r="A904" s="25">
        <v>2344.0</v>
      </c>
      <c r="B904" s="26">
        <v>45424.0</v>
      </c>
      <c r="C904" s="25">
        <v>76.0</v>
      </c>
      <c r="D904" s="25">
        <v>12.0</v>
      </c>
      <c r="E904" s="25">
        <v>6.0</v>
      </c>
      <c r="F904" s="25">
        <v>1.0</v>
      </c>
      <c r="G904" s="27" t="s">
        <v>24</v>
      </c>
    </row>
    <row r="905" ht="22.5" customHeight="1">
      <c r="A905" s="25">
        <v>449.0</v>
      </c>
      <c r="B905" s="26">
        <v>45425.0</v>
      </c>
      <c r="C905" s="25">
        <v>21.0</v>
      </c>
      <c r="D905" s="25">
        <v>34.0</v>
      </c>
      <c r="E905" s="25">
        <v>4.0</v>
      </c>
      <c r="F905" s="25">
        <v>5.0</v>
      </c>
      <c r="G905" s="27" t="s">
        <v>24</v>
      </c>
    </row>
    <row r="906" ht="22.5" customHeight="1">
      <c r="A906" s="25">
        <v>684.0</v>
      </c>
      <c r="B906" s="26">
        <v>45425.0</v>
      </c>
      <c r="C906" s="25">
        <v>180.0</v>
      </c>
      <c r="D906" s="25">
        <v>26.0</v>
      </c>
      <c r="E906" s="25">
        <v>3.0</v>
      </c>
      <c r="F906" s="25">
        <v>3.0</v>
      </c>
      <c r="G906" s="27" t="s">
        <v>24</v>
      </c>
    </row>
    <row r="907" ht="22.5" customHeight="1">
      <c r="A907" s="25">
        <v>902.0</v>
      </c>
      <c r="B907" s="26">
        <v>45425.0</v>
      </c>
      <c r="C907" s="25">
        <v>316.0</v>
      </c>
      <c r="D907" s="25">
        <v>37.0</v>
      </c>
      <c r="E907" s="25">
        <v>6.0</v>
      </c>
      <c r="F907" s="25">
        <v>4.0</v>
      </c>
      <c r="G907" s="27" t="s">
        <v>24</v>
      </c>
    </row>
    <row r="908" ht="22.5" customHeight="1">
      <c r="A908" s="25">
        <v>1067.0</v>
      </c>
      <c r="B908" s="26">
        <v>45425.0</v>
      </c>
      <c r="C908" s="25">
        <v>271.0</v>
      </c>
      <c r="D908" s="25">
        <v>27.0</v>
      </c>
      <c r="E908" s="25">
        <v>3.0</v>
      </c>
      <c r="F908" s="25">
        <v>5.0</v>
      </c>
      <c r="G908" s="27" t="s">
        <v>24</v>
      </c>
    </row>
    <row r="909" ht="22.5" customHeight="1">
      <c r="A909" s="25">
        <v>1097.0</v>
      </c>
      <c r="B909" s="26">
        <v>45425.0</v>
      </c>
      <c r="C909" s="25">
        <v>102.0</v>
      </c>
      <c r="D909" s="25">
        <v>31.0</v>
      </c>
      <c r="E909" s="25">
        <v>3.0</v>
      </c>
      <c r="F909" s="25">
        <v>5.0</v>
      </c>
      <c r="G909" s="27" t="s">
        <v>24</v>
      </c>
    </row>
    <row r="910" ht="22.5" customHeight="1">
      <c r="A910" s="25">
        <v>1731.0</v>
      </c>
      <c r="B910" s="26">
        <v>45425.0</v>
      </c>
      <c r="C910" s="25">
        <v>231.0</v>
      </c>
      <c r="D910" s="25">
        <v>30.0</v>
      </c>
      <c r="E910" s="25">
        <v>3.0</v>
      </c>
      <c r="F910" s="25">
        <v>5.0</v>
      </c>
      <c r="G910" s="27" t="s">
        <v>25</v>
      </c>
    </row>
    <row r="911" ht="22.5" customHeight="1">
      <c r="A911" s="25">
        <v>2020.0</v>
      </c>
      <c r="B911" s="26">
        <v>45425.0</v>
      </c>
      <c r="C911" s="25">
        <v>265.0</v>
      </c>
      <c r="D911" s="25">
        <v>6.0</v>
      </c>
      <c r="E911" s="25">
        <v>1.0</v>
      </c>
      <c r="F911" s="25">
        <v>1.0</v>
      </c>
      <c r="G911" s="27" t="s">
        <v>24</v>
      </c>
    </row>
    <row r="912" ht="22.5" customHeight="1">
      <c r="A912" s="25">
        <v>2493.0</v>
      </c>
      <c r="B912" s="26">
        <v>45425.0</v>
      </c>
      <c r="C912" s="25">
        <v>36.0</v>
      </c>
      <c r="D912" s="25">
        <v>3.0</v>
      </c>
      <c r="E912" s="25">
        <v>2.0</v>
      </c>
      <c r="F912" s="25">
        <v>5.0</v>
      </c>
      <c r="G912" s="27" t="s">
        <v>24</v>
      </c>
    </row>
    <row r="913" ht="22.5" customHeight="1">
      <c r="A913" s="25">
        <v>2728.0</v>
      </c>
      <c r="B913" s="26">
        <v>45425.0</v>
      </c>
      <c r="C913" s="25">
        <v>49.0</v>
      </c>
      <c r="D913" s="25">
        <v>6.0</v>
      </c>
      <c r="E913" s="25">
        <v>6.0</v>
      </c>
      <c r="F913" s="25">
        <v>4.0</v>
      </c>
      <c r="G913" s="27" t="s">
        <v>24</v>
      </c>
    </row>
    <row r="914" ht="22.5" customHeight="1">
      <c r="A914" s="25">
        <v>37.0</v>
      </c>
      <c r="B914" s="26">
        <v>45426.0</v>
      </c>
      <c r="C914" s="25">
        <v>12.0</v>
      </c>
      <c r="D914" s="25">
        <v>36.0</v>
      </c>
      <c r="E914" s="25">
        <v>5.0</v>
      </c>
      <c r="F914" s="25">
        <v>4.0</v>
      </c>
      <c r="G914" s="27" t="s">
        <v>24</v>
      </c>
    </row>
    <row r="915" ht="22.5" customHeight="1">
      <c r="A915" s="25">
        <v>337.0</v>
      </c>
      <c r="B915" s="26">
        <v>45426.0</v>
      </c>
      <c r="C915" s="25">
        <v>247.0</v>
      </c>
      <c r="D915" s="25">
        <v>28.0</v>
      </c>
      <c r="E915" s="25">
        <v>1.0</v>
      </c>
      <c r="F915" s="25">
        <v>1.0</v>
      </c>
      <c r="G915" s="27" t="s">
        <v>24</v>
      </c>
    </row>
    <row r="916" ht="22.5" customHeight="1">
      <c r="A916" s="25">
        <v>744.0</v>
      </c>
      <c r="B916" s="26">
        <v>45426.0</v>
      </c>
      <c r="C916" s="25">
        <v>326.0</v>
      </c>
      <c r="D916" s="25">
        <v>9.0</v>
      </c>
      <c r="E916" s="25">
        <v>1.0</v>
      </c>
      <c r="F916" s="25">
        <v>5.0</v>
      </c>
      <c r="G916" s="27" t="s">
        <v>25</v>
      </c>
    </row>
    <row r="917" ht="22.5" customHeight="1">
      <c r="A917" s="25">
        <v>796.0</v>
      </c>
      <c r="B917" s="26">
        <v>45426.0</v>
      </c>
      <c r="C917" s="25">
        <v>281.0</v>
      </c>
      <c r="D917" s="25">
        <v>37.0</v>
      </c>
      <c r="E917" s="25">
        <v>4.0</v>
      </c>
      <c r="F917" s="25">
        <v>1.0</v>
      </c>
      <c r="G917" s="27" t="s">
        <v>24</v>
      </c>
    </row>
    <row r="918" ht="22.5" customHeight="1">
      <c r="A918" s="25">
        <v>1155.0</v>
      </c>
      <c r="B918" s="26">
        <v>45426.0</v>
      </c>
      <c r="C918" s="25">
        <v>113.0</v>
      </c>
      <c r="D918" s="25">
        <v>37.0</v>
      </c>
      <c r="E918" s="25">
        <v>6.0</v>
      </c>
      <c r="F918" s="25">
        <v>1.0</v>
      </c>
      <c r="G918" s="27" t="s">
        <v>24</v>
      </c>
    </row>
    <row r="919" ht="22.5" customHeight="1">
      <c r="A919" s="25">
        <v>1685.0</v>
      </c>
      <c r="B919" s="26">
        <v>45426.0</v>
      </c>
      <c r="C919" s="25">
        <v>96.0</v>
      </c>
      <c r="D919" s="25">
        <v>31.0</v>
      </c>
      <c r="E919" s="25">
        <v>2.0</v>
      </c>
      <c r="F919" s="25">
        <v>4.0</v>
      </c>
      <c r="G919" s="27" t="s">
        <v>24</v>
      </c>
    </row>
    <row r="920" ht="22.5" customHeight="1">
      <c r="A920" s="25">
        <v>1699.0</v>
      </c>
      <c r="B920" s="26">
        <v>45426.0</v>
      </c>
      <c r="C920" s="25">
        <v>24.0</v>
      </c>
      <c r="D920" s="25">
        <v>32.0</v>
      </c>
      <c r="E920" s="25">
        <v>3.0</v>
      </c>
      <c r="F920" s="25">
        <v>5.0</v>
      </c>
      <c r="G920" s="27" t="s">
        <v>24</v>
      </c>
    </row>
    <row r="921" ht="22.5" customHeight="1">
      <c r="A921" s="25">
        <v>1933.0</v>
      </c>
      <c r="B921" s="26">
        <v>45426.0</v>
      </c>
      <c r="C921" s="25">
        <v>314.0</v>
      </c>
      <c r="D921" s="25">
        <v>12.0</v>
      </c>
      <c r="E921" s="25">
        <v>5.0</v>
      </c>
      <c r="F921" s="25">
        <v>3.0</v>
      </c>
      <c r="G921" s="27" t="s">
        <v>24</v>
      </c>
    </row>
    <row r="922" ht="22.5" customHeight="1">
      <c r="A922" s="25">
        <v>2564.0</v>
      </c>
      <c r="B922" s="26">
        <v>45426.0</v>
      </c>
      <c r="C922" s="25">
        <v>117.0</v>
      </c>
      <c r="D922" s="25">
        <v>8.0</v>
      </c>
      <c r="E922" s="25">
        <v>2.0</v>
      </c>
      <c r="F922" s="25">
        <v>4.0</v>
      </c>
      <c r="G922" s="27" t="s">
        <v>24</v>
      </c>
    </row>
    <row r="923" ht="22.5" customHeight="1">
      <c r="A923" s="25">
        <v>2583.0</v>
      </c>
      <c r="B923" s="26">
        <v>45426.0</v>
      </c>
      <c r="C923" s="25">
        <v>220.0</v>
      </c>
      <c r="D923" s="25">
        <v>26.0</v>
      </c>
      <c r="E923" s="25">
        <v>4.0</v>
      </c>
      <c r="F923" s="25">
        <v>4.0</v>
      </c>
      <c r="G923" s="27" t="s">
        <v>24</v>
      </c>
    </row>
    <row r="924" ht="22.5" customHeight="1">
      <c r="A924" s="25">
        <v>2590.0</v>
      </c>
      <c r="B924" s="26">
        <v>45426.0</v>
      </c>
      <c r="C924" s="25">
        <v>283.0</v>
      </c>
      <c r="D924" s="25">
        <v>21.0</v>
      </c>
      <c r="E924" s="25">
        <v>4.0</v>
      </c>
      <c r="F924" s="25">
        <v>3.0</v>
      </c>
      <c r="G924" s="27" t="s">
        <v>24</v>
      </c>
    </row>
    <row r="925" ht="22.5" customHeight="1">
      <c r="A925" s="25">
        <v>505.0</v>
      </c>
      <c r="B925" s="26">
        <v>45427.0</v>
      </c>
      <c r="C925" s="25">
        <v>316.0</v>
      </c>
      <c r="D925" s="25">
        <v>38.0</v>
      </c>
      <c r="E925" s="25">
        <v>5.0</v>
      </c>
      <c r="F925" s="25">
        <v>4.0</v>
      </c>
      <c r="G925" s="27" t="s">
        <v>24</v>
      </c>
    </row>
    <row r="926" ht="22.5" customHeight="1">
      <c r="A926" s="25">
        <v>1100.0</v>
      </c>
      <c r="B926" s="26">
        <v>45427.0</v>
      </c>
      <c r="C926" s="25">
        <v>18.0</v>
      </c>
      <c r="D926" s="25">
        <v>29.0</v>
      </c>
      <c r="E926" s="25">
        <v>2.0</v>
      </c>
      <c r="F926" s="25">
        <v>2.0</v>
      </c>
      <c r="G926" s="27" t="s">
        <v>24</v>
      </c>
    </row>
    <row r="927" ht="22.5" customHeight="1">
      <c r="A927" s="25">
        <v>1691.0</v>
      </c>
      <c r="B927" s="26">
        <v>45427.0</v>
      </c>
      <c r="C927" s="25">
        <v>283.0</v>
      </c>
      <c r="D927" s="25">
        <v>9.0</v>
      </c>
      <c r="E927" s="25">
        <v>1.0</v>
      </c>
      <c r="F927" s="25">
        <v>4.0</v>
      </c>
      <c r="G927" s="27" t="s">
        <v>24</v>
      </c>
    </row>
    <row r="928" ht="22.5" customHeight="1">
      <c r="A928" s="25">
        <v>1860.0</v>
      </c>
      <c r="B928" s="26">
        <v>45427.0</v>
      </c>
      <c r="C928" s="25">
        <v>54.0</v>
      </c>
      <c r="D928" s="25">
        <v>28.0</v>
      </c>
      <c r="E928" s="25">
        <v>5.0</v>
      </c>
      <c r="F928" s="25">
        <v>3.0</v>
      </c>
      <c r="G928" s="27" t="s">
        <v>24</v>
      </c>
    </row>
    <row r="929" ht="22.5" customHeight="1">
      <c r="A929" s="25">
        <v>1875.0</v>
      </c>
      <c r="B929" s="26">
        <v>45427.0</v>
      </c>
      <c r="C929" s="25">
        <v>6.0</v>
      </c>
      <c r="D929" s="25">
        <v>5.0</v>
      </c>
      <c r="E929" s="25">
        <v>2.0</v>
      </c>
      <c r="F929" s="25">
        <v>3.0</v>
      </c>
      <c r="G929" s="27" t="s">
        <v>24</v>
      </c>
    </row>
    <row r="930" ht="22.5" customHeight="1">
      <c r="A930" s="25">
        <v>1932.0</v>
      </c>
      <c r="B930" s="26">
        <v>45427.0</v>
      </c>
      <c r="C930" s="25">
        <v>146.0</v>
      </c>
      <c r="D930" s="25">
        <v>37.0</v>
      </c>
      <c r="E930" s="25">
        <v>1.0</v>
      </c>
      <c r="F930" s="25">
        <v>5.0</v>
      </c>
      <c r="G930" s="27" t="s">
        <v>24</v>
      </c>
    </row>
    <row r="931" ht="22.5" customHeight="1">
      <c r="A931" s="25">
        <v>2241.0</v>
      </c>
      <c r="B931" s="26">
        <v>45427.0</v>
      </c>
      <c r="C931" s="25">
        <v>25.0</v>
      </c>
      <c r="D931" s="25">
        <v>9.0</v>
      </c>
      <c r="E931" s="25">
        <v>3.0</v>
      </c>
      <c r="F931" s="25">
        <v>4.0</v>
      </c>
      <c r="G931" s="27" t="s">
        <v>24</v>
      </c>
    </row>
    <row r="932" ht="22.5" customHeight="1">
      <c r="A932" s="25">
        <v>655.0</v>
      </c>
      <c r="B932" s="26">
        <v>45428.0</v>
      </c>
      <c r="C932" s="25">
        <v>24.0</v>
      </c>
      <c r="D932" s="25">
        <v>20.0</v>
      </c>
      <c r="E932" s="25">
        <v>3.0</v>
      </c>
      <c r="F932" s="25">
        <v>5.0</v>
      </c>
      <c r="G932" s="27" t="s">
        <v>24</v>
      </c>
    </row>
    <row r="933" ht="22.5" customHeight="1">
      <c r="A933" s="25">
        <v>728.0</v>
      </c>
      <c r="B933" s="26">
        <v>45428.0</v>
      </c>
      <c r="C933" s="25">
        <v>193.0</v>
      </c>
      <c r="D933" s="25">
        <v>23.0</v>
      </c>
      <c r="E933" s="25">
        <v>1.0</v>
      </c>
      <c r="F933" s="25">
        <v>3.0</v>
      </c>
      <c r="G933" s="27" t="s">
        <v>24</v>
      </c>
    </row>
    <row r="934" ht="22.5" customHeight="1">
      <c r="A934" s="25">
        <v>1358.0</v>
      </c>
      <c r="B934" s="26">
        <v>45428.0</v>
      </c>
      <c r="C934" s="25">
        <v>115.0</v>
      </c>
      <c r="D934" s="25">
        <v>19.0</v>
      </c>
      <c r="E934" s="25">
        <v>2.0</v>
      </c>
      <c r="F934" s="25">
        <v>5.0</v>
      </c>
      <c r="G934" s="27" t="s">
        <v>24</v>
      </c>
    </row>
    <row r="935" ht="22.5" customHeight="1">
      <c r="A935" s="25">
        <v>1368.0</v>
      </c>
      <c r="B935" s="26">
        <v>45428.0</v>
      </c>
      <c r="C935" s="25">
        <v>57.0</v>
      </c>
      <c r="D935" s="25">
        <v>11.0</v>
      </c>
      <c r="E935" s="25">
        <v>6.0</v>
      </c>
      <c r="F935" s="25">
        <v>1.0</v>
      </c>
      <c r="G935" s="27" t="s">
        <v>24</v>
      </c>
    </row>
    <row r="936" ht="22.5" customHeight="1">
      <c r="A936" s="25">
        <v>1665.0</v>
      </c>
      <c r="B936" s="26">
        <v>45428.0</v>
      </c>
      <c r="C936" s="25">
        <v>191.0</v>
      </c>
      <c r="D936" s="25">
        <v>26.0</v>
      </c>
      <c r="E936" s="25">
        <v>3.0</v>
      </c>
      <c r="F936" s="25">
        <v>1.0</v>
      </c>
      <c r="G936" s="27" t="s">
        <v>24</v>
      </c>
    </row>
    <row r="937" ht="22.5" customHeight="1">
      <c r="A937" s="25">
        <v>1870.0</v>
      </c>
      <c r="B937" s="26">
        <v>45428.0</v>
      </c>
      <c r="C937" s="25">
        <v>307.0</v>
      </c>
      <c r="D937" s="25">
        <v>29.0</v>
      </c>
      <c r="E937" s="25">
        <v>3.0</v>
      </c>
      <c r="F937" s="25">
        <v>1.0</v>
      </c>
      <c r="G937" s="27" t="s">
        <v>24</v>
      </c>
    </row>
    <row r="938" ht="22.5" customHeight="1">
      <c r="A938" s="25">
        <v>2221.0</v>
      </c>
      <c r="B938" s="26">
        <v>45428.0</v>
      </c>
      <c r="C938" s="25">
        <v>63.0</v>
      </c>
      <c r="D938" s="25">
        <v>20.0</v>
      </c>
      <c r="E938" s="25">
        <v>6.0</v>
      </c>
      <c r="F938" s="25">
        <v>1.0</v>
      </c>
      <c r="G938" s="27" t="s">
        <v>24</v>
      </c>
    </row>
    <row r="939" ht="22.5" customHeight="1">
      <c r="A939" s="25">
        <v>2339.0</v>
      </c>
      <c r="B939" s="26">
        <v>45428.0</v>
      </c>
      <c r="C939" s="25">
        <v>6.0</v>
      </c>
      <c r="D939" s="25">
        <v>21.0</v>
      </c>
      <c r="E939" s="25">
        <v>6.0</v>
      </c>
      <c r="F939" s="25">
        <v>5.0</v>
      </c>
      <c r="G939" s="27" t="s">
        <v>24</v>
      </c>
    </row>
    <row r="940" ht="22.5" customHeight="1">
      <c r="A940" s="25">
        <v>2921.0</v>
      </c>
      <c r="B940" s="26">
        <v>45428.0</v>
      </c>
      <c r="C940" s="25">
        <v>262.0</v>
      </c>
      <c r="D940" s="25">
        <v>2.0</v>
      </c>
      <c r="E940" s="25">
        <v>1.0</v>
      </c>
      <c r="F940" s="25">
        <v>1.0</v>
      </c>
      <c r="G940" s="27" t="s">
        <v>25</v>
      </c>
    </row>
    <row r="941" ht="22.5" customHeight="1">
      <c r="A941" s="25">
        <v>1269.0</v>
      </c>
      <c r="B941" s="26">
        <v>45429.0</v>
      </c>
      <c r="C941" s="25">
        <v>106.0</v>
      </c>
      <c r="D941" s="25">
        <v>7.0</v>
      </c>
      <c r="E941" s="25">
        <v>4.0</v>
      </c>
      <c r="F941" s="25">
        <v>5.0</v>
      </c>
      <c r="G941" s="27" t="s">
        <v>24</v>
      </c>
    </row>
    <row r="942" ht="22.5" customHeight="1">
      <c r="A942" s="25">
        <v>1294.0</v>
      </c>
      <c r="B942" s="26">
        <v>45429.0</v>
      </c>
      <c r="C942" s="25">
        <v>325.0</v>
      </c>
      <c r="D942" s="25">
        <v>28.0</v>
      </c>
      <c r="E942" s="25">
        <v>1.0</v>
      </c>
      <c r="F942" s="25">
        <v>4.0</v>
      </c>
      <c r="G942" s="27" t="s">
        <v>24</v>
      </c>
    </row>
    <row r="943" ht="22.5" customHeight="1">
      <c r="A943" s="25">
        <v>1415.0</v>
      </c>
      <c r="B943" s="26">
        <v>45429.0</v>
      </c>
      <c r="C943" s="25">
        <v>119.0</v>
      </c>
      <c r="D943" s="25">
        <v>8.0</v>
      </c>
      <c r="E943" s="25">
        <v>5.0</v>
      </c>
      <c r="F943" s="25">
        <v>4.0</v>
      </c>
      <c r="G943" s="27" t="s">
        <v>24</v>
      </c>
    </row>
    <row r="944" ht="22.5" customHeight="1">
      <c r="A944" s="25">
        <v>1569.0</v>
      </c>
      <c r="B944" s="26">
        <v>45429.0</v>
      </c>
      <c r="C944" s="25">
        <v>194.0</v>
      </c>
      <c r="D944" s="25">
        <v>33.0</v>
      </c>
      <c r="E944" s="25">
        <v>5.0</v>
      </c>
      <c r="F944" s="25">
        <v>3.0</v>
      </c>
      <c r="G944" s="27" t="s">
        <v>24</v>
      </c>
    </row>
    <row r="945" ht="22.5" customHeight="1">
      <c r="A945" s="25">
        <v>1804.0</v>
      </c>
      <c r="B945" s="26">
        <v>45429.0</v>
      </c>
      <c r="C945" s="25">
        <v>184.0</v>
      </c>
      <c r="D945" s="25">
        <v>4.0</v>
      </c>
      <c r="E945" s="25">
        <v>2.0</v>
      </c>
      <c r="F945" s="25">
        <v>1.0</v>
      </c>
      <c r="G945" s="27" t="s">
        <v>24</v>
      </c>
    </row>
    <row r="946" ht="22.5" customHeight="1">
      <c r="A946" s="25">
        <v>2451.0</v>
      </c>
      <c r="B946" s="26">
        <v>45429.0</v>
      </c>
      <c r="C946" s="25">
        <v>311.0</v>
      </c>
      <c r="D946" s="25">
        <v>12.0</v>
      </c>
      <c r="E946" s="25">
        <v>1.0</v>
      </c>
      <c r="F946" s="25">
        <v>3.0</v>
      </c>
      <c r="G946" s="27" t="s">
        <v>24</v>
      </c>
    </row>
    <row r="947" ht="22.5" customHeight="1">
      <c r="A947" s="25">
        <v>2674.0</v>
      </c>
      <c r="B947" s="26">
        <v>45429.0</v>
      </c>
      <c r="C947" s="25">
        <v>165.0</v>
      </c>
      <c r="D947" s="25">
        <v>20.0</v>
      </c>
      <c r="E947" s="25">
        <v>2.0</v>
      </c>
      <c r="F947" s="25">
        <v>3.0</v>
      </c>
      <c r="G947" s="27" t="s">
        <v>24</v>
      </c>
    </row>
    <row r="948" ht="22.5" customHeight="1">
      <c r="A948" s="25">
        <v>2882.0</v>
      </c>
      <c r="B948" s="26">
        <v>45429.0</v>
      </c>
      <c r="C948" s="25">
        <v>23.0</v>
      </c>
      <c r="D948" s="25">
        <v>25.0</v>
      </c>
      <c r="E948" s="25">
        <v>2.0</v>
      </c>
      <c r="F948" s="25">
        <v>5.0</v>
      </c>
      <c r="G948" s="27" t="s">
        <v>24</v>
      </c>
    </row>
    <row r="949" ht="22.5" customHeight="1">
      <c r="A949" s="25">
        <v>808.0</v>
      </c>
      <c r="B949" s="26">
        <v>45430.0</v>
      </c>
      <c r="C949" s="25">
        <v>273.0</v>
      </c>
      <c r="D949" s="25">
        <v>28.0</v>
      </c>
      <c r="E949" s="25">
        <v>6.0</v>
      </c>
      <c r="F949" s="25">
        <v>1.0</v>
      </c>
      <c r="G949" s="27" t="s">
        <v>25</v>
      </c>
    </row>
    <row r="950" ht="22.5" customHeight="1">
      <c r="A950" s="25">
        <v>989.0</v>
      </c>
      <c r="B950" s="26">
        <v>45430.0</v>
      </c>
      <c r="C950" s="25">
        <v>115.0</v>
      </c>
      <c r="D950" s="25">
        <v>6.0</v>
      </c>
      <c r="E950" s="25">
        <v>4.0</v>
      </c>
      <c r="F950" s="25">
        <v>3.0</v>
      </c>
      <c r="G950" s="27" t="s">
        <v>25</v>
      </c>
    </row>
    <row r="951" ht="22.5" customHeight="1">
      <c r="A951" s="25">
        <v>1431.0</v>
      </c>
      <c r="B951" s="26">
        <v>45430.0</v>
      </c>
      <c r="C951" s="25">
        <v>43.0</v>
      </c>
      <c r="D951" s="25">
        <v>29.0</v>
      </c>
      <c r="E951" s="25">
        <v>3.0</v>
      </c>
      <c r="F951" s="25">
        <v>5.0</v>
      </c>
      <c r="G951" s="27" t="s">
        <v>24</v>
      </c>
    </row>
    <row r="952" ht="22.5" customHeight="1">
      <c r="A952" s="25">
        <v>1703.0</v>
      </c>
      <c r="B952" s="26">
        <v>45430.0</v>
      </c>
      <c r="C952" s="25">
        <v>150.0</v>
      </c>
      <c r="D952" s="25">
        <v>37.0</v>
      </c>
      <c r="E952" s="25">
        <v>3.0</v>
      </c>
      <c r="F952" s="25">
        <v>4.0</v>
      </c>
      <c r="G952" s="27" t="s">
        <v>24</v>
      </c>
    </row>
    <row r="953" ht="22.5" customHeight="1">
      <c r="A953" s="25">
        <v>1905.0</v>
      </c>
      <c r="B953" s="26">
        <v>45430.0</v>
      </c>
      <c r="C953" s="25">
        <v>275.0</v>
      </c>
      <c r="D953" s="25">
        <v>16.0</v>
      </c>
      <c r="E953" s="25">
        <v>1.0</v>
      </c>
      <c r="F953" s="25">
        <v>1.0</v>
      </c>
      <c r="G953" s="27" t="s">
        <v>24</v>
      </c>
    </row>
    <row r="954" ht="22.5" customHeight="1">
      <c r="A954" s="25">
        <v>58.0</v>
      </c>
      <c r="B954" s="26">
        <v>45431.0</v>
      </c>
      <c r="C954" s="25">
        <v>157.0</v>
      </c>
      <c r="D954" s="25">
        <v>5.0</v>
      </c>
      <c r="E954" s="25">
        <v>6.0</v>
      </c>
      <c r="F954" s="25">
        <v>1.0</v>
      </c>
      <c r="G954" s="27" t="s">
        <v>25</v>
      </c>
    </row>
    <row r="955" ht="22.5" customHeight="1">
      <c r="A955" s="25">
        <v>263.0</v>
      </c>
      <c r="B955" s="26">
        <v>45431.0</v>
      </c>
      <c r="C955" s="25">
        <v>130.0</v>
      </c>
      <c r="D955" s="25">
        <v>2.0</v>
      </c>
      <c r="E955" s="25">
        <v>1.0</v>
      </c>
      <c r="F955" s="25">
        <v>3.0</v>
      </c>
      <c r="G955" s="27" t="s">
        <v>24</v>
      </c>
    </row>
    <row r="956" ht="22.5" customHeight="1">
      <c r="A956" s="25">
        <v>542.0</v>
      </c>
      <c r="B956" s="26">
        <v>45431.0</v>
      </c>
      <c r="C956" s="25">
        <v>64.0</v>
      </c>
      <c r="D956" s="25">
        <v>15.0</v>
      </c>
      <c r="E956" s="25">
        <v>1.0</v>
      </c>
      <c r="F956" s="25">
        <v>3.0</v>
      </c>
      <c r="G956" s="27" t="s">
        <v>24</v>
      </c>
    </row>
    <row r="957" ht="22.5" customHeight="1">
      <c r="A957" s="25">
        <v>1239.0</v>
      </c>
      <c r="B957" s="26">
        <v>45431.0</v>
      </c>
      <c r="C957" s="25">
        <v>254.0</v>
      </c>
      <c r="D957" s="25">
        <v>34.0</v>
      </c>
      <c r="E957" s="25">
        <v>1.0</v>
      </c>
      <c r="F957" s="25">
        <v>1.0</v>
      </c>
      <c r="G957" s="27" t="s">
        <v>24</v>
      </c>
    </row>
    <row r="958" ht="22.5" customHeight="1">
      <c r="A958" s="25">
        <v>1328.0</v>
      </c>
      <c r="B958" s="26">
        <v>45431.0</v>
      </c>
      <c r="C958" s="25">
        <v>91.0</v>
      </c>
      <c r="D958" s="25">
        <v>29.0</v>
      </c>
      <c r="E958" s="25">
        <v>2.0</v>
      </c>
      <c r="F958" s="25">
        <v>4.0</v>
      </c>
      <c r="G958" s="27" t="s">
        <v>24</v>
      </c>
    </row>
    <row r="959" ht="22.5" customHeight="1">
      <c r="A959" s="25">
        <v>1838.0</v>
      </c>
      <c r="B959" s="26">
        <v>45431.0</v>
      </c>
      <c r="C959" s="25">
        <v>299.0</v>
      </c>
      <c r="D959" s="25">
        <v>26.0</v>
      </c>
      <c r="E959" s="25">
        <v>5.0</v>
      </c>
      <c r="F959" s="25">
        <v>4.0</v>
      </c>
      <c r="G959" s="27" t="s">
        <v>24</v>
      </c>
    </row>
    <row r="960" ht="22.5" customHeight="1">
      <c r="A960" s="25">
        <v>1974.0</v>
      </c>
      <c r="B960" s="26">
        <v>45431.0</v>
      </c>
      <c r="C960" s="25">
        <v>99.0</v>
      </c>
      <c r="D960" s="25">
        <v>17.0</v>
      </c>
      <c r="E960" s="25">
        <v>1.0</v>
      </c>
      <c r="F960" s="25">
        <v>4.0</v>
      </c>
      <c r="G960" s="27" t="s">
        <v>24</v>
      </c>
    </row>
    <row r="961" ht="22.5" customHeight="1">
      <c r="A961" s="25">
        <v>2232.0</v>
      </c>
      <c r="B961" s="26">
        <v>45431.0</v>
      </c>
      <c r="C961" s="25">
        <v>64.0</v>
      </c>
      <c r="D961" s="25">
        <v>20.0</v>
      </c>
      <c r="E961" s="25">
        <v>1.0</v>
      </c>
      <c r="F961" s="25">
        <v>1.0</v>
      </c>
      <c r="G961" s="27" t="s">
        <v>24</v>
      </c>
    </row>
    <row r="962" ht="22.5" customHeight="1">
      <c r="A962" s="25">
        <v>180.0</v>
      </c>
      <c r="B962" s="26">
        <v>45432.0</v>
      </c>
      <c r="C962" s="25">
        <v>58.0</v>
      </c>
      <c r="D962" s="25">
        <v>25.0</v>
      </c>
      <c r="E962" s="25">
        <v>3.0</v>
      </c>
      <c r="F962" s="25">
        <v>3.0</v>
      </c>
      <c r="G962" s="27" t="s">
        <v>25</v>
      </c>
    </row>
    <row r="963" ht="22.5" customHeight="1">
      <c r="A963" s="25">
        <v>227.0</v>
      </c>
      <c r="B963" s="26">
        <v>45432.0</v>
      </c>
      <c r="C963" s="25">
        <v>271.0</v>
      </c>
      <c r="D963" s="25">
        <v>7.0</v>
      </c>
      <c r="E963" s="25">
        <v>6.0</v>
      </c>
      <c r="F963" s="25">
        <v>2.0</v>
      </c>
      <c r="G963" s="27" t="s">
        <v>24</v>
      </c>
    </row>
    <row r="964" ht="22.5" customHeight="1">
      <c r="A964" s="25">
        <v>461.0</v>
      </c>
      <c r="B964" s="26">
        <v>45432.0</v>
      </c>
      <c r="C964" s="25">
        <v>185.0</v>
      </c>
      <c r="D964" s="25">
        <v>16.0</v>
      </c>
      <c r="E964" s="25">
        <v>1.0</v>
      </c>
      <c r="F964" s="25">
        <v>5.0</v>
      </c>
      <c r="G964" s="27" t="s">
        <v>24</v>
      </c>
    </row>
    <row r="965" ht="22.5" customHeight="1">
      <c r="A965" s="25">
        <v>824.0</v>
      </c>
      <c r="B965" s="26">
        <v>45432.0</v>
      </c>
      <c r="C965" s="25">
        <v>292.0</v>
      </c>
      <c r="D965" s="25">
        <v>38.0</v>
      </c>
      <c r="E965" s="25">
        <v>1.0</v>
      </c>
      <c r="F965" s="25">
        <v>1.0</v>
      </c>
      <c r="G965" s="27" t="s">
        <v>25</v>
      </c>
    </row>
    <row r="966" ht="22.5" customHeight="1">
      <c r="A966" s="25">
        <v>1587.0</v>
      </c>
      <c r="B966" s="26">
        <v>45432.0</v>
      </c>
      <c r="C966" s="25">
        <v>153.0</v>
      </c>
      <c r="D966" s="25">
        <v>31.0</v>
      </c>
      <c r="E966" s="25">
        <v>1.0</v>
      </c>
      <c r="F966" s="25">
        <v>4.0</v>
      </c>
      <c r="G966" s="27" t="s">
        <v>24</v>
      </c>
    </row>
    <row r="967" ht="22.5" customHeight="1">
      <c r="A967" s="25">
        <v>1727.0</v>
      </c>
      <c r="B967" s="26">
        <v>45432.0</v>
      </c>
      <c r="C967" s="25">
        <v>128.0</v>
      </c>
      <c r="D967" s="25">
        <v>14.0</v>
      </c>
      <c r="E967" s="25">
        <v>6.0</v>
      </c>
      <c r="F967" s="25">
        <v>3.0</v>
      </c>
      <c r="G967" s="27" t="s">
        <v>24</v>
      </c>
    </row>
    <row r="968" ht="22.5" customHeight="1">
      <c r="A968" s="25">
        <v>1823.0</v>
      </c>
      <c r="B968" s="26">
        <v>45432.0</v>
      </c>
      <c r="C968" s="25">
        <v>189.0</v>
      </c>
      <c r="D968" s="25">
        <v>4.0</v>
      </c>
      <c r="E968" s="25">
        <v>1.0</v>
      </c>
      <c r="F968" s="25">
        <v>4.0</v>
      </c>
      <c r="G968" s="27" t="s">
        <v>24</v>
      </c>
    </row>
    <row r="969" ht="22.5" customHeight="1">
      <c r="A969" s="25">
        <v>1831.0</v>
      </c>
      <c r="B969" s="26">
        <v>45432.0</v>
      </c>
      <c r="C969" s="25">
        <v>306.0</v>
      </c>
      <c r="D969" s="25">
        <v>10.0</v>
      </c>
      <c r="E969" s="25">
        <v>4.0</v>
      </c>
      <c r="F969" s="25">
        <v>2.0</v>
      </c>
      <c r="G969" s="27" t="s">
        <v>24</v>
      </c>
    </row>
    <row r="970" ht="22.5" customHeight="1">
      <c r="A970" s="25">
        <v>1919.0</v>
      </c>
      <c r="B970" s="26">
        <v>45432.0</v>
      </c>
      <c r="C970" s="25">
        <v>67.0</v>
      </c>
      <c r="D970" s="25">
        <v>36.0</v>
      </c>
      <c r="E970" s="25">
        <v>3.0</v>
      </c>
      <c r="F970" s="25">
        <v>4.0</v>
      </c>
      <c r="G970" s="27" t="s">
        <v>25</v>
      </c>
    </row>
    <row r="971" ht="22.5" customHeight="1">
      <c r="A971" s="25">
        <v>2196.0</v>
      </c>
      <c r="B971" s="26">
        <v>45432.0</v>
      </c>
      <c r="C971" s="25">
        <v>175.0</v>
      </c>
      <c r="D971" s="25">
        <v>23.0</v>
      </c>
      <c r="E971" s="25">
        <v>2.0</v>
      </c>
      <c r="F971" s="25">
        <v>4.0</v>
      </c>
      <c r="G971" s="27" t="s">
        <v>24</v>
      </c>
    </row>
    <row r="972" ht="22.5" customHeight="1">
      <c r="A972" s="25">
        <v>2928.0</v>
      </c>
      <c r="B972" s="26">
        <v>45432.0</v>
      </c>
      <c r="C972" s="25">
        <v>159.0</v>
      </c>
      <c r="D972" s="25">
        <v>15.0</v>
      </c>
      <c r="E972" s="25">
        <v>1.0</v>
      </c>
      <c r="F972" s="25">
        <v>1.0</v>
      </c>
      <c r="G972" s="27" t="s">
        <v>24</v>
      </c>
    </row>
    <row r="973" ht="22.5" customHeight="1">
      <c r="A973" s="25">
        <v>380.0</v>
      </c>
      <c r="B973" s="26">
        <v>45433.0</v>
      </c>
      <c r="C973" s="25">
        <v>24.0</v>
      </c>
      <c r="D973" s="25">
        <v>5.0</v>
      </c>
      <c r="E973" s="25">
        <v>5.0</v>
      </c>
      <c r="F973" s="25">
        <v>4.0</v>
      </c>
      <c r="G973" s="27" t="s">
        <v>25</v>
      </c>
    </row>
    <row r="974" ht="22.5" customHeight="1">
      <c r="A974" s="25">
        <v>652.0</v>
      </c>
      <c r="B974" s="26">
        <v>45433.0</v>
      </c>
      <c r="C974" s="25">
        <v>316.0</v>
      </c>
      <c r="D974" s="25">
        <v>23.0</v>
      </c>
      <c r="E974" s="25">
        <v>1.0</v>
      </c>
      <c r="F974" s="25">
        <v>4.0</v>
      </c>
      <c r="G974" s="27" t="s">
        <v>24</v>
      </c>
    </row>
    <row r="975" ht="22.5" customHeight="1">
      <c r="A975" s="25">
        <v>723.0</v>
      </c>
      <c r="B975" s="26">
        <v>45433.0</v>
      </c>
      <c r="C975" s="25">
        <v>101.0</v>
      </c>
      <c r="D975" s="25">
        <v>10.0</v>
      </c>
      <c r="E975" s="25">
        <v>3.0</v>
      </c>
      <c r="F975" s="25">
        <v>3.0</v>
      </c>
      <c r="G975" s="27" t="s">
        <v>25</v>
      </c>
    </row>
    <row r="976" ht="22.5" customHeight="1">
      <c r="A976" s="25">
        <v>1248.0</v>
      </c>
      <c r="B976" s="26">
        <v>45433.0</v>
      </c>
      <c r="C976" s="25">
        <v>86.0</v>
      </c>
      <c r="D976" s="25">
        <v>2.0</v>
      </c>
      <c r="E976" s="25">
        <v>3.0</v>
      </c>
      <c r="F976" s="25">
        <v>1.0</v>
      </c>
      <c r="G976" s="27" t="s">
        <v>25</v>
      </c>
    </row>
    <row r="977" ht="22.5" customHeight="1">
      <c r="A977" s="25">
        <v>1398.0</v>
      </c>
      <c r="B977" s="26">
        <v>45433.0</v>
      </c>
      <c r="C977" s="25">
        <v>202.0</v>
      </c>
      <c r="D977" s="25">
        <v>24.0</v>
      </c>
      <c r="E977" s="25">
        <v>3.0</v>
      </c>
      <c r="F977" s="25">
        <v>4.0</v>
      </c>
      <c r="G977" s="27" t="s">
        <v>24</v>
      </c>
    </row>
    <row r="978" ht="22.5" customHeight="1">
      <c r="A978" s="25">
        <v>1448.0</v>
      </c>
      <c r="B978" s="26">
        <v>45433.0</v>
      </c>
      <c r="C978" s="25">
        <v>289.0</v>
      </c>
      <c r="D978" s="25">
        <v>26.0</v>
      </c>
      <c r="E978" s="25">
        <v>5.0</v>
      </c>
      <c r="F978" s="25">
        <v>5.0</v>
      </c>
      <c r="G978" s="27" t="s">
        <v>24</v>
      </c>
    </row>
    <row r="979" ht="22.5" customHeight="1">
      <c r="A979" s="25">
        <v>1888.0</v>
      </c>
      <c r="B979" s="26">
        <v>45433.0</v>
      </c>
      <c r="C979" s="25">
        <v>281.0</v>
      </c>
      <c r="D979" s="25">
        <v>32.0</v>
      </c>
      <c r="E979" s="25">
        <v>5.0</v>
      </c>
      <c r="F979" s="25">
        <v>3.0</v>
      </c>
      <c r="G979" s="27" t="s">
        <v>24</v>
      </c>
    </row>
    <row r="980" ht="22.5" customHeight="1">
      <c r="A980" s="25">
        <v>2712.0</v>
      </c>
      <c r="B980" s="26">
        <v>45433.0</v>
      </c>
      <c r="C980" s="25">
        <v>303.0</v>
      </c>
      <c r="D980" s="25">
        <v>30.0</v>
      </c>
      <c r="E980" s="25">
        <v>5.0</v>
      </c>
      <c r="F980" s="25">
        <v>1.0</v>
      </c>
      <c r="G980" s="27" t="s">
        <v>24</v>
      </c>
    </row>
    <row r="981" ht="22.5" customHeight="1">
      <c r="A981" s="25">
        <v>141.0</v>
      </c>
      <c r="B981" s="26">
        <v>45434.0</v>
      </c>
      <c r="C981" s="25">
        <v>115.0</v>
      </c>
      <c r="D981" s="25">
        <v>5.0</v>
      </c>
      <c r="E981" s="25">
        <v>3.0</v>
      </c>
      <c r="F981" s="25">
        <v>5.0</v>
      </c>
      <c r="G981" s="27" t="s">
        <v>25</v>
      </c>
    </row>
    <row r="982" ht="22.5" customHeight="1">
      <c r="A982" s="25">
        <v>329.0</v>
      </c>
      <c r="B982" s="26">
        <v>45434.0</v>
      </c>
      <c r="C982" s="25">
        <v>234.0</v>
      </c>
      <c r="D982" s="25">
        <v>13.0</v>
      </c>
      <c r="E982" s="25">
        <v>2.0</v>
      </c>
      <c r="F982" s="25">
        <v>5.0</v>
      </c>
      <c r="G982" s="27" t="s">
        <v>24</v>
      </c>
    </row>
    <row r="983" ht="22.5" customHeight="1">
      <c r="A983" s="25">
        <v>706.0</v>
      </c>
      <c r="B983" s="26">
        <v>45434.0</v>
      </c>
      <c r="C983" s="25">
        <v>287.0</v>
      </c>
      <c r="D983" s="25">
        <v>1.0</v>
      </c>
      <c r="E983" s="25">
        <v>1.0</v>
      </c>
      <c r="F983" s="25">
        <v>4.0</v>
      </c>
      <c r="G983" s="27" t="s">
        <v>24</v>
      </c>
    </row>
    <row r="984" ht="22.5" customHeight="1">
      <c r="A984" s="25">
        <v>1081.0</v>
      </c>
      <c r="B984" s="26">
        <v>45434.0</v>
      </c>
      <c r="C984" s="25">
        <v>249.0</v>
      </c>
      <c r="D984" s="25">
        <v>21.0</v>
      </c>
      <c r="E984" s="25">
        <v>3.0</v>
      </c>
      <c r="F984" s="25">
        <v>4.0</v>
      </c>
      <c r="G984" s="27" t="s">
        <v>24</v>
      </c>
    </row>
    <row r="985" ht="22.5" customHeight="1">
      <c r="A985" s="25">
        <v>1794.0</v>
      </c>
      <c r="B985" s="26">
        <v>45434.0</v>
      </c>
      <c r="C985" s="25">
        <v>144.0</v>
      </c>
      <c r="D985" s="25">
        <v>5.0</v>
      </c>
      <c r="E985" s="25">
        <v>6.0</v>
      </c>
      <c r="F985" s="25">
        <v>5.0</v>
      </c>
      <c r="G985" s="27" t="s">
        <v>25</v>
      </c>
    </row>
    <row r="986" ht="22.5" customHeight="1">
      <c r="A986" s="25">
        <v>2018.0</v>
      </c>
      <c r="B986" s="26">
        <v>45434.0</v>
      </c>
      <c r="C986" s="25">
        <v>69.0</v>
      </c>
      <c r="D986" s="25">
        <v>27.0</v>
      </c>
      <c r="E986" s="25">
        <v>6.0</v>
      </c>
      <c r="F986" s="25">
        <v>1.0</v>
      </c>
      <c r="G986" s="27" t="s">
        <v>24</v>
      </c>
    </row>
    <row r="987" ht="22.5" customHeight="1">
      <c r="A987" s="25">
        <v>51.0</v>
      </c>
      <c r="B987" s="26">
        <v>45435.0</v>
      </c>
      <c r="C987" s="25">
        <v>189.0</v>
      </c>
      <c r="D987" s="25">
        <v>18.0</v>
      </c>
      <c r="E987" s="25">
        <v>2.0</v>
      </c>
      <c r="F987" s="25">
        <v>4.0</v>
      </c>
      <c r="G987" s="27" t="s">
        <v>24</v>
      </c>
    </row>
    <row r="988" ht="22.5" customHeight="1">
      <c r="A988" s="25">
        <v>133.0</v>
      </c>
      <c r="B988" s="26">
        <v>45435.0</v>
      </c>
      <c r="C988" s="25">
        <v>220.0</v>
      </c>
      <c r="D988" s="25">
        <v>22.0</v>
      </c>
      <c r="E988" s="25">
        <v>4.0</v>
      </c>
      <c r="F988" s="25">
        <v>4.0</v>
      </c>
      <c r="G988" s="27" t="s">
        <v>24</v>
      </c>
    </row>
    <row r="989" ht="22.5" customHeight="1">
      <c r="A989" s="25">
        <v>286.0</v>
      </c>
      <c r="B989" s="26">
        <v>45435.0</v>
      </c>
      <c r="C989" s="25">
        <v>317.0</v>
      </c>
      <c r="D989" s="25">
        <v>12.0</v>
      </c>
      <c r="E989" s="25">
        <v>4.0</v>
      </c>
      <c r="F989" s="25">
        <v>4.0</v>
      </c>
      <c r="G989" s="27" t="s">
        <v>24</v>
      </c>
    </row>
    <row r="990" ht="22.5" customHeight="1">
      <c r="A990" s="25">
        <v>393.0</v>
      </c>
      <c r="B990" s="26">
        <v>45435.0</v>
      </c>
      <c r="C990" s="25">
        <v>195.0</v>
      </c>
      <c r="D990" s="25">
        <v>30.0</v>
      </c>
      <c r="E990" s="25">
        <v>4.0</v>
      </c>
      <c r="F990" s="25">
        <v>4.0</v>
      </c>
      <c r="G990" s="27" t="s">
        <v>24</v>
      </c>
    </row>
    <row r="991" ht="22.5" customHeight="1">
      <c r="A991" s="25">
        <v>951.0</v>
      </c>
      <c r="B991" s="26">
        <v>45435.0</v>
      </c>
      <c r="C991" s="25">
        <v>152.0</v>
      </c>
      <c r="D991" s="25">
        <v>14.0</v>
      </c>
      <c r="E991" s="25">
        <v>1.0</v>
      </c>
      <c r="F991" s="25">
        <v>5.0</v>
      </c>
      <c r="G991" s="27" t="s">
        <v>24</v>
      </c>
    </row>
    <row r="992" ht="22.5" customHeight="1">
      <c r="A992" s="25">
        <v>1291.0</v>
      </c>
      <c r="B992" s="26">
        <v>45435.0</v>
      </c>
      <c r="C992" s="25">
        <v>32.0</v>
      </c>
      <c r="D992" s="25">
        <v>29.0</v>
      </c>
      <c r="E992" s="25">
        <v>1.0</v>
      </c>
      <c r="F992" s="25">
        <v>3.0</v>
      </c>
      <c r="G992" s="27" t="s">
        <v>24</v>
      </c>
    </row>
    <row r="993" ht="22.5" customHeight="1">
      <c r="A993" s="25">
        <v>1602.0</v>
      </c>
      <c r="B993" s="26">
        <v>45435.0</v>
      </c>
      <c r="C993" s="25">
        <v>123.0</v>
      </c>
      <c r="D993" s="25">
        <v>31.0</v>
      </c>
      <c r="E993" s="25">
        <v>2.0</v>
      </c>
      <c r="F993" s="25">
        <v>1.0</v>
      </c>
      <c r="G993" s="27" t="s">
        <v>24</v>
      </c>
    </row>
    <row r="994" ht="22.5" customHeight="1">
      <c r="A994" s="25">
        <v>1690.0</v>
      </c>
      <c r="B994" s="26">
        <v>45435.0</v>
      </c>
      <c r="C994" s="25">
        <v>94.0</v>
      </c>
      <c r="D994" s="25">
        <v>24.0</v>
      </c>
      <c r="E994" s="25">
        <v>3.0</v>
      </c>
      <c r="F994" s="25">
        <v>5.0</v>
      </c>
      <c r="G994" s="27" t="s">
        <v>24</v>
      </c>
    </row>
    <row r="995" ht="22.5" customHeight="1">
      <c r="A995" s="25">
        <v>1906.0</v>
      </c>
      <c r="B995" s="26">
        <v>45435.0</v>
      </c>
      <c r="C995" s="25">
        <v>158.0</v>
      </c>
      <c r="D995" s="25">
        <v>21.0</v>
      </c>
      <c r="E995" s="25">
        <v>3.0</v>
      </c>
      <c r="F995" s="25">
        <v>5.0</v>
      </c>
      <c r="G995" s="27" t="s">
        <v>24</v>
      </c>
    </row>
    <row r="996" ht="22.5" customHeight="1">
      <c r="A996" s="25">
        <v>1917.0</v>
      </c>
      <c r="B996" s="26">
        <v>45435.0</v>
      </c>
      <c r="C996" s="25">
        <v>168.0</v>
      </c>
      <c r="D996" s="25">
        <v>29.0</v>
      </c>
      <c r="E996" s="25">
        <v>4.0</v>
      </c>
      <c r="F996" s="25">
        <v>1.0</v>
      </c>
      <c r="G996" s="27" t="s">
        <v>24</v>
      </c>
    </row>
    <row r="997" ht="22.5" customHeight="1">
      <c r="A997" s="25">
        <v>2443.0</v>
      </c>
      <c r="B997" s="26">
        <v>45435.0</v>
      </c>
      <c r="C997" s="25">
        <v>74.0</v>
      </c>
      <c r="D997" s="25">
        <v>13.0</v>
      </c>
      <c r="E997" s="25">
        <v>6.0</v>
      </c>
      <c r="F997" s="25">
        <v>4.0</v>
      </c>
      <c r="G997" s="27" t="s">
        <v>24</v>
      </c>
    </row>
    <row r="998" ht="22.5" customHeight="1">
      <c r="A998" s="25">
        <v>2841.0</v>
      </c>
      <c r="B998" s="26">
        <v>45435.0</v>
      </c>
      <c r="C998" s="25">
        <v>303.0</v>
      </c>
      <c r="D998" s="25">
        <v>15.0</v>
      </c>
      <c r="E998" s="25">
        <v>6.0</v>
      </c>
      <c r="F998" s="25">
        <v>5.0</v>
      </c>
      <c r="G998" s="27" t="s">
        <v>24</v>
      </c>
    </row>
    <row r="999" ht="22.5" customHeight="1">
      <c r="A999" s="25">
        <v>128.0</v>
      </c>
      <c r="B999" s="26">
        <v>45436.0</v>
      </c>
      <c r="C999" s="25">
        <v>214.0</v>
      </c>
      <c r="D999" s="25">
        <v>2.0</v>
      </c>
      <c r="E999" s="25">
        <v>4.0</v>
      </c>
      <c r="F999" s="25">
        <v>5.0</v>
      </c>
      <c r="G999" s="27" t="s">
        <v>24</v>
      </c>
    </row>
    <row r="1000" ht="22.5" customHeight="1">
      <c r="A1000" s="25">
        <v>281.0</v>
      </c>
      <c r="B1000" s="26">
        <v>45436.0</v>
      </c>
      <c r="C1000" s="25">
        <v>2.0</v>
      </c>
      <c r="D1000" s="25">
        <v>5.0</v>
      </c>
      <c r="E1000" s="25">
        <v>5.0</v>
      </c>
      <c r="F1000" s="25">
        <v>4.0</v>
      </c>
      <c r="G1000" s="27" t="s">
        <v>25</v>
      </c>
    </row>
    <row r="1001" ht="22.5" customHeight="1">
      <c r="A1001" s="25">
        <v>397.0</v>
      </c>
      <c r="B1001" s="26">
        <v>45436.0</v>
      </c>
      <c r="C1001" s="25">
        <v>231.0</v>
      </c>
      <c r="D1001" s="25">
        <v>8.0</v>
      </c>
      <c r="E1001" s="25">
        <v>6.0</v>
      </c>
      <c r="F1001" s="25">
        <v>5.0</v>
      </c>
      <c r="G1001" s="27" t="s">
        <v>24</v>
      </c>
    </row>
    <row r="1002" ht="22.5" customHeight="1">
      <c r="A1002" s="25">
        <v>612.0</v>
      </c>
      <c r="B1002" s="26">
        <v>45436.0</v>
      </c>
      <c r="C1002" s="25">
        <v>307.0</v>
      </c>
      <c r="D1002" s="25">
        <v>28.0</v>
      </c>
      <c r="E1002" s="25">
        <v>4.0</v>
      </c>
      <c r="F1002" s="25">
        <v>5.0</v>
      </c>
      <c r="G1002" s="27" t="s">
        <v>24</v>
      </c>
    </row>
    <row r="1003" ht="22.5" customHeight="1">
      <c r="A1003" s="25">
        <v>935.0</v>
      </c>
      <c r="B1003" s="26">
        <v>45436.0</v>
      </c>
      <c r="C1003" s="25">
        <v>93.0</v>
      </c>
      <c r="D1003" s="25">
        <v>9.0</v>
      </c>
      <c r="E1003" s="25">
        <v>4.0</v>
      </c>
      <c r="F1003" s="25">
        <v>1.0</v>
      </c>
      <c r="G1003" s="27" t="s">
        <v>24</v>
      </c>
    </row>
    <row r="1004" ht="22.5" customHeight="1">
      <c r="A1004" s="25">
        <v>1350.0</v>
      </c>
      <c r="B1004" s="26">
        <v>45436.0</v>
      </c>
      <c r="C1004" s="25">
        <v>248.0</v>
      </c>
      <c r="D1004" s="25">
        <v>26.0</v>
      </c>
      <c r="E1004" s="25">
        <v>5.0</v>
      </c>
      <c r="F1004" s="25">
        <v>3.0</v>
      </c>
      <c r="G1004" s="27" t="s">
        <v>24</v>
      </c>
    </row>
    <row r="1005" ht="22.5" customHeight="1">
      <c r="A1005" s="25">
        <v>1437.0</v>
      </c>
      <c r="B1005" s="26">
        <v>45436.0</v>
      </c>
      <c r="C1005" s="25">
        <v>197.0</v>
      </c>
      <c r="D1005" s="25">
        <v>19.0</v>
      </c>
      <c r="E1005" s="25">
        <v>3.0</v>
      </c>
      <c r="F1005" s="25">
        <v>4.0</v>
      </c>
      <c r="G1005" s="27" t="s">
        <v>24</v>
      </c>
    </row>
    <row r="1006" ht="22.5" customHeight="1">
      <c r="A1006" s="25">
        <v>1513.0</v>
      </c>
      <c r="B1006" s="26">
        <v>45436.0</v>
      </c>
      <c r="C1006" s="25">
        <v>119.0</v>
      </c>
      <c r="D1006" s="25">
        <v>36.0</v>
      </c>
      <c r="E1006" s="25">
        <v>3.0</v>
      </c>
      <c r="F1006" s="25">
        <v>4.0</v>
      </c>
      <c r="G1006" s="27" t="s">
        <v>25</v>
      </c>
    </row>
    <row r="1007" ht="22.5" customHeight="1">
      <c r="A1007" s="25">
        <v>2384.0</v>
      </c>
      <c r="B1007" s="26">
        <v>45436.0</v>
      </c>
      <c r="C1007" s="25">
        <v>238.0</v>
      </c>
      <c r="D1007" s="25">
        <v>16.0</v>
      </c>
      <c r="E1007" s="25">
        <v>5.0</v>
      </c>
      <c r="F1007" s="25">
        <v>1.0</v>
      </c>
      <c r="G1007" s="27" t="s">
        <v>24</v>
      </c>
    </row>
    <row r="1008" ht="22.5" customHeight="1">
      <c r="A1008" s="25">
        <v>2448.0</v>
      </c>
      <c r="B1008" s="26">
        <v>45436.0</v>
      </c>
      <c r="C1008" s="25">
        <v>242.0</v>
      </c>
      <c r="D1008" s="25">
        <v>37.0</v>
      </c>
      <c r="E1008" s="25">
        <v>5.0</v>
      </c>
      <c r="F1008" s="25">
        <v>1.0</v>
      </c>
      <c r="G1008" s="27" t="s">
        <v>25</v>
      </c>
    </row>
    <row r="1009" ht="22.5" customHeight="1">
      <c r="A1009" s="25">
        <v>30.0</v>
      </c>
      <c r="B1009" s="26">
        <v>45437.0</v>
      </c>
      <c r="C1009" s="25">
        <v>46.0</v>
      </c>
      <c r="D1009" s="25">
        <v>30.0</v>
      </c>
      <c r="E1009" s="25">
        <v>1.0</v>
      </c>
      <c r="F1009" s="25">
        <v>5.0</v>
      </c>
      <c r="G1009" s="27" t="s">
        <v>24</v>
      </c>
    </row>
    <row r="1010" ht="22.5" customHeight="1">
      <c r="A1010" s="25">
        <v>573.0</v>
      </c>
      <c r="B1010" s="26">
        <v>45437.0</v>
      </c>
      <c r="C1010" s="25">
        <v>264.0</v>
      </c>
      <c r="D1010" s="25">
        <v>10.0</v>
      </c>
      <c r="E1010" s="25">
        <v>6.0</v>
      </c>
      <c r="F1010" s="25">
        <v>5.0</v>
      </c>
      <c r="G1010" s="27" t="s">
        <v>25</v>
      </c>
    </row>
    <row r="1011" ht="22.5" customHeight="1">
      <c r="A1011" s="25">
        <v>956.0</v>
      </c>
      <c r="B1011" s="26">
        <v>45437.0</v>
      </c>
      <c r="C1011" s="25">
        <v>139.0</v>
      </c>
      <c r="D1011" s="25">
        <v>14.0</v>
      </c>
      <c r="E1011" s="25">
        <v>2.0</v>
      </c>
      <c r="F1011" s="25">
        <v>5.0</v>
      </c>
      <c r="G1011" s="27" t="s">
        <v>25</v>
      </c>
    </row>
    <row r="1012" ht="22.5" customHeight="1">
      <c r="A1012" s="25">
        <v>1141.0</v>
      </c>
      <c r="B1012" s="26">
        <v>45437.0</v>
      </c>
      <c r="C1012" s="25">
        <v>56.0</v>
      </c>
      <c r="D1012" s="25">
        <v>22.0</v>
      </c>
      <c r="E1012" s="25">
        <v>5.0</v>
      </c>
      <c r="F1012" s="25">
        <v>4.0</v>
      </c>
      <c r="G1012" s="27" t="s">
        <v>25</v>
      </c>
    </row>
    <row r="1013" ht="22.5" customHeight="1">
      <c r="A1013" s="25">
        <v>1615.0</v>
      </c>
      <c r="B1013" s="26">
        <v>45437.0</v>
      </c>
      <c r="C1013" s="25">
        <v>264.0</v>
      </c>
      <c r="D1013" s="25">
        <v>25.0</v>
      </c>
      <c r="E1013" s="25">
        <v>4.0</v>
      </c>
      <c r="F1013" s="25">
        <v>1.0</v>
      </c>
      <c r="G1013" s="27" t="s">
        <v>24</v>
      </c>
    </row>
    <row r="1014" ht="22.5" customHeight="1">
      <c r="A1014" s="25">
        <v>2717.0</v>
      </c>
      <c r="B1014" s="26">
        <v>45437.0</v>
      </c>
      <c r="C1014" s="25">
        <v>16.0</v>
      </c>
      <c r="D1014" s="25">
        <v>7.0</v>
      </c>
      <c r="E1014" s="25">
        <v>6.0</v>
      </c>
      <c r="F1014" s="25">
        <v>4.0</v>
      </c>
      <c r="G1014" s="27" t="s">
        <v>24</v>
      </c>
    </row>
    <row r="1015" ht="22.5" customHeight="1">
      <c r="A1015" s="25">
        <v>2803.0</v>
      </c>
      <c r="B1015" s="26">
        <v>45437.0</v>
      </c>
      <c r="C1015" s="25">
        <v>283.0</v>
      </c>
      <c r="D1015" s="25">
        <v>11.0</v>
      </c>
      <c r="E1015" s="25">
        <v>6.0</v>
      </c>
      <c r="F1015" s="25">
        <v>5.0</v>
      </c>
      <c r="G1015" s="27" t="s">
        <v>25</v>
      </c>
    </row>
    <row r="1016" ht="22.5" customHeight="1">
      <c r="A1016" s="25">
        <v>2918.0</v>
      </c>
      <c r="B1016" s="26">
        <v>45437.0</v>
      </c>
      <c r="C1016" s="25">
        <v>311.0</v>
      </c>
      <c r="D1016" s="25">
        <v>34.0</v>
      </c>
      <c r="E1016" s="25">
        <v>6.0</v>
      </c>
      <c r="F1016" s="25">
        <v>3.0</v>
      </c>
      <c r="G1016" s="27" t="s">
        <v>24</v>
      </c>
    </row>
    <row r="1017" ht="22.5" customHeight="1">
      <c r="A1017" s="25">
        <v>190.0</v>
      </c>
      <c r="B1017" s="26">
        <v>45438.0</v>
      </c>
      <c r="C1017" s="25">
        <v>21.0</v>
      </c>
      <c r="D1017" s="25">
        <v>23.0</v>
      </c>
      <c r="E1017" s="25">
        <v>1.0</v>
      </c>
      <c r="F1017" s="25">
        <v>5.0</v>
      </c>
      <c r="G1017" s="27" t="s">
        <v>24</v>
      </c>
    </row>
    <row r="1018" ht="22.5" customHeight="1">
      <c r="A1018" s="25">
        <v>932.0</v>
      </c>
      <c r="B1018" s="26">
        <v>45438.0</v>
      </c>
      <c r="C1018" s="25">
        <v>213.0</v>
      </c>
      <c r="D1018" s="25">
        <v>4.0</v>
      </c>
      <c r="E1018" s="25">
        <v>6.0</v>
      </c>
      <c r="F1018" s="25">
        <v>1.0</v>
      </c>
      <c r="G1018" s="27" t="s">
        <v>24</v>
      </c>
    </row>
    <row r="1019" ht="22.5" customHeight="1">
      <c r="A1019" s="25">
        <v>1030.0</v>
      </c>
      <c r="B1019" s="26">
        <v>45438.0</v>
      </c>
      <c r="C1019" s="25">
        <v>44.0</v>
      </c>
      <c r="D1019" s="25">
        <v>32.0</v>
      </c>
      <c r="E1019" s="25">
        <v>4.0</v>
      </c>
      <c r="F1019" s="25">
        <v>4.0</v>
      </c>
      <c r="G1019" s="27" t="s">
        <v>24</v>
      </c>
    </row>
    <row r="1020" ht="22.5" customHeight="1">
      <c r="A1020" s="25">
        <v>1232.0</v>
      </c>
      <c r="B1020" s="26">
        <v>45438.0</v>
      </c>
      <c r="C1020" s="25">
        <v>241.0</v>
      </c>
      <c r="D1020" s="25">
        <v>5.0</v>
      </c>
      <c r="E1020" s="25">
        <v>3.0</v>
      </c>
      <c r="F1020" s="25">
        <v>3.0</v>
      </c>
      <c r="G1020" s="27" t="s">
        <v>23</v>
      </c>
    </row>
    <row r="1021" ht="22.5" customHeight="1">
      <c r="A1021" s="25">
        <v>1349.0</v>
      </c>
      <c r="B1021" s="26">
        <v>45438.0</v>
      </c>
      <c r="C1021" s="25">
        <v>264.0</v>
      </c>
      <c r="D1021" s="25">
        <v>22.0</v>
      </c>
      <c r="E1021" s="25">
        <v>1.0</v>
      </c>
      <c r="F1021" s="25">
        <v>5.0</v>
      </c>
      <c r="G1021" s="27" t="s">
        <v>24</v>
      </c>
    </row>
    <row r="1022" ht="22.5" customHeight="1">
      <c r="A1022" s="25">
        <v>1581.0</v>
      </c>
      <c r="B1022" s="26">
        <v>45438.0</v>
      </c>
      <c r="C1022" s="25">
        <v>210.0</v>
      </c>
      <c r="D1022" s="25">
        <v>5.0</v>
      </c>
      <c r="E1022" s="25">
        <v>6.0</v>
      </c>
      <c r="F1022" s="25">
        <v>4.0</v>
      </c>
      <c r="G1022" s="27" t="s">
        <v>25</v>
      </c>
    </row>
    <row r="1023" ht="22.5" customHeight="1">
      <c r="A1023" s="25">
        <v>2086.0</v>
      </c>
      <c r="B1023" s="26">
        <v>45438.0</v>
      </c>
      <c r="C1023" s="25">
        <v>68.0</v>
      </c>
      <c r="D1023" s="25">
        <v>5.0</v>
      </c>
      <c r="E1023" s="25">
        <v>3.0</v>
      </c>
      <c r="F1023" s="25">
        <v>4.0</v>
      </c>
      <c r="G1023" s="27" t="s">
        <v>24</v>
      </c>
    </row>
    <row r="1024" ht="22.5" customHeight="1">
      <c r="A1024" s="25">
        <v>2441.0</v>
      </c>
      <c r="B1024" s="26">
        <v>45438.0</v>
      </c>
      <c r="C1024" s="25">
        <v>205.0</v>
      </c>
      <c r="D1024" s="25">
        <v>23.0</v>
      </c>
      <c r="E1024" s="25">
        <v>5.0</v>
      </c>
      <c r="F1024" s="25">
        <v>4.0</v>
      </c>
      <c r="G1024" s="27" t="s">
        <v>25</v>
      </c>
    </row>
    <row r="1025" ht="22.5" customHeight="1">
      <c r="A1025" s="25">
        <v>2991.0</v>
      </c>
      <c r="B1025" s="26">
        <v>45438.0</v>
      </c>
      <c r="C1025" s="25">
        <v>266.0</v>
      </c>
      <c r="D1025" s="25">
        <v>38.0</v>
      </c>
      <c r="E1025" s="25">
        <v>2.0</v>
      </c>
      <c r="F1025" s="25">
        <v>3.0</v>
      </c>
      <c r="G1025" s="27" t="s">
        <v>24</v>
      </c>
    </row>
    <row r="1026" ht="22.5" customHeight="1">
      <c r="A1026" s="25">
        <v>70.0</v>
      </c>
      <c r="B1026" s="26">
        <v>45439.0</v>
      </c>
      <c r="C1026" s="25">
        <v>138.0</v>
      </c>
      <c r="D1026" s="25">
        <v>33.0</v>
      </c>
      <c r="E1026" s="25">
        <v>4.0</v>
      </c>
      <c r="F1026" s="25">
        <v>3.0</v>
      </c>
      <c r="G1026" s="27" t="s">
        <v>25</v>
      </c>
    </row>
    <row r="1027" ht="22.5" customHeight="1">
      <c r="A1027" s="25">
        <v>485.0</v>
      </c>
      <c r="B1027" s="26">
        <v>45439.0</v>
      </c>
      <c r="C1027" s="25">
        <v>136.0</v>
      </c>
      <c r="D1027" s="25">
        <v>20.0</v>
      </c>
      <c r="E1027" s="25">
        <v>1.0</v>
      </c>
      <c r="F1027" s="25">
        <v>4.0</v>
      </c>
      <c r="G1027" s="27" t="s">
        <v>24</v>
      </c>
    </row>
    <row r="1028" ht="22.5" customHeight="1">
      <c r="A1028" s="25">
        <v>881.0</v>
      </c>
      <c r="B1028" s="26">
        <v>45439.0</v>
      </c>
      <c r="C1028" s="25">
        <v>39.0</v>
      </c>
      <c r="D1028" s="25">
        <v>16.0</v>
      </c>
      <c r="E1028" s="25">
        <v>1.0</v>
      </c>
      <c r="F1028" s="25">
        <v>4.0</v>
      </c>
      <c r="G1028" s="27" t="s">
        <v>24</v>
      </c>
    </row>
    <row r="1029" ht="22.5" customHeight="1">
      <c r="A1029" s="25">
        <v>1441.0</v>
      </c>
      <c r="B1029" s="26">
        <v>45439.0</v>
      </c>
      <c r="C1029" s="25">
        <v>145.0</v>
      </c>
      <c r="D1029" s="25">
        <v>19.0</v>
      </c>
      <c r="E1029" s="25">
        <v>2.0</v>
      </c>
      <c r="F1029" s="25">
        <v>1.0</v>
      </c>
      <c r="G1029" s="27" t="s">
        <v>24</v>
      </c>
    </row>
    <row r="1030" ht="22.5" customHeight="1">
      <c r="A1030" s="25">
        <v>1481.0</v>
      </c>
      <c r="B1030" s="26">
        <v>45439.0</v>
      </c>
      <c r="C1030" s="25">
        <v>148.0</v>
      </c>
      <c r="D1030" s="25">
        <v>35.0</v>
      </c>
      <c r="E1030" s="25">
        <v>3.0</v>
      </c>
      <c r="F1030" s="25">
        <v>3.0</v>
      </c>
      <c r="G1030" s="27" t="s">
        <v>25</v>
      </c>
    </row>
    <row r="1031" ht="22.5" customHeight="1">
      <c r="A1031" s="25">
        <v>1661.0</v>
      </c>
      <c r="B1031" s="26">
        <v>45439.0</v>
      </c>
      <c r="C1031" s="25">
        <v>146.0</v>
      </c>
      <c r="D1031" s="25">
        <v>8.0</v>
      </c>
      <c r="E1031" s="25">
        <v>3.0</v>
      </c>
      <c r="F1031" s="25">
        <v>1.0</v>
      </c>
      <c r="G1031" s="27" t="s">
        <v>24</v>
      </c>
    </row>
    <row r="1032" ht="22.5" customHeight="1">
      <c r="A1032" s="25">
        <v>1752.0</v>
      </c>
      <c r="B1032" s="26">
        <v>45439.0</v>
      </c>
      <c r="C1032" s="25">
        <v>220.0</v>
      </c>
      <c r="D1032" s="25">
        <v>31.0</v>
      </c>
      <c r="E1032" s="25">
        <v>2.0</v>
      </c>
      <c r="F1032" s="25">
        <v>1.0</v>
      </c>
      <c r="G1032" s="27" t="s">
        <v>24</v>
      </c>
    </row>
    <row r="1033" ht="22.5" customHeight="1">
      <c r="A1033" s="25">
        <v>2093.0</v>
      </c>
      <c r="B1033" s="26">
        <v>45439.0</v>
      </c>
      <c r="C1033" s="25">
        <v>90.0</v>
      </c>
      <c r="D1033" s="25">
        <v>2.0</v>
      </c>
      <c r="E1033" s="25">
        <v>1.0</v>
      </c>
      <c r="F1033" s="25">
        <v>4.0</v>
      </c>
      <c r="G1033" s="27" t="s">
        <v>24</v>
      </c>
    </row>
    <row r="1034" ht="22.5" customHeight="1">
      <c r="A1034" s="25">
        <v>2123.0</v>
      </c>
      <c r="B1034" s="26">
        <v>45439.0</v>
      </c>
      <c r="C1034" s="25">
        <v>235.0</v>
      </c>
      <c r="D1034" s="25">
        <v>17.0</v>
      </c>
      <c r="E1034" s="25">
        <v>3.0</v>
      </c>
      <c r="F1034" s="25">
        <v>5.0</v>
      </c>
      <c r="G1034" s="27" t="s">
        <v>24</v>
      </c>
    </row>
    <row r="1035" ht="22.5" customHeight="1">
      <c r="A1035" s="25">
        <v>2599.0</v>
      </c>
      <c r="B1035" s="26">
        <v>45439.0</v>
      </c>
      <c r="C1035" s="25">
        <v>176.0</v>
      </c>
      <c r="D1035" s="25">
        <v>30.0</v>
      </c>
      <c r="E1035" s="25">
        <v>2.0</v>
      </c>
      <c r="F1035" s="25">
        <v>4.0</v>
      </c>
      <c r="G1035" s="27" t="s">
        <v>24</v>
      </c>
    </row>
    <row r="1036" ht="22.5" customHeight="1">
      <c r="A1036" s="25">
        <v>2940.0</v>
      </c>
      <c r="B1036" s="26">
        <v>45439.0</v>
      </c>
      <c r="C1036" s="25">
        <v>56.0</v>
      </c>
      <c r="D1036" s="25">
        <v>9.0</v>
      </c>
      <c r="E1036" s="25">
        <v>3.0</v>
      </c>
      <c r="F1036" s="25">
        <v>5.0</v>
      </c>
      <c r="G1036" s="27" t="s">
        <v>25</v>
      </c>
    </row>
    <row r="1037" ht="22.5" customHeight="1">
      <c r="A1037" s="25">
        <v>895.0</v>
      </c>
      <c r="B1037" s="26">
        <v>45440.0</v>
      </c>
      <c r="C1037" s="25">
        <v>194.0</v>
      </c>
      <c r="D1037" s="25">
        <v>12.0</v>
      </c>
      <c r="E1037" s="25">
        <v>4.0</v>
      </c>
      <c r="F1037" s="25">
        <v>4.0</v>
      </c>
      <c r="G1037" s="27" t="s">
        <v>24</v>
      </c>
    </row>
    <row r="1038" ht="22.5" customHeight="1">
      <c r="A1038" s="25">
        <v>1066.0</v>
      </c>
      <c r="B1038" s="26">
        <v>45440.0</v>
      </c>
      <c r="C1038" s="25">
        <v>182.0</v>
      </c>
      <c r="D1038" s="25">
        <v>29.0</v>
      </c>
      <c r="E1038" s="25">
        <v>5.0</v>
      </c>
      <c r="F1038" s="25">
        <v>1.0</v>
      </c>
      <c r="G1038" s="27" t="s">
        <v>24</v>
      </c>
    </row>
    <row r="1039" ht="22.5" customHeight="1">
      <c r="A1039" s="25">
        <v>1421.0</v>
      </c>
      <c r="B1039" s="26">
        <v>45440.0</v>
      </c>
      <c r="C1039" s="25">
        <v>89.0</v>
      </c>
      <c r="D1039" s="25">
        <v>17.0</v>
      </c>
      <c r="E1039" s="25">
        <v>3.0</v>
      </c>
      <c r="F1039" s="25">
        <v>3.0</v>
      </c>
      <c r="G1039" s="27" t="s">
        <v>25</v>
      </c>
    </row>
    <row r="1040" ht="22.5" customHeight="1">
      <c r="A1040" s="25">
        <v>1576.0</v>
      </c>
      <c r="B1040" s="26">
        <v>45440.0</v>
      </c>
      <c r="C1040" s="25">
        <v>127.0</v>
      </c>
      <c r="D1040" s="25">
        <v>25.0</v>
      </c>
      <c r="E1040" s="25">
        <v>5.0</v>
      </c>
      <c r="F1040" s="25">
        <v>1.0</v>
      </c>
      <c r="G1040" s="27" t="s">
        <v>24</v>
      </c>
    </row>
    <row r="1041" ht="22.5" customHeight="1">
      <c r="A1041" s="25">
        <v>1709.0</v>
      </c>
      <c r="B1041" s="26">
        <v>45440.0</v>
      </c>
      <c r="C1041" s="25">
        <v>319.0</v>
      </c>
      <c r="D1041" s="25">
        <v>3.0</v>
      </c>
      <c r="E1041" s="25">
        <v>2.0</v>
      </c>
      <c r="F1041" s="25">
        <v>4.0</v>
      </c>
      <c r="G1041" s="27" t="s">
        <v>25</v>
      </c>
    </row>
    <row r="1042" ht="22.5" customHeight="1">
      <c r="A1042" s="25">
        <v>2098.0</v>
      </c>
      <c r="B1042" s="26">
        <v>45440.0</v>
      </c>
      <c r="C1042" s="25">
        <v>108.0</v>
      </c>
      <c r="D1042" s="25">
        <v>35.0</v>
      </c>
      <c r="E1042" s="25">
        <v>4.0</v>
      </c>
      <c r="F1042" s="25">
        <v>4.0</v>
      </c>
      <c r="G1042" s="27" t="s">
        <v>24</v>
      </c>
    </row>
    <row r="1043" ht="22.5" customHeight="1">
      <c r="A1043" s="25">
        <v>2880.0</v>
      </c>
      <c r="B1043" s="26">
        <v>45440.0</v>
      </c>
      <c r="C1043" s="25">
        <v>248.0</v>
      </c>
      <c r="D1043" s="25">
        <v>38.0</v>
      </c>
      <c r="E1043" s="25">
        <v>1.0</v>
      </c>
      <c r="F1043" s="25">
        <v>3.0</v>
      </c>
      <c r="G1043" s="27" t="s">
        <v>24</v>
      </c>
    </row>
    <row r="1044" ht="22.5" customHeight="1">
      <c r="A1044" s="25">
        <v>554.0</v>
      </c>
      <c r="B1044" s="26">
        <v>45441.0</v>
      </c>
      <c r="C1044" s="25">
        <v>132.0</v>
      </c>
      <c r="D1044" s="25">
        <v>30.0</v>
      </c>
      <c r="E1044" s="25">
        <v>5.0</v>
      </c>
      <c r="F1044" s="25">
        <v>4.0</v>
      </c>
      <c r="G1044" s="27" t="s">
        <v>24</v>
      </c>
    </row>
    <row r="1045" ht="22.5" customHeight="1">
      <c r="A1045" s="25">
        <v>642.0</v>
      </c>
      <c r="B1045" s="26">
        <v>45441.0</v>
      </c>
      <c r="C1045" s="25">
        <v>240.0</v>
      </c>
      <c r="D1045" s="25">
        <v>26.0</v>
      </c>
      <c r="E1045" s="25">
        <v>5.0</v>
      </c>
      <c r="F1045" s="25">
        <v>2.0</v>
      </c>
      <c r="G1045" s="27" t="s">
        <v>24</v>
      </c>
    </row>
    <row r="1046" ht="22.5" customHeight="1">
      <c r="A1046" s="25">
        <v>717.0</v>
      </c>
      <c r="B1046" s="26">
        <v>45441.0</v>
      </c>
      <c r="C1046" s="25">
        <v>304.0</v>
      </c>
      <c r="D1046" s="25">
        <v>38.0</v>
      </c>
      <c r="E1046" s="25">
        <v>5.0</v>
      </c>
      <c r="F1046" s="25">
        <v>4.0</v>
      </c>
      <c r="G1046" s="27" t="s">
        <v>24</v>
      </c>
    </row>
    <row r="1047" ht="22.5" customHeight="1">
      <c r="A1047" s="25">
        <v>1837.0</v>
      </c>
      <c r="B1047" s="26">
        <v>45441.0</v>
      </c>
      <c r="C1047" s="25">
        <v>26.0</v>
      </c>
      <c r="D1047" s="25">
        <v>17.0</v>
      </c>
      <c r="E1047" s="25">
        <v>3.0</v>
      </c>
      <c r="F1047" s="25">
        <v>1.0</v>
      </c>
      <c r="G1047" s="27" t="s">
        <v>24</v>
      </c>
    </row>
    <row r="1048" ht="22.5" customHeight="1">
      <c r="A1048" s="25">
        <v>1844.0</v>
      </c>
      <c r="B1048" s="26">
        <v>45441.0</v>
      </c>
      <c r="C1048" s="25">
        <v>127.0</v>
      </c>
      <c r="D1048" s="25">
        <v>28.0</v>
      </c>
      <c r="E1048" s="25">
        <v>2.0</v>
      </c>
      <c r="F1048" s="25">
        <v>5.0</v>
      </c>
      <c r="G1048" s="27" t="s">
        <v>24</v>
      </c>
    </row>
    <row r="1049" ht="22.5" customHeight="1">
      <c r="A1049" s="25">
        <v>2475.0</v>
      </c>
      <c r="B1049" s="26">
        <v>45441.0</v>
      </c>
      <c r="C1049" s="25">
        <v>7.0</v>
      </c>
      <c r="D1049" s="25">
        <v>26.0</v>
      </c>
      <c r="E1049" s="25">
        <v>6.0</v>
      </c>
      <c r="F1049" s="25">
        <v>1.0</v>
      </c>
      <c r="G1049" s="27" t="s">
        <v>24</v>
      </c>
    </row>
    <row r="1050" ht="22.5" customHeight="1">
      <c r="A1050" s="25">
        <v>2761.0</v>
      </c>
      <c r="B1050" s="26">
        <v>45441.0</v>
      </c>
      <c r="C1050" s="25">
        <v>87.0</v>
      </c>
      <c r="D1050" s="25">
        <v>26.0</v>
      </c>
      <c r="E1050" s="25">
        <v>2.0</v>
      </c>
      <c r="F1050" s="25">
        <v>3.0</v>
      </c>
      <c r="G1050" s="27" t="s">
        <v>24</v>
      </c>
    </row>
    <row r="1051" ht="22.5" customHeight="1">
      <c r="A1051" s="25">
        <v>2831.0</v>
      </c>
      <c r="B1051" s="26">
        <v>45441.0</v>
      </c>
      <c r="C1051" s="25">
        <v>180.0</v>
      </c>
      <c r="D1051" s="25">
        <v>15.0</v>
      </c>
      <c r="E1051" s="25">
        <v>5.0</v>
      </c>
      <c r="F1051" s="25">
        <v>4.0</v>
      </c>
      <c r="G1051" s="27" t="s">
        <v>25</v>
      </c>
    </row>
    <row r="1052" ht="22.5" customHeight="1">
      <c r="A1052" s="25">
        <v>6.0</v>
      </c>
      <c r="B1052" s="26">
        <v>45442.0</v>
      </c>
      <c r="C1052" s="25">
        <v>70.0</v>
      </c>
      <c r="D1052" s="25">
        <v>27.0</v>
      </c>
      <c r="E1052" s="25">
        <v>5.0</v>
      </c>
      <c r="F1052" s="25">
        <v>4.0</v>
      </c>
      <c r="G1052" s="27" t="s">
        <v>25</v>
      </c>
    </row>
    <row r="1053" ht="22.5" customHeight="1">
      <c r="A1053" s="25">
        <v>185.0</v>
      </c>
      <c r="B1053" s="26">
        <v>45442.0</v>
      </c>
      <c r="C1053" s="25">
        <v>97.0</v>
      </c>
      <c r="D1053" s="25">
        <v>28.0</v>
      </c>
      <c r="E1053" s="25">
        <v>5.0</v>
      </c>
      <c r="F1053" s="25">
        <v>4.0</v>
      </c>
      <c r="G1053" s="27" t="s">
        <v>24</v>
      </c>
    </row>
    <row r="1054" ht="22.5" customHeight="1">
      <c r="A1054" s="25">
        <v>197.0</v>
      </c>
      <c r="B1054" s="26">
        <v>45442.0</v>
      </c>
      <c r="C1054" s="25">
        <v>211.0</v>
      </c>
      <c r="D1054" s="25">
        <v>26.0</v>
      </c>
      <c r="E1054" s="25">
        <v>1.0</v>
      </c>
      <c r="F1054" s="25">
        <v>4.0</v>
      </c>
      <c r="G1054" s="27" t="s">
        <v>24</v>
      </c>
    </row>
    <row r="1055" ht="22.5" customHeight="1">
      <c r="A1055" s="25">
        <v>818.0</v>
      </c>
      <c r="B1055" s="26">
        <v>45442.0</v>
      </c>
      <c r="C1055" s="25">
        <v>159.0</v>
      </c>
      <c r="D1055" s="25">
        <v>10.0</v>
      </c>
      <c r="E1055" s="25">
        <v>2.0</v>
      </c>
      <c r="F1055" s="25">
        <v>1.0</v>
      </c>
      <c r="G1055" s="27" t="s">
        <v>24</v>
      </c>
    </row>
    <row r="1056" ht="22.5" customHeight="1">
      <c r="A1056" s="25">
        <v>1598.0</v>
      </c>
      <c r="B1056" s="26">
        <v>45442.0</v>
      </c>
      <c r="C1056" s="25">
        <v>243.0</v>
      </c>
      <c r="D1056" s="25">
        <v>32.0</v>
      </c>
      <c r="E1056" s="25">
        <v>6.0</v>
      </c>
      <c r="F1056" s="25">
        <v>4.0</v>
      </c>
      <c r="G1056" s="27" t="s">
        <v>24</v>
      </c>
    </row>
    <row r="1057" ht="22.5" customHeight="1">
      <c r="A1057" s="25">
        <v>1822.0</v>
      </c>
      <c r="B1057" s="26">
        <v>45442.0</v>
      </c>
      <c r="C1057" s="25">
        <v>311.0</v>
      </c>
      <c r="D1057" s="25">
        <v>27.0</v>
      </c>
      <c r="E1057" s="25">
        <v>4.0</v>
      </c>
      <c r="F1057" s="25">
        <v>4.0</v>
      </c>
      <c r="G1057" s="27" t="s">
        <v>24</v>
      </c>
    </row>
    <row r="1058" ht="22.5" customHeight="1">
      <c r="A1058" s="25">
        <v>1962.0</v>
      </c>
      <c r="B1058" s="26">
        <v>45442.0</v>
      </c>
      <c r="C1058" s="25">
        <v>82.0</v>
      </c>
      <c r="D1058" s="25">
        <v>5.0</v>
      </c>
      <c r="E1058" s="25">
        <v>2.0</v>
      </c>
      <c r="F1058" s="25">
        <v>4.0</v>
      </c>
      <c r="G1058" s="27" t="s">
        <v>24</v>
      </c>
    </row>
    <row r="1059" ht="22.5" customHeight="1">
      <c r="A1059" s="25">
        <v>2024.0</v>
      </c>
      <c r="B1059" s="26">
        <v>45442.0</v>
      </c>
      <c r="C1059" s="25">
        <v>282.0</v>
      </c>
      <c r="D1059" s="25">
        <v>8.0</v>
      </c>
      <c r="E1059" s="25">
        <v>4.0</v>
      </c>
      <c r="F1059" s="25">
        <v>5.0</v>
      </c>
      <c r="G1059" s="27" t="s">
        <v>24</v>
      </c>
    </row>
    <row r="1060" ht="22.5" customHeight="1">
      <c r="A1060" s="25">
        <v>2418.0</v>
      </c>
      <c r="B1060" s="26">
        <v>45442.0</v>
      </c>
      <c r="C1060" s="25">
        <v>308.0</v>
      </c>
      <c r="D1060" s="25">
        <v>27.0</v>
      </c>
      <c r="E1060" s="25">
        <v>4.0</v>
      </c>
      <c r="F1060" s="25">
        <v>3.0</v>
      </c>
      <c r="G1060" s="27" t="s">
        <v>24</v>
      </c>
    </row>
    <row r="1061" ht="22.5" customHeight="1">
      <c r="A1061" s="25">
        <v>187.0</v>
      </c>
      <c r="B1061" s="26">
        <v>45443.0</v>
      </c>
      <c r="C1061" s="25">
        <v>118.0</v>
      </c>
      <c r="D1061" s="25">
        <v>8.0</v>
      </c>
      <c r="E1061" s="25">
        <v>5.0</v>
      </c>
      <c r="F1061" s="25">
        <v>2.0</v>
      </c>
      <c r="G1061" s="27" t="s">
        <v>24</v>
      </c>
    </row>
    <row r="1062" ht="22.5" customHeight="1">
      <c r="A1062" s="25">
        <v>650.0</v>
      </c>
      <c r="B1062" s="26">
        <v>45443.0</v>
      </c>
      <c r="C1062" s="25">
        <v>242.0</v>
      </c>
      <c r="D1062" s="25">
        <v>9.0</v>
      </c>
      <c r="E1062" s="25">
        <v>3.0</v>
      </c>
      <c r="F1062" s="25">
        <v>1.0</v>
      </c>
      <c r="G1062" s="27" t="s">
        <v>25</v>
      </c>
    </row>
    <row r="1063" ht="22.5" customHeight="1">
      <c r="A1063" s="25">
        <v>867.0</v>
      </c>
      <c r="B1063" s="26">
        <v>45443.0</v>
      </c>
      <c r="C1063" s="25">
        <v>77.0</v>
      </c>
      <c r="D1063" s="25">
        <v>12.0</v>
      </c>
      <c r="E1063" s="25">
        <v>2.0</v>
      </c>
      <c r="F1063" s="25">
        <v>1.0</v>
      </c>
      <c r="G1063" s="27" t="s">
        <v>24</v>
      </c>
    </row>
    <row r="1064" ht="22.5" customHeight="1">
      <c r="A1064" s="25">
        <v>1205.0</v>
      </c>
      <c r="B1064" s="26">
        <v>45443.0</v>
      </c>
      <c r="C1064" s="25">
        <v>285.0</v>
      </c>
      <c r="D1064" s="25">
        <v>27.0</v>
      </c>
      <c r="E1064" s="25">
        <v>3.0</v>
      </c>
      <c r="F1064" s="25">
        <v>4.0</v>
      </c>
      <c r="G1064" s="27" t="s">
        <v>24</v>
      </c>
    </row>
    <row r="1065" ht="22.5" customHeight="1">
      <c r="A1065" s="25">
        <v>1401.0</v>
      </c>
      <c r="B1065" s="26">
        <v>45443.0</v>
      </c>
      <c r="C1065" s="25">
        <v>313.0</v>
      </c>
      <c r="D1065" s="25">
        <v>32.0</v>
      </c>
      <c r="E1065" s="25">
        <v>4.0</v>
      </c>
      <c r="F1065" s="25">
        <v>4.0</v>
      </c>
      <c r="G1065" s="27" t="s">
        <v>25</v>
      </c>
    </row>
    <row r="1066" ht="22.5" customHeight="1">
      <c r="A1066" s="25">
        <v>1427.0</v>
      </c>
      <c r="B1066" s="26">
        <v>45443.0</v>
      </c>
      <c r="C1066" s="25">
        <v>234.0</v>
      </c>
      <c r="D1066" s="25">
        <v>24.0</v>
      </c>
      <c r="E1066" s="25">
        <v>5.0</v>
      </c>
      <c r="F1066" s="25">
        <v>5.0</v>
      </c>
      <c r="G1066" s="27" t="s">
        <v>24</v>
      </c>
    </row>
    <row r="1067" ht="22.5" customHeight="1">
      <c r="A1067" s="25">
        <v>1755.0</v>
      </c>
      <c r="B1067" s="26">
        <v>45443.0</v>
      </c>
      <c r="C1067" s="25">
        <v>198.0</v>
      </c>
      <c r="D1067" s="25">
        <v>16.0</v>
      </c>
      <c r="E1067" s="25">
        <v>4.0</v>
      </c>
      <c r="F1067" s="25">
        <v>3.0</v>
      </c>
      <c r="G1067" s="27" t="s">
        <v>24</v>
      </c>
    </row>
    <row r="1068" ht="22.5" customHeight="1">
      <c r="A1068" s="25">
        <v>1985.0</v>
      </c>
      <c r="B1068" s="26">
        <v>45443.0</v>
      </c>
      <c r="C1068" s="25">
        <v>84.0</v>
      </c>
      <c r="D1068" s="25">
        <v>34.0</v>
      </c>
      <c r="E1068" s="25">
        <v>5.0</v>
      </c>
      <c r="F1068" s="25">
        <v>1.0</v>
      </c>
      <c r="G1068" s="27" t="s">
        <v>24</v>
      </c>
    </row>
    <row r="1069" ht="22.5" customHeight="1">
      <c r="A1069" s="25">
        <v>2315.0</v>
      </c>
      <c r="B1069" s="26">
        <v>45443.0</v>
      </c>
      <c r="C1069" s="25">
        <v>312.0</v>
      </c>
      <c r="D1069" s="25">
        <v>3.0</v>
      </c>
      <c r="E1069" s="25">
        <v>3.0</v>
      </c>
      <c r="F1069" s="25">
        <v>5.0</v>
      </c>
      <c r="G1069" s="27" t="s">
        <v>24</v>
      </c>
    </row>
    <row r="1070" ht="22.5" customHeight="1">
      <c r="A1070" s="25">
        <v>2821.0</v>
      </c>
      <c r="B1070" s="26">
        <v>45443.0</v>
      </c>
      <c r="C1070" s="25">
        <v>66.0</v>
      </c>
      <c r="D1070" s="25">
        <v>22.0</v>
      </c>
      <c r="E1070" s="25">
        <v>1.0</v>
      </c>
      <c r="F1070" s="25">
        <v>3.0</v>
      </c>
      <c r="G1070" s="27" t="s">
        <v>24</v>
      </c>
    </row>
    <row r="1071" ht="22.5" customHeight="1">
      <c r="A1071" s="25">
        <v>2.0</v>
      </c>
      <c r="B1071" s="26">
        <v>45444.0</v>
      </c>
      <c r="C1071" s="25">
        <v>37.0</v>
      </c>
      <c r="D1071" s="25">
        <v>15.0</v>
      </c>
      <c r="E1071" s="25">
        <v>3.0</v>
      </c>
      <c r="F1071" s="25">
        <v>1.0</v>
      </c>
      <c r="G1071" s="27" t="s">
        <v>24</v>
      </c>
    </row>
    <row r="1072" ht="22.5" customHeight="1">
      <c r="A1072" s="25">
        <v>163.0</v>
      </c>
      <c r="B1072" s="26">
        <v>45444.0</v>
      </c>
      <c r="C1072" s="25">
        <v>165.0</v>
      </c>
      <c r="D1072" s="25">
        <v>11.0</v>
      </c>
      <c r="E1072" s="25">
        <v>6.0</v>
      </c>
      <c r="F1072" s="25">
        <v>2.0</v>
      </c>
      <c r="G1072" s="27" t="s">
        <v>25</v>
      </c>
    </row>
    <row r="1073" ht="22.5" customHeight="1">
      <c r="A1073" s="25">
        <v>383.0</v>
      </c>
      <c r="B1073" s="26">
        <v>45444.0</v>
      </c>
      <c r="C1073" s="25">
        <v>75.0</v>
      </c>
      <c r="D1073" s="25">
        <v>25.0</v>
      </c>
      <c r="E1073" s="25">
        <v>3.0</v>
      </c>
      <c r="F1073" s="25">
        <v>2.0</v>
      </c>
      <c r="G1073" s="27" t="s">
        <v>24</v>
      </c>
    </row>
    <row r="1074" ht="22.5" customHeight="1">
      <c r="A1074" s="25">
        <v>636.0</v>
      </c>
      <c r="B1074" s="26">
        <v>45444.0</v>
      </c>
      <c r="C1074" s="25">
        <v>185.0</v>
      </c>
      <c r="D1074" s="25">
        <v>31.0</v>
      </c>
      <c r="E1074" s="25">
        <v>6.0</v>
      </c>
      <c r="F1074" s="25">
        <v>1.0</v>
      </c>
      <c r="G1074" s="27" t="s">
        <v>25</v>
      </c>
    </row>
    <row r="1075" ht="22.5" customHeight="1">
      <c r="A1075" s="25">
        <v>699.0</v>
      </c>
      <c r="B1075" s="26">
        <v>45444.0</v>
      </c>
      <c r="C1075" s="25">
        <v>252.0</v>
      </c>
      <c r="D1075" s="25">
        <v>15.0</v>
      </c>
      <c r="E1075" s="25">
        <v>6.0</v>
      </c>
      <c r="F1075" s="25">
        <v>4.0</v>
      </c>
      <c r="G1075" s="27" t="s">
        <v>24</v>
      </c>
    </row>
    <row r="1076" ht="22.5" customHeight="1">
      <c r="A1076" s="25">
        <v>711.0</v>
      </c>
      <c r="B1076" s="26">
        <v>45444.0</v>
      </c>
      <c r="C1076" s="25">
        <v>149.0</v>
      </c>
      <c r="D1076" s="25">
        <v>35.0</v>
      </c>
      <c r="E1076" s="25">
        <v>4.0</v>
      </c>
      <c r="F1076" s="25">
        <v>1.0</v>
      </c>
      <c r="G1076" s="27" t="s">
        <v>24</v>
      </c>
    </row>
    <row r="1077" ht="22.5" customHeight="1">
      <c r="A1077" s="25">
        <v>944.0</v>
      </c>
      <c r="B1077" s="26">
        <v>45444.0</v>
      </c>
      <c r="C1077" s="25">
        <v>51.0</v>
      </c>
      <c r="D1077" s="25">
        <v>27.0</v>
      </c>
      <c r="E1077" s="25">
        <v>1.0</v>
      </c>
      <c r="F1077" s="25">
        <v>5.0</v>
      </c>
      <c r="G1077" s="27" t="s">
        <v>24</v>
      </c>
    </row>
    <row r="1078" ht="22.5" customHeight="1">
      <c r="A1078" s="25">
        <v>1054.0</v>
      </c>
      <c r="B1078" s="26">
        <v>45444.0</v>
      </c>
      <c r="C1078" s="25">
        <v>300.0</v>
      </c>
      <c r="D1078" s="25">
        <v>31.0</v>
      </c>
      <c r="E1078" s="25">
        <v>5.0</v>
      </c>
      <c r="F1078" s="25">
        <v>4.0</v>
      </c>
      <c r="G1078" s="27" t="s">
        <v>24</v>
      </c>
    </row>
    <row r="1079" ht="22.5" customHeight="1">
      <c r="A1079" s="25">
        <v>1502.0</v>
      </c>
      <c r="B1079" s="26">
        <v>45444.0</v>
      </c>
      <c r="C1079" s="25">
        <v>165.0</v>
      </c>
      <c r="D1079" s="25">
        <v>29.0</v>
      </c>
      <c r="E1079" s="25">
        <v>1.0</v>
      </c>
      <c r="F1079" s="25">
        <v>5.0</v>
      </c>
      <c r="G1079" s="27" t="s">
        <v>24</v>
      </c>
    </row>
    <row r="1080" ht="22.5" customHeight="1">
      <c r="A1080" s="25">
        <v>1562.0</v>
      </c>
      <c r="B1080" s="26">
        <v>45444.0</v>
      </c>
      <c r="C1080" s="25">
        <v>213.0</v>
      </c>
      <c r="D1080" s="25">
        <v>31.0</v>
      </c>
      <c r="E1080" s="25">
        <v>5.0</v>
      </c>
      <c r="F1080" s="25">
        <v>5.0</v>
      </c>
      <c r="G1080" s="27" t="s">
        <v>25</v>
      </c>
    </row>
    <row r="1081" ht="22.5" customHeight="1">
      <c r="A1081" s="25">
        <v>1751.0</v>
      </c>
      <c r="B1081" s="26">
        <v>45444.0</v>
      </c>
      <c r="C1081" s="25">
        <v>211.0</v>
      </c>
      <c r="D1081" s="25">
        <v>36.0</v>
      </c>
      <c r="E1081" s="25">
        <v>6.0</v>
      </c>
      <c r="F1081" s="25">
        <v>3.0</v>
      </c>
      <c r="G1081" s="27" t="s">
        <v>24</v>
      </c>
    </row>
    <row r="1082" ht="22.5" customHeight="1">
      <c r="A1082" s="25">
        <v>2249.0</v>
      </c>
      <c r="B1082" s="26">
        <v>45444.0</v>
      </c>
      <c r="C1082" s="25">
        <v>124.0</v>
      </c>
      <c r="D1082" s="25">
        <v>29.0</v>
      </c>
      <c r="E1082" s="25">
        <v>2.0</v>
      </c>
      <c r="F1082" s="25">
        <v>4.0</v>
      </c>
      <c r="G1082" s="27" t="s">
        <v>24</v>
      </c>
    </row>
    <row r="1083" ht="22.5" customHeight="1">
      <c r="A1083" s="25">
        <v>2579.0</v>
      </c>
      <c r="B1083" s="26">
        <v>45444.0</v>
      </c>
      <c r="C1083" s="25">
        <v>66.0</v>
      </c>
      <c r="D1083" s="25">
        <v>27.0</v>
      </c>
      <c r="E1083" s="25">
        <v>5.0</v>
      </c>
      <c r="F1083" s="25">
        <v>5.0</v>
      </c>
      <c r="G1083" s="27" t="s">
        <v>25</v>
      </c>
    </row>
    <row r="1084" ht="22.5" customHeight="1">
      <c r="A1084" s="25">
        <v>2909.0</v>
      </c>
      <c r="B1084" s="26">
        <v>45444.0</v>
      </c>
      <c r="C1084" s="25">
        <v>277.0</v>
      </c>
      <c r="D1084" s="25">
        <v>24.0</v>
      </c>
      <c r="E1084" s="25">
        <v>3.0</v>
      </c>
      <c r="F1084" s="25">
        <v>3.0</v>
      </c>
      <c r="G1084" s="27" t="s">
        <v>24</v>
      </c>
    </row>
    <row r="1085" ht="22.5" customHeight="1">
      <c r="A1085" s="25">
        <v>2979.0</v>
      </c>
      <c r="B1085" s="26">
        <v>45444.0</v>
      </c>
      <c r="C1085" s="25">
        <v>5.0</v>
      </c>
      <c r="D1085" s="25">
        <v>9.0</v>
      </c>
      <c r="E1085" s="25">
        <v>4.0</v>
      </c>
      <c r="F1085" s="25">
        <v>2.0</v>
      </c>
      <c r="G1085" s="27" t="s">
        <v>25</v>
      </c>
    </row>
    <row r="1086" ht="22.5" customHeight="1">
      <c r="A1086" s="25">
        <v>45.0</v>
      </c>
      <c r="B1086" s="26">
        <v>45445.0</v>
      </c>
      <c r="C1086" s="25">
        <v>11.0</v>
      </c>
      <c r="D1086" s="25">
        <v>30.0</v>
      </c>
      <c r="E1086" s="25">
        <v>3.0</v>
      </c>
      <c r="F1086" s="25">
        <v>5.0</v>
      </c>
      <c r="G1086" s="27" t="s">
        <v>24</v>
      </c>
    </row>
    <row r="1087" ht="22.5" customHeight="1">
      <c r="A1087" s="25">
        <v>177.0</v>
      </c>
      <c r="B1087" s="26">
        <v>45445.0</v>
      </c>
      <c r="C1087" s="25">
        <v>316.0</v>
      </c>
      <c r="D1087" s="25">
        <v>21.0</v>
      </c>
      <c r="E1087" s="25">
        <v>5.0</v>
      </c>
      <c r="F1087" s="25">
        <v>4.0</v>
      </c>
      <c r="G1087" s="27" t="s">
        <v>24</v>
      </c>
    </row>
    <row r="1088" ht="22.5" customHeight="1">
      <c r="A1088" s="25">
        <v>425.0</v>
      </c>
      <c r="B1088" s="26">
        <v>45445.0</v>
      </c>
      <c r="C1088" s="25">
        <v>138.0</v>
      </c>
      <c r="D1088" s="25">
        <v>5.0</v>
      </c>
      <c r="E1088" s="25">
        <v>5.0</v>
      </c>
      <c r="F1088" s="25">
        <v>4.0</v>
      </c>
      <c r="G1088" s="27" t="s">
        <v>24</v>
      </c>
    </row>
    <row r="1089" ht="22.5" customHeight="1">
      <c r="A1089" s="25">
        <v>516.0</v>
      </c>
      <c r="B1089" s="26">
        <v>45445.0</v>
      </c>
      <c r="C1089" s="25">
        <v>83.0</v>
      </c>
      <c r="D1089" s="25">
        <v>17.0</v>
      </c>
      <c r="E1089" s="25">
        <v>2.0</v>
      </c>
      <c r="F1089" s="25">
        <v>1.0</v>
      </c>
      <c r="G1089" s="27" t="s">
        <v>25</v>
      </c>
    </row>
    <row r="1090" ht="22.5" customHeight="1">
      <c r="A1090" s="25">
        <v>765.0</v>
      </c>
      <c r="B1090" s="26">
        <v>45445.0</v>
      </c>
      <c r="C1090" s="25">
        <v>229.0</v>
      </c>
      <c r="D1090" s="25">
        <v>25.0</v>
      </c>
      <c r="E1090" s="25">
        <v>4.0</v>
      </c>
      <c r="F1090" s="25">
        <v>4.0</v>
      </c>
      <c r="G1090" s="27" t="s">
        <v>24</v>
      </c>
    </row>
    <row r="1091" ht="22.5" customHeight="1">
      <c r="A1091" s="25">
        <v>922.0</v>
      </c>
      <c r="B1091" s="26">
        <v>45445.0</v>
      </c>
      <c r="C1091" s="25">
        <v>210.0</v>
      </c>
      <c r="D1091" s="25">
        <v>24.0</v>
      </c>
      <c r="E1091" s="25">
        <v>5.0</v>
      </c>
      <c r="F1091" s="25">
        <v>5.0</v>
      </c>
      <c r="G1091" s="27" t="s">
        <v>24</v>
      </c>
    </row>
    <row r="1092" ht="22.5" customHeight="1">
      <c r="A1092" s="25">
        <v>991.0</v>
      </c>
      <c r="B1092" s="26">
        <v>45445.0</v>
      </c>
      <c r="C1092" s="25">
        <v>104.0</v>
      </c>
      <c r="D1092" s="25">
        <v>4.0</v>
      </c>
      <c r="E1092" s="25">
        <v>2.0</v>
      </c>
      <c r="F1092" s="25">
        <v>2.0</v>
      </c>
      <c r="G1092" s="27" t="s">
        <v>24</v>
      </c>
    </row>
    <row r="1093" ht="22.5" customHeight="1">
      <c r="A1093" s="25">
        <v>1187.0</v>
      </c>
      <c r="B1093" s="26">
        <v>45445.0</v>
      </c>
      <c r="C1093" s="25">
        <v>154.0</v>
      </c>
      <c r="D1093" s="25">
        <v>5.0</v>
      </c>
      <c r="E1093" s="25">
        <v>5.0</v>
      </c>
      <c r="F1093" s="25">
        <v>3.0</v>
      </c>
      <c r="G1093" s="27" t="s">
        <v>24</v>
      </c>
    </row>
    <row r="1094" ht="22.5" customHeight="1">
      <c r="A1094" s="25">
        <v>1244.0</v>
      </c>
      <c r="B1094" s="26">
        <v>45445.0</v>
      </c>
      <c r="C1094" s="25">
        <v>200.0</v>
      </c>
      <c r="D1094" s="25">
        <v>6.0</v>
      </c>
      <c r="E1094" s="25">
        <v>3.0</v>
      </c>
      <c r="F1094" s="25">
        <v>2.0</v>
      </c>
      <c r="G1094" s="27" t="s">
        <v>24</v>
      </c>
    </row>
    <row r="1095" ht="22.5" customHeight="1">
      <c r="A1095" s="25">
        <v>1518.0</v>
      </c>
      <c r="B1095" s="26">
        <v>45445.0</v>
      </c>
      <c r="C1095" s="25">
        <v>33.0</v>
      </c>
      <c r="D1095" s="25">
        <v>38.0</v>
      </c>
      <c r="E1095" s="25">
        <v>6.0</v>
      </c>
      <c r="F1095" s="25">
        <v>1.0</v>
      </c>
      <c r="G1095" s="27" t="s">
        <v>24</v>
      </c>
    </row>
    <row r="1096" ht="22.5" customHeight="1">
      <c r="A1096" s="25">
        <v>1590.0</v>
      </c>
      <c r="B1096" s="26">
        <v>45445.0</v>
      </c>
      <c r="C1096" s="25">
        <v>265.0</v>
      </c>
      <c r="D1096" s="25">
        <v>8.0</v>
      </c>
      <c r="E1096" s="25">
        <v>3.0</v>
      </c>
      <c r="F1096" s="25">
        <v>5.0</v>
      </c>
      <c r="G1096" s="27" t="s">
        <v>25</v>
      </c>
    </row>
    <row r="1097" ht="22.5" customHeight="1">
      <c r="A1097" s="25">
        <v>2181.0</v>
      </c>
      <c r="B1097" s="26">
        <v>45445.0</v>
      </c>
      <c r="C1097" s="25">
        <v>136.0</v>
      </c>
      <c r="D1097" s="25">
        <v>1.0</v>
      </c>
      <c r="E1097" s="25">
        <v>6.0</v>
      </c>
      <c r="F1097" s="25">
        <v>2.0</v>
      </c>
      <c r="G1097" s="27" t="s">
        <v>24</v>
      </c>
    </row>
    <row r="1098" ht="22.5" customHeight="1">
      <c r="A1098" s="25">
        <v>2308.0</v>
      </c>
      <c r="B1098" s="26">
        <v>45445.0</v>
      </c>
      <c r="C1098" s="25">
        <v>31.0</v>
      </c>
      <c r="D1098" s="25">
        <v>23.0</v>
      </c>
      <c r="E1098" s="25">
        <v>2.0</v>
      </c>
      <c r="F1098" s="25">
        <v>1.0</v>
      </c>
      <c r="G1098" s="27" t="s">
        <v>24</v>
      </c>
    </row>
    <row r="1099" ht="22.5" customHeight="1">
      <c r="A1099" s="25">
        <v>2498.0</v>
      </c>
      <c r="B1099" s="26">
        <v>45445.0</v>
      </c>
      <c r="C1099" s="25">
        <v>144.0</v>
      </c>
      <c r="D1099" s="25">
        <v>28.0</v>
      </c>
      <c r="E1099" s="25">
        <v>3.0</v>
      </c>
      <c r="F1099" s="25">
        <v>1.0</v>
      </c>
      <c r="G1099" s="27" t="s">
        <v>24</v>
      </c>
    </row>
    <row r="1100" ht="22.5" customHeight="1">
      <c r="A1100" s="25">
        <v>2505.0</v>
      </c>
      <c r="B1100" s="26">
        <v>45445.0</v>
      </c>
      <c r="C1100" s="25">
        <v>235.0</v>
      </c>
      <c r="D1100" s="25">
        <v>30.0</v>
      </c>
      <c r="E1100" s="25">
        <v>4.0</v>
      </c>
      <c r="F1100" s="25">
        <v>4.0</v>
      </c>
      <c r="G1100" s="27" t="s">
        <v>25</v>
      </c>
    </row>
    <row r="1101" ht="22.5" customHeight="1">
      <c r="A1101" s="25">
        <v>2566.0</v>
      </c>
      <c r="B1101" s="26">
        <v>45445.0</v>
      </c>
      <c r="C1101" s="25">
        <v>158.0</v>
      </c>
      <c r="D1101" s="25">
        <v>8.0</v>
      </c>
      <c r="E1101" s="25">
        <v>3.0</v>
      </c>
      <c r="F1101" s="25">
        <v>5.0</v>
      </c>
      <c r="G1101" s="27" t="s">
        <v>24</v>
      </c>
    </row>
    <row r="1102" ht="22.5" customHeight="1">
      <c r="A1102" s="25">
        <v>2824.0</v>
      </c>
      <c r="B1102" s="26">
        <v>45445.0</v>
      </c>
      <c r="C1102" s="25">
        <v>144.0</v>
      </c>
      <c r="D1102" s="25">
        <v>17.0</v>
      </c>
      <c r="E1102" s="25">
        <v>4.0</v>
      </c>
      <c r="F1102" s="25">
        <v>1.0</v>
      </c>
      <c r="G1102" s="27" t="s">
        <v>24</v>
      </c>
    </row>
    <row r="1103" ht="22.5" customHeight="1">
      <c r="A1103" s="25">
        <v>284.0</v>
      </c>
      <c r="B1103" s="26">
        <v>45446.0</v>
      </c>
      <c r="C1103" s="25">
        <v>176.0</v>
      </c>
      <c r="D1103" s="25">
        <v>36.0</v>
      </c>
      <c r="E1103" s="25">
        <v>5.0</v>
      </c>
      <c r="F1103" s="25">
        <v>4.0</v>
      </c>
      <c r="G1103" s="27" t="s">
        <v>24</v>
      </c>
    </row>
    <row r="1104" ht="22.5" customHeight="1">
      <c r="A1104" s="25">
        <v>1681.0</v>
      </c>
      <c r="B1104" s="26">
        <v>45446.0</v>
      </c>
      <c r="C1104" s="25">
        <v>167.0</v>
      </c>
      <c r="D1104" s="25">
        <v>2.0</v>
      </c>
      <c r="E1104" s="25">
        <v>3.0</v>
      </c>
      <c r="F1104" s="25">
        <v>3.0</v>
      </c>
      <c r="G1104" s="27" t="s">
        <v>24</v>
      </c>
    </row>
    <row r="1105" ht="22.5" customHeight="1">
      <c r="A1105" s="25">
        <v>1935.0</v>
      </c>
      <c r="B1105" s="26">
        <v>45446.0</v>
      </c>
      <c r="C1105" s="25">
        <v>311.0</v>
      </c>
      <c r="D1105" s="25">
        <v>8.0</v>
      </c>
      <c r="E1105" s="25">
        <v>5.0</v>
      </c>
      <c r="F1105" s="25">
        <v>5.0</v>
      </c>
      <c r="G1105" s="27" t="s">
        <v>24</v>
      </c>
    </row>
    <row r="1106" ht="22.5" customHeight="1">
      <c r="A1106" s="25">
        <v>2057.0</v>
      </c>
      <c r="B1106" s="26">
        <v>45446.0</v>
      </c>
      <c r="C1106" s="25">
        <v>81.0</v>
      </c>
      <c r="D1106" s="25">
        <v>9.0</v>
      </c>
      <c r="E1106" s="25">
        <v>5.0</v>
      </c>
      <c r="F1106" s="25">
        <v>1.0</v>
      </c>
      <c r="G1106" s="27" t="s">
        <v>24</v>
      </c>
    </row>
    <row r="1107" ht="22.5" customHeight="1">
      <c r="A1107" s="25">
        <v>2300.0</v>
      </c>
      <c r="B1107" s="26">
        <v>45446.0</v>
      </c>
      <c r="C1107" s="25">
        <v>49.0</v>
      </c>
      <c r="D1107" s="25">
        <v>27.0</v>
      </c>
      <c r="E1107" s="25">
        <v>6.0</v>
      </c>
      <c r="F1107" s="25">
        <v>4.0</v>
      </c>
      <c r="G1107" s="27" t="s">
        <v>24</v>
      </c>
    </row>
    <row r="1108" ht="22.5" customHeight="1">
      <c r="A1108" s="25">
        <v>2304.0</v>
      </c>
      <c r="B1108" s="26">
        <v>45446.0</v>
      </c>
      <c r="C1108" s="25">
        <v>276.0</v>
      </c>
      <c r="D1108" s="25">
        <v>14.0</v>
      </c>
      <c r="E1108" s="25">
        <v>6.0</v>
      </c>
      <c r="F1108" s="25">
        <v>1.0</v>
      </c>
      <c r="G1108" s="27" t="s">
        <v>24</v>
      </c>
    </row>
    <row r="1109" ht="22.5" customHeight="1">
      <c r="A1109" s="25">
        <v>2433.0</v>
      </c>
      <c r="B1109" s="26">
        <v>45446.0</v>
      </c>
      <c r="C1109" s="25">
        <v>126.0</v>
      </c>
      <c r="D1109" s="25">
        <v>29.0</v>
      </c>
      <c r="E1109" s="25">
        <v>2.0</v>
      </c>
      <c r="F1109" s="25">
        <v>1.0</v>
      </c>
      <c r="G1109" s="27" t="s">
        <v>24</v>
      </c>
    </row>
    <row r="1110" ht="22.5" customHeight="1">
      <c r="A1110" s="25">
        <v>2476.0</v>
      </c>
      <c r="B1110" s="26">
        <v>45446.0</v>
      </c>
      <c r="C1110" s="25">
        <v>69.0</v>
      </c>
      <c r="D1110" s="25">
        <v>21.0</v>
      </c>
      <c r="E1110" s="25">
        <v>5.0</v>
      </c>
      <c r="F1110" s="25">
        <v>1.0</v>
      </c>
      <c r="G1110" s="27" t="s">
        <v>24</v>
      </c>
    </row>
    <row r="1111" ht="22.5" customHeight="1">
      <c r="A1111" s="25">
        <v>2614.0</v>
      </c>
      <c r="B1111" s="26">
        <v>45446.0</v>
      </c>
      <c r="C1111" s="25">
        <v>279.0</v>
      </c>
      <c r="D1111" s="25">
        <v>34.0</v>
      </c>
      <c r="E1111" s="25">
        <v>4.0</v>
      </c>
      <c r="F1111" s="25">
        <v>5.0</v>
      </c>
      <c r="G1111" s="27" t="s">
        <v>25</v>
      </c>
    </row>
    <row r="1112" ht="22.5" customHeight="1">
      <c r="A1112" s="25">
        <v>2790.0</v>
      </c>
      <c r="B1112" s="26">
        <v>45446.0</v>
      </c>
      <c r="C1112" s="25">
        <v>97.0</v>
      </c>
      <c r="D1112" s="25">
        <v>34.0</v>
      </c>
      <c r="E1112" s="25">
        <v>1.0</v>
      </c>
      <c r="F1112" s="25">
        <v>5.0</v>
      </c>
      <c r="G1112" s="27" t="s">
        <v>24</v>
      </c>
    </row>
    <row r="1113" ht="22.5" customHeight="1">
      <c r="A1113" s="25">
        <v>2908.0</v>
      </c>
      <c r="B1113" s="26">
        <v>45446.0</v>
      </c>
      <c r="C1113" s="25">
        <v>48.0</v>
      </c>
      <c r="D1113" s="25">
        <v>21.0</v>
      </c>
      <c r="E1113" s="25">
        <v>2.0</v>
      </c>
      <c r="F1113" s="25">
        <v>4.0</v>
      </c>
      <c r="G1113" s="27" t="s">
        <v>24</v>
      </c>
    </row>
    <row r="1114" ht="22.5" customHeight="1">
      <c r="A1114" s="25">
        <v>466.0</v>
      </c>
      <c r="B1114" s="26">
        <v>45447.0</v>
      </c>
      <c r="C1114" s="25">
        <v>7.0</v>
      </c>
      <c r="D1114" s="25">
        <v>9.0</v>
      </c>
      <c r="E1114" s="25">
        <v>4.0</v>
      </c>
      <c r="F1114" s="25">
        <v>1.0</v>
      </c>
      <c r="G1114" s="27" t="s">
        <v>24</v>
      </c>
    </row>
    <row r="1115" ht="22.5" customHeight="1">
      <c r="A1115" s="25">
        <v>580.0</v>
      </c>
      <c r="B1115" s="26">
        <v>45447.0</v>
      </c>
      <c r="C1115" s="25">
        <v>195.0</v>
      </c>
      <c r="D1115" s="25">
        <v>32.0</v>
      </c>
      <c r="E1115" s="25">
        <v>1.0</v>
      </c>
      <c r="F1115" s="25">
        <v>5.0</v>
      </c>
      <c r="G1115" s="27" t="s">
        <v>24</v>
      </c>
    </row>
    <row r="1116" ht="22.5" customHeight="1">
      <c r="A1116" s="25">
        <v>833.0</v>
      </c>
      <c r="B1116" s="26">
        <v>45447.0</v>
      </c>
      <c r="C1116" s="25">
        <v>303.0</v>
      </c>
      <c r="D1116" s="25">
        <v>28.0</v>
      </c>
      <c r="E1116" s="25">
        <v>1.0</v>
      </c>
      <c r="F1116" s="25">
        <v>3.0</v>
      </c>
      <c r="G1116" s="27" t="s">
        <v>24</v>
      </c>
    </row>
    <row r="1117" ht="22.5" customHeight="1">
      <c r="A1117" s="25">
        <v>996.0</v>
      </c>
      <c r="B1117" s="26">
        <v>45447.0</v>
      </c>
      <c r="C1117" s="25">
        <v>242.0</v>
      </c>
      <c r="D1117" s="25">
        <v>13.0</v>
      </c>
      <c r="E1117" s="25">
        <v>5.0</v>
      </c>
      <c r="F1117" s="25">
        <v>3.0</v>
      </c>
      <c r="G1117" s="27" t="s">
        <v>24</v>
      </c>
    </row>
    <row r="1118" ht="22.5" customHeight="1">
      <c r="A1118" s="25">
        <v>1112.0</v>
      </c>
      <c r="B1118" s="26">
        <v>45447.0</v>
      </c>
      <c r="C1118" s="25">
        <v>171.0</v>
      </c>
      <c r="D1118" s="25">
        <v>37.0</v>
      </c>
      <c r="E1118" s="25">
        <v>3.0</v>
      </c>
      <c r="F1118" s="25">
        <v>5.0</v>
      </c>
      <c r="G1118" s="27" t="s">
        <v>24</v>
      </c>
    </row>
    <row r="1119" ht="22.5" customHeight="1">
      <c r="A1119" s="25">
        <v>2266.0</v>
      </c>
      <c r="B1119" s="26">
        <v>45447.0</v>
      </c>
      <c r="C1119" s="25">
        <v>108.0</v>
      </c>
      <c r="D1119" s="25">
        <v>5.0</v>
      </c>
      <c r="E1119" s="25">
        <v>3.0</v>
      </c>
      <c r="F1119" s="25">
        <v>4.0</v>
      </c>
      <c r="G1119" s="27" t="s">
        <v>24</v>
      </c>
    </row>
    <row r="1120" ht="22.5" customHeight="1">
      <c r="A1120" s="25">
        <v>2509.0</v>
      </c>
      <c r="B1120" s="26">
        <v>45447.0</v>
      </c>
      <c r="C1120" s="25">
        <v>114.0</v>
      </c>
      <c r="D1120" s="25">
        <v>9.0</v>
      </c>
      <c r="E1120" s="25">
        <v>1.0</v>
      </c>
      <c r="F1120" s="25">
        <v>4.0</v>
      </c>
      <c r="G1120" s="27" t="s">
        <v>24</v>
      </c>
    </row>
    <row r="1121" ht="22.5" customHeight="1">
      <c r="A1121" s="25">
        <v>2601.0</v>
      </c>
      <c r="B1121" s="26">
        <v>45447.0</v>
      </c>
      <c r="C1121" s="25">
        <v>218.0</v>
      </c>
      <c r="D1121" s="25">
        <v>32.0</v>
      </c>
      <c r="E1121" s="25">
        <v>3.0</v>
      </c>
      <c r="F1121" s="25">
        <v>5.0</v>
      </c>
      <c r="G1121" s="27" t="s">
        <v>24</v>
      </c>
    </row>
    <row r="1122" ht="22.5" customHeight="1">
      <c r="A1122" s="25">
        <v>2860.0</v>
      </c>
      <c r="B1122" s="26">
        <v>45447.0</v>
      </c>
      <c r="C1122" s="25">
        <v>156.0</v>
      </c>
      <c r="D1122" s="25">
        <v>14.0</v>
      </c>
      <c r="E1122" s="25">
        <v>6.0</v>
      </c>
      <c r="F1122" s="25">
        <v>5.0</v>
      </c>
      <c r="G1122" s="27" t="s">
        <v>24</v>
      </c>
    </row>
    <row r="1123" ht="22.5" customHeight="1">
      <c r="A1123" s="25">
        <v>2959.0</v>
      </c>
      <c r="B1123" s="26">
        <v>45447.0</v>
      </c>
      <c r="C1123" s="25">
        <v>197.0</v>
      </c>
      <c r="D1123" s="25">
        <v>19.0</v>
      </c>
      <c r="E1123" s="25">
        <v>2.0</v>
      </c>
      <c r="F1123" s="25">
        <v>4.0</v>
      </c>
      <c r="G1123" s="27" t="s">
        <v>24</v>
      </c>
    </row>
    <row r="1124" ht="22.5" customHeight="1">
      <c r="A1124" s="25">
        <v>512.0</v>
      </c>
      <c r="B1124" s="26">
        <v>45448.0</v>
      </c>
      <c r="C1124" s="25">
        <v>106.0</v>
      </c>
      <c r="D1124" s="25">
        <v>21.0</v>
      </c>
      <c r="E1124" s="25">
        <v>6.0</v>
      </c>
      <c r="F1124" s="25">
        <v>5.0</v>
      </c>
      <c r="G1124" s="27" t="s">
        <v>24</v>
      </c>
    </row>
    <row r="1125" ht="22.5" customHeight="1">
      <c r="A1125" s="25">
        <v>626.0</v>
      </c>
      <c r="B1125" s="26">
        <v>45448.0</v>
      </c>
      <c r="C1125" s="25">
        <v>324.0</v>
      </c>
      <c r="D1125" s="25">
        <v>21.0</v>
      </c>
      <c r="E1125" s="25">
        <v>1.0</v>
      </c>
      <c r="F1125" s="25">
        <v>1.0</v>
      </c>
      <c r="G1125" s="27" t="s">
        <v>24</v>
      </c>
    </row>
    <row r="1126" ht="22.5" customHeight="1">
      <c r="A1126" s="25">
        <v>710.0</v>
      </c>
      <c r="B1126" s="26">
        <v>45448.0</v>
      </c>
      <c r="C1126" s="25">
        <v>292.0</v>
      </c>
      <c r="D1126" s="25">
        <v>27.0</v>
      </c>
      <c r="E1126" s="25">
        <v>6.0</v>
      </c>
      <c r="F1126" s="25">
        <v>5.0</v>
      </c>
      <c r="G1126" s="27" t="s">
        <v>24</v>
      </c>
    </row>
    <row r="1127" ht="22.5" customHeight="1">
      <c r="A1127" s="25">
        <v>985.0</v>
      </c>
      <c r="B1127" s="26">
        <v>45448.0</v>
      </c>
      <c r="C1127" s="25">
        <v>29.0</v>
      </c>
      <c r="D1127" s="25">
        <v>12.0</v>
      </c>
      <c r="E1127" s="25">
        <v>3.0</v>
      </c>
      <c r="F1127" s="25">
        <v>3.0</v>
      </c>
      <c r="G1127" s="27" t="s">
        <v>24</v>
      </c>
    </row>
    <row r="1128" ht="22.5" customHeight="1">
      <c r="A1128" s="25">
        <v>1225.0</v>
      </c>
      <c r="B1128" s="26">
        <v>45448.0</v>
      </c>
      <c r="C1128" s="25">
        <v>134.0</v>
      </c>
      <c r="D1128" s="25">
        <v>29.0</v>
      </c>
      <c r="E1128" s="25">
        <v>5.0</v>
      </c>
      <c r="F1128" s="25">
        <v>4.0</v>
      </c>
      <c r="G1128" s="27" t="s">
        <v>24</v>
      </c>
    </row>
    <row r="1129" ht="22.5" customHeight="1">
      <c r="A1129" s="25">
        <v>1243.0</v>
      </c>
      <c r="B1129" s="26">
        <v>45448.0</v>
      </c>
      <c r="C1129" s="25">
        <v>307.0</v>
      </c>
      <c r="D1129" s="25">
        <v>35.0</v>
      </c>
      <c r="E1129" s="25">
        <v>3.0</v>
      </c>
      <c r="F1129" s="25">
        <v>5.0</v>
      </c>
      <c r="G1129" s="27" t="s">
        <v>24</v>
      </c>
    </row>
    <row r="1130" ht="22.5" customHeight="1">
      <c r="A1130" s="25">
        <v>1281.0</v>
      </c>
      <c r="B1130" s="26">
        <v>45448.0</v>
      </c>
      <c r="C1130" s="25">
        <v>223.0</v>
      </c>
      <c r="D1130" s="25">
        <v>9.0</v>
      </c>
      <c r="E1130" s="25">
        <v>2.0</v>
      </c>
      <c r="F1130" s="25">
        <v>5.0</v>
      </c>
      <c r="G1130" s="27" t="s">
        <v>24</v>
      </c>
    </row>
    <row r="1131" ht="22.5" customHeight="1">
      <c r="A1131" s="25">
        <v>1563.0</v>
      </c>
      <c r="B1131" s="26">
        <v>45448.0</v>
      </c>
      <c r="C1131" s="25">
        <v>313.0</v>
      </c>
      <c r="D1131" s="25">
        <v>34.0</v>
      </c>
      <c r="E1131" s="25">
        <v>1.0</v>
      </c>
      <c r="F1131" s="25">
        <v>5.0</v>
      </c>
      <c r="G1131" s="27" t="s">
        <v>24</v>
      </c>
    </row>
    <row r="1132" ht="22.5" customHeight="1">
      <c r="A1132" s="25">
        <v>1857.0</v>
      </c>
      <c r="B1132" s="26">
        <v>45448.0</v>
      </c>
      <c r="C1132" s="25">
        <v>298.0</v>
      </c>
      <c r="D1132" s="25">
        <v>4.0</v>
      </c>
      <c r="E1132" s="25">
        <v>2.0</v>
      </c>
      <c r="F1132" s="25">
        <v>3.0</v>
      </c>
      <c r="G1132" s="27" t="s">
        <v>24</v>
      </c>
    </row>
    <row r="1133" ht="22.5" customHeight="1">
      <c r="A1133" s="25">
        <v>2151.0</v>
      </c>
      <c r="B1133" s="26">
        <v>45448.0</v>
      </c>
      <c r="C1133" s="25">
        <v>127.0</v>
      </c>
      <c r="D1133" s="25">
        <v>18.0</v>
      </c>
      <c r="E1133" s="25">
        <v>2.0</v>
      </c>
      <c r="F1133" s="25">
        <v>2.0</v>
      </c>
      <c r="G1133" s="27" t="s">
        <v>24</v>
      </c>
    </row>
    <row r="1134" ht="22.5" customHeight="1">
      <c r="A1134" s="25">
        <v>2153.0</v>
      </c>
      <c r="B1134" s="26">
        <v>45448.0</v>
      </c>
      <c r="C1134" s="25">
        <v>282.0</v>
      </c>
      <c r="D1134" s="25">
        <v>25.0</v>
      </c>
      <c r="E1134" s="25">
        <v>6.0</v>
      </c>
      <c r="F1134" s="25">
        <v>4.0</v>
      </c>
      <c r="G1134" s="27" t="s">
        <v>24</v>
      </c>
    </row>
    <row r="1135" ht="22.5" customHeight="1">
      <c r="A1135" s="25">
        <v>2705.0</v>
      </c>
      <c r="B1135" s="26">
        <v>45448.0</v>
      </c>
      <c r="C1135" s="25">
        <v>305.0</v>
      </c>
      <c r="D1135" s="25">
        <v>23.0</v>
      </c>
      <c r="E1135" s="25">
        <v>5.0</v>
      </c>
      <c r="F1135" s="25">
        <v>4.0</v>
      </c>
      <c r="G1135" s="27" t="s">
        <v>24</v>
      </c>
    </row>
    <row r="1136" ht="22.5" customHeight="1">
      <c r="A1136" s="25">
        <v>260.0</v>
      </c>
      <c r="B1136" s="26">
        <v>45449.0</v>
      </c>
      <c r="C1136" s="25">
        <v>17.0</v>
      </c>
      <c r="D1136" s="25">
        <v>14.0</v>
      </c>
      <c r="E1136" s="25">
        <v>1.0</v>
      </c>
      <c r="F1136" s="25">
        <v>3.0</v>
      </c>
      <c r="G1136" s="27" t="s">
        <v>24</v>
      </c>
    </row>
    <row r="1137" ht="22.5" customHeight="1">
      <c r="A1137" s="25">
        <v>300.0</v>
      </c>
      <c r="B1137" s="26">
        <v>45449.0</v>
      </c>
      <c r="C1137" s="25">
        <v>258.0</v>
      </c>
      <c r="D1137" s="25">
        <v>2.0</v>
      </c>
      <c r="E1137" s="25">
        <v>3.0</v>
      </c>
      <c r="F1137" s="25">
        <v>3.0</v>
      </c>
      <c r="G1137" s="27" t="s">
        <v>24</v>
      </c>
    </row>
    <row r="1138" ht="22.5" customHeight="1">
      <c r="A1138" s="25">
        <v>623.0</v>
      </c>
      <c r="B1138" s="26">
        <v>45449.0</v>
      </c>
      <c r="C1138" s="25">
        <v>86.0</v>
      </c>
      <c r="D1138" s="25">
        <v>14.0</v>
      </c>
      <c r="E1138" s="25">
        <v>1.0</v>
      </c>
      <c r="F1138" s="25">
        <v>3.0</v>
      </c>
      <c r="G1138" s="27" t="s">
        <v>24</v>
      </c>
    </row>
    <row r="1139" ht="22.5" customHeight="1">
      <c r="A1139" s="25">
        <v>739.0</v>
      </c>
      <c r="B1139" s="26">
        <v>45449.0</v>
      </c>
      <c r="C1139" s="25">
        <v>109.0</v>
      </c>
      <c r="D1139" s="25">
        <v>35.0</v>
      </c>
      <c r="E1139" s="25">
        <v>6.0</v>
      </c>
      <c r="F1139" s="25">
        <v>3.0</v>
      </c>
      <c r="G1139" s="27" t="s">
        <v>24</v>
      </c>
    </row>
    <row r="1140" ht="22.5" customHeight="1">
      <c r="A1140" s="25">
        <v>1386.0</v>
      </c>
      <c r="B1140" s="26">
        <v>45449.0</v>
      </c>
      <c r="C1140" s="25">
        <v>125.0</v>
      </c>
      <c r="D1140" s="25">
        <v>15.0</v>
      </c>
      <c r="E1140" s="25">
        <v>2.0</v>
      </c>
      <c r="F1140" s="25">
        <v>1.0</v>
      </c>
      <c r="G1140" s="27" t="s">
        <v>24</v>
      </c>
    </row>
    <row r="1141" ht="22.5" customHeight="1">
      <c r="A1141" s="25">
        <v>1434.0</v>
      </c>
      <c r="B1141" s="26">
        <v>45449.0</v>
      </c>
      <c r="C1141" s="25">
        <v>5.0</v>
      </c>
      <c r="D1141" s="25">
        <v>5.0</v>
      </c>
      <c r="E1141" s="25">
        <v>2.0</v>
      </c>
      <c r="F1141" s="25">
        <v>3.0</v>
      </c>
      <c r="G1141" s="27" t="s">
        <v>24</v>
      </c>
    </row>
    <row r="1142" ht="22.5" customHeight="1">
      <c r="A1142" s="25">
        <v>1966.0</v>
      </c>
      <c r="B1142" s="26">
        <v>45449.0</v>
      </c>
      <c r="C1142" s="25">
        <v>11.0</v>
      </c>
      <c r="D1142" s="25">
        <v>24.0</v>
      </c>
      <c r="E1142" s="25">
        <v>1.0</v>
      </c>
      <c r="F1142" s="25">
        <v>4.0</v>
      </c>
      <c r="G1142" s="27" t="s">
        <v>24</v>
      </c>
    </row>
    <row r="1143" ht="22.5" customHeight="1">
      <c r="A1143" s="25">
        <v>2002.0</v>
      </c>
      <c r="B1143" s="26">
        <v>45449.0</v>
      </c>
      <c r="C1143" s="25">
        <v>130.0</v>
      </c>
      <c r="D1143" s="25">
        <v>11.0</v>
      </c>
      <c r="E1143" s="25">
        <v>5.0</v>
      </c>
      <c r="F1143" s="25">
        <v>4.0</v>
      </c>
      <c r="G1143" s="27" t="s">
        <v>24</v>
      </c>
    </row>
    <row r="1144" ht="22.5" customHeight="1">
      <c r="A1144" s="25">
        <v>2060.0</v>
      </c>
      <c r="B1144" s="26">
        <v>45449.0</v>
      </c>
      <c r="C1144" s="25">
        <v>194.0</v>
      </c>
      <c r="D1144" s="25">
        <v>7.0</v>
      </c>
      <c r="E1144" s="25">
        <v>6.0</v>
      </c>
      <c r="F1144" s="25">
        <v>4.0</v>
      </c>
      <c r="G1144" s="27" t="s">
        <v>25</v>
      </c>
    </row>
    <row r="1145" ht="22.5" customHeight="1">
      <c r="A1145" s="25">
        <v>2218.0</v>
      </c>
      <c r="B1145" s="26">
        <v>45449.0</v>
      </c>
      <c r="C1145" s="25">
        <v>209.0</v>
      </c>
      <c r="D1145" s="25">
        <v>24.0</v>
      </c>
      <c r="E1145" s="25">
        <v>3.0</v>
      </c>
      <c r="F1145" s="25">
        <v>3.0</v>
      </c>
      <c r="G1145" s="27" t="s">
        <v>24</v>
      </c>
    </row>
    <row r="1146" ht="22.5" customHeight="1">
      <c r="A1146" s="25">
        <v>2244.0</v>
      </c>
      <c r="B1146" s="26">
        <v>45449.0</v>
      </c>
      <c r="C1146" s="25">
        <v>108.0</v>
      </c>
      <c r="D1146" s="25">
        <v>30.0</v>
      </c>
      <c r="E1146" s="25">
        <v>1.0</v>
      </c>
      <c r="F1146" s="25">
        <v>4.0</v>
      </c>
      <c r="G1146" s="27" t="s">
        <v>25</v>
      </c>
    </row>
    <row r="1147" ht="22.5" customHeight="1">
      <c r="A1147" s="25">
        <v>357.0</v>
      </c>
      <c r="B1147" s="26">
        <v>45450.0</v>
      </c>
      <c r="C1147" s="25">
        <v>52.0</v>
      </c>
      <c r="D1147" s="25">
        <v>9.0</v>
      </c>
      <c r="E1147" s="25">
        <v>4.0</v>
      </c>
      <c r="F1147" s="25">
        <v>1.0</v>
      </c>
      <c r="G1147" s="27" t="s">
        <v>24</v>
      </c>
    </row>
    <row r="1148" ht="22.5" customHeight="1">
      <c r="A1148" s="25">
        <v>1035.0</v>
      </c>
      <c r="B1148" s="26">
        <v>45450.0</v>
      </c>
      <c r="C1148" s="25">
        <v>249.0</v>
      </c>
      <c r="D1148" s="25">
        <v>20.0</v>
      </c>
      <c r="E1148" s="25">
        <v>1.0</v>
      </c>
      <c r="F1148" s="25">
        <v>3.0</v>
      </c>
      <c r="G1148" s="27" t="s">
        <v>24</v>
      </c>
    </row>
    <row r="1149" ht="22.5" customHeight="1">
      <c r="A1149" s="25">
        <v>1040.0</v>
      </c>
      <c r="B1149" s="26">
        <v>45450.0</v>
      </c>
      <c r="C1149" s="25">
        <v>298.0</v>
      </c>
      <c r="D1149" s="25">
        <v>18.0</v>
      </c>
      <c r="E1149" s="25">
        <v>6.0</v>
      </c>
      <c r="F1149" s="25">
        <v>4.0</v>
      </c>
      <c r="G1149" s="27" t="s">
        <v>24</v>
      </c>
    </row>
    <row r="1150" ht="22.5" customHeight="1">
      <c r="A1150" s="25">
        <v>1165.0</v>
      </c>
      <c r="B1150" s="26">
        <v>45450.0</v>
      </c>
      <c r="C1150" s="25">
        <v>30.0</v>
      </c>
      <c r="D1150" s="25">
        <v>13.0</v>
      </c>
      <c r="E1150" s="25">
        <v>5.0</v>
      </c>
      <c r="F1150" s="25">
        <v>5.0</v>
      </c>
      <c r="G1150" s="27" t="s">
        <v>25</v>
      </c>
    </row>
    <row r="1151" ht="22.5" customHeight="1">
      <c r="A1151" s="25">
        <v>1182.0</v>
      </c>
      <c r="B1151" s="26">
        <v>45450.0</v>
      </c>
      <c r="C1151" s="25">
        <v>169.0</v>
      </c>
      <c r="D1151" s="25">
        <v>15.0</v>
      </c>
      <c r="E1151" s="25">
        <v>2.0</v>
      </c>
      <c r="F1151" s="25">
        <v>1.0</v>
      </c>
      <c r="G1151" s="27" t="s">
        <v>24</v>
      </c>
    </row>
    <row r="1152" ht="22.5" customHeight="1">
      <c r="A1152" s="25">
        <v>1805.0</v>
      </c>
      <c r="B1152" s="26">
        <v>45450.0</v>
      </c>
      <c r="C1152" s="25">
        <v>290.0</v>
      </c>
      <c r="D1152" s="25">
        <v>31.0</v>
      </c>
      <c r="E1152" s="25">
        <v>2.0</v>
      </c>
      <c r="F1152" s="25">
        <v>3.0</v>
      </c>
      <c r="G1152" s="27" t="s">
        <v>25</v>
      </c>
    </row>
    <row r="1153" ht="22.5" customHeight="1">
      <c r="A1153" s="25">
        <v>2022.0</v>
      </c>
      <c r="B1153" s="26">
        <v>45450.0</v>
      </c>
      <c r="C1153" s="25">
        <v>211.0</v>
      </c>
      <c r="D1153" s="25">
        <v>30.0</v>
      </c>
      <c r="E1153" s="25">
        <v>3.0</v>
      </c>
      <c r="F1153" s="25">
        <v>5.0</v>
      </c>
      <c r="G1153" s="27" t="s">
        <v>24</v>
      </c>
    </row>
    <row r="1154" ht="22.5" customHeight="1">
      <c r="A1154" s="25">
        <v>2082.0</v>
      </c>
      <c r="B1154" s="26">
        <v>45450.0</v>
      </c>
      <c r="C1154" s="25">
        <v>169.0</v>
      </c>
      <c r="D1154" s="25">
        <v>19.0</v>
      </c>
      <c r="E1154" s="25">
        <v>2.0</v>
      </c>
      <c r="F1154" s="25">
        <v>4.0</v>
      </c>
      <c r="G1154" s="27" t="s">
        <v>24</v>
      </c>
    </row>
    <row r="1155" ht="22.5" customHeight="1">
      <c r="A1155" s="25">
        <v>2376.0</v>
      </c>
      <c r="B1155" s="26">
        <v>45450.0</v>
      </c>
      <c r="C1155" s="25">
        <v>168.0</v>
      </c>
      <c r="D1155" s="25">
        <v>21.0</v>
      </c>
      <c r="E1155" s="25">
        <v>4.0</v>
      </c>
      <c r="F1155" s="25">
        <v>3.0</v>
      </c>
      <c r="G1155" s="27" t="s">
        <v>24</v>
      </c>
    </row>
    <row r="1156" ht="22.5" customHeight="1">
      <c r="A1156" s="25">
        <v>2655.0</v>
      </c>
      <c r="B1156" s="26">
        <v>45450.0</v>
      </c>
      <c r="C1156" s="25">
        <v>176.0</v>
      </c>
      <c r="D1156" s="25">
        <v>18.0</v>
      </c>
      <c r="E1156" s="25">
        <v>1.0</v>
      </c>
      <c r="F1156" s="25">
        <v>2.0</v>
      </c>
      <c r="G1156" s="27" t="s">
        <v>24</v>
      </c>
    </row>
    <row r="1157" ht="22.5" customHeight="1">
      <c r="A1157" s="25">
        <v>2855.0</v>
      </c>
      <c r="B1157" s="26">
        <v>45450.0</v>
      </c>
      <c r="C1157" s="25">
        <v>53.0</v>
      </c>
      <c r="D1157" s="25">
        <v>7.0</v>
      </c>
      <c r="E1157" s="25">
        <v>5.0</v>
      </c>
      <c r="F1157" s="25">
        <v>5.0</v>
      </c>
      <c r="G1157" s="27" t="s">
        <v>24</v>
      </c>
    </row>
    <row r="1158" ht="22.5" customHeight="1">
      <c r="A1158" s="25">
        <v>22.0</v>
      </c>
      <c r="B1158" s="26">
        <v>45451.0</v>
      </c>
      <c r="C1158" s="25">
        <v>257.0</v>
      </c>
      <c r="D1158" s="25">
        <v>31.0</v>
      </c>
      <c r="E1158" s="25">
        <v>6.0</v>
      </c>
      <c r="F1158" s="25">
        <v>2.0</v>
      </c>
      <c r="G1158" s="27" t="s">
        <v>25</v>
      </c>
    </row>
    <row r="1159" ht="22.5" customHeight="1">
      <c r="A1159" s="25">
        <v>41.0</v>
      </c>
      <c r="B1159" s="26">
        <v>45451.0</v>
      </c>
      <c r="C1159" s="25">
        <v>38.0</v>
      </c>
      <c r="D1159" s="25">
        <v>30.0</v>
      </c>
      <c r="E1159" s="25">
        <v>4.0</v>
      </c>
      <c r="F1159" s="25">
        <v>5.0</v>
      </c>
      <c r="G1159" s="27" t="s">
        <v>24</v>
      </c>
    </row>
    <row r="1160" ht="22.5" customHeight="1">
      <c r="A1160" s="25">
        <v>302.0</v>
      </c>
      <c r="B1160" s="26">
        <v>45451.0</v>
      </c>
      <c r="C1160" s="25">
        <v>155.0</v>
      </c>
      <c r="D1160" s="25">
        <v>14.0</v>
      </c>
      <c r="E1160" s="25">
        <v>2.0</v>
      </c>
      <c r="F1160" s="25">
        <v>4.0</v>
      </c>
      <c r="G1160" s="27" t="s">
        <v>24</v>
      </c>
    </row>
    <row r="1161" ht="22.5" customHeight="1">
      <c r="A1161" s="25">
        <v>312.0</v>
      </c>
      <c r="B1161" s="26">
        <v>45451.0</v>
      </c>
      <c r="C1161" s="25">
        <v>101.0</v>
      </c>
      <c r="D1161" s="25">
        <v>38.0</v>
      </c>
      <c r="E1161" s="25">
        <v>2.0</v>
      </c>
      <c r="F1161" s="25">
        <v>3.0</v>
      </c>
      <c r="G1161" s="27" t="s">
        <v>24</v>
      </c>
    </row>
    <row r="1162" ht="22.5" customHeight="1">
      <c r="A1162" s="25">
        <v>495.0</v>
      </c>
      <c r="B1162" s="26">
        <v>45451.0</v>
      </c>
      <c r="C1162" s="25">
        <v>153.0</v>
      </c>
      <c r="D1162" s="25">
        <v>35.0</v>
      </c>
      <c r="E1162" s="25">
        <v>5.0</v>
      </c>
      <c r="F1162" s="25">
        <v>1.0</v>
      </c>
      <c r="G1162" s="27" t="s">
        <v>24</v>
      </c>
    </row>
    <row r="1163" ht="22.5" customHeight="1">
      <c r="A1163" s="25">
        <v>1010.0</v>
      </c>
      <c r="B1163" s="26">
        <v>45451.0</v>
      </c>
      <c r="C1163" s="25">
        <v>90.0</v>
      </c>
      <c r="D1163" s="25">
        <v>15.0</v>
      </c>
      <c r="E1163" s="25">
        <v>4.0</v>
      </c>
      <c r="F1163" s="25">
        <v>5.0</v>
      </c>
      <c r="G1163" s="27" t="s">
        <v>24</v>
      </c>
    </row>
    <row r="1164" ht="22.5" customHeight="1">
      <c r="A1164" s="25">
        <v>1343.0</v>
      </c>
      <c r="B1164" s="26">
        <v>45451.0</v>
      </c>
      <c r="C1164" s="25">
        <v>288.0</v>
      </c>
      <c r="D1164" s="25">
        <v>28.0</v>
      </c>
      <c r="E1164" s="25">
        <v>1.0</v>
      </c>
      <c r="F1164" s="25">
        <v>3.0</v>
      </c>
      <c r="G1164" s="27" t="s">
        <v>24</v>
      </c>
    </row>
    <row r="1165" ht="22.5" customHeight="1">
      <c r="A1165" s="25">
        <v>1394.0</v>
      </c>
      <c r="B1165" s="26">
        <v>45451.0</v>
      </c>
      <c r="C1165" s="25">
        <v>245.0</v>
      </c>
      <c r="D1165" s="25">
        <v>20.0</v>
      </c>
      <c r="E1165" s="25">
        <v>4.0</v>
      </c>
      <c r="F1165" s="25">
        <v>4.0</v>
      </c>
      <c r="G1165" s="27" t="s">
        <v>24</v>
      </c>
    </row>
    <row r="1166" ht="22.5" customHeight="1">
      <c r="A1166" s="25">
        <v>1775.0</v>
      </c>
      <c r="B1166" s="26">
        <v>45451.0</v>
      </c>
      <c r="C1166" s="25">
        <v>126.0</v>
      </c>
      <c r="D1166" s="25">
        <v>21.0</v>
      </c>
      <c r="E1166" s="25">
        <v>1.0</v>
      </c>
      <c r="F1166" s="25">
        <v>3.0</v>
      </c>
      <c r="G1166" s="27" t="s">
        <v>24</v>
      </c>
    </row>
    <row r="1167" ht="22.5" customHeight="1">
      <c r="A1167" s="25">
        <v>1787.0</v>
      </c>
      <c r="B1167" s="26">
        <v>45451.0</v>
      </c>
      <c r="C1167" s="25">
        <v>203.0</v>
      </c>
      <c r="D1167" s="25">
        <v>22.0</v>
      </c>
      <c r="E1167" s="25">
        <v>5.0</v>
      </c>
      <c r="F1167" s="25">
        <v>5.0</v>
      </c>
      <c r="G1167" s="27" t="s">
        <v>24</v>
      </c>
    </row>
    <row r="1168" ht="22.5" customHeight="1">
      <c r="A1168" s="25">
        <v>1924.0</v>
      </c>
      <c r="B1168" s="26">
        <v>45451.0</v>
      </c>
      <c r="C1168" s="25">
        <v>8.0</v>
      </c>
      <c r="D1168" s="25">
        <v>26.0</v>
      </c>
      <c r="E1168" s="25">
        <v>6.0</v>
      </c>
      <c r="F1168" s="25">
        <v>5.0</v>
      </c>
      <c r="G1168" s="27" t="s">
        <v>25</v>
      </c>
    </row>
    <row r="1169" ht="22.5" customHeight="1">
      <c r="A1169" s="25">
        <v>2009.0</v>
      </c>
      <c r="B1169" s="26">
        <v>45451.0</v>
      </c>
      <c r="C1169" s="25">
        <v>238.0</v>
      </c>
      <c r="D1169" s="25">
        <v>30.0</v>
      </c>
      <c r="E1169" s="25">
        <v>5.0</v>
      </c>
      <c r="F1169" s="25">
        <v>5.0</v>
      </c>
      <c r="G1169" s="27" t="s">
        <v>24</v>
      </c>
    </row>
    <row r="1170" ht="22.5" customHeight="1">
      <c r="A1170" s="25">
        <v>370.0</v>
      </c>
      <c r="B1170" s="26">
        <v>45452.0</v>
      </c>
      <c r="C1170" s="25">
        <v>194.0</v>
      </c>
      <c r="D1170" s="25">
        <v>21.0</v>
      </c>
      <c r="E1170" s="25">
        <v>4.0</v>
      </c>
      <c r="F1170" s="25">
        <v>5.0</v>
      </c>
      <c r="G1170" s="27" t="s">
        <v>24</v>
      </c>
    </row>
    <row r="1171" ht="22.5" customHeight="1">
      <c r="A1171" s="25">
        <v>1671.0</v>
      </c>
      <c r="B1171" s="26">
        <v>45452.0</v>
      </c>
      <c r="C1171" s="25">
        <v>304.0</v>
      </c>
      <c r="D1171" s="25">
        <v>22.0</v>
      </c>
      <c r="E1171" s="25">
        <v>6.0</v>
      </c>
      <c r="F1171" s="25">
        <v>5.0</v>
      </c>
      <c r="G1171" s="27" t="s">
        <v>24</v>
      </c>
    </row>
    <row r="1172" ht="22.5" customHeight="1">
      <c r="A1172" s="25">
        <v>1780.0</v>
      </c>
      <c r="B1172" s="26">
        <v>45452.0</v>
      </c>
      <c r="C1172" s="25">
        <v>40.0</v>
      </c>
      <c r="D1172" s="25">
        <v>23.0</v>
      </c>
      <c r="E1172" s="25">
        <v>3.0</v>
      </c>
      <c r="F1172" s="25">
        <v>4.0</v>
      </c>
      <c r="G1172" s="27" t="s">
        <v>24</v>
      </c>
    </row>
    <row r="1173" ht="22.5" customHeight="1">
      <c r="A1173" s="25">
        <v>2017.0</v>
      </c>
      <c r="B1173" s="26">
        <v>45452.0</v>
      </c>
      <c r="C1173" s="25">
        <v>226.0</v>
      </c>
      <c r="D1173" s="25">
        <v>7.0</v>
      </c>
      <c r="E1173" s="25">
        <v>6.0</v>
      </c>
      <c r="F1173" s="25">
        <v>5.0</v>
      </c>
      <c r="G1173" s="27" t="s">
        <v>24</v>
      </c>
    </row>
    <row r="1174" ht="22.5" customHeight="1">
      <c r="A1174" s="25">
        <v>2116.0</v>
      </c>
      <c r="B1174" s="26">
        <v>45452.0</v>
      </c>
      <c r="C1174" s="25">
        <v>187.0</v>
      </c>
      <c r="D1174" s="25">
        <v>20.0</v>
      </c>
      <c r="E1174" s="25">
        <v>4.0</v>
      </c>
      <c r="F1174" s="25">
        <v>5.0</v>
      </c>
      <c r="G1174" s="27" t="s">
        <v>24</v>
      </c>
    </row>
    <row r="1175" ht="22.5" customHeight="1">
      <c r="A1175" s="25">
        <v>2186.0</v>
      </c>
      <c r="B1175" s="26">
        <v>45452.0</v>
      </c>
      <c r="C1175" s="25">
        <v>234.0</v>
      </c>
      <c r="D1175" s="25">
        <v>13.0</v>
      </c>
      <c r="E1175" s="25">
        <v>3.0</v>
      </c>
      <c r="F1175" s="25">
        <v>1.0</v>
      </c>
      <c r="G1175" s="27" t="s">
        <v>25</v>
      </c>
    </row>
    <row r="1176" ht="22.5" customHeight="1">
      <c r="A1176" s="25">
        <v>2405.0</v>
      </c>
      <c r="B1176" s="26">
        <v>45452.0</v>
      </c>
      <c r="C1176" s="25">
        <v>77.0</v>
      </c>
      <c r="D1176" s="25">
        <v>28.0</v>
      </c>
      <c r="E1176" s="25">
        <v>2.0</v>
      </c>
      <c r="F1176" s="25">
        <v>1.0</v>
      </c>
      <c r="G1176" s="27" t="s">
        <v>24</v>
      </c>
    </row>
    <row r="1177" ht="22.5" customHeight="1">
      <c r="A1177" s="25">
        <v>2450.0</v>
      </c>
      <c r="B1177" s="26">
        <v>45452.0</v>
      </c>
      <c r="C1177" s="25">
        <v>49.0</v>
      </c>
      <c r="D1177" s="25">
        <v>3.0</v>
      </c>
      <c r="E1177" s="25">
        <v>6.0</v>
      </c>
      <c r="F1177" s="25">
        <v>5.0</v>
      </c>
      <c r="G1177" s="27" t="s">
        <v>24</v>
      </c>
    </row>
    <row r="1178" ht="22.5" customHeight="1">
      <c r="A1178" s="25">
        <v>2654.0</v>
      </c>
      <c r="B1178" s="26">
        <v>45452.0</v>
      </c>
      <c r="C1178" s="25">
        <v>224.0</v>
      </c>
      <c r="D1178" s="25">
        <v>14.0</v>
      </c>
      <c r="E1178" s="25">
        <v>3.0</v>
      </c>
      <c r="F1178" s="25">
        <v>2.0</v>
      </c>
      <c r="G1178" s="27" t="s">
        <v>25</v>
      </c>
    </row>
    <row r="1179" ht="22.5" customHeight="1">
      <c r="A1179" s="25">
        <v>2648.0</v>
      </c>
      <c r="B1179" s="26">
        <v>45453.0</v>
      </c>
      <c r="C1179" s="25">
        <v>299.0</v>
      </c>
      <c r="D1179" s="25">
        <v>31.0</v>
      </c>
      <c r="E1179" s="25">
        <v>1.0</v>
      </c>
      <c r="F1179" s="25">
        <v>1.0</v>
      </c>
      <c r="G1179" s="27" t="s">
        <v>24</v>
      </c>
    </row>
    <row r="1180" ht="22.5" customHeight="1">
      <c r="A1180" s="25">
        <v>2653.0</v>
      </c>
      <c r="B1180" s="26">
        <v>45453.0</v>
      </c>
      <c r="C1180" s="25">
        <v>255.0</v>
      </c>
      <c r="D1180" s="25">
        <v>8.0</v>
      </c>
      <c r="E1180" s="25">
        <v>1.0</v>
      </c>
      <c r="F1180" s="25">
        <v>2.0</v>
      </c>
      <c r="G1180" s="27" t="s">
        <v>25</v>
      </c>
    </row>
    <row r="1181" ht="22.5" customHeight="1">
      <c r="A1181" s="25">
        <v>2657.0</v>
      </c>
      <c r="B1181" s="26">
        <v>45453.0</v>
      </c>
      <c r="C1181" s="25">
        <v>171.0</v>
      </c>
      <c r="D1181" s="25">
        <v>12.0</v>
      </c>
      <c r="E1181" s="25">
        <v>1.0</v>
      </c>
      <c r="F1181" s="25">
        <v>4.0</v>
      </c>
      <c r="G1181" s="27" t="s">
        <v>24</v>
      </c>
    </row>
    <row r="1182" ht="22.5" customHeight="1">
      <c r="A1182" s="25">
        <v>683.0</v>
      </c>
      <c r="B1182" s="26">
        <v>45454.0</v>
      </c>
      <c r="C1182" s="25">
        <v>200.0</v>
      </c>
      <c r="D1182" s="25">
        <v>35.0</v>
      </c>
      <c r="E1182" s="25">
        <v>3.0</v>
      </c>
      <c r="F1182" s="25">
        <v>4.0</v>
      </c>
      <c r="G1182" s="27" t="s">
        <v>24</v>
      </c>
    </row>
    <row r="1183" ht="22.5" customHeight="1">
      <c r="A1183" s="25">
        <v>685.0</v>
      </c>
      <c r="B1183" s="26">
        <v>45454.0</v>
      </c>
      <c r="C1183" s="25">
        <v>201.0</v>
      </c>
      <c r="D1183" s="25">
        <v>20.0</v>
      </c>
      <c r="E1183" s="25">
        <v>2.0</v>
      </c>
      <c r="F1183" s="25">
        <v>3.0</v>
      </c>
      <c r="G1183" s="27" t="s">
        <v>24</v>
      </c>
    </row>
    <row r="1184" ht="22.5" customHeight="1">
      <c r="A1184" s="25">
        <v>959.0</v>
      </c>
      <c r="B1184" s="26">
        <v>45454.0</v>
      </c>
      <c r="C1184" s="25">
        <v>66.0</v>
      </c>
      <c r="D1184" s="25">
        <v>26.0</v>
      </c>
      <c r="E1184" s="25">
        <v>1.0</v>
      </c>
      <c r="F1184" s="25">
        <v>1.0</v>
      </c>
      <c r="G1184" s="27" t="s">
        <v>24</v>
      </c>
    </row>
    <row r="1185" ht="22.5" customHeight="1">
      <c r="A1185" s="25">
        <v>967.0</v>
      </c>
      <c r="B1185" s="26">
        <v>45454.0</v>
      </c>
      <c r="C1185" s="25">
        <v>55.0</v>
      </c>
      <c r="D1185" s="25">
        <v>29.0</v>
      </c>
      <c r="E1185" s="25">
        <v>4.0</v>
      </c>
      <c r="F1185" s="25">
        <v>5.0</v>
      </c>
      <c r="G1185" s="27" t="s">
        <v>24</v>
      </c>
    </row>
    <row r="1186" ht="22.5" customHeight="1">
      <c r="A1186" s="25">
        <v>1375.0</v>
      </c>
      <c r="B1186" s="26">
        <v>45454.0</v>
      </c>
      <c r="C1186" s="25">
        <v>49.0</v>
      </c>
      <c r="D1186" s="25">
        <v>4.0</v>
      </c>
      <c r="E1186" s="25">
        <v>3.0</v>
      </c>
      <c r="F1186" s="25">
        <v>4.0</v>
      </c>
      <c r="G1186" s="27" t="s">
        <v>24</v>
      </c>
    </row>
    <row r="1187" ht="22.5" customHeight="1">
      <c r="A1187" s="25">
        <v>1757.0</v>
      </c>
      <c r="B1187" s="26">
        <v>45454.0</v>
      </c>
      <c r="C1187" s="25">
        <v>272.0</v>
      </c>
      <c r="D1187" s="25">
        <v>18.0</v>
      </c>
      <c r="E1187" s="25">
        <v>1.0</v>
      </c>
      <c r="F1187" s="25">
        <v>3.0</v>
      </c>
      <c r="G1187" s="27" t="s">
        <v>24</v>
      </c>
    </row>
    <row r="1188" ht="22.5" customHeight="1">
      <c r="A1188" s="25">
        <v>2437.0</v>
      </c>
      <c r="B1188" s="26">
        <v>45454.0</v>
      </c>
      <c r="C1188" s="25">
        <v>139.0</v>
      </c>
      <c r="D1188" s="25">
        <v>28.0</v>
      </c>
      <c r="E1188" s="25">
        <v>3.0</v>
      </c>
      <c r="F1188" s="25">
        <v>5.0</v>
      </c>
      <c r="G1188" s="27" t="s">
        <v>24</v>
      </c>
    </row>
    <row r="1189" ht="22.5" customHeight="1">
      <c r="A1189" s="25">
        <v>2447.0</v>
      </c>
      <c r="B1189" s="26">
        <v>45454.0</v>
      </c>
      <c r="C1189" s="25">
        <v>53.0</v>
      </c>
      <c r="D1189" s="25">
        <v>18.0</v>
      </c>
      <c r="E1189" s="25">
        <v>1.0</v>
      </c>
      <c r="F1189" s="25">
        <v>5.0</v>
      </c>
      <c r="G1189" s="27" t="s">
        <v>24</v>
      </c>
    </row>
    <row r="1190" ht="22.5" customHeight="1">
      <c r="A1190" s="25">
        <v>2484.0</v>
      </c>
      <c r="B1190" s="26">
        <v>45454.0</v>
      </c>
      <c r="C1190" s="25">
        <v>151.0</v>
      </c>
      <c r="D1190" s="25">
        <v>28.0</v>
      </c>
      <c r="E1190" s="25">
        <v>1.0</v>
      </c>
      <c r="F1190" s="25">
        <v>2.0</v>
      </c>
      <c r="G1190" s="27" t="s">
        <v>24</v>
      </c>
    </row>
    <row r="1191" ht="22.5" customHeight="1">
      <c r="A1191" s="25">
        <v>2586.0</v>
      </c>
      <c r="B1191" s="26">
        <v>45454.0</v>
      </c>
      <c r="C1191" s="25">
        <v>184.0</v>
      </c>
      <c r="D1191" s="25">
        <v>11.0</v>
      </c>
      <c r="E1191" s="25">
        <v>2.0</v>
      </c>
      <c r="F1191" s="25">
        <v>4.0</v>
      </c>
      <c r="G1191" s="27" t="s">
        <v>24</v>
      </c>
    </row>
    <row r="1192" ht="22.5" customHeight="1">
      <c r="A1192" s="25">
        <v>2967.0</v>
      </c>
      <c r="B1192" s="26">
        <v>45454.0</v>
      </c>
      <c r="C1192" s="25">
        <v>234.0</v>
      </c>
      <c r="D1192" s="25">
        <v>17.0</v>
      </c>
      <c r="E1192" s="25">
        <v>5.0</v>
      </c>
      <c r="F1192" s="25">
        <v>4.0</v>
      </c>
      <c r="G1192" s="27" t="s">
        <v>24</v>
      </c>
    </row>
    <row r="1193" ht="22.5" customHeight="1">
      <c r="A1193" s="25">
        <v>597.0</v>
      </c>
      <c r="B1193" s="26">
        <v>45455.0</v>
      </c>
      <c r="C1193" s="25">
        <v>250.0</v>
      </c>
      <c r="D1193" s="25">
        <v>10.0</v>
      </c>
      <c r="E1193" s="25">
        <v>6.0</v>
      </c>
      <c r="F1193" s="25">
        <v>5.0</v>
      </c>
      <c r="G1193" s="27" t="s">
        <v>24</v>
      </c>
    </row>
    <row r="1194" ht="22.5" customHeight="1">
      <c r="A1194" s="25">
        <v>774.0</v>
      </c>
      <c r="B1194" s="26">
        <v>45455.0</v>
      </c>
      <c r="C1194" s="25">
        <v>148.0</v>
      </c>
      <c r="D1194" s="25">
        <v>5.0</v>
      </c>
      <c r="E1194" s="25">
        <v>4.0</v>
      </c>
      <c r="F1194" s="25">
        <v>4.0</v>
      </c>
      <c r="G1194" s="27" t="s">
        <v>24</v>
      </c>
    </row>
    <row r="1195" ht="22.5" customHeight="1">
      <c r="A1195" s="25">
        <v>969.0</v>
      </c>
      <c r="B1195" s="26">
        <v>45455.0</v>
      </c>
      <c r="C1195" s="25">
        <v>118.0</v>
      </c>
      <c r="D1195" s="25">
        <v>37.0</v>
      </c>
      <c r="E1195" s="25">
        <v>2.0</v>
      </c>
      <c r="F1195" s="25">
        <v>4.0</v>
      </c>
      <c r="G1195" s="27" t="s">
        <v>25</v>
      </c>
    </row>
    <row r="1196" ht="22.5" customHeight="1">
      <c r="A1196" s="25">
        <v>1135.0</v>
      </c>
      <c r="B1196" s="26">
        <v>45455.0</v>
      </c>
      <c r="C1196" s="25">
        <v>86.0</v>
      </c>
      <c r="D1196" s="25">
        <v>9.0</v>
      </c>
      <c r="E1196" s="25">
        <v>5.0</v>
      </c>
      <c r="F1196" s="25">
        <v>2.0</v>
      </c>
      <c r="G1196" s="27" t="s">
        <v>24</v>
      </c>
    </row>
    <row r="1197" ht="22.5" customHeight="1">
      <c r="A1197" s="25">
        <v>1323.0</v>
      </c>
      <c r="B1197" s="26">
        <v>45455.0</v>
      </c>
      <c r="C1197" s="25">
        <v>106.0</v>
      </c>
      <c r="D1197" s="25">
        <v>16.0</v>
      </c>
      <c r="E1197" s="25">
        <v>3.0</v>
      </c>
      <c r="F1197" s="25">
        <v>5.0</v>
      </c>
      <c r="G1197" s="27" t="s">
        <v>24</v>
      </c>
    </row>
    <row r="1198" ht="22.5" customHeight="1">
      <c r="A1198" s="25">
        <v>1425.0</v>
      </c>
      <c r="B1198" s="26">
        <v>45455.0</v>
      </c>
      <c r="C1198" s="25">
        <v>306.0</v>
      </c>
      <c r="D1198" s="25">
        <v>11.0</v>
      </c>
      <c r="E1198" s="25">
        <v>1.0</v>
      </c>
      <c r="F1198" s="25">
        <v>4.0</v>
      </c>
      <c r="G1198" s="27" t="s">
        <v>24</v>
      </c>
    </row>
    <row r="1199" ht="22.5" customHeight="1">
      <c r="A1199" s="25">
        <v>1636.0</v>
      </c>
      <c r="B1199" s="26">
        <v>45455.0</v>
      </c>
      <c r="C1199" s="25">
        <v>152.0</v>
      </c>
      <c r="D1199" s="25">
        <v>12.0</v>
      </c>
      <c r="E1199" s="25">
        <v>5.0</v>
      </c>
      <c r="F1199" s="25">
        <v>4.0</v>
      </c>
      <c r="G1199" s="27" t="s">
        <v>24</v>
      </c>
    </row>
    <row r="1200" ht="22.5" customHeight="1">
      <c r="A1200" s="25">
        <v>1673.0</v>
      </c>
      <c r="B1200" s="26">
        <v>45455.0</v>
      </c>
      <c r="C1200" s="25">
        <v>140.0</v>
      </c>
      <c r="D1200" s="25">
        <v>3.0</v>
      </c>
      <c r="E1200" s="25">
        <v>3.0</v>
      </c>
      <c r="F1200" s="25">
        <v>2.0</v>
      </c>
      <c r="G1200" s="27" t="s">
        <v>24</v>
      </c>
    </row>
    <row r="1201" ht="22.5" customHeight="1">
      <c r="A1201" s="25">
        <v>1741.0</v>
      </c>
      <c r="B1201" s="26">
        <v>45455.0</v>
      </c>
      <c r="C1201" s="25">
        <v>61.0</v>
      </c>
      <c r="D1201" s="25">
        <v>20.0</v>
      </c>
      <c r="E1201" s="25">
        <v>3.0</v>
      </c>
      <c r="F1201" s="25">
        <v>1.0</v>
      </c>
      <c r="G1201" s="27" t="s">
        <v>24</v>
      </c>
    </row>
    <row r="1202" ht="22.5" customHeight="1">
      <c r="A1202" s="25">
        <v>2036.0</v>
      </c>
      <c r="B1202" s="26">
        <v>45455.0</v>
      </c>
      <c r="C1202" s="25">
        <v>158.0</v>
      </c>
      <c r="D1202" s="25">
        <v>10.0</v>
      </c>
      <c r="E1202" s="25">
        <v>6.0</v>
      </c>
      <c r="F1202" s="25">
        <v>3.0</v>
      </c>
      <c r="G1202" s="27" t="s">
        <v>24</v>
      </c>
    </row>
    <row r="1203" ht="22.5" customHeight="1">
      <c r="A1203" s="25">
        <v>2270.0</v>
      </c>
      <c r="B1203" s="26">
        <v>45455.0</v>
      </c>
      <c r="C1203" s="25">
        <v>200.0</v>
      </c>
      <c r="D1203" s="25">
        <v>22.0</v>
      </c>
      <c r="E1203" s="25">
        <v>4.0</v>
      </c>
      <c r="F1203" s="25">
        <v>5.0</v>
      </c>
      <c r="G1203" s="27" t="s">
        <v>24</v>
      </c>
    </row>
    <row r="1204" ht="22.5" customHeight="1">
      <c r="A1204" s="25">
        <v>2685.0</v>
      </c>
      <c r="B1204" s="26">
        <v>45455.0</v>
      </c>
      <c r="C1204" s="25">
        <v>40.0</v>
      </c>
      <c r="D1204" s="25">
        <v>38.0</v>
      </c>
      <c r="E1204" s="25">
        <v>2.0</v>
      </c>
      <c r="F1204" s="25">
        <v>4.0</v>
      </c>
      <c r="G1204" s="27" t="s">
        <v>24</v>
      </c>
    </row>
    <row r="1205" ht="22.5" customHeight="1">
      <c r="A1205" s="25">
        <v>2737.0</v>
      </c>
      <c r="B1205" s="26">
        <v>45455.0</v>
      </c>
      <c r="C1205" s="25">
        <v>285.0</v>
      </c>
      <c r="D1205" s="25">
        <v>19.0</v>
      </c>
      <c r="E1205" s="25">
        <v>5.0</v>
      </c>
      <c r="F1205" s="25">
        <v>3.0</v>
      </c>
      <c r="G1205" s="27" t="s">
        <v>24</v>
      </c>
    </row>
    <row r="1206" ht="22.5" customHeight="1">
      <c r="A1206" s="25">
        <v>2887.0</v>
      </c>
      <c r="B1206" s="26">
        <v>45455.0</v>
      </c>
      <c r="C1206" s="25">
        <v>24.0</v>
      </c>
      <c r="D1206" s="25">
        <v>16.0</v>
      </c>
      <c r="E1206" s="25">
        <v>6.0</v>
      </c>
      <c r="F1206" s="25">
        <v>5.0</v>
      </c>
      <c r="G1206" s="27" t="s">
        <v>25</v>
      </c>
    </row>
    <row r="1207" ht="22.5" customHeight="1">
      <c r="A1207" s="25">
        <v>2990.0</v>
      </c>
      <c r="B1207" s="26">
        <v>45455.0</v>
      </c>
      <c r="C1207" s="25">
        <v>297.0</v>
      </c>
      <c r="D1207" s="25">
        <v>31.0</v>
      </c>
      <c r="E1207" s="25">
        <v>3.0</v>
      </c>
      <c r="F1207" s="25">
        <v>5.0</v>
      </c>
      <c r="G1207" s="27" t="s">
        <v>25</v>
      </c>
    </row>
    <row r="1208" ht="22.5" customHeight="1">
      <c r="A1208" s="25">
        <v>586.0</v>
      </c>
      <c r="B1208" s="26">
        <v>45456.0</v>
      </c>
      <c r="C1208" s="25">
        <v>128.0</v>
      </c>
      <c r="D1208" s="25">
        <v>25.0</v>
      </c>
      <c r="E1208" s="25">
        <v>2.0</v>
      </c>
      <c r="F1208" s="25">
        <v>4.0</v>
      </c>
      <c r="G1208" s="27" t="s">
        <v>24</v>
      </c>
    </row>
    <row r="1209" ht="22.5" customHeight="1">
      <c r="A1209" s="25">
        <v>616.0</v>
      </c>
      <c r="B1209" s="26">
        <v>45456.0</v>
      </c>
      <c r="C1209" s="25">
        <v>125.0</v>
      </c>
      <c r="D1209" s="25">
        <v>20.0</v>
      </c>
      <c r="E1209" s="25">
        <v>1.0</v>
      </c>
      <c r="F1209" s="25">
        <v>4.0</v>
      </c>
      <c r="G1209" s="27" t="s">
        <v>24</v>
      </c>
    </row>
    <row r="1210" ht="22.5" customHeight="1">
      <c r="A1210" s="25">
        <v>789.0</v>
      </c>
      <c r="B1210" s="26">
        <v>45456.0</v>
      </c>
      <c r="C1210" s="25">
        <v>129.0</v>
      </c>
      <c r="D1210" s="25">
        <v>26.0</v>
      </c>
      <c r="E1210" s="25">
        <v>1.0</v>
      </c>
      <c r="F1210" s="25">
        <v>3.0</v>
      </c>
      <c r="G1210" s="27" t="s">
        <v>24</v>
      </c>
    </row>
    <row r="1211" ht="22.5" customHeight="1">
      <c r="A1211" s="25">
        <v>863.0</v>
      </c>
      <c r="B1211" s="26">
        <v>45456.0</v>
      </c>
      <c r="C1211" s="25">
        <v>186.0</v>
      </c>
      <c r="D1211" s="25">
        <v>32.0</v>
      </c>
      <c r="E1211" s="25">
        <v>3.0</v>
      </c>
      <c r="F1211" s="25">
        <v>5.0</v>
      </c>
      <c r="G1211" s="27" t="s">
        <v>24</v>
      </c>
    </row>
    <row r="1212" ht="22.5" customHeight="1">
      <c r="A1212" s="25">
        <v>1003.0</v>
      </c>
      <c r="B1212" s="26">
        <v>45456.0</v>
      </c>
      <c r="C1212" s="25">
        <v>19.0</v>
      </c>
      <c r="D1212" s="25">
        <v>11.0</v>
      </c>
      <c r="E1212" s="25">
        <v>1.0</v>
      </c>
      <c r="F1212" s="25">
        <v>5.0</v>
      </c>
      <c r="G1212" s="27" t="s">
        <v>24</v>
      </c>
    </row>
    <row r="1213" ht="22.5" customHeight="1">
      <c r="A1213" s="25">
        <v>1064.0</v>
      </c>
      <c r="B1213" s="26">
        <v>45456.0</v>
      </c>
      <c r="C1213" s="25">
        <v>152.0</v>
      </c>
      <c r="D1213" s="25">
        <v>2.0</v>
      </c>
      <c r="E1213" s="25">
        <v>6.0</v>
      </c>
      <c r="F1213" s="25">
        <v>1.0</v>
      </c>
      <c r="G1213" s="27" t="s">
        <v>24</v>
      </c>
    </row>
    <row r="1214" ht="22.5" customHeight="1">
      <c r="A1214" s="25">
        <v>1337.0</v>
      </c>
      <c r="B1214" s="26">
        <v>45456.0</v>
      </c>
      <c r="C1214" s="25">
        <v>77.0</v>
      </c>
      <c r="D1214" s="25">
        <v>4.0</v>
      </c>
      <c r="E1214" s="25">
        <v>2.0</v>
      </c>
      <c r="F1214" s="25">
        <v>3.0</v>
      </c>
      <c r="G1214" s="27" t="s">
        <v>24</v>
      </c>
    </row>
    <row r="1215" ht="22.5" customHeight="1">
      <c r="A1215" s="25">
        <v>1593.0</v>
      </c>
      <c r="B1215" s="26">
        <v>45456.0</v>
      </c>
      <c r="C1215" s="25">
        <v>231.0</v>
      </c>
      <c r="D1215" s="25">
        <v>36.0</v>
      </c>
      <c r="E1215" s="25">
        <v>6.0</v>
      </c>
      <c r="F1215" s="25">
        <v>5.0</v>
      </c>
      <c r="G1215" s="27" t="s">
        <v>24</v>
      </c>
    </row>
    <row r="1216" ht="22.5" customHeight="1">
      <c r="A1216" s="25">
        <v>2074.0</v>
      </c>
      <c r="B1216" s="26">
        <v>45456.0</v>
      </c>
      <c r="C1216" s="25">
        <v>172.0</v>
      </c>
      <c r="D1216" s="25">
        <v>20.0</v>
      </c>
      <c r="E1216" s="25">
        <v>1.0</v>
      </c>
      <c r="F1216" s="25">
        <v>5.0</v>
      </c>
      <c r="G1216" s="27" t="s">
        <v>24</v>
      </c>
    </row>
    <row r="1217" ht="22.5" customHeight="1">
      <c r="A1217" s="25">
        <v>2691.0</v>
      </c>
      <c r="B1217" s="26">
        <v>45456.0</v>
      </c>
      <c r="C1217" s="25">
        <v>72.0</v>
      </c>
      <c r="D1217" s="25">
        <v>20.0</v>
      </c>
      <c r="E1217" s="25">
        <v>4.0</v>
      </c>
      <c r="F1217" s="25">
        <v>4.0</v>
      </c>
      <c r="G1217" s="27" t="s">
        <v>24</v>
      </c>
    </row>
    <row r="1218" ht="22.5" customHeight="1">
      <c r="A1218" s="25">
        <v>2894.0</v>
      </c>
      <c r="B1218" s="26">
        <v>45456.0</v>
      </c>
      <c r="C1218" s="25">
        <v>259.0</v>
      </c>
      <c r="D1218" s="25">
        <v>15.0</v>
      </c>
      <c r="E1218" s="25">
        <v>2.0</v>
      </c>
      <c r="F1218" s="25">
        <v>1.0</v>
      </c>
      <c r="G1218" s="27" t="s">
        <v>24</v>
      </c>
    </row>
    <row r="1219" ht="22.5" customHeight="1">
      <c r="A1219" s="25">
        <v>2975.0</v>
      </c>
      <c r="B1219" s="26">
        <v>45456.0</v>
      </c>
      <c r="C1219" s="25">
        <v>50.0</v>
      </c>
      <c r="D1219" s="25">
        <v>25.0</v>
      </c>
      <c r="E1219" s="25">
        <v>6.0</v>
      </c>
      <c r="F1219" s="25">
        <v>5.0</v>
      </c>
      <c r="G1219" s="27" t="s">
        <v>24</v>
      </c>
    </row>
    <row r="1220" ht="22.5" customHeight="1">
      <c r="A1220" s="25">
        <v>309.0</v>
      </c>
      <c r="B1220" s="26">
        <v>45457.0</v>
      </c>
      <c r="C1220" s="25">
        <v>148.0</v>
      </c>
      <c r="D1220" s="25">
        <v>33.0</v>
      </c>
      <c r="E1220" s="25">
        <v>3.0</v>
      </c>
      <c r="F1220" s="25">
        <v>5.0</v>
      </c>
      <c r="G1220" s="27" t="s">
        <v>24</v>
      </c>
    </row>
    <row r="1221" ht="22.5" customHeight="1">
      <c r="A1221" s="25">
        <v>603.0</v>
      </c>
      <c r="B1221" s="26">
        <v>45457.0</v>
      </c>
      <c r="C1221" s="25">
        <v>249.0</v>
      </c>
      <c r="D1221" s="25">
        <v>1.0</v>
      </c>
      <c r="E1221" s="25">
        <v>4.0</v>
      </c>
      <c r="F1221" s="25">
        <v>5.0</v>
      </c>
      <c r="G1221" s="27" t="s">
        <v>25</v>
      </c>
    </row>
    <row r="1222" ht="22.5" customHeight="1">
      <c r="A1222" s="25">
        <v>972.0</v>
      </c>
      <c r="B1222" s="26">
        <v>45457.0</v>
      </c>
      <c r="C1222" s="25">
        <v>181.0</v>
      </c>
      <c r="D1222" s="25">
        <v>35.0</v>
      </c>
      <c r="E1222" s="25">
        <v>2.0</v>
      </c>
      <c r="F1222" s="25">
        <v>4.0</v>
      </c>
      <c r="G1222" s="27" t="s">
        <v>24</v>
      </c>
    </row>
    <row r="1223" ht="22.5" customHeight="1">
      <c r="A1223" s="25">
        <v>1543.0</v>
      </c>
      <c r="B1223" s="26">
        <v>45457.0</v>
      </c>
      <c r="C1223" s="25">
        <v>130.0</v>
      </c>
      <c r="D1223" s="25">
        <v>37.0</v>
      </c>
      <c r="E1223" s="25">
        <v>3.0</v>
      </c>
      <c r="F1223" s="25">
        <v>2.0</v>
      </c>
      <c r="G1223" s="27" t="s">
        <v>24</v>
      </c>
    </row>
    <row r="1224" ht="22.5" customHeight="1">
      <c r="A1224" s="25">
        <v>2582.0</v>
      </c>
      <c r="B1224" s="26">
        <v>45457.0</v>
      </c>
      <c r="C1224" s="25">
        <v>124.0</v>
      </c>
      <c r="D1224" s="25">
        <v>32.0</v>
      </c>
      <c r="E1224" s="25">
        <v>2.0</v>
      </c>
      <c r="F1224" s="25">
        <v>1.0</v>
      </c>
      <c r="G1224" s="27" t="s">
        <v>24</v>
      </c>
    </row>
    <row r="1225" ht="22.5" customHeight="1">
      <c r="A1225" s="25">
        <v>2700.0</v>
      </c>
      <c r="B1225" s="26">
        <v>45457.0</v>
      </c>
      <c r="C1225" s="25">
        <v>39.0</v>
      </c>
      <c r="D1225" s="25">
        <v>21.0</v>
      </c>
      <c r="E1225" s="25">
        <v>6.0</v>
      </c>
      <c r="F1225" s="25">
        <v>3.0</v>
      </c>
      <c r="G1225" s="27" t="s">
        <v>24</v>
      </c>
    </row>
    <row r="1226" ht="22.5" customHeight="1">
      <c r="A1226" s="25">
        <v>2767.0</v>
      </c>
      <c r="B1226" s="26">
        <v>45457.0</v>
      </c>
      <c r="C1226" s="25">
        <v>245.0</v>
      </c>
      <c r="D1226" s="25">
        <v>29.0</v>
      </c>
      <c r="E1226" s="25">
        <v>5.0</v>
      </c>
      <c r="F1226" s="25">
        <v>5.0</v>
      </c>
      <c r="G1226" s="27" t="s">
        <v>24</v>
      </c>
    </row>
    <row r="1227" ht="22.5" customHeight="1">
      <c r="A1227" s="25">
        <v>2955.0</v>
      </c>
      <c r="B1227" s="26">
        <v>45457.0</v>
      </c>
      <c r="C1227" s="25">
        <v>311.0</v>
      </c>
      <c r="D1227" s="25">
        <v>20.0</v>
      </c>
      <c r="E1227" s="25">
        <v>5.0</v>
      </c>
      <c r="F1227" s="25">
        <v>1.0</v>
      </c>
      <c r="G1227" s="27" t="s">
        <v>24</v>
      </c>
    </row>
    <row r="1228" ht="22.5" customHeight="1">
      <c r="A1228" s="25">
        <v>96.0</v>
      </c>
      <c r="B1228" s="26">
        <v>45458.0</v>
      </c>
      <c r="C1228" s="25">
        <v>93.0</v>
      </c>
      <c r="D1228" s="25">
        <v>14.0</v>
      </c>
      <c r="E1228" s="25">
        <v>3.0</v>
      </c>
      <c r="F1228" s="25">
        <v>5.0</v>
      </c>
      <c r="G1228" s="27" t="s">
        <v>24</v>
      </c>
    </row>
    <row r="1229" ht="22.5" customHeight="1">
      <c r="A1229" s="25">
        <v>243.0</v>
      </c>
      <c r="B1229" s="26">
        <v>45458.0</v>
      </c>
      <c r="C1229" s="25">
        <v>54.0</v>
      </c>
      <c r="D1229" s="25">
        <v>32.0</v>
      </c>
      <c r="E1229" s="25">
        <v>3.0</v>
      </c>
      <c r="F1229" s="25">
        <v>4.0</v>
      </c>
      <c r="G1229" s="27" t="s">
        <v>24</v>
      </c>
    </row>
    <row r="1230" ht="22.5" customHeight="1">
      <c r="A1230" s="25">
        <v>244.0</v>
      </c>
      <c r="B1230" s="26">
        <v>45458.0</v>
      </c>
      <c r="C1230" s="25">
        <v>188.0</v>
      </c>
      <c r="D1230" s="25">
        <v>7.0</v>
      </c>
      <c r="E1230" s="25">
        <v>5.0</v>
      </c>
      <c r="F1230" s="25">
        <v>1.0</v>
      </c>
      <c r="G1230" s="27" t="s">
        <v>24</v>
      </c>
    </row>
    <row r="1231" ht="22.5" customHeight="1">
      <c r="A1231" s="25">
        <v>510.0</v>
      </c>
      <c r="B1231" s="26">
        <v>45458.0</v>
      </c>
      <c r="C1231" s="25">
        <v>250.0</v>
      </c>
      <c r="D1231" s="25">
        <v>10.0</v>
      </c>
      <c r="E1231" s="25">
        <v>3.0</v>
      </c>
      <c r="F1231" s="25">
        <v>4.0</v>
      </c>
      <c r="G1231" s="27" t="s">
        <v>24</v>
      </c>
    </row>
    <row r="1232" ht="22.5" customHeight="1">
      <c r="A1232" s="25">
        <v>694.0</v>
      </c>
      <c r="B1232" s="26">
        <v>45458.0</v>
      </c>
      <c r="C1232" s="25">
        <v>114.0</v>
      </c>
      <c r="D1232" s="25">
        <v>19.0</v>
      </c>
      <c r="E1232" s="25">
        <v>5.0</v>
      </c>
      <c r="F1232" s="25">
        <v>5.0</v>
      </c>
      <c r="G1232" s="27" t="s">
        <v>24</v>
      </c>
    </row>
    <row r="1233" ht="22.5" customHeight="1">
      <c r="A1233" s="25">
        <v>1324.0</v>
      </c>
      <c r="B1233" s="26">
        <v>45458.0</v>
      </c>
      <c r="C1233" s="25">
        <v>41.0</v>
      </c>
      <c r="D1233" s="25">
        <v>18.0</v>
      </c>
      <c r="E1233" s="25">
        <v>5.0</v>
      </c>
      <c r="F1233" s="25">
        <v>5.0</v>
      </c>
      <c r="G1233" s="27" t="s">
        <v>24</v>
      </c>
    </row>
    <row r="1234" ht="22.5" customHeight="1">
      <c r="A1234" s="25">
        <v>1369.0</v>
      </c>
      <c r="B1234" s="26">
        <v>45458.0</v>
      </c>
      <c r="C1234" s="25">
        <v>232.0</v>
      </c>
      <c r="D1234" s="25">
        <v>9.0</v>
      </c>
      <c r="E1234" s="25">
        <v>1.0</v>
      </c>
      <c r="F1234" s="25">
        <v>1.0</v>
      </c>
      <c r="G1234" s="27" t="s">
        <v>24</v>
      </c>
    </row>
    <row r="1235" ht="22.5" customHeight="1">
      <c r="A1235" s="25">
        <v>1653.0</v>
      </c>
      <c r="B1235" s="26">
        <v>45458.0</v>
      </c>
      <c r="C1235" s="25">
        <v>124.0</v>
      </c>
      <c r="D1235" s="25">
        <v>6.0</v>
      </c>
      <c r="E1235" s="25">
        <v>2.0</v>
      </c>
      <c r="F1235" s="25">
        <v>5.0</v>
      </c>
      <c r="G1235" s="27" t="s">
        <v>24</v>
      </c>
    </row>
    <row r="1236" ht="22.5" customHeight="1">
      <c r="A1236" s="25">
        <v>1702.0</v>
      </c>
      <c r="B1236" s="26">
        <v>45458.0</v>
      </c>
      <c r="C1236" s="25">
        <v>289.0</v>
      </c>
      <c r="D1236" s="25">
        <v>6.0</v>
      </c>
      <c r="E1236" s="25">
        <v>1.0</v>
      </c>
      <c r="F1236" s="25">
        <v>5.0</v>
      </c>
      <c r="G1236" s="27" t="s">
        <v>24</v>
      </c>
    </row>
    <row r="1237" ht="22.5" customHeight="1">
      <c r="A1237" s="25">
        <v>1803.0</v>
      </c>
      <c r="B1237" s="26">
        <v>45458.0</v>
      </c>
      <c r="C1237" s="25">
        <v>100.0</v>
      </c>
      <c r="D1237" s="25">
        <v>27.0</v>
      </c>
      <c r="E1237" s="25">
        <v>5.0</v>
      </c>
      <c r="F1237" s="25">
        <v>4.0</v>
      </c>
      <c r="G1237" s="27" t="s">
        <v>24</v>
      </c>
    </row>
    <row r="1238" ht="22.5" customHeight="1">
      <c r="A1238" s="25">
        <v>1902.0</v>
      </c>
      <c r="B1238" s="26">
        <v>45458.0</v>
      </c>
      <c r="C1238" s="25">
        <v>55.0</v>
      </c>
      <c r="D1238" s="25">
        <v>37.0</v>
      </c>
      <c r="E1238" s="25">
        <v>5.0</v>
      </c>
      <c r="F1238" s="25">
        <v>4.0</v>
      </c>
      <c r="G1238" s="27" t="s">
        <v>24</v>
      </c>
    </row>
    <row r="1239" ht="22.5" customHeight="1">
      <c r="A1239" s="25">
        <v>2240.0</v>
      </c>
      <c r="B1239" s="26">
        <v>45458.0</v>
      </c>
      <c r="C1239" s="25">
        <v>258.0</v>
      </c>
      <c r="D1239" s="25">
        <v>33.0</v>
      </c>
      <c r="E1239" s="25">
        <v>4.0</v>
      </c>
      <c r="F1239" s="25">
        <v>3.0</v>
      </c>
      <c r="G1239" s="27" t="s">
        <v>24</v>
      </c>
    </row>
    <row r="1240" ht="22.5" customHeight="1">
      <c r="A1240" s="25">
        <v>2364.0</v>
      </c>
      <c r="B1240" s="26">
        <v>45458.0</v>
      </c>
      <c r="C1240" s="25">
        <v>285.0</v>
      </c>
      <c r="D1240" s="25">
        <v>26.0</v>
      </c>
      <c r="E1240" s="25">
        <v>2.0</v>
      </c>
      <c r="F1240" s="25">
        <v>4.0</v>
      </c>
      <c r="G1240" s="27" t="s">
        <v>25</v>
      </c>
    </row>
    <row r="1241" ht="22.5" customHeight="1">
      <c r="A1241" s="25">
        <v>2435.0</v>
      </c>
      <c r="B1241" s="26">
        <v>45458.0</v>
      </c>
      <c r="C1241" s="25">
        <v>80.0</v>
      </c>
      <c r="D1241" s="25">
        <v>35.0</v>
      </c>
      <c r="E1241" s="25">
        <v>5.0</v>
      </c>
      <c r="F1241" s="25">
        <v>4.0</v>
      </c>
      <c r="G1241" s="27" t="s">
        <v>24</v>
      </c>
    </row>
    <row r="1242" ht="22.5" customHeight="1">
      <c r="A1242" s="25">
        <v>2511.0</v>
      </c>
      <c r="B1242" s="26">
        <v>45458.0</v>
      </c>
      <c r="C1242" s="25">
        <v>259.0</v>
      </c>
      <c r="D1242" s="25">
        <v>37.0</v>
      </c>
      <c r="E1242" s="25">
        <v>3.0</v>
      </c>
      <c r="F1242" s="25">
        <v>3.0</v>
      </c>
      <c r="G1242" s="27" t="s">
        <v>25</v>
      </c>
    </row>
    <row r="1243" ht="22.5" customHeight="1">
      <c r="A1243" s="25">
        <v>506.0</v>
      </c>
      <c r="B1243" s="26">
        <v>45459.0</v>
      </c>
      <c r="C1243" s="25">
        <v>287.0</v>
      </c>
      <c r="D1243" s="25">
        <v>27.0</v>
      </c>
      <c r="E1243" s="25">
        <v>6.0</v>
      </c>
      <c r="F1243" s="25">
        <v>4.0</v>
      </c>
      <c r="G1243" s="27" t="s">
        <v>24</v>
      </c>
    </row>
    <row r="1244" ht="22.5" customHeight="1">
      <c r="A1244" s="25">
        <v>579.0</v>
      </c>
      <c r="B1244" s="26">
        <v>45459.0</v>
      </c>
      <c r="C1244" s="25">
        <v>144.0</v>
      </c>
      <c r="D1244" s="25">
        <v>23.0</v>
      </c>
      <c r="E1244" s="25">
        <v>1.0</v>
      </c>
      <c r="F1244" s="25">
        <v>3.0</v>
      </c>
      <c r="G1244" s="27" t="s">
        <v>24</v>
      </c>
    </row>
    <row r="1245" ht="22.5" customHeight="1">
      <c r="A1245" s="25">
        <v>622.0</v>
      </c>
      <c r="B1245" s="26">
        <v>45459.0</v>
      </c>
      <c r="C1245" s="25">
        <v>244.0</v>
      </c>
      <c r="D1245" s="25">
        <v>30.0</v>
      </c>
      <c r="E1245" s="25">
        <v>1.0</v>
      </c>
      <c r="F1245" s="25">
        <v>4.0</v>
      </c>
      <c r="G1245" s="27" t="s">
        <v>24</v>
      </c>
    </row>
    <row r="1246" ht="22.5" customHeight="1">
      <c r="A1246" s="25">
        <v>660.0</v>
      </c>
      <c r="B1246" s="26">
        <v>45459.0</v>
      </c>
      <c r="C1246" s="25">
        <v>205.0</v>
      </c>
      <c r="D1246" s="25">
        <v>3.0</v>
      </c>
      <c r="E1246" s="25">
        <v>3.0</v>
      </c>
      <c r="F1246" s="25">
        <v>5.0</v>
      </c>
      <c r="G1246" s="27" t="s">
        <v>24</v>
      </c>
    </row>
    <row r="1247" ht="22.5" customHeight="1">
      <c r="A1247" s="25">
        <v>733.0</v>
      </c>
      <c r="B1247" s="26">
        <v>45459.0</v>
      </c>
      <c r="C1247" s="25">
        <v>111.0</v>
      </c>
      <c r="D1247" s="25">
        <v>29.0</v>
      </c>
      <c r="E1247" s="25">
        <v>3.0</v>
      </c>
      <c r="F1247" s="25">
        <v>3.0</v>
      </c>
      <c r="G1247" s="27" t="s">
        <v>24</v>
      </c>
    </row>
    <row r="1248" ht="22.5" customHeight="1">
      <c r="A1248" s="25">
        <v>836.0</v>
      </c>
      <c r="B1248" s="26">
        <v>45459.0</v>
      </c>
      <c r="C1248" s="25">
        <v>165.0</v>
      </c>
      <c r="D1248" s="25">
        <v>4.0</v>
      </c>
      <c r="E1248" s="25">
        <v>4.0</v>
      </c>
      <c r="F1248" s="25">
        <v>3.0</v>
      </c>
      <c r="G1248" s="27" t="s">
        <v>25</v>
      </c>
    </row>
    <row r="1249" ht="22.5" customHeight="1">
      <c r="A1249" s="25">
        <v>1131.0</v>
      </c>
      <c r="B1249" s="26">
        <v>45459.0</v>
      </c>
      <c r="C1249" s="25">
        <v>134.0</v>
      </c>
      <c r="D1249" s="25">
        <v>6.0</v>
      </c>
      <c r="E1249" s="25">
        <v>1.0</v>
      </c>
      <c r="F1249" s="25">
        <v>3.0</v>
      </c>
      <c r="G1249" s="27" t="s">
        <v>25</v>
      </c>
    </row>
    <row r="1250" ht="22.5" customHeight="1">
      <c r="A1250" s="25">
        <v>1354.0</v>
      </c>
      <c r="B1250" s="26">
        <v>45459.0</v>
      </c>
      <c r="C1250" s="25">
        <v>71.0</v>
      </c>
      <c r="D1250" s="25">
        <v>38.0</v>
      </c>
      <c r="E1250" s="25">
        <v>2.0</v>
      </c>
      <c r="F1250" s="25">
        <v>1.0</v>
      </c>
      <c r="G1250" s="27" t="s">
        <v>25</v>
      </c>
    </row>
    <row r="1251" ht="22.5" customHeight="1">
      <c r="A1251" s="25">
        <v>1404.0</v>
      </c>
      <c r="B1251" s="26">
        <v>45459.0</v>
      </c>
      <c r="C1251" s="25">
        <v>57.0</v>
      </c>
      <c r="D1251" s="25">
        <v>19.0</v>
      </c>
      <c r="E1251" s="25">
        <v>3.0</v>
      </c>
      <c r="F1251" s="25">
        <v>3.0</v>
      </c>
      <c r="G1251" s="27" t="s">
        <v>24</v>
      </c>
    </row>
    <row r="1252" ht="22.5" customHeight="1">
      <c r="A1252" s="25">
        <v>1423.0</v>
      </c>
      <c r="B1252" s="26">
        <v>45459.0</v>
      </c>
      <c r="C1252" s="25">
        <v>264.0</v>
      </c>
      <c r="D1252" s="25">
        <v>1.0</v>
      </c>
      <c r="E1252" s="25">
        <v>1.0</v>
      </c>
      <c r="F1252" s="25">
        <v>3.0</v>
      </c>
      <c r="G1252" s="27" t="s">
        <v>24</v>
      </c>
    </row>
    <row r="1253" ht="22.5" customHeight="1">
      <c r="A1253" s="25">
        <v>1551.0</v>
      </c>
      <c r="B1253" s="26">
        <v>45459.0</v>
      </c>
      <c r="C1253" s="25">
        <v>162.0</v>
      </c>
      <c r="D1253" s="25">
        <v>1.0</v>
      </c>
      <c r="E1253" s="25">
        <v>1.0</v>
      </c>
      <c r="F1253" s="25">
        <v>1.0</v>
      </c>
      <c r="G1253" s="27" t="s">
        <v>24</v>
      </c>
    </row>
    <row r="1254" ht="22.5" customHeight="1">
      <c r="A1254" s="25">
        <v>1643.0</v>
      </c>
      <c r="B1254" s="26">
        <v>45459.0</v>
      </c>
      <c r="C1254" s="25">
        <v>170.0</v>
      </c>
      <c r="D1254" s="25">
        <v>7.0</v>
      </c>
      <c r="E1254" s="25">
        <v>6.0</v>
      </c>
      <c r="F1254" s="25">
        <v>2.0</v>
      </c>
      <c r="G1254" s="27" t="s">
        <v>24</v>
      </c>
    </row>
    <row r="1255" ht="22.5" customHeight="1">
      <c r="A1255" s="25">
        <v>1688.0</v>
      </c>
      <c r="B1255" s="26">
        <v>45459.0</v>
      </c>
      <c r="C1255" s="25">
        <v>297.0</v>
      </c>
      <c r="D1255" s="25">
        <v>12.0</v>
      </c>
      <c r="E1255" s="25">
        <v>3.0</v>
      </c>
      <c r="F1255" s="25">
        <v>5.0</v>
      </c>
      <c r="G1255" s="27" t="s">
        <v>24</v>
      </c>
    </row>
    <row r="1256" ht="22.5" customHeight="1">
      <c r="A1256" s="25">
        <v>1692.0</v>
      </c>
      <c r="B1256" s="26">
        <v>45459.0</v>
      </c>
      <c r="C1256" s="25">
        <v>295.0</v>
      </c>
      <c r="D1256" s="25">
        <v>35.0</v>
      </c>
      <c r="E1256" s="25">
        <v>2.0</v>
      </c>
      <c r="F1256" s="25">
        <v>4.0</v>
      </c>
      <c r="G1256" s="27" t="s">
        <v>25</v>
      </c>
    </row>
    <row r="1257" ht="22.5" customHeight="1">
      <c r="A1257" s="25">
        <v>1758.0</v>
      </c>
      <c r="B1257" s="26">
        <v>45459.0</v>
      </c>
      <c r="C1257" s="25">
        <v>38.0</v>
      </c>
      <c r="D1257" s="25">
        <v>26.0</v>
      </c>
      <c r="E1257" s="25">
        <v>4.0</v>
      </c>
      <c r="F1257" s="25">
        <v>3.0</v>
      </c>
      <c r="G1257" s="27" t="s">
        <v>24</v>
      </c>
    </row>
    <row r="1258" ht="22.5" customHeight="1">
      <c r="A1258" s="25">
        <v>1881.0</v>
      </c>
      <c r="B1258" s="26">
        <v>45459.0</v>
      </c>
      <c r="C1258" s="25">
        <v>218.0</v>
      </c>
      <c r="D1258" s="25">
        <v>24.0</v>
      </c>
      <c r="E1258" s="25">
        <v>5.0</v>
      </c>
      <c r="F1258" s="25">
        <v>3.0</v>
      </c>
      <c r="G1258" s="27" t="s">
        <v>24</v>
      </c>
    </row>
    <row r="1259" ht="22.5" customHeight="1">
      <c r="A1259" s="25">
        <v>949.0</v>
      </c>
      <c r="B1259" s="26">
        <v>45460.0</v>
      </c>
      <c r="C1259" s="25">
        <v>29.0</v>
      </c>
      <c r="D1259" s="25">
        <v>19.0</v>
      </c>
      <c r="E1259" s="25">
        <v>2.0</v>
      </c>
      <c r="F1259" s="25">
        <v>3.0</v>
      </c>
      <c r="G1259" s="27" t="s">
        <v>25</v>
      </c>
    </row>
    <row r="1260" ht="22.5" customHeight="1">
      <c r="A1260" s="25">
        <v>1167.0</v>
      </c>
      <c r="B1260" s="26">
        <v>45460.0</v>
      </c>
      <c r="C1260" s="25">
        <v>311.0</v>
      </c>
      <c r="D1260" s="25">
        <v>7.0</v>
      </c>
      <c r="E1260" s="25">
        <v>4.0</v>
      </c>
      <c r="F1260" s="25">
        <v>5.0</v>
      </c>
      <c r="G1260" s="27" t="s">
        <v>24</v>
      </c>
    </row>
    <row r="1261" ht="22.5" customHeight="1">
      <c r="A1261" s="25">
        <v>1234.0</v>
      </c>
      <c r="B1261" s="26">
        <v>45460.0</v>
      </c>
      <c r="C1261" s="25">
        <v>276.0</v>
      </c>
      <c r="D1261" s="25">
        <v>25.0</v>
      </c>
      <c r="E1261" s="25">
        <v>5.0</v>
      </c>
      <c r="F1261" s="25">
        <v>5.0</v>
      </c>
      <c r="G1261" s="27" t="s">
        <v>23</v>
      </c>
    </row>
    <row r="1262" ht="22.5" customHeight="1">
      <c r="A1262" s="25">
        <v>1464.0</v>
      </c>
      <c r="B1262" s="26">
        <v>45460.0</v>
      </c>
      <c r="C1262" s="25">
        <v>268.0</v>
      </c>
      <c r="D1262" s="25">
        <v>18.0</v>
      </c>
      <c r="E1262" s="25">
        <v>1.0</v>
      </c>
      <c r="F1262" s="25">
        <v>1.0</v>
      </c>
      <c r="G1262" s="27" t="s">
        <v>24</v>
      </c>
    </row>
    <row r="1263" ht="22.5" customHeight="1">
      <c r="A1263" s="25">
        <v>1760.0</v>
      </c>
      <c r="B1263" s="26">
        <v>45460.0</v>
      </c>
      <c r="C1263" s="25">
        <v>124.0</v>
      </c>
      <c r="D1263" s="25">
        <v>36.0</v>
      </c>
      <c r="E1263" s="25">
        <v>2.0</v>
      </c>
      <c r="F1263" s="25">
        <v>3.0</v>
      </c>
      <c r="G1263" s="27" t="s">
        <v>24</v>
      </c>
    </row>
    <row r="1264" ht="22.5" customHeight="1">
      <c r="A1264" s="25">
        <v>1761.0</v>
      </c>
      <c r="B1264" s="26">
        <v>45460.0</v>
      </c>
      <c r="C1264" s="25">
        <v>260.0</v>
      </c>
      <c r="D1264" s="25">
        <v>8.0</v>
      </c>
      <c r="E1264" s="25">
        <v>4.0</v>
      </c>
      <c r="F1264" s="25">
        <v>4.0</v>
      </c>
      <c r="G1264" s="27" t="s">
        <v>24</v>
      </c>
    </row>
    <row r="1265" ht="22.5" customHeight="1">
      <c r="A1265" s="25">
        <v>2338.0</v>
      </c>
      <c r="B1265" s="26">
        <v>45460.0</v>
      </c>
      <c r="C1265" s="25">
        <v>137.0</v>
      </c>
      <c r="D1265" s="25">
        <v>29.0</v>
      </c>
      <c r="E1265" s="25">
        <v>6.0</v>
      </c>
      <c r="F1265" s="25">
        <v>3.0</v>
      </c>
      <c r="G1265" s="27" t="s">
        <v>25</v>
      </c>
    </row>
    <row r="1266" ht="22.5" customHeight="1">
      <c r="A1266" s="25">
        <v>2658.0</v>
      </c>
      <c r="B1266" s="26">
        <v>45460.0</v>
      </c>
      <c r="C1266" s="25">
        <v>235.0</v>
      </c>
      <c r="D1266" s="25">
        <v>36.0</v>
      </c>
      <c r="E1266" s="25">
        <v>6.0</v>
      </c>
      <c r="F1266" s="25">
        <v>3.0</v>
      </c>
      <c r="G1266" s="27" t="s">
        <v>24</v>
      </c>
    </row>
    <row r="1267" ht="22.5" customHeight="1">
      <c r="A1267" s="25">
        <v>2828.0</v>
      </c>
      <c r="B1267" s="26">
        <v>45460.0</v>
      </c>
      <c r="C1267" s="25">
        <v>233.0</v>
      </c>
      <c r="D1267" s="25">
        <v>18.0</v>
      </c>
      <c r="E1267" s="25">
        <v>6.0</v>
      </c>
      <c r="F1267" s="25">
        <v>4.0</v>
      </c>
      <c r="G1267" s="27" t="s">
        <v>24</v>
      </c>
    </row>
    <row r="1268" ht="22.5" customHeight="1">
      <c r="A1268" s="25">
        <v>450.0</v>
      </c>
      <c r="B1268" s="26">
        <v>45461.0</v>
      </c>
      <c r="C1268" s="25">
        <v>235.0</v>
      </c>
      <c r="D1268" s="25">
        <v>4.0</v>
      </c>
      <c r="E1268" s="25">
        <v>5.0</v>
      </c>
      <c r="F1268" s="25">
        <v>5.0</v>
      </c>
      <c r="G1268" s="27" t="s">
        <v>24</v>
      </c>
    </row>
    <row r="1269" ht="22.5" customHeight="1">
      <c r="A1269" s="25">
        <v>628.0</v>
      </c>
      <c r="B1269" s="26">
        <v>45461.0</v>
      </c>
      <c r="C1269" s="25">
        <v>245.0</v>
      </c>
      <c r="D1269" s="25">
        <v>38.0</v>
      </c>
      <c r="E1269" s="25">
        <v>1.0</v>
      </c>
      <c r="F1269" s="25">
        <v>4.0</v>
      </c>
      <c r="G1269" s="27" t="s">
        <v>24</v>
      </c>
    </row>
    <row r="1270" ht="22.5" customHeight="1">
      <c r="A1270" s="25">
        <v>730.0</v>
      </c>
      <c r="B1270" s="26">
        <v>45461.0</v>
      </c>
      <c r="C1270" s="25">
        <v>201.0</v>
      </c>
      <c r="D1270" s="25">
        <v>26.0</v>
      </c>
      <c r="E1270" s="25">
        <v>6.0</v>
      </c>
      <c r="F1270" s="25">
        <v>1.0</v>
      </c>
      <c r="G1270" s="27" t="s">
        <v>24</v>
      </c>
    </row>
    <row r="1271" ht="22.5" customHeight="1">
      <c r="A1271" s="25">
        <v>928.0</v>
      </c>
      <c r="B1271" s="26">
        <v>45461.0</v>
      </c>
      <c r="C1271" s="25">
        <v>152.0</v>
      </c>
      <c r="D1271" s="25">
        <v>3.0</v>
      </c>
      <c r="E1271" s="25">
        <v>6.0</v>
      </c>
      <c r="F1271" s="25">
        <v>4.0</v>
      </c>
      <c r="G1271" s="27" t="s">
        <v>24</v>
      </c>
    </row>
    <row r="1272" ht="22.5" customHeight="1">
      <c r="A1272" s="25">
        <v>1341.0</v>
      </c>
      <c r="B1272" s="26">
        <v>45461.0</v>
      </c>
      <c r="C1272" s="25">
        <v>133.0</v>
      </c>
      <c r="D1272" s="25">
        <v>15.0</v>
      </c>
      <c r="E1272" s="25">
        <v>5.0</v>
      </c>
      <c r="F1272" s="25">
        <v>1.0</v>
      </c>
      <c r="G1272" s="27" t="s">
        <v>25</v>
      </c>
    </row>
    <row r="1273" ht="22.5" customHeight="1">
      <c r="A1273" s="25">
        <v>2050.0</v>
      </c>
      <c r="B1273" s="26">
        <v>45461.0</v>
      </c>
      <c r="C1273" s="25">
        <v>58.0</v>
      </c>
      <c r="D1273" s="25">
        <v>24.0</v>
      </c>
      <c r="E1273" s="25">
        <v>4.0</v>
      </c>
      <c r="F1273" s="25">
        <v>2.0</v>
      </c>
      <c r="G1273" s="27" t="s">
        <v>24</v>
      </c>
    </row>
    <row r="1274" ht="22.5" customHeight="1">
      <c r="A1274" s="25">
        <v>343.0</v>
      </c>
      <c r="B1274" s="26">
        <v>45462.0</v>
      </c>
      <c r="C1274" s="25">
        <v>14.0</v>
      </c>
      <c r="D1274" s="25">
        <v>29.0</v>
      </c>
      <c r="E1274" s="25">
        <v>1.0</v>
      </c>
      <c r="F1274" s="25">
        <v>4.0</v>
      </c>
      <c r="G1274" s="27" t="s">
        <v>24</v>
      </c>
    </row>
    <row r="1275" ht="22.5" customHeight="1">
      <c r="A1275" s="25">
        <v>861.0</v>
      </c>
      <c r="B1275" s="26">
        <v>45462.0</v>
      </c>
      <c r="C1275" s="25">
        <v>34.0</v>
      </c>
      <c r="D1275" s="25">
        <v>23.0</v>
      </c>
      <c r="E1275" s="25">
        <v>4.0</v>
      </c>
      <c r="F1275" s="25">
        <v>5.0</v>
      </c>
      <c r="G1275" s="27" t="s">
        <v>24</v>
      </c>
    </row>
    <row r="1276" ht="22.5" customHeight="1">
      <c r="A1276" s="25">
        <v>865.0</v>
      </c>
      <c r="B1276" s="26">
        <v>45462.0</v>
      </c>
      <c r="C1276" s="25">
        <v>60.0</v>
      </c>
      <c r="D1276" s="25">
        <v>2.0</v>
      </c>
      <c r="E1276" s="25">
        <v>5.0</v>
      </c>
      <c r="F1276" s="25">
        <v>1.0</v>
      </c>
      <c r="G1276" s="27" t="s">
        <v>24</v>
      </c>
    </row>
    <row r="1277" ht="22.5" customHeight="1">
      <c r="A1277" s="25">
        <v>1124.0</v>
      </c>
      <c r="B1277" s="26">
        <v>45462.0</v>
      </c>
      <c r="C1277" s="25">
        <v>232.0</v>
      </c>
      <c r="D1277" s="25">
        <v>7.0</v>
      </c>
      <c r="E1277" s="25">
        <v>3.0</v>
      </c>
      <c r="F1277" s="25">
        <v>3.0</v>
      </c>
      <c r="G1277" s="27" t="s">
        <v>24</v>
      </c>
    </row>
    <row r="1278" ht="22.5" customHeight="1">
      <c r="A1278" s="25">
        <v>1355.0</v>
      </c>
      <c r="B1278" s="26">
        <v>45462.0</v>
      </c>
      <c r="C1278" s="25">
        <v>106.0</v>
      </c>
      <c r="D1278" s="25">
        <v>22.0</v>
      </c>
      <c r="E1278" s="25">
        <v>2.0</v>
      </c>
      <c r="F1278" s="25">
        <v>1.0</v>
      </c>
      <c r="G1278" s="27" t="s">
        <v>24</v>
      </c>
    </row>
    <row r="1279" ht="22.5" customHeight="1">
      <c r="A1279" s="25">
        <v>1530.0</v>
      </c>
      <c r="B1279" s="26">
        <v>45462.0</v>
      </c>
      <c r="C1279" s="25">
        <v>2.0</v>
      </c>
      <c r="D1279" s="25">
        <v>34.0</v>
      </c>
      <c r="E1279" s="25">
        <v>4.0</v>
      </c>
      <c r="F1279" s="25">
        <v>4.0</v>
      </c>
      <c r="G1279" s="27" t="s">
        <v>24</v>
      </c>
    </row>
    <row r="1280" ht="22.5" customHeight="1">
      <c r="A1280" s="25">
        <v>2178.0</v>
      </c>
      <c r="B1280" s="26">
        <v>45462.0</v>
      </c>
      <c r="C1280" s="25">
        <v>54.0</v>
      </c>
      <c r="D1280" s="25">
        <v>7.0</v>
      </c>
      <c r="E1280" s="25">
        <v>2.0</v>
      </c>
      <c r="F1280" s="25">
        <v>4.0</v>
      </c>
      <c r="G1280" s="27" t="s">
        <v>24</v>
      </c>
    </row>
    <row r="1281" ht="22.5" customHeight="1">
      <c r="A1281" s="25">
        <v>2351.0</v>
      </c>
      <c r="B1281" s="26">
        <v>45462.0</v>
      </c>
      <c r="C1281" s="25">
        <v>114.0</v>
      </c>
      <c r="D1281" s="25">
        <v>3.0</v>
      </c>
      <c r="E1281" s="25">
        <v>2.0</v>
      </c>
      <c r="F1281" s="25">
        <v>4.0</v>
      </c>
      <c r="G1281" s="27" t="s">
        <v>24</v>
      </c>
    </row>
    <row r="1282" ht="22.5" customHeight="1">
      <c r="A1282" s="25">
        <v>330.0</v>
      </c>
      <c r="B1282" s="26">
        <v>45463.0</v>
      </c>
      <c r="C1282" s="25">
        <v>63.0</v>
      </c>
      <c r="D1282" s="25">
        <v>13.0</v>
      </c>
      <c r="E1282" s="25">
        <v>3.0</v>
      </c>
      <c r="F1282" s="25">
        <v>1.0</v>
      </c>
      <c r="G1282" s="27" t="s">
        <v>24</v>
      </c>
    </row>
    <row r="1283" ht="22.5" customHeight="1">
      <c r="A1283" s="25">
        <v>1509.0</v>
      </c>
      <c r="B1283" s="26">
        <v>45463.0</v>
      </c>
      <c r="C1283" s="25">
        <v>36.0</v>
      </c>
      <c r="D1283" s="25">
        <v>18.0</v>
      </c>
      <c r="E1283" s="25">
        <v>5.0</v>
      </c>
      <c r="F1283" s="25">
        <v>4.0</v>
      </c>
      <c r="G1283" s="27" t="s">
        <v>24</v>
      </c>
    </row>
    <row r="1284" ht="22.5" customHeight="1">
      <c r="A1284" s="25">
        <v>1954.0</v>
      </c>
      <c r="B1284" s="26">
        <v>45463.0</v>
      </c>
      <c r="C1284" s="25">
        <v>120.0</v>
      </c>
      <c r="D1284" s="25">
        <v>17.0</v>
      </c>
      <c r="E1284" s="25">
        <v>4.0</v>
      </c>
      <c r="F1284" s="25">
        <v>5.0</v>
      </c>
      <c r="G1284" s="27" t="s">
        <v>24</v>
      </c>
    </row>
    <row r="1285" ht="22.5" customHeight="1">
      <c r="A1285" s="25">
        <v>2023.0</v>
      </c>
      <c r="B1285" s="26">
        <v>45463.0</v>
      </c>
      <c r="C1285" s="25">
        <v>280.0</v>
      </c>
      <c r="D1285" s="25">
        <v>24.0</v>
      </c>
      <c r="E1285" s="25">
        <v>2.0</v>
      </c>
      <c r="F1285" s="25">
        <v>1.0</v>
      </c>
      <c r="G1285" s="27" t="s">
        <v>24</v>
      </c>
    </row>
    <row r="1286" ht="22.5" customHeight="1">
      <c r="A1286" s="25">
        <v>2257.0</v>
      </c>
      <c r="B1286" s="26">
        <v>45463.0</v>
      </c>
      <c r="C1286" s="25">
        <v>137.0</v>
      </c>
      <c r="D1286" s="25">
        <v>15.0</v>
      </c>
      <c r="E1286" s="25">
        <v>5.0</v>
      </c>
      <c r="F1286" s="25">
        <v>3.0</v>
      </c>
      <c r="G1286" s="27" t="s">
        <v>24</v>
      </c>
    </row>
    <row r="1287" ht="22.5" customHeight="1">
      <c r="A1287" s="25">
        <v>2354.0</v>
      </c>
      <c r="B1287" s="26">
        <v>45463.0</v>
      </c>
      <c r="C1287" s="25">
        <v>20.0</v>
      </c>
      <c r="D1287" s="25">
        <v>15.0</v>
      </c>
      <c r="E1287" s="25">
        <v>3.0</v>
      </c>
      <c r="F1287" s="25">
        <v>5.0</v>
      </c>
      <c r="G1287" s="27" t="s">
        <v>24</v>
      </c>
    </row>
    <row r="1288" ht="22.5" customHeight="1">
      <c r="A1288" s="25">
        <v>2492.0</v>
      </c>
      <c r="B1288" s="26">
        <v>45463.0</v>
      </c>
      <c r="C1288" s="25">
        <v>68.0</v>
      </c>
      <c r="D1288" s="25">
        <v>31.0</v>
      </c>
      <c r="E1288" s="25">
        <v>2.0</v>
      </c>
      <c r="F1288" s="25">
        <v>3.0</v>
      </c>
      <c r="G1288" s="27" t="s">
        <v>25</v>
      </c>
    </row>
    <row r="1289" ht="22.5" customHeight="1">
      <c r="A1289" s="25">
        <v>2636.0</v>
      </c>
      <c r="B1289" s="26">
        <v>45463.0</v>
      </c>
      <c r="C1289" s="25">
        <v>88.0</v>
      </c>
      <c r="D1289" s="25">
        <v>19.0</v>
      </c>
      <c r="E1289" s="25">
        <v>4.0</v>
      </c>
      <c r="F1289" s="25">
        <v>3.0</v>
      </c>
      <c r="G1289" s="27" t="s">
        <v>24</v>
      </c>
    </row>
    <row r="1290" ht="22.5" customHeight="1">
      <c r="A1290" s="25">
        <v>950.0</v>
      </c>
      <c r="B1290" s="26">
        <v>45464.0</v>
      </c>
      <c r="C1290" s="25">
        <v>119.0</v>
      </c>
      <c r="D1290" s="25">
        <v>33.0</v>
      </c>
      <c r="E1290" s="25">
        <v>6.0</v>
      </c>
      <c r="F1290" s="25">
        <v>2.0</v>
      </c>
      <c r="G1290" s="27" t="s">
        <v>25</v>
      </c>
    </row>
    <row r="1291" ht="22.5" customHeight="1">
      <c r="A1291" s="25">
        <v>1534.0</v>
      </c>
      <c r="B1291" s="26">
        <v>45464.0</v>
      </c>
      <c r="C1291" s="25">
        <v>12.0</v>
      </c>
      <c r="D1291" s="25">
        <v>5.0</v>
      </c>
      <c r="E1291" s="25">
        <v>2.0</v>
      </c>
      <c r="F1291" s="25">
        <v>5.0</v>
      </c>
      <c r="G1291" s="27" t="s">
        <v>24</v>
      </c>
    </row>
    <row r="1292" ht="22.5" customHeight="1">
      <c r="A1292" s="25">
        <v>1583.0</v>
      </c>
      <c r="B1292" s="26">
        <v>45464.0</v>
      </c>
      <c r="C1292" s="25">
        <v>53.0</v>
      </c>
      <c r="D1292" s="25">
        <v>30.0</v>
      </c>
      <c r="E1292" s="25">
        <v>2.0</v>
      </c>
      <c r="F1292" s="25">
        <v>1.0</v>
      </c>
      <c r="G1292" s="27" t="s">
        <v>24</v>
      </c>
    </row>
    <row r="1293" ht="22.5" customHeight="1">
      <c r="A1293" s="25">
        <v>1890.0</v>
      </c>
      <c r="B1293" s="26">
        <v>45464.0</v>
      </c>
      <c r="C1293" s="25">
        <v>6.0</v>
      </c>
      <c r="D1293" s="25">
        <v>3.0</v>
      </c>
      <c r="E1293" s="25">
        <v>1.0</v>
      </c>
      <c r="F1293" s="25">
        <v>5.0</v>
      </c>
      <c r="G1293" s="27" t="s">
        <v>24</v>
      </c>
    </row>
    <row r="1294" ht="22.5" customHeight="1">
      <c r="A1294" s="25">
        <v>1945.0</v>
      </c>
      <c r="B1294" s="26">
        <v>45464.0</v>
      </c>
      <c r="C1294" s="25">
        <v>190.0</v>
      </c>
      <c r="D1294" s="25">
        <v>35.0</v>
      </c>
      <c r="E1294" s="25">
        <v>3.0</v>
      </c>
      <c r="F1294" s="25">
        <v>1.0</v>
      </c>
      <c r="G1294" s="27" t="s">
        <v>24</v>
      </c>
    </row>
    <row r="1295" ht="22.5" customHeight="1">
      <c r="A1295" s="25">
        <v>1987.0</v>
      </c>
      <c r="B1295" s="26">
        <v>45464.0</v>
      </c>
      <c r="C1295" s="25">
        <v>90.0</v>
      </c>
      <c r="D1295" s="25">
        <v>15.0</v>
      </c>
      <c r="E1295" s="25">
        <v>4.0</v>
      </c>
      <c r="F1295" s="25">
        <v>4.0</v>
      </c>
      <c r="G1295" s="27" t="s">
        <v>24</v>
      </c>
    </row>
    <row r="1296" ht="22.5" customHeight="1">
      <c r="A1296" s="25">
        <v>2068.0</v>
      </c>
      <c r="B1296" s="26">
        <v>45464.0</v>
      </c>
      <c r="C1296" s="25">
        <v>224.0</v>
      </c>
      <c r="D1296" s="25">
        <v>27.0</v>
      </c>
      <c r="E1296" s="25">
        <v>6.0</v>
      </c>
      <c r="F1296" s="25">
        <v>5.0</v>
      </c>
      <c r="G1296" s="27" t="s">
        <v>24</v>
      </c>
    </row>
    <row r="1297" ht="22.5" customHeight="1">
      <c r="A1297" s="25">
        <v>2750.0</v>
      </c>
      <c r="B1297" s="26">
        <v>45464.0</v>
      </c>
      <c r="C1297" s="25">
        <v>3.0</v>
      </c>
      <c r="D1297" s="25">
        <v>22.0</v>
      </c>
      <c r="E1297" s="25">
        <v>4.0</v>
      </c>
      <c r="F1297" s="25">
        <v>1.0</v>
      </c>
      <c r="G1297" s="27" t="s">
        <v>24</v>
      </c>
    </row>
    <row r="1298" ht="22.5" customHeight="1">
      <c r="A1298" s="25">
        <v>2956.0</v>
      </c>
      <c r="B1298" s="26">
        <v>45464.0</v>
      </c>
      <c r="C1298" s="25">
        <v>307.0</v>
      </c>
      <c r="D1298" s="25">
        <v>26.0</v>
      </c>
      <c r="E1298" s="25">
        <v>1.0</v>
      </c>
      <c r="F1298" s="25">
        <v>3.0</v>
      </c>
      <c r="G1298" s="27" t="s">
        <v>24</v>
      </c>
    </row>
    <row r="1299" ht="22.5" customHeight="1">
      <c r="A1299" s="25">
        <v>98.0</v>
      </c>
      <c r="B1299" s="26">
        <v>45465.0</v>
      </c>
      <c r="C1299" s="25">
        <v>177.0</v>
      </c>
      <c r="D1299" s="25">
        <v>20.0</v>
      </c>
      <c r="E1299" s="25">
        <v>1.0</v>
      </c>
      <c r="F1299" s="25">
        <v>1.0</v>
      </c>
      <c r="G1299" s="27" t="s">
        <v>24</v>
      </c>
    </row>
    <row r="1300" ht="22.5" customHeight="1">
      <c r="A1300" s="25">
        <v>533.0</v>
      </c>
      <c r="B1300" s="26">
        <v>45465.0</v>
      </c>
      <c r="C1300" s="25">
        <v>83.0</v>
      </c>
      <c r="D1300" s="25">
        <v>4.0</v>
      </c>
      <c r="E1300" s="25">
        <v>2.0</v>
      </c>
      <c r="F1300" s="25">
        <v>5.0</v>
      </c>
      <c r="G1300" s="27" t="s">
        <v>24</v>
      </c>
    </row>
    <row r="1301" ht="22.5" customHeight="1">
      <c r="A1301" s="25">
        <v>743.0</v>
      </c>
      <c r="B1301" s="26">
        <v>45465.0</v>
      </c>
      <c r="C1301" s="25">
        <v>271.0</v>
      </c>
      <c r="D1301" s="25">
        <v>5.0</v>
      </c>
      <c r="E1301" s="25">
        <v>5.0</v>
      </c>
      <c r="F1301" s="25">
        <v>5.0</v>
      </c>
      <c r="G1301" s="27" t="s">
        <v>24</v>
      </c>
    </row>
    <row r="1302" ht="22.5" customHeight="1">
      <c r="A1302" s="25">
        <v>1412.0</v>
      </c>
      <c r="B1302" s="26">
        <v>45465.0</v>
      </c>
      <c r="C1302" s="25">
        <v>60.0</v>
      </c>
      <c r="D1302" s="25">
        <v>28.0</v>
      </c>
      <c r="E1302" s="25">
        <v>2.0</v>
      </c>
      <c r="F1302" s="25">
        <v>5.0</v>
      </c>
      <c r="G1302" s="27" t="s">
        <v>24</v>
      </c>
    </row>
    <row r="1303" ht="22.5" customHeight="1">
      <c r="A1303" s="25">
        <v>1764.0</v>
      </c>
      <c r="B1303" s="26">
        <v>45465.0</v>
      </c>
      <c r="C1303" s="25">
        <v>268.0</v>
      </c>
      <c r="D1303" s="25">
        <v>7.0</v>
      </c>
      <c r="E1303" s="25">
        <v>4.0</v>
      </c>
      <c r="F1303" s="25">
        <v>4.0</v>
      </c>
      <c r="G1303" s="27" t="s">
        <v>24</v>
      </c>
    </row>
    <row r="1304" ht="22.5" customHeight="1">
      <c r="A1304" s="25">
        <v>1843.0</v>
      </c>
      <c r="B1304" s="26">
        <v>45465.0</v>
      </c>
      <c r="C1304" s="25">
        <v>139.0</v>
      </c>
      <c r="D1304" s="25">
        <v>4.0</v>
      </c>
      <c r="E1304" s="25">
        <v>1.0</v>
      </c>
      <c r="F1304" s="25">
        <v>1.0</v>
      </c>
      <c r="G1304" s="27" t="s">
        <v>24</v>
      </c>
    </row>
    <row r="1305" ht="22.5" customHeight="1">
      <c r="A1305" s="25">
        <v>2334.0</v>
      </c>
      <c r="B1305" s="26">
        <v>45465.0</v>
      </c>
      <c r="C1305" s="25">
        <v>190.0</v>
      </c>
      <c r="D1305" s="25">
        <v>2.0</v>
      </c>
      <c r="E1305" s="25">
        <v>2.0</v>
      </c>
      <c r="F1305" s="25">
        <v>1.0</v>
      </c>
      <c r="G1305" s="27" t="s">
        <v>24</v>
      </c>
    </row>
    <row r="1306" ht="22.5" customHeight="1">
      <c r="A1306" s="25">
        <v>216.0</v>
      </c>
      <c r="B1306" s="26">
        <v>45466.0</v>
      </c>
      <c r="C1306" s="25">
        <v>270.0</v>
      </c>
      <c r="D1306" s="25">
        <v>8.0</v>
      </c>
      <c r="E1306" s="25">
        <v>4.0</v>
      </c>
      <c r="F1306" s="25">
        <v>4.0</v>
      </c>
      <c r="G1306" s="27" t="s">
        <v>24</v>
      </c>
    </row>
    <row r="1307" ht="22.5" customHeight="1">
      <c r="A1307" s="25">
        <v>941.0</v>
      </c>
      <c r="B1307" s="26">
        <v>45466.0</v>
      </c>
      <c r="C1307" s="25">
        <v>146.0</v>
      </c>
      <c r="D1307" s="25">
        <v>13.0</v>
      </c>
      <c r="E1307" s="25">
        <v>6.0</v>
      </c>
      <c r="F1307" s="25">
        <v>4.0</v>
      </c>
      <c r="G1307" s="27" t="s">
        <v>25</v>
      </c>
    </row>
    <row r="1308" ht="22.5" customHeight="1">
      <c r="A1308" s="25">
        <v>1117.0</v>
      </c>
      <c r="B1308" s="26">
        <v>45466.0</v>
      </c>
      <c r="C1308" s="25">
        <v>292.0</v>
      </c>
      <c r="D1308" s="25">
        <v>38.0</v>
      </c>
      <c r="E1308" s="25">
        <v>3.0</v>
      </c>
      <c r="F1308" s="25">
        <v>5.0</v>
      </c>
      <c r="G1308" s="27" t="s">
        <v>24</v>
      </c>
    </row>
    <row r="1309" ht="22.5" customHeight="1">
      <c r="A1309" s="25">
        <v>1348.0</v>
      </c>
      <c r="B1309" s="26">
        <v>45466.0</v>
      </c>
      <c r="C1309" s="25">
        <v>151.0</v>
      </c>
      <c r="D1309" s="25">
        <v>20.0</v>
      </c>
      <c r="E1309" s="25">
        <v>3.0</v>
      </c>
      <c r="F1309" s="25">
        <v>4.0</v>
      </c>
      <c r="G1309" s="27" t="s">
        <v>24</v>
      </c>
    </row>
    <row r="1310" ht="22.5" customHeight="1">
      <c r="A1310" s="25">
        <v>2163.0</v>
      </c>
      <c r="B1310" s="26">
        <v>45466.0</v>
      </c>
      <c r="C1310" s="25">
        <v>168.0</v>
      </c>
      <c r="D1310" s="25">
        <v>38.0</v>
      </c>
      <c r="E1310" s="25">
        <v>6.0</v>
      </c>
      <c r="F1310" s="25">
        <v>2.0</v>
      </c>
      <c r="G1310" s="27" t="s">
        <v>24</v>
      </c>
    </row>
    <row r="1311" ht="22.5" customHeight="1">
      <c r="A1311" s="25">
        <v>2780.0</v>
      </c>
      <c r="B1311" s="26">
        <v>45466.0</v>
      </c>
      <c r="C1311" s="25">
        <v>216.0</v>
      </c>
      <c r="D1311" s="25">
        <v>1.0</v>
      </c>
      <c r="E1311" s="25">
        <v>5.0</v>
      </c>
      <c r="F1311" s="25">
        <v>2.0</v>
      </c>
      <c r="G1311" s="27" t="s">
        <v>24</v>
      </c>
    </row>
    <row r="1312" ht="22.5" customHeight="1">
      <c r="A1312" s="25">
        <v>2806.0</v>
      </c>
      <c r="B1312" s="26">
        <v>45466.0</v>
      </c>
      <c r="C1312" s="25">
        <v>193.0</v>
      </c>
      <c r="D1312" s="25">
        <v>13.0</v>
      </c>
      <c r="E1312" s="25">
        <v>6.0</v>
      </c>
      <c r="F1312" s="25">
        <v>3.0</v>
      </c>
      <c r="G1312" s="27" t="s">
        <v>24</v>
      </c>
    </row>
    <row r="1313" ht="22.5" customHeight="1">
      <c r="A1313" s="25">
        <v>375.0</v>
      </c>
      <c r="B1313" s="26">
        <v>45467.0</v>
      </c>
      <c r="C1313" s="25">
        <v>248.0</v>
      </c>
      <c r="D1313" s="25">
        <v>35.0</v>
      </c>
      <c r="E1313" s="25">
        <v>6.0</v>
      </c>
      <c r="F1313" s="25">
        <v>3.0</v>
      </c>
      <c r="G1313" s="27" t="s">
        <v>24</v>
      </c>
    </row>
    <row r="1314" ht="22.5" customHeight="1">
      <c r="A1314" s="25">
        <v>445.0</v>
      </c>
      <c r="B1314" s="26">
        <v>45467.0</v>
      </c>
      <c r="C1314" s="25">
        <v>296.0</v>
      </c>
      <c r="D1314" s="25">
        <v>24.0</v>
      </c>
      <c r="E1314" s="25">
        <v>4.0</v>
      </c>
      <c r="F1314" s="25">
        <v>4.0</v>
      </c>
      <c r="G1314" s="27" t="s">
        <v>24</v>
      </c>
    </row>
    <row r="1315" ht="22.5" customHeight="1">
      <c r="A1315" s="25">
        <v>595.0</v>
      </c>
      <c r="B1315" s="26">
        <v>45467.0</v>
      </c>
      <c r="C1315" s="25">
        <v>271.0</v>
      </c>
      <c r="D1315" s="25">
        <v>27.0</v>
      </c>
      <c r="E1315" s="25">
        <v>5.0</v>
      </c>
      <c r="F1315" s="25">
        <v>4.0</v>
      </c>
      <c r="G1315" s="27" t="s">
        <v>24</v>
      </c>
    </row>
    <row r="1316" ht="22.5" customHeight="1">
      <c r="A1316" s="25">
        <v>1901.0</v>
      </c>
      <c r="B1316" s="26">
        <v>45467.0</v>
      </c>
      <c r="C1316" s="25">
        <v>53.0</v>
      </c>
      <c r="D1316" s="25">
        <v>1.0</v>
      </c>
      <c r="E1316" s="25">
        <v>3.0</v>
      </c>
      <c r="F1316" s="25">
        <v>3.0</v>
      </c>
      <c r="G1316" s="27" t="s">
        <v>24</v>
      </c>
    </row>
    <row r="1317" ht="22.5" customHeight="1">
      <c r="A1317" s="25">
        <v>2373.0</v>
      </c>
      <c r="B1317" s="26">
        <v>45467.0</v>
      </c>
      <c r="C1317" s="25">
        <v>125.0</v>
      </c>
      <c r="D1317" s="25">
        <v>26.0</v>
      </c>
      <c r="E1317" s="25">
        <v>1.0</v>
      </c>
      <c r="F1317" s="25">
        <v>1.0</v>
      </c>
      <c r="G1317" s="27" t="s">
        <v>25</v>
      </c>
    </row>
    <row r="1318" ht="22.5" customHeight="1">
      <c r="A1318" s="25">
        <v>2390.0</v>
      </c>
      <c r="B1318" s="26">
        <v>45467.0</v>
      </c>
      <c r="C1318" s="25">
        <v>159.0</v>
      </c>
      <c r="D1318" s="25">
        <v>8.0</v>
      </c>
      <c r="E1318" s="25">
        <v>2.0</v>
      </c>
      <c r="F1318" s="25">
        <v>4.0</v>
      </c>
      <c r="G1318" s="27" t="s">
        <v>24</v>
      </c>
    </row>
    <row r="1319" ht="22.5" customHeight="1">
      <c r="A1319" s="25">
        <v>2477.0</v>
      </c>
      <c r="B1319" s="26">
        <v>45467.0</v>
      </c>
      <c r="C1319" s="25">
        <v>90.0</v>
      </c>
      <c r="D1319" s="25">
        <v>6.0</v>
      </c>
      <c r="E1319" s="25">
        <v>6.0</v>
      </c>
      <c r="F1319" s="25">
        <v>5.0</v>
      </c>
      <c r="G1319" s="27" t="s">
        <v>24</v>
      </c>
    </row>
    <row r="1320" ht="22.5" customHeight="1">
      <c r="A1320" s="25">
        <v>27.0</v>
      </c>
      <c r="B1320" s="26">
        <v>45468.0</v>
      </c>
      <c r="C1320" s="25">
        <v>85.0</v>
      </c>
      <c r="D1320" s="25">
        <v>25.0</v>
      </c>
      <c r="E1320" s="25">
        <v>1.0</v>
      </c>
      <c r="F1320" s="25">
        <v>3.0</v>
      </c>
      <c r="G1320" s="27" t="s">
        <v>24</v>
      </c>
    </row>
    <row r="1321" ht="22.5" customHeight="1">
      <c r="A1321" s="25">
        <v>50.0</v>
      </c>
      <c r="B1321" s="26">
        <v>45468.0</v>
      </c>
      <c r="C1321" s="25">
        <v>233.0</v>
      </c>
      <c r="D1321" s="25">
        <v>23.0</v>
      </c>
      <c r="E1321" s="25">
        <v>2.0</v>
      </c>
      <c r="F1321" s="25">
        <v>5.0</v>
      </c>
      <c r="G1321" s="27" t="s">
        <v>24</v>
      </c>
    </row>
    <row r="1322" ht="22.5" customHeight="1">
      <c r="A1322" s="25">
        <v>73.0</v>
      </c>
      <c r="B1322" s="26">
        <v>45468.0</v>
      </c>
      <c r="C1322" s="25">
        <v>143.0</v>
      </c>
      <c r="D1322" s="25">
        <v>26.0</v>
      </c>
      <c r="E1322" s="25">
        <v>3.0</v>
      </c>
      <c r="F1322" s="25">
        <v>1.0</v>
      </c>
      <c r="G1322" s="27" t="s">
        <v>24</v>
      </c>
    </row>
    <row r="1323" ht="22.5" customHeight="1">
      <c r="A1323" s="25">
        <v>192.0</v>
      </c>
      <c r="B1323" s="26">
        <v>45468.0</v>
      </c>
      <c r="C1323" s="25">
        <v>97.0</v>
      </c>
      <c r="D1323" s="25">
        <v>27.0</v>
      </c>
      <c r="E1323" s="25">
        <v>4.0</v>
      </c>
      <c r="F1323" s="25">
        <v>5.0</v>
      </c>
      <c r="G1323" s="27" t="s">
        <v>24</v>
      </c>
    </row>
    <row r="1324" ht="22.5" customHeight="1">
      <c r="A1324" s="25">
        <v>376.0</v>
      </c>
      <c r="B1324" s="26">
        <v>45468.0</v>
      </c>
      <c r="C1324" s="25">
        <v>201.0</v>
      </c>
      <c r="D1324" s="25">
        <v>8.0</v>
      </c>
      <c r="E1324" s="25">
        <v>5.0</v>
      </c>
      <c r="F1324" s="25">
        <v>5.0</v>
      </c>
      <c r="G1324" s="27" t="s">
        <v>24</v>
      </c>
    </row>
    <row r="1325" ht="22.5" customHeight="1">
      <c r="A1325" s="25">
        <v>1347.0</v>
      </c>
      <c r="B1325" s="26">
        <v>45468.0</v>
      </c>
      <c r="C1325" s="25">
        <v>223.0</v>
      </c>
      <c r="D1325" s="25">
        <v>1.0</v>
      </c>
      <c r="E1325" s="25">
        <v>6.0</v>
      </c>
      <c r="F1325" s="25">
        <v>5.0</v>
      </c>
      <c r="G1325" s="27" t="s">
        <v>24</v>
      </c>
    </row>
    <row r="1326" ht="22.5" customHeight="1">
      <c r="A1326" s="25">
        <v>1588.0</v>
      </c>
      <c r="B1326" s="26">
        <v>45468.0</v>
      </c>
      <c r="C1326" s="25">
        <v>324.0</v>
      </c>
      <c r="D1326" s="25">
        <v>3.0</v>
      </c>
      <c r="E1326" s="25">
        <v>6.0</v>
      </c>
      <c r="F1326" s="25">
        <v>1.0</v>
      </c>
      <c r="G1326" s="27" t="s">
        <v>24</v>
      </c>
    </row>
    <row r="1327" ht="22.5" customHeight="1">
      <c r="A1327" s="25">
        <v>1835.0</v>
      </c>
      <c r="B1327" s="26">
        <v>45468.0</v>
      </c>
      <c r="C1327" s="25">
        <v>100.0</v>
      </c>
      <c r="D1327" s="25">
        <v>26.0</v>
      </c>
      <c r="E1327" s="25">
        <v>4.0</v>
      </c>
      <c r="F1327" s="25">
        <v>5.0</v>
      </c>
      <c r="G1327" s="27" t="s">
        <v>24</v>
      </c>
    </row>
    <row r="1328" ht="22.5" customHeight="1">
      <c r="A1328" s="25">
        <v>2438.0</v>
      </c>
      <c r="B1328" s="26">
        <v>45468.0</v>
      </c>
      <c r="C1328" s="25">
        <v>287.0</v>
      </c>
      <c r="D1328" s="25">
        <v>14.0</v>
      </c>
      <c r="E1328" s="25">
        <v>1.0</v>
      </c>
      <c r="F1328" s="25">
        <v>5.0</v>
      </c>
      <c r="G1328" s="27" t="s">
        <v>25</v>
      </c>
    </row>
    <row r="1329" ht="22.5" customHeight="1">
      <c r="A1329" s="25">
        <v>2552.0</v>
      </c>
      <c r="B1329" s="26">
        <v>45468.0</v>
      </c>
      <c r="C1329" s="25">
        <v>310.0</v>
      </c>
      <c r="D1329" s="25">
        <v>31.0</v>
      </c>
      <c r="E1329" s="25">
        <v>6.0</v>
      </c>
      <c r="F1329" s="25">
        <v>5.0</v>
      </c>
      <c r="G1329" s="27" t="s">
        <v>24</v>
      </c>
    </row>
    <row r="1330" ht="22.5" customHeight="1">
      <c r="A1330" s="25">
        <v>2865.0</v>
      </c>
      <c r="B1330" s="26">
        <v>45468.0</v>
      </c>
      <c r="C1330" s="25">
        <v>265.0</v>
      </c>
      <c r="D1330" s="25">
        <v>22.0</v>
      </c>
      <c r="E1330" s="25">
        <v>2.0</v>
      </c>
      <c r="F1330" s="25">
        <v>4.0</v>
      </c>
      <c r="G1330" s="27" t="s">
        <v>24</v>
      </c>
    </row>
    <row r="1331" ht="22.5" customHeight="1">
      <c r="A1331" s="25">
        <v>2931.0</v>
      </c>
      <c r="B1331" s="26">
        <v>45468.0</v>
      </c>
      <c r="C1331" s="25">
        <v>41.0</v>
      </c>
      <c r="D1331" s="25">
        <v>29.0</v>
      </c>
      <c r="E1331" s="25">
        <v>3.0</v>
      </c>
      <c r="F1331" s="25">
        <v>1.0</v>
      </c>
      <c r="G1331" s="27" t="s">
        <v>24</v>
      </c>
    </row>
    <row r="1332" ht="22.5" customHeight="1">
      <c r="A1332" s="25">
        <v>2942.0</v>
      </c>
      <c r="B1332" s="26">
        <v>45468.0</v>
      </c>
      <c r="C1332" s="25">
        <v>215.0</v>
      </c>
      <c r="D1332" s="25">
        <v>28.0</v>
      </c>
      <c r="E1332" s="25">
        <v>4.0</v>
      </c>
      <c r="F1332" s="25">
        <v>3.0</v>
      </c>
      <c r="G1332" s="27" t="s">
        <v>24</v>
      </c>
    </row>
    <row r="1333" ht="22.5" customHeight="1">
      <c r="A1333" s="25">
        <v>570.0</v>
      </c>
      <c r="B1333" s="26">
        <v>45469.0</v>
      </c>
      <c r="C1333" s="25">
        <v>185.0</v>
      </c>
      <c r="D1333" s="25">
        <v>19.0</v>
      </c>
      <c r="E1333" s="25">
        <v>5.0</v>
      </c>
      <c r="F1333" s="25">
        <v>3.0</v>
      </c>
      <c r="G1333" s="27" t="s">
        <v>24</v>
      </c>
    </row>
    <row r="1334" ht="22.5" customHeight="1">
      <c r="A1334" s="25">
        <v>2014.0</v>
      </c>
      <c r="B1334" s="26">
        <v>45469.0</v>
      </c>
      <c r="C1334" s="25">
        <v>229.0</v>
      </c>
      <c r="D1334" s="25">
        <v>35.0</v>
      </c>
      <c r="E1334" s="25">
        <v>4.0</v>
      </c>
      <c r="F1334" s="25">
        <v>2.0</v>
      </c>
      <c r="G1334" s="27" t="s">
        <v>24</v>
      </c>
    </row>
    <row r="1335" ht="22.5" customHeight="1">
      <c r="A1335" s="25">
        <v>2633.0</v>
      </c>
      <c r="B1335" s="26">
        <v>45469.0</v>
      </c>
      <c r="C1335" s="25">
        <v>13.0</v>
      </c>
      <c r="D1335" s="25">
        <v>4.0</v>
      </c>
      <c r="E1335" s="25">
        <v>5.0</v>
      </c>
      <c r="F1335" s="25">
        <v>5.0</v>
      </c>
      <c r="G1335" s="27" t="s">
        <v>24</v>
      </c>
    </row>
    <row r="1336" ht="22.5" customHeight="1">
      <c r="A1336" s="25">
        <v>2820.0</v>
      </c>
      <c r="B1336" s="26">
        <v>45469.0</v>
      </c>
      <c r="C1336" s="25">
        <v>258.0</v>
      </c>
      <c r="D1336" s="25">
        <v>14.0</v>
      </c>
      <c r="E1336" s="25">
        <v>2.0</v>
      </c>
      <c r="F1336" s="25">
        <v>4.0</v>
      </c>
      <c r="G1336" s="27" t="s">
        <v>24</v>
      </c>
    </row>
    <row r="1337" ht="22.5" customHeight="1">
      <c r="A1337" s="25">
        <v>191.0</v>
      </c>
      <c r="B1337" s="26">
        <v>45470.0</v>
      </c>
      <c r="C1337" s="25">
        <v>186.0</v>
      </c>
      <c r="D1337" s="25">
        <v>11.0</v>
      </c>
      <c r="E1337" s="25">
        <v>1.0</v>
      </c>
      <c r="F1337" s="25">
        <v>3.0</v>
      </c>
      <c r="G1337" s="27" t="s">
        <v>24</v>
      </c>
    </row>
    <row r="1338" ht="22.5" customHeight="1">
      <c r="A1338" s="25">
        <v>460.0</v>
      </c>
      <c r="B1338" s="26">
        <v>45470.0</v>
      </c>
      <c r="C1338" s="25">
        <v>166.0</v>
      </c>
      <c r="D1338" s="25">
        <v>27.0</v>
      </c>
      <c r="E1338" s="25">
        <v>3.0</v>
      </c>
      <c r="F1338" s="25">
        <v>1.0</v>
      </c>
      <c r="G1338" s="27" t="s">
        <v>24</v>
      </c>
    </row>
    <row r="1339" ht="22.5" customHeight="1">
      <c r="A1339" s="25">
        <v>578.0</v>
      </c>
      <c r="B1339" s="26">
        <v>45470.0</v>
      </c>
      <c r="C1339" s="25">
        <v>180.0</v>
      </c>
      <c r="D1339" s="25">
        <v>15.0</v>
      </c>
      <c r="E1339" s="25">
        <v>2.0</v>
      </c>
      <c r="F1339" s="25">
        <v>5.0</v>
      </c>
      <c r="G1339" s="27" t="s">
        <v>24</v>
      </c>
    </row>
    <row r="1340" ht="22.5" customHeight="1">
      <c r="A1340" s="25">
        <v>750.0</v>
      </c>
      <c r="B1340" s="26">
        <v>45470.0</v>
      </c>
      <c r="C1340" s="25">
        <v>198.0</v>
      </c>
      <c r="D1340" s="25">
        <v>30.0</v>
      </c>
      <c r="E1340" s="25">
        <v>2.0</v>
      </c>
      <c r="F1340" s="25">
        <v>5.0</v>
      </c>
      <c r="G1340" s="27" t="s">
        <v>24</v>
      </c>
    </row>
    <row r="1341" ht="22.5" customHeight="1">
      <c r="A1341" s="25">
        <v>2268.0</v>
      </c>
      <c r="B1341" s="26">
        <v>45470.0</v>
      </c>
      <c r="C1341" s="25">
        <v>260.0</v>
      </c>
      <c r="D1341" s="25">
        <v>4.0</v>
      </c>
      <c r="E1341" s="25">
        <v>6.0</v>
      </c>
      <c r="F1341" s="25">
        <v>4.0</v>
      </c>
      <c r="G1341" s="27" t="s">
        <v>24</v>
      </c>
    </row>
    <row r="1342" ht="22.5" customHeight="1">
      <c r="A1342" s="25">
        <v>2411.0</v>
      </c>
      <c r="B1342" s="26">
        <v>45470.0</v>
      </c>
      <c r="C1342" s="25">
        <v>178.0</v>
      </c>
      <c r="D1342" s="25">
        <v>24.0</v>
      </c>
      <c r="E1342" s="25">
        <v>2.0</v>
      </c>
      <c r="F1342" s="25">
        <v>5.0</v>
      </c>
      <c r="G1342" s="27" t="s">
        <v>24</v>
      </c>
    </row>
    <row r="1343" ht="22.5" customHeight="1">
      <c r="A1343" s="25">
        <v>2516.0</v>
      </c>
      <c r="B1343" s="26">
        <v>45470.0</v>
      </c>
      <c r="C1343" s="25">
        <v>268.0</v>
      </c>
      <c r="D1343" s="25">
        <v>17.0</v>
      </c>
      <c r="E1343" s="25">
        <v>4.0</v>
      </c>
      <c r="F1343" s="25">
        <v>5.0</v>
      </c>
      <c r="G1343" s="27" t="s">
        <v>24</v>
      </c>
    </row>
    <row r="1344" ht="22.5" customHeight="1">
      <c r="A1344" s="25">
        <v>2671.0</v>
      </c>
      <c r="B1344" s="26">
        <v>45470.0</v>
      </c>
      <c r="C1344" s="25">
        <v>36.0</v>
      </c>
      <c r="D1344" s="25">
        <v>24.0</v>
      </c>
      <c r="E1344" s="25">
        <v>1.0</v>
      </c>
      <c r="F1344" s="25">
        <v>5.0</v>
      </c>
      <c r="G1344" s="27" t="s">
        <v>24</v>
      </c>
    </row>
    <row r="1345" ht="22.5" customHeight="1">
      <c r="A1345" s="25">
        <v>2881.0</v>
      </c>
      <c r="B1345" s="26">
        <v>45470.0</v>
      </c>
      <c r="C1345" s="25">
        <v>163.0</v>
      </c>
      <c r="D1345" s="25">
        <v>9.0</v>
      </c>
      <c r="E1345" s="25">
        <v>5.0</v>
      </c>
      <c r="F1345" s="25">
        <v>3.0</v>
      </c>
      <c r="G1345" s="27" t="s">
        <v>24</v>
      </c>
    </row>
    <row r="1346" ht="22.5" customHeight="1">
      <c r="A1346" s="25">
        <v>268.0</v>
      </c>
      <c r="B1346" s="26">
        <v>45471.0</v>
      </c>
      <c r="C1346" s="25">
        <v>119.0</v>
      </c>
      <c r="D1346" s="25">
        <v>32.0</v>
      </c>
      <c r="E1346" s="25">
        <v>5.0</v>
      </c>
      <c r="F1346" s="25">
        <v>1.0</v>
      </c>
      <c r="G1346" s="27" t="s">
        <v>24</v>
      </c>
    </row>
    <row r="1347" ht="22.5" customHeight="1">
      <c r="A1347" s="25">
        <v>819.0</v>
      </c>
      <c r="B1347" s="26">
        <v>45471.0</v>
      </c>
      <c r="C1347" s="25">
        <v>252.0</v>
      </c>
      <c r="D1347" s="25">
        <v>2.0</v>
      </c>
      <c r="E1347" s="25">
        <v>4.0</v>
      </c>
      <c r="F1347" s="25">
        <v>1.0</v>
      </c>
      <c r="G1347" s="27" t="s">
        <v>24</v>
      </c>
    </row>
    <row r="1348" ht="22.5" customHeight="1">
      <c r="A1348" s="25">
        <v>866.0</v>
      </c>
      <c r="B1348" s="26">
        <v>45471.0</v>
      </c>
      <c r="C1348" s="25">
        <v>46.0</v>
      </c>
      <c r="D1348" s="25">
        <v>33.0</v>
      </c>
      <c r="E1348" s="25">
        <v>2.0</v>
      </c>
      <c r="F1348" s="25">
        <v>5.0</v>
      </c>
      <c r="G1348" s="27" t="s">
        <v>24</v>
      </c>
    </row>
    <row r="1349" ht="22.5" customHeight="1">
      <c r="A1349" s="25">
        <v>1695.0</v>
      </c>
      <c r="B1349" s="26">
        <v>45471.0</v>
      </c>
      <c r="C1349" s="25">
        <v>103.0</v>
      </c>
      <c r="D1349" s="25">
        <v>16.0</v>
      </c>
      <c r="E1349" s="25">
        <v>5.0</v>
      </c>
      <c r="F1349" s="25">
        <v>3.0</v>
      </c>
      <c r="G1349" s="27" t="s">
        <v>24</v>
      </c>
    </row>
    <row r="1350" ht="22.5" customHeight="1">
      <c r="A1350" s="25">
        <v>1766.0</v>
      </c>
      <c r="B1350" s="26">
        <v>45471.0</v>
      </c>
      <c r="C1350" s="25">
        <v>46.0</v>
      </c>
      <c r="D1350" s="25">
        <v>11.0</v>
      </c>
      <c r="E1350" s="25">
        <v>6.0</v>
      </c>
      <c r="F1350" s="25">
        <v>4.0</v>
      </c>
      <c r="G1350" s="27" t="s">
        <v>24</v>
      </c>
    </row>
    <row r="1351" ht="22.5" customHeight="1">
      <c r="A1351" s="25">
        <v>1950.0</v>
      </c>
      <c r="B1351" s="26">
        <v>45471.0</v>
      </c>
      <c r="C1351" s="25">
        <v>111.0</v>
      </c>
      <c r="D1351" s="25">
        <v>15.0</v>
      </c>
      <c r="E1351" s="25">
        <v>5.0</v>
      </c>
      <c r="F1351" s="25">
        <v>1.0</v>
      </c>
      <c r="G1351" s="27" t="s">
        <v>25</v>
      </c>
    </row>
    <row r="1352" ht="22.5" customHeight="1">
      <c r="A1352" s="25">
        <v>1980.0</v>
      </c>
      <c r="B1352" s="26">
        <v>45471.0</v>
      </c>
      <c r="C1352" s="25">
        <v>160.0</v>
      </c>
      <c r="D1352" s="25">
        <v>30.0</v>
      </c>
      <c r="E1352" s="25">
        <v>4.0</v>
      </c>
      <c r="F1352" s="25">
        <v>5.0</v>
      </c>
      <c r="G1352" s="27" t="s">
        <v>25</v>
      </c>
    </row>
    <row r="1353" ht="22.5" customHeight="1">
      <c r="A1353" s="25">
        <v>2330.0</v>
      </c>
      <c r="B1353" s="26">
        <v>45471.0</v>
      </c>
      <c r="C1353" s="25">
        <v>254.0</v>
      </c>
      <c r="D1353" s="25">
        <v>12.0</v>
      </c>
      <c r="E1353" s="25">
        <v>4.0</v>
      </c>
      <c r="F1353" s="25">
        <v>3.0</v>
      </c>
      <c r="G1353" s="27" t="s">
        <v>24</v>
      </c>
    </row>
    <row r="1354" ht="22.5" customHeight="1">
      <c r="A1354" s="25">
        <v>2946.0</v>
      </c>
      <c r="B1354" s="26">
        <v>45471.0</v>
      </c>
      <c r="C1354" s="25">
        <v>296.0</v>
      </c>
      <c r="D1354" s="25">
        <v>11.0</v>
      </c>
      <c r="E1354" s="25">
        <v>6.0</v>
      </c>
      <c r="F1354" s="25">
        <v>5.0</v>
      </c>
      <c r="G1354" s="27" t="s">
        <v>25</v>
      </c>
    </row>
    <row r="1355" ht="22.5" customHeight="1">
      <c r="A1355" s="25">
        <v>21.0</v>
      </c>
      <c r="B1355" s="26">
        <v>45472.0</v>
      </c>
      <c r="C1355" s="25">
        <v>184.0</v>
      </c>
      <c r="D1355" s="25">
        <v>27.0</v>
      </c>
      <c r="E1355" s="25">
        <v>2.0</v>
      </c>
      <c r="F1355" s="25">
        <v>1.0</v>
      </c>
      <c r="G1355" s="27" t="s">
        <v>24</v>
      </c>
    </row>
    <row r="1356" ht="22.5" customHeight="1">
      <c r="A1356" s="25">
        <v>754.0</v>
      </c>
      <c r="B1356" s="26">
        <v>45472.0</v>
      </c>
      <c r="C1356" s="25">
        <v>216.0</v>
      </c>
      <c r="D1356" s="25">
        <v>23.0</v>
      </c>
      <c r="E1356" s="25">
        <v>4.0</v>
      </c>
      <c r="F1356" s="25">
        <v>3.0</v>
      </c>
      <c r="G1356" s="27" t="s">
        <v>24</v>
      </c>
    </row>
    <row r="1357" ht="22.5" customHeight="1">
      <c r="A1357" s="25">
        <v>825.0</v>
      </c>
      <c r="B1357" s="26">
        <v>45472.0</v>
      </c>
      <c r="C1357" s="25">
        <v>120.0</v>
      </c>
      <c r="D1357" s="25">
        <v>29.0</v>
      </c>
      <c r="E1357" s="25">
        <v>6.0</v>
      </c>
      <c r="F1357" s="25">
        <v>4.0</v>
      </c>
      <c r="G1357" s="27" t="s">
        <v>24</v>
      </c>
    </row>
    <row r="1358" ht="22.5" customHeight="1">
      <c r="A1358" s="25">
        <v>1329.0</v>
      </c>
      <c r="B1358" s="26">
        <v>45472.0</v>
      </c>
      <c r="C1358" s="25">
        <v>233.0</v>
      </c>
      <c r="D1358" s="25">
        <v>27.0</v>
      </c>
      <c r="E1358" s="25">
        <v>6.0</v>
      </c>
      <c r="F1358" s="25">
        <v>1.0</v>
      </c>
      <c r="G1358" s="27" t="s">
        <v>24</v>
      </c>
    </row>
    <row r="1359" ht="22.5" customHeight="1">
      <c r="A1359" s="25">
        <v>1384.0</v>
      </c>
      <c r="B1359" s="26">
        <v>45472.0</v>
      </c>
      <c r="C1359" s="25">
        <v>62.0</v>
      </c>
      <c r="D1359" s="25">
        <v>30.0</v>
      </c>
      <c r="E1359" s="25">
        <v>4.0</v>
      </c>
      <c r="F1359" s="25">
        <v>3.0</v>
      </c>
      <c r="G1359" s="27" t="s">
        <v>24</v>
      </c>
    </row>
    <row r="1360" ht="22.5" customHeight="1">
      <c r="A1360" s="25">
        <v>1452.0</v>
      </c>
      <c r="B1360" s="26">
        <v>45472.0</v>
      </c>
      <c r="C1360" s="25">
        <v>56.0</v>
      </c>
      <c r="D1360" s="25">
        <v>20.0</v>
      </c>
      <c r="E1360" s="25">
        <v>1.0</v>
      </c>
      <c r="F1360" s="25">
        <v>4.0</v>
      </c>
      <c r="G1360" s="27" t="s">
        <v>24</v>
      </c>
    </row>
    <row r="1361" ht="22.5" customHeight="1">
      <c r="A1361" s="25">
        <v>1462.0</v>
      </c>
      <c r="B1361" s="26">
        <v>45472.0</v>
      </c>
      <c r="C1361" s="25">
        <v>86.0</v>
      </c>
      <c r="D1361" s="25">
        <v>11.0</v>
      </c>
      <c r="E1361" s="25">
        <v>5.0</v>
      </c>
      <c r="F1361" s="25">
        <v>5.0</v>
      </c>
      <c r="G1361" s="27" t="s">
        <v>24</v>
      </c>
    </row>
    <row r="1362" ht="22.5" customHeight="1">
      <c r="A1362" s="25">
        <v>1658.0</v>
      </c>
      <c r="B1362" s="26">
        <v>45472.0</v>
      </c>
      <c r="C1362" s="25">
        <v>193.0</v>
      </c>
      <c r="D1362" s="25">
        <v>1.0</v>
      </c>
      <c r="E1362" s="25">
        <v>3.0</v>
      </c>
      <c r="F1362" s="25">
        <v>1.0</v>
      </c>
      <c r="G1362" s="27" t="s">
        <v>24</v>
      </c>
    </row>
    <row r="1363" ht="22.5" customHeight="1">
      <c r="A1363" s="25">
        <v>1693.0</v>
      </c>
      <c r="B1363" s="26">
        <v>45472.0</v>
      </c>
      <c r="C1363" s="25">
        <v>68.0</v>
      </c>
      <c r="D1363" s="25">
        <v>6.0</v>
      </c>
      <c r="E1363" s="25">
        <v>2.0</v>
      </c>
      <c r="F1363" s="25">
        <v>4.0</v>
      </c>
      <c r="G1363" s="27" t="s">
        <v>24</v>
      </c>
    </row>
    <row r="1364" ht="22.5" customHeight="1">
      <c r="A1364" s="25">
        <v>1797.0</v>
      </c>
      <c r="B1364" s="26">
        <v>45472.0</v>
      </c>
      <c r="C1364" s="25">
        <v>192.0</v>
      </c>
      <c r="D1364" s="25">
        <v>4.0</v>
      </c>
      <c r="E1364" s="25">
        <v>6.0</v>
      </c>
      <c r="F1364" s="25">
        <v>5.0</v>
      </c>
      <c r="G1364" s="27" t="s">
        <v>24</v>
      </c>
    </row>
    <row r="1365" ht="22.5" customHeight="1">
      <c r="A1365" s="25">
        <v>1849.0</v>
      </c>
      <c r="B1365" s="26">
        <v>45472.0</v>
      </c>
      <c r="C1365" s="25">
        <v>30.0</v>
      </c>
      <c r="D1365" s="25">
        <v>30.0</v>
      </c>
      <c r="E1365" s="25">
        <v>3.0</v>
      </c>
      <c r="F1365" s="25">
        <v>4.0</v>
      </c>
      <c r="G1365" s="27" t="s">
        <v>25</v>
      </c>
    </row>
    <row r="1366" ht="22.5" customHeight="1">
      <c r="A1366" s="25">
        <v>2399.0</v>
      </c>
      <c r="B1366" s="26">
        <v>45472.0</v>
      </c>
      <c r="C1366" s="25">
        <v>73.0</v>
      </c>
      <c r="D1366" s="25">
        <v>37.0</v>
      </c>
      <c r="E1366" s="25">
        <v>2.0</v>
      </c>
      <c r="F1366" s="25">
        <v>1.0</v>
      </c>
      <c r="G1366" s="27" t="s">
        <v>25</v>
      </c>
    </row>
    <row r="1367" ht="22.5" customHeight="1">
      <c r="A1367" s="25">
        <v>2721.0</v>
      </c>
      <c r="B1367" s="26">
        <v>45472.0</v>
      </c>
      <c r="C1367" s="25">
        <v>29.0</v>
      </c>
      <c r="D1367" s="25">
        <v>20.0</v>
      </c>
      <c r="E1367" s="25">
        <v>2.0</v>
      </c>
      <c r="F1367" s="25">
        <v>4.0</v>
      </c>
      <c r="G1367" s="27" t="s">
        <v>24</v>
      </c>
    </row>
    <row r="1368" ht="22.5" customHeight="1">
      <c r="A1368" s="25">
        <v>79.0</v>
      </c>
      <c r="B1368" s="26">
        <v>45473.0</v>
      </c>
      <c r="C1368" s="25">
        <v>133.0</v>
      </c>
      <c r="D1368" s="25">
        <v>24.0</v>
      </c>
      <c r="E1368" s="25">
        <v>4.0</v>
      </c>
      <c r="F1368" s="25">
        <v>4.0</v>
      </c>
      <c r="G1368" s="27" t="s">
        <v>25</v>
      </c>
    </row>
    <row r="1369" ht="22.5" customHeight="1">
      <c r="A1369" s="25">
        <v>599.0</v>
      </c>
      <c r="B1369" s="26">
        <v>45473.0</v>
      </c>
      <c r="C1369" s="25">
        <v>61.0</v>
      </c>
      <c r="D1369" s="25">
        <v>37.0</v>
      </c>
      <c r="E1369" s="25">
        <v>6.0</v>
      </c>
      <c r="F1369" s="25">
        <v>4.0</v>
      </c>
      <c r="G1369" s="27" t="s">
        <v>24</v>
      </c>
    </row>
    <row r="1370" ht="22.5" customHeight="1">
      <c r="A1370" s="25">
        <v>920.0</v>
      </c>
      <c r="B1370" s="26">
        <v>45473.0</v>
      </c>
      <c r="C1370" s="25">
        <v>50.0</v>
      </c>
      <c r="D1370" s="25">
        <v>33.0</v>
      </c>
      <c r="E1370" s="25">
        <v>1.0</v>
      </c>
      <c r="F1370" s="25">
        <v>1.0</v>
      </c>
      <c r="G1370" s="27" t="s">
        <v>24</v>
      </c>
    </row>
    <row r="1371" ht="22.5" customHeight="1">
      <c r="A1371" s="25">
        <v>1260.0</v>
      </c>
      <c r="B1371" s="26">
        <v>45473.0</v>
      </c>
      <c r="C1371" s="25">
        <v>115.0</v>
      </c>
      <c r="D1371" s="25">
        <v>25.0</v>
      </c>
      <c r="E1371" s="25">
        <v>2.0</v>
      </c>
      <c r="F1371" s="25">
        <v>4.0</v>
      </c>
      <c r="G1371" s="27" t="s">
        <v>24</v>
      </c>
    </row>
    <row r="1372" ht="22.5" customHeight="1">
      <c r="A1372" s="25">
        <v>1851.0</v>
      </c>
      <c r="B1372" s="26">
        <v>45473.0</v>
      </c>
      <c r="C1372" s="25">
        <v>318.0</v>
      </c>
      <c r="D1372" s="25">
        <v>35.0</v>
      </c>
      <c r="E1372" s="25">
        <v>5.0</v>
      </c>
      <c r="F1372" s="25">
        <v>4.0</v>
      </c>
      <c r="G1372" s="27" t="s">
        <v>25</v>
      </c>
    </row>
    <row r="1373" ht="22.5" customHeight="1">
      <c r="A1373" s="25">
        <v>2070.0</v>
      </c>
      <c r="B1373" s="26">
        <v>45473.0</v>
      </c>
      <c r="C1373" s="25">
        <v>89.0</v>
      </c>
      <c r="D1373" s="25">
        <v>17.0</v>
      </c>
      <c r="E1373" s="25">
        <v>1.0</v>
      </c>
      <c r="F1373" s="25">
        <v>1.0</v>
      </c>
      <c r="G1373" s="27" t="s">
        <v>24</v>
      </c>
    </row>
    <row r="1374" ht="22.5" customHeight="1">
      <c r="A1374" s="25">
        <v>2314.0</v>
      </c>
      <c r="B1374" s="26">
        <v>45473.0</v>
      </c>
      <c r="C1374" s="25">
        <v>171.0</v>
      </c>
      <c r="D1374" s="25">
        <v>28.0</v>
      </c>
      <c r="E1374" s="25">
        <v>6.0</v>
      </c>
      <c r="F1374" s="25">
        <v>3.0</v>
      </c>
      <c r="G1374" s="27" t="s">
        <v>24</v>
      </c>
    </row>
    <row r="1375" ht="22.5" customHeight="1">
      <c r="A1375" s="25">
        <v>2396.0</v>
      </c>
      <c r="B1375" s="26">
        <v>45473.0</v>
      </c>
      <c r="C1375" s="25">
        <v>176.0</v>
      </c>
      <c r="D1375" s="25">
        <v>2.0</v>
      </c>
      <c r="E1375" s="25">
        <v>3.0</v>
      </c>
      <c r="F1375" s="25">
        <v>2.0</v>
      </c>
      <c r="G1375" s="27" t="s">
        <v>24</v>
      </c>
    </row>
    <row r="1376" ht="22.5" customHeight="1">
      <c r="A1376" s="25">
        <v>2462.0</v>
      </c>
      <c r="B1376" s="26">
        <v>45473.0</v>
      </c>
      <c r="C1376" s="25">
        <v>102.0</v>
      </c>
      <c r="D1376" s="25">
        <v>37.0</v>
      </c>
      <c r="E1376" s="25">
        <v>4.0</v>
      </c>
      <c r="F1376" s="25">
        <v>2.0</v>
      </c>
      <c r="G1376" s="27" t="s">
        <v>25</v>
      </c>
    </row>
    <row r="1377" ht="22.5" customHeight="1">
      <c r="A1377" s="25">
        <v>2609.0</v>
      </c>
      <c r="B1377" s="26">
        <v>45473.0</v>
      </c>
      <c r="C1377" s="25">
        <v>148.0</v>
      </c>
      <c r="D1377" s="25">
        <v>12.0</v>
      </c>
      <c r="E1377" s="25">
        <v>6.0</v>
      </c>
      <c r="F1377" s="25">
        <v>3.0</v>
      </c>
      <c r="G1377" s="27" t="s">
        <v>24</v>
      </c>
    </row>
    <row r="1378" ht="22.5" customHeight="1">
      <c r="A1378" s="25">
        <v>2663.0</v>
      </c>
      <c r="B1378" s="26">
        <v>45473.0</v>
      </c>
      <c r="C1378" s="25">
        <v>251.0</v>
      </c>
      <c r="D1378" s="25">
        <v>11.0</v>
      </c>
      <c r="E1378" s="25">
        <v>4.0</v>
      </c>
      <c r="F1378" s="25">
        <v>5.0</v>
      </c>
      <c r="G1378" s="27" t="s">
        <v>25</v>
      </c>
    </row>
    <row r="1379" ht="22.5" customHeight="1">
      <c r="A1379" s="25">
        <v>2766.0</v>
      </c>
      <c r="B1379" s="26">
        <v>45473.0</v>
      </c>
      <c r="C1379" s="25">
        <v>185.0</v>
      </c>
      <c r="D1379" s="25">
        <v>37.0</v>
      </c>
      <c r="E1379" s="25">
        <v>1.0</v>
      </c>
      <c r="F1379" s="25">
        <v>1.0</v>
      </c>
      <c r="G1379" s="27" t="s">
        <v>24</v>
      </c>
    </row>
    <row r="1380" ht="22.5" customHeight="1">
      <c r="A1380" s="25">
        <v>507.0</v>
      </c>
      <c r="B1380" s="26">
        <v>45474.0</v>
      </c>
      <c r="C1380" s="25">
        <v>73.0</v>
      </c>
      <c r="D1380" s="25">
        <v>38.0</v>
      </c>
      <c r="E1380" s="25">
        <v>6.0</v>
      </c>
      <c r="F1380" s="25">
        <v>5.0</v>
      </c>
      <c r="G1380" s="27" t="s">
        <v>24</v>
      </c>
    </row>
    <row r="1381" ht="22.5" customHeight="1">
      <c r="A1381" s="25">
        <v>804.0</v>
      </c>
      <c r="B1381" s="26">
        <v>45474.0</v>
      </c>
      <c r="C1381" s="25">
        <v>154.0</v>
      </c>
      <c r="D1381" s="25">
        <v>10.0</v>
      </c>
      <c r="E1381" s="25">
        <v>2.0</v>
      </c>
      <c r="F1381" s="25">
        <v>5.0</v>
      </c>
      <c r="G1381" s="27" t="s">
        <v>25</v>
      </c>
    </row>
    <row r="1382" ht="22.5" customHeight="1">
      <c r="A1382" s="25">
        <v>1052.0</v>
      </c>
      <c r="B1382" s="26">
        <v>45474.0</v>
      </c>
      <c r="C1382" s="25">
        <v>219.0</v>
      </c>
      <c r="D1382" s="25">
        <v>18.0</v>
      </c>
      <c r="E1382" s="25">
        <v>1.0</v>
      </c>
      <c r="F1382" s="25">
        <v>3.0</v>
      </c>
      <c r="G1382" s="27" t="s">
        <v>25</v>
      </c>
    </row>
    <row r="1383" ht="22.5" customHeight="1">
      <c r="A1383" s="25">
        <v>1159.0</v>
      </c>
      <c r="B1383" s="26">
        <v>45474.0</v>
      </c>
      <c r="C1383" s="25">
        <v>233.0</v>
      </c>
      <c r="D1383" s="25">
        <v>21.0</v>
      </c>
      <c r="E1383" s="25">
        <v>2.0</v>
      </c>
      <c r="F1383" s="25">
        <v>1.0</v>
      </c>
      <c r="G1383" s="27" t="s">
        <v>24</v>
      </c>
    </row>
    <row r="1384" ht="22.5" customHeight="1">
      <c r="A1384" s="25">
        <v>1186.0</v>
      </c>
      <c r="B1384" s="26">
        <v>45474.0</v>
      </c>
      <c r="C1384" s="25">
        <v>24.0</v>
      </c>
      <c r="D1384" s="25">
        <v>23.0</v>
      </c>
      <c r="E1384" s="25">
        <v>6.0</v>
      </c>
      <c r="F1384" s="25">
        <v>4.0</v>
      </c>
      <c r="G1384" s="27" t="s">
        <v>24</v>
      </c>
    </row>
    <row r="1385" ht="22.5" customHeight="1">
      <c r="A1385" s="25">
        <v>2393.0</v>
      </c>
      <c r="B1385" s="26">
        <v>45474.0</v>
      </c>
      <c r="C1385" s="25">
        <v>58.0</v>
      </c>
      <c r="D1385" s="25">
        <v>15.0</v>
      </c>
      <c r="E1385" s="25">
        <v>4.0</v>
      </c>
      <c r="F1385" s="25">
        <v>1.0</v>
      </c>
      <c r="G1385" s="27" t="s">
        <v>24</v>
      </c>
    </row>
    <row r="1386" ht="22.5" customHeight="1">
      <c r="A1386" s="25">
        <v>2672.0</v>
      </c>
      <c r="B1386" s="26">
        <v>45474.0</v>
      </c>
      <c r="C1386" s="25">
        <v>49.0</v>
      </c>
      <c r="D1386" s="25">
        <v>24.0</v>
      </c>
      <c r="E1386" s="25">
        <v>6.0</v>
      </c>
      <c r="F1386" s="25">
        <v>3.0</v>
      </c>
      <c r="G1386" s="27" t="s">
        <v>24</v>
      </c>
    </row>
    <row r="1387" ht="22.5" customHeight="1">
      <c r="A1387" s="25">
        <v>201.0</v>
      </c>
      <c r="B1387" s="26">
        <v>45475.0</v>
      </c>
      <c r="C1387" s="25">
        <v>141.0</v>
      </c>
      <c r="D1387" s="25">
        <v>14.0</v>
      </c>
      <c r="E1387" s="25">
        <v>3.0</v>
      </c>
      <c r="F1387" s="25">
        <v>4.0</v>
      </c>
      <c r="G1387" s="27" t="s">
        <v>24</v>
      </c>
    </row>
    <row r="1388" ht="22.5" customHeight="1">
      <c r="A1388" s="25">
        <v>219.0</v>
      </c>
      <c r="B1388" s="26">
        <v>45475.0</v>
      </c>
      <c r="C1388" s="25">
        <v>24.0</v>
      </c>
      <c r="D1388" s="25">
        <v>23.0</v>
      </c>
      <c r="E1388" s="25">
        <v>6.0</v>
      </c>
      <c r="F1388" s="25">
        <v>4.0</v>
      </c>
      <c r="G1388" s="27" t="s">
        <v>24</v>
      </c>
    </row>
    <row r="1389" ht="22.5" customHeight="1">
      <c r="A1389" s="25">
        <v>306.0</v>
      </c>
      <c r="B1389" s="26">
        <v>45475.0</v>
      </c>
      <c r="C1389" s="25">
        <v>14.0</v>
      </c>
      <c r="D1389" s="25">
        <v>38.0</v>
      </c>
      <c r="E1389" s="25">
        <v>2.0</v>
      </c>
      <c r="F1389" s="25">
        <v>5.0</v>
      </c>
      <c r="G1389" s="27" t="s">
        <v>24</v>
      </c>
    </row>
    <row r="1390" ht="22.5" customHeight="1">
      <c r="A1390" s="25">
        <v>474.0</v>
      </c>
      <c r="B1390" s="26">
        <v>45475.0</v>
      </c>
      <c r="C1390" s="25">
        <v>25.0</v>
      </c>
      <c r="D1390" s="25">
        <v>18.0</v>
      </c>
      <c r="E1390" s="25">
        <v>3.0</v>
      </c>
      <c r="F1390" s="25">
        <v>4.0</v>
      </c>
      <c r="G1390" s="27" t="s">
        <v>24</v>
      </c>
    </row>
    <row r="1391" ht="22.5" customHeight="1">
      <c r="A1391" s="25">
        <v>1005.0</v>
      </c>
      <c r="B1391" s="26">
        <v>45475.0</v>
      </c>
      <c r="C1391" s="25">
        <v>131.0</v>
      </c>
      <c r="D1391" s="25">
        <v>4.0</v>
      </c>
      <c r="E1391" s="25">
        <v>6.0</v>
      </c>
      <c r="F1391" s="25">
        <v>5.0</v>
      </c>
      <c r="G1391" s="27" t="s">
        <v>24</v>
      </c>
    </row>
    <row r="1392" ht="22.5" customHeight="1">
      <c r="A1392" s="25">
        <v>1746.0</v>
      </c>
      <c r="B1392" s="26">
        <v>45475.0</v>
      </c>
      <c r="C1392" s="25">
        <v>269.0</v>
      </c>
      <c r="D1392" s="25">
        <v>5.0</v>
      </c>
      <c r="E1392" s="25">
        <v>4.0</v>
      </c>
      <c r="F1392" s="25">
        <v>5.0</v>
      </c>
      <c r="G1392" s="27" t="s">
        <v>24</v>
      </c>
    </row>
    <row r="1393" ht="22.5" customHeight="1">
      <c r="A1393" s="25">
        <v>1798.0</v>
      </c>
      <c r="B1393" s="26">
        <v>45475.0</v>
      </c>
      <c r="C1393" s="25">
        <v>167.0</v>
      </c>
      <c r="D1393" s="25">
        <v>35.0</v>
      </c>
      <c r="E1393" s="25">
        <v>6.0</v>
      </c>
      <c r="F1393" s="25">
        <v>5.0</v>
      </c>
      <c r="G1393" s="27" t="s">
        <v>24</v>
      </c>
    </row>
    <row r="1394" ht="22.5" customHeight="1">
      <c r="A1394" s="25">
        <v>1897.0</v>
      </c>
      <c r="B1394" s="26">
        <v>45475.0</v>
      </c>
      <c r="C1394" s="25">
        <v>57.0</v>
      </c>
      <c r="D1394" s="25">
        <v>37.0</v>
      </c>
      <c r="E1394" s="25">
        <v>2.0</v>
      </c>
      <c r="F1394" s="25">
        <v>4.0</v>
      </c>
      <c r="G1394" s="27" t="s">
        <v>25</v>
      </c>
    </row>
    <row r="1395" ht="22.5" customHeight="1">
      <c r="A1395" s="25">
        <v>2150.0</v>
      </c>
      <c r="B1395" s="26">
        <v>45475.0</v>
      </c>
      <c r="C1395" s="25">
        <v>214.0</v>
      </c>
      <c r="D1395" s="25">
        <v>25.0</v>
      </c>
      <c r="E1395" s="25">
        <v>5.0</v>
      </c>
      <c r="F1395" s="25">
        <v>5.0</v>
      </c>
      <c r="G1395" s="27" t="s">
        <v>24</v>
      </c>
    </row>
    <row r="1396" ht="22.5" customHeight="1">
      <c r="A1396" s="25">
        <v>2194.0</v>
      </c>
      <c r="B1396" s="26">
        <v>45475.0</v>
      </c>
      <c r="C1396" s="25">
        <v>157.0</v>
      </c>
      <c r="D1396" s="25">
        <v>8.0</v>
      </c>
      <c r="E1396" s="25">
        <v>2.0</v>
      </c>
      <c r="F1396" s="25">
        <v>1.0</v>
      </c>
      <c r="G1396" s="27" t="s">
        <v>24</v>
      </c>
    </row>
    <row r="1397" ht="22.5" customHeight="1">
      <c r="A1397" s="25">
        <v>2224.0</v>
      </c>
      <c r="B1397" s="26">
        <v>45475.0</v>
      </c>
      <c r="C1397" s="25">
        <v>286.0</v>
      </c>
      <c r="D1397" s="25">
        <v>28.0</v>
      </c>
      <c r="E1397" s="25">
        <v>3.0</v>
      </c>
      <c r="F1397" s="25">
        <v>4.0</v>
      </c>
      <c r="G1397" s="27" t="s">
        <v>25</v>
      </c>
    </row>
    <row r="1398" ht="22.5" customHeight="1">
      <c r="A1398" s="25">
        <v>2787.0</v>
      </c>
      <c r="B1398" s="26">
        <v>45475.0</v>
      </c>
      <c r="C1398" s="25">
        <v>249.0</v>
      </c>
      <c r="D1398" s="25">
        <v>28.0</v>
      </c>
      <c r="E1398" s="25">
        <v>4.0</v>
      </c>
      <c r="F1398" s="25">
        <v>5.0</v>
      </c>
      <c r="G1398" s="27" t="s">
        <v>24</v>
      </c>
    </row>
    <row r="1399" ht="22.5" customHeight="1">
      <c r="A1399" s="25">
        <v>2916.0</v>
      </c>
      <c r="B1399" s="26">
        <v>45475.0</v>
      </c>
      <c r="C1399" s="25">
        <v>268.0</v>
      </c>
      <c r="D1399" s="25">
        <v>17.0</v>
      </c>
      <c r="E1399" s="25">
        <v>6.0</v>
      </c>
      <c r="F1399" s="25">
        <v>4.0</v>
      </c>
      <c r="G1399" s="27" t="s">
        <v>24</v>
      </c>
    </row>
    <row r="1400" ht="22.5" customHeight="1">
      <c r="A1400" s="25">
        <v>528.0</v>
      </c>
      <c r="B1400" s="26">
        <v>45476.0</v>
      </c>
      <c r="C1400" s="25">
        <v>93.0</v>
      </c>
      <c r="D1400" s="25">
        <v>37.0</v>
      </c>
      <c r="E1400" s="25">
        <v>2.0</v>
      </c>
      <c r="F1400" s="25">
        <v>3.0</v>
      </c>
      <c r="G1400" s="27" t="s">
        <v>24</v>
      </c>
    </row>
    <row r="1401" ht="22.5" customHeight="1">
      <c r="A1401" s="25">
        <v>2034.0</v>
      </c>
      <c r="B1401" s="26">
        <v>45476.0</v>
      </c>
      <c r="C1401" s="25">
        <v>15.0</v>
      </c>
      <c r="D1401" s="25">
        <v>24.0</v>
      </c>
      <c r="E1401" s="25">
        <v>1.0</v>
      </c>
      <c r="F1401" s="25">
        <v>5.0</v>
      </c>
      <c r="G1401" s="27" t="s">
        <v>24</v>
      </c>
    </row>
    <row r="1402" ht="22.5" customHeight="1">
      <c r="A1402" s="25">
        <v>2077.0</v>
      </c>
      <c r="B1402" s="26">
        <v>45476.0</v>
      </c>
      <c r="C1402" s="25">
        <v>62.0</v>
      </c>
      <c r="D1402" s="25">
        <v>21.0</v>
      </c>
      <c r="E1402" s="25">
        <v>6.0</v>
      </c>
      <c r="F1402" s="25">
        <v>4.0</v>
      </c>
      <c r="G1402" s="27" t="s">
        <v>24</v>
      </c>
    </row>
    <row r="1403" ht="22.5" customHeight="1">
      <c r="A1403" s="25">
        <v>2503.0</v>
      </c>
      <c r="B1403" s="26">
        <v>45476.0</v>
      </c>
      <c r="C1403" s="25">
        <v>205.0</v>
      </c>
      <c r="D1403" s="25">
        <v>1.0</v>
      </c>
      <c r="E1403" s="25">
        <v>3.0</v>
      </c>
      <c r="F1403" s="25">
        <v>3.0</v>
      </c>
      <c r="G1403" s="27" t="s">
        <v>24</v>
      </c>
    </row>
    <row r="1404" ht="22.5" customHeight="1">
      <c r="A1404" s="25">
        <v>2526.0</v>
      </c>
      <c r="B1404" s="26">
        <v>45476.0</v>
      </c>
      <c r="C1404" s="25">
        <v>246.0</v>
      </c>
      <c r="D1404" s="25">
        <v>3.0</v>
      </c>
      <c r="E1404" s="25">
        <v>4.0</v>
      </c>
      <c r="F1404" s="25">
        <v>5.0</v>
      </c>
      <c r="G1404" s="27" t="s">
        <v>25</v>
      </c>
    </row>
    <row r="1405" ht="22.5" customHeight="1">
      <c r="A1405" s="25">
        <v>2574.0</v>
      </c>
      <c r="B1405" s="26">
        <v>45476.0</v>
      </c>
      <c r="C1405" s="25">
        <v>62.0</v>
      </c>
      <c r="D1405" s="25">
        <v>2.0</v>
      </c>
      <c r="E1405" s="25">
        <v>3.0</v>
      </c>
      <c r="F1405" s="25">
        <v>5.0</v>
      </c>
      <c r="G1405" s="27" t="s">
        <v>25</v>
      </c>
    </row>
    <row r="1406" ht="22.5" customHeight="1">
      <c r="A1406" s="25">
        <v>2996.0</v>
      </c>
      <c r="B1406" s="26">
        <v>45476.0</v>
      </c>
      <c r="C1406" s="25">
        <v>22.0</v>
      </c>
      <c r="D1406" s="25">
        <v>17.0</v>
      </c>
      <c r="E1406" s="25">
        <v>4.0</v>
      </c>
      <c r="F1406" s="25">
        <v>5.0</v>
      </c>
      <c r="G1406" s="27" t="s">
        <v>24</v>
      </c>
    </row>
    <row r="1407" ht="22.5" customHeight="1">
      <c r="A1407" s="25">
        <v>24.0</v>
      </c>
      <c r="B1407" s="26">
        <v>45477.0</v>
      </c>
      <c r="C1407" s="25">
        <v>184.0</v>
      </c>
      <c r="D1407" s="25">
        <v>37.0</v>
      </c>
      <c r="E1407" s="25">
        <v>4.0</v>
      </c>
      <c r="F1407" s="25">
        <v>3.0</v>
      </c>
      <c r="G1407" s="27" t="s">
        <v>24</v>
      </c>
    </row>
    <row r="1408" ht="22.5" customHeight="1">
      <c r="A1408" s="25">
        <v>288.0</v>
      </c>
      <c r="B1408" s="26">
        <v>45477.0</v>
      </c>
      <c r="C1408" s="25">
        <v>88.0</v>
      </c>
      <c r="D1408" s="25">
        <v>32.0</v>
      </c>
      <c r="E1408" s="25">
        <v>3.0</v>
      </c>
      <c r="F1408" s="25">
        <v>4.0</v>
      </c>
      <c r="G1408" s="27" t="s">
        <v>24</v>
      </c>
    </row>
    <row r="1409" ht="22.5" customHeight="1">
      <c r="A1409" s="25">
        <v>364.0</v>
      </c>
      <c r="B1409" s="26">
        <v>45477.0</v>
      </c>
      <c r="C1409" s="25">
        <v>128.0</v>
      </c>
      <c r="D1409" s="25">
        <v>34.0</v>
      </c>
      <c r="E1409" s="25">
        <v>1.0</v>
      </c>
      <c r="F1409" s="25">
        <v>5.0</v>
      </c>
      <c r="G1409" s="27" t="s">
        <v>24</v>
      </c>
    </row>
    <row r="1410" ht="22.5" customHeight="1">
      <c r="A1410" s="25">
        <v>700.0</v>
      </c>
      <c r="B1410" s="26">
        <v>45477.0</v>
      </c>
      <c r="C1410" s="25">
        <v>134.0</v>
      </c>
      <c r="D1410" s="25">
        <v>8.0</v>
      </c>
      <c r="E1410" s="25">
        <v>3.0</v>
      </c>
      <c r="F1410" s="25">
        <v>1.0</v>
      </c>
      <c r="G1410" s="27" t="s">
        <v>24</v>
      </c>
    </row>
    <row r="1411" ht="22.5" customHeight="1">
      <c r="A1411" s="25">
        <v>883.0</v>
      </c>
      <c r="B1411" s="26">
        <v>45477.0</v>
      </c>
      <c r="C1411" s="25">
        <v>222.0</v>
      </c>
      <c r="D1411" s="25">
        <v>2.0</v>
      </c>
      <c r="E1411" s="25">
        <v>2.0</v>
      </c>
      <c r="F1411" s="25">
        <v>5.0</v>
      </c>
      <c r="G1411" s="27" t="s">
        <v>24</v>
      </c>
    </row>
    <row r="1412" ht="22.5" customHeight="1">
      <c r="A1412" s="25">
        <v>1036.0</v>
      </c>
      <c r="B1412" s="26">
        <v>45477.0</v>
      </c>
      <c r="C1412" s="25">
        <v>230.0</v>
      </c>
      <c r="D1412" s="25">
        <v>30.0</v>
      </c>
      <c r="E1412" s="25">
        <v>2.0</v>
      </c>
      <c r="F1412" s="25">
        <v>5.0</v>
      </c>
      <c r="G1412" s="27" t="s">
        <v>24</v>
      </c>
    </row>
    <row r="1413" ht="22.5" customHeight="1">
      <c r="A1413" s="25">
        <v>1594.0</v>
      </c>
      <c r="B1413" s="26">
        <v>45477.0</v>
      </c>
      <c r="C1413" s="25">
        <v>253.0</v>
      </c>
      <c r="D1413" s="25">
        <v>4.0</v>
      </c>
      <c r="E1413" s="25">
        <v>1.0</v>
      </c>
      <c r="F1413" s="25">
        <v>1.0</v>
      </c>
      <c r="G1413" s="27" t="s">
        <v>23</v>
      </c>
    </row>
    <row r="1414" ht="22.5" customHeight="1">
      <c r="A1414" s="25">
        <v>1896.0</v>
      </c>
      <c r="B1414" s="26">
        <v>45477.0</v>
      </c>
      <c r="C1414" s="25">
        <v>302.0</v>
      </c>
      <c r="D1414" s="25">
        <v>19.0</v>
      </c>
      <c r="E1414" s="25">
        <v>6.0</v>
      </c>
      <c r="F1414" s="25">
        <v>1.0</v>
      </c>
      <c r="G1414" s="27" t="s">
        <v>24</v>
      </c>
    </row>
    <row r="1415" ht="22.5" customHeight="1">
      <c r="A1415" s="25">
        <v>2035.0</v>
      </c>
      <c r="B1415" s="26">
        <v>45477.0</v>
      </c>
      <c r="C1415" s="25">
        <v>225.0</v>
      </c>
      <c r="D1415" s="25">
        <v>18.0</v>
      </c>
      <c r="E1415" s="25">
        <v>6.0</v>
      </c>
      <c r="F1415" s="25">
        <v>1.0</v>
      </c>
      <c r="G1415" s="27" t="s">
        <v>24</v>
      </c>
    </row>
    <row r="1416" ht="22.5" customHeight="1">
      <c r="A1416" s="25">
        <v>2191.0</v>
      </c>
      <c r="B1416" s="26">
        <v>45477.0</v>
      </c>
      <c r="C1416" s="25">
        <v>80.0</v>
      </c>
      <c r="D1416" s="25">
        <v>12.0</v>
      </c>
      <c r="E1416" s="25">
        <v>4.0</v>
      </c>
      <c r="F1416" s="25">
        <v>3.0</v>
      </c>
      <c r="G1416" s="27" t="s">
        <v>24</v>
      </c>
    </row>
    <row r="1417" ht="22.5" customHeight="1">
      <c r="A1417" s="25">
        <v>2715.0</v>
      </c>
      <c r="B1417" s="26">
        <v>45477.0</v>
      </c>
      <c r="C1417" s="25">
        <v>159.0</v>
      </c>
      <c r="D1417" s="25">
        <v>4.0</v>
      </c>
      <c r="E1417" s="25">
        <v>1.0</v>
      </c>
      <c r="F1417" s="25">
        <v>3.0</v>
      </c>
      <c r="G1417" s="27" t="s">
        <v>24</v>
      </c>
    </row>
    <row r="1418" ht="22.5" customHeight="1">
      <c r="A1418" s="25">
        <v>184.0</v>
      </c>
      <c r="B1418" s="26">
        <v>45478.0</v>
      </c>
      <c r="C1418" s="25">
        <v>150.0</v>
      </c>
      <c r="D1418" s="25">
        <v>34.0</v>
      </c>
      <c r="E1418" s="25">
        <v>6.0</v>
      </c>
      <c r="F1418" s="25">
        <v>1.0</v>
      </c>
      <c r="G1418" s="27" t="s">
        <v>24</v>
      </c>
    </row>
    <row r="1419" ht="22.5" customHeight="1">
      <c r="A1419" s="25">
        <v>802.0</v>
      </c>
      <c r="B1419" s="26">
        <v>45478.0</v>
      </c>
      <c r="C1419" s="25">
        <v>214.0</v>
      </c>
      <c r="D1419" s="25">
        <v>1.0</v>
      </c>
      <c r="E1419" s="25">
        <v>6.0</v>
      </c>
      <c r="F1419" s="25">
        <v>5.0</v>
      </c>
      <c r="G1419" s="27" t="s">
        <v>25</v>
      </c>
    </row>
    <row r="1420" ht="22.5" customHeight="1">
      <c r="A1420" s="25">
        <v>1372.0</v>
      </c>
      <c r="B1420" s="26">
        <v>45478.0</v>
      </c>
      <c r="C1420" s="25">
        <v>41.0</v>
      </c>
      <c r="D1420" s="25">
        <v>23.0</v>
      </c>
      <c r="E1420" s="25">
        <v>4.0</v>
      </c>
      <c r="F1420" s="25">
        <v>4.0</v>
      </c>
      <c r="G1420" s="27" t="s">
        <v>25</v>
      </c>
    </row>
    <row r="1421" ht="22.5" customHeight="1">
      <c r="A1421" s="25">
        <v>1411.0</v>
      </c>
      <c r="B1421" s="26">
        <v>45478.0</v>
      </c>
      <c r="C1421" s="25">
        <v>75.0</v>
      </c>
      <c r="D1421" s="25">
        <v>35.0</v>
      </c>
      <c r="E1421" s="25">
        <v>6.0</v>
      </c>
      <c r="F1421" s="25">
        <v>3.0</v>
      </c>
      <c r="G1421" s="27" t="s">
        <v>24</v>
      </c>
    </row>
    <row r="1422" ht="22.5" customHeight="1">
      <c r="A1422" s="25">
        <v>1839.0</v>
      </c>
      <c r="B1422" s="26">
        <v>45478.0</v>
      </c>
      <c r="C1422" s="25">
        <v>197.0</v>
      </c>
      <c r="D1422" s="25">
        <v>23.0</v>
      </c>
      <c r="E1422" s="25">
        <v>3.0</v>
      </c>
      <c r="F1422" s="25">
        <v>2.0</v>
      </c>
      <c r="G1422" s="27" t="s">
        <v>24</v>
      </c>
    </row>
    <row r="1423" ht="22.5" customHeight="1">
      <c r="A1423" s="25">
        <v>2529.0</v>
      </c>
      <c r="B1423" s="26">
        <v>45478.0</v>
      </c>
      <c r="C1423" s="25">
        <v>77.0</v>
      </c>
      <c r="D1423" s="25">
        <v>31.0</v>
      </c>
      <c r="E1423" s="25">
        <v>1.0</v>
      </c>
      <c r="F1423" s="25">
        <v>5.0</v>
      </c>
      <c r="G1423" s="27" t="s">
        <v>24</v>
      </c>
    </row>
    <row r="1424" ht="22.5" customHeight="1">
      <c r="A1424" s="25">
        <v>2624.0</v>
      </c>
      <c r="B1424" s="26">
        <v>45478.0</v>
      </c>
      <c r="C1424" s="25">
        <v>52.0</v>
      </c>
      <c r="D1424" s="25">
        <v>3.0</v>
      </c>
      <c r="E1424" s="25">
        <v>3.0</v>
      </c>
      <c r="F1424" s="25">
        <v>3.0</v>
      </c>
      <c r="G1424" s="27" t="s">
        <v>24</v>
      </c>
    </row>
    <row r="1425" ht="22.5" customHeight="1">
      <c r="A1425" s="25">
        <v>2872.0</v>
      </c>
      <c r="B1425" s="26">
        <v>45478.0</v>
      </c>
      <c r="C1425" s="25">
        <v>277.0</v>
      </c>
      <c r="D1425" s="25">
        <v>27.0</v>
      </c>
      <c r="E1425" s="25">
        <v>3.0</v>
      </c>
      <c r="F1425" s="25">
        <v>4.0</v>
      </c>
      <c r="G1425" s="27" t="s">
        <v>25</v>
      </c>
    </row>
    <row r="1426" ht="22.5" customHeight="1">
      <c r="A1426" s="25">
        <v>67.0</v>
      </c>
      <c r="B1426" s="26">
        <v>45479.0</v>
      </c>
      <c r="C1426" s="25">
        <v>120.0</v>
      </c>
      <c r="D1426" s="25">
        <v>18.0</v>
      </c>
      <c r="E1426" s="25">
        <v>2.0</v>
      </c>
      <c r="F1426" s="25">
        <v>5.0</v>
      </c>
      <c r="G1426" s="27" t="s">
        <v>24</v>
      </c>
    </row>
    <row r="1427" ht="22.5" customHeight="1">
      <c r="A1427" s="25">
        <v>130.0</v>
      </c>
      <c r="B1427" s="26">
        <v>45479.0</v>
      </c>
      <c r="C1427" s="25">
        <v>273.0</v>
      </c>
      <c r="D1427" s="25">
        <v>29.0</v>
      </c>
      <c r="E1427" s="25">
        <v>4.0</v>
      </c>
      <c r="F1427" s="25">
        <v>1.0</v>
      </c>
      <c r="G1427" s="27" t="s">
        <v>24</v>
      </c>
    </row>
    <row r="1428" ht="22.5" customHeight="1">
      <c r="A1428" s="25">
        <v>181.0</v>
      </c>
      <c r="B1428" s="26">
        <v>45479.0</v>
      </c>
      <c r="C1428" s="25">
        <v>143.0</v>
      </c>
      <c r="D1428" s="25">
        <v>34.0</v>
      </c>
      <c r="E1428" s="25">
        <v>6.0</v>
      </c>
      <c r="F1428" s="25">
        <v>1.0</v>
      </c>
      <c r="G1428" s="27" t="s">
        <v>24</v>
      </c>
    </row>
    <row r="1429" ht="22.5" customHeight="1">
      <c r="A1429" s="25">
        <v>644.0</v>
      </c>
      <c r="B1429" s="26">
        <v>45479.0</v>
      </c>
      <c r="C1429" s="25">
        <v>232.0</v>
      </c>
      <c r="D1429" s="25">
        <v>9.0</v>
      </c>
      <c r="E1429" s="25">
        <v>5.0</v>
      </c>
      <c r="F1429" s="25">
        <v>2.0</v>
      </c>
      <c r="G1429" s="27" t="s">
        <v>25</v>
      </c>
    </row>
    <row r="1430" ht="22.5" customHeight="1">
      <c r="A1430" s="25">
        <v>960.0</v>
      </c>
      <c r="B1430" s="26">
        <v>45479.0</v>
      </c>
      <c r="C1430" s="25">
        <v>200.0</v>
      </c>
      <c r="D1430" s="25">
        <v>4.0</v>
      </c>
      <c r="E1430" s="25">
        <v>2.0</v>
      </c>
      <c r="F1430" s="25">
        <v>4.0</v>
      </c>
      <c r="G1430" s="27" t="s">
        <v>24</v>
      </c>
    </row>
    <row r="1431" ht="22.5" customHeight="1">
      <c r="A1431" s="25">
        <v>1091.0</v>
      </c>
      <c r="B1431" s="26">
        <v>45479.0</v>
      </c>
      <c r="C1431" s="25">
        <v>250.0</v>
      </c>
      <c r="D1431" s="25">
        <v>15.0</v>
      </c>
      <c r="E1431" s="25">
        <v>5.0</v>
      </c>
      <c r="F1431" s="25">
        <v>4.0</v>
      </c>
      <c r="G1431" s="27" t="s">
        <v>24</v>
      </c>
    </row>
    <row r="1432" ht="22.5" customHeight="1">
      <c r="A1432" s="25">
        <v>1338.0</v>
      </c>
      <c r="B1432" s="26">
        <v>45479.0</v>
      </c>
      <c r="C1432" s="25">
        <v>60.0</v>
      </c>
      <c r="D1432" s="25">
        <v>4.0</v>
      </c>
      <c r="E1432" s="25">
        <v>3.0</v>
      </c>
      <c r="F1432" s="25">
        <v>4.0</v>
      </c>
      <c r="G1432" s="27" t="s">
        <v>24</v>
      </c>
    </row>
    <row r="1433" ht="22.5" customHeight="1">
      <c r="A1433" s="25">
        <v>1626.0</v>
      </c>
      <c r="B1433" s="26">
        <v>45479.0</v>
      </c>
      <c r="C1433" s="25">
        <v>171.0</v>
      </c>
      <c r="D1433" s="25">
        <v>36.0</v>
      </c>
      <c r="E1433" s="25">
        <v>3.0</v>
      </c>
      <c r="F1433" s="25">
        <v>1.0</v>
      </c>
      <c r="G1433" s="27" t="s">
        <v>24</v>
      </c>
    </row>
    <row r="1434" ht="22.5" customHeight="1">
      <c r="A1434" s="25">
        <v>2168.0</v>
      </c>
      <c r="B1434" s="26">
        <v>45479.0</v>
      </c>
      <c r="C1434" s="25">
        <v>38.0</v>
      </c>
      <c r="D1434" s="25">
        <v>18.0</v>
      </c>
      <c r="E1434" s="25">
        <v>5.0</v>
      </c>
      <c r="F1434" s="25">
        <v>3.0</v>
      </c>
      <c r="G1434" s="27" t="s">
        <v>24</v>
      </c>
    </row>
    <row r="1435" ht="22.5" customHeight="1">
      <c r="A1435" s="25">
        <v>2430.0</v>
      </c>
      <c r="B1435" s="26">
        <v>45479.0</v>
      </c>
      <c r="C1435" s="25">
        <v>264.0</v>
      </c>
      <c r="D1435" s="25">
        <v>9.0</v>
      </c>
      <c r="E1435" s="25">
        <v>4.0</v>
      </c>
      <c r="F1435" s="25">
        <v>5.0</v>
      </c>
      <c r="G1435" s="27" t="s">
        <v>24</v>
      </c>
    </row>
    <row r="1436" ht="22.5" customHeight="1">
      <c r="A1436" s="25">
        <v>2900.0</v>
      </c>
      <c r="B1436" s="26">
        <v>45479.0</v>
      </c>
      <c r="C1436" s="25">
        <v>152.0</v>
      </c>
      <c r="D1436" s="25">
        <v>12.0</v>
      </c>
      <c r="E1436" s="25">
        <v>5.0</v>
      </c>
      <c r="F1436" s="25">
        <v>4.0</v>
      </c>
      <c r="G1436" s="27" t="s">
        <v>24</v>
      </c>
    </row>
    <row r="1437" ht="22.5" customHeight="1">
      <c r="A1437" s="25">
        <v>2976.0</v>
      </c>
      <c r="B1437" s="26">
        <v>45479.0</v>
      </c>
      <c r="C1437" s="25">
        <v>214.0</v>
      </c>
      <c r="D1437" s="25">
        <v>29.0</v>
      </c>
      <c r="E1437" s="25">
        <v>5.0</v>
      </c>
      <c r="F1437" s="25">
        <v>3.0</v>
      </c>
      <c r="G1437" s="27" t="s">
        <v>24</v>
      </c>
    </row>
    <row r="1438" ht="22.5" customHeight="1">
      <c r="A1438" s="25">
        <v>13.0</v>
      </c>
      <c r="B1438" s="26">
        <v>45480.0</v>
      </c>
      <c r="C1438" s="25">
        <v>75.0</v>
      </c>
      <c r="D1438" s="25">
        <v>32.0</v>
      </c>
      <c r="E1438" s="25">
        <v>4.0</v>
      </c>
      <c r="F1438" s="25">
        <v>4.0</v>
      </c>
      <c r="G1438" s="27" t="s">
        <v>24</v>
      </c>
    </row>
    <row r="1439" ht="22.5" customHeight="1">
      <c r="A1439" s="25">
        <v>536.0</v>
      </c>
      <c r="B1439" s="26">
        <v>45480.0</v>
      </c>
      <c r="C1439" s="25">
        <v>117.0</v>
      </c>
      <c r="D1439" s="25">
        <v>16.0</v>
      </c>
      <c r="E1439" s="25">
        <v>1.0</v>
      </c>
      <c r="F1439" s="25">
        <v>5.0</v>
      </c>
      <c r="G1439" s="27" t="s">
        <v>24</v>
      </c>
    </row>
    <row r="1440" ht="22.5" customHeight="1">
      <c r="A1440" s="25">
        <v>551.0</v>
      </c>
      <c r="B1440" s="26">
        <v>45480.0</v>
      </c>
      <c r="C1440" s="25">
        <v>146.0</v>
      </c>
      <c r="D1440" s="25">
        <v>7.0</v>
      </c>
      <c r="E1440" s="25">
        <v>6.0</v>
      </c>
      <c r="F1440" s="25">
        <v>4.0</v>
      </c>
      <c r="G1440" s="27" t="s">
        <v>24</v>
      </c>
    </row>
    <row r="1441" ht="22.5" customHeight="1">
      <c r="A1441" s="25">
        <v>688.0</v>
      </c>
      <c r="B1441" s="26">
        <v>45480.0</v>
      </c>
      <c r="C1441" s="25">
        <v>82.0</v>
      </c>
      <c r="D1441" s="25">
        <v>23.0</v>
      </c>
      <c r="E1441" s="25">
        <v>6.0</v>
      </c>
      <c r="F1441" s="25">
        <v>1.0</v>
      </c>
      <c r="G1441" s="27" t="s">
        <v>25</v>
      </c>
    </row>
    <row r="1442" ht="22.5" customHeight="1">
      <c r="A1442" s="25">
        <v>957.0</v>
      </c>
      <c r="B1442" s="26">
        <v>45480.0</v>
      </c>
      <c r="C1442" s="25">
        <v>198.0</v>
      </c>
      <c r="D1442" s="25">
        <v>17.0</v>
      </c>
      <c r="E1442" s="25">
        <v>5.0</v>
      </c>
      <c r="F1442" s="25">
        <v>4.0</v>
      </c>
      <c r="G1442" s="27" t="s">
        <v>24</v>
      </c>
    </row>
    <row r="1443" ht="22.5" customHeight="1">
      <c r="A1443" s="25">
        <v>975.0</v>
      </c>
      <c r="B1443" s="26">
        <v>45480.0</v>
      </c>
      <c r="C1443" s="25">
        <v>40.0</v>
      </c>
      <c r="D1443" s="25">
        <v>34.0</v>
      </c>
      <c r="E1443" s="25">
        <v>6.0</v>
      </c>
      <c r="F1443" s="25">
        <v>4.0</v>
      </c>
      <c r="G1443" s="27" t="s">
        <v>24</v>
      </c>
    </row>
    <row r="1444" ht="22.5" customHeight="1">
      <c r="A1444" s="25">
        <v>981.0</v>
      </c>
      <c r="B1444" s="26">
        <v>45480.0</v>
      </c>
      <c r="C1444" s="25">
        <v>33.0</v>
      </c>
      <c r="D1444" s="25">
        <v>17.0</v>
      </c>
      <c r="E1444" s="25">
        <v>6.0</v>
      </c>
      <c r="F1444" s="25">
        <v>5.0</v>
      </c>
      <c r="G1444" s="27" t="s">
        <v>24</v>
      </c>
    </row>
    <row r="1445" ht="22.5" customHeight="1">
      <c r="A1445" s="25">
        <v>1309.0</v>
      </c>
      <c r="B1445" s="26">
        <v>45480.0</v>
      </c>
      <c r="C1445" s="25">
        <v>4.0</v>
      </c>
      <c r="D1445" s="25">
        <v>24.0</v>
      </c>
      <c r="E1445" s="25">
        <v>3.0</v>
      </c>
      <c r="F1445" s="25">
        <v>5.0</v>
      </c>
      <c r="G1445" s="27" t="s">
        <v>25</v>
      </c>
    </row>
    <row r="1446" ht="22.5" customHeight="1">
      <c r="A1446" s="25">
        <v>1632.0</v>
      </c>
      <c r="B1446" s="26">
        <v>45480.0</v>
      </c>
      <c r="C1446" s="25">
        <v>224.0</v>
      </c>
      <c r="D1446" s="25">
        <v>38.0</v>
      </c>
      <c r="E1446" s="25">
        <v>1.0</v>
      </c>
      <c r="F1446" s="25">
        <v>1.0</v>
      </c>
      <c r="G1446" s="27" t="s">
        <v>24</v>
      </c>
    </row>
    <row r="1447" ht="22.5" customHeight="1">
      <c r="A1447" s="25">
        <v>1813.0</v>
      </c>
      <c r="B1447" s="26">
        <v>45480.0</v>
      </c>
      <c r="C1447" s="25">
        <v>90.0</v>
      </c>
      <c r="D1447" s="25">
        <v>35.0</v>
      </c>
      <c r="E1447" s="25">
        <v>1.0</v>
      </c>
      <c r="F1447" s="25">
        <v>3.0</v>
      </c>
      <c r="G1447" s="27" t="s">
        <v>25</v>
      </c>
    </row>
    <row r="1448" ht="22.5" customHeight="1">
      <c r="A1448" s="25">
        <v>2198.0</v>
      </c>
      <c r="B1448" s="26">
        <v>45480.0</v>
      </c>
      <c r="C1448" s="25">
        <v>213.0</v>
      </c>
      <c r="D1448" s="25">
        <v>13.0</v>
      </c>
      <c r="E1448" s="25">
        <v>1.0</v>
      </c>
      <c r="F1448" s="25">
        <v>2.0</v>
      </c>
      <c r="G1448" s="27" t="s">
        <v>24</v>
      </c>
    </row>
    <row r="1449" ht="22.5" customHeight="1">
      <c r="A1449" s="25">
        <v>2832.0</v>
      </c>
      <c r="B1449" s="26">
        <v>45480.0</v>
      </c>
      <c r="C1449" s="25">
        <v>171.0</v>
      </c>
      <c r="D1449" s="25">
        <v>31.0</v>
      </c>
      <c r="E1449" s="25">
        <v>2.0</v>
      </c>
      <c r="F1449" s="25">
        <v>4.0</v>
      </c>
      <c r="G1449" s="27" t="s">
        <v>24</v>
      </c>
    </row>
    <row r="1450" ht="22.5" customHeight="1">
      <c r="A1450" s="25">
        <v>2958.0</v>
      </c>
      <c r="B1450" s="26">
        <v>45480.0</v>
      </c>
      <c r="C1450" s="25">
        <v>142.0</v>
      </c>
      <c r="D1450" s="25">
        <v>12.0</v>
      </c>
      <c r="E1450" s="25">
        <v>6.0</v>
      </c>
      <c r="F1450" s="25">
        <v>5.0</v>
      </c>
      <c r="G1450" s="27" t="s">
        <v>24</v>
      </c>
    </row>
    <row r="1451" ht="22.5" customHeight="1">
      <c r="A1451" s="25">
        <v>663.0</v>
      </c>
      <c r="B1451" s="26">
        <v>45481.0</v>
      </c>
      <c r="C1451" s="25">
        <v>183.0</v>
      </c>
      <c r="D1451" s="25">
        <v>18.0</v>
      </c>
      <c r="E1451" s="25">
        <v>2.0</v>
      </c>
      <c r="F1451" s="25">
        <v>5.0</v>
      </c>
      <c r="G1451" s="27" t="s">
        <v>24</v>
      </c>
    </row>
    <row r="1452" ht="22.5" customHeight="1">
      <c r="A1452" s="25">
        <v>746.0</v>
      </c>
      <c r="B1452" s="26">
        <v>45481.0</v>
      </c>
      <c r="C1452" s="25">
        <v>47.0</v>
      </c>
      <c r="D1452" s="25">
        <v>32.0</v>
      </c>
      <c r="E1452" s="25">
        <v>4.0</v>
      </c>
      <c r="F1452" s="25">
        <v>4.0</v>
      </c>
      <c r="G1452" s="27" t="s">
        <v>25</v>
      </c>
    </row>
    <row r="1453" ht="22.5" customHeight="1">
      <c r="A1453" s="25">
        <v>1123.0</v>
      </c>
      <c r="B1453" s="26">
        <v>45481.0</v>
      </c>
      <c r="C1453" s="25">
        <v>164.0</v>
      </c>
      <c r="D1453" s="25">
        <v>9.0</v>
      </c>
      <c r="E1453" s="25">
        <v>5.0</v>
      </c>
      <c r="F1453" s="25">
        <v>4.0</v>
      </c>
      <c r="G1453" s="27" t="s">
        <v>24</v>
      </c>
    </row>
    <row r="1454" ht="22.5" customHeight="1">
      <c r="A1454" s="25">
        <v>1944.0</v>
      </c>
      <c r="B1454" s="26">
        <v>45481.0</v>
      </c>
      <c r="C1454" s="25">
        <v>130.0</v>
      </c>
      <c r="D1454" s="25">
        <v>1.0</v>
      </c>
      <c r="E1454" s="25">
        <v>6.0</v>
      </c>
      <c r="F1454" s="25">
        <v>5.0</v>
      </c>
      <c r="G1454" s="27" t="s">
        <v>24</v>
      </c>
    </row>
    <row r="1455" ht="22.5" customHeight="1">
      <c r="A1455" s="25">
        <v>1989.0</v>
      </c>
      <c r="B1455" s="26">
        <v>45481.0</v>
      </c>
      <c r="C1455" s="25">
        <v>274.0</v>
      </c>
      <c r="D1455" s="25">
        <v>17.0</v>
      </c>
      <c r="E1455" s="25">
        <v>2.0</v>
      </c>
      <c r="F1455" s="25">
        <v>3.0</v>
      </c>
      <c r="G1455" s="27" t="s">
        <v>24</v>
      </c>
    </row>
    <row r="1456" ht="22.5" customHeight="1">
      <c r="A1456" s="25">
        <v>2256.0</v>
      </c>
      <c r="B1456" s="26">
        <v>45481.0</v>
      </c>
      <c r="C1456" s="25">
        <v>242.0</v>
      </c>
      <c r="D1456" s="25">
        <v>31.0</v>
      </c>
      <c r="E1456" s="25">
        <v>5.0</v>
      </c>
      <c r="F1456" s="25">
        <v>2.0</v>
      </c>
      <c r="G1456" s="27" t="s">
        <v>24</v>
      </c>
    </row>
    <row r="1457" ht="22.5" customHeight="1">
      <c r="A1457" s="25">
        <v>97.0</v>
      </c>
      <c r="B1457" s="26">
        <v>45482.0</v>
      </c>
      <c r="C1457" s="25">
        <v>103.0</v>
      </c>
      <c r="D1457" s="25">
        <v>19.0</v>
      </c>
      <c r="E1457" s="25">
        <v>1.0</v>
      </c>
      <c r="F1457" s="25">
        <v>4.0</v>
      </c>
      <c r="G1457" s="27" t="s">
        <v>25</v>
      </c>
    </row>
    <row r="1458" ht="22.5" customHeight="1">
      <c r="A1458" s="25">
        <v>212.0</v>
      </c>
      <c r="B1458" s="26">
        <v>45482.0</v>
      </c>
      <c r="C1458" s="25">
        <v>75.0</v>
      </c>
      <c r="D1458" s="25">
        <v>9.0</v>
      </c>
      <c r="E1458" s="25">
        <v>2.0</v>
      </c>
      <c r="F1458" s="25">
        <v>4.0</v>
      </c>
      <c r="G1458" s="27" t="s">
        <v>25</v>
      </c>
    </row>
    <row r="1459" ht="22.5" customHeight="1">
      <c r="A1459" s="25">
        <v>372.0</v>
      </c>
      <c r="B1459" s="26">
        <v>45482.0</v>
      </c>
      <c r="C1459" s="25">
        <v>15.0</v>
      </c>
      <c r="D1459" s="25">
        <v>1.0</v>
      </c>
      <c r="E1459" s="25">
        <v>3.0</v>
      </c>
      <c r="F1459" s="25">
        <v>5.0</v>
      </c>
      <c r="G1459" s="27" t="s">
        <v>24</v>
      </c>
    </row>
    <row r="1460" ht="22.5" customHeight="1">
      <c r="A1460" s="25">
        <v>457.0</v>
      </c>
      <c r="B1460" s="26">
        <v>45482.0</v>
      </c>
      <c r="C1460" s="25">
        <v>154.0</v>
      </c>
      <c r="D1460" s="25">
        <v>31.0</v>
      </c>
      <c r="E1460" s="25">
        <v>5.0</v>
      </c>
      <c r="F1460" s="25">
        <v>5.0</v>
      </c>
      <c r="G1460" s="27" t="s">
        <v>25</v>
      </c>
    </row>
    <row r="1461" ht="22.5" customHeight="1">
      <c r="A1461" s="25">
        <v>557.0</v>
      </c>
      <c r="B1461" s="26">
        <v>45482.0</v>
      </c>
      <c r="C1461" s="25">
        <v>208.0</v>
      </c>
      <c r="D1461" s="25">
        <v>8.0</v>
      </c>
      <c r="E1461" s="25">
        <v>3.0</v>
      </c>
      <c r="F1461" s="25">
        <v>5.0</v>
      </c>
      <c r="G1461" s="27" t="s">
        <v>24</v>
      </c>
    </row>
    <row r="1462" ht="22.5" customHeight="1">
      <c r="A1462" s="25">
        <v>798.0</v>
      </c>
      <c r="B1462" s="26">
        <v>45482.0</v>
      </c>
      <c r="C1462" s="25">
        <v>10.0</v>
      </c>
      <c r="D1462" s="25">
        <v>24.0</v>
      </c>
      <c r="E1462" s="25">
        <v>5.0</v>
      </c>
      <c r="F1462" s="25">
        <v>4.0</v>
      </c>
      <c r="G1462" s="27" t="s">
        <v>24</v>
      </c>
    </row>
    <row r="1463" ht="22.5" customHeight="1">
      <c r="A1463" s="25">
        <v>1103.0</v>
      </c>
      <c r="B1463" s="26">
        <v>45482.0</v>
      </c>
      <c r="C1463" s="25">
        <v>10.0</v>
      </c>
      <c r="D1463" s="25">
        <v>34.0</v>
      </c>
      <c r="E1463" s="25">
        <v>6.0</v>
      </c>
      <c r="F1463" s="25">
        <v>5.0</v>
      </c>
      <c r="G1463" s="27" t="s">
        <v>24</v>
      </c>
    </row>
    <row r="1464" ht="22.5" customHeight="1">
      <c r="A1464" s="25">
        <v>1176.0</v>
      </c>
      <c r="B1464" s="26">
        <v>45482.0</v>
      </c>
      <c r="C1464" s="25">
        <v>253.0</v>
      </c>
      <c r="D1464" s="25">
        <v>34.0</v>
      </c>
      <c r="E1464" s="25">
        <v>6.0</v>
      </c>
      <c r="F1464" s="25">
        <v>5.0</v>
      </c>
      <c r="G1464" s="27" t="s">
        <v>24</v>
      </c>
    </row>
    <row r="1465" ht="22.5" customHeight="1">
      <c r="A1465" s="25">
        <v>1475.0</v>
      </c>
      <c r="B1465" s="26">
        <v>45482.0</v>
      </c>
      <c r="C1465" s="25">
        <v>39.0</v>
      </c>
      <c r="D1465" s="25">
        <v>33.0</v>
      </c>
      <c r="E1465" s="25">
        <v>5.0</v>
      </c>
      <c r="F1465" s="25">
        <v>5.0</v>
      </c>
      <c r="G1465" s="27" t="s">
        <v>24</v>
      </c>
    </row>
    <row r="1466" ht="22.5" customHeight="1">
      <c r="A1466" s="25">
        <v>1541.0</v>
      </c>
      <c r="B1466" s="26">
        <v>45482.0</v>
      </c>
      <c r="C1466" s="25">
        <v>184.0</v>
      </c>
      <c r="D1466" s="25">
        <v>13.0</v>
      </c>
      <c r="E1466" s="25">
        <v>2.0</v>
      </c>
      <c r="F1466" s="25">
        <v>5.0</v>
      </c>
      <c r="G1466" s="27" t="s">
        <v>25</v>
      </c>
    </row>
    <row r="1467" ht="22.5" customHeight="1">
      <c r="A1467" s="25">
        <v>1790.0</v>
      </c>
      <c r="B1467" s="26">
        <v>45482.0</v>
      </c>
      <c r="C1467" s="25">
        <v>225.0</v>
      </c>
      <c r="D1467" s="25">
        <v>30.0</v>
      </c>
      <c r="E1467" s="25">
        <v>2.0</v>
      </c>
      <c r="F1467" s="25">
        <v>2.0</v>
      </c>
      <c r="G1467" s="27" t="s">
        <v>24</v>
      </c>
    </row>
    <row r="1468" ht="22.5" customHeight="1">
      <c r="A1468" s="25">
        <v>1941.0</v>
      </c>
      <c r="B1468" s="26">
        <v>45482.0</v>
      </c>
      <c r="C1468" s="25">
        <v>133.0</v>
      </c>
      <c r="D1468" s="25">
        <v>13.0</v>
      </c>
      <c r="E1468" s="25">
        <v>2.0</v>
      </c>
      <c r="F1468" s="25">
        <v>4.0</v>
      </c>
      <c r="G1468" s="27" t="s">
        <v>25</v>
      </c>
    </row>
    <row r="1469" ht="22.5" customHeight="1">
      <c r="A1469" s="25">
        <v>2064.0</v>
      </c>
      <c r="B1469" s="26">
        <v>45482.0</v>
      </c>
      <c r="C1469" s="25">
        <v>306.0</v>
      </c>
      <c r="D1469" s="25">
        <v>30.0</v>
      </c>
      <c r="E1469" s="25">
        <v>5.0</v>
      </c>
      <c r="F1469" s="25">
        <v>4.0</v>
      </c>
      <c r="G1469" s="27" t="s">
        <v>24</v>
      </c>
    </row>
    <row r="1470" ht="22.5" customHeight="1">
      <c r="A1470" s="25">
        <v>2432.0</v>
      </c>
      <c r="B1470" s="26">
        <v>45482.0</v>
      </c>
      <c r="C1470" s="25">
        <v>190.0</v>
      </c>
      <c r="D1470" s="25">
        <v>20.0</v>
      </c>
      <c r="E1470" s="25">
        <v>2.0</v>
      </c>
      <c r="F1470" s="25">
        <v>5.0</v>
      </c>
      <c r="G1470" s="27" t="s">
        <v>25</v>
      </c>
    </row>
    <row r="1471" ht="22.5" customHeight="1">
      <c r="A1471" s="25">
        <v>2536.0</v>
      </c>
      <c r="B1471" s="26">
        <v>45482.0</v>
      </c>
      <c r="C1471" s="25">
        <v>194.0</v>
      </c>
      <c r="D1471" s="25">
        <v>29.0</v>
      </c>
      <c r="E1471" s="25">
        <v>3.0</v>
      </c>
      <c r="F1471" s="25">
        <v>3.0</v>
      </c>
      <c r="G1471" s="27" t="s">
        <v>24</v>
      </c>
    </row>
    <row r="1472" ht="22.5" customHeight="1">
      <c r="A1472" s="25">
        <v>2629.0</v>
      </c>
      <c r="B1472" s="26">
        <v>45482.0</v>
      </c>
      <c r="C1472" s="25">
        <v>233.0</v>
      </c>
      <c r="D1472" s="25">
        <v>19.0</v>
      </c>
      <c r="E1472" s="25">
        <v>1.0</v>
      </c>
      <c r="F1472" s="25">
        <v>4.0</v>
      </c>
      <c r="G1472" s="27" t="s">
        <v>25</v>
      </c>
    </row>
    <row r="1473" ht="22.5" customHeight="1">
      <c r="A1473" s="25">
        <v>2639.0</v>
      </c>
      <c r="B1473" s="26">
        <v>45482.0</v>
      </c>
      <c r="C1473" s="25">
        <v>228.0</v>
      </c>
      <c r="D1473" s="25">
        <v>35.0</v>
      </c>
      <c r="E1473" s="25">
        <v>5.0</v>
      </c>
      <c r="F1473" s="25">
        <v>5.0</v>
      </c>
      <c r="G1473" s="27" t="s">
        <v>24</v>
      </c>
    </row>
    <row r="1474" ht="22.5" customHeight="1">
      <c r="A1474" s="25">
        <v>2727.0</v>
      </c>
      <c r="B1474" s="26">
        <v>45482.0</v>
      </c>
      <c r="C1474" s="25">
        <v>167.0</v>
      </c>
      <c r="D1474" s="25">
        <v>17.0</v>
      </c>
      <c r="E1474" s="25">
        <v>1.0</v>
      </c>
      <c r="F1474" s="25">
        <v>3.0</v>
      </c>
      <c r="G1474" s="27" t="s">
        <v>24</v>
      </c>
    </row>
    <row r="1475" ht="22.5" customHeight="1">
      <c r="A1475" s="25">
        <v>2788.0</v>
      </c>
      <c r="B1475" s="26">
        <v>45482.0</v>
      </c>
      <c r="C1475" s="25">
        <v>18.0</v>
      </c>
      <c r="D1475" s="25">
        <v>25.0</v>
      </c>
      <c r="E1475" s="25">
        <v>3.0</v>
      </c>
      <c r="F1475" s="25">
        <v>4.0</v>
      </c>
      <c r="G1475" s="27" t="s">
        <v>24</v>
      </c>
    </row>
    <row r="1476" ht="22.5" customHeight="1">
      <c r="A1476" s="25">
        <v>2822.0</v>
      </c>
      <c r="B1476" s="26">
        <v>45482.0</v>
      </c>
      <c r="C1476" s="25">
        <v>27.0</v>
      </c>
      <c r="D1476" s="25">
        <v>14.0</v>
      </c>
      <c r="E1476" s="25">
        <v>1.0</v>
      </c>
      <c r="F1476" s="25">
        <v>1.0</v>
      </c>
      <c r="G1476" s="27" t="s">
        <v>24</v>
      </c>
    </row>
    <row r="1477" ht="22.5" customHeight="1">
      <c r="A1477" s="25">
        <v>1393.0</v>
      </c>
      <c r="B1477" s="26">
        <v>45483.0</v>
      </c>
      <c r="C1477" s="25">
        <v>121.0</v>
      </c>
      <c r="D1477" s="25">
        <v>27.0</v>
      </c>
      <c r="E1477" s="25">
        <v>5.0</v>
      </c>
      <c r="F1477" s="25">
        <v>3.0</v>
      </c>
      <c r="G1477" s="27" t="s">
        <v>24</v>
      </c>
    </row>
    <row r="1478" ht="22.5" customHeight="1">
      <c r="A1478" s="25">
        <v>1628.0</v>
      </c>
      <c r="B1478" s="26">
        <v>45483.0</v>
      </c>
      <c r="C1478" s="25">
        <v>307.0</v>
      </c>
      <c r="D1478" s="25">
        <v>35.0</v>
      </c>
      <c r="E1478" s="25">
        <v>2.0</v>
      </c>
      <c r="F1478" s="25">
        <v>4.0</v>
      </c>
      <c r="G1478" s="27" t="s">
        <v>24</v>
      </c>
    </row>
    <row r="1479" ht="22.5" customHeight="1">
      <c r="A1479" s="25">
        <v>2414.0</v>
      </c>
      <c r="B1479" s="26">
        <v>45483.0</v>
      </c>
      <c r="C1479" s="25">
        <v>97.0</v>
      </c>
      <c r="D1479" s="25">
        <v>19.0</v>
      </c>
      <c r="E1479" s="25">
        <v>3.0</v>
      </c>
      <c r="F1479" s="25">
        <v>2.0</v>
      </c>
      <c r="G1479" s="27" t="s">
        <v>24</v>
      </c>
    </row>
    <row r="1480" ht="22.5" customHeight="1">
      <c r="A1480" s="25">
        <v>2857.0</v>
      </c>
      <c r="B1480" s="26">
        <v>45483.0</v>
      </c>
      <c r="C1480" s="25">
        <v>111.0</v>
      </c>
      <c r="D1480" s="25">
        <v>25.0</v>
      </c>
      <c r="E1480" s="25">
        <v>3.0</v>
      </c>
      <c r="F1480" s="25">
        <v>5.0</v>
      </c>
      <c r="G1480" s="27" t="s">
        <v>24</v>
      </c>
    </row>
    <row r="1481" ht="22.5" customHeight="1">
      <c r="A1481" s="25">
        <v>848.0</v>
      </c>
      <c r="B1481" s="26">
        <v>45484.0</v>
      </c>
      <c r="C1481" s="25">
        <v>227.0</v>
      </c>
      <c r="D1481" s="25">
        <v>1.0</v>
      </c>
      <c r="E1481" s="25">
        <v>3.0</v>
      </c>
      <c r="F1481" s="25">
        <v>3.0</v>
      </c>
      <c r="G1481" s="27" t="s">
        <v>25</v>
      </c>
    </row>
    <row r="1482" ht="22.5" customHeight="1">
      <c r="A1482" s="25">
        <v>1388.0</v>
      </c>
      <c r="B1482" s="26">
        <v>45484.0</v>
      </c>
      <c r="C1482" s="25">
        <v>79.0</v>
      </c>
      <c r="D1482" s="25">
        <v>5.0</v>
      </c>
      <c r="E1482" s="25">
        <v>3.0</v>
      </c>
      <c r="F1482" s="25">
        <v>4.0</v>
      </c>
      <c r="G1482" s="27" t="s">
        <v>24</v>
      </c>
    </row>
    <row r="1483" ht="22.5" customHeight="1">
      <c r="A1483" s="25">
        <v>1514.0</v>
      </c>
      <c r="B1483" s="26">
        <v>45484.0</v>
      </c>
      <c r="C1483" s="25">
        <v>156.0</v>
      </c>
      <c r="D1483" s="25">
        <v>14.0</v>
      </c>
      <c r="E1483" s="25">
        <v>1.0</v>
      </c>
      <c r="F1483" s="25">
        <v>4.0</v>
      </c>
      <c r="G1483" s="27" t="s">
        <v>24</v>
      </c>
    </row>
    <row r="1484" ht="22.5" customHeight="1">
      <c r="A1484" s="25">
        <v>1611.0</v>
      </c>
      <c r="B1484" s="26">
        <v>45484.0</v>
      </c>
      <c r="C1484" s="25">
        <v>297.0</v>
      </c>
      <c r="D1484" s="25">
        <v>8.0</v>
      </c>
      <c r="E1484" s="25">
        <v>2.0</v>
      </c>
      <c r="F1484" s="25">
        <v>4.0</v>
      </c>
      <c r="G1484" s="27" t="s">
        <v>24</v>
      </c>
    </row>
    <row r="1485" ht="22.5" customHeight="1">
      <c r="A1485" s="25">
        <v>2254.0</v>
      </c>
      <c r="B1485" s="26">
        <v>45484.0</v>
      </c>
      <c r="C1485" s="25">
        <v>303.0</v>
      </c>
      <c r="D1485" s="25">
        <v>10.0</v>
      </c>
      <c r="E1485" s="25">
        <v>2.0</v>
      </c>
      <c r="F1485" s="25">
        <v>3.0</v>
      </c>
      <c r="G1485" s="27" t="s">
        <v>25</v>
      </c>
    </row>
    <row r="1486" ht="22.5" customHeight="1">
      <c r="A1486" s="25">
        <v>2255.0</v>
      </c>
      <c r="B1486" s="26">
        <v>45484.0</v>
      </c>
      <c r="C1486" s="25">
        <v>180.0</v>
      </c>
      <c r="D1486" s="25">
        <v>35.0</v>
      </c>
      <c r="E1486" s="25">
        <v>5.0</v>
      </c>
      <c r="F1486" s="25">
        <v>1.0</v>
      </c>
      <c r="G1486" s="27" t="s">
        <v>24</v>
      </c>
    </row>
    <row r="1487" ht="22.5" customHeight="1">
      <c r="A1487" s="25">
        <v>2290.0</v>
      </c>
      <c r="B1487" s="26">
        <v>45484.0</v>
      </c>
      <c r="C1487" s="25">
        <v>216.0</v>
      </c>
      <c r="D1487" s="25">
        <v>19.0</v>
      </c>
      <c r="E1487" s="25">
        <v>3.0</v>
      </c>
      <c r="F1487" s="25">
        <v>5.0</v>
      </c>
      <c r="G1487" s="27" t="s">
        <v>25</v>
      </c>
    </row>
    <row r="1488" ht="22.5" customHeight="1">
      <c r="A1488" s="25">
        <v>2496.0</v>
      </c>
      <c r="B1488" s="26">
        <v>45484.0</v>
      </c>
      <c r="C1488" s="25">
        <v>262.0</v>
      </c>
      <c r="D1488" s="25">
        <v>5.0</v>
      </c>
      <c r="E1488" s="25">
        <v>3.0</v>
      </c>
      <c r="F1488" s="25">
        <v>4.0</v>
      </c>
      <c r="G1488" s="27" t="s">
        <v>24</v>
      </c>
    </row>
    <row r="1489" ht="22.5" customHeight="1">
      <c r="A1489" s="25">
        <v>2930.0</v>
      </c>
      <c r="B1489" s="26">
        <v>45484.0</v>
      </c>
      <c r="C1489" s="25">
        <v>198.0</v>
      </c>
      <c r="D1489" s="25">
        <v>30.0</v>
      </c>
      <c r="E1489" s="25">
        <v>4.0</v>
      </c>
      <c r="F1489" s="25">
        <v>4.0</v>
      </c>
      <c r="G1489" s="27" t="s">
        <v>24</v>
      </c>
    </row>
    <row r="1490" ht="22.5" customHeight="1">
      <c r="A1490" s="25">
        <v>2932.0</v>
      </c>
      <c r="B1490" s="26">
        <v>45484.0</v>
      </c>
      <c r="C1490" s="25">
        <v>313.0</v>
      </c>
      <c r="D1490" s="25">
        <v>23.0</v>
      </c>
      <c r="E1490" s="25">
        <v>1.0</v>
      </c>
      <c r="F1490" s="25">
        <v>5.0</v>
      </c>
      <c r="G1490" s="27" t="s">
        <v>24</v>
      </c>
    </row>
    <row r="1491" ht="22.5" customHeight="1">
      <c r="A1491" s="25">
        <v>2963.0</v>
      </c>
      <c r="B1491" s="26">
        <v>45484.0</v>
      </c>
      <c r="C1491" s="25">
        <v>9.0</v>
      </c>
      <c r="D1491" s="25">
        <v>16.0</v>
      </c>
      <c r="E1491" s="25">
        <v>4.0</v>
      </c>
      <c r="F1491" s="25">
        <v>5.0</v>
      </c>
      <c r="G1491" s="27" t="s">
        <v>24</v>
      </c>
    </row>
    <row r="1492" ht="22.5" customHeight="1">
      <c r="A1492" s="25">
        <v>560.0</v>
      </c>
      <c r="B1492" s="26">
        <v>45485.0</v>
      </c>
      <c r="C1492" s="25">
        <v>300.0</v>
      </c>
      <c r="D1492" s="25">
        <v>23.0</v>
      </c>
      <c r="E1492" s="25">
        <v>1.0</v>
      </c>
      <c r="F1492" s="25">
        <v>5.0</v>
      </c>
      <c r="G1492" s="27" t="s">
        <v>24</v>
      </c>
    </row>
    <row r="1493" ht="22.5" customHeight="1">
      <c r="A1493" s="25">
        <v>646.0</v>
      </c>
      <c r="B1493" s="26">
        <v>45485.0</v>
      </c>
      <c r="C1493" s="25">
        <v>25.0</v>
      </c>
      <c r="D1493" s="25">
        <v>27.0</v>
      </c>
      <c r="E1493" s="25">
        <v>5.0</v>
      </c>
      <c r="F1493" s="25">
        <v>4.0</v>
      </c>
      <c r="G1493" s="27" t="s">
        <v>24</v>
      </c>
    </row>
    <row r="1494" ht="22.5" customHeight="1">
      <c r="A1494" s="25">
        <v>1077.0</v>
      </c>
      <c r="B1494" s="26">
        <v>45485.0</v>
      </c>
      <c r="C1494" s="25">
        <v>268.0</v>
      </c>
      <c r="D1494" s="25">
        <v>34.0</v>
      </c>
      <c r="E1494" s="25">
        <v>4.0</v>
      </c>
      <c r="F1494" s="25">
        <v>4.0</v>
      </c>
      <c r="G1494" s="27" t="s">
        <v>24</v>
      </c>
    </row>
    <row r="1495" ht="22.5" customHeight="1">
      <c r="A1495" s="25">
        <v>1262.0</v>
      </c>
      <c r="B1495" s="26">
        <v>45485.0</v>
      </c>
      <c r="C1495" s="25">
        <v>313.0</v>
      </c>
      <c r="D1495" s="25">
        <v>21.0</v>
      </c>
      <c r="E1495" s="25">
        <v>2.0</v>
      </c>
      <c r="F1495" s="25">
        <v>5.0</v>
      </c>
      <c r="G1495" s="27" t="s">
        <v>25</v>
      </c>
    </row>
    <row r="1496" ht="22.5" customHeight="1">
      <c r="A1496" s="25">
        <v>1459.0</v>
      </c>
      <c r="B1496" s="26">
        <v>45485.0</v>
      </c>
      <c r="C1496" s="25">
        <v>176.0</v>
      </c>
      <c r="D1496" s="25">
        <v>37.0</v>
      </c>
      <c r="E1496" s="25">
        <v>5.0</v>
      </c>
      <c r="F1496" s="25">
        <v>2.0</v>
      </c>
      <c r="G1496" s="27" t="s">
        <v>24</v>
      </c>
    </row>
    <row r="1497" ht="22.5" customHeight="1">
      <c r="A1497" s="25">
        <v>1476.0</v>
      </c>
      <c r="B1497" s="26">
        <v>45485.0</v>
      </c>
      <c r="C1497" s="25">
        <v>12.0</v>
      </c>
      <c r="D1497" s="25">
        <v>26.0</v>
      </c>
      <c r="E1497" s="25">
        <v>3.0</v>
      </c>
      <c r="F1497" s="25">
        <v>1.0</v>
      </c>
      <c r="G1497" s="27" t="s">
        <v>24</v>
      </c>
    </row>
    <row r="1498" ht="22.5" customHeight="1">
      <c r="A1498" s="25">
        <v>1676.0</v>
      </c>
      <c r="B1498" s="26">
        <v>45485.0</v>
      </c>
      <c r="C1498" s="25">
        <v>324.0</v>
      </c>
      <c r="D1498" s="25">
        <v>36.0</v>
      </c>
      <c r="E1498" s="25">
        <v>5.0</v>
      </c>
      <c r="F1498" s="25">
        <v>4.0</v>
      </c>
      <c r="G1498" s="27" t="s">
        <v>24</v>
      </c>
    </row>
    <row r="1499" ht="22.5" customHeight="1">
      <c r="A1499" s="25">
        <v>1729.0</v>
      </c>
      <c r="B1499" s="26">
        <v>45485.0</v>
      </c>
      <c r="C1499" s="25">
        <v>118.0</v>
      </c>
      <c r="D1499" s="25">
        <v>33.0</v>
      </c>
      <c r="E1499" s="25">
        <v>6.0</v>
      </c>
      <c r="F1499" s="25">
        <v>4.0</v>
      </c>
      <c r="G1499" s="27" t="s">
        <v>24</v>
      </c>
    </row>
    <row r="1500" ht="22.5" customHeight="1">
      <c r="A1500" s="25">
        <v>1791.0</v>
      </c>
      <c r="B1500" s="26">
        <v>45485.0</v>
      </c>
      <c r="C1500" s="25">
        <v>250.0</v>
      </c>
      <c r="D1500" s="25">
        <v>16.0</v>
      </c>
      <c r="E1500" s="25">
        <v>4.0</v>
      </c>
      <c r="F1500" s="25">
        <v>4.0</v>
      </c>
      <c r="G1500" s="27" t="s">
        <v>24</v>
      </c>
    </row>
    <row r="1501" ht="22.5" customHeight="1">
      <c r="A1501" s="25">
        <v>2768.0</v>
      </c>
      <c r="B1501" s="26">
        <v>45485.0</v>
      </c>
      <c r="C1501" s="25">
        <v>307.0</v>
      </c>
      <c r="D1501" s="25">
        <v>13.0</v>
      </c>
      <c r="E1501" s="25">
        <v>1.0</v>
      </c>
      <c r="F1501" s="25">
        <v>3.0</v>
      </c>
      <c r="G1501" s="27" t="s">
        <v>24</v>
      </c>
    </row>
    <row r="1502" ht="22.5" customHeight="1">
      <c r="A1502" s="25">
        <v>143.0</v>
      </c>
      <c r="B1502" s="26">
        <v>45486.0</v>
      </c>
      <c r="C1502" s="25">
        <v>184.0</v>
      </c>
      <c r="D1502" s="25">
        <v>31.0</v>
      </c>
      <c r="E1502" s="25">
        <v>6.0</v>
      </c>
      <c r="F1502" s="25">
        <v>2.0</v>
      </c>
      <c r="G1502" s="27" t="s">
        <v>24</v>
      </c>
    </row>
    <row r="1503" ht="22.5" customHeight="1">
      <c r="A1503" s="25">
        <v>776.0</v>
      </c>
      <c r="B1503" s="26">
        <v>45486.0</v>
      </c>
      <c r="C1503" s="25">
        <v>175.0</v>
      </c>
      <c r="D1503" s="25">
        <v>6.0</v>
      </c>
      <c r="E1503" s="25">
        <v>6.0</v>
      </c>
      <c r="F1503" s="25">
        <v>4.0</v>
      </c>
      <c r="G1503" s="27" t="s">
        <v>24</v>
      </c>
    </row>
    <row r="1504" ht="22.5" customHeight="1">
      <c r="A1504" s="25">
        <v>1440.0</v>
      </c>
      <c r="B1504" s="26">
        <v>45486.0</v>
      </c>
      <c r="C1504" s="25">
        <v>278.0</v>
      </c>
      <c r="D1504" s="25">
        <v>16.0</v>
      </c>
      <c r="E1504" s="25">
        <v>1.0</v>
      </c>
      <c r="F1504" s="25">
        <v>1.0</v>
      </c>
      <c r="G1504" s="27" t="s">
        <v>24</v>
      </c>
    </row>
    <row r="1505" ht="22.5" customHeight="1">
      <c r="A1505" s="25">
        <v>2052.0</v>
      </c>
      <c r="B1505" s="26">
        <v>45486.0</v>
      </c>
      <c r="C1505" s="25">
        <v>322.0</v>
      </c>
      <c r="D1505" s="25">
        <v>19.0</v>
      </c>
      <c r="E1505" s="25">
        <v>4.0</v>
      </c>
      <c r="F1505" s="25">
        <v>4.0</v>
      </c>
      <c r="G1505" s="27" t="s">
        <v>24</v>
      </c>
    </row>
    <row r="1506" ht="22.5" customHeight="1">
      <c r="A1506" s="25">
        <v>2743.0</v>
      </c>
      <c r="B1506" s="26">
        <v>45486.0</v>
      </c>
      <c r="C1506" s="25">
        <v>251.0</v>
      </c>
      <c r="D1506" s="25">
        <v>5.0</v>
      </c>
      <c r="E1506" s="25">
        <v>5.0</v>
      </c>
      <c r="F1506" s="25">
        <v>4.0</v>
      </c>
      <c r="G1506" s="27" t="s">
        <v>24</v>
      </c>
    </row>
    <row r="1507" ht="22.5" customHeight="1">
      <c r="A1507" s="25">
        <v>246.0</v>
      </c>
      <c r="B1507" s="26">
        <v>45487.0</v>
      </c>
      <c r="C1507" s="25">
        <v>171.0</v>
      </c>
      <c r="D1507" s="25">
        <v>26.0</v>
      </c>
      <c r="E1507" s="25">
        <v>3.0</v>
      </c>
      <c r="F1507" s="25">
        <v>2.0</v>
      </c>
      <c r="G1507" s="27" t="s">
        <v>24</v>
      </c>
    </row>
    <row r="1508" ht="22.5" customHeight="1">
      <c r="A1508" s="25">
        <v>391.0</v>
      </c>
      <c r="B1508" s="26">
        <v>45487.0</v>
      </c>
      <c r="C1508" s="25">
        <v>34.0</v>
      </c>
      <c r="D1508" s="25">
        <v>16.0</v>
      </c>
      <c r="E1508" s="25">
        <v>3.0</v>
      </c>
      <c r="F1508" s="25">
        <v>5.0</v>
      </c>
      <c r="G1508" s="27" t="s">
        <v>24</v>
      </c>
    </row>
    <row r="1509" ht="22.5" customHeight="1">
      <c r="A1509" s="25">
        <v>473.0</v>
      </c>
      <c r="B1509" s="26">
        <v>45487.0</v>
      </c>
      <c r="C1509" s="25">
        <v>229.0</v>
      </c>
      <c r="D1509" s="25">
        <v>29.0</v>
      </c>
      <c r="E1509" s="25">
        <v>4.0</v>
      </c>
      <c r="F1509" s="25">
        <v>4.0</v>
      </c>
      <c r="G1509" s="27" t="s">
        <v>24</v>
      </c>
    </row>
    <row r="1510" ht="22.5" customHeight="1">
      <c r="A1510" s="25">
        <v>619.0</v>
      </c>
      <c r="B1510" s="26">
        <v>45487.0</v>
      </c>
      <c r="C1510" s="25">
        <v>121.0</v>
      </c>
      <c r="D1510" s="25">
        <v>35.0</v>
      </c>
      <c r="E1510" s="25">
        <v>2.0</v>
      </c>
      <c r="F1510" s="25">
        <v>4.0</v>
      </c>
      <c r="G1510" s="27" t="s">
        <v>24</v>
      </c>
    </row>
    <row r="1511" ht="22.5" customHeight="1">
      <c r="A1511" s="25">
        <v>1397.0</v>
      </c>
      <c r="B1511" s="26">
        <v>45487.0</v>
      </c>
      <c r="C1511" s="25">
        <v>112.0</v>
      </c>
      <c r="D1511" s="25">
        <v>13.0</v>
      </c>
      <c r="E1511" s="25">
        <v>2.0</v>
      </c>
      <c r="F1511" s="25">
        <v>1.0</v>
      </c>
      <c r="G1511" s="27" t="s">
        <v>24</v>
      </c>
    </row>
    <row r="1512" ht="22.5" customHeight="1">
      <c r="A1512" s="25">
        <v>1620.0</v>
      </c>
      <c r="B1512" s="26">
        <v>45487.0</v>
      </c>
      <c r="C1512" s="25">
        <v>267.0</v>
      </c>
      <c r="D1512" s="25">
        <v>32.0</v>
      </c>
      <c r="E1512" s="25">
        <v>2.0</v>
      </c>
      <c r="F1512" s="25">
        <v>4.0</v>
      </c>
      <c r="G1512" s="27" t="s">
        <v>24</v>
      </c>
    </row>
    <row r="1513" ht="22.5" customHeight="1">
      <c r="A1513" s="25">
        <v>1778.0</v>
      </c>
      <c r="B1513" s="26">
        <v>45487.0</v>
      </c>
      <c r="C1513" s="25">
        <v>208.0</v>
      </c>
      <c r="D1513" s="25">
        <v>19.0</v>
      </c>
      <c r="E1513" s="25">
        <v>4.0</v>
      </c>
      <c r="F1513" s="25">
        <v>3.0</v>
      </c>
      <c r="G1513" s="27" t="s">
        <v>24</v>
      </c>
    </row>
    <row r="1514" ht="22.5" customHeight="1">
      <c r="A1514" s="25">
        <v>2342.0</v>
      </c>
      <c r="B1514" s="26">
        <v>45487.0</v>
      </c>
      <c r="C1514" s="25">
        <v>180.0</v>
      </c>
      <c r="D1514" s="25">
        <v>22.0</v>
      </c>
      <c r="E1514" s="25">
        <v>6.0</v>
      </c>
      <c r="F1514" s="25">
        <v>4.0</v>
      </c>
      <c r="G1514" s="27" t="s">
        <v>24</v>
      </c>
    </row>
    <row r="1515" ht="22.5" customHeight="1">
      <c r="A1515" s="25">
        <v>2886.0</v>
      </c>
      <c r="B1515" s="26">
        <v>45487.0</v>
      </c>
      <c r="C1515" s="25">
        <v>67.0</v>
      </c>
      <c r="D1515" s="25">
        <v>19.0</v>
      </c>
      <c r="E1515" s="25">
        <v>1.0</v>
      </c>
      <c r="F1515" s="25">
        <v>1.0</v>
      </c>
      <c r="G1515" s="27" t="s">
        <v>24</v>
      </c>
    </row>
    <row r="1516" ht="22.5" customHeight="1">
      <c r="A1516" s="25">
        <v>548.0</v>
      </c>
      <c r="B1516" s="26">
        <v>45488.0</v>
      </c>
      <c r="C1516" s="25">
        <v>229.0</v>
      </c>
      <c r="D1516" s="25">
        <v>30.0</v>
      </c>
      <c r="E1516" s="25">
        <v>6.0</v>
      </c>
      <c r="F1516" s="25">
        <v>5.0</v>
      </c>
      <c r="G1516" s="27" t="s">
        <v>25</v>
      </c>
    </row>
    <row r="1517" ht="22.5" customHeight="1">
      <c r="A1517" s="25">
        <v>2083.0</v>
      </c>
      <c r="B1517" s="26">
        <v>45488.0</v>
      </c>
      <c r="C1517" s="25">
        <v>44.0</v>
      </c>
      <c r="D1517" s="25">
        <v>6.0</v>
      </c>
      <c r="E1517" s="25">
        <v>2.0</v>
      </c>
      <c r="F1517" s="25">
        <v>4.0</v>
      </c>
      <c r="G1517" s="27" t="s">
        <v>24</v>
      </c>
    </row>
    <row r="1518" ht="22.5" customHeight="1">
      <c r="A1518" s="25">
        <v>2577.0</v>
      </c>
      <c r="B1518" s="26">
        <v>45488.0</v>
      </c>
      <c r="C1518" s="25">
        <v>240.0</v>
      </c>
      <c r="D1518" s="25">
        <v>11.0</v>
      </c>
      <c r="E1518" s="25">
        <v>3.0</v>
      </c>
      <c r="F1518" s="25">
        <v>2.0</v>
      </c>
      <c r="G1518" s="27" t="s">
        <v>24</v>
      </c>
    </row>
    <row r="1519" ht="22.5" customHeight="1">
      <c r="A1519" s="25">
        <v>48.0</v>
      </c>
      <c r="B1519" s="26">
        <v>45489.0</v>
      </c>
      <c r="C1519" s="25">
        <v>13.0</v>
      </c>
      <c r="D1519" s="25">
        <v>4.0</v>
      </c>
      <c r="E1519" s="25">
        <v>2.0</v>
      </c>
      <c r="F1519" s="25">
        <v>3.0</v>
      </c>
      <c r="G1519" s="27" t="s">
        <v>25</v>
      </c>
    </row>
    <row r="1520" ht="22.5" customHeight="1">
      <c r="A1520" s="25">
        <v>74.0</v>
      </c>
      <c r="B1520" s="26">
        <v>45489.0</v>
      </c>
      <c r="C1520" s="25">
        <v>125.0</v>
      </c>
      <c r="D1520" s="25">
        <v>19.0</v>
      </c>
      <c r="E1520" s="25">
        <v>4.0</v>
      </c>
      <c r="F1520" s="25">
        <v>5.0</v>
      </c>
      <c r="G1520" s="27" t="s">
        <v>25</v>
      </c>
    </row>
    <row r="1521" ht="22.5" customHeight="1">
      <c r="A1521" s="25">
        <v>648.0</v>
      </c>
      <c r="B1521" s="26">
        <v>45489.0</v>
      </c>
      <c r="C1521" s="25">
        <v>198.0</v>
      </c>
      <c r="D1521" s="25">
        <v>35.0</v>
      </c>
      <c r="E1521" s="25">
        <v>6.0</v>
      </c>
      <c r="F1521" s="25">
        <v>1.0</v>
      </c>
      <c r="G1521" s="27" t="s">
        <v>25</v>
      </c>
    </row>
    <row r="1522" ht="22.5" customHeight="1">
      <c r="A1522" s="25">
        <v>893.0</v>
      </c>
      <c r="B1522" s="26">
        <v>45489.0</v>
      </c>
      <c r="C1522" s="25">
        <v>183.0</v>
      </c>
      <c r="D1522" s="25">
        <v>29.0</v>
      </c>
      <c r="E1522" s="25">
        <v>4.0</v>
      </c>
      <c r="F1522" s="25">
        <v>3.0</v>
      </c>
      <c r="G1522" s="27" t="s">
        <v>24</v>
      </c>
    </row>
    <row r="1523" ht="22.5" customHeight="1">
      <c r="A1523" s="25">
        <v>1345.0</v>
      </c>
      <c r="B1523" s="26">
        <v>45489.0</v>
      </c>
      <c r="C1523" s="25">
        <v>149.0</v>
      </c>
      <c r="D1523" s="25">
        <v>27.0</v>
      </c>
      <c r="E1523" s="25">
        <v>1.0</v>
      </c>
      <c r="F1523" s="25">
        <v>4.0</v>
      </c>
      <c r="G1523" s="27" t="s">
        <v>24</v>
      </c>
    </row>
    <row r="1524" ht="22.5" customHeight="1">
      <c r="A1524" s="25">
        <v>1400.0</v>
      </c>
      <c r="B1524" s="26">
        <v>45489.0</v>
      </c>
      <c r="C1524" s="25">
        <v>299.0</v>
      </c>
      <c r="D1524" s="25">
        <v>22.0</v>
      </c>
      <c r="E1524" s="25">
        <v>4.0</v>
      </c>
      <c r="F1524" s="25">
        <v>4.0</v>
      </c>
      <c r="G1524" s="27" t="s">
        <v>24</v>
      </c>
    </row>
    <row r="1525" ht="22.5" customHeight="1">
      <c r="A1525" s="25">
        <v>1871.0</v>
      </c>
      <c r="B1525" s="26">
        <v>45489.0</v>
      </c>
      <c r="C1525" s="25">
        <v>184.0</v>
      </c>
      <c r="D1525" s="25">
        <v>20.0</v>
      </c>
      <c r="E1525" s="25">
        <v>1.0</v>
      </c>
      <c r="F1525" s="25">
        <v>5.0</v>
      </c>
      <c r="G1525" s="27" t="s">
        <v>24</v>
      </c>
    </row>
    <row r="1526" ht="22.5" customHeight="1">
      <c r="A1526" s="25">
        <v>2158.0</v>
      </c>
      <c r="B1526" s="26">
        <v>45489.0</v>
      </c>
      <c r="C1526" s="25">
        <v>148.0</v>
      </c>
      <c r="D1526" s="25">
        <v>38.0</v>
      </c>
      <c r="E1526" s="25">
        <v>3.0</v>
      </c>
      <c r="F1526" s="25">
        <v>4.0</v>
      </c>
      <c r="G1526" s="27" t="s">
        <v>25</v>
      </c>
    </row>
    <row r="1527" ht="22.5" customHeight="1">
      <c r="A1527" s="25">
        <v>412.0</v>
      </c>
      <c r="B1527" s="26">
        <v>45490.0</v>
      </c>
      <c r="C1527" s="25">
        <v>170.0</v>
      </c>
      <c r="D1527" s="25">
        <v>9.0</v>
      </c>
      <c r="E1527" s="25">
        <v>1.0</v>
      </c>
      <c r="F1527" s="25">
        <v>4.0</v>
      </c>
      <c r="G1527" s="27" t="s">
        <v>24</v>
      </c>
    </row>
    <row r="1528" ht="22.5" customHeight="1">
      <c r="A1528" s="25">
        <v>671.0</v>
      </c>
      <c r="B1528" s="26">
        <v>45490.0</v>
      </c>
      <c r="C1528" s="25">
        <v>286.0</v>
      </c>
      <c r="D1528" s="25">
        <v>22.0</v>
      </c>
      <c r="E1528" s="25">
        <v>1.0</v>
      </c>
      <c r="F1528" s="25">
        <v>1.0</v>
      </c>
      <c r="G1528" s="27" t="s">
        <v>25</v>
      </c>
    </row>
    <row r="1529" ht="22.5" customHeight="1">
      <c r="A1529" s="25">
        <v>768.0</v>
      </c>
      <c r="B1529" s="26">
        <v>45490.0</v>
      </c>
      <c r="C1529" s="25">
        <v>168.0</v>
      </c>
      <c r="D1529" s="25">
        <v>19.0</v>
      </c>
      <c r="E1529" s="25">
        <v>5.0</v>
      </c>
      <c r="F1529" s="25">
        <v>3.0</v>
      </c>
      <c r="G1529" s="27" t="s">
        <v>24</v>
      </c>
    </row>
    <row r="1530" ht="22.5" customHeight="1">
      <c r="A1530" s="25">
        <v>974.0</v>
      </c>
      <c r="B1530" s="26">
        <v>45490.0</v>
      </c>
      <c r="C1530" s="25">
        <v>175.0</v>
      </c>
      <c r="D1530" s="25">
        <v>23.0</v>
      </c>
      <c r="E1530" s="25">
        <v>2.0</v>
      </c>
      <c r="F1530" s="25">
        <v>5.0</v>
      </c>
      <c r="G1530" s="27" t="s">
        <v>24</v>
      </c>
    </row>
    <row r="1531" ht="22.5" customHeight="1">
      <c r="A1531" s="25">
        <v>1093.0</v>
      </c>
      <c r="B1531" s="26">
        <v>45490.0</v>
      </c>
      <c r="C1531" s="25">
        <v>52.0</v>
      </c>
      <c r="D1531" s="25">
        <v>36.0</v>
      </c>
      <c r="E1531" s="25">
        <v>3.0</v>
      </c>
      <c r="F1531" s="25">
        <v>1.0</v>
      </c>
      <c r="G1531" s="27" t="s">
        <v>24</v>
      </c>
    </row>
    <row r="1532" ht="22.5" customHeight="1">
      <c r="A1532" s="25">
        <v>1335.0</v>
      </c>
      <c r="B1532" s="26">
        <v>45490.0</v>
      </c>
      <c r="C1532" s="25">
        <v>33.0</v>
      </c>
      <c r="D1532" s="25">
        <v>28.0</v>
      </c>
      <c r="E1532" s="25">
        <v>4.0</v>
      </c>
      <c r="F1532" s="25">
        <v>4.0</v>
      </c>
      <c r="G1532" s="27" t="s">
        <v>24</v>
      </c>
    </row>
    <row r="1533" ht="22.5" customHeight="1">
      <c r="A1533" s="25">
        <v>1664.0</v>
      </c>
      <c r="B1533" s="26">
        <v>45490.0</v>
      </c>
      <c r="C1533" s="25">
        <v>17.0</v>
      </c>
      <c r="D1533" s="25">
        <v>11.0</v>
      </c>
      <c r="E1533" s="25">
        <v>2.0</v>
      </c>
      <c r="F1533" s="25">
        <v>4.0</v>
      </c>
      <c r="G1533" s="27" t="s">
        <v>25</v>
      </c>
    </row>
    <row r="1534" ht="22.5" customHeight="1">
      <c r="A1534" s="25">
        <v>1898.0</v>
      </c>
      <c r="B1534" s="26">
        <v>45490.0</v>
      </c>
      <c r="C1534" s="25">
        <v>261.0</v>
      </c>
      <c r="D1534" s="25">
        <v>20.0</v>
      </c>
      <c r="E1534" s="25">
        <v>4.0</v>
      </c>
      <c r="F1534" s="25">
        <v>4.0</v>
      </c>
      <c r="G1534" s="27" t="s">
        <v>24</v>
      </c>
    </row>
    <row r="1535" ht="22.5" customHeight="1">
      <c r="A1535" s="25">
        <v>2061.0</v>
      </c>
      <c r="B1535" s="26">
        <v>45490.0</v>
      </c>
      <c r="C1535" s="25">
        <v>318.0</v>
      </c>
      <c r="D1535" s="25">
        <v>30.0</v>
      </c>
      <c r="E1535" s="25">
        <v>2.0</v>
      </c>
      <c r="F1535" s="25">
        <v>4.0</v>
      </c>
      <c r="G1535" s="27" t="s">
        <v>24</v>
      </c>
    </row>
    <row r="1536" ht="22.5" customHeight="1">
      <c r="A1536" s="25">
        <v>2133.0</v>
      </c>
      <c r="B1536" s="26">
        <v>45490.0</v>
      </c>
      <c r="C1536" s="25">
        <v>92.0</v>
      </c>
      <c r="D1536" s="25">
        <v>13.0</v>
      </c>
      <c r="E1536" s="25">
        <v>6.0</v>
      </c>
      <c r="F1536" s="25">
        <v>3.0</v>
      </c>
      <c r="G1536" s="27" t="s">
        <v>24</v>
      </c>
    </row>
    <row r="1537" ht="22.5" customHeight="1">
      <c r="A1537" s="25">
        <v>2139.0</v>
      </c>
      <c r="B1537" s="26">
        <v>45490.0</v>
      </c>
      <c r="C1537" s="25">
        <v>234.0</v>
      </c>
      <c r="D1537" s="25">
        <v>18.0</v>
      </c>
      <c r="E1537" s="25">
        <v>6.0</v>
      </c>
      <c r="F1537" s="25">
        <v>4.0</v>
      </c>
      <c r="G1537" s="27" t="s">
        <v>24</v>
      </c>
    </row>
    <row r="1538" ht="22.5" customHeight="1">
      <c r="A1538" s="25">
        <v>2321.0</v>
      </c>
      <c r="B1538" s="26">
        <v>45490.0</v>
      </c>
      <c r="C1538" s="25">
        <v>34.0</v>
      </c>
      <c r="D1538" s="25">
        <v>20.0</v>
      </c>
      <c r="E1538" s="25">
        <v>6.0</v>
      </c>
      <c r="F1538" s="25">
        <v>4.0</v>
      </c>
      <c r="G1538" s="27" t="s">
        <v>24</v>
      </c>
    </row>
    <row r="1539" ht="22.5" customHeight="1">
      <c r="A1539" s="25">
        <v>489.0</v>
      </c>
      <c r="B1539" s="26">
        <v>45491.0</v>
      </c>
      <c r="C1539" s="25">
        <v>152.0</v>
      </c>
      <c r="D1539" s="25">
        <v>27.0</v>
      </c>
      <c r="E1539" s="25">
        <v>6.0</v>
      </c>
      <c r="F1539" s="25">
        <v>5.0</v>
      </c>
      <c r="G1539" s="27" t="s">
        <v>24</v>
      </c>
    </row>
    <row r="1540" ht="22.5" customHeight="1">
      <c r="A1540" s="25">
        <v>519.0</v>
      </c>
      <c r="B1540" s="26">
        <v>45491.0</v>
      </c>
      <c r="C1540" s="25">
        <v>174.0</v>
      </c>
      <c r="D1540" s="25">
        <v>38.0</v>
      </c>
      <c r="E1540" s="25">
        <v>3.0</v>
      </c>
      <c r="F1540" s="25">
        <v>1.0</v>
      </c>
      <c r="G1540" s="27" t="s">
        <v>24</v>
      </c>
    </row>
    <row r="1541" ht="22.5" customHeight="1">
      <c r="A1541" s="25">
        <v>549.0</v>
      </c>
      <c r="B1541" s="26">
        <v>45491.0</v>
      </c>
      <c r="C1541" s="25">
        <v>211.0</v>
      </c>
      <c r="D1541" s="25">
        <v>4.0</v>
      </c>
      <c r="E1541" s="25">
        <v>3.0</v>
      </c>
      <c r="F1541" s="25">
        <v>5.0</v>
      </c>
      <c r="G1541" s="27" t="s">
        <v>25</v>
      </c>
    </row>
    <row r="1542" ht="22.5" customHeight="1">
      <c r="A1542" s="25">
        <v>1216.0</v>
      </c>
      <c r="B1542" s="26">
        <v>45491.0</v>
      </c>
      <c r="C1542" s="25">
        <v>123.0</v>
      </c>
      <c r="D1542" s="25">
        <v>23.0</v>
      </c>
      <c r="E1542" s="25">
        <v>6.0</v>
      </c>
      <c r="F1542" s="25">
        <v>3.0</v>
      </c>
      <c r="G1542" s="27" t="s">
        <v>24</v>
      </c>
    </row>
    <row r="1543" ht="22.5" customHeight="1">
      <c r="A1543" s="25">
        <v>1305.0</v>
      </c>
      <c r="B1543" s="26">
        <v>45491.0</v>
      </c>
      <c r="C1543" s="25">
        <v>134.0</v>
      </c>
      <c r="D1543" s="25">
        <v>38.0</v>
      </c>
      <c r="E1543" s="25">
        <v>1.0</v>
      </c>
      <c r="F1543" s="25">
        <v>3.0</v>
      </c>
      <c r="G1543" s="27" t="s">
        <v>24</v>
      </c>
    </row>
    <row r="1544" ht="22.5" customHeight="1">
      <c r="A1544" s="25">
        <v>1493.0</v>
      </c>
      <c r="B1544" s="26">
        <v>45491.0</v>
      </c>
      <c r="C1544" s="25">
        <v>291.0</v>
      </c>
      <c r="D1544" s="25">
        <v>15.0</v>
      </c>
      <c r="E1544" s="25">
        <v>4.0</v>
      </c>
      <c r="F1544" s="25">
        <v>5.0</v>
      </c>
      <c r="G1544" s="27" t="s">
        <v>24</v>
      </c>
    </row>
    <row r="1545" ht="22.5" customHeight="1">
      <c r="A1545" s="25">
        <v>2412.0</v>
      </c>
      <c r="B1545" s="26">
        <v>45491.0</v>
      </c>
      <c r="C1545" s="25">
        <v>5.0</v>
      </c>
      <c r="D1545" s="25">
        <v>36.0</v>
      </c>
      <c r="E1545" s="25">
        <v>3.0</v>
      </c>
      <c r="F1545" s="25">
        <v>1.0</v>
      </c>
      <c r="G1545" s="27" t="s">
        <v>24</v>
      </c>
    </row>
    <row r="1546" ht="22.5" customHeight="1">
      <c r="A1546" s="25">
        <v>2902.0</v>
      </c>
      <c r="B1546" s="26">
        <v>45491.0</v>
      </c>
      <c r="C1546" s="25">
        <v>325.0</v>
      </c>
      <c r="D1546" s="25">
        <v>32.0</v>
      </c>
      <c r="E1546" s="25">
        <v>3.0</v>
      </c>
      <c r="F1546" s="25">
        <v>5.0</v>
      </c>
      <c r="G1546" s="27" t="s">
        <v>24</v>
      </c>
    </row>
    <row r="1547" ht="22.5" customHeight="1">
      <c r="A1547" s="25">
        <v>148.0</v>
      </c>
      <c r="B1547" s="26">
        <v>45492.0</v>
      </c>
      <c r="C1547" s="25">
        <v>50.0</v>
      </c>
      <c r="D1547" s="25">
        <v>9.0</v>
      </c>
      <c r="E1547" s="25">
        <v>6.0</v>
      </c>
      <c r="F1547" s="25">
        <v>2.0</v>
      </c>
      <c r="G1547" s="27" t="s">
        <v>24</v>
      </c>
    </row>
    <row r="1548" ht="22.5" customHeight="1">
      <c r="A1548" s="25">
        <v>241.0</v>
      </c>
      <c r="B1548" s="26">
        <v>45492.0</v>
      </c>
      <c r="C1548" s="25">
        <v>158.0</v>
      </c>
      <c r="D1548" s="25">
        <v>7.0</v>
      </c>
      <c r="E1548" s="25">
        <v>5.0</v>
      </c>
      <c r="F1548" s="25">
        <v>3.0</v>
      </c>
      <c r="G1548" s="27" t="s">
        <v>25</v>
      </c>
    </row>
    <row r="1549" ht="22.5" customHeight="1">
      <c r="A1549" s="25">
        <v>335.0</v>
      </c>
      <c r="B1549" s="26">
        <v>45492.0</v>
      </c>
      <c r="C1549" s="25">
        <v>277.0</v>
      </c>
      <c r="D1549" s="25">
        <v>11.0</v>
      </c>
      <c r="E1549" s="25">
        <v>2.0</v>
      </c>
      <c r="F1549" s="25">
        <v>4.0</v>
      </c>
      <c r="G1549" s="27" t="s">
        <v>25</v>
      </c>
    </row>
    <row r="1550" ht="22.5" customHeight="1">
      <c r="A1550" s="25">
        <v>977.0</v>
      </c>
      <c r="B1550" s="26">
        <v>45492.0</v>
      </c>
      <c r="C1550" s="25">
        <v>25.0</v>
      </c>
      <c r="D1550" s="25">
        <v>12.0</v>
      </c>
      <c r="E1550" s="25">
        <v>1.0</v>
      </c>
      <c r="F1550" s="25">
        <v>1.0</v>
      </c>
      <c r="G1550" s="27" t="s">
        <v>24</v>
      </c>
    </row>
    <row r="1551" ht="22.5" customHeight="1">
      <c r="A1551" s="25">
        <v>1395.0</v>
      </c>
      <c r="B1551" s="26">
        <v>45492.0</v>
      </c>
      <c r="C1551" s="25">
        <v>265.0</v>
      </c>
      <c r="D1551" s="25">
        <v>3.0</v>
      </c>
      <c r="E1551" s="25">
        <v>4.0</v>
      </c>
      <c r="F1551" s="25">
        <v>4.0</v>
      </c>
      <c r="G1551" s="27" t="s">
        <v>25</v>
      </c>
    </row>
    <row r="1552" ht="22.5" customHeight="1">
      <c r="A1552" s="25">
        <v>1546.0</v>
      </c>
      <c r="B1552" s="26">
        <v>45492.0</v>
      </c>
      <c r="C1552" s="25">
        <v>283.0</v>
      </c>
      <c r="D1552" s="25">
        <v>10.0</v>
      </c>
      <c r="E1552" s="25">
        <v>1.0</v>
      </c>
      <c r="F1552" s="25">
        <v>3.0</v>
      </c>
      <c r="G1552" s="27" t="s">
        <v>24</v>
      </c>
    </row>
    <row r="1553" ht="22.5" customHeight="1">
      <c r="A1553" s="25">
        <v>2474.0</v>
      </c>
      <c r="B1553" s="26">
        <v>45492.0</v>
      </c>
      <c r="C1553" s="25">
        <v>188.0</v>
      </c>
      <c r="D1553" s="25">
        <v>19.0</v>
      </c>
      <c r="E1553" s="25">
        <v>3.0</v>
      </c>
      <c r="F1553" s="25">
        <v>4.0</v>
      </c>
      <c r="G1553" s="27" t="s">
        <v>25</v>
      </c>
    </row>
    <row r="1554" ht="22.5" customHeight="1">
      <c r="A1554" s="25">
        <v>2557.0</v>
      </c>
      <c r="B1554" s="26">
        <v>45492.0</v>
      </c>
      <c r="C1554" s="25">
        <v>156.0</v>
      </c>
      <c r="D1554" s="25">
        <v>7.0</v>
      </c>
      <c r="E1554" s="25">
        <v>1.0</v>
      </c>
      <c r="F1554" s="25">
        <v>1.0</v>
      </c>
      <c r="G1554" s="27" t="s">
        <v>24</v>
      </c>
    </row>
    <row r="1555" ht="22.5" customHeight="1">
      <c r="A1555" s="25">
        <v>2652.0</v>
      </c>
      <c r="B1555" s="26">
        <v>45492.0</v>
      </c>
      <c r="C1555" s="25">
        <v>247.0</v>
      </c>
      <c r="D1555" s="25">
        <v>23.0</v>
      </c>
      <c r="E1555" s="25">
        <v>1.0</v>
      </c>
      <c r="F1555" s="25">
        <v>1.0</v>
      </c>
      <c r="G1555" s="27" t="s">
        <v>24</v>
      </c>
    </row>
    <row r="1556" ht="22.5" customHeight="1">
      <c r="A1556" s="25">
        <v>2800.0</v>
      </c>
      <c r="B1556" s="26">
        <v>45492.0</v>
      </c>
      <c r="C1556" s="25">
        <v>226.0</v>
      </c>
      <c r="D1556" s="25">
        <v>8.0</v>
      </c>
      <c r="E1556" s="25">
        <v>4.0</v>
      </c>
      <c r="F1556" s="25">
        <v>2.0</v>
      </c>
      <c r="G1556" s="27" t="s">
        <v>24</v>
      </c>
    </row>
    <row r="1557" ht="22.5" customHeight="1">
      <c r="A1557" s="25">
        <v>2811.0</v>
      </c>
      <c r="B1557" s="26">
        <v>45492.0</v>
      </c>
      <c r="C1557" s="25">
        <v>253.0</v>
      </c>
      <c r="D1557" s="25">
        <v>26.0</v>
      </c>
      <c r="E1557" s="25">
        <v>6.0</v>
      </c>
      <c r="F1557" s="25">
        <v>5.0</v>
      </c>
      <c r="G1557" s="27" t="s">
        <v>24</v>
      </c>
    </row>
    <row r="1558" ht="22.5" customHeight="1">
      <c r="A1558" s="25">
        <v>2830.0</v>
      </c>
      <c r="B1558" s="26">
        <v>45492.0</v>
      </c>
      <c r="C1558" s="25">
        <v>11.0</v>
      </c>
      <c r="D1558" s="25">
        <v>27.0</v>
      </c>
      <c r="E1558" s="25">
        <v>1.0</v>
      </c>
      <c r="F1558" s="25">
        <v>5.0</v>
      </c>
      <c r="G1558" s="27" t="s">
        <v>24</v>
      </c>
    </row>
    <row r="1559" ht="22.5" customHeight="1">
      <c r="A1559" s="25">
        <v>2966.0</v>
      </c>
      <c r="B1559" s="26">
        <v>45492.0</v>
      </c>
      <c r="C1559" s="25">
        <v>203.0</v>
      </c>
      <c r="D1559" s="25">
        <v>37.0</v>
      </c>
      <c r="E1559" s="25">
        <v>4.0</v>
      </c>
      <c r="F1559" s="25">
        <v>4.0</v>
      </c>
      <c r="G1559" s="27" t="s">
        <v>24</v>
      </c>
    </row>
    <row r="1560" ht="22.5" customHeight="1">
      <c r="A1560" s="25">
        <v>2977.0</v>
      </c>
      <c r="B1560" s="26">
        <v>45492.0</v>
      </c>
      <c r="C1560" s="25">
        <v>288.0</v>
      </c>
      <c r="D1560" s="25">
        <v>21.0</v>
      </c>
      <c r="E1560" s="25">
        <v>2.0</v>
      </c>
      <c r="F1560" s="25">
        <v>2.0</v>
      </c>
      <c r="G1560" s="27" t="s">
        <v>24</v>
      </c>
    </row>
    <row r="1561" ht="22.5" customHeight="1">
      <c r="A1561" s="25">
        <v>500.0</v>
      </c>
      <c r="B1561" s="26">
        <v>45493.0</v>
      </c>
      <c r="C1561" s="25">
        <v>175.0</v>
      </c>
      <c r="D1561" s="25">
        <v>35.0</v>
      </c>
      <c r="E1561" s="25">
        <v>3.0</v>
      </c>
      <c r="F1561" s="25">
        <v>5.0</v>
      </c>
      <c r="G1561" s="27" t="s">
        <v>25</v>
      </c>
    </row>
    <row r="1562" ht="22.5" customHeight="1">
      <c r="A1562" s="25">
        <v>514.0</v>
      </c>
      <c r="B1562" s="26">
        <v>45493.0</v>
      </c>
      <c r="C1562" s="25">
        <v>298.0</v>
      </c>
      <c r="D1562" s="25">
        <v>38.0</v>
      </c>
      <c r="E1562" s="25">
        <v>5.0</v>
      </c>
      <c r="F1562" s="25">
        <v>5.0</v>
      </c>
      <c r="G1562" s="27" t="s">
        <v>24</v>
      </c>
    </row>
    <row r="1563" ht="22.5" customHeight="1">
      <c r="A1563" s="25">
        <v>682.0</v>
      </c>
      <c r="B1563" s="26">
        <v>45493.0</v>
      </c>
      <c r="C1563" s="25">
        <v>200.0</v>
      </c>
      <c r="D1563" s="25">
        <v>17.0</v>
      </c>
      <c r="E1563" s="25">
        <v>2.0</v>
      </c>
      <c r="F1563" s="25">
        <v>2.0</v>
      </c>
      <c r="G1563" s="27" t="s">
        <v>24</v>
      </c>
    </row>
    <row r="1564" ht="22.5" customHeight="1">
      <c r="A1564" s="25">
        <v>707.0</v>
      </c>
      <c r="B1564" s="26">
        <v>45493.0</v>
      </c>
      <c r="C1564" s="25">
        <v>216.0</v>
      </c>
      <c r="D1564" s="25">
        <v>8.0</v>
      </c>
      <c r="E1564" s="25">
        <v>4.0</v>
      </c>
      <c r="F1564" s="25">
        <v>3.0</v>
      </c>
      <c r="G1564" s="27" t="s">
        <v>24</v>
      </c>
    </row>
    <row r="1565" ht="22.5" customHeight="1">
      <c r="A1565" s="25">
        <v>777.0</v>
      </c>
      <c r="B1565" s="26">
        <v>45493.0</v>
      </c>
      <c r="C1565" s="25">
        <v>235.0</v>
      </c>
      <c r="D1565" s="25">
        <v>9.0</v>
      </c>
      <c r="E1565" s="25">
        <v>1.0</v>
      </c>
      <c r="F1565" s="25">
        <v>5.0</v>
      </c>
      <c r="G1565" s="27" t="s">
        <v>24</v>
      </c>
    </row>
    <row r="1566" ht="22.5" customHeight="1">
      <c r="A1566" s="25">
        <v>803.0</v>
      </c>
      <c r="B1566" s="26">
        <v>45493.0</v>
      </c>
      <c r="C1566" s="25">
        <v>227.0</v>
      </c>
      <c r="D1566" s="25">
        <v>2.0</v>
      </c>
      <c r="E1566" s="25">
        <v>4.0</v>
      </c>
      <c r="F1566" s="25">
        <v>4.0</v>
      </c>
      <c r="G1566" s="27" t="s">
        <v>25</v>
      </c>
    </row>
    <row r="1567" ht="22.5" customHeight="1">
      <c r="A1567" s="25">
        <v>1461.0</v>
      </c>
      <c r="B1567" s="26">
        <v>45493.0</v>
      </c>
      <c r="C1567" s="25">
        <v>87.0</v>
      </c>
      <c r="D1567" s="25">
        <v>5.0</v>
      </c>
      <c r="E1567" s="25">
        <v>4.0</v>
      </c>
      <c r="F1567" s="25">
        <v>1.0</v>
      </c>
      <c r="G1567" s="27" t="s">
        <v>24</v>
      </c>
    </row>
    <row r="1568" ht="22.5" customHeight="1">
      <c r="A1568" s="25">
        <v>1547.0</v>
      </c>
      <c r="B1568" s="26">
        <v>45493.0</v>
      </c>
      <c r="C1568" s="25">
        <v>122.0</v>
      </c>
      <c r="D1568" s="25">
        <v>21.0</v>
      </c>
      <c r="E1568" s="25">
        <v>2.0</v>
      </c>
      <c r="F1568" s="25">
        <v>2.0</v>
      </c>
      <c r="G1568" s="27" t="s">
        <v>24</v>
      </c>
    </row>
    <row r="1569" ht="22.5" customHeight="1">
      <c r="A1569" s="25">
        <v>2676.0</v>
      </c>
      <c r="B1569" s="26">
        <v>45493.0</v>
      </c>
      <c r="C1569" s="25">
        <v>83.0</v>
      </c>
      <c r="D1569" s="25">
        <v>25.0</v>
      </c>
      <c r="E1569" s="25">
        <v>2.0</v>
      </c>
      <c r="F1569" s="25">
        <v>4.0</v>
      </c>
      <c r="G1569" s="27" t="s">
        <v>24</v>
      </c>
    </row>
    <row r="1570" ht="22.5" customHeight="1">
      <c r="A1570" s="25">
        <v>367.0</v>
      </c>
      <c r="B1570" s="26">
        <v>45494.0</v>
      </c>
      <c r="C1570" s="25">
        <v>163.0</v>
      </c>
      <c r="D1570" s="25">
        <v>6.0</v>
      </c>
      <c r="E1570" s="25">
        <v>3.0</v>
      </c>
      <c r="F1570" s="25">
        <v>4.0</v>
      </c>
      <c r="G1570" s="27" t="s">
        <v>24</v>
      </c>
    </row>
    <row r="1571" ht="22.5" customHeight="1">
      <c r="A1571" s="25">
        <v>666.0</v>
      </c>
      <c r="B1571" s="26">
        <v>45494.0</v>
      </c>
      <c r="C1571" s="25">
        <v>20.0</v>
      </c>
      <c r="D1571" s="25">
        <v>10.0</v>
      </c>
      <c r="E1571" s="25">
        <v>3.0</v>
      </c>
      <c r="F1571" s="25">
        <v>3.0</v>
      </c>
      <c r="G1571" s="27" t="s">
        <v>24</v>
      </c>
    </row>
    <row r="1572" ht="22.5" customHeight="1">
      <c r="A1572" s="25">
        <v>1017.0</v>
      </c>
      <c r="B1572" s="26">
        <v>45494.0</v>
      </c>
      <c r="C1572" s="25">
        <v>200.0</v>
      </c>
      <c r="D1572" s="25">
        <v>24.0</v>
      </c>
      <c r="E1572" s="25">
        <v>2.0</v>
      </c>
      <c r="F1572" s="25">
        <v>3.0</v>
      </c>
      <c r="G1572" s="27" t="s">
        <v>24</v>
      </c>
    </row>
    <row r="1573" ht="22.5" customHeight="1">
      <c r="A1573" s="25">
        <v>1023.0</v>
      </c>
      <c r="B1573" s="26">
        <v>45494.0</v>
      </c>
      <c r="C1573" s="25">
        <v>104.0</v>
      </c>
      <c r="D1573" s="25">
        <v>4.0</v>
      </c>
      <c r="E1573" s="25">
        <v>2.0</v>
      </c>
      <c r="F1573" s="25">
        <v>5.0</v>
      </c>
      <c r="G1573" s="27" t="s">
        <v>25</v>
      </c>
    </row>
    <row r="1574" ht="22.5" customHeight="1">
      <c r="A1574" s="25">
        <v>1885.0</v>
      </c>
      <c r="B1574" s="26">
        <v>45494.0</v>
      </c>
      <c r="C1574" s="25">
        <v>219.0</v>
      </c>
      <c r="D1574" s="25">
        <v>17.0</v>
      </c>
      <c r="E1574" s="25">
        <v>6.0</v>
      </c>
      <c r="F1574" s="25">
        <v>4.0</v>
      </c>
      <c r="G1574" s="27" t="s">
        <v>24</v>
      </c>
    </row>
    <row r="1575" ht="22.5" customHeight="1">
      <c r="A1575" s="25">
        <v>1887.0</v>
      </c>
      <c r="B1575" s="26">
        <v>45494.0</v>
      </c>
      <c r="C1575" s="25">
        <v>19.0</v>
      </c>
      <c r="D1575" s="25">
        <v>19.0</v>
      </c>
      <c r="E1575" s="25">
        <v>2.0</v>
      </c>
      <c r="F1575" s="25">
        <v>5.0</v>
      </c>
      <c r="G1575" s="27" t="s">
        <v>24</v>
      </c>
    </row>
    <row r="1576" ht="22.5" customHeight="1">
      <c r="A1576" s="25">
        <v>1943.0</v>
      </c>
      <c r="B1576" s="26">
        <v>45494.0</v>
      </c>
      <c r="C1576" s="25">
        <v>235.0</v>
      </c>
      <c r="D1576" s="25">
        <v>15.0</v>
      </c>
      <c r="E1576" s="25">
        <v>2.0</v>
      </c>
      <c r="F1576" s="25">
        <v>4.0</v>
      </c>
      <c r="G1576" s="27" t="s">
        <v>24</v>
      </c>
    </row>
    <row r="1577" ht="22.5" customHeight="1">
      <c r="A1577" s="25">
        <v>2111.0</v>
      </c>
      <c r="B1577" s="26">
        <v>45494.0</v>
      </c>
      <c r="C1577" s="25">
        <v>289.0</v>
      </c>
      <c r="D1577" s="25">
        <v>23.0</v>
      </c>
      <c r="E1577" s="25">
        <v>2.0</v>
      </c>
      <c r="F1577" s="25">
        <v>3.0</v>
      </c>
      <c r="G1577" s="27" t="s">
        <v>24</v>
      </c>
    </row>
    <row r="1578" ht="22.5" customHeight="1">
      <c r="A1578" s="25">
        <v>81.0</v>
      </c>
      <c r="B1578" s="26">
        <v>45495.0</v>
      </c>
      <c r="C1578" s="25">
        <v>160.0</v>
      </c>
      <c r="D1578" s="25">
        <v>10.0</v>
      </c>
      <c r="E1578" s="25">
        <v>2.0</v>
      </c>
      <c r="F1578" s="25">
        <v>3.0</v>
      </c>
      <c r="G1578" s="27" t="s">
        <v>24</v>
      </c>
    </row>
    <row r="1579" ht="22.5" customHeight="1">
      <c r="A1579" s="25">
        <v>291.0</v>
      </c>
      <c r="B1579" s="26">
        <v>45495.0</v>
      </c>
      <c r="C1579" s="25">
        <v>79.0</v>
      </c>
      <c r="D1579" s="25">
        <v>37.0</v>
      </c>
      <c r="E1579" s="25">
        <v>6.0</v>
      </c>
      <c r="F1579" s="25">
        <v>3.0</v>
      </c>
      <c r="G1579" s="27" t="s">
        <v>24</v>
      </c>
    </row>
    <row r="1580" ht="22.5" customHeight="1">
      <c r="A1580" s="25">
        <v>555.0</v>
      </c>
      <c r="B1580" s="26">
        <v>45495.0</v>
      </c>
      <c r="C1580" s="25">
        <v>234.0</v>
      </c>
      <c r="D1580" s="25">
        <v>27.0</v>
      </c>
      <c r="E1580" s="25">
        <v>5.0</v>
      </c>
      <c r="F1580" s="25">
        <v>3.0</v>
      </c>
      <c r="G1580" s="27" t="s">
        <v>24</v>
      </c>
    </row>
    <row r="1581" ht="22.5" customHeight="1">
      <c r="A1581" s="25">
        <v>1034.0</v>
      </c>
      <c r="B1581" s="26">
        <v>45495.0</v>
      </c>
      <c r="C1581" s="25">
        <v>125.0</v>
      </c>
      <c r="D1581" s="25">
        <v>26.0</v>
      </c>
      <c r="E1581" s="25">
        <v>3.0</v>
      </c>
      <c r="F1581" s="25">
        <v>1.0</v>
      </c>
      <c r="G1581" s="27" t="s">
        <v>25</v>
      </c>
    </row>
    <row r="1582" ht="22.5" customHeight="1">
      <c r="A1582" s="25">
        <v>1641.0</v>
      </c>
      <c r="B1582" s="26">
        <v>45495.0</v>
      </c>
      <c r="C1582" s="25">
        <v>319.0</v>
      </c>
      <c r="D1582" s="25">
        <v>29.0</v>
      </c>
      <c r="E1582" s="25">
        <v>6.0</v>
      </c>
      <c r="F1582" s="25">
        <v>4.0</v>
      </c>
      <c r="G1582" s="27" t="s">
        <v>25</v>
      </c>
    </row>
    <row r="1583" ht="22.5" customHeight="1">
      <c r="A1583" s="25">
        <v>1848.0</v>
      </c>
      <c r="B1583" s="26">
        <v>45495.0</v>
      </c>
      <c r="C1583" s="25">
        <v>323.0</v>
      </c>
      <c r="D1583" s="25">
        <v>2.0</v>
      </c>
      <c r="E1583" s="25">
        <v>5.0</v>
      </c>
      <c r="F1583" s="25">
        <v>2.0</v>
      </c>
      <c r="G1583" s="27" t="s">
        <v>24</v>
      </c>
    </row>
    <row r="1584" ht="22.5" customHeight="1">
      <c r="A1584" s="25">
        <v>1990.0</v>
      </c>
      <c r="B1584" s="26">
        <v>45495.0</v>
      </c>
      <c r="C1584" s="25">
        <v>242.0</v>
      </c>
      <c r="D1584" s="25">
        <v>16.0</v>
      </c>
      <c r="E1584" s="25">
        <v>4.0</v>
      </c>
      <c r="F1584" s="25">
        <v>5.0</v>
      </c>
      <c r="G1584" s="27" t="s">
        <v>24</v>
      </c>
    </row>
    <row r="1585" ht="22.5" customHeight="1">
      <c r="A1585" s="25">
        <v>2440.0</v>
      </c>
      <c r="B1585" s="26">
        <v>45495.0</v>
      </c>
      <c r="C1585" s="25">
        <v>21.0</v>
      </c>
      <c r="D1585" s="25">
        <v>35.0</v>
      </c>
      <c r="E1585" s="25">
        <v>6.0</v>
      </c>
      <c r="F1585" s="25">
        <v>4.0</v>
      </c>
      <c r="G1585" s="27" t="s">
        <v>24</v>
      </c>
    </row>
    <row r="1586" ht="22.5" customHeight="1">
      <c r="A1586" s="25">
        <v>2837.0</v>
      </c>
      <c r="B1586" s="26">
        <v>45495.0</v>
      </c>
      <c r="C1586" s="25">
        <v>324.0</v>
      </c>
      <c r="D1586" s="25">
        <v>14.0</v>
      </c>
      <c r="E1586" s="25">
        <v>1.0</v>
      </c>
      <c r="F1586" s="25">
        <v>3.0</v>
      </c>
      <c r="G1586" s="27" t="s">
        <v>24</v>
      </c>
    </row>
    <row r="1587" ht="22.5" customHeight="1">
      <c r="A1587" s="25">
        <v>280.0</v>
      </c>
      <c r="B1587" s="26">
        <v>45496.0</v>
      </c>
      <c r="C1587" s="25">
        <v>279.0</v>
      </c>
      <c r="D1587" s="25">
        <v>2.0</v>
      </c>
      <c r="E1587" s="25">
        <v>1.0</v>
      </c>
      <c r="F1587" s="25">
        <v>3.0</v>
      </c>
      <c r="G1587" s="27" t="s">
        <v>24</v>
      </c>
    </row>
    <row r="1588" ht="22.5" customHeight="1">
      <c r="A1588" s="25">
        <v>538.0</v>
      </c>
      <c r="B1588" s="26">
        <v>45496.0</v>
      </c>
      <c r="C1588" s="25">
        <v>243.0</v>
      </c>
      <c r="D1588" s="25">
        <v>37.0</v>
      </c>
      <c r="E1588" s="25">
        <v>1.0</v>
      </c>
      <c r="F1588" s="25">
        <v>1.0</v>
      </c>
      <c r="G1588" s="27" t="s">
        <v>25</v>
      </c>
    </row>
    <row r="1589" ht="22.5" customHeight="1">
      <c r="A1589" s="25">
        <v>574.0</v>
      </c>
      <c r="B1589" s="26">
        <v>45496.0</v>
      </c>
      <c r="C1589" s="25">
        <v>17.0</v>
      </c>
      <c r="D1589" s="25">
        <v>17.0</v>
      </c>
      <c r="E1589" s="25">
        <v>5.0</v>
      </c>
      <c r="F1589" s="25">
        <v>5.0</v>
      </c>
      <c r="G1589" s="27" t="s">
        <v>24</v>
      </c>
    </row>
    <row r="1590" ht="22.5" customHeight="1">
      <c r="A1590" s="25">
        <v>1145.0</v>
      </c>
      <c r="B1590" s="26">
        <v>45496.0</v>
      </c>
      <c r="C1590" s="25">
        <v>90.0</v>
      </c>
      <c r="D1590" s="25">
        <v>25.0</v>
      </c>
      <c r="E1590" s="25">
        <v>6.0</v>
      </c>
      <c r="F1590" s="25">
        <v>2.0</v>
      </c>
      <c r="G1590" s="27" t="s">
        <v>24</v>
      </c>
    </row>
    <row r="1591" ht="22.5" customHeight="1">
      <c r="A1591" s="25">
        <v>1261.0</v>
      </c>
      <c r="B1591" s="26">
        <v>45496.0</v>
      </c>
      <c r="C1591" s="25">
        <v>318.0</v>
      </c>
      <c r="D1591" s="25">
        <v>30.0</v>
      </c>
      <c r="E1591" s="25">
        <v>4.0</v>
      </c>
      <c r="F1591" s="25">
        <v>1.0</v>
      </c>
      <c r="G1591" s="27" t="s">
        <v>24</v>
      </c>
    </row>
    <row r="1592" ht="22.5" customHeight="1">
      <c r="A1592" s="25">
        <v>1500.0</v>
      </c>
      <c r="B1592" s="26">
        <v>45496.0</v>
      </c>
      <c r="C1592" s="25">
        <v>141.0</v>
      </c>
      <c r="D1592" s="25">
        <v>23.0</v>
      </c>
      <c r="E1592" s="25">
        <v>5.0</v>
      </c>
      <c r="F1592" s="25">
        <v>4.0</v>
      </c>
      <c r="G1592" s="27" t="s">
        <v>25</v>
      </c>
    </row>
    <row r="1593" ht="22.5" customHeight="1">
      <c r="A1593" s="25">
        <v>1912.0</v>
      </c>
      <c r="B1593" s="26">
        <v>45496.0</v>
      </c>
      <c r="C1593" s="25">
        <v>23.0</v>
      </c>
      <c r="D1593" s="25">
        <v>21.0</v>
      </c>
      <c r="E1593" s="25">
        <v>1.0</v>
      </c>
      <c r="F1593" s="25">
        <v>4.0</v>
      </c>
      <c r="G1593" s="27" t="s">
        <v>24</v>
      </c>
    </row>
    <row r="1594" ht="22.5" customHeight="1">
      <c r="A1594" s="25">
        <v>2170.0</v>
      </c>
      <c r="B1594" s="26">
        <v>45496.0</v>
      </c>
      <c r="C1594" s="25">
        <v>130.0</v>
      </c>
      <c r="D1594" s="25">
        <v>2.0</v>
      </c>
      <c r="E1594" s="25">
        <v>1.0</v>
      </c>
      <c r="F1594" s="25">
        <v>4.0</v>
      </c>
      <c r="G1594" s="27" t="s">
        <v>25</v>
      </c>
    </row>
    <row r="1595" ht="22.5" customHeight="1">
      <c r="A1595" s="25">
        <v>2736.0</v>
      </c>
      <c r="B1595" s="26">
        <v>45496.0</v>
      </c>
      <c r="C1595" s="25">
        <v>133.0</v>
      </c>
      <c r="D1595" s="25">
        <v>35.0</v>
      </c>
      <c r="E1595" s="25">
        <v>4.0</v>
      </c>
      <c r="F1595" s="25">
        <v>3.0</v>
      </c>
      <c r="G1595" s="27" t="s">
        <v>24</v>
      </c>
    </row>
    <row r="1596" ht="22.5" customHeight="1">
      <c r="A1596" s="25">
        <v>2749.0</v>
      </c>
      <c r="B1596" s="26">
        <v>45496.0</v>
      </c>
      <c r="C1596" s="25">
        <v>248.0</v>
      </c>
      <c r="D1596" s="25">
        <v>18.0</v>
      </c>
      <c r="E1596" s="25">
        <v>2.0</v>
      </c>
      <c r="F1596" s="25">
        <v>1.0</v>
      </c>
      <c r="G1596" s="27" t="s">
        <v>24</v>
      </c>
    </row>
    <row r="1597" ht="22.5" customHeight="1">
      <c r="A1597" s="25">
        <v>2927.0</v>
      </c>
      <c r="B1597" s="26">
        <v>45496.0</v>
      </c>
      <c r="C1597" s="25">
        <v>270.0</v>
      </c>
      <c r="D1597" s="25">
        <v>13.0</v>
      </c>
      <c r="E1597" s="25">
        <v>6.0</v>
      </c>
      <c r="F1597" s="25">
        <v>4.0</v>
      </c>
      <c r="G1597" s="27" t="s">
        <v>24</v>
      </c>
    </row>
    <row r="1598" ht="22.5" customHeight="1">
      <c r="A1598" s="25">
        <v>92.0</v>
      </c>
      <c r="B1598" s="26">
        <v>45497.0</v>
      </c>
      <c r="C1598" s="25">
        <v>190.0</v>
      </c>
      <c r="D1598" s="25">
        <v>22.0</v>
      </c>
      <c r="E1598" s="25">
        <v>2.0</v>
      </c>
      <c r="F1598" s="25">
        <v>5.0</v>
      </c>
      <c r="G1598" s="27" t="s">
        <v>24</v>
      </c>
    </row>
    <row r="1599" ht="22.5" customHeight="1">
      <c r="A1599" s="25">
        <v>953.0</v>
      </c>
      <c r="B1599" s="26">
        <v>45497.0</v>
      </c>
      <c r="C1599" s="25">
        <v>134.0</v>
      </c>
      <c r="D1599" s="25">
        <v>33.0</v>
      </c>
      <c r="E1599" s="25">
        <v>3.0</v>
      </c>
      <c r="F1599" s="25">
        <v>3.0</v>
      </c>
      <c r="G1599" s="27" t="s">
        <v>24</v>
      </c>
    </row>
    <row r="1600" ht="22.5" customHeight="1">
      <c r="A1600" s="25">
        <v>1314.0</v>
      </c>
      <c r="B1600" s="26">
        <v>45497.0</v>
      </c>
      <c r="C1600" s="25">
        <v>290.0</v>
      </c>
      <c r="D1600" s="25">
        <v>6.0</v>
      </c>
      <c r="E1600" s="25">
        <v>3.0</v>
      </c>
      <c r="F1600" s="25">
        <v>2.0</v>
      </c>
      <c r="G1600" s="27" t="s">
        <v>24</v>
      </c>
    </row>
    <row r="1601" ht="22.5" customHeight="1">
      <c r="A1601" s="25">
        <v>1994.0</v>
      </c>
      <c r="B1601" s="26">
        <v>45497.0</v>
      </c>
      <c r="C1601" s="25">
        <v>323.0</v>
      </c>
      <c r="D1601" s="25">
        <v>31.0</v>
      </c>
      <c r="E1601" s="25">
        <v>6.0</v>
      </c>
      <c r="F1601" s="25">
        <v>5.0</v>
      </c>
      <c r="G1601" s="27" t="s">
        <v>24</v>
      </c>
    </row>
    <row r="1602" ht="22.5" customHeight="1">
      <c r="A1602" s="25">
        <v>2215.0</v>
      </c>
      <c r="B1602" s="26">
        <v>45497.0</v>
      </c>
      <c r="C1602" s="25">
        <v>35.0</v>
      </c>
      <c r="D1602" s="25">
        <v>28.0</v>
      </c>
      <c r="E1602" s="25">
        <v>1.0</v>
      </c>
      <c r="F1602" s="25">
        <v>1.0</v>
      </c>
      <c r="G1602" s="27" t="s">
        <v>25</v>
      </c>
    </row>
    <row r="1603" ht="22.5" customHeight="1">
      <c r="A1603" s="25">
        <v>2277.0</v>
      </c>
      <c r="B1603" s="26">
        <v>45497.0</v>
      </c>
      <c r="C1603" s="25">
        <v>144.0</v>
      </c>
      <c r="D1603" s="25">
        <v>36.0</v>
      </c>
      <c r="E1603" s="25">
        <v>3.0</v>
      </c>
      <c r="F1603" s="25">
        <v>2.0</v>
      </c>
      <c r="G1603" s="27" t="s">
        <v>24</v>
      </c>
    </row>
    <row r="1604" ht="22.5" customHeight="1">
      <c r="A1604" s="25">
        <v>2528.0</v>
      </c>
      <c r="B1604" s="26">
        <v>45497.0</v>
      </c>
      <c r="C1604" s="25">
        <v>164.0</v>
      </c>
      <c r="D1604" s="25">
        <v>13.0</v>
      </c>
      <c r="E1604" s="25">
        <v>1.0</v>
      </c>
      <c r="F1604" s="25">
        <v>1.0</v>
      </c>
      <c r="G1604" s="27" t="s">
        <v>24</v>
      </c>
    </row>
    <row r="1605" ht="22.5" customHeight="1">
      <c r="A1605" s="25">
        <v>2695.0</v>
      </c>
      <c r="B1605" s="26">
        <v>45497.0</v>
      </c>
      <c r="C1605" s="25">
        <v>58.0</v>
      </c>
      <c r="D1605" s="25">
        <v>31.0</v>
      </c>
      <c r="E1605" s="25">
        <v>1.0</v>
      </c>
      <c r="F1605" s="25">
        <v>5.0</v>
      </c>
      <c r="G1605" s="27" t="s">
        <v>24</v>
      </c>
    </row>
    <row r="1606" ht="22.5" customHeight="1">
      <c r="A1606" s="25">
        <v>2725.0</v>
      </c>
      <c r="B1606" s="26">
        <v>45497.0</v>
      </c>
      <c r="C1606" s="25">
        <v>256.0</v>
      </c>
      <c r="D1606" s="25">
        <v>6.0</v>
      </c>
      <c r="E1606" s="25">
        <v>3.0</v>
      </c>
      <c r="F1606" s="25">
        <v>1.0</v>
      </c>
      <c r="G1606" s="27" t="s">
        <v>24</v>
      </c>
    </row>
    <row r="1607" ht="22.5" customHeight="1">
      <c r="A1607" s="25">
        <v>104.0</v>
      </c>
      <c r="B1607" s="26">
        <v>45498.0</v>
      </c>
      <c r="C1607" s="25">
        <v>171.0</v>
      </c>
      <c r="D1607" s="25">
        <v>21.0</v>
      </c>
      <c r="E1607" s="25">
        <v>2.0</v>
      </c>
      <c r="F1607" s="25">
        <v>5.0</v>
      </c>
      <c r="G1607" s="27" t="s">
        <v>24</v>
      </c>
    </row>
    <row r="1608" ht="22.5" customHeight="1">
      <c r="A1608" s="25">
        <v>939.0</v>
      </c>
      <c r="B1608" s="26">
        <v>45498.0</v>
      </c>
      <c r="C1608" s="25">
        <v>150.0</v>
      </c>
      <c r="D1608" s="25">
        <v>14.0</v>
      </c>
      <c r="E1608" s="25">
        <v>2.0</v>
      </c>
      <c r="F1608" s="25">
        <v>5.0</v>
      </c>
      <c r="G1608" s="27" t="s">
        <v>24</v>
      </c>
    </row>
    <row r="1609" ht="22.5" customHeight="1">
      <c r="A1609" s="25">
        <v>1255.0</v>
      </c>
      <c r="B1609" s="26">
        <v>45498.0</v>
      </c>
      <c r="C1609" s="25">
        <v>25.0</v>
      </c>
      <c r="D1609" s="25">
        <v>35.0</v>
      </c>
      <c r="E1609" s="25">
        <v>6.0</v>
      </c>
      <c r="F1609" s="25">
        <v>4.0</v>
      </c>
      <c r="G1609" s="27" t="s">
        <v>25</v>
      </c>
    </row>
    <row r="1610" ht="22.5" customHeight="1">
      <c r="A1610" s="25">
        <v>1353.0</v>
      </c>
      <c r="B1610" s="26">
        <v>45498.0</v>
      </c>
      <c r="C1610" s="25">
        <v>317.0</v>
      </c>
      <c r="D1610" s="25">
        <v>34.0</v>
      </c>
      <c r="E1610" s="25">
        <v>3.0</v>
      </c>
      <c r="F1610" s="25">
        <v>1.0</v>
      </c>
      <c r="G1610" s="27" t="s">
        <v>24</v>
      </c>
    </row>
    <row r="1611" ht="22.5" customHeight="1">
      <c r="A1611" s="25">
        <v>1408.0</v>
      </c>
      <c r="B1611" s="26">
        <v>45498.0</v>
      </c>
      <c r="C1611" s="25">
        <v>124.0</v>
      </c>
      <c r="D1611" s="25">
        <v>12.0</v>
      </c>
      <c r="E1611" s="25">
        <v>1.0</v>
      </c>
      <c r="F1611" s="25">
        <v>5.0</v>
      </c>
      <c r="G1611" s="27" t="s">
        <v>24</v>
      </c>
    </row>
    <row r="1612" ht="22.5" customHeight="1">
      <c r="A1612" s="25">
        <v>1580.0</v>
      </c>
      <c r="B1612" s="26">
        <v>45498.0</v>
      </c>
      <c r="C1612" s="25">
        <v>209.0</v>
      </c>
      <c r="D1612" s="25">
        <v>9.0</v>
      </c>
      <c r="E1612" s="25">
        <v>6.0</v>
      </c>
      <c r="F1612" s="25">
        <v>3.0</v>
      </c>
      <c r="G1612" s="27" t="s">
        <v>24</v>
      </c>
    </row>
    <row r="1613" ht="22.5" customHeight="1">
      <c r="A1613" s="25">
        <v>1744.0</v>
      </c>
      <c r="B1613" s="26">
        <v>45498.0</v>
      </c>
      <c r="C1613" s="25">
        <v>314.0</v>
      </c>
      <c r="D1613" s="25">
        <v>34.0</v>
      </c>
      <c r="E1613" s="25">
        <v>3.0</v>
      </c>
      <c r="F1613" s="25">
        <v>5.0</v>
      </c>
      <c r="G1613" s="27" t="s">
        <v>24</v>
      </c>
    </row>
    <row r="1614" ht="22.5" customHeight="1">
      <c r="A1614" s="25">
        <v>2471.0</v>
      </c>
      <c r="B1614" s="26">
        <v>45498.0</v>
      </c>
      <c r="C1614" s="25">
        <v>32.0</v>
      </c>
      <c r="D1614" s="25">
        <v>35.0</v>
      </c>
      <c r="E1614" s="25">
        <v>2.0</v>
      </c>
      <c r="F1614" s="25">
        <v>3.0</v>
      </c>
      <c r="G1614" s="27" t="s">
        <v>24</v>
      </c>
    </row>
    <row r="1615" ht="22.5" customHeight="1">
      <c r="A1615" s="25">
        <v>2525.0</v>
      </c>
      <c r="B1615" s="26">
        <v>45498.0</v>
      </c>
      <c r="C1615" s="25">
        <v>231.0</v>
      </c>
      <c r="D1615" s="25">
        <v>38.0</v>
      </c>
      <c r="E1615" s="25">
        <v>4.0</v>
      </c>
      <c r="F1615" s="25">
        <v>5.0</v>
      </c>
      <c r="G1615" s="27" t="s">
        <v>24</v>
      </c>
    </row>
    <row r="1616" ht="22.5" customHeight="1">
      <c r="A1616" s="25">
        <v>19.0</v>
      </c>
      <c r="B1616" s="26">
        <v>45499.0</v>
      </c>
      <c r="C1616" s="25">
        <v>47.0</v>
      </c>
      <c r="D1616" s="25">
        <v>31.0</v>
      </c>
      <c r="E1616" s="25">
        <v>6.0</v>
      </c>
      <c r="F1616" s="25">
        <v>1.0</v>
      </c>
      <c r="G1616" s="27" t="s">
        <v>25</v>
      </c>
    </row>
    <row r="1617" ht="22.5" customHeight="1">
      <c r="A1617" s="25">
        <v>323.0</v>
      </c>
      <c r="B1617" s="26">
        <v>45499.0</v>
      </c>
      <c r="C1617" s="25">
        <v>295.0</v>
      </c>
      <c r="D1617" s="25">
        <v>22.0</v>
      </c>
      <c r="E1617" s="25">
        <v>3.0</v>
      </c>
      <c r="F1617" s="25">
        <v>2.0</v>
      </c>
      <c r="G1617" s="27" t="s">
        <v>24</v>
      </c>
    </row>
    <row r="1618" ht="22.5" customHeight="1">
      <c r="A1618" s="25">
        <v>392.0</v>
      </c>
      <c r="B1618" s="26">
        <v>45499.0</v>
      </c>
      <c r="C1618" s="25">
        <v>150.0</v>
      </c>
      <c r="D1618" s="25">
        <v>15.0</v>
      </c>
      <c r="E1618" s="25">
        <v>5.0</v>
      </c>
      <c r="F1618" s="25">
        <v>5.0</v>
      </c>
      <c r="G1618" s="27" t="s">
        <v>24</v>
      </c>
    </row>
    <row r="1619" ht="22.5" customHeight="1">
      <c r="A1619" s="25">
        <v>410.0</v>
      </c>
      <c r="B1619" s="26">
        <v>45499.0</v>
      </c>
      <c r="C1619" s="25">
        <v>165.0</v>
      </c>
      <c r="D1619" s="25">
        <v>34.0</v>
      </c>
      <c r="E1619" s="25">
        <v>5.0</v>
      </c>
      <c r="F1619" s="25">
        <v>2.0</v>
      </c>
      <c r="G1619" s="27" t="s">
        <v>25</v>
      </c>
    </row>
    <row r="1620" ht="22.5" customHeight="1">
      <c r="A1620" s="25">
        <v>515.0</v>
      </c>
      <c r="B1620" s="26">
        <v>45499.0</v>
      </c>
      <c r="C1620" s="25">
        <v>35.0</v>
      </c>
      <c r="D1620" s="25">
        <v>13.0</v>
      </c>
      <c r="E1620" s="25">
        <v>3.0</v>
      </c>
      <c r="F1620" s="25">
        <v>4.0</v>
      </c>
      <c r="G1620" s="27" t="s">
        <v>24</v>
      </c>
    </row>
    <row r="1621" ht="22.5" customHeight="1">
      <c r="A1621" s="25">
        <v>689.0</v>
      </c>
      <c r="B1621" s="26">
        <v>45499.0</v>
      </c>
      <c r="C1621" s="25">
        <v>187.0</v>
      </c>
      <c r="D1621" s="25">
        <v>33.0</v>
      </c>
      <c r="E1621" s="25">
        <v>3.0</v>
      </c>
      <c r="F1621" s="25">
        <v>1.0</v>
      </c>
      <c r="G1621" s="27" t="s">
        <v>24</v>
      </c>
    </row>
    <row r="1622" ht="22.5" customHeight="1">
      <c r="A1622" s="25">
        <v>770.0</v>
      </c>
      <c r="B1622" s="26">
        <v>45499.0</v>
      </c>
      <c r="C1622" s="25">
        <v>123.0</v>
      </c>
      <c r="D1622" s="25">
        <v>9.0</v>
      </c>
      <c r="E1622" s="25">
        <v>1.0</v>
      </c>
      <c r="F1622" s="25">
        <v>1.0</v>
      </c>
      <c r="G1622" s="27" t="s">
        <v>24</v>
      </c>
    </row>
    <row r="1623" ht="22.5" customHeight="1">
      <c r="A1623" s="25">
        <v>1004.0</v>
      </c>
      <c r="B1623" s="26">
        <v>45499.0</v>
      </c>
      <c r="C1623" s="25">
        <v>71.0</v>
      </c>
      <c r="D1623" s="25">
        <v>29.0</v>
      </c>
      <c r="E1623" s="25">
        <v>5.0</v>
      </c>
      <c r="F1623" s="25">
        <v>5.0</v>
      </c>
      <c r="G1623" s="27" t="s">
        <v>24</v>
      </c>
    </row>
    <row r="1624" ht="22.5" customHeight="1">
      <c r="A1624" s="25">
        <v>1070.0</v>
      </c>
      <c r="B1624" s="26">
        <v>45499.0</v>
      </c>
      <c r="C1624" s="25">
        <v>174.0</v>
      </c>
      <c r="D1624" s="25">
        <v>12.0</v>
      </c>
      <c r="E1624" s="25">
        <v>6.0</v>
      </c>
      <c r="F1624" s="25">
        <v>4.0</v>
      </c>
      <c r="G1624" s="27" t="s">
        <v>24</v>
      </c>
    </row>
    <row r="1625" ht="22.5" customHeight="1">
      <c r="A1625" s="25">
        <v>1233.0</v>
      </c>
      <c r="B1625" s="26">
        <v>45499.0</v>
      </c>
      <c r="C1625" s="25">
        <v>199.0</v>
      </c>
      <c r="D1625" s="25">
        <v>16.0</v>
      </c>
      <c r="E1625" s="25">
        <v>4.0</v>
      </c>
      <c r="F1625" s="25">
        <v>3.0</v>
      </c>
      <c r="G1625" s="27" t="s">
        <v>23</v>
      </c>
    </row>
    <row r="1626" ht="22.5" customHeight="1">
      <c r="A1626" s="25">
        <v>1678.0</v>
      </c>
      <c r="B1626" s="26">
        <v>45499.0</v>
      </c>
      <c r="C1626" s="25">
        <v>170.0</v>
      </c>
      <c r="D1626" s="25">
        <v>32.0</v>
      </c>
      <c r="E1626" s="25">
        <v>6.0</v>
      </c>
      <c r="F1626" s="25">
        <v>4.0</v>
      </c>
      <c r="G1626" s="27" t="s">
        <v>25</v>
      </c>
    </row>
    <row r="1627" ht="22.5" customHeight="1">
      <c r="A1627" s="25">
        <v>2760.0</v>
      </c>
      <c r="B1627" s="26">
        <v>45499.0</v>
      </c>
      <c r="C1627" s="25">
        <v>159.0</v>
      </c>
      <c r="D1627" s="25">
        <v>16.0</v>
      </c>
      <c r="E1627" s="25">
        <v>5.0</v>
      </c>
      <c r="F1627" s="25">
        <v>4.0</v>
      </c>
      <c r="G1627" s="27" t="s">
        <v>24</v>
      </c>
    </row>
    <row r="1628" ht="22.5" customHeight="1">
      <c r="A1628" s="25">
        <v>2779.0</v>
      </c>
      <c r="B1628" s="26">
        <v>45499.0</v>
      </c>
      <c r="C1628" s="25">
        <v>237.0</v>
      </c>
      <c r="D1628" s="25">
        <v>26.0</v>
      </c>
      <c r="E1628" s="25">
        <v>3.0</v>
      </c>
      <c r="F1628" s="25">
        <v>5.0</v>
      </c>
      <c r="G1628" s="27" t="s">
        <v>24</v>
      </c>
    </row>
    <row r="1629" ht="22.5" customHeight="1">
      <c r="A1629" s="25">
        <v>2836.0</v>
      </c>
      <c r="B1629" s="26">
        <v>45499.0</v>
      </c>
      <c r="C1629" s="25">
        <v>139.0</v>
      </c>
      <c r="D1629" s="25">
        <v>13.0</v>
      </c>
      <c r="E1629" s="25">
        <v>5.0</v>
      </c>
      <c r="F1629" s="25">
        <v>1.0</v>
      </c>
      <c r="G1629" s="27" t="s">
        <v>24</v>
      </c>
    </row>
    <row r="1630" ht="22.5" customHeight="1">
      <c r="A1630" s="25">
        <v>2986.0</v>
      </c>
      <c r="B1630" s="26">
        <v>45499.0</v>
      </c>
      <c r="C1630" s="25">
        <v>228.0</v>
      </c>
      <c r="D1630" s="25">
        <v>11.0</v>
      </c>
      <c r="E1630" s="25">
        <v>4.0</v>
      </c>
      <c r="F1630" s="25">
        <v>4.0</v>
      </c>
      <c r="G1630" s="27" t="s">
        <v>24</v>
      </c>
    </row>
    <row r="1631" ht="22.5" customHeight="1">
      <c r="A1631" s="25">
        <v>344.0</v>
      </c>
      <c r="B1631" s="26">
        <v>45500.0</v>
      </c>
      <c r="C1631" s="25">
        <v>151.0</v>
      </c>
      <c r="D1631" s="25">
        <v>19.0</v>
      </c>
      <c r="E1631" s="25">
        <v>2.0</v>
      </c>
      <c r="F1631" s="25">
        <v>3.0</v>
      </c>
      <c r="G1631" s="27" t="s">
        <v>25</v>
      </c>
    </row>
    <row r="1632" ht="22.5" customHeight="1">
      <c r="A1632" s="25">
        <v>475.0</v>
      </c>
      <c r="B1632" s="26">
        <v>45500.0</v>
      </c>
      <c r="C1632" s="25">
        <v>314.0</v>
      </c>
      <c r="D1632" s="25">
        <v>36.0</v>
      </c>
      <c r="E1632" s="25">
        <v>5.0</v>
      </c>
      <c r="F1632" s="25">
        <v>1.0</v>
      </c>
      <c r="G1632" s="27" t="s">
        <v>24</v>
      </c>
    </row>
    <row r="1633" ht="22.5" customHeight="1">
      <c r="A1633" s="25">
        <v>771.0</v>
      </c>
      <c r="B1633" s="26">
        <v>45500.0</v>
      </c>
      <c r="C1633" s="25">
        <v>78.0</v>
      </c>
      <c r="D1633" s="25">
        <v>32.0</v>
      </c>
      <c r="E1633" s="25">
        <v>4.0</v>
      </c>
      <c r="F1633" s="25">
        <v>2.0</v>
      </c>
      <c r="G1633" s="27" t="s">
        <v>24</v>
      </c>
    </row>
    <row r="1634" ht="22.5" customHeight="1">
      <c r="A1634" s="25">
        <v>1516.0</v>
      </c>
      <c r="B1634" s="26">
        <v>45500.0</v>
      </c>
      <c r="C1634" s="25">
        <v>22.0</v>
      </c>
      <c r="D1634" s="25">
        <v>14.0</v>
      </c>
      <c r="E1634" s="25">
        <v>2.0</v>
      </c>
      <c r="F1634" s="25">
        <v>4.0</v>
      </c>
      <c r="G1634" s="27" t="s">
        <v>24</v>
      </c>
    </row>
    <row r="1635" ht="22.5" customHeight="1">
      <c r="A1635" s="25">
        <v>1858.0</v>
      </c>
      <c r="B1635" s="26">
        <v>45500.0</v>
      </c>
      <c r="C1635" s="25">
        <v>301.0</v>
      </c>
      <c r="D1635" s="25">
        <v>26.0</v>
      </c>
      <c r="E1635" s="25">
        <v>2.0</v>
      </c>
      <c r="F1635" s="25">
        <v>4.0</v>
      </c>
      <c r="G1635" s="27" t="s">
        <v>25</v>
      </c>
    </row>
    <row r="1636" ht="22.5" customHeight="1">
      <c r="A1636" s="25">
        <v>2237.0</v>
      </c>
      <c r="B1636" s="26">
        <v>45500.0</v>
      </c>
      <c r="C1636" s="25">
        <v>233.0</v>
      </c>
      <c r="D1636" s="25">
        <v>38.0</v>
      </c>
      <c r="E1636" s="25">
        <v>5.0</v>
      </c>
      <c r="F1636" s="25">
        <v>4.0</v>
      </c>
      <c r="G1636" s="27" t="s">
        <v>24</v>
      </c>
    </row>
    <row r="1637" ht="22.5" customHeight="1">
      <c r="A1637" s="25">
        <v>2282.0</v>
      </c>
      <c r="B1637" s="26">
        <v>45500.0</v>
      </c>
      <c r="C1637" s="25">
        <v>192.0</v>
      </c>
      <c r="D1637" s="25">
        <v>6.0</v>
      </c>
      <c r="E1637" s="25">
        <v>6.0</v>
      </c>
      <c r="F1637" s="25">
        <v>4.0</v>
      </c>
      <c r="G1637" s="27" t="s">
        <v>24</v>
      </c>
    </row>
    <row r="1638" ht="22.5" customHeight="1">
      <c r="A1638" s="25">
        <v>2293.0</v>
      </c>
      <c r="B1638" s="26">
        <v>45500.0</v>
      </c>
      <c r="C1638" s="25">
        <v>300.0</v>
      </c>
      <c r="D1638" s="25">
        <v>6.0</v>
      </c>
      <c r="E1638" s="25">
        <v>3.0</v>
      </c>
      <c r="F1638" s="25">
        <v>4.0</v>
      </c>
      <c r="G1638" s="27" t="s">
        <v>24</v>
      </c>
    </row>
    <row r="1639" ht="22.5" customHeight="1">
      <c r="A1639" s="25">
        <v>411.0</v>
      </c>
      <c r="B1639" s="26">
        <v>45501.0</v>
      </c>
      <c r="C1639" s="25">
        <v>142.0</v>
      </c>
      <c r="D1639" s="25">
        <v>23.0</v>
      </c>
      <c r="E1639" s="25">
        <v>5.0</v>
      </c>
      <c r="F1639" s="25">
        <v>4.0</v>
      </c>
      <c r="G1639" s="27" t="s">
        <v>24</v>
      </c>
    </row>
    <row r="1640" ht="22.5" customHeight="1">
      <c r="A1640" s="25">
        <v>838.0</v>
      </c>
      <c r="B1640" s="26">
        <v>45501.0</v>
      </c>
      <c r="C1640" s="25">
        <v>304.0</v>
      </c>
      <c r="D1640" s="25">
        <v>38.0</v>
      </c>
      <c r="E1640" s="25">
        <v>3.0</v>
      </c>
      <c r="F1640" s="25">
        <v>1.0</v>
      </c>
      <c r="G1640" s="27" t="s">
        <v>24</v>
      </c>
    </row>
    <row r="1641" ht="22.5" customHeight="1">
      <c r="A1641" s="25">
        <v>2389.0</v>
      </c>
      <c r="B1641" s="26">
        <v>45501.0</v>
      </c>
      <c r="C1641" s="25">
        <v>64.0</v>
      </c>
      <c r="D1641" s="25">
        <v>29.0</v>
      </c>
      <c r="E1641" s="25">
        <v>1.0</v>
      </c>
      <c r="F1641" s="25">
        <v>1.0</v>
      </c>
      <c r="G1641" s="27" t="s">
        <v>24</v>
      </c>
    </row>
    <row r="1642" ht="22.5" customHeight="1">
      <c r="A1642" s="25">
        <v>178.0</v>
      </c>
      <c r="B1642" s="26">
        <v>45502.0</v>
      </c>
      <c r="C1642" s="25">
        <v>159.0</v>
      </c>
      <c r="D1642" s="25">
        <v>21.0</v>
      </c>
      <c r="E1642" s="25">
        <v>1.0</v>
      </c>
      <c r="F1642" s="25">
        <v>3.0</v>
      </c>
      <c r="G1642" s="27" t="s">
        <v>25</v>
      </c>
    </row>
    <row r="1643" ht="22.5" customHeight="1">
      <c r="A1643" s="25">
        <v>257.0</v>
      </c>
      <c r="B1643" s="26">
        <v>45502.0</v>
      </c>
      <c r="C1643" s="25">
        <v>249.0</v>
      </c>
      <c r="D1643" s="25">
        <v>28.0</v>
      </c>
      <c r="E1643" s="25">
        <v>5.0</v>
      </c>
      <c r="F1643" s="25">
        <v>4.0</v>
      </c>
      <c r="G1643" s="27" t="s">
        <v>25</v>
      </c>
    </row>
    <row r="1644" ht="22.5" customHeight="1">
      <c r="A1644" s="25">
        <v>531.0</v>
      </c>
      <c r="B1644" s="26">
        <v>45502.0</v>
      </c>
      <c r="C1644" s="25">
        <v>24.0</v>
      </c>
      <c r="D1644" s="25">
        <v>27.0</v>
      </c>
      <c r="E1644" s="25">
        <v>2.0</v>
      </c>
      <c r="F1644" s="25">
        <v>4.0</v>
      </c>
      <c r="G1644" s="27" t="s">
        <v>24</v>
      </c>
    </row>
    <row r="1645" ht="22.5" customHeight="1">
      <c r="A1645" s="25">
        <v>701.0</v>
      </c>
      <c r="B1645" s="26">
        <v>45502.0</v>
      </c>
      <c r="C1645" s="25">
        <v>77.0</v>
      </c>
      <c r="D1645" s="25">
        <v>21.0</v>
      </c>
      <c r="E1645" s="25">
        <v>2.0</v>
      </c>
      <c r="F1645" s="25">
        <v>3.0</v>
      </c>
      <c r="G1645" s="27" t="s">
        <v>25</v>
      </c>
    </row>
    <row r="1646" ht="22.5" customHeight="1">
      <c r="A1646" s="25">
        <v>1515.0</v>
      </c>
      <c r="B1646" s="26">
        <v>45502.0</v>
      </c>
      <c r="C1646" s="25">
        <v>22.0</v>
      </c>
      <c r="D1646" s="25">
        <v>3.0</v>
      </c>
      <c r="E1646" s="25">
        <v>3.0</v>
      </c>
      <c r="F1646" s="25">
        <v>1.0</v>
      </c>
      <c r="G1646" s="27" t="s">
        <v>24</v>
      </c>
    </row>
    <row r="1647" ht="22.5" customHeight="1">
      <c r="A1647" s="25">
        <v>1850.0</v>
      </c>
      <c r="B1647" s="26">
        <v>45502.0</v>
      </c>
      <c r="C1647" s="25">
        <v>301.0</v>
      </c>
      <c r="D1647" s="25">
        <v>15.0</v>
      </c>
      <c r="E1647" s="25">
        <v>4.0</v>
      </c>
      <c r="F1647" s="25">
        <v>4.0</v>
      </c>
      <c r="G1647" s="27" t="s">
        <v>24</v>
      </c>
    </row>
    <row r="1648" ht="22.5" customHeight="1">
      <c r="A1648" s="25">
        <v>2994.0</v>
      </c>
      <c r="B1648" s="26">
        <v>45502.0</v>
      </c>
      <c r="C1648" s="25">
        <v>162.0</v>
      </c>
      <c r="D1648" s="25">
        <v>17.0</v>
      </c>
      <c r="E1648" s="25">
        <v>3.0</v>
      </c>
      <c r="F1648" s="25">
        <v>3.0</v>
      </c>
      <c r="G1648" s="27" t="s">
        <v>24</v>
      </c>
    </row>
    <row r="1649" ht="22.5" customHeight="1">
      <c r="A1649" s="25">
        <v>121.0</v>
      </c>
      <c r="B1649" s="26">
        <v>45503.0</v>
      </c>
      <c r="C1649" s="25">
        <v>114.0</v>
      </c>
      <c r="D1649" s="25">
        <v>38.0</v>
      </c>
      <c r="E1649" s="25">
        <v>4.0</v>
      </c>
      <c r="F1649" s="25">
        <v>5.0</v>
      </c>
      <c r="G1649" s="27" t="s">
        <v>24</v>
      </c>
    </row>
    <row r="1650" ht="22.5" customHeight="1">
      <c r="A1650" s="25">
        <v>202.0</v>
      </c>
      <c r="B1650" s="26">
        <v>45503.0</v>
      </c>
      <c r="C1650" s="25">
        <v>170.0</v>
      </c>
      <c r="D1650" s="25">
        <v>6.0</v>
      </c>
      <c r="E1650" s="25">
        <v>5.0</v>
      </c>
      <c r="F1650" s="25">
        <v>4.0</v>
      </c>
      <c r="G1650" s="27" t="s">
        <v>24</v>
      </c>
    </row>
    <row r="1651" ht="22.5" customHeight="1">
      <c r="A1651" s="25">
        <v>308.0</v>
      </c>
      <c r="B1651" s="26">
        <v>45503.0</v>
      </c>
      <c r="C1651" s="25">
        <v>153.0</v>
      </c>
      <c r="D1651" s="25">
        <v>29.0</v>
      </c>
      <c r="E1651" s="25">
        <v>2.0</v>
      </c>
      <c r="F1651" s="25">
        <v>4.0</v>
      </c>
      <c r="G1651" s="27" t="s">
        <v>24</v>
      </c>
    </row>
    <row r="1652" ht="22.5" customHeight="1">
      <c r="A1652" s="25">
        <v>381.0</v>
      </c>
      <c r="B1652" s="26">
        <v>45503.0</v>
      </c>
      <c r="C1652" s="25">
        <v>140.0</v>
      </c>
      <c r="D1652" s="25">
        <v>29.0</v>
      </c>
      <c r="E1652" s="25">
        <v>4.0</v>
      </c>
      <c r="F1652" s="25">
        <v>2.0</v>
      </c>
      <c r="G1652" s="27" t="s">
        <v>24</v>
      </c>
    </row>
    <row r="1653" ht="22.5" customHeight="1">
      <c r="A1653" s="25">
        <v>906.0</v>
      </c>
      <c r="B1653" s="26">
        <v>45503.0</v>
      </c>
      <c r="C1653" s="25">
        <v>179.0</v>
      </c>
      <c r="D1653" s="25">
        <v>13.0</v>
      </c>
      <c r="E1653" s="25">
        <v>1.0</v>
      </c>
      <c r="F1653" s="25">
        <v>5.0</v>
      </c>
      <c r="G1653" s="27" t="s">
        <v>24</v>
      </c>
    </row>
    <row r="1654" ht="22.5" customHeight="1">
      <c r="A1654" s="25">
        <v>930.0</v>
      </c>
      <c r="B1654" s="26">
        <v>45503.0</v>
      </c>
      <c r="C1654" s="25">
        <v>91.0</v>
      </c>
      <c r="D1654" s="25">
        <v>7.0</v>
      </c>
      <c r="E1654" s="25">
        <v>6.0</v>
      </c>
      <c r="F1654" s="25">
        <v>4.0</v>
      </c>
      <c r="G1654" s="27" t="s">
        <v>24</v>
      </c>
    </row>
    <row r="1655" ht="22.5" customHeight="1">
      <c r="A1655" s="25">
        <v>1106.0</v>
      </c>
      <c r="B1655" s="26">
        <v>45503.0</v>
      </c>
      <c r="C1655" s="25">
        <v>153.0</v>
      </c>
      <c r="D1655" s="25">
        <v>2.0</v>
      </c>
      <c r="E1655" s="25">
        <v>1.0</v>
      </c>
      <c r="F1655" s="25">
        <v>4.0</v>
      </c>
      <c r="G1655" s="27" t="s">
        <v>25</v>
      </c>
    </row>
    <row r="1656" ht="22.5" customHeight="1">
      <c r="A1656" s="25">
        <v>1196.0</v>
      </c>
      <c r="B1656" s="26">
        <v>45503.0</v>
      </c>
      <c r="C1656" s="25">
        <v>239.0</v>
      </c>
      <c r="D1656" s="25">
        <v>32.0</v>
      </c>
      <c r="E1656" s="25">
        <v>2.0</v>
      </c>
      <c r="F1656" s="25">
        <v>1.0</v>
      </c>
      <c r="G1656" s="27" t="s">
        <v>24</v>
      </c>
    </row>
    <row r="1657" ht="22.5" customHeight="1">
      <c r="A1657" s="25">
        <v>1520.0</v>
      </c>
      <c r="B1657" s="26">
        <v>45503.0</v>
      </c>
      <c r="C1657" s="25">
        <v>209.0</v>
      </c>
      <c r="D1657" s="25">
        <v>1.0</v>
      </c>
      <c r="E1657" s="25">
        <v>4.0</v>
      </c>
      <c r="F1657" s="25">
        <v>5.0</v>
      </c>
      <c r="G1657" s="27" t="s">
        <v>24</v>
      </c>
    </row>
    <row r="1658" ht="22.5" customHeight="1">
      <c r="A1658" s="25">
        <v>1617.0</v>
      </c>
      <c r="B1658" s="26">
        <v>45503.0</v>
      </c>
      <c r="C1658" s="25">
        <v>162.0</v>
      </c>
      <c r="D1658" s="25">
        <v>32.0</v>
      </c>
      <c r="E1658" s="25">
        <v>1.0</v>
      </c>
      <c r="F1658" s="25">
        <v>4.0</v>
      </c>
      <c r="G1658" s="27" t="s">
        <v>24</v>
      </c>
    </row>
    <row r="1659" ht="22.5" customHeight="1">
      <c r="A1659" s="25">
        <v>1672.0</v>
      </c>
      <c r="B1659" s="26">
        <v>45503.0</v>
      </c>
      <c r="C1659" s="25">
        <v>188.0</v>
      </c>
      <c r="D1659" s="25">
        <v>8.0</v>
      </c>
      <c r="E1659" s="25">
        <v>5.0</v>
      </c>
      <c r="F1659" s="25">
        <v>5.0</v>
      </c>
      <c r="G1659" s="27" t="s">
        <v>24</v>
      </c>
    </row>
    <row r="1660" ht="22.5" customHeight="1">
      <c r="A1660" s="25">
        <v>1938.0</v>
      </c>
      <c r="B1660" s="26">
        <v>45503.0</v>
      </c>
      <c r="C1660" s="25">
        <v>125.0</v>
      </c>
      <c r="D1660" s="25">
        <v>16.0</v>
      </c>
      <c r="E1660" s="25">
        <v>3.0</v>
      </c>
      <c r="F1660" s="25">
        <v>4.0</v>
      </c>
      <c r="G1660" s="27" t="s">
        <v>24</v>
      </c>
    </row>
    <row r="1661" ht="22.5" customHeight="1">
      <c r="A1661" s="25">
        <v>2423.0</v>
      </c>
      <c r="B1661" s="26">
        <v>45503.0</v>
      </c>
      <c r="C1661" s="25">
        <v>157.0</v>
      </c>
      <c r="D1661" s="25">
        <v>1.0</v>
      </c>
      <c r="E1661" s="25">
        <v>5.0</v>
      </c>
      <c r="F1661" s="25">
        <v>3.0</v>
      </c>
      <c r="G1661" s="27" t="s">
        <v>24</v>
      </c>
    </row>
    <row r="1662" ht="22.5" customHeight="1">
      <c r="A1662" s="25">
        <v>2656.0</v>
      </c>
      <c r="B1662" s="26">
        <v>45503.0</v>
      </c>
      <c r="C1662" s="25">
        <v>207.0</v>
      </c>
      <c r="D1662" s="25">
        <v>14.0</v>
      </c>
      <c r="E1662" s="25">
        <v>4.0</v>
      </c>
      <c r="F1662" s="25">
        <v>5.0</v>
      </c>
      <c r="G1662" s="27" t="s">
        <v>24</v>
      </c>
    </row>
    <row r="1663" ht="22.5" customHeight="1">
      <c r="A1663" s="25">
        <v>2846.0</v>
      </c>
      <c r="B1663" s="26">
        <v>45503.0</v>
      </c>
      <c r="C1663" s="25">
        <v>200.0</v>
      </c>
      <c r="D1663" s="25">
        <v>15.0</v>
      </c>
      <c r="E1663" s="25">
        <v>4.0</v>
      </c>
      <c r="F1663" s="25">
        <v>5.0</v>
      </c>
      <c r="G1663" s="27" t="s">
        <v>24</v>
      </c>
    </row>
    <row r="1664" ht="22.5" customHeight="1">
      <c r="A1664" s="25">
        <v>2849.0</v>
      </c>
      <c r="B1664" s="26">
        <v>45503.0</v>
      </c>
      <c r="C1664" s="25">
        <v>153.0</v>
      </c>
      <c r="D1664" s="25">
        <v>26.0</v>
      </c>
      <c r="E1664" s="25">
        <v>2.0</v>
      </c>
      <c r="F1664" s="25">
        <v>4.0</v>
      </c>
      <c r="G1664" s="27" t="s">
        <v>24</v>
      </c>
    </row>
    <row r="1665" ht="22.5" customHeight="1">
      <c r="A1665" s="25">
        <v>146.0</v>
      </c>
      <c r="B1665" s="26">
        <v>45504.0</v>
      </c>
      <c r="C1665" s="25">
        <v>148.0</v>
      </c>
      <c r="D1665" s="25">
        <v>8.0</v>
      </c>
      <c r="E1665" s="25">
        <v>2.0</v>
      </c>
      <c r="F1665" s="25">
        <v>4.0</v>
      </c>
      <c r="G1665" s="27" t="s">
        <v>24</v>
      </c>
    </row>
    <row r="1666" ht="22.5" customHeight="1">
      <c r="A1666" s="25">
        <v>220.0</v>
      </c>
      <c r="B1666" s="26">
        <v>45504.0</v>
      </c>
      <c r="C1666" s="25">
        <v>156.0</v>
      </c>
      <c r="D1666" s="25">
        <v>5.0</v>
      </c>
      <c r="E1666" s="25">
        <v>6.0</v>
      </c>
      <c r="F1666" s="25">
        <v>5.0</v>
      </c>
      <c r="G1666" s="27" t="s">
        <v>25</v>
      </c>
    </row>
    <row r="1667" ht="22.5" customHeight="1">
      <c r="A1667" s="25">
        <v>1279.0</v>
      </c>
      <c r="B1667" s="26">
        <v>45504.0</v>
      </c>
      <c r="C1667" s="25">
        <v>302.0</v>
      </c>
      <c r="D1667" s="25">
        <v>33.0</v>
      </c>
      <c r="E1667" s="25">
        <v>4.0</v>
      </c>
      <c r="F1667" s="25">
        <v>1.0</v>
      </c>
      <c r="G1667" s="27" t="s">
        <v>24</v>
      </c>
    </row>
    <row r="1668" ht="22.5" customHeight="1">
      <c r="A1668" s="25">
        <v>1297.0</v>
      </c>
      <c r="B1668" s="26">
        <v>45504.0</v>
      </c>
      <c r="C1668" s="25">
        <v>32.0</v>
      </c>
      <c r="D1668" s="25">
        <v>24.0</v>
      </c>
      <c r="E1668" s="25">
        <v>2.0</v>
      </c>
      <c r="F1668" s="25">
        <v>1.0</v>
      </c>
      <c r="G1668" s="27" t="s">
        <v>24</v>
      </c>
    </row>
    <row r="1669" ht="22.5" customHeight="1">
      <c r="A1669" s="25">
        <v>1316.0</v>
      </c>
      <c r="B1669" s="26">
        <v>45504.0</v>
      </c>
      <c r="C1669" s="25">
        <v>251.0</v>
      </c>
      <c r="D1669" s="25">
        <v>2.0</v>
      </c>
      <c r="E1669" s="25">
        <v>3.0</v>
      </c>
      <c r="F1669" s="25">
        <v>4.0</v>
      </c>
      <c r="G1669" s="27" t="s">
        <v>25</v>
      </c>
    </row>
    <row r="1670" ht="22.5" customHeight="1">
      <c r="A1670" s="25">
        <v>1352.0</v>
      </c>
      <c r="B1670" s="26">
        <v>45504.0</v>
      </c>
      <c r="C1670" s="25">
        <v>205.0</v>
      </c>
      <c r="D1670" s="25">
        <v>7.0</v>
      </c>
      <c r="E1670" s="25">
        <v>6.0</v>
      </c>
      <c r="F1670" s="25">
        <v>4.0</v>
      </c>
      <c r="G1670" s="27" t="s">
        <v>25</v>
      </c>
    </row>
    <row r="1671" ht="22.5" customHeight="1">
      <c r="A1671" s="25">
        <v>47.0</v>
      </c>
      <c r="B1671" s="26">
        <v>45505.0</v>
      </c>
      <c r="C1671" s="25">
        <v>86.0</v>
      </c>
      <c r="D1671" s="25">
        <v>31.0</v>
      </c>
      <c r="E1671" s="25">
        <v>4.0</v>
      </c>
      <c r="F1671" s="25">
        <v>2.0</v>
      </c>
      <c r="G1671" s="27" t="s">
        <v>24</v>
      </c>
    </row>
    <row r="1672" ht="22.5" customHeight="1">
      <c r="A1672" s="25">
        <v>631.0</v>
      </c>
      <c r="B1672" s="26">
        <v>45505.0</v>
      </c>
      <c r="C1672" s="25">
        <v>120.0</v>
      </c>
      <c r="D1672" s="25">
        <v>20.0</v>
      </c>
      <c r="E1672" s="25">
        <v>1.0</v>
      </c>
      <c r="F1672" s="25">
        <v>1.0</v>
      </c>
      <c r="G1672" s="27" t="s">
        <v>24</v>
      </c>
    </row>
    <row r="1673" ht="22.5" customHeight="1">
      <c r="A1673" s="25">
        <v>929.0</v>
      </c>
      <c r="B1673" s="26">
        <v>45505.0</v>
      </c>
      <c r="C1673" s="25">
        <v>164.0</v>
      </c>
      <c r="D1673" s="25">
        <v>31.0</v>
      </c>
      <c r="E1673" s="25">
        <v>5.0</v>
      </c>
      <c r="F1673" s="25">
        <v>3.0</v>
      </c>
      <c r="G1673" s="27" t="s">
        <v>25</v>
      </c>
    </row>
    <row r="1674" ht="22.5" customHeight="1">
      <c r="A1674" s="25">
        <v>1090.0</v>
      </c>
      <c r="B1674" s="26">
        <v>45505.0</v>
      </c>
      <c r="C1674" s="25">
        <v>43.0</v>
      </c>
      <c r="D1674" s="25">
        <v>3.0</v>
      </c>
      <c r="E1674" s="25">
        <v>3.0</v>
      </c>
      <c r="F1674" s="25">
        <v>4.0</v>
      </c>
      <c r="G1674" s="27" t="s">
        <v>25</v>
      </c>
    </row>
    <row r="1675" ht="22.5" customHeight="1">
      <c r="A1675" s="25">
        <v>1973.0</v>
      </c>
      <c r="B1675" s="26">
        <v>45505.0</v>
      </c>
      <c r="C1675" s="25">
        <v>80.0</v>
      </c>
      <c r="D1675" s="25">
        <v>20.0</v>
      </c>
      <c r="E1675" s="25">
        <v>3.0</v>
      </c>
      <c r="F1675" s="25">
        <v>3.0</v>
      </c>
      <c r="G1675" s="27" t="s">
        <v>24</v>
      </c>
    </row>
    <row r="1676" ht="22.5" customHeight="1">
      <c r="A1676" s="25">
        <v>2118.0</v>
      </c>
      <c r="B1676" s="26">
        <v>45505.0</v>
      </c>
      <c r="C1676" s="25">
        <v>199.0</v>
      </c>
      <c r="D1676" s="25">
        <v>7.0</v>
      </c>
      <c r="E1676" s="25">
        <v>2.0</v>
      </c>
      <c r="F1676" s="25">
        <v>5.0</v>
      </c>
      <c r="G1676" s="27" t="s">
        <v>24</v>
      </c>
    </row>
    <row r="1677" ht="22.5" customHeight="1">
      <c r="A1677" s="25">
        <v>2210.0</v>
      </c>
      <c r="B1677" s="26">
        <v>45505.0</v>
      </c>
      <c r="C1677" s="25">
        <v>140.0</v>
      </c>
      <c r="D1677" s="25">
        <v>5.0</v>
      </c>
      <c r="E1677" s="25">
        <v>2.0</v>
      </c>
      <c r="F1677" s="25">
        <v>3.0</v>
      </c>
      <c r="G1677" s="27" t="s">
        <v>24</v>
      </c>
    </row>
    <row r="1678" ht="22.5" customHeight="1">
      <c r="A1678" s="25">
        <v>2285.0</v>
      </c>
      <c r="B1678" s="26">
        <v>45505.0</v>
      </c>
      <c r="C1678" s="25">
        <v>78.0</v>
      </c>
      <c r="D1678" s="25">
        <v>4.0</v>
      </c>
      <c r="E1678" s="25">
        <v>3.0</v>
      </c>
      <c r="F1678" s="25">
        <v>4.0</v>
      </c>
      <c r="G1678" s="27" t="s">
        <v>25</v>
      </c>
    </row>
    <row r="1679" ht="22.5" customHeight="1">
      <c r="A1679" s="25">
        <v>2408.0</v>
      </c>
      <c r="B1679" s="26">
        <v>45505.0</v>
      </c>
      <c r="C1679" s="25">
        <v>89.0</v>
      </c>
      <c r="D1679" s="25">
        <v>15.0</v>
      </c>
      <c r="E1679" s="25">
        <v>1.0</v>
      </c>
      <c r="F1679" s="25">
        <v>5.0</v>
      </c>
      <c r="G1679" s="27" t="s">
        <v>24</v>
      </c>
    </row>
    <row r="1680" ht="22.5" customHeight="1">
      <c r="A1680" s="25">
        <v>2502.0</v>
      </c>
      <c r="B1680" s="26">
        <v>45505.0</v>
      </c>
      <c r="C1680" s="25">
        <v>326.0</v>
      </c>
      <c r="D1680" s="25">
        <v>31.0</v>
      </c>
      <c r="E1680" s="25">
        <v>5.0</v>
      </c>
      <c r="F1680" s="25">
        <v>1.0</v>
      </c>
      <c r="G1680" s="27" t="s">
        <v>24</v>
      </c>
    </row>
    <row r="1681" ht="22.5" customHeight="1">
      <c r="A1681" s="25">
        <v>57.0</v>
      </c>
      <c r="B1681" s="26">
        <v>45506.0</v>
      </c>
      <c r="C1681" s="25">
        <v>305.0</v>
      </c>
      <c r="D1681" s="25">
        <v>13.0</v>
      </c>
      <c r="E1681" s="25">
        <v>1.0</v>
      </c>
      <c r="F1681" s="25">
        <v>5.0</v>
      </c>
      <c r="G1681" s="27" t="s">
        <v>24</v>
      </c>
    </row>
    <row r="1682" ht="22.5" customHeight="1">
      <c r="A1682" s="25">
        <v>313.0</v>
      </c>
      <c r="B1682" s="26">
        <v>45506.0</v>
      </c>
      <c r="C1682" s="25">
        <v>250.0</v>
      </c>
      <c r="D1682" s="25">
        <v>30.0</v>
      </c>
      <c r="E1682" s="25">
        <v>1.0</v>
      </c>
      <c r="F1682" s="25">
        <v>5.0</v>
      </c>
      <c r="G1682" s="27" t="s">
        <v>24</v>
      </c>
    </row>
    <row r="1683" ht="22.5" customHeight="1">
      <c r="A1683" s="25">
        <v>333.0</v>
      </c>
      <c r="B1683" s="26">
        <v>45506.0</v>
      </c>
      <c r="C1683" s="25">
        <v>26.0</v>
      </c>
      <c r="D1683" s="25">
        <v>35.0</v>
      </c>
      <c r="E1683" s="25">
        <v>1.0</v>
      </c>
      <c r="F1683" s="25">
        <v>1.0</v>
      </c>
      <c r="G1683" s="27" t="s">
        <v>24</v>
      </c>
    </row>
    <row r="1684" ht="22.5" customHeight="1">
      <c r="A1684" s="25">
        <v>336.0</v>
      </c>
      <c r="B1684" s="26">
        <v>45506.0</v>
      </c>
      <c r="C1684" s="25">
        <v>80.0</v>
      </c>
      <c r="D1684" s="25">
        <v>20.0</v>
      </c>
      <c r="E1684" s="25">
        <v>6.0</v>
      </c>
      <c r="F1684" s="25">
        <v>5.0</v>
      </c>
      <c r="G1684" s="27" t="s">
        <v>24</v>
      </c>
    </row>
    <row r="1685" ht="22.5" customHeight="1">
      <c r="A1685" s="25">
        <v>356.0</v>
      </c>
      <c r="B1685" s="26">
        <v>45506.0</v>
      </c>
      <c r="C1685" s="25">
        <v>278.0</v>
      </c>
      <c r="D1685" s="25">
        <v>2.0</v>
      </c>
      <c r="E1685" s="25">
        <v>6.0</v>
      </c>
      <c r="F1685" s="25">
        <v>4.0</v>
      </c>
      <c r="G1685" s="27" t="s">
        <v>24</v>
      </c>
    </row>
    <row r="1686" ht="22.5" customHeight="1">
      <c r="A1686" s="25">
        <v>550.0</v>
      </c>
      <c r="B1686" s="26">
        <v>45506.0</v>
      </c>
      <c r="C1686" s="25">
        <v>221.0</v>
      </c>
      <c r="D1686" s="25">
        <v>4.0</v>
      </c>
      <c r="E1686" s="25">
        <v>5.0</v>
      </c>
      <c r="F1686" s="25">
        <v>1.0</v>
      </c>
      <c r="G1686" s="27" t="s">
        <v>24</v>
      </c>
    </row>
    <row r="1687" ht="22.5" customHeight="1">
      <c r="A1687" s="25">
        <v>1377.0</v>
      </c>
      <c r="B1687" s="26">
        <v>45506.0</v>
      </c>
      <c r="C1687" s="25">
        <v>85.0</v>
      </c>
      <c r="D1687" s="25">
        <v>31.0</v>
      </c>
      <c r="E1687" s="25">
        <v>6.0</v>
      </c>
      <c r="F1687" s="25">
        <v>1.0</v>
      </c>
      <c r="G1687" s="27" t="s">
        <v>25</v>
      </c>
    </row>
    <row r="1688" ht="22.5" customHeight="1">
      <c r="A1688" s="25">
        <v>1407.0</v>
      </c>
      <c r="B1688" s="26">
        <v>45506.0</v>
      </c>
      <c r="C1688" s="25">
        <v>242.0</v>
      </c>
      <c r="D1688" s="25">
        <v>6.0</v>
      </c>
      <c r="E1688" s="25">
        <v>4.0</v>
      </c>
      <c r="F1688" s="25">
        <v>4.0</v>
      </c>
      <c r="G1688" s="27" t="s">
        <v>24</v>
      </c>
    </row>
    <row r="1689" ht="22.5" customHeight="1">
      <c r="A1689" s="25">
        <v>1496.0</v>
      </c>
      <c r="B1689" s="26">
        <v>45506.0</v>
      </c>
      <c r="C1689" s="25">
        <v>213.0</v>
      </c>
      <c r="D1689" s="25">
        <v>9.0</v>
      </c>
      <c r="E1689" s="25">
        <v>5.0</v>
      </c>
      <c r="F1689" s="25">
        <v>5.0</v>
      </c>
      <c r="G1689" s="27" t="s">
        <v>25</v>
      </c>
    </row>
    <row r="1690" ht="22.5" customHeight="1">
      <c r="A1690" s="25">
        <v>1522.0</v>
      </c>
      <c r="B1690" s="26">
        <v>45506.0</v>
      </c>
      <c r="C1690" s="25">
        <v>167.0</v>
      </c>
      <c r="D1690" s="25">
        <v>6.0</v>
      </c>
      <c r="E1690" s="25">
        <v>6.0</v>
      </c>
      <c r="F1690" s="25">
        <v>2.0</v>
      </c>
      <c r="G1690" s="27" t="s">
        <v>24</v>
      </c>
    </row>
    <row r="1691" ht="22.5" customHeight="1">
      <c r="A1691" s="25">
        <v>1955.0</v>
      </c>
      <c r="B1691" s="26">
        <v>45506.0</v>
      </c>
      <c r="C1691" s="25">
        <v>78.0</v>
      </c>
      <c r="D1691" s="25">
        <v>30.0</v>
      </c>
      <c r="E1691" s="25">
        <v>6.0</v>
      </c>
      <c r="F1691" s="25">
        <v>4.0</v>
      </c>
      <c r="G1691" s="27" t="s">
        <v>24</v>
      </c>
    </row>
    <row r="1692" ht="22.5" customHeight="1">
      <c r="A1692" s="25">
        <v>2361.0</v>
      </c>
      <c r="B1692" s="26">
        <v>45506.0</v>
      </c>
      <c r="C1692" s="25">
        <v>164.0</v>
      </c>
      <c r="D1692" s="25">
        <v>21.0</v>
      </c>
      <c r="E1692" s="25">
        <v>5.0</v>
      </c>
      <c r="F1692" s="25">
        <v>5.0</v>
      </c>
      <c r="G1692" s="27" t="s">
        <v>25</v>
      </c>
    </row>
    <row r="1693" ht="22.5" customHeight="1">
      <c r="A1693" s="25">
        <v>305.0</v>
      </c>
      <c r="B1693" s="26">
        <v>45507.0</v>
      </c>
      <c r="C1693" s="25">
        <v>78.0</v>
      </c>
      <c r="D1693" s="25">
        <v>11.0</v>
      </c>
      <c r="E1693" s="25">
        <v>6.0</v>
      </c>
      <c r="F1693" s="25">
        <v>4.0</v>
      </c>
      <c r="G1693" s="27" t="s">
        <v>24</v>
      </c>
    </row>
    <row r="1694" ht="22.5" customHeight="1">
      <c r="A1694" s="25">
        <v>1895.0</v>
      </c>
      <c r="B1694" s="26">
        <v>45507.0</v>
      </c>
      <c r="C1694" s="25">
        <v>125.0</v>
      </c>
      <c r="D1694" s="25">
        <v>13.0</v>
      </c>
      <c r="E1694" s="25">
        <v>4.0</v>
      </c>
      <c r="F1694" s="25">
        <v>5.0</v>
      </c>
      <c r="G1694" s="27" t="s">
        <v>24</v>
      </c>
    </row>
    <row r="1695" ht="22.5" customHeight="1">
      <c r="A1695" s="25">
        <v>1937.0</v>
      </c>
      <c r="B1695" s="26">
        <v>45507.0</v>
      </c>
      <c r="C1695" s="25">
        <v>326.0</v>
      </c>
      <c r="D1695" s="25">
        <v>25.0</v>
      </c>
      <c r="E1695" s="25">
        <v>1.0</v>
      </c>
      <c r="F1695" s="25">
        <v>1.0</v>
      </c>
      <c r="G1695" s="27" t="s">
        <v>24</v>
      </c>
    </row>
    <row r="1696" ht="22.5" customHeight="1">
      <c r="A1696" s="25">
        <v>2046.0</v>
      </c>
      <c r="B1696" s="26">
        <v>45507.0</v>
      </c>
      <c r="C1696" s="25">
        <v>13.0</v>
      </c>
      <c r="D1696" s="25">
        <v>22.0</v>
      </c>
      <c r="E1696" s="25">
        <v>1.0</v>
      </c>
      <c r="F1696" s="25">
        <v>5.0</v>
      </c>
      <c r="G1696" s="27" t="s">
        <v>24</v>
      </c>
    </row>
    <row r="1697" ht="22.5" customHeight="1">
      <c r="A1697" s="25">
        <v>2152.0</v>
      </c>
      <c r="B1697" s="26">
        <v>45507.0</v>
      </c>
      <c r="C1697" s="25">
        <v>153.0</v>
      </c>
      <c r="D1697" s="25">
        <v>25.0</v>
      </c>
      <c r="E1697" s="25">
        <v>2.0</v>
      </c>
      <c r="F1697" s="25">
        <v>2.0</v>
      </c>
      <c r="G1697" s="27" t="s">
        <v>25</v>
      </c>
    </row>
    <row r="1698" ht="22.5" customHeight="1">
      <c r="A1698" s="25">
        <v>2265.0</v>
      </c>
      <c r="B1698" s="26">
        <v>45507.0</v>
      </c>
      <c r="C1698" s="25">
        <v>37.0</v>
      </c>
      <c r="D1698" s="25">
        <v>26.0</v>
      </c>
      <c r="E1698" s="25">
        <v>5.0</v>
      </c>
      <c r="F1698" s="25">
        <v>4.0</v>
      </c>
      <c r="G1698" s="27" t="s">
        <v>24</v>
      </c>
    </row>
    <row r="1699" ht="22.5" customHeight="1">
      <c r="A1699" s="25">
        <v>211.0</v>
      </c>
      <c r="B1699" s="26">
        <v>45508.0</v>
      </c>
      <c r="C1699" s="25">
        <v>264.0</v>
      </c>
      <c r="D1699" s="25">
        <v>32.0</v>
      </c>
      <c r="E1699" s="25">
        <v>2.0</v>
      </c>
      <c r="F1699" s="25">
        <v>5.0</v>
      </c>
      <c r="G1699" s="27" t="s">
        <v>24</v>
      </c>
    </row>
    <row r="1700" ht="22.5" customHeight="1">
      <c r="A1700" s="25">
        <v>282.0</v>
      </c>
      <c r="B1700" s="26">
        <v>45508.0</v>
      </c>
      <c r="C1700" s="25">
        <v>189.0</v>
      </c>
      <c r="D1700" s="25">
        <v>3.0</v>
      </c>
      <c r="E1700" s="25">
        <v>2.0</v>
      </c>
      <c r="F1700" s="25">
        <v>5.0</v>
      </c>
      <c r="G1700" s="27" t="s">
        <v>24</v>
      </c>
    </row>
    <row r="1701" ht="22.5" customHeight="1">
      <c r="A1701" s="25">
        <v>1557.0</v>
      </c>
      <c r="B1701" s="26">
        <v>45508.0</v>
      </c>
      <c r="C1701" s="25">
        <v>165.0</v>
      </c>
      <c r="D1701" s="25">
        <v>37.0</v>
      </c>
      <c r="E1701" s="25">
        <v>5.0</v>
      </c>
      <c r="F1701" s="25">
        <v>1.0</v>
      </c>
      <c r="G1701" s="27" t="s">
        <v>24</v>
      </c>
    </row>
    <row r="1702" ht="22.5" customHeight="1">
      <c r="A1702" s="25">
        <v>1786.0</v>
      </c>
      <c r="B1702" s="26">
        <v>45508.0</v>
      </c>
      <c r="C1702" s="25">
        <v>209.0</v>
      </c>
      <c r="D1702" s="25">
        <v>33.0</v>
      </c>
      <c r="E1702" s="25">
        <v>4.0</v>
      </c>
      <c r="F1702" s="25">
        <v>4.0</v>
      </c>
      <c r="G1702" s="27" t="s">
        <v>24</v>
      </c>
    </row>
    <row r="1703" ht="22.5" customHeight="1">
      <c r="A1703" s="25">
        <v>2234.0</v>
      </c>
      <c r="B1703" s="26">
        <v>45508.0</v>
      </c>
      <c r="C1703" s="25">
        <v>278.0</v>
      </c>
      <c r="D1703" s="25">
        <v>27.0</v>
      </c>
      <c r="E1703" s="25">
        <v>2.0</v>
      </c>
      <c r="F1703" s="25">
        <v>4.0</v>
      </c>
      <c r="G1703" s="27" t="s">
        <v>24</v>
      </c>
    </row>
    <row r="1704" ht="22.5" customHeight="1">
      <c r="A1704" s="25">
        <v>153.0</v>
      </c>
      <c r="B1704" s="26">
        <v>45509.0</v>
      </c>
      <c r="C1704" s="25">
        <v>268.0</v>
      </c>
      <c r="D1704" s="25">
        <v>3.0</v>
      </c>
      <c r="E1704" s="25">
        <v>4.0</v>
      </c>
      <c r="F1704" s="25">
        <v>1.0</v>
      </c>
      <c r="G1704" s="27" t="s">
        <v>24</v>
      </c>
    </row>
    <row r="1705" ht="22.5" customHeight="1">
      <c r="A1705" s="25">
        <v>193.0</v>
      </c>
      <c r="B1705" s="26">
        <v>45509.0</v>
      </c>
      <c r="C1705" s="25">
        <v>20.0</v>
      </c>
      <c r="D1705" s="25">
        <v>1.0</v>
      </c>
      <c r="E1705" s="25">
        <v>2.0</v>
      </c>
      <c r="F1705" s="25">
        <v>1.0</v>
      </c>
      <c r="G1705" s="27" t="s">
        <v>24</v>
      </c>
    </row>
    <row r="1706" ht="22.5" customHeight="1">
      <c r="A1706" s="25">
        <v>486.0</v>
      </c>
      <c r="B1706" s="26">
        <v>45509.0</v>
      </c>
      <c r="C1706" s="25">
        <v>151.0</v>
      </c>
      <c r="D1706" s="25">
        <v>35.0</v>
      </c>
      <c r="E1706" s="25">
        <v>3.0</v>
      </c>
      <c r="F1706" s="25">
        <v>5.0</v>
      </c>
      <c r="G1706" s="27" t="s">
        <v>24</v>
      </c>
    </row>
    <row r="1707" ht="22.5" customHeight="1">
      <c r="A1707" s="25">
        <v>487.0</v>
      </c>
      <c r="B1707" s="26">
        <v>45509.0</v>
      </c>
      <c r="C1707" s="25">
        <v>93.0</v>
      </c>
      <c r="D1707" s="25">
        <v>36.0</v>
      </c>
      <c r="E1707" s="25">
        <v>2.0</v>
      </c>
      <c r="F1707" s="25">
        <v>5.0</v>
      </c>
      <c r="G1707" s="27" t="s">
        <v>24</v>
      </c>
    </row>
    <row r="1708" ht="22.5" customHeight="1">
      <c r="A1708" s="25">
        <v>584.0</v>
      </c>
      <c r="B1708" s="26">
        <v>45509.0</v>
      </c>
      <c r="C1708" s="25">
        <v>99.0</v>
      </c>
      <c r="D1708" s="25">
        <v>11.0</v>
      </c>
      <c r="E1708" s="25">
        <v>4.0</v>
      </c>
      <c r="F1708" s="25">
        <v>5.0</v>
      </c>
      <c r="G1708" s="27" t="s">
        <v>24</v>
      </c>
    </row>
    <row r="1709" ht="22.5" customHeight="1">
      <c r="A1709" s="25">
        <v>591.0</v>
      </c>
      <c r="B1709" s="26">
        <v>45509.0</v>
      </c>
      <c r="C1709" s="25">
        <v>111.0</v>
      </c>
      <c r="D1709" s="25">
        <v>37.0</v>
      </c>
      <c r="E1709" s="25">
        <v>5.0</v>
      </c>
      <c r="F1709" s="25">
        <v>2.0</v>
      </c>
      <c r="G1709" s="27" t="s">
        <v>25</v>
      </c>
    </row>
    <row r="1710" ht="22.5" customHeight="1">
      <c r="A1710" s="25">
        <v>854.0</v>
      </c>
      <c r="B1710" s="26">
        <v>45509.0</v>
      </c>
      <c r="C1710" s="25">
        <v>82.0</v>
      </c>
      <c r="D1710" s="25">
        <v>29.0</v>
      </c>
      <c r="E1710" s="25">
        <v>6.0</v>
      </c>
      <c r="F1710" s="25">
        <v>3.0</v>
      </c>
      <c r="G1710" s="27" t="s">
        <v>24</v>
      </c>
    </row>
    <row r="1711" ht="22.5" customHeight="1">
      <c r="A1711" s="25">
        <v>880.0</v>
      </c>
      <c r="B1711" s="26">
        <v>45509.0</v>
      </c>
      <c r="C1711" s="25">
        <v>114.0</v>
      </c>
      <c r="D1711" s="25">
        <v>2.0</v>
      </c>
      <c r="E1711" s="25">
        <v>2.0</v>
      </c>
      <c r="F1711" s="25">
        <v>5.0</v>
      </c>
      <c r="G1711" s="27" t="s">
        <v>24</v>
      </c>
    </row>
    <row r="1712" ht="22.5" customHeight="1">
      <c r="A1712" s="25">
        <v>1009.0</v>
      </c>
      <c r="B1712" s="26">
        <v>45509.0</v>
      </c>
      <c r="C1712" s="25">
        <v>306.0</v>
      </c>
      <c r="D1712" s="25">
        <v>29.0</v>
      </c>
      <c r="E1712" s="25">
        <v>2.0</v>
      </c>
      <c r="F1712" s="25">
        <v>5.0</v>
      </c>
      <c r="G1712" s="27" t="s">
        <v>24</v>
      </c>
    </row>
    <row r="1713" ht="22.5" customHeight="1">
      <c r="A1713" s="25">
        <v>1432.0</v>
      </c>
      <c r="B1713" s="26">
        <v>45509.0</v>
      </c>
      <c r="C1713" s="25">
        <v>309.0</v>
      </c>
      <c r="D1713" s="25">
        <v>36.0</v>
      </c>
      <c r="E1713" s="25">
        <v>3.0</v>
      </c>
      <c r="F1713" s="25">
        <v>4.0</v>
      </c>
      <c r="G1713" s="27" t="s">
        <v>24</v>
      </c>
    </row>
    <row r="1714" ht="22.5" customHeight="1">
      <c r="A1714" s="25">
        <v>1482.0</v>
      </c>
      <c r="B1714" s="26">
        <v>45509.0</v>
      </c>
      <c r="C1714" s="25">
        <v>126.0</v>
      </c>
      <c r="D1714" s="25">
        <v>18.0</v>
      </c>
      <c r="E1714" s="25">
        <v>4.0</v>
      </c>
      <c r="F1714" s="25">
        <v>1.0</v>
      </c>
      <c r="G1714" s="27" t="s">
        <v>24</v>
      </c>
    </row>
    <row r="1715" ht="22.5" customHeight="1">
      <c r="A1715" s="25">
        <v>1604.0</v>
      </c>
      <c r="B1715" s="26">
        <v>45509.0</v>
      </c>
      <c r="C1715" s="25">
        <v>1.0</v>
      </c>
      <c r="D1715" s="25">
        <v>15.0</v>
      </c>
      <c r="E1715" s="25">
        <v>1.0</v>
      </c>
      <c r="F1715" s="25">
        <v>5.0</v>
      </c>
      <c r="G1715" s="27" t="s">
        <v>24</v>
      </c>
    </row>
    <row r="1716" ht="22.5" customHeight="1">
      <c r="A1716" s="25">
        <v>2187.0</v>
      </c>
      <c r="B1716" s="26">
        <v>45509.0</v>
      </c>
      <c r="C1716" s="25">
        <v>69.0</v>
      </c>
      <c r="D1716" s="25">
        <v>29.0</v>
      </c>
      <c r="E1716" s="25">
        <v>1.0</v>
      </c>
      <c r="F1716" s="25">
        <v>1.0</v>
      </c>
      <c r="G1716" s="27" t="s">
        <v>24</v>
      </c>
    </row>
    <row r="1717" ht="22.5" customHeight="1">
      <c r="A1717" s="25">
        <v>2357.0</v>
      </c>
      <c r="B1717" s="26">
        <v>45509.0</v>
      </c>
      <c r="C1717" s="25">
        <v>125.0</v>
      </c>
      <c r="D1717" s="25">
        <v>32.0</v>
      </c>
      <c r="E1717" s="25">
        <v>5.0</v>
      </c>
      <c r="F1717" s="25">
        <v>5.0</v>
      </c>
      <c r="G1717" s="27" t="s">
        <v>24</v>
      </c>
    </row>
    <row r="1718" ht="22.5" customHeight="1">
      <c r="A1718" s="25">
        <v>2618.0</v>
      </c>
      <c r="B1718" s="26">
        <v>45509.0</v>
      </c>
      <c r="C1718" s="25">
        <v>145.0</v>
      </c>
      <c r="D1718" s="25">
        <v>1.0</v>
      </c>
      <c r="E1718" s="25">
        <v>3.0</v>
      </c>
      <c r="F1718" s="25">
        <v>3.0</v>
      </c>
      <c r="G1718" s="27" t="s">
        <v>24</v>
      </c>
    </row>
    <row r="1719" ht="22.5" customHeight="1">
      <c r="A1719" s="25">
        <v>2627.0</v>
      </c>
      <c r="B1719" s="26">
        <v>45509.0</v>
      </c>
      <c r="C1719" s="25">
        <v>241.0</v>
      </c>
      <c r="D1719" s="25">
        <v>36.0</v>
      </c>
      <c r="E1719" s="25">
        <v>4.0</v>
      </c>
      <c r="F1719" s="25">
        <v>2.0</v>
      </c>
      <c r="G1719" s="27" t="s">
        <v>24</v>
      </c>
    </row>
    <row r="1720" ht="22.5" customHeight="1">
      <c r="A1720" s="25">
        <v>2773.0</v>
      </c>
      <c r="B1720" s="26">
        <v>45509.0</v>
      </c>
      <c r="C1720" s="25">
        <v>248.0</v>
      </c>
      <c r="D1720" s="25">
        <v>31.0</v>
      </c>
      <c r="E1720" s="25">
        <v>4.0</v>
      </c>
      <c r="F1720" s="25">
        <v>3.0</v>
      </c>
      <c r="G1720" s="27" t="s">
        <v>24</v>
      </c>
    </row>
    <row r="1721" ht="22.5" customHeight="1">
      <c r="A1721" s="25">
        <v>94.0</v>
      </c>
      <c r="B1721" s="26">
        <v>45510.0</v>
      </c>
      <c r="C1721" s="25">
        <v>174.0</v>
      </c>
      <c r="D1721" s="25">
        <v>31.0</v>
      </c>
      <c r="E1721" s="25">
        <v>1.0</v>
      </c>
      <c r="F1721" s="25">
        <v>1.0</v>
      </c>
      <c r="G1721" s="27" t="s">
        <v>24</v>
      </c>
    </row>
    <row r="1722" ht="22.5" customHeight="1">
      <c r="A1722" s="25">
        <v>175.0</v>
      </c>
      <c r="B1722" s="26">
        <v>45510.0</v>
      </c>
      <c r="C1722" s="25">
        <v>203.0</v>
      </c>
      <c r="D1722" s="25">
        <v>3.0</v>
      </c>
      <c r="E1722" s="25">
        <v>2.0</v>
      </c>
      <c r="F1722" s="25">
        <v>5.0</v>
      </c>
      <c r="G1722" s="27" t="s">
        <v>25</v>
      </c>
    </row>
    <row r="1723" ht="22.5" customHeight="1">
      <c r="A1723" s="25">
        <v>764.0</v>
      </c>
      <c r="B1723" s="26">
        <v>45510.0</v>
      </c>
      <c r="C1723" s="25">
        <v>43.0</v>
      </c>
      <c r="D1723" s="25">
        <v>9.0</v>
      </c>
      <c r="E1723" s="25">
        <v>2.0</v>
      </c>
      <c r="F1723" s="25">
        <v>5.0</v>
      </c>
      <c r="G1723" s="27" t="s">
        <v>24</v>
      </c>
    </row>
    <row r="1724" ht="22.5" customHeight="1">
      <c r="A1724" s="25">
        <v>1229.0</v>
      </c>
      <c r="B1724" s="26">
        <v>45510.0</v>
      </c>
      <c r="C1724" s="25">
        <v>107.0</v>
      </c>
      <c r="D1724" s="25">
        <v>22.0</v>
      </c>
      <c r="E1724" s="25">
        <v>1.0</v>
      </c>
      <c r="F1724" s="25">
        <v>4.0</v>
      </c>
      <c r="G1724" s="27" t="s">
        <v>23</v>
      </c>
    </row>
    <row r="1725" ht="22.5" customHeight="1">
      <c r="A1725" s="25">
        <v>1544.0</v>
      </c>
      <c r="B1725" s="26">
        <v>45510.0</v>
      </c>
      <c r="C1725" s="25">
        <v>60.0</v>
      </c>
      <c r="D1725" s="25">
        <v>26.0</v>
      </c>
      <c r="E1725" s="25">
        <v>6.0</v>
      </c>
      <c r="F1725" s="25">
        <v>3.0</v>
      </c>
      <c r="G1725" s="27" t="s">
        <v>24</v>
      </c>
    </row>
    <row r="1726" ht="22.5" customHeight="1">
      <c r="A1726" s="25">
        <v>1767.0</v>
      </c>
      <c r="B1726" s="26">
        <v>45510.0</v>
      </c>
      <c r="C1726" s="25">
        <v>215.0</v>
      </c>
      <c r="D1726" s="25">
        <v>36.0</v>
      </c>
      <c r="E1726" s="25">
        <v>5.0</v>
      </c>
      <c r="F1726" s="25">
        <v>3.0</v>
      </c>
      <c r="G1726" s="27" t="s">
        <v>24</v>
      </c>
    </row>
    <row r="1727" ht="22.5" customHeight="1">
      <c r="A1727" s="25">
        <v>2848.0</v>
      </c>
      <c r="B1727" s="26">
        <v>45510.0</v>
      </c>
      <c r="C1727" s="25">
        <v>157.0</v>
      </c>
      <c r="D1727" s="25">
        <v>9.0</v>
      </c>
      <c r="E1727" s="25">
        <v>4.0</v>
      </c>
      <c r="F1727" s="25">
        <v>3.0</v>
      </c>
      <c r="G1727" s="27" t="s">
        <v>24</v>
      </c>
    </row>
    <row r="1728" ht="22.5" customHeight="1">
      <c r="A1728" s="25">
        <v>2852.0</v>
      </c>
      <c r="B1728" s="26">
        <v>45510.0</v>
      </c>
      <c r="C1728" s="25">
        <v>50.0</v>
      </c>
      <c r="D1728" s="25">
        <v>26.0</v>
      </c>
      <c r="E1728" s="25">
        <v>4.0</v>
      </c>
      <c r="F1728" s="25">
        <v>3.0</v>
      </c>
      <c r="G1728" s="27" t="s">
        <v>24</v>
      </c>
    </row>
    <row r="1729" ht="22.5" customHeight="1">
      <c r="A1729" s="25">
        <v>62.0</v>
      </c>
      <c r="B1729" s="26">
        <v>45511.0</v>
      </c>
      <c r="C1729" s="25">
        <v>205.0</v>
      </c>
      <c r="D1729" s="25">
        <v>15.0</v>
      </c>
      <c r="E1729" s="25">
        <v>2.0</v>
      </c>
      <c r="F1729" s="25">
        <v>5.0</v>
      </c>
      <c r="G1729" s="27" t="s">
        <v>24</v>
      </c>
    </row>
    <row r="1730" ht="22.5" customHeight="1">
      <c r="A1730" s="25">
        <v>114.0</v>
      </c>
      <c r="B1730" s="26">
        <v>45511.0</v>
      </c>
      <c r="C1730" s="25">
        <v>46.0</v>
      </c>
      <c r="D1730" s="25">
        <v>23.0</v>
      </c>
      <c r="E1730" s="25">
        <v>6.0</v>
      </c>
      <c r="F1730" s="25">
        <v>1.0</v>
      </c>
      <c r="G1730" s="27" t="s">
        <v>24</v>
      </c>
    </row>
    <row r="1731" ht="22.5" customHeight="1">
      <c r="A1731" s="25">
        <v>126.0</v>
      </c>
      <c r="B1731" s="26">
        <v>45511.0</v>
      </c>
      <c r="C1731" s="25">
        <v>24.0</v>
      </c>
      <c r="D1731" s="25">
        <v>26.0</v>
      </c>
      <c r="E1731" s="25">
        <v>5.0</v>
      </c>
      <c r="F1731" s="25">
        <v>3.0</v>
      </c>
      <c r="G1731" s="27" t="s">
        <v>24</v>
      </c>
    </row>
    <row r="1732" ht="22.5" customHeight="1">
      <c r="A1732" s="25">
        <v>839.0</v>
      </c>
      <c r="B1732" s="26">
        <v>45511.0</v>
      </c>
      <c r="C1732" s="25">
        <v>35.0</v>
      </c>
      <c r="D1732" s="25">
        <v>12.0</v>
      </c>
      <c r="E1732" s="25">
        <v>6.0</v>
      </c>
      <c r="F1732" s="25">
        <v>5.0</v>
      </c>
      <c r="G1732" s="27" t="s">
        <v>24</v>
      </c>
    </row>
    <row r="1733" ht="22.5" customHeight="1">
      <c r="A1733" s="25">
        <v>1038.0</v>
      </c>
      <c r="B1733" s="26">
        <v>45511.0</v>
      </c>
      <c r="C1733" s="25">
        <v>119.0</v>
      </c>
      <c r="D1733" s="25">
        <v>34.0</v>
      </c>
      <c r="E1733" s="25">
        <v>5.0</v>
      </c>
      <c r="F1733" s="25">
        <v>3.0</v>
      </c>
      <c r="G1733" s="27" t="s">
        <v>24</v>
      </c>
    </row>
    <row r="1734" ht="22.5" customHeight="1">
      <c r="A1734" s="25">
        <v>1058.0</v>
      </c>
      <c r="B1734" s="26">
        <v>45511.0</v>
      </c>
      <c r="C1734" s="25">
        <v>67.0</v>
      </c>
      <c r="D1734" s="25">
        <v>15.0</v>
      </c>
      <c r="E1734" s="25">
        <v>5.0</v>
      </c>
      <c r="F1734" s="25">
        <v>1.0</v>
      </c>
      <c r="G1734" s="27" t="s">
        <v>24</v>
      </c>
    </row>
    <row r="1735" ht="22.5" customHeight="1">
      <c r="A1735" s="25">
        <v>1426.0</v>
      </c>
      <c r="B1735" s="26">
        <v>45511.0</v>
      </c>
      <c r="C1735" s="25">
        <v>326.0</v>
      </c>
      <c r="D1735" s="25">
        <v>15.0</v>
      </c>
      <c r="E1735" s="25">
        <v>6.0</v>
      </c>
      <c r="F1735" s="25">
        <v>3.0</v>
      </c>
      <c r="G1735" s="27" t="s">
        <v>24</v>
      </c>
    </row>
    <row r="1736" ht="22.5" customHeight="1">
      <c r="A1736" s="25">
        <v>1527.0</v>
      </c>
      <c r="B1736" s="26">
        <v>45511.0</v>
      </c>
      <c r="C1736" s="25">
        <v>203.0</v>
      </c>
      <c r="D1736" s="25">
        <v>29.0</v>
      </c>
      <c r="E1736" s="25">
        <v>5.0</v>
      </c>
      <c r="F1736" s="25">
        <v>3.0</v>
      </c>
      <c r="G1736" s="27" t="s">
        <v>24</v>
      </c>
    </row>
    <row r="1737" ht="22.5" customHeight="1">
      <c r="A1737" s="25">
        <v>2212.0</v>
      </c>
      <c r="B1737" s="26">
        <v>45511.0</v>
      </c>
      <c r="C1737" s="25">
        <v>99.0</v>
      </c>
      <c r="D1737" s="25">
        <v>23.0</v>
      </c>
      <c r="E1737" s="25">
        <v>3.0</v>
      </c>
      <c r="F1737" s="25">
        <v>1.0</v>
      </c>
      <c r="G1737" s="27" t="s">
        <v>24</v>
      </c>
    </row>
    <row r="1738" ht="22.5" customHeight="1">
      <c r="A1738" s="25">
        <v>2284.0</v>
      </c>
      <c r="B1738" s="26">
        <v>45511.0</v>
      </c>
      <c r="C1738" s="25">
        <v>58.0</v>
      </c>
      <c r="D1738" s="25">
        <v>15.0</v>
      </c>
      <c r="E1738" s="25">
        <v>4.0</v>
      </c>
      <c r="F1738" s="25">
        <v>5.0</v>
      </c>
      <c r="G1738" s="27" t="s">
        <v>25</v>
      </c>
    </row>
    <row r="1739" ht="22.5" customHeight="1">
      <c r="A1739" s="25">
        <v>2784.0</v>
      </c>
      <c r="B1739" s="26">
        <v>45511.0</v>
      </c>
      <c r="C1739" s="25">
        <v>44.0</v>
      </c>
      <c r="D1739" s="25">
        <v>35.0</v>
      </c>
      <c r="E1739" s="25">
        <v>3.0</v>
      </c>
      <c r="F1739" s="25">
        <v>5.0</v>
      </c>
      <c r="G1739" s="27" t="s">
        <v>24</v>
      </c>
    </row>
    <row r="1740" ht="22.5" customHeight="1">
      <c r="A1740" s="25">
        <v>398.0</v>
      </c>
      <c r="B1740" s="26">
        <v>45512.0</v>
      </c>
      <c r="C1740" s="25">
        <v>123.0</v>
      </c>
      <c r="D1740" s="25">
        <v>23.0</v>
      </c>
      <c r="E1740" s="25">
        <v>1.0</v>
      </c>
      <c r="F1740" s="25">
        <v>1.0</v>
      </c>
      <c r="G1740" s="27" t="s">
        <v>25</v>
      </c>
    </row>
    <row r="1741" ht="22.5" customHeight="1">
      <c r="A1741" s="25">
        <v>494.0</v>
      </c>
      <c r="B1741" s="26">
        <v>45512.0</v>
      </c>
      <c r="C1741" s="25">
        <v>143.0</v>
      </c>
      <c r="D1741" s="25">
        <v>8.0</v>
      </c>
      <c r="E1741" s="25">
        <v>6.0</v>
      </c>
      <c r="F1741" s="25">
        <v>4.0</v>
      </c>
      <c r="G1741" s="27" t="s">
        <v>24</v>
      </c>
    </row>
    <row r="1742" ht="22.5" customHeight="1">
      <c r="A1742" s="25">
        <v>1080.0</v>
      </c>
      <c r="B1742" s="26">
        <v>45512.0</v>
      </c>
      <c r="C1742" s="25">
        <v>202.0</v>
      </c>
      <c r="D1742" s="25">
        <v>27.0</v>
      </c>
      <c r="E1742" s="25">
        <v>6.0</v>
      </c>
      <c r="F1742" s="25">
        <v>4.0</v>
      </c>
      <c r="G1742" s="27" t="s">
        <v>24</v>
      </c>
    </row>
    <row r="1743" ht="22.5" customHeight="1">
      <c r="A1743" s="25">
        <v>1827.0</v>
      </c>
      <c r="B1743" s="26">
        <v>45512.0</v>
      </c>
      <c r="C1743" s="25">
        <v>13.0</v>
      </c>
      <c r="D1743" s="25">
        <v>28.0</v>
      </c>
      <c r="E1743" s="25">
        <v>2.0</v>
      </c>
      <c r="F1743" s="25">
        <v>3.0</v>
      </c>
      <c r="G1743" s="27" t="s">
        <v>25</v>
      </c>
    </row>
    <row r="1744" ht="22.5" customHeight="1">
      <c r="A1744" s="25">
        <v>2049.0</v>
      </c>
      <c r="B1744" s="26">
        <v>45512.0</v>
      </c>
      <c r="C1744" s="25">
        <v>76.0</v>
      </c>
      <c r="D1744" s="25">
        <v>9.0</v>
      </c>
      <c r="E1744" s="25">
        <v>1.0</v>
      </c>
      <c r="F1744" s="25">
        <v>3.0</v>
      </c>
      <c r="G1744" s="27" t="s">
        <v>24</v>
      </c>
    </row>
    <row r="1745" ht="22.5" customHeight="1">
      <c r="A1745" s="25">
        <v>2802.0</v>
      </c>
      <c r="B1745" s="26">
        <v>45512.0</v>
      </c>
      <c r="C1745" s="25">
        <v>326.0</v>
      </c>
      <c r="D1745" s="25">
        <v>16.0</v>
      </c>
      <c r="E1745" s="25">
        <v>4.0</v>
      </c>
      <c r="F1745" s="25">
        <v>3.0</v>
      </c>
      <c r="G1745" s="27" t="s">
        <v>24</v>
      </c>
    </row>
    <row r="1746" ht="22.5" customHeight="1">
      <c r="A1746" s="25">
        <v>418.0</v>
      </c>
      <c r="B1746" s="26">
        <v>45513.0</v>
      </c>
      <c r="C1746" s="25">
        <v>252.0</v>
      </c>
      <c r="D1746" s="25">
        <v>32.0</v>
      </c>
      <c r="E1746" s="25">
        <v>4.0</v>
      </c>
      <c r="F1746" s="25">
        <v>1.0</v>
      </c>
      <c r="G1746" s="27" t="s">
        <v>24</v>
      </c>
    </row>
    <row r="1747" ht="22.5" customHeight="1">
      <c r="A1747" s="25">
        <v>1101.0</v>
      </c>
      <c r="B1747" s="26">
        <v>45513.0</v>
      </c>
      <c r="C1747" s="25">
        <v>127.0</v>
      </c>
      <c r="D1747" s="25">
        <v>6.0</v>
      </c>
      <c r="E1747" s="25">
        <v>6.0</v>
      </c>
      <c r="F1747" s="25">
        <v>1.0</v>
      </c>
      <c r="G1747" s="27" t="s">
        <v>24</v>
      </c>
    </row>
    <row r="1748" ht="22.5" customHeight="1">
      <c r="A1748" s="25">
        <v>1166.0</v>
      </c>
      <c r="B1748" s="26">
        <v>45513.0</v>
      </c>
      <c r="C1748" s="25">
        <v>151.0</v>
      </c>
      <c r="D1748" s="25">
        <v>9.0</v>
      </c>
      <c r="E1748" s="25">
        <v>5.0</v>
      </c>
      <c r="F1748" s="25">
        <v>4.0</v>
      </c>
      <c r="G1748" s="27" t="s">
        <v>24</v>
      </c>
    </row>
    <row r="1749" ht="22.5" customHeight="1">
      <c r="A1749" s="25">
        <v>2791.0</v>
      </c>
      <c r="B1749" s="26">
        <v>45513.0</v>
      </c>
      <c r="C1749" s="25">
        <v>124.0</v>
      </c>
      <c r="D1749" s="25">
        <v>33.0</v>
      </c>
      <c r="E1749" s="25">
        <v>2.0</v>
      </c>
      <c r="F1749" s="25">
        <v>3.0</v>
      </c>
      <c r="G1749" s="27" t="s">
        <v>24</v>
      </c>
    </row>
    <row r="1750" ht="22.5" customHeight="1">
      <c r="A1750" s="25">
        <v>502.0</v>
      </c>
      <c r="B1750" s="26">
        <v>45514.0</v>
      </c>
      <c r="C1750" s="25">
        <v>231.0</v>
      </c>
      <c r="D1750" s="25">
        <v>23.0</v>
      </c>
      <c r="E1750" s="25">
        <v>1.0</v>
      </c>
      <c r="F1750" s="25">
        <v>4.0</v>
      </c>
      <c r="G1750" s="27" t="s">
        <v>24</v>
      </c>
    </row>
    <row r="1751" ht="22.5" customHeight="1">
      <c r="A1751" s="25">
        <v>594.0</v>
      </c>
      <c r="B1751" s="26">
        <v>45514.0</v>
      </c>
      <c r="C1751" s="25">
        <v>261.0</v>
      </c>
      <c r="D1751" s="25">
        <v>5.0</v>
      </c>
      <c r="E1751" s="25">
        <v>4.0</v>
      </c>
      <c r="F1751" s="25">
        <v>3.0</v>
      </c>
      <c r="G1751" s="27" t="s">
        <v>24</v>
      </c>
    </row>
    <row r="1752" ht="22.5" customHeight="1">
      <c r="A1752" s="25">
        <v>703.0</v>
      </c>
      <c r="B1752" s="26">
        <v>45514.0</v>
      </c>
      <c r="C1752" s="25">
        <v>126.0</v>
      </c>
      <c r="D1752" s="25">
        <v>24.0</v>
      </c>
      <c r="E1752" s="25">
        <v>5.0</v>
      </c>
      <c r="F1752" s="25">
        <v>4.0</v>
      </c>
      <c r="G1752" s="27" t="s">
        <v>24</v>
      </c>
    </row>
    <row r="1753" ht="22.5" customHeight="1">
      <c r="A1753" s="25">
        <v>1865.0</v>
      </c>
      <c r="B1753" s="26">
        <v>45514.0</v>
      </c>
      <c r="C1753" s="25">
        <v>247.0</v>
      </c>
      <c r="D1753" s="25">
        <v>9.0</v>
      </c>
      <c r="E1753" s="25">
        <v>3.0</v>
      </c>
      <c r="F1753" s="25">
        <v>1.0</v>
      </c>
      <c r="G1753" s="27" t="s">
        <v>24</v>
      </c>
    </row>
    <row r="1754" ht="22.5" customHeight="1">
      <c r="A1754" s="25">
        <v>2324.0</v>
      </c>
      <c r="B1754" s="26">
        <v>45514.0</v>
      </c>
      <c r="C1754" s="25">
        <v>235.0</v>
      </c>
      <c r="D1754" s="25">
        <v>30.0</v>
      </c>
      <c r="E1754" s="25">
        <v>1.0</v>
      </c>
      <c r="F1754" s="25">
        <v>4.0</v>
      </c>
      <c r="G1754" s="27" t="s">
        <v>24</v>
      </c>
    </row>
    <row r="1755" ht="22.5" customHeight="1">
      <c r="A1755" s="25">
        <v>2748.0</v>
      </c>
      <c r="B1755" s="26">
        <v>45514.0</v>
      </c>
      <c r="C1755" s="25">
        <v>169.0</v>
      </c>
      <c r="D1755" s="25">
        <v>27.0</v>
      </c>
      <c r="E1755" s="25">
        <v>2.0</v>
      </c>
      <c r="F1755" s="25">
        <v>1.0</v>
      </c>
      <c r="G1755" s="27" t="s">
        <v>24</v>
      </c>
    </row>
    <row r="1756" ht="22.5" customHeight="1">
      <c r="A1756" s="25">
        <v>427.0</v>
      </c>
      <c r="B1756" s="26">
        <v>45515.0</v>
      </c>
      <c r="C1756" s="25">
        <v>132.0</v>
      </c>
      <c r="D1756" s="25">
        <v>34.0</v>
      </c>
      <c r="E1756" s="25">
        <v>5.0</v>
      </c>
      <c r="F1756" s="25">
        <v>3.0</v>
      </c>
      <c r="G1756" s="27" t="s">
        <v>24</v>
      </c>
    </row>
    <row r="1757" ht="22.5" customHeight="1">
      <c r="A1757" s="25">
        <v>852.0</v>
      </c>
      <c r="B1757" s="26">
        <v>45515.0</v>
      </c>
      <c r="C1757" s="25">
        <v>139.0</v>
      </c>
      <c r="D1757" s="25">
        <v>26.0</v>
      </c>
      <c r="E1757" s="25">
        <v>3.0</v>
      </c>
      <c r="F1757" s="25">
        <v>5.0</v>
      </c>
      <c r="G1757" s="27" t="s">
        <v>24</v>
      </c>
    </row>
    <row r="1758" ht="22.5" customHeight="1">
      <c r="A1758" s="25">
        <v>1008.0</v>
      </c>
      <c r="B1758" s="26">
        <v>45515.0</v>
      </c>
      <c r="C1758" s="25">
        <v>204.0</v>
      </c>
      <c r="D1758" s="25">
        <v>11.0</v>
      </c>
      <c r="E1758" s="25">
        <v>5.0</v>
      </c>
      <c r="F1758" s="25">
        <v>5.0</v>
      </c>
      <c r="G1758" s="27" t="s">
        <v>24</v>
      </c>
    </row>
    <row r="1759" ht="22.5" customHeight="1">
      <c r="A1759" s="25">
        <v>1059.0</v>
      </c>
      <c r="B1759" s="26">
        <v>45515.0</v>
      </c>
      <c r="C1759" s="25">
        <v>24.0</v>
      </c>
      <c r="D1759" s="25">
        <v>29.0</v>
      </c>
      <c r="E1759" s="25">
        <v>3.0</v>
      </c>
      <c r="F1759" s="25">
        <v>1.0</v>
      </c>
      <c r="G1759" s="27" t="s">
        <v>24</v>
      </c>
    </row>
    <row r="1760" ht="22.5" customHeight="1">
      <c r="A1760" s="25">
        <v>1855.0</v>
      </c>
      <c r="B1760" s="26">
        <v>45515.0</v>
      </c>
      <c r="C1760" s="25">
        <v>237.0</v>
      </c>
      <c r="D1760" s="25">
        <v>8.0</v>
      </c>
      <c r="E1760" s="25">
        <v>6.0</v>
      </c>
      <c r="F1760" s="25">
        <v>1.0</v>
      </c>
      <c r="G1760" s="27" t="s">
        <v>24</v>
      </c>
    </row>
    <row r="1761" ht="22.5" customHeight="1">
      <c r="A1761" s="25">
        <v>1873.0</v>
      </c>
      <c r="B1761" s="26">
        <v>45515.0</v>
      </c>
      <c r="C1761" s="25">
        <v>234.0</v>
      </c>
      <c r="D1761" s="25">
        <v>9.0</v>
      </c>
      <c r="E1761" s="25">
        <v>2.0</v>
      </c>
      <c r="F1761" s="25">
        <v>5.0</v>
      </c>
      <c r="G1761" s="27" t="s">
        <v>24</v>
      </c>
    </row>
    <row r="1762" ht="22.5" customHeight="1">
      <c r="A1762" s="25">
        <v>1991.0</v>
      </c>
      <c r="B1762" s="26">
        <v>45515.0</v>
      </c>
      <c r="C1762" s="25">
        <v>21.0</v>
      </c>
      <c r="D1762" s="25">
        <v>35.0</v>
      </c>
      <c r="E1762" s="25">
        <v>2.0</v>
      </c>
      <c r="F1762" s="25">
        <v>1.0</v>
      </c>
      <c r="G1762" s="27" t="s">
        <v>24</v>
      </c>
    </row>
    <row r="1763" ht="22.5" customHeight="1">
      <c r="A1763" s="25">
        <v>1995.0</v>
      </c>
      <c r="B1763" s="26">
        <v>45515.0</v>
      </c>
      <c r="C1763" s="25">
        <v>159.0</v>
      </c>
      <c r="D1763" s="25">
        <v>9.0</v>
      </c>
      <c r="E1763" s="25">
        <v>2.0</v>
      </c>
      <c r="F1763" s="25">
        <v>5.0</v>
      </c>
      <c r="G1763" s="27" t="s">
        <v>24</v>
      </c>
    </row>
    <row r="1764" ht="22.5" customHeight="1">
      <c r="A1764" s="25">
        <v>2172.0</v>
      </c>
      <c r="B1764" s="26">
        <v>45515.0</v>
      </c>
      <c r="C1764" s="25">
        <v>238.0</v>
      </c>
      <c r="D1764" s="25">
        <v>12.0</v>
      </c>
      <c r="E1764" s="25">
        <v>3.0</v>
      </c>
      <c r="F1764" s="25">
        <v>3.0</v>
      </c>
      <c r="G1764" s="27" t="s">
        <v>24</v>
      </c>
    </row>
    <row r="1765" ht="22.5" customHeight="1">
      <c r="A1765" s="25">
        <v>2692.0</v>
      </c>
      <c r="B1765" s="26">
        <v>45515.0</v>
      </c>
      <c r="C1765" s="25">
        <v>1.0</v>
      </c>
      <c r="D1765" s="25">
        <v>13.0</v>
      </c>
      <c r="E1765" s="25">
        <v>2.0</v>
      </c>
      <c r="F1765" s="25">
        <v>1.0</v>
      </c>
      <c r="G1765" s="27" t="s">
        <v>25</v>
      </c>
    </row>
    <row r="1766" ht="22.5" customHeight="1">
      <c r="A1766" s="25">
        <v>2702.0</v>
      </c>
      <c r="B1766" s="26">
        <v>45515.0</v>
      </c>
      <c r="C1766" s="25">
        <v>212.0</v>
      </c>
      <c r="D1766" s="25">
        <v>3.0</v>
      </c>
      <c r="E1766" s="25">
        <v>1.0</v>
      </c>
      <c r="F1766" s="25">
        <v>4.0</v>
      </c>
      <c r="G1766" s="27" t="s">
        <v>24</v>
      </c>
    </row>
    <row r="1767" ht="22.5" customHeight="1">
      <c r="A1767" s="25">
        <v>258.0</v>
      </c>
      <c r="B1767" s="26">
        <v>45516.0</v>
      </c>
      <c r="C1767" s="25">
        <v>42.0</v>
      </c>
      <c r="D1767" s="25">
        <v>31.0</v>
      </c>
      <c r="E1767" s="25">
        <v>1.0</v>
      </c>
      <c r="F1767" s="25">
        <v>4.0</v>
      </c>
      <c r="G1767" s="27" t="s">
        <v>24</v>
      </c>
    </row>
    <row r="1768" ht="22.5" customHeight="1">
      <c r="A1768" s="25">
        <v>315.0</v>
      </c>
      <c r="B1768" s="26">
        <v>45516.0</v>
      </c>
      <c r="C1768" s="25">
        <v>182.0</v>
      </c>
      <c r="D1768" s="25">
        <v>14.0</v>
      </c>
      <c r="E1768" s="25">
        <v>2.0</v>
      </c>
      <c r="F1768" s="25">
        <v>5.0</v>
      </c>
      <c r="G1768" s="27" t="s">
        <v>25</v>
      </c>
    </row>
    <row r="1769" ht="22.5" customHeight="1">
      <c r="A1769" s="25">
        <v>773.0</v>
      </c>
      <c r="B1769" s="26">
        <v>45516.0</v>
      </c>
      <c r="C1769" s="25">
        <v>247.0</v>
      </c>
      <c r="D1769" s="25">
        <v>26.0</v>
      </c>
      <c r="E1769" s="25">
        <v>2.0</v>
      </c>
      <c r="F1769" s="25">
        <v>1.0</v>
      </c>
      <c r="G1769" s="27" t="s">
        <v>25</v>
      </c>
    </row>
    <row r="1770" ht="22.5" customHeight="1">
      <c r="A1770" s="25">
        <v>1242.0</v>
      </c>
      <c r="B1770" s="26">
        <v>45516.0</v>
      </c>
      <c r="C1770" s="25">
        <v>62.0</v>
      </c>
      <c r="D1770" s="25">
        <v>38.0</v>
      </c>
      <c r="E1770" s="25">
        <v>4.0</v>
      </c>
      <c r="F1770" s="25">
        <v>5.0</v>
      </c>
      <c r="G1770" s="27" t="s">
        <v>24</v>
      </c>
    </row>
    <row r="1771" ht="22.5" customHeight="1">
      <c r="A1771" s="25">
        <v>1499.0</v>
      </c>
      <c r="B1771" s="26">
        <v>45516.0</v>
      </c>
      <c r="C1771" s="25">
        <v>262.0</v>
      </c>
      <c r="D1771" s="25">
        <v>32.0</v>
      </c>
      <c r="E1771" s="25">
        <v>1.0</v>
      </c>
      <c r="F1771" s="25">
        <v>4.0</v>
      </c>
      <c r="G1771" s="27" t="s">
        <v>25</v>
      </c>
    </row>
    <row r="1772" ht="22.5" customHeight="1">
      <c r="A1772" s="25">
        <v>2161.0</v>
      </c>
      <c r="B1772" s="26">
        <v>45516.0</v>
      </c>
      <c r="C1772" s="25">
        <v>280.0</v>
      </c>
      <c r="D1772" s="25">
        <v>16.0</v>
      </c>
      <c r="E1772" s="25">
        <v>1.0</v>
      </c>
      <c r="F1772" s="25">
        <v>4.0</v>
      </c>
      <c r="G1772" s="27" t="s">
        <v>24</v>
      </c>
    </row>
    <row r="1773" ht="22.5" customHeight="1">
      <c r="A1773" s="25">
        <v>2394.0</v>
      </c>
      <c r="B1773" s="26">
        <v>45516.0</v>
      </c>
      <c r="C1773" s="25">
        <v>94.0</v>
      </c>
      <c r="D1773" s="25">
        <v>34.0</v>
      </c>
      <c r="E1773" s="25">
        <v>1.0</v>
      </c>
      <c r="F1773" s="25">
        <v>2.0</v>
      </c>
      <c r="G1773" s="27" t="s">
        <v>24</v>
      </c>
    </row>
    <row r="1774" ht="22.5" customHeight="1">
      <c r="A1774" s="25">
        <v>2533.0</v>
      </c>
      <c r="B1774" s="26">
        <v>45516.0</v>
      </c>
      <c r="C1774" s="25">
        <v>12.0</v>
      </c>
      <c r="D1774" s="25">
        <v>21.0</v>
      </c>
      <c r="E1774" s="25">
        <v>1.0</v>
      </c>
      <c r="F1774" s="25">
        <v>1.0</v>
      </c>
      <c r="G1774" s="27" t="s">
        <v>24</v>
      </c>
    </row>
    <row r="1775" ht="22.5" customHeight="1">
      <c r="A1775" s="25">
        <v>2626.0</v>
      </c>
      <c r="B1775" s="26">
        <v>45516.0</v>
      </c>
      <c r="C1775" s="25">
        <v>321.0</v>
      </c>
      <c r="D1775" s="25">
        <v>10.0</v>
      </c>
      <c r="E1775" s="25">
        <v>2.0</v>
      </c>
      <c r="F1775" s="25">
        <v>5.0</v>
      </c>
      <c r="G1775" s="27" t="s">
        <v>24</v>
      </c>
    </row>
    <row r="1776" ht="22.5" customHeight="1">
      <c r="A1776" s="25">
        <v>2804.0</v>
      </c>
      <c r="B1776" s="26">
        <v>45516.0</v>
      </c>
      <c r="C1776" s="25">
        <v>11.0</v>
      </c>
      <c r="D1776" s="25">
        <v>1.0</v>
      </c>
      <c r="E1776" s="25">
        <v>1.0</v>
      </c>
      <c r="F1776" s="25">
        <v>5.0</v>
      </c>
      <c r="G1776" s="27" t="s">
        <v>24</v>
      </c>
    </row>
    <row r="1777" ht="22.5" customHeight="1">
      <c r="A1777" s="25">
        <v>2971.0</v>
      </c>
      <c r="B1777" s="26">
        <v>45516.0</v>
      </c>
      <c r="C1777" s="25">
        <v>124.0</v>
      </c>
      <c r="D1777" s="25">
        <v>7.0</v>
      </c>
      <c r="E1777" s="25">
        <v>6.0</v>
      </c>
      <c r="F1777" s="25">
        <v>3.0</v>
      </c>
      <c r="G1777" s="27" t="s">
        <v>24</v>
      </c>
    </row>
    <row r="1778" ht="22.5" customHeight="1">
      <c r="A1778" s="25">
        <v>78.0</v>
      </c>
      <c r="B1778" s="26">
        <v>45517.0</v>
      </c>
      <c r="C1778" s="25">
        <v>60.0</v>
      </c>
      <c r="D1778" s="25">
        <v>13.0</v>
      </c>
      <c r="E1778" s="25">
        <v>6.0</v>
      </c>
      <c r="F1778" s="25">
        <v>4.0</v>
      </c>
      <c r="G1778" s="27" t="s">
        <v>24</v>
      </c>
    </row>
    <row r="1779" ht="22.5" customHeight="1">
      <c r="A1779" s="25">
        <v>149.0</v>
      </c>
      <c r="B1779" s="26">
        <v>45517.0</v>
      </c>
      <c r="C1779" s="25">
        <v>79.0</v>
      </c>
      <c r="D1779" s="25">
        <v>7.0</v>
      </c>
      <c r="E1779" s="25">
        <v>6.0</v>
      </c>
      <c r="F1779" s="25">
        <v>5.0</v>
      </c>
      <c r="G1779" s="27" t="s">
        <v>25</v>
      </c>
    </row>
    <row r="1780" ht="22.5" customHeight="1">
      <c r="A1780" s="25">
        <v>936.0</v>
      </c>
      <c r="B1780" s="26">
        <v>45517.0</v>
      </c>
      <c r="C1780" s="25">
        <v>98.0</v>
      </c>
      <c r="D1780" s="25">
        <v>2.0</v>
      </c>
      <c r="E1780" s="25">
        <v>2.0</v>
      </c>
      <c r="F1780" s="25">
        <v>4.0</v>
      </c>
      <c r="G1780" s="27" t="s">
        <v>24</v>
      </c>
    </row>
    <row r="1781" ht="22.5" customHeight="1">
      <c r="A1781" s="25">
        <v>1450.0</v>
      </c>
      <c r="B1781" s="26">
        <v>45517.0</v>
      </c>
      <c r="C1781" s="25">
        <v>98.0</v>
      </c>
      <c r="D1781" s="25">
        <v>12.0</v>
      </c>
      <c r="E1781" s="25">
        <v>2.0</v>
      </c>
      <c r="F1781" s="25">
        <v>2.0</v>
      </c>
      <c r="G1781" s="27" t="s">
        <v>24</v>
      </c>
    </row>
    <row r="1782" ht="22.5" customHeight="1">
      <c r="A1782" s="25">
        <v>1799.0</v>
      </c>
      <c r="B1782" s="26">
        <v>45517.0</v>
      </c>
      <c r="C1782" s="25">
        <v>325.0</v>
      </c>
      <c r="D1782" s="25">
        <v>19.0</v>
      </c>
      <c r="E1782" s="25">
        <v>2.0</v>
      </c>
      <c r="F1782" s="25">
        <v>3.0</v>
      </c>
      <c r="G1782" s="27" t="s">
        <v>24</v>
      </c>
    </row>
    <row r="1783" ht="22.5" customHeight="1">
      <c r="A1783" s="25">
        <v>1979.0</v>
      </c>
      <c r="B1783" s="26">
        <v>45517.0</v>
      </c>
      <c r="C1783" s="25">
        <v>185.0</v>
      </c>
      <c r="D1783" s="25">
        <v>21.0</v>
      </c>
      <c r="E1783" s="25">
        <v>3.0</v>
      </c>
      <c r="F1783" s="25">
        <v>5.0</v>
      </c>
      <c r="G1783" s="27" t="s">
        <v>24</v>
      </c>
    </row>
    <row r="1784" ht="22.5" customHeight="1">
      <c r="A1784" s="25">
        <v>2316.0</v>
      </c>
      <c r="B1784" s="26">
        <v>45517.0</v>
      </c>
      <c r="C1784" s="25">
        <v>197.0</v>
      </c>
      <c r="D1784" s="25">
        <v>11.0</v>
      </c>
      <c r="E1784" s="25">
        <v>1.0</v>
      </c>
      <c r="F1784" s="25">
        <v>4.0</v>
      </c>
      <c r="G1784" s="27" t="s">
        <v>24</v>
      </c>
    </row>
    <row r="1785" ht="22.5" customHeight="1">
      <c r="A1785" s="25">
        <v>2329.0</v>
      </c>
      <c r="B1785" s="26">
        <v>45517.0</v>
      </c>
      <c r="C1785" s="25">
        <v>145.0</v>
      </c>
      <c r="D1785" s="25">
        <v>30.0</v>
      </c>
      <c r="E1785" s="25">
        <v>1.0</v>
      </c>
      <c r="F1785" s="25">
        <v>5.0</v>
      </c>
      <c r="G1785" s="27" t="s">
        <v>25</v>
      </c>
    </row>
    <row r="1786" ht="22.5" customHeight="1">
      <c r="A1786" s="25">
        <v>2796.0</v>
      </c>
      <c r="B1786" s="26">
        <v>45517.0</v>
      </c>
      <c r="C1786" s="25">
        <v>94.0</v>
      </c>
      <c r="D1786" s="25">
        <v>27.0</v>
      </c>
      <c r="E1786" s="25">
        <v>4.0</v>
      </c>
      <c r="F1786" s="25">
        <v>3.0</v>
      </c>
      <c r="G1786" s="27" t="s">
        <v>24</v>
      </c>
    </row>
    <row r="1787" ht="22.5" customHeight="1">
      <c r="A1787" s="25">
        <v>2911.0</v>
      </c>
      <c r="B1787" s="26">
        <v>45517.0</v>
      </c>
      <c r="C1787" s="25">
        <v>140.0</v>
      </c>
      <c r="D1787" s="25">
        <v>22.0</v>
      </c>
      <c r="E1787" s="25">
        <v>3.0</v>
      </c>
      <c r="F1787" s="25">
        <v>1.0</v>
      </c>
      <c r="G1787" s="27" t="s">
        <v>24</v>
      </c>
    </row>
    <row r="1788" ht="22.5" customHeight="1">
      <c r="A1788" s="25">
        <v>17.0</v>
      </c>
      <c r="B1788" s="26">
        <v>45518.0</v>
      </c>
      <c r="C1788" s="25">
        <v>51.0</v>
      </c>
      <c r="D1788" s="25">
        <v>31.0</v>
      </c>
      <c r="E1788" s="25">
        <v>3.0</v>
      </c>
      <c r="F1788" s="25">
        <v>2.0</v>
      </c>
      <c r="G1788" s="27" t="s">
        <v>24</v>
      </c>
    </row>
    <row r="1789" ht="22.5" customHeight="1">
      <c r="A1789" s="25">
        <v>521.0</v>
      </c>
      <c r="B1789" s="26">
        <v>45518.0</v>
      </c>
      <c r="C1789" s="25">
        <v>140.0</v>
      </c>
      <c r="D1789" s="25">
        <v>26.0</v>
      </c>
      <c r="E1789" s="25">
        <v>6.0</v>
      </c>
      <c r="F1789" s="25">
        <v>4.0</v>
      </c>
      <c r="G1789" s="27" t="s">
        <v>24</v>
      </c>
    </row>
    <row r="1790" ht="22.5" customHeight="1">
      <c r="A1790" s="25">
        <v>987.0</v>
      </c>
      <c r="B1790" s="26">
        <v>45518.0</v>
      </c>
      <c r="C1790" s="25">
        <v>274.0</v>
      </c>
      <c r="D1790" s="25">
        <v>33.0</v>
      </c>
      <c r="E1790" s="25">
        <v>5.0</v>
      </c>
      <c r="F1790" s="25">
        <v>2.0</v>
      </c>
      <c r="G1790" s="27" t="s">
        <v>24</v>
      </c>
    </row>
    <row r="1791" ht="22.5" customHeight="1">
      <c r="A1791" s="25">
        <v>1147.0</v>
      </c>
      <c r="B1791" s="26">
        <v>45518.0</v>
      </c>
      <c r="C1791" s="25">
        <v>112.0</v>
      </c>
      <c r="D1791" s="25">
        <v>5.0</v>
      </c>
      <c r="E1791" s="25">
        <v>6.0</v>
      </c>
      <c r="F1791" s="25">
        <v>3.0</v>
      </c>
      <c r="G1791" s="27" t="s">
        <v>24</v>
      </c>
    </row>
    <row r="1792" ht="22.5" customHeight="1">
      <c r="A1792" s="25">
        <v>1212.0</v>
      </c>
      <c r="B1792" s="26">
        <v>45518.0</v>
      </c>
      <c r="C1792" s="25">
        <v>58.0</v>
      </c>
      <c r="D1792" s="25">
        <v>20.0</v>
      </c>
      <c r="E1792" s="25">
        <v>5.0</v>
      </c>
      <c r="F1792" s="25">
        <v>1.0</v>
      </c>
      <c r="G1792" s="27" t="s">
        <v>24</v>
      </c>
    </row>
    <row r="1793" ht="22.5" customHeight="1">
      <c r="A1793" s="25">
        <v>1318.0</v>
      </c>
      <c r="B1793" s="26">
        <v>45518.0</v>
      </c>
      <c r="C1793" s="25">
        <v>219.0</v>
      </c>
      <c r="D1793" s="25">
        <v>13.0</v>
      </c>
      <c r="E1793" s="25">
        <v>1.0</v>
      </c>
      <c r="F1793" s="25">
        <v>4.0</v>
      </c>
      <c r="G1793" s="27" t="s">
        <v>24</v>
      </c>
    </row>
    <row r="1794" ht="22.5" customHeight="1">
      <c r="A1794" s="25">
        <v>1568.0</v>
      </c>
      <c r="B1794" s="26">
        <v>45518.0</v>
      </c>
      <c r="C1794" s="25">
        <v>148.0</v>
      </c>
      <c r="D1794" s="25">
        <v>6.0</v>
      </c>
      <c r="E1794" s="25">
        <v>2.0</v>
      </c>
      <c r="F1794" s="25">
        <v>3.0</v>
      </c>
      <c r="G1794" s="27" t="s">
        <v>24</v>
      </c>
    </row>
    <row r="1795" ht="22.5" customHeight="1">
      <c r="A1795" s="25">
        <v>1675.0</v>
      </c>
      <c r="B1795" s="26">
        <v>45518.0</v>
      </c>
      <c r="C1795" s="25">
        <v>304.0</v>
      </c>
      <c r="D1795" s="25">
        <v>31.0</v>
      </c>
      <c r="E1795" s="25">
        <v>4.0</v>
      </c>
      <c r="F1795" s="25">
        <v>4.0</v>
      </c>
      <c r="G1795" s="27" t="s">
        <v>24</v>
      </c>
    </row>
    <row r="1796" ht="22.5" customHeight="1">
      <c r="A1796" s="25">
        <v>1723.0</v>
      </c>
      <c r="B1796" s="26">
        <v>45518.0</v>
      </c>
      <c r="C1796" s="25">
        <v>320.0</v>
      </c>
      <c r="D1796" s="25">
        <v>20.0</v>
      </c>
      <c r="E1796" s="25">
        <v>3.0</v>
      </c>
      <c r="F1796" s="25">
        <v>3.0</v>
      </c>
      <c r="G1796" s="27" t="s">
        <v>24</v>
      </c>
    </row>
    <row r="1797" ht="22.5" customHeight="1">
      <c r="A1797" s="25">
        <v>1745.0</v>
      </c>
      <c r="B1797" s="26">
        <v>45518.0</v>
      </c>
      <c r="C1797" s="25">
        <v>294.0</v>
      </c>
      <c r="D1797" s="25">
        <v>17.0</v>
      </c>
      <c r="E1797" s="25">
        <v>1.0</v>
      </c>
      <c r="F1797" s="25">
        <v>5.0</v>
      </c>
      <c r="G1797" s="27" t="s">
        <v>24</v>
      </c>
    </row>
    <row r="1798" ht="22.5" customHeight="1">
      <c r="A1798" s="25">
        <v>1765.0</v>
      </c>
      <c r="B1798" s="26">
        <v>45518.0</v>
      </c>
      <c r="C1798" s="25">
        <v>307.0</v>
      </c>
      <c r="D1798" s="25">
        <v>24.0</v>
      </c>
      <c r="E1798" s="25">
        <v>2.0</v>
      </c>
      <c r="F1798" s="25">
        <v>5.0</v>
      </c>
      <c r="G1798" s="27" t="s">
        <v>24</v>
      </c>
    </row>
    <row r="1799" ht="22.5" customHeight="1">
      <c r="A1799" s="25">
        <v>2382.0</v>
      </c>
      <c r="B1799" s="26">
        <v>45518.0</v>
      </c>
      <c r="C1799" s="25">
        <v>326.0</v>
      </c>
      <c r="D1799" s="25">
        <v>22.0</v>
      </c>
      <c r="E1799" s="25">
        <v>3.0</v>
      </c>
      <c r="F1799" s="25">
        <v>1.0</v>
      </c>
      <c r="G1799" s="27" t="s">
        <v>24</v>
      </c>
    </row>
    <row r="1800" ht="22.5" customHeight="1">
      <c r="A1800" s="25">
        <v>2537.0</v>
      </c>
      <c r="B1800" s="26">
        <v>45518.0</v>
      </c>
      <c r="C1800" s="25">
        <v>57.0</v>
      </c>
      <c r="D1800" s="25">
        <v>26.0</v>
      </c>
      <c r="E1800" s="25">
        <v>2.0</v>
      </c>
      <c r="F1800" s="25">
        <v>1.0</v>
      </c>
      <c r="G1800" s="27" t="s">
        <v>24</v>
      </c>
    </row>
    <row r="1801" ht="22.5" customHeight="1">
      <c r="A1801" s="25">
        <v>2565.0</v>
      </c>
      <c r="B1801" s="26">
        <v>45518.0</v>
      </c>
      <c r="C1801" s="25">
        <v>318.0</v>
      </c>
      <c r="D1801" s="25">
        <v>19.0</v>
      </c>
      <c r="E1801" s="25">
        <v>5.0</v>
      </c>
      <c r="F1801" s="25">
        <v>1.0</v>
      </c>
      <c r="G1801" s="27" t="s">
        <v>24</v>
      </c>
    </row>
    <row r="1802" ht="22.5" customHeight="1">
      <c r="A1802" s="25">
        <v>2762.0</v>
      </c>
      <c r="B1802" s="26">
        <v>45518.0</v>
      </c>
      <c r="C1802" s="25">
        <v>145.0</v>
      </c>
      <c r="D1802" s="25">
        <v>27.0</v>
      </c>
      <c r="E1802" s="25">
        <v>4.0</v>
      </c>
      <c r="F1802" s="25">
        <v>2.0</v>
      </c>
      <c r="G1802" s="27" t="s">
        <v>24</v>
      </c>
    </row>
    <row r="1803" ht="22.5" customHeight="1">
      <c r="A1803" s="25">
        <v>403.0</v>
      </c>
      <c r="B1803" s="26">
        <v>45519.0</v>
      </c>
      <c r="C1803" s="25">
        <v>300.0</v>
      </c>
      <c r="D1803" s="25">
        <v>35.0</v>
      </c>
      <c r="E1803" s="25">
        <v>6.0</v>
      </c>
      <c r="F1803" s="25">
        <v>4.0</v>
      </c>
      <c r="G1803" s="27" t="s">
        <v>24</v>
      </c>
    </row>
    <row r="1804" ht="22.5" customHeight="1">
      <c r="A1804" s="25">
        <v>413.0</v>
      </c>
      <c r="B1804" s="26">
        <v>45519.0</v>
      </c>
      <c r="C1804" s="25">
        <v>137.0</v>
      </c>
      <c r="D1804" s="25">
        <v>3.0</v>
      </c>
      <c r="E1804" s="25">
        <v>1.0</v>
      </c>
      <c r="F1804" s="25">
        <v>2.0</v>
      </c>
      <c r="G1804" s="27" t="s">
        <v>24</v>
      </c>
    </row>
    <row r="1805" ht="22.5" customHeight="1">
      <c r="A1805" s="25">
        <v>1471.0</v>
      </c>
      <c r="B1805" s="26">
        <v>45519.0</v>
      </c>
      <c r="C1805" s="25">
        <v>123.0</v>
      </c>
      <c r="D1805" s="25">
        <v>25.0</v>
      </c>
      <c r="E1805" s="25">
        <v>5.0</v>
      </c>
      <c r="F1805" s="25">
        <v>5.0</v>
      </c>
      <c r="G1805" s="27" t="s">
        <v>24</v>
      </c>
    </row>
    <row r="1806" ht="22.5" customHeight="1">
      <c r="A1806" s="25">
        <v>1845.0</v>
      </c>
      <c r="B1806" s="26">
        <v>45519.0</v>
      </c>
      <c r="C1806" s="25">
        <v>70.0</v>
      </c>
      <c r="D1806" s="25">
        <v>26.0</v>
      </c>
      <c r="E1806" s="25">
        <v>1.0</v>
      </c>
      <c r="F1806" s="25">
        <v>4.0</v>
      </c>
      <c r="G1806" s="27" t="s">
        <v>24</v>
      </c>
    </row>
    <row r="1807" ht="22.5" customHeight="1">
      <c r="A1807" s="25">
        <v>2015.0</v>
      </c>
      <c r="B1807" s="26">
        <v>45519.0</v>
      </c>
      <c r="C1807" s="25">
        <v>33.0</v>
      </c>
      <c r="D1807" s="25">
        <v>5.0</v>
      </c>
      <c r="E1807" s="25">
        <v>5.0</v>
      </c>
      <c r="F1807" s="25">
        <v>5.0</v>
      </c>
      <c r="G1807" s="27" t="s">
        <v>24</v>
      </c>
    </row>
    <row r="1808" ht="22.5" customHeight="1">
      <c r="A1808" s="25">
        <v>2348.0</v>
      </c>
      <c r="B1808" s="26">
        <v>45519.0</v>
      </c>
      <c r="C1808" s="25">
        <v>138.0</v>
      </c>
      <c r="D1808" s="25">
        <v>15.0</v>
      </c>
      <c r="E1808" s="25">
        <v>6.0</v>
      </c>
      <c r="F1808" s="25">
        <v>1.0</v>
      </c>
      <c r="G1808" s="27" t="s">
        <v>24</v>
      </c>
    </row>
    <row r="1809" ht="22.5" customHeight="1">
      <c r="A1809" s="25">
        <v>2936.0</v>
      </c>
      <c r="B1809" s="26">
        <v>45519.0</v>
      </c>
      <c r="C1809" s="25">
        <v>241.0</v>
      </c>
      <c r="D1809" s="25">
        <v>25.0</v>
      </c>
      <c r="E1809" s="25">
        <v>2.0</v>
      </c>
      <c r="F1809" s="25">
        <v>4.0</v>
      </c>
      <c r="G1809" s="27" t="s">
        <v>24</v>
      </c>
    </row>
    <row r="1810" ht="22.5" customHeight="1">
      <c r="A1810" s="25">
        <v>129.0</v>
      </c>
      <c r="B1810" s="26">
        <v>45520.0</v>
      </c>
      <c r="C1810" s="25">
        <v>25.0</v>
      </c>
      <c r="D1810" s="25">
        <v>14.0</v>
      </c>
      <c r="E1810" s="25">
        <v>2.0</v>
      </c>
      <c r="F1810" s="25">
        <v>3.0</v>
      </c>
      <c r="G1810" s="27" t="s">
        <v>24</v>
      </c>
    </row>
    <row r="1811" ht="22.5" customHeight="1">
      <c r="A1811" s="25">
        <v>204.0</v>
      </c>
      <c r="B1811" s="26">
        <v>45520.0</v>
      </c>
      <c r="C1811" s="25">
        <v>292.0</v>
      </c>
      <c r="D1811" s="25">
        <v>6.0</v>
      </c>
      <c r="E1811" s="25">
        <v>5.0</v>
      </c>
      <c r="F1811" s="25">
        <v>2.0</v>
      </c>
      <c r="G1811" s="27" t="s">
        <v>24</v>
      </c>
    </row>
    <row r="1812" ht="22.5" customHeight="1">
      <c r="A1812" s="25">
        <v>276.0</v>
      </c>
      <c r="B1812" s="26">
        <v>45520.0</v>
      </c>
      <c r="C1812" s="25">
        <v>103.0</v>
      </c>
      <c r="D1812" s="25">
        <v>3.0</v>
      </c>
      <c r="E1812" s="25">
        <v>1.0</v>
      </c>
      <c r="F1812" s="25">
        <v>5.0</v>
      </c>
      <c r="G1812" s="27" t="s">
        <v>25</v>
      </c>
    </row>
    <row r="1813" ht="22.5" customHeight="1">
      <c r="A1813" s="25">
        <v>388.0</v>
      </c>
      <c r="B1813" s="26">
        <v>45520.0</v>
      </c>
      <c r="C1813" s="25">
        <v>222.0</v>
      </c>
      <c r="D1813" s="25">
        <v>31.0</v>
      </c>
      <c r="E1813" s="25">
        <v>3.0</v>
      </c>
      <c r="F1813" s="25">
        <v>5.0</v>
      </c>
      <c r="G1813" s="27" t="s">
        <v>24</v>
      </c>
    </row>
    <row r="1814" ht="22.5" customHeight="1">
      <c r="A1814" s="25">
        <v>540.0</v>
      </c>
      <c r="B1814" s="26">
        <v>45520.0</v>
      </c>
      <c r="C1814" s="25">
        <v>26.0</v>
      </c>
      <c r="D1814" s="25">
        <v>16.0</v>
      </c>
      <c r="E1814" s="25">
        <v>4.0</v>
      </c>
      <c r="F1814" s="25">
        <v>3.0</v>
      </c>
      <c r="G1814" s="27" t="s">
        <v>24</v>
      </c>
    </row>
    <row r="1815" ht="22.5" customHeight="1">
      <c r="A1815" s="25">
        <v>575.0</v>
      </c>
      <c r="B1815" s="26">
        <v>45520.0</v>
      </c>
      <c r="C1815" s="25">
        <v>112.0</v>
      </c>
      <c r="D1815" s="25">
        <v>6.0</v>
      </c>
      <c r="E1815" s="25">
        <v>1.0</v>
      </c>
      <c r="F1815" s="25">
        <v>4.0</v>
      </c>
      <c r="G1815" s="27" t="s">
        <v>24</v>
      </c>
    </row>
    <row r="1816" ht="22.5" customHeight="1">
      <c r="A1816" s="25">
        <v>679.0</v>
      </c>
      <c r="B1816" s="26">
        <v>45520.0</v>
      </c>
      <c r="C1816" s="25">
        <v>137.0</v>
      </c>
      <c r="D1816" s="25">
        <v>10.0</v>
      </c>
      <c r="E1816" s="25">
        <v>2.0</v>
      </c>
      <c r="F1816" s="25">
        <v>2.0</v>
      </c>
      <c r="G1816" s="27" t="s">
        <v>25</v>
      </c>
    </row>
    <row r="1817" ht="22.5" customHeight="1">
      <c r="A1817" s="25">
        <v>757.0</v>
      </c>
      <c r="B1817" s="26">
        <v>45520.0</v>
      </c>
      <c r="C1817" s="25">
        <v>52.0</v>
      </c>
      <c r="D1817" s="25">
        <v>4.0</v>
      </c>
      <c r="E1817" s="25">
        <v>6.0</v>
      </c>
      <c r="F1817" s="25">
        <v>4.0</v>
      </c>
      <c r="G1817" s="27" t="s">
        <v>24</v>
      </c>
    </row>
    <row r="1818" ht="22.5" customHeight="1">
      <c r="A1818" s="25">
        <v>1438.0</v>
      </c>
      <c r="B1818" s="26">
        <v>45520.0</v>
      </c>
      <c r="C1818" s="25">
        <v>101.0</v>
      </c>
      <c r="D1818" s="25">
        <v>16.0</v>
      </c>
      <c r="E1818" s="25">
        <v>6.0</v>
      </c>
      <c r="F1818" s="25">
        <v>3.0</v>
      </c>
      <c r="G1818" s="27" t="s">
        <v>24</v>
      </c>
    </row>
    <row r="1819" ht="22.5" customHeight="1">
      <c r="A1819" s="25">
        <v>2130.0</v>
      </c>
      <c r="B1819" s="26">
        <v>45520.0</v>
      </c>
      <c r="C1819" s="25">
        <v>286.0</v>
      </c>
      <c r="D1819" s="25">
        <v>15.0</v>
      </c>
      <c r="E1819" s="25">
        <v>4.0</v>
      </c>
      <c r="F1819" s="25">
        <v>3.0</v>
      </c>
      <c r="G1819" s="27" t="s">
        <v>24</v>
      </c>
    </row>
    <row r="1820" ht="22.5" customHeight="1">
      <c r="A1820" s="25">
        <v>139.0</v>
      </c>
      <c r="B1820" s="26">
        <v>45521.0</v>
      </c>
      <c r="C1820" s="25">
        <v>302.0</v>
      </c>
      <c r="D1820" s="25">
        <v>8.0</v>
      </c>
      <c r="E1820" s="25">
        <v>4.0</v>
      </c>
      <c r="F1820" s="25">
        <v>4.0</v>
      </c>
      <c r="G1820" s="27" t="s">
        <v>25</v>
      </c>
    </row>
    <row r="1821" ht="22.5" customHeight="1">
      <c r="A1821" s="25">
        <v>676.0</v>
      </c>
      <c r="B1821" s="26">
        <v>45521.0</v>
      </c>
      <c r="C1821" s="25">
        <v>291.0</v>
      </c>
      <c r="D1821" s="25">
        <v>38.0</v>
      </c>
      <c r="E1821" s="25">
        <v>6.0</v>
      </c>
      <c r="F1821" s="25">
        <v>1.0</v>
      </c>
      <c r="G1821" s="27" t="s">
        <v>24</v>
      </c>
    </row>
    <row r="1822" ht="22.5" customHeight="1">
      <c r="A1822" s="25">
        <v>1189.0</v>
      </c>
      <c r="B1822" s="26">
        <v>45521.0</v>
      </c>
      <c r="C1822" s="25">
        <v>31.0</v>
      </c>
      <c r="D1822" s="25">
        <v>10.0</v>
      </c>
      <c r="E1822" s="25">
        <v>5.0</v>
      </c>
      <c r="F1822" s="25">
        <v>5.0</v>
      </c>
      <c r="G1822" s="27" t="s">
        <v>24</v>
      </c>
    </row>
    <row r="1823" ht="22.5" customHeight="1">
      <c r="A1823" s="25">
        <v>1339.0</v>
      </c>
      <c r="B1823" s="26">
        <v>45521.0</v>
      </c>
      <c r="C1823" s="25">
        <v>279.0</v>
      </c>
      <c r="D1823" s="25">
        <v>2.0</v>
      </c>
      <c r="E1823" s="25">
        <v>3.0</v>
      </c>
      <c r="F1823" s="25">
        <v>5.0</v>
      </c>
      <c r="G1823" s="27" t="s">
        <v>24</v>
      </c>
    </row>
    <row r="1824" ht="22.5" customHeight="1">
      <c r="A1824" s="25">
        <v>1553.0</v>
      </c>
      <c r="B1824" s="26">
        <v>45521.0</v>
      </c>
      <c r="C1824" s="25">
        <v>25.0</v>
      </c>
      <c r="D1824" s="25">
        <v>8.0</v>
      </c>
      <c r="E1824" s="25">
        <v>5.0</v>
      </c>
      <c r="F1824" s="25">
        <v>5.0</v>
      </c>
      <c r="G1824" s="27" t="s">
        <v>24</v>
      </c>
    </row>
    <row r="1825" ht="22.5" customHeight="1">
      <c r="A1825" s="25">
        <v>1558.0</v>
      </c>
      <c r="B1825" s="26">
        <v>45521.0</v>
      </c>
      <c r="C1825" s="25">
        <v>318.0</v>
      </c>
      <c r="D1825" s="25">
        <v>23.0</v>
      </c>
      <c r="E1825" s="25">
        <v>1.0</v>
      </c>
      <c r="F1825" s="25">
        <v>5.0</v>
      </c>
      <c r="G1825" s="27" t="s">
        <v>24</v>
      </c>
    </row>
    <row r="1826" ht="22.5" customHeight="1">
      <c r="A1826" s="25">
        <v>2622.0</v>
      </c>
      <c r="B1826" s="26">
        <v>45521.0</v>
      </c>
      <c r="C1826" s="25">
        <v>27.0</v>
      </c>
      <c r="D1826" s="25">
        <v>35.0</v>
      </c>
      <c r="E1826" s="25">
        <v>4.0</v>
      </c>
      <c r="F1826" s="25">
        <v>5.0</v>
      </c>
      <c r="G1826" s="27" t="s">
        <v>24</v>
      </c>
    </row>
    <row r="1827" ht="22.5" customHeight="1">
      <c r="A1827" s="25">
        <v>69.0</v>
      </c>
      <c r="B1827" s="26">
        <v>45522.0</v>
      </c>
      <c r="C1827" s="25">
        <v>4.0</v>
      </c>
      <c r="D1827" s="25">
        <v>38.0</v>
      </c>
      <c r="E1827" s="25">
        <v>3.0</v>
      </c>
      <c r="F1827" s="25">
        <v>3.0</v>
      </c>
      <c r="G1827" s="27" t="s">
        <v>24</v>
      </c>
    </row>
    <row r="1828" ht="22.5" customHeight="1">
      <c r="A1828" s="25">
        <v>266.0</v>
      </c>
      <c r="B1828" s="26">
        <v>45522.0</v>
      </c>
      <c r="C1828" s="25">
        <v>78.0</v>
      </c>
      <c r="D1828" s="25">
        <v>2.0</v>
      </c>
      <c r="E1828" s="25">
        <v>5.0</v>
      </c>
      <c r="F1828" s="25">
        <v>4.0</v>
      </c>
      <c r="G1828" s="27" t="s">
        <v>24</v>
      </c>
    </row>
    <row r="1829" ht="22.5" customHeight="1">
      <c r="A1829" s="25">
        <v>673.0</v>
      </c>
      <c r="B1829" s="26">
        <v>45522.0</v>
      </c>
      <c r="C1829" s="25">
        <v>257.0</v>
      </c>
      <c r="D1829" s="25">
        <v>12.0</v>
      </c>
      <c r="E1829" s="25">
        <v>3.0</v>
      </c>
      <c r="F1829" s="25">
        <v>4.0</v>
      </c>
      <c r="G1829" s="27" t="s">
        <v>24</v>
      </c>
    </row>
    <row r="1830" ht="22.5" customHeight="1">
      <c r="A1830" s="25">
        <v>816.0</v>
      </c>
      <c r="B1830" s="26">
        <v>45522.0</v>
      </c>
      <c r="C1830" s="25">
        <v>111.0</v>
      </c>
      <c r="D1830" s="25">
        <v>8.0</v>
      </c>
      <c r="E1830" s="25">
        <v>3.0</v>
      </c>
      <c r="F1830" s="25">
        <v>3.0</v>
      </c>
      <c r="G1830" s="27" t="s">
        <v>25</v>
      </c>
    </row>
    <row r="1831" ht="22.5" customHeight="1">
      <c r="A1831" s="25">
        <v>829.0</v>
      </c>
      <c r="B1831" s="26">
        <v>45522.0</v>
      </c>
      <c r="C1831" s="25">
        <v>234.0</v>
      </c>
      <c r="D1831" s="25">
        <v>20.0</v>
      </c>
      <c r="E1831" s="25">
        <v>3.0</v>
      </c>
      <c r="F1831" s="25">
        <v>4.0</v>
      </c>
      <c r="G1831" s="27" t="s">
        <v>24</v>
      </c>
    </row>
    <row r="1832" ht="22.5" customHeight="1">
      <c r="A1832" s="25">
        <v>1094.0</v>
      </c>
      <c r="B1832" s="26">
        <v>45522.0</v>
      </c>
      <c r="C1832" s="25">
        <v>98.0</v>
      </c>
      <c r="D1832" s="25">
        <v>36.0</v>
      </c>
      <c r="E1832" s="25">
        <v>2.0</v>
      </c>
      <c r="F1832" s="25">
        <v>1.0</v>
      </c>
      <c r="G1832" s="27" t="s">
        <v>25</v>
      </c>
    </row>
    <row r="1833" ht="22.5" customHeight="1">
      <c r="A1833" s="25">
        <v>1891.0</v>
      </c>
      <c r="B1833" s="26">
        <v>45522.0</v>
      </c>
      <c r="C1833" s="25">
        <v>83.0</v>
      </c>
      <c r="D1833" s="25">
        <v>32.0</v>
      </c>
      <c r="E1833" s="25">
        <v>5.0</v>
      </c>
      <c r="F1833" s="25">
        <v>3.0</v>
      </c>
      <c r="G1833" s="27" t="s">
        <v>24</v>
      </c>
    </row>
    <row r="1834" ht="22.5" customHeight="1">
      <c r="A1834" s="25">
        <v>2021.0</v>
      </c>
      <c r="B1834" s="26">
        <v>45522.0</v>
      </c>
      <c r="C1834" s="25">
        <v>240.0</v>
      </c>
      <c r="D1834" s="25">
        <v>37.0</v>
      </c>
      <c r="E1834" s="25">
        <v>3.0</v>
      </c>
      <c r="F1834" s="25">
        <v>2.0</v>
      </c>
      <c r="G1834" s="27" t="s">
        <v>24</v>
      </c>
    </row>
    <row r="1835" ht="22.5" customHeight="1">
      <c r="A1835" s="25">
        <v>2056.0</v>
      </c>
      <c r="B1835" s="26">
        <v>45522.0</v>
      </c>
      <c r="C1835" s="25">
        <v>320.0</v>
      </c>
      <c r="D1835" s="25">
        <v>36.0</v>
      </c>
      <c r="E1835" s="25">
        <v>6.0</v>
      </c>
      <c r="F1835" s="25">
        <v>4.0</v>
      </c>
      <c r="G1835" s="27" t="s">
        <v>25</v>
      </c>
    </row>
    <row r="1836" ht="22.5" customHeight="1">
      <c r="A1836" s="25">
        <v>2556.0</v>
      </c>
      <c r="B1836" s="26">
        <v>45522.0</v>
      </c>
      <c r="C1836" s="25">
        <v>162.0</v>
      </c>
      <c r="D1836" s="25">
        <v>26.0</v>
      </c>
      <c r="E1836" s="25">
        <v>4.0</v>
      </c>
      <c r="F1836" s="25">
        <v>1.0</v>
      </c>
      <c r="G1836" s="27" t="s">
        <v>24</v>
      </c>
    </row>
    <row r="1837" ht="22.5" customHeight="1">
      <c r="A1837" s="25">
        <v>633.0</v>
      </c>
      <c r="B1837" s="26">
        <v>45523.0</v>
      </c>
      <c r="C1837" s="25">
        <v>121.0</v>
      </c>
      <c r="D1837" s="25">
        <v>28.0</v>
      </c>
      <c r="E1837" s="25">
        <v>3.0</v>
      </c>
      <c r="F1837" s="25">
        <v>4.0</v>
      </c>
      <c r="G1837" s="27" t="s">
        <v>24</v>
      </c>
    </row>
    <row r="1838" ht="22.5" customHeight="1">
      <c r="A1838" s="25">
        <v>1109.0</v>
      </c>
      <c r="B1838" s="26">
        <v>45523.0</v>
      </c>
      <c r="C1838" s="25">
        <v>287.0</v>
      </c>
      <c r="D1838" s="25">
        <v>29.0</v>
      </c>
      <c r="E1838" s="25">
        <v>1.0</v>
      </c>
      <c r="F1838" s="25">
        <v>3.0</v>
      </c>
      <c r="G1838" s="27" t="s">
        <v>24</v>
      </c>
    </row>
    <row r="1839" ht="22.5" customHeight="1">
      <c r="A1839" s="25">
        <v>1122.0</v>
      </c>
      <c r="B1839" s="26">
        <v>45523.0</v>
      </c>
      <c r="C1839" s="25">
        <v>313.0</v>
      </c>
      <c r="D1839" s="25">
        <v>19.0</v>
      </c>
      <c r="E1839" s="25">
        <v>2.0</v>
      </c>
      <c r="F1839" s="25">
        <v>4.0</v>
      </c>
      <c r="G1839" s="27" t="s">
        <v>25</v>
      </c>
    </row>
    <row r="1840" ht="22.5" customHeight="1">
      <c r="A1840" s="25">
        <v>1458.0</v>
      </c>
      <c r="B1840" s="26">
        <v>45523.0</v>
      </c>
      <c r="C1840" s="25">
        <v>73.0</v>
      </c>
      <c r="D1840" s="25">
        <v>8.0</v>
      </c>
      <c r="E1840" s="25">
        <v>2.0</v>
      </c>
      <c r="F1840" s="25">
        <v>2.0</v>
      </c>
      <c r="G1840" s="27" t="s">
        <v>24</v>
      </c>
    </row>
    <row r="1841" ht="22.5" customHeight="1">
      <c r="A1841" s="25">
        <v>1663.0</v>
      </c>
      <c r="B1841" s="26">
        <v>45523.0</v>
      </c>
      <c r="C1841" s="25">
        <v>191.0</v>
      </c>
      <c r="D1841" s="25">
        <v>2.0</v>
      </c>
      <c r="E1841" s="25">
        <v>1.0</v>
      </c>
      <c r="F1841" s="25">
        <v>3.0</v>
      </c>
      <c r="G1841" s="27" t="s">
        <v>24</v>
      </c>
    </row>
    <row r="1842" ht="22.5" customHeight="1">
      <c r="A1842" s="25">
        <v>1880.0</v>
      </c>
      <c r="B1842" s="26">
        <v>45523.0</v>
      </c>
      <c r="C1842" s="25">
        <v>269.0</v>
      </c>
      <c r="D1842" s="25">
        <v>29.0</v>
      </c>
      <c r="E1842" s="25">
        <v>3.0</v>
      </c>
      <c r="F1842" s="25">
        <v>3.0</v>
      </c>
      <c r="G1842" s="27" t="s">
        <v>24</v>
      </c>
    </row>
    <row r="1843" ht="22.5" customHeight="1">
      <c r="A1843" s="25">
        <v>2108.0</v>
      </c>
      <c r="B1843" s="26">
        <v>45523.0</v>
      </c>
      <c r="C1843" s="25">
        <v>246.0</v>
      </c>
      <c r="D1843" s="25">
        <v>20.0</v>
      </c>
      <c r="E1843" s="25">
        <v>2.0</v>
      </c>
      <c r="F1843" s="25">
        <v>5.0</v>
      </c>
      <c r="G1843" s="27" t="s">
        <v>24</v>
      </c>
    </row>
    <row r="1844" ht="22.5" customHeight="1">
      <c r="A1844" s="25">
        <v>2216.0</v>
      </c>
      <c r="B1844" s="26">
        <v>45523.0</v>
      </c>
      <c r="C1844" s="25">
        <v>42.0</v>
      </c>
      <c r="D1844" s="25">
        <v>32.0</v>
      </c>
      <c r="E1844" s="25">
        <v>4.0</v>
      </c>
      <c r="F1844" s="25">
        <v>1.0</v>
      </c>
      <c r="G1844" s="27" t="s">
        <v>24</v>
      </c>
    </row>
    <row r="1845" ht="22.5" customHeight="1">
      <c r="A1845" s="25">
        <v>2454.0</v>
      </c>
      <c r="B1845" s="26">
        <v>45523.0</v>
      </c>
      <c r="C1845" s="25">
        <v>218.0</v>
      </c>
      <c r="D1845" s="25">
        <v>17.0</v>
      </c>
      <c r="E1845" s="25">
        <v>2.0</v>
      </c>
      <c r="F1845" s="25">
        <v>3.0</v>
      </c>
      <c r="G1845" s="27" t="s">
        <v>25</v>
      </c>
    </row>
    <row r="1846" ht="22.5" customHeight="1">
      <c r="A1846" s="25">
        <v>1443.0</v>
      </c>
      <c r="B1846" s="26">
        <v>45524.0</v>
      </c>
      <c r="C1846" s="25">
        <v>168.0</v>
      </c>
      <c r="D1846" s="25">
        <v>1.0</v>
      </c>
      <c r="E1846" s="25">
        <v>6.0</v>
      </c>
      <c r="F1846" s="25">
        <v>4.0</v>
      </c>
      <c r="G1846" s="27" t="s">
        <v>24</v>
      </c>
    </row>
    <row r="1847" ht="22.5" customHeight="1">
      <c r="A1847" s="25">
        <v>1859.0</v>
      </c>
      <c r="B1847" s="26">
        <v>45524.0</v>
      </c>
      <c r="C1847" s="25">
        <v>57.0</v>
      </c>
      <c r="D1847" s="25">
        <v>11.0</v>
      </c>
      <c r="E1847" s="25">
        <v>6.0</v>
      </c>
      <c r="F1847" s="25">
        <v>4.0</v>
      </c>
      <c r="G1847" s="27" t="s">
        <v>25</v>
      </c>
    </row>
    <row r="1848" ht="22.5" customHeight="1">
      <c r="A1848" s="25">
        <v>2044.0</v>
      </c>
      <c r="B1848" s="26">
        <v>45524.0</v>
      </c>
      <c r="C1848" s="25">
        <v>246.0</v>
      </c>
      <c r="D1848" s="25">
        <v>8.0</v>
      </c>
      <c r="E1848" s="25">
        <v>5.0</v>
      </c>
      <c r="F1848" s="25">
        <v>1.0</v>
      </c>
      <c r="G1848" s="27" t="s">
        <v>24</v>
      </c>
    </row>
    <row r="1849" ht="22.5" customHeight="1">
      <c r="A1849" s="25">
        <v>2165.0</v>
      </c>
      <c r="B1849" s="26">
        <v>45524.0</v>
      </c>
      <c r="C1849" s="25">
        <v>106.0</v>
      </c>
      <c r="D1849" s="25">
        <v>30.0</v>
      </c>
      <c r="E1849" s="25">
        <v>6.0</v>
      </c>
      <c r="F1849" s="25">
        <v>1.0</v>
      </c>
      <c r="G1849" s="27" t="s">
        <v>24</v>
      </c>
    </row>
    <row r="1850" ht="22.5" customHeight="1">
      <c r="A1850" s="25">
        <v>2415.0</v>
      </c>
      <c r="B1850" s="26">
        <v>45524.0</v>
      </c>
      <c r="C1850" s="25">
        <v>108.0</v>
      </c>
      <c r="D1850" s="25">
        <v>12.0</v>
      </c>
      <c r="E1850" s="25">
        <v>5.0</v>
      </c>
      <c r="F1850" s="25">
        <v>4.0</v>
      </c>
      <c r="G1850" s="27" t="s">
        <v>24</v>
      </c>
    </row>
    <row r="1851" ht="22.5" customHeight="1">
      <c r="A1851" s="25">
        <v>2701.0</v>
      </c>
      <c r="B1851" s="26">
        <v>45524.0</v>
      </c>
      <c r="C1851" s="25">
        <v>169.0</v>
      </c>
      <c r="D1851" s="25">
        <v>19.0</v>
      </c>
      <c r="E1851" s="25">
        <v>1.0</v>
      </c>
      <c r="F1851" s="25">
        <v>4.0</v>
      </c>
      <c r="G1851" s="27" t="s">
        <v>24</v>
      </c>
    </row>
    <row r="1852" ht="22.5" customHeight="1">
      <c r="A1852" s="25">
        <v>358.0</v>
      </c>
      <c r="B1852" s="26">
        <v>45525.0</v>
      </c>
      <c r="C1852" s="25">
        <v>193.0</v>
      </c>
      <c r="D1852" s="25">
        <v>4.0</v>
      </c>
      <c r="E1852" s="25">
        <v>6.0</v>
      </c>
      <c r="F1852" s="25">
        <v>3.0</v>
      </c>
      <c r="G1852" s="27" t="s">
        <v>24</v>
      </c>
    </row>
    <row r="1853" ht="22.5" customHeight="1">
      <c r="A1853" s="25">
        <v>583.0</v>
      </c>
      <c r="B1853" s="26">
        <v>45525.0</v>
      </c>
      <c r="C1853" s="25">
        <v>7.0</v>
      </c>
      <c r="D1853" s="25">
        <v>27.0</v>
      </c>
      <c r="E1853" s="25">
        <v>3.0</v>
      </c>
      <c r="F1853" s="25">
        <v>4.0</v>
      </c>
      <c r="G1853" s="27" t="s">
        <v>25</v>
      </c>
    </row>
    <row r="1854" ht="22.5" customHeight="1">
      <c r="A1854" s="25">
        <v>716.0</v>
      </c>
      <c r="B1854" s="26">
        <v>45525.0</v>
      </c>
      <c r="C1854" s="25">
        <v>289.0</v>
      </c>
      <c r="D1854" s="25">
        <v>29.0</v>
      </c>
      <c r="E1854" s="25">
        <v>3.0</v>
      </c>
      <c r="F1854" s="25">
        <v>1.0</v>
      </c>
      <c r="G1854" s="27" t="s">
        <v>24</v>
      </c>
    </row>
    <row r="1855" ht="22.5" customHeight="1">
      <c r="A1855" s="25">
        <v>994.0</v>
      </c>
      <c r="B1855" s="26">
        <v>45525.0</v>
      </c>
      <c r="C1855" s="25">
        <v>102.0</v>
      </c>
      <c r="D1855" s="25">
        <v>24.0</v>
      </c>
      <c r="E1855" s="25">
        <v>3.0</v>
      </c>
      <c r="F1855" s="25">
        <v>3.0</v>
      </c>
      <c r="G1855" s="27" t="s">
        <v>24</v>
      </c>
    </row>
    <row r="1856" ht="22.5" customHeight="1">
      <c r="A1856" s="25">
        <v>1862.0</v>
      </c>
      <c r="B1856" s="26">
        <v>45525.0</v>
      </c>
      <c r="C1856" s="25">
        <v>26.0</v>
      </c>
      <c r="D1856" s="25">
        <v>31.0</v>
      </c>
      <c r="E1856" s="25">
        <v>2.0</v>
      </c>
      <c r="F1856" s="25">
        <v>4.0</v>
      </c>
      <c r="G1856" s="27" t="s">
        <v>24</v>
      </c>
    </row>
    <row r="1857" ht="22.5" customHeight="1">
      <c r="A1857" s="25">
        <v>2381.0</v>
      </c>
      <c r="B1857" s="26">
        <v>45525.0</v>
      </c>
      <c r="C1857" s="25">
        <v>79.0</v>
      </c>
      <c r="D1857" s="25">
        <v>5.0</v>
      </c>
      <c r="E1857" s="25">
        <v>3.0</v>
      </c>
      <c r="F1857" s="25">
        <v>4.0</v>
      </c>
      <c r="G1857" s="27" t="s">
        <v>24</v>
      </c>
    </row>
    <row r="1858" ht="22.5" customHeight="1">
      <c r="A1858" s="25">
        <v>2625.0</v>
      </c>
      <c r="B1858" s="26">
        <v>45525.0</v>
      </c>
      <c r="C1858" s="25">
        <v>188.0</v>
      </c>
      <c r="D1858" s="25">
        <v>35.0</v>
      </c>
      <c r="E1858" s="25">
        <v>5.0</v>
      </c>
      <c r="F1858" s="25">
        <v>4.0</v>
      </c>
      <c r="G1858" s="27" t="s">
        <v>24</v>
      </c>
    </row>
    <row r="1859" ht="22.5" customHeight="1">
      <c r="A1859" s="25">
        <v>2681.0</v>
      </c>
      <c r="B1859" s="26">
        <v>45525.0</v>
      </c>
      <c r="C1859" s="25">
        <v>62.0</v>
      </c>
      <c r="D1859" s="25">
        <v>37.0</v>
      </c>
      <c r="E1859" s="25">
        <v>2.0</v>
      </c>
      <c r="F1859" s="25">
        <v>4.0</v>
      </c>
      <c r="G1859" s="27" t="s">
        <v>24</v>
      </c>
    </row>
    <row r="1860" ht="22.5" customHeight="1">
      <c r="A1860" s="25">
        <v>2722.0</v>
      </c>
      <c r="B1860" s="26">
        <v>45525.0</v>
      </c>
      <c r="C1860" s="25">
        <v>145.0</v>
      </c>
      <c r="D1860" s="25">
        <v>33.0</v>
      </c>
      <c r="E1860" s="25">
        <v>1.0</v>
      </c>
      <c r="F1860" s="25">
        <v>2.0</v>
      </c>
      <c r="G1860" s="27" t="s">
        <v>24</v>
      </c>
    </row>
    <row r="1861" ht="22.5" customHeight="1">
      <c r="A1861" s="25">
        <v>2934.0</v>
      </c>
      <c r="B1861" s="26">
        <v>45525.0</v>
      </c>
      <c r="C1861" s="25">
        <v>36.0</v>
      </c>
      <c r="D1861" s="25">
        <v>31.0</v>
      </c>
      <c r="E1861" s="25">
        <v>3.0</v>
      </c>
      <c r="F1861" s="25">
        <v>3.0</v>
      </c>
      <c r="G1861" s="27" t="s">
        <v>25</v>
      </c>
    </row>
    <row r="1862" ht="22.5" customHeight="1">
      <c r="A1862" s="25">
        <v>247.0</v>
      </c>
      <c r="B1862" s="26">
        <v>45526.0</v>
      </c>
      <c r="C1862" s="25">
        <v>63.0</v>
      </c>
      <c r="D1862" s="25">
        <v>32.0</v>
      </c>
      <c r="E1862" s="25">
        <v>6.0</v>
      </c>
      <c r="F1862" s="25">
        <v>4.0</v>
      </c>
      <c r="G1862" s="27" t="s">
        <v>24</v>
      </c>
    </row>
    <row r="1863" ht="22.5" customHeight="1">
      <c r="A1863" s="25">
        <v>346.0</v>
      </c>
      <c r="B1863" s="26">
        <v>45526.0</v>
      </c>
      <c r="C1863" s="25">
        <v>92.0</v>
      </c>
      <c r="D1863" s="25">
        <v>34.0</v>
      </c>
      <c r="E1863" s="25">
        <v>4.0</v>
      </c>
      <c r="F1863" s="25">
        <v>4.0</v>
      </c>
      <c r="G1863" s="27" t="s">
        <v>24</v>
      </c>
    </row>
    <row r="1864" ht="22.5" customHeight="1">
      <c r="A1864" s="25">
        <v>479.0</v>
      </c>
      <c r="B1864" s="26">
        <v>45526.0</v>
      </c>
      <c r="C1864" s="25">
        <v>23.0</v>
      </c>
      <c r="D1864" s="25">
        <v>28.0</v>
      </c>
      <c r="E1864" s="25">
        <v>4.0</v>
      </c>
      <c r="F1864" s="25">
        <v>4.0</v>
      </c>
      <c r="G1864" s="27" t="s">
        <v>24</v>
      </c>
    </row>
    <row r="1865" ht="22.5" customHeight="1">
      <c r="A1865" s="25">
        <v>498.0</v>
      </c>
      <c r="B1865" s="26">
        <v>45526.0</v>
      </c>
      <c r="C1865" s="25">
        <v>299.0</v>
      </c>
      <c r="D1865" s="25">
        <v>20.0</v>
      </c>
      <c r="E1865" s="25">
        <v>6.0</v>
      </c>
      <c r="F1865" s="25">
        <v>3.0</v>
      </c>
      <c r="G1865" s="27" t="s">
        <v>24</v>
      </c>
    </row>
    <row r="1866" ht="22.5" customHeight="1">
      <c r="A1866" s="25">
        <v>565.0</v>
      </c>
      <c r="B1866" s="26">
        <v>45526.0</v>
      </c>
      <c r="C1866" s="25">
        <v>244.0</v>
      </c>
      <c r="D1866" s="25">
        <v>19.0</v>
      </c>
      <c r="E1866" s="25">
        <v>1.0</v>
      </c>
      <c r="F1866" s="25">
        <v>5.0</v>
      </c>
      <c r="G1866" s="27" t="s">
        <v>24</v>
      </c>
    </row>
    <row r="1867" ht="22.5" customHeight="1">
      <c r="A1867" s="25">
        <v>725.0</v>
      </c>
      <c r="B1867" s="26">
        <v>45526.0</v>
      </c>
      <c r="C1867" s="25">
        <v>234.0</v>
      </c>
      <c r="D1867" s="25">
        <v>21.0</v>
      </c>
      <c r="E1867" s="25">
        <v>2.0</v>
      </c>
      <c r="F1867" s="25">
        <v>3.0</v>
      </c>
      <c r="G1867" s="27" t="s">
        <v>24</v>
      </c>
    </row>
    <row r="1868" ht="22.5" customHeight="1">
      <c r="A1868" s="25">
        <v>1213.0</v>
      </c>
      <c r="B1868" s="26">
        <v>45526.0</v>
      </c>
      <c r="C1868" s="25">
        <v>95.0</v>
      </c>
      <c r="D1868" s="25">
        <v>26.0</v>
      </c>
      <c r="E1868" s="25">
        <v>4.0</v>
      </c>
      <c r="F1868" s="25">
        <v>3.0</v>
      </c>
      <c r="G1868" s="27" t="s">
        <v>24</v>
      </c>
    </row>
    <row r="1869" ht="22.5" customHeight="1">
      <c r="A1869" s="25">
        <v>2299.0</v>
      </c>
      <c r="B1869" s="26">
        <v>45526.0</v>
      </c>
      <c r="C1869" s="25">
        <v>236.0</v>
      </c>
      <c r="D1869" s="25">
        <v>34.0</v>
      </c>
      <c r="E1869" s="25">
        <v>6.0</v>
      </c>
      <c r="F1869" s="25">
        <v>5.0</v>
      </c>
      <c r="G1869" s="27" t="s">
        <v>24</v>
      </c>
    </row>
    <row r="1870" ht="22.5" customHeight="1">
      <c r="A1870" s="25">
        <v>2515.0</v>
      </c>
      <c r="B1870" s="26">
        <v>45526.0</v>
      </c>
      <c r="C1870" s="25">
        <v>79.0</v>
      </c>
      <c r="D1870" s="25">
        <v>8.0</v>
      </c>
      <c r="E1870" s="25">
        <v>1.0</v>
      </c>
      <c r="F1870" s="25">
        <v>5.0</v>
      </c>
      <c r="G1870" s="27" t="s">
        <v>24</v>
      </c>
    </row>
    <row r="1871" ht="22.5" customHeight="1">
      <c r="A1871" s="25">
        <v>2980.0</v>
      </c>
      <c r="B1871" s="26">
        <v>45526.0</v>
      </c>
      <c r="C1871" s="25">
        <v>301.0</v>
      </c>
      <c r="D1871" s="25">
        <v>14.0</v>
      </c>
      <c r="E1871" s="25">
        <v>3.0</v>
      </c>
      <c r="F1871" s="25">
        <v>1.0</v>
      </c>
      <c r="G1871" s="27" t="s">
        <v>24</v>
      </c>
    </row>
    <row r="1872" ht="22.5" customHeight="1">
      <c r="A1872" s="25">
        <v>136.0</v>
      </c>
      <c r="B1872" s="26">
        <v>45527.0</v>
      </c>
      <c r="C1872" s="25">
        <v>258.0</v>
      </c>
      <c r="D1872" s="25">
        <v>26.0</v>
      </c>
      <c r="E1872" s="25">
        <v>3.0</v>
      </c>
      <c r="F1872" s="25">
        <v>4.0</v>
      </c>
      <c r="G1872" s="27" t="s">
        <v>24</v>
      </c>
    </row>
    <row r="1873" ht="22.5" customHeight="1">
      <c r="A1873" s="25">
        <v>1591.0</v>
      </c>
      <c r="B1873" s="26">
        <v>45527.0</v>
      </c>
      <c r="C1873" s="25">
        <v>311.0</v>
      </c>
      <c r="D1873" s="25">
        <v>20.0</v>
      </c>
      <c r="E1873" s="25">
        <v>3.0</v>
      </c>
      <c r="F1873" s="25">
        <v>4.0</v>
      </c>
      <c r="G1873" s="27" t="s">
        <v>25</v>
      </c>
    </row>
    <row r="1874" ht="22.5" customHeight="1">
      <c r="A1874" s="25">
        <v>1640.0</v>
      </c>
      <c r="B1874" s="26">
        <v>45527.0</v>
      </c>
      <c r="C1874" s="25">
        <v>128.0</v>
      </c>
      <c r="D1874" s="25">
        <v>34.0</v>
      </c>
      <c r="E1874" s="25">
        <v>3.0</v>
      </c>
      <c r="F1874" s="25">
        <v>5.0</v>
      </c>
      <c r="G1874" s="27" t="s">
        <v>24</v>
      </c>
    </row>
    <row r="1875" ht="22.5" customHeight="1">
      <c r="A1875" s="25">
        <v>1793.0</v>
      </c>
      <c r="B1875" s="26">
        <v>45527.0</v>
      </c>
      <c r="C1875" s="25">
        <v>275.0</v>
      </c>
      <c r="D1875" s="25">
        <v>6.0</v>
      </c>
      <c r="E1875" s="25">
        <v>6.0</v>
      </c>
      <c r="F1875" s="25">
        <v>4.0</v>
      </c>
      <c r="G1875" s="27" t="s">
        <v>24</v>
      </c>
    </row>
    <row r="1876" ht="22.5" customHeight="1">
      <c r="A1876" s="25">
        <v>2531.0</v>
      </c>
      <c r="B1876" s="26">
        <v>45527.0</v>
      </c>
      <c r="C1876" s="25">
        <v>274.0</v>
      </c>
      <c r="D1876" s="25">
        <v>35.0</v>
      </c>
      <c r="E1876" s="25">
        <v>2.0</v>
      </c>
      <c r="F1876" s="25">
        <v>3.0</v>
      </c>
      <c r="G1876" s="27" t="s">
        <v>24</v>
      </c>
    </row>
    <row r="1877" ht="22.5" customHeight="1">
      <c r="A1877" s="25">
        <v>2839.0</v>
      </c>
      <c r="B1877" s="26">
        <v>45527.0</v>
      </c>
      <c r="C1877" s="25">
        <v>54.0</v>
      </c>
      <c r="D1877" s="25">
        <v>37.0</v>
      </c>
      <c r="E1877" s="25">
        <v>6.0</v>
      </c>
      <c r="F1877" s="25">
        <v>3.0</v>
      </c>
      <c r="G1877" s="27" t="s">
        <v>24</v>
      </c>
    </row>
    <row r="1878" ht="22.5" customHeight="1">
      <c r="A1878" s="25">
        <v>2870.0</v>
      </c>
      <c r="B1878" s="26">
        <v>45527.0</v>
      </c>
      <c r="C1878" s="25">
        <v>149.0</v>
      </c>
      <c r="D1878" s="25">
        <v>18.0</v>
      </c>
      <c r="E1878" s="25">
        <v>3.0</v>
      </c>
      <c r="F1878" s="25">
        <v>2.0</v>
      </c>
      <c r="G1878" s="27" t="s">
        <v>24</v>
      </c>
    </row>
    <row r="1879" ht="22.5" customHeight="1">
      <c r="A1879" s="25">
        <v>255.0</v>
      </c>
      <c r="B1879" s="26">
        <v>45528.0</v>
      </c>
      <c r="C1879" s="25">
        <v>237.0</v>
      </c>
      <c r="D1879" s="25">
        <v>22.0</v>
      </c>
      <c r="E1879" s="25">
        <v>4.0</v>
      </c>
      <c r="F1879" s="25">
        <v>2.0</v>
      </c>
      <c r="G1879" s="27" t="s">
        <v>24</v>
      </c>
    </row>
    <row r="1880" ht="22.5" customHeight="1">
      <c r="A1880" s="25">
        <v>732.0</v>
      </c>
      <c r="B1880" s="26">
        <v>45528.0</v>
      </c>
      <c r="C1880" s="25">
        <v>155.0</v>
      </c>
      <c r="D1880" s="25">
        <v>13.0</v>
      </c>
      <c r="E1880" s="25">
        <v>6.0</v>
      </c>
      <c r="F1880" s="25">
        <v>1.0</v>
      </c>
      <c r="G1880" s="27" t="s">
        <v>24</v>
      </c>
    </row>
    <row r="1881" ht="22.5" customHeight="1">
      <c r="A1881" s="25">
        <v>926.0</v>
      </c>
      <c r="B1881" s="26">
        <v>45528.0</v>
      </c>
      <c r="C1881" s="25">
        <v>55.0</v>
      </c>
      <c r="D1881" s="25">
        <v>25.0</v>
      </c>
      <c r="E1881" s="25">
        <v>2.0</v>
      </c>
      <c r="F1881" s="25">
        <v>5.0</v>
      </c>
      <c r="G1881" s="27" t="s">
        <v>24</v>
      </c>
    </row>
    <row r="1882" ht="22.5" customHeight="1">
      <c r="A1882" s="25">
        <v>1061.0</v>
      </c>
      <c r="B1882" s="26">
        <v>45528.0</v>
      </c>
      <c r="C1882" s="25">
        <v>320.0</v>
      </c>
      <c r="D1882" s="25">
        <v>14.0</v>
      </c>
      <c r="E1882" s="25">
        <v>4.0</v>
      </c>
      <c r="F1882" s="25">
        <v>4.0</v>
      </c>
      <c r="G1882" s="27" t="s">
        <v>24</v>
      </c>
    </row>
    <row r="1883" ht="22.5" customHeight="1">
      <c r="A1883" s="25">
        <v>1981.0</v>
      </c>
      <c r="B1883" s="26">
        <v>45528.0</v>
      </c>
      <c r="C1883" s="25">
        <v>70.0</v>
      </c>
      <c r="D1883" s="25">
        <v>35.0</v>
      </c>
      <c r="E1883" s="25">
        <v>5.0</v>
      </c>
      <c r="F1883" s="25">
        <v>1.0</v>
      </c>
      <c r="G1883" s="27" t="s">
        <v>24</v>
      </c>
    </row>
    <row r="1884" ht="22.5" customHeight="1">
      <c r="A1884" s="25">
        <v>23.0</v>
      </c>
      <c r="B1884" s="26">
        <v>45529.0</v>
      </c>
      <c r="C1884" s="25">
        <v>4.0</v>
      </c>
      <c r="D1884" s="25">
        <v>34.0</v>
      </c>
      <c r="E1884" s="25">
        <v>6.0</v>
      </c>
      <c r="F1884" s="25">
        <v>1.0</v>
      </c>
      <c r="G1884" s="27" t="s">
        <v>24</v>
      </c>
    </row>
    <row r="1885" ht="22.5" customHeight="1">
      <c r="A1885" s="25">
        <v>142.0</v>
      </c>
      <c r="B1885" s="26">
        <v>45529.0</v>
      </c>
      <c r="C1885" s="25">
        <v>246.0</v>
      </c>
      <c r="D1885" s="25">
        <v>21.0</v>
      </c>
      <c r="E1885" s="25">
        <v>2.0</v>
      </c>
      <c r="F1885" s="25">
        <v>2.0</v>
      </c>
      <c r="G1885" s="27" t="s">
        <v>24</v>
      </c>
    </row>
    <row r="1886" ht="22.5" customHeight="1">
      <c r="A1886" s="25">
        <v>520.0</v>
      </c>
      <c r="B1886" s="26">
        <v>45529.0</v>
      </c>
      <c r="C1886" s="25">
        <v>208.0</v>
      </c>
      <c r="D1886" s="25">
        <v>33.0</v>
      </c>
      <c r="E1886" s="25">
        <v>4.0</v>
      </c>
      <c r="F1886" s="25">
        <v>4.0</v>
      </c>
      <c r="G1886" s="27" t="s">
        <v>24</v>
      </c>
    </row>
    <row r="1887" ht="22.5" customHeight="1">
      <c r="A1887" s="25">
        <v>639.0</v>
      </c>
      <c r="B1887" s="26">
        <v>45529.0</v>
      </c>
      <c r="C1887" s="25">
        <v>279.0</v>
      </c>
      <c r="D1887" s="25">
        <v>29.0</v>
      </c>
      <c r="E1887" s="25">
        <v>3.0</v>
      </c>
      <c r="F1887" s="25">
        <v>1.0</v>
      </c>
      <c r="G1887" s="27" t="s">
        <v>24</v>
      </c>
    </row>
    <row r="1888" ht="22.5" customHeight="1">
      <c r="A1888" s="25">
        <v>917.0</v>
      </c>
      <c r="B1888" s="26">
        <v>45529.0</v>
      </c>
      <c r="C1888" s="25">
        <v>275.0</v>
      </c>
      <c r="D1888" s="25">
        <v>13.0</v>
      </c>
      <c r="E1888" s="25">
        <v>6.0</v>
      </c>
      <c r="F1888" s="25">
        <v>1.0</v>
      </c>
      <c r="G1888" s="27" t="s">
        <v>24</v>
      </c>
    </row>
    <row r="1889" ht="22.5" customHeight="1">
      <c r="A1889" s="25">
        <v>1049.0</v>
      </c>
      <c r="B1889" s="26">
        <v>45529.0</v>
      </c>
      <c r="C1889" s="25">
        <v>263.0</v>
      </c>
      <c r="D1889" s="25">
        <v>25.0</v>
      </c>
      <c r="E1889" s="25">
        <v>4.0</v>
      </c>
      <c r="F1889" s="25">
        <v>4.0</v>
      </c>
      <c r="G1889" s="27" t="s">
        <v>24</v>
      </c>
    </row>
    <row r="1890" ht="22.5" customHeight="1">
      <c r="A1890" s="25">
        <v>1245.0</v>
      </c>
      <c r="B1890" s="26">
        <v>45529.0</v>
      </c>
      <c r="C1890" s="25">
        <v>316.0</v>
      </c>
      <c r="D1890" s="25">
        <v>29.0</v>
      </c>
      <c r="E1890" s="25">
        <v>3.0</v>
      </c>
      <c r="F1890" s="25">
        <v>3.0</v>
      </c>
      <c r="G1890" s="27" t="s">
        <v>24</v>
      </c>
    </row>
    <row r="1891" ht="22.5" customHeight="1">
      <c r="A1891" s="25">
        <v>1310.0</v>
      </c>
      <c r="B1891" s="26">
        <v>45529.0</v>
      </c>
      <c r="C1891" s="25">
        <v>179.0</v>
      </c>
      <c r="D1891" s="25">
        <v>23.0</v>
      </c>
      <c r="E1891" s="25">
        <v>6.0</v>
      </c>
      <c r="F1891" s="25">
        <v>2.0</v>
      </c>
      <c r="G1891" s="27" t="s">
        <v>24</v>
      </c>
    </row>
    <row r="1892" ht="22.5" customHeight="1">
      <c r="A1892" s="25">
        <v>1381.0</v>
      </c>
      <c r="B1892" s="26">
        <v>45529.0</v>
      </c>
      <c r="C1892" s="25">
        <v>161.0</v>
      </c>
      <c r="D1892" s="25">
        <v>20.0</v>
      </c>
      <c r="E1892" s="25">
        <v>3.0</v>
      </c>
      <c r="F1892" s="25">
        <v>2.0</v>
      </c>
      <c r="G1892" s="27" t="s">
        <v>24</v>
      </c>
    </row>
    <row r="1893" ht="22.5" customHeight="1">
      <c r="A1893" s="25">
        <v>2424.0</v>
      </c>
      <c r="B1893" s="26">
        <v>45529.0</v>
      </c>
      <c r="C1893" s="25">
        <v>61.0</v>
      </c>
      <c r="D1893" s="25">
        <v>14.0</v>
      </c>
      <c r="E1893" s="25">
        <v>3.0</v>
      </c>
      <c r="F1893" s="25">
        <v>3.0</v>
      </c>
      <c r="G1893" s="27" t="s">
        <v>24</v>
      </c>
    </row>
    <row r="1894" ht="22.5" customHeight="1">
      <c r="A1894" s="25">
        <v>2677.0</v>
      </c>
      <c r="B1894" s="26">
        <v>45529.0</v>
      </c>
      <c r="C1894" s="25">
        <v>118.0</v>
      </c>
      <c r="D1894" s="25">
        <v>33.0</v>
      </c>
      <c r="E1894" s="25">
        <v>2.0</v>
      </c>
      <c r="F1894" s="25">
        <v>5.0</v>
      </c>
      <c r="G1894" s="27" t="s">
        <v>24</v>
      </c>
    </row>
    <row r="1895" ht="22.5" customHeight="1">
      <c r="A1895" s="25">
        <v>508.0</v>
      </c>
      <c r="B1895" s="26">
        <v>45530.0</v>
      </c>
      <c r="C1895" s="25">
        <v>14.0</v>
      </c>
      <c r="D1895" s="25">
        <v>32.0</v>
      </c>
      <c r="E1895" s="25">
        <v>3.0</v>
      </c>
      <c r="F1895" s="25">
        <v>4.0</v>
      </c>
      <c r="G1895" s="27" t="s">
        <v>24</v>
      </c>
    </row>
    <row r="1896" ht="22.5" customHeight="1">
      <c r="A1896" s="25">
        <v>640.0</v>
      </c>
      <c r="B1896" s="26">
        <v>45530.0</v>
      </c>
      <c r="C1896" s="25">
        <v>316.0</v>
      </c>
      <c r="D1896" s="25">
        <v>28.0</v>
      </c>
      <c r="E1896" s="25">
        <v>1.0</v>
      </c>
      <c r="F1896" s="25">
        <v>3.0</v>
      </c>
      <c r="G1896" s="27" t="s">
        <v>24</v>
      </c>
    </row>
    <row r="1897" ht="22.5" customHeight="1">
      <c r="A1897" s="25">
        <v>719.0</v>
      </c>
      <c r="B1897" s="26">
        <v>45530.0</v>
      </c>
      <c r="C1897" s="25">
        <v>148.0</v>
      </c>
      <c r="D1897" s="25">
        <v>17.0</v>
      </c>
      <c r="E1897" s="25">
        <v>6.0</v>
      </c>
      <c r="F1897" s="25">
        <v>5.0</v>
      </c>
      <c r="G1897" s="27" t="s">
        <v>24</v>
      </c>
    </row>
    <row r="1898" ht="22.5" customHeight="1">
      <c r="A1898" s="25">
        <v>1257.0</v>
      </c>
      <c r="B1898" s="26">
        <v>45530.0</v>
      </c>
      <c r="C1898" s="25">
        <v>15.0</v>
      </c>
      <c r="D1898" s="25">
        <v>6.0</v>
      </c>
      <c r="E1898" s="25">
        <v>4.0</v>
      </c>
      <c r="F1898" s="25">
        <v>5.0</v>
      </c>
      <c r="G1898" s="27" t="s">
        <v>24</v>
      </c>
    </row>
    <row r="1899" ht="22.5" customHeight="1">
      <c r="A1899" s="25">
        <v>1419.0</v>
      </c>
      <c r="B1899" s="26">
        <v>45530.0</v>
      </c>
      <c r="C1899" s="25">
        <v>278.0</v>
      </c>
      <c r="D1899" s="25">
        <v>22.0</v>
      </c>
      <c r="E1899" s="25">
        <v>3.0</v>
      </c>
      <c r="F1899" s="25">
        <v>1.0</v>
      </c>
      <c r="G1899" s="27" t="s">
        <v>24</v>
      </c>
    </row>
    <row r="1900" ht="22.5" customHeight="1">
      <c r="A1900" s="25">
        <v>1486.0</v>
      </c>
      <c r="B1900" s="26">
        <v>45530.0</v>
      </c>
      <c r="C1900" s="25">
        <v>313.0</v>
      </c>
      <c r="D1900" s="25">
        <v>5.0</v>
      </c>
      <c r="E1900" s="25">
        <v>3.0</v>
      </c>
      <c r="F1900" s="25">
        <v>1.0</v>
      </c>
      <c r="G1900" s="27" t="s">
        <v>24</v>
      </c>
    </row>
    <row r="1901" ht="22.5" customHeight="1">
      <c r="A1901" s="25">
        <v>2166.0</v>
      </c>
      <c r="B1901" s="26">
        <v>45530.0</v>
      </c>
      <c r="C1901" s="25">
        <v>153.0</v>
      </c>
      <c r="D1901" s="25">
        <v>36.0</v>
      </c>
      <c r="E1901" s="25">
        <v>3.0</v>
      </c>
      <c r="F1901" s="25">
        <v>5.0</v>
      </c>
      <c r="G1901" s="27" t="s">
        <v>24</v>
      </c>
    </row>
    <row r="1902" ht="22.5" customHeight="1">
      <c r="A1902" s="25">
        <v>2664.0</v>
      </c>
      <c r="B1902" s="26">
        <v>45530.0</v>
      </c>
      <c r="C1902" s="25">
        <v>284.0</v>
      </c>
      <c r="D1902" s="25">
        <v>8.0</v>
      </c>
      <c r="E1902" s="25">
        <v>6.0</v>
      </c>
      <c r="F1902" s="25">
        <v>5.0</v>
      </c>
      <c r="G1902" s="27" t="s">
        <v>24</v>
      </c>
    </row>
    <row r="1903" ht="22.5" customHeight="1">
      <c r="A1903" s="25">
        <v>2697.0</v>
      </c>
      <c r="B1903" s="26">
        <v>45530.0</v>
      </c>
      <c r="C1903" s="25">
        <v>218.0</v>
      </c>
      <c r="D1903" s="25">
        <v>24.0</v>
      </c>
      <c r="E1903" s="25">
        <v>5.0</v>
      </c>
      <c r="F1903" s="25">
        <v>4.0</v>
      </c>
      <c r="G1903" s="27" t="s">
        <v>24</v>
      </c>
    </row>
    <row r="1904" ht="22.5" customHeight="1">
      <c r="A1904" s="25">
        <v>206.0</v>
      </c>
      <c r="B1904" s="26">
        <v>45531.0</v>
      </c>
      <c r="C1904" s="25">
        <v>96.0</v>
      </c>
      <c r="D1904" s="25">
        <v>30.0</v>
      </c>
      <c r="E1904" s="25">
        <v>5.0</v>
      </c>
      <c r="F1904" s="25">
        <v>4.0</v>
      </c>
      <c r="G1904" s="27" t="s">
        <v>24</v>
      </c>
    </row>
    <row r="1905" ht="22.5" customHeight="1">
      <c r="A1905" s="25">
        <v>869.0</v>
      </c>
      <c r="B1905" s="26">
        <v>45531.0</v>
      </c>
      <c r="C1905" s="25">
        <v>111.0</v>
      </c>
      <c r="D1905" s="25">
        <v>20.0</v>
      </c>
      <c r="E1905" s="25">
        <v>2.0</v>
      </c>
      <c r="F1905" s="25">
        <v>1.0</v>
      </c>
      <c r="G1905" s="27" t="s">
        <v>24</v>
      </c>
    </row>
    <row r="1906" ht="22.5" customHeight="1">
      <c r="A1906" s="25">
        <v>888.0</v>
      </c>
      <c r="B1906" s="26">
        <v>45531.0</v>
      </c>
      <c r="C1906" s="25">
        <v>90.0</v>
      </c>
      <c r="D1906" s="25">
        <v>6.0</v>
      </c>
      <c r="E1906" s="25">
        <v>3.0</v>
      </c>
      <c r="F1906" s="25">
        <v>3.0</v>
      </c>
      <c r="G1906" s="27" t="s">
        <v>24</v>
      </c>
    </row>
    <row r="1907" ht="22.5" customHeight="1">
      <c r="A1907" s="25">
        <v>903.0</v>
      </c>
      <c r="B1907" s="26">
        <v>45531.0</v>
      </c>
      <c r="C1907" s="25">
        <v>257.0</v>
      </c>
      <c r="D1907" s="25">
        <v>5.0</v>
      </c>
      <c r="E1907" s="25">
        <v>5.0</v>
      </c>
      <c r="F1907" s="25">
        <v>5.0</v>
      </c>
      <c r="G1907" s="27" t="s">
        <v>24</v>
      </c>
    </row>
    <row r="1908" ht="22.5" customHeight="1">
      <c r="A1908" s="25">
        <v>2915.0</v>
      </c>
      <c r="B1908" s="26">
        <v>45531.0</v>
      </c>
      <c r="C1908" s="25">
        <v>187.0</v>
      </c>
      <c r="D1908" s="25">
        <v>37.0</v>
      </c>
      <c r="E1908" s="25">
        <v>2.0</v>
      </c>
      <c r="F1908" s="25">
        <v>3.0</v>
      </c>
      <c r="G1908" s="27" t="s">
        <v>24</v>
      </c>
    </row>
    <row r="1909" ht="22.5" customHeight="1">
      <c r="A1909" s="25">
        <v>1.0</v>
      </c>
      <c r="B1909" s="26">
        <v>45532.0</v>
      </c>
      <c r="C1909" s="25">
        <v>298.0</v>
      </c>
      <c r="D1909" s="25">
        <v>17.0</v>
      </c>
      <c r="E1909" s="25">
        <v>1.0</v>
      </c>
      <c r="F1909" s="25">
        <v>3.0</v>
      </c>
      <c r="G1909" s="27" t="s">
        <v>24</v>
      </c>
    </row>
    <row r="1910" ht="22.5" customHeight="1">
      <c r="A1910" s="25">
        <v>1053.0</v>
      </c>
      <c r="B1910" s="26">
        <v>45532.0</v>
      </c>
      <c r="C1910" s="25">
        <v>23.0</v>
      </c>
      <c r="D1910" s="25">
        <v>2.0</v>
      </c>
      <c r="E1910" s="25">
        <v>3.0</v>
      </c>
      <c r="F1910" s="25">
        <v>1.0</v>
      </c>
      <c r="G1910" s="27" t="s">
        <v>24</v>
      </c>
    </row>
    <row r="1911" ht="22.5" customHeight="1">
      <c r="A1911" s="25">
        <v>2688.0</v>
      </c>
      <c r="B1911" s="26">
        <v>45532.0</v>
      </c>
      <c r="C1911" s="25">
        <v>74.0</v>
      </c>
      <c r="D1911" s="25">
        <v>15.0</v>
      </c>
      <c r="E1911" s="25">
        <v>2.0</v>
      </c>
      <c r="F1911" s="25">
        <v>5.0</v>
      </c>
      <c r="G1911" s="27" t="s">
        <v>24</v>
      </c>
    </row>
    <row r="1912" ht="22.5" customHeight="1">
      <c r="A1912" s="25">
        <v>601.0</v>
      </c>
      <c r="B1912" s="26">
        <v>45533.0</v>
      </c>
      <c r="C1912" s="25">
        <v>193.0</v>
      </c>
      <c r="D1912" s="25">
        <v>25.0</v>
      </c>
      <c r="E1912" s="25">
        <v>6.0</v>
      </c>
      <c r="F1912" s="25">
        <v>5.0</v>
      </c>
      <c r="G1912" s="27" t="s">
        <v>24</v>
      </c>
    </row>
    <row r="1913" ht="22.5" customHeight="1">
      <c r="A1913" s="25">
        <v>670.0</v>
      </c>
      <c r="B1913" s="26">
        <v>45533.0</v>
      </c>
      <c r="C1913" s="25">
        <v>80.0</v>
      </c>
      <c r="D1913" s="25">
        <v>7.0</v>
      </c>
      <c r="E1913" s="25">
        <v>3.0</v>
      </c>
      <c r="F1913" s="25">
        <v>2.0</v>
      </c>
      <c r="G1913" s="27" t="s">
        <v>24</v>
      </c>
    </row>
    <row r="1914" ht="22.5" customHeight="1">
      <c r="A1914" s="25">
        <v>729.0</v>
      </c>
      <c r="B1914" s="26">
        <v>45533.0</v>
      </c>
      <c r="C1914" s="25">
        <v>288.0</v>
      </c>
      <c r="D1914" s="25">
        <v>11.0</v>
      </c>
      <c r="E1914" s="25">
        <v>3.0</v>
      </c>
      <c r="F1914" s="25">
        <v>1.0</v>
      </c>
      <c r="G1914" s="27" t="s">
        <v>24</v>
      </c>
    </row>
    <row r="1915" ht="22.5" customHeight="1">
      <c r="A1915" s="25">
        <v>943.0</v>
      </c>
      <c r="B1915" s="26">
        <v>45533.0</v>
      </c>
      <c r="C1915" s="25">
        <v>56.0</v>
      </c>
      <c r="D1915" s="25">
        <v>5.0</v>
      </c>
      <c r="E1915" s="25">
        <v>6.0</v>
      </c>
      <c r="F1915" s="25">
        <v>3.0</v>
      </c>
      <c r="G1915" s="27" t="s">
        <v>24</v>
      </c>
    </row>
    <row r="1916" ht="22.5" customHeight="1">
      <c r="A1916" s="25">
        <v>984.0</v>
      </c>
      <c r="B1916" s="26">
        <v>45533.0</v>
      </c>
      <c r="C1916" s="25">
        <v>121.0</v>
      </c>
      <c r="D1916" s="25">
        <v>6.0</v>
      </c>
      <c r="E1916" s="25">
        <v>5.0</v>
      </c>
      <c r="F1916" s="25">
        <v>4.0</v>
      </c>
      <c r="G1916" s="27" t="s">
        <v>24</v>
      </c>
    </row>
    <row r="1917" ht="22.5" customHeight="1">
      <c r="A1917" s="25">
        <v>1055.0</v>
      </c>
      <c r="B1917" s="26">
        <v>45533.0</v>
      </c>
      <c r="C1917" s="25">
        <v>229.0</v>
      </c>
      <c r="D1917" s="25">
        <v>34.0</v>
      </c>
      <c r="E1917" s="25">
        <v>5.0</v>
      </c>
      <c r="F1917" s="25">
        <v>1.0</v>
      </c>
      <c r="G1917" s="27" t="s">
        <v>24</v>
      </c>
    </row>
    <row r="1918" ht="22.5" customHeight="1">
      <c r="A1918" s="25">
        <v>1208.0</v>
      </c>
      <c r="B1918" s="26">
        <v>45533.0</v>
      </c>
      <c r="C1918" s="25">
        <v>306.0</v>
      </c>
      <c r="D1918" s="25">
        <v>14.0</v>
      </c>
      <c r="E1918" s="25">
        <v>4.0</v>
      </c>
      <c r="F1918" s="25">
        <v>3.0</v>
      </c>
      <c r="G1918" s="27" t="s">
        <v>24</v>
      </c>
    </row>
    <row r="1919" ht="22.5" customHeight="1">
      <c r="A1919" s="25">
        <v>2053.0</v>
      </c>
      <c r="B1919" s="26">
        <v>45533.0</v>
      </c>
      <c r="C1919" s="25">
        <v>178.0</v>
      </c>
      <c r="D1919" s="25">
        <v>30.0</v>
      </c>
      <c r="E1919" s="25">
        <v>1.0</v>
      </c>
      <c r="F1919" s="25">
        <v>2.0</v>
      </c>
      <c r="G1919" s="27" t="s">
        <v>24</v>
      </c>
    </row>
    <row r="1920" ht="22.5" customHeight="1">
      <c r="A1920" s="25">
        <v>2429.0</v>
      </c>
      <c r="B1920" s="26">
        <v>45533.0</v>
      </c>
      <c r="C1920" s="25">
        <v>89.0</v>
      </c>
      <c r="D1920" s="25">
        <v>23.0</v>
      </c>
      <c r="E1920" s="25">
        <v>3.0</v>
      </c>
      <c r="F1920" s="25">
        <v>1.0</v>
      </c>
      <c r="G1920" s="27" t="s">
        <v>24</v>
      </c>
    </row>
    <row r="1921" ht="22.5" customHeight="1">
      <c r="A1921" s="25">
        <v>2693.0</v>
      </c>
      <c r="B1921" s="26">
        <v>45533.0</v>
      </c>
      <c r="C1921" s="25">
        <v>133.0</v>
      </c>
      <c r="D1921" s="25">
        <v>33.0</v>
      </c>
      <c r="E1921" s="25">
        <v>4.0</v>
      </c>
      <c r="F1921" s="25">
        <v>2.0</v>
      </c>
      <c r="G1921" s="27" t="s">
        <v>25</v>
      </c>
    </row>
    <row r="1922" ht="22.5" customHeight="1">
      <c r="A1922" s="25">
        <v>2862.0</v>
      </c>
      <c r="B1922" s="26">
        <v>45533.0</v>
      </c>
      <c r="C1922" s="25">
        <v>233.0</v>
      </c>
      <c r="D1922" s="25">
        <v>25.0</v>
      </c>
      <c r="E1922" s="25">
        <v>3.0</v>
      </c>
      <c r="F1922" s="25">
        <v>4.0</v>
      </c>
      <c r="G1922" s="27" t="s">
        <v>25</v>
      </c>
    </row>
    <row r="1923" ht="22.5" customHeight="1">
      <c r="A1923" s="25">
        <v>324.0</v>
      </c>
      <c r="B1923" s="26">
        <v>45534.0</v>
      </c>
      <c r="C1923" s="25">
        <v>206.0</v>
      </c>
      <c r="D1923" s="25">
        <v>3.0</v>
      </c>
      <c r="E1923" s="25">
        <v>3.0</v>
      </c>
      <c r="F1923" s="25">
        <v>4.0</v>
      </c>
      <c r="G1923" s="27" t="s">
        <v>24</v>
      </c>
    </row>
    <row r="1924" ht="22.5" customHeight="1">
      <c r="A1924" s="25">
        <v>1333.0</v>
      </c>
      <c r="B1924" s="26">
        <v>45534.0</v>
      </c>
      <c r="C1924" s="25">
        <v>132.0</v>
      </c>
      <c r="D1924" s="25">
        <v>28.0</v>
      </c>
      <c r="E1924" s="25">
        <v>2.0</v>
      </c>
      <c r="F1924" s="25">
        <v>2.0</v>
      </c>
      <c r="G1924" s="27" t="s">
        <v>24</v>
      </c>
    </row>
    <row r="1925" ht="22.5" customHeight="1">
      <c r="A1925" s="25">
        <v>1597.0</v>
      </c>
      <c r="B1925" s="26">
        <v>45534.0</v>
      </c>
      <c r="C1925" s="25">
        <v>281.0</v>
      </c>
      <c r="D1925" s="25">
        <v>33.0</v>
      </c>
      <c r="E1925" s="25">
        <v>2.0</v>
      </c>
      <c r="F1925" s="25">
        <v>5.0</v>
      </c>
      <c r="G1925" s="27" t="s">
        <v>24</v>
      </c>
    </row>
    <row r="1926" ht="22.5" customHeight="1">
      <c r="A1926" s="25">
        <v>1956.0</v>
      </c>
      <c r="B1926" s="26">
        <v>45534.0</v>
      </c>
      <c r="C1926" s="25">
        <v>1.0</v>
      </c>
      <c r="D1926" s="25">
        <v>36.0</v>
      </c>
      <c r="E1926" s="25">
        <v>3.0</v>
      </c>
      <c r="F1926" s="25">
        <v>3.0</v>
      </c>
      <c r="G1926" s="27" t="s">
        <v>24</v>
      </c>
    </row>
    <row r="1927" ht="22.5" customHeight="1">
      <c r="A1927" s="25">
        <v>2295.0</v>
      </c>
      <c r="B1927" s="26">
        <v>45534.0</v>
      </c>
      <c r="C1927" s="25">
        <v>252.0</v>
      </c>
      <c r="D1927" s="25">
        <v>34.0</v>
      </c>
      <c r="E1927" s="25">
        <v>2.0</v>
      </c>
      <c r="F1927" s="25">
        <v>5.0</v>
      </c>
      <c r="G1927" s="27" t="s">
        <v>24</v>
      </c>
    </row>
    <row r="1928" ht="22.5" customHeight="1">
      <c r="A1928" s="25">
        <v>526.0</v>
      </c>
      <c r="B1928" s="26">
        <v>45535.0</v>
      </c>
      <c r="C1928" s="25">
        <v>321.0</v>
      </c>
      <c r="D1928" s="25">
        <v>32.0</v>
      </c>
      <c r="E1928" s="25">
        <v>4.0</v>
      </c>
      <c r="F1928" s="25">
        <v>4.0</v>
      </c>
      <c r="G1928" s="27" t="s">
        <v>24</v>
      </c>
    </row>
    <row r="1929" ht="22.5" customHeight="1">
      <c r="A1929" s="25">
        <v>665.0</v>
      </c>
      <c r="B1929" s="26">
        <v>45535.0</v>
      </c>
      <c r="C1929" s="25">
        <v>151.0</v>
      </c>
      <c r="D1929" s="25">
        <v>10.0</v>
      </c>
      <c r="E1929" s="25">
        <v>5.0</v>
      </c>
      <c r="F1929" s="25">
        <v>4.0</v>
      </c>
      <c r="G1929" s="27" t="s">
        <v>24</v>
      </c>
    </row>
    <row r="1930" ht="22.5" customHeight="1">
      <c r="A1930" s="25">
        <v>1326.0</v>
      </c>
      <c r="B1930" s="26">
        <v>45535.0</v>
      </c>
      <c r="C1930" s="25">
        <v>307.0</v>
      </c>
      <c r="D1930" s="25">
        <v>34.0</v>
      </c>
      <c r="E1930" s="25">
        <v>5.0</v>
      </c>
      <c r="F1930" s="25">
        <v>4.0</v>
      </c>
      <c r="G1930" s="27" t="s">
        <v>24</v>
      </c>
    </row>
    <row r="1931" ht="22.5" customHeight="1">
      <c r="A1931" s="25">
        <v>1908.0</v>
      </c>
      <c r="B1931" s="26">
        <v>45535.0</v>
      </c>
      <c r="C1931" s="25">
        <v>199.0</v>
      </c>
      <c r="D1931" s="25">
        <v>3.0</v>
      </c>
      <c r="E1931" s="25">
        <v>2.0</v>
      </c>
      <c r="F1931" s="25">
        <v>3.0</v>
      </c>
      <c r="G1931" s="27" t="s">
        <v>24</v>
      </c>
    </row>
    <row r="1932" ht="22.5" customHeight="1">
      <c r="A1932" s="25">
        <v>2197.0</v>
      </c>
      <c r="B1932" s="26">
        <v>45535.0</v>
      </c>
      <c r="C1932" s="25">
        <v>151.0</v>
      </c>
      <c r="D1932" s="25">
        <v>36.0</v>
      </c>
      <c r="E1932" s="25">
        <v>1.0</v>
      </c>
      <c r="F1932" s="25">
        <v>1.0</v>
      </c>
      <c r="G1932" s="27" t="s">
        <v>24</v>
      </c>
    </row>
    <row r="1933" ht="22.5" customHeight="1">
      <c r="A1933" s="25">
        <v>2713.0</v>
      </c>
      <c r="B1933" s="26">
        <v>45535.0</v>
      </c>
      <c r="C1933" s="25">
        <v>176.0</v>
      </c>
      <c r="D1933" s="25">
        <v>34.0</v>
      </c>
      <c r="E1933" s="25">
        <v>3.0</v>
      </c>
      <c r="F1933" s="25">
        <v>3.0</v>
      </c>
      <c r="G1933" s="27" t="s">
        <v>24</v>
      </c>
    </row>
    <row r="1934" ht="22.5" customHeight="1">
      <c r="A1934" s="25">
        <v>2923.0</v>
      </c>
      <c r="B1934" s="26">
        <v>45535.0</v>
      </c>
      <c r="C1934" s="25">
        <v>214.0</v>
      </c>
      <c r="D1934" s="25">
        <v>10.0</v>
      </c>
      <c r="E1934" s="25">
        <v>6.0</v>
      </c>
      <c r="F1934" s="25">
        <v>1.0</v>
      </c>
      <c r="G1934" s="27" t="s">
        <v>24</v>
      </c>
    </row>
    <row r="1935" ht="22.5" customHeight="1">
      <c r="A1935" s="25">
        <v>2965.0</v>
      </c>
      <c r="B1935" s="26">
        <v>45535.0</v>
      </c>
      <c r="C1935" s="25">
        <v>183.0</v>
      </c>
      <c r="D1935" s="25">
        <v>37.0</v>
      </c>
      <c r="E1935" s="25">
        <v>4.0</v>
      </c>
      <c r="F1935" s="25">
        <v>3.0</v>
      </c>
      <c r="G1935" s="27" t="s">
        <v>24</v>
      </c>
    </row>
    <row r="1936" ht="22.5" customHeight="1">
      <c r="A1936" s="25">
        <v>46.0</v>
      </c>
      <c r="B1936" s="26">
        <v>45536.0</v>
      </c>
      <c r="C1936" s="25">
        <v>207.0</v>
      </c>
      <c r="D1936" s="25">
        <v>10.0</v>
      </c>
      <c r="E1936" s="25">
        <v>1.0</v>
      </c>
      <c r="F1936" s="25">
        <v>4.0</v>
      </c>
      <c r="G1936" s="27" t="s">
        <v>24</v>
      </c>
    </row>
    <row r="1937" ht="22.5" customHeight="1">
      <c r="A1937" s="25">
        <v>203.0</v>
      </c>
      <c r="B1937" s="26">
        <v>45536.0</v>
      </c>
      <c r="C1937" s="25">
        <v>322.0</v>
      </c>
      <c r="D1937" s="25">
        <v>31.0</v>
      </c>
      <c r="E1937" s="25">
        <v>6.0</v>
      </c>
      <c r="F1937" s="25">
        <v>3.0</v>
      </c>
      <c r="G1937" s="27" t="s">
        <v>24</v>
      </c>
    </row>
    <row r="1938" ht="22.5" customHeight="1">
      <c r="A1938" s="25">
        <v>493.0</v>
      </c>
      <c r="B1938" s="26">
        <v>45536.0</v>
      </c>
      <c r="C1938" s="25">
        <v>273.0</v>
      </c>
      <c r="D1938" s="25">
        <v>8.0</v>
      </c>
      <c r="E1938" s="25">
        <v>3.0</v>
      </c>
      <c r="F1938" s="25">
        <v>5.0</v>
      </c>
      <c r="G1938" s="27" t="s">
        <v>25</v>
      </c>
    </row>
    <row r="1939" ht="22.5" customHeight="1">
      <c r="A1939" s="25">
        <v>632.0</v>
      </c>
      <c r="B1939" s="26">
        <v>45536.0</v>
      </c>
      <c r="C1939" s="25">
        <v>50.0</v>
      </c>
      <c r="D1939" s="25">
        <v>36.0</v>
      </c>
      <c r="E1939" s="25">
        <v>5.0</v>
      </c>
      <c r="F1939" s="25">
        <v>5.0</v>
      </c>
      <c r="G1939" s="27" t="s">
        <v>24</v>
      </c>
    </row>
    <row r="1940" ht="22.5" customHeight="1">
      <c r="A1940" s="25">
        <v>1300.0</v>
      </c>
      <c r="B1940" s="26">
        <v>45536.0</v>
      </c>
      <c r="C1940" s="25">
        <v>201.0</v>
      </c>
      <c r="D1940" s="25">
        <v>25.0</v>
      </c>
      <c r="E1940" s="25">
        <v>5.0</v>
      </c>
      <c r="F1940" s="25">
        <v>4.0</v>
      </c>
      <c r="G1940" s="27" t="s">
        <v>24</v>
      </c>
    </row>
    <row r="1941" ht="22.5" customHeight="1">
      <c r="A1941" s="25">
        <v>1763.0</v>
      </c>
      <c r="B1941" s="26">
        <v>45536.0</v>
      </c>
      <c r="C1941" s="25">
        <v>182.0</v>
      </c>
      <c r="D1941" s="25">
        <v>35.0</v>
      </c>
      <c r="E1941" s="25">
        <v>3.0</v>
      </c>
      <c r="F1941" s="25">
        <v>2.0</v>
      </c>
      <c r="G1941" s="27" t="s">
        <v>24</v>
      </c>
    </row>
    <row r="1942" ht="22.5" customHeight="1">
      <c r="A1942" s="25">
        <v>1964.0</v>
      </c>
      <c r="B1942" s="26">
        <v>45536.0</v>
      </c>
      <c r="C1942" s="25">
        <v>319.0</v>
      </c>
      <c r="D1942" s="25">
        <v>29.0</v>
      </c>
      <c r="E1942" s="25">
        <v>1.0</v>
      </c>
      <c r="F1942" s="25">
        <v>5.0</v>
      </c>
      <c r="G1942" s="27" t="s">
        <v>24</v>
      </c>
    </row>
    <row r="1943" ht="22.5" customHeight="1">
      <c r="A1943" s="25">
        <v>2141.0</v>
      </c>
      <c r="B1943" s="26">
        <v>45536.0</v>
      </c>
      <c r="C1943" s="25">
        <v>188.0</v>
      </c>
      <c r="D1943" s="25">
        <v>16.0</v>
      </c>
      <c r="E1943" s="25">
        <v>4.0</v>
      </c>
      <c r="F1943" s="25">
        <v>1.0</v>
      </c>
      <c r="G1943" s="27" t="s">
        <v>24</v>
      </c>
    </row>
    <row r="1944" ht="22.5" customHeight="1">
      <c r="A1944" s="25">
        <v>2226.0</v>
      </c>
      <c r="B1944" s="26">
        <v>45536.0</v>
      </c>
      <c r="C1944" s="25">
        <v>122.0</v>
      </c>
      <c r="D1944" s="25">
        <v>8.0</v>
      </c>
      <c r="E1944" s="25">
        <v>6.0</v>
      </c>
      <c r="F1944" s="25">
        <v>4.0</v>
      </c>
      <c r="G1944" s="27" t="s">
        <v>24</v>
      </c>
    </row>
    <row r="1945" ht="22.5" customHeight="1">
      <c r="A1945" s="25">
        <v>2745.0</v>
      </c>
      <c r="B1945" s="26">
        <v>45536.0</v>
      </c>
      <c r="C1945" s="25">
        <v>114.0</v>
      </c>
      <c r="D1945" s="25">
        <v>9.0</v>
      </c>
      <c r="E1945" s="25">
        <v>3.0</v>
      </c>
      <c r="F1945" s="25">
        <v>2.0</v>
      </c>
      <c r="G1945" s="27" t="s">
        <v>24</v>
      </c>
    </row>
    <row r="1946" ht="22.5" customHeight="1">
      <c r="A1946" s="25">
        <v>2823.0</v>
      </c>
      <c r="B1946" s="26">
        <v>45536.0</v>
      </c>
      <c r="C1946" s="25">
        <v>91.0</v>
      </c>
      <c r="D1946" s="25">
        <v>32.0</v>
      </c>
      <c r="E1946" s="25">
        <v>6.0</v>
      </c>
      <c r="F1946" s="25">
        <v>5.0</v>
      </c>
      <c r="G1946" s="27" t="s">
        <v>25</v>
      </c>
    </row>
    <row r="1947" ht="22.5" customHeight="1">
      <c r="A1947" s="25">
        <v>154.0</v>
      </c>
      <c r="B1947" s="26">
        <v>45537.0</v>
      </c>
      <c r="C1947" s="25">
        <v>164.0</v>
      </c>
      <c r="D1947" s="25">
        <v>16.0</v>
      </c>
      <c r="E1947" s="25">
        <v>2.0</v>
      </c>
      <c r="F1947" s="25">
        <v>5.0</v>
      </c>
      <c r="G1947" s="27" t="s">
        <v>24</v>
      </c>
    </row>
    <row r="1948" ht="22.5" customHeight="1">
      <c r="A1948" s="25">
        <v>348.0</v>
      </c>
      <c r="B1948" s="26">
        <v>45537.0</v>
      </c>
      <c r="C1948" s="25">
        <v>248.0</v>
      </c>
      <c r="D1948" s="25">
        <v>9.0</v>
      </c>
      <c r="E1948" s="25">
        <v>4.0</v>
      </c>
      <c r="F1948" s="25">
        <v>4.0</v>
      </c>
      <c r="G1948" s="27" t="s">
        <v>24</v>
      </c>
    </row>
    <row r="1949" ht="22.5" customHeight="1">
      <c r="A1949" s="25">
        <v>518.0</v>
      </c>
      <c r="B1949" s="26">
        <v>45537.0</v>
      </c>
      <c r="C1949" s="25">
        <v>314.0</v>
      </c>
      <c r="D1949" s="25">
        <v>16.0</v>
      </c>
      <c r="E1949" s="25">
        <v>3.0</v>
      </c>
      <c r="F1949" s="25">
        <v>2.0</v>
      </c>
      <c r="G1949" s="27" t="s">
        <v>25</v>
      </c>
    </row>
    <row r="1950" ht="22.5" customHeight="1">
      <c r="A1950" s="25">
        <v>587.0</v>
      </c>
      <c r="B1950" s="26">
        <v>45537.0</v>
      </c>
      <c r="C1950" s="25">
        <v>317.0</v>
      </c>
      <c r="D1950" s="25">
        <v>20.0</v>
      </c>
      <c r="E1950" s="25">
        <v>5.0</v>
      </c>
      <c r="F1950" s="25">
        <v>1.0</v>
      </c>
      <c r="G1950" s="27" t="s">
        <v>24</v>
      </c>
    </row>
    <row r="1951" ht="22.5" customHeight="1">
      <c r="A1951" s="25">
        <v>702.0</v>
      </c>
      <c r="B1951" s="26">
        <v>45537.0</v>
      </c>
      <c r="C1951" s="25">
        <v>308.0</v>
      </c>
      <c r="D1951" s="25">
        <v>25.0</v>
      </c>
      <c r="E1951" s="25">
        <v>2.0</v>
      </c>
      <c r="F1951" s="25">
        <v>1.0</v>
      </c>
      <c r="G1951" s="27" t="s">
        <v>24</v>
      </c>
    </row>
    <row r="1952" ht="22.5" customHeight="1">
      <c r="A1952" s="25">
        <v>810.0</v>
      </c>
      <c r="B1952" s="26">
        <v>45537.0</v>
      </c>
      <c r="C1952" s="25">
        <v>40.0</v>
      </c>
      <c r="D1952" s="25">
        <v>24.0</v>
      </c>
      <c r="E1952" s="25">
        <v>6.0</v>
      </c>
      <c r="F1952" s="25">
        <v>4.0</v>
      </c>
      <c r="G1952" s="27" t="s">
        <v>24</v>
      </c>
    </row>
    <row r="1953" ht="22.5" customHeight="1">
      <c r="A1953" s="25">
        <v>931.0</v>
      </c>
      <c r="B1953" s="26">
        <v>45537.0</v>
      </c>
      <c r="C1953" s="25">
        <v>179.0</v>
      </c>
      <c r="D1953" s="25">
        <v>29.0</v>
      </c>
      <c r="E1953" s="25">
        <v>4.0</v>
      </c>
      <c r="F1953" s="25">
        <v>1.0</v>
      </c>
      <c r="G1953" s="27" t="s">
        <v>24</v>
      </c>
    </row>
    <row r="1954" ht="22.5" customHeight="1">
      <c r="A1954" s="25">
        <v>1203.0</v>
      </c>
      <c r="B1954" s="26">
        <v>45537.0</v>
      </c>
      <c r="C1954" s="25">
        <v>257.0</v>
      </c>
      <c r="D1954" s="25">
        <v>38.0</v>
      </c>
      <c r="E1954" s="25">
        <v>5.0</v>
      </c>
      <c r="F1954" s="25">
        <v>5.0</v>
      </c>
      <c r="G1954" s="27" t="s">
        <v>24</v>
      </c>
    </row>
    <row r="1955" ht="22.5" customHeight="1">
      <c r="A1955" s="25">
        <v>1789.0</v>
      </c>
      <c r="B1955" s="26">
        <v>45537.0</v>
      </c>
      <c r="C1955" s="25">
        <v>115.0</v>
      </c>
      <c r="D1955" s="25">
        <v>30.0</v>
      </c>
      <c r="E1955" s="25">
        <v>5.0</v>
      </c>
      <c r="F1955" s="25">
        <v>1.0</v>
      </c>
      <c r="G1955" s="27" t="s">
        <v>24</v>
      </c>
    </row>
    <row r="1956" ht="22.5" customHeight="1">
      <c r="A1956" s="25">
        <v>2288.0</v>
      </c>
      <c r="B1956" s="26">
        <v>45537.0</v>
      </c>
      <c r="C1956" s="25">
        <v>252.0</v>
      </c>
      <c r="D1956" s="25">
        <v>16.0</v>
      </c>
      <c r="E1956" s="25">
        <v>4.0</v>
      </c>
      <c r="F1956" s="25">
        <v>4.0</v>
      </c>
      <c r="G1956" s="27" t="s">
        <v>24</v>
      </c>
    </row>
    <row r="1957" ht="22.5" customHeight="1">
      <c r="A1957" s="25">
        <v>624.0</v>
      </c>
      <c r="B1957" s="26">
        <v>45538.0</v>
      </c>
      <c r="C1957" s="25">
        <v>297.0</v>
      </c>
      <c r="D1957" s="25">
        <v>36.0</v>
      </c>
      <c r="E1957" s="25">
        <v>1.0</v>
      </c>
      <c r="F1957" s="25">
        <v>5.0</v>
      </c>
      <c r="G1957" s="27" t="s">
        <v>24</v>
      </c>
    </row>
    <row r="1958" ht="22.5" customHeight="1">
      <c r="A1958" s="25">
        <v>738.0</v>
      </c>
      <c r="B1958" s="26">
        <v>45538.0</v>
      </c>
      <c r="C1958" s="25">
        <v>59.0</v>
      </c>
      <c r="D1958" s="25">
        <v>36.0</v>
      </c>
      <c r="E1958" s="25">
        <v>4.0</v>
      </c>
      <c r="F1958" s="25">
        <v>5.0</v>
      </c>
      <c r="G1958" s="27" t="s">
        <v>24</v>
      </c>
    </row>
    <row r="1959" ht="22.5" customHeight="1">
      <c r="A1959" s="25">
        <v>998.0</v>
      </c>
      <c r="B1959" s="26">
        <v>45538.0</v>
      </c>
      <c r="C1959" s="25">
        <v>152.0</v>
      </c>
      <c r="D1959" s="25">
        <v>25.0</v>
      </c>
      <c r="E1959" s="25">
        <v>5.0</v>
      </c>
      <c r="F1959" s="25">
        <v>3.0</v>
      </c>
      <c r="G1959" s="27" t="s">
        <v>24</v>
      </c>
    </row>
    <row r="1960" ht="22.5" customHeight="1">
      <c r="A1960" s="25">
        <v>1584.0</v>
      </c>
      <c r="B1960" s="26">
        <v>45538.0</v>
      </c>
      <c r="C1960" s="25">
        <v>194.0</v>
      </c>
      <c r="D1960" s="25">
        <v>31.0</v>
      </c>
      <c r="E1960" s="25">
        <v>2.0</v>
      </c>
      <c r="F1960" s="25">
        <v>2.0</v>
      </c>
      <c r="G1960" s="27" t="s">
        <v>24</v>
      </c>
    </row>
    <row r="1961" ht="22.5" customHeight="1">
      <c r="A1961" s="25">
        <v>2032.0</v>
      </c>
      <c r="B1961" s="26">
        <v>45538.0</v>
      </c>
      <c r="C1961" s="25">
        <v>100.0</v>
      </c>
      <c r="D1961" s="25">
        <v>38.0</v>
      </c>
      <c r="E1961" s="25">
        <v>4.0</v>
      </c>
      <c r="F1961" s="25">
        <v>4.0</v>
      </c>
      <c r="G1961" s="27" t="s">
        <v>24</v>
      </c>
    </row>
    <row r="1962" ht="22.5" customHeight="1">
      <c r="A1962" s="25">
        <v>2252.0</v>
      </c>
      <c r="B1962" s="26">
        <v>45538.0</v>
      </c>
      <c r="C1962" s="25">
        <v>206.0</v>
      </c>
      <c r="D1962" s="25">
        <v>31.0</v>
      </c>
      <c r="E1962" s="25">
        <v>3.0</v>
      </c>
      <c r="F1962" s="25">
        <v>4.0</v>
      </c>
      <c r="G1962" s="27" t="s">
        <v>24</v>
      </c>
    </row>
    <row r="1963" ht="22.5" customHeight="1">
      <c r="A1963" s="25">
        <v>52.0</v>
      </c>
      <c r="B1963" s="26">
        <v>45539.0</v>
      </c>
      <c r="C1963" s="25">
        <v>50.0</v>
      </c>
      <c r="D1963" s="25">
        <v>16.0</v>
      </c>
      <c r="E1963" s="25">
        <v>6.0</v>
      </c>
      <c r="F1963" s="25">
        <v>4.0</v>
      </c>
      <c r="G1963" s="27" t="s">
        <v>24</v>
      </c>
    </row>
    <row r="1964" ht="22.5" customHeight="1">
      <c r="A1964" s="25">
        <v>205.0</v>
      </c>
      <c r="B1964" s="26">
        <v>45539.0</v>
      </c>
      <c r="C1964" s="25">
        <v>303.0</v>
      </c>
      <c r="D1964" s="25">
        <v>2.0</v>
      </c>
      <c r="E1964" s="25">
        <v>3.0</v>
      </c>
      <c r="F1964" s="25">
        <v>5.0</v>
      </c>
      <c r="G1964" s="27" t="s">
        <v>24</v>
      </c>
    </row>
    <row r="1965" ht="22.5" customHeight="1">
      <c r="A1965" s="25">
        <v>385.0</v>
      </c>
      <c r="B1965" s="26">
        <v>45539.0</v>
      </c>
      <c r="C1965" s="25">
        <v>257.0</v>
      </c>
      <c r="D1965" s="25">
        <v>19.0</v>
      </c>
      <c r="E1965" s="25">
        <v>2.0</v>
      </c>
      <c r="F1965" s="25">
        <v>3.0</v>
      </c>
      <c r="G1965" s="27" t="s">
        <v>24</v>
      </c>
    </row>
    <row r="1966" ht="22.5" customHeight="1">
      <c r="A1966" s="25">
        <v>535.0</v>
      </c>
      <c r="B1966" s="26">
        <v>45539.0</v>
      </c>
      <c r="C1966" s="25">
        <v>167.0</v>
      </c>
      <c r="D1966" s="25">
        <v>14.0</v>
      </c>
      <c r="E1966" s="25">
        <v>3.0</v>
      </c>
      <c r="F1966" s="25">
        <v>1.0</v>
      </c>
      <c r="G1966" s="27" t="s">
        <v>24</v>
      </c>
    </row>
    <row r="1967" ht="22.5" customHeight="1">
      <c r="A1967" s="25">
        <v>1039.0</v>
      </c>
      <c r="B1967" s="26">
        <v>45539.0</v>
      </c>
      <c r="C1967" s="25">
        <v>314.0</v>
      </c>
      <c r="D1967" s="25">
        <v>22.0</v>
      </c>
      <c r="E1967" s="25">
        <v>1.0</v>
      </c>
      <c r="F1967" s="25">
        <v>4.0</v>
      </c>
      <c r="G1967" s="27" t="s">
        <v>24</v>
      </c>
    </row>
    <row r="1968" ht="22.5" customHeight="1">
      <c r="A1968" s="25">
        <v>1042.0</v>
      </c>
      <c r="B1968" s="26">
        <v>45539.0</v>
      </c>
      <c r="C1968" s="25">
        <v>257.0</v>
      </c>
      <c r="D1968" s="25">
        <v>8.0</v>
      </c>
      <c r="E1968" s="25">
        <v>2.0</v>
      </c>
      <c r="F1968" s="25">
        <v>4.0</v>
      </c>
      <c r="G1968" s="27" t="s">
        <v>24</v>
      </c>
    </row>
    <row r="1969" ht="22.5" customHeight="1">
      <c r="A1969" s="25">
        <v>1429.0</v>
      </c>
      <c r="B1969" s="26">
        <v>45539.0</v>
      </c>
      <c r="C1969" s="25">
        <v>23.0</v>
      </c>
      <c r="D1969" s="25">
        <v>26.0</v>
      </c>
      <c r="E1969" s="25">
        <v>2.0</v>
      </c>
      <c r="F1969" s="25">
        <v>5.0</v>
      </c>
      <c r="G1969" s="27" t="s">
        <v>25</v>
      </c>
    </row>
    <row r="1970" ht="22.5" customHeight="1">
      <c r="A1970" s="25">
        <v>1430.0</v>
      </c>
      <c r="B1970" s="26">
        <v>45539.0</v>
      </c>
      <c r="C1970" s="25">
        <v>302.0</v>
      </c>
      <c r="D1970" s="25">
        <v>19.0</v>
      </c>
      <c r="E1970" s="25">
        <v>3.0</v>
      </c>
      <c r="F1970" s="25">
        <v>1.0</v>
      </c>
      <c r="G1970" s="27" t="s">
        <v>24</v>
      </c>
    </row>
    <row r="1971" ht="22.5" customHeight="1">
      <c r="A1971" s="25">
        <v>2538.0</v>
      </c>
      <c r="B1971" s="26">
        <v>45539.0</v>
      </c>
      <c r="C1971" s="25">
        <v>141.0</v>
      </c>
      <c r="D1971" s="25">
        <v>30.0</v>
      </c>
      <c r="E1971" s="25">
        <v>5.0</v>
      </c>
      <c r="F1971" s="25">
        <v>3.0</v>
      </c>
      <c r="G1971" s="27" t="s">
        <v>24</v>
      </c>
    </row>
    <row r="1972" ht="22.5" customHeight="1">
      <c r="A1972" s="25">
        <v>147.0</v>
      </c>
      <c r="B1972" s="26">
        <v>45540.0</v>
      </c>
      <c r="C1972" s="25">
        <v>213.0</v>
      </c>
      <c r="D1972" s="25">
        <v>32.0</v>
      </c>
      <c r="E1972" s="25">
        <v>6.0</v>
      </c>
      <c r="F1972" s="25">
        <v>5.0</v>
      </c>
      <c r="G1972" s="27" t="s">
        <v>24</v>
      </c>
    </row>
    <row r="1973" ht="22.5" customHeight="1">
      <c r="A1973" s="25">
        <v>476.0</v>
      </c>
      <c r="B1973" s="26">
        <v>45540.0</v>
      </c>
      <c r="C1973" s="25">
        <v>209.0</v>
      </c>
      <c r="D1973" s="25">
        <v>38.0</v>
      </c>
      <c r="E1973" s="25">
        <v>5.0</v>
      </c>
      <c r="F1973" s="25">
        <v>2.0</v>
      </c>
      <c r="G1973" s="27" t="s">
        <v>24</v>
      </c>
    </row>
    <row r="1974" ht="22.5" customHeight="1">
      <c r="A1974" s="25">
        <v>1134.0</v>
      </c>
      <c r="B1974" s="26">
        <v>45540.0</v>
      </c>
      <c r="C1974" s="25">
        <v>138.0</v>
      </c>
      <c r="D1974" s="25">
        <v>30.0</v>
      </c>
      <c r="E1974" s="25">
        <v>2.0</v>
      </c>
      <c r="F1974" s="25">
        <v>4.0</v>
      </c>
      <c r="G1974" s="27" t="s">
        <v>25</v>
      </c>
    </row>
    <row r="1975" ht="22.5" customHeight="1">
      <c r="A1975" s="25">
        <v>1550.0</v>
      </c>
      <c r="B1975" s="26">
        <v>45540.0</v>
      </c>
      <c r="C1975" s="25">
        <v>125.0</v>
      </c>
      <c r="D1975" s="25">
        <v>6.0</v>
      </c>
      <c r="E1975" s="25">
        <v>4.0</v>
      </c>
      <c r="F1975" s="25">
        <v>1.0</v>
      </c>
      <c r="G1975" s="27" t="s">
        <v>24</v>
      </c>
    </row>
    <row r="1976" ht="22.5" customHeight="1">
      <c r="A1976" s="25">
        <v>2530.0</v>
      </c>
      <c r="B1976" s="26">
        <v>45540.0</v>
      </c>
      <c r="C1976" s="25">
        <v>218.0</v>
      </c>
      <c r="D1976" s="25">
        <v>4.0</v>
      </c>
      <c r="E1976" s="25">
        <v>1.0</v>
      </c>
      <c r="F1976" s="25">
        <v>4.0</v>
      </c>
      <c r="G1976" s="27" t="s">
        <v>24</v>
      </c>
    </row>
    <row r="1977" ht="22.5" customHeight="1">
      <c r="A1977" s="25">
        <v>5.0</v>
      </c>
      <c r="B1977" s="26">
        <v>45541.0</v>
      </c>
      <c r="C1977" s="25">
        <v>188.0</v>
      </c>
      <c r="D1977" s="25">
        <v>4.0</v>
      </c>
      <c r="E1977" s="25">
        <v>4.0</v>
      </c>
      <c r="F1977" s="25">
        <v>4.0</v>
      </c>
      <c r="G1977" s="27" t="s">
        <v>24</v>
      </c>
    </row>
    <row r="1978" ht="22.5" customHeight="1">
      <c r="A1978" s="25">
        <v>320.0</v>
      </c>
      <c r="B1978" s="26">
        <v>45541.0</v>
      </c>
      <c r="C1978" s="25">
        <v>93.0</v>
      </c>
      <c r="D1978" s="25">
        <v>38.0</v>
      </c>
      <c r="E1978" s="25">
        <v>3.0</v>
      </c>
      <c r="F1978" s="25">
        <v>3.0</v>
      </c>
      <c r="G1978" s="27" t="s">
        <v>24</v>
      </c>
    </row>
    <row r="1979" ht="22.5" customHeight="1">
      <c r="A1979" s="25">
        <v>862.0</v>
      </c>
      <c r="B1979" s="26">
        <v>45541.0</v>
      </c>
      <c r="C1979" s="25">
        <v>284.0</v>
      </c>
      <c r="D1979" s="25">
        <v>17.0</v>
      </c>
      <c r="E1979" s="25">
        <v>5.0</v>
      </c>
      <c r="F1979" s="25">
        <v>4.0</v>
      </c>
      <c r="G1979" s="27" t="s">
        <v>24</v>
      </c>
    </row>
    <row r="1980" ht="22.5" customHeight="1">
      <c r="A1980" s="25">
        <v>1526.0</v>
      </c>
      <c r="B1980" s="26">
        <v>45541.0</v>
      </c>
      <c r="C1980" s="25">
        <v>229.0</v>
      </c>
      <c r="D1980" s="25">
        <v>19.0</v>
      </c>
      <c r="E1980" s="25">
        <v>5.0</v>
      </c>
      <c r="F1980" s="25">
        <v>3.0</v>
      </c>
      <c r="G1980" s="27" t="s">
        <v>24</v>
      </c>
    </row>
    <row r="1981" ht="22.5" customHeight="1">
      <c r="A1981" s="25">
        <v>2025.0</v>
      </c>
      <c r="B1981" s="26">
        <v>45541.0</v>
      </c>
      <c r="C1981" s="25">
        <v>59.0</v>
      </c>
      <c r="D1981" s="25">
        <v>4.0</v>
      </c>
      <c r="E1981" s="25">
        <v>1.0</v>
      </c>
      <c r="F1981" s="25">
        <v>1.0</v>
      </c>
      <c r="G1981" s="27" t="s">
        <v>24</v>
      </c>
    </row>
    <row r="1982" ht="22.5" customHeight="1">
      <c r="A1982" s="25">
        <v>2607.0</v>
      </c>
      <c r="B1982" s="26">
        <v>45541.0</v>
      </c>
      <c r="C1982" s="25">
        <v>214.0</v>
      </c>
      <c r="D1982" s="25">
        <v>38.0</v>
      </c>
      <c r="E1982" s="25">
        <v>1.0</v>
      </c>
      <c r="F1982" s="25">
        <v>1.0</v>
      </c>
      <c r="G1982" s="27" t="s">
        <v>24</v>
      </c>
    </row>
    <row r="1983" ht="22.5" customHeight="1">
      <c r="A1983" s="25">
        <v>2612.0</v>
      </c>
      <c r="B1983" s="26">
        <v>45541.0</v>
      </c>
      <c r="C1983" s="25">
        <v>165.0</v>
      </c>
      <c r="D1983" s="25">
        <v>20.0</v>
      </c>
      <c r="E1983" s="25">
        <v>4.0</v>
      </c>
      <c r="F1983" s="25">
        <v>1.0</v>
      </c>
      <c r="G1983" s="27" t="s">
        <v>24</v>
      </c>
    </row>
    <row r="1984" ht="22.5" customHeight="1">
      <c r="A1984" s="25">
        <v>2714.0</v>
      </c>
      <c r="B1984" s="26">
        <v>45541.0</v>
      </c>
      <c r="C1984" s="25">
        <v>21.0</v>
      </c>
      <c r="D1984" s="25">
        <v>1.0</v>
      </c>
      <c r="E1984" s="25">
        <v>2.0</v>
      </c>
      <c r="F1984" s="25">
        <v>3.0</v>
      </c>
      <c r="G1984" s="27" t="s">
        <v>24</v>
      </c>
    </row>
    <row r="1985" ht="22.5" customHeight="1">
      <c r="A1985" s="25">
        <v>252.0</v>
      </c>
      <c r="B1985" s="26">
        <v>45542.0</v>
      </c>
      <c r="C1985" s="25">
        <v>222.0</v>
      </c>
      <c r="D1985" s="25">
        <v>23.0</v>
      </c>
      <c r="E1985" s="25">
        <v>3.0</v>
      </c>
      <c r="F1985" s="25">
        <v>3.0</v>
      </c>
      <c r="G1985" s="27" t="s">
        <v>24</v>
      </c>
    </row>
    <row r="1986" ht="22.5" customHeight="1">
      <c r="A1986" s="25">
        <v>299.0</v>
      </c>
      <c r="B1986" s="26">
        <v>45542.0</v>
      </c>
      <c r="C1986" s="25">
        <v>60.0</v>
      </c>
      <c r="D1986" s="25">
        <v>28.0</v>
      </c>
      <c r="E1986" s="25">
        <v>2.0</v>
      </c>
      <c r="F1986" s="25">
        <v>1.0</v>
      </c>
      <c r="G1986" s="27" t="s">
        <v>25</v>
      </c>
    </row>
    <row r="1987" ht="22.5" customHeight="1">
      <c r="A1987" s="25">
        <v>615.0</v>
      </c>
      <c r="B1987" s="26">
        <v>45542.0</v>
      </c>
      <c r="C1987" s="25">
        <v>205.0</v>
      </c>
      <c r="D1987" s="25">
        <v>17.0</v>
      </c>
      <c r="E1987" s="25">
        <v>4.0</v>
      </c>
      <c r="F1987" s="25">
        <v>1.0</v>
      </c>
      <c r="G1987" s="27" t="s">
        <v>24</v>
      </c>
    </row>
    <row r="1988" ht="22.5" customHeight="1">
      <c r="A1988" s="25">
        <v>811.0</v>
      </c>
      <c r="B1988" s="26">
        <v>45542.0</v>
      </c>
      <c r="C1988" s="25">
        <v>52.0</v>
      </c>
      <c r="D1988" s="25">
        <v>13.0</v>
      </c>
      <c r="E1988" s="25">
        <v>3.0</v>
      </c>
      <c r="F1988" s="25">
        <v>5.0</v>
      </c>
      <c r="G1988" s="27" t="s">
        <v>24</v>
      </c>
    </row>
    <row r="1989" ht="22.5" customHeight="1">
      <c r="A1989" s="25">
        <v>882.0</v>
      </c>
      <c r="B1989" s="26">
        <v>45542.0</v>
      </c>
      <c r="C1989" s="25">
        <v>288.0</v>
      </c>
      <c r="D1989" s="25">
        <v>32.0</v>
      </c>
      <c r="E1989" s="25">
        <v>5.0</v>
      </c>
      <c r="F1989" s="25">
        <v>2.0</v>
      </c>
      <c r="G1989" s="27" t="s">
        <v>24</v>
      </c>
    </row>
    <row r="1990" ht="22.5" customHeight="1">
      <c r="A1990" s="25">
        <v>927.0</v>
      </c>
      <c r="B1990" s="26">
        <v>45542.0</v>
      </c>
      <c r="C1990" s="25">
        <v>242.0</v>
      </c>
      <c r="D1990" s="25">
        <v>21.0</v>
      </c>
      <c r="E1990" s="25">
        <v>3.0</v>
      </c>
      <c r="F1990" s="25">
        <v>4.0</v>
      </c>
      <c r="G1990" s="27" t="s">
        <v>24</v>
      </c>
    </row>
    <row r="1991" ht="22.5" customHeight="1">
      <c r="A1991" s="25">
        <v>2075.0</v>
      </c>
      <c r="B1991" s="26">
        <v>45542.0</v>
      </c>
      <c r="C1991" s="25">
        <v>245.0</v>
      </c>
      <c r="D1991" s="25">
        <v>11.0</v>
      </c>
      <c r="E1991" s="25">
        <v>5.0</v>
      </c>
      <c r="F1991" s="25">
        <v>2.0</v>
      </c>
      <c r="G1991" s="27" t="s">
        <v>25</v>
      </c>
    </row>
    <row r="1992" ht="22.5" customHeight="1">
      <c r="A1992" s="25">
        <v>2455.0</v>
      </c>
      <c r="B1992" s="26">
        <v>45542.0</v>
      </c>
      <c r="C1992" s="25">
        <v>316.0</v>
      </c>
      <c r="D1992" s="25">
        <v>6.0</v>
      </c>
      <c r="E1992" s="25">
        <v>5.0</v>
      </c>
      <c r="F1992" s="25">
        <v>5.0</v>
      </c>
      <c r="G1992" s="27" t="s">
        <v>25</v>
      </c>
    </row>
    <row r="1993" ht="22.5" customHeight="1">
      <c r="A1993" s="25">
        <v>2459.0</v>
      </c>
      <c r="B1993" s="26">
        <v>45542.0</v>
      </c>
      <c r="C1993" s="25">
        <v>61.0</v>
      </c>
      <c r="D1993" s="25">
        <v>33.0</v>
      </c>
      <c r="E1993" s="25">
        <v>6.0</v>
      </c>
      <c r="F1993" s="25">
        <v>1.0</v>
      </c>
      <c r="G1993" s="27" t="s">
        <v>24</v>
      </c>
    </row>
    <row r="1994" ht="22.5" customHeight="1">
      <c r="A1994" s="25">
        <v>83.0</v>
      </c>
      <c r="B1994" s="26">
        <v>45543.0</v>
      </c>
      <c r="C1994" s="25">
        <v>187.0</v>
      </c>
      <c r="D1994" s="25">
        <v>2.0</v>
      </c>
      <c r="E1994" s="25">
        <v>6.0</v>
      </c>
      <c r="F1994" s="25">
        <v>4.0</v>
      </c>
      <c r="G1994" s="27" t="s">
        <v>24</v>
      </c>
    </row>
    <row r="1995" ht="22.5" customHeight="1">
      <c r="A1995" s="25">
        <v>442.0</v>
      </c>
      <c r="B1995" s="26">
        <v>45543.0</v>
      </c>
      <c r="C1995" s="25">
        <v>48.0</v>
      </c>
      <c r="D1995" s="25">
        <v>34.0</v>
      </c>
      <c r="E1995" s="25">
        <v>3.0</v>
      </c>
      <c r="F1995" s="25">
        <v>5.0</v>
      </c>
      <c r="G1995" s="27" t="s">
        <v>24</v>
      </c>
    </row>
    <row r="1996" ht="22.5" customHeight="1">
      <c r="A1996" s="25">
        <v>527.0</v>
      </c>
      <c r="B1996" s="26">
        <v>45543.0</v>
      </c>
      <c r="C1996" s="25">
        <v>13.0</v>
      </c>
      <c r="D1996" s="25">
        <v>10.0</v>
      </c>
      <c r="E1996" s="25">
        <v>6.0</v>
      </c>
      <c r="F1996" s="25">
        <v>3.0</v>
      </c>
      <c r="G1996" s="27" t="s">
        <v>24</v>
      </c>
    </row>
    <row r="1997" ht="22.5" customHeight="1">
      <c r="A1997" s="25">
        <v>761.0</v>
      </c>
      <c r="B1997" s="26">
        <v>45543.0</v>
      </c>
      <c r="C1997" s="25">
        <v>16.0</v>
      </c>
      <c r="D1997" s="25">
        <v>34.0</v>
      </c>
      <c r="E1997" s="25">
        <v>6.0</v>
      </c>
      <c r="F1997" s="25">
        <v>5.0</v>
      </c>
      <c r="G1997" s="27" t="s">
        <v>24</v>
      </c>
    </row>
    <row r="1998" ht="22.5" customHeight="1">
      <c r="A1998" s="25">
        <v>1252.0</v>
      </c>
      <c r="B1998" s="26">
        <v>45543.0</v>
      </c>
      <c r="C1998" s="25">
        <v>50.0</v>
      </c>
      <c r="D1998" s="25">
        <v>36.0</v>
      </c>
      <c r="E1998" s="25">
        <v>3.0</v>
      </c>
      <c r="F1998" s="25">
        <v>5.0</v>
      </c>
      <c r="G1998" s="27" t="s">
        <v>25</v>
      </c>
    </row>
    <row r="1999" ht="22.5" customHeight="1">
      <c r="A1999" s="25">
        <v>1371.0</v>
      </c>
      <c r="B1999" s="26">
        <v>45543.0</v>
      </c>
      <c r="C1999" s="25">
        <v>72.0</v>
      </c>
      <c r="D1999" s="25">
        <v>15.0</v>
      </c>
      <c r="E1999" s="25">
        <v>6.0</v>
      </c>
      <c r="F1999" s="25">
        <v>3.0</v>
      </c>
      <c r="G1999" s="27" t="s">
        <v>24</v>
      </c>
    </row>
    <row r="2000" ht="22.5" customHeight="1">
      <c r="A2000" s="25">
        <v>2200.0</v>
      </c>
      <c r="B2000" s="26">
        <v>45543.0</v>
      </c>
      <c r="C2000" s="25">
        <v>115.0</v>
      </c>
      <c r="D2000" s="25">
        <v>28.0</v>
      </c>
      <c r="E2000" s="25">
        <v>1.0</v>
      </c>
      <c r="F2000" s="25">
        <v>1.0</v>
      </c>
      <c r="G2000" s="27" t="s">
        <v>24</v>
      </c>
    </row>
    <row r="2001" ht="22.5" customHeight="1">
      <c r="A2001" s="25">
        <v>2592.0</v>
      </c>
      <c r="B2001" s="26">
        <v>45543.0</v>
      </c>
      <c r="C2001" s="25">
        <v>98.0</v>
      </c>
      <c r="D2001" s="25">
        <v>8.0</v>
      </c>
      <c r="E2001" s="25">
        <v>5.0</v>
      </c>
      <c r="F2001" s="25">
        <v>5.0</v>
      </c>
      <c r="G2001" s="27" t="s">
        <v>24</v>
      </c>
    </row>
    <row r="2002" ht="22.5" customHeight="1">
      <c r="A2002" s="25">
        <v>322.0</v>
      </c>
      <c r="B2002" s="26">
        <v>45544.0</v>
      </c>
      <c r="C2002" s="25">
        <v>97.0</v>
      </c>
      <c r="D2002" s="25">
        <v>9.0</v>
      </c>
      <c r="E2002" s="25">
        <v>6.0</v>
      </c>
      <c r="F2002" s="25">
        <v>5.0</v>
      </c>
      <c r="G2002" s="27" t="s">
        <v>24</v>
      </c>
    </row>
    <row r="2003" ht="22.5" customHeight="1">
      <c r="A2003" s="25">
        <v>402.0</v>
      </c>
      <c r="B2003" s="26">
        <v>45544.0</v>
      </c>
      <c r="C2003" s="25">
        <v>45.0</v>
      </c>
      <c r="D2003" s="25">
        <v>25.0</v>
      </c>
      <c r="E2003" s="25">
        <v>1.0</v>
      </c>
      <c r="F2003" s="25">
        <v>5.0</v>
      </c>
      <c r="G2003" s="27" t="s">
        <v>24</v>
      </c>
    </row>
    <row r="2004" ht="22.5" customHeight="1">
      <c r="A2004" s="25">
        <v>582.0</v>
      </c>
      <c r="B2004" s="26">
        <v>45544.0</v>
      </c>
      <c r="C2004" s="25">
        <v>266.0</v>
      </c>
      <c r="D2004" s="25">
        <v>21.0</v>
      </c>
      <c r="E2004" s="25">
        <v>3.0</v>
      </c>
      <c r="F2004" s="25">
        <v>5.0</v>
      </c>
      <c r="G2004" s="27" t="s">
        <v>24</v>
      </c>
    </row>
    <row r="2005" ht="22.5" customHeight="1">
      <c r="A2005" s="25">
        <v>1821.0</v>
      </c>
      <c r="B2005" s="26">
        <v>45544.0</v>
      </c>
      <c r="C2005" s="25">
        <v>143.0</v>
      </c>
      <c r="D2005" s="25">
        <v>16.0</v>
      </c>
      <c r="E2005" s="25">
        <v>1.0</v>
      </c>
      <c r="F2005" s="25">
        <v>4.0</v>
      </c>
      <c r="G2005" s="27" t="s">
        <v>24</v>
      </c>
    </row>
    <row r="2006" ht="22.5" customHeight="1">
      <c r="A2006" s="25">
        <v>726.0</v>
      </c>
      <c r="B2006" s="26">
        <v>45545.0</v>
      </c>
      <c r="C2006" s="25">
        <v>161.0</v>
      </c>
      <c r="D2006" s="25">
        <v>32.0</v>
      </c>
      <c r="E2006" s="25">
        <v>2.0</v>
      </c>
      <c r="F2006" s="25">
        <v>4.0</v>
      </c>
      <c r="G2006" s="27" t="s">
        <v>24</v>
      </c>
    </row>
    <row r="2007" ht="22.5" customHeight="1">
      <c r="A2007" s="25">
        <v>2359.0</v>
      </c>
      <c r="B2007" s="26">
        <v>45545.0</v>
      </c>
      <c r="C2007" s="25">
        <v>230.0</v>
      </c>
      <c r="D2007" s="25">
        <v>35.0</v>
      </c>
      <c r="E2007" s="25">
        <v>1.0</v>
      </c>
      <c r="F2007" s="25">
        <v>4.0</v>
      </c>
      <c r="G2007" s="27" t="s">
        <v>25</v>
      </c>
    </row>
    <row r="2008" ht="22.5" customHeight="1">
      <c r="A2008" s="25">
        <v>2744.0</v>
      </c>
      <c r="B2008" s="26">
        <v>45545.0</v>
      </c>
      <c r="C2008" s="25">
        <v>301.0</v>
      </c>
      <c r="D2008" s="25">
        <v>36.0</v>
      </c>
      <c r="E2008" s="25">
        <v>3.0</v>
      </c>
      <c r="F2008" s="25">
        <v>4.0</v>
      </c>
      <c r="G2008" s="27" t="s">
        <v>24</v>
      </c>
    </row>
    <row r="2009" ht="22.5" customHeight="1">
      <c r="A2009" s="25">
        <v>1649.0</v>
      </c>
      <c r="B2009" s="26">
        <v>45546.0</v>
      </c>
      <c r="C2009" s="25">
        <v>189.0</v>
      </c>
      <c r="D2009" s="25">
        <v>37.0</v>
      </c>
      <c r="E2009" s="25">
        <v>2.0</v>
      </c>
      <c r="F2009" s="25">
        <v>4.0</v>
      </c>
      <c r="G2009" s="27" t="s">
        <v>24</v>
      </c>
    </row>
    <row r="2010" ht="22.5" customHeight="1">
      <c r="A2010" s="25">
        <v>1854.0</v>
      </c>
      <c r="B2010" s="26">
        <v>45546.0</v>
      </c>
      <c r="C2010" s="25">
        <v>303.0</v>
      </c>
      <c r="D2010" s="25">
        <v>4.0</v>
      </c>
      <c r="E2010" s="25">
        <v>5.0</v>
      </c>
      <c r="F2010" s="25">
        <v>4.0</v>
      </c>
      <c r="G2010" s="27" t="s">
        <v>24</v>
      </c>
    </row>
    <row r="2011" ht="22.5" customHeight="1">
      <c r="A2011" s="25">
        <v>2220.0</v>
      </c>
      <c r="B2011" s="26">
        <v>45546.0</v>
      </c>
      <c r="C2011" s="25">
        <v>317.0</v>
      </c>
      <c r="D2011" s="25">
        <v>26.0</v>
      </c>
      <c r="E2011" s="25">
        <v>3.0</v>
      </c>
      <c r="F2011" s="25">
        <v>5.0</v>
      </c>
      <c r="G2011" s="27" t="s">
        <v>24</v>
      </c>
    </row>
    <row r="2012" ht="22.5" customHeight="1">
      <c r="A2012" s="25">
        <v>2489.0</v>
      </c>
      <c r="B2012" s="26">
        <v>45546.0</v>
      </c>
      <c r="C2012" s="25">
        <v>266.0</v>
      </c>
      <c r="D2012" s="25">
        <v>34.0</v>
      </c>
      <c r="E2012" s="25">
        <v>3.0</v>
      </c>
      <c r="F2012" s="25">
        <v>5.0</v>
      </c>
      <c r="G2012" s="27" t="s">
        <v>24</v>
      </c>
    </row>
    <row r="2013" ht="22.5" customHeight="1">
      <c r="A2013" s="25">
        <v>2649.0</v>
      </c>
      <c r="B2013" s="26">
        <v>45546.0</v>
      </c>
      <c r="C2013" s="25">
        <v>294.0</v>
      </c>
      <c r="D2013" s="25">
        <v>28.0</v>
      </c>
      <c r="E2013" s="25">
        <v>1.0</v>
      </c>
      <c r="F2013" s="25">
        <v>4.0</v>
      </c>
      <c r="G2013" s="27" t="s">
        <v>25</v>
      </c>
    </row>
    <row r="2014" ht="22.5" customHeight="1">
      <c r="A2014" s="25">
        <v>2809.0</v>
      </c>
      <c r="B2014" s="26">
        <v>45546.0</v>
      </c>
      <c r="C2014" s="25">
        <v>276.0</v>
      </c>
      <c r="D2014" s="25">
        <v>8.0</v>
      </c>
      <c r="E2014" s="25">
        <v>5.0</v>
      </c>
      <c r="F2014" s="25">
        <v>5.0</v>
      </c>
      <c r="G2014" s="27" t="s">
        <v>25</v>
      </c>
    </row>
    <row r="2015" ht="22.5" customHeight="1">
      <c r="A2015" s="25">
        <v>2878.0</v>
      </c>
      <c r="B2015" s="26">
        <v>45546.0</v>
      </c>
      <c r="C2015" s="25">
        <v>180.0</v>
      </c>
      <c r="D2015" s="25">
        <v>27.0</v>
      </c>
      <c r="E2015" s="25">
        <v>4.0</v>
      </c>
      <c r="F2015" s="25">
        <v>4.0</v>
      </c>
      <c r="G2015" s="27" t="s">
        <v>24</v>
      </c>
    </row>
    <row r="2016" ht="22.5" customHeight="1">
      <c r="A2016" s="25">
        <v>958.0</v>
      </c>
      <c r="B2016" s="26">
        <v>45547.0</v>
      </c>
      <c r="C2016" s="25">
        <v>80.0</v>
      </c>
      <c r="D2016" s="25">
        <v>11.0</v>
      </c>
      <c r="E2016" s="25">
        <v>3.0</v>
      </c>
      <c r="F2016" s="25">
        <v>3.0</v>
      </c>
      <c r="G2016" s="27" t="s">
        <v>24</v>
      </c>
    </row>
    <row r="2017" ht="22.5" customHeight="1">
      <c r="A2017" s="25">
        <v>1466.0</v>
      </c>
      <c r="B2017" s="26">
        <v>45547.0</v>
      </c>
      <c r="C2017" s="25">
        <v>215.0</v>
      </c>
      <c r="D2017" s="25">
        <v>17.0</v>
      </c>
      <c r="E2017" s="25">
        <v>1.0</v>
      </c>
      <c r="F2017" s="25">
        <v>1.0</v>
      </c>
      <c r="G2017" s="27" t="s">
        <v>24</v>
      </c>
    </row>
    <row r="2018" ht="22.5" customHeight="1">
      <c r="A2018" s="25">
        <v>2106.0</v>
      </c>
      <c r="B2018" s="26">
        <v>45547.0</v>
      </c>
      <c r="C2018" s="25">
        <v>135.0</v>
      </c>
      <c r="D2018" s="25">
        <v>14.0</v>
      </c>
      <c r="E2018" s="25">
        <v>2.0</v>
      </c>
      <c r="F2018" s="25">
        <v>1.0</v>
      </c>
      <c r="G2018" s="27" t="s">
        <v>24</v>
      </c>
    </row>
    <row r="2019" ht="22.5" customHeight="1">
      <c r="A2019" s="25">
        <v>2192.0</v>
      </c>
      <c r="B2019" s="26">
        <v>45547.0</v>
      </c>
      <c r="C2019" s="25">
        <v>167.0</v>
      </c>
      <c r="D2019" s="25">
        <v>26.0</v>
      </c>
      <c r="E2019" s="25">
        <v>6.0</v>
      </c>
      <c r="F2019" s="25">
        <v>4.0</v>
      </c>
      <c r="G2019" s="27" t="s">
        <v>24</v>
      </c>
    </row>
    <row r="2020" ht="22.5" customHeight="1">
      <c r="A2020" s="25">
        <v>2708.0</v>
      </c>
      <c r="B2020" s="26">
        <v>45547.0</v>
      </c>
      <c r="C2020" s="25">
        <v>233.0</v>
      </c>
      <c r="D2020" s="25">
        <v>29.0</v>
      </c>
      <c r="E2020" s="25">
        <v>5.0</v>
      </c>
      <c r="F2020" s="25">
        <v>3.0</v>
      </c>
      <c r="G2020" s="27" t="s">
        <v>24</v>
      </c>
    </row>
    <row r="2021" ht="22.5" customHeight="1">
      <c r="A2021" s="25">
        <v>1132.0</v>
      </c>
      <c r="B2021" s="26">
        <v>45548.0</v>
      </c>
      <c r="C2021" s="25">
        <v>88.0</v>
      </c>
      <c r="D2021" s="25">
        <v>22.0</v>
      </c>
      <c r="E2021" s="25">
        <v>1.0</v>
      </c>
      <c r="F2021" s="25">
        <v>4.0</v>
      </c>
      <c r="G2021" s="27" t="s">
        <v>24</v>
      </c>
    </row>
    <row r="2022" ht="22.5" customHeight="1">
      <c r="A2022" s="25">
        <v>1442.0</v>
      </c>
      <c r="B2022" s="26">
        <v>45548.0</v>
      </c>
      <c r="C2022" s="25">
        <v>4.0</v>
      </c>
      <c r="D2022" s="25">
        <v>17.0</v>
      </c>
      <c r="E2022" s="25">
        <v>4.0</v>
      </c>
      <c r="F2022" s="25">
        <v>2.0</v>
      </c>
      <c r="G2022" s="27" t="s">
        <v>24</v>
      </c>
    </row>
    <row r="2023" ht="22.5" customHeight="1">
      <c r="A2023" s="25">
        <v>2154.0</v>
      </c>
      <c r="B2023" s="26">
        <v>45548.0</v>
      </c>
      <c r="C2023" s="25">
        <v>212.0</v>
      </c>
      <c r="D2023" s="25">
        <v>25.0</v>
      </c>
      <c r="E2023" s="25">
        <v>6.0</v>
      </c>
      <c r="F2023" s="25">
        <v>4.0</v>
      </c>
      <c r="G2023" s="27" t="s">
        <v>24</v>
      </c>
    </row>
    <row r="2024" ht="22.5" customHeight="1">
      <c r="A2024" s="25">
        <v>1272.0</v>
      </c>
      <c r="B2024" s="26">
        <v>45549.0</v>
      </c>
      <c r="C2024" s="25">
        <v>187.0</v>
      </c>
      <c r="D2024" s="25">
        <v>12.0</v>
      </c>
      <c r="E2024" s="25">
        <v>2.0</v>
      </c>
      <c r="F2024" s="25">
        <v>2.0</v>
      </c>
      <c r="G2024" s="27" t="s">
        <v>25</v>
      </c>
    </row>
    <row r="2025" ht="22.5" customHeight="1">
      <c r="A2025" s="25">
        <v>1380.0</v>
      </c>
      <c r="B2025" s="26">
        <v>45549.0</v>
      </c>
      <c r="C2025" s="25">
        <v>126.0</v>
      </c>
      <c r="D2025" s="25">
        <v>22.0</v>
      </c>
      <c r="E2025" s="25">
        <v>2.0</v>
      </c>
      <c r="F2025" s="25">
        <v>1.0</v>
      </c>
      <c r="G2025" s="27" t="s">
        <v>24</v>
      </c>
    </row>
    <row r="2026" ht="22.5" customHeight="1">
      <c r="A2026" s="25">
        <v>1762.0</v>
      </c>
      <c r="B2026" s="26">
        <v>45549.0</v>
      </c>
      <c r="C2026" s="25">
        <v>71.0</v>
      </c>
      <c r="D2026" s="25">
        <v>29.0</v>
      </c>
      <c r="E2026" s="25">
        <v>2.0</v>
      </c>
      <c r="F2026" s="25">
        <v>4.0</v>
      </c>
      <c r="G2026" s="27" t="s">
        <v>24</v>
      </c>
    </row>
    <row r="2027" ht="22.5" customHeight="1">
      <c r="A2027" s="25">
        <v>1829.0</v>
      </c>
      <c r="B2027" s="26">
        <v>45549.0</v>
      </c>
      <c r="C2027" s="25">
        <v>207.0</v>
      </c>
      <c r="D2027" s="25">
        <v>23.0</v>
      </c>
      <c r="E2027" s="25">
        <v>2.0</v>
      </c>
      <c r="F2027" s="25">
        <v>4.0</v>
      </c>
      <c r="G2027" s="27" t="s">
        <v>24</v>
      </c>
    </row>
    <row r="2028" ht="22.5" customHeight="1">
      <c r="A2028" s="25">
        <v>2944.0</v>
      </c>
      <c r="B2028" s="26">
        <v>45549.0</v>
      </c>
      <c r="C2028" s="25">
        <v>22.0</v>
      </c>
      <c r="D2028" s="25">
        <v>21.0</v>
      </c>
      <c r="E2028" s="25">
        <v>3.0</v>
      </c>
      <c r="F2028" s="25">
        <v>5.0</v>
      </c>
      <c r="G2028" s="27" t="s">
        <v>25</v>
      </c>
    </row>
    <row r="2029" ht="22.5" customHeight="1">
      <c r="A2029" s="25">
        <v>2992.0</v>
      </c>
      <c r="B2029" s="26">
        <v>45549.0</v>
      </c>
      <c r="C2029" s="25">
        <v>311.0</v>
      </c>
      <c r="D2029" s="25">
        <v>30.0</v>
      </c>
      <c r="E2029" s="25">
        <v>2.0</v>
      </c>
      <c r="F2029" s="25">
        <v>4.0</v>
      </c>
      <c r="G2029" s="27" t="s">
        <v>24</v>
      </c>
    </row>
    <row r="2030" ht="22.5" customHeight="1">
      <c r="A2030" s="25">
        <v>522.0</v>
      </c>
      <c r="B2030" s="26">
        <v>45550.0</v>
      </c>
      <c r="C2030" s="25">
        <v>58.0</v>
      </c>
      <c r="D2030" s="25">
        <v>26.0</v>
      </c>
      <c r="E2030" s="25">
        <v>4.0</v>
      </c>
      <c r="F2030" s="25">
        <v>2.0</v>
      </c>
      <c r="G2030" s="27" t="s">
        <v>24</v>
      </c>
    </row>
    <row r="2031" ht="22.5" customHeight="1">
      <c r="A2031" s="25">
        <v>596.0</v>
      </c>
      <c r="B2031" s="26">
        <v>45550.0</v>
      </c>
      <c r="C2031" s="25">
        <v>169.0</v>
      </c>
      <c r="D2031" s="25">
        <v>1.0</v>
      </c>
      <c r="E2031" s="25">
        <v>5.0</v>
      </c>
      <c r="F2031" s="25">
        <v>5.0</v>
      </c>
      <c r="G2031" s="27" t="s">
        <v>24</v>
      </c>
    </row>
    <row r="2032" ht="22.5" customHeight="1">
      <c r="A2032" s="25">
        <v>634.0</v>
      </c>
      <c r="B2032" s="26">
        <v>45550.0</v>
      </c>
      <c r="C2032" s="25">
        <v>14.0</v>
      </c>
      <c r="D2032" s="25">
        <v>8.0</v>
      </c>
      <c r="E2032" s="25">
        <v>5.0</v>
      </c>
      <c r="F2032" s="25">
        <v>1.0</v>
      </c>
      <c r="G2032" s="27" t="s">
        <v>24</v>
      </c>
    </row>
    <row r="2033" ht="22.5" customHeight="1">
      <c r="A2033" s="25">
        <v>1183.0</v>
      </c>
      <c r="B2033" s="26">
        <v>45550.0</v>
      </c>
      <c r="C2033" s="25">
        <v>289.0</v>
      </c>
      <c r="D2033" s="25">
        <v>16.0</v>
      </c>
      <c r="E2033" s="25">
        <v>4.0</v>
      </c>
      <c r="F2033" s="25">
        <v>1.0</v>
      </c>
      <c r="G2033" s="27" t="s">
        <v>24</v>
      </c>
    </row>
    <row r="2034" ht="22.5" customHeight="1">
      <c r="A2034" s="25">
        <v>2798.0</v>
      </c>
      <c r="B2034" s="26">
        <v>45550.0</v>
      </c>
      <c r="C2034" s="25">
        <v>185.0</v>
      </c>
      <c r="D2034" s="25">
        <v>32.0</v>
      </c>
      <c r="E2034" s="25">
        <v>4.0</v>
      </c>
      <c r="F2034" s="25">
        <v>3.0</v>
      </c>
      <c r="G2034" s="27" t="s">
        <v>24</v>
      </c>
    </row>
    <row r="2035" ht="22.5" customHeight="1">
      <c r="A2035" s="25">
        <v>26.0</v>
      </c>
      <c r="B2035" s="26">
        <v>45551.0</v>
      </c>
      <c r="C2035" s="25">
        <v>286.0</v>
      </c>
      <c r="D2035" s="25">
        <v>23.0</v>
      </c>
      <c r="E2035" s="25">
        <v>2.0</v>
      </c>
      <c r="F2035" s="25">
        <v>5.0</v>
      </c>
      <c r="G2035" s="27" t="s">
        <v>24</v>
      </c>
    </row>
    <row r="2036" ht="22.5" customHeight="1">
      <c r="A2036" s="25">
        <v>561.0</v>
      </c>
      <c r="B2036" s="26">
        <v>45551.0</v>
      </c>
      <c r="C2036" s="25">
        <v>9.0</v>
      </c>
      <c r="D2036" s="25">
        <v>38.0</v>
      </c>
      <c r="E2036" s="25">
        <v>6.0</v>
      </c>
      <c r="F2036" s="25">
        <v>4.0</v>
      </c>
      <c r="G2036" s="27" t="s">
        <v>24</v>
      </c>
    </row>
    <row r="2037" ht="22.5" customHeight="1">
      <c r="A2037" s="25">
        <v>1230.0</v>
      </c>
      <c r="B2037" s="26">
        <v>45551.0</v>
      </c>
      <c r="C2037" s="25">
        <v>197.0</v>
      </c>
      <c r="D2037" s="25">
        <v>2.0</v>
      </c>
      <c r="E2037" s="25">
        <v>6.0</v>
      </c>
      <c r="F2037" s="25">
        <v>5.0</v>
      </c>
      <c r="G2037" s="27" t="s">
        <v>23</v>
      </c>
    </row>
    <row r="2038" ht="22.5" customHeight="1">
      <c r="A2038" s="25">
        <v>1484.0</v>
      </c>
      <c r="B2038" s="26">
        <v>45551.0</v>
      </c>
      <c r="C2038" s="25">
        <v>171.0</v>
      </c>
      <c r="D2038" s="25">
        <v>3.0</v>
      </c>
      <c r="E2038" s="25">
        <v>6.0</v>
      </c>
      <c r="F2038" s="25">
        <v>3.0</v>
      </c>
      <c r="G2038" s="27" t="s">
        <v>24</v>
      </c>
    </row>
    <row r="2039" ht="22.5" customHeight="1">
      <c r="A2039" s="25">
        <v>2286.0</v>
      </c>
      <c r="B2039" s="26">
        <v>45551.0</v>
      </c>
      <c r="C2039" s="25">
        <v>307.0</v>
      </c>
      <c r="D2039" s="25">
        <v>22.0</v>
      </c>
      <c r="E2039" s="25">
        <v>6.0</v>
      </c>
      <c r="F2039" s="25">
        <v>4.0</v>
      </c>
      <c r="G2039" s="27" t="s">
        <v>24</v>
      </c>
    </row>
    <row r="2040" ht="22.5" customHeight="1">
      <c r="A2040" s="25">
        <v>2667.0</v>
      </c>
      <c r="B2040" s="26">
        <v>45551.0</v>
      </c>
      <c r="C2040" s="25">
        <v>315.0</v>
      </c>
      <c r="D2040" s="25">
        <v>26.0</v>
      </c>
      <c r="E2040" s="25">
        <v>2.0</v>
      </c>
      <c r="F2040" s="25">
        <v>5.0</v>
      </c>
      <c r="G2040" s="27" t="s">
        <v>25</v>
      </c>
    </row>
    <row r="2041" ht="22.5" customHeight="1">
      <c r="A2041" s="25">
        <v>2941.0</v>
      </c>
      <c r="B2041" s="26">
        <v>45551.0</v>
      </c>
      <c r="C2041" s="25">
        <v>85.0</v>
      </c>
      <c r="D2041" s="25">
        <v>38.0</v>
      </c>
      <c r="E2041" s="25">
        <v>5.0</v>
      </c>
      <c r="F2041" s="25">
        <v>3.0</v>
      </c>
      <c r="G2041" s="27" t="s">
        <v>24</v>
      </c>
    </row>
    <row r="2042" ht="22.5" customHeight="1">
      <c r="A2042" s="25">
        <v>499.0</v>
      </c>
      <c r="B2042" s="26">
        <v>45552.0</v>
      </c>
      <c r="C2042" s="25">
        <v>197.0</v>
      </c>
      <c r="D2042" s="25">
        <v>2.0</v>
      </c>
      <c r="E2042" s="25">
        <v>1.0</v>
      </c>
      <c r="F2042" s="25">
        <v>1.0</v>
      </c>
      <c r="G2042" s="27" t="s">
        <v>24</v>
      </c>
    </row>
    <row r="2043" ht="22.5" customHeight="1">
      <c r="A2043" s="25">
        <v>576.0</v>
      </c>
      <c r="B2043" s="26">
        <v>45552.0</v>
      </c>
      <c r="C2043" s="25">
        <v>30.0</v>
      </c>
      <c r="D2043" s="25">
        <v>27.0</v>
      </c>
      <c r="E2043" s="25">
        <v>5.0</v>
      </c>
      <c r="F2043" s="25">
        <v>1.0</v>
      </c>
      <c r="G2043" s="27" t="s">
        <v>24</v>
      </c>
    </row>
    <row r="2044" ht="22.5" customHeight="1">
      <c r="A2044" s="25">
        <v>934.0</v>
      </c>
      <c r="B2044" s="26">
        <v>45552.0</v>
      </c>
      <c r="C2044" s="25">
        <v>213.0</v>
      </c>
      <c r="D2044" s="25">
        <v>26.0</v>
      </c>
      <c r="E2044" s="25">
        <v>5.0</v>
      </c>
      <c r="F2044" s="25">
        <v>4.0</v>
      </c>
      <c r="G2044" s="27" t="s">
        <v>24</v>
      </c>
    </row>
    <row r="2045" ht="22.5" customHeight="1">
      <c r="A2045" s="25">
        <v>1306.0</v>
      </c>
      <c r="B2045" s="26">
        <v>45552.0</v>
      </c>
      <c r="C2045" s="25">
        <v>168.0</v>
      </c>
      <c r="D2045" s="25">
        <v>23.0</v>
      </c>
      <c r="E2045" s="25">
        <v>2.0</v>
      </c>
      <c r="F2045" s="25">
        <v>5.0</v>
      </c>
      <c r="G2045" s="27" t="s">
        <v>24</v>
      </c>
    </row>
    <row r="2046" ht="22.5" customHeight="1">
      <c r="A2046" s="25">
        <v>1346.0</v>
      </c>
      <c r="B2046" s="26">
        <v>45552.0</v>
      </c>
      <c r="C2046" s="25">
        <v>278.0</v>
      </c>
      <c r="D2046" s="25">
        <v>3.0</v>
      </c>
      <c r="E2046" s="25">
        <v>5.0</v>
      </c>
      <c r="F2046" s="25">
        <v>1.0</v>
      </c>
      <c r="G2046" s="27" t="s">
        <v>24</v>
      </c>
    </row>
    <row r="2047" ht="22.5" customHeight="1">
      <c r="A2047" s="25">
        <v>2013.0</v>
      </c>
      <c r="B2047" s="26">
        <v>45552.0</v>
      </c>
      <c r="C2047" s="25">
        <v>84.0</v>
      </c>
      <c r="D2047" s="25">
        <v>2.0</v>
      </c>
      <c r="E2047" s="25">
        <v>3.0</v>
      </c>
      <c r="F2047" s="25">
        <v>3.0</v>
      </c>
      <c r="G2047" s="27" t="s">
        <v>24</v>
      </c>
    </row>
    <row r="2048" ht="22.5" customHeight="1">
      <c r="A2048" s="25">
        <v>2199.0</v>
      </c>
      <c r="B2048" s="26">
        <v>45552.0</v>
      </c>
      <c r="C2048" s="25">
        <v>325.0</v>
      </c>
      <c r="D2048" s="25">
        <v>13.0</v>
      </c>
      <c r="E2048" s="25">
        <v>4.0</v>
      </c>
      <c r="F2048" s="25">
        <v>3.0</v>
      </c>
      <c r="G2048" s="27" t="s">
        <v>24</v>
      </c>
    </row>
    <row r="2049" ht="22.5" customHeight="1">
      <c r="A2049" s="25">
        <v>2208.0</v>
      </c>
      <c r="B2049" s="26">
        <v>45552.0</v>
      </c>
      <c r="C2049" s="25">
        <v>324.0</v>
      </c>
      <c r="D2049" s="25">
        <v>17.0</v>
      </c>
      <c r="E2049" s="25">
        <v>5.0</v>
      </c>
      <c r="F2049" s="25">
        <v>5.0</v>
      </c>
      <c r="G2049" s="27" t="s">
        <v>24</v>
      </c>
    </row>
    <row r="2050" ht="22.5" customHeight="1">
      <c r="A2050" s="25">
        <v>2223.0</v>
      </c>
      <c r="B2050" s="26">
        <v>45552.0</v>
      </c>
      <c r="C2050" s="25">
        <v>219.0</v>
      </c>
      <c r="D2050" s="25">
        <v>6.0</v>
      </c>
      <c r="E2050" s="25">
        <v>5.0</v>
      </c>
      <c r="F2050" s="25">
        <v>1.0</v>
      </c>
      <c r="G2050" s="27" t="s">
        <v>24</v>
      </c>
    </row>
    <row r="2051" ht="22.5" customHeight="1">
      <c r="A2051" s="25">
        <v>2651.0</v>
      </c>
      <c r="B2051" s="26">
        <v>45552.0</v>
      </c>
      <c r="C2051" s="25">
        <v>272.0</v>
      </c>
      <c r="D2051" s="25">
        <v>21.0</v>
      </c>
      <c r="E2051" s="25">
        <v>4.0</v>
      </c>
      <c r="F2051" s="25">
        <v>5.0</v>
      </c>
      <c r="G2051" s="27" t="s">
        <v>24</v>
      </c>
    </row>
    <row r="2052" ht="22.5" customHeight="1">
      <c r="A2052" s="25">
        <v>71.0</v>
      </c>
      <c r="B2052" s="26">
        <v>45553.0</v>
      </c>
      <c r="C2052" s="25">
        <v>79.0</v>
      </c>
      <c r="D2052" s="25">
        <v>3.0</v>
      </c>
      <c r="E2052" s="25">
        <v>1.0</v>
      </c>
      <c r="F2052" s="25">
        <v>5.0</v>
      </c>
      <c r="G2052" s="27" t="s">
        <v>24</v>
      </c>
    </row>
    <row r="2053" ht="22.5" customHeight="1">
      <c r="A2053" s="25">
        <v>165.0</v>
      </c>
      <c r="B2053" s="26">
        <v>45553.0</v>
      </c>
      <c r="C2053" s="25">
        <v>173.0</v>
      </c>
      <c r="D2053" s="25">
        <v>8.0</v>
      </c>
      <c r="E2053" s="25">
        <v>3.0</v>
      </c>
      <c r="F2053" s="25">
        <v>4.0</v>
      </c>
      <c r="G2053" s="27" t="s">
        <v>24</v>
      </c>
    </row>
    <row r="2054" ht="22.5" customHeight="1">
      <c r="A2054" s="25">
        <v>304.0</v>
      </c>
      <c r="B2054" s="26">
        <v>45553.0</v>
      </c>
      <c r="C2054" s="25">
        <v>309.0</v>
      </c>
      <c r="D2054" s="25">
        <v>5.0</v>
      </c>
      <c r="E2054" s="25">
        <v>6.0</v>
      </c>
      <c r="F2054" s="25">
        <v>5.0</v>
      </c>
      <c r="G2054" s="27" t="s">
        <v>24</v>
      </c>
    </row>
    <row r="2055" ht="22.5" customHeight="1">
      <c r="A2055" s="25">
        <v>946.0</v>
      </c>
      <c r="B2055" s="26">
        <v>45553.0</v>
      </c>
      <c r="C2055" s="25">
        <v>313.0</v>
      </c>
      <c r="D2055" s="25">
        <v>34.0</v>
      </c>
      <c r="E2055" s="25">
        <v>4.0</v>
      </c>
      <c r="F2055" s="25">
        <v>4.0</v>
      </c>
      <c r="G2055" s="27" t="s">
        <v>24</v>
      </c>
    </row>
    <row r="2056" ht="22.5" customHeight="1">
      <c r="A2056" s="25">
        <v>1082.0</v>
      </c>
      <c r="B2056" s="26">
        <v>45553.0</v>
      </c>
      <c r="C2056" s="25">
        <v>282.0</v>
      </c>
      <c r="D2056" s="25">
        <v>33.0</v>
      </c>
      <c r="E2056" s="25">
        <v>6.0</v>
      </c>
      <c r="F2056" s="25">
        <v>4.0</v>
      </c>
      <c r="G2056" s="27" t="s">
        <v>24</v>
      </c>
    </row>
    <row r="2057" ht="22.5" customHeight="1">
      <c r="A2057" s="25">
        <v>1382.0</v>
      </c>
      <c r="B2057" s="26">
        <v>45553.0</v>
      </c>
      <c r="C2057" s="25">
        <v>318.0</v>
      </c>
      <c r="D2057" s="25">
        <v>23.0</v>
      </c>
      <c r="E2057" s="25">
        <v>2.0</v>
      </c>
      <c r="F2057" s="25">
        <v>1.0</v>
      </c>
      <c r="G2057" s="27" t="s">
        <v>25</v>
      </c>
    </row>
    <row r="2058" ht="22.5" customHeight="1">
      <c r="A2058" s="25">
        <v>1582.0</v>
      </c>
      <c r="B2058" s="26">
        <v>45553.0</v>
      </c>
      <c r="C2058" s="25">
        <v>245.0</v>
      </c>
      <c r="D2058" s="25">
        <v>16.0</v>
      </c>
      <c r="E2058" s="25">
        <v>1.0</v>
      </c>
      <c r="F2058" s="25">
        <v>2.0</v>
      </c>
      <c r="G2058" s="27" t="s">
        <v>24</v>
      </c>
    </row>
    <row r="2059" ht="22.5" customHeight="1">
      <c r="A2059" s="25">
        <v>1614.0</v>
      </c>
      <c r="B2059" s="26">
        <v>45553.0</v>
      </c>
      <c r="C2059" s="25">
        <v>60.0</v>
      </c>
      <c r="D2059" s="25">
        <v>37.0</v>
      </c>
      <c r="E2059" s="25">
        <v>1.0</v>
      </c>
      <c r="F2059" s="25">
        <v>1.0</v>
      </c>
      <c r="G2059" s="27" t="s">
        <v>24</v>
      </c>
    </row>
    <row r="2060" ht="22.5" customHeight="1">
      <c r="A2060" s="25">
        <v>1801.0</v>
      </c>
      <c r="B2060" s="26">
        <v>45553.0</v>
      </c>
      <c r="C2060" s="25">
        <v>46.0</v>
      </c>
      <c r="D2060" s="25">
        <v>33.0</v>
      </c>
      <c r="E2060" s="25">
        <v>1.0</v>
      </c>
      <c r="F2060" s="25">
        <v>5.0</v>
      </c>
      <c r="G2060" s="27" t="s">
        <v>25</v>
      </c>
    </row>
    <row r="2061" ht="22.5" customHeight="1">
      <c r="A2061" s="25">
        <v>1810.0</v>
      </c>
      <c r="B2061" s="26">
        <v>45553.0</v>
      </c>
      <c r="C2061" s="25">
        <v>72.0</v>
      </c>
      <c r="D2061" s="25">
        <v>35.0</v>
      </c>
      <c r="E2061" s="25">
        <v>4.0</v>
      </c>
      <c r="F2061" s="25">
        <v>5.0</v>
      </c>
      <c r="G2061" s="27" t="s">
        <v>24</v>
      </c>
    </row>
    <row r="2062" ht="22.5" customHeight="1">
      <c r="A2062" s="25">
        <v>2095.0</v>
      </c>
      <c r="B2062" s="26">
        <v>45553.0</v>
      </c>
      <c r="C2062" s="25">
        <v>36.0</v>
      </c>
      <c r="D2062" s="25">
        <v>36.0</v>
      </c>
      <c r="E2062" s="25">
        <v>6.0</v>
      </c>
      <c r="F2062" s="25">
        <v>2.0</v>
      </c>
      <c r="G2062" s="27" t="s">
        <v>24</v>
      </c>
    </row>
    <row r="2063" ht="22.5" customHeight="1">
      <c r="A2063" s="25">
        <v>2793.0</v>
      </c>
      <c r="B2063" s="26">
        <v>45553.0</v>
      </c>
      <c r="C2063" s="25">
        <v>205.0</v>
      </c>
      <c r="D2063" s="25">
        <v>16.0</v>
      </c>
      <c r="E2063" s="25">
        <v>2.0</v>
      </c>
      <c r="F2063" s="25">
        <v>5.0</v>
      </c>
      <c r="G2063" s="27" t="s">
        <v>25</v>
      </c>
    </row>
    <row r="2064" ht="22.5" customHeight="1">
      <c r="A2064" s="25">
        <v>186.0</v>
      </c>
      <c r="B2064" s="26">
        <v>45554.0</v>
      </c>
      <c r="C2064" s="25">
        <v>204.0</v>
      </c>
      <c r="D2064" s="25">
        <v>12.0</v>
      </c>
      <c r="E2064" s="25">
        <v>1.0</v>
      </c>
      <c r="F2064" s="25">
        <v>2.0</v>
      </c>
      <c r="G2064" s="27" t="s">
        <v>24</v>
      </c>
    </row>
    <row r="2065" ht="22.5" customHeight="1">
      <c r="A2065" s="25">
        <v>373.0</v>
      </c>
      <c r="B2065" s="26">
        <v>45554.0</v>
      </c>
      <c r="C2065" s="25">
        <v>41.0</v>
      </c>
      <c r="D2065" s="25">
        <v>26.0</v>
      </c>
      <c r="E2065" s="25">
        <v>3.0</v>
      </c>
      <c r="F2065" s="25">
        <v>4.0</v>
      </c>
      <c r="G2065" s="27" t="s">
        <v>24</v>
      </c>
    </row>
    <row r="2066" ht="22.5" customHeight="1">
      <c r="A2066" s="25">
        <v>892.0</v>
      </c>
      <c r="B2066" s="26">
        <v>45554.0</v>
      </c>
      <c r="C2066" s="25">
        <v>214.0</v>
      </c>
      <c r="D2066" s="25">
        <v>37.0</v>
      </c>
      <c r="E2066" s="25">
        <v>2.0</v>
      </c>
      <c r="F2066" s="25">
        <v>5.0</v>
      </c>
      <c r="G2066" s="27" t="s">
        <v>24</v>
      </c>
    </row>
    <row r="2067" ht="22.5" customHeight="1">
      <c r="A2067" s="25">
        <v>1089.0</v>
      </c>
      <c r="B2067" s="26">
        <v>45554.0</v>
      </c>
      <c r="C2067" s="25">
        <v>73.0</v>
      </c>
      <c r="D2067" s="25">
        <v>8.0</v>
      </c>
      <c r="E2067" s="25">
        <v>4.0</v>
      </c>
      <c r="F2067" s="25">
        <v>4.0</v>
      </c>
      <c r="G2067" s="27" t="s">
        <v>24</v>
      </c>
    </row>
    <row r="2068" ht="22.5" customHeight="1">
      <c r="A2068" s="25">
        <v>1289.0</v>
      </c>
      <c r="B2068" s="26">
        <v>45554.0</v>
      </c>
      <c r="C2068" s="25">
        <v>50.0</v>
      </c>
      <c r="D2068" s="25">
        <v>28.0</v>
      </c>
      <c r="E2068" s="25">
        <v>4.0</v>
      </c>
      <c r="F2068" s="25">
        <v>4.0</v>
      </c>
      <c r="G2068" s="27" t="s">
        <v>24</v>
      </c>
    </row>
    <row r="2069" ht="22.5" customHeight="1">
      <c r="A2069" s="25">
        <v>1366.0</v>
      </c>
      <c r="B2069" s="26">
        <v>45554.0</v>
      </c>
      <c r="C2069" s="25">
        <v>185.0</v>
      </c>
      <c r="D2069" s="25">
        <v>35.0</v>
      </c>
      <c r="E2069" s="25">
        <v>1.0</v>
      </c>
      <c r="F2069" s="25">
        <v>4.0</v>
      </c>
      <c r="G2069" s="27" t="s">
        <v>24</v>
      </c>
    </row>
    <row r="2070" ht="22.5" customHeight="1">
      <c r="A2070" s="25">
        <v>1599.0</v>
      </c>
      <c r="B2070" s="26">
        <v>45554.0</v>
      </c>
      <c r="C2070" s="25">
        <v>144.0</v>
      </c>
      <c r="D2070" s="25">
        <v>5.0</v>
      </c>
      <c r="E2070" s="25">
        <v>3.0</v>
      </c>
      <c r="F2070" s="25">
        <v>3.0</v>
      </c>
      <c r="G2070" s="27" t="s">
        <v>24</v>
      </c>
    </row>
    <row r="2071" ht="22.5" customHeight="1">
      <c r="A2071" s="25">
        <v>1963.0</v>
      </c>
      <c r="B2071" s="26">
        <v>45554.0</v>
      </c>
      <c r="C2071" s="25">
        <v>99.0</v>
      </c>
      <c r="D2071" s="25">
        <v>12.0</v>
      </c>
      <c r="E2071" s="25">
        <v>1.0</v>
      </c>
      <c r="F2071" s="25">
        <v>5.0</v>
      </c>
      <c r="G2071" s="27" t="s">
        <v>24</v>
      </c>
    </row>
    <row r="2072" ht="22.5" customHeight="1">
      <c r="A2072" s="25">
        <v>2988.0</v>
      </c>
      <c r="B2072" s="26">
        <v>45554.0</v>
      </c>
      <c r="C2072" s="25">
        <v>152.0</v>
      </c>
      <c r="D2072" s="25">
        <v>30.0</v>
      </c>
      <c r="E2072" s="25">
        <v>2.0</v>
      </c>
      <c r="F2072" s="25">
        <v>1.0</v>
      </c>
      <c r="G2072" s="27" t="s">
        <v>24</v>
      </c>
    </row>
    <row r="2073" ht="22.5" customHeight="1">
      <c r="A2073" s="25">
        <v>832.0</v>
      </c>
      <c r="B2073" s="26">
        <v>45555.0</v>
      </c>
      <c r="C2073" s="25">
        <v>100.0</v>
      </c>
      <c r="D2073" s="25">
        <v>21.0</v>
      </c>
      <c r="E2073" s="25">
        <v>6.0</v>
      </c>
      <c r="F2073" s="25">
        <v>3.0</v>
      </c>
      <c r="G2073" s="27" t="s">
        <v>24</v>
      </c>
    </row>
    <row r="2074" ht="22.5" customHeight="1">
      <c r="A2074" s="25">
        <v>899.0</v>
      </c>
      <c r="B2074" s="26">
        <v>45555.0</v>
      </c>
      <c r="C2074" s="25">
        <v>32.0</v>
      </c>
      <c r="D2074" s="25">
        <v>27.0</v>
      </c>
      <c r="E2074" s="25">
        <v>6.0</v>
      </c>
      <c r="F2074" s="25">
        <v>2.0</v>
      </c>
      <c r="G2074" s="27" t="s">
        <v>24</v>
      </c>
    </row>
    <row r="2075" ht="22.5" customHeight="1">
      <c r="A2075" s="25">
        <v>1477.0</v>
      </c>
      <c r="B2075" s="26">
        <v>45555.0</v>
      </c>
      <c r="C2075" s="25">
        <v>170.0</v>
      </c>
      <c r="D2075" s="25">
        <v>7.0</v>
      </c>
      <c r="E2075" s="25">
        <v>4.0</v>
      </c>
      <c r="F2075" s="25">
        <v>2.0</v>
      </c>
      <c r="G2075" s="27" t="s">
        <v>24</v>
      </c>
    </row>
    <row r="2076" ht="22.5" customHeight="1">
      <c r="A2076" s="25">
        <v>1495.0</v>
      </c>
      <c r="B2076" s="26">
        <v>45555.0</v>
      </c>
      <c r="C2076" s="25">
        <v>142.0</v>
      </c>
      <c r="D2076" s="25">
        <v>18.0</v>
      </c>
      <c r="E2076" s="25">
        <v>2.0</v>
      </c>
      <c r="F2076" s="25">
        <v>3.0</v>
      </c>
      <c r="G2076" s="27" t="s">
        <v>24</v>
      </c>
    </row>
    <row r="2077" ht="22.5" customHeight="1">
      <c r="A2077" s="25">
        <v>1929.0</v>
      </c>
      <c r="B2077" s="26">
        <v>45555.0</v>
      </c>
      <c r="C2077" s="25">
        <v>252.0</v>
      </c>
      <c r="D2077" s="25">
        <v>31.0</v>
      </c>
      <c r="E2077" s="25">
        <v>5.0</v>
      </c>
      <c r="F2077" s="25">
        <v>3.0</v>
      </c>
      <c r="G2077" s="27" t="s">
        <v>24</v>
      </c>
    </row>
    <row r="2078" ht="22.5" customHeight="1">
      <c r="A2078" s="25">
        <v>2508.0</v>
      </c>
      <c r="B2078" s="26">
        <v>45555.0</v>
      </c>
      <c r="C2078" s="25">
        <v>225.0</v>
      </c>
      <c r="D2078" s="25">
        <v>31.0</v>
      </c>
      <c r="E2078" s="25">
        <v>2.0</v>
      </c>
      <c r="F2078" s="25">
        <v>5.0</v>
      </c>
      <c r="G2078" s="27" t="s">
        <v>24</v>
      </c>
    </row>
    <row r="2079" ht="22.5" customHeight="1">
      <c r="A2079" s="25">
        <v>2895.0</v>
      </c>
      <c r="B2079" s="26">
        <v>45555.0</v>
      </c>
      <c r="C2079" s="25">
        <v>41.0</v>
      </c>
      <c r="D2079" s="25">
        <v>13.0</v>
      </c>
      <c r="E2079" s="25">
        <v>1.0</v>
      </c>
      <c r="F2079" s="25">
        <v>5.0</v>
      </c>
      <c r="G2079" s="27" t="s">
        <v>24</v>
      </c>
    </row>
    <row r="2080" ht="22.5" customHeight="1">
      <c r="A2080" s="25">
        <v>552.0</v>
      </c>
      <c r="B2080" s="26">
        <v>45556.0</v>
      </c>
      <c r="C2080" s="25">
        <v>286.0</v>
      </c>
      <c r="D2080" s="25">
        <v>17.0</v>
      </c>
      <c r="E2080" s="25">
        <v>1.0</v>
      </c>
      <c r="F2080" s="25">
        <v>4.0</v>
      </c>
      <c r="G2080" s="27" t="s">
        <v>24</v>
      </c>
    </row>
    <row r="2081" ht="22.5" customHeight="1">
      <c r="A2081" s="25">
        <v>720.0</v>
      </c>
      <c r="B2081" s="26">
        <v>45556.0</v>
      </c>
      <c r="C2081" s="25">
        <v>180.0</v>
      </c>
      <c r="D2081" s="25">
        <v>10.0</v>
      </c>
      <c r="E2081" s="25">
        <v>3.0</v>
      </c>
      <c r="F2081" s="25">
        <v>3.0</v>
      </c>
      <c r="G2081" s="27" t="s">
        <v>24</v>
      </c>
    </row>
    <row r="2082" ht="22.5" customHeight="1">
      <c r="A2082" s="25">
        <v>1197.0</v>
      </c>
      <c r="B2082" s="26">
        <v>45556.0</v>
      </c>
      <c r="C2082" s="25">
        <v>323.0</v>
      </c>
      <c r="D2082" s="25">
        <v>2.0</v>
      </c>
      <c r="E2082" s="25">
        <v>3.0</v>
      </c>
      <c r="F2082" s="25">
        <v>4.0</v>
      </c>
      <c r="G2082" s="27" t="s">
        <v>24</v>
      </c>
    </row>
    <row r="2083" ht="22.5" customHeight="1">
      <c r="A2083" s="25">
        <v>1259.0</v>
      </c>
      <c r="B2083" s="26">
        <v>45556.0</v>
      </c>
      <c r="C2083" s="25">
        <v>307.0</v>
      </c>
      <c r="D2083" s="25">
        <v>2.0</v>
      </c>
      <c r="E2083" s="25">
        <v>6.0</v>
      </c>
      <c r="F2083" s="25">
        <v>2.0</v>
      </c>
      <c r="G2083" s="27" t="s">
        <v>24</v>
      </c>
    </row>
    <row r="2084" ht="22.5" customHeight="1">
      <c r="A2084" s="25">
        <v>1265.0</v>
      </c>
      <c r="B2084" s="26">
        <v>45556.0</v>
      </c>
      <c r="C2084" s="25">
        <v>94.0</v>
      </c>
      <c r="D2084" s="25">
        <v>6.0</v>
      </c>
      <c r="E2084" s="25">
        <v>2.0</v>
      </c>
      <c r="F2084" s="25">
        <v>3.0</v>
      </c>
      <c r="G2084" s="27" t="s">
        <v>24</v>
      </c>
    </row>
    <row r="2085" ht="22.5" customHeight="1">
      <c r="A2085" s="25">
        <v>1302.0</v>
      </c>
      <c r="B2085" s="26">
        <v>45556.0</v>
      </c>
      <c r="C2085" s="25">
        <v>241.0</v>
      </c>
      <c r="D2085" s="25">
        <v>34.0</v>
      </c>
      <c r="E2085" s="25">
        <v>3.0</v>
      </c>
      <c r="F2085" s="25">
        <v>1.0</v>
      </c>
      <c r="G2085" s="27" t="s">
        <v>24</v>
      </c>
    </row>
    <row r="2086" ht="22.5" customHeight="1">
      <c r="A2086" s="25">
        <v>1712.0</v>
      </c>
      <c r="B2086" s="26">
        <v>45556.0</v>
      </c>
      <c r="C2086" s="25">
        <v>92.0</v>
      </c>
      <c r="D2086" s="25">
        <v>11.0</v>
      </c>
      <c r="E2086" s="25">
        <v>6.0</v>
      </c>
      <c r="F2086" s="25">
        <v>1.0</v>
      </c>
      <c r="G2086" s="27" t="s">
        <v>24</v>
      </c>
    </row>
    <row r="2087" ht="22.5" customHeight="1">
      <c r="A2087" s="25">
        <v>1909.0</v>
      </c>
      <c r="B2087" s="26">
        <v>45556.0</v>
      </c>
      <c r="C2087" s="25">
        <v>272.0</v>
      </c>
      <c r="D2087" s="25">
        <v>17.0</v>
      </c>
      <c r="E2087" s="25">
        <v>6.0</v>
      </c>
      <c r="F2087" s="25">
        <v>5.0</v>
      </c>
      <c r="G2087" s="27" t="s">
        <v>25</v>
      </c>
    </row>
    <row r="2088" ht="22.5" customHeight="1">
      <c r="A2088" s="25">
        <v>2069.0</v>
      </c>
      <c r="B2088" s="26">
        <v>45556.0</v>
      </c>
      <c r="C2088" s="25">
        <v>243.0</v>
      </c>
      <c r="D2088" s="25">
        <v>37.0</v>
      </c>
      <c r="E2088" s="25">
        <v>5.0</v>
      </c>
      <c r="F2088" s="25">
        <v>4.0</v>
      </c>
      <c r="G2088" s="27" t="s">
        <v>24</v>
      </c>
    </row>
    <row r="2089" ht="22.5" customHeight="1">
      <c r="A2089" s="25">
        <v>2406.0</v>
      </c>
      <c r="B2089" s="26">
        <v>45556.0</v>
      </c>
      <c r="C2089" s="25">
        <v>152.0</v>
      </c>
      <c r="D2089" s="25">
        <v>6.0</v>
      </c>
      <c r="E2089" s="25">
        <v>1.0</v>
      </c>
      <c r="F2089" s="25">
        <v>4.0</v>
      </c>
      <c r="G2089" s="27" t="s">
        <v>24</v>
      </c>
    </row>
    <row r="2090" ht="22.5" customHeight="1">
      <c r="A2090" s="25">
        <v>2647.0</v>
      </c>
      <c r="B2090" s="26">
        <v>45556.0</v>
      </c>
      <c r="C2090" s="25">
        <v>83.0</v>
      </c>
      <c r="D2090" s="25">
        <v>23.0</v>
      </c>
      <c r="E2090" s="25">
        <v>6.0</v>
      </c>
      <c r="F2090" s="25">
        <v>5.0</v>
      </c>
      <c r="G2090" s="27" t="s">
        <v>24</v>
      </c>
    </row>
    <row r="2091" ht="22.5" customHeight="1">
      <c r="A2091" s="25">
        <v>2673.0</v>
      </c>
      <c r="B2091" s="26">
        <v>45556.0</v>
      </c>
      <c r="C2091" s="25">
        <v>44.0</v>
      </c>
      <c r="D2091" s="25">
        <v>33.0</v>
      </c>
      <c r="E2091" s="25">
        <v>2.0</v>
      </c>
      <c r="F2091" s="25">
        <v>2.0</v>
      </c>
      <c r="G2091" s="27" t="s">
        <v>24</v>
      </c>
    </row>
    <row r="2092" ht="22.5" customHeight="1">
      <c r="A2092" s="25">
        <v>2738.0</v>
      </c>
      <c r="B2092" s="26">
        <v>45556.0</v>
      </c>
      <c r="C2092" s="25">
        <v>70.0</v>
      </c>
      <c r="D2092" s="25">
        <v>37.0</v>
      </c>
      <c r="E2092" s="25">
        <v>3.0</v>
      </c>
      <c r="F2092" s="25">
        <v>3.0</v>
      </c>
      <c r="G2092" s="27" t="s">
        <v>24</v>
      </c>
    </row>
    <row r="2093" ht="22.5" customHeight="1">
      <c r="A2093" s="25">
        <v>2972.0</v>
      </c>
      <c r="B2093" s="26">
        <v>45556.0</v>
      </c>
      <c r="C2093" s="25">
        <v>74.0</v>
      </c>
      <c r="D2093" s="25">
        <v>32.0</v>
      </c>
      <c r="E2093" s="25">
        <v>3.0</v>
      </c>
      <c r="F2093" s="25">
        <v>1.0</v>
      </c>
      <c r="G2093" s="27" t="s">
        <v>24</v>
      </c>
    </row>
    <row r="2094" ht="22.5" customHeight="1">
      <c r="A2094" s="25">
        <v>292.0</v>
      </c>
      <c r="B2094" s="26">
        <v>45557.0</v>
      </c>
      <c r="C2094" s="25">
        <v>221.0</v>
      </c>
      <c r="D2094" s="25">
        <v>26.0</v>
      </c>
      <c r="E2094" s="25">
        <v>6.0</v>
      </c>
      <c r="F2094" s="25">
        <v>4.0</v>
      </c>
      <c r="G2094" s="27" t="s">
        <v>24</v>
      </c>
    </row>
    <row r="2095" ht="22.5" customHeight="1">
      <c r="A2095" s="25">
        <v>654.0</v>
      </c>
      <c r="B2095" s="26">
        <v>45557.0</v>
      </c>
      <c r="C2095" s="25">
        <v>174.0</v>
      </c>
      <c r="D2095" s="25">
        <v>30.0</v>
      </c>
      <c r="E2095" s="25">
        <v>6.0</v>
      </c>
      <c r="F2095" s="25">
        <v>1.0</v>
      </c>
      <c r="G2095" s="27" t="s">
        <v>24</v>
      </c>
    </row>
    <row r="2096" ht="22.5" customHeight="1">
      <c r="A2096" s="25">
        <v>855.0</v>
      </c>
      <c r="B2096" s="26">
        <v>45557.0</v>
      </c>
      <c r="C2096" s="25">
        <v>35.0</v>
      </c>
      <c r="D2096" s="25">
        <v>8.0</v>
      </c>
      <c r="E2096" s="25">
        <v>2.0</v>
      </c>
      <c r="F2096" s="25">
        <v>3.0</v>
      </c>
      <c r="G2096" s="27" t="s">
        <v>24</v>
      </c>
    </row>
    <row r="2097" ht="22.5" customHeight="1">
      <c r="A2097" s="25">
        <v>1144.0</v>
      </c>
      <c r="B2097" s="26">
        <v>45557.0</v>
      </c>
      <c r="C2097" s="25">
        <v>106.0</v>
      </c>
      <c r="D2097" s="25">
        <v>21.0</v>
      </c>
      <c r="E2097" s="25">
        <v>1.0</v>
      </c>
      <c r="F2097" s="25">
        <v>4.0</v>
      </c>
      <c r="G2097" s="27" t="s">
        <v>24</v>
      </c>
    </row>
    <row r="2098" ht="22.5" customHeight="1">
      <c r="A2098" s="25">
        <v>1172.0</v>
      </c>
      <c r="B2098" s="26">
        <v>45557.0</v>
      </c>
      <c r="C2098" s="25">
        <v>164.0</v>
      </c>
      <c r="D2098" s="25">
        <v>13.0</v>
      </c>
      <c r="E2098" s="25">
        <v>1.0</v>
      </c>
      <c r="F2098" s="25">
        <v>5.0</v>
      </c>
      <c r="G2098" s="27" t="s">
        <v>24</v>
      </c>
    </row>
    <row r="2099" ht="22.5" customHeight="1">
      <c r="A2099" s="25">
        <v>1373.0</v>
      </c>
      <c r="B2099" s="26">
        <v>45557.0</v>
      </c>
      <c r="C2099" s="25">
        <v>192.0</v>
      </c>
      <c r="D2099" s="25">
        <v>11.0</v>
      </c>
      <c r="E2099" s="25">
        <v>1.0</v>
      </c>
      <c r="F2099" s="25">
        <v>5.0</v>
      </c>
      <c r="G2099" s="27" t="s">
        <v>24</v>
      </c>
    </row>
    <row r="2100" ht="22.5" customHeight="1">
      <c r="A2100" s="25">
        <v>2365.0</v>
      </c>
      <c r="B2100" s="26">
        <v>45557.0</v>
      </c>
      <c r="C2100" s="25">
        <v>95.0</v>
      </c>
      <c r="D2100" s="25">
        <v>37.0</v>
      </c>
      <c r="E2100" s="25">
        <v>3.0</v>
      </c>
      <c r="F2100" s="25">
        <v>4.0</v>
      </c>
      <c r="G2100" s="27" t="s">
        <v>24</v>
      </c>
    </row>
    <row r="2101" ht="22.5" customHeight="1">
      <c r="A2101" s="25">
        <v>2457.0</v>
      </c>
      <c r="B2101" s="26">
        <v>45557.0</v>
      </c>
      <c r="C2101" s="25">
        <v>234.0</v>
      </c>
      <c r="D2101" s="25">
        <v>3.0</v>
      </c>
      <c r="E2101" s="25">
        <v>3.0</v>
      </c>
      <c r="F2101" s="25">
        <v>4.0</v>
      </c>
      <c r="G2101" s="27" t="s">
        <v>24</v>
      </c>
    </row>
    <row r="2102" ht="22.5" customHeight="1">
      <c r="A2102" s="25">
        <v>2774.0</v>
      </c>
      <c r="B2102" s="26">
        <v>45557.0</v>
      </c>
      <c r="C2102" s="25">
        <v>31.0</v>
      </c>
      <c r="D2102" s="25">
        <v>6.0</v>
      </c>
      <c r="E2102" s="25">
        <v>2.0</v>
      </c>
      <c r="F2102" s="25">
        <v>5.0</v>
      </c>
      <c r="G2102" s="27" t="s">
        <v>25</v>
      </c>
    </row>
    <row r="2103" ht="22.5" customHeight="1">
      <c r="A2103" s="25">
        <v>2783.0</v>
      </c>
      <c r="B2103" s="26">
        <v>45557.0</v>
      </c>
      <c r="C2103" s="25">
        <v>61.0</v>
      </c>
      <c r="D2103" s="25">
        <v>10.0</v>
      </c>
      <c r="E2103" s="25">
        <v>5.0</v>
      </c>
      <c r="F2103" s="25">
        <v>1.0</v>
      </c>
      <c r="G2103" s="27" t="s">
        <v>24</v>
      </c>
    </row>
    <row r="2104" ht="22.5" customHeight="1">
      <c r="A2104" s="25">
        <v>2968.0</v>
      </c>
      <c r="B2104" s="26">
        <v>45557.0</v>
      </c>
      <c r="C2104" s="25">
        <v>245.0</v>
      </c>
      <c r="D2104" s="25">
        <v>29.0</v>
      </c>
      <c r="E2104" s="25">
        <v>2.0</v>
      </c>
      <c r="F2104" s="25">
        <v>1.0</v>
      </c>
      <c r="G2104" s="27" t="s">
        <v>24</v>
      </c>
    </row>
    <row r="2105" ht="22.5" customHeight="1">
      <c r="A2105" s="25">
        <v>156.0</v>
      </c>
      <c r="B2105" s="26">
        <v>45558.0</v>
      </c>
      <c r="C2105" s="25">
        <v>145.0</v>
      </c>
      <c r="D2105" s="25">
        <v>4.0</v>
      </c>
      <c r="E2105" s="25">
        <v>6.0</v>
      </c>
      <c r="F2105" s="25">
        <v>3.0</v>
      </c>
      <c r="G2105" s="27" t="s">
        <v>24</v>
      </c>
    </row>
    <row r="2106" ht="22.5" customHeight="1">
      <c r="A2106" s="25">
        <v>463.0</v>
      </c>
      <c r="B2106" s="26">
        <v>45558.0</v>
      </c>
      <c r="C2106" s="25">
        <v>280.0</v>
      </c>
      <c r="D2106" s="25">
        <v>32.0</v>
      </c>
      <c r="E2106" s="25">
        <v>4.0</v>
      </c>
      <c r="F2106" s="25">
        <v>2.0</v>
      </c>
      <c r="G2106" s="27" t="s">
        <v>24</v>
      </c>
    </row>
    <row r="2107" ht="22.5" customHeight="1">
      <c r="A2107" s="25">
        <v>470.0</v>
      </c>
      <c r="B2107" s="26">
        <v>45558.0</v>
      </c>
      <c r="C2107" s="25">
        <v>62.0</v>
      </c>
      <c r="D2107" s="25">
        <v>12.0</v>
      </c>
      <c r="E2107" s="25">
        <v>4.0</v>
      </c>
      <c r="F2107" s="25">
        <v>3.0</v>
      </c>
      <c r="G2107" s="27" t="s">
        <v>25</v>
      </c>
    </row>
    <row r="2108" ht="22.5" customHeight="1">
      <c r="A2108" s="25">
        <v>534.0</v>
      </c>
      <c r="B2108" s="26">
        <v>45558.0</v>
      </c>
      <c r="C2108" s="25">
        <v>56.0</v>
      </c>
      <c r="D2108" s="25">
        <v>1.0</v>
      </c>
      <c r="E2108" s="25">
        <v>5.0</v>
      </c>
      <c r="F2108" s="25">
        <v>1.0</v>
      </c>
      <c r="G2108" s="27" t="s">
        <v>24</v>
      </c>
    </row>
    <row r="2109" ht="22.5" customHeight="1">
      <c r="A2109" s="25">
        <v>568.0</v>
      </c>
      <c r="B2109" s="26">
        <v>45558.0</v>
      </c>
      <c r="C2109" s="25">
        <v>230.0</v>
      </c>
      <c r="D2109" s="25">
        <v>31.0</v>
      </c>
      <c r="E2109" s="25">
        <v>3.0</v>
      </c>
      <c r="F2109" s="25">
        <v>1.0</v>
      </c>
      <c r="G2109" s="27" t="s">
        <v>24</v>
      </c>
    </row>
    <row r="2110" ht="22.5" customHeight="1">
      <c r="A2110" s="25">
        <v>1180.0</v>
      </c>
      <c r="B2110" s="26">
        <v>45558.0</v>
      </c>
      <c r="C2110" s="25">
        <v>256.0</v>
      </c>
      <c r="D2110" s="25">
        <v>10.0</v>
      </c>
      <c r="E2110" s="25">
        <v>1.0</v>
      </c>
      <c r="F2110" s="25">
        <v>5.0</v>
      </c>
      <c r="G2110" s="27" t="s">
        <v>25</v>
      </c>
    </row>
    <row r="2111" ht="22.5" customHeight="1">
      <c r="A2111" s="25">
        <v>1340.0</v>
      </c>
      <c r="B2111" s="26">
        <v>45558.0</v>
      </c>
      <c r="C2111" s="25">
        <v>8.0</v>
      </c>
      <c r="D2111" s="25">
        <v>3.0</v>
      </c>
      <c r="E2111" s="25">
        <v>3.0</v>
      </c>
      <c r="F2111" s="25">
        <v>5.0</v>
      </c>
      <c r="G2111" s="27" t="s">
        <v>24</v>
      </c>
    </row>
    <row r="2112" ht="22.5" customHeight="1">
      <c r="A2112" s="25">
        <v>2620.0</v>
      </c>
      <c r="B2112" s="26">
        <v>45558.0</v>
      </c>
      <c r="C2112" s="25">
        <v>29.0</v>
      </c>
      <c r="D2112" s="25">
        <v>22.0</v>
      </c>
      <c r="E2112" s="25">
        <v>2.0</v>
      </c>
      <c r="F2112" s="25">
        <v>5.0</v>
      </c>
      <c r="G2112" s="27" t="s">
        <v>24</v>
      </c>
    </row>
    <row r="2113" ht="22.5" customHeight="1">
      <c r="A2113" s="25">
        <v>25.0</v>
      </c>
      <c r="B2113" s="26">
        <v>45559.0</v>
      </c>
      <c r="C2113" s="25">
        <v>275.0</v>
      </c>
      <c r="D2113" s="25">
        <v>34.0</v>
      </c>
      <c r="E2113" s="25">
        <v>3.0</v>
      </c>
      <c r="F2113" s="25">
        <v>3.0</v>
      </c>
      <c r="G2113" s="27" t="s">
        <v>24</v>
      </c>
    </row>
    <row r="2114" ht="22.5" customHeight="1">
      <c r="A2114" s="25">
        <v>368.0</v>
      </c>
      <c r="B2114" s="26">
        <v>45559.0</v>
      </c>
      <c r="C2114" s="25">
        <v>276.0</v>
      </c>
      <c r="D2114" s="25">
        <v>32.0</v>
      </c>
      <c r="E2114" s="25">
        <v>2.0</v>
      </c>
      <c r="F2114" s="25">
        <v>3.0</v>
      </c>
      <c r="G2114" s="27" t="s">
        <v>25</v>
      </c>
    </row>
    <row r="2115" ht="22.5" customHeight="1">
      <c r="A2115" s="25">
        <v>462.0</v>
      </c>
      <c r="B2115" s="26">
        <v>45559.0</v>
      </c>
      <c r="C2115" s="25">
        <v>100.0</v>
      </c>
      <c r="D2115" s="25">
        <v>32.0</v>
      </c>
      <c r="E2115" s="25">
        <v>5.0</v>
      </c>
      <c r="F2115" s="25">
        <v>4.0</v>
      </c>
      <c r="G2115" s="27" t="s">
        <v>24</v>
      </c>
    </row>
    <row r="2116" ht="22.5" customHeight="1">
      <c r="A2116" s="25">
        <v>637.0</v>
      </c>
      <c r="B2116" s="26">
        <v>45559.0</v>
      </c>
      <c r="C2116" s="25">
        <v>176.0</v>
      </c>
      <c r="D2116" s="25">
        <v>33.0</v>
      </c>
      <c r="E2116" s="25">
        <v>6.0</v>
      </c>
      <c r="F2116" s="25">
        <v>5.0</v>
      </c>
      <c r="G2116" s="27" t="s">
        <v>24</v>
      </c>
    </row>
    <row r="2117" ht="22.5" customHeight="1">
      <c r="A2117" s="25">
        <v>1402.0</v>
      </c>
      <c r="B2117" s="26">
        <v>45559.0</v>
      </c>
      <c r="C2117" s="25">
        <v>31.0</v>
      </c>
      <c r="D2117" s="25">
        <v>35.0</v>
      </c>
      <c r="E2117" s="25">
        <v>1.0</v>
      </c>
      <c r="F2117" s="25">
        <v>4.0</v>
      </c>
      <c r="G2117" s="27" t="s">
        <v>24</v>
      </c>
    </row>
    <row r="2118" ht="22.5" customHeight="1">
      <c r="A2118" s="25">
        <v>2377.0</v>
      </c>
      <c r="B2118" s="26">
        <v>45559.0</v>
      </c>
      <c r="C2118" s="25">
        <v>224.0</v>
      </c>
      <c r="D2118" s="25">
        <v>26.0</v>
      </c>
      <c r="E2118" s="25">
        <v>5.0</v>
      </c>
      <c r="F2118" s="25">
        <v>4.0</v>
      </c>
      <c r="G2118" s="27" t="s">
        <v>24</v>
      </c>
    </row>
    <row r="2119" ht="22.5" customHeight="1">
      <c r="A2119" s="25">
        <v>2735.0</v>
      </c>
      <c r="B2119" s="26">
        <v>45559.0</v>
      </c>
      <c r="C2119" s="25">
        <v>3.0</v>
      </c>
      <c r="D2119" s="25">
        <v>36.0</v>
      </c>
      <c r="E2119" s="25">
        <v>2.0</v>
      </c>
      <c r="F2119" s="25">
        <v>4.0</v>
      </c>
      <c r="G2119" s="27" t="s">
        <v>25</v>
      </c>
    </row>
    <row r="2120" ht="22.5" customHeight="1">
      <c r="A2120" s="25">
        <v>273.0</v>
      </c>
      <c r="B2120" s="26">
        <v>45560.0</v>
      </c>
      <c r="C2120" s="25">
        <v>130.0</v>
      </c>
      <c r="D2120" s="25">
        <v>4.0</v>
      </c>
      <c r="E2120" s="25">
        <v>4.0</v>
      </c>
      <c r="F2120" s="25">
        <v>5.0</v>
      </c>
      <c r="G2120" s="27" t="s">
        <v>24</v>
      </c>
    </row>
    <row r="2121" ht="22.5" customHeight="1">
      <c r="A2121" s="25">
        <v>478.0</v>
      </c>
      <c r="B2121" s="26">
        <v>45560.0</v>
      </c>
      <c r="C2121" s="25">
        <v>108.0</v>
      </c>
      <c r="D2121" s="25">
        <v>31.0</v>
      </c>
      <c r="E2121" s="25">
        <v>1.0</v>
      </c>
      <c r="F2121" s="25">
        <v>4.0</v>
      </c>
      <c r="G2121" s="27" t="s">
        <v>24</v>
      </c>
    </row>
    <row r="2122" ht="22.5" customHeight="1">
      <c r="A2122" s="25">
        <v>635.0</v>
      </c>
      <c r="B2122" s="26">
        <v>45560.0</v>
      </c>
      <c r="C2122" s="25">
        <v>261.0</v>
      </c>
      <c r="D2122" s="25">
        <v>5.0</v>
      </c>
      <c r="E2122" s="25">
        <v>2.0</v>
      </c>
      <c r="F2122" s="25">
        <v>1.0</v>
      </c>
      <c r="G2122" s="27" t="s">
        <v>24</v>
      </c>
    </row>
    <row r="2123" ht="22.5" customHeight="1">
      <c r="A2123" s="25">
        <v>805.0</v>
      </c>
      <c r="B2123" s="26">
        <v>45560.0</v>
      </c>
      <c r="C2123" s="25">
        <v>270.0</v>
      </c>
      <c r="D2123" s="25">
        <v>26.0</v>
      </c>
      <c r="E2123" s="25">
        <v>2.0</v>
      </c>
      <c r="F2123" s="25">
        <v>3.0</v>
      </c>
      <c r="G2123" s="27" t="s">
        <v>24</v>
      </c>
    </row>
    <row r="2124" ht="22.5" customHeight="1">
      <c r="A2124" s="25">
        <v>878.0</v>
      </c>
      <c r="B2124" s="26">
        <v>45560.0</v>
      </c>
      <c r="C2124" s="25">
        <v>153.0</v>
      </c>
      <c r="D2124" s="25">
        <v>26.0</v>
      </c>
      <c r="E2124" s="25">
        <v>2.0</v>
      </c>
      <c r="F2124" s="25">
        <v>1.0</v>
      </c>
      <c r="G2124" s="27" t="s">
        <v>24</v>
      </c>
    </row>
    <row r="2125" ht="22.5" customHeight="1">
      <c r="A2125" s="25">
        <v>1072.0</v>
      </c>
      <c r="B2125" s="26">
        <v>45560.0</v>
      </c>
      <c r="C2125" s="25">
        <v>155.0</v>
      </c>
      <c r="D2125" s="25">
        <v>28.0</v>
      </c>
      <c r="E2125" s="25">
        <v>2.0</v>
      </c>
      <c r="F2125" s="25">
        <v>4.0</v>
      </c>
      <c r="G2125" s="27" t="s">
        <v>24</v>
      </c>
    </row>
    <row r="2126" ht="22.5" customHeight="1">
      <c r="A2126" s="25">
        <v>1204.0</v>
      </c>
      <c r="B2126" s="26">
        <v>45560.0</v>
      </c>
      <c r="C2126" s="25">
        <v>280.0</v>
      </c>
      <c r="D2126" s="25">
        <v>33.0</v>
      </c>
      <c r="E2126" s="25">
        <v>1.0</v>
      </c>
      <c r="F2126" s="25">
        <v>4.0</v>
      </c>
      <c r="G2126" s="27" t="s">
        <v>24</v>
      </c>
    </row>
    <row r="2127" ht="22.5" customHeight="1">
      <c r="A2127" s="25">
        <v>1555.0</v>
      </c>
      <c r="B2127" s="26">
        <v>45560.0</v>
      </c>
      <c r="C2127" s="25">
        <v>9.0</v>
      </c>
      <c r="D2127" s="25">
        <v>25.0</v>
      </c>
      <c r="E2127" s="25">
        <v>2.0</v>
      </c>
      <c r="F2127" s="25">
        <v>2.0</v>
      </c>
      <c r="G2127" s="27" t="s">
        <v>24</v>
      </c>
    </row>
    <row r="2128" ht="22.5" customHeight="1">
      <c r="A2128" s="25">
        <v>1949.0</v>
      </c>
      <c r="B2128" s="26">
        <v>45560.0</v>
      </c>
      <c r="C2128" s="25">
        <v>223.0</v>
      </c>
      <c r="D2128" s="25">
        <v>1.0</v>
      </c>
      <c r="E2128" s="25">
        <v>3.0</v>
      </c>
      <c r="F2128" s="25">
        <v>1.0</v>
      </c>
      <c r="G2128" s="27" t="s">
        <v>24</v>
      </c>
    </row>
    <row r="2129" ht="22.5" customHeight="1">
      <c r="A2129" s="25">
        <v>1992.0</v>
      </c>
      <c r="B2129" s="26">
        <v>45560.0</v>
      </c>
      <c r="C2129" s="25">
        <v>266.0</v>
      </c>
      <c r="D2129" s="25">
        <v>29.0</v>
      </c>
      <c r="E2129" s="25">
        <v>6.0</v>
      </c>
      <c r="F2129" s="25">
        <v>4.0</v>
      </c>
      <c r="G2129" s="27" t="s">
        <v>24</v>
      </c>
    </row>
    <row r="2130" ht="22.5" customHeight="1">
      <c r="A2130" s="25">
        <v>2513.0</v>
      </c>
      <c r="B2130" s="26">
        <v>45560.0</v>
      </c>
      <c r="C2130" s="25">
        <v>290.0</v>
      </c>
      <c r="D2130" s="25">
        <v>18.0</v>
      </c>
      <c r="E2130" s="25">
        <v>1.0</v>
      </c>
      <c r="F2130" s="25">
        <v>1.0</v>
      </c>
      <c r="G2130" s="27" t="s">
        <v>24</v>
      </c>
    </row>
    <row r="2131" ht="22.5" customHeight="1">
      <c r="A2131" s="25">
        <v>2576.0</v>
      </c>
      <c r="B2131" s="26">
        <v>45560.0</v>
      </c>
      <c r="C2131" s="25">
        <v>214.0</v>
      </c>
      <c r="D2131" s="25">
        <v>15.0</v>
      </c>
      <c r="E2131" s="25">
        <v>2.0</v>
      </c>
      <c r="F2131" s="25">
        <v>3.0</v>
      </c>
      <c r="G2131" s="27" t="s">
        <v>25</v>
      </c>
    </row>
    <row r="2132" ht="22.5" customHeight="1">
      <c r="A2132" s="25">
        <v>2650.0</v>
      </c>
      <c r="B2132" s="26">
        <v>45560.0</v>
      </c>
      <c r="C2132" s="25">
        <v>48.0</v>
      </c>
      <c r="D2132" s="25">
        <v>26.0</v>
      </c>
      <c r="E2132" s="25">
        <v>2.0</v>
      </c>
      <c r="F2132" s="25">
        <v>2.0</v>
      </c>
      <c r="G2132" s="27" t="s">
        <v>25</v>
      </c>
    </row>
    <row r="2133" ht="22.5" customHeight="1">
      <c r="A2133" s="25">
        <v>2682.0</v>
      </c>
      <c r="B2133" s="26">
        <v>45560.0</v>
      </c>
      <c r="C2133" s="25">
        <v>8.0</v>
      </c>
      <c r="D2133" s="25">
        <v>17.0</v>
      </c>
      <c r="E2133" s="25">
        <v>5.0</v>
      </c>
      <c r="F2133" s="25">
        <v>4.0</v>
      </c>
      <c r="G2133" s="27" t="s">
        <v>24</v>
      </c>
    </row>
    <row r="2134" ht="22.5" customHeight="1">
      <c r="A2134" s="25">
        <v>2833.0</v>
      </c>
      <c r="B2134" s="26">
        <v>45560.0</v>
      </c>
      <c r="C2134" s="25">
        <v>202.0</v>
      </c>
      <c r="D2134" s="25">
        <v>36.0</v>
      </c>
      <c r="E2134" s="25">
        <v>5.0</v>
      </c>
      <c r="F2134" s="25">
        <v>1.0</v>
      </c>
      <c r="G2134" s="27" t="s">
        <v>24</v>
      </c>
    </row>
    <row r="2135" ht="22.5" customHeight="1">
      <c r="A2135" s="25">
        <v>4.0</v>
      </c>
      <c r="B2135" s="26">
        <v>45561.0</v>
      </c>
      <c r="C2135" s="25">
        <v>111.0</v>
      </c>
      <c r="D2135" s="25">
        <v>37.0</v>
      </c>
      <c r="E2135" s="25">
        <v>5.0</v>
      </c>
      <c r="F2135" s="25">
        <v>4.0</v>
      </c>
      <c r="G2135" s="27" t="s">
        <v>24</v>
      </c>
    </row>
    <row r="2136" ht="22.5" customHeight="1">
      <c r="A2136" s="25">
        <v>224.0</v>
      </c>
      <c r="B2136" s="26">
        <v>45561.0</v>
      </c>
      <c r="C2136" s="25">
        <v>294.0</v>
      </c>
      <c r="D2136" s="25">
        <v>10.0</v>
      </c>
      <c r="E2136" s="25">
        <v>5.0</v>
      </c>
      <c r="F2136" s="25">
        <v>4.0</v>
      </c>
      <c r="G2136" s="27" t="s">
        <v>24</v>
      </c>
    </row>
    <row r="2137" ht="22.5" customHeight="1">
      <c r="A2137" s="25">
        <v>296.0</v>
      </c>
      <c r="B2137" s="26">
        <v>45561.0</v>
      </c>
      <c r="C2137" s="25">
        <v>279.0</v>
      </c>
      <c r="D2137" s="25">
        <v>10.0</v>
      </c>
      <c r="E2137" s="25">
        <v>6.0</v>
      </c>
      <c r="F2137" s="25">
        <v>5.0</v>
      </c>
      <c r="G2137" s="27" t="s">
        <v>25</v>
      </c>
    </row>
    <row r="2138" ht="22.5" customHeight="1">
      <c r="A2138" s="25">
        <v>604.0</v>
      </c>
      <c r="B2138" s="26">
        <v>45561.0</v>
      </c>
      <c r="C2138" s="25">
        <v>321.0</v>
      </c>
      <c r="D2138" s="25">
        <v>6.0</v>
      </c>
      <c r="E2138" s="25">
        <v>3.0</v>
      </c>
      <c r="F2138" s="25">
        <v>4.0</v>
      </c>
      <c r="G2138" s="27" t="s">
        <v>24</v>
      </c>
    </row>
    <row r="2139" ht="22.5" customHeight="1">
      <c r="A2139" s="25">
        <v>1092.0</v>
      </c>
      <c r="B2139" s="26">
        <v>45561.0</v>
      </c>
      <c r="C2139" s="25">
        <v>232.0</v>
      </c>
      <c r="D2139" s="25">
        <v>9.0</v>
      </c>
      <c r="E2139" s="25">
        <v>1.0</v>
      </c>
      <c r="F2139" s="25">
        <v>1.0</v>
      </c>
      <c r="G2139" s="27" t="s">
        <v>24</v>
      </c>
    </row>
    <row r="2140" ht="22.5" customHeight="1">
      <c r="A2140" s="25">
        <v>1567.0</v>
      </c>
      <c r="B2140" s="26">
        <v>45561.0</v>
      </c>
      <c r="C2140" s="25">
        <v>147.0</v>
      </c>
      <c r="D2140" s="25">
        <v>15.0</v>
      </c>
      <c r="E2140" s="25">
        <v>4.0</v>
      </c>
      <c r="F2140" s="25">
        <v>4.0</v>
      </c>
      <c r="G2140" s="27" t="s">
        <v>24</v>
      </c>
    </row>
    <row r="2141" ht="22.5" customHeight="1">
      <c r="A2141" s="25">
        <v>2707.0</v>
      </c>
      <c r="B2141" s="26">
        <v>45561.0</v>
      </c>
      <c r="C2141" s="25">
        <v>244.0</v>
      </c>
      <c r="D2141" s="25">
        <v>23.0</v>
      </c>
      <c r="E2141" s="25">
        <v>1.0</v>
      </c>
      <c r="F2141" s="25">
        <v>5.0</v>
      </c>
      <c r="G2141" s="27" t="s">
        <v>24</v>
      </c>
    </row>
    <row r="2142" ht="22.5" customHeight="1">
      <c r="A2142" s="25">
        <v>2711.0</v>
      </c>
      <c r="B2142" s="26">
        <v>45561.0</v>
      </c>
      <c r="C2142" s="25">
        <v>309.0</v>
      </c>
      <c r="D2142" s="25">
        <v>5.0</v>
      </c>
      <c r="E2142" s="25">
        <v>4.0</v>
      </c>
      <c r="F2142" s="25">
        <v>1.0</v>
      </c>
      <c r="G2142" s="27" t="s">
        <v>24</v>
      </c>
    </row>
    <row r="2143" ht="22.5" customHeight="1">
      <c r="A2143" s="25">
        <v>2819.0</v>
      </c>
      <c r="B2143" s="26">
        <v>45561.0</v>
      </c>
      <c r="C2143" s="25">
        <v>6.0</v>
      </c>
      <c r="D2143" s="25">
        <v>25.0</v>
      </c>
      <c r="E2143" s="25">
        <v>1.0</v>
      </c>
      <c r="F2143" s="25">
        <v>2.0</v>
      </c>
      <c r="G2143" s="27" t="s">
        <v>24</v>
      </c>
    </row>
    <row r="2144" ht="22.5" customHeight="1">
      <c r="A2144" s="25">
        <v>56.0</v>
      </c>
      <c r="B2144" s="26">
        <v>45562.0</v>
      </c>
      <c r="C2144" s="25">
        <v>91.0</v>
      </c>
      <c r="D2144" s="25">
        <v>20.0</v>
      </c>
      <c r="E2144" s="25">
        <v>6.0</v>
      </c>
      <c r="F2144" s="25">
        <v>3.0</v>
      </c>
      <c r="G2144" s="27" t="s">
        <v>24</v>
      </c>
    </row>
    <row r="2145" ht="22.5" customHeight="1">
      <c r="A2145" s="25">
        <v>112.0</v>
      </c>
      <c r="B2145" s="26">
        <v>45562.0</v>
      </c>
      <c r="C2145" s="25">
        <v>3.0</v>
      </c>
      <c r="D2145" s="25">
        <v>31.0</v>
      </c>
      <c r="E2145" s="25">
        <v>1.0</v>
      </c>
      <c r="F2145" s="25">
        <v>3.0</v>
      </c>
      <c r="G2145" s="27" t="s">
        <v>24</v>
      </c>
    </row>
    <row r="2146" ht="22.5" customHeight="1">
      <c r="A2146" s="25">
        <v>150.0</v>
      </c>
      <c r="B2146" s="26">
        <v>45562.0</v>
      </c>
      <c r="C2146" s="25">
        <v>133.0</v>
      </c>
      <c r="D2146" s="25">
        <v>6.0</v>
      </c>
      <c r="E2146" s="25">
        <v>3.0</v>
      </c>
      <c r="F2146" s="25">
        <v>4.0</v>
      </c>
      <c r="G2146" s="27" t="s">
        <v>24</v>
      </c>
    </row>
    <row r="2147" ht="22.5" customHeight="1">
      <c r="A2147" s="25">
        <v>451.0</v>
      </c>
      <c r="B2147" s="26">
        <v>45562.0</v>
      </c>
      <c r="C2147" s="25">
        <v>290.0</v>
      </c>
      <c r="D2147" s="25">
        <v>7.0</v>
      </c>
      <c r="E2147" s="25">
        <v>3.0</v>
      </c>
      <c r="F2147" s="25">
        <v>4.0</v>
      </c>
      <c r="G2147" s="27" t="s">
        <v>24</v>
      </c>
    </row>
    <row r="2148" ht="22.5" customHeight="1">
      <c r="A2148" s="25">
        <v>647.0</v>
      </c>
      <c r="B2148" s="26">
        <v>45562.0</v>
      </c>
      <c r="C2148" s="25">
        <v>286.0</v>
      </c>
      <c r="D2148" s="25">
        <v>19.0</v>
      </c>
      <c r="E2148" s="25">
        <v>5.0</v>
      </c>
      <c r="F2148" s="25">
        <v>1.0</v>
      </c>
      <c r="G2148" s="27" t="s">
        <v>24</v>
      </c>
    </row>
    <row r="2149" ht="22.5" customHeight="1">
      <c r="A2149" s="25">
        <v>697.0</v>
      </c>
      <c r="B2149" s="26">
        <v>45562.0</v>
      </c>
      <c r="C2149" s="25">
        <v>21.0</v>
      </c>
      <c r="D2149" s="25">
        <v>19.0</v>
      </c>
      <c r="E2149" s="25">
        <v>6.0</v>
      </c>
      <c r="F2149" s="25">
        <v>2.0</v>
      </c>
      <c r="G2149" s="27" t="s">
        <v>24</v>
      </c>
    </row>
    <row r="2150" ht="22.5" customHeight="1">
      <c r="A2150" s="25">
        <v>736.0</v>
      </c>
      <c r="B2150" s="26">
        <v>45562.0</v>
      </c>
      <c r="C2150" s="25">
        <v>325.0</v>
      </c>
      <c r="D2150" s="25">
        <v>5.0</v>
      </c>
      <c r="E2150" s="25">
        <v>6.0</v>
      </c>
      <c r="F2150" s="25">
        <v>5.0</v>
      </c>
      <c r="G2150" s="27" t="s">
        <v>24</v>
      </c>
    </row>
    <row r="2151" ht="22.5" customHeight="1">
      <c r="A2151" s="25">
        <v>1523.0</v>
      </c>
      <c r="B2151" s="26">
        <v>45562.0</v>
      </c>
      <c r="C2151" s="25">
        <v>79.0</v>
      </c>
      <c r="D2151" s="25">
        <v>30.0</v>
      </c>
      <c r="E2151" s="25">
        <v>3.0</v>
      </c>
      <c r="F2151" s="25">
        <v>4.0</v>
      </c>
      <c r="G2151" s="27" t="s">
        <v>24</v>
      </c>
    </row>
    <row r="2152" ht="22.5" customHeight="1">
      <c r="A2152" s="25">
        <v>1670.0</v>
      </c>
      <c r="B2152" s="26">
        <v>45562.0</v>
      </c>
      <c r="C2152" s="25">
        <v>95.0</v>
      </c>
      <c r="D2152" s="25">
        <v>4.0</v>
      </c>
      <c r="E2152" s="25">
        <v>5.0</v>
      </c>
      <c r="F2152" s="25">
        <v>3.0</v>
      </c>
      <c r="G2152" s="27" t="s">
        <v>24</v>
      </c>
    </row>
    <row r="2153" ht="22.5" customHeight="1">
      <c r="A2153" s="25">
        <v>1925.0</v>
      </c>
      <c r="B2153" s="26">
        <v>45562.0</v>
      </c>
      <c r="C2153" s="25">
        <v>101.0</v>
      </c>
      <c r="D2153" s="25">
        <v>10.0</v>
      </c>
      <c r="E2153" s="25">
        <v>4.0</v>
      </c>
      <c r="F2153" s="25">
        <v>1.0</v>
      </c>
      <c r="G2153" s="27" t="s">
        <v>24</v>
      </c>
    </row>
    <row r="2154" ht="22.5" customHeight="1">
      <c r="A2154" s="25">
        <v>1946.0</v>
      </c>
      <c r="B2154" s="26">
        <v>45562.0</v>
      </c>
      <c r="C2154" s="25">
        <v>277.0</v>
      </c>
      <c r="D2154" s="25">
        <v>2.0</v>
      </c>
      <c r="E2154" s="25">
        <v>5.0</v>
      </c>
      <c r="F2154" s="25">
        <v>3.0</v>
      </c>
      <c r="G2154" s="27" t="s">
        <v>24</v>
      </c>
    </row>
    <row r="2155" ht="22.5" customHeight="1">
      <c r="A2155" s="25">
        <v>2553.0</v>
      </c>
      <c r="B2155" s="26">
        <v>45562.0</v>
      </c>
      <c r="C2155" s="25">
        <v>120.0</v>
      </c>
      <c r="D2155" s="25">
        <v>3.0</v>
      </c>
      <c r="E2155" s="25">
        <v>5.0</v>
      </c>
      <c r="F2155" s="25">
        <v>4.0</v>
      </c>
      <c r="G2155" s="27" t="s">
        <v>24</v>
      </c>
    </row>
    <row r="2156" ht="22.5" customHeight="1">
      <c r="A2156" s="25">
        <v>2903.0</v>
      </c>
      <c r="B2156" s="26">
        <v>45562.0</v>
      </c>
      <c r="C2156" s="25">
        <v>306.0</v>
      </c>
      <c r="D2156" s="25">
        <v>6.0</v>
      </c>
      <c r="E2156" s="25">
        <v>2.0</v>
      </c>
      <c r="F2156" s="25">
        <v>2.0</v>
      </c>
      <c r="G2156" s="27" t="s">
        <v>24</v>
      </c>
    </row>
    <row r="2157" ht="22.5" customHeight="1">
      <c r="A2157" s="25">
        <v>233.0</v>
      </c>
      <c r="B2157" s="26">
        <v>45563.0</v>
      </c>
      <c r="C2157" s="25">
        <v>315.0</v>
      </c>
      <c r="D2157" s="25">
        <v>10.0</v>
      </c>
      <c r="E2157" s="25">
        <v>5.0</v>
      </c>
      <c r="F2157" s="25">
        <v>5.0</v>
      </c>
      <c r="G2157" s="27" t="s">
        <v>24</v>
      </c>
    </row>
    <row r="2158" ht="22.5" customHeight="1">
      <c r="A2158" s="25">
        <v>254.0</v>
      </c>
      <c r="B2158" s="26">
        <v>45563.0</v>
      </c>
      <c r="C2158" s="25">
        <v>324.0</v>
      </c>
      <c r="D2158" s="25">
        <v>29.0</v>
      </c>
      <c r="E2158" s="25">
        <v>1.0</v>
      </c>
      <c r="F2158" s="25">
        <v>2.0</v>
      </c>
      <c r="G2158" s="27" t="s">
        <v>24</v>
      </c>
    </row>
    <row r="2159" ht="22.5" customHeight="1">
      <c r="A2159" s="25">
        <v>317.0</v>
      </c>
      <c r="B2159" s="26">
        <v>45563.0</v>
      </c>
      <c r="C2159" s="25">
        <v>258.0</v>
      </c>
      <c r="D2159" s="25">
        <v>7.0</v>
      </c>
      <c r="E2159" s="25">
        <v>6.0</v>
      </c>
      <c r="F2159" s="25">
        <v>3.0</v>
      </c>
      <c r="G2159" s="27" t="s">
        <v>24</v>
      </c>
    </row>
    <row r="2160" ht="22.5" customHeight="1">
      <c r="A2160" s="25">
        <v>417.0</v>
      </c>
      <c r="B2160" s="26">
        <v>45563.0</v>
      </c>
      <c r="C2160" s="25">
        <v>40.0</v>
      </c>
      <c r="D2160" s="25">
        <v>8.0</v>
      </c>
      <c r="E2160" s="25">
        <v>6.0</v>
      </c>
      <c r="F2160" s="25">
        <v>4.0</v>
      </c>
      <c r="G2160" s="27" t="s">
        <v>25</v>
      </c>
    </row>
    <row r="2161" ht="22.5" customHeight="1">
      <c r="A2161" s="25">
        <v>860.0</v>
      </c>
      <c r="B2161" s="26">
        <v>45563.0</v>
      </c>
      <c r="C2161" s="25">
        <v>106.0</v>
      </c>
      <c r="D2161" s="25">
        <v>2.0</v>
      </c>
      <c r="E2161" s="25">
        <v>6.0</v>
      </c>
      <c r="F2161" s="25">
        <v>4.0</v>
      </c>
      <c r="G2161" s="27" t="s">
        <v>24</v>
      </c>
    </row>
    <row r="2162" ht="22.5" customHeight="1">
      <c r="A2162" s="25">
        <v>1179.0</v>
      </c>
      <c r="B2162" s="26">
        <v>45563.0</v>
      </c>
      <c r="C2162" s="25">
        <v>98.0</v>
      </c>
      <c r="D2162" s="25">
        <v>10.0</v>
      </c>
      <c r="E2162" s="25">
        <v>5.0</v>
      </c>
      <c r="F2162" s="25">
        <v>4.0</v>
      </c>
      <c r="G2162" s="27" t="s">
        <v>24</v>
      </c>
    </row>
    <row r="2163" ht="22.5" customHeight="1">
      <c r="A2163" s="25">
        <v>1503.0</v>
      </c>
      <c r="B2163" s="26">
        <v>45563.0</v>
      </c>
      <c r="C2163" s="25">
        <v>121.0</v>
      </c>
      <c r="D2163" s="25">
        <v>12.0</v>
      </c>
      <c r="E2163" s="25">
        <v>6.0</v>
      </c>
      <c r="F2163" s="25">
        <v>3.0</v>
      </c>
      <c r="G2163" s="27" t="s">
        <v>24</v>
      </c>
    </row>
    <row r="2164" ht="22.5" customHeight="1">
      <c r="A2164" s="25">
        <v>2026.0</v>
      </c>
      <c r="B2164" s="26">
        <v>45563.0</v>
      </c>
      <c r="C2164" s="25">
        <v>48.0</v>
      </c>
      <c r="D2164" s="25">
        <v>17.0</v>
      </c>
      <c r="E2164" s="25">
        <v>3.0</v>
      </c>
      <c r="F2164" s="25">
        <v>4.0</v>
      </c>
      <c r="G2164" s="27" t="s">
        <v>25</v>
      </c>
    </row>
    <row r="2165" ht="22.5" customHeight="1">
      <c r="A2165" s="25">
        <v>2174.0</v>
      </c>
      <c r="B2165" s="26">
        <v>45563.0</v>
      </c>
      <c r="C2165" s="25">
        <v>325.0</v>
      </c>
      <c r="D2165" s="25">
        <v>17.0</v>
      </c>
      <c r="E2165" s="25">
        <v>1.0</v>
      </c>
      <c r="F2165" s="25">
        <v>3.0</v>
      </c>
      <c r="G2165" s="27" t="s">
        <v>24</v>
      </c>
    </row>
    <row r="2166" ht="22.5" customHeight="1">
      <c r="A2166" s="25">
        <v>2185.0</v>
      </c>
      <c r="B2166" s="26">
        <v>45563.0</v>
      </c>
      <c r="C2166" s="25">
        <v>250.0</v>
      </c>
      <c r="D2166" s="25">
        <v>10.0</v>
      </c>
      <c r="E2166" s="25">
        <v>2.0</v>
      </c>
      <c r="F2166" s="25">
        <v>1.0</v>
      </c>
      <c r="G2166" s="27" t="s">
        <v>25</v>
      </c>
    </row>
    <row r="2167" ht="22.5" customHeight="1">
      <c r="A2167" s="25">
        <v>2211.0</v>
      </c>
      <c r="B2167" s="26">
        <v>45563.0</v>
      </c>
      <c r="C2167" s="25">
        <v>60.0</v>
      </c>
      <c r="D2167" s="25">
        <v>24.0</v>
      </c>
      <c r="E2167" s="25">
        <v>1.0</v>
      </c>
      <c r="F2167" s="25">
        <v>1.0</v>
      </c>
      <c r="G2167" s="27" t="s">
        <v>24</v>
      </c>
    </row>
    <row r="2168" ht="22.5" customHeight="1">
      <c r="A2168" s="25">
        <v>2302.0</v>
      </c>
      <c r="B2168" s="26">
        <v>45563.0</v>
      </c>
      <c r="C2168" s="25">
        <v>41.0</v>
      </c>
      <c r="D2168" s="25">
        <v>21.0</v>
      </c>
      <c r="E2168" s="25">
        <v>4.0</v>
      </c>
      <c r="F2168" s="25">
        <v>4.0</v>
      </c>
      <c r="G2168" s="27" t="s">
        <v>25</v>
      </c>
    </row>
    <row r="2169" ht="22.5" customHeight="1">
      <c r="A2169" s="25">
        <v>59.0</v>
      </c>
      <c r="B2169" s="26">
        <v>45564.0</v>
      </c>
      <c r="C2169" s="25">
        <v>242.0</v>
      </c>
      <c r="D2169" s="25">
        <v>16.0</v>
      </c>
      <c r="E2169" s="25">
        <v>6.0</v>
      </c>
      <c r="F2169" s="25">
        <v>5.0</v>
      </c>
      <c r="G2169" s="27" t="s">
        <v>24</v>
      </c>
    </row>
    <row r="2170" ht="22.5" customHeight="1">
      <c r="A2170" s="25">
        <v>91.0</v>
      </c>
      <c r="B2170" s="26">
        <v>45564.0</v>
      </c>
      <c r="C2170" s="25">
        <v>192.0</v>
      </c>
      <c r="D2170" s="25">
        <v>6.0</v>
      </c>
      <c r="E2170" s="25">
        <v>6.0</v>
      </c>
      <c r="F2170" s="25">
        <v>3.0</v>
      </c>
      <c r="G2170" s="27" t="s">
        <v>24</v>
      </c>
    </row>
    <row r="2171" ht="22.5" customHeight="1">
      <c r="A2171" s="25">
        <v>100.0</v>
      </c>
      <c r="B2171" s="26">
        <v>45564.0</v>
      </c>
      <c r="C2171" s="25">
        <v>134.0</v>
      </c>
      <c r="D2171" s="25">
        <v>26.0</v>
      </c>
      <c r="E2171" s="25">
        <v>6.0</v>
      </c>
      <c r="F2171" s="25">
        <v>1.0</v>
      </c>
      <c r="G2171" s="27" t="s">
        <v>24</v>
      </c>
    </row>
    <row r="2172" ht="22.5" customHeight="1">
      <c r="A2172" s="25">
        <v>105.0</v>
      </c>
      <c r="B2172" s="26">
        <v>45564.0</v>
      </c>
      <c r="C2172" s="25">
        <v>24.0</v>
      </c>
      <c r="D2172" s="25">
        <v>24.0</v>
      </c>
      <c r="E2172" s="25">
        <v>1.0</v>
      </c>
      <c r="F2172" s="25">
        <v>4.0</v>
      </c>
      <c r="G2172" s="27" t="s">
        <v>24</v>
      </c>
    </row>
    <row r="2173" ht="22.5" customHeight="1">
      <c r="A2173" s="25">
        <v>179.0</v>
      </c>
      <c r="B2173" s="26">
        <v>45564.0</v>
      </c>
      <c r="C2173" s="25">
        <v>37.0</v>
      </c>
      <c r="D2173" s="25">
        <v>6.0</v>
      </c>
      <c r="E2173" s="25">
        <v>4.0</v>
      </c>
      <c r="F2173" s="25">
        <v>1.0</v>
      </c>
      <c r="G2173" s="27" t="s">
        <v>25</v>
      </c>
    </row>
    <row r="2174" ht="22.5" customHeight="1">
      <c r="A2174" s="25">
        <v>566.0</v>
      </c>
      <c r="B2174" s="26">
        <v>45564.0</v>
      </c>
      <c r="C2174" s="25">
        <v>109.0</v>
      </c>
      <c r="D2174" s="25">
        <v>16.0</v>
      </c>
      <c r="E2174" s="25">
        <v>1.0</v>
      </c>
      <c r="F2174" s="25">
        <v>5.0</v>
      </c>
      <c r="G2174" s="27" t="s">
        <v>24</v>
      </c>
    </row>
    <row r="2175" ht="22.5" customHeight="1">
      <c r="A2175" s="25">
        <v>745.0</v>
      </c>
      <c r="B2175" s="26">
        <v>45564.0</v>
      </c>
      <c r="C2175" s="25">
        <v>230.0</v>
      </c>
      <c r="D2175" s="25">
        <v>9.0</v>
      </c>
      <c r="E2175" s="25">
        <v>5.0</v>
      </c>
      <c r="F2175" s="25">
        <v>5.0</v>
      </c>
      <c r="G2175" s="27" t="s">
        <v>24</v>
      </c>
    </row>
    <row r="2176" ht="22.5" customHeight="1">
      <c r="A2176" s="25">
        <v>1199.0</v>
      </c>
      <c r="B2176" s="26">
        <v>45564.0</v>
      </c>
      <c r="C2176" s="25">
        <v>38.0</v>
      </c>
      <c r="D2176" s="25">
        <v>38.0</v>
      </c>
      <c r="E2176" s="25">
        <v>3.0</v>
      </c>
      <c r="F2176" s="25">
        <v>4.0</v>
      </c>
      <c r="G2176" s="27" t="s">
        <v>24</v>
      </c>
    </row>
    <row r="2177" ht="22.5" customHeight="1">
      <c r="A2177" s="25">
        <v>1288.0</v>
      </c>
      <c r="B2177" s="26">
        <v>45564.0</v>
      </c>
      <c r="C2177" s="25">
        <v>53.0</v>
      </c>
      <c r="D2177" s="25">
        <v>32.0</v>
      </c>
      <c r="E2177" s="25">
        <v>3.0</v>
      </c>
      <c r="F2177" s="25">
        <v>2.0</v>
      </c>
      <c r="G2177" s="27" t="s">
        <v>24</v>
      </c>
    </row>
    <row r="2178" ht="22.5" customHeight="1">
      <c r="A2178" s="25">
        <v>1311.0</v>
      </c>
      <c r="B2178" s="26">
        <v>45564.0</v>
      </c>
      <c r="C2178" s="25">
        <v>309.0</v>
      </c>
      <c r="D2178" s="25">
        <v>27.0</v>
      </c>
      <c r="E2178" s="25">
        <v>4.0</v>
      </c>
      <c r="F2178" s="25">
        <v>2.0</v>
      </c>
      <c r="G2178" s="27" t="s">
        <v>24</v>
      </c>
    </row>
    <row r="2179" ht="22.5" customHeight="1">
      <c r="A2179" s="25">
        <v>2065.0</v>
      </c>
      <c r="B2179" s="26">
        <v>45564.0</v>
      </c>
      <c r="C2179" s="25">
        <v>202.0</v>
      </c>
      <c r="D2179" s="25">
        <v>16.0</v>
      </c>
      <c r="E2179" s="25">
        <v>3.0</v>
      </c>
      <c r="F2179" s="25">
        <v>5.0</v>
      </c>
      <c r="G2179" s="27" t="s">
        <v>24</v>
      </c>
    </row>
    <row r="2180" ht="22.5" customHeight="1">
      <c r="A2180" s="25">
        <v>2102.0</v>
      </c>
      <c r="B2180" s="26">
        <v>45564.0</v>
      </c>
      <c r="C2180" s="25">
        <v>268.0</v>
      </c>
      <c r="D2180" s="25">
        <v>18.0</v>
      </c>
      <c r="E2180" s="25">
        <v>4.0</v>
      </c>
      <c r="F2180" s="25">
        <v>1.0</v>
      </c>
      <c r="G2180" s="27" t="s">
        <v>24</v>
      </c>
    </row>
    <row r="2181" ht="22.5" customHeight="1">
      <c r="A2181" s="25">
        <v>2470.0</v>
      </c>
      <c r="B2181" s="26">
        <v>45564.0</v>
      </c>
      <c r="C2181" s="25">
        <v>85.0</v>
      </c>
      <c r="D2181" s="25">
        <v>24.0</v>
      </c>
      <c r="E2181" s="25">
        <v>2.0</v>
      </c>
      <c r="F2181" s="25">
        <v>4.0</v>
      </c>
      <c r="G2181" s="27" t="s">
        <v>24</v>
      </c>
    </row>
    <row r="2182" ht="22.5" customHeight="1">
      <c r="A2182" s="25">
        <v>2765.0</v>
      </c>
      <c r="B2182" s="26">
        <v>45564.0</v>
      </c>
      <c r="C2182" s="25">
        <v>183.0</v>
      </c>
      <c r="D2182" s="25">
        <v>21.0</v>
      </c>
      <c r="E2182" s="25">
        <v>5.0</v>
      </c>
      <c r="F2182" s="25">
        <v>4.0</v>
      </c>
      <c r="G2182" s="27" t="s">
        <v>24</v>
      </c>
    </row>
    <row r="2183" ht="22.5" customHeight="1">
      <c r="A2183" s="25">
        <v>2772.0</v>
      </c>
      <c r="B2183" s="26">
        <v>45564.0</v>
      </c>
      <c r="C2183" s="25">
        <v>56.0</v>
      </c>
      <c r="D2183" s="25">
        <v>33.0</v>
      </c>
      <c r="E2183" s="25">
        <v>3.0</v>
      </c>
      <c r="F2183" s="25">
        <v>5.0</v>
      </c>
      <c r="G2183" s="27" t="s">
        <v>25</v>
      </c>
    </row>
    <row r="2184" ht="22.5" customHeight="1">
      <c r="A2184" s="25">
        <v>2970.0</v>
      </c>
      <c r="B2184" s="26">
        <v>45564.0</v>
      </c>
      <c r="C2184" s="25">
        <v>135.0</v>
      </c>
      <c r="D2184" s="25">
        <v>3.0</v>
      </c>
      <c r="E2184" s="25">
        <v>4.0</v>
      </c>
      <c r="F2184" s="25">
        <v>4.0</v>
      </c>
      <c r="G2184" s="27" t="s">
        <v>24</v>
      </c>
    </row>
    <row r="2185" ht="22.5" customHeight="1">
      <c r="A2185" s="25">
        <v>171.0</v>
      </c>
      <c r="B2185" s="26">
        <v>45565.0</v>
      </c>
      <c r="C2185" s="25">
        <v>50.0</v>
      </c>
      <c r="D2185" s="25">
        <v>27.0</v>
      </c>
      <c r="E2185" s="25">
        <v>3.0</v>
      </c>
      <c r="F2185" s="25">
        <v>5.0</v>
      </c>
      <c r="G2185" s="27" t="s">
        <v>24</v>
      </c>
    </row>
    <row r="2186" ht="22.5" customHeight="1">
      <c r="A2186" s="25">
        <v>400.0</v>
      </c>
      <c r="B2186" s="26">
        <v>45565.0</v>
      </c>
      <c r="C2186" s="25">
        <v>167.0</v>
      </c>
      <c r="D2186" s="25">
        <v>35.0</v>
      </c>
      <c r="E2186" s="25">
        <v>2.0</v>
      </c>
      <c r="F2186" s="25">
        <v>1.0</v>
      </c>
      <c r="G2186" s="27" t="s">
        <v>24</v>
      </c>
    </row>
    <row r="2187" ht="22.5" customHeight="1">
      <c r="A2187" s="25">
        <v>618.0</v>
      </c>
      <c r="B2187" s="26">
        <v>45565.0</v>
      </c>
      <c r="C2187" s="25">
        <v>31.0</v>
      </c>
      <c r="D2187" s="25">
        <v>37.0</v>
      </c>
      <c r="E2187" s="25">
        <v>3.0</v>
      </c>
      <c r="F2187" s="25">
        <v>5.0</v>
      </c>
      <c r="G2187" s="27" t="s">
        <v>24</v>
      </c>
    </row>
    <row r="2188" ht="22.5" customHeight="1">
      <c r="A2188" s="25">
        <v>755.0</v>
      </c>
      <c r="B2188" s="26">
        <v>45565.0</v>
      </c>
      <c r="C2188" s="25">
        <v>109.0</v>
      </c>
      <c r="D2188" s="25">
        <v>5.0</v>
      </c>
      <c r="E2188" s="25">
        <v>6.0</v>
      </c>
      <c r="F2188" s="25">
        <v>5.0</v>
      </c>
      <c r="G2188" s="27" t="s">
        <v>24</v>
      </c>
    </row>
    <row r="2189" ht="22.5" customHeight="1">
      <c r="A2189" s="25">
        <v>904.0</v>
      </c>
      <c r="B2189" s="26">
        <v>45565.0</v>
      </c>
      <c r="C2189" s="25">
        <v>76.0</v>
      </c>
      <c r="D2189" s="25">
        <v>16.0</v>
      </c>
      <c r="E2189" s="25">
        <v>3.0</v>
      </c>
      <c r="F2189" s="25">
        <v>3.0</v>
      </c>
      <c r="G2189" s="27" t="s">
        <v>24</v>
      </c>
    </row>
    <row r="2190" ht="22.5" customHeight="1">
      <c r="A2190" s="25">
        <v>1120.0</v>
      </c>
      <c r="B2190" s="26">
        <v>45565.0</v>
      </c>
      <c r="C2190" s="25">
        <v>283.0</v>
      </c>
      <c r="D2190" s="25">
        <v>13.0</v>
      </c>
      <c r="E2190" s="25">
        <v>6.0</v>
      </c>
      <c r="F2190" s="25">
        <v>5.0</v>
      </c>
      <c r="G2190" s="27" t="s">
        <v>24</v>
      </c>
    </row>
    <row r="2191" ht="22.5" customHeight="1">
      <c r="A2191" s="25">
        <v>1334.0</v>
      </c>
      <c r="B2191" s="26">
        <v>45565.0</v>
      </c>
      <c r="C2191" s="25">
        <v>158.0</v>
      </c>
      <c r="D2191" s="25">
        <v>33.0</v>
      </c>
      <c r="E2191" s="25">
        <v>1.0</v>
      </c>
      <c r="F2191" s="25">
        <v>5.0</v>
      </c>
      <c r="G2191" s="27" t="s">
        <v>24</v>
      </c>
    </row>
    <row r="2192" ht="22.5" customHeight="1">
      <c r="A2192" s="25">
        <v>1539.0</v>
      </c>
      <c r="B2192" s="26">
        <v>45565.0</v>
      </c>
      <c r="C2192" s="25">
        <v>152.0</v>
      </c>
      <c r="D2192" s="25">
        <v>8.0</v>
      </c>
      <c r="E2192" s="25">
        <v>1.0</v>
      </c>
      <c r="F2192" s="25">
        <v>4.0</v>
      </c>
      <c r="G2192" s="27" t="s">
        <v>24</v>
      </c>
    </row>
    <row r="2193" ht="22.5" customHeight="1">
      <c r="A2193" s="25">
        <v>1608.0</v>
      </c>
      <c r="B2193" s="26">
        <v>45565.0</v>
      </c>
      <c r="C2193" s="25">
        <v>78.0</v>
      </c>
      <c r="D2193" s="25">
        <v>11.0</v>
      </c>
      <c r="E2193" s="25">
        <v>1.0</v>
      </c>
      <c r="F2193" s="25">
        <v>5.0</v>
      </c>
      <c r="G2193" s="27" t="s">
        <v>24</v>
      </c>
    </row>
    <row r="2194" ht="22.5" customHeight="1">
      <c r="A2194" s="25">
        <v>2089.0</v>
      </c>
      <c r="B2194" s="26">
        <v>45565.0</v>
      </c>
      <c r="C2194" s="25">
        <v>221.0</v>
      </c>
      <c r="D2194" s="25">
        <v>14.0</v>
      </c>
      <c r="E2194" s="25">
        <v>2.0</v>
      </c>
      <c r="F2194" s="25">
        <v>5.0</v>
      </c>
      <c r="G2194" s="27" t="s">
        <v>25</v>
      </c>
    </row>
    <row r="2195" ht="22.5" customHeight="1">
      <c r="A2195" s="25">
        <v>2103.0</v>
      </c>
      <c r="B2195" s="26">
        <v>45565.0</v>
      </c>
      <c r="C2195" s="25">
        <v>78.0</v>
      </c>
      <c r="D2195" s="25">
        <v>5.0</v>
      </c>
      <c r="E2195" s="25">
        <v>4.0</v>
      </c>
      <c r="F2195" s="25">
        <v>3.0</v>
      </c>
      <c r="G2195" s="27" t="s">
        <v>24</v>
      </c>
    </row>
    <row r="2196" ht="22.5" customHeight="1">
      <c r="A2196" s="25">
        <v>2392.0</v>
      </c>
      <c r="B2196" s="26">
        <v>45565.0</v>
      </c>
      <c r="C2196" s="25">
        <v>58.0</v>
      </c>
      <c r="D2196" s="25">
        <v>6.0</v>
      </c>
      <c r="E2196" s="25">
        <v>5.0</v>
      </c>
      <c r="F2196" s="25">
        <v>4.0</v>
      </c>
      <c r="G2196" s="27" t="s">
        <v>24</v>
      </c>
    </row>
    <row r="2197" ht="22.5" customHeight="1">
      <c r="A2197" s="25">
        <v>2482.0</v>
      </c>
      <c r="B2197" s="26">
        <v>45565.0</v>
      </c>
      <c r="C2197" s="25">
        <v>82.0</v>
      </c>
      <c r="D2197" s="25">
        <v>4.0</v>
      </c>
      <c r="E2197" s="25">
        <v>2.0</v>
      </c>
      <c r="F2197" s="25">
        <v>5.0</v>
      </c>
      <c r="G2197" s="27" t="s">
        <v>25</v>
      </c>
    </row>
    <row r="2198" ht="22.5" customHeight="1">
      <c r="A2198" s="25">
        <v>2613.0</v>
      </c>
      <c r="B2198" s="26">
        <v>45565.0</v>
      </c>
      <c r="C2198" s="25">
        <v>251.0</v>
      </c>
      <c r="D2198" s="25">
        <v>26.0</v>
      </c>
      <c r="E2198" s="25">
        <v>3.0</v>
      </c>
      <c r="F2198" s="25">
        <v>1.0</v>
      </c>
      <c r="G2198" s="27" t="s">
        <v>25</v>
      </c>
    </row>
    <row r="2199" ht="22.5" customHeight="1">
      <c r="A2199" s="25">
        <v>2864.0</v>
      </c>
      <c r="B2199" s="26">
        <v>45565.0</v>
      </c>
      <c r="C2199" s="25">
        <v>28.0</v>
      </c>
      <c r="D2199" s="25">
        <v>36.0</v>
      </c>
      <c r="E2199" s="25">
        <v>4.0</v>
      </c>
      <c r="F2199" s="25">
        <v>3.0</v>
      </c>
      <c r="G2199" s="27" t="s">
        <v>25</v>
      </c>
    </row>
    <row r="2200" ht="22.5" customHeight="1">
      <c r="A2200" s="25">
        <v>2876.0</v>
      </c>
      <c r="B2200" s="26">
        <v>45565.0</v>
      </c>
      <c r="C2200" s="25">
        <v>162.0</v>
      </c>
      <c r="D2200" s="25">
        <v>13.0</v>
      </c>
      <c r="E2200" s="25">
        <v>3.0</v>
      </c>
      <c r="F2200" s="25">
        <v>1.0</v>
      </c>
      <c r="G2200" s="27" t="s">
        <v>24</v>
      </c>
    </row>
    <row r="2201" ht="22.5" customHeight="1">
      <c r="A2201" s="25">
        <v>714.0</v>
      </c>
      <c r="B2201" s="26">
        <v>45566.0</v>
      </c>
      <c r="C2201" s="25">
        <v>237.0</v>
      </c>
      <c r="D2201" s="25">
        <v>16.0</v>
      </c>
      <c r="E2201" s="25">
        <v>2.0</v>
      </c>
      <c r="F2201" s="25">
        <v>5.0</v>
      </c>
      <c r="G2201" s="27" t="s">
        <v>24</v>
      </c>
    </row>
    <row r="2202" ht="22.5" customHeight="1">
      <c r="A2202" s="25">
        <v>753.0</v>
      </c>
      <c r="B2202" s="26">
        <v>45566.0</v>
      </c>
      <c r="C2202" s="25">
        <v>99.0</v>
      </c>
      <c r="D2202" s="25">
        <v>11.0</v>
      </c>
      <c r="E2202" s="25">
        <v>3.0</v>
      </c>
      <c r="F2202" s="25">
        <v>2.0</v>
      </c>
      <c r="G2202" s="27" t="s">
        <v>24</v>
      </c>
    </row>
    <row r="2203" ht="22.5" customHeight="1">
      <c r="A2203" s="25">
        <v>2617.0</v>
      </c>
      <c r="B2203" s="26">
        <v>45566.0</v>
      </c>
      <c r="C2203" s="25">
        <v>63.0</v>
      </c>
      <c r="D2203" s="25">
        <v>35.0</v>
      </c>
      <c r="E2203" s="25">
        <v>2.0</v>
      </c>
      <c r="F2203" s="25">
        <v>5.0</v>
      </c>
      <c r="G2203" s="27" t="s">
        <v>24</v>
      </c>
    </row>
    <row r="2204" ht="22.5" customHeight="1">
      <c r="A2204" s="25">
        <v>2638.0</v>
      </c>
      <c r="B2204" s="26">
        <v>45566.0</v>
      </c>
      <c r="C2204" s="25">
        <v>91.0</v>
      </c>
      <c r="D2204" s="25">
        <v>24.0</v>
      </c>
      <c r="E2204" s="25">
        <v>4.0</v>
      </c>
      <c r="F2204" s="25">
        <v>4.0</v>
      </c>
      <c r="G2204" s="27" t="s">
        <v>24</v>
      </c>
    </row>
    <row r="2205" ht="22.5" customHeight="1">
      <c r="A2205" s="25">
        <v>2757.0</v>
      </c>
      <c r="B2205" s="26">
        <v>45566.0</v>
      </c>
      <c r="C2205" s="25">
        <v>35.0</v>
      </c>
      <c r="D2205" s="25">
        <v>27.0</v>
      </c>
      <c r="E2205" s="25">
        <v>5.0</v>
      </c>
      <c r="F2205" s="25">
        <v>4.0</v>
      </c>
      <c r="G2205" s="27" t="s">
        <v>24</v>
      </c>
    </row>
    <row r="2206" ht="22.5" customHeight="1">
      <c r="A2206" s="25">
        <v>517.0</v>
      </c>
      <c r="B2206" s="26">
        <v>45567.0</v>
      </c>
      <c r="C2206" s="25">
        <v>307.0</v>
      </c>
      <c r="D2206" s="25">
        <v>38.0</v>
      </c>
      <c r="E2206" s="25">
        <v>5.0</v>
      </c>
      <c r="F2206" s="25">
        <v>2.0</v>
      </c>
      <c r="G2206" s="27" t="s">
        <v>24</v>
      </c>
    </row>
    <row r="2207" ht="22.5" customHeight="1">
      <c r="A2207" s="25">
        <v>901.0</v>
      </c>
      <c r="B2207" s="26">
        <v>45567.0</v>
      </c>
      <c r="C2207" s="25">
        <v>325.0</v>
      </c>
      <c r="D2207" s="25">
        <v>37.0</v>
      </c>
      <c r="E2207" s="25">
        <v>4.0</v>
      </c>
      <c r="F2207" s="25">
        <v>4.0</v>
      </c>
      <c r="G2207" s="27" t="s">
        <v>24</v>
      </c>
    </row>
    <row r="2208" ht="22.5" customHeight="1">
      <c r="A2208" s="25">
        <v>1006.0</v>
      </c>
      <c r="B2208" s="26">
        <v>45567.0</v>
      </c>
      <c r="C2208" s="25">
        <v>281.0</v>
      </c>
      <c r="D2208" s="25">
        <v>23.0</v>
      </c>
      <c r="E2208" s="25">
        <v>6.0</v>
      </c>
      <c r="F2208" s="25">
        <v>5.0</v>
      </c>
      <c r="G2208" s="27" t="s">
        <v>24</v>
      </c>
    </row>
    <row r="2209" ht="22.5" customHeight="1">
      <c r="A2209" s="25">
        <v>1116.0</v>
      </c>
      <c r="B2209" s="26">
        <v>45567.0</v>
      </c>
      <c r="C2209" s="25">
        <v>266.0</v>
      </c>
      <c r="D2209" s="25">
        <v>10.0</v>
      </c>
      <c r="E2209" s="25">
        <v>4.0</v>
      </c>
      <c r="F2209" s="25">
        <v>1.0</v>
      </c>
      <c r="G2209" s="27" t="s">
        <v>24</v>
      </c>
    </row>
    <row r="2210" ht="22.5" customHeight="1">
      <c r="A2210" s="25">
        <v>1295.0</v>
      </c>
      <c r="B2210" s="26">
        <v>45567.0</v>
      </c>
      <c r="C2210" s="25">
        <v>208.0</v>
      </c>
      <c r="D2210" s="25">
        <v>17.0</v>
      </c>
      <c r="E2210" s="25">
        <v>1.0</v>
      </c>
      <c r="F2210" s="25">
        <v>4.0</v>
      </c>
      <c r="G2210" s="27" t="s">
        <v>25</v>
      </c>
    </row>
    <row r="2211" ht="22.5" customHeight="1">
      <c r="A2211" s="25">
        <v>2119.0</v>
      </c>
      <c r="B2211" s="26">
        <v>45567.0</v>
      </c>
      <c r="C2211" s="25">
        <v>296.0</v>
      </c>
      <c r="D2211" s="25">
        <v>8.0</v>
      </c>
      <c r="E2211" s="25">
        <v>1.0</v>
      </c>
      <c r="F2211" s="25">
        <v>4.0</v>
      </c>
      <c r="G2211" s="27" t="s">
        <v>24</v>
      </c>
    </row>
    <row r="2212" ht="22.5" customHeight="1">
      <c r="A2212" s="25">
        <v>2510.0</v>
      </c>
      <c r="B2212" s="26">
        <v>45567.0</v>
      </c>
      <c r="C2212" s="25">
        <v>294.0</v>
      </c>
      <c r="D2212" s="25">
        <v>31.0</v>
      </c>
      <c r="E2212" s="25">
        <v>4.0</v>
      </c>
      <c r="F2212" s="25">
        <v>4.0</v>
      </c>
      <c r="G2212" s="27" t="s">
        <v>24</v>
      </c>
    </row>
    <row r="2213" ht="22.5" customHeight="1">
      <c r="A2213" s="25">
        <v>261.0</v>
      </c>
      <c r="B2213" s="26">
        <v>45568.0</v>
      </c>
      <c r="C2213" s="25">
        <v>74.0</v>
      </c>
      <c r="D2213" s="25">
        <v>6.0</v>
      </c>
      <c r="E2213" s="25">
        <v>5.0</v>
      </c>
      <c r="F2213" s="25">
        <v>5.0</v>
      </c>
      <c r="G2213" s="27" t="s">
        <v>24</v>
      </c>
    </row>
    <row r="2214" ht="22.5" customHeight="1">
      <c r="A2214" s="25">
        <v>274.0</v>
      </c>
      <c r="B2214" s="26">
        <v>45568.0</v>
      </c>
      <c r="C2214" s="25">
        <v>105.0</v>
      </c>
      <c r="D2214" s="25">
        <v>23.0</v>
      </c>
      <c r="E2214" s="25">
        <v>5.0</v>
      </c>
      <c r="F2214" s="25">
        <v>4.0</v>
      </c>
      <c r="G2214" s="27" t="s">
        <v>24</v>
      </c>
    </row>
    <row r="2215" ht="22.5" customHeight="1">
      <c r="A2215" s="25">
        <v>289.0</v>
      </c>
      <c r="B2215" s="26">
        <v>45568.0</v>
      </c>
      <c r="C2215" s="25">
        <v>225.0</v>
      </c>
      <c r="D2215" s="25">
        <v>31.0</v>
      </c>
      <c r="E2215" s="25">
        <v>2.0</v>
      </c>
      <c r="F2215" s="25">
        <v>5.0</v>
      </c>
      <c r="G2215" s="27" t="s">
        <v>24</v>
      </c>
    </row>
    <row r="2216" ht="22.5" customHeight="1">
      <c r="A2216" s="25">
        <v>525.0</v>
      </c>
      <c r="B2216" s="26">
        <v>45568.0</v>
      </c>
      <c r="C2216" s="25">
        <v>311.0</v>
      </c>
      <c r="D2216" s="25">
        <v>34.0</v>
      </c>
      <c r="E2216" s="25">
        <v>4.0</v>
      </c>
      <c r="F2216" s="25">
        <v>4.0</v>
      </c>
      <c r="G2216" s="27" t="s">
        <v>24</v>
      </c>
    </row>
    <row r="2217" ht="22.5" customHeight="1">
      <c r="A2217" s="25">
        <v>828.0</v>
      </c>
      <c r="B2217" s="26">
        <v>45568.0</v>
      </c>
      <c r="C2217" s="25">
        <v>29.0</v>
      </c>
      <c r="D2217" s="25">
        <v>26.0</v>
      </c>
      <c r="E2217" s="25">
        <v>6.0</v>
      </c>
      <c r="F2217" s="25">
        <v>3.0</v>
      </c>
      <c r="G2217" s="27" t="s">
        <v>24</v>
      </c>
    </row>
    <row r="2218" ht="22.5" customHeight="1">
      <c r="A2218" s="25">
        <v>1223.0</v>
      </c>
      <c r="B2218" s="26">
        <v>45568.0</v>
      </c>
      <c r="C2218" s="25">
        <v>104.0</v>
      </c>
      <c r="D2218" s="25">
        <v>15.0</v>
      </c>
      <c r="E2218" s="25">
        <v>6.0</v>
      </c>
      <c r="F2218" s="25">
        <v>3.0</v>
      </c>
      <c r="G2218" s="27" t="s">
        <v>24</v>
      </c>
    </row>
    <row r="2219" ht="22.5" customHeight="1">
      <c r="A2219" s="25">
        <v>1570.0</v>
      </c>
      <c r="B2219" s="26">
        <v>45568.0</v>
      </c>
      <c r="C2219" s="25">
        <v>78.0</v>
      </c>
      <c r="D2219" s="25">
        <v>37.0</v>
      </c>
      <c r="E2219" s="25">
        <v>6.0</v>
      </c>
      <c r="F2219" s="25">
        <v>3.0</v>
      </c>
      <c r="G2219" s="27" t="s">
        <v>24</v>
      </c>
    </row>
    <row r="2220" ht="22.5" customHeight="1">
      <c r="A2220" s="25">
        <v>1619.0</v>
      </c>
      <c r="B2220" s="26">
        <v>45568.0</v>
      </c>
      <c r="C2220" s="25">
        <v>236.0</v>
      </c>
      <c r="D2220" s="25">
        <v>13.0</v>
      </c>
      <c r="E2220" s="25">
        <v>1.0</v>
      </c>
      <c r="F2220" s="25">
        <v>2.0</v>
      </c>
      <c r="G2220" s="27" t="s">
        <v>24</v>
      </c>
    </row>
    <row r="2221" ht="22.5" customHeight="1">
      <c r="A2221" s="25">
        <v>1997.0</v>
      </c>
      <c r="B2221" s="26">
        <v>45568.0</v>
      </c>
      <c r="C2221" s="25">
        <v>246.0</v>
      </c>
      <c r="D2221" s="25">
        <v>2.0</v>
      </c>
      <c r="E2221" s="25">
        <v>1.0</v>
      </c>
      <c r="F2221" s="25">
        <v>3.0</v>
      </c>
      <c r="G2221" s="27" t="s">
        <v>24</v>
      </c>
    </row>
    <row r="2222" ht="22.5" customHeight="1">
      <c r="A2222" s="25">
        <v>2029.0</v>
      </c>
      <c r="B2222" s="26">
        <v>45568.0</v>
      </c>
      <c r="C2222" s="25">
        <v>129.0</v>
      </c>
      <c r="D2222" s="25">
        <v>6.0</v>
      </c>
      <c r="E2222" s="25">
        <v>6.0</v>
      </c>
      <c r="F2222" s="25">
        <v>5.0</v>
      </c>
      <c r="G2222" s="27" t="s">
        <v>24</v>
      </c>
    </row>
    <row r="2223" ht="22.5" customHeight="1">
      <c r="A2223" s="25">
        <v>2041.0</v>
      </c>
      <c r="B2223" s="26">
        <v>45568.0</v>
      </c>
      <c r="C2223" s="25">
        <v>219.0</v>
      </c>
      <c r="D2223" s="25">
        <v>28.0</v>
      </c>
      <c r="E2223" s="25">
        <v>5.0</v>
      </c>
      <c r="F2223" s="25">
        <v>5.0</v>
      </c>
      <c r="G2223" s="27" t="s">
        <v>24</v>
      </c>
    </row>
    <row r="2224" ht="22.5" customHeight="1">
      <c r="A2224" s="25">
        <v>2246.0</v>
      </c>
      <c r="B2224" s="26">
        <v>45568.0</v>
      </c>
      <c r="C2224" s="25">
        <v>59.0</v>
      </c>
      <c r="D2224" s="25">
        <v>22.0</v>
      </c>
      <c r="E2224" s="25">
        <v>3.0</v>
      </c>
      <c r="F2224" s="25">
        <v>2.0</v>
      </c>
      <c r="G2224" s="27" t="s">
        <v>24</v>
      </c>
    </row>
    <row r="2225" ht="22.5" customHeight="1">
      <c r="A2225" s="25">
        <v>2461.0</v>
      </c>
      <c r="B2225" s="26">
        <v>45568.0</v>
      </c>
      <c r="C2225" s="25">
        <v>185.0</v>
      </c>
      <c r="D2225" s="25">
        <v>20.0</v>
      </c>
      <c r="E2225" s="25">
        <v>5.0</v>
      </c>
      <c r="F2225" s="25">
        <v>5.0</v>
      </c>
      <c r="G2225" s="27" t="s">
        <v>24</v>
      </c>
    </row>
    <row r="2226" ht="22.5" customHeight="1">
      <c r="A2226" s="25">
        <v>2548.0</v>
      </c>
      <c r="B2226" s="26">
        <v>45568.0</v>
      </c>
      <c r="C2226" s="25">
        <v>206.0</v>
      </c>
      <c r="D2226" s="25">
        <v>27.0</v>
      </c>
      <c r="E2226" s="25">
        <v>6.0</v>
      </c>
      <c r="F2226" s="25">
        <v>2.0</v>
      </c>
      <c r="G2226" s="27" t="s">
        <v>24</v>
      </c>
    </row>
    <row r="2227" ht="22.5" customHeight="1">
      <c r="A2227" s="25">
        <v>2558.0</v>
      </c>
      <c r="B2227" s="26">
        <v>45568.0</v>
      </c>
      <c r="C2227" s="25">
        <v>177.0</v>
      </c>
      <c r="D2227" s="25">
        <v>25.0</v>
      </c>
      <c r="E2227" s="25">
        <v>6.0</v>
      </c>
      <c r="F2227" s="25">
        <v>4.0</v>
      </c>
      <c r="G2227" s="27" t="s">
        <v>24</v>
      </c>
    </row>
    <row r="2228" ht="22.5" customHeight="1">
      <c r="A2228" s="25">
        <v>2616.0</v>
      </c>
      <c r="B2228" s="26">
        <v>45568.0</v>
      </c>
      <c r="C2228" s="25">
        <v>272.0</v>
      </c>
      <c r="D2228" s="25">
        <v>9.0</v>
      </c>
      <c r="E2228" s="25">
        <v>3.0</v>
      </c>
      <c r="F2228" s="25">
        <v>1.0</v>
      </c>
      <c r="G2228" s="27" t="s">
        <v>25</v>
      </c>
    </row>
    <row r="2229" ht="22.5" customHeight="1">
      <c r="A2229" s="25">
        <v>2724.0</v>
      </c>
      <c r="B2229" s="26">
        <v>45568.0</v>
      </c>
      <c r="C2229" s="25">
        <v>302.0</v>
      </c>
      <c r="D2229" s="25">
        <v>3.0</v>
      </c>
      <c r="E2229" s="25">
        <v>1.0</v>
      </c>
      <c r="F2229" s="25">
        <v>1.0</v>
      </c>
      <c r="G2229" s="27" t="s">
        <v>24</v>
      </c>
    </row>
    <row r="2230" ht="22.5" customHeight="1">
      <c r="A2230" s="25">
        <v>240.0</v>
      </c>
      <c r="B2230" s="26">
        <v>45569.0</v>
      </c>
      <c r="C2230" s="25">
        <v>312.0</v>
      </c>
      <c r="D2230" s="25">
        <v>29.0</v>
      </c>
      <c r="E2230" s="25">
        <v>4.0</v>
      </c>
      <c r="F2230" s="25">
        <v>3.0</v>
      </c>
      <c r="G2230" s="27" t="s">
        <v>24</v>
      </c>
    </row>
    <row r="2231" ht="22.5" customHeight="1">
      <c r="A2231" s="25">
        <v>649.0</v>
      </c>
      <c r="B2231" s="26">
        <v>45569.0</v>
      </c>
      <c r="C2231" s="25">
        <v>128.0</v>
      </c>
      <c r="D2231" s="25">
        <v>14.0</v>
      </c>
      <c r="E2231" s="25">
        <v>4.0</v>
      </c>
      <c r="F2231" s="25">
        <v>3.0</v>
      </c>
      <c r="G2231" s="27" t="s">
        <v>24</v>
      </c>
    </row>
    <row r="2232" ht="22.5" customHeight="1">
      <c r="A2232" s="25">
        <v>664.0</v>
      </c>
      <c r="B2232" s="26">
        <v>45569.0</v>
      </c>
      <c r="C2232" s="25">
        <v>264.0</v>
      </c>
      <c r="D2232" s="25">
        <v>33.0</v>
      </c>
      <c r="E2232" s="25">
        <v>3.0</v>
      </c>
      <c r="F2232" s="25">
        <v>5.0</v>
      </c>
      <c r="G2232" s="27" t="s">
        <v>24</v>
      </c>
    </row>
    <row r="2233" ht="22.5" customHeight="1">
      <c r="A2233" s="25">
        <v>1435.0</v>
      </c>
      <c r="B2233" s="26">
        <v>45569.0</v>
      </c>
      <c r="C2233" s="25">
        <v>52.0</v>
      </c>
      <c r="D2233" s="25">
        <v>31.0</v>
      </c>
      <c r="E2233" s="25">
        <v>5.0</v>
      </c>
      <c r="F2233" s="25">
        <v>4.0</v>
      </c>
      <c r="G2233" s="27" t="s">
        <v>23</v>
      </c>
    </row>
    <row r="2234" ht="22.5" customHeight="1">
      <c r="A2234" s="25">
        <v>2037.0</v>
      </c>
      <c r="B2234" s="26">
        <v>45569.0</v>
      </c>
      <c r="C2234" s="25">
        <v>296.0</v>
      </c>
      <c r="D2234" s="25">
        <v>32.0</v>
      </c>
      <c r="E2234" s="25">
        <v>3.0</v>
      </c>
      <c r="F2234" s="25">
        <v>4.0</v>
      </c>
      <c r="G2234" s="27" t="s">
        <v>24</v>
      </c>
    </row>
    <row r="2235" ht="22.5" customHeight="1">
      <c r="A2235" s="25">
        <v>2071.0</v>
      </c>
      <c r="B2235" s="26">
        <v>45569.0</v>
      </c>
      <c r="C2235" s="25">
        <v>122.0</v>
      </c>
      <c r="D2235" s="25">
        <v>31.0</v>
      </c>
      <c r="E2235" s="25">
        <v>1.0</v>
      </c>
      <c r="F2235" s="25">
        <v>2.0</v>
      </c>
      <c r="G2235" s="27" t="s">
        <v>25</v>
      </c>
    </row>
    <row r="2236" ht="22.5" customHeight="1">
      <c r="A2236" s="25">
        <v>2202.0</v>
      </c>
      <c r="B2236" s="26">
        <v>45569.0</v>
      </c>
      <c r="C2236" s="25">
        <v>276.0</v>
      </c>
      <c r="D2236" s="25">
        <v>6.0</v>
      </c>
      <c r="E2236" s="25">
        <v>5.0</v>
      </c>
      <c r="F2236" s="25">
        <v>5.0</v>
      </c>
      <c r="G2236" s="27" t="s">
        <v>24</v>
      </c>
    </row>
    <row r="2237" ht="22.5" customHeight="1">
      <c r="A2237" s="25">
        <v>2521.0</v>
      </c>
      <c r="B2237" s="26">
        <v>45569.0</v>
      </c>
      <c r="C2237" s="25">
        <v>20.0</v>
      </c>
      <c r="D2237" s="25">
        <v>35.0</v>
      </c>
      <c r="E2237" s="25">
        <v>4.0</v>
      </c>
      <c r="F2237" s="25">
        <v>3.0</v>
      </c>
      <c r="G2237" s="27" t="s">
        <v>24</v>
      </c>
    </row>
    <row r="2238" ht="22.5" customHeight="1">
      <c r="A2238" s="25">
        <v>159.0</v>
      </c>
      <c r="B2238" s="26">
        <v>45570.0</v>
      </c>
      <c r="C2238" s="25">
        <v>217.0</v>
      </c>
      <c r="D2238" s="25">
        <v>26.0</v>
      </c>
      <c r="E2238" s="25">
        <v>2.0</v>
      </c>
      <c r="F2238" s="25">
        <v>1.0</v>
      </c>
      <c r="G2238" s="27" t="s">
        <v>24</v>
      </c>
    </row>
    <row r="2239" ht="22.5" customHeight="1">
      <c r="A2239" s="25">
        <v>543.0</v>
      </c>
      <c r="B2239" s="26">
        <v>45570.0</v>
      </c>
      <c r="C2239" s="25">
        <v>162.0</v>
      </c>
      <c r="D2239" s="25">
        <v>8.0</v>
      </c>
      <c r="E2239" s="25">
        <v>1.0</v>
      </c>
      <c r="F2239" s="25">
        <v>5.0</v>
      </c>
      <c r="G2239" s="27" t="s">
        <v>24</v>
      </c>
    </row>
    <row r="2240" ht="22.5" customHeight="1">
      <c r="A2240" s="25">
        <v>722.0</v>
      </c>
      <c r="B2240" s="26">
        <v>45570.0</v>
      </c>
      <c r="C2240" s="25">
        <v>136.0</v>
      </c>
      <c r="D2240" s="25">
        <v>31.0</v>
      </c>
      <c r="E2240" s="25">
        <v>5.0</v>
      </c>
      <c r="F2240" s="25">
        <v>4.0</v>
      </c>
      <c r="G2240" s="27" t="s">
        <v>24</v>
      </c>
    </row>
    <row r="2241" ht="22.5" customHeight="1">
      <c r="A2241" s="25">
        <v>772.0</v>
      </c>
      <c r="B2241" s="26">
        <v>45570.0</v>
      </c>
      <c r="C2241" s="25">
        <v>141.0</v>
      </c>
      <c r="D2241" s="25">
        <v>2.0</v>
      </c>
      <c r="E2241" s="25">
        <v>6.0</v>
      </c>
      <c r="F2241" s="25">
        <v>3.0</v>
      </c>
      <c r="G2241" s="27" t="s">
        <v>24</v>
      </c>
    </row>
    <row r="2242" ht="22.5" customHeight="1">
      <c r="A2242" s="25">
        <v>794.0</v>
      </c>
      <c r="B2242" s="26">
        <v>45570.0</v>
      </c>
      <c r="C2242" s="25">
        <v>302.0</v>
      </c>
      <c r="D2242" s="25">
        <v>28.0</v>
      </c>
      <c r="E2242" s="25">
        <v>4.0</v>
      </c>
      <c r="F2242" s="25">
        <v>3.0</v>
      </c>
      <c r="G2242" s="27" t="s">
        <v>24</v>
      </c>
    </row>
    <row r="2243" ht="22.5" customHeight="1">
      <c r="A2243" s="25">
        <v>1138.0</v>
      </c>
      <c r="B2243" s="26">
        <v>45570.0</v>
      </c>
      <c r="C2243" s="25">
        <v>123.0</v>
      </c>
      <c r="D2243" s="25">
        <v>22.0</v>
      </c>
      <c r="E2243" s="25">
        <v>2.0</v>
      </c>
      <c r="F2243" s="25">
        <v>2.0</v>
      </c>
      <c r="G2243" s="27" t="s">
        <v>24</v>
      </c>
    </row>
    <row r="2244" ht="22.5" customHeight="1">
      <c r="A2244" s="25">
        <v>1227.0</v>
      </c>
      <c r="B2244" s="26">
        <v>45570.0</v>
      </c>
      <c r="C2244" s="25">
        <v>290.0</v>
      </c>
      <c r="D2244" s="25">
        <v>27.0</v>
      </c>
      <c r="E2244" s="25">
        <v>3.0</v>
      </c>
      <c r="F2244" s="25">
        <v>1.0</v>
      </c>
      <c r="G2244" s="27" t="s">
        <v>24</v>
      </c>
    </row>
    <row r="2245" ht="22.5" customHeight="1">
      <c r="A2245" s="25">
        <v>1635.0</v>
      </c>
      <c r="B2245" s="26">
        <v>45570.0</v>
      </c>
      <c r="C2245" s="25">
        <v>94.0</v>
      </c>
      <c r="D2245" s="25">
        <v>20.0</v>
      </c>
      <c r="E2245" s="25">
        <v>5.0</v>
      </c>
      <c r="F2245" s="25">
        <v>1.0</v>
      </c>
      <c r="G2245" s="27" t="s">
        <v>24</v>
      </c>
    </row>
    <row r="2246" ht="22.5" customHeight="1">
      <c r="A2246" s="25">
        <v>2090.0</v>
      </c>
      <c r="B2246" s="26">
        <v>45570.0</v>
      </c>
      <c r="C2246" s="25">
        <v>299.0</v>
      </c>
      <c r="D2246" s="25">
        <v>19.0</v>
      </c>
      <c r="E2246" s="25">
        <v>5.0</v>
      </c>
      <c r="F2246" s="25">
        <v>1.0</v>
      </c>
      <c r="G2246" s="27" t="s">
        <v>24</v>
      </c>
    </row>
    <row r="2247" ht="22.5" customHeight="1">
      <c r="A2247" s="25">
        <v>2404.0</v>
      </c>
      <c r="B2247" s="26">
        <v>45570.0</v>
      </c>
      <c r="C2247" s="25">
        <v>97.0</v>
      </c>
      <c r="D2247" s="25">
        <v>1.0</v>
      </c>
      <c r="E2247" s="25">
        <v>4.0</v>
      </c>
      <c r="F2247" s="25">
        <v>5.0</v>
      </c>
      <c r="G2247" s="27" t="s">
        <v>24</v>
      </c>
    </row>
    <row r="2248" ht="22.5" customHeight="1">
      <c r="A2248" s="25">
        <v>2690.0</v>
      </c>
      <c r="B2248" s="26">
        <v>45570.0</v>
      </c>
      <c r="C2248" s="25">
        <v>263.0</v>
      </c>
      <c r="D2248" s="25">
        <v>18.0</v>
      </c>
      <c r="E2248" s="25">
        <v>4.0</v>
      </c>
      <c r="F2248" s="25">
        <v>5.0</v>
      </c>
      <c r="G2248" s="27" t="s">
        <v>24</v>
      </c>
    </row>
    <row r="2249" ht="22.5" customHeight="1">
      <c r="A2249" s="25">
        <v>68.0</v>
      </c>
      <c r="B2249" s="26">
        <v>45571.0</v>
      </c>
      <c r="C2249" s="25">
        <v>127.0</v>
      </c>
      <c r="D2249" s="25">
        <v>20.0</v>
      </c>
      <c r="E2249" s="25">
        <v>2.0</v>
      </c>
      <c r="F2249" s="25">
        <v>5.0</v>
      </c>
      <c r="G2249" s="27" t="s">
        <v>24</v>
      </c>
    </row>
    <row r="2250" ht="22.5" customHeight="1">
      <c r="A2250" s="25">
        <v>164.0</v>
      </c>
      <c r="B2250" s="26">
        <v>45571.0</v>
      </c>
      <c r="C2250" s="25">
        <v>233.0</v>
      </c>
      <c r="D2250" s="25">
        <v>18.0</v>
      </c>
      <c r="E2250" s="25">
        <v>2.0</v>
      </c>
      <c r="F2250" s="25">
        <v>4.0</v>
      </c>
      <c r="G2250" s="27" t="s">
        <v>24</v>
      </c>
    </row>
    <row r="2251" ht="22.5" customHeight="1">
      <c r="A2251" s="25">
        <v>894.0</v>
      </c>
      <c r="B2251" s="26">
        <v>45571.0</v>
      </c>
      <c r="C2251" s="25">
        <v>178.0</v>
      </c>
      <c r="D2251" s="25">
        <v>6.0</v>
      </c>
      <c r="E2251" s="25">
        <v>1.0</v>
      </c>
      <c r="F2251" s="25">
        <v>5.0</v>
      </c>
      <c r="G2251" s="27" t="s">
        <v>24</v>
      </c>
    </row>
    <row r="2252" ht="22.5" customHeight="1">
      <c r="A2252" s="25">
        <v>964.0</v>
      </c>
      <c r="B2252" s="26">
        <v>45571.0</v>
      </c>
      <c r="C2252" s="25">
        <v>220.0</v>
      </c>
      <c r="D2252" s="25">
        <v>18.0</v>
      </c>
      <c r="E2252" s="25">
        <v>4.0</v>
      </c>
      <c r="F2252" s="25">
        <v>4.0</v>
      </c>
      <c r="G2252" s="27" t="s">
        <v>24</v>
      </c>
    </row>
    <row r="2253" ht="22.5" customHeight="1">
      <c r="A2253" s="25">
        <v>1015.0</v>
      </c>
      <c r="B2253" s="26">
        <v>45571.0</v>
      </c>
      <c r="C2253" s="25">
        <v>83.0</v>
      </c>
      <c r="D2253" s="25">
        <v>4.0</v>
      </c>
      <c r="E2253" s="25">
        <v>1.0</v>
      </c>
      <c r="F2253" s="25">
        <v>5.0</v>
      </c>
      <c r="G2253" s="27" t="s">
        <v>24</v>
      </c>
    </row>
    <row r="2254" ht="22.5" customHeight="1">
      <c r="A2254" s="25">
        <v>1528.0</v>
      </c>
      <c r="B2254" s="26">
        <v>45571.0</v>
      </c>
      <c r="C2254" s="25">
        <v>90.0</v>
      </c>
      <c r="D2254" s="25">
        <v>29.0</v>
      </c>
      <c r="E2254" s="25">
        <v>2.0</v>
      </c>
      <c r="F2254" s="25">
        <v>3.0</v>
      </c>
      <c r="G2254" s="27" t="s">
        <v>25</v>
      </c>
    </row>
    <row r="2255" ht="22.5" customHeight="1">
      <c r="A2255" s="25">
        <v>1560.0</v>
      </c>
      <c r="B2255" s="26">
        <v>45571.0</v>
      </c>
      <c r="C2255" s="25">
        <v>240.0</v>
      </c>
      <c r="D2255" s="25">
        <v>9.0</v>
      </c>
      <c r="E2255" s="25">
        <v>5.0</v>
      </c>
      <c r="F2255" s="25">
        <v>3.0</v>
      </c>
      <c r="G2255" s="27" t="s">
        <v>25</v>
      </c>
    </row>
    <row r="2256" ht="22.5" customHeight="1">
      <c r="A2256" s="25">
        <v>1971.0</v>
      </c>
      <c r="B2256" s="26">
        <v>45571.0</v>
      </c>
      <c r="C2256" s="25">
        <v>176.0</v>
      </c>
      <c r="D2256" s="25">
        <v>30.0</v>
      </c>
      <c r="E2256" s="25">
        <v>1.0</v>
      </c>
      <c r="F2256" s="25">
        <v>3.0</v>
      </c>
      <c r="G2256" s="27" t="s">
        <v>24</v>
      </c>
    </row>
    <row r="2257" ht="22.5" customHeight="1">
      <c r="A2257" s="25">
        <v>2491.0</v>
      </c>
      <c r="B2257" s="26">
        <v>45571.0</v>
      </c>
      <c r="C2257" s="25">
        <v>91.0</v>
      </c>
      <c r="D2257" s="25">
        <v>5.0</v>
      </c>
      <c r="E2257" s="25">
        <v>3.0</v>
      </c>
      <c r="F2257" s="25">
        <v>4.0</v>
      </c>
      <c r="G2257" s="27" t="s">
        <v>25</v>
      </c>
    </row>
    <row r="2258" ht="22.5" customHeight="1">
      <c r="A2258" s="25">
        <v>2948.0</v>
      </c>
      <c r="B2258" s="26">
        <v>45571.0</v>
      </c>
      <c r="C2258" s="25">
        <v>278.0</v>
      </c>
      <c r="D2258" s="25">
        <v>32.0</v>
      </c>
      <c r="E2258" s="25">
        <v>6.0</v>
      </c>
      <c r="F2258" s="25">
        <v>4.0</v>
      </c>
      <c r="G2258" s="27" t="s">
        <v>24</v>
      </c>
    </row>
    <row r="2259" ht="22.5" customHeight="1">
      <c r="A2259" s="25">
        <v>137.0</v>
      </c>
      <c r="B2259" s="26">
        <v>45572.0</v>
      </c>
      <c r="C2259" s="25">
        <v>264.0</v>
      </c>
      <c r="D2259" s="25">
        <v>15.0</v>
      </c>
      <c r="E2259" s="25">
        <v>1.0</v>
      </c>
      <c r="F2259" s="25">
        <v>5.0</v>
      </c>
      <c r="G2259" s="27" t="s">
        <v>25</v>
      </c>
    </row>
    <row r="2260" ht="22.5" customHeight="1">
      <c r="A2260" s="25">
        <v>1330.0</v>
      </c>
      <c r="B2260" s="26">
        <v>45572.0</v>
      </c>
      <c r="C2260" s="25">
        <v>285.0</v>
      </c>
      <c r="D2260" s="25">
        <v>7.0</v>
      </c>
      <c r="E2260" s="25">
        <v>6.0</v>
      </c>
      <c r="F2260" s="25">
        <v>4.0</v>
      </c>
      <c r="G2260" s="27" t="s">
        <v>25</v>
      </c>
    </row>
    <row r="2261" ht="22.5" customHeight="1">
      <c r="A2261" s="25">
        <v>1360.0</v>
      </c>
      <c r="B2261" s="26">
        <v>45572.0</v>
      </c>
      <c r="C2261" s="25">
        <v>177.0</v>
      </c>
      <c r="D2261" s="25">
        <v>37.0</v>
      </c>
      <c r="E2261" s="25">
        <v>4.0</v>
      </c>
      <c r="F2261" s="25">
        <v>3.0</v>
      </c>
      <c r="G2261" s="27" t="s">
        <v>24</v>
      </c>
    </row>
    <row r="2262" ht="22.5" customHeight="1">
      <c r="A2262" s="25">
        <v>1571.0</v>
      </c>
      <c r="B2262" s="26">
        <v>45572.0</v>
      </c>
      <c r="C2262" s="25">
        <v>14.0</v>
      </c>
      <c r="D2262" s="25">
        <v>18.0</v>
      </c>
      <c r="E2262" s="25">
        <v>6.0</v>
      </c>
      <c r="F2262" s="25">
        <v>4.0</v>
      </c>
      <c r="G2262" s="27" t="s">
        <v>24</v>
      </c>
    </row>
    <row r="2263" ht="22.5" customHeight="1">
      <c r="A2263" s="25">
        <v>1603.0</v>
      </c>
      <c r="B2263" s="26">
        <v>45572.0</v>
      </c>
      <c r="C2263" s="25">
        <v>50.0</v>
      </c>
      <c r="D2263" s="25">
        <v>22.0</v>
      </c>
      <c r="E2263" s="25">
        <v>3.0</v>
      </c>
      <c r="F2263" s="25">
        <v>4.0</v>
      </c>
      <c r="G2263" s="27" t="s">
        <v>24</v>
      </c>
    </row>
    <row r="2264" ht="22.5" customHeight="1">
      <c r="A2264" s="25">
        <v>2122.0</v>
      </c>
      <c r="B2264" s="26">
        <v>45572.0</v>
      </c>
      <c r="C2264" s="25">
        <v>120.0</v>
      </c>
      <c r="D2264" s="25">
        <v>2.0</v>
      </c>
      <c r="E2264" s="25">
        <v>5.0</v>
      </c>
      <c r="F2264" s="25">
        <v>5.0</v>
      </c>
      <c r="G2264" s="27" t="s">
        <v>24</v>
      </c>
    </row>
    <row r="2265" ht="22.5" customHeight="1">
      <c r="A2265" s="25">
        <v>2275.0</v>
      </c>
      <c r="B2265" s="26">
        <v>45572.0</v>
      </c>
      <c r="C2265" s="25">
        <v>227.0</v>
      </c>
      <c r="D2265" s="25">
        <v>36.0</v>
      </c>
      <c r="E2265" s="25">
        <v>1.0</v>
      </c>
      <c r="F2265" s="25">
        <v>1.0</v>
      </c>
      <c r="G2265" s="27" t="s">
        <v>24</v>
      </c>
    </row>
    <row r="2266" ht="22.5" customHeight="1">
      <c r="A2266" s="25">
        <v>2569.0</v>
      </c>
      <c r="B2266" s="26">
        <v>45572.0</v>
      </c>
      <c r="C2266" s="25">
        <v>177.0</v>
      </c>
      <c r="D2266" s="25">
        <v>32.0</v>
      </c>
      <c r="E2266" s="25">
        <v>4.0</v>
      </c>
      <c r="F2266" s="25">
        <v>4.0</v>
      </c>
      <c r="G2266" s="27" t="s">
        <v>24</v>
      </c>
    </row>
    <row r="2267" ht="22.5" customHeight="1">
      <c r="A2267" s="25">
        <v>2853.0</v>
      </c>
      <c r="B2267" s="26">
        <v>45572.0</v>
      </c>
      <c r="C2267" s="25">
        <v>259.0</v>
      </c>
      <c r="D2267" s="25">
        <v>25.0</v>
      </c>
      <c r="E2267" s="25">
        <v>4.0</v>
      </c>
      <c r="F2267" s="25">
        <v>2.0</v>
      </c>
      <c r="G2267" s="27" t="s">
        <v>24</v>
      </c>
    </row>
    <row r="2268" ht="22.5" customHeight="1">
      <c r="A2268" s="25">
        <v>553.0</v>
      </c>
      <c r="B2268" s="26">
        <v>45573.0</v>
      </c>
      <c r="C2268" s="25">
        <v>255.0</v>
      </c>
      <c r="D2268" s="25">
        <v>21.0</v>
      </c>
      <c r="E2268" s="25">
        <v>5.0</v>
      </c>
      <c r="F2268" s="25">
        <v>4.0</v>
      </c>
      <c r="G2268" s="27" t="s">
        <v>24</v>
      </c>
    </row>
    <row r="2269" ht="22.5" customHeight="1">
      <c r="A2269" s="25">
        <v>2910.0</v>
      </c>
      <c r="B2269" s="26">
        <v>45573.0</v>
      </c>
      <c r="C2269" s="25">
        <v>77.0</v>
      </c>
      <c r="D2269" s="25">
        <v>34.0</v>
      </c>
      <c r="E2269" s="25">
        <v>4.0</v>
      </c>
      <c r="F2269" s="25">
        <v>1.0</v>
      </c>
      <c r="G2269" s="27" t="s">
        <v>24</v>
      </c>
    </row>
    <row r="2270" ht="22.5" customHeight="1">
      <c r="A2270" s="25">
        <v>712.0</v>
      </c>
      <c r="B2270" s="26">
        <v>45574.0</v>
      </c>
      <c r="C2270" s="25">
        <v>247.0</v>
      </c>
      <c r="D2270" s="25">
        <v>15.0</v>
      </c>
      <c r="E2270" s="25">
        <v>4.0</v>
      </c>
      <c r="F2270" s="25">
        <v>1.0</v>
      </c>
      <c r="G2270" s="27" t="s">
        <v>24</v>
      </c>
    </row>
    <row r="2271" ht="22.5" customHeight="1">
      <c r="A2271" s="25">
        <v>769.0</v>
      </c>
      <c r="B2271" s="26">
        <v>45574.0</v>
      </c>
      <c r="C2271" s="25">
        <v>289.0</v>
      </c>
      <c r="D2271" s="25">
        <v>17.0</v>
      </c>
      <c r="E2271" s="25">
        <v>5.0</v>
      </c>
      <c r="F2271" s="25">
        <v>3.0</v>
      </c>
      <c r="G2271" s="27" t="s">
        <v>24</v>
      </c>
    </row>
    <row r="2272" ht="22.5" customHeight="1">
      <c r="A2272" s="25">
        <v>1012.0</v>
      </c>
      <c r="B2272" s="26">
        <v>45574.0</v>
      </c>
      <c r="C2272" s="25">
        <v>127.0</v>
      </c>
      <c r="D2272" s="25">
        <v>1.0</v>
      </c>
      <c r="E2272" s="25">
        <v>2.0</v>
      </c>
      <c r="F2272" s="25">
        <v>4.0</v>
      </c>
      <c r="G2272" s="27" t="s">
        <v>24</v>
      </c>
    </row>
    <row r="2273" ht="22.5" customHeight="1">
      <c r="A2273" s="25">
        <v>1280.0</v>
      </c>
      <c r="B2273" s="26">
        <v>45574.0</v>
      </c>
      <c r="C2273" s="25">
        <v>239.0</v>
      </c>
      <c r="D2273" s="25">
        <v>10.0</v>
      </c>
      <c r="E2273" s="25">
        <v>1.0</v>
      </c>
      <c r="F2273" s="25">
        <v>5.0</v>
      </c>
      <c r="G2273" s="27" t="s">
        <v>24</v>
      </c>
    </row>
    <row r="2274" ht="22.5" customHeight="1">
      <c r="A2274" s="25">
        <v>1512.0</v>
      </c>
      <c r="B2274" s="26">
        <v>45574.0</v>
      </c>
      <c r="C2274" s="25">
        <v>91.0</v>
      </c>
      <c r="D2274" s="25">
        <v>11.0</v>
      </c>
      <c r="E2274" s="25">
        <v>2.0</v>
      </c>
      <c r="F2274" s="25">
        <v>5.0</v>
      </c>
      <c r="G2274" s="27" t="s">
        <v>24</v>
      </c>
    </row>
    <row r="2275" ht="22.5" customHeight="1">
      <c r="A2275" s="25">
        <v>1684.0</v>
      </c>
      <c r="B2275" s="26">
        <v>45574.0</v>
      </c>
      <c r="C2275" s="25">
        <v>174.0</v>
      </c>
      <c r="D2275" s="25">
        <v>8.0</v>
      </c>
      <c r="E2275" s="25">
        <v>3.0</v>
      </c>
      <c r="F2275" s="25">
        <v>5.0</v>
      </c>
      <c r="G2275" s="27" t="s">
        <v>24</v>
      </c>
    </row>
    <row r="2276" ht="22.5" customHeight="1">
      <c r="A2276" s="25">
        <v>2662.0</v>
      </c>
      <c r="B2276" s="26">
        <v>45574.0</v>
      </c>
      <c r="C2276" s="25">
        <v>15.0</v>
      </c>
      <c r="D2276" s="25">
        <v>14.0</v>
      </c>
      <c r="E2276" s="25">
        <v>6.0</v>
      </c>
      <c r="F2276" s="25">
        <v>4.0</v>
      </c>
      <c r="G2276" s="27" t="s">
        <v>24</v>
      </c>
    </row>
    <row r="2277" ht="22.5" customHeight="1">
      <c r="A2277" s="25">
        <v>2919.0</v>
      </c>
      <c r="B2277" s="26">
        <v>45574.0</v>
      </c>
      <c r="C2277" s="25">
        <v>238.0</v>
      </c>
      <c r="D2277" s="25">
        <v>32.0</v>
      </c>
      <c r="E2277" s="25">
        <v>4.0</v>
      </c>
      <c r="F2277" s="25">
        <v>5.0</v>
      </c>
      <c r="G2277" s="27" t="s">
        <v>24</v>
      </c>
    </row>
    <row r="2278" ht="22.5" customHeight="1">
      <c r="A2278" s="25">
        <v>363.0</v>
      </c>
      <c r="B2278" s="26">
        <v>45575.0</v>
      </c>
      <c r="C2278" s="25">
        <v>219.0</v>
      </c>
      <c r="D2278" s="25">
        <v>23.0</v>
      </c>
      <c r="E2278" s="25">
        <v>2.0</v>
      </c>
      <c r="F2278" s="25">
        <v>2.0</v>
      </c>
      <c r="G2278" s="27" t="s">
        <v>24</v>
      </c>
    </row>
    <row r="2279" ht="22.5" customHeight="1">
      <c r="A2279" s="25">
        <v>430.0</v>
      </c>
      <c r="B2279" s="26">
        <v>45575.0</v>
      </c>
      <c r="C2279" s="25">
        <v>26.0</v>
      </c>
      <c r="D2279" s="25">
        <v>25.0</v>
      </c>
      <c r="E2279" s="25">
        <v>2.0</v>
      </c>
      <c r="F2279" s="25">
        <v>5.0</v>
      </c>
      <c r="G2279" s="27" t="s">
        <v>24</v>
      </c>
    </row>
    <row r="2280" ht="22.5" customHeight="1">
      <c r="A2280" s="25">
        <v>541.0</v>
      </c>
      <c r="B2280" s="26">
        <v>45575.0</v>
      </c>
      <c r="C2280" s="25">
        <v>106.0</v>
      </c>
      <c r="D2280" s="25">
        <v>21.0</v>
      </c>
      <c r="E2280" s="25">
        <v>4.0</v>
      </c>
      <c r="F2280" s="25">
        <v>1.0</v>
      </c>
      <c r="G2280" s="27" t="s">
        <v>24</v>
      </c>
    </row>
    <row r="2281" ht="22.5" customHeight="1">
      <c r="A2281" s="25">
        <v>602.0</v>
      </c>
      <c r="B2281" s="26">
        <v>45575.0</v>
      </c>
      <c r="C2281" s="25">
        <v>53.0</v>
      </c>
      <c r="D2281" s="25">
        <v>35.0</v>
      </c>
      <c r="E2281" s="25">
        <v>1.0</v>
      </c>
      <c r="F2281" s="25">
        <v>4.0</v>
      </c>
      <c r="G2281" s="27" t="s">
        <v>24</v>
      </c>
    </row>
    <row r="2282" ht="22.5" customHeight="1">
      <c r="A2282" s="25">
        <v>740.0</v>
      </c>
      <c r="B2282" s="26">
        <v>45575.0</v>
      </c>
      <c r="C2282" s="25">
        <v>62.0</v>
      </c>
      <c r="D2282" s="25">
        <v>17.0</v>
      </c>
      <c r="E2282" s="25">
        <v>3.0</v>
      </c>
      <c r="F2282" s="25">
        <v>3.0</v>
      </c>
      <c r="G2282" s="27" t="s">
        <v>24</v>
      </c>
    </row>
    <row r="2283" ht="22.5" customHeight="1">
      <c r="A2283" s="25">
        <v>1246.0</v>
      </c>
      <c r="B2283" s="26">
        <v>45575.0</v>
      </c>
      <c r="C2283" s="25">
        <v>54.0</v>
      </c>
      <c r="D2283" s="25">
        <v>38.0</v>
      </c>
      <c r="E2283" s="25">
        <v>6.0</v>
      </c>
      <c r="F2283" s="25">
        <v>2.0</v>
      </c>
      <c r="G2283" s="27" t="s">
        <v>24</v>
      </c>
    </row>
    <row r="2284" ht="22.5" customHeight="1">
      <c r="A2284" s="25">
        <v>1414.0</v>
      </c>
      <c r="B2284" s="26">
        <v>45575.0</v>
      </c>
      <c r="C2284" s="25">
        <v>248.0</v>
      </c>
      <c r="D2284" s="25">
        <v>24.0</v>
      </c>
      <c r="E2284" s="25">
        <v>4.0</v>
      </c>
      <c r="F2284" s="25">
        <v>5.0</v>
      </c>
      <c r="G2284" s="27" t="s">
        <v>25</v>
      </c>
    </row>
    <row r="2285" ht="22.5" customHeight="1">
      <c r="A2285" s="25">
        <v>2523.0</v>
      </c>
      <c r="B2285" s="26">
        <v>45575.0</v>
      </c>
      <c r="C2285" s="25">
        <v>63.0</v>
      </c>
      <c r="D2285" s="25">
        <v>17.0</v>
      </c>
      <c r="E2285" s="25">
        <v>6.0</v>
      </c>
      <c r="F2285" s="25">
        <v>5.0</v>
      </c>
      <c r="G2285" s="27" t="s">
        <v>24</v>
      </c>
    </row>
    <row r="2286" ht="22.5" customHeight="1">
      <c r="A2286" s="25">
        <v>2684.0</v>
      </c>
      <c r="B2286" s="26">
        <v>45575.0</v>
      </c>
      <c r="C2286" s="25">
        <v>282.0</v>
      </c>
      <c r="D2286" s="25">
        <v>35.0</v>
      </c>
      <c r="E2286" s="25">
        <v>5.0</v>
      </c>
      <c r="F2286" s="25">
        <v>2.0</v>
      </c>
      <c r="G2286" s="27" t="s">
        <v>24</v>
      </c>
    </row>
    <row r="2287" ht="22.5" customHeight="1">
      <c r="A2287" s="25">
        <v>2776.0</v>
      </c>
      <c r="B2287" s="26">
        <v>45575.0</v>
      </c>
      <c r="C2287" s="25">
        <v>10.0</v>
      </c>
      <c r="D2287" s="25">
        <v>33.0</v>
      </c>
      <c r="E2287" s="25">
        <v>3.0</v>
      </c>
      <c r="F2287" s="25">
        <v>3.0</v>
      </c>
      <c r="G2287" s="27" t="s">
        <v>25</v>
      </c>
    </row>
    <row r="2288" ht="22.5" customHeight="1">
      <c r="A2288" s="25">
        <v>36.0</v>
      </c>
      <c r="B2288" s="26">
        <v>45576.0</v>
      </c>
      <c r="C2288" s="25">
        <v>77.0</v>
      </c>
      <c r="D2288" s="25">
        <v>27.0</v>
      </c>
      <c r="E2288" s="25">
        <v>2.0</v>
      </c>
      <c r="F2288" s="25">
        <v>1.0</v>
      </c>
      <c r="G2288" s="27" t="s">
        <v>24</v>
      </c>
    </row>
    <row r="2289" ht="22.5" customHeight="1">
      <c r="A2289" s="25">
        <v>84.0</v>
      </c>
      <c r="B2289" s="26">
        <v>45576.0</v>
      </c>
      <c r="C2289" s="25">
        <v>110.0</v>
      </c>
      <c r="D2289" s="25">
        <v>13.0</v>
      </c>
      <c r="E2289" s="25">
        <v>1.0</v>
      </c>
      <c r="F2289" s="25">
        <v>4.0</v>
      </c>
      <c r="G2289" s="27" t="s">
        <v>24</v>
      </c>
    </row>
    <row r="2290" ht="22.5" customHeight="1">
      <c r="A2290" s="25">
        <v>285.0</v>
      </c>
      <c r="B2290" s="26">
        <v>45576.0</v>
      </c>
      <c r="C2290" s="25">
        <v>239.0</v>
      </c>
      <c r="D2290" s="25">
        <v>15.0</v>
      </c>
      <c r="E2290" s="25">
        <v>2.0</v>
      </c>
      <c r="F2290" s="25">
        <v>1.0</v>
      </c>
      <c r="G2290" s="27" t="s">
        <v>24</v>
      </c>
    </row>
    <row r="2291" ht="22.5" customHeight="1">
      <c r="A2291" s="25">
        <v>993.0</v>
      </c>
      <c r="B2291" s="26">
        <v>45576.0</v>
      </c>
      <c r="C2291" s="25">
        <v>313.0</v>
      </c>
      <c r="D2291" s="25">
        <v>10.0</v>
      </c>
      <c r="E2291" s="25">
        <v>5.0</v>
      </c>
      <c r="F2291" s="25">
        <v>4.0</v>
      </c>
      <c r="G2291" s="27" t="s">
        <v>24</v>
      </c>
    </row>
    <row r="2292" ht="22.5" customHeight="1">
      <c r="A2292" s="25">
        <v>1152.0</v>
      </c>
      <c r="B2292" s="26">
        <v>45576.0</v>
      </c>
      <c r="C2292" s="25">
        <v>111.0</v>
      </c>
      <c r="D2292" s="25">
        <v>6.0</v>
      </c>
      <c r="E2292" s="25">
        <v>3.0</v>
      </c>
      <c r="F2292" s="25">
        <v>4.0</v>
      </c>
      <c r="G2292" s="27" t="s">
        <v>24</v>
      </c>
    </row>
    <row r="2293" ht="22.5" customHeight="1">
      <c r="A2293" s="25">
        <v>1701.0</v>
      </c>
      <c r="B2293" s="26">
        <v>45576.0</v>
      </c>
      <c r="C2293" s="25">
        <v>200.0</v>
      </c>
      <c r="D2293" s="25">
        <v>3.0</v>
      </c>
      <c r="E2293" s="25">
        <v>2.0</v>
      </c>
      <c r="F2293" s="25">
        <v>5.0</v>
      </c>
      <c r="G2293" s="27" t="s">
        <v>25</v>
      </c>
    </row>
    <row r="2294" ht="22.5" customHeight="1">
      <c r="A2294" s="25">
        <v>1726.0</v>
      </c>
      <c r="B2294" s="26">
        <v>45576.0</v>
      </c>
      <c r="C2294" s="25">
        <v>241.0</v>
      </c>
      <c r="D2294" s="25">
        <v>28.0</v>
      </c>
      <c r="E2294" s="25">
        <v>3.0</v>
      </c>
      <c r="F2294" s="25">
        <v>4.0</v>
      </c>
      <c r="G2294" s="27" t="s">
        <v>24</v>
      </c>
    </row>
    <row r="2295" ht="22.5" customHeight="1">
      <c r="A2295" s="25">
        <v>2104.0</v>
      </c>
      <c r="B2295" s="26">
        <v>45576.0</v>
      </c>
      <c r="C2295" s="25">
        <v>320.0</v>
      </c>
      <c r="D2295" s="25">
        <v>15.0</v>
      </c>
      <c r="E2295" s="25">
        <v>5.0</v>
      </c>
      <c r="F2295" s="25">
        <v>4.0</v>
      </c>
      <c r="G2295" s="27" t="s">
        <v>25</v>
      </c>
    </row>
    <row r="2296" ht="22.5" customHeight="1">
      <c r="A2296" s="25">
        <v>2710.0</v>
      </c>
      <c r="B2296" s="26">
        <v>45576.0</v>
      </c>
      <c r="C2296" s="25">
        <v>5.0</v>
      </c>
      <c r="D2296" s="25">
        <v>8.0</v>
      </c>
      <c r="E2296" s="25">
        <v>2.0</v>
      </c>
      <c r="F2296" s="25">
        <v>5.0</v>
      </c>
      <c r="G2296" s="27" t="s">
        <v>24</v>
      </c>
    </row>
    <row r="2297" ht="22.5" customHeight="1">
      <c r="A2297" s="25">
        <v>2953.0</v>
      </c>
      <c r="B2297" s="26">
        <v>45576.0</v>
      </c>
      <c r="C2297" s="25">
        <v>1.0</v>
      </c>
      <c r="D2297" s="25">
        <v>22.0</v>
      </c>
      <c r="E2297" s="25">
        <v>5.0</v>
      </c>
      <c r="F2297" s="25">
        <v>4.0</v>
      </c>
      <c r="G2297" s="27" t="s">
        <v>24</v>
      </c>
    </row>
    <row r="2298" ht="22.5" customHeight="1">
      <c r="A2298" s="25">
        <v>310.0</v>
      </c>
      <c r="B2298" s="26">
        <v>45577.0</v>
      </c>
      <c r="C2298" s="25">
        <v>152.0</v>
      </c>
      <c r="D2298" s="25">
        <v>25.0</v>
      </c>
      <c r="E2298" s="25">
        <v>3.0</v>
      </c>
      <c r="F2298" s="25">
        <v>5.0</v>
      </c>
      <c r="G2298" s="27" t="s">
        <v>24</v>
      </c>
    </row>
    <row r="2299" ht="22.5" customHeight="1">
      <c r="A2299" s="25">
        <v>359.0</v>
      </c>
      <c r="B2299" s="26">
        <v>45577.0</v>
      </c>
      <c r="C2299" s="25">
        <v>56.0</v>
      </c>
      <c r="D2299" s="25">
        <v>18.0</v>
      </c>
      <c r="E2299" s="25">
        <v>1.0</v>
      </c>
      <c r="F2299" s="25">
        <v>5.0</v>
      </c>
      <c r="G2299" s="27" t="s">
        <v>24</v>
      </c>
    </row>
    <row r="2300" ht="22.5" customHeight="1">
      <c r="A2300" s="25">
        <v>394.0</v>
      </c>
      <c r="B2300" s="26">
        <v>45577.0</v>
      </c>
      <c r="C2300" s="25">
        <v>293.0</v>
      </c>
      <c r="D2300" s="25">
        <v>24.0</v>
      </c>
      <c r="E2300" s="25">
        <v>6.0</v>
      </c>
      <c r="F2300" s="25">
        <v>5.0</v>
      </c>
      <c r="G2300" s="27" t="s">
        <v>24</v>
      </c>
    </row>
    <row r="2301" ht="22.5" customHeight="1">
      <c r="A2301" s="25">
        <v>1748.0</v>
      </c>
      <c r="B2301" s="26">
        <v>45577.0</v>
      </c>
      <c r="C2301" s="25">
        <v>218.0</v>
      </c>
      <c r="D2301" s="25">
        <v>32.0</v>
      </c>
      <c r="E2301" s="25">
        <v>4.0</v>
      </c>
      <c r="F2301" s="25">
        <v>3.0</v>
      </c>
      <c r="G2301" s="27" t="s">
        <v>24</v>
      </c>
    </row>
    <row r="2302" ht="22.5" customHeight="1">
      <c r="A2302" s="25">
        <v>2099.0</v>
      </c>
      <c r="B2302" s="26">
        <v>45577.0</v>
      </c>
      <c r="C2302" s="25">
        <v>147.0</v>
      </c>
      <c r="D2302" s="25">
        <v>34.0</v>
      </c>
      <c r="E2302" s="25">
        <v>1.0</v>
      </c>
      <c r="F2302" s="25">
        <v>5.0</v>
      </c>
      <c r="G2302" s="27" t="s">
        <v>24</v>
      </c>
    </row>
    <row r="2303" ht="22.5" customHeight="1">
      <c r="A2303" s="25">
        <v>2360.0</v>
      </c>
      <c r="B2303" s="26">
        <v>45577.0</v>
      </c>
      <c r="C2303" s="25">
        <v>250.0</v>
      </c>
      <c r="D2303" s="25">
        <v>21.0</v>
      </c>
      <c r="E2303" s="25">
        <v>1.0</v>
      </c>
      <c r="F2303" s="25">
        <v>4.0</v>
      </c>
      <c r="G2303" s="27" t="s">
        <v>24</v>
      </c>
    </row>
    <row r="2304" ht="22.5" customHeight="1">
      <c r="A2304" s="25">
        <v>2387.0</v>
      </c>
      <c r="B2304" s="26">
        <v>45577.0</v>
      </c>
      <c r="C2304" s="25">
        <v>22.0</v>
      </c>
      <c r="D2304" s="25">
        <v>32.0</v>
      </c>
      <c r="E2304" s="25">
        <v>2.0</v>
      </c>
      <c r="F2304" s="25">
        <v>4.0</v>
      </c>
      <c r="G2304" s="27" t="s">
        <v>24</v>
      </c>
    </row>
    <row r="2305" ht="22.5" customHeight="1">
      <c r="A2305" s="25">
        <v>2922.0</v>
      </c>
      <c r="B2305" s="26">
        <v>45577.0</v>
      </c>
      <c r="C2305" s="25">
        <v>230.0</v>
      </c>
      <c r="D2305" s="25">
        <v>22.0</v>
      </c>
      <c r="E2305" s="25">
        <v>4.0</v>
      </c>
      <c r="F2305" s="25">
        <v>1.0</v>
      </c>
      <c r="G2305" s="27" t="s">
        <v>24</v>
      </c>
    </row>
    <row r="2306" ht="22.5" customHeight="1">
      <c r="A2306" s="25">
        <v>301.0</v>
      </c>
      <c r="B2306" s="26">
        <v>45578.0</v>
      </c>
      <c r="C2306" s="25">
        <v>326.0</v>
      </c>
      <c r="D2306" s="25">
        <v>21.0</v>
      </c>
      <c r="E2306" s="25">
        <v>4.0</v>
      </c>
      <c r="F2306" s="25">
        <v>4.0</v>
      </c>
      <c r="G2306" s="27" t="s">
        <v>24</v>
      </c>
    </row>
    <row r="2307" ht="22.5" customHeight="1">
      <c r="A2307" s="25">
        <v>859.0</v>
      </c>
      <c r="B2307" s="26">
        <v>45578.0</v>
      </c>
      <c r="C2307" s="25">
        <v>78.0</v>
      </c>
      <c r="D2307" s="25">
        <v>8.0</v>
      </c>
      <c r="E2307" s="25">
        <v>4.0</v>
      </c>
      <c r="F2307" s="25">
        <v>3.0</v>
      </c>
      <c r="G2307" s="27" t="s">
        <v>24</v>
      </c>
    </row>
    <row r="2308" ht="22.5" customHeight="1">
      <c r="A2308" s="25">
        <v>1836.0</v>
      </c>
      <c r="B2308" s="26">
        <v>45578.0</v>
      </c>
      <c r="C2308" s="25">
        <v>141.0</v>
      </c>
      <c r="D2308" s="25">
        <v>18.0</v>
      </c>
      <c r="E2308" s="25">
        <v>5.0</v>
      </c>
      <c r="F2308" s="25">
        <v>1.0</v>
      </c>
      <c r="G2308" s="27" t="s">
        <v>24</v>
      </c>
    </row>
    <row r="2309" ht="22.5" customHeight="1">
      <c r="A2309" s="25">
        <v>2113.0</v>
      </c>
      <c r="B2309" s="26">
        <v>45578.0</v>
      </c>
      <c r="C2309" s="25">
        <v>119.0</v>
      </c>
      <c r="D2309" s="25">
        <v>37.0</v>
      </c>
      <c r="E2309" s="25">
        <v>6.0</v>
      </c>
      <c r="F2309" s="25">
        <v>5.0</v>
      </c>
      <c r="G2309" s="27" t="s">
        <v>24</v>
      </c>
    </row>
    <row r="2310" ht="22.5" customHeight="1">
      <c r="A2310" s="25">
        <v>2370.0</v>
      </c>
      <c r="B2310" s="26">
        <v>45578.0</v>
      </c>
      <c r="C2310" s="25">
        <v>19.0</v>
      </c>
      <c r="D2310" s="25">
        <v>28.0</v>
      </c>
      <c r="E2310" s="25">
        <v>5.0</v>
      </c>
      <c r="F2310" s="25">
        <v>2.0</v>
      </c>
      <c r="G2310" s="27" t="s">
        <v>24</v>
      </c>
    </row>
    <row r="2311" ht="22.5" customHeight="1">
      <c r="A2311" s="25">
        <v>2952.0</v>
      </c>
      <c r="B2311" s="26">
        <v>45578.0</v>
      </c>
      <c r="C2311" s="25">
        <v>23.0</v>
      </c>
      <c r="D2311" s="25">
        <v>32.0</v>
      </c>
      <c r="E2311" s="25">
        <v>6.0</v>
      </c>
      <c r="F2311" s="25">
        <v>1.0</v>
      </c>
      <c r="G2311" s="27" t="s">
        <v>24</v>
      </c>
    </row>
    <row r="2312" ht="22.5" customHeight="1">
      <c r="A2312" s="25">
        <v>564.0</v>
      </c>
      <c r="B2312" s="26">
        <v>45579.0</v>
      </c>
      <c r="C2312" s="25">
        <v>11.0</v>
      </c>
      <c r="D2312" s="25">
        <v>35.0</v>
      </c>
      <c r="E2312" s="25">
        <v>5.0</v>
      </c>
      <c r="F2312" s="25">
        <v>1.0</v>
      </c>
      <c r="G2312" s="27" t="s">
        <v>24</v>
      </c>
    </row>
    <row r="2313" ht="22.5" customHeight="1">
      <c r="A2313" s="25">
        <v>856.0</v>
      </c>
      <c r="B2313" s="26">
        <v>45579.0</v>
      </c>
      <c r="C2313" s="25">
        <v>27.0</v>
      </c>
      <c r="D2313" s="25">
        <v>19.0</v>
      </c>
      <c r="E2313" s="25">
        <v>2.0</v>
      </c>
      <c r="F2313" s="25">
        <v>5.0</v>
      </c>
      <c r="G2313" s="27" t="s">
        <v>24</v>
      </c>
    </row>
    <row r="2314" ht="22.5" customHeight="1">
      <c r="A2314" s="25">
        <v>872.0</v>
      </c>
      <c r="B2314" s="26">
        <v>45579.0</v>
      </c>
      <c r="C2314" s="25">
        <v>29.0</v>
      </c>
      <c r="D2314" s="25">
        <v>16.0</v>
      </c>
      <c r="E2314" s="25">
        <v>6.0</v>
      </c>
      <c r="F2314" s="25">
        <v>1.0</v>
      </c>
      <c r="G2314" s="27" t="s">
        <v>24</v>
      </c>
    </row>
    <row r="2315" ht="22.5" customHeight="1">
      <c r="A2315" s="25">
        <v>921.0</v>
      </c>
      <c r="B2315" s="26">
        <v>45579.0</v>
      </c>
      <c r="C2315" s="25">
        <v>46.0</v>
      </c>
      <c r="D2315" s="25">
        <v>21.0</v>
      </c>
      <c r="E2315" s="25">
        <v>2.0</v>
      </c>
      <c r="F2315" s="25">
        <v>5.0</v>
      </c>
      <c r="G2315" s="27" t="s">
        <v>24</v>
      </c>
    </row>
    <row r="2316" ht="22.5" customHeight="1">
      <c r="A2316" s="25">
        <v>1021.0</v>
      </c>
      <c r="B2316" s="26">
        <v>45579.0</v>
      </c>
      <c r="C2316" s="25">
        <v>24.0</v>
      </c>
      <c r="D2316" s="25">
        <v>20.0</v>
      </c>
      <c r="E2316" s="25">
        <v>6.0</v>
      </c>
      <c r="F2316" s="25">
        <v>2.0</v>
      </c>
      <c r="G2316" s="27" t="s">
        <v>24</v>
      </c>
    </row>
    <row r="2317" ht="22.5" customHeight="1">
      <c r="A2317" s="25">
        <v>1376.0</v>
      </c>
      <c r="B2317" s="26">
        <v>45579.0</v>
      </c>
      <c r="C2317" s="25">
        <v>61.0</v>
      </c>
      <c r="D2317" s="25">
        <v>16.0</v>
      </c>
      <c r="E2317" s="25">
        <v>1.0</v>
      </c>
      <c r="F2317" s="25">
        <v>2.0</v>
      </c>
      <c r="G2317" s="27" t="s">
        <v>24</v>
      </c>
    </row>
    <row r="2318" ht="22.5" customHeight="1">
      <c r="A2318" s="25">
        <v>1585.0</v>
      </c>
      <c r="B2318" s="26">
        <v>45579.0</v>
      </c>
      <c r="C2318" s="25">
        <v>297.0</v>
      </c>
      <c r="D2318" s="25">
        <v>9.0</v>
      </c>
      <c r="E2318" s="25">
        <v>2.0</v>
      </c>
      <c r="F2318" s="25">
        <v>4.0</v>
      </c>
      <c r="G2318" s="27" t="s">
        <v>24</v>
      </c>
    </row>
    <row r="2319" ht="22.5" customHeight="1">
      <c r="A2319" s="25">
        <v>1768.0</v>
      </c>
      <c r="B2319" s="26">
        <v>45579.0</v>
      </c>
      <c r="C2319" s="25">
        <v>260.0</v>
      </c>
      <c r="D2319" s="25">
        <v>21.0</v>
      </c>
      <c r="E2319" s="25">
        <v>5.0</v>
      </c>
      <c r="F2319" s="25">
        <v>4.0</v>
      </c>
      <c r="G2319" s="27" t="s">
        <v>24</v>
      </c>
    </row>
    <row r="2320" ht="22.5" customHeight="1">
      <c r="A2320" s="25">
        <v>2374.0</v>
      </c>
      <c r="B2320" s="26">
        <v>45579.0</v>
      </c>
      <c r="C2320" s="25">
        <v>8.0</v>
      </c>
      <c r="D2320" s="25">
        <v>2.0</v>
      </c>
      <c r="E2320" s="25">
        <v>5.0</v>
      </c>
      <c r="F2320" s="25">
        <v>5.0</v>
      </c>
      <c r="G2320" s="27" t="s">
        <v>24</v>
      </c>
    </row>
    <row r="2321" ht="22.5" customHeight="1">
      <c r="A2321" s="25">
        <v>2829.0</v>
      </c>
      <c r="B2321" s="26">
        <v>45579.0</v>
      </c>
      <c r="C2321" s="25">
        <v>188.0</v>
      </c>
      <c r="D2321" s="25">
        <v>2.0</v>
      </c>
      <c r="E2321" s="25">
        <v>1.0</v>
      </c>
      <c r="F2321" s="25">
        <v>5.0</v>
      </c>
      <c r="G2321" s="27" t="s">
        <v>25</v>
      </c>
    </row>
    <row r="2322" ht="22.5" customHeight="1">
      <c r="A2322" s="25">
        <v>569.0</v>
      </c>
      <c r="B2322" s="26">
        <v>45580.0</v>
      </c>
      <c r="C2322" s="25">
        <v>184.0</v>
      </c>
      <c r="D2322" s="25">
        <v>25.0</v>
      </c>
      <c r="E2322" s="25">
        <v>4.0</v>
      </c>
      <c r="F2322" s="25">
        <v>1.0</v>
      </c>
      <c r="G2322" s="27" t="s">
        <v>24</v>
      </c>
    </row>
    <row r="2323" ht="22.5" customHeight="1">
      <c r="A2323" s="25">
        <v>653.0</v>
      </c>
      <c r="B2323" s="26">
        <v>45580.0</v>
      </c>
      <c r="C2323" s="25">
        <v>29.0</v>
      </c>
      <c r="D2323" s="25">
        <v>3.0</v>
      </c>
      <c r="E2323" s="25">
        <v>1.0</v>
      </c>
      <c r="F2323" s="25">
        <v>3.0</v>
      </c>
      <c r="G2323" s="27" t="s">
        <v>24</v>
      </c>
    </row>
    <row r="2324" ht="22.5" customHeight="1">
      <c r="A2324" s="25">
        <v>918.0</v>
      </c>
      <c r="B2324" s="26">
        <v>45580.0</v>
      </c>
      <c r="C2324" s="25">
        <v>61.0</v>
      </c>
      <c r="D2324" s="25">
        <v>11.0</v>
      </c>
      <c r="E2324" s="25">
        <v>2.0</v>
      </c>
      <c r="F2324" s="25">
        <v>1.0</v>
      </c>
      <c r="G2324" s="27" t="s">
        <v>24</v>
      </c>
    </row>
    <row r="2325" ht="22.5" customHeight="1">
      <c r="A2325" s="25">
        <v>945.0</v>
      </c>
      <c r="B2325" s="26">
        <v>45580.0</v>
      </c>
      <c r="C2325" s="25">
        <v>241.0</v>
      </c>
      <c r="D2325" s="25">
        <v>30.0</v>
      </c>
      <c r="E2325" s="25">
        <v>5.0</v>
      </c>
      <c r="F2325" s="25">
        <v>3.0</v>
      </c>
      <c r="G2325" s="27" t="s">
        <v>24</v>
      </c>
    </row>
    <row r="2326" ht="22.5" customHeight="1">
      <c r="A2326" s="25">
        <v>1024.0</v>
      </c>
      <c r="B2326" s="26">
        <v>45580.0</v>
      </c>
      <c r="C2326" s="25">
        <v>168.0</v>
      </c>
      <c r="D2326" s="25">
        <v>37.0</v>
      </c>
      <c r="E2326" s="25">
        <v>1.0</v>
      </c>
      <c r="F2326" s="25">
        <v>3.0</v>
      </c>
      <c r="G2326" s="27" t="s">
        <v>24</v>
      </c>
    </row>
    <row r="2327" ht="22.5" customHeight="1">
      <c r="A2327" s="25">
        <v>1374.0</v>
      </c>
      <c r="B2327" s="26">
        <v>45580.0</v>
      </c>
      <c r="C2327" s="25">
        <v>21.0</v>
      </c>
      <c r="D2327" s="25">
        <v>38.0</v>
      </c>
      <c r="E2327" s="25">
        <v>4.0</v>
      </c>
      <c r="F2327" s="25">
        <v>3.0</v>
      </c>
      <c r="G2327" s="27" t="s">
        <v>24</v>
      </c>
    </row>
    <row r="2328" ht="22.5" customHeight="1">
      <c r="A2328" s="25">
        <v>1469.0</v>
      </c>
      <c r="B2328" s="26">
        <v>45580.0</v>
      </c>
      <c r="C2328" s="25">
        <v>104.0</v>
      </c>
      <c r="D2328" s="25">
        <v>25.0</v>
      </c>
      <c r="E2328" s="25">
        <v>2.0</v>
      </c>
      <c r="F2328" s="25">
        <v>3.0</v>
      </c>
      <c r="G2328" s="27" t="s">
        <v>24</v>
      </c>
    </row>
    <row r="2329" ht="22.5" customHeight="1">
      <c r="A2329" s="25">
        <v>1538.0</v>
      </c>
      <c r="B2329" s="26">
        <v>45580.0</v>
      </c>
      <c r="C2329" s="25">
        <v>104.0</v>
      </c>
      <c r="D2329" s="25">
        <v>29.0</v>
      </c>
      <c r="E2329" s="25">
        <v>6.0</v>
      </c>
      <c r="F2329" s="25">
        <v>5.0</v>
      </c>
      <c r="G2329" s="27" t="s">
        <v>24</v>
      </c>
    </row>
    <row r="2330" ht="22.5" customHeight="1">
      <c r="A2330" s="25">
        <v>2352.0</v>
      </c>
      <c r="B2330" s="26">
        <v>45580.0</v>
      </c>
      <c r="C2330" s="25">
        <v>193.0</v>
      </c>
      <c r="D2330" s="25">
        <v>31.0</v>
      </c>
      <c r="E2330" s="25">
        <v>6.0</v>
      </c>
      <c r="F2330" s="25">
        <v>1.0</v>
      </c>
      <c r="G2330" s="27" t="s">
        <v>25</v>
      </c>
    </row>
    <row r="2331" ht="22.5" customHeight="1">
      <c r="A2331" s="25">
        <v>2818.0</v>
      </c>
      <c r="B2331" s="26">
        <v>45580.0</v>
      </c>
      <c r="C2331" s="25">
        <v>310.0</v>
      </c>
      <c r="D2331" s="25">
        <v>30.0</v>
      </c>
      <c r="E2331" s="25">
        <v>2.0</v>
      </c>
      <c r="F2331" s="25">
        <v>4.0</v>
      </c>
      <c r="G2331" s="27" t="s">
        <v>24</v>
      </c>
    </row>
    <row r="2332" ht="22.5" customHeight="1">
      <c r="A2332" s="25">
        <v>2847.0</v>
      </c>
      <c r="B2332" s="26">
        <v>45580.0</v>
      </c>
      <c r="C2332" s="25">
        <v>180.0</v>
      </c>
      <c r="D2332" s="25">
        <v>15.0</v>
      </c>
      <c r="E2332" s="25">
        <v>2.0</v>
      </c>
      <c r="F2332" s="25">
        <v>5.0</v>
      </c>
      <c r="G2332" s="27" t="s">
        <v>24</v>
      </c>
    </row>
    <row r="2333" ht="22.5" customHeight="1">
      <c r="A2333" s="25">
        <v>307.0</v>
      </c>
      <c r="B2333" s="26">
        <v>45581.0</v>
      </c>
      <c r="C2333" s="25">
        <v>50.0</v>
      </c>
      <c r="D2333" s="25">
        <v>27.0</v>
      </c>
      <c r="E2333" s="25">
        <v>1.0</v>
      </c>
      <c r="F2333" s="25">
        <v>2.0</v>
      </c>
      <c r="G2333" s="27" t="s">
        <v>24</v>
      </c>
    </row>
    <row r="2334" ht="22.5" customHeight="1">
      <c r="A2334" s="25">
        <v>605.0</v>
      </c>
      <c r="B2334" s="26">
        <v>45581.0</v>
      </c>
      <c r="C2334" s="25">
        <v>299.0</v>
      </c>
      <c r="D2334" s="25">
        <v>5.0</v>
      </c>
      <c r="E2334" s="25">
        <v>4.0</v>
      </c>
      <c r="F2334" s="25">
        <v>1.0</v>
      </c>
      <c r="G2334" s="27" t="s">
        <v>24</v>
      </c>
    </row>
    <row r="2335" ht="22.5" customHeight="1">
      <c r="A2335" s="25">
        <v>645.0</v>
      </c>
      <c r="B2335" s="26">
        <v>45581.0</v>
      </c>
      <c r="C2335" s="25">
        <v>188.0</v>
      </c>
      <c r="D2335" s="25">
        <v>3.0</v>
      </c>
      <c r="E2335" s="25">
        <v>1.0</v>
      </c>
      <c r="F2335" s="25">
        <v>5.0</v>
      </c>
      <c r="G2335" s="27" t="s">
        <v>24</v>
      </c>
    </row>
    <row r="2336" ht="22.5" customHeight="1">
      <c r="A2336" s="25">
        <v>912.0</v>
      </c>
      <c r="B2336" s="26">
        <v>45581.0</v>
      </c>
      <c r="C2336" s="25">
        <v>306.0</v>
      </c>
      <c r="D2336" s="25">
        <v>19.0</v>
      </c>
      <c r="E2336" s="25">
        <v>6.0</v>
      </c>
      <c r="F2336" s="25">
        <v>2.0</v>
      </c>
      <c r="G2336" s="27" t="s">
        <v>24</v>
      </c>
    </row>
    <row r="2337" ht="22.5" customHeight="1">
      <c r="A2337" s="25">
        <v>1018.0</v>
      </c>
      <c r="B2337" s="26">
        <v>45581.0</v>
      </c>
      <c r="C2337" s="25">
        <v>291.0</v>
      </c>
      <c r="D2337" s="25">
        <v>14.0</v>
      </c>
      <c r="E2337" s="25">
        <v>3.0</v>
      </c>
      <c r="F2337" s="25">
        <v>4.0</v>
      </c>
      <c r="G2337" s="27" t="s">
        <v>24</v>
      </c>
    </row>
    <row r="2338" ht="22.5" customHeight="1">
      <c r="A2338" s="25">
        <v>1020.0</v>
      </c>
      <c r="B2338" s="26">
        <v>45581.0</v>
      </c>
      <c r="C2338" s="25">
        <v>61.0</v>
      </c>
      <c r="D2338" s="25">
        <v>32.0</v>
      </c>
      <c r="E2338" s="25">
        <v>6.0</v>
      </c>
      <c r="F2338" s="25">
        <v>5.0</v>
      </c>
      <c r="G2338" s="27" t="s">
        <v>24</v>
      </c>
    </row>
    <row r="2339" ht="22.5" customHeight="1">
      <c r="A2339" s="25">
        <v>1222.0</v>
      </c>
      <c r="B2339" s="26">
        <v>45581.0</v>
      </c>
      <c r="C2339" s="25">
        <v>82.0</v>
      </c>
      <c r="D2339" s="25">
        <v>27.0</v>
      </c>
      <c r="E2339" s="25">
        <v>3.0</v>
      </c>
      <c r="F2339" s="25">
        <v>4.0</v>
      </c>
      <c r="G2339" s="27" t="s">
        <v>25</v>
      </c>
    </row>
    <row r="2340" ht="22.5" customHeight="1">
      <c r="A2340" s="25">
        <v>1277.0</v>
      </c>
      <c r="B2340" s="26">
        <v>45581.0</v>
      </c>
      <c r="C2340" s="25">
        <v>163.0</v>
      </c>
      <c r="D2340" s="25">
        <v>2.0</v>
      </c>
      <c r="E2340" s="25">
        <v>2.0</v>
      </c>
      <c r="F2340" s="25">
        <v>4.0</v>
      </c>
      <c r="G2340" s="27" t="s">
        <v>24</v>
      </c>
    </row>
    <row r="2341" ht="22.5" customHeight="1">
      <c r="A2341" s="25">
        <v>1322.0</v>
      </c>
      <c r="B2341" s="26">
        <v>45581.0</v>
      </c>
      <c r="C2341" s="25">
        <v>60.0</v>
      </c>
      <c r="D2341" s="25">
        <v>21.0</v>
      </c>
      <c r="E2341" s="25">
        <v>2.0</v>
      </c>
      <c r="F2341" s="25">
        <v>4.0</v>
      </c>
      <c r="G2341" s="27" t="s">
        <v>25</v>
      </c>
    </row>
    <row r="2342" ht="22.5" customHeight="1">
      <c r="A2342" s="25">
        <v>1392.0</v>
      </c>
      <c r="B2342" s="26">
        <v>45581.0</v>
      </c>
      <c r="C2342" s="25">
        <v>49.0</v>
      </c>
      <c r="D2342" s="25">
        <v>28.0</v>
      </c>
      <c r="E2342" s="25">
        <v>4.0</v>
      </c>
      <c r="F2342" s="25">
        <v>3.0</v>
      </c>
      <c r="G2342" s="27" t="s">
        <v>24</v>
      </c>
    </row>
    <row r="2343" ht="22.5" customHeight="1">
      <c r="A2343" s="25">
        <v>1446.0</v>
      </c>
      <c r="B2343" s="26">
        <v>45581.0</v>
      </c>
      <c r="C2343" s="25">
        <v>9.0</v>
      </c>
      <c r="D2343" s="25">
        <v>20.0</v>
      </c>
      <c r="E2343" s="25">
        <v>3.0</v>
      </c>
      <c r="F2343" s="25">
        <v>4.0</v>
      </c>
      <c r="G2343" s="27" t="s">
        <v>25</v>
      </c>
    </row>
    <row r="2344" ht="22.5" customHeight="1">
      <c r="A2344" s="25">
        <v>2816.0</v>
      </c>
      <c r="B2344" s="26">
        <v>45581.0</v>
      </c>
      <c r="C2344" s="25">
        <v>287.0</v>
      </c>
      <c r="D2344" s="25">
        <v>34.0</v>
      </c>
      <c r="E2344" s="25">
        <v>6.0</v>
      </c>
      <c r="F2344" s="25">
        <v>3.0</v>
      </c>
      <c r="G2344" s="27" t="s">
        <v>24</v>
      </c>
    </row>
    <row r="2345" ht="22.5" customHeight="1">
      <c r="A2345" s="25">
        <v>38.0</v>
      </c>
      <c r="B2345" s="26">
        <v>45582.0</v>
      </c>
      <c r="C2345" s="25">
        <v>271.0</v>
      </c>
      <c r="D2345" s="25">
        <v>20.0</v>
      </c>
      <c r="E2345" s="25">
        <v>6.0</v>
      </c>
      <c r="F2345" s="25">
        <v>3.0</v>
      </c>
      <c r="G2345" s="27" t="s">
        <v>24</v>
      </c>
    </row>
    <row r="2346" ht="22.5" customHeight="1">
      <c r="A2346" s="25">
        <v>326.0</v>
      </c>
      <c r="B2346" s="26">
        <v>45582.0</v>
      </c>
      <c r="C2346" s="25">
        <v>132.0</v>
      </c>
      <c r="D2346" s="25">
        <v>32.0</v>
      </c>
      <c r="E2346" s="25">
        <v>3.0</v>
      </c>
      <c r="F2346" s="25">
        <v>2.0</v>
      </c>
      <c r="G2346" s="27" t="s">
        <v>25</v>
      </c>
    </row>
    <row r="2347" ht="22.5" customHeight="1">
      <c r="A2347" s="25">
        <v>415.0</v>
      </c>
      <c r="B2347" s="26">
        <v>45582.0</v>
      </c>
      <c r="C2347" s="25">
        <v>148.0</v>
      </c>
      <c r="D2347" s="25">
        <v>21.0</v>
      </c>
      <c r="E2347" s="25">
        <v>1.0</v>
      </c>
      <c r="F2347" s="25">
        <v>4.0</v>
      </c>
      <c r="G2347" s="27" t="s">
        <v>24</v>
      </c>
    </row>
    <row r="2348" ht="22.5" customHeight="1">
      <c r="A2348" s="25">
        <v>435.0</v>
      </c>
      <c r="B2348" s="26">
        <v>45582.0</v>
      </c>
      <c r="C2348" s="25">
        <v>70.0</v>
      </c>
      <c r="D2348" s="25">
        <v>31.0</v>
      </c>
      <c r="E2348" s="25">
        <v>3.0</v>
      </c>
      <c r="F2348" s="25">
        <v>5.0</v>
      </c>
      <c r="G2348" s="27" t="s">
        <v>24</v>
      </c>
    </row>
    <row r="2349" ht="22.5" customHeight="1">
      <c r="A2349" s="25">
        <v>1209.0</v>
      </c>
      <c r="B2349" s="26">
        <v>45582.0</v>
      </c>
      <c r="C2349" s="25">
        <v>19.0</v>
      </c>
      <c r="D2349" s="25">
        <v>28.0</v>
      </c>
      <c r="E2349" s="25">
        <v>3.0</v>
      </c>
      <c r="F2349" s="25">
        <v>4.0</v>
      </c>
      <c r="G2349" s="27" t="s">
        <v>24</v>
      </c>
    </row>
    <row r="2350" ht="22.5" customHeight="1">
      <c r="A2350" s="25">
        <v>1453.0</v>
      </c>
      <c r="B2350" s="26">
        <v>45582.0</v>
      </c>
      <c r="C2350" s="25">
        <v>275.0</v>
      </c>
      <c r="D2350" s="25">
        <v>25.0</v>
      </c>
      <c r="E2350" s="25">
        <v>4.0</v>
      </c>
      <c r="F2350" s="25">
        <v>5.0</v>
      </c>
      <c r="G2350" s="27" t="s">
        <v>24</v>
      </c>
    </row>
    <row r="2351" ht="22.5" customHeight="1">
      <c r="A2351" s="25">
        <v>1596.0</v>
      </c>
      <c r="B2351" s="26">
        <v>45582.0</v>
      </c>
      <c r="C2351" s="25">
        <v>85.0</v>
      </c>
      <c r="D2351" s="25">
        <v>26.0</v>
      </c>
      <c r="E2351" s="25">
        <v>2.0</v>
      </c>
      <c r="F2351" s="25">
        <v>5.0</v>
      </c>
      <c r="G2351" s="27" t="s">
        <v>24</v>
      </c>
    </row>
    <row r="2352" ht="22.5" customHeight="1">
      <c r="A2352" s="25">
        <v>1969.0</v>
      </c>
      <c r="B2352" s="26">
        <v>45582.0</v>
      </c>
      <c r="C2352" s="25">
        <v>233.0</v>
      </c>
      <c r="D2352" s="25">
        <v>29.0</v>
      </c>
      <c r="E2352" s="25">
        <v>1.0</v>
      </c>
      <c r="F2352" s="25">
        <v>1.0</v>
      </c>
      <c r="G2352" s="27" t="s">
        <v>24</v>
      </c>
    </row>
    <row r="2353" ht="22.5" customHeight="1">
      <c r="A2353" s="25">
        <v>2120.0</v>
      </c>
      <c r="B2353" s="26">
        <v>45582.0</v>
      </c>
      <c r="C2353" s="25">
        <v>316.0</v>
      </c>
      <c r="D2353" s="25">
        <v>13.0</v>
      </c>
      <c r="E2353" s="25">
        <v>5.0</v>
      </c>
      <c r="F2353" s="25">
        <v>3.0</v>
      </c>
      <c r="G2353" s="27" t="s">
        <v>24</v>
      </c>
    </row>
    <row r="2354" ht="22.5" customHeight="1">
      <c r="A2354" s="25">
        <v>2171.0</v>
      </c>
      <c r="B2354" s="26">
        <v>45582.0</v>
      </c>
      <c r="C2354" s="25">
        <v>106.0</v>
      </c>
      <c r="D2354" s="25">
        <v>30.0</v>
      </c>
      <c r="E2354" s="25">
        <v>2.0</v>
      </c>
      <c r="F2354" s="25">
        <v>3.0</v>
      </c>
      <c r="G2354" s="27" t="s">
        <v>24</v>
      </c>
    </row>
    <row r="2355" ht="22.5" customHeight="1">
      <c r="A2355" s="25">
        <v>2231.0</v>
      </c>
      <c r="B2355" s="26">
        <v>45582.0</v>
      </c>
      <c r="C2355" s="25">
        <v>6.0</v>
      </c>
      <c r="D2355" s="25">
        <v>19.0</v>
      </c>
      <c r="E2355" s="25">
        <v>3.0</v>
      </c>
      <c r="F2355" s="25">
        <v>3.0</v>
      </c>
      <c r="G2355" s="27" t="s">
        <v>24</v>
      </c>
    </row>
    <row r="2356" ht="22.5" customHeight="1">
      <c r="A2356" s="25">
        <v>2679.0</v>
      </c>
      <c r="B2356" s="26">
        <v>45582.0</v>
      </c>
      <c r="C2356" s="25">
        <v>63.0</v>
      </c>
      <c r="D2356" s="25">
        <v>3.0</v>
      </c>
      <c r="E2356" s="25">
        <v>1.0</v>
      </c>
      <c r="F2356" s="25">
        <v>1.0</v>
      </c>
      <c r="G2356" s="27" t="s">
        <v>24</v>
      </c>
    </row>
    <row r="2357" ht="22.5" customHeight="1">
      <c r="A2357" s="25">
        <v>630.0</v>
      </c>
      <c r="B2357" s="26">
        <v>45583.0</v>
      </c>
      <c r="C2357" s="25">
        <v>290.0</v>
      </c>
      <c r="D2357" s="25">
        <v>18.0</v>
      </c>
      <c r="E2357" s="25">
        <v>5.0</v>
      </c>
      <c r="F2357" s="25">
        <v>2.0</v>
      </c>
      <c r="G2357" s="27" t="s">
        <v>24</v>
      </c>
    </row>
    <row r="2358" ht="22.5" customHeight="1">
      <c r="A2358" s="25">
        <v>678.0</v>
      </c>
      <c r="B2358" s="26">
        <v>45583.0</v>
      </c>
      <c r="C2358" s="25">
        <v>47.0</v>
      </c>
      <c r="D2358" s="25">
        <v>27.0</v>
      </c>
      <c r="E2358" s="25">
        <v>1.0</v>
      </c>
      <c r="F2358" s="25">
        <v>4.0</v>
      </c>
      <c r="G2358" s="27" t="s">
        <v>24</v>
      </c>
    </row>
    <row r="2359" ht="22.5" customHeight="1">
      <c r="A2359" s="25">
        <v>955.0</v>
      </c>
      <c r="B2359" s="26">
        <v>45583.0</v>
      </c>
      <c r="C2359" s="25">
        <v>196.0</v>
      </c>
      <c r="D2359" s="25">
        <v>6.0</v>
      </c>
      <c r="E2359" s="25">
        <v>3.0</v>
      </c>
      <c r="F2359" s="25">
        <v>4.0</v>
      </c>
      <c r="G2359" s="27" t="s">
        <v>24</v>
      </c>
    </row>
    <row r="2360" ht="22.5" customHeight="1">
      <c r="A2360" s="25">
        <v>966.0</v>
      </c>
      <c r="B2360" s="26">
        <v>45583.0</v>
      </c>
      <c r="C2360" s="25">
        <v>120.0</v>
      </c>
      <c r="D2360" s="25">
        <v>22.0</v>
      </c>
      <c r="E2360" s="25">
        <v>1.0</v>
      </c>
      <c r="F2360" s="25">
        <v>4.0</v>
      </c>
      <c r="G2360" s="27" t="s">
        <v>25</v>
      </c>
    </row>
    <row r="2361" ht="22.5" customHeight="1">
      <c r="A2361" s="25">
        <v>2131.0</v>
      </c>
      <c r="B2361" s="26">
        <v>45583.0</v>
      </c>
      <c r="C2361" s="25">
        <v>315.0</v>
      </c>
      <c r="D2361" s="25">
        <v>5.0</v>
      </c>
      <c r="E2361" s="25">
        <v>5.0</v>
      </c>
      <c r="F2361" s="25">
        <v>5.0</v>
      </c>
      <c r="G2361" s="27" t="s">
        <v>24</v>
      </c>
    </row>
    <row r="2362" ht="22.5" customHeight="1">
      <c r="A2362" s="25">
        <v>2386.0</v>
      </c>
      <c r="B2362" s="26">
        <v>45583.0</v>
      </c>
      <c r="C2362" s="25">
        <v>102.0</v>
      </c>
      <c r="D2362" s="25">
        <v>15.0</v>
      </c>
      <c r="E2362" s="25">
        <v>5.0</v>
      </c>
      <c r="F2362" s="25">
        <v>5.0</v>
      </c>
      <c r="G2362" s="27" t="s">
        <v>24</v>
      </c>
    </row>
    <row r="2363" ht="22.5" customHeight="1">
      <c r="A2363" s="25">
        <v>2739.0</v>
      </c>
      <c r="B2363" s="26">
        <v>45583.0</v>
      </c>
      <c r="C2363" s="25">
        <v>6.0</v>
      </c>
      <c r="D2363" s="25">
        <v>1.0</v>
      </c>
      <c r="E2363" s="25">
        <v>4.0</v>
      </c>
      <c r="F2363" s="25">
        <v>5.0</v>
      </c>
      <c r="G2363" s="27" t="s">
        <v>24</v>
      </c>
    </row>
    <row r="2364" ht="22.5" customHeight="1">
      <c r="A2364" s="25">
        <v>439.0</v>
      </c>
      <c r="B2364" s="26">
        <v>45584.0</v>
      </c>
      <c r="C2364" s="25">
        <v>207.0</v>
      </c>
      <c r="D2364" s="25">
        <v>36.0</v>
      </c>
      <c r="E2364" s="25">
        <v>2.0</v>
      </c>
      <c r="F2364" s="25">
        <v>2.0</v>
      </c>
      <c r="G2364" s="27" t="s">
        <v>24</v>
      </c>
    </row>
    <row r="2365" ht="22.5" customHeight="1">
      <c r="A2365" s="25">
        <v>530.0</v>
      </c>
      <c r="B2365" s="26">
        <v>45584.0</v>
      </c>
      <c r="C2365" s="25">
        <v>31.0</v>
      </c>
      <c r="D2365" s="25">
        <v>31.0</v>
      </c>
      <c r="E2365" s="25">
        <v>6.0</v>
      </c>
      <c r="F2365" s="25">
        <v>3.0</v>
      </c>
      <c r="G2365" s="27" t="s">
        <v>24</v>
      </c>
    </row>
    <row r="2366" ht="22.5" customHeight="1">
      <c r="A2366" s="25">
        <v>978.0</v>
      </c>
      <c r="B2366" s="26">
        <v>45584.0</v>
      </c>
      <c r="C2366" s="25">
        <v>116.0</v>
      </c>
      <c r="D2366" s="25">
        <v>19.0</v>
      </c>
      <c r="E2366" s="25">
        <v>3.0</v>
      </c>
      <c r="F2366" s="25">
        <v>5.0</v>
      </c>
      <c r="G2366" s="27" t="s">
        <v>24</v>
      </c>
    </row>
    <row r="2367" ht="22.5" customHeight="1">
      <c r="A2367" s="25">
        <v>1062.0</v>
      </c>
      <c r="B2367" s="26">
        <v>45584.0</v>
      </c>
      <c r="C2367" s="25">
        <v>141.0</v>
      </c>
      <c r="D2367" s="25">
        <v>34.0</v>
      </c>
      <c r="E2367" s="25">
        <v>3.0</v>
      </c>
      <c r="F2367" s="25">
        <v>5.0</v>
      </c>
      <c r="G2367" s="27" t="s">
        <v>25</v>
      </c>
    </row>
    <row r="2368" ht="22.5" customHeight="1">
      <c r="A2368" s="25">
        <v>1579.0</v>
      </c>
      <c r="B2368" s="26">
        <v>45584.0</v>
      </c>
      <c r="C2368" s="25">
        <v>20.0</v>
      </c>
      <c r="D2368" s="25">
        <v>22.0</v>
      </c>
      <c r="E2368" s="25">
        <v>1.0</v>
      </c>
      <c r="F2368" s="25">
        <v>3.0</v>
      </c>
      <c r="G2368" s="27" t="s">
        <v>24</v>
      </c>
    </row>
    <row r="2369" ht="22.5" customHeight="1">
      <c r="A2369" s="25">
        <v>1719.0</v>
      </c>
      <c r="B2369" s="26">
        <v>45584.0</v>
      </c>
      <c r="C2369" s="25">
        <v>1.0</v>
      </c>
      <c r="D2369" s="25">
        <v>11.0</v>
      </c>
      <c r="E2369" s="25">
        <v>3.0</v>
      </c>
      <c r="F2369" s="25">
        <v>5.0</v>
      </c>
      <c r="G2369" s="27" t="s">
        <v>24</v>
      </c>
    </row>
    <row r="2370" ht="22.5" customHeight="1">
      <c r="A2370" s="25">
        <v>2115.0</v>
      </c>
      <c r="B2370" s="26">
        <v>45584.0</v>
      </c>
      <c r="C2370" s="25">
        <v>250.0</v>
      </c>
      <c r="D2370" s="25">
        <v>29.0</v>
      </c>
      <c r="E2370" s="25">
        <v>4.0</v>
      </c>
      <c r="F2370" s="25">
        <v>5.0</v>
      </c>
      <c r="G2370" s="27" t="s">
        <v>25</v>
      </c>
    </row>
    <row r="2371" ht="22.5" customHeight="1">
      <c r="A2371" s="25">
        <v>2312.0</v>
      </c>
      <c r="B2371" s="26">
        <v>45584.0</v>
      </c>
      <c r="C2371" s="25">
        <v>22.0</v>
      </c>
      <c r="D2371" s="25">
        <v>20.0</v>
      </c>
      <c r="E2371" s="25">
        <v>5.0</v>
      </c>
      <c r="F2371" s="25">
        <v>5.0</v>
      </c>
      <c r="G2371" s="27" t="s">
        <v>24</v>
      </c>
    </row>
    <row r="2372" ht="22.5" customHeight="1">
      <c r="A2372" s="25">
        <v>2371.0</v>
      </c>
      <c r="B2372" s="26">
        <v>45584.0</v>
      </c>
      <c r="C2372" s="25">
        <v>264.0</v>
      </c>
      <c r="D2372" s="25">
        <v>6.0</v>
      </c>
      <c r="E2372" s="25">
        <v>3.0</v>
      </c>
      <c r="F2372" s="25">
        <v>3.0</v>
      </c>
      <c r="G2372" s="27" t="s">
        <v>24</v>
      </c>
    </row>
    <row r="2373" ht="22.5" customHeight="1">
      <c r="A2373" s="25">
        <v>2422.0</v>
      </c>
      <c r="B2373" s="26">
        <v>45584.0</v>
      </c>
      <c r="C2373" s="25">
        <v>219.0</v>
      </c>
      <c r="D2373" s="25">
        <v>4.0</v>
      </c>
      <c r="E2373" s="25">
        <v>1.0</v>
      </c>
      <c r="F2373" s="25">
        <v>1.0</v>
      </c>
      <c r="G2373" s="27" t="s">
        <v>24</v>
      </c>
    </row>
    <row r="2374" ht="22.5" customHeight="1">
      <c r="A2374" s="25">
        <v>2542.0</v>
      </c>
      <c r="B2374" s="26">
        <v>45584.0</v>
      </c>
      <c r="C2374" s="25">
        <v>189.0</v>
      </c>
      <c r="D2374" s="25">
        <v>25.0</v>
      </c>
      <c r="E2374" s="25">
        <v>4.0</v>
      </c>
      <c r="F2374" s="25">
        <v>4.0</v>
      </c>
      <c r="G2374" s="27" t="s">
        <v>25</v>
      </c>
    </row>
    <row r="2375" ht="22.5" customHeight="1">
      <c r="A2375" s="25">
        <v>675.0</v>
      </c>
      <c r="B2375" s="26">
        <v>45585.0</v>
      </c>
      <c r="C2375" s="25">
        <v>168.0</v>
      </c>
      <c r="D2375" s="25">
        <v>26.0</v>
      </c>
      <c r="E2375" s="25">
        <v>4.0</v>
      </c>
      <c r="F2375" s="25">
        <v>5.0</v>
      </c>
      <c r="G2375" s="27" t="s">
        <v>24</v>
      </c>
    </row>
    <row r="2376" ht="22.5" customHeight="1">
      <c r="A2376" s="25">
        <v>752.0</v>
      </c>
      <c r="B2376" s="26">
        <v>45585.0</v>
      </c>
      <c r="C2376" s="25">
        <v>48.0</v>
      </c>
      <c r="D2376" s="25">
        <v>24.0</v>
      </c>
      <c r="E2376" s="25">
        <v>3.0</v>
      </c>
      <c r="F2376" s="25">
        <v>4.0</v>
      </c>
      <c r="G2376" s="27" t="s">
        <v>24</v>
      </c>
    </row>
    <row r="2377" ht="22.5" customHeight="1">
      <c r="A2377" s="25">
        <v>823.0</v>
      </c>
      <c r="B2377" s="26">
        <v>45585.0</v>
      </c>
      <c r="C2377" s="25">
        <v>225.0</v>
      </c>
      <c r="D2377" s="25">
        <v>14.0</v>
      </c>
      <c r="E2377" s="25">
        <v>6.0</v>
      </c>
      <c r="F2377" s="25">
        <v>4.0</v>
      </c>
      <c r="G2377" s="27" t="s">
        <v>24</v>
      </c>
    </row>
    <row r="2378" ht="22.5" customHeight="1">
      <c r="A2378" s="25">
        <v>841.0</v>
      </c>
      <c r="B2378" s="26">
        <v>45585.0</v>
      </c>
      <c r="C2378" s="25">
        <v>280.0</v>
      </c>
      <c r="D2378" s="25">
        <v>11.0</v>
      </c>
      <c r="E2378" s="25">
        <v>2.0</v>
      </c>
      <c r="F2378" s="25">
        <v>5.0</v>
      </c>
      <c r="G2378" s="27" t="s">
        <v>25</v>
      </c>
    </row>
    <row r="2379" ht="22.5" customHeight="1">
      <c r="A2379" s="25">
        <v>910.0</v>
      </c>
      <c r="B2379" s="26">
        <v>45585.0</v>
      </c>
      <c r="C2379" s="25">
        <v>208.0</v>
      </c>
      <c r="D2379" s="25">
        <v>24.0</v>
      </c>
      <c r="E2379" s="25">
        <v>5.0</v>
      </c>
      <c r="F2379" s="25">
        <v>5.0</v>
      </c>
      <c r="G2379" s="27" t="s">
        <v>24</v>
      </c>
    </row>
    <row r="2380" ht="22.5" customHeight="1">
      <c r="A2380" s="25">
        <v>1356.0</v>
      </c>
      <c r="B2380" s="26">
        <v>45585.0</v>
      </c>
      <c r="C2380" s="25">
        <v>228.0</v>
      </c>
      <c r="D2380" s="25">
        <v>4.0</v>
      </c>
      <c r="E2380" s="25">
        <v>6.0</v>
      </c>
      <c r="F2380" s="25">
        <v>2.0</v>
      </c>
      <c r="G2380" s="27" t="s">
        <v>24</v>
      </c>
    </row>
    <row r="2381" ht="22.5" customHeight="1">
      <c r="A2381" s="25">
        <v>1391.0</v>
      </c>
      <c r="B2381" s="26">
        <v>45585.0</v>
      </c>
      <c r="C2381" s="25">
        <v>6.0</v>
      </c>
      <c r="D2381" s="25">
        <v>22.0</v>
      </c>
      <c r="E2381" s="25">
        <v>2.0</v>
      </c>
      <c r="F2381" s="25">
        <v>1.0</v>
      </c>
      <c r="G2381" s="27" t="s">
        <v>24</v>
      </c>
    </row>
    <row r="2382" ht="22.5" customHeight="1">
      <c r="A2382" s="25">
        <v>1716.0</v>
      </c>
      <c r="B2382" s="26">
        <v>45585.0</v>
      </c>
      <c r="C2382" s="25">
        <v>15.0</v>
      </c>
      <c r="D2382" s="25">
        <v>34.0</v>
      </c>
      <c r="E2382" s="25">
        <v>5.0</v>
      </c>
      <c r="F2382" s="25">
        <v>1.0</v>
      </c>
      <c r="G2382" s="27" t="s">
        <v>24</v>
      </c>
    </row>
    <row r="2383" ht="22.5" customHeight="1">
      <c r="A2383" s="25">
        <v>1718.0</v>
      </c>
      <c r="B2383" s="26">
        <v>45585.0</v>
      </c>
      <c r="C2383" s="25">
        <v>224.0</v>
      </c>
      <c r="D2383" s="25">
        <v>3.0</v>
      </c>
      <c r="E2383" s="25">
        <v>3.0</v>
      </c>
      <c r="F2383" s="25">
        <v>1.0</v>
      </c>
      <c r="G2383" s="27" t="s">
        <v>24</v>
      </c>
    </row>
    <row r="2384" ht="22.5" customHeight="1">
      <c r="A2384" s="25">
        <v>1911.0</v>
      </c>
      <c r="B2384" s="26">
        <v>45585.0</v>
      </c>
      <c r="C2384" s="25">
        <v>64.0</v>
      </c>
      <c r="D2384" s="25">
        <v>10.0</v>
      </c>
      <c r="E2384" s="25">
        <v>5.0</v>
      </c>
      <c r="F2384" s="25">
        <v>4.0</v>
      </c>
      <c r="G2384" s="27" t="s">
        <v>25</v>
      </c>
    </row>
    <row r="2385" ht="22.5" customHeight="1">
      <c r="A2385" s="25">
        <v>2337.0</v>
      </c>
      <c r="B2385" s="26">
        <v>45585.0</v>
      </c>
      <c r="C2385" s="25">
        <v>242.0</v>
      </c>
      <c r="D2385" s="25">
        <v>7.0</v>
      </c>
      <c r="E2385" s="25">
        <v>4.0</v>
      </c>
      <c r="F2385" s="25">
        <v>3.0</v>
      </c>
      <c r="G2385" s="27" t="s">
        <v>25</v>
      </c>
    </row>
    <row r="2386" ht="22.5" customHeight="1">
      <c r="A2386" s="25">
        <v>2588.0</v>
      </c>
      <c r="B2386" s="26">
        <v>45585.0</v>
      </c>
      <c r="C2386" s="25">
        <v>116.0</v>
      </c>
      <c r="D2386" s="25">
        <v>27.0</v>
      </c>
      <c r="E2386" s="25">
        <v>4.0</v>
      </c>
      <c r="F2386" s="25">
        <v>3.0</v>
      </c>
      <c r="G2386" s="27" t="s">
        <v>24</v>
      </c>
    </row>
    <row r="2387" ht="22.5" customHeight="1">
      <c r="A2387" s="25">
        <v>2594.0</v>
      </c>
      <c r="B2387" s="26">
        <v>45585.0</v>
      </c>
      <c r="C2387" s="25">
        <v>75.0</v>
      </c>
      <c r="D2387" s="25">
        <v>3.0</v>
      </c>
      <c r="E2387" s="25">
        <v>1.0</v>
      </c>
      <c r="F2387" s="25">
        <v>1.0</v>
      </c>
      <c r="G2387" s="27" t="s">
        <v>24</v>
      </c>
    </row>
    <row r="2388" ht="22.5" customHeight="1">
      <c r="A2388" s="25">
        <v>2781.0</v>
      </c>
      <c r="B2388" s="26">
        <v>45585.0</v>
      </c>
      <c r="C2388" s="25">
        <v>224.0</v>
      </c>
      <c r="D2388" s="25">
        <v>25.0</v>
      </c>
      <c r="E2388" s="25">
        <v>5.0</v>
      </c>
      <c r="F2388" s="25">
        <v>5.0</v>
      </c>
      <c r="G2388" s="27" t="s">
        <v>24</v>
      </c>
    </row>
    <row r="2389" ht="22.5" customHeight="1">
      <c r="A2389" s="25">
        <v>132.0</v>
      </c>
      <c r="B2389" s="26">
        <v>45586.0</v>
      </c>
      <c r="C2389" s="25">
        <v>95.0</v>
      </c>
      <c r="D2389" s="25">
        <v>27.0</v>
      </c>
      <c r="E2389" s="25">
        <v>1.0</v>
      </c>
      <c r="F2389" s="25">
        <v>4.0</v>
      </c>
      <c r="G2389" s="27" t="s">
        <v>25</v>
      </c>
    </row>
    <row r="2390" ht="22.5" customHeight="1">
      <c r="A2390" s="25">
        <v>1275.0</v>
      </c>
      <c r="B2390" s="26">
        <v>45586.0</v>
      </c>
      <c r="C2390" s="25">
        <v>18.0</v>
      </c>
      <c r="D2390" s="25">
        <v>15.0</v>
      </c>
      <c r="E2390" s="25">
        <v>5.0</v>
      </c>
      <c r="F2390" s="25">
        <v>4.0</v>
      </c>
      <c r="G2390" s="27" t="s">
        <v>24</v>
      </c>
    </row>
    <row r="2391" ht="22.5" customHeight="1">
      <c r="A2391" s="25">
        <v>1454.0</v>
      </c>
      <c r="B2391" s="26">
        <v>45586.0</v>
      </c>
      <c r="C2391" s="25">
        <v>272.0</v>
      </c>
      <c r="D2391" s="25">
        <v>10.0</v>
      </c>
      <c r="E2391" s="25">
        <v>6.0</v>
      </c>
      <c r="F2391" s="25">
        <v>1.0</v>
      </c>
      <c r="G2391" s="27" t="s">
        <v>24</v>
      </c>
    </row>
    <row r="2392" ht="22.5" customHeight="1">
      <c r="A2392" s="25">
        <v>1559.0</v>
      </c>
      <c r="B2392" s="26">
        <v>45586.0</v>
      </c>
      <c r="C2392" s="25">
        <v>226.0</v>
      </c>
      <c r="D2392" s="25">
        <v>1.0</v>
      </c>
      <c r="E2392" s="25">
        <v>1.0</v>
      </c>
      <c r="F2392" s="25">
        <v>3.0</v>
      </c>
      <c r="G2392" s="27" t="s">
        <v>24</v>
      </c>
    </row>
    <row r="2393" ht="22.5" customHeight="1">
      <c r="A2393" s="25">
        <v>1683.0</v>
      </c>
      <c r="B2393" s="26">
        <v>45586.0</v>
      </c>
      <c r="C2393" s="25">
        <v>181.0</v>
      </c>
      <c r="D2393" s="25">
        <v>12.0</v>
      </c>
      <c r="E2393" s="25">
        <v>4.0</v>
      </c>
      <c r="F2393" s="25">
        <v>3.0</v>
      </c>
      <c r="G2393" s="27" t="s">
        <v>24</v>
      </c>
    </row>
    <row r="2394" ht="22.5" customHeight="1">
      <c r="A2394" s="25">
        <v>760.0</v>
      </c>
      <c r="B2394" s="26">
        <v>45587.0</v>
      </c>
      <c r="C2394" s="25">
        <v>4.0</v>
      </c>
      <c r="D2394" s="25">
        <v>28.0</v>
      </c>
      <c r="E2394" s="25">
        <v>5.0</v>
      </c>
      <c r="F2394" s="25">
        <v>4.0</v>
      </c>
      <c r="G2394" s="27" t="s">
        <v>24</v>
      </c>
    </row>
    <row r="2395" ht="22.5" customHeight="1">
      <c r="A2395" s="25">
        <v>767.0</v>
      </c>
      <c r="B2395" s="26">
        <v>45587.0</v>
      </c>
      <c r="C2395" s="25">
        <v>9.0</v>
      </c>
      <c r="D2395" s="25">
        <v>32.0</v>
      </c>
      <c r="E2395" s="25">
        <v>2.0</v>
      </c>
      <c r="F2395" s="25">
        <v>4.0</v>
      </c>
      <c r="G2395" s="27" t="s">
        <v>25</v>
      </c>
    </row>
    <row r="2396" ht="22.5" customHeight="1">
      <c r="A2396" s="25">
        <v>886.0</v>
      </c>
      <c r="B2396" s="26">
        <v>45587.0</v>
      </c>
      <c r="C2396" s="25">
        <v>74.0</v>
      </c>
      <c r="D2396" s="25">
        <v>2.0</v>
      </c>
      <c r="E2396" s="25">
        <v>4.0</v>
      </c>
      <c r="F2396" s="25">
        <v>3.0</v>
      </c>
      <c r="G2396" s="27" t="s">
        <v>25</v>
      </c>
    </row>
    <row r="2397" ht="22.5" customHeight="1">
      <c r="A2397" s="25">
        <v>1740.0</v>
      </c>
      <c r="B2397" s="26">
        <v>45587.0</v>
      </c>
      <c r="C2397" s="25">
        <v>210.0</v>
      </c>
      <c r="D2397" s="25">
        <v>7.0</v>
      </c>
      <c r="E2397" s="25">
        <v>6.0</v>
      </c>
      <c r="F2397" s="25">
        <v>1.0</v>
      </c>
      <c r="G2397" s="27" t="s">
        <v>24</v>
      </c>
    </row>
    <row r="2398" ht="22.5" customHeight="1">
      <c r="A2398" s="25">
        <v>2279.0</v>
      </c>
      <c r="B2398" s="26">
        <v>45587.0</v>
      </c>
      <c r="C2398" s="25">
        <v>219.0</v>
      </c>
      <c r="D2398" s="25">
        <v>28.0</v>
      </c>
      <c r="E2398" s="25">
        <v>3.0</v>
      </c>
      <c r="F2398" s="25">
        <v>3.0</v>
      </c>
      <c r="G2398" s="27" t="s">
        <v>24</v>
      </c>
    </row>
    <row r="2399" ht="22.5" customHeight="1">
      <c r="A2399" s="25">
        <v>2317.0</v>
      </c>
      <c r="B2399" s="26">
        <v>45587.0</v>
      </c>
      <c r="C2399" s="25">
        <v>174.0</v>
      </c>
      <c r="D2399" s="25">
        <v>13.0</v>
      </c>
      <c r="E2399" s="25">
        <v>6.0</v>
      </c>
      <c r="F2399" s="25">
        <v>1.0</v>
      </c>
      <c r="G2399" s="27" t="s">
        <v>24</v>
      </c>
    </row>
    <row r="2400" ht="22.5" customHeight="1">
      <c r="A2400" s="25">
        <v>2546.0</v>
      </c>
      <c r="B2400" s="26">
        <v>45587.0</v>
      </c>
      <c r="C2400" s="25">
        <v>274.0</v>
      </c>
      <c r="D2400" s="25">
        <v>23.0</v>
      </c>
      <c r="E2400" s="25">
        <v>4.0</v>
      </c>
      <c r="F2400" s="25">
        <v>1.0</v>
      </c>
      <c r="G2400" s="27" t="s">
        <v>24</v>
      </c>
    </row>
    <row r="2401" ht="22.5" customHeight="1">
      <c r="A2401" s="25">
        <v>173.0</v>
      </c>
      <c r="B2401" s="26">
        <v>45588.0</v>
      </c>
      <c r="C2401" s="25">
        <v>168.0</v>
      </c>
      <c r="D2401" s="25">
        <v>36.0</v>
      </c>
      <c r="E2401" s="25">
        <v>1.0</v>
      </c>
      <c r="F2401" s="25">
        <v>5.0</v>
      </c>
      <c r="G2401" s="27" t="s">
        <v>24</v>
      </c>
    </row>
    <row r="2402" ht="22.5" customHeight="1">
      <c r="A2402" s="25">
        <v>840.0</v>
      </c>
      <c r="B2402" s="26">
        <v>45588.0</v>
      </c>
      <c r="C2402" s="25">
        <v>116.0</v>
      </c>
      <c r="D2402" s="25">
        <v>27.0</v>
      </c>
      <c r="E2402" s="25">
        <v>1.0</v>
      </c>
      <c r="F2402" s="25">
        <v>5.0</v>
      </c>
      <c r="G2402" s="27" t="s">
        <v>24</v>
      </c>
    </row>
    <row r="2403" ht="22.5" customHeight="1">
      <c r="A2403" s="25">
        <v>1191.0</v>
      </c>
      <c r="B2403" s="26">
        <v>45588.0</v>
      </c>
      <c r="C2403" s="25">
        <v>285.0</v>
      </c>
      <c r="D2403" s="25">
        <v>10.0</v>
      </c>
      <c r="E2403" s="25">
        <v>5.0</v>
      </c>
      <c r="F2403" s="25">
        <v>1.0</v>
      </c>
      <c r="G2403" s="27" t="s">
        <v>24</v>
      </c>
    </row>
    <row r="2404" ht="22.5" customHeight="1">
      <c r="A2404" s="25">
        <v>1336.0</v>
      </c>
      <c r="B2404" s="26">
        <v>45588.0</v>
      </c>
      <c r="C2404" s="25">
        <v>122.0</v>
      </c>
      <c r="D2404" s="25">
        <v>34.0</v>
      </c>
      <c r="E2404" s="25">
        <v>6.0</v>
      </c>
      <c r="F2404" s="25">
        <v>3.0</v>
      </c>
      <c r="G2404" s="27" t="s">
        <v>24</v>
      </c>
    </row>
    <row r="2405" ht="22.5" customHeight="1">
      <c r="A2405" s="25">
        <v>1742.0</v>
      </c>
      <c r="B2405" s="26">
        <v>45588.0</v>
      </c>
      <c r="C2405" s="25">
        <v>175.0</v>
      </c>
      <c r="D2405" s="25">
        <v>7.0</v>
      </c>
      <c r="E2405" s="25">
        <v>2.0</v>
      </c>
      <c r="F2405" s="25">
        <v>3.0</v>
      </c>
      <c r="G2405" s="27" t="s">
        <v>24</v>
      </c>
    </row>
    <row r="2406" ht="22.5" customHeight="1">
      <c r="A2406" s="25">
        <v>1936.0</v>
      </c>
      <c r="B2406" s="26">
        <v>45588.0</v>
      </c>
      <c r="C2406" s="25">
        <v>89.0</v>
      </c>
      <c r="D2406" s="25">
        <v>29.0</v>
      </c>
      <c r="E2406" s="25">
        <v>5.0</v>
      </c>
      <c r="F2406" s="25">
        <v>1.0</v>
      </c>
      <c r="G2406" s="27" t="s">
        <v>25</v>
      </c>
    </row>
    <row r="2407" ht="22.5" customHeight="1">
      <c r="A2407" s="25">
        <v>2589.0</v>
      </c>
      <c r="B2407" s="26">
        <v>45588.0</v>
      </c>
      <c r="C2407" s="25">
        <v>274.0</v>
      </c>
      <c r="D2407" s="25">
        <v>22.0</v>
      </c>
      <c r="E2407" s="25">
        <v>5.0</v>
      </c>
      <c r="F2407" s="25">
        <v>4.0</v>
      </c>
      <c r="G2407" s="27" t="s">
        <v>24</v>
      </c>
    </row>
    <row r="2408" ht="22.5" customHeight="1">
      <c r="A2408" s="25">
        <v>2670.0</v>
      </c>
      <c r="B2408" s="26">
        <v>45588.0</v>
      </c>
      <c r="C2408" s="25">
        <v>311.0</v>
      </c>
      <c r="D2408" s="25">
        <v>24.0</v>
      </c>
      <c r="E2408" s="25">
        <v>6.0</v>
      </c>
      <c r="F2408" s="25">
        <v>3.0</v>
      </c>
      <c r="G2408" s="27" t="s">
        <v>24</v>
      </c>
    </row>
    <row r="2409" ht="22.5" customHeight="1">
      <c r="A2409" s="25">
        <v>629.0</v>
      </c>
      <c r="B2409" s="26">
        <v>45589.0</v>
      </c>
      <c r="C2409" s="25">
        <v>157.0</v>
      </c>
      <c r="D2409" s="25">
        <v>14.0</v>
      </c>
      <c r="E2409" s="25">
        <v>1.0</v>
      </c>
      <c r="F2409" s="25">
        <v>1.0</v>
      </c>
      <c r="G2409" s="27" t="s">
        <v>25</v>
      </c>
    </row>
    <row r="2410" ht="22.5" customHeight="1">
      <c r="A2410" s="25">
        <v>1491.0</v>
      </c>
      <c r="B2410" s="26">
        <v>45589.0</v>
      </c>
      <c r="C2410" s="25">
        <v>132.0</v>
      </c>
      <c r="D2410" s="25">
        <v>35.0</v>
      </c>
      <c r="E2410" s="25">
        <v>2.0</v>
      </c>
      <c r="F2410" s="25">
        <v>2.0</v>
      </c>
      <c r="G2410" s="27" t="s">
        <v>24</v>
      </c>
    </row>
    <row r="2411" ht="22.5" customHeight="1">
      <c r="A2411" s="25">
        <v>2072.0</v>
      </c>
      <c r="B2411" s="26">
        <v>45589.0</v>
      </c>
      <c r="C2411" s="25">
        <v>11.0</v>
      </c>
      <c r="D2411" s="25">
        <v>29.0</v>
      </c>
      <c r="E2411" s="25">
        <v>4.0</v>
      </c>
      <c r="F2411" s="25">
        <v>4.0</v>
      </c>
      <c r="G2411" s="27" t="s">
        <v>24</v>
      </c>
    </row>
    <row r="2412" ht="22.5" customHeight="1">
      <c r="A2412" s="25">
        <v>2177.0</v>
      </c>
      <c r="B2412" s="26">
        <v>45589.0</v>
      </c>
      <c r="C2412" s="25">
        <v>37.0</v>
      </c>
      <c r="D2412" s="25">
        <v>18.0</v>
      </c>
      <c r="E2412" s="25">
        <v>6.0</v>
      </c>
      <c r="F2412" s="25">
        <v>4.0</v>
      </c>
      <c r="G2412" s="27" t="s">
        <v>24</v>
      </c>
    </row>
    <row r="2413" ht="22.5" customHeight="1">
      <c r="A2413" s="25">
        <v>2504.0</v>
      </c>
      <c r="B2413" s="26">
        <v>45589.0</v>
      </c>
      <c r="C2413" s="25">
        <v>161.0</v>
      </c>
      <c r="D2413" s="25">
        <v>22.0</v>
      </c>
      <c r="E2413" s="25">
        <v>3.0</v>
      </c>
      <c r="F2413" s="25">
        <v>1.0</v>
      </c>
      <c r="G2413" s="27" t="s">
        <v>24</v>
      </c>
    </row>
    <row r="2414" ht="22.5" customHeight="1">
      <c r="A2414" s="25">
        <v>235.0</v>
      </c>
      <c r="B2414" s="26">
        <v>45590.0</v>
      </c>
      <c r="C2414" s="25">
        <v>177.0</v>
      </c>
      <c r="D2414" s="25">
        <v>3.0</v>
      </c>
      <c r="E2414" s="25">
        <v>2.0</v>
      </c>
      <c r="F2414" s="25">
        <v>4.0</v>
      </c>
      <c r="G2414" s="27" t="s">
        <v>25</v>
      </c>
    </row>
    <row r="2415" ht="22.5" customHeight="1">
      <c r="A2415" s="25">
        <v>242.0</v>
      </c>
      <c r="B2415" s="26">
        <v>45590.0</v>
      </c>
      <c r="C2415" s="25">
        <v>152.0</v>
      </c>
      <c r="D2415" s="25">
        <v>1.0</v>
      </c>
      <c r="E2415" s="25">
        <v>3.0</v>
      </c>
      <c r="F2415" s="25">
        <v>1.0</v>
      </c>
      <c r="G2415" s="27" t="s">
        <v>24</v>
      </c>
    </row>
    <row r="2416" ht="22.5" customHeight="1">
      <c r="A2416" s="25">
        <v>613.0</v>
      </c>
      <c r="B2416" s="26">
        <v>45590.0</v>
      </c>
      <c r="C2416" s="25">
        <v>325.0</v>
      </c>
      <c r="D2416" s="25">
        <v>27.0</v>
      </c>
      <c r="E2416" s="25">
        <v>3.0</v>
      </c>
      <c r="F2416" s="25">
        <v>4.0</v>
      </c>
      <c r="G2416" s="27" t="s">
        <v>24</v>
      </c>
    </row>
    <row r="2417" ht="22.5" customHeight="1">
      <c r="A2417" s="25">
        <v>1087.0</v>
      </c>
      <c r="B2417" s="26">
        <v>45590.0</v>
      </c>
      <c r="C2417" s="25">
        <v>170.0</v>
      </c>
      <c r="D2417" s="25">
        <v>25.0</v>
      </c>
      <c r="E2417" s="25">
        <v>2.0</v>
      </c>
      <c r="F2417" s="25">
        <v>2.0</v>
      </c>
      <c r="G2417" s="27" t="s">
        <v>24</v>
      </c>
    </row>
    <row r="2418" ht="22.5" customHeight="1">
      <c r="A2418" s="25">
        <v>1485.0</v>
      </c>
      <c r="B2418" s="26">
        <v>45590.0</v>
      </c>
      <c r="C2418" s="25">
        <v>162.0</v>
      </c>
      <c r="D2418" s="25">
        <v>38.0</v>
      </c>
      <c r="E2418" s="25">
        <v>1.0</v>
      </c>
      <c r="F2418" s="25">
        <v>5.0</v>
      </c>
      <c r="G2418" s="27" t="s">
        <v>24</v>
      </c>
    </row>
    <row r="2419" ht="22.5" customHeight="1">
      <c r="A2419" s="25">
        <v>2587.0</v>
      </c>
      <c r="B2419" s="26">
        <v>45590.0</v>
      </c>
      <c r="C2419" s="25">
        <v>221.0</v>
      </c>
      <c r="D2419" s="25">
        <v>37.0</v>
      </c>
      <c r="E2419" s="25">
        <v>1.0</v>
      </c>
      <c r="F2419" s="25">
        <v>5.0</v>
      </c>
      <c r="G2419" s="27" t="s">
        <v>24</v>
      </c>
    </row>
    <row r="2420" ht="22.5" customHeight="1">
      <c r="A2420" s="25">
        <v>228.0</v>
      </c>
      <c r="B2420" s="26">
        <v>45591.0</v>
      </c>
      <c r="C2420" s="25">
        <v>209.0</v>
      </c>
      <c r="D2420" s="25">
        <v>11.0</v>
      </c>
      <c r="E2420" s="25">
        <v>4.0</v>
      </c>
      <c r="F2420" s="25">
        <v>5.0</v>
      </c>
      <c r="G2420" s="27" t="s">
        <v>24</v>
      </c>
    </row>
    <row r="2421" ht="22.5" customHeight="1">
      <c r="A2421" s="25">
        <v>423.0</v>
      </c>
      <c r="B2421" s="26">
        <v>45591.0</v>
      </c>
      <c r="C2421" s="25">
        <v>34.0</v>
      </c>
      <c r="D2421" s="25">
        <v>27.0</v>
      </c>
      <c r="E2421" s="25">
        <v>6.0</v>
      </c>
      <c r="F2421" s="25">
        <v>5.0</v>
      </c>
      <c r="G2421" s="27" t="s">
        <v>24</v>
      </c>
    </row>
    <row r="2422" ht="22.5" customHeight="1">
      <c r="A2422" s="25">
        <v>1303.0</v>
      </c>
      <c r="B2422" s="26">
        <v>45591.0</v>
      </c>
      <c r="C2422" s="25">
        <v>203.0</v>
      </c>
      <c r="D2422" s="25">
        <v>33.0</v>
      </c>
      <c r="E2422" s="25">
        <v>1.0</v>
      </c>
      <c r="F2422" s="25">
        <v>5.0</v>
      </c>
      <c r="G2422" s="27" t="s">
        <v>24</v>
      </c>
    </row>
    <row r="2423" ht="22.5" customHeight="1">
      <c r="A2423" s="25">
        <v>1327.0</v>
      </c>
      <c r="B2423" s="26">
        <v>45591.0</v>
      </c>
      <c r="C2423" s="25">
        <v>205.0</v>
      </c>
      <c r="D2423" s="25">
        <v>23.0</v>
      </c>
      <c r="E2423" s="25">
        <v>3.0</v>
      </c>
      <c r="F2423" s="25">
        <v>2.0</v>
      </c>
      <c r="G2423" s="27" t="s">
        <v>25</v>
      </c>
    </row>
    <row r="2424" ht="22.5" customHeight="1">
      <c r="A2424" s="25">
        <v>1728.0</v>
      </c>
      <c r="B2424" s="26">
        <v>45591.0</v>
      </c>
      <c r="C2424" s="25">
        <v>46.0</v>
      </c>
      <c r="D2424" s="25">
        <v>19.0</v>
      </c>
      <c r="E2424" s="25">
        <v>5.0</v>
      </c>
      <c r="F2424" s="25">
        <v>4.0</v>
      </c>
      <c r="G2424" s="27" t="s">
        <v>24</v>
      </c>
    </row>
    <row r="2425" ht="22.5" customHeight="1">
      <c r="A2425" s="25">
        <v>2514.0</v>
      </c>
      <c r="B2425" s="26">
        <v>45591.0</v>
      </c>
      <c r="C2425" s="25">
        <v>255.0</v>
      </c>
      <c r="D2425" s="25">
        <v>21.0</v>
      </c>
      <c r="E2425" s="25">
        <v>5.0</v>
      </c>
      <c r="F2425" s="25">
        <v>1.0</v>
      </c>
      <c r="G2425" s="27" t="s">
        <v>24</v>
      </c>
    </row>
    <row r="2426" ht="22.5" customHeight="1">
      <c r="A2426" s="25">
        <v>2723.0</v>
      </c>
      <c r="B2426" s="26">
        <v>45591.0</v>
      </c>
      <c r="C2426" s="25">
        <v>321.0</v>
      </c>
      <c r="D2426" s="25">
        <v>1.0</v>
      </c>
      <c r="E2426" s="25">
        <v>2.0</v>
      </c>
      <c r="F2426" s="25">
        <v>5.0</v>
      </c>
      <c r="G2426" s="27" t="s">
        <v>24</v>
      </c>
    </row>
    <row r="2427" ht="22.5" customHeight="1">
      <c r="A2427" s="25">
        <v>33.0</v>
      </c>
      <c r="B2427" s="26">
        <v>45592.0</v>
      </c>
      <c r="C2427" s="25">
        <v>65.0</v>
      </c>
      <c r="D2427" s="25">
        <v>23.0</v>
      </c>
      <c r="E2427" s="25">
        <v>2.0</v>
      </c>
      <c r="F2427" s="25">
        <v>5.0</v>
      </c>
      <c r="G2427" s="27" t="s">
        <v>24</v>
      </c>
    </row>
    <row r="2428" ht="22.5" customHeight="1">
      <c r="A2428" s="25">
        <v>314.0</v>
      </c>
      <c r="B2428" s="26">
        <v>45592.0</v>
      </c>
      <c r="C2428" s="25">
        <v>122.0</v>
      </c>
      <c r="D2428" s="25">
        <v>8.0</v>
      </c>
      <c r="E2428" s="25">
        <v>3.0</v>
      </c>
      <c r="F2428" s="25">
        <v>4.0</v>
      </c>
      <c r="G2428" s="27" t="s">
        <v>24</v>
      </c>
    </row>
    <row r="2429" ht="22.5" customHeight="1">
      <c r="A2429" s="25">
        <v>458.0</v>
      </c>
      <c r="B2429" s="26">
        <v>45592.0</v>
      </c>
      <c r="C2429" s="25">
        <v>102.0</v>
      </c>
      <c r="D2429" s="25">
        <v>10.0</v>
      </c>
      <c r="E2429" s="25">
        <v>4.0</v>
      </c>
      <c r="F2429" s="25">
        <v>5.0</v>
      </c>
      <c r="G2429" s="27" t="s">
        <v>24</v>
      </c>
    </row>
    <row r="2430" ht="22.5" customHeight="1">
      <c r="A2430" s="25">
        <v>1283.0</v>
      </c>
      <c r="B2430" s="26">
        <v>45592.0</v>
      </c>
      <c r="C2430" s="25">
        <v>318.0</v>
      </c>
      <c r="D2430" s="25">
        <v>32.0</v>
      </c>
      <c r="E2430" s="25">
        <v>1.0</v>
      </c>
      <c r="F2430" s="25">
        <v>4.0</v>
      </c>
      <c r="G2430" s="27" t="s">
        <v>24</v>
      </c>
    </row>
    <row r="2431" ht="22.5" customHeight="1">
      <c r="A2431" s="25">
        <v>1293.0</v>
      </c>
      <c r="B2431" s="26">
        <v>45592.0</v>
      </c>
      <c r="C2431" s="25">
        <v>247.0</v>
      </c>
      <c r="D2431" s="25">
        <v>4.0</v>
      </c>
      <c r="E2431" s="25">
        <v>2.0</v>
      </c>
      <c r="F2431" s="25">
        <v>4.0</v>
      </c>
      <c r="G2431" s="27" t="s">
        <v>24</v>
      </c>
    </row>
    <row r="2432" ht="22.5" customHeight="1">
      <c r="A2432" s="25">
        <v>1308.0</v>
      </c>
      <c r="B2432" s="26">
        <v>45592.0</v>
      </c>
      <c r="C2432" s="25">
        <v>185.0</v>
      </c>
      <c r="D2432" s="25">
        <v>22.0</v>
      </c>
      <c r="E2432" s="25">
        <v>4.0</v>
      </c>
      <c r="F2432" s="25">
        <v>1.0</v>
      </c>
      <c r="G2432" s="27" t="s">
        <v>24</v>
      </c>
    </row>
    <row r="2433" ht="22.5" customHeight="1">
      <c r="A2433" s="25">
        <v>1315.0</v>
      </c>
      <c r="B2433" s="26">
        <v>45592.0</v>
      </c>
      <c r="C2433" s="25">
        <v>222.0</v>
      </c>
      <c r="D2433" s="25">
        <v>3.0</v>
      </c>
      <c r="E2433" s="25">
        <v>1.0</v>
      </c>
      <c r="F2433" s="25">
        <v>1.0</v>
      </c>
      <c r="G2433" s="27" t="s">
        <v>24</v>
      </c>
    </row>
    <row r="2434" ht="22.5" customHeight="1">
      <c r="A2434" s="25">
        <v>1405.0</v>
      </c>
      <c r="B2434" s="26">
        <v>45592.0</v>
      </c>
      <c r="C2434" s="25">
        <v>187.0</v>
      </c>
      <c r="D2434" s="25">
        <v>29.0</v>
      </c>
      <c r="E2434" s="25">
        <v>2.0</v>
      </c>
      <c r="F2434" s="25">
        <v>2.0</v>
      </c>
      <c r="G2434" s="27" t="s">
        <v>24</v>
      </c>
    </row>
    <row r="2435" ht="22.5" customHeight="1">
      <c r="A2435" s="25">
        <v>1536.0</v>
      </c>
      <c r="B2435" s="26">
        <v>45592.0</v>
      </c>
      <c r="C2435" s="25">
        <v>203.0</v>
      </c>
      <c r="D2435" s="25">
        <v>35.0</v>
      </c>
      <c r="E2435" s="25">
        <v>6.0</v>
      </c>
      <c r="F2435" s="25">
        <v>1.0</v>
      </c>
      <c r="G2435" s="27" t="s">
        <v>24</v>
      </c>
    </row>
    <row r="2436" ht="22.5" customHeight="1">
      <c r="A2436" s="25">
        <v>2273.0</v>
      </c>
      <c r="B2436" s="26">
        <v>45592.0</v>
      </c>
      <c r="C2436" s="25">
        <v>304.0</v>
      </c>
      <c r="D2436" s="25">
        <v>10.0</v>
      </c>
      <c r="E2436" s="25">
        <v>4.0</v>
      </c>
      <c r="F2436" s="25">
        <v>4.0</v>
      </c>
      <c r="G2436" s="27" t="s">
        <v>24</v>
      </c>
    </row>
    <row r="2437" ht="22.5" customHeight="1">
      <c r="A2437" s="25">
        <v>2733.0</v>
      </c>
      <c r="B2437" s="26">
        <v>45592.0</v>
      </c>
      <c r="C2437" s="25">
        <v>27.0</v>
      </c>
      <c r="D2437" s="25">
        <v>30.0</v>
      </c>
      <c r="E2437" s="25">
        <v>6.0</v>
      </c>
      <c r="F2437" s="25">
        <v>1.0</v>
      </c>
      <c r="G2437" s="27" t="s">
        <v>24</v>
      </c>
    </row>
    <row r="2438" ht="22.5" customHeight="1">
      <c r="A2438" s="25">
        <v>1119.0</v>
      </c>
      <c r="B2438" s="26">
        <v>45593.0</v>
      </c>
      <c r="C2438" s="25">
        <v>142.0</v>
      </c>
      <c r="D2438" s="25">
        <v>15.0</v>
      </c>
      <c r="E2438" s="25">
        <v>6.0</v>
      </c>
      <c r="F2438" s="25">
        <v>2.0</v>
      </c>
      <c r="G2438" s="27" t="s">
        <v>24</v>
      </c>
    </row>
    <row r="2439" ht="22.5" customHeight="1">
      <c r="A2439" s="25">
        <v>1533.0</v>
      </c>
      <c r="B2439" s="26">
        <v>45593.0</v>
      </c>
      <c r="C2439" s="25">
        <v>118.0</v>
      </c>
      <c r="D2439" s="25">
        <v>15.0</v>
      </c>
      <c r="E2439" s="25">
        <v>4.0</v>
      </c>
      <c r="F2439" s="25">
        <v>4.0</v>
      </c>
      <c r="G2439" s="27" t="s">
        <v>24</v>
      </c>
    </row>
    <row r="2440" ht="22.5" customHeight="1">
      <c r="A2440" s="25">
        <v>1696.0</v>
      </c>
      <c r="B2440" s="26">
        <v>45593.0</v>
      </c>
      <c r="C2440" s="25">
        <v>316.0</v>
      </c>
      <c r="D2440" s="25">
        <v>31.0</v>
      </c>
      <c r="E2440" s="25">
        <v>6.0</v>
      </c>
      <c r="F2440" s="25">
        <v>5.0</v>
      </c>
      <c r="G2440" s="27" t="s">
        <v>25</v>
      </c>
    </row>
    <row r="2441" ht="22.5" customHeight="1">
      <c r="A2441" s="25">
        <v>1750.0</v>
      </c>
      <c r="B2441" s="26">
        <v>45593.0</v>
      </c>
      <c r="C2441" s="25">
        <v>310.0</v>
      </c>
      <c r="D2441" s="25">
        <v>16.0</v>
      </c>
      <c r="E2441" s="25">
        <v>1.0</v>
      </c>
      <c r="F2441" s="25">
        <v>5.0</v>
      </c>
      <c r="G2441" s="27" t="s">
        <v>24</v>
      </c>
    </row>
    <row r="2442" ht="22.5" customHeight="1">
      <c r="A2442" s="25">
        <v>1833.0</v>
      </c>
      <c r="B2442" s="26">
        <v>45593.0</v>
      </c>
      <c r="C2442" s="25">
        <v>14.0</v>
      </c>
      <c r="D2442" s="25">
        <v>18.0</v>
      </c>
      <c r="E2442" s="25">
        <v>6.0</v>
      </c>
      <c r="F2442" s="25">
        <v>5.0</v>
      </c>
      <c r="G2442" s="27" t="s">
        <v>24</v>
      </c>
    </row>
    <row r="2443" ht="22.5" customHeight="1">
      <c r="A2443" s="25">
        <v>2488.0</v>
      </c>
      <c r="B2443" s="26">
        <v>45593.0</v>
      </c>
      <c r="C2443" s="25">
        <v>55.0</v>
      </c>
      <c r="D2443" s="25">
        <v>10.0</v>
      </c>
      <c r="E2443" s="25">
        <v>5.0</v>
      </c>
      <c r="F2443" s="25">
        <v>5.0</v>
      </c>
      <c r="G2443" s="27" t="s">
        <v>24</v>
      </c>
    </row>
    <row r="2444" ht="22.5" customHeight="1">
      <c r="A2444" s="25">
        <v>2494.0</v>
      </c>
      <c r="B2444" s="26">
        <v>45593.0</v>
      </c>
      <c r="C2444" s="25">
        <v>211.0</v>
      </c>
      <c r="D2444" s="25">
        <v>33.0</v>
      </c>
      <c r="E2444" s="25">
        <v>5.0</v>
      </c>
      <c r="F2444" s="25">
        <v>1.0</v>
      </c>
      <c r="G2444" s="27" t="s">
        <v>24</v>
      </c>
    </row>
    <row r="2445" ht="22.5" customHeight="1">
      <c r="A2445" s="25">
        <v>2501.0</v>
      </c>
      <c r="B2445" s="26">
        <v>45593.0</v>
      </c>
      <c r="C2445" s="25">
        <v>272.0</v>
      </c>
      <c r="D2445" s="25">
        <v>17.0</v>
      </c>
      <c r="E2445" s="25">
        <v>4.0</v>
      </c>
      <c r="F2445" s="25">
        <v>4.0</v>
      </c>
      <c r="G2445" s="27" t="s">
        <v>24</v>
      </c>
    </row>
    <row r="2446" ht="22.5" customHeight="1">
      <c r="A2446" s="25">
        <v>2549.0</v>
      </c>
      <c r="B2446" s="26">
        <v>45593.0</v>
      </c>
      <c r="C2446" s="25">
        <v>239.0</v>
      </c>
      <c r="D2446" s="25">
        <v>8.0</v>
      </c>
      <c r="E2446" s="25">
        <v>1.0</v>
      </c>
      <c r="F2446" s="25">
        <v>4.0</v>
      </c>
      <c r="G2446" s="27" t="s">
        <v>24</v>
      </c>
    </row>
    <row r="2447" ht="22.5" customHeight="1">
      <c r="A2447" s="25">
        <v>2575.0</v>
      </c>
      <c r="B2447" s="26">
        <v>45593.0</v>
      </c>
      <c r="C2447" s="25">
        <v>13.0</v>
      </c>
      <c r="D2447" s="25">
        <v>23.0</v>
      </c>
      <c r="E2447" s="25">
        <v>4.0</v>
      </c>
      <c r="F2447" s="25">
        <v>4.0</v>
      </c>
      <c r="G2447" s="27" t="s">
        <v>25</v>
      </c>
    </row>
    <row r="2448" ht="22.5" customHeight="1">
      <c r="A2448" s="25">
        <v>2598.0</v>
      </c>
      <c r="B2448" s="26">
        <v>45593.0</v>
      </c>
      <c r="C2448" s="25">
        <v>155.0</v>
      </c>
      <c r="D2448" s="25">
        <v>18.0</v>
      </c>
      <c r="E2448" s="25">
        <v>6.0</v>
      </c>
      <c r="F2448" s="25">
        <v>5.0</v>
      </c>
      <c r="G2448" s="27" t="s">
        <v>25</v>
      </c>
    </row>
    <row r="2449" ht="22.5" customHeight="1">
      <c r="A2449" s="25">
        <v>2866.0</v>
      </c>
      <c r="B2449" s="26">
        <v>45593.0</v>
      </c>
      <c r="C2449" s="25">
        <v>6.0</v>
      </c>
      <c r="D2449" s="25">
        <v>2.0</v>
      </c>
      <c r="E2449" s="25">
        <v>3.0</v>
      </c>
      <c r="F2449" s="25">
        <v>5.0</v>
      </c>
      <c r="G2449" s="27" t="s">
        <v>24</v>
      </c>
    </row>
    <row r="2450" ht="22.5" customHeight="1">
      <c r="A2450" s="25">
        <v>2897.0</v>
      </c>
      <c r="B2450" s="26">
        <v>45593.0</v>
      </c>
      <c r="C2450" s="25">
        <v>36.0</v>
      </c>
      <c r="D2450" s="25">
        <v>3.0</v>
      </c>
      <c r="E2450" s="25">
        <v>3.0</v>
      </c>
      <c r="F2450" s="25">
        <v>4.0</v>
      </c>
      <c r="G2450" s="27" t="s">
        <v>24</v>
      </c>
    </row>
    <row r="2451" ht="22.5" customHeight="1">
      <c r="A2451" s="25">
        <v>32.0</v>
      </c>
      <c r="B2451" s="26">
        <v>45594.0</v>
      </c>
      <c r="C2451" s="25">
        <v>155.0</v>
      </c>
      <c r="D2451" s="25">
        <v>37.0</v>
      </c>
      <c r="E2451" s="25">
        <v>6.0</v>
      </c>
      <c r="F2451" s="25">
        <v>4.0</v>
      </c>
      <c r="G2451" s="27" t="s">
        <v>24</v>
      </c>
    </row>
    <row r="2452" ht="22.5" customHeight="1">
      <c r="A2452" s="25">
        <v>331.0</v>
      </c>
      <c r="B2452" s="26">
        <v>45594.0</v>
      </c>
      <c r="C2452" s="25">
        <v>157.0</v>
      </c>
      <c r="D2452" s="25">
        <v>35.0</v>
      </c>
      <c r="E2452" s="25">
        <v>2.0</v>
      </c>
      <c r="F2452" s="25">
        <v>3.0</v>
      </c>
      <c r="G2452" s="27" t="s">
        <v>24</v>
      </c>
    </row>
    <row r="2453" ht="22.5" customHeight="1">
      <c r="A2453" s="25">
        <v>668.0</v>
      </c>
      <c r="B2453" s="26">
        <v>45594.0</v>
      </c>
      <c r="C2453" s="25">
        <v>160.0</v>
      </c>
      <c r="D2453" s="25">
        <v>9.0</v>
      </c>
      <c r="E2453" s="25">
        <v>3.0</v>
      </c>
      <c r="F2453" s="25">
        <v>5.0</v>
      </c>
      <c r="G2453" s="27" t="s">
        <v>24</v>
      </c>
    </row>
    <row r="2454" ht="22.5" customHeight="1">
      <c r="A2454" s="25">
        <v>758.0</v>
      </c>
      <c r="B2454" s="26">
        <v>45594.0</v>
      </c>
      <c r="C2454" s="25">
        <v>168.0</v>
      </c>
      <c r="D2454" s="25">
        <v>11.0</v>
      </c>
      <c r="E2454" s="25">
        <v>2.0</v>
      </c>
      <c r="F2454" s="25">
        <v>1.0</v>
      </c>
      <c r="G2454" s="27" t="s">
        <v>24</v>
      </c>
    </row>
    <row r="2455" ht="22.5" customHeight="1">
      <c r="A2455" s="25">
        <v>759.0</v>
      </c>
      <c r="B2455" s="26">
        <v>45594.0</v>
      </c>
      <c r="C2455" s="25">
        <v>4.0</v>
      </c>
      <c r="D2455" s="25">
        <v>7.0</v>
      </c>
      <c r="E2455" s="25">
        <v>6.0</v>
      </c>
      <c r="F2455" s="25">
        <v>4.0</v>
      </c>
      <c r="G2455" s="27" t="s">
        <v>24</v>
      </c>
    </row>
    <row r="2456" ht="22.5" customHeight="1">
      <c r="A2456" s="25">
        <v>1367.0</v>
      </c>
      <c r="B2456" s="26">
        <v>45594.0</v>
      </c>
      <c r="C2456" s="25">
        <v>248.0</v>
      </c>
      <c r="D2456" s="25">
        <v>9.0</v>
      </c>
      <c r="E2456" s="25">
        <v>5.0</v>
      </c>
      <c r="F2456" s="25">
        <v>5.0</v>
      </c>
      <c r="G2456" s="27" t="s">
        <v>24</v>
      </c>
    </row>
    <row r="2457" ht="22.5" customHeight="1">
      <c r="A2457" s="25">
        <v>1668.0</v>
      </c>
      <c r="B2457" s="26">
        <v>45594.0</v>
      </c>
      <c r="C2457" s="25">
        <v>55.0</v>
      </c>
      <c r="D2457" s="25">
        <v>26.0</v>
      </c>
      <c r="E2457" s="25">
        <v>6.0</v>
      </c>
      <c r="F2457" s="25">
        <v>4.0</v>
      </c>
      <c r="G2457" s="27" t="s">
        <v>24</v>
      </c>
    </row>
    <row r="2458" ht="22.5" customHeight="1">
      <c r="A2458" s="25">
        <v>1882.0</v>
      </c>
      <c r="B2458" s="26">
        <v>45594.0</v>
      </c>
      <c r="C2458" s="25">
        <v>7.0</v>
      </c>
      <c r="D2458" s="25">
        <v>32.0</v>
      </c>
      <c r="E2458" s="25">
        <v>3.0</v>
      </c>
      <c r="F2458" s="25">
        <v>4.0</v>
      </c>
      <c r="G2458" s="27" t="s">
        <v>24</v>
      </c>
    </row>
    <row r="2459" ht="22.5" customHeight="1">
      <c r="A2459" s="25">
        <v>2078.0</v>
      </c>
      <c r="B2459" s="26">
        <v>45594.0</v>
      </c>
      <c r="C2459" s="25">
        <v>60.0</v>
      </c>
      <c r="D2459" s="25">
        <v>23.0</v>
      </c>
      <c r="E2459" s="25">
        <v>5.0</v>
      </c>
      <c r="F2459" s="25">
        <v>5.0</v>
      </c>
      <c r="G2459" s="27" t="s">
        <v>24</v>
      </c>
    </row>
    <row r="2460" ht="22.5" customHeight="1">
      <c r="A2460" s="25">
        <v>2080.0</v>
      </c>
      <c r="B2460" s="26">
        <v>45594.0</v>
      </c>
      <c r="C2460" s="25">
        <v>62.0</v>
      </c>
      <c r="D2460" s="25">
        <v>18.0</v>
      </c>
      <c r="E2460" s="25">
        <v>4.0</v>
      </c>
      <c r="F2460" s="25">
        <v>5.0</v>
      </c>
      <c r="G2460" s="27" t="s">
        <v>25</v>
      </c>
    </row>
    <row r="2461" ht="22.5" customHeight="1">
      <c r="A2461" s="25">
        <v>2242.0</v>
      </c>
      <c r="B2461" s="26">
        <v>45594.0</v>
      </c>
      <c r="C2461" s="25">
        <v>134.0</v>
      </c>
      <c r="D2461" s="25">
        <v>12.0</v>
      </c>
      <c r="E2461" s="25">
        <v>3.0</v>
      </c>
      <c r="F2461" s="25">
        <v>4.0</v>
      </c>
      <c r="G2461" s="27" t="s">
        <v>25</v>
      </c>
    </row>
    <row r="2462" ht="22.5" customHeight="1">
      <c r="A2462" s="25">
        <v>2812.0</v>
      </c>
      <c r="B2462" s="26">
        <v>45594.0</v>
      </c>
      <c r="C2462" s="25">
        <v>89.0</v>
      </c>
      <c r="D2462" s="25">
        <v>38.0</v>
      </c>
      <c r="E2462" s="25">
        <v>4.0</v>
      </c>
      <c r="F2462" s="25">
        <v>5.0</v>
      </c>
      <c r="G2462" s="27" t="s">
        <v>24</v>
      </c>
    </row>
    <row r="2463" ht="22.5" customHeight="1">
      <c r="A2463" s="25">
        <v>125.0</v>
      </c>
      <c r="B2463" s="26">
        <v>45595.0</v>
      </c>
      <c r="C2463" s="25">
        <v>190.0</v>
      </c>
      <c r="D2463" s="25">
        <v>3.0</v>
      </c>
      <c r="E2463" s="25">
        <v>6.0</v>
      </c>
      <c r="F2463" s="25">
        <v>5.0</v>
      </c>
      <c r="G2463" s="27" t="s">
        <v>25</v>
      </c>
    </row>
    <row r="2464" ht="22.5" customHeight="1">
      <c r="A2464" s="25">
        <v>1027.0</v>
      </c>
      <c r="B2464" s="26">
        <v>45595.0</v>
      </c>
      <c r="C2464" s="25">
        <v>140.0</v>
      </c>
      <c r="D2464" s="25">
        <v>18.0</v>
      </c>
      <c r="E2464" s="25">
        <v>4.0</v>
      </c>
      <c r="F2464" s="25">
        <v>1.0</v>
      </c>
      <c r="G2464" s="27" t="s">
        <v>24</v>
      </c>
    </row>
    <row r="2465" ht="22.5" customHeight="1">
      <c r="A2465" s="25">
        <v>1193.0</v>
      </c>
      <c r="B2465" s="26">
        <v>45595.0</v>
      </c>
      <c r="C2465" s="25">
        <v>217.0</v>
      </c>
      <c r="D2465" s="25">
        <v>5.0</v>
      </c>
      <c r="E2465" s="25">
        <v>6.0</v>
      </c>
      <c r="F2465" s="25">
        <v>4.0</v>
      </c>
      <c r="G2465" s="27" t="s">
        <v>24</v>
      </c>
    </row>
    <row r="2466" ht="22.5" customHeight="1">
      <c r="A2466" s="25">
        <v>1483.0</v>
      </c>
      <c r="B2466" s="26">
        <v>45595.0</v>
      </c>
      <c r="C2466" s="25">
        <v>303.0</v>
      </c>
      <c r="D2466" s="25">
        <v>23.0</v>
      </c>
      <c r="E2466" s="25">
        <v>5.0</v>
      </c>
      <c r="F2466" s="25">
        <v>1.0</v>
      </c>
      <c r="G2466" s="27" t="s">
        <v>24</v>
      </c>
    </row>
    <row r="2467" ht="22.5" customHeight="1">
      <c r="A2467" s="25">
        <v>1785.0</v>
      </c>
      <c r="B2467" s="26">
        <v>45595.0</v>
      </c>
      <c r="C2467" s="25">
        <v>207.0</v>
      </c>
      <c r="D2467" s="25">
        <v>1.0</v>
      </c>
      <c r="E2467" s="25">
        <v>1.0</v>
      </c>
      <c r="F2467" s="25">
        <v>4.0</v>
      </c>
      <c r="G2467" s="27" t="s">
        <v>24</v>
      </c>
    </row>
    <row r="2468" ht="22.5" customHeight="1">
      <c r="A2468" s="25">
        <v>1930.0</v>
      </c>
      <c r="B2468" s="26">
        <v>45595.0</v>
      </c>
      <c r="C2468" s="25">
        <v>302.0</v>
      </c>
      <c r="D2468" s="25">
        <v>1.0</v>
      </c>
      <c r="E2468" s="25">
        <v>1.0</v>
      </c>
      <c r="F2468" s="25">
        <v>1.0</v>
      </c>
      <c r="G2468" s="27" t="s">
        <v>24</v>
      </c>
    </row>
    <row r="2469" ht="22.5" customHeight="1">
      <c r="A2469" s="25">
        <v>2383.0</v>
      </c>
      <c r="B2469" s="26">
        <v>45595.0</v>
      </c>
      <c r="C2469" s="25">
        <v>237.0</v>
      </c>
      <c r="D2469" s="25">
        <v>14.0</v>
      </c>
      <c r="E2469" s="25">
        <v>3.0</v>
      </c>
      <c r="F2469" s="25">
        <v>4.0</v>
      </c>
      <c r="G2469" s="27" t="s">
        <v>24</v>
      </c>
    </row>
    <row r="2470" ht="22.5" customHeight="1">
      <c r="A2470" s="25">
        <v>2858.0</v>
      </c>
      <c r="B2470" s="26">
        <v>45595.0</v>
      </c>
      <c r="C2470" s="25">
        <v>154.0</v>
      </c>
      <c r="D2470" s="25">
        <v>15.0</v>
      </c>
      <c r="E2470" s="25">
        <v>1.0</v>
      </c>
      <c r="F2470" s="25">
        <v>5.0</v>
      </c>
      <c r="G2470" s="27" t="s">
        <v>24</v>
      </c>
    </row>
    <row r="2471" ht="22.5" customHeight="1">
      <c r="A2471" s="25">
        <v>109.0</v>
      </c>
      <c r="B2471" s="26">
        <v>45596.0</v>
      </c>
      <c r="C2471" s="25">
        <v>285.0</v>
      </c>
      <c r="D2471" s="25">
        <v>34.0</v>
      </c>
      <c r="E2471" s="25">
        <v>6.0</v>
      </c>
      <c r="F2471" s="25">
        <v>2.0</v>
      </c>
      <c r="G2471" s="27" t="s">
        <v>24</v>
      </c>
    </row>
    <row r="2472" ht="22.5" customHeight="1">
      <c r="A2472" s="25">
        <v>234.0</v>
      </c>
      <c r="B2472" s="26">
        <v>45596.0</v>
      </c>
      <c r="C2472" s="25">
        <v>255.0</v>
      </c>
      <c r="D2472" s="25">
        <v>37.0</v>
      </c>
      <c r="E2472" s="25">
        <v>5.0</v>
      </c>
      <c r="F2472" s="25">
        <v>5.0</v>
      </c>
      <c r="G2472" s="27" t="s">
        <v>24</v>
      </c>
    </row>
    <row r="2473" ht="22.5" customHeight="1">
      <c r="A2473" s="25">
        <v>965.0</v>
      </c>
      <c r="B2473" s="26">
        <v>45596.0</v>
      </c>
      <c r="C2473" s="25">
        <v>177.0</v>
      </c>
      <c r="D2473" s="25">
        <v>19.0</v>
      </c>
      <c r="E2473" s="25">
        <v>4.0</v>
      </c>
      <c r="F2473" s="25">
        <v>3.0</v>
      </c>
      <c r="G2473" s="27" t="s">
        <v>24</v>
      </c>
    </row>
    <row r="2474" ht="22.5" customHeight="1">
      <c r="A2474" s="25">
        <v>1192.0</v>
      </c>
      <c r="B2474" s="26">
        <v>45596.0</v>
      </c>
      <c r="C2474" s="25">
        <v>277.0</v>
      </c>
      <c r="D2474" s="25">
        <v>8.0</v>
      </c>
      <c r="E2474" s="25">
        <v>4.0</v>
      </c>
      <c r="F2474" s="25">
        <v>5.0</v>
      </c>
      <c r="G2474" s="27" t="s">
        <v>25</v>
      </c>
    </row>
    <row r="2475" ht="22.5" customHeight="1">
      <c r="A2475" s="25">
        <v>1361.0</v>
      </c>
      <c r="B2475" s="26">
        <v>45596.0</v>
      </c>
      <c r="C2475" s="25">
        <v>192.0</v>
      </c>
      <c r="D2475" s="25">
        <v>28.0</v>
      </c>
      <c r="E2475" s="25">
        <v>1.0</v>
      </c>
      <c r="F2475" s="25">
        <v>3.0</v>
      </c>
      <c r="G2475" s="27" t="s">
        <v>24</v>
      </c>
    </row>
    <row r="2476" ht="22.5" customHeight="1">
      <c r="A2476" s="25">
        <v>1436.0</v>
      </c>
      <c r="B2476" s="26">
        <v>45596.0</v>
      </c>
      <c r="C2476" s="25">
        <v>165.0</v>
      </c>
      <c r="D2476" s="25">
        <v>14.0</v>
      </c>
      <c r="E2476" s="25">
        <v>2.0</v>
      </c>
      <c r="F2476" s="25">
        <v>4.0</v>
      </c>
      <c r="G2476" s="27" t="s">
        <v>24</v>
      </c>
    </row>
    <row r="2477" ht="22.5" customHeight="1">
      <c r="A2477" s="25">
        <v>1610.0</v>
      </c>
      <c r="B2477" s="26">
        <v>45596.0</v>
      </c>
      <c r="C2477" s="25">
        <v>198.0</v>
      </c>
      <c r="D2477" s="25">
        <v>31.0</v>
      </c>
      <c r="E2477" s="25">
        <v>1.0</v>
      </c>
      <c r="F2477" s="25">
        <v>1.0</v>
      </c>
      <c r="G2477" s="27" t="s">
        <v>24</v>
      </c>
    </row>
    <row r="2478" ht="22.5" customHeight="1">
      <c r="A2478" s="25">
        <v>1644.0</v>
      </c>
      <c r="B2478" s="26">
        <v>45596.0</v>
      </c>
      <c r="C2478" s="25">
        <v>111.0</v>
      </c>
      <c r="D2478" s="25">
        <v>32.0</v>
      </c>
      <c r="E2478" s="25">
        <v>6.0</v>
      </c>
      <c r="F2478" s="25">
        <v>5.0</v>
      </c>
      <c r="G2478" s="27" t="s">
        <v>24</v>
      </c>
    </row>
    <row r="2479" ht="22.5" customHeight="1">
      <c r="A2479" s="25">
        <v>1972.0</v>
      </c>
      <c r="B2479" s="26">
        <v>45596.0</v>
      </c>
      <c r="C2479" s="25">
        <v>305.0</v>
      </c>
      <c r="D2479" s="25">
        <v>22.0</v>
      </c>
      <c r="E2479" s="25">
        <v>5.0</v>
      </c>
      <c r="F2479" s="25">
        <v>2.0</v>
      </c>
      <c r="G2479" s="27" t="s">
        <v>24</v>
      </c>
    </row>
    <row r="2480" ht="22.5" customHeight="1">
      <c r="A2480" s="25">
        <v>2843.0</v>
      </c>
      <c r="B2480" s="26">
        <v>45596.0</v>
      </c>
      <c r="C2480" s="25">
        <v>3.0</v>
      </c>
      <c r="D2480" s="25">
        <v>32.0</v>
      </c>
      <c r="E2480" s="25">
        <v>6.0</v>
      </c>
      <c r="F2480" s="25">
        <v>5.0</v>
      </c>
      <c r="G2480" s="27" t="s">
        <v>24</v>
      </c>
    </row>
    <row r="2481" ht="22.5" customHeight="1">
      <c r="A2481" s="25">
        <v>99.0</v>
      </c>
      <c r="B2481" s="26">
        <v>45597.0</v>
      </c>
      <c r="C2481" s="25">
        <v>11.0</v>
      </c>
      <c r="D2481" s="25">
        <v>17.0</v>
      </c>
      <c r="E2481" s="25">
        <v>1.0</v>
      </c>
      <c r="F2481" s="25">
        <v>2.0</v>
      </c>
      <c r="G2481" s="27" t="s">
        <v>24</v>
      </c>
    </row>
    <row r="2482" ht="22.5" customHeight="1">
      <c r="A2482" s="25">
        <v>674.0</v>
      </c>
      <c r="B2482" s="26">
        <v>45597.0</v>
      </c>
      <c r="C2482" s="25">
        <v>157.0</v>
      </c>
      <c r="D2482" s="25">
        <v>31.0</v>
      </c>
      <c r="E2482" s="25">
        <v>2.0</v>
      </c>
      <c r="F2482" s="25">
        <v>3.0</v>
      </c>
      <c r="G2482" s="27" t="s">
        <v>24</v>
      </c>
    </row>
    <row r="2483" ht="22.5" customHeight="1">
      <c r="A2483" s="25">
        <v>963.0</v>
      </c>
      <c r="B2483" s="26">
        <v>45597.0</v>
      </c>
      <c r="C2483" s="25">
        <v>107.0</v>
      </c>
      <c r="D2483" s="25">
        <v>17.0</v>
      </c>
      <c r="E2483" s="25">
        <v>4.0</v>
      </c>
      <c r="F2483" s="25">
        <v>4.0</v>
      </c>
      <c r="G2483" s="27" t="s">
        <v>24</v>
      </c>
    </row>
    <row r="2484" ht="22.5" customHeight="1">
      <c r="A2484" s="25">
        <v>1048.0</v>
      </c>
      <c r="B2484" s="26">
        <v>45597.0</v>
      </c>
      <c r="C2484" s="25">
        <v>185.0</v>
      </c>
      <c r="D2484" s="25">
        <v>5.0</v>
      </c>
      <c r="E2484" s="25">
        <v>1.0</v>
      </c>
      <c r="F2484" s="25">
        <v>2.0</v>
      </c>
      <c r="G2484" s="27" t="s">
        <v>24</v>
      </c>
    </row>
    <row r="2485" ht="22.5" customHeight="1">
      <c r="A2485" s="25">
        <v>1510.0</v>
      </c>
      <c r="B2485" s="26">
        <v>45597.0</v>
      </c>
      <c r="C2485" s="25">
        <v>34.0</v>
      </c>
      <c r="D2485" s="25">
        <v>1.0</v>
      </c>
      <c r="E2485" s="25">
        <v>3.0</v>
      </c>
      <c r="F2485" s="25">
        <v>2.0</v>
      </c>
      <c r="G2485" s="27" t="s">
        <v>24</v>
      </c>
    </row>
    <row r="2486" ht="22.5" customHeight="1">
      <c r="A2486" s="25">
        <v>1978.0</v>
      </c>
      <c r="B2486" s="26">
        <v>45597.0</v>
      </c>
      <c r="C2486" s="25">
        <v>210.0</v>
      </c>
      <c r="D2486" s="25">
        <v>21.0</v>
      </c>
      <c r="E2486" s="25">
        <v>3.0</v>
      </c>
      <c r="F2486" s="25">
        <v>4.0</v>
      </c>
      <c r="G2486" s="27" t="s">
        <v>24</v>
      </c>
    </row>
    <row r="2487" ht="22.5" customHeight="1">
      <c r="A2487" s="25">
        <v>2143.0</v>
      </c>
      <c r="B2487" s="26">
        <v>45597.0</v>
      </c>
      <c r="C2487" s="25">
        <v>54.0</v>
      </c>
      <c r="D2487" s="25">
        <v>38.0</v>
      </c>
      <c r="E2487" s="25">
        <v>6.0</v>
      </c>
      <c r="F2487" s="25">
        <v>4.0</v>
      </c>
      <c r="G2487" s="27" t="s">
        <v>24</v>
      </c>
    </row>
    <row r="2488" ht="22.5" customHeight="1">
      <c r="A2488" s="25">
        <v>2247.0</v>
      </c>
      <c r="B2488" s="26">
        <v>45597.0</v>
      </c>
      <c r="C2488" s="25">
        <v>15.0</v>
      </c>
      <c r="D2488" s="25">
        <v>12.0</v>
      </c>
      <c r="E2488" s="25">
        <v>5.0</v>
      </c>
      <c r="F2488" s="25">
        <v>4.0</v>
      </c>
      <c r="G2488" s="27" t="s">
        <v>24</v>
      </c>
    </row>
    <row r="2489" ht="22.5" customHeight="1">
      <c r="A2489" s="25">
        <v>2877.0</v>
      </c>
      <c r="B2489" s="26">
        <v>45597.0</v>
      </c>
      <c r="C2489" s="25">
        <v>152.0</v>
      </c>
      <c r="D2489" s="25">
        <v>23.0</v>
      </c>
      <c r="E2489" s="25">
        <v>4.0</v>
      </c>
      <c r="F2489" s="25">
        <v>5.0</v>
      </c>
      <c r="G2489" s="27" t="s">
        <v>25</v>
      </c>
    </row>
    <row r="2490" ht="22.5" customHeight="1">
      <c r="A2490" s="25">
        <v>93.0</v>
      </c>
      <c r="B2490" s="26">
        <v>45598.0</v>
      </c>
      <c r="C2490" s="25">
        <v>101.0</v>
      </c>
      <c r="D2490" s="25">
        <v>26.0</v>
      </c>
      <c r="E2490" s="25">
        <v>4.0</v>
      </c>
      <c r="F2490" s="25">
        <v>2.0</v>
      </c>
      <c r="G2490" s="27" t="s">
        <v>25</v>
      </c>
    </row>
    <row r="2491" ht="22.5" customHeight="1">
      <c r="A2491" s="25">
        <v>283.0</v>
      </c>
      <c r="B2491" s="26">
        <v>45598.0</v>
      </c>
      <c r="C2491" s="25">
        <v>292.0</v>
      </c>
      <c r="D2491" s="25">
        <v>21.0</v>
      </c>
      <c r="E2491" s="25">
        <v>5.0</v>
      </c>
      <c r="F2491" s="25">
        <v>1.0</v>
      </c>
      <c r="G2491" s="27" t="s">
        <v>25</v>
      </c>
    </row>
    <row r="2492" ht="22.5" customHeight="1">
      <c r="A2492" s="25">
        <v>830.0</v>
      </c>
      <c r="B2492" s="26">
        <v>45598.0</v>
      </c>
      <c r="C2492" s="25">
        <v>55.0</v>
      </c>
      <c r="D2492" s="25">
        <v>20.0</v>
      </c>
      <c r="E2492" s="25">
        <v>1.0</v>
      </c>
      <c r="F2492" s="25">
        <v>5.0</v>
      </c>
      <c r="G2492" s="27" t="s">
        <v>24</v>
      </c>
    </row>
    <row r="2493" ht="22.5" customHeight="1">
      <c r="A2493" s="25">
        <v>1304.0</v>
      </c>
      <c r="B2493" s="26">
        <v>45598.0</v>
      </c>
      <c r="C2493" s="25">
        <v>19.0</v>
      </c>
      <c r="D2493" s="25">
        <v>21.0</v>
      </c>
      <c r="E2493" s="25">
        <v>6.0</v>
      </c>
      <c r="F2493" s="25">
        <v>5.0</v>
      </c>
      <c r="G2493" s="27" t="s">
        <v>24</v>
      </c>
    </row>
    <row r="2494" ht="22.5" customHeight="1">
      <c r="A2494" s="25">
        <v>1445.0</v>
      </c>
      <c r="B2494" s="26">
        <v>45598.0</v>
      </c>
      <c r="C2494" s="25">
        <v>104.0</v>
      </c>
      <c r="D2494" s="25">
        <v>12.0</v>
      </c>
      <c r="E2494" s="25">
        <v>2.0</v>
      </c>
      <c r="F2494" s="25">
        <v>5.0</v>
      </c>
      <c r="G2494" s="27" t="s">
        <v>25</v>
      </c>
    </row>
    <row r="2495" ht="22.5" customHeight="1">
      <c r="A2495" s="25">
        <v>1869.0</v>
      </c>
      <c r="B2495" s="26">
        <v>45598.0</v>
      </c>
      <c r="C2495" s="25">
        <v>205.0</v>
      </c>
      <c r="D2495" s="25">
        <v>16.0</v>
      </c>
      <c r="E2495" s="25">
        <v>4.0</v>
      </c>
      <c r="F2495" s="25">
        <v>5.0</v>
      </c>
      <c r="G2495" s="27" t="s">
        <v>24</v>
      </c>
    </row>
    <row r="2496" ht="22.5" customHeight="1">
      <c r="A2496" s="25">
        <v>2987.0</v>
      </c>
      <c r="B2496" s="26">
        <v>45598.0</v>
      </c>
      <c r="C2496" s="25">
        <v>2.0</v>
      </c>
      <c r="D2496" s="25">
        <v>12.0</v>
      </c>
      <c r="E2496" s="25">
        <v>3.0</v>
      </c>
      <c r="F2496" s="25">
        <v>5.0</v>
      </c>
      <c r="G2496" s="27" t="s">
        <v>24</v>
      </c>
    </row>
    <row r="2497" ht="22.5" customHeight="1">
      <c r="A2497" s="25">
        <v>775.0</v>
      </c>
      <c r="B2497" s="26">
        <v>45599.0</v>
      </c>
      <c r="C2497" s="25">
        <v>71.0</v>
      </c>
      <c r="D2497" s="25">
        <v>17.0</v>
      </c>
      <c r="E2497" s="25">
        <v>6.0</v>
      </c>
      <c r="F2497" s="25">
        <v>2.0</v>
      </c>
      <c r="G2497" s="27" t="s">
        <v>24</v>
      </c>
    </row>
    <row r="2498" ht="22.5" customHeight="1">
      <c r="A2498" s="25">
        <v>834.0</v>
      </c>
      <c r="B2498" s="26">
        <v>45599.0</v>
      </c>
      <c r="C2498" s="25">
        <v>111.0</v>
      </c>
      <c r="D2498" s="25">
        <v>25.0</v>
      </c>
      <c r="E2498" s="25">
        <v>4.0</v>
      </c>
      <c r="F2498" s="25">
        <v>1.0</v>
      </c>
      <c r="G2498" s="27" t="s">
        <v>24</v>
      </c>
    </row>
    <row r="2499" ht="22.5" customHeight="1">
      <c r="A2499" s="25">
        <v>890.0</v>
      </c>
      <c r="B2499" s="26">
        <v>45599.0</v>
      </c>
      <c r="C2499" s="25">
        <v>296.0</v>
      </c>
      <c r="D2499" s="25">
        <v>7.0</v>
      </c>
      <c r="E2499" s="25">
        <v>5.0</v>
      </c>
      <c r="F2499" s="25">
        <v>4.0</v>
      </c>
      <c r="G2499" s="27" t="s">
        <v>24</v>
      </c>
    </row>
    <row r="2500" ht="22.5" customHeight="1">
      <c r="A2500" s="25">
        <v>1029.0</v>
      </c>
      <c r="B2500" s="26">
        <v>45599.0</v>
      </c>
      <c r="C2500" s="25">
        <v>9.0</v>
      </c>
      <c r="D2500" s="25">
        <v>29.0</v>
      </c>
      <c r="E2500" s="25">
        <v>1.0</v>
      </c>
      <c r="F2500" s="25">
        <v>5.0</v>
      </c>
      <c r="G2500" s="27" t="s">
        <v>25</v>
      </c>
    </row>
    <row r="2501" ht="22.5" customHeight="1">
      <c r="A2501" s="25">
        <v>1161.0</v>
      </c>
      <c r="B2501" s="26">
        <v>45599.0</v>
      </c>
      <c r="C2501" s="25">
        <v>277.0</v>
      </c>
      <c r="D2501" s="25">
        <v>26.0</v>
      </c>
      <c r="E2501" s="25">
        <v>6.0</v>
      </c>
      <c r="F2501" s="25">
        <v>4.0</v>
      </c>
      <c r="G2501" s="27" t="s">
        <v>24</v>
      </c>
    </row>
    <row r="2502" ht="22.5" customHeight="1">
      <c r="A2502" s="25">
        <v>1396.0</v>
      </c>
      <c r="B2502" s="26">
        <v>45599.0</v>
      </c>
      <c r="C2502" s="25">
        <v>209.0</v>
      </c>
      <c r="D2502" s="25">
        <v>9.0</v>
      </c>
      <c r="E2502" s="25">
        <v>1.0</v>
      </c>
      <c r="F2502" s="25">
        <v>5.0</v>
      </c>
      <c r="G2502" s="27" t="s">
        <v>24</v>
      </c>
    </row>
    <row r="2503" ht="22.5" customHeight="1">
      <c r="A2503" s="25">
        <v>1489.0</v>
      </c>
      <c r="B2503" s="26">
        <v>45599.0</v>
      </c>
      <c r="C2503" s="25">
        <v>22.0</v>
      </c>
      <c r="D2503" s="25">
        <v>8.0</v>
      </c>
      <c r="E2503" s="25">
        <v>4.0</v>
      </c>
      <c r="F2503" s="25">
        <v>5.0</v>
      </c>
      <c r="G2503" s="27" t="s">
        <v>24</v>
      </c>
    </row>
    <row r="2504" ht="22.5" customHeight="1">
      <c r="A2504" s="25">
        <v>1711.0</v>
      </c>
      <c r="B2504" s="26">
        <v>45599.0</v>
      </c>
      <c r="C2504" s="25">
        <v>183.0</v>
      </c>
      <c r="D2504" s="25">
        <v>19.0</v>
      </c>
      <c r="E2504" s="25">
        <v>4.0</v>
      </c>
      <c r="F2504" s="25">
        <v>4.0</v>
      </c>
      <c r="G2504" s="27" t="s">
        <v>24</v>
      </c>
    </row>
    <row r="2505" ht="22.5" customHeight="1">
      <c r="A2505" s="25">
        <v>2011.0</v>
      </c>
      <c r="B2505" s="26">
        <v>45599.0</v>
      </c>
      <c r="C2505" s="25">
        <v>322.0</v>
      </c>
      <c r="D2505" s="25">
        <v>8.0</v>
      </c>
      <c r="E2505" s="25">
        <v>6.0</v>
      </c>
      <c r="F2505" s="25">
        <v>3.0</v>
      </c>
      <c r="G2505" s="27" t="s">
        <v>25</v>
      </c>
    </row>
    <row r="2506" ht="22.5" customHeight="1">
      <c r="A2506" s="25">
        <v>2063.0</v>
      </c>
      <c r="B2506" s="26">
        <v>45599.0</v>
      </c>
      <c r="C2506" s="25">
        <v>8.0</v>
      </c>
      <c r="D2506" s="25">
        <v>32.0</v>
      </c>
      <c r="E2506" s="25">
        <v>1.0</v>
      </c>
      <c r="F2506" s="25">
        <v>1.0</v>
      </c>
      <c r="G2506" s="27" t="s">
        <v>24</v>
      </c>
    </row>
    <row r="2507" ht="22.5" customHeight="1">
      <c r="A2507" s="25">
        <v>2753.0</v>
      </c>
      <c r="B2507" s="26">
        <v>45599.0</v>
      </c>
      <c r="C2507" s="25">
        <v>319.0</v>
      </c>
      <c r="D2507" s="25">
        <v>5.0</v>
      </c>
      <c r="E2507" s="25">
        <v>3.0</v>
      </c>
      <c r="F2507" s="25">
        <v>4.0</v>
      </c>
      <c r="G2507" s="27" t="s">
        <v>24</v>
      </c>
    </row>
    <row r="2508" ht="22.5" customHeight="1">
      <c r="A2508" s="25">
        <v>20.0</v>
      </c>
      <c r="B2508" s="26">
        <v>45600.0</v>
      </c>
      <c r="C2508" s="25">
        <v>122.0</v>
      </c>
      <c r="D2508" s="25">
        <v>7.0</v>
      </c>
      <c r="E2508" s="25">
        <v>6.0</v>
      </c>
      <c r="F2508" s="25">
        <v>2.0</v>
      </c>
      <c r="G2508" s="27" t="s">
        <v>24</v>
      </c>
    </row>
    <row r="2509" ht="22.5" customHeight="1">
      <c r="A2509" s="25">
        <v>76.0</v>
      </c>
      <c r="B2509" s="26">
        <v>45600.0</v>
      </c>
      <c r="C2509" s="25">
        <v>147.0</v>
      </c>
      <c r="D2509" s="25">
        <v>36.0</v>
      </c>
      <c r="E2509" s="25">
        <v>5.0</v>
      </c>
      <c r="F2509" s="25">
        <v>3.0</v>
      </c>
      <c r="G2509" s="27" t="s">
        <v>24</v>
      </c>
    </row>
    <row r="2510" ht="22.5" customHeight="1">
      <c r="A2510" s="25">
        <v>158.0</v>
      </c>
      <c r="B2510" s="26">
        <v>45600.0</v>
      </c>
      <c r="C2510" s="25">
        <v>319.0</v>
      </c>
      <c r="D2510" s="25">
        <v>26.0</v>
      </c>
      <c r="E2510" s="25">
        <v>2.0</v>
      </c>
      <c r="F2510" s="25">
        <v>5.0</v>
      </c>
      <c r="G2510" s="27" t="s">
        <v>25</v>
      </c>
    </row>
    <row r="2511" ht="22.5" customHeight="1">
      <c r="A2511" s="25">
        <v>544.0</v>
      </c>
      <c r="B2511" s="26">
        <v>45600.0</v>
      </c>
      <c r="C2511" s="25">
        <v>252.0</v>
      </c>
      <c r="D2511" s="25">
        <v>26.0</v>
      </c>
      <c r="E2511" s="25">
        <v>3.0</v>
      </c>
      <c r="F2511" s="25">
        <v>4.0</v>
      </c>
      <c r="G2511" s="27" t="s">
        <v>24</v>
      </c>
    </row>
    <row r="2512" ht="22.5" customHeight="1">
      <c r="A2512" s="25">
        <v>982.0</v>
      </c>
      <c r="B2512" s="26">
        <v>45600.0</v>
      </c>
      <c r="C2512" s="25">
        <v>245.0</v>
      </c>
      <c r="D2512" s="25">
        <v>19.0</v>
      </c>
      <c r="E2512" s="25">
        <v>3.0</v>
      </c>
      <c r="F2512" s="25">
        <v>4.0</v>
      </c>
      <c r="G2512" s="27" t="s">
        <v>24</v>
      </c>
    </row>
    <row r="2513" ht="22.5" customHeight="1">
      <c r="A2513" s="25">
        <v>1490.0</v>
      </c>
      <c r="B2513" s="26">
        <v>45600.0</v>
      </c>
      <c r="C2513" s="25">
        <v>255.0</v>
      </c>
      <c r="D2513" s="25">
        <v>7.0</v>
      </c>
      <c r="E2513" s="25">
        <v>3.0</v>
      </c>
      <c r="F2513" s="25">
        <v>3.0</v>
      </c>
      <c r="G2513" s="27" t="s">
        <v>24</v>
      </c>
    </row>
    <row r="2514" ht="22.5" customHeight="1">
      <c r="A2514" s="25">
        <v>1573.0</v>
      </c>
      <c r="B2514" s="26">
        <v>45600.0</v>
      </c>
      <c r="C2514" s="25">
        <v>298.0</v>
      </c>
      <c r="D2514" s="25">
        <v>24.0</v>
      </c>
      <c r="E2514" s="25">
        <v>4.0</v>
      </c>
      <c r="F2514" s="25">
        <v>4.0</v>
      </c>
      <c r="G2514" s="27" t="s">
        <v>24</v>
      </c>
    </row>
    <row r="2515" ht="22.5" customHeight="1">
      <c r="A2515" s="25">
        <v>1832.0</v>
      </c>
      <c r="B2515" s="26">
        <v>45600.0</v>
      </c>
      <c r="C2515" s="25">
        <v>173.0</v>
      </c>
      <c r="D2515" s="25">
        <v>22.0</v>
      </c>
      <c r="E2515" s="25">
        <v>1.0</v>
      </c>
      <c r="F2515" s="25">
        <v>3.0</v>
      </c>
      <c r="G2515" s="27" t="s">
        <v>24</v>
      </c>
    </row>
    <row r="2516" ht="22.5" customHeight="1">
      <c r="A2516" s="25">
        <v>2121.0</v>
      </c>
      <c r="B2516" s="26">
        <v>45600.0</v>
      </c>
      <c r="C2516" s="25">
        <v>261.0</v>
      </c>
      <c r="D2516" s="25">
        <v>30.0</v>
      </c>
      <c r="E2516" s="25">
        <v>5.0</v>
      </c>
      <c r="F2516" s="25">
        <v>4.0</v>
      </c>
      <c r="G2516" s="27" t="s">
        <v>24</v>
      </c>
    </row>
    <row r="2517" ht="22.5" customHeight="1">
      <c r="A2517" s="25">
        <v>791.0</v>
      </c>
      <c r="B2517" s="26">
        <v>45601.0</v>
      </c>
      <c r="C2517" s="25">
        <v>210.0</v>
      </c>
      <c r="D2517" s="25">
        <v>32.0</v>
      </c>
      <c r="E2517" s="25">
        <v>2.0</v>
      </c>
      <c r="F2517" s="25">
        <v>4.0</v>
      </c>
      <c r="G2517" s="27" t="s">
        <v>24</v>
      </c>
    </row>
    <row r="2518" ht="22.5" customHeight="1">
      <c r="A2518" s="25">
        <v>1073.0</v>
      </c>
      <c r="B2518" s="26">
        <v>45601.0</v>
      </c>
      <c r="C2518" s="25">
        <v>173.0</v>
      </c>
      <c r="D2518" s="25">
        <v>35.0</v>
      </c>
      <c r="E2518" s="25">
        <v>5.0</v>
      </c>
      <c r="F2518" s="25">
        <v>5.0</v>
      </c>
      <c r="G2518" s="27" t="s">
        <v>25</v>
      </c>
    </row>
    <row r="2519" ht="22.5" customHeight="1">
      <c r="A2519" s="25">
        <v>1364.0</v>
      </c>
      <c r="B2519" s="26">
        <v>45601.0</v>
      </c>
      <c r="C2519" s="25">
        <v>65.0</v>
      </c>
      <c r="D2519" s="25">
        <v>33.0</v>
      </c>
      <c r="E2519" s="25">
        <v>3.0</v>
      </c>
      <c r="F2519" s="25">
        <v>1.0</v>
      </c>
      <c r="G2519" s="27" t="s">
        <v>24</v>
      </c>
    </row>
    <row r="2520" ht="22.5" customHeight="1">
      <c r="A2520" s="25">
        <v>1939.0</v>
      </c>
      <c r="B2520" s="26">
        <v>45601.0</v>
      </c>
      <c r="C2520" s="25">
        <v>141.0</v>
      </c>
      <c r="D2520" s="25">
        <v>27.0</v>
      </c>
      <c r="E2520" s="25">
        <v>5.0</v>
      </c>
      <c r="F2520" s="25">
        <v>5.0</v>
      </c>
      <c r="G2520" s="27" t="s">
        <v>24</v>
      </c>
    </row>
    <row r="2521" ht="22.5" customHeight="1">
      <c r="A2521" s="25">
        <v>2030.0</v>
      </c>
      <c r="B2521" s="26">
        <v>45601.0</v>
      </c>
      <c r="C2521" s="25">
        <v>70.0</v>
      </c>
      <c r="D2521" s="25">
        <v>1.0</v>
      </c>
      <c r="E2521" s="25">
        <v>6.0</v>
      </c>
      <c r="F2521" s="25">
        <v>5.0</v>
      </c>
      <c r="G2521" s="27" t="s">
        <v>25</v>
      </c>
    </row>
    <row r="2522" ht="22.5" customHeight="1">
      <c r="A2522" s="25">
        <v>2445.0</v>
      </c>
      <c r="B2522" s="26">
        <v>45601.0</v>
      </c>
      <c r="C2522" s="25">
        <v>56.0</v>
      </c>
      <c r="D2522" s="25">
        <v>14.0</v>
      </c>
      <c r="E2522" s="25">
        <v>3.0</v>
      </c>
      <c r="F2522" s="25">
        <v>4.0</v>
      </c>
      <c r="G2522" s="27" t="s">
        <v>24</v>
      </c>
    </row>
    <row r="2523" ht="22.5" customHeight="1">
      <c r="A2523" s="25">
        <v>2603.0</v>
      </c>
      <c r="B2523" s="26">
        <v>45601.0</v>
      </c>
      <c r="C2523" s="25">
        <v>156.0</v>
      </c>
      <c r="D2523" s="25">
        <v>37.0</v>
      </c>
      <c r="E2523" s="25">
        <v>1.0</v>
      </c>
      <c r="F2523" s="25">
        <v>1.0</v>
      </c>
      <c r="G2523" s="27" t="s">
        <v>25</v>
      </c>
    </row>
    <row r="2524" ht="22.5" customHeight="1">
      <c r="A2524" s="25">
        <v>2644.0</v>
      </c>
      <c r="B2524" s="26">
        <v>45601.0</v>
      </c>
      <c r="C2524" s="25">
        <v>69.0</v>
      </c>
      <c r="D2524" s="25">
        <v>21.0</v>
      </c>
      <c r="E2524" s="25">
        <v>2.0</v>
      </c>
      <c r="F2524" s="25">
        <v>4.0</v>
      </c>
      <c r="G2524" s="27" t="s">
        <v>24</v>
      </c>
    </row>
    <row r="2525" ht="22.5" customHeight="1">
      <c r="A2525" s="25">
        <v>2646.0</v>
      </c>
      <c r="B2525" s="26">
        <v>45601.0</v>
      </c>
      <c r="C2525" s="25">
        <v>228.0</v>
      </c>
      <c r="D2525" s="25">
        <v>10.0</v>
      </c>
      <c r="E2525" s="25">
        <v>4.0</v>
      </c>
      <c r="F2525" s="25">
        <v>5.0</v>
      </c>
      <c r="G2525" s="27" t="s">
        <v>24</v>
      </c>
    </row>
    <row r="2526" ht="22.5" customHeight="1">
      <c r="A2526" s="25">
        <v>2859.0</v>
      </c>
      <c r="B2526" s="26">
        <v>45601.0</v>
      </c>
      <c r="C2526" s="25">
        <v>280.0</v>
      </c>
      <c r="D2526" s="25">
        <v>16.0</v>
      </c>
      <c r="E2526" s="25">
        <v>3.0</v>
      </c>
      <c r="F2526" s="25">
        <v>5.0</v>
      </c>
      <c r="G2526" s="27" t="s">
        <v>24</v>
      </c>
    </row>
    <row r="2527" ht="22.5" customHeight="1">
      <c r="A2527" s="25">
        <v>2904.0</v>
      </c>
      <c r="B2527" s="26">
        <v>45601.0</v>
      </c>
      <c r="C2527" s="25">
        <v>165.0</v>
      </c>
      <c r="D2527" s="25">
        <v>34.0</v>
      </c>
      <c r="E2527" s="25">
        <v>6.0</v>
      </c>
      <c r="F2527" s="25">
        <v>4.0</v>
      </c>
      <c r="G2527" s="27" t="s">
        <v>24</v>
      </c>
    </row>
    <row r="2528" ht="22.5" customHeight="1">
      <c r="A2528" s="25">
        <v>155.0</v>
      </c>
      <c r="B2528" s="26">
        <v>45602.0</v>
      </c>
      <c r="C2528" s="25">
        <v>125.0</v>
      </c>
      <c r="D2528" s="25">
        <v>2.0</v>
      </c>
      <c r="E2528" s="25">
        <v>5.0</v>
      </c>
      <c r="F2528" s="25">
        <v>3.0</v>
      </c>
      <c r="G2528" s="27" t="s">
        <v>25</v>
      </c>
    </row>
    <row r="2529" ht="22.5" customHeight="1">
      <c r="A2529" s="25">
        <v>480.0</v>
      </c>
      <c r="B2529" s="26">
        <v>45602.0</v>
      </c>
      <c r="C2529" s="25">
        <v>161.0</v>
      </c>
      <c r="D2529" s="25">
        <v>12.0</v>
      </c>
      <c r="E2529" s="25">
        <v>2.0</v>
      </c>
      <c r="F2529" s="25">
        <v>2.0</v>
      </c>
      <c r="G2529" s="27" t="s">
        <v>24</v>
      </c>
    </row>
    <row r="2530" ht="22.5" customHeight="1">
      <c r="A2530" s="25">
        <v>980.0</v>
      </c>
      <c r="B2530" s="26">
        <v>45602.0</v>
      </c>
      <c r="C2530" s="25">
        <v>119.0</v>
      </c>
      <c r="D2530" s="25">
        <v>6.0</v>
      </c>
      <c r="E2530" s="25">
        <v>4.0</v>
      </c>
      <c r="F2530" s="25">
        <v>4.0</v>
      </c>
      <c r="G2530" s="27" t="s">
        <v>24</v>
      </c>
    </row>
    <row r="2531" ht="22.5" customHeight="1">
      <c r="A2531" s="25">
        <v>1298.0</v>
      </c>
      <c r="B2531" s="26">
        <v>45602.0</v>
      </c>
      <c r="C2531" s="25">
        <v>216.0</v>
      </c>
      <c r="D2531" s="25">
        <v>18.0</v>
      </c>
      <c r="E2531" s="25">
        <v>1.0</v>
      </c>
      <c r="F2531" s="25">
        <v>5.0</v>
      </c>
      <c r="G2531" s="27" t="s">
        <v>24</v>
      </c>
    </row>
    <row r="2532" ht="22.5" customHeight="1">
      <c r="A2532" s="25">
        <v>1342.0</v>
      </c>
      <c r="B2532" s="26">
        <v>45602.0</v>
      </c>
      <c r="C2532" s="25">
        <v>119.0</v>
      </c>
      <c r="D2532" s="25">
        <v>23.0</v>
      </c>
      <c r="E2532" s="25">
        <v>6.0</v>
      </c>
      <c r="F2532" s="25">
        <v>1.0</v>
      </c>
      <c r="G2532" s="27" t="s">
        <v>24</v>
      </c>
    </row>
    <row r="2533" ht="22.5" customHeight="1">
      <c r="A2533" s="25">
        <v>1645.0</v>
      </c>
      <c r="B2533" s="26">
        <v>45602.0</v>
      </c>
      <c r="C2533" s="25">
        <v>13.0</v>
      </c>
      <c r="D2533" s="25">
        <v>12.0</v>
      </c>
      <c r="E2533" s="25">
        <v>2.0</v>
      </c>
      <c r="F2533" s="25">
        <v>5.0</v>
      </c>
      <c r="G2533" s="27" t="s">
        <v>24</v>
      </c>
    </row>
    <row r="2534" ht="22.5" customHeight="1">
      <c r="A2534" s="25">
        <v>1818.0</v>
      </c>
      <c r="B2534" s="26">
        <v>45602.0</v>
      </c>
      <c r="C2534" s="25">
        <v>279.0</v>
      </c>
      <c r="D2534" s="25">
        <v>22.0</v>
      </c>
      <c r="E2534" s="25">
        <v>3.0</v>
      </c>
      <c r="F2534" s="25">
        <v>4.0</v>
      </c>
      <c r="G2534" s="27" t="s">
        <v>24</v>
      </c>
    </row>
    <row r="2535" ht="22.5" customHeight="1">
      <c r="A2535" s="25">
        <v>2500.0</v>
      </c>
      <c r="B2535" s="26">
        <v>45602.0</v>
      </c>
      <c r="C2535" s="25">
        <v>20.0</v>
      </c>
      <c r="D2535" s="25">
        <v>23.0</v>
      </c>
      <c r="E2535" s="25">
        <v>4.0</v>
      </c>
      <c r="F2535" s="25">
        <v>5.0</v>
      </c>
      <c r="G2535" s="27" t="s">
        <v>24</v>
      </c>
    </row>
    <row r="2536" ht="22.5" customHeight="1">
      <c r="A2536" s="25">
        <v>2597.0</v>
      </c>
      <c r="B2536" s="26">
        <v>45602.0</v>
      </c>
      <c r="C2536" s="25">
        <v>80.0</v>
      </c>
      <c r="D2536" s="25">
        <v>22.0</v>
      </c>
      <c r="E2536" s="25">
        <v>6.0</v>
      </c>
      <c r="F2536" s="25">
        <v>4.0</v>
      </c>
      <c r="G2536" s="27" t="s">
        <v>24</v>
      </c>
    </row>
    <row r="2537" ht="22.5" customHeight="1">
      <c r="A2537" s="25">
        <v>2631.0</v>
      </c>
      <c r="B2537" s="26">
        <v>45602.0</v>
      </c>
      <c r="C2537" s="25">
        <v>27.0</v>
      </c>
      <c r="D2537" s="25">
        <v>22.0</v>
      </c>
      <c r="E2537" s="25">
        <v>3.0</v>
      </c>
      <c r="F2537" s="25">
        <v>4.0</v>
      </c>
      <c r="G2537" s="27" t="s">
        <v>24</v>
      </c>
    </row>
    <row r="2538" ht="22.5" customHeight="1">
      <c r="A2538" s="25">
        <v>2983.0</v>
      </c>
      <c r="B2538" s="26">
        <v>45602.0</v>
      </c>
      <c r="C2538" s="25">
        <v>234.0</v>
      </c>
      <c r="D2538" s="25">
        <v>20.0</v>
      </c>
      <c r="E2538" s="25">
        <v>3.0</v>
      </c>
      <c r="F2538" s="25">
        <v>3.0</v>
      </c>
      <c r="G2538" s="27" t="s">
        <v>24</v>
      </c>
    </row>
    <row r="2539" ht="22.5" customHeight="1">
      <c r="A2539" s="25">
        <v>101.0</v>
      </c>
      <c r="B2539" s="26">
        <v>45603.0</v>
      </c>
      <c r="C2539" s="25">
        <v>281.0</v>
      </c>
      <c r="D2539" s="25">
        <v>36.0</v>
      </c>
      <c r="E2539" s="25">
        <v>1.0</v>
      </c>
      <c r="F2539" s="25">
        <v>5.0</v>
      </c>
      <c r="G2539" s="27" t="s">
        <v>24</v>
      </c>
    </row>
    <row r="2540" ht="22.5" customHeight="1">
      <c r="A2540" s="25">
        <v>401.0</v>
      </c>
      <c r="B2540" s="26">
        <v>45603.0</v>
      </c>
      <c r="C2540" s="25">
        <v>27.0</v>
      </c>
      <c r="D2540" s="25">
        <v>27.0</v>
      </c>
      <c r="E2540" s="25">
        <v>6.0</v>
      </c>
      <c r="F2540" s="25">
        <v>4.0</v>
      </c>
      <c r="G2540" s="27" t="s">
        <v>24</v>
      </c>
    </row>
    <row r="2541" ht="22.5" customHeight="1">
      <c r="A2541" s="25">
        <v>509.0</v>
      </c>
      <c r="B2541" s="26">
        <v>45603.0</v>
      </c>
      <c r="C2541" s="25">
        <v>136.0</v>
      </c>
      <c r="D2541" s="25">
        <v>38.0</v>
      </c>
      <c r="E2541" s="25">
        <v>3.0</v>
      </c>
      <c r="F2541" s="25">
        <v>5.0</v>
      </c>
      <c r="G2541" s="27" t="s">
        <v>24</v>
      </c>
    </row>
    <row r="2542" ht="22.5" customHeight="1">
      <c r="A2542" s="25">
        <v>667.0</v>
      </c>
      <c r="B2542" s="26">
        <v>45603.0</v>
      </c>
      <c r="C2542" s="25">
        <v>189.0</v>
      </c>
      <c r="D2542" s="25">
        <v>16.0</v>
      </c>
      <c r="E2542" s="25">
        <v>5.0</v>
      </c>
      <c r="F2542" s="25">
        <v>3.0</v>
      </c>
      <c r="G2542" s="27" t="s">
        <v>24</v>
      </c>
    </row>
    <row r="2543" ht="22.5" customHeight="1">
      <c r="A2543" s="25">
        <v>1215.0</v>
      </c>
      <c r="B2543" s="26">
        <v>45603.0</v>
      </c>
      <c r="C2543" s="25">
        <v>297.0</v>
      </c>
      <c r="D2543" s="25">
        <v>17.0</v>
      </c>
      <c r="E2543" s="25">
        <v>6.0</v>
      </c>
      <c r="F2543" s="25">
        <v>3.0</v>
      </c>
      <c r="G2543" s="27" t="s">
        <v>25</v>
      </c>
    </row>
    <row r="2544" ht="22.5" customHeight="1">
      <c r="A2544" s="25">
        <v>1418.0</v>
      </c>
      <c r="B2544" s="26">
        <v>45603.0</v>
      </c>
      <c r="C2544" s="25">
        <v>111.0</v>
      </c>
      <c r="D2544" s="25">
        <v>37.0</v>
      </c>
      <c r="E2544" s="25">
        <v>1.0</v>
      </c>
      <c r="F2544" s="25">
        <v>5.0</v>
      </c>
      <c r="G2544" s="27" t="s">
        <v>25</v>
      </c>
    </row>
    <row r="2545" ht="22.5" customHeight="1">
      <c r="A2545" s="25">
        <v>1965.0</v>
      </c>
      <c r="B2545" s="26">
        <v>45603.0</v>
      </c>
      <c r="C2545" s="25">
        <v>185.0</v>
      </c>
      <c r="D2545" s="25">
        <v>36.0</v>
      </c>
      <c r="E2545" s="25">
        <v>5.0</v>
      </c>
      <c r="F2545" s="25">
        <v>4.0</v>
      </c>
      <c r="G2545" s="27" t="s">
        <v>24</v>
      </c>
    </row>
    <row r="2546" ht="22.5" customHeight="1">
      <c r="A2546" s="25">
        <v>2031.0</v>
      </c>
      <c r="B2546" s="26">
        <v>45603.0</v>
      </c>
      <c r="C2546" s="25">
        <v>190.0</v>
      </c>
      <c r="D2546" s="25">
        <v>33.0</v>
      </c>
      <c r="E2546" s="25">
        <v>3.0</v>
      </c>
      <c r="F2546" s="25">
        <v>5.0</v>
      </c>
      <c r="G2546" s="27" t="s">
        <v>24</v>
      </c>
    </row>
    <row r="2547" ht="22.5" customHeight="1">
      <c r="A2547" s="25">
        <v>250.0</v>
      </c>
      <c r="B2547" s="26">
        <v>45604.0</v>
      </c>
      <c r="C2547" s="25">
        <v>313.0</v>
      </c>
      <c r="D2547" s="25">
        <v>24.0</v>
      </c>
      <c r="E2547" s="25">
        <v>3.0</v>
      </c>
      <c r="F2547" s="25">
        <v>5.0</v>
      </c>
      <c r="G2547" s="27" t="s">
        <v>25</v>
      </c>
    </row>
    <row r="2548" ht="22.5" customHeight="1">
      <c r="A2548" s="25">
        <v>278.0</v>
      </c>
      <c r="B2548" s="26">
        <v>45604.0</v>
      </c>
      <c r="C2548" s="25">
        <v>180.0</v>
      </c>
      <c r="D2548" s="25">
        <v>19.0</v>
      </c>
      <c r="E2548" s="25">
        <v>3.0</v>
      </c>
      <c r="F2548" s="25">
        <v>1.0</v>
      </c>
      <c r="G2548" s="27" t="s">
        <v>24</v>
      </c>
    </row>
    <row r="2549" ht="22.5" customHeight="1">
      <c r="A2549" s="25">
        <v>366.0</v>
      </c>
      <c r="B2549" s="26">
        <v>45604.0</v>
      </c>
      <c r="C2549" s="25">
        <v>111.0</v>
      </c>
      <c r="D2549" s="25">
        <v>37.0</v>
      </c>
      <c r="E2549" s="25">
        <v>4.0</v>
      </c>
      <c r="F2549" s="25">
        <v>4.0</v>
      </c>
      <c r="G2549" s="27" t="s">
        <v>24</v>
      </c>
    </row>
    <row r="2550" ht="22.5" customHeight="1">
      <c r="A2550" s="25">
        <v>467.0</v>
      </c>
      <c r="B2550" s="26">
        <v>45604.0</v>
      </c>
      <c r="C2550" s="25">
        <v>271.0</v>
      </c>
      <c r="D2550" s="25">
        <v>34.0</v>
      </c>
      <c r="E2550" s="25">
        <v>6.0</v>
      </c>
      <c r="F2550" s="25">
        <v>4.0</v>
      </c>
      <c r="G2550" s="27" t="s">
        <v>24</v>
      </c>
    </row>
    <row r="2551" ht="22.5" customHeight="1">
      <c r="A2551" s="25">
        <v>698.0</v>
      </c>
      <c r="B2551" s="26">
        <v>45604.0</v>
      </c>
      <c r="C2551" s="25">
        <v>225.0</v>
      </c>
      <c r="D2551" s="25">
        <v>20.0</v>
      </c>
      <c r="E2551" s="25">
        <v>6.0</v>
      </c>
      <c r="F2551" s="25">
        <v>1.0</v>
      </c>
      <c r="G2551" s="27" t="s">
        <v>25</v>
      </c>
    </row>
    <row r="2552" ht="22.5" customHeight="1">
      <c r="A2552" s="25">
        <v>1721.0</v>
      </c>
      <c r="B2552" s="26">
        <v>45604.0</v>
      </c>
      <c r="C2552" s="25">
        <v>46.0</v>
      </c>
      <c r="D2552" s="25">
        <v>30.0</v>
      </c>
      <c r="E2552" s="25">
        <v>4.0</v>
      </c>
      <c r="F2552" s="25">
        <v>1.0</v>
      </c>
      <c r="G2552" s="27" t="s">
        <v>24</v>
      </c>
    </row>
    <row r="2553" ht="22.5" customHeight="1">
      <c r="A2553" s="25">
        <v>2124.0</v>
      </c>
      <c r="B2553" s="26">
        <v>45604.0</v>
      </c>
      <c r="C2553" s="25">
        <v>70.0</v>
      </c>
      <c r="D2553" s="25">
        <v>10.0</v>
      </c>
      <c r="E2553" s="25">
        <v>3.0</v>
      </c>
      <c r="F2553" s="25">
        <v>4.0</v>
      </c>
      <c r="G2553" s="27" t="s">
        <v>24</v>
      </c>
    </row>
    <row r="2554" ht="22.5" customHeight="1">
      <c r="A2554" s="25">
        <v>2228.0</v>
      </c>
      <c r="B2554" s="26">
        <v>45604.0</v>
      </c>
      <c r="C2554" s="25">
        <v>155.0</v>
      </c>
      <c r="D2554" s="25">
        <v>29.0</v>
      </c>
      <c r="E2554" s="25">
        <v>4.0</v>
      </c>
      <c r="F2554" s="25">
        <v>4.0</v>
      </c>
      <c r="G2554" s="27" t="s">
        <v>24</v>
      </c>
    </row>
    <row r="2555" ht="22.5" customHeight="1">
      <c r="A2555" s="25">
        <v>2960.0</v>
      </c>
      <c r="B2555" s="26">
        <v>45604.0</v>
      </c>
      <c r="C2555" s="25">
        <v>240.0</v>
      </c>
      <c r="D2555" s="25">
        <v>38.0</v>
      </c>
      <c r="E2555" s="25">
        <v>5.0</v>
      </c>
      <c r="F2555" s="25">
        <v>4.0</v>
      </c>
      <c r="G2555" s="27" t="s">
        <v>24</v>
      </c>
    </row>
    <row r="2556" ht="22.5" customHeight="1">
      <c r="A2556" s="25">
        <v>176.0</v>
      </c>
      <c r="B2556" s="26">
        <v>45605.0</v>
      </c>
      <c r="C2556" s="25">
        <v>68.0</v>
      </c>
      <c r="D2556" s="25">
        <v>33.0</v>
      </c>
      <c r="E2556" s="25">
        <v>6.0</v>
      </c>
      <c r="F2556" s="25">
        <v>5.0</v>
      </c>
      <c r="G2556" s="27" t="s">
        <v>24</v>
      </c>
    </row>
    <row r="2557" ht="22.5" customHeight="1">
      <c r="A2557" s="25">
        <v>188.0</v>
      </c>
      <c r="B2557" s="26">
        <v>45605.0</v>
      </c>
      <c r="C2557" s="25">
        <v>323.0</v>
      </c>
      <c r="D2557" s="25">
        <v>36.0</v>
      </c>
      <c r="E2557" s="25">
        <v>5.0</v>
      </c>
      <c r="F2557" s="25">
        <v>5.0</v>
      </c>
      <c r="G2557" s="27" t="s">
        <v>25</v>
      </c>
    </row>
    <row r="2558" ht="22.5" customHeight="1">
      <c r="A2558" s="25">
        <v>446.0</v>
      </c>
      <c r="B2558" s="26">
        <v>45605.0</v>
      </c>
      <c r="C2558" s="25">
        <v>234.0</v>
      </c>
      <c r="D2558" s="25">
        <v>25.0</v>
      </c>
      <c r="E2558" s="25">
        <v>3.0</v>
      </c>
      <c r="F2558" s="25">
        <v>1.0</v>
      </c>
      <c r="G2558" s="27" t="s">
        <v>24</v>
      </c>
    </row>
    <row r="2559" ht="22.5" customHeight="1">
      <c r="A2559" s="25">
        <v>638.0</v>
      </c>
      <c r="B2559" s="26">
        <v>45605.0</v>
      </c>
      <c r="C2559" s="25">
        <v>236.0</v>
      </c>
      <c r="D2559" s="25">
        <v>26.0</v>
      </c>
      <c r="E2559" s="25">
        <v>6.0</v>
      </c>
      <c r="F2559" s="25">
        <v>4.0</v>
      </c>
      <c r="G2559" s="27" t="s">
        <v>24</v>
      </c>
    </row>
    <row r="2560" ht="22.5" customHeight="1">
      <c r="A2560" s="25">
        <v>687.0</v>
      </c>
      <c r="B2560" s="26">
        <v>45605.0</v>
      </c>
      <c r="C2560" s="25">
        <v>43.0</v>
      </c>
      <c r="D2560" s="25">
        <v>30.0</v>
      </c>
      <c r="E2560" s="25">
        <v>2.0</v>
      </c>
      <c r="F2560" s="25">
        <v>1.0</v>
      </c>
      <c r="G2560" s="27" t="s">
        <v>24</v>
      </c>
    </row>
    <row r="2561" ht="22.5" customHeight="1">
      <c r="A2561" s="25">
        <v>835.0</v>
      </c>
      <c r="B2561" s="26">
        <v>45605.0</v>
      </c>
      <c r="C2561" s="25">
        <v>224.0</v>
      </c>
      <c r="D2561" s="25">
        <v>1.0</v>
      </c>
      <c r="E2561" s="25">
        <v>3.0</v>
      </c>
      <c r="F2561" s="25">
        <v>5.0</v>
      </c>
      <c r="G2561" s="27" t="s">
        <v>24</v>
      </c>
    </row>
    <row r="2562" ht="22.5" customHeight="1">
      <c r="A2562" s="25">
        <v>913.0</v>
      </c>
      <c r="B2562" s="26">
        <v>45605.0</v>
      </c>
      <c r="C2562" s="25">
        <v>36.0</v>
      </c>
      <c r="D2562" s="25">
        <v>27.0</v>
      </c>
      <c r="E2562" s="25">
        <v>5.0</v>
      </c>
      <c r="F2562" s="25">
        <v>5.0</v>
      </c>
      <c r="G2562" s="27" t="s">
        <v>24</v>
      </c>
    </row>
    <row r="2563" ht="22.5" customHeight="1">
      <c r="A2563" s="25">
        <v>1219.0</v>
      </c>
      <c r="B2563" s="26">
        <v>45605.0</v>
      </c>
      <c r="C2563" s="25">
        <v>125.0</v>
      </c>
      <c r="D2563" s="25">
        <v>37.0</v>
      </c>
      <c r="E2563" s="25">
        <v>4.0</v>
      </c>
      <c r="F2563" s="25">
        <v>3.0</v>
      </c>
      <c r="G2563" s="27" t="s">
        <v>24</v>
      </c>
    </row>
    <row r="2564" ht="22.5" customHeight="1">
      <c r="A2564" s="25">
        <v>2148.0</v>
      </c>
      <c r="B2564" s="26">
        <v>45605.0</v>
      </c>
      <c r="C2564" s="25">
        <v>43.0</v>
      </c>
      <c r="D2564" s="25">
        <v>16.0</v>
      </c>
      <c r="E2564" s="25">
        <v>2.0</v>
      </c>
      <c r="F2564" s="25">
        <v>1.0</v>
      </c>
      <c r="G2564" s="27" t="s">
        <v>24</v>
      </c>
    </row>
    <row r="2565" ht="22.5" customHeight="1">
      <c r="A2565" s="25">
        <v>2296.0</v>
      </c>
      <c r="B2565" s="26">
        <v>45605.0</v>
      </c>
      <c r="C2565" s="25">
        <v>254.0</v>
      </c>
      <c r="D2565" s="25">
        <v>13.0</v>
      </c>
      <c r="E2565" s="25">
        <v>3.0</v>
      </c>
      <c r="F2565" s="25">
        <v>5.0</v>
      </c>
      <c r="G2565" s="27" t="s">
        <v>24</v>
      </c>
    </row>
    <row r="2566" ht="22.5" customHeight="1">
      <c r="A2566" s="25">
        <v>2367.0</v>
      </c>
      <c r="B2566" s="26">
        <v>45605.0</v>
      </c>
      <c r="C2566" s="25">
        <v>83.0</v>
      </c>
      <c r="D2566" s="25">
        <v>20.0</v>
      </c>
      <c r="E2566" s="25">
        <v>4.0</v>
      </c>
      <c r="F2566" s="25">
        <v>1.0</v>
      </c>
      <c r="G2566" s="27" t="s">
        <v>24</v>
      </c>
    </row>
    <row r="2567" ht="22.5" customHeight="1">
      <c r="A2567" s="25">
        <v>2696.0</v>
      </c>
      <c r="B2567" s="26">
        <v>45605.0</v>
      </c>
      <c r="C2567" s="25">
        <v>86.0</v>
      </c>
      <c r="D2567" s="25">
        <v>5.0</v>
      </c>
      <c r="E2567" s="25">
        <v>2.0</v>
      </c>
      <c r="F2567" s="25">
        <v>5.0</v>
      </c>
      <c r="G2567" s="27" t="s">
        <v>24</v>
      </c>
    </row>
    <row r="2568" ht="22.5" customHeight="1">
      <c r="A2568" s="25">
        <v>658.0</v>
      </c>
      <c r="B2568" s="26">
        <v>45606.0</v>
      </c>
      <c r="C2568" s="25">
        <v>29.0</v>
      </c>
      <c r="D2568" s="25">
        <v>24.0</v>
      </c>
      <c r="E2568" s="25">
        <v>5.0</v>
      </c>
      <c r="F2568" s="25">
        <v>5.0</v>
      </c>
      <c r="G2568" s="27" t="s">
        <v>24</v>
      </c>
    </row>
    <row r="2569" ht="22.5" customHeight="1">
      <c r="A2569" s="25">
        <v>709.0</v>
      </c>
      <c r="B2569" s="26">
        <v>45606.0</v>
      </c>
      <c r="C2569" s="25">
        <v>20.0</v>
      </c>
      <c r="D2569" s="25">
        <v>13.0</v>
      </c>
      <c r="E2569" s="25">
        <v>2.0</v>
      </c>
      <c r="F2569" s="25">
        <v>3.0</v>
      </c>
      <c r="G2569" s="27" t="s">
        <v>24</v>
      </c>
    </row>
    <row r="2570" ht="22.5" customHeight="1">
      <c r="A2570" s="25">
        <v>1032.0</v>
      </c>
      <c r="B2570" s="26">
        <v>45606.0</v>
      </c>
      <c r="C2570" s="25">
        <v>20.0</v>
      </c>
      <c r="D2570" s="25">
        <v>8.0</v>
      </c>
      <c r="E2570" s="25">
        <v>2.0</v>
      </c>
      <c r="F2570" s="25">
        <v>5.0</v>
      </c>
      <c r="G2570" s="27" t="s">
        <v>24</v>
      </c>
    </row>
    <row r="2571" ht="22.5" customHeight="1">
      <c r="A2571" s="25">
        <v>1158.0</v>
      </c>
      <c r="B2571" s="26">
        <v>45606.0</v>
      </c>
      <c r="C2571" s="25">
        <v>88.0</v>
      </c>
      <c r="D2571" s="25">
        <v>17.0</v>
      </c>
      <c r="E2571" s="25">
        <v>5.0</v>
      </c>
      <c r="F2571" s="25">
        <v>3.0</v>
      </c>
      <c r="G2571" s="27" t="s">
        <v>24</v>
      </c>
    </row>
    <row r="2572" ht="22.5" customHeight="1">
      <c r="A2572" s="25">
        <v>1231.0</v>
      </c>
      <c r="B2572" s="26">
        <v>45606.0</v>
      </c>
      <c r="C2572" s="25">
        <v>242.0</v>
      </c>
      <c r="D2572" s="25">
        <v>16.0</v>
      </c>
      <c r="E2572" s="25">
        <v>3.0</v>
      </c>
      <c r="F2572" s="25">
        <v>4.0</v>
      </c>
      <c r="G2572" s="27" t="s">
        <v>23</v>
      </c>
    </row>
    <row r="2573" ht="22.5" customHeight="1">
      <c r="A2573" s="25">
        <v>1982.0</v>
      </c>
      <c r="B2573" s="26">
        <v>45606.0</v>
      </c>
      <c r="C2573" s="25">
        <v>283.0</v>
      </c>
      <c r="D2573" s="25">
        <v>26.0</v>
      </c>
      <c r="E2573" s="25">
        <v>1.0</v>
      </c>
      <c r="F2573" s="25">
        <v>3.0</v>
      </c>
      <c r="G2573" s="27" t="s">
        <v>24</v>
      </c>
    </row>
    <row r="2574" ht="22.5" customHeight="1">
      <c r="A2574" s="25">
        <v>2101.0</v>
      </c>
      <c r="B2574" s="26">
        <v>45606.0</v>
      </c>
      <c r="C2574" s="25">
        <v>260.0</v>
      </c>
      <c r="D2574" s="25">
        <v>6.0</v>
      </c>
      <c r="E2574" s="25">
        <v>3.0</v>
      </c>
      <c r="F2574" s="25">
        <v>1.0</v>
      </c>
      <c r="G2574" s="27" t="s">
        <v>25</v>
      </c>
    </row>
    <row r="2575" ht="22.5" customHeight="1">
      <c r="A2575" s="25">
        <v>2195.0</v>
      </c>
      <c r="B2575" s="26">
        <v>45606.0</v>
      </c>
      <c r="C2575" s="25">
        <v>197.0</v>
      </c>
      <c r="D2575" s="25">
        <v>35.0</v>
      </c>
      <c r="E2575" s="25">
        <v>3.0</v>
      </c>
      <c r="F2575" s="25">
        <v>1.0</v>
      </c>
      <c r="G2575" s="27" t="s">
        <v>25</v>
      </c>
    </row>
    <row r="2576" ht="22.5" customHeight="1">
      <c r="A2576" s="25">
        <v>2468.0</v>
      </c>
      <c r="B2576" s="26">
        <v>45606.0</v>
      </c>
      <c r="C2576" s="25">
        <v>307.0</v>
      </c>
      <c r="D2576" s="25">
        <v>32.0</v>
      </c>
      <c r="E2576" s="25">
        <v>2.0</v>
      </c>
      <c r="F2576" s="25">
        <v>3.0</v>
      </c>
      <c r="G2576" s="27" t="s">
        <v>24</v>
      </c>
    </row>
    <row r="2577" ht="22.5" customHeight="1">
      <c r="A2577" s="25">
        <v>2621.0</v>
      </c>
      <c r="B2577" s="26">
        <v>45606.0</v>
      </c>
      <c r="C2577" s="25">
        <v>112.0</v>
      </c>
      <c r="D2577" s="25">
        <v>23.0</v>
      </c>
      <c r="E2577" s="25">
        <v>2.0</v>
      </c>
      <c r="F2577" s="25">
        <v>5.0</v>
      </c>
      <c r="G2577" s="27" t="s">
        <v>25</v>
      </c>
    </row>
    <row r="2578" ht="22.5" customHeight="1">
      <c r="A2578" s="25">
        <v>2759.0</v>
      </c>
      <c r="B2578" s="26">
        <v>45606.0</v>
      </c>
      <c r="C2578" s="25">
        <v>170.0</v>
      </c>
      <c r="D2578" s="25">
        <v>15.0</v>
      </c>
      <c r="E2578" s="25">
        <v>3.0</v>
      </c>
      <c r="F2578" s="25">
        <v>1.0</v>
      </c>
      <c r="G2578" s="27" t="s">
        <v>24</v>
      </c>
    </row>
    <row r="2579" ht="22.5" customHeight="1">
      <c r="A2579" s="25">
        <v>477.0</v>
      </c>
      <c r="B2579" s="26">
        <v>45607.0</v>
      </c>
      <c r="C2579" s="25">
        <v>102.0</v>
      </c>
      <c r="D2579" s="25">
        <v>6.0</v>
      </c>
      <c r="E2579" s="25">
        <v>6.0</v>
      </c>
      <c r="F2579" s="25">
        <v>4.0</v>
      </c>
      <c r="G2579" s="27" t="s">
        <v>24</v>
      </c>
    </row>
    <row r="2580" ht="22.5" customHeight="1">
      <c r="A2580" s="25">
        <v>891.0</v>
      </c>
      <c r="B2580" s="26">
        <v>45607.0</v>
      </c>
      <c r="C2580" s="25">
        <v>79.0</v>
      </c>
      <c r="D2580" s="25">
        <v>32.0</v>
      </c>
      <c r="E2580" s="25">
        <v>3.0</v>
      </c>
      <c r="F2580" s="25">
        <v>4.0</v>
      </c>
      <c r="G2580" s="27" t="s">
        <v>24</v>
      </c>
    </row>
    <row r="2581" ht="22.5" customHeight="1">
      <c r="A2581" s="25">
        <v>940.0</v>
      </c>
      <c r="B2581" s="26">
        <v>45607.0</v>
      </c>
      <c r="C2581" s="25">
        <v>220.0</v>
      </c>
      <c r="D2581" s="25">
        <v>29.0</v>
      </c>
      <c r="E2581" s="25">
        <v>4.0</v>
      </c>
      <c r="F2581" s="25">
        <v>2.0</v>
      </c>
      <c r="G2581" s="27" t="s">
        <v>24</v>
      </c>
    </row>
    <row r="2582" ht="22.5" customHeight="1">
      <c r="A2582" s="25">
        <v>1480.0</v>
      </c>
      <c r="B2582" s="26">
        <v>45607.0</v>
      </c>
      <c r="C2582" s="25">
        <v>113.0</v>
      </c>
      <c r="D2582" s="25">
        <v>17.0</v>
      </c>
      <c r="E2582" s="25">
        <v>3.0</v>
      </c>
      <c r="F2582" s="25">
        <v>1.0</v>
      </c>
      <c r="G2582" s="27" t="s">
        <v>24</v>
      </c>
    </row>
    <row r="2583" ht="22.5" customHeight="1">
      <c r="A2583" s="25">
        <v>2292.0</v>
      </c>
      <c r="B2583" s="26">
        <v>45607.0</v>
      </c>
      <c r="C2583" s="25">
        <v>225.0</v>
      </c>
      <c r="D2583" s="25">
        <v>8.0</v>
      </c>
      <c r="E2583" s="25">
        <v>5.0</v>
      </c>
      <c r="F2583" s="25">
        <v>5.0</v>
      </c>
      <c r="G2583" s="27" t="s">
        <v>24</v>
      </c>
    </row>
    <row r="2584" ht="22.5" customHeight="1">
      <c r="A2584" s="25">
        <v>12.0</v>
      </c>
      <c r="B2584" s="26">
        <v>45608.0</v>
      </c>
      <c r="C2584" s="25">
        <v>247.0</v>
      </c>
      <c r="D2584" s="25">
        <v>20.0</v>
      </c>
      <c r="E2584" s="25">
        <v>5.0</v>
      </c>
      <c r="F2584" s="25">
        <v>1.0</v>
      </c>
      <c r="G2584" s="27" t="s">
        <v>24</v>
      </c>
    </row>
    <row r="2585" ht="22.5" customHeight="1">
      <c r="A2585" s="25">
        <v>672.0</v>
      </c>
      <c r="B2585" s="26">
        <v>45608.0</v>
      </c>
      <c r="C2585" s="25">
        <v>63.0</v>
      </c>
      <c r="D2585" s="25">
        <v>38.0</v>
      </c>
      <c r="E2585" s="25">
        <v>2.0</v>
      </c>
      <c r="F2585" s="25">
        <v>5.0</v>
      </c>
      <c r="G2585" s="27" t="s">
        <v>25</v>
      </c>
    </row>
    <row r="2586" ht="22.5" customHeight="1">
      <c r="A2586" s="25">
        <v>781.0</v>
      </c>
      <c r="B2586" s="26">
        <v>45608.0</v>
      </c>
      <c r="C2586" s="25">
        <v>68.0</v>
      </c>
      <c r="D2586" s="25">
        <v>12.0</v>
      </c>
      <c r="E2586" s="25">
        <v>5.0</v>
      </c>
      <c r="F2586" s="25">
        <v>4.0</v>
      </c>
      <c r="G2586" s="27" t="s">
        <v>24</v>
      </c>
    </row>
    <row r="2587" ht="22.5" customHeight="1">
      <c r="A2587" s="25">
        <v>1654.0</v>
      </c>
      <c r="B2587" s="26">
        <v>45608.0</v>
      </c>
      <c r="C2587" s="25">
        <v>183.0</v>
      </c>
      <c r="D2587" s="25">
        <v>10.0</v>
      </c>
      <c r="E2587" s="25">
        <v>1.0</v>
      </c>
      <c r="F2587" s="25">
        <v>3.0</v>
      </c>
      <c r="G2587" s="27" t="s">
        <v>23</v>
      </c>
    </row>
    <row r="2588" ht="22.5" customHeight="1">
      <c r="A2588" s="25">
        <v>1662.0</v>
      </c>
      <c r="B2588" s="26">
        <v>45608.0</v>
      </c>
      <c r="C2588" s="25">
        <v>133.0</v>
      </c>
      <c r="D2588" s="25">
        <v>26.0</v>
      </c>
      <c r="E2588" s="25">
        <v>5.0</v>
      </c>
      <c r="F2588" s="25">
        <v>4.0</v>
      </c>
      <c r="G2588" s="27" t="s">
        <v>25</v>
      </c>
    </row>
    <row r="2589" ht="22.5" customHeight="1">
      <c r="A2589" s="25">
        <v>1910.0</v>
      </c>
      <c r="B2589" s="26">
        <v>45608.0</v>
      </c>
      <c r="C2589" s="25">
        <v>292.0</v>
      </c>
      <c r="D2589" s="25">
        <v>38.0</v>
      </c>
      <c r="E2589" s="25">
        <v>4.0</v>
      </c>
      <c r="F2589" s="25">
        <v>5.0</v>
      </c>
      <c r="G2589" s="27" t="s">
        <v>24</v>
      </c>
    </row>
    <row r="2590" ht="22.5" customHeight="1">
      <c r="A2590" s="25">
        <v>1927.0</v>
      </c>
      <c r="B2590" s="26">
        <v>45608.0</v>
      </c>
      <c r="C2590" s="25">
        <v>59.0</v>
      </c>
      <c r="D2590" s="25">
        <v>18.0</v>
      </c>
      <c r="E2590" s="25">
        <v>1.0</v>
      </c>
      <c r="F2590" s="25">
        <v>5.0</v>
      </c>
      <c r="G2590" s="27" t="s">
        <v>25</v>
      </c>
    </row>
    <row r="2591" ht="22.5" customHeight="1">
      <c r="A2591" s="25">
        <v>2097.0</v>
      </c>
      <c r="B2591" s="26">
        <v>45608.0</v>
      </c>
      <c r="C2591" s="25">
        <v>296.0</v>
      </c>
      <c r="D2591" s="25">
        <v>20.0</v>
      </c>
      <c r="E2591" s="25">
        <v>1.0</v>
      </c>
      <c r="F2591" s="25">
        <v>5.0</v>
      </c>
      <c r="G2591" s="27" t="s">
        <v>24</v>
      </c>
    </row>
    <row r="2592" ht="22.5" customHeight="1">
      <c r="A2592" s="25">
        <v>2363.0</v>
      </c>
      <c r="B2592" s="26">
        <v>45608.0</v>
      </c>
      <c r="C2592" s="25">
        <v>59.0</v>
      </c>
      <c r="D2592" s="25">
        <v>17.0</v>
      </c>
      <c r="E2592" s="25">
        <v>6.0</v>
      </c>
      <c r="F2592" s="25">
        <v>5.0</v>
      </c>
      <c r="G2592" s="27" t="s">
        <v>25</v>
      </c>
    </row>
    <row r="2593" ht="22.5" customHeight="1">
      <c r="A2593" s="25">
        <v>2417.0</v>
      </c>
      <c r="B2593" s="26">
        <v>45608.0</v>
      </c>
      <c r="C2593" s="25">
        <v>307.0</v>
      </c>
      <c r="D2593" s="25">
        <v>1.0</v>
      </c>
      <c r="E2593" s="25">
        <v>6.0</v>
      </c>
      <c r="F2593" s="25">
        <v>2.0</v>
      </c>
      <c r="G2593" s="27" t="s">
        <v>24</v>
      </c>
    </row>
    <row r="2594" ht="22.5" customHeight="1">
      <c r="A2594" s="25">
        <v>2686.0</v>
      </c>
      <c r="B2594" s="26">
        <v>45608.0</v>
      </c>
      <c r="C2594" s="25">
        <v>44.0</v>
      </c>
      <c r="D2594" s="25">
        <v>15.0</v>
      </c>
      <c r="E2594" s="25">
        <v>3.0</v>
      </c>
      <c r="F2594" s="25">
        <v>5.0</v>
      </c>
      <c r="G2594" s="27" t="s">
        <v>24</v>
      </c>
    </row>
    <row r="2595" ht="22.5" customHeight="1">
      <c r="A2595" s="25">
        <v>2730.0</v>
      </c>
      <c r="B2595" s="26">
        <v>45608.0</v>
      </c>
      <c r="C2595" s="25">
        <v>224.0</v>
      </c>
      <c r="D2595" s="25">
        <v>3.0</v>
      </c>
      <c r="E2595" s="25">
        <v>6.0</v>
      </c>
      <c r="F2595" s="25">
        <v>5.0</v>
      </c>
      <c r="G2595" s="27" t="s">
        <v>25</v>
      </c>
    </row>
    <row r="2596" ht="22.5" customHeight="1">
      <c r="A2596" s="25">
        <v>107.0</v>
      </c>
      <c r="B2596" s="26">
        <v>45609.0</v>
      </c>
      <c r="C2596" s="25">
        <v>7.0</v>
      </c>
      <c r="D2596" s="25">
        <v>24.0</v>
      </c>
      <c r="E2596" s="25">
        <v>5.0</v>
      </c>
      <c r="F2596" s="25">
        <v>5.0</v>
      </c>
      <c r="G2596" s="27" t="s">
        <v>24</v>
      </c>
    </row>
    <row r="2597" ht="22.5" customHeight="1">
      <c r="A2597" s="25">
        <v>345.0</v>
      </c>
      <c r="B2597" s="26">
        <v>45609.0</v>
      </c>
      <c r="C2597" s="25">
        <v>132.0</v>
      </c>
      <c r="D2597" s="25">
        <v>26.0</v>
      </c>
      <c r="E2597" s="25">
        <v>6.0</v>
      </c>
      <c r="F2597" s="25">
        <v>2.0</v>
      </c>
      <c r="G2597" s="27" t="s">
        <v>24</v>
      </c>
    </row>
    <row r="2598" ht="22.5" customHeight="1">
      <c r="A2598" s="25">
        <v>609.0</v>
      </c>
      <c r="B2598" s="26">
        <v>45609.0</v>
      </c>
      <c r="C2598" s="25">
        <v>241.0</v>
      </c>
      <c r="D2598" s="25">
        <v>34.0</v>
      </c>
      <c r="E2598" s="25">
        <v>4.0</v>
      </c>
      <c r="F2598" s="25">
        <v>5.0</v>
      </c>
      <c r="G2598" s="27" t="s">
        <v>24</v>
      </c>
    </row>
    <row r="2599" ht="22.5" customHeight="1">
      <c r="A2599" s="25">
        <v>661.0</v>
      </c>
      <c r="B2599" s="26">
        <v>45609.0</v>
      </c>
      <c r="C2599" s="25">
        <v>151.0</v>
      </c>
      <c r="D2599" s="25">
        <v>21.0</v>
      </c>
      <c r="E2599" s="25">
        <v>6.0</v>
      </c>
      <c r="F2599" s="25">
        <v>1.0</v>
      </c>
      <c r="G2599" s="27" t="s">
        <v>24</v>
      </c>
    </row>
    <row r="2600" ht="22.5" customHeight="1">
      <c r="A2600" s="25">
        <v>793.0</v>
      </c>
      <c r="B2600" s="26">
        <v>45609.0</v>
      </c>
      <c r="C2600" s="25">
        <v>175.0</v>
      </c>
      <c r="D2600" s="25">
        <v>2.0</v>
      </c>
      <c r="E2600" s="25">
        <v>2.0</v>
      </c>
      <c r="F2600" s="25">
        <v>1.0</v>
      </c>
      <c r="G2600" s="27" t="s">
        <v>24</v>
      </c>
    </row>
    <row r="2601" ht="22.5" customHeight="1">
      <c r="A2601" s="25">
        <v>814.0</v>
      </c>
      <c r="B2601" s="26">
        <v>45609.0</v>
      </c>
      <c r="C2601" s="25">
        <v>262.0</v>
      </c>
      <c r="D2601" s="25">
        <v>22.0</v>
      </c>
      <c r="E2601" s="25">
        <v>4.0</v>
      </c>
      <c r="F2601" s="25">
        <v>5.0</v>
      </c>
      <c r="G2601" s="27" t="s">
        <v>24</v>
      </c>
    </row>
    <row r="2602" ht="22.5" customHeight="1">
      <c r="A2602" s="25">
        <v>1016.0</v>
      </c>
      <c r="B2602" s="26">
        <v>45609.0</v>
      </c>
      <c r="C2602" s="25">
        <v>131.0</v>
      </c>
      <c r="D2602" s="25">
        <v>4.0</v>
      </c>
      <c r="E2602" s="25">
        <v>4.0</v>
      </c>
      <c r="F2602" s="25">
        <v>4.0</v>
      </c>
      <c r="G2602" s="27" t="s">
        <v>24</v>
      </c>
    </row>
    <row r="2603" ht="22.5" customHeight="1">
      <c r="A2603" s="25">
        <v>1022.0</v>
      </c>
      <c r="B2603" s="26">
        <v>45609.0</v>
      </c>
      <c r="C2603" s="25">
        <v>134.0</v>
      </c>
      <c r="D2603" s="25">
        <v>9.0</v>
      </c>
      <c r="E2603" s="25">
        <v>4.0</v>
      </c>
      <c r="F2603" s="25">
        <v>5.0</v>
      </c>
      <c r="G2603" s="27" t="s">
        <v>24</v>
      </c>
    </row>
    <row r="2604" ht="22.5" customHeight="1">
      <c r="A2604" s="25">
        <v>1075.0</v>
      </c>
      <c r="B2604" s="26">
        <v>45609.0</v>
      </c>
      <c r="C2604" s="25">
        <v>207.0</v>
      </c>
      <c r="D2604" s="25">
        <v>18.0</v>
      </c>
      <c r="E2604" s="25">
        <v>3.0</v>
      </c>
      <c r="F2604" s="25">
        <v>5.0</v>
      </c>
      <c r="G2604" s="27" t="s">
        <v>24</v>
      </c>
    </row>
    <row r="2605" ht="22.5" customHeight="1">
      <c r="A2605" s="25">
        <v>1276.0</v>
      </c>
      <c r="B2605" s="26">
        <v>45609.0</v>
      </c>
      <c r="C2605" s="25">
        <v>99.0</v>
      </c>
      <c r="D2605" s="25">
        <v>4.0</v>
      </c>
      <c r="E2605" s="25">
        <v>1.0</v>
      </c>
      <c r="F2605" s="25">
        <v>1.0</v>
      </c>
      <c r="G2605" s="27" t="s">
        <v>24</v>
      </c>
    </row>
    <row r="2606" ht="22.5" customHeight="1">
      <c r="A2606" s="25">
        <v>2167.0</v>
      </c>
      <c r="B2606" s="26">
        <v>45609.0</v>
      </c>
      <c r="C2606" s="25">
        <v>311.0</v>
      </c>
      <c r="D2606" s="25">
        <v>27.0</v>
      </c>
      <c r="E2606" s="25">
        <v>1.0</v>
      </c>
      <c r="F2606" s="25">
        <v>3.0</v>
      </c>
      <c r="G2606" s="27" t="s">
        <v>24</v>
      </c>
    </row>
    <row r="2607" ht="22.5" customHeight="1">
      <c r="A2607" s="25">
        <v>2262.0</v>
      </c>
      <c r="B2607" s="26">
        <v>45609.0</v>
      </c>
      <c r="C2607" s="25">
        <v>222.0</v>
      </c>
      <c r="D2607" s="25">
        <v>19.0</v>
      </c>
      <c r="E2607" s="25">
        <v>2.0</v>
      </c>
      <c r="F2607" s="25">
        <v>4.0</v>
      </c>
      <c r="G2607" s="27" t="s">
        <v>24</v>
      </c>
    </row>
    <row r="2608" ht="22.5" customHeight="1">
      <c r="A2608" s="25">
        <v>2298.0</v>
      </c>
      <c r="B2608" s="26">
        <v>45609.0</v>
      </c>
      <c r="C2608" s="25">
        <v>140.0</v>
      </c>
      <c r="D2608" s="25">
        <v>33.0</v>
      </c>
      <c r="E2608" s="25">
        <v>2.0</v>
      </c>
      <c r="F2608" s="25">
        <v>3.0</v>
      </c>
      <c r="G2608" s="27" t="s">
        <v>24</v>
      </c>
    </row>
    <row r="2609" ht="22.5" customHeight="1">
      <c r="A2609" s="25">
        <v>2506.0</v>
      </c>
      <c r="B2609" s="26">
        <v>45609.0</v>
      </c>
      <c r="C2609" s="25">
        <v>84.0</v>
      </c>
      <c r="D2609" s="25">
        <v>26.0</v>
      </c>
      <c r="E2609" s="25">
        <v>1.0</v>
      </c>
      <c r="F2609" s="25">
        <v>4.0</v>
      </c>
      <c r="G2609" s="27" t="s">
        <v>24</v>
      </c>
    </row>
    <row r="2610" ht="22.5" customHeight="1">
      <c r="A2610" s="25">
        <v>2868.0</v>
      </c>
      <c r="B2610" s="26">
        <v>45609.0</v>
      </c>
      <c r="C2610" s="25">
        <v>94.0</v>
      </c>
      <c r="D2610" s="25">
        <v>25.0</v>
      </c>
      <c r="E2610" s="25">
        <v>5.0</v>
      </c>
      <c r="F2610" s="25">
        <v>4.0</v>
      </c>
      <c r="G2610" s="27" t="s">
        <v>24</v>
      </c>
    </row>
    <row r="2611" ht="22.5" customHeight="1">
      <c r="A2611" s="25">
        <v>1772.0</v>
      </c>
      <c r="B2611" s="26">
        <v>45610.0</v>
      </c>
      <c r="C2611" s="25">
        <v>164.0</v>
      </c>
      <c r="D2611" s="25">
        <v>24.0</v>
      </c>
      <c r="E2611" s="25">
        <v>2.0</v>
      </c>
      <c r="F2611" s="25">
        <v>4.0</v>
      </c>
      <c r="G2611" s="27" t="s">
        <v>25</v>
      </c>
    </row>
    <row r="2612" ht="22.5" customHeight="1">
      <c r="A2612" s="25">
        <v>2004.0</v>
      </c>
      <c r="B2612" s="26">
        <v>45610.0</v>
      </c>
      <c r="C2612" s="25">
        <v>252.0</v>
      </c>
      <c r="D2612" s="25">
        <v>7.0</v>
      </c>
      <c r="E2612" s="25">
        <v>2.0</v>
      </c>
      <c r="F2612" s="25">
        <v>5.0</v>
      </c>
      <c r="G2612" s="27" t="s">
        <v>24</v>
      </c>
    </row>
    <row r="2613" ht="22.5" customHeight="1">
      <c r="A2613" s="25">
        <v>2345.0</v>
      </c>
      <c r="B2613" s="26">
        <v>45610.0</v>
      </c>
      <c r="C2613" s="25">
        <v>194.0</v>
      </c>
      <c r="D2613" s="25">
        <v>2.0</v>
      </c>
      <c r="E2613" s="25">
        <v>4.0</v>
      </c>
      <c r="F2613" s="25">
        <v>4.0</v>
      </c>
      <c r="G2613" s="27" t="s">
        <v>25</v>
      </c>
    </row>
    <row r="2614" ht="22.5" customHeight="1">
      <c r="A2614" s="25">
        <v>2463.0</v>
      </c>
      <c r="B2614" s="26">
        <v>45610.0</v>
      </c>
      <c r="C2614" s="25">
        <v>95.0</v>
      </c>
      <c r="D2614" s="25">
        <v>27.0</v>
      </c>
      <c r="E2614" s="25">
        <v>4.0</v>
      </c>
      <c r="F2614" s="25">
        <v>5.0</v>
      </c>
      <c r="G2614" s="27" t="s">
        <v>24</v>
      </c>
    </row>
    <row r="2615" ht="22.5" customHeight="1">
      <c r="A2615" s="25">
        <v>2541.0</v>
      </c>
      <c r="B2615" s="26">
        <v>45610.0</v>
      </c>
      <c r="C2615" s="25">
        <v>3.0</v>
      </c>
      <c r="D2615" s="25">
        <v>38.0</v>
      </c>
      <c r="E2615" s="25">
        <v>3.0</v>
      </c>
      <c r="F2615" s="25">
        <v>1.0</v>
      </c>
      <c r="G2615" s="27" t="s">
        <v>24</v>
      </c>
    </row>
    <row r="2616" ht="22.5" customHeight="1">
      <c r="A2616" s="25">
        <v>2543.0</v>
      </c>
      <c r="B2616" s="26">
        <v>45610.0</v>
      </c>
      <c r="C2616" s="25">
        <v>296.0</v>
      </c>
      <c r="D2616" s="25">
        <v>32.0</v>
      </c>
      <c r="E2616" s="25">
        <v>4.0</v>
      </c>
      <c r="F2616" s="25">
        <v>1.0</v>
      </c>
      <c r="G2616" s="27" t="s">
        <v>24</v>
      </c>
    </row>
    <row r="2617" ht="22.5" customHeight="1">
      <c r="A2617" s="25">
        <v>2807.0</v>
      </c>
      <c r="B2617" s="26">
        <v>45610.0</v>
      </c>
      <c r="C2617" s="25">
        <v>26.0</v>
      </c>
      <c r="D2617" s="25">
        <v>7.0</v>
      </c>
      <c r="E2617" s="25">
        <v>3.0</v>
      </c>
      <c r="F2617" s="25">
        <v>1.0</v>
      </c>
      <c r="G2617" s="27" t="s">
        <v>25</v>
      </c>
    </row>
    <row r="2618" ht="22.5" customHeight="1">
      <c r="A2618" s="25">
        <v>490.0</v>
      </c>
      <c r="B2618" s="26">
        <v>45611.0</v>
      </c>
      <c r="C2618" s="25">
        <v>20.0</v>
      </c>
      <c r="D2618" s="25">
        <v>5.0</v>
      </c>
      <c r="E2618" s="25">
        <v>6.0</v>
      </c>
      <c r="F2618" s="25">
        <v>4.0</v>
      </c>
      <c r="G2618" s="27" t="s">
        <v>24</v>
      </c>
    </row>
    <row r="2619" ht="22.5" customHeight="1">
      <c r="A2619" s="25">
        <v>871.0</v>
      </c>
      <c r="B2619" s="26">
        <v>45611.0</v>
      </c>
      <c r="C2619" s="25">
        <v>242.0</v>
      </c>
      <c r="D2619" s="25">
        <v>25.0</v>
      </c>
      <c r="E2619" s="25">
        <v>4.0</v>
      </c>
      <c r="F2619" s="25">
        <v>1.0</v>
      </c>
      <c r="G2619" s="27" t="s">
        <v>24</v>
      </c>
    </row>
    <row r="2620" ht="22.5" customHeight="1">
      <c r="A2620" s="25">
        <v>1420.0</v>
      </c>
      <c r="B2620" s="26">
        <v>45611.0</v>
      </c>
      <c r="C2620" s="25">
        <v>277.0</v>
      </c>
      <c r="D2620" s="25">
        <v>33.0</v>
      </c>
      <c r="E2620" s="25">
        <v>4.0</v>
      </c>
      <c r="F2620" s="25">
        <v>4.0</v>
      </c>
      <c r="G2620" s="27" t="s">
        <v>24</v>
      </c>
    </row>
    <row r="2621" ht="22.5" customHeight="1">
      <c r="A2621" s="25">
        <v>1488.0</v>
      </c>
      <c r="B2621" s="26">
        <v>45611.0</v>
      </c>
      <c r="C2621" s="25">
        <v>162.0</v>
      </c>
      <c r="D2621" s="25">
        <v>31.0</v>
      </c>
      <c r="E2621" s="25">
        <v>4.0</v>
      </c>
      <c r="F2621" s="25">
        <v>1.0</v>
      </c>
      <c r="G2621" s="27" t="s">
        <v>24</v>
      </c>
    </row>
    <row r="2622" ht="22.5" customHeight="1">
      <c r="A2622" s="25">
        <v>1883.0</v>
      </c>
      <c r="B2622" s="26">
        <v>45611.0</v>
      </c>
      <c r="C2622" s="25">
        <v>2.0</v>
      </c>
      <c r="D2622" s="25">
        <v>6.0</v>
      </c>
      <c r="E2622" s="25">
        <v>2.0</v>
      </c>
      <c r="F2622" s="25">
        <v>1.0</v>
      </c>
      <c r="G2622" s="27" t="s">
        <v>24</v>
      </c>
    </row>
    <row r="2623" ht="22.5" customHeight="1">
      <c r="A2623" s="25">
        <v>2062.0</v>
      </c>
      <c r="B2623" s="26">
        <v>45611.0</v>
      </c>
      <c r="C2623" s="25">
        <v>172.0</v>
      </c>
      <c r="D2623" s="25">
        <v>28.0</v>
      </c>
      <c r="E2623" s="25">
        <v>1.0</v>
      </c>
      <c r="F2623" s="25">
        <v>4.0</v>
      </c>
      <c r="G2623" s="27" t="s">
        <v>24</v>
      </c>
    </row>
    <row r="2624" ht="22.5" customHeight="1">
      <c r="A2624" s="25">
        <v>2805.0</v>
      </c>
      <c r="B2624" s="26">
        <v>45611.0</v>
      </c>
      <c r="C2624" s="25">
        <v>256.0</v>
      </c>
      <c r="D2624" s="25">
        <v>8.0</v>
      </c>
      <c r="E2624" s="25">
        <v>6.0</v>
      </c>
      <c r="F2624" s="25">
        <v>4.0</v>
      </c>
      <c r="G2624" s="27" t="s">
        <v>24</v>
      </c>
    </row>
    <row r="2625" ht="22.5" customHeight="1">
      <c r="A2625" s="25">
        <v>747.0</v>
      </c>
      <c r="B2625" s="26">
        <v>45612.0</v>
      </c>
      <c r="C2625" s="25">
        <v>84.0</v>
      </c>
      <c r="D2625" s="25">
        <v>21.0</v>
      </c>
      <c r="E2625" s="25">
        <v>1.0</v>
      </c>
      <c r="F2625" s="25">
        <v>5.0</v>
      </c>
      <c r="G2625" s="27" t="s">
        <v>24</v>
      </c>
    </row>
    <row r="2626" ht="22.5" customHeight="1">
      <c r="A2626" s="25">
        <v>1497.0</v>
      </c>
      <c r="B2626" s="26">
        <v>45612.0</v>
      </c>
      <c r="C2626" s="25">
        <v>63.0</v>
      </c>
      <c r="D2626" s="25">
        <v>37.0</v>
      </c>
      <c r="E2626" s="25">
        <v>2.0</v>
      </c>
      <c r="F2626" s="25">
        <v>4.0</v>
      </c>
      <c r="G2626" s="27" t="s">
        <v>24</v>
      </c>
    </row>
    <row r="2627" ht="22.5" customHeight="1">
      <c r="A2627" s="25">
        <v>2207.0</v>
      </c>
      <c r="B2627" s="26">
        <v>45612.0</v>
      </c>
      <c r="C2627" s="25">
        <v>149.0</v>
      </c>
      <c r="D2627" s="25">
        <v>17.0</v>
      </c>
      <c r="E2627" s="25">
        <v>1.0</v>
      </c>
      <c r="F2627" s="25">
        <v>4.0</v>
      </c>
      <c r="G2627" s="27" t="s">
        <v>25</v>
      </c>
    </row>
    <row r="2628" ht="22.5" customHeight="1">
      <c r="A2628" s="25">
        <v>2336.0</v>
      </c>
      <c r="B2628" s="26">
        <v>45612.0</v>
      </c>
      <c r="C2628" s="25">
        <v>148.0</v>
      </c>
      <c r="D2628" s="25">
        <v>37.0</v>
      </c>
      <c r="E2628" s="25">
        <v>4.0</v>
      </c>
      <c r="F2628" s="25">
        <v>4.0</v>
      </c>
      <c r="G2628" s="27" t="s">
        <v>24</v>
      </c>
    </row>
    <row r="2629" ht="22.5" customHeight="1">
      <c r="A2629" s="25">
        <v>2867.0</v>
      </c>
      <c r="B2629" s="26">
        <v>45612.0</v>
      </c>
      <c r="C2629" s="25">
        <v>7.0</v>
      </c>
      <c r="D2629" s="25">
        <v>17.0</v>
      </c>
      <c r="E2629" s="25">
        <v>1.0</v>
      </c>
      <c r="F2629" s="25">
        <v>1.0</v>
      </c>
      <c r="G2629" s="27" t="s">
        <v>24</v>
      </c>
    </row>
    <row r="2630" ht="22.5" customHeight="1">
      <c r="A2630" s="25">
        <v>2888.0</v>
      </c>
      <c r="B2630" s="26">
        <v>45612.0</v>
      </c>
      <c r="C2630" s="25">
        <v>83.0</v>
      </c>
      <c r="D2630" s="25">
        <v>28.0</v>
      </c>
      <c r="E2630" s="25">
        <v>3.0</v>
      </c>
      <c r="F2630" s="25">
        <v>3.0</v>
      </c>
      <c r="G2630" s="27" t="s">
        <v>24</v>
      </c>
    </row>
    <row r="2631" ht="22.5" customHeight="1">
      <c r="A2631" s="25">
        <v>513.0</v>
      </c>
      <c r="B2631" s="26">
        <v>45613.0</v>
      </c>
      <c r="C2631" s="25">
        <v>278.0</v>
      </c>
      <c r="D2631" s="25">
        <v>25.0</v>
      </c>
      <c r="E2631" s="25">
        <v>6.0</v>
      </c>
      <c r="F2631" s="25">
        <v>4.0</v>
      </c>
      <c r="G2631" s="27" t="s">
        <v>24</v>
      </c>
    </row>
    <row r="2632" ht="22.5" customHeight="1">
      <c r="A2632" s="25">
        <v>983.0</v>
      </c>
      <c r="B2632" s="26">
        <v>45613.0</v>
      </c>
      <c r="C2632" s="25">
        <v>11.0</v>
      </c>
      <c r="D2632" s="25">
        <v>33.0</v>
      </c>
      <c r="E2632" s="25">
        <v>6.0</v>
      </c>
      <c r="F2632" s="25">
        <v>1.0</v>
      </c>
      <c r="G2632" s="27" t="s">
        <v>24</v>
      </c>
    </row>
    <row r="2633" ht="22.5" customHeight="1">
      <c r="A2633" s="25">
        <v>1892.0</v>
      </c>
      <c r="B2633" s="26">
        <v>45613.0</v>
      </c>
      <c r="C2633" s="25">
        <v>222.0</v>
      </c>
      <c r="D2633" s="25">
        <v>13.0</v>
      </c>
      <c r="E2633" s="25">
        <v>1.0</v>
      </c>
      <c r="F2633" s="25">
        <v>4.0</v>
      </c>
      <c r="G2633" s="27" t="s">
        <v>24</v>
      </c>
    </row>
    <row r="2634" ht="22.5" customHeight="1">
      <c r="A2634" s="25">
        <v>1993.0</v>
      </c>
      <c r="B2634" s="26">
        <v>45613.0</v>
      </c>
      <c r="C2634" s="25">
        <v>99.0</v>
      </c>
      <c r="D2634" s="25">
        <v>31.0</v>
      </c>
      <c r="E2634" s="25">
        <v>1.0</v>
      </c>
      <c r="F2634" s="25">
        <v>1.0</v>
      </c>
      <c r="G2634" s="27" t="s">
        <v>24</v>
      </c>
    </row>
    <row r="2635" ht="22.5" customHeight="1">
      <c r="A2635" s="25">
        <v>2444.0</v>
      </c>
      <c r="B2635" s="26">
        <v>45613.0</v>
      </c>
      <c r="C2635" s="25">
        <v>185.0</v>
      </c>
      <c r="D2635" s="25">
        <v>4.0</v>
      </c>
      <c r="E2635" s="25">
        <v>6.0</v>
      </c>
      <c r="F2635" s="25">
        <v>3.0</v>
      </c>
      <c r="G2635" s="27" t="s">
        <v>25</v>
      </c>
    </row>
    <row r="2636" ht="22.5" customHeight="1">
      <c r="A2636" s="25">
        <v>2456.0</v>
      </c>
      <c r="B2636" s="26">
        <v>45613.0</v>
      </c>
      <c r="C2636" s="25">
        <v>243.0</v>
      </c>
      <c r="D2636" s="25">
        <v>37.0</v>
      </c>
      <c r="E2636" s="25">
        <v>1.0</v>
      </c>
      <c r="F2636" s="25">
        <v>1.0</v>
      </c>
      <c r="G2636" s="27" t="s">
        <v>25</v>
      </c>
    </row>
    <row r="2637" ht="22.5" customHeight="1">
      <c r="A2637" s="25">
        <v>65.0</v>
      </c>
      <c r="B2637" s="26">
        <v>45614.0</v>
      </c>
      <c r="C2637" s="25">
        <v>205.0</v>
      </c>
      <c r="D2637" s="25">
        <v>27.0</v>
      </c>
      <c r="E2637" s="25">
        <v>5.0</v>
      </c>
      <c r="F2637" s="25">
        <v>3.0</v>
      </c>
      <c r="G2637" s="27" t="s">
        <v>24</v>
      </c>
    </row>
    <row r="2638" ht="22.5" customHeight="1">
      <c r="A2638" s="25">
        <v>253.0</v>
      </c>
      <c r="B2638" s="26">
        <v>45614.0</v>
      </c>
      <c r="C2638" s="25">
        <v>14.0</v>
      </c>
      <c r="D2638" s="25">
        <v>15.0</v>
      </c>
      <c r="E2638" s="25">
        <v>2.0</v>
      </c>
      <c r="F2638" s="25">
        <v>5.0</v>
      </c>
      <c r="G2638" s="27" t="s">
        <v>24</v>
      </c>
    </row>
    <row r="2639" ht="22.5" customHeight="1">
      <c r="A2639" s="25">
        <v>443.0</v>
      </c>
      <c r="B2639" s="26">
        <v>45614.0</v>
      </c>
      <c r="C2639" s="25">
        <v>263.0</v>
      </c>
      <c r="D2639" s="25">
        <v>9.0</v>
      </c>
      <c r="E2639" s="25">
        <v>2.0</v>
      </c>
      <c r="F2639" s="25">
        <v>4.0</v>
      </c>
      <c r="G2639" s="27" t="s">
        <v>24</v>
      </c>
    </row>
    <row r="2640" ht="22.5" customHeight="1">
      <c r="A2640" s="25">
        <v>588.0</v>
      </c>
      <c r="B2640" s="26">
        <v>45614.0</v>
      </c>
      <c r="C2640" s="25">
        <v>261.0</v>
      </c>
      <c r="D2640" s="25">
        <v>25.0</v>
      </c>
      <c r="E2640" s="25">
        <v>2.0</v>
      </c>
      <c r="F2640" s="25">
        <v>3.0</v>
      </c>
      <c r="G2640" s="27" t="s">
        <v>24</v>
      </c>
    </row>
    <row r="2641" ht="22.5" customHeight="1">
      <c r="A2641" s="25">
        <v>1236.0</v>
      </c>
      <c r="B2641" s="26">
        <v>45614.0</v>
      </c>
      <c r="C2641" s="25">
        <v>228.0</v>
      </c>
      <c r="D2641" s="25">
        <v>29.0</v>
      </c>
      <c r="E2641" s="25">
        <v>4.0</v>
      </c>
      <c r="F2641" s="25">
        <v>2.0</v>
      </c>
      <c r="G2641" s="27" t="s">
        <v>24</v>
      </c>
    </row>
    <row r="2642" ht="22.5" customHeight="1">
      <c r="A2642" s="25">
        <v>1410.0</v>
      </c>
      <c r="B2642" s="26">
        <v>45614.0</v>
      </c>
      <c r="C2642" s="25">
        <v>34.0</v>
      </c>
      <c r="D2642" s="25">
        <v>12.0</v>
      </c>
      <c r="E2642" s="25">
        <v>4.0</v>
      </c>
      <c r="F2642" s="25">
        <v>2.0</v>
      </c>
      <c r="G2642" s="27" t="s">
        <v>24</v>
      </c>
    </row>
    <row r="2643" ht="22.5" customHeight="1">
      <c r="A2643" s="25">
        <v>1508.0</v>
      </c>
      <c r="B2643" s="26">
        <v>45614.0</v>
      </c>
      <c r="C2643" s="25">
        <v>295.0</v>
      </c>
      <c r="D2643" s="25">
        <v>6.0</v>
      </c>
      <c r="E2643" s="25">
        <v>4.0</v>
      </c>
      <c r="F2643" s="25">
        <v>5.0</v>
      </c>
      <c r="G2643" s="27" t="s">
        <v>24</v>
      </c>
    </row>
    <row r="2644" ht="22.5" customHeight="1">
      <c r="A2644" s="25">
        <v>1948.0</v>
      </c>
      <c r="B2644" s="26">
        <v>45614.0</v>
      </c>
      <c r="C2644" s="25">
        <v>5.0</v>
      </c>
      <c r="D2644" s="25">
        <v>19.0</v>
      </c>
      <c r="E2644" s="25">
        <v>3.0</v>
      </c>
      <c r="F2644" s="25">
        <v>4.0</v>
      </c>
      <c r="G2644" s="27" t="s">
        <v>24</v>
      </c>
    </row>
    <row r="2645" ht="22.5" customHeight="1">
      <c r="A2645" s="25">
        <v>2203.0</v>
      </c>
      <c r="B2645" s="26">
        <v>45614.0</v>
      </c>
      <c r="C2645" s="25">
        <v>68.0</v>
      </c>
      <c r="D2645" s="25">
        <v>14.0</v>
      </c>
      <c r="E2645" s="25">
        <v>5.0</v>
      </c>
      <c r="F2645" s="25">
        <v>5.0</v>
      </c>
      <c r="G2645" s="27" t="s">
        <v>24</v>
      </c>
    </row>
    <row r="2646" ht="22.5" customHeight="1">
      <c r="A2646" s="25">
        <v>2267.0</v>
      </c>
      <c r="B2646" s="26">
        <v>45614.0</v>
      </c>
      <c r="C2646" s="25">
        <v>239.0</v>
      </c>
      <c r="D2646" s="25">
        <v>23.0</v>
      </c>
      <c r="E2646" s="25">
        <v>6.0</v>
      </c>
      <c r="F2646" s="25">
        <v>2.0</v>
      </c>
      <c r="G2646" s="27" t="s">
        <v>24</v>
      </c>
    </row>
    <row r="2647" ht="22.5" customHeight="1">
      <c r="A2647" s="25">
        <v>2343.0</v>
      </c>
      <c r="B2647" s="26">
        <v>45614.0</v>
      </c>
      <c r="C2647" s="25">
        <v>263.0</v>
      </c>
      <c r="D2647" s="25">
        <v>11.0</v>
      </c>
      <c r="E2647" s="25">
        <v>1.0</v>
      </c>
      <c r="F2647" s="25">
        <v>3.0</v>
      </c>
      <c r="G2647" s="27" t="s">
        <v>24</v>
      </c>
    </row>
    <row r="2648" ht="22.5" customHeight="1">
      <c r="A2648" s="25">
        <v>2742.0</v>
      </c>
      <c r="B2648" s="26">
        <v>45614.0</v>
      </c>
      <c r="C2648" s="25">
        <v>25.0</v>
      </c>
      <c r="D2648" s="25">
        <v>3.0</v>
      </c>
      <c r="E2648" s="25">
        <v>1.0</v>
      </c>
      <c r="F2648" s="25">
        <v>3.0</v>
      </c>
      <c r="G2648" s="27" t="s">
        <v>24</v>
      </c>
    </row>
    <row r="2649" ht="22.5" customHeight="1">
      <c r="A2649" s="25">
        <v>611.0</v>
      </c>
      <c r="B2649" s="26">
        <v>45615.0</v>
      </c>
      <c r="C2649" s="25">
        <v>119.0</v>
      </c>
      <c r="D2649" s="25">
        <v>38.0</v>
      </c>
      <c r="E2649" s="25">
        <v>6.0</v>
      </c>
      <c r="F2649" s="25">
        <v>4.0</v>
      </c>
      <c r="G2649" s="27" t="s">
        <v>24</v>
      </c>
    </row>
    <row r="2650" ht="22.5" customHeight="1">
      <c r="A2650" s="25">
        <v>887.0</v>
      </c>
      <c r="B2650" s="26">
        <v>45615.0</v>
      </c>
      <c r="C2650" s="25">
        <v>214.0</v>
      </c>
      <c r="D2650" s="25">
        <v>16.0</v>
      </c>
      <c r="E2650" s="25">
        <v>6.0</v>
      </c>
      <c r="F2650" s="25">
        <v>4.0</v>
      </c>
      <c r="G2650" s="27" t="s">
        <v>24</v>
      </c>
    </row>
    <row r="2651" ht="22.5" customHeight="1">
      <c r="A2651" s="25">
        <v>1623.0</v>
      </c>
      <c r="B2651" s="26">
        <v>45615.0</v>
      </c>
      <c r="C2651" s="25">
        <v>315.0</v>
      </c>
      <c r="D2651" s="25">
        <v>14.0</v>
      </c>
      <c r="E2651" s="25">
        <v>4.0</v>
      </c>
      <c r="F2651" s="25">
        <v>4.0</v>
      </c>
      <c r="G2651" s="27" t="s">
        <v>24</v>
      </c>
    </row>
    <row r="2652" ht="22.5" customHeight="1">
      <c r="A2652" s="25">
        <v>2006.0</v>
      </c>
      <c r="B2652" s="26">
        <v>45615.0</v>
      </c>
      <c r="C2652" s="25">
        <v>152.0</v>
      </c>
      <c r="D2652" s="25">
        <v>33.0</v>
      </c>
      <c r="E2652" s="25">
        <v>3.0</v>
      </c>
      <c r="F2652" s="25">
        <v>4.0</v>
      </c>
      <c r="G2652" s="27" t="s">
        <v>24</v>
      </c>
    </row>
    <row r="2653" ht="22.5" customHeight="1">
      <c r="A2653" s="25">
        <v>2428.0</v>
      </c>
      <c r="B2653" s="26">
        <v>45615.0</v>
      </c>
      <c r="C2653" s="25">
        <v>319.0</v>
      </c>
      <c r="D2653" s="25">
        <v>5.0</v>
      </c>
      <c r="E2653" s="25">
        <v>1.0</v>
      </c>
      <c r="F2653" s="25">
        <v>1.0</v>
      </c>
      <c r="G2653" s="27" t="s">
        <v>25</v>
      </c>
    </row>
    <row r="2654" ht="22.5" customHeight="1">
      <c r="A2654" s="25">
        <v>2813.0</v>
      </c>
      <c r="B2654" s="26">
        <v>45615.0</v>
      </c>
      <c r="C2654" s="25">
        <v>264.0</v>
      </c>
      <c r="D2654" s="25">
        <v>10.0</v>
      </c>
      <c r="E2654" s="25">
        <v>2.0</v>
      </c>
      <c r="F2654" s="25">
        <v>4.0</v>
      </c>
      <c r="G2654" s="27" t="s">
        <v>24</v>
      </c>
    </row>
    <row r="2655" ht="22.5" customHeight="1">
      <c r="A2655" s="25">
        <v>16.0</v>
      </c>
      <c r="B2655" s="26">
        <v>45616.0</v>
      </c>
      <c r="C2655" s="25">
        <v>106.0</v>
      </c>
      <c r="D2655" s="25">
        <v>3.0</v>
      </c>
      <c r="E2655" s="25">
        <v>1.0</v>
      </c>
      <c r="F2655" s="25">
        <v>5.0</v>
      </c>
      <c r="G2655" s="27" t="s">
        <v>25</v>
      </c>
    </row>
    <row r="2656" ht="22.5" customHeight="1">
      <c r="A2656" s="25">
        <v>718.0</v>
      </c>
      <c r="B2656" s="26">
        <v>45616.0</v>
      </c>
      <c r="C2656" s="25">
        <v>292.0</v>
      </c>
      <c r="D2656" s="25">
        <v>17.0</v>
      </c>
      <c r="E2656" s="25">
        <v>1.0</v>
      </c>
      <c r="F2656" s="25">
        <v>1.0</v>
      </c>
      <c r="G2656" s="27" t="s">
        <v>24</v>
      </c>
    </row>
    <row r="2657" ht="22.5" customHeight="1">
      <c r="A2657" s="25">
        <v>731.0</v>
      </c>
      <c r="B2657" s="26">
        <v>45616.0</v>
      </c>
      <c r="C2657" s="25">
        <v>314.0</v>
      </c>
      <c r="D2657" s="25">
        <v>20.0</v>
      </c>
      <c r="E2657" s="25">
        <v>2.0</v>
      </c>
      <c r="F2657" s="25">
        <v>2.0</v>
      </c>
      <c r="G2657" s="27" t="s">
        <v>24</v>
      </c>
    </row>
    <row r="2658" ht="22.5" customHeight="1">
      <c r="A2658" s="25">
        <v>907.0</v>
      </c>
      <c r="B2658" s="26">
        <v>45616.0</v>
      </c>
      <c r="C2658" s="25">
        <v>68.0</v>
      </c>
      <c r="D2658" s="25">
        <v>35.0</v>
      </c>
      <c r="E2658" s="25">
        <v>3.0</v>
      </c>
      <c r="F2658" s="25">
        <v>4.0</v>
      </c>
      <c r="G2658" s="27" t="s">
        <v>24</v>
      </c>
    </row>
    <row r="2659" ht="22.5" customHeight="1">
      <c r="A2659" s="25">
        <v>2000.0</v>
      </c>
      <c r="B2659" s="26">
        <v>45616.0</v>
      </c>
      <c r="C2659" s="25">
        <v>151.0</v>
      </c>
      <c r="D2659" s="25">
        <v>9.0</v>
      </c>
      <c r="E2659" s="25">
        <v>3.0</v>
      </c>
      <c r="F2659" s="25">
        <v>3.0</v>
      </c>
      <c r="G2659" s="27" t="s">
        <v>24</v>
      </c>
    </row>
    <row r="2660" ht="22.5" customHeight="1">
      <c r="A2660" s="25">
        <v>2431.0</v>
      </c>
      <c r="B2660" s="26">
        <v>45616.0</v>
      </c>
      <c r="C2660" s="25">
        <v>31.0</v>
      </c>
      <c r="D2660" s="25">
        <v>26.0</v>
      </c>
      <c r="E2660" s="25">
        <v>5.0</v>
      </c>
      <c r="F2660" s="25">
        <v>2.0</v>
      </c>
      <c r="G2660" s="27" t="s">
        <v>24</v>
      </c>
    </row>
    <row r="2661" ht="22.5" customHeight="1">
      <c r="A2661" s="25">
        <v>2535.0</v>
      </c>
      <c r="B2661" s="26">
        <v>45616.0</v>
      </c>
      <c r="C2661" s="25">
        <v>118.0</v>
      </c>
      <c r="D2661" s="25">
        <v>29.0</v>
      </c>
      <c r="E2661" s="25">
        <v>2.0</v>
      </c>
      <c r="F2661" s="25">
        <v>3.0</v>
      </c>
      <c r="G2661" s="27" t="s">
        <v>24</v>
      </c>
    </row>
    <row r="2662" ht="22.5" customHeight="1">
      <c r="A2662" s="25">
        <v>2637.0</v>
      </c>
      <c r="B2662" s="26">
        <v>45616.0</v>
      </c>
      <c r="C2662" s="25">
        <v>316.0</v>
      </c>
      <c r="D2662" s="25">
        <v>26.0</v>
      </c>
      <c r="E2662" s="25">
        <v>1.0</v>
      </c>
      <c r="F2662" s="25">
        <v>1.0</v>
      </c>
      <c r="G2662" s="27" t="s">
        <v>24</v>
      </c>
    </row>
    <row r="2663" ht="22.5" customHeight="1">
      <c r="A2663" s="25">
        <v>662.0</v>
      </c>
      <c r="B2663" s="26">
        <v>45617.0</v>
      </c>
      <c r="C2663" s="25">
        <v>214.0</v>
      </c>
      <c r="D2663" s="25">
        <v>34.0</v>
      </c>
      <c r="E2663" s="25">
        <v>5.0</v>
      </c>
      <c r="F2663" s="25">
        <v>5.0</v>
      </c>
      <c r="G2663" s="27" t="s">
        <v>24</v>
      </c>
    </row>
    <row r="2664" ht="22.5" customHeight="1">
      <c r="A2664" s="25">
        <v>690.0</v>
      </c>
      <c r="B2664" s="26">
        <v>45617.0</v>
      </c>
      <c r="C2664" s="25">
        <v>166.0</v>
      </c>
      <c r="D2664" s="25">
        <v>12.0</v>
      </c>
      <c r="E2664" s="25">
        <v>4.0</v>
      </c>
      <c r="F2664" s="25">
        <v>3.0</v>
      </c>
      <c r="G2664" s="27" t="s">
        <v>24</v>
      </c>
    </row>
    <row r="2665" ht="22.5" customHeight="1">
      <c r="A2665" s="25">
        <v>797.0</v>
      </c>
      <c r="B2665" s="26">
        <v>45617.0</v>
      </c>
      <c r="C2665" s="25">
        <v>267.0</v>
      </c>
      <c r="D2665" s="25">
        <v>1.0</v>
      </c>
      <c r="E2665" s="25">
        <v>2.0</v>
      </c>
      <c r="F2665" s="25">
        <v>5.0</v>
      </c>
      <c r="G2665" s="27" t="s">
        <v>24</v>
      </c>
    </row>
    <row r="2666" ht="22.5" customHeight="1">
      <c r="A2666" s="25">
        <v>879.0</v>
      </c>
      <c r="B2666" s="26">
        <v>45617.0</v>
      </c>
      <c r="C2666" s="25">
        <v>110.0</v>
      </c>
      <c r="D2666" s="25">
        <v>24.0</v>
      </c>
      <c r="E2666" s="25">
        <v>4.0</v>
      </c>
      <c r="F2666" s="25">
        <v>5.0</v>
      </c>
      <c r="G2666" s="27" t="s">
        <v>24</v>
      </c>
    </row>
    <row r="2667" ht="22.5" customHeight="1">
      <c r="A2667" s="25">
        <v>885.0</v>
      </c>
      <c r="B2667" s="26">
        <v>45617.0</v>
      </c>
      <c r="C2667" s="25">
        <v>72.0</v>
      </c>
      <c r="D2667" s="25">
        <v>26.0</v>
      </c>
      <c r="E2667" s="25">
        <v>3.0</v>
      </c>
      <c r="F2667" s="25">
        <v>5.0</v>
      </c>
      <c r="G2667" s="27" t="s">
        <v>24</v>
      </c>
    </row>
    <row r="2668" ht="22.5" customHeight="1">
      <c r="A2668" s="25">
        <v>1173.0</v>
      </c>
      <c r="B2668" s="26">
        <v>45617.0</v>
      </c>
      <c r="C2668" s="25">
        <v>193.0</v>
      </c>
      <c r="D2668" s="25">
        <v>11.0</v>
      </c>
      <c r="E2668" s="25">
        <v>6.0</v>
      </c>
      <c r="F2668" s="25">
        <v>4.0</v>
      </c>
      <c r="G2668" s="27" t="s">
        <v>25</v>
      </c>
    </row>
    <row r="2669" ht="22.5" customHeight="1">
      <c r="A2669" s="25">
        <v>1554.0</v>
      </c>
      <c r="B2669" s="26">
        <v>45617.0</v>
      </c>
      <c r="C2669" s="25">
        <v>212.0</v>
      </c>
      <c r="D2669" s="25">
        <v>33.0</v>
      </c>
      <c r="E2669" s="25">
        <v>1.0</v>
      </c>
      <c r="F2669" s="25">
        <v>1.0</v>
      </c>
      <c r="G2669" s="27" t="s">
        <v>24</v>
      </c>
    </row>
    <row r="2670" ht="22.5" customHeight="1">
      <c r="A2670" s="25">
        <v>1815.0</v>
      </c>
      <c r="B2670" s="26">
        <v>45617.0</v>
      </c>
      <c r="C2670" s="25">
        <v>93.0</v>
      </c>
      <c r="D2670" s="25">
        <v>1.0</v>
      </c>
      <c r="E2670" s="25">
        <v>4.0</v>
      </c>
      <c r="F2670" s="25">
        <v>3.0</v>
      </c>
      <c r="G2670" s="27" t="s">
        <v>25</v>
      </c>
    </row>
    <row r="2671" ht="22.5" customHeight="1">
      <c r="A2671" s="25">
        <v>2001.0</v>
      </c>
      <c r="B2671" s="26">
        <v>45617.0</v>
      </c>
      <c r="C2671" s="25">
        <v>271.0</v>
      </c>
      <c r="D2671" s="25">
        <v>6.0</v>
      </c>
      <c r="E2671" s="25">
        <v>1.0</v>
      </c>
      <c r="F2671" s="25">
        <v>4.0</v>
      </c>
      <c r="G2671" s="27" t="s">
        <v>24</v>
      </c>
    </row>
    <row r="2672" ht="22.5" customHeight="1">
      <c r="A2672" s="25">
        <v>2079.0</v>
      </c>
      <c r="B2672" s="26">
        <v>45617.0</v>
      </c>
      <c r="C2672" s="25">
        <v>11.0</v>
      </c>
      <c r="D2672" s="25">
        <v>11.0</v>
      </c>
      <c r="E2672" s="25">
        <v>5.0</v>
      </c>
      <c r="F2672" s="25">
        <v>2.0</v>
      </c>
      <c r="G2672" s="27" t="s">
        <v>25</v>
      </c>
    </row>
    <row r="2673" ht="22.5" customHeight="1">
      <c r="A2673" s="25">
        <v>2100.0</v>
      </c>
      <c r="B2673" s="26">
        <v>45617.0</v>
      </c>
      <c r="C2673" s="25">
        <v>260.0</v>
      </c>
      <c r="D2673" s="25">
        <v>24.0</v>
      </c>
      <c r="E2673" s="25">
        <v>6.0</v>
      </c>
      <c r="F2673" s="25">
        <v>2.0</v>
      </c>
      <c r="G2673" s="27" t="s">
        <v>25</v>
      </c>
    </row>
    <row r="2674" ht="22.5" customHeight="1">
      <c r="A2674" s="25">
        <v>2619.0</v>
      </c>
      <c r="B2674" s="26">
        <v>45617.0</v>
      </c>
      <c r="C2674" s="25">
        <v>209.0</v>
      </c>
      <c r="D2674" s="25">
        <v>14.0</v>
      </c>
      <c r="E2674" s="25">
        <v>4.0</v>
      </c>
      <c r="F2674" s="25">
        <v>1.0</v>
      </c>
      <c r="G2674" s="27" t="s">
        <v>24</v>
      </c>
    </row>
    <row r="2675" ht="22.5" customHeight="1">
      <c r="A2675" s="25">
        <v>111.0</v>
      </c>
      <c r="B2675" s="26">
        <v>45618.0</v>
      </c>
      <c r="C2675" s="25">
        <v>103.0</v>
      </c>
      <c r="D2675" s="25">
        <v>29.0</v>
      </c>
      <c r="E2675" s="25">
        <v>5.0</v>
      </c>
      <c r="F2675" s="25">
        <v>2.0</v>
      </c>
      <c r="G2675" s="27" t="s">
        <v>24</v>
      </c>
    </row>
    <row r="2676" ht="22.5" customHeight="1">
      <c r="A2676" s="25">
        <v>846.0</v>
      </c>
      <c r="B2676" s="26">
        <v>45618.0</v>
      </c>
      <c r="C2676" s="25">
        <v>266.0</v>
      </c>
      <c r="D2676" s="25">
        <v>1.0</v>
      </c>
      <c r="E2676" s="25">
        <v>4.0</v>
      </c>
      <c r="F2676" s="25">
        <v>1.0</v>
      </c>
      <c r="G2676" s="27" t="s">
        <v>24</v>
      </c>
    </row>
    <row r="2677" ht="22.5" customHeight="1">
      <c r="A2677" s="25">
        <v>1296.0</v>
      </c>
      <c r="B2677" s="26">
        <v>45618.0</v>
      </c>
      <c r="C2677" s="25">
        <v>174.0</v>
      </c>
      <c r="D2677" s="25">
        <v>12.0</v>
      </c>
      <c r="E2677" s="25">
        <v>5.0</v>
      </c>
      <c r="F2677" s="25">
        <v>3.0</v>
      </c>
      <c r="G2677" s="27" t="s">
        <v>25</v>
      </c>
    </row>
    <row r="2678" ht="22.5" customHeight="1">
      <c r="A2678" s="25">
        <v>2125.0</v>
      </c>
      <c r="B2678" s="26">
        <v>45618.0</v>
      </c>
      <c r="C2678" s="25">
        <v>231.0</v>
      </c>
      <c r="D2678" s="25">
        <v>5.0</v>
      </c>
      <c r="E2678" s="25">
        <v>5.0</v>
      </c>
      <c r="F2678" s="25">
        <v>5.0</v>
      </c>
      <c r="G2678" s="27" t="s">
        <v>24</v>
      </c>
    </row>
    <row r="2679" ht="22.5" customHeight="1">
      <c r="A2679" s="25">
        <v>2347.0</v>
      </c>
      <c r="B2679" s="26">
        <v>45618.0</v>
      </c>
      <c r="C2679" s="25">
        <v>122.0</v>
      </c>
      <c r="D2679" s="25">
        <v>23.0</v>
      </c>
      <c r="E2679" s="25">
        <v>2.0</v>
      </c>
      <c r="F2679" s="25">
        <v>5.0</v>
      </c>
      <c r="G2679" s="27" t="s">
        <v>24</v>
      </c>
    </row>
    <row r="2680" ht="22.5" customHeight="1">
      <c r="A2680" s="25">
        <v>127.0</v>
      </c>
      <c r="B2680" s="26">
        <v>45619.0</v>
      </c>
      <c r="C2680" s="25">
        <v>95.0</v>
      </c>
      <c r="D2680" s="25">
        <v>1.0</v>
      </c>
      <c r="E2680" s="25">
        <v>3.0</v>
      </c>
      <c r="F2680" s="25">
        <v>5.0</v>
      </c>
      <c r="G2680" s="27" t="s">
        <v>25</v>
      </c>
    </row>
    <row r="2681" ht="22.5" customHeight="1">
      <c r="A2681" s="25">
        <v>231.0</v>
      </c>
      <c r="B2681" s="26">
        <v>45619.0</v>
      </c>
      <c r="C2681" s="25">
        <v>39.0</v>
      </c>
      <c r="D2681" s="25">
        <v>31.0</v>
      </c>
      <c r="E2681" s="25">
        <v>3.0</v>
      </c>
      <c r="F2681" s="25">
        <v>1.0</v>
      </c>
      <c r="G2681" s="27" t="s">
        <v>25</v>
      </c>
    </row>
    <row r="2682" ht="22.5" customHeight="1">
      <c r="A2682" s="25">
        <v>341.0</v>
      </c>
      <c r="B2682" s="26">
        <v>45619.0</v>
      </c>
      <c r="C2682" s="25">
        <v>315.0</v>
      </c>
      <c r="D2682" s="25">
        <v>5.0</v>
      </c>
      <c r="E2682" s="25">
        <v>4.0</v>
      </c>
      <c r="F2682" s="25">
        <v>2.0</v>
      </c>
      <c r="G2682" s="27" t="s">
        <v>24</v>
      </c>
    </row>
    <row r="2683" ht="22.5" customHeight="1">
      <c r="A2683" s="25">
        <v>1178.0</v>
      </c>
      <c r="B2683" s="26">
        <v>45619.0</v>
      </c>
      <c r="C2683" s="25">
        <v>249.0</v>
      </c>
      <c r="D2683" s="25">
        <v>32.0</v>
      </c>
      <c r="E2683" s="25">
        <v>1.0</v>
      </c>
      <c r="F2683" s="25">
        <v>5.0</v>
      </c>
      <c r="G2683" s="27" t="s">
        <v>25</v>
      </c>
    </row>
    <row r="2684" ht="22.5" customHeight="1">
      <c r="A2684" s="25">
        <v>1378.0</v>
      </c>
      <c r="B2684" s="26">
        <v>45619.0</v>
      </c>
      <c r="C2684" s="25">
        <v>95.0</v>
      </c>
      <c r="D2684" s="25">
        <v>5.0</v>
      </c>
      <c r="E2684" s="25">
        <v>3.0</v>
      </c>
      <c r="F2684" s="25">
        <v>5.0</v>
      </c>
      <c r="G2684" s="27" t="s">
        <v>24</v>
      </c>
    </row>
    <row r="2685" ht="22.5" customHeight="1">
      <c r="A2685" s="25">
        <v>1428.0</v>
      </c>
      <c r="B2685" s="26">
        <v>45619.0</v>
      </c>
      <c r="C2685" s="25">
        <v>266.0</v>
      </c>
      <c r="D2685" s="25">
        <v>37.0</v>
      </c>
      <c r="E2685" s="25">
        <v>2.0</v>
      </c>
      <c r="F2685" s="25">
        <v>1.0</v>
      </c>
      <c r="G2685" s="27" t="s">
        <v>24</v>
      </c>
    </row>
    <row r="2686" ht="22.5" customHeight="1">
      <c r="A2686" s="25">
        <v>1578.0</v>
      </c>
      <c r="B2686" s="26">
        <v>45619.0</v>
      </c>
      <c r="C2686" s="25">
        <v>283.0</v>
      </c>
      <c r="D2686" s="25">
        <v>27.0</v>
      </c>
      <c r="E2686" s="25">
        <v>3.0</v>
      </c>
      <c r="F2686" s="25">
        <v>3.0</v>
      </c>
      <c r="G2686" s="27" t="s">
        <v>24</v>
      </c>
    </row>
    <row r="2687" ht="22.5" customHeight="1">
      <c r="A2687" s="25">
        <v>1630.0</v>
      </c>
      <c r="B2687" s="26">
        <v>45619.0</v>
      </c>
      <c r="C2687" s="25">
        <v>317.0</v>
      </c>
      <c r="D2687" s="25">
        <v>7.0</v>
      </c>
      <c r="E2687" s="25">
        <v>1.0</v>
      </c>
      <c r="F2687" s="25">
        <v>1.0</v>
      </c>
      <c r="G2687" s="27" t="s">
        <v>24</v>
      </c>
    </row>
    <row r="2688" ht="22.5" customHeight="1">
      <c r="A2688" s="25">
        <v>256.0</v>
      </c>
      <c r="B2688" s="26">
        <v>45620.0</v>
      </c>
      <c r="C2688" s="25">
        <v>34.0</v>
      </c>
      <c r="D2688" s="25">
        <v>8.0</v>
      </c>
      <c r="E2688" s="25">
        <v>5.0</v>
      </c>
      <c r="F2688" s="25">
        <v>5.0</v>
      </c>
      <c r="G2688" s="27" t="s">
        <v>25</v>
      </c>
    </row>
    <row r="2689" ht="22.5" customHeight="1">
      <c r="A2689" s="25">
        <v>1413.0</v>
      </c>
      <c r="B2689" s="26">
        <v>45620.0</v>
      </c>
      <c r="C2689" s="25">
        <v>175.0</v>
      </c>
      <c r="D2689" s="25">
        <v>8.0</v>
      </c>
      <c r="E2689" s="25">
        <v>5.0</v>
      </c>
      <c r="F2689" s="25">
        <v>1.0</v>
      </c>
      <c r="G2689" s="27" t="s">
        <v>24</v>
      </c>
    </row>
    <row r="2690" ht="22.5" customHeight="1">
      <c r="A2690" s="25">
        <v>1697.0</v>
      </c>
      <c r="B2690" s="26">
        <v>45620.0</v>
      </c>
      <c r="C2690" s="25">
        <v>173.0</v>
      </c>
      <c r="D2690" s="25">
        <v>13.0</v>
      </c>
      <c r="E2690" s="25">
        <v>1.0</v>
      </c>
      <c r="F2690" s="25">
        <v>5.0</v>
      </c>
      <c r="G2690" s="27" t="s">
        <v>25</v>
      </c>
    </row>
    <row r="2691" ht="22.5" customHeight="1">
      <c r="A2691" s="25">
        <v>1893.0</v>
      </c>
      <c r="B2691" s="26">
        <v>45620.0</v>
      </c>
      <c r="C2691" s="25">
        <v>245.0</v>
      </c>
      <c r="D2691" s="25">
        <v>38.0</v>
      </c>
      <c r="E2691" s="25">
        <v>4.0</v>
      </c>
      <c r="F2691" s="25">
        <v>5.0</v>
      </c>
      <c r="G2691" s="27" t="s">
        <v>24</v>
      </c>
    </row>
    <row r="2692" ht="22.5" customHeight="1">
      <c r="A2692" s="25">
        <v>1953.0</v>
      </c>
      <c r="B2692" s="26">
        <v>45620.0</v>
      </c>
      <c r="C2692" s="25">
        <v>71.0</v>
      </c>
      <c r="D2692" s="25">
        <v>32.0</v>
      </c>
      <c r="E2692" s="25">
        <v>1.0</v>
      </c>
      <c r="F2692" s="25">
        <v>5.0</v>
      </c>
      <c r="G2692" s="27" t="s">
        <v>24</v>
      </c>
    </row>
    <row r="2693" ht="22.5" customHeight="1">
      <c r="A2693" s="25">
        <v>1958.0</v>
      </c>
      <c r="B2693" s="26">
        <v>45620.0</v>
      </c>
      <c r="C2693" s="25">
        <v>310.0</v>
      </c>
      <c r="D2693" s="25">
        <v>23.0</v>
      </c>
      <c r="E2693" s="25">
        <v>5.0</v>
      </c>
      <c r="F2693" s="25">
        <v>4.0</v>
      </c>
      <c r="G2693" s="27" t="s">
        <v>24</v>
      </c>
    </row>
    <row r="2694" ht="22.5" customHeight="1">
      <c r="A2694" s="25">
        <v>2307.0</v>
      </c>
      <c r="B2694" s="26">
        <v>45620.0</v>
      </c>
      <c r="C2694" s="25">
        <v>182.0</v>
      </c>
      <c r="D2694" s="25">
        <v>19.0</v>
      </c>
      <c r="E2694" s="25">
        <v>2.0</v>
      </c>
      <c r="F2694" s="25">
        <v>1.0</v>
      </c>
      <c r="G2694" s="27" t="s">
        <v>24</v>
      </c>
    </row>
    <row r="2695" ht="22.5" customHeight="1">
      <c r="A2695" s="25">
        <v>2562.0</v>
      </c>
      <c r="B2695" s="26">
        <v>45620.0</v>
      </c>
      <c r="C2695" s="25">
        <v>79.0</v>
      </c>
      <c r="D2695" s="25">
        <v>36.0</v>
      </c>
      <c r="E2695" s="25">
        <v>6.0</v>
      </c>
      <c r="F2695" s="25">
        <v>1.0</v>
      </c>
      <c r="G2695" s="27" t="s">
        <v>24</v>
      </c>
    </row>
    <row r="2696" ht="22.5" customHeight="1">
      <c r="A2696" s="25">
        <v>120.0</v>
      </c>
      <c r="B2696" s="26">
        <v>45621.0</v>
      </c>
      <c r="C2696" s="25">
        <v>16.0</v>
      </c>
      <c r="D2696" s="25">
        <v>38.0</v>
      </c>
      <c r="E2696" s="25">
        <v>4.0</v>
      </c>
      <c r="F2696" s="25">
        <v>2.0</v>
      </c>
      <c r="G2696" s="27" t="s">
        <v>25</v>
      </c>
    </row>
    <row r="2697" ht="22.5" customHeight="1">
      <c r="A2697" s="25">
        <v>440.0</v>
      </c>
      <c r="B2697" s="26">
        <v>45621.0</v>
      </c>
      <c r="C2697" s="25">
        <v>269.0</v>
      </c>
      <c r="D2697" s="25">
        <v>30.0</v>
      </c>
      <c r="E2697" s="25">
        <v>1.0</v>
      </c>
      <c r="F2697" s="25">
        <v>3.0</v>
      </c>
      <c r="G2697" s="27" t="s">
        <v>24</v>
      </c>
    </row>
    <row r="2698" ht="22.5" customHeight="1">
      <c r="A2698" s="25">
        <v>558.0</v>
      </c>
      <c r="B2698" s="26">
        <v>45621.0</v>
      </c>
      <c r="C2698" s="25">
        <v>33.0</v>
      </c>
      <c r="D2698" s="25">
        <v>26.0</v>
      </c>
      <c r="E2698" s="25">
        <v>5.0</v>
      </c>
      <c r="F2698" s="25">
        <v>1.0</v>
      </c>
      <c r="G2698" s="27" t="s">
        <v>25</v>
      </c>
    </row>
    <row r="2699" ht="22.5" customHeight="1">
      <c r="A2699" s="25">
        <v>704.0</v>
      </c>
      <c r="B2699" s="26">
        <v>45621.0</v>
      </c>
      <c r="C2699" s="25">
        <v>105.0</v>
      </c>
      <c r="D2699" s="25">
        <v>30.0</v>
      </c>
      <c r="E2699" s="25">
        <v>6.0</v>
      </c>
      <c r="F2699" s="25">
        <v>1.0</v>
      </c>
      <c r="G2699" s="27" t="s">
        <v>24</v>
      </c>
    </row>
    <row r="2700" ht="22.5" customHeight="1">
      <c r="A2700" s="25">
        <v>874.0</v>
      </c>
      <c r="B2700" s="26">
        <v>45621.0</v>
      </c>
      <c r="C2700" s="25">
        <v>326.0</v>
      </c>
      <c r="D2700" s="25">
        <v>26.0</v>
      </c>
      <c r="E2700" s="25">
        <v>6.0</v>
      </c>
      <c r="F2700" s="25">
        <v>5.0</v>
      </c>
      <c r="G2700" s="27" t="s">
        <v>25</v>
      </c>
    </row>
    <row r="2701" ht="22.5" customHeight="1">
      <c r="A2701" s="25">
        <v>1150.0</v>
      </c>
      <c r="B2701" s="26">
        <v>45621.0</v>
      </c>
      <c r="C2701" s="25">
        <v>274.0</v>
      </c>
      <c r="D2701" s="25">
        <v>12.0</v>
      </c>
      <c r="E2701" s="25">
        <v>3.0</v>
      </c>
      <c r="F2701" s="25">
        <v>5.0</v>
      </c>
      <c r="G2701" s="27" t="s">
        <v>25</v>
      </c>
    </row>
    <row r="2702" ht="22.5" customHeight="1">
      <c r="A2702" s="25">
        <v>1251.0</v>
      </c>
      <c r="B2702" s="26">
        <v>45621.0</v>
      </c>
      <c r="C2702" s="25">
        <v>290.0</v>
      </c>
      <c r="D2702" s="25">
        <v>21.0</v>
      </c>
      <c r="E2702" s="25">
        <v>4.0</v>
      </c>
      <c r="F2702" s="25">
        <v>5.0</v>
      </c>
      <c r="G2702" s="27" t="s">
        <v>24</v>
      </c>
    </row>
    <row r="2703" ht="22.5" customHeight="1">
      <c r="A2703" s="25">
        <v>1592.0</v>
      </c>
      <c r="B2703" s="26">
        <v>45621.0</v>
      </c>
      <c r="C2703" s="25">
        <v>27.0</v>
      </c>
      <c r="D2703" s="25">
        <v>9.0</v>
      </c>
      <c r="E2703" s="25">
        <v>6.0</v>
      </c>
      <c r="F2703" s="25">
        <v>5.0</v>
      </c>
      <c r="G2703" s="27" t="s">
        <v>24</v>
      </c>
    </row>
    <row r="2704" ht="22.5" customHeight="1">
      <c r="A2704" s="25">
        <v>2694.0</v>
      </c>
      <c r="B2704" s="26">
        <v>45621.0</v>
      </c>
      <c r="C2704" s="25">
        <v>52.0</v>
      </c>
      <c r="D2704" s="25">
        <v>25.0</v>
      </c>
      <c r="E2704" s="25">
        <v>4.0</v>
      </c>
      <c r="F2704" s="25">
        <v>2.0</v>
      </c>
      <c r="G2704" s="27" t="s">
        <v>24</v>
      </c>
    </row>
    <row r="2705" ht="22.5" customHeight="1">
      <c r="A2705" s="25">
        <v>2797.0</v>
      </c>
      <c r="B2705" s="26">
        <v>45621.0</v>
      </c>
      <c r="C2705" s="25">
        <v>10.0</v>
      </c>
      <c r="D2705" s="25">
        <v>17.0</v>
      </c>
      <c r="E2705" s="25">
        <v>2.0</v>
      </c>
      <c r="F2705" s="25">
        <v>4.0</v>
      </c>
      <c r="G2705" s="27" t="s">
        <v>24</v>
      </c>
    </row>
    <row r="2706" ht="22.5" customHeight="1">
      <c r="A2706" s="25">
        <v>115.0</v>
      </c>
      <c r="B2706" s="26">
        <v>45622.0</v>
      </c>
      <c r="C2706" s="25">
        <v>19.0</v>
      </c>
      <c r="D2706" s="25">
        <v>21.0</v>
      </c>
      <c r="E2706" s="25">
        <v>4.0</v>
      </c>
      <c r="F2706" s="25">
        <v>3.0</v>
      </c>
      <c r="G2706" s="27" t="s">
        <v>24</v>
      </c>
    </row>
    <row r="2707" ht="22.5" customHeight="1">
      <c r="A2707" s="25">
        <v>200.0</v>
      </c>
      <c r="B2707" s="26">
        <v>45622.0</v>
      </c>
      <c r="C2707" s="25">
        <v>142.0</v>
      </c>
      <c r="D2707" s="25">
        <v>35.0</v>
      </c>
      <c r="E2707" s="25">
        <v>6.0</v>
      </c>
      <c r="F2707" s="25">
        <v>2.0</v>
      </c>
      <c r="G2707" s="27" t="s">
        <v>24</v>
      </c>
    </row>
    <row r="2708" ht="22.5" customHeight="1">
      <c r="A2708" s="25">
        <v>501.0</v>
      </c>
      <c r="B2708" s="26">
        <v>45622.0</v>
      </c>
      <c r="C2708" s="25">
        <v>317.0</v>
      </c>
      <c r="D2708" s="25">
        <v>35.0</v>
      </c>
      <c r="E2708" s="25">
        <v>5.0</v>
      </c>
      <c r="F2708" s="25">
        <v>4.0</v>
      </c>
      <c r="G2708" s="27" t="s">
        <v>24</v>
      </c>
    </row>
    <row r="2709" ht="22.5" customHeight="1">
      <c r="A2709" s="25">
        <v>1105.0</v>
      </c>
      <c r="B2709" s="26">
        <v>45622.0</v>
      </c>
      <c r="C2709" s="25">
        <v>247.0</v>
      </c>
      <c r="D2709" s="25">
        <v>26.0</v>
      </c>
      <c r="E2709" s="25">
        <v>3.0</v>
      </c>
      <c r="F2709" s="25">
        <v>1.0</v>
      </c>
      <c r="G2709" s="27" t="s">
        <v>24</v>
      </c>
    </row>
    <row r="2710" ht="22.5" customHeight="1">
      <c r="A2710" s="25">
        <v>1637.0</v>
      </c>
      <c r="B2710" s="26">
        <v>45622.0</v>
      </c>
      <c r="C2710" s="25">
        <v>293.0</v>
      </c>
      <c r="D2710" s="25">
        <v>20.0</v>
      </c>
      <c r="E2710" s="25">
        <v>2.0</v>
      </c>
      <c r="F2710" s="25">
        <v>1.0</v>
      </c>
      <c r="G2710" s="27" t="s">
        <v>24</v>
      </c>
    </row>
    <row r="2711" ht="22.5" customHeight="1">
      <c r="A2711" s="25">
        <v>1784.0</v>
      </c>
      <c r="B2711" s="26">
        <v>45622.0</v>
      </c>
      <c r="C2711" s="25">
        <v>179.0</v>
      </c>
      <c r="D2711" s="25">
        <v>30.0</v>
      </c>
      <c r="E2711" s="25">
        <v>6.0</v>
      </c>
      <c r="F2711" s="25">
        <v>4.0</v>
      </c>
      <c r="G2711" s="27" t="s">
        <v>24</v>
      </c>
    </row>
    <row r="2712" ht="22.5" customHeight="1">
      <c r="A2712" s="25">
        <v>2698.0</v>
      </c>
      <c r="B2712" s="26">
        <v>45622.0</v>
      </c>
      <c r="C2712" s="25">
        <v>146.0</v>
      </c>
      <c r="D2712" s="25">
        <v>28.0</v>
      </c>
      <c r="E2712" s="25">
        <v>5.0</v>
      </c>
      <c r="F2712" s="25">
        <v>2.0</v>
      </c>
      <c r="G2712" s="27" t="s">
        <v>24</v>
      </c>
    </row>
    <row r="2713" ht="22.5" customHeight="1">
      <c r="A2713" s="25">
        <v>2871.0</v>
      </c>
      <c r="B2713" s="26">
        <v>45622.0</v>
      </c>
      <c r="C2713" s="25">
        <v>219.0</v>
      </c>
      <c r="D2713" s="25">
        <v>5.0</v>
      </c>
      <c r="E2713" s="25">
        <v>3.0</v>
      </c>
      <c r="F2713" s="25">
        <v>3.0</v>
      </c>
      <c r="G2713" s="27" t="s">
        <v>24</v>
      </c>
    </row>
    <row r="2714" ht="22.5" customHeight="1">
      <c r="A2714" s="25">
        <v>2939.0</v>
      </c>
      <c r="B2714" s="26">
        <v>45622.0</v>
      </c>
      <c r="C2714" s="25">
        <v>279.0</v>
      </c>
      <c r="D2714" s="25">
        <v>34.0</v>
      </c>
      <c r="E2714" s="25">
        <v>1.0</v>
      </c>
      <c r="F2714" s="25">
        <v>5.0</v>
      </c>
      <c r="G2714" s="27" t="s">
        <v>24</v>
      </c>
    </row>
    <row r="2715" ht="22.5" customHeight="1">
      <c r="A2715" s="25">
        <v>1566.0</v>
      </c>
      <c r="B2715" s="26">
        <v>45623.0</v>
      </c>
      <c r="C2715" s="25">
        <v>206.0</v>
      </c>
      <c r="D2715" s="25">
        <v>10.0</v>
      </c>
      <c r="E2715" s="25">
        <v>5.0</v>
      </c>
      <c r="F2715" s="25">
        <v>5.0</v>
      </c>
      <c r="G2715" s="27" t="s">
        <v>25</v>
      </c>
    </row>
    <row r="2716" ht="22.5" customHeight="1">
      <c r="A2716" s="25">
        <v>2230.0</v>
      </c>
      <c r="B2716" s="26">
        <v>45623.0</v>
      </c>
      <c r="C2716" s="25">
        <v>24.0</v>
      </c>
      <c r="D2716" s="25">
        <v>18.0</v>
      </c>
      <c r="E2716" s="25">
        <v>2.0</v>
      </c>
      <c r="F2716" s="25">
        <v>4.0</v>
      </c>
      <c r="G2716" s="27" t="s">
        <v>24</v>
      </c>
    </row>
    <row r="2717" ht="22.5" customHeight="1">
      <c r="A2717" s="25">
        <v>2464.0</v>
      </c>
      <c r="B2717" s="26">
        <v>45623.0</v>
      </c>
      <c r="C2717" s="25">
        <v>18.0</v>
      </c>
      <c r="D2717" s="25">
        <v>34.0</v>
      </c>
      <c r="E2717" s="25">
        <v>6.0</v>
      </c>
      <c r="F2717" s="25">
        <v>4.0</v>
      </c>
      <c r="G2717" s="27" t="s">
        <v>24</v>
      </c>
    </row>
    <row r="2718" ht="22.5" customHeight="1">
      <c r="A2718" s="25">
        <v>2825.0</v>
      </c>
      <c r="B2718" s="26">
        <v>45623.0</v>
      </c>
      <c r="C2718" s="25">
        <v>207.0</v>
      </c>
      <c r="D2718" s="25">
        <v>30.0</v>
      </c>
      <c r="E2718" s="25">
        <v>2.0</v>
      </c>
      <c r="F2718" s="25">
        <v>4.0</v>
      </c>
      <c r="G2718" s="27" t="s">
        <v>25</v>
      </c>
    </row>
    <row r="2719" ht="22.5" customHeight="1">
      <c r="A2719" s="25">
        <v>2998.0</v>
      </c>
      <c r="B2719" s="26">
        <v>45623.0</v>
      </c>
      <c r="C2719" s="25">
        <v>228.0</v>
      </c>
      <c r="D2719" s="25">
        <v>22.0</v>
      </c>
      <c r="E2719" s="25">
        <v>1.0</v>
      </c>
      <c r="F2719" s="25">
        <v>1.0</v>
      </c>
      <c r="G2719" s="27" t="s">
        <v>24</v>
      </c>
    </row>
    <row r="2720" ht="22.5" customHeight="1">
      <c r="A2720" s="25">
        <v>221.0</v>
      </c>
      <c r="B2720" s="26">
        <v>45624.0</v>
      </c>
      <c r="C2720" s="25">
        <v>31.0</v>
      </c>
      <c r="D2720" s="25">
        <v>4.0</v>
      </c>
      <c r="E2720" s="25">
        <v>2.0</v>
      </c>
      <c r="F2720" s="25">
        <v>1.0</v>
      </c>
      <c r="G2720" s="27" t="s">
        <v>24</v>
      </c>
    </row>
    <row r="2721" ht="22.5" customHeight="1">
      <c r="A2721" s="25">
        <v>319.0</v>
      </c>
      <c r="B2721" s="26">
        <v>45624.0</v>
      </c>
      <c r="C2721" s="25">
        <v>199.0</v>
      </c>
      <c r="D2721" s="25">
        <v>12.0</v>
      </c>
      <c r="E2721" s="25">
        <v>4.0</v>
      </c>
      <c r="F2721" s="25">
        <v>4.0</v>
      </c>
      <c r="G2721" s="27" t="s">
        <v>24</v>
      </c>
    </row>
    <row r="2722" ht="22.5" customHeight="1">
      <c r="A2722" s="25">
        <v>942.0</v>
      </c>
      <c r="B2722" s="26">
        <v>45624.0</v>
      </c>
      <c r="C2722" s="25">
        <v>5.0</v>
      </c>
      <c r="D2722" s="25">
        <v>34.0</v>
      </c>
      <c r="E2722" s="25">
        <v>3.0</v>
      </c>
      <c r="F2722" s="25">
        <v>3.0</v>
      </c>
      <c r="G2722" s="27" t="s">
        <v>24</v>
      </c>
    </row>
    <row r="2723" ht="22.5" customHeight="1">
      <c r="A2723" s="25">
        <v>1370.0</v>
      </c>
      <c r="B2723" s="26">
        <v>45624.0</v>
      </c>
      <c r="C2723" s="25">
        <v>250.0</v>
      </c>
      <c r="D2723" s="25">
        <v>1.0</v>
      </c>
      <c r="E2723" s="25">
        <v>4.0</v>
      </c>
      <c r="F2723" s="25">
        <v>5.0</v>
      </c>
      <c r="G2723" s="27" t="s">
        <v>24</v>
      </c>
    </row>
    <row r="2724" ht="22.5" customHeight="1">
      <c r="A2724" s="25">
        <v>1521.0</v>
      </c>
      <c r="B2724" s="26">
        <v>45624.0</v>
      </c>
      <c r="C2724" s="25">
        <v>168.0</v>
      </c>
      <c r="D2724" s="25">
        <v>5.0</v>
      </c>
      <c r="E2724" s="25">
        <v>6.0</v>
      </c>
      <c r="F2724" s="25">
        <v>2.0</v>
      </c>
      <c r="G2724" s="27" t="s">
        <v>24</v>
      </c>
    </row>
    <row r="2725" ht="22.5" customHeight="1">
      <c r="A2725" s="25">
        <v>1669.0</v>
      </c>
      <c r="B2725" s="26">
        <v>45624.0</v>
      </c>
      <c r="C2725" s="25">
        <v>93.0</v>
      </c>
      <c r="D2725" s="25">
        <v>7.0</v>
      </c>
      <c r="E2725" s="25">
        <v>6.0</v>
      </c>
      <c r="F2725" s="25">
        <v>4.0</v>
      </c>
      <c r="G2725" s="27" t="s">
        <v>24</v>
      </c>
    </row>
    <row r="2726" ht="22.5" customHeight="1">
      <c r="A2726" s="25">
        <v>2369.0</v>
      </c>
      <c r="B2726" s="26">
        <v>45624.0</v>
      </c>
      <c r="C2726" s="25">
        <v>283.0</v>
      </c>
      <c r="D2726" s="25">
        <v>34.0</v>
      </c>
      <c r="E2726" s="25">
        <v>3.0</v>
      </c>
      <c r="F2726" s="25">
        <v>4.0</v>
      </c>
      <c r="G2726" s="27" t="s">
        <v>24</v>
      </c>
    </row>
    <row r="2727" ht="22.5" customHeight="1">
      <c r="A2727" s="25">
        <v>2410.0</v>
      </c>
      <c r="B2727" s="26">
        <v>45624.0</v>
      </c>
      <c r="C2727" s="25">
        <v>93.0</v>
      </c>
      <c r="D2727" s="25">
        <v>35.0</v>
      </c>
      <c r="E2727" s="25">
        <v>2.0</v>
      </c>
      <c r="F2727" s="25">
        <v>1.0</v>
      </c>
      <c r="G2727" s="27" t="s">
        <v>25</v>
      </c>
    </row>
    <row r="2728" ht="22.5" customHeight="1">
      <c r="A2728" s="25">
        <v>2595.0</v>
      </c>
      <c r="B2728" s="26">
        <v>45624.0</v>
      </c>
      <c r="C2728" s="25">
        <v>196.0</v>
      </c>
      <c r="D2728" s="25">
        <v>32.0</v>
      </c>
      <c r="E2728" s="25">
        <v>5.0</v>
      </c>
      <c r="F2728" s="25">
        <v>4.0</v>
      </c>
      <c r="G2728" s="27" t="s">
        <v>24</v>
      </c>
    </row>
    <row r="2729" ht="22.5" customHeight="1">
      <c r="A2729" s="25">
        <v>161.0</v>
      </c>
      <c r="B2729" s="26">
        <v>45625.0</v>
      </c>
      <c r="C2729" s="25">
        <v>134.0</v>
      </c>
      <c r="D2729" s="25">
        <v>14.0</v>
      </c>
      <c r="E2729" s="25">
        <v>5.0</v>
      </c>
      <c r="F2729" s="25">
        <v>3.0</v>
      </c>
      <c r="G2729" s="27" t="s">
        <v>24</v>
      </c>
    </row>
    <row r="2730" ht="22.5" customHeight="1">
      <c r="A2730" s="25">
        <v>465.0</v>
      </c>
      <c r="B2730" s="26">
        <v>45625.0</v>
      </c>
      <c r="C2730" s="25">
        <v>93.0</v>
      </c>
      <c r="D2730" s="25">
        <v>30.0</v>
      </c>
      <c r="E2730" s="25">
        <v>6.0</v>
      </c>
      <c r="F2730" s="25">
        <v>3.0</v>
      </c>
      <c r="G2730" s="27" t="s">
        <v>24</v>
      </c>
    </row>
    <row r="2731" ht="22.5" customHeight="1">
      <c r="A2731" s="25">
        <v>845.0</v>
      </c>
      <c r="B2731" s="26">
        <v>45625.0</v>
      </c>
      <c r="C2731" s="25">
        <v>318.0</v>
      </c>
      <c r="D2731" s="25">
        <v>32.0</v>
      </c>
      <c r="E2731" s="25">
        <v>4.0</v>
      </c>
      <c r="F2731" s="25">
        <v>5.0</v>
      </c>
      <c r="G2731" s="27" t="s">
        <v>24</v>
      </c>
    </row>
    <row r="2732" ht="22.5" customHeight="1">
      <c r="A2732" s="25">
        <v>1170.0</v>
      </c>
      <c r="B2732" s="26">
        <v>45625.0</v>
      </c>
      <c r="C2732" s="25">
        <v>17.0</v>
      </c>
      <c r="D2732" s="25">
        <v>26.0</v>
      </c>
      <c r="E2732" s="25">
        <v>4.0</v>
      </c>
      <c r="F2732" s="25">
        <v>2.0</v>
      </c>
      <c r="G2732" s="27" t="s">
        <v>24</v>
      </c>
    </row>
    <row r="2733" ht="22.5" customHeight="1">
      <c r="A2733" s="25">
        <v>2129.0</v>
      </c>
      <c r="B2733" s="26">
        <v>45625.0</v>
      </c>
      <c r="C2733" s="25">
        <v>49.0</v>
      </c>
      <c r="D2733" s="25">
        <v>36.0</v>
      </c>
      <c r="E2733" s="25">
        <v>4.0</v>
      </c>
      <c r="F2733" s="25">
        <v>4.0</v>
      </c>
      <c r="G2733" s="27" t="s">
        <v>24</v>
      </c>
    </row>
    <row r="2734" ht="22.5" customHeight="1">
      <c r="A2734" s="25">
        <v>2144.0</v>
      </c>
      <c r="B2734" s="26">
        <v>45625.0</v>
      </c>
      <c r="C2734" s="25">
        <v>281.0</v>
      </c>
      <c r="D2734" s="25">
        <v>24.0</v>
      </c>
      <c r="E2734" s="25">
        <v>4.0</v>
      </c>
      <c r="F2734" s="25">
        <v>4.0</v>
      </c>
      <c r="G2734" s="27" t="s">
        <v>24</v>
      </c>
    </row>
    <row r="2735" ht="22.5" customHeight="1">
      <c r="A2735" s="25">
        <v>2754.0</v>
      </c>
      <c r="B2735" s="26">
        <v>45625.0</v>
      </c>
      <c r="C2735" s="25">
        <v>95.0</v>
      </c>
      <c r="D2735" s="25">
        <v>26.0</v>
      </c>
      <c r="E2735" s="25">
        <v>2.0</v>
      </c>
      <c r="F2735" s="25">
        <v>4.0</v>
      </c>
      <c r="G2735" s="27" t="s">
        <v>24</v>
      </c>
    </row>
    <row r="2736" ht="22.5" customHeight="1">
      <c r="A2736" s="25">
        <v>2842.0</v>
      </c>
      <c r="B2736" s="26">
        <v>45625.0</v>
      </c>
      <c r="C2736" s="25">
        <v>185.0</v>
      </c>
      <c r="D2736" s="25">
        <v>3.0</v>
      </c>
      <c r="E2736" s="25">
        <v>2.0</v>
      </c>
      <c r="F2736" s="25">
        <v>4.0</v>
      </c>
      <c r="G2736" s="27" t="s">
        <v>24</v>
      </c>
    </row>
    <row r="2737" ht="22.5" customHeight="1">
      <c r="A2737" s="25">
        <v>2985.0</v>
      </c>
      <c r="B2737" s="26">
        <v>45625.0</v>
      </c>
      <c r="C2737" s="25">
        <v>186.0</v>
      </c>
      <c r="D2737" s="25">
        <v>17.0</v>
      </c>
      <c r="E2737" s="25">
        <v>2.0</v>
      </c>
      <c r="F2737" s="25">
        <v>4.0</v>
      </c>
      <c r="G2737" s="27" t="s">
        <v>24</v>
      </c>
    </row>
    <row r="2738" ht="22.5" customHeight="1">
      <c r="A2738" s="25">
        <v>1694.0</v>
      </c>
      <c r="B2738" s="26">
        <v>45626.0</v>
      </c>
      <c r="C2738" s="25">
        <v>64.0</v>
      </c>
      <c r="D2738" s="25">
        <v>28.0</v>
      </c>
      <c r="E2738" s="25">
        <v>5.0</v>
      </c>
      <c r="F2738" s="25">
        <v>1.0</v>
      </c>
      <c r="G2738" s="27" t="s">
        <v>24</v>
      </c>
    </row>
    <row r="2739" ht="22.5" customHeight="1">
      <c r="A2739" s="25">
        <v>1811.0</v>
      </c>
      <c r="B2739" s="26">
        <v>45626.0</v>
      </c>
      <c r="C2739" s="25">
        <v>321.0</v>
      </c>
      <c r="D2739" s="25">
        <v>18.0</v>
      </c>
      <c r="E2739" s="25">
        <v>4.0</v>
      </c>
      <c r="F2739" s="25">
        <v>1.0</v>
      </c>
      <c r="G2739" s="27" t="s">
        <v>24</v>
      </c>
    </row>
    <row r="2740" ht="22.5" customHeight="1">
      <c r="A2740" s="25">
        <v>2322.0</v>
      </c>
      <c r="B2740" s="26">
        <v>45626.0</v>
      </c>
      <c r="C2740" s="25">
        <v>63.0</v>
      </c>
      <c r="D2740" s="25">
        <v>7.0</v>
      </c>
      <c r="E2740" s="25">
        <v>6.0</v>
      </c>
      <c r="F2740" s="25">
        <v>4.0</v>
      </c>
      <c r="G2740" s="27" t="s">
        <v>25</v>
      </c>
    </row>
    <row r="2741" ht="22.5" customHeight="1">
      <c r="A2741" s="25">
        <v>2353.0</v>
      </c>
      <c r="B2741" s="26">
        <v>45626.0</v>
      </c>
      <c r="C2741" s="25">
        <v>39.0</v>
      </c>
      <c r="D2741" s="25">
        <v>33.0</v>
      </c>
      <c r="E2741" s="25">
        <v>3.0</v>
      </c>
      <c r="F2741" s="25">
        <v>2.0</v>
      </c>
      <c r="G2741" s="27" t="s">
        <v>24</v>
      </c>
    </row>
    <row r="2742" ht="22.5" customHeight="1">
      <c r="A2742" s="25">
        <v>2425.0</v>
      </c>
      <c r="B2742" s="26">
        <v>45626.0</v>
      </c>
      <c r="C2742" s="25">
        <v>132.0</v>
      </c>
      <c r="D2742" s="25">
        <v>24.0</v>
      </c>
      <c r="E2742" s="25">
        <v>2.0</v>
      </c>
      <c r="F2742" s="25">
        <v>4.0</v>
      </c>
      <c r="G2742" s="27" t="s">
        <v>24</v>
      </c>
    </row>
    <row r="2743" ht="22.5" customHeight="1">
      <c r="A2743" s="25">
        <v>2764.0</v>
      </c>
      <c r="B2743" s="26">
        <v>45626.0</v>
      </c>
      <c r="C2743" s="25">
        <v>50.0</v>
      </c>
      <c r="D2743" s="25">
        <v>1.0</v>
      </c>
      <c r="E2743" s="25">
        <v>1.0</v>
      </c>
      <c r="F2743" s="25">
        <v>4.0</v>
      </c>
      <c r="G2743" s="27" t="s">
        <v>25</v>
      </c>
    </row>
    <row r="2744" ht="22.5" customHeight="1">
      <c r="A2744" s="25">
        <v>2984.0</v>
      </c>
      <c r="B2744" s="26">
        <v>45626.0</v>
      </c>
      <c r="C2744" s="25">
        <v>95.0</v>
      </c>
      <c r="D2744" s="25">
        <v>36.0</v>
      </c>
      <c r="E2744" s="25">
        <v>3.0</v>
      </c>
      <c r="F2744" s="25">
        <v>5.0</v>
      </c>
      <c r="G2744" s="27" t="s">
        <v>24</v>
      </c>
    </row>
    <row r="2745" ht="22.5" customHeight="1">
      <c r="A2745" s="25">
        <v>151.0</v>
      </c>
      <c r="B2745" s="26">
        <v>45627.0</v>
      </c>
      <c r="C2745" s="25">
        <v>317.0</v>
      </c>
      <c r="D2745" s="25">
        <v>20.0</v>
      </c>
      <c r="E2745" s="25">
        <v>2.0</v>
      </c>
      <c r="F2745" s="25">
        <v>2.0</v>
      </c>
      <c r="G2745" s="27" t="s">
        <v>24</v>
      </c>
    </row>
    <row r="2746" ht="22.5" customHeight="1">
      <c r="A2746" s="25">
        <v>196.0</v>
      </c>
      <c r="B2746" s="26">
        <v>45627.0</v>
      </c>
      <c r="C2746" s="25">
        <v>104.0</v>
      </c>
      <c r="D2746" s="25">
        <v>27.0</v>
      </c>
      <c r="E2746" s="25">
        <v>4.0</v>
      </c>
      <c r="F2746" s="25">
        <v>1.0</v>
      </c>
      <c r="G2746" s="27" t="s">
        <v>24</v>
      </c>
    </row>
    <row r="2747" ht="22.5" customHeight="1">
      <c r="A2747" s="25">
        <v>390.0</v>
      </c>
      <c r="B2747" s="26">
        <v>45627.0</v>
      </c>
      <c r="C2747" s="25">
        <v>74.0</v>
      </c>
      <c r="D2747" s="25">
        <v>26.0</v>
      </c>
      <c r="E2747" s="25">
        <v>4.0</v>
      </c>
      <c r="F2747" s="25">
        <v>4.0</v>
      </c>
      <c r="G2747" s="27" t="s">
        <v>24</v>
      </c>
    </row>
    <row r="2748" ht="22.5" customHeight="1">
      <c r="A2748" s="25">
        <v>404.0</v>
      </c>
      <c r="B2748" s="26">
        <v>45627.0</v>
      </c>
      <c r="C2748" s="25">
        <v>72.0</v>
      </c>
      <c r="D2748" s="25">
        <v>29.0</v>
      </c>
      <c r="E2748" s="25">
        <v>3.0</v>
      </c>
      <c r="F2748" s="25">
        <v>1.0</v>
      </c>
      <c r="G2748" s="27" t="s">
        <v>25</v>
      </c>
    </row>
    <row r="2749" ht="22.5" customHeight="1">
      <c r="A2749" s="25">
        <v>937.0</v>
      </c>
      <c r="B2749" s="26">
        <v>45627.0</v>
      </c>
      <c r="C2749" s="25">
        <v>261.0</v>
      </c>
      <c r="D2749" s="25">
        <v>27.0</v>
      </c>
      <c r="E2749" s="25">
        <v>4.0</v>
      </c>
      <c r="F2749" s="25">
        <v>2.0</v>
      </c>
      <c r="G2749" s="27" t="s">
        <v>24</v>
      </c>
    </row>
    <row r="2750" ht="22.5" customHeight="1">
      <c r="A2750" s="25">
        <v>1113.0</v>
      </c>
      <c r="B2750" s="26">
        <v>45627.0</v>
      </c>
      <c r="C2750" s="25">
        <v>4.0</v>
      </c>
      <c r="D2750" s="25">
        <v>17.0</v>
      </c>
      <c r="E2750" s="25">
        <v>2.0</v>
      </c>
      <c r="F2750" s="25">
        <v>1.0</v>
      </c>
      <c r="G2750" s="27" t="s">
        <v>24</v>
      </c>
    </row>
    <row r="2751" ht="22.5" customHeight="1">
      <c r="A2751" s="25">
        <v>1383.0</v>
      </c>
      <c r="B2751" s="26">
        <v>45627.0</v>
      </c>
      <c r="C2751" s="25">
        <v>185.0</v>
      </c>
      <c r="D2751" s="25">
        <v>10.0</v>
      </c>
      <c r="E2751" s="25">
        <v>3.0</v>
      </c>
      <c r="F2751" s="25">
        <v>4.0</v>
      </c>
      <c r="G2751" s="27" t="s">
        <v>24</v>
      </c>
    </row>
    <row r="2752" ht="22.5" customHeight="1">
      <c r="A2752" s="25">
        <v>1455.0</v>
      </c>
      <c r="B2752" s="26">
        <v>45627.0</v>
      </c>
      <c r="C2752" s="25">
        <v>271.0</v>
      </c>
      <c r="D2752" s="25">
        <v>29.0</v>
      </c>
      <c r="E2752" s="25">
        <v>4.0</v>
      </c>
      <c r="F2752" s="25">
        <v>4.0</v>
      </c>
      <c r="G2752" s="27" t="s">
        <v>24</v>
      </c>
    </row>
    <row r="2753" ht="22.5" customHeight="1">
      <c r="A2753" s="25">
        <v>1542.0</v>
      </c>
      <c r="B2753" s="26">
        <v>45627.0</v>
      </c>
      <c r="C2753" s="25">
        <v>250.0</v>
      </c>
      <c r="D2753" s="25">
        <v>33.0</v>
      </c>
      <c r="E2753" s="25">
        <v>4.0</v>
      </c>
      <c r="F2753" s="25">
        <v>1.0</v>
      </c>
      <c r="G2753" s="27" t="s">
        <v>24</v>
      </c>
    </row>
    <row r="2754" ht="22.5" customHeight="1">
      <c r="A2754" s="25">
        <v>1820.0</v>
      </c>
      <c r="B2754" s="26">
        <v>45627.0</v>
      </c>
      <c r="C2754" s="25">
        <v>170.0</v>
      </c>
      <c r="D2754" s="25">
        <v>30.0</v>
      </c>
      <c r="E2754" s="25">
        <v>2.0</v>
      </c>
      <c r="F2754" s="25">
        <v>1.0</v>
      </c>
      <c r="G2754" s="27" t="s">
        <v>24</v>
      </c>
    </row>
    <row r="2755" ht="22.5" customHeight="1">
      <c r="A2755" s="25">
        <v>1959.0</v>
      </c>
      <c r="B2755" s="26">
        <v>45627.0</v>
      </c>
      <c r="C2755" s="25">
        <v>58.0</v>
      </c>
      <c r="D2755" s="25">
        <v>16.0</v>
      </c>
      <c r="E2755" s="25">
        <v>6.0</v>
      </c>
      <c r="F2755" s="25">
        <v>5.0</v>
      </c>
      <c r="G2755" s="27" t="s">
        <v>24</v>
      </c>
    </row>
    <row r="2756" ht="22.5" customHeight="1">
      <c r="A2756" s="25">
        <v>2039.0</v>
      </c>
      <c r="B2756" s="26">
        <v>45627.0</v>
      </c>
      <c r="C2756" s="25">
        <v>88.0</v>
      </c>
      <c r="D2756" s="25">
        <v>12.0</v>
      </c>
      <c r="E2756" s="25">
        <v>3.0</v>
      </c>
      <c r="F2756" s="25">
        <v>1.0</v>
      </c>
      <c r="G2756" s="27" t="s">
        <v>24</v>
      </c>
    </row>
    <row r="2757" ht="22.5" customHeight="1">
      <c r="A2757" s="25">
        <v>2906.0</v>
      </c>
      <c r="B2757" s="26">
        <v>45627.0</v>
      </c>
      <c r="C2757" s="25">
        <v>290.0</v>
      </c>
      <c r="D2757" s="25">
        <v>1.0</v>
      </c>
      <c r="E2757" s="25">
        <v>4.0</v>
      </c>
      <c r="F2757" s="25">
        <v>1.0</v>
      </c>
      <c r="G2757" s="27" t="s">
        <v>24</v>
      </c>
    </row>
    <row r="2758" ht="22.5" customHeight="1">
      <c r="A2758" s="25">
        <v>2912.0</v>
      </c>
      <c r="B2758" s="26">
        <v>45627.0</v>
      </c>
      <c r="C2758" s="25">
        <v>39.0</v>
      </c>
      <c r="D2758" s="25">
        <v>26.0</v>
      </c>
      <c r="E2758" s="25">
        <v>2.0</v>
      </c>
      <c r="F2758" s="25">
        <v>5.0</v>
      </c>
      <c r="G2758" s="27" t="s">
        <v>24</v>
      </c>
    </row>
    <row r="2759" ht="22.5" customHeight="1">
      <c r="A2759" s="25">
        <v>483.0</v>
      </c>
      <c r="B2759" s="26">
        <v>45628.0</v>
      </c>
      <c r="C2759" s="25">
        <v>230.0</v>
      </c>
      <c r="D2759" s="25">
        <v>25.0</v>
      </c>
      <c r="E2759" s="25">
        <v>6.0</v>
      </c>
      <c r="F2759" s="25">
        <v>4.0</v>
      </c>
      <c r="G2759" s="27" t="s">
        <v>24</v>
      </c>
    </row>
    <row r="2760" ht="22.5" customHeight="1">
      <c r="A2760" s="25">
        <v>496.0</v>
      </c>
      <c r="B2760" s="26">
        <v>45628.0</v>
      </c>
      <c r="C2760" s="25">
        <v>137.0</v>
      </c>
      <c r="D2760" s="25">
        <v>33.0</v>
      </c>
      <c r="E2760" s="25">
        <v>1.0</v>
      </c>
      <c r="F2760" s="25">
        <v>5.0</v>
      </c>
      <c r="G2760" s="27" t="s">
        <v>24</v>
      </c>
    </row>
    <row r="2761" ht="22.5" customHeight="1">
      <c r="A2761" s="25">
        <v>924.0</v>
      </c>
      <c r="B2761" s="26">
        <v>45628.0</v>
      </c>
      <c r="C2761" s="25">
        <v>90.0</v>
      </c>
      <c r="D2761" s="25">
        <v>1.0</v>
      </c>
      <c r="E2761" s="25">
        <v>2.0</v>
      </c>
      <c r="F2761" s="25">
        <v>3.0</v>
      </c>
      <c r="G2761" s="27" t="s">
        <v>24</v>
      </c>
    </row>
    <row r="2762" ht="22.5" customHeight="1">
      <c r="A2762" s="25">
        <v>990.0</v>
      </c>
      <c r="B2762" s="26">
        <v>45628.0</v>
      </c>
      <c r="C2762" s="25">
        <v>136.0</v>
      </c>
      <c r="D2762" s="25">
        <v>27.0</v>
      </c>
      <c r="E2762" s="25">
        <v>6.0</v>
      </c>
      <c r="F2762" s="25">
        <v>4.0</v>
      </c>
      <c r="G2762" s="27" t="s">
        <v>24</v>
      </c>
    </row>
    <row r="2763" ht="22.5" customHeight="1">
      <c r="A2763" s="25">
        <v>1267.0</v>
      </c>
      <c r="B2763" s="26">
        <v>45628.0</v>
      </c>
      <c r="C2763" s="25">
        <v>130.0</v>
      </c>
      <c r="D2763" s="25">
        <v>1.0</v>
      </c>
      <c r="E2763" s="25">
        <v>2.0</v>
      </c>
      <c r="F2763" s="25">
        <v>5.0</v>
      </c>
      <c r="G2763" s="27" t="s">
        <v>24</v>
      </c>
    </row>
    <row r="2764" ht="22.5" customHeight="1">
      <c r="A2764" s="25">
        <v>1273.0</v>
      </c>
      <c r="B2764" s="26">
        <v>45628.0</v>
      </c>
      <c r="C2764" s="25">
        <v>289.0</v>
      </c>
      <c r="D2764" s="25">
        <v>29.0</v>
      </c>
      <c r="E2764" s="25">
        <v>3.0</v>
      </c>
      <c r="F2764" s="25">
        <v>1.0</v>
      </c>
      <c r="G2764" s="27" t="s">
        <v>24</v>
      </c>
    </row>
    <row r="2765" ht="22.5" customHeight="1">
      <c r="A2765" s="25">
        <v>1884.0</v>
      </c>
      <c r="B2765" s="26">
        <v>45628.0</v>
      </c>
      <c r="C2765" s="25">
        <v>98.0</v>
      </c>
      <c r="D2765" s="25">
        <v>33.0</v>
      </c>
      <c r="E2765" s="25">
        <v>5.0</v>
      </c>
      <c r="F2765" s="25">
        <v>3.0</v>
      </c>
      <c r="G2765" s="27" t="s">
        <v>24</v>
      </c>
    </row>
    <row r="2766" ht="22.5" customHeight="1">
      <c r="A2766" s="25">
        <v>2856.0</v>
      </c>
      <c r="B2766" s="26">
        <v>45628.0</v>
      </c>
      <c r="C2766" s="25">
        <v>87.0</v>
      </c>
      <c r="D2766" s="25">
        <v>36.0</v>
      </c>
      <c r="E2766" s="25">
        <v>5.0</v>
      </c>
      <c r="F2766" s="25">
        <v>4.0</v>
      </c>
      <c r="G2766" s="27" t="s">
        <v>24</v>
      </c>
    </row>
    <row r="2767" ht="22.5" customHeight="1">
      <c r="A2767" s="25">
        <v>3000.0</v>
      </c>
      <c r="B2767" s="26">
        <v>45628.0</v>
      </c>
      <c r="C2767" s="25">
        <v>266.0</v>
      </c>
      <c r="D2767" s="25">
        <v>31.0</v>
      </c>
      <c r="E2767" s="25">
        <v>2.0</v>
      </c>
      <c r="F2767" s="25">
        <v>1.0</v>
      </c>
      <c r="G2767" s="27" t="s">
        <v>25</v>
      </c>
    </row>
    <row r="2768" ht="22.5" customHeight="1">
      <c r="A2768" s="25">
        <v>7.0</v>
      </c>
      <c r="B2768" s="26">
        <v>45629.0</v>
      </c>
      <c r="C2768" s="25">
        <v>43.0</v>
      </c>
      <c r="D2768" s="25">
        <v>23.0</v>
      </c>
      <c r="E2768" s="25">
        <v>6.0</v>
      </c>
      <c r="F2768" s="25">
        <v>5.0</v>
      </c>
      <c r="G2768" s="27" t="s">
        <v>24</v>
      </c>
    </row>
    <row r="2769" ht="22.5" customHeight="1">
      <c r="A2769" s="25">
        <v>693.0</v>
      </c>
      <c r="B2769" s="26">
        <v>45629.0</v>
      </c>
      <c r="C2769" s="25">
        <v>15.0</v>
      </c>
      <c r="D2769" s="25">
        <v>7.0</v>
      </c>
      <c r="E2769" s="25">
        <v>4.0</v>
      </c>
      <c r="F2769" s="25">
        <v>5.0</v>
      </c>
      <c r="G2769" s="27" t="s">
        <v>24</v>
      </c>
    </row>
    <row r="2770" ht="22.5" customHeight="1">
      <c r="A2770" s="25">
        <v>1292.0</v>
      </c>
      <c r="B2770" s="26">
        <v>45629.0</v>
      </c>
      <c r="C2770" s="25">
        <v>287.0</v>
      </c>
      <c r="D2770" s="25">
        <v>24.0</v>
      </c>
      <c r="E2770" s="25">
        <v>3.0</v>
      </c>
      <c r="F2770" s="25">
        <v>4.0</v>
      </c>
      <c r="G2770" s="27" t="s">
        <v>24</v>
      </c>
    </row>
    <row r="2771" ht="22.5" customHeight="1">
      <c r="A2771" s="25">
        <v>1507.0</v>
      </c>
      <c r="B2771" s="26">
        <v>45629.0</v>
      </c>
      <c r="C2771" s="25">
        <v>145.0</v>
      </c>
      <c r="D2771" s="25">
        <v>25.0</v>
      </c>
      <c r="E2771" s="25">
        <v>4.0</v>
      </c>
      <c r="F2771" s="25">
        <v>3.0</v>
      </c>
      <c r="G2771" s="27" t="s">
        <v>24</v>
      </c>
    </row>
    <row r="2772" ht="22.5" customHeight="1">
      <c r="A2772" s="25">
        <v>2028.0</v>
      </c>
      <c r="B2772" s="26">
        <v>45629.0</v>
      </c>
      <c r="C2772" s="25">
        <v>226.0</v>
      </c>
      <c r="D2772" s="25">
        <v>16.0</v>
      </c>
      <c r="E2772" s="25">
        <v>3.0</v>
      </c>
      <c r="F2772" s="25">
        <v>3.0</v>
      </c>
      <c r="G2772" s="27" t="s">
        <v>24</v>
      </c>
    </row>
    <row r="2773" ht="22.5" customHeight="1">
      <c r="A2773" s="25">
        <v>2573.0</v>
      </c>
      <c r="B2773" s="26">
        <v>45629.0</v>
      </c>
      <c r="C2773" s="25">
        <v>143.0</v>
      </c>
      <c r="D2773" s="25">
        <v>7.0</v>
      </c>
      <c r="E2773" s="25">
        <v>1.0</v>
      </c>
      <c r="F2773" s="25">
        <v>2.0</v>
      </c>
      <c r="G2773" s="27" t="s">
        <v>24</v>
      </c>
    </row>
    <row r="2774" ht="22.5" customHeight="1">
      <c r="A2774" s="25">
        <v>2817.0</v>
      </c>
      <c r="B2774" s="26">
        <v>45629.0</v>
      </c>
      <c r="C2774" s="25">
        <v>254.0</v>
      </c>
      <c r="D2774" s="25">
        <v>18.0</v>
      </c>
      <c r="E2774" s="25">
        <v>2.0</v>
      </c>
      <c r="F2774" s="25">
        <v>1.0</v>
      </c>
      <c r="G2774" s="27" t="s">
        <v>25</v>
      </c>
    </row>
    <row r="2775" ht="22.5" customHeight="1">
      <c r="A2775" s="25">
        <v>64.0</v>
      </c>
      <c r="B2775" s="26">
        <v>45630.0</v>
      </c>
      <c r="C2775" s="25">
        <v>82.0</v>
      </c>
      <c r="D2775" s="25">
        <v>24.0</v>
      </c>
      <c r="E2775" s="25">
        <v>4.0</v>
      </c>
      <c r="F2775" s="25">
        <v>1.0</v>
      </c>
      <c r="G2775" s="27" t="s">
        <v>24</v>
      </c>
    </row>
    <row r="2776" ht="22.5" customHeight="1">
      <c r="A2776" s="25">
        <v>122.0</v>
      </c>
      <c r="B2776" s="26">
        <v>45630.0</v>
      </c>
      <c r="C2776" s="25">
        <v>237.0</v>
      </c>
      <c r="D2776" s="25">
        <v>14.0</v>
      </c>
      <c r="E2776" s="25">
        <v>5.0</v>
      </c>
      <c r="F2776" s="25">
        <v>1.0</v>
      </c>
      <c r="G2776" s="27" t="s">
        <v>24</v>
      </c>
    </row>
    <row r="2777" ht="22.5" customHeight="1">
      <c r="A2777" s="25">
        <v>847.0</v>
      </c>
      <c r="B2777" s="26">
        <v>45630.0</v>
      </c>
      <c r="C2777" s="25">
        <v>244.0</v>
      </c>
      <c r="D2777" s="25">
        <v>29.0</v>
      </c>
      <c r="E2777" s="25">
        <v>3.0</v>
      </c>
      <c r="F2777" s="25">
        <v>5.0</v>
      </c>
      <c r="G2777" s="27" t="s">
        <v>24</v>
      </c>
    </row>
    <row r="2778" ht="22.5" customHeight="1">
      <c r="A2778" s="25">
        <v>1056.0</v>
      </c>
      <c r="B2778" s="26">
        <v>45630.0</v>
      </c>
      <c r="C2778" s="25">
        <v>46.0</v>
      </c>
      <c r="D2778" s="25">
        <v>8.0</v>
      </c>
      <c r="E2778" s="25">
        <v>2.0</v>
      </c>
      <c r="F2778" s="25">
        <v>5.0</v>
      </c>
      <c r="G2778" s="27" t="s">
        <v>24</v>
      </c>
    </row>
    <row r="2779" ht="22.5" customHeight="1">
      <c r="A2779" s="25">
        <v>2250.0</v>
      </c>
      <c r="B2779" s="26">
        <v>45630.0</v>
      </c>
      <c r="C2779" s="25">
        <v>276.0</v>
      </c>
      <c r="D2779" s="25">
        <v>4.0</v>
      </c>
      <c r="E2779" s="25">
        <v>4.0</v>
      </c>
      <c r="F2779" s="25">
        <v>5.0</v>
      </c>
      <c r="G2779" s="27" t="s">
        <v>24</v>
      </c>
    </row>
    <row r="2780" ht="22.5" customHeight="1">
      <c r="A2780" s="25">
        <v>2297.0</v>
      </c>
      <c r="B2780" s="26">
        <v>45630.0</v>
      </c>
      <c r="C2780" s="25">
        <v>69.0</v>
      </c>
      <c r="D2780" s="25">
        <v>23.0</v>
      </c>
      <c r="E2780" s="25">
        <v>2.0</v>
      </c>
      <c r="F2780" s="25">
        <v>5.0</v>
      </c>
      <c r="G2780" s="27" t="s">
        <v>24</v>
      </c>
    </row>
    <row r="2781" ht="22.5" customHeight="1">
      <c r="A2781" s="25">
        <v>2349.0</v>
      </c>
      <c r="B2781" s="26">
        <v>45630.0</v>
      </c>
      <c r="C2781" s="25">
        <v>90.0</v>
      </c>
      <c r="D2781" s="25">
        <v>9.0</v>
      </c>
      <c r="E2781" s="25">
        <v>5.0</v>
      </c>
      <c r="F2781" s="25">
        <v>1.0</v>
      </c>
      <c r="G2781" s="27" t="s">
        <v>24</v>
      </c>
    </row>
    <row r="2782" ht="22.5" customHeight="1">
      <c r="A2782" s="25">
        <v>2591.0</v>
      </c>
      <c r="B2782" s="26">
        <v>45630.0</v>
      </c>
      <c r="C2782" s="25">
        <v>305.0</v>
      </c>
      <c r="D2782" s="25">
        <v>9.0</v>
      </c>
      <c r="E2782" s="25">
        <v>6.0</v>
      </c>
      <c r="F2782" s="25">
        <v>5.0</v>
      </c>
      <c r="G2782" s="27" t="s">
        <v>24</v>
      </c>
    </row>
    <row r="2783" ht="22.5" customHeight="1">
      <c r="A2783" s="25">
        <v>424.0</v>
      </c>
      <c r="B2783" s="26">
        <v>45631.0</v>
      </c>
      <c r="C2783" s="25">
        <v>259.0</v>
      </c>
      <c r="D2783" s="25">
        <v>2.0</v>
      </c>
      <c r="E2783" s="25">
        <v>5.0</v>
      </c>
      <c r="F2783" s="25">
        <v>3.0</v>
      </c>
      <c r="G2783" s="27" t="s">
        <v>24</v>
      </c>
    </row>
    <row r="2784" ht="22.5" customHeight="1">
      <c r="A2784" s="25">
        <v>782.0</v>
      </c>
      <c r="B2784" s="26">
        <v>45631.0</v>
      </c>
      <c r="C2784" s="25">
        <v>12.0</v>
      </c>
      <c r="D2784" s="25">
        <v>2.0</v>
      </c>
      <c r="E2784" s="25">
        <v>3.0</v>
      </c>
      <c r="F2784" s="25">
        <v>5.0</v>
      </c>
      <c r="G2784" s="27" t="s">
        <v>24</v>
      </c>
    </row>
    <row r="2785" ht="22.5" customHeight="1">
      <c r="A2785" s="25">
        <v>915.0</v>
      </c>
      <c r="B2785" s="26">
        <v>45631.0</v>
      </c>
      <c r="C2785" s="25">
        <v>75.0</v>
      </c>
      <c r="D2785" s="25">
        <v>14.0</v>
      </c>
      <c r="E2785" s="25">
        <v>3.0</v>
      </c>
      <c r="F2785" s="25">
        <v>4.0</v>
      </c>
      <c r="G2785" s="27" t="s">
        <v>24</v>
      </c>
    </row>
    <row r="2786" ht="22.5" customHeight="1">
      <c r="A2786" s="25">
        <v>1240.0</v>
      </c>
      <c r="B2786" s="26">
        <v>45631.0</v>
      </c>
      <c r="C2786" s="25">
        <v>56.0</v>
      </c>
      <c r="D2786" s="25">
        <v>28.0</v>
      </c>
      <c r="E2786" s="25">
        <v>1.0</v>
      </c>
      <c r="F2786" s="25">
        <v>5.0</v>
      </c>
      <c r="G2786" s="27" t="s">
        <v>24</v>
      </c>
    </row>
    <row r="2787" ht="22.5" customHeight="1">
      <c r="A2787" s="25">
        <v>2010.0</v>
      </c>
      <c r="B2787" s="26">
        <v>45631.0</v>
      </c>
      <c r="C2787" s="25">
        <v>9.0</v>
      </c>
      <c r="D2787" s="25">
        <v>4.0</v>
      </c>
      <c r="E2787" s="25">
        <v>3.0</v>
      </c>
      <c r="F2787" s="25">
        <v>3.0</v>
      </c>
      <c r="G2787" s="27" t="s">
        <v>24</v>
      </c>
    </row>
    <row r="2788" ht="22.5" customHeight="1">
      <c r="A2788" s="25">
        <v>2173.0</v>
      </c>
      <c r="B2788" s="26">
        <v>45631.0</v>
      </c>
      <c r="C2788" s="25">
        <v>128.0</v>
      </c>
      <c r="D2788" s="25">
        <v>25.0</v>
      </c>
      <c r="E2788" s="25">
        <v>1.0</v>
      </c>
      <c r="F2788" s="25">
        <v>5.0</v>
      </c>
      <c r="G2788" s="27" t="s">
        <v>24</v>
      </c>
    </row>
    <row r="2789" ht="22.5" customHeight="1">
      <c r="A2789" s="25">
        <v>2217.0</v>
      </c>
      <c r="B2789" s="26">
        <v>45631.0</v>
      </c>
      <c r="C2789" s="25">
        <v>198.0</v>
      </c>
      <c r="D2789" s="25">
        <v>6.0</v>
      </c>
      <c r="E2789" s="25">
        <v>6.0</v>
      </c>
      <c r="F2789" s="25">
        <v>3.0</v>
      </c>
      <c r="G2789" s="27" t="s">
        <v>24</v>
      </c>
    </row>
    <row r="2790" ht="22.5" customHeight="1">
      <c r="A2790" s="25">
        <v>2706.0</v>
      </c>
      <c r="B2790" s="26">
        <v>45631.0</v>
      </c>
      <c r="C2790" s="25">
        <v>21.0</v>
      </c>
      <c r="D2790" s="25">
        <v>24.0</v>
      </c>
      <c r="E2790" s="25">
        <v>4.0</v>
      </c>
      <c r="F2790" s="25">
        <v>4.0</v>
      </c>
      <c r="G2790" s="27" t="s">
        <v>25</v>
      </c>
    </row>
    <row r="2791" ht="22.5" customHeight="1">
      <c r="A2791" s="25">
        <v>269.0</v>
      </c>
      <c r="B2791" s="26">
        <v>45632.0</v>
      </c>
      <c r="C2791" s="25">
        <v>66.0</v>
      </c>
      <c r="D2791" s="25">
        <v>15.0</v>
      </c>
      <c r="E2791" s="25">
        <v>2.0</v>
      </c>
      <c r="F2791" s="25">
        <v>1.0</v>
      </c>
      <c r="G2791" s="27" t="s">
        <v>24</v>
      </c>
    </row>
    <row r="2792" ht="22.5" customHeight="1">
      <c r="A2792" s="25">
        <v>643.0</v>
      </c>
      <c r="B2792" s="26">
        <v>45632.0</v>
      </c>
      <c r="C2792" s="25">
        <v>93.0</v>
      </c>
      <c r="D2792" s="25">
        <v>15.0</v>
      </c>
      <c r="E2792" s="25">
        <v>5.0</v>
      </c>
      <c r="F2792" s="25">
        <v>2.0</v>
      </c>
      <c r="G2792" s="27" t="s">
        <v>24</v>
      </c>
    </row>
    <row r="2793" ht="22.5" customHeight="1">
      <c r="A2793" s="25">
        <v>742.0</v>
      </c>
      <c r="B2793" s="26">
        <v>45632.0</v>
      </c>
      <c r="C2793" s="25">
        <v>45.0</v>
      </c>
      <c r="D2793" s="25">
        <v>11.0</v>
      </c>
      <c r="E2793" s="25">
        <v>5.0</v>
      </c>
      <c r="F2793" s="25">
        <v>5.0</v>
      </c>
      <c r="G2793" s="27" t="s">
        <v>24</v>
      </c>
    </row>
    <row r="2794" ht="22.5" customHeight="1">
      <c r="A2794" s="25">
        <v>1201.0</v>
      </c>
      <c r="B2794" s="26">
        <v>45632.0</v>
      </c>
      <c r="C2794" s="25">
        <v>161.0</v>
      </c>
      <c r="D2794" s="25">
        <v>10.0</v>
      </c>
      <c r="E2794" s="25">
        <v>1.0</v>
      </c>
      <c r="F2794" s="25">
        <v>3.0</v>
      </c>
      <c r="G2794" s="27" t="s">
        <v>24</v>
      </c>
    </row>
    <row r="2795" ht="22.5" customHeight="1">
      <c r="A2795" s="25">
        <v>2380.0</v>
      </c>
      <c r="B2795" s="26">
        <v>45632.0</v>
      </c>
      <c r="C2795" s="25">
        <v>175.0</v>
      </c>
      <c r="D2795" s="25">
        <v>12.0</v>
      </c>
      <c r="E2795" s="25">
        <v>5.0</v>
      </c>
      <c r="F2795" s="25">
        <v>3.0</v>
      </c>
      <c r="G2795" s="27" t="s">
        <v>24</v>
      </c>
    </row>
    <row r="2796" ht="22.5" customHeight="1">
      <c r="A2796" s="25">
        <v>2517.0</v>
      </c>
      <c r="B2796" s="26">
        <v>45632.0</v>
      </c>
      <c r="C2796" s="25">
        <v>308.0</v>
      </c>
      <c r="D2796" s="25">
        <v>3.0</v>
      </c>
      <c r="E2796" s="25">
        <v>2.0</v>
      </c>
      <c r="F2796" s="25">
        <v>4.0</v>
      </c>
      <c r="G2796" s="27" t="s">
        <v>25</v>
      </c>
    </row>
    <row r="2797" ht="22.5" customHeight="1">
      <c r="A2797" s="25">
        <v>145.0</v>
      </c>
      <c r="B2797" s="26">
        <v>45633.0</v>
      </c>
      <c r="C2797" s="25">
        <v>257.0</v>
      </c>
      <c r="D2797" s="25">
        <v>13.0</v>
      </c>
      <c r="E2797" s="25">
        <v>4.0</v>
      </c>
      <c r="F2797" s="25">
        <v>3.0</v>
      </c>
      <c r="G2797" s="27" t="s">
        <v>24</v>
      </c>
    </row>
    <row r="2798" ht="22.5" customHeight="1">
      <c r="A2798" s="25">
        <v>264.0</v>
      </c>
      <c r="B2798" s="26">
        <v>45633.0</v>
      </c>
      <c r="C2798" s="25">
        <v>275.0</v>
      </c>
      <c r="D2798" s="25">
        <v>24.0</v>
      </c>
      <c r="E2798" s="25">
        <v>4.0</v>
      </c>
      <c r="F2798" s="25">
        <v>4.0</v>
      </c>
      <c r="G2798" s="27" t="s">
        <v>24</v>
      </c>
    </row>
    <row r="2799" ht="22.5" customHeight="1">
      <c r="A2799" s="25">
        <v>1002.0</v>
      </c>
      <c r="B2799" s="26">
        <v>45633.0</v>
      </c>
      <c r="C2799" s="25">
        <v>7.0</v>
      </c>
      <c r="D2799" s="25">
        <v>19.0</v>
      </c>
      <c r="E2799" s="25">
        <v>3.0</v>
      </c>
      <c r="F2799" s="25">
        <v>4.0</v>
      </c>
      <c r="G2799" s="27" t="s">
        <v>24</v>
      </c>
    </row>
    <row r="2800" ht="22.5" customHeight="1">
      <c r="A2800" s="25">
        <v>1879.0</v>
      </c>
      <c r="B2800" s="26">
        <v>45633.0</v>
      </c>
      <c r="C2800" s="25">
        <v>160.0</v>
      </c>
      <c r="D2800" s="25">
        <v>4.0</v>
      </c>
      <c r="E2800" s="25">
        <v>4.0</v>
      </c>
      <c r="F2800" s="25">
        <v>4.0</v>
      </c>
      <c r="G2800" s="27" t="s">
        <v>24</v>
      </c>
    </row>
    <row r="2801" ht="22.5" customHeight="1">
      <c r="A2801" s="25">
        <v>2012.0</v>
      </c>
      <c r="B2801" s="26">
        <v>45633.0</v>
      </c>
      <c r="C2801" s="25">
        <v>210.0</v>
      </c>
      <c r="D2801" s="25">
        <v>33.0</v>
      </c>
      <c r="E2801" s="25">
        <v>4.0</v>
      </c>
      <c r="F2801" s="25">
        <v>4.0</v>
      </c>
      <c r="G2801" s="27" t="s">
        <v>24</v>
      </c>
    </row>
    <row r="2802" ht="22.5" customHeight="1">
      <c r="A2802" s="25">
        <v>2179.0</v>
      </c>
      <c r="B2802" s="26">
        <v>45633.0</v>
      </c>
      <c r="C2802" s="25">
        <v>150.0</v>
      </c>
      <c r="D2802" s="25">
        <v>23.0</v>
      </c>
      <c r="E2802" s="25">
        <v>4.0</v>
      </c>
      <c r="F2802" s="25">
        <v>4.0</v>
      </c>
      <c r="G2802" s="27" t="s">
        <v>24</v>
      </c>
    </row>
    <row r="2803" ht="22.5" customHeight="1">
      <c r="A2803" s="25">
        <v>2608.0</v>
      </c>
      <c r="B2803" s="26">
        <v>45633.0</v>
      </c>
      <c r="C2803" s="25">
        <v>222.0</v>
      </c>
      <c r="D2803" s="25">
        <v>12.0</v>
      </c>
      <c r="E2803" s="25">
        <v>4.0</v>
      </c>
      <c r="F2803" s="25">
        <v>3.0</v>
      </c>
      <c r="G2803" s="27" t="s">
        <v>24</v>
      </c>
    </row>
    <row r="2804" ht="22.5" customHeight="1">
      <c r="A2804" s="25">
        <v>167.0</v>
      </c>
      <c r="B2804" s="26">
        <v>45634.0</v>
      </c>
      <c r="C2804" s="25">
        <v>1.0</v>
      </c>
      <c r="D2804" s="25">
        <v>28.0</v>
      </c>
      <c r="E2804" s="25">
        <v>4.0</v>
      </c>
      <c r="F2804" s="25">
        <v>5.0</v>
      </c>
      <c r="G2804" s="27" t="s">
        <v>24</v>
      </c>
    </row>
    <row r="2805" ht="22.5" customHeight="1">
      <c r="A2805" s="25">
        <v>222.0</v>
      </c>
      <c r="B2805" s="26">
        <v>45634.0</v>
      </c>
      <c r="C2805" s="25">
        <v>260.0</v>
      </c>
      <c r="D2805" s="25">
        <v>11.0</v>
      </c>
      <c r="E2805" s="25">
        <v>2.0</v>
      </c>
      <c r="F2805" s="25">
        <v>4.0</v>
      </c>
      <c r="G2805" s="27" t="s">
        <v>24</v>
      </c>
    </row>
    <row r="2806" ht="22.5" customHeight="1">
      <c r="A2806" s="25">
        <v>813.0</v>
      </c>
      <c r="B2806" s="26">
        <v>45634.0</v>
      </c>
      <c r="C2806" s="25">
        <v>168.0</v>
      </c>
      <c r="D2806" s="25">
        <v>22.0</v>
      </c>
      <c r="E2806" s="25">
        <v>3.0</v>
      </c>
      <c r="F2806" s="25">
        <v>3.0</v>
      </c>
      <c r="G2806" s="27" t="s">
        <v>24</v>
      </c>
    </row>
    <row r="2807" ht="22.5" customHeight="1">
      <c r="A2807" s="25">
        <v>843.0</v>
      </c>
      <c r="B2807" s="26">
        <v>45634.0</v>
      </c>
      <c r="C2807" s="25">
        <v>7.0</v>
      </c>
      <c r="D2807" s="25">
        <v>3.0</v>
      </c>
      <c r="E2807" s="25">
        <v>1.0</v>
      </c>
      <c r="F2807" s="25">
        <v>2.0</v>
      </c>
      <c r="G2807" s="27" t="s">
        <v>24</v>
      </c>
    </row>
    <row r="2808" ht="22.5" customHeight="1">
      <c r="A2808" s="25">
        <v>1154.0</v>
      </c>
      <c r="B2808" s="26">
        <v>45634.0</v>
      </c>
      <c r="C2808" s="25">
        <v>260.0</v>
      </c>
      <c r="D2808" s="25">
        <v>15.0</v>
      </c>
      <c r="E2808" s="25">
        <v>1.0</v>
      </c>
      <c r="F2808" s="25">
        <v>5.0</v>
      </c>
      <c r="G2808" s="27" t="s">
        <v>24</v>
      </c>
    </row>
    <row r="2809" ht="22.5" customHeight="1">
      <c r="A2809" s="25">
        <v>1468.0</v>
      </c>
      <c r="B2809" s="26">
        <v>45634.0</v>
      </c>
      <c r="C2809" s="25">
        <v>3.0</v>
      </c>
      <c r="D2809" s="25">
        <v>38.0</v>
      </c>
      <c r="E2809" s="25">
        <v>2.0</v>
      </c>
      <c r="F2809" s="25">
        <v>3.0</v>
      </c>
      <c r="G2809" s="27" t="s">
        <v>24</v>
      </c>
    </row>
    <row r="2810" ht="22.5" customHeight="1">
      <c r="A2810" s="25">
        <v>2318.0</v>
      </c>
      <c r="B2810" s="26">
        <v>45634.0</v>
      </c>
      <c r="C2810" s="25">
        <v>18.0</v>
      </c>
      <c r="D2810" s="25">
        <v>9.0</v>
      </c>
      <c r="E2810" s="25">
        <v>4.0</v>
      </c>
      <c r="F2810" s="25">
        <v>3.0</v>
      </c>
      <c r="G2810" s="27" t="s">
        <v>24</v>
      </c>
    </row>
    <row r="2811" ht="22.5" customHeight="1">
      <c r="A2811" s="25">
        <v>2378.0</v>
      </c>
      <c r="B2811" s="26">
        <v>45634.0</v>
      </c>
      <c r="C2811" s="25">
        <v>31.0</v>
      </c>
      <c r="D2811" s="25">
        <v>2.0</v>
      </c>
      <c r="E2811" s="25">
        <v>1.0</v>
      </c>
      <c r="F2811" s="25">
        <v>5.0</v>
      </c>
      <c r="G2811" s="27" t="s">
        <v>25</v>
      </c>
    </row>
    <row r="2812" ht="22.5" customHeight="1">
      <c r="A2812" s="25">
        <v>2483.0</v>
      </c>
      <c r="B2812" s="26">
        <v>45634.0</v>
      </c>
      <c r="C2812" s="25">
        <v>14.0</v>
      </c>
      <c r="D2812" s="25">
        <v>13.0</v>
      </c>
      <c r="E2812" s="25">
        <v>3.0</v>
      </c>
      <c r="F2812" s="25">
        <v>4.0</v>
      </c>
      <c r="G2812" s="27" t="s">
        <v>24</v>
      </c>
    </row>
    <row r="2813" ht="22.5" customHeight="1">
      <c r="A2813" s="25">
        <v>2893.0</v>
      </c>
      <c r="B2813" s="26">
        <v>45634.0</v>
      </c>
      <c r="C2813" s="25">
        <v>221.0</v>
      </c>
      <c r="D2813" s="25">
        <v>15.0</v>
      </c>
      <c r="E2813" s="25">
        <v>2.0</v>
      </c>
      <c r="F2813" s="25">
        <v>4.0</v>
      </c>
      <c r="G2813" s="27" t="s">
        <v>24</v>
      </c>
    </row>
    <row r="2814" ht="22.5" customHeight="1">
      <c r="A2814" s="25">
        <v>347.0</v>
      </c>
      <c r="B2814" s="26">
        <v>45635.0</v>
      </c>
      <c r="C2814" s="25">
        <v>204.0</v>
      </c>
      <c r="D2814" s="25">
        <v>1.0</v>
      </c>
      <c r="E2814" s="25">
        <v>1.0</v>
      </c>
      <c r="F2814" s="25">
        <v>1.0</v>
      </c>
      <c r="G2814" s="27" t="s">
        <v>24</v>
      </c>
    </row>
    <row r="2815" ht="22.5" customHeight="1">
      <c r="A2815" s="25">
        <v>369.0</v>
      </c>
      <c r="B2815" s="26">
        <v>45635.0</v>
      </c>
      <c r="C2815" s="25">
        <v>96.0</v>
      </c>
      <c r="D2815" s="25">
        <v>10.0</v>
      </c>
      <c r="E2815" s="25">
        <v>1.0</v>
      </c>
      <c r="F2815" s="25">
        <v>5.0</v>
      </c>
      <c r="G2815" s="27" t="s">
        <v>24</v>
      </c>
    </row>
    <row r="2816" ht="22.5" customHeight="1">
      <c r="A2816" s="25">
        <v>436.0</v>
      </c>
      <c r="B2816" s="26">
        <v>45635.0</v>
      </c>
      <c r="C2816" s="25">
        <v>190.0</v>
      </c>
      <c r="D2816" s="25">
        <v>37.0</v>
      </c>
      <c r="E2816" s="25">
        <v>4.0</v>
      </c>
      <c r="F2816" s="25">
        <v>5.0</v>
      </c>
      <c r="G2816" s="27" t="s">
        <v>24</v>
      </c>
    </row>
    <row r="2817" ht="22.5" customHeight="1">
      <c r="A2817" s="25">
        <v>1011.0</v>
      </c>
      <c r="B2817" s="26">
        <v>45635.0</v>
      </c>
      <c r="C2817" s="25">
        <v>190.0</v>
      </c>
      <c r="D2817" s="25">
        <v>1.0</v>
      </c>
      <c r="E2817" s="25">
        <v>3.0</v>
      </c>
      <c r="F2817" s="25">
        <v>4.0</v>
      </c>
      <c r="G2817" s="27" t="s">
        <v>24</v>
      </c>
    </row>
    <row r="2818" ht="22.5" customHeight="1">
      <c r="A2818" s="25">
        <v>1063.0</v>
      </c>
      <c r="B2818" s="26">
        <v>45635.0</v>
      </c>
      <c r="C2818" s="25">
        <v>115.0</v>
      </c>
      <c r="D2818" s="25">
        <v>21.0</v>
      </c>
      <c r="E2818" s="25">
        <v>2.0</v>
      </c>
      <c r="F2818" s="25">
        <v>2.0</v>
      </c>
      <c r="G2818" s="27" t="s">
        <v>24</v>
      </c>
    </row>
    <row r="2819" ht="22.5" customHeight="1">
      <c r="A2819" s="25">
        <v>1256.0</v>
      </c>
      <c r="B2819" s="26">
        <v>45635.0</v>
      </c>
      <c r="C2819" s="25">
        <v>227.0</v>
      </c>
      <c r="D2819" s="25">
        <v>36.0</v>
      </c>
      <c r="E2819" s="25">
        <v>4.0</v>
      </c>
      <c r="F2819" s="25">
        <v>5.0</v>
      </c>
      <c r="G2819" s="27" t="s">
        <v>24</v>
      </c>
    </row>
    <row r="2820" ht="22.5" customHeight="1">
      <c r="A2820" s="25">
        <v>1769.0</v>
      </c>
      <c r="B2820" s="26">
        <v>45635.0</v>
      </c>
      <c r="C2820" s="25">
        <v>284.0</v>
      </c>
      <c r="D2820" s="25">
        <v>27.0</v>
      </c>
      <c r="E2820" s="25">
        <v>4.0</v>
      </c>
      <c r="F2820" s="25">
        <v>3.0</v>
      </c>
      <c r="G2820" s="27" t="s">
        <v>25</v>
      </c>
    </row>
    <row r="2821" ht="22.5" customHeight="1">
      <c r="A2821" s="25">
        <v>1771.0</v>
      </c>
      <c r="B2821" s="26">
        <v>45635.0</v>
      </c>
      <c r="C2821" s="25">
        <v>169.0</v>
      </c>
      <c r="D2821" s="25">
        <v>21.0</v>
      </c>
      <c r="E2821" s="25">
        <v>1.0</v>
      </c>
      <c r="F2821" s="25">
        <v>3.0</v>
      </c>
      <c r="G2821" s="27" t="s">
        <v>24</v>
      </c>
    </row>
    <row r="2822" ht="22.5" customHeight="1">
      <c r="A2822" s="25">
        <v>1914.0</v>
      </c>
      <c r="B2822" s="26">
        <v>45635.0</v>
      </c>
      <c r="C2822" s="25">
        <v>212.0</v>
      </c>
      <c r="D2822" s="25">
        <v>28.0</v>
      </c>
      <c r="E2822" s="25">
        <v>3.0</v>
      </c>
      <c r="F2822" s="25">
        <v>1.0</v>
      </c>
      <c r="G2822" s="27" t="s">
        <v>24</v>
      </c>
    </row>
    <row r="2823" ht="22.5" customHeight="1">
      <c r="A2823" s="25">
        <v>2271.0</v>
      </c>
      <c r="B2823" s="26">
        <v>45635.0</v>
      </c>
      <c r="C2823" s="25">
        <v>45.0</v>
      </c>
      <c r="D2823" s="25">
        <v>36.0</v>
      </c>
      <c r="E2823" s="25">
        <v>1.0</v>
      </c>
      <c r="F2823" s="25">
        <v>3.0</v>
      </c>
      <c r="G2823" s="27" t="s">
        <v>24</v>
      </c>
    </row>
    <row r="2824" ht="22.5" customHeight="1">
      <c r="A2824" s="25">
        <v>2551.0</v>
      </c>
      <c r="B2824" s="26">
        <v>45635.0</v>
      </c>
      <c r="C2824" s="25">
        <v>171.0</v>
      </c>
      <c r="D2824" s="25">
        <v>9.0</v>
      </c>
      <c r="E2824" s="25">
        <v>2.0</v>
      </c>
      <c r="F2824" s="25">
        <v>1.0</v>
      </c>
      <c r="G2824" s="27" t="s">
        <v>24</v>
      </c>
    </row>
    <row r="2825" ht="22.5" customHeight="1">
      <c r="A2825" s="25">
        <v>2593.0</v>
      </c>
      <c r="B2825" s="26">
        <v>45635.0</v>
      </c>
      <c r="C2825" s="25">
        <v>312.0</v>
      </c>
      <c r="D2825" s="25">
        <v>2.0</v>
      </c>
      <c r="E2825" s="25">
        <v>6.0</v>
      </c>
      <c r="F2825" s="25">
        <v>2.0</v>
      </c>
      <c r="G2825" s="27" t="s">
        <v>24</v>
      </c>
    </row>
    <row r="2826" ht="22.5" customHeight="1">
      <c r="A2826" s="25">
        <v>2834.0</v>
      </c>
      <c r="B2826" s="26">
        <v>45635.0</v>
      </c>
      <c r="C2826" s="25">
        <v>123.0</v>
      </c>
      <c r="D2826" s="25">
        <v>26.0</v>
      </c>
      <c r="E2826" s="25">
        <v>1.0</v>
      </c>
      <c r="F2826" s="25">
        <v>3.0</v>
      </c>
      <c r="G2826" s="27" t="s">
        <v>24</v>
      </c>
    </row>
    <row r="2827" ht="22.5" customHeight="1">
      <c r="A2827" s="25">
        <v>318.0</v>
      </c>
      <c r="B2827" s="26">
        <v>45636.0</v>
      </c>
      <c r="C2827" s="25">
        <v>258.0</v>
      </c>
      <c r="D2827" s="25">
        <v>1.0</v>
      </c>
      <c r="E2827" s="25">
        <v>5.0</v>
      </c>
      <c r="F2827" s="25">
        <v>1.0</v>
      </c>
      <c r="G2827" s="27" t="s">
        <v>24</v>
      </c>
    </row>
    <row r="2828" ht="22.5" customHeight="1">
      <c r="A2828" s="25">
        <v>1043.0</v>
      </c>
      <c r="B2828" s="26">
        <v>45636.0</v>
      </c>
      <c r="C2828" s="25">
        <v>96.0</v>
      </c>
      <c r="D2828" s="25">
        <v>21.0</v>
      </c>
      <c r="E2828" s="25">
        <v>4.0</v>
      </c>
      <c r="F2828" s="25">
        <v>5.0</v>
      </c>
      <c r="G2828" s="27" t="s">
        <v>24</v>
      </c>
    </row>
    <row r="2829" ht="22.5" customHeight="1">
      <c r="A2829" s="25">
        <v>1057.0</v>
      </c>
      <c r="B2829" s="26">
        <v>45636.0</v>
      </c>
      <c r="C2829" s="25">
        <v>265.0</v>
      </c>
      <c r="D2829" s="25">
        <v>4.0</v>
      </c>
      <c r="E2829" s="25">
        <v>4.0</v>
      </c>
      <c r="F2829" s="25">
        <v>2.0</v>
      </c>
      <c r="G2829" s="27" t="s">
        <v>24</v>
      </c>
    </row>
    <row r="2830" ht="22.5" customHeight="1">
      <c r="A2830" s="25">
        <v>1284.0</v>
      </c>
      <c r="B2830" s="26">
        <v>45636.0</v>
      </c>
      <c r="C2830" s="25">
        <v>147.0</v>
      </c>
      <c r="D2830" s="25">
        <v>11.0</v>
      </c>
      <c r="E2830" s="25">
        <v>2.0</v>
      </c>
      <c r="F2830" s="25">
        <v>5.0</v>
      </c>
      <c r="G2830" s="27" t="s">
        <v>25</v>
      </c>
    </row>
    <row r="2831" ht="22.5" customHeight="1">
      <c r="A2831" s="25">
        <v>1816.0</v>
      </c>
      <c r="B2831" s="26">
        <v>45636.0</v>
      </c>
      <c r="C2831" s="25">
        <v>210.0</v>
      </c>
      <c r="D2831" s="25">
        <v>6.0</v>
      </c>
      <c r="E2831" s="25">
        <v>6.0</v>
      </c>
      <c r="F2831" s="25">
        <v>5.0</v>
      </c>
      <c r="G2831" s="27" t="s">
        <v>25</v>
      </c>
    </row>
    <row r="2832" ht="22.5" customHeight="1">
      <c r="A2832" s="25">
        <v>2320.0</v>
      </c>
      <c r="B2832" s="26">
        <v>45636.0</v>
      </c>
      <c r="C2832" s="25">
        <v>317.0</v>
      </c>
      <c r="D2832" s="25">
        <v>33.0</v>
      </c>
      <c r="E2832" s="25">
        <v>2.0</v>
      </c>
      <c r="F2832" s="25">
        <v>1.0</v>
      </c>
      <c r="G2832" s="27" t="s">
        <v>24</v>
      </c>
    </row>
    <row r="2833" ht="22.5" customHeight="1">
      <c r="A2833" s="25">
        <v>374.0</v>
      </c>
      <c r="B2833" s="26">
        <v>45637.0</v>
      </c>
      <c r="C2833" s="25">
        <v>17.0</v>
      </c>
      <c r="D2833" s="25">
        <v>6.0</v>
      </c>
      <c r="E2833" s="25">
        <v>6.0</v>
      </c>
      <c r="F2833" s="25">
        <v>1.0</v>
      </c>
      <c r="G2833" s="27" t="s">
        <v>24</v>
      </c>
    </row>
    <row r="2834" ht="22.5" customHeight="1">
      <c r="A2834" s="25">
        <v>482.0</v>
      </c>
      <c r="B2834" s="26">
        <v>45637.0</v>
      </c>
      <c r="C2834" s="25">
        <v>76.0</v>
      </c>
      <c r="D2834" s="25">
        <v>38.0</v>
      </c>
      <c r="E2834" s="25">
        <v>6.0</v>
      </c>
      <c r="F2834" s="25">
        <v>3.0</v>
      </c>
      <c r="G2834" s="27" t="s">
        <v>24</v>
      </c>
    </row>
    <row r="2835" ht="22.5" customHeight="1">
      <c r="A2835" s="25">
        <v>1817.0</v>
      </c>
      <c r="B2835" s="26">
        <v>45637.0</v>
      </c>
      <c r="C2835" s="25">
        <v>73.0</v>
      </c>
      <c r="D2835" s="25">
        <v>29.0</v>
      </c>
      <c r="E2835" s="25">
        <v>6.0</v>
      </c>
      <c r="F2835" s="25">
        <v>4.0</v>
      </c>
      <c r="G2835" s="27" t="s">
        <v>24</v>
      </c>
    </row>
    <row r="2836" ht="22.5" customHeight="1">
      <c r="A2836" s="25">
        <v>2287.0</v>
      </c>
      <c r="B2836" s="26">
        <v>45637.0</v>
      </c>
      <c r="C2836" s="25">
        <v>5.0</v>
      </c>
      <c r="D2836" s="25">
        <v>13.0</v>
      </c>
      <c r="E2836" s="25">
        <v>5.0</v>
      </c>
      <c r="F2836" s="25">
        <v>3.0</v>
      </c>
      <c r="G2836" s="27" t="s">
        <v>24</v>
      </c>
    </row>
    <row r="2837" ht="22.5" customHeight="1">
      <c r="A2837" s="25">
        <v>2756.0</v>
      </c>
      <c r="B2837" s="26">
        <v>45637.0</v>
      </c>
      <c r="C2837" s="25">
        <v>207.0</v>
      </c>
      <c r="D2837" s="25">
        <v>15.0</v>
      </c>
      <c r="E2837" s="25">
        <v>2.0</v>
      </c>
      <c r="F2837" s="25">
        <v>2.0</v>
      </c>
      <c r="G2837" s="27" t="s">
        <v>24</v>
      </c>
    </row>
    <row r="2838" ht="22.5" customHeight="1">
      <c r="A2838" s="25">
        <v>2814.0</v>
      </c>
      <c r="B2838" s="26">
        <v>45637.0</v>
      </c>
      <c r="C2838" s="25">
        <v>29.0</v>
      </c>
      <c r="D2838" s="25">
        <v>32.0</v>
      </c>
      <c r="E2838" s="25">
        <v>4.0</v>
      </c>
      <c r="F2838" s="25">
        <v>4.0</v>
      </c>
      <c r="G2838" s="27" t="s">
        <v>25</v>
      </c>
    </row>
    <row r="2839" ht="22.5" customHeight="1">
      <c r="A2839" s="25">
        <v>229.0</v>
      </c>
      <c r="B2839" s="26">
        <v>45638.0</v>
      </c>
      <c r="C2839" s="25">
        <v>153.0</v>
      </c>
      <c r="D2839" s="25">
        <v>14.0</v>
      </c>
      <c r="E2839" s="25">
        <v>5.0</v>
      </c>
      <c r="F2839" s="25">
        <v>4.0</v>
      </c>
      <c r="G2839" s="27" t="s">
        <v>24</v>
      </c>
    </row>
    <row r="2840" ht="22.5" customHeight="1">
      <c r="A2840" s="25">
        <v>325.0</v>
      </c>
      <c r="B2840" s="26">
        <v>45638.0</v>
      </c>
      <c r="C2840" s="25">
        <v>323.0</v>
      </c>
      <c r="D2840" s="25">
        <v>3.0</v>
      </c>
      <c r="E2840" s="25">
        <v>2.0</v>
      </c>
      <c r="F2840" s="25">
        <v>5.0</v>
      </c>
      <c r="G2840" s="27" t="s">
        <v>24</v>
      </c>
    </row>
    <row r="2841" ht="22.5" customHeight="1">
      <c r="A2841" s="25">
        <v>877.0</v>
      </c>
      <c r="B2841" s="26">
        <v>45638.0</v>
      </c>
      <c r="C2841" s="25">
        <v>280.0</v>
      </c>
      <c r="D2841" s="25">
        <v>11.0</v>
      </c>
      <c r="E2841" s="25">
        <v>6.0</v>
      </c>
      <c r="F2841" s="25">
        <v>5.0</v>
      </c>
      <c r="G2841" s="27" t="s">
        <v>24</v>
      </c>
    </row>
    <row r="2842" ht="22.5" customHeight="1">
      <c r="A2842" s="25">
        <v>1846.0</v>
      </c>
      <c r="B2842" s="26">
        <v>45638.0</v>
      </c>
      <c r="C2842" s="25">
        <v>23.0</v>
      </c>
      <c r="D2842" s="25">
        <v>12.0</v>
      </c>
      <c r="E2842" s="25">
        <v>5.0</v>
      </c>
      <c r="F2842" s="25">
        <v>4.0</v>
      </c>
      <c r="G2842" s="27" t="s">
        <v>24</v>
      </c>
    </row>
    <row r="2843" ht="22.5" customHeight="1">
      <c r="A2843" s="25">
        <v>2486.0</v>
      </c>
      <c r="B2843" s="26">
        <v>45638.0</v>
      </c>
      <c r="C2843" s="25">
        <v>81.0</v>
      </c>
      <c r="D2843" s="25">
        <v>6.0</v>
      </c>
      <c r="E2843" s="25">
        <v>2.0</v>
      </c>
      <c r="F2843" s="25">
        <v>1.0</v>
      </c>
      <c r="G2843" s="27" t="s">
        <v>24</v>
      </c>
    </row>
    <row r="2844" ht="22.5" customHeight="1">
      <c r="A2844" s="25">
        <v>2675.0</v>
      </c>
      <c r="B2844" s="26">
        <v>45638.0</v>
      </c>
      <c r="C2844" s="25">
        <v>285.0</v>
      </c>
      <c r="D2844" s="25">
        <v>28.0</v>
      </c>
      <c r="E2844" s="25">
        <v>2.0</v>
      </c>
      <c r="F2844" s="25">
        <v>1.0</v>
      </c>
      <c r="G2844" s="27" t="s">
        <v>24</v>
      </c>
    </row>
    <row r="2845" ht="22.5" customHeight="1">
      <c r="A2845" s="25">
        <v>316.0</v>
      </c>
      <c r="B2845" s="26">
        <v>45639.0</v>
      </c>
      <c r="C2845" s="25">
        <v>119.0</v>
      </c>
      <c r="D2845" s="25">
        <v>29.0</v>
      </c>
      <c r="E2845" s="25">
        <v>5.0</v>
      </c>
      <c r="F2845" s="25">
        <v>1.0</v>
      </c>
      <c r="G2845" s="27" t="s">
        <v>24</v>
      </c>
    </row>
    <row r="2846" ht="22.5" customHeight="1">
      <c r="A2846" s="25">
        <v>695.0</v>
      </c>
      <c r="B2846" s="26">
        <v>45639.0</v>
      </c>
      <c r="C2846" s="25">
        <v>202.0</v>
      </c>
      <c r="D2846" s="25">
        <v>9.0</v>
      </c>
      <c r="E2846" s="25">
        <v>3.0</v>
      </c>
      <c r="F2846" s="25">
        <v>1.0</v>
      </c>
      <c r="G2846" s="27" t="s">
        <v>24</v>
      </c>
    </row>
    <row r="2847" ht="22.5" customHeight="1">
      <c r="A2847" s="25">
        <v>787.0</v>
      </c>
      <c r="B2847" s="26">
        <v>45639.0</v>
      </c>
      <c r="C2847" s="25">
        <v>325.0</v>
      </c>
      <c r="D2847" s="25">
        <v>27.0</v>
      </c>
      <c r="E2847" s="25">
        <v>6.0</v>
      </c>
      <c r="F2847" s="25">
        <v>1.0</v>
      </c>
      <c r="G2847" s="27" t="s">
        <v>24</v>
      </c>
    </row>
    <row r="2848" ht="22.5" customHeight="1">
      <c r="A2848" s="25">
        <v>1206.0</v>
      </c>
      <c r="B2848" s="26">
        <v>45639.0</v>
      </c>
      <c r="C2848" s="25">
        <v>177.0</v>
      </c>
      <c r="D2848" s="25">
        <v>25.0</v>
      </c>
      <c r="E2848" s="25">
        <v>5.0</v>
      </c>
      <c r="F2848" s="25">
        <v>5.0</v>
      </c>
      <c r="G2848" s="27" t="s">
        <v>24</v>
      </c>
    </row>
    <row r="2849" ht="22.5" customHeight="1">
      <c r="A2849" s="25">
        <v>1532.0</v>
      </c>
      <c r="B2849" s="26">
        <v>45639.0</v>
      </c>
      <c r="C2849" s="25">
        <v>218.0</v>
      </c>
      <c r="D2849" s="25">
        <v>22.0</v>
      </c>
      <c r="E2849" s="25">
        <v>1.0</v>
      </c>
      <c r="F2849" s="25">
        <v>5.0</v>
      </c>
      <c r="G2849" s="27" t="s">
        <v>24</v>
      </c>
    </row>
    <row r="2850" ht="22.5" customHeight="1">
      <c r="A2850" s="25">
        <v>2085.0</v>
      </c>
      <c r="B2850" s="26">
        <v>45639.0</v>
      </c>
      <c r="C2850" s="25">
        <v>46.0</v>
      </c>
      <c r="D2850" s="25">
        <v>8.0</v>
      </c>
      <c r="E2850" s="25">
        <v>1.0</v>
      </c>
      <c r="F2850" s="25">
        <v>4.0</v>
      </c>
      <c r="G2850" s="27" t="s">
        <v>24</v>
      </c>
    </row>
    <row r="2851" ht="22.5" customHeight="1">
      <c r="A2851" s="25">
        <v>2233.0</v>
      </c>
      <c r="B2851" s="26">
        <v>45639.0</v>
      </c>
      <c r="C2851" s="25">
        <v>1.0</v>
      </c>
      <c r="D2851" s="25">
        <v>32.0</v>
      </c>
      <c r="E2851" s="25">
        <v>5.0</v>
      </c>
      <c r="F2851" s="25">
        <v>3.0</v>
      </c>
      <c r="G2851" s="27" t="s">
        <v>24</v>
      </c>
    </row>
    <row r="2852" ht="22.5" customHeight="1">
      <c r="A2852" s="25">
        <v>2340.0</v>
      </c>
      <c r="B2852" s="26">
        <v>45639.0</v>
      </c>
      <c r="C2852" s="25">
        <v>76.0</v>
      </c>
      <c r="D2852" s="25">
        <v>38.0</v>
      </c>
      <c r="E2852" s="25">
        <v>6.0</v>
      </c>
      <c r="F2852" s="25">
        <v>3.0</v>
      </c>
      <c r="G2852" s="27" t="s">
        <v>24</v>
      </c>
    </row>
    <row r="2853" ht="22.5" customHeight="1">
      <c r="A2853" s="25">
        <v>2401.0</v>
      </c>
      <c r="B2853" s="26">
        <v>45639.0</v>
      </c>
      <c r="C2853" s="25">
        <v>217.0</v>
      </c>
      <c r="D2853" s="25">
        <v>35.0</v>
      </c>
      <c r="E2853" s="25">
        <v>2.0</v>
      </c>
      <c r="F2853" s="25">
        <v>2.0</v>
      </c>
      <c r="G2853" s="27" t="s">
        <v>24</v>
      </c>
    </row>
    <row r="2854" ht="22.5" customHeight="1">
      <c r="A2854" s="25">
        <v>780.0</v>
      </c>
      <c r="B2854" s="26">
        <v>45640.0</v>
      </c>
      <c r="C2854" s="25">
        <v>140.0</v>
      </c>
      <c r="D2854" s="25">
        <v>15.0</v>
      </c>
      <c r="E2854" s="25">
        <v>3.0</v>
      </c>
      <c r="F2854" s="25">
        <v>1.0</v>
      </c>
      <c r="G2854" s="27" t="s">
        <v>24</v>
      </c>
    </row>
    <row r="2855" ht="22.5" customHeight="1">
      <c r="A2855" s="25">
        <v>1706.0</v>
      </c>
      <c r="B2855" s="26">
        <v>45640.0</v>
      </c>
      <c r="C2855" s="25">
        <v>94.0</v>
      </c>
      <c r="D2855" s="25">
        <v>23.0</v>
      </c>
      <c r="E2855" s="25">
        <v>2.0</v>
      </c>
      <c r="F2855" s="25">
        <v>5.0</v>
      </c>
      <c r="G2855" s="27" t="s">
        <v>24</v>
      </c>
    </row>
    <row r="2856" ht="22.5" customHeight="1">
      <c r="A2856" s="25">
        <v>2033.0</v>
      </c>
      <c r="B2856" s="26">
        <v>45640.0</v>
      </c>
      <c r="C2856" s="25">
        <v>308.0</v>
      </c>
      <c r="D2856" s="25">
        <v>4.0</v>
      </c>
      <c r="E2856" s="25">
        <v>4.0</v>
      </c>
      <c r="F2856" s="25">
        <v>5.0</v>
      </c>
      <c r="G2856" s="27" t="s">
        <v>24</v>
      </c>
    </row>
    <row r="2857" ht="22.5" customHeight="1">
      <c r="A2857" s="25">
        <v>2704.0</v>
      </c>
      <c r="B2857" s="26">
        <v>45640.0</v>
      </c>
      <c r="C2857" s="25">
        <v>14.0</v>
      </c>
      <c r="D2857" s="25">
        <v>17.0</v>
      </c>
      <c r="E2857" s="25">
        <v>5.0</v>
      </c>
      <c r="F2857" s="25">
        <v>1.0</v>
      </c>
      <c r="G2857" s="27" t="s">
        <v>24</v>
      </c>
    </row>
    <row r="2858" ht="22.5" customHeight="1">
      <c r="A2858" s="25">
        <v>2875.0</v>
      </c>
      <c r="B2858" s="26">
        <v>45640.0</v>
      </c>
      <c r="C2858" s="25">
        <v>148.0</v>
      </c>
      <c r="D2858" s="25">
        <v>19.0</v>
      </c>
      <c r="E2858" s="25">
        <v>1.0</v>
      </c>
      <c r="F2858" s="25">
        <v>2.0</v>
      </c>
      <c r="G2858" s="27" t="s">
        <v>24</v>
      </c>
    </row>
    <row r="2859" ht="22.5" customHeight="1">
      <c r="A2859" s="25">
        <v>195.0</v>
      </c>
      <c r="B2859" s="26">
        <v>45641.0</v>
      </c>
      <c r="C2859" s="25">
        <v>71.0</v>
      </c>
      <c r="D2859" s="25">
        <v>13.0</v>
      </c>
      <c r="E2859" s="25">
        <v>4.0</v>
      </c>
      <c r="F2859" s="25">
        <v>2.0</v>
      </c>
      <c r="G2859" s="27" t="s">
        <v>24</v>
      </c>
    </row>
    <row r="2860" ht="22.5" customHeight="1">
      <c r="A2860" s="25">
        <v>218.0</v>
      </c>
      <c r="B2860" s="26">
        <v>45641.0</v>
      </c>
      <c r="C2860" s="25">
        <v>36.0</v>
      </c>
      <c r="D2860" s="25">
        <v>35.0</v>
      </c>
      <c r="E2860" s="25">
        <v>1.0</v>
      </c>
      <c r="F2860" s="25">
        <v>2.0</v>
      </c>
      <c r="G2860" s="27" t="s">
        <v>24</v>
      </c>
    </row>
    <row r="2861" ht="22.5" customHeight="1">
      <c r="A2861" s="25">
        <v>409.0</v>
      </c>
      <c r="B2861" s="26">
        <v>45641.0</v>
      </c>
      <c r="C2861" s="25">
        <v>34.0</v>
      </c>
      <c r="D2861" s="25">
        <v>27.0</v>
      </c>
      <c r="E2861" s="25">
        <v>6.0</v>
      </c>
      <c r="F2861" s="25">
        <v>4.0</v>
      </c>
      <c r="G2861" s="27" t="s">
        <v>24</v>
      </c>
    </row>
    <row r="2862" ht="22.5" customHeight="1">
      <c r="A2862" s="25">
        <v>1146.0</v>
      </c>
      <c r="B2862" s="26">
        <v>45641.0</v>
      </c>
      <c r="C2862" s="25">
        <v>187.0</v>
      </c>
      <c r="D2862" s="25">
        <v>28.0</v>
      </c>
      <c r="E2862" s="25">
        <v>3.0</v>
      </c>
      <c r="F2862" s="25">
        <v>5.0</v>
      </c>
      <c r="G2862" s="27" t="s">
        <v>24</v>
      </c>
    </row>
    <row r="2863" ht="22.5" customHeight="1">
      <c r="A2863" s="25">
        <v>1457.0</v>
      </c>
      <c r="B2863" s="26">
        <v>45641.0</v>
      </c>
      <c r="C2863" s="25">
        <v>284.0</v>
      </c>
      <c r="D2863" s="25">
        <v>37.0</v>
      </c>
      <c r="E2863" s="25">
        <v>1.0</v>
      </c>
      <c r="F2863" s="25">
        <v>4.0</v>
      </c>
      <c r="G2863" s="27" t="s">
        <v>24</v>
      </c>
    </row>
    <row r="2864" ht="22.5" customHeight="1">
      <c r="A2864" s="25">
        <v>1631.0</v>
      </c>
      <c r="B2864" s="26">
        <v>45641.0</v>
      </c>
      <c r="C2864" s="25">
        <v>189.0</v>
      </c>
      <c r="D2864" s="25">
        <v>36.0</v>
      </c>
      <c r="E2864" s="25">
        <v>1.0</v>
      </c>
      <c r="F2864" s="25">
        <v>5.0</v>
      </c>
      <c r="G2864" s="27" t="s">
        <v>25</v>
      </c>
    </row>
    <row r="2865" ht="22.5" customHeight="1">
      <c r="A2865" s="25">
        <v>1918.0</v>
      </c>
      <c r="B2865" s="26">
        <v>45641.0</v>
      </c>
      <c r="C2865" s="25">
        <v>216.0</v>
      </c>
      <c r="D2865" s="25">
        <v>3.0</v>
      </c>
      <c r="E2865" s="25">
        <v>5.0</v>
      </c>
      <c r="F2865" s="25">
        <v>4.0</v>
      </c>
      <c r="G2865" s="27" t="s">
        <v>25</v>
      </c>
    </row>
    <row r="2866" ht="22.5" customHeight="1">
      <c r="A2866" s="25">
        <v>138.0</v>
      </c>
      <c r="B2866" s="26">
        <v>45642.0</v>
      </c>
      <c r="C2866" s="25">
        <v>148.0</v>
      </c>
      <c r="D2866" s="25">
        <v>19.0</v>
      </c>
      <c r="E2866" s="25">
        <v>5.0</v>
      </c>
      <c r="F2866" s="25">
        <v>5.0</v>
      </c>
      <c r="G2866" s="27" t="s">
        <v>24</v>
      </c>
    </row>
    <row r="2867" ht="22.5" customHeight="1">
      <c r="A2867" s="25">
        <v>332.0</v>
      </c>
      <c r="B2867" s="26">
        <v>45642.0</v>
      </c>
      <c r="C2867" s="25">
        <v>309.0</v>
      </c>
      <c r="D2867" s="25">
        <v>14.0</v>
      </c>
      <c r="E2867" s="25">
        <v>3.0</v>
      </c>
      <c r="F2867" s="25">
        <v>5.0</v>
      </c>
      <c r="G2867" s="27" t="s">
        <v>24</v>
      </c>
    </row>
    <row r="2868" ht="22.5" customHeight="1">
      <c r="A2868" s="25">
        <v>334.0</v>
      </c>
      <c r="B2868" s="26">
        <v>45642.0</v>
      </c>
      <c r="C2868" s="25">
        <v>286.0</v>
      </c>
      <c r="D2868" s="25">
        <v>24.0</v>
      </c>
      <c r="E2868" s="25">
        <v>4.0</v>
      </c>
      <c r="F2868" s="25">
        <v>1.0</v>
      </c>
      <c r="G2868" s="27" t="s">
        <v>25</v>
      </c>
    </row>
    <row r="2869" ht="22.5" customHeight="1">
      <c r="A2869" s="25">
        <v>352.0</v>
      </c>
      <c r="B2869" s="26">
        <v>45642.0</v>
      </c>
      <c r="C2869" s="25">
        <v>286.0</v>
      </c>
      <c r="D2869" s="25">
        <v>25.0</v>
      </c>
      <c r="E2869" s="25">
        <v>6.0</v>
      </c>
      <c r="F2869" s="25">
        <v>5.0</v>
      </c>
      <c r="G2869" s="27" t="s">
        <v>24</v>
      </c>
    </row>
    <row r="2870" ht="22.5" customHeight="1">
      <c r="A2870" s="25">
        <v>355.0</v>
      </c>
      <c r="B2870" s="26">
        <v>45642.0</v>
      </c>
      <c r="C2870" s="25">
        <v>308.0</v>
      </c>
      <c r="D2870" s="25">
        <v>25.0</v>
      </c>
      <c r="E2870" s="25">
        <v>5.0</v>
      </c>
      <c r="F2870" s="25">
        <v>5.0</v>
      </c>
      <c r="G2870" s="27" t="s">
        <v>24</v>
      </c>
    </row>
    <row r="2871" ht="22.5" customHeight="1">
      <c r="A2871" s="25">
        <v>360.0</v>
      </c>
      <c r="B2871" s="26">
        <v>45642.0</v>
      </c>
      <c r="C2871" s="25">
        <v>139.0</v>
      </c>
      <c r="D2871" s="25">
        <v>12.0</v>
      </c>
      <c r="E2871" s="25">
        <v>1.0</v>
      </c>
      <c r="F2871" s="25">
        <v>4.0</v>
      </c>
      <c r="G2871" s="27" t="s">
        <v>24</v>
      </c>
    </row>
    <row r="2872" ht="22.5" customHeight="1">
      <c r="A2872" s="25">
        <v>389.0</v>
      </c>
      <c r="B2872" s="26">
        <v>45642.0</v>
      </c>
      <c r="C2872" s="25">
        <v>174.0</v>
      </c>
      <c r="D2872" s="25">
        <v>7.0</v>
      </c>
      <c r="E2872" s="25">
        <v>4.0</v>
      </c>
      <c r="F2872" s="25">
        <v>1.0</v>
      </c>
      <c r="G2872" s="27" t="s">
        <v>24</v>
      </c>
    </row>
    <row r="2873" ht="22.5" customHeight="1">
      <c r="A2873" s="25">
        <v>504.0</v>
      </c>
      <c r="B2873" s="26">
        <v>45642.0</v>
      </c>
      <c r="C2873" s="25">
        <v>179.0</v>
      </c>
      <c r="D2873" s="25">
        <v>18.0</v>
      </c>
      <c r="E2873" s="25">
        <v>6.0</v>
      </c>
      <c r="F2873" s="25">
        <v>5.0</v>
      </c>
      <c r="G2873" s="27" t="s">
        <v>24</v>
      </c>
    </row>
    <row r="2874" ht="22.5" customHeight="1">
      <c r="A2874" s="25">
        <v>589.0</v>
      </c>
      <c r="B2874" s="26">
        <v>45642.0</v>
      </c>
      <c r="C2874" s="25">
        <v>159.0</v>
      </c>
      <c r="D2874" s="25">
        <v>16.0</v>
      </c>
      <c r="E2874" s="25">
        <v>4.0</v>
      </c>
      <c r="F2874" s="25">
        <v>3.0</v>
      </c>
      <c r="G2874" s="27" t="s">
        <v>24</v>
      </c>
    </row>
    <row r="2875" ht="22.5" customHeight="1">
      <c r="A2875" s="25">
        <v>961.0</v>
      </c>
      <c r="B2875" s="26">
        <v>45642.0</v>
      </c>
      <c r="C2875" s="25">
        <v>154.0</v>
      </c>
      <c r="D2875" s="25">
        <v>15.0</v>
      </c>
      <c r="E2875" s="25">
        <v>3.0</v>
      </c>
      <c r="F2875" s="25">
        <v>5.0</v>
      </c>
      <c r="G2875" s="27" t="s">
        <v>24</v>
      </c>
    </row>
    <row r="2876" ht="22.5" customHeight="1">
      <c r="A2876" s="25">
        <v>1856.0</v>
      </c>
      <c r="B2876" s="26">
        <v>45642.0</v>
      </c>
      <c r="C2876" s="25">
        <v>151.0</v>
      </c>
      <c r="D2876" s="25">
        <v>13.0</v>
      </c>
      <c r="E2876" s="25">
        <v>6.0</v>
      </c>
      <c r="F2876" s="25">
        <v>1.0</v>
      </c>
      <c r="G2876" s="27" t="s">
        <v>24</v>
      </c>
    </row>
    <row r="2877" ht="22.5" customHeight="1">
      <c r="A2877" s="25">
        <v>1940.0</v>
      </c>
      <c r="B2877" s="26">
        <v>45642.0</v>
      </c>
      <c r="C2877" s="25">
        <v>87.0</v>
      </c>
      <c r="D2877" s="25">
        <v>28.0</v>
      </c>
      <c r="E2877" s="25">
        <v>5.0</v>
      </c>
      <c r="F2877" s="25">
        <v>5.0</v>
      </c>
      <c r="G2877" s="27" t="s">
        <v>24</v>
      </c>
    </row>
    <row r="2878" ht="22.5" customHeight="1">
      <c r="A2878" s="25">
        <v>2016.0</v>
      </c>
      <c r="B2878" s="26">
        <v>45642.0</v>
      </c>
      <c r="C2878" s="25">
        <v>58.0</v>
      </c>
      <c r="D2878" s="25">
        <v>34.0</v>
      </c>
      <c r="E2878" s="25">
        <v>3.0</v>
      </c>
      <c r="F2878" s="25">
        <v>1.0</v>
      </c>
      <c r="G2878" s="27" t="s">
        <v>24</v>
      </c>
    </row>
    <row r="2879" ht="22.5" customHeight="1">
      <c r="A2879" s="25">
        <v>1047.0</v>
      </c>
      <c r="B2879" s="26">
        <v>45643.0</v>
      </c>
      <c r="C2879" s="25">
        <v>235.0</v>
      </c>
      <c r="D2879" s="25">
        <v>7.0</v>
      </c>
      <c r="E2879" s="25">
        <v>2.0</v>
      </c>
      <c r="F2879" s="25">
        <v>4.0</v>
      </c>
      <c r="G2879" s="27" t="s">
        <v>25</v>
      </c>
    </row>
    <row r="2880" ht="22.5" customHeight="1">
      <c r="A2880" s="25">
        <v>1629.0</v>
      </c>
      <c r="B2880" s="26">
        <v>45643.0</v>
      </c>
      <c r="C2880" s="25">
        <v>130.0</v>
      </c>
      <c r="D2880" s="25">
        <v>6.0</v>
      </c>
      <c r="E2880" s="25">
        <v>4.0</v>
      </c>
      <c r="F2880" s="25">
        <v>3.0</v>
      </c>
      <c r="G2880" s="27" t="s">
        <v>24</v>
      </c>
    </row>
    <row r="2881" ht="22.5" customHeight="1">
      <c r="A2881" s="25">
        <v>1720.0</v>
      </c>
      <c r="B2881" s="26">
        <v>45643.0</v>
      </c>
      <c r="C2881" s="25">
        <v>316.0</v>
      </c>
      <c r="D2881" s="25">
        <v>9.0</v>
      </c>
      <c r="E2881" s="25">
        <v>4.0</v>
      </c>
      <c r="F2881" s="25">
        <v>4.0</v>
      </c>
      <c r="G2881" s="27" t="s">
        <v>24</v>
      </c>
    </row>
    <row r="2882" ht="22.5" customHeight="1">
      <c r="A2882" s="25">
        <v>1781.0</v>
      </c>
      <c r="B2882" s="26">
        <v>45643.0</v>
      </c>
      <c r="C2882" s="25">
        <v>177.0</v>
      </c>
      <c r="D2882" s="25">
        <v>15.0</v>
      </c>
      <c r="E2882" s="25">
        <v>1.0</v>
      </c>
      <c r="F2882" s="25">
        <v>4.0</v>
      </c>
      <c r="G2882" s="27" t="s">
        <v>24</v>
      </c>
    </row>
    <row r="2883" ht="22.5" customHeight="1">
      <c r="A2883" s="25">
        <v>2421.0</v>
      </c>
      <c r="B2883" s="26">
        <v>45643.0</v>
      </c>
      <c r="C2883" s="25">
        <v>268.0</v>
      </c>
      <c r="D2883" s="25">
        <v>36.0</v>
      </c>
      <c r="E2883" s="25">
        <v>2.0</v>
      </c>
      <c r="F2883" s="25">
        <v>4.0</v>
      </c>
      <c r="G2883" s="27" t="s">
        <v>24</v>
      </c>
    </row>
    <row r="2884" ht="22.5" customHeight="1">
      <c r="A2884" s="25">
        <v>157.0</v>
      </c>
      <c r="B2884" s="26">
        <v>45644.0</v>
      </c>
      <c r="C2884" s="25">
        <v>179.0</v>
      </c>
      <c r="D2884" s="25">
        <v>18.0</v>
      </c>
      <c r="E2884" s="25">
        <v>1.0</v>
      </c>
      <c r="F2884" s="25">
        <v>4.0</v>
      </c>
      <c r="G2884" s="27" t="s">
        <v>25</v>
      </c>
    </row>
    <row r="2885" ht="22.5" customHeight="1">
      <c r="A2885" s="25">
        <v>429.0</v>
      </c>
      <c r="B2885" s="26">
        <v>45644.0</v>
      </c>
      <c r="C2885" s="25">
        <v>10.0</v>
      </c>
      <c r="D2885" s="25">
        <v>28.0</v>
      </c>
      <c r="E2885" s="25">
        <v>3.0</v>
      </c>
      <c r="F2885" s="25">
        <v>2.0</v>
      </c>
      <c r="G2885" s="27" t="s">
        <v>24</v>
      </c>
    </row>
    <row r="2886" ht="22.5" customHeight="1">
      <c r="A2886" s="25">
        <v>567.0</v>
      </c>
      <c r="B2886" s="26">
        <v>45644.0</v>
      </c>
      <c r="C2886" s="25">
        <v>255.0</v>
      </c>
      <c r="D2886" s="25">
        <v>35.0</v>
      </c>
      <c r="E2886" s="25">
        <v>5.0</v>
      </c>
      <c r="F2886" s="25">
        <v>5.0</v>
      </c>
      <c r="G2886" s="27" t="s">
        <v>24</v>
      </c>
    </row>
    <row r="2887" ht="22.5" customHeight="1">
      <c r="A2887" s="25">
        <v>1478.0</v>
      </c>
      <c r="B2887" s="26">
        <v>45644.0</v>
      </c>
      <c r="C2887" s="25">
        <v>40.0</v>
      </c>
      <c r="D2887" s="25">
        <v>2.0</v>
      </c>
      <c r="E2887" s="25">
        <v>6.0</v>
      </c>
      <c r="F2887" s="25">
        <v>1.0</v>
      </c>
      <c r="G2887" s="27" t="s">
        <v>24</v>
      </c>
    </row>
    <row r="2888" ht="22.5" customHeight="1">
      <c r="A2888" s="25">
        <v>1886.0</v>
      </c>
      <c r="B2888" s="26">
        <v>45644.0</v>
      </c>
      <c r="C2888" s="25">
        <v>68.0</v>
      </c>
      <c r="D2888" s="25">
        <v>7.0</v>
      </c>
      <c r="E2888" s="25">
        <v>3.0</v>
      </c>
      <c r="F2888" s="25">
        <v>5.0</v>
      </c>
      <c r="G2888" s="27" t="s">
        <v>25</v>
      </c>
    </row>
    <row r="2889" ht="22.5" customHeight="1">
      <c r="A2889" s="25">
        <v>2088.0</v>
      </c>
      <c r="B2889" s="26">
        <v>45644.0</v>
      </c>
      <c r="C2889" s="25">
        <v>70.0</v>
      </c>
      <c r="D2889" s="25">
        <v>23.0</v>
      </c>
      <c r="E2889" s="25">
        <v>4.0</v>
      </c>
      <c r="F2889" s="25">
        <v>5.0</v>
      </c>
      <c r="G2889" s="27" t="s">
        <v>24</v>
      </c>
    </row>
    <row r="2890" ht="22.5" customHeight="1">
      <c r="A2890" s="25">
        <v>2319.0</v>
      </c>
      <c r="B2890" s="26">
        <v>45644.0</v>
      </c>
      <c r="C2890" s="25">
        <v>199.0</v>
      </c>
      <c r="D2890" s="25">
        <v>11.0</v>
      </c>
      <c r="E2890" s="25">
        <v>6.0</v>
      </c>
      <c r="F2890" s="25">
        <v>5.0</v>
      </c>
      <c r="G2890" s="27" t="s">
        <v>24</v>
      </c>
    </row>
    <row r="2891" ht="22.5" customHeight="1">
      <c r="A2891" s="25">
        <v>2419.0</v>
      </c>
      <c r="B2891" s="26">
        <v>45644.0</v>
      </c>
      <c r="C2891" s="25">
        <v>134.0</v>
      </c>
      <c r="D2891" s="25">
        <v>5.0</v>
      </c>
      <c r="E2891" s="25">
        <v>2.0</v>
      </c>
      <c r="F2891" s="25">
        <v>4.0</v>
      </c>
      <c r="G2891" s="27" t="s">
        <v>24</v>
      </c>
    </row>
    <row r="2892" ht="22.5" customHeight="1">
      <c r="A2892" s="25">
        <v>2466.0</v>
      </c>
      <c r="B2892" s="26">
        <v>45644.0</v>
      </c>
      <c r="C2892" s="25">
        <v>201.0</v>
      </c>
      <c r="D2892" s="25">
        <v>2.0</v>
      </c>
      <c r="E2892" s="25">
        <v>6.0</v>
      </c>
      <c r="F2892" s="25">
        <v>1.0</v>
      </c>
      <c r="G2892" s="27" t="s">
        <v>24</v>
      </c>
    </row>
    <row r="2893" ht="22.5" customHeight="1">
      <c r="A2893" s="25">
        <v>55.0</v>
      </c>
      <c r="B2893" s="26">
        <v>45645.0</v>
      </c>
      <c r="C2893" s="25">
        <v>264.0</v>
      </c>
      <c r="D2893" s="25">
        <v>11.0</v>
      </c>
      <c r="E2893" s="25">
        <v>4.0</v>
      </c>
      <c r="F2893" s="25">
        <v>1.0</v>
      </c>
      <c r="G2893" s="27" t="s">
        <v>24</v>
      </c>
    </row>
    <row r="2894" ht="22.5" customHeight="1">
      <c r="A2894" s="25">
        <v>213.0</v>
      </c>
      <c r="B2894" s="26">
        <v>45645.0</v>
      </c>
      <c r="C2894" s="25">
        <v>322.0</v>
      </c>
      <c r="D2894" s="25">
        <v>21.0</v>
      </c>
      <c r="E2894" s="25">
        <v>4.0</v>
      </c>
      <c r="F2894" s="25">
        <v>4.0</v>
      </c>
      <c r="G2894" s="27" t="s">
        <v>24</v>
      </c>
    </row>
    <row r="2895" ht="22.5" customHeight="1">
      <c r="A2895" s="25">
        <v>377.0</v>
      </c>
      <c r="B2895" s="26">
        <v>45645.0</v>
      </c>
      <c r="C2895" s="25">
        <v>262.0</v>
      </c>
      <c r="D2895" s="25">
        <v>12.0</v>
      </c>
      <c r="E2895" s="25">
        <v>3.0</v>
      </c>
      <c r="F2895" s="25">
        <v>2.0</v>
      </c>
      <c r="G2895" s="27" t="s">
        <v>25</v>
      </c>
    </row>
    <row r="2896" ht="22.5" customHeight="1">
      <c r="A2896" s="25">
        <v>384.0</v>
      </c>
      <c r="B2896" s="26">
        <v>45645.0</v>
      </c>
      <c r="C2896" s="25">
        <v>146.0</v>
      </c>
      <c r="D2896" s="25">
        <v>3.0</v>
      </c>
      <c r="E2896" s="25">
        <v>6.0</v>
      </c>
      <c r="F2896" s="25">
        <v>4.0</v>
      </c>
      <c r="G2896" s="27" t="s">
        <v>24</v>
      </c>
    </row>
    <row r="2897" ht="22.5" customHeight="1">
      <c r="A2897" s="25">
        <v>868.0</v>
      </c>
      <c r="B2897" s="26">
        <v>45645.0</v>
      </c>
      <c r="C2897" s="25">
        <v>287.0</v>
      </c>
      <c r="D2897" s="25">
        <v>12.0</v>
      </c>
      <c r="E2897" s="25">
        <v>1.0</v>
      </c>
      <c r="F2897" s="25">
        <v>5.0</v>
      </c>
      <c r="G2897" s="27" t="s">
        <v>24</v>
      </c>
    </row>
    <row r="2898" ht="22.5" customHeight="1">
      <c r="A2898" s="25">
        <v>914.0</v>
      </c>
      <c r="B2898" s="26">
        <v>45645.0</v>
      </c>
      <c r="C2898" s="25">
        <v>203.0</v>
      </c>
      <c r="D2898" s="25">
        <v>16.0</v>
      </c>
      <c r="E2898" s="25">
        <v>2.0</v>
      </c>
      <c r="F2898" s="25">
        <v>4.0</v>
      </c>
      <c r="G2898" s="27" t="s">
        <v>25</v>
      </c>
    </row>
    <row r="2899" ht="22.5" customHeight="1">
      <c r="A2899" s="25">
        <v>999.0</v>
      </c>
      <c r="B2899" s="26">
        <v>45645.0</v>
      </c>
      <c r="C2899" s="25">
        <v>155.0</v>
      </c>
      <c r="D2899" s="25">
        <v>38.0</v>
      </c>
      <c r="E2899" s="25">
        <v>4.0</v>
      </c>
      <c r="F2899" s="25">
        <v>3.0</v>
      </c>
      <c r="G2899" s="27" t="s">
        <v>24</v>
      </c>
    </row>
    <row r="2900" ht="22.5" customHeight="1">
      <c r="A2900" s="25">
        <v>1126.0</v>
      </c>
      <c r="B2900" s="26">
        <v>45645.0</v>
      </c>
      <c r="C2900" s="25">
        <v>315.0</v>
      </c>
      <c r="D2900" s="25">
        <v>34.0</v>
      </c>
      <c r="E2900" s="25">
        <v>1.0</v>
      </c>
      <c r="F2900" s="25">
        <v>2.0</v>
      </c>
      <c r="G2900" s="27" t="s">
        <v>24</v>
      </c>
    </row>
    <row r="2901" ht="22.5" customHeight="1">
      <c r="A2901" s="25">
        <v>1359.0</v>
      </c>
      <c r="B2901" s="26">
        <v>45645.0</v>
      </c>
      <c r="C2901" s="25">
        <v>118.0</v>
      </c>
      <c r="D2901" s="25">
        <v>14.0</v>
      </c>
      <c r="E2901" s="25">
        <v>3.0</v>
      </c>
      <c r="F2901" s="25">
        <v>4.0</v>
      </c>
      <c r="G2901" s="27" t="s">
        <v>24</v>
      </c>
    </row>
    <row r="2902" ht="22.5" customHeight="1">
      <c r="A2902" s="25">
        <v>1642.0</v>
      </c>
      <c r="B2902" s="26">
        <v>45645.0</v>
      </c>
      <c r="C2902" s="25">
        <v>172.0</v>
      </c>
      <c r="D2902" s="25">
        <v>22.0</v>
      </c>
      <c r="E2902" s="25">
        <v>4.0</v>
      </c>
      <c r="F2902" s="25">
        <v>2.0</v>
      </c>
      <c r="G2902" s="27" t="s">
        <v>24</v>
      </c>
    </row>
    <row r="2903" ht="22.5" customHeight="1">
      <c r="A2903" s="25">
        <v>1660.0</v>
      </c>
      <c r="B2903" s="26">
        <v>45645.0</v>
      </c>
      <c r="C2903" s="25">
        <v>313.0</v>
      </c>
      <c r="D2903" s="25">
        <v>17.0</v>
      </c>
      <c r="E2903" s="25">
        <v>1.0</v>
      </c>
      <c r="F2903" s="25">
        <v>2.0</v>
      </c>
      <c r="G2903" s="27" t="s">
        <v>24</v>
      </c>
    </row>
    <row r="2904" ht="22.5" customHeight="1">
      <c r="A2904" s="25">
        <v>1724.0</v>
      </c>
      <c r="B2904" s="26">
        <v>45645.0</v>
      </c>
      <c r="C2904" s="25">
        <v>252.0</v>
      </c>
      <c r="D2904" s="25">
        <v>29.0</v>
      </c>
      <c r="E2904" s="25">
        <v>6.0</v>
      </c>
      <c r="F2904" s="25">
        <v>4.0</v>
      </c>
      <c r="G2904" s="27" t="s">
        <v>24</v>
      </c>
    </row>
    <row r="2905" ht="22.5" customHeight="1">
      <c r="A2905" s="25">
        <v>1807.0</v>
      </c>
      <c r="B2905" s="26">
        <v>45645.0</v>
      </c>
      <c r="C2905" s="25">
        <v>205.0</v>
      </c>
      <c r="D2905" s="25">
        <v>29.0</v>
      </c>
      <c r="E2905" s="25">
        <v>5.0</v>
      </c>
      <c r="F2905" s="25">
        <v>5.0</v>
      </c>
      <c r="G2905" s="27" t="s">
        <v>24</v>
      </c>
    </row>
    <row r="2906" ht="22.5" customHeight="1">
      <c r="A2906" s="25">
        <v>2358.0</v>
      </c>
      <c r="B2906" s="26">
        <v>45645.0</v>
      </c>
      <c r="C2906" s="25">
        <v>316.0</v>
      </c>
      <c r="D2906" s="25">
        <v>28.0</v>
      </c>
      <c r="E2906" s="25">
        <v>1.0</v>
      </c>
      <c r="F2906" s="25">
        <v>5.0</v>
      </c>
      <c r="G2906" s="27" t="s">
        <v>24</v>
      </c>
    </row>
    <row r="2907" ht="22.5" customHeight="1">
      <c r="A2907" s="25">
        <v>396.0</v>
      </c>
      <c r="B2907" s="26">
        <v>45646.0</v>
      </c>
      <c r="C2907" s="25">
        <v>295.0</v>
      </c>
      <c r="D2907" s="25">
        <v>1.0</v>
      </c>
      <c r="E2907" s="25">
        <v>5.0</v>
      </c>
      <c r="F2907" s="25">
        <v>3.0</v>
      </c>
      <c r="G2907" s="27" t="s">
        <v>24</v>
      </c>
    </row>
    <row r="2908" ht="22.5" customHeight="1">
      <c r="A2908" s="25">
        <v>1389.0</v>
      </c>
      <c r="B2908" s="26">
        <v>45646.0</v>
      </c>
      <c r="C2908" s="25">
        <v>78.0</v>
      </c>
      <c r="D2908" s="25">
        <v>6.0</v>
      </c>
      <c r="E2908" s="25">
        <v>3.0</v>
      </c>
      <c r="F2908" s="25">
        <v>5.0</v>
      </c>
      <c r="G2908" s="27" t="s">
        <v>24</v>
      </c>
    </row>
    <row r="2909" ht="22.5" customHeight="1">
      <c r="A2909" s="25">
        <v>1451.0</v>
      </c>
      <c r="B2909" s="26">
        <v>45646.0</v>
      </c>
      <c r="C2909" s="25">
        <v>131.0</v>
      </c>
      <c r="D2909" s="25">
        <v>27.0</v>
      </c>
      <c r="E2909" s="25">
        <v>5.0</v>
      </c>
      <c r="F2909" s="25">
        <v>5.0</v>
      </c>
      <c r="G2909" s="27" t="s">
        <v>24</v>
      </c>
    </row>
    <row r="2910" ht="22.5" customHeight="1">
      <c r="A2910" s="25">
        <v>2096.0</v>
      </c>
      <c r="B2910" s="26">
        <v>45646.0</v>
      </c>
      <c r="C2910" s="25">
        <v>308.0</v>
      </c>
      <c r="D2910" s="25">
        <v>25.0</v>
      </c>
      <c r="E2910" s="25">
        <v>5.0</v>
      </c>
      <c r="F2910" s="25">
        <v>2.0</v>
      </c>
      <c r="G2910" s="27" t="s">
        <v>24</v>
      </c>
    </row>
    <row r="2911" ht="22.5" customHeight="1">
      <c r="A2911" s="25">
        <v>2283.0</v>
      </c>
      <c r="B2911" s="26">
        <v>45646.0</v>
      </c>
      <c r="C2911" s="25">
        <v>113.0</v>
      </c>
      <c r="D2911" s="25">
        <v>6.0</v>
      </c>
      <c r="E2911" s="25">
        <v>5.0</v>
      </c>
      <c r="F2911" s="25">
        <v>2.0</v>
      </c>
      <c r="G2911" s="27" t="s">
        <v>24</v>
      </c>
    </row>
    <row r="2912" ht="22.5" customHeight="1">
      <c r="A2912" s="25">
        <v>2400.0</v>
      </c>
      <c r="B2912" s="26">
        <v>45646.0</v>
      </c>
      <c r="C2912" s="25">
        <v>166.0</v>
      </c>
      <c r="D2912" s="25">
        <v>38.0</v>
      </c>
      <c r="E2912" s="25">
        <v>6.0</v>
      </c>
      <c r="F2912" s="25">
        <v>1.0</v>
      </c>
      <c r="G2912" s="27" t="s">
        <v>24</v>
      </c>
    </row>
    <row r="2913" ht="22.5" customHeight="1">
      <c r="A2913" s="25">
        <v>106.0</v>
      </c>
      <c r="B2913" s="26">
        <v>45647.0</v>
      </c>
      <c r="C2913" s="25">
        <v>67.0</v>
      </c>
      <c r="D2913" s="25">
        <v>21.0</v>
      </c>
      <c r="E2913" s="25">
        <v>6.0</v>
      </c>
      <c r="F2913" s="25">
        <v>4.0</v>
      </c>
      <c r="G2913" s="27" t="s">
        <v>24</v>
      </c>
    </row>
    <row r="2914" ht="22.5" customHeight="1">
      <c r="A2914" s="25">
        <v>562.0</v>
      </c>
      <c r="B2914" s="26">
        <v>45647.0</v>
      </c>
      <c r="C2914" s="25">
        <v>248.0</v>
      </c>
      <c r="D2914" s="25">
        <v>13.0</v>
      </c>
      <c r="E2914" s="25">
        <v>1.0</v>
      </c>
      <c r="F2914" s="25">
        <v>5.0</v>
      </c>
      <c r="G2914" s="27" t="s">
        <v>24</v>
      </c>
    </row>
    <row r="2915" ht="22.5" customHeight="1">
      <c r="A2915" s="25">
        <v>748.0</v>
      </c>
      <c r="B2915" s="26">
        <v>45647.0</v>
      </c>
      <c r="C2915" s="25">
        <v>326.0</v>
      </c>
      <c r="D2915" s="25">
        <v>10.0</v>
      </c>
      <c r="E2915" s="25">
        <v>5.0</v>
      </c>
      <c r="F2915" s="25">
        <v>3.0</v>
      </c>
      <c r="G2915" s="27" t="s">
        <v>24</v>
      </c>
    </row>
    <row r="2916" ht="22.5" customHeight="1">
      <c r="A2916" s="25">
        <v>896.0</v>
      </c>
      <c r="B2916" s="26">
        <v>45647.0</v>
      </c>
      <c r="C2916" s="25">
        <v>190.0</v>
      </c>
      <c r="D2916" s="25">
        <v>37.0</v>
      </c>
      <c r="E2916" s="25">
        <v>3.0</v>
      </c>
      <c r="F2916" s="25">
        <v>4.0</v>
      </c>
      <c r="G2916" s="27" t="s">
        <v>24</v>
      </c>
    </row>
    <row r="2917" ht="22.5" customHeight="1">
      <c r="A2917" s="25">
        <v>925.0</v>
      </c>
      <c r="B2917" s="26">
        <v>45647.0</v>
      </c>
      <c r="C2917" s="25">
        <v>179.0</v>
      </c>
      <c r="D2917" s="25">
        <v>5.0</v>
      </c>
      <c r="E2917" s="25">
        <v>4.0</v>
      </c>
      <c r="F2917" s="25">
        <v>2.0</v>
      </c>
      <c r="G2917" s="27" t="s">
        <v>24</v>
      </c>
    </row>
    <row r="2918" ht="22.5" customHeight="1">
      <c r="A2918" s="25">
        <v>1163.0</v>
      </c>
      <c r="B2918" s="26">
        <v>45647.0</v>
      </c>
      <c r="C2918" s="25">
        <v>94.0</v>
      </c>
      <c r="D2918" s="25">
        <v>11.0</v>
      </c>
      <c r="E2918" s="25">
        <v>4.0</v>
      </c>
      <c r="F2918" s="25">
        <v>4.0</v>
      </c>
      <c r="G2918" s="27" t="s">
        <v>24</v>
      </c>
    </row>
    <row r="2919" ht="22.5" customHeight="1">
      <c r="A2919" s="25">
        <v>1403.0</v>
      </c>
      <c r="B2919" s="26">
        <v>45647.0</v>
      </c>
      <c r="C2919" s="25">
        <v>79.0</v>
      </c>
      <c r="D2919" s="25">
        <v>15.0</v>
      </c>
      <c r="E2919" s="25">
        <v>1.0</v>
      </c>
      <c r="F2919" s="25">
        <v>2.0</v>
      </c>
      <c r="G2919" s="27" t="s">
        <v>24</v>
      </c>
    </row>
    <row r="2920" ht="22.5" customHeight="1">
      <c r="A2920" s="25">
        <v>1548.0</v>
      </c>
      <c r="B2920" s="26">
        <v>45647.0</v>
      </c>
      <c r="C2920" s="25">
        <v>98.0</v>
      </c>
      <c r="D2920" s="25">
        <v>38.0</v>
      </c>
      <c r="E2920" s="25">
        <v>4.0</v>
      </c>
      <c r="F2920" s="25">
        <v>4.0</v>
      </c>
      <c r="G2920" s="27" t="s">
        <v>24</v>
      </c>
    </row>
    <row r="2921" ht="22.5" customHeight="1">
      <c r="A2921" s="25">
        <v>1650.0</v>
      </c>
      <c r="B2921" s="26">
        <v>45647.0</v>
      </c>
      <c r="C2921" s="25">
        <v>40.0</v>
      </c>
      <c r="D2921" s="25">
        <v>1.0</v>
      </c>
      <c r="E2921" s="25">
        <v>6.0</v>
      </c>
      <c r="F2921" s="25">
        <v>4.0</v>
      </c>
      <c r="G2921" s="27" t="s">
        <v>24</v>
      </c>
    </row>
    <row r="2922" ht="22.5" customHeight="1">
      <c r="A2922" s="25">
        <v>1825.0</v>
      </c>
      <c r="B2922" s="26">
        <v>45647.0</v>
      </c>
      <c r="C2922" s="25">
        <v>136.0</v>
      </c>
      <c r="D2922" s="25">
        <v>24.0</v>
      </c>
      <c r="E2922" s="25">
        <v>1.0</v>
      </c>
      <c r="F2922" s="25">
        <v>4.0</v>
      </c>
      <c r="G2922" s="27" t="s">
        <v>24</v>
      </c>
    </row>
    <row r="2923" ht="22.5" customHeight="1">
      <c r="A2923" s="25">
        <v>1861.0</v>
      </c>
      <c r="B2923" s="26">
        <v>45647.0</v>
      </c>
      <c r="C2923" s="25">
        <v>117.0</v>
      </c>
      <c r="D2923" s="25">
        <v>29.0</v>
      </c>
      <c r="E2923" s="25">
        <v>5.0</v>
      </c>
      <c r="F2923" s="25">
        <v>5.0</v>
      </c>
      <c r="G2923" s="27" t="s">
        <v>24</v>
      </c>
    </row>
    <row r="2924" ht="22.5" customHeight="1">
      <c r="A2924" s="25">
        <v>2734.0</v>
      </c>
      <c r="B2924" s="26">
        <v>45647.0</v>
      </c>
      <c r="C2924" s="25">
        <v>116.0</v>
      </c>
      <c r="D2924" s="25">
        <v>22.0</v>
      </c>
      <c r="E2924" s="25">
        <v>5.0</v>
      </c>
      <c r="F2924" s="25">
        <v>4.0</v>
      </c>
      <c r="G2924" s="27" t="s">
        <v>24</v>
      </c>
    </row>
    <row r="2925" ht="22.5" customHeight="1">
      <c r="A2925" s="25">
        <v>144.0</v>
      </c>
      <c r="B2925" s="26">
        <v>45648.0</v>
      </c>
      <c r="C2925" s="25">
        <v>47.0</v>
      </c>
      <c r="D2925" s="25">
        <v>10.0</v>
      </c>
      <c r="E2925" s="25">
        <v>1.0</v>
      </c>
      <c r="F2925" s="25">
        <v>4.0</v>
      </c>
      <c r="G2925" s="27" t="s">
        <v>25</v>
      </c>
    </row>
    <row r="2926" ht="22.5" customHeight="1">
      <c r="A2926" s="25">
        <v>933.0</v>
      </c>
      <c r="B2926" s="26">
        <v>45648.0</v>
      </c>
      <c r="C2926" s="25">
        <v>260.0</v>
      </c>
      <c r="D2926" s="25">
        <v>29.0</v>
      </c>
      <c r="E2926" s="25">
        <v>2.0</v>
      </c>
      <c r="F2926" s="25">
        <v>5.0</v>
      </c>
      <c r="G2926" s="27" t="s">
        <v>24</v>
      </c>
    </row>
    <row r="2927" ht="22.5" customHeight="1">
      <c r="A2927" s="25">
        <v>1160.0</v>
      </c>
      <c r="B2927" s="26">
        <v>45648.0</v>
      </c>
      <c r="C2927" s="25">
        <v>108.0</v>
      </c>
      <c r="D2927" s="25">
        <v>2.0</v>
      </c>
      <c r="E2927" s="25">
        <v>5.0</v>
      </c>
      <c r="F2927" s="25">
        <v>3.0</v>
      </c>
      <c r="G2927" s="27" t="s">
        <v>24</v>
      </c>
    </row>
    <row r="2928" ht="22.5" customHeight="1">
      <c r="A2928" s="25">
        <v>1525.0</v>
      </c>
      <c r="B2928" s="26">
        <v>45648.0</v>
      </c>
      <c r="C2928" s="25">
        <v>65.0</v>
      </c>
      <c r="D2928" s="25">
        <v>30.0</v>
      </c>
      <c r="E2928" s="25">
        <v>3.0</v>
      </c>
      <c r="F2928" s="25">
        <v>5.0</v>
      </c>
      <c r="G2928" s="27" t="s">
        <v>24</v>
      </c>
    </row>
    <row r="2929" ht="22.5" customHeight="1">
      <c r="A2929" s="25">
        <v>1779.0</v>
      </c>
      <c r="B2929" s="26">
        <v>45648.0</v>
      </c>
      <c r="C2929" s="25">
        <v>81.0</v>
      </c>
      <c r="D2929" s="25">
        <v>15.0</v>
      </c>
      <c r="E2929" s="25">
        <v>1.0</v>
      </c>
      <c r="F2929" s="25">
        <v>5.0</v>
      </c>
      <c r="G2929" s="27" t="s">
        <v>24</v>
      </c>
    </row>
    <row r="2930" ht="22.5" customHeight="1">
      <c r="A2930" s="25">
        <v>2189.0</v>
      </c>
      <c r="B2930" s="26">
        <v>45648.0</v>
      </c>
      <c r="C2930" s="25">
        <v>308.0</v>
      </c>
      <c r="D2930" s="25">
        <v>5.0</v>
      </c>
      <c r="E2930" s="25">
        <v>3.0</v>
      </c>
      <c r="F2930" s="25">
        <v>1.0</v>
      </c>
      <c r="G2930" s="27" t="s">
        <v>25</v>
      </c>
    </row>
    <row r="2931" ht="22.5" customHeight="1">
      <c r="A2931" s="25">
        <v>2259.0</v>
      </c>
      <c r="B2931" s="26">
        <v>45648.0</v>
      </c>
      <c r="C2931" s="25">
        <v>103.0</v>
      </c>
      <c r="D2931" s="25">
        <v>5.0</v>
      </c>
      <c r="E2931" s="25">
        <v>1.0</v>
      </c>
      <c r="F2931" s="25">
        <v>5.0</v>
      </c>
      <c r="G2931" s="27" t="s">
        <v>24</v>
      </c>
    </row>
    <row r="2932" ht="22.5" customHeight="1">
      <c r="A2932" s="25">
        <v>387.0</v>
      </c>
      <c r="B2932" s="26">
        <v>45649.0</v>
      </c>
      <c r="C2932" s="25">
        <v>180.0</v>
      </c>
      <c r="D2932" s="25">
        <v>17.0</v>
      </c>
      <c r="E2932" s="25">
        <v>2.0</v>
      </c>
      <c r="F2932" s="25">
        <v>3.0</v>
      </c>
      <c r="G2932" s="27" t="s">
        <v>24</v>
      </c>
    </row>
    <row r="2933" ht="22.5" customHeight="1">
      <c r="A2933" s="25">
        <v>571.0</v>
      </c>
      <c r="B2933" s="26">
        <v>45649.0</v>
      </c>
      <c r="C2933" s="25">
        <v>262.0</v>
      </c>
      <c r="D2933" s="25">
        <v>30.0</v>
      </c>
      <c r="E2933" s="25">
        <v>4.0</v>
      </c>
      <c r="F2933" s="25">
        <v>4.0</v>
      </c>
      <c r="G2933" s="27" t="s">
        <v>24</v>
      </c>
    </row>
    <row r="2934" ht="22.5" customHeight="1">
      <c r="A2934" s="25">
        <v>992.0</v>
      </c>
      <c r="B2934" s="26">
        <v>45649.0</v>
      </c>
      <c r="C2934" s="25">
        <v>283.0</v>
      </c>
      <c r="D2934" s="25">
        <v>35.0</v>
      </c>
      <c r="E2934" s="25">
        <v>5.0</v>
      </c>
      <c r="F2934" s="25">
        <v>3.0</v>
      </c>
      <c r="G2934" s="27" t="s">
        <v>24</v>
      </c>
    </row>
    <row r="2935" ht="22.5" customHeight="1">
      <c r="A2935" s="25">
        <v>1084.0</v>
      </c>
      <c r="B2935" s="26">
        <v>45649.0</v>
      </c>
      <c r="C2935" s="25">
        <v>70.0</v>
      </c>
      <c r="D2935" s="25">
        <v>14.0</v>
      </c>
      <c r="E2935" s="25">
        <v>4.0</v>
      </c>
      <c r="F2935" s="25">
        <v>4.0</v>
      </c>
      <c r="G2935" s="27" t="s">
        <v>24</v>
      </c>
    </row>
    <row r="2936" ht="22.5" customHeight="1">
      <c r="A2936" s="25">
        <v>1264.0</v>
      </c>
      <c r="B2936" s="26">
        <v>45649.0</v>
      </c>
      <c r="C2936" s="25">
        <v>188.0</v>
      </c>
      <c r="D2936" s="25">
        <v>16.0</v>
      </c>
      <c r="E2936" s="25">
        <v>5.0</v>
      </c>
      <c r="F2936" s="25">
        <v>1.0</v>
      </c>
      <c r="G2936" s="27" t="s">
        <v>25</v>
      </c>
    </row>
    <row r="2937" ht="22.5" customHeight="1">
      <c r="A2937" s="25">
        <v>1812.0</v>
      </c>
      <c r="B2937" s="26">
        <v>45649.0</v>
      </c>
      <c r="C2937" s="25">
        <v>97.0</v>
      </c>
      <c r="D2937" s="25">
        <v>13.0</v>
      </c>
      <c r="E2937" s="25">
        <v>6.0</v>
      </c>
      <c r="F2937" s="25">
        <v>5.0</v>
      </c>
      <c r="G2937" s="27" t="s">
        <v>24</v>
      </c>
    </row>
    <row r="2938" ht="22.5" customHeight="1">
      <c r="A2938" s="25">
        <v>2522.0</v>
      </c>
      <c r="B2938" s="26">
        <v>45649.0</v>
      </c>
      <c r="C2938" s="25">
        <v>110.0</v>
      </c>
      <c r="D2938" s="25">
        <v>25.0</v>
      </c>
      <c r="E2938" s="25">
        <v>3.0</v>
      </c>
      <c r="F2938" s="25">
        <v>4.0</v>
      </c>
      <c r="G2938" s="27" t="s">
        <v>24</v>
      </c>
    </row>
    <row r="2939" ht="22.5" customHeight="1">
      <c r="A2939" s="25">
        <v>75.0</v>
      </c>
      <c r="B2939" s="26">
        <v>45650.0</v>
      </c>
      <c r="C2939" s="25">
        <v>200.0</v>
      </c>
      <c r="D2939" s="25">
        <v>35.0</v>
      </c>
      <c r="E2939" s="25">
        <v>4.0</v>
      </c>
      <c r="F2939" s="25">
        <v>4.0</v>
      </c>
      <c r="G2939" s="27" t="s">
        <v>24</v>
      </c>
    </row>
    <row r="2940" ht="22.5" customHeight="1">
      <c r="A2940" s="25">
        <v>456.0</v>
      </c>
      <c r="B2940" s="26">
        <v>45650.0</v>
      </c>
      <c r="C2940" s="25">
        <v>105.0</v>
      </c>
      <c r="D2940" s="25">
        <v>4.0</v>
      </c>
      <c r="E2940" s="25">
        <v>2.0</v>
      </c>
      <c r="F2940" s="25">
        <v>3.0</v>
      </c>
      <c r="G2940" s="27" t="s">
        <v>24</v>
      </c>
    </row>
    <row r="2941" ht="22.5" customHeight="1">
      <c r="A2941" s="25">
        <v>749.0</v>
      </c>
      <c r="B2941" s="26">
        <v>45650.0</v>
      </c>
      <c r="C2941" s="25">
        <v>153.0</v>
      </c>
      <c r="D2941" s="25">
        <v>14.0</v>
      </c>
      <c r="E2941" s="25">
        <v>3.0</v>
      </c>
      <c r="F2941" s="25">
        <v>3.0</v>
      </c>
      <c r="G2941" s="27" t="s">
        <v>24</v>
      </c>
    </row>
    <row r="2942" ht="22.5" customHeight="1">
      <c r="A2942" s="25">
        <v>1065.0</v>
      </c>
      <c r="B2942" s="26">
        <v>45650.0</v>
      </c>
      <c r="C2942" s="25">
        <v>124.0</v>
      </c>
      <c r="D2942" s="25">
        <v>38.0</v>
      </c>
      <c r="E2942" s="25">
        <v>2.0</v>
      </c>
      <c r="F2942" s="25">
        <v>5.0</v>
      </c>
      <c r="G2942" s="27" t="s">
        <v>24</v>
      </c>
    </row>
    <row r="2943" ht="22.5" customHeight="1">
      <c r="A2943" s="25">
        <v>1301.0</v>
      </c>
      <c r="B2943" s="26">
        <v>45650.0</v>
      </c>
      <c r="C2943" s="25">
        <v>158.0</v>
      </c>
      <c r="D2943" s="25">
        <v>6.0</v>
      </c>
      <c r="E2943" s="25">
        <v>1.0</v>
      </c>
      <c r="F2943" s="25">
        <v>5.0</v>
      </c>
      <c r="G2943" s="27" t="s">
        <v>24</v>
      </c>
    </row>
    <row r="2944" ht="22.5" customHeight="1">
      <c r="A2944" s="25">
        <v>1492.0</v>
      </c>
      <c r="B2944" s="26">
        <v>45650.0</v>
      </c>
      <c r="C2944" s="25">
        <v>316.0</v>
      </c>
      <c r="D2944" s="25">
        <v>11.0</v>
      </c>
      <c r="E2944" s="25">
        <v>5.0</v>
      </c>
      <c r="F2944" s="25">
        <v>5.0</v>
      </c>
      <c r="G2944" s="27" t="s">
        <v>24</v>
      </c>
    </row>
    <row r="2945" ht="22.5" customHeight="1">
      <c r="A2945" s="25">
        <v>1736.0</v>
      </c>
      <c r="B2945" s="26">
        <v>45650.0</v>
      </c>
      <c r="C2945" s="25">
        <v>192.0</v>
      </c>
      <c r="D2945" s="25">
        <v>23.0</v>
      </c>
      <c r="E2945" s="25">
        <v>4.0</v>
      </c>
      <c r="F2945" s="25">
        <v>1.0</v>
      </c>
      <c r="G2945" s="27" t="s">
        <v>24</v>
      </c>
    </row>
    <row r="2946" ht="22.5" customHeight="1">
      <c r="A2946" s="25">
        <v>1877.0</v>
      </c>
      <c r="B2946" s="26">
        <v>45650.0</v>
      </c>
      <c r="C2946" s="25">
        <v>298.0</v>
      </c>
      <c r="D2946" s="25">
        <v>5.0</v>
      </c>
      <c r="E2946" s="25">
        <v>6.0</v>
      </c>
      <c r="F2946" s="25">
        <v>1.0</v>
      </c>
      <c r="G2946" s="27" t="s">
        <v>25</v>
      </c>
    </row>
    <row r="2947" ht="22.5" customHeight="1">
      <c r="A2947" s="25">
        <v>2003.0</v>
      </c>
      <c r="B2947" s="26">
        <v>45650.0</v>
      </c>
      <c r="C2947" s="25">
        <v>161.0</v>
      </c>
      <c r="D2947" s="25">
        <v>3.0</v>
      </c>
      <c r="E2947" s="25">
        <v>5.0</v>
      </c>
      <c r="F2947" s="25">
        <v>1.0</v>
      </c>
      <c r="G2947" s="27" t="s">
        <v>24</v>
      </c>
    </row>
    <row r="2948" ht="22.5" customHeight="1">
      <c r="A2948" s="25">
        <v>2160.0</v>
      </c>
      <c r="B2948" s="26">
        <v>45650.0</v>
      </c>
      <c r="C2948" s="25">
        <v>321.0</v>
      </c>
      <c r="D2948" s="25">
        <v>13.0</v>
      </c>
      <c r="E2948" s="25">
        <v>5.0</v>
      </c>
      <c r="F2948" s="25">
        <v>4.0</v>
      </c>
      <c r="G2948" s="27" t="s">
        <v>24</v>
      </c>
    </row>
    <row r="2949" ht="22.5" customHeight="1">
      <c r="A2949" s="25">
        <v>2219.0</v>
      </c>
      <c r="B2949" s="26">
        <v>45650.0</v>
      </c>
      <c r="C2949" s="25">
        <v>79.0</v>
      </c>
      <c r="D2949" s="25">
        <v>38.0</v>
      </c>
      <c r="E2949" s="25">
        <v>2.0</v>
      </c>
      <c r="F2949" s="25">
        <v>4.0</v>
      </c>
      <c r="G2949" s="27" t="s">
        <v>25</v>
      </c>
    </row>
    <row r="2950" ht="22.5" customHeight="1">
      <c r="A2950" s="25">
        <v>2453.0</v>
      </c>
      <c r="B2950" s="26">
        <v>45650.0</v>
      </c>
      <c r="C2950" s="25">
        <v>217.0</v>
      </c>
      <c r="D2950" s="25">
        <v>26.0</v>
      </c>
      <c r="E2950" s="25">
        <v>5.0</v>
      </c>
      <c r="F2950" s="25">
        <v>1.0</v>
      </c>
      <c r="G2950" s="27" t="s">
        <v>24</v>
      </c>
    </row>
    <row r="2951" ht="22.5" customHeight="1">
      <c r="A2951" s="25">
        <v>2518.0</v>
      </c>
      <c r="B2951" s="26">
        <v>45650.0</v>
      </c>
      <c r="C2951" s="25">
        <v>107.0</v>
      </c>
      <c r="D2951" s="25">
        <v>10.0</v>
      </c>
      <c r="E2951" s="25">
        <v>4.0</v>
      </c>
      <c r="F2951" s="25">
        <v>4.0</v>
      </c>
      <c r="G2951" s="27" t="s">
        <v>24</v>
      </c>
    </row>
    <row r="2952" ht="22.5" customHeight="1">
      <c r="A2952" s="25">
        <v>2699.0</v>
      </c>
      <c r="B2952" s="26">
        <v>45650.0</v>
      </c>
      <c r="C2952" s="25">
        <v>133.0</v>
      </c>
      <c r="D2952" s="25">
        <v>7.0</v>
      </c>
      <c r="E2952" s="25">
        <v>3.0</v>
      </c>
      <c r="F2952" s="25">
        <v>4.0</v>
      </c>
      <c r="G2952" s="27" t="s">
        <v>25</v>
      </c>
    </row>
    <row r="2953" ht="22.5" customHeight="1">
      <c r="A2953" s="25">
        <v>2747.0</v>
      </c>
      <c r="B2953" s="26">
        <v>45650.0</v>
      </c>
      <c r="C2953" s="25">
        <v>54.0</v>
      </c>
      <c r="D2953" s="25">
        <v>24.0</v>
      </c>
      <c r="E2953" s="25">
        <v>1.0</v>
      </c>
      <c r="F2953" s="25">
        <v>1.0</v>
      </c>
      <c r="G2953" s="27" t="s">
        <v>24</v>
      </c>
    </row>
    <row r="2954" ht="22.5" customHeight="1">
      <c r="A2954" s="25">
        <v>162.0</v>
      </c>
      <c r="B2954" s="26">
        <v>45651.0</v>
      </c>
      <c r="C2954" s="25">
        <v>319.0</v>
      </c>
      <c r="D2954" s="25">
        <v>16.0</v>
      </c>
      <c r="E2954" s="25">
        <v>5.0</v>
      </c>
      <c r="F2954" s="25">
        <v>3.0</v>
      </c>
      <c r="G2954" s="27" t="s">
        <v>24</v>
      </c>
    </row>
    <row r="2955" ht="22.5" customHeight="1">
      <c r="A2955" s="25">
        <v>870.0</v>
      </c>
      <c r="B2955" s="26">
        <v>45651.0</v>
      </c>
      <c r="C2955" s="25">
        <v>113.0</v>
      </c>
      <c r="D2955" s="25">
        <v>12.0</v>
      </c>
      <c r="E2955" s="25">
        <v>5.0</v>
      </c>
      <c r="F2955" s="25">
        <v>3.0</v>
      </c>
      <c r="G2955" s="27" t="s">
        <v>24</v>
      </c>
    </row>
    <row r="2956" ht="22.5" customHeight="1">
      <c r="A2956" s="25">
        <v>973.0</v>
      </c>
      <c r="B2956" s="26">
        <v>45651.0</v>
      </c>
      <c r="C2956" s="25">
        <v>162.0</v>
      </c>
      <c r="D2956" s="25">
        <v>21.0</v>
      </c>
      <c r="E2956" s="25">
        <v>6.0</v>
      </c>
      <c r="F2956" s="25">
        <v>5.0</v>
      </c>
      <c r="G2956" s="27" t="s">
        <v>24</v>
      </c>
    </row>
    <row r="2957" ht="22.5" customHeight="1">
      <c r="A2957" s="25">
        <v>1000.0</v>
      </c>
      <c r="B2957" s="26">
        <v>45651.0</v>
      </c>
      <c r="C2957" s="25">
        <v>151.0</v>
      </c>
      <c r="D2957" s="25">
        <v>35.0</v>
      </c>
      <c r="E2957" s="25">
        <v>3.0</v>
      </c>
      <c r="F2957" s="25">
        <v>3.0</v>
      </c>
      <c r="G2957" s="27" t="s">
        <v>24</v>
      </c>
    </row>
    <row r="2958" ht="22.5" customHeight="1">
      <c r="A2958" s="25">
        <v>1014.0</v>
      </c>
      <c r="B2958" s="26">
        <v>45651.0</v>
      </c>
      <c r="C2958" s="25">
        <v>54.0</v>
      </c>
      <c r="D2958" s="25">
        <v>38.0</v>
      </c>
      <c r="E2958" s="25">
        <v>6.0</v>
      </c>
      <c r="F2958" s="25">
        <v>1.0</v>
      </c>
      <c r="G2958" s="27" t="s">
        <v>24</v>
      </c>
    </row>
    <row r="2959" ht="22.5" customHeight="1">
      <c r="A2959" s="25">
        <v>1506.0</v>
      </c>
      <c r="B2959" s="26">
        <v>45651.0</v>
      </c>
      <c r="C2959" s="25">
        <v>144.0</v>
      </c>
      <c r="D2959" s="25">
        <v>8.0</v>
      </c>
      <c r="E2959" s="25">
        <v>2.0</v>
      </c>
      <c r="F2959" s="25">
        <v>5.0</v>
      </c>
      <c r="G2959" s="27" t="s">
        <v>24</v>
      </c>
    </row>
    <row r="2960" ht="22.5" customHeight="1">
      <c r="A2960" s="25">
        <v>1529.0</v>
      </c>
      <c r="B2960" s="26">
        <v>45651.0</v>
      </c>
      <c r="C2960" s="25">
        <v>232.0</v>
      </c>
      <c r="D2960" s="25">
        <v>3.0</v>
      </c>
      <c r="E2960" s="25">
        <v>6.0</v>
      </c>
      <c r="F2960" s="25">
        <v>1.0</v>
      </c>
      <c r="G2960" s="27" t="s">
        <v>24</v>
      </c>
    </row>
    <row r="2961" ht="22.5" customHeight="1">
      <c r="A2961" s="25">
        <v>1916.0</v>
      </c>
      <c r="B2961" s="26">
        <v>45651.0</v>
      </c>
      <c r="C2961" s="25">
        <v>98.0</v>
      </c>
      <c r="D2961" s="25">
        <v>30.0</v>
      </c>
      <c r="E2961" s="25">
        <v>4.0</v>
      </c>
      <c r="F2961" s="25">
        <v>4.0</v>
      </c>
      <c r="G2961" s="27" t="s">
        <v>24</v>
      </c>
    </row>
    <row r="2962" ht="22.5" customHeight="1">
      <c r="A2962" s="25">
        <v>1977.0</v>
      </c>
      <c r="B2962" s="26">
        <v>45651.0</v>
      </c>
      <c r="C2962" s="25">
        <v>36.0</v>
      </c>
      <c r="D2962" s="25">
        <v>38.0</v>
      </c>
      <c r="E2962" s="25">
        <v>5.0</v>
      </c>
      <c r="F2962" s="25">
        <v>5.0</v>
      </c>
      <c r="G2962" s="27" t="s">
        <v>24</v>
      </c>
    </row>
    <row r="2963" ht="22.5" customHeight="1">
      <c r="A2963" s="25">
        <v>2305.0</v>
      </c>
      <c r="B2963" s="26">
        <v>45651.0</v>
      </c>
      <c r="C2963" s="25">
        <v>109.0</v>
      </c>
      <c r="D2963" s="25">
        <v>27.0</v>
      </c>
      <c r="E2963" s="25">
        <v>6.0</v>
      </c>
      <c r="F2963" s="25">
        <v>4.0</v>
      </c>
      <c r="G2963" s="27" t="s">
        <v>24</v>
      </c>
    </row>
    <row r="2964" ht="22.5" customHeight="1">
      <c r="A2964" s="25">
        <v>2333.0</v>
      </c>
      <c r="B2964" s="26">
        <v>45651.0</v>
      </c>
      <c r="C2964" s="25">
        <v>304.0</v>
      </c>
      <c r="D2964" s="25">
        <v>10.0</v>
      </c>
      <c r="E2964" s="25">
        <v>6.0</v>
      </c>
      <c r="F2964" s="25">
        <v>3.0</v>
      </c>
      <c r="G2964" s="27" t="s">
        <v>24</v>
      </c>
    </row>
    <row r="2965" ht="22.5" customHeight="1">
      <c r="A2965" s="25">
        <v>9.0</v>
      </c>
      <c r="B2965" s="26">
        <v>45652.0</v>
      </c>
      <c r="C2965" s="25">
        <v>21.0</v>
      </c>
      <c r="D2965" s="25">
        <v>34.0</v>
      </c>
      <c r="E2965" s="25">
        <v>1.0</v>
      </c>
      <c r="F2965" s="25">
        <v>5.0</v>
      </c>
      <c r="G2965" s="27" t="s">
        <v>24</v>
      </c>
    </row>
    <row r="2966" ht="22.5" customHeight="1">
      <c r="A2966" s="25">
        <v>1241.0</v>
      </c>
      <c r="B2966" s="26">
        <v>45652.0</v>
      </c>
      <c r="C2966" s="25">
        <v>82.0</v>
      </c>
      <c r="D2966" s="25">
        <v>8.0</v>
      </c>
      <c r="E2966" s="25">
        <v>4.0</v>
      </c>
      <c r="F2966" s="25">
        <v>1.0</v>
      </c>
      <c r="G2966" s="27" t="s">
        <v>24</v>
      </c>
    </row>
    <row r="2967" ht="22.5" customHeight="1">
      <c r="A2967" s="25">
        <v>1487.0</v>
      </c>
      <c r="B2967" s="26">
        <v>45652.0</v>
      </c>
      <c r="C2967" s="25">
        <v>79.0</v>
      </c>
      <c r="D2967" s="25">
        <v>11.0</v>
      </c>
      <c r="E2967" s="25">
        <v>2.0</v>
      </c>
      <c r="F2967" s="25">
        <v>1.0</v>
      </c>
      <c r="G2967" s="27" t="s">
        <v>25</v>
      </c>
    </row>
    <row r="2968" ht="22.5" customHeight="1">
      <c r="A2968" s="25">
        <v>2188.0</v>
      </c>
      <c r="B2968" s="26">
        <v>45652.0</v>
      </c>
      <c r="C2968" s="25">
        <v>17.0</v>
      </c>
      <c r="D2968" s="25">
        <v>28.0</v>
      </c>
      <c r="E2968" s="25">
        <v>3.0</v>
      </c>
      <c r="F2968" s="25">
        <v>1.0</v>
      </c>
      <c r="G2968" s="27" t="s">
        <v>25</v>
      </c>
    </row>
    <row r="2969" ht="22.5" customHeight="1">
      <c r="A2969" s="25">
        <v>2350.0</v>
      </c>
      <c r="B2969" s="26">
        <v>45652.0</v>
      </c>
      <c r="C2969" s="25">
        <v>253.0</v>
      </c>
      <c r="D2969" s="25">
        <v>1.0</v>
      </c>
      <c r="E2969" s="25">
        <v>3.0</v>
      </c>
      <c r="F2969" s="25">
        <v>5.0</v>
      </c>
      <c r="G2969" s="27" t="s">
        <v>24</v>
      </c>
    </row>
    <row r="2970" ht="22.5" customHeight="1">
      <c r="A2970" s="25">
        <v>2775.0</v>
      </c>
      <c r="B2970" s="26">
        <v>45652.0</v>
      </c>
      <c r="C2970" s="25">
        <v>159.0</v>
      </c>
      <c r="D2970" s="25">
        <v>9.0</v>
      </c>
      <c r="E2970" s="25">
        <v>4.0</v>
      </c>
      <c r="F2970" s="25">
        <v>3.0</v>
      </c>
      <c r="G2970" s="27" t="s">
        <v>24</v>
      </c>
    </row>
    <row r="2971" ht="22.5" customHeight="1">
      <c r="A2971" s="25">
        <v>2850.0</v>
      </c>
      <c r="B2971" s="26">
        <v>45652.0</v>
      </c>
      <c r="C2971" s="25">
        <v>202.0</v>
      </c>
      <c r="D2971" s="25">
        <v>28.0</v>
      </c>
      <c r="E2971" s="25">
        <v>6.0</v>
      </c>
      <c r="F2971" s="25">
        <v>1.0</v>
      </c>
      <c r="G2971" s="27" t="s">
        <v>24</v>
      </c>
    </row>
    <row r="2972" ht="22.5" customHeight="1">
      <c r="A2972" s="25">
        <v>1076.0</v>
      </c>
      <c r="B2972" s="26">
        <v>45653.0</v>
      </c>
      <c r="C2972" s="25">
        <v>316.0</v>
      </c>
      <c r="D2972" s="25">
        <v>2.0</v>
      </c>
      <c r="E2972" s="25">
        <v>1.0</v>
      </c>
      <c r="F2972" s="25">
        <v>3.0</v>
      </c>
      <c r="G2972" s="27" t="s">
        <v>24</v>
      </c>
    </row>
    <row r="2973" ht="22.5" customHeight="1">
      <c r="A2973" s="25">
        <v>1344.0</v>
      </c>
      <c r="B2973" s="26">
        <v>45653.0</v>
      </c>
      <c r="C2973" s="25">
        <v>261.0</v>
      </c>
      <c r="D2973" s="25">
        <v>30.0</v>
      </c>
      <c r="E2973" s="25">
        <v>4.0</v>
      </c>
      <c r="F2973" s="25">
        <v>3.0</v>
      </c>
      <c r="G2973" s="27" t="s">
        <v>25</v>
      </c>
    </row>
    <row r="2974" ht="22.5" customHeight="1">
      <c r="A2974" s="25">
        <v>198.0</v>
      </c>
      <c r="B2974" s="26">
        <v>45654.0</v>
      </c>
      <c r="C2974" s="25">
        <v>106.0</v>
      </c>
      <c r="D2974" s="25">
        <v>7.0</v>
      </c>
      <c r="E2974" s="25">
        <v>5.0</v>
      </c>
      <c r="F2974" s="25">
        <v>4.0</v>
      </c>
      <c r="G2974" s="27" t="s">
        <v>24</v>
      </c>
    </row>
    <row r="2975" ht="22.5" customHeight="1">
      <c r="A2975" s="25">
        <v>406.0</v>
      </c>
      <c r="B2975" s="26">
        <v>45654.0</v>
      </c>
      <c r="C2975" s="25">
        <v>161.0</v>
      </c>
      <c r="D2975" s="25">
        <v>35.0</v>
      </c>
      <c r="E2975" s="25">
        <v>6.0</v>
      </c>
      <c r="F2975" s="25">
        <v>4.0</v>
      </c>
      <c r="G2975" s="27" t="s">
        <v>24</v>
      </c>
    </row>
    <row r="2976" ht="22.5" customHeight="1">
      <c r="A2976" s="25">
        <v>585.0</v>
      </c>
      <c r="B2976" s="26">
        <v>45654.0</v>
      </c>
      <c r="C2976" s="25">
        <v>192.0</v>
      </c>
      <c r="D2976" s="25">
        <v>22.0</v>
      </c>
      <c r="E2976" s="25">
        <v>3.0</v>
      </c>
      <c r="F2976" s="25">
        <v>3.0</v>
      </c>
      <c r="G2976" s="27" t="s">
        <v>24</v>
      </c>
    </row>
    <row r="2977" ht="22.5" customHeight="1">
      <c r="A2977" s="25">
        <v>1013.0</v>
      </c>
      <c r="B2977" s="26">
        <v>45654.0</v>
      </c>
      <c r="C2977" s="25">
        <v>72.0</v>
      </c>
      <c r="D2977" s="25">
        <v>9.0</v>
      </c>
      <c r="E2977" s="25">
        <v>5.0</v>
      </c>
      <c r="F2977" s="25">
        <v>4.0</v>
      </c>
      <c r="G2977" s="27" t="s">
        <v>24</v>
      </c>
    </row>
    <row r="2978" ht="22.5" customHeight="1">
      <c r="A2978" s="25">
        <v>1104.0</v>
      </c>
      <c r="B2978" s="26">
        <v>45654.0</v>
      </c>
      <c r="C2978" s="25">
        <v>176.0</v>
      </c>
      <c r="D2978" s="25">
        <v>6.0</v>
      </c>
      <c r="E2978" s="25">
        <v>4.0</v>
      </c>
      <c r="F2978" s="25">
        <v>2.0</v>
      </c>
      <c r="G2978" s="27" t="s">
        <v>24</v>
      </c>
    </row>
    <row r="2979" ht="22.5" customHeight="1">
      <c r="A2979" s="25">
        <v>1202.0</v>
      </c>
      <c r="B2979" s="26">
        <v>45654.0</v>
      </c>
      <c r="C2979" s="25">
        <v>45.0</v>
      </c>
      <c r="D2979" s="25">
        <v>8.0</v>
      </c>
      <c r="E2979" s="25">
        <v>2.0</v>
      </c>
      <c r="F2979" s="25">
        <v>4.0</v>
      </c>
      <c r="G2979" s="27" t="s">
        <v>24</v>
      </c>
    </row>
    <row r="2980" ht="22.5" customHeight="1">
      <c r="A2980" s="25">
        <v>1365.0</v>
      </c>
      <c r="B2980" s="26">
        <v>45654.0</v>
      </c>
      <c r="C2980" s="25">
        <v>176.0</v>
      </c>
      <c r="D2980" s="25">
        <v>31.0</v>
      </c>
      <c r="E2980" s="25">
        <v>2.0</v>
      </c>
      <c r="F2980" s="25">
        <v>4.0</v>
      </c>
      <c r="G2980" s="27" t="s">
        <v>24</v>
      </c>
    </row>
    <row r="2981" ht="22.5" customHeight="1">
      <c r="A2981" s="25">
        <v>1770.0</v>
      </c>
      <c r="B2981" s="26">
        <v>45654.0</v>
      </c>
      <c r="C2981" s="25">
        <v>263.0</v>
      </c>
      <c r="D2981" s="25">
        <v>36.0</v>
      </c>
      <c r="E2981" s="25">
        <v>1.0</v>
      </c>
      <c r="F2981" s="25">
        <v>5.0</v>
      </c>
      <c r="G2981" s="27" t="s">
        <v>24</v>
      </c>
    </row>
    <row r="2982" ht="22.5" customHeight="1">
      <c r="A2982" s="25">
        <v>2472.0</v>
      </c>
      <c r="B2982" s="26">
        <v>45654.0</v>
      </c>
      <c r="C2982" s="25">
        <v>236.0</v>
      </c>
      <c r="D2982" s="25">
        <v>26.0</v>
      </c>
      <c r="E2982" s="25">
        <v>4.0</v>
      </c>
      <c r="F2982" s="25">
        <v>2.0</v>
      </c>
      <c r="G2982" s="27" t="s">
        <v>24</v>
      </c>
    </row>
    <row r="2983" ht="22.5" customHeight="1">
      <c r="A2983" s="25">
        <v>2640.0</v>
      </c>
      <c r="B2983" s="26">
        <v>45654.0</v>
      </c>
      <c r="C2983" s="25">
        <v>25.0</v>
      </c>
      <c r="D2983" s="25">
        <v>30.0</v>
      </c>
      <c r="E2983" s="25">
        <v>1.0</v>
      </c>
      <c r="F2983" s="25">
        <v>5.0</v>
      </c>
      <c r="G2983" s="27" t="s">
        <v>24</v>
      </c>
    </row>
    <row r="2984" ht="22.5" customHeight="1">
      <c r="A2984" s="25">
        <v>2782.0</v>
      </c>
      <c r="B2984" s="26">
        <v>45654.0</v>
      </c>
      <c r="C2984" s="25">
        <v>119.0</v>
      </c>
      <c r="D2984" s="25">
        <v>27.0</v>
      </c>
      <c r="E2984" s="25">
        <v>2.0</v>
      </c>
      <c r="F2984" s="25">
        <v>4.0</v>
      </c>
      <c r="G2984" s="27" t="s">
        <v>24</v>
      </c>
    </row>
    <row r="2985" ht="22.5" customHeight="1">
      <c r="A2985" s="25">
        <v>230.0</v>
      </c>
      <c r="B2985" s="26">
        <v>45655.0</v>
      </c>
      <c r="C2985" s="25">
        <v>252.0</v>
      </c>
      <c r="D2985" s="25">
        <v>6.0</v>
      </c>
      <c r="E2985" s="25">
        <v>3.0</v>
      </c>
      <c r="F2985" s="25">
        <v>5.0</v>
      </c>
      <c r="G2985" s="27" t="s">
        <v>24</v>
      </c>
    </row>
    <row r="2986" ht="22.5" customHeight="1">
      <c r="A2986" s="25">
        <v>529.0</v>
      </c>
      <c r="B2986" s="26">
        <v>45655.0</v>
      </c>
      <c r="C2986" s="25">
        <v>212.0</v>
      </c>
      <c r="D2986" s="25">
        <v>12.0</v>
      </c>
      <c r="E2986" s="25">
        <v>6.0</v>
      </c>
      <c r="F2986" s="25">
        <v>2.0</v>
      </c>
      <c r="G2986" s="27" t="s">
        <v>24</v>
      </c>
    </row>
    <row r="2987" ht="22.5" customHeight="1">
      <c r="A2987" s="25">
        <v>721.0</v>
      </c>
      <c r="B2987" s="26">
        <v>45655.0</v>
      </c>
      <c r="C2987" s="25">
        <v>148.0</v>
      </c>
      <c r="D2987" s="25">
        <v>16.0</v>
      </c>
      <c r="E2987" s="25">
        <v>2.0</v>
      </c>
      <c r="F2987" s="25">
        <v>2.0</v>
      </c>
      <c r="G2987" s="27" t="s">
        <v>24</v>
      </c>
    </row>
    <row r="2988" ht="22.5" customHeight="1">
      <c r="A2988" s="25">
        <v>850.0</v>
      </c>
      <c r="B2988" s="26">
        <v>45655.0</v>
      </c>
      <c r="C2988" s="25">
        <v>194.0</v>
      </c>
      <c r="D2988" s="25">
        <v>31.0</v>
      </c>
      <c r="E2988" s="25">
        <v>1.0</v>
      </c>
      <c r="F2988" s="25">
        <v>5.0</v>
      </c>
      <c r="G2988" s="27" t="s">
        <v>24</v>
      </c>
    </row>
    <row r="2989" ht="22.5" customHeight="1">
      <c r="A2989" s="25">
        <v>1285.0</v>
      </c>
      <c r="B2989" s="26">
        <v>45655.0</v>
      </c>
      <c r="C2989" s="25">
        <v>10.0</v>
      </c>
      <c r="D2989" s="25">
        <v>33.0</v>
      </c>
      <c r="E2989" s="25">
        <v>4.0</v>
      </c>
      <c r="F2989" s="25">
        <v>3.0</v>
      </c>
      <c r="G2989" s="27" t="s">
        <v>24</v>
      </c>
    </row>
    <row r="2990" ht="22.5" customHeight="1">
      <c r="A2990" s="25">
        <v>1511.0</v>
      </c>
      <c r="B2990" s="26">
        <v>45655.0</v>
      </c>
      <c r="C2990" s="25">
        <v>141.0</v>
      </c>
      <c r="D2990" s="25">
        <v>31.0</v>
      </c>
      <c r="E2990" s="25">
        <v>5.0</v>
      </c>
      <c r="F2990" s="25">
        <v>4.0</v>
      </c>
      <c r="G2990" s="27" t="s">
        <v>24</v>
      </c>
    </row>
    <row r="2991" ht="22.5" customHeight="1">
      <c r="A2991" s="25">
        <v>1715.0</v>
      </c>
      <c r="B2991" s="26">
        <v>45655.0</v>
      </c>
      <c r="C2991" s="25">
        <v>87.0</v>
      </c>
      <c r="D2991" s="25">
        <v>5.0</v>
      </c>
      <c r="E2991" s="25">
        <v>1.0</v>
      </c>
      <c r="F2991" s="25">
        <v>1.0</v>
      </c>
      <c r="G2991" s="27" t="s">
        <v>24</v>
      </c>
    </row>
    <row r="2992" ht="22.5" customHeight="1">
      <c r="A2992" s="25">
        <v>2446.0</v>
      </c>
      <c r="B2992" s="26">
        <v>45655.0</v>
      </c>
      <c r="C2992" s="25">
        <v>302.0</v>
      </c>
      <c r="D2992" s="25">
        <v>8.0</v>
      </c>
      <c r="E2992" s="25">
        <v>4.0</v>
      </c>
      <c r="F2992" s="25">
        <v>3.0</v>
      </c>
      <c r="G2992" s="27" t="s">
        <v>24</v>
      </c>
    </row>
    <row r="2993" ht="22.5" customHeight="1">
      <c r="A2993" s="25">
        <v>2643.0</v>
      </c>
      <c r="B2993" s="26">
        <v>45655.0</v>
      </c>
      <c r="C2993" s="25">
        <v>121.0</v>
      </c>
      <c r="D2993" s="25">
        <v>12.0</v>
      </c>
      <c r="E2993" s="25">
        <v>5.0</v>
      </c>
      <c r="F2993" s="25">
        <v>4.0</v>
      </c>
      <c r="G2993" s="27" t="s">
        <v>24</v>
      </c>
    </row>
    <row r="2994" ht="22.5" customHeight="1">
      <c r="A2994" s="25">
        <v>2792.0</v>
      </c>
      <c r="B2994" s="26">
        <v>45655.0</v>
      </c>
      <c r="C2994" s="25">
        <v>109.0</v>
      </c>
      <c r="D2994" s="25">
        <v>34.0</v>
      </c>
      <c r="E2994" s="25">
        <v>4.0</v>
      </c>
      <c r="F2994" s="25">
        <v>4.0</v>
      </c>
      <c r="G2994" s="27" t="s">
        <v>25</v>
      </c>
    </row>
    <row r="2995" ht="22.5" customHeight="1">
      <c r="A2995" s="25">
        <v>563.0</v>
      </c>
      <c r="B2995" s="26">
        <v>45656.0</v>
      </c>
      <c r="C2995" s="25">
        <v>272.0</v>
      </c>
      <c r="D2995" s="25">
        <v>25.0</v>
      </c>
      <c r="E2995" s="25">
        <v>5.0</v>
      </c>
      <c r="F2995" s="25">
        <v>4.0</v>
      </c>
      <c r="G2995" s="27" t="s">
        <v>24</v>
      </c>
    </row>
    <row r="2996" ht="22.5" customHeight="1">
      <c r="A2996" s="25">
        <v>900.0</v>
      </c>
      <c r="B2996" s="26">
        <v>45656.0</v>
      </c>
      <c r="C2996" s="25">
        <v>248.0</v>
      </c>
      <c r="D2996" s="25">
        <v>10.0</v>
      </c>
      <c r="E2996" s="25">
        <v>5.0</v>
      </c>
      <c r="F2996" s="25">
        <v>1.0</v>
      </c>
      <c r="G2996" s="27" t="s">
        <v>24</v>
      </c>
    </row>
    <row r="2997" ht="22.5" customHeight="1">
      <c r="A2997" s="25">
        <v>954.0</v>
      </c>
      <c r="B2997" s="26">
        <v>45656.0</v>
      </c>
      <c r="C2997" s="25">
        <v>44.0</v>
      </c>
      <c r="D2997" s="25">
        <v>12.0</v>
      </c>
      <c r="E2997" s="25">
        <v>6.0</v>
      </c>
      <c r="F2997" s="25">
        <v>4.0</v>
      </c>
      <c r="G2997" s="27" t="s">
        <v>24</v>
      </c>
    </row>
    <row r="2998" ht="22.5" customHeight="1">
      <c r="A2998" s="25">
        <v>1390.0</v>
      </c>
      <c r="B2998" s="26">
        <v>45656.0</v>
      </c>
      <c r="C2998" s="25">
        <v>26.0</v>
      </c>
      <c r="D2998" s="25">
        <v>31.0</v>
      </c>
      <c r="E2998" s="25">
        <v>3.0</v>
      </c>
      <c r="F2998" s="25">
        <v>4.0</v>
      </c>
      <c r="G2998" s="27" t="s">
        <v>24</v>
      </c>
    </row>
    <row r="2999" ht="22.5" customHeight="1">
      <c r="A2999" s="25">
        <v>1519.0</v>
      </c>
      <c r="B2999" s="26">
        <v>45656.0</v>
      </c>
      <c r="C2999" s="25">
        <v>246.0</v>
      </c>
      <c r="D2999" s="25">
        <v>11.0</v>
      </c>
      <c r="E2999" s="25">
        <v>3.0</v>
      </c>
      <c r="F2999" s="25">
        <v>3.0</v>
      </c>
      <c r="G2999" s="27" t="s">
        <v>24</v>
      </c>
    </row>
    <row r="3000" ht="22.5" customHeight="1">
      <c r="A3000" s="25">
        <v>2147.0</v>
      </c>
      <c r="B3000" s="26">
        <v>45656.0</v>
      </c>
      <c r="C3000" s="25">
        <v>231.0</v>
      </c>
      <c r="D3000" s="25">
        <v>22.0</v>
      </c>
      <c r="E3000" s="25">
        <v>2.0</v>
      </c>
      <c r="F3000" s="25">
        <v>1.0</v>
      </c>
      <c r="G3000" s="27" t="s">
        <v>25</v>
      </c>
    </row>
    <row r="3001" ht="22.5" customHeight="1">
      <c r="A3001" s="25">
        <v>2239.0</v>
      </c>
      <c r="B3001" s="26">
        <v>45656.0</v>
      </c>
      <c r="C3001" s="25">
        <v>172.0</v>
      </c>
      <c r="D3001" s="25">
        <v>17.0</v>
      </c>
      <c r="E3001" s="25">
        <v>3.0</v>
      </c>
      <c r="F3001" s="25">
        <v>3.0</v>
      </c>
      <c r="G3001" s="27" t="s">
        <v>24</v>
      </c>
    </row>
  </sheetData>
  <dataValidations>
    <dataValidation type="custom" allowBlank="1" showDropDown="1" sqref="B2:B3001">
      <formula1>OR(NOT(ISERROR(DATEVALUE(B2))), AND(ISNUMBER(B2), LEFT(CELL("format", B2))="D"))</formula1>
    </dataValidation>
    <dataValidation type="list" allowBlank="1" sqref="G2:G3001">
      <formula1>"Completa,Pendiente,Cancelada"</formula1>
    </dataValidation>
    <dataValidation type="custom" allowBlank="1" showDropDown="1" sqref="A2:A3001 C2:F300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3" width="14.75"/>
    <col customWidth="1" min="4" max="4" width="27.0"/>
    <col customWidth="1" min="5" max="5" width="25.25"/>
    <col customWidth="1" min="6" max="6" width="17.0"/>
  </cols>
  <sheetData>
    <row r="1" ht="22.5" customHeight="1">
      <c r="A1" s="8" t="s">
        <v>7</v>
      </c>
      <c r="B1" s="8" t="s">
        <v>88</v>
      </c>
      <c r="C1" s="8" t="s">
        <v>89</v>
      </c>
      <c r="D1" s="8" t="s">
        <v>90</v>
      </c>
      <c r="E1" s="8" t="s">
        <v>91</v>
      </c>
      <c r="F1" s="8" t="s">
        <v>15</v>
      </c>
    </row>
    <row r="2" ht="22.5" customHeight="1">
      <c r="A2" s="25">
        <v>1.0</v>
      </c>
      <c r="B2" s="28" t="s">
        <v>92</v>
      </c>
      <c r="C2" s="28" t="s">
        <v>93</v>
      </c>
      <c r="D2" s="28" t="s">
        <v>94</v>
      </c>
      <c r="E2" s="26">
        <v>45249.0</v>
      </c>
      <c r="F2" s="28" t="s">
        <v>47</v>
      </c>
    </row>
    <row r="3" ht="22.5" customHeight="1">
      <c r="A3" s="25">
        <v>2.0</v>
      </c>
      <c r="B3" s="28" t="s">
        <v>95</v>
      </c>
      <c r="C3" s="28" t="s">
        <v>96</v>
      </c>
      <c r="D3" s="28" t="s">
        <v>97</v>
      </c>
      <c r="E3" s="26">
        <v>45053.0</v>
      </c>
      <c r="F3" s="28" t="s">
        <v>47</v>
      </c>
    </row>
    <row r="4" ht="22.5" customHeight="1">
      <c r="A4" s="25">
        <v>3.0</v>
      </c>
      <c r="B4" s="28" t="s">
        <v>98</v>
      </c>
      <c r="C4" s="28" t="s">
        <v>99</v>
      </c>
      <c r="D4" s="28" t="s">
        <v>100</v>
      </c>
      <c r="E4" s="26">
        <v>45012.0</v>
      </c>
      <c r="F4" s="28" t="s">
        <v>47</v>
      </c>
    </row>
    <row r="5" ht="22.5" customHeight="1">
      <c r="A5" s="25">
        <v>4.0</v>
      </c>
      <c r="B5" s="28" t="s">
        <v>101</v>
      </c>
      <c r="C5" s="28" t="s">
        <v>102</v>
      </c>
      <c r="D5" s="28" t="s">
        <v>103</v>
      </c>
      <c r="E5" s="26">
        <v>45225.0</v>
      </c>
      <c r="F5" s="28" t="s">
        <v>43</v>
      </c>
    </row>
    <row r="6" ht="22.5" customHeight="1">
      <c r="A6" s="25">
        <v>5.0</v>
      </c>
      <c r="B6" s="28" t="s">
        <v>104</v>
      </c>
      <c r="C6" s="28" t="s">
        <v>105</v>
      </c>
      <c r="D6" s="28" t="s">
        <v>106</v>
      </c>
      <c r="E6" s="26">
        <v>45016.0</v>
      </c>
      <c r="F6" s="28" t="s">
        <v>46</v>
      </c>
    </row>
    <row r="7" ht="22.5" customHeight="1">
      <c r="A7" s="25">
        <v>6.0</v>
      </c>
      <c r="B7" s="28" t="s">
        <v>107</v>
      </c>
      <c r="C7" s="28" t="s">
        <v>108</v>
      </c>
      <c r="D7" s="28" t="s">
        <v>109</v>
      </c>
      <c r="E7" s="26">
        <v>45084.0</v>
      </c>
      <c r="F7" s="28" t="s">
        <v>43</v>
      </c>
    </row>
    <row r="8" ht="22.5" customHeight="1">
      <c r="A8" s="25">
        <v>7.0</v>
      </c>
      <c r="B8" s="28" t="s">
        <v>110</v>
      </c>
      <c r="C8" s="28" t="s">
        <v>111</v>
      </c>
      <c r="D8" s="28" t="s">
        <v>112</v>
      </c>
      <c r="E8" s="26">
        <v>45004.0</v>
      </c>
      <c r="F8" s="28" t="s">
        <v>49</v>
      </c>
    </row>
    <row r="9" ht="22.5" customHeight="1">
      <c r="A9" s="25">
        <v>8.0</v>
      </c>
      <c r="B9" s="28" t="s">
        <v>113</v>
      </c>
      <c r="C9" s="28" t="s">
        <v>114</v>
      </c>
      <c r="D9" s="28" t="s">
        <v>115</v>
      </c>
      <c r="E9" s="26">
        <v>45059.0</v>
      </c>
      <c r="F9" s="28" t="s">
        <v>43</v>
      </c>
    </row>
    <row r="10" ht="22.5" customHeight="1">
      <c r="A10" s="25">
        <v>9.0</v>
      </c>
      <c r="B10" s="28" t="s">
        <v>116</v>
      </c>
      <c r="C10" s="28" t="s">
        <v>117</v>
      </c>
      <c r="D10" s="28" t="s">
        <v>118</v>
      </c>
      <c r="E10" s="26">
        <v>45018.0</v>
      </c>
      <c r="F10" s="28" t="s">
        <v>46</v>
      </c>
    </row>
    <row r="11" ht="22.5" customHeight="1">
      <c r="A11" s="25">
        <v>10.0</v>
      </c>
      <c r="B11" s="28" t="s">
        <v>119</v>
      </c>
      <c r="C11" s="28" t="s">
        <v>120</v>
      </c>
      <c r="D11" s="28" t="s">
        <v>121</v>
      </c>
      <c r="E11" s="26">
        <v>45253.0</v>
      </c>
      <c r="F11" s="28" t="s">
        <v>43</v>
      </c>
    </row>
    <row r="12" ht="22.5" customHeight="1">
      <c r="A12" s="25">
        <v>11.0</v>
      </c>
      <c r="B12" s="28" t="s">
        <v>122</v>
      </c>
      <c r="C12" s="28" t="s">
        <v>123</v>
      </c>
      <c r="D12" s="28" t="s">
        <v>124</v>
      </c>
      <c r="E12" s="26">
        <v>45211.0</v>
      </c>
      <c r="F12" s="28" t="s">
        <v>43</v>
      </c>
    </row>
    <row r="13" ht="22.5" customHeight="1">
      <c r="A13" s="25">
        <v>12.0</v>
      </c>
      <c r="B13" s="28" t="s">
        <v>125</v>
      </c>
      <c r="C13" s="28" t="s">
        <v>126</v>
      </c>
      <c r="D13" s="28" t="s">
        <v>127</v>
      </c>
      <c r="E13" s="26">
        <v>45159.0</v>
      </c>
      <c r="F13" s="28" t="s">
        <v>47</v>
      </c>
    </row>
    <row r="14" ht="22.5" customHeight="1">
      <c r="A14" s="25">
        <v>13.0</v>
      </c>
      <c r="B14" s="28" t="s">
        <v>128</v>
      </c>
      <c r="C14" s="28" t="s">
        <v>129</v>
      </c>
      <c r="D14" s="28" t="s">
        <v>130</v>
      </c>
      <c r="E14" s="26">
        <v>45222.0</v>
      </c>
      <c r="F14" s="28" t="s">
        <v>46</v>
      </c>
    </row>
    <row r="15" ht="22.5" customHeight="1">
      <c r="A15" s="25">
        <v>14.0</v>
      </c>
      <c r="B15" s="28" t="s">
        <v>131</v>
      </c>
      <c r="C15" s="28" t="s">
        <v>132</v>
      </c>
      <c r="D15" s="28" t="s">
        <v>133</v>
      </c>
      <c r="E15" s="26">
        <v>45047.0</v>
      </c>
      <c r="F15" s="28" t="s">
        <v>43</v>
      </c>
    </row>
    <row r="16" ht="22.5" customHeight="1">
      <c r="A16" s="25">
        <v>15.0</v>
      </c>
      <c r="B16" s="28" t="s">
        <v>134</v>
      </c>
      <c r="C16" s="28" t="s">
        <v>135</v>
      </c>
      <c r="D16" s="28" t="s">
        <v>136</v>
      </c>
      <c r="E16" s="26">
        <v>45289.0</v>
      </c>
      <c r="F16" s="28" t="s">
        <v>43</v>
      </c>
    </row>
    <row r="17" ht="22.5" customHeight="1">
      <c r="A17" s="25">
        <v>16.0</v>
      </c>
      <c r="B17" s="28" t="s">
        <v>137</v>
      </c>
      <c r="C17" s="28" t="s">
        <v>138</v>
      </c>
      <c r="D17" s="28" t="s">
        <v>139</v>
      </c>
      <c r="E17" s="26">
        <v>45035.0</v>
      </c>
      <c r="F17" s="28" t="s">
        <v>43</v>
      </c>
    </row>
    <row r="18" ht="22.5" customHeight="1">
      <c r="A18" s="25">
        <v>17.0</v>
      </c>
      <c r="B18" s="28" t="s">
        <v>140</v>
      </c>
      <c r="C18" s="28" t="s">
        <v>141</v>
      </c>
      <c r="D18" s="28" t="s">
        <v>142</v>
      </c>
      <c r="E18" s="26">
        <v>45132.0</v>
      </c>
      <c r="F18" s="28" t="s">
        <v>43</v>
      </c>
    </row>
    <row r="19" ht="22.5" customHeight="1">
      <c r="A19" s="25">
        <v>18.0</v>
      </c>
      <c r="B19" s="28" t="s">
        <v>143</v>
      </c>
      <c r="C19" s="19" t="s">
        <v>144</v>
      </c>
      <c r="D19" s="28" t="s">
        <v>145</v>
      </c>
      <c r="E19" s="26">
        <v>45283.0</v>
      </c>
      <c r="F19" s="28" t="s">
        <v>46</v>
      </c>
    </row>
    <row r="20" ht="22.5" customHeight="1">
      <c r="A20" s="25">
        <v>19.0</v>
      </c>
      <c r="B20" s="28" t="s">
        <v>146</v>
      </c>
      <c r="C20" s="28" t="s">
        <v>147</v>
      </c>
      <c r="D20" s="28" t="s">
        <v>148</v>
      </c>
      <c r="E20" s="26">
        <v>45243.0</v>
      </c>
      <c r="F20" s="28" t="s">
        <v>46</v>
      </c>
    </row>
    <row r="21" ht="22.5" customHeight="1">
      <c r="A21" s="25">
        <v>20.0</v>
      </c>
      <c r="B21" s="28" t="s">
        <v>149</v>
      </c>
      <c r="C21" s="28" t="s">
        <v>150</v>
      </c>
      <c r="D21" s="28" t="s">
        <v>151</v>
      </c>
      <c r="E21" s="26">
        <v>45129.0</v>
      </c>
      <c r="F21" s="28" t="s">
        <v>49</v>
      </c>
    </row>
    <row r="22" ht="22.5" customHeight="1">
      <c r="A22" s="25">
        <v>21.0</v>
      </c>
      <c r="B22" s="28" t="s">
        <v>152</v>
      </c>
      <c r="C22" s="28" t="s">
        <v>153</v>
      </c>
      <c r="D22" s="28" t="s">
        <v>154</v>
      </c>
      <c r="E22" s="26">
        <v>45071.0</v>
      </c>
      <c r="F22" s="28" t="s">
        <v>43</v>
      </c>
    </row>
    <row r="23" ht="22.5" customHeight="1">
      <c r="A23" s="25">
        <v>22.0</v>
      </c>
      <c r="B23" s="28" t="s">
        <v>155</v>
      </c>
      <c r="C23" s="28" t="s">
        <v>156</v>
      </c>
      <c r="D23" s="28" t="s">
        <v>157</v>
      </c>
      <c r="E23" s="26">
        <v>45195.0</v>
      </c>
      <c r="F23" s="28" t="s">
        <v>46</v>
      </c>
    </row>
    <row r="24" ht="22.5" customHeight="1">
      <c r="A24" s="25">
        <v>23.0</v>
      </c>
      <c r="B24" s="28" t="s">
        <v>158</v>
      </c>
      <c r="C24" s="28" t="s">
        <v>159</v>
      </c>
      <c r="D24" s="28" t="s">
        <v>160</v>
      </c>
      <c r="E24" s="26">
        <v>45050.0</v>
      </c>
      <c r="F24" s="28" t="s">
        <v>47</v>
      </c>
    </row>
    <row r="25" ht="22.5" customHeight="1">
      <c r="A25" s="25">
        <v>24.0</v>
      </c>
      <c r="B25" s="28" t="s">
        <v>161</v>
      </c>
      <c r="C25" s="28" t="s">
        <v>162</v>
      </c>
      <c r="D25" s="28" t="s">
        <v>163</v>
      </c>
      <c r="E25" s="26">
        <v>45130.0</v>
      </c>
      <c r="F25" s="28" t="s">
        <v>49</v>
      </c>
    </row>
    <row r="26" ht="22.5" customHeight="1">
      <c r="A26" s="25">
        <v>25.0</v>
      </c>
      <c r="B26" s="28" t="s">
        <v>164</v>
      </c>
      <c r="C26" s="28" t="s">
        <v>165</v>
      </c>
      <c r="D26" s="28" t="s">
        <v>166</v>
      </c>
      <c r="E26" s="26">
        <v>45095.0</v>
      </c>
      <c r="F26" s="28" t="s">
        <v>47</v>
      </c>
    </row>
    <row r="27" ht="22.5" customHeight="1">
      <c r="A27" s="25">
        <v>26.0</v>
      </c>
      <c r="B27" s="28" t="s">
        <v>167</v>
      </c>
      <c r="C27" s="28" t="s">
        <v>168</v>
      </c>
      <c r="D27" s="28" t="s">
        <v>169</v>
      </c>
      <c r="E27" s="26">
        <v>45112.0</v>
      </c>
      <c r="F27" s="28" t="s">
        <v>46</v>
      </c>
    </row>
    <row r="28" ht="22.5" customHeight="1">
      <c r="A28" s="25">
        <v>27.0</v>
      </c>
      <c r="B28" s="28" t="s">
        <v>170</v>
      </c>
      <c r="C28" s="28" t="s">
        <v>171</v>
      </c>
      <c r="D28" s="28" t="s">
        <v>172</v>
      </c>
      <c r="E28" s="26">
        <v>45259.0</v>
      </c>
      <c r="F28" s="28" t="s">
        <v>43</v>
      </c>
    </row>
    <row r="29" ht="22.5" customHeight="1">
      <c r="A29" s="25">
        <v>28.0</v>
      </c>
      <c r="B29" s="28" t="s">
        <v>173</v>
      </c>
      <c r="C29" s="28" t="s">
        <v>174</v>
      </c>
      <c r="D29" s="28" t="s">
        <v>175</v>
      </c>
      <c r="E29" s="26">
        <v>45255.0</v>
      </c>
      <c r="F29" s="28" t="s">
        <v>45</v>
      </c>
    </row>
    <row r="30" ht="22.5" customHeight="1">
      <c r="A30" s="25">
        <v>29.0</v>
      </c>
      <c r="B30" s="28" t="s">
        <v>176</v>
      </c>
      <c r="C30" s="28" t="s">
        <v>177</v>
      </c>
      <c r="D30" s="28" t="s">
        <v>178</v>
      </c>
      <c r="E30" s="26">
        <v>45179.0</v>
      </c>
      <c r="F30" s="28" t="s">
        <v>45</v>
      </c>
    </row>
    <row r="31" ht="22.5" customHeight="1">
      <c r="A31" s="25">
        <v>30.0</v>
      </c>
      <c r="B31" s="28" t="s">
        <v>179</v>
      </c>
      <c r="C31" s="28" t="s">
        <v>180</v>
      </c>
      <c r="D31" s="28" t="s">
        <v>181</v>
      </c>
      <c r="E31" s="26">
        <v>45092.0</v>
      </c>
      <c r="F31" s="28" t="s">
        <v>43</v>
      </c>
    </row>
    <row r="32" ht="22.5" customHeight="1">
      <c r="A32" s="25">
        <v>31.0</v>
      </c>
      <c r="B32" s="28" t="s">
        <v>182</v>
      </c>
      <c r="C32" s="28" t="s">
        <v>183</v>
      </c>
      <c r="D32" s="28" t="s">
        <v>184</v>
      </c>
      <c r="E32" s="26">
        <v>45013.0</v>
      </c>
      <c r="F32" s="28" t="s">
        <v>46</v>
      </c>
    </row>
    <row r="33" ht="22.5" customHeight="1">
      <c r="A33" s="25">
        <v>32.0</v>
      </c>
      <c r="B33" s="28" t="s">
        <v>185</v>
      </c>
      <c r="C33" s="28" t="s">
        <v>186</v>
      </c>
      <c r="D33" s="28" t="s">
        <v>187</v>
      </c>
      <c r="E33" s="26">
        <v>45134.0</v>
      </c>
      <c r="F33" s="28" t="s">
        <v>49</v>
      </c>
    </row>
    <row r="34" ht="22.5" customHeight="1">
      <c r="A34" s="25">
        <v>33.0</v>
      </c>
      <c r="B34" s="28" t="s">
        <v>188</v>
      </c>
      <c r="C34" s="28" t="s">
        <v>189</v>
      </c>
      <c r="D34" s="28" t="s">
        <v>190</v>
      </c>
      <c r="E34" s="26">
        <v>45148.0</v>
      </c>
      <c r="F34" s="28" t="s">
        <v>45</v>
      </c>
    </row>
    <row r="35" ht="22.5" customHeight="1">
      <c r="A35" s="25">
        <v>34.0</v>
      </c>
      <c r="B35" s="28" t="s">
        <v>191</v>
      </c>
      <c r="C35" s="28" t="s">
        <v>192</v>
      </c>
      <c r="D35" s="28" t="s">
        <v>193</v>
      </c>
      <c r="E35" s="26">
        <v>45265.0</v>
      </c>
      <c r="F35" s="28" t="s">
        <v>49</v>
      </c>
    </row>
    <row r="36" ht="22.5" customHeight="1">
      <c r="A36" s="25">
        <v>35.0</v>
      </c>
      <c r="B36" s="28" t="s">
        <v>194</v>
      </c>
      <c r="C36" s="28" t="s">
        <v>195</v>
      </c>
      <c r="D36" s="28" t="s">
        <v>196</v>
      </c>
      <c r="E36" s="26">
        <v>45039.0</v>
      </c>
      <c r="F36" s="28" t="s">
        <v>48</v>
      </c>
    </row>
    <row r="37" ht="22.5" customHeight="1">
      <c r="A37" s="25">
        <v>36.0</v>
      </c>
      <c r="B37" s="28" t="s">
        <v>197</v>
      </c>
      <c r="C37" s="28" t="s">
        <v>198</v>
      </c>
      <c r="D37" s="28" t="s">
        <v>199</v>
      </c>
      <c r="E37" s="26">
        <v>45230.0</v>
      </c>
      <c r="F37" s="28" t="s">
        <v>43</v>
      </c>
    </row>
    <row r="38" ht="22.5" customHeight="1">
      <c r="A38" s="25">
        <v>37.0</v>
      </c>
      <c r="B38" s="28" t="s">
        <v>200</v>
      </c>
      <c r="C38" s="28" t="s">
        <v>201</v>
      </c>
      <c r="D38" s="28" t="s">
        <v>202</v>
      </c>
      <c r="E38" s="26">
        <v>45234.0</v>
      </c>
      <c r="F38" s="28" t="s">
        <v>49</v>
      </c>
    </row>
    <row r="39" ht="22.5" customHeight="1">
      <c r="A39" s="25">
        <v>38.0</v>
      </c>
      <c r="B39" s="28" t="s">
        <v>203</v>
      </c>
      <c r="C39" s="28" t="s">
        <v>204</v>
      </c>
      <c r="D39" s="28" t="s">
        <v>205</v>
      </c>
      <c r="E39" s="26">
        <v>45279.0</v>
      </c>
      <c r="F39" s="28" t="s">
        <v>47</v>
      </c>
    </row>
    <row r="40" ht="22.5" customHeight="1">
      <c r="A40" s="25">
        <v>39.0</v>
      </c>
      <c r="B40" s="28" t="s">
        <v>206</v>
      </c>
      <c r="C40" s="28" t="s">
        <v>207</v>
      </c>
      <c r="D40" s="28" t="s">
        <v>208</v>
      </c>
      <c r="E40" s="26">
        <v>45211.0</v>
      </c>
      <c r="F40" s="28" t="s">
        <v>47</v>
      </c>
    </row>
    <row r="41" ht="22.5" customHeight="1">
      <c r="A41" s="25">
        <v>40.0</v>
      </c>
      <c r="B41" s="28" t="s">
        <v>209</v>
      </c>
      <c r="C41" s="28" t="s">
        <v>210</v>
      </c>
      <c r="D41" s="28" t="s">
        <v>211</v>
      </c>
      <c r="E41" s="26">
        <v>45029.0</v>
      </c>
      <c r="F41" s="28" t="s">
        <v>49</v>
      </c>
    </row>
    <row r="42" ht="22.5" customHeight="1">
      <c r="A42" s="25">
        <v>41.0</v>
      </c>
      <c r="B42" s="28" t="s">
        <v>212</v>
      </c>
      <c r="C42" s="28" t="s">
        <v>213</v>
      </c>
      <c r="D42" s="28" t="s">
        <v>214</v>
      </c>
      <c r="E42" s="26">
        <v>45136.0</v>
      </c>
      <c r="F42" s="28" t="s">
        <v>47</v>
      </c>
    </row>
    <row r="43" ht="22.5" customHeight="1">
      <c r="A43" s="25">
        <v>42.0</v>
      </c>
      <c r="B43" s="28" t="s">
        <v>215</v>
      </c>
      <c r="C43" s="28" t="s">
        <v>216</v>
      </c>
      <c r="D43" s="28" t="s">
        <v>217</v>
      </c>
      <c r="E43" s="26">
        <v>45100.0</v>
      </c>
      <c r="F43" s="28" t="s">
        <v>47</v>
      </c>
    </row>
    <row r="44" ht="22.5" customHeight="1">
      <c r="A44" s="25">
        <v>43.0</v>
      </c>
      <c r="B44" s="28" t="s">
        <v>218</v>
      </c>
      <c r="C44" s="28" t="s">
        <v>219</v>
      </c>
      <c r="D44" s="28" t="s">
        <v>220</v>
      </c>
      <c r="E44" s="26">
        <v>45196.0</v>
      </c>
      <c r="F44" s="28" t="s">
        <v>47</v>
      </c>
    </row>
    <row r="45" ht="22.5" customHeight="1">
      <c r="A45" s="25">
        <v>44.0</v>
      </c>
      <c r="B45" s="28" t="s">
        <v>221</v>
      </c>
      <c r="C45" s="28" t="s">
        <v>222</v>
      </c>
      <c r="D45" s="28" t="s">
        <v>223</v>
      </c>
      <c r="E45" s="26">
        <v>45186.0</v>
      </c>
      <c r="F45" s="28" t="s">
        <v>43</v>
      </c>
    </row>
    <row r="46" ht="22.5" customHeight="1">
      <c r="A46" s="25">
        <v>45.0</v>
      </c>
      <c r="B46" s="28" t="s">
        <v>224</v>
      </c>
      <c r="C46" s="28" t="s">
        <v>225</v>
      </c>
      <c r="D46" s="28" t="s">
        <v>226</v>
      </c>
      <c r="E46" s="26">
        <v>45154.0</v>
      </c>
      <c r="F46" s="28" t="s">
        <v>43</v>
      </c>
    </row>
    <row r="47" ht="22.5" customHeight="1">
      <c r="A47" s="25">
        <v>46.0</v>
      </c>
      <c r="B47" s="28" t="s">
        <v>227</v>
      </c>
      <c r="C47" s="28" t="s">
        <v>228</v>
      </c>
      <c r="D47" s="28" t="s">
        <v>229</v>
      </c>
      <c r="E47" s="26">
        <v>45148.0</v>
      </c>
      <c r="F47" s="28" t="s">
        <v>46</v>
      </c>
    </row>
    <row r="48" ht="22.5" customHeight="1">
      <c r="A48" s="25">
        <v>47.0</v>
      </c>
      <c r="B48" s="28" t="s">
        <v>230</v>
      </c>
      <c r="C48" s="28" t="s">
        <v>231</v>
      </c>
      <c r="D48" s="28" t="s">
        <v>232</v>
      </c>
      <c r="E48" s="26">
        <v>45197.0</v>
      </c>
      <c r="F48" s="28" t="s">
        <v>43</v>
      </c>
    </row>
    <row r="49" ht="22.5" customHeight="1">
      <c r="A49" s="25">
        <v>48.0</v>
      </c>
      <c r="B49" s="28" t="s">
        <v>233</v>
      </c>
      <c r="C49" s="28" t="s">
        <v>234</v>
      </c>
      <c r="D49" s="28" t="s">
        <v>235</v>
      </c>
      <c r="E49" s="26">
        <v>45217.0</v>
      </c>
      <c r="F49" s="28" t="s">
        <v>47</v>
      </c>
    </row>
    <row r="50" ht="22.5" customHeight="1">
      <c r="A50" s="25">
        <v>49.0</v>
      </c>
      <c r="B50" s="28" t="s">
        <v>236</v>
      </c>
      <c r="C50" s="28" t="s">
        <v>237</v>
      </c>
      <c r="D50" s="28" t="s">
        <v>238</v>
      </c>
      <c r="E50" s="26">
        <v>45264.0</v>
      </c>
      <c r="F50" s="28" t="s">
        <v>43</v>
      </c>
    </row>
    <row r="51" ht="22.5" customHeight="1">
      <c r="A51" s="25">
        <v>50.0</v>
      </c>
      <c r="B51" s="28" t="s">
        <v>239</v>
      </c>
      <c r="C51" s="28" t="s">
        <v>240</v>
      </c>
      <c r="D51" s="28" t="s">
        <v>241</v>
      </c>
      <c r="E51" s="26">
        <v>45190.0</v>
      </c>
      <c r="F51" s="28" t="s">
        <v>43</v>
      </c>
    </row>
    <row r="52" ht="22.5" customHeight="1">
      <c r="A52" s="25">
        <v>51.0</v>
      </c>
      <c r="B52" s="28" t="s">
        <v>242</v>
      </c>
      <c r="C52" s="28" t="s">
        <v>243</v>
      </c>
      <c r="D52" s="28" t="s">
        <v>244</v>
      </c>
      <c r="E52" s="26">
        <v>45229.0</v>
      </c>
      <c r="F52" s="28" t="s">
        <v>49</v>
      </c>
    </row>
    <row r="53" ht="22.5" customHeight="1">
      <c r="A53" s="25">
        <v>52.0</v>
      </c>
      <c r="B53" s="28" t="s">
        <v>245</v>
      </c>
      <c r="C53" s="28" t="s">
        <v>246</v>
      </c>
      <c r="D53" s="28" t="s">
        <v>247</v>
      </c>
      <c r="E53" s="26">
        <v>45208.0</v>
      </c>
      <c r="F53" s="28" t="s">
        <v>47</v>
      </c>
    </row>
    <row r="54" ht="22.5" customHeight="1">
      <c r="A54" s="25">
        <v>53.0</v>
      </c>
      <c r="B54" s="28" t="s">
        <v>248</v>
      </c>
      <c r="C54" s="28" t="s">
        <v>249</v>
      </c>
      <c r="D54" s="28" t="s">
        <v>250</v>
      </c>
      <c r="E54" s="26">
        <v>45141.0</v>
      </c>
      <c r="F54" s="28" t="s">
        <v>46</v>
      </c>
    </row>
    <row r="55" ht="22.5" customHeight="1">
      <c r="A55" s="25">
        <v>54.0</v>
      </c>
      <c r="B55" s="28" t="s">
        <v>251</v>
      </c>
      <c r="C55" s="28" t="s">
        <v>252</v>
      </c>
      <c r="D55" s="28" t="s">
        <v>253</v>
      </c>
      <c r="E55" s="26">
        <v>45156.0</v>
      </c>
      <c r="F55" s="28" t="s">
        <v>43</v>
      </c>
    </row>
    <row r="56" ht="22.5" customHeight="1">
      <c r="A56" s="25">
        <v>55.0</v>
      </c>
      <c r="B56" s="28" t="s">
        <v>254</v>
      </c>
      <c r="C56" s="28" t="s">
        <v>255</v>
      </c>
      <c r="D56" s="28" t="s">
        <v>256</v>
      </c>
      <c r="E56" s="26">
        <v>45052.0</v>
      </c>
      <c r="F56" s="28" t="s">
        <v>47</v>
      </c>
    </row>
    <row r="57" ht="22.5" customHeight="1">
      <c r="A57" s="25">
        <v>56.0</v>
      </c>
      <c r="B57" s="28" t="s">
        <v>257</v>
      </c>
      <c r="C57" s="28" t="s">
        <v>258</v>
      </c>
      <c r="D57" s="28" t="s">
        <v>259</v>
      </c>
      <c r="E57" s="26">
        <v>45104.0</v>
      </c>
      <c r="F57" s="28" t="s">
        <v>46</v>
      </c>
    </row>
    <row r="58" ht="22.5" customHeight="1">
      <c r="A58" s="25">
        <v>57.0</v>
      </c>
      <c r="B58" s="28" t="s">
        <v>260</v>
      </c>
      <c r="C58" s="28" t="s">
        <v>261</v>
      </c>
      <c r="D58" s="28" t="s">
        <v>262</v>
      </c>
      <c r="E58" s="26">
        <v>45275.0</v>
      </c>
      <c r="F58" s="28" t="s">
        <v>46</v>
      </c>
    </row>
    <row r="59" ht="22.5" customHeight="1">
      <c r="A59" s="25">
        <v>58.0</v>
      </c>
      <c r="B59" s="28" t="s">
        <v>263</v>
      </c>
      <c r="C59" s="28" t="s">
        <v>264</v>
      </c>
      <c r="D59" s="28" t="s">
        <v>265</v>
      </c>
      <c r="E59" s="26">
        <v>45199.0</v>
      </c>
      <c r="F59" s="28" t="s">
        <v>43</v>
      </c>
    </row>
    <row r="60" ht="22.5" customHeight="1">
      <c r="A60" s="25">
        <v>59.0</v>
      </c>
      <c r="B60" s="28" t="s">
        <v>266</v>
      </c>
      <c r="C60" s="28" t="s">
        <v>267</v>
      </c>
      <c r="D60" s="28" t="s">
        <v>268</v>
      </c>
      <c r="E60" s="26">
        <v>45040.0</v>
      </c>
      <c r="F60" s="28" t="s">
        <v>46</v>
      </c>
    </row>
    <row r="61" ht="22.5" customHeight="1">
      <c r="A61" s="25">
        <v>60.0</v>
      </c>
      <c r="B61" s="28" t="s">
        <v>269</v>
      </c>
      <c r="C61" s="28" t="s">
        <v>270</v>
      </c>
      <c r="D61" s="28" t="s">
        <v>271</v>
      </c>
      <c r="E61" s="26">
        <v>45033.0</v>
      </c>
      <c r="F61" s="28" t="s">
        <v>45</v>
      </c>
    </row>
    <row r="62" ht="22.5" customHeight="1">
      <c r="A62" s="25">
        <v>61.0</v>
      </c>
      <c r="B62" s="28" t="s">
        <v>272</v>
      </c>
      <c r="C62" s="28" t="s">
        <v>273</v>
      </c>
      <c r="D62" s="28" t="s">
        <v>274</v>
      </c>
      <c r="E62" s="26">
        <v>45247.0</v>
      </c>
      <c r="F62" s="28" t="s">
        <v>43</v>
      </c>
    </row>
    <row r="63" ht="22.5" customHeight="1">
      <c r="A63" s="25">
        <v>62.0</v>
      </c>
      <c r="B63" s="28" t="s">
        <v>275</v>
      </c>
      <c r="C63" s="28" t="s">
        <v>276</v>
      </c>
      <c r="D63" s="28" t="s">
        <v>277</v>
      </c>
      <c r="E63" s="26">
        <v>45183.0</v>
      </c>
      <c r="F63" s="28" t="s">
        <v>45</v>
      </c>
    </row>
    <row r="64" ht="22.5" customHeight="1">
      <c r="A64" s="25">
        <v>63.0</v>
      </c>
      <c r="B64" s="28" t="s">
        <v>278</v>
      </c>
      <c r="C64" s="28" t="s">
        <v>279</v>
      </c>
      <c r="D64" s="28" t="s">
        <v>280</v>
      </c>
      <c r="E64" s="26">
        <v>45260.0</v>
      </c>
      <c r="F64" s="28" t="s">
        <v>43</v>
      </c>
    </row>
    <row r="65" ht="22.5" customHeight="1">
      <c r="A65" s="25">
        <v>64.0</v>
      </c>
      <c r="B65" s="28" t="s">
        <v>281</v>
      </c>
      <c r="C65" s="28" t="s">
        <v>282</v>
      </c>
      <c r="D65" s="28" t="s">
        <v>283</v>
      </c>
      <c r="E65" s="26">
        <v>45217.0</v>
      </c>
      <c r="F65" s="28" t="s">
        <v>45</v>
      </c>
    </row>
    <row r="66" ht="22.5" customHeight="1">
      <c r="A66" s="25">
        <v>65.0</v>
      </c>
      <c r="B66" s="28" t="s">
        <v>284</v>
      </c>
      <c r="C66" s="28" t="s">
        <v>285</v>
      </c>
      <c r="D66" s="28" t="s">
        <v>286</v>
      </c>
      <c r="E66" s="26">
        <v>45106.0</v>
      </c>
      <c r="F66" s="28" t="s">
        <v>43</v>
      </c>
    </row>
    <row r="67" ht="22.5" customHeight="1">
      <c r="A67" s="25">
        <v>66.0</v>
      </c>
      <c r="B67" s="28" t="s">
        <v>287</v>
      </c>
      <c r="C67" s="28" t="s">
        <v>288</v>
      </c>
      <c r="D67" s="28" t="s">
        <v>289</v>
      </c>
      <c r="E67" s="26">
        <v>45009.0</v>
      </c>
      <c r="F67" s="28" t="s">
        <v>43</v>
      </c>
    </row>
    <row r="68" ht="22.5" customHeight="1">
      <c r="A68" s="25">
        <v>67.0</v>
      </c>
      <c r="B68" s="28" t="s">
        <v>290</v>
      </c>
      <c r="C68" s="28" t="s">
        <v>291</v>
      </c>
      <c r="D68" s="28" t="s">
        <v>292</v>
      </c>
      <c r="E68" s="26">
        <v>45279.0</v>
      </c>
      <c r="F68" s="28" t="s">
        <v>45</v>
      </c>
    </row>
    <row r="69" ht="22.5" customHeight="1">
      <c r="A69" s="25">
        <v>68.0</v>
      </c>
      <c r="B69" s="28" t="s">
        <v>293</v>
      </c>
      <c r="C69" s="28" t="s">
        <v>294</v>
      </c>
      <c r="D69" s="28" t="s">
        <v>295</v>
      </c>
      <c r="E69" s="26">
        <v>45127.0</v>
      </c>
      <c r="F69" s="28" t="s">
        <v>47</v>
      </c>
    </row>
    <row r="70" ht="22.5" customHeight="1">
      <c r="A70" s="25">
        <v>69.0</v>
      </c>
      <c r="B70" s="28" t="s">
        <v>296</v>
      </c>
      <c r="C70" s="28" t="s">
        <v>297</v>
      </c>
      <c r="D70" s="28" t="s">
        <v>298</v>
      </c>
      <c r="E70" s="26">
        <v>45065.0</v>
      </c>
      <c r="F70" s="28" t="s">
        <v>49</v>
      </c>
    </row>
    <row r="71" ht="22.5" customHeight="1">
      <c r="A71" s="25">
        <v>70.0</v>
      </c>
      <c r="B71" s="28" t="s">
        <v>299</v>
      </c>
      <c r="C71" s="28" t="s">
        <v>300</v>
      </c>
      <c r="D71" s="28" t="s">
        <v>301</v>
      </c>
      <c r="E71" s="26">
        <v>45126.0</v>
      </c>
      <c r="F71" s="28" t="s">
        <v>46</v>
      </c>
    </row>
    <row r="72" ht="22.5" customHeight="1">
      <c r="A72" s="25">
        <v>71.0</v>
      </c>
      <c r="B72" s="28" t="s">
        <v>302</v>
      </c>
      <c r="C72" s="28" t="s">
        <v>303</v>
      </c>
      <c r="D72" s="28" t="s">
        <v>304</v>
      </c>
      <c r="E72" s="26">
        <v>45048.0</v>
      </c>
      <c r="F72" s="28" t="s">
        <v>43</v>
      </c>
    </row>
    <row r="73" ht="22.5" customHeight="1">
      <c r="A73" s="25">
        <v>72.0</v>
      </c>
      <c r="B73" s="28" t="s">
        <v>305</v>
      </c>
      <c r="C73" s="28" t="s">
        <v>306</v>
      </c>
      <c r="D73" s="28" t="s">
        <v>307</v>
      </c>
      <c r="E73" s="26">
        <v>45227.0</v>
      </c>
      <c r="F73" s="28" t="s">
        <v>46</v>
      </c>
    </row>
    <row r="74" ht="22.5" customHeight="1">
      <c r="A74" s="25">
        <v>73.0</v>
      </c>
      <c r="B74" s="28" t="s">
        <v>308</v>
      </c>
      <c r="C74" s="28" t="s">
        <v>309</v>
      </c>
      <c r="D74" s="28" t="s">
        <v>310</v>
      </c>
      <c r="E74" s="26">
        <v>45005.0</v>
      </c>
      <c r="F74" s="28" t="s">
        <v>46</v>
      </c>
    </row>
    <row r="75" ht="22.5" customHeight="1">
      <c r="A75" s="25">
        <v>74.0</v>
      </c>
      <c r="B75" s="28" t="s">
        <v>311</v>
      </c>
      <c r="C75" s="28" t="s">
        <v>312</v>
      </c>
      <c r="D75" s="28" t="s">
        <v>313</v>
      </c>
      <c r="E75" s="26">
        <v>45051.0</v>
      </c>
      <c r="F75" s="28" t="s">
        <v>47</v>
      </c>
    </row>
    <row r="76" ht="22.5" customHeight="1">
      <c r="A76" s="25">
        <v>75.0</v>
      </c>
      <c r="B76" s="28" t="s">
        <v>314</v>
      </c>
      <c r="C76" s="28" t="s">
        <v>315</v>
      </c>
      <c r="D76" s="28" t="s">
        <v>316</v>
      </c>
      <c r="E76" s="26">
        <v>45286.0</v>
      </c>
      <c r="F76" s="28" t="s">
        <v>45</v>
      </c>
    </row>
    <row r="77" ht="22.5" customHeight="1">
      <c r="A77" s="25">
        <v>76.0</v>
      </c>
      <c r="B77" s="28" t="s">
        <v>317</v>
      </c>
      <c r="C77" s="28" t="s">
        <v>318</v>
      </c>
      <c r="D77" s="28" t="s">
        <v>319</v>
      </c>
      <c r="E77" s="26">
        <v>45119.0</v>
      </c>
      <c r="F77" s="28" t="s">
        <v>46</v>
      </c>
    </row>
    <row r="78" ht="22.5" customHeight="1">
      <c r="A78" s="25">
        <v>77.0</v>
      </c>
      <c r="B78" s="28" t="s">
        <v>320</v>
      </c>
      <c r="C78" s="28" t="s">
        <v>321</v>
      </c>
      <c r="D78" s="28" t="s">
        <v>322</v>
      </c>
      <c r="E78" s="26">
        <v>45228.0</v>
      </c>
      <c r="F78" s="28" t="s">
        <v>43</v>
      </c>
    </row>
    <row r="79" ht="22.5" customHeight="1">
      <c r="A79" s="25">
        <v>78.0</v>
      </c>
      <c r="B79" s="28" t="s">
        <v>323</v>
      </c>
      <c r="C79" s="28" t="s">
        <v>324</v>
      </c>
      <c r="D79" s="28" t="s">
        <v>325</v>
      </c>
      <c r="E79" s="26">
        <v>45194.0</v>
      </c>
      <c r="F79" s="28" t="s">
        <v>43</v>
      </c>
    </row>
    <row r="80" ht="22.5" customHeight="1">
      <c r="A80" s="25">
        <v>79.0</v>
      </c>
      <c r="B80" s="28" t="s">
        <v>326</v>
      </c>
      <c r="C80" s="28" t="s">
        <v>327</v>
      </c>
      <c r="D80" s="28" t="s">
        <v>328</v>
      </c>
      <c r="E80" s="26">
        <v>45118.0</v>
      </c>
      <c r="F80" s="28" t="s">
        <v>47</v>
      </c>
    </row>
    <row r="81" ht="22.5" customHeight="1">
      <c r="A81" s="25">
        <v>80.0</v>
      </c>
      <c r="B81" s="28" t="s">
        <v>329</v>
      </c>
      <c r="C81" s="28" t="s">
        <v>330</v>
      </c>
      <c r="D81" s="28" t="s">
        <v>331</v>
      </c>
      <c r="E81" s="26">
        <v>45279.0</v>
      </c>
      <c r="F81" s="28" t="s">
        <v>45</v>
      </c>
    </row>
    <row r="82" ht="22.5" customHeight="1">
      <c r="A82" s="25">
        <v>81.0</v>
      </c>
      <c r="B82" s="28" t="s">
        <v>332</v>
      </c>
      <c r="C82" s="28" t="s">
        <v>333</v>
      </c>
      <c r="D82" s="28" t="s">
        <v>334</v>
      </c>
      <c r="E82" s="26">
        <v>45054.0</v>
      </c>
      <c r="F82" s="28" t="s">
        <v>43</v>
      </c>
    </row>
    <row r="83" ht="22.5" customHeight="1">
      <c r="A83" s="25">
        <v>82.0</v>
      </c>
      <c r="B83" s="28" t="s">
        <v>335</v>
      </c>
      <c r="C83" s="28" t="s">
        <v>336</v>
      </c>
      <c r="D83" s="28" t="s">
        <v>337</v>
      </c>
      <c r="E83" s="26">
        <v>45236.0</v>
      </c>
      <c r="F83" s="28" t="s">
        <v>43</v>
      </c>
    </row>
    <row r="84" ht="22.5" customHeight="1">
      <c r="A84" s="25">
        <v>83.0</v>
      </c>
      <c r="B84" s="28" t="s">
        <v>338</v>
      </c>
      <c r="C84" s="28" t="s">
        <v>339</v>
      </c>
      <c r="D84" s="28" t="s">
        <v>340</v>
      </c>
      <c r="E84" s="26">
        <v>45183.0</v>
      </c>
      <c r="F84" s="28" t="s">
        <v>43</v>
      </c>
    </row>
    <row r="85" ht="22.5" customHeight="1">
      <c r="A85" s="25">
        <v>84.0</v>
      </c>
      <c r="B85" s="28" t="s">
        <v>341</v>
      </c>
      <c r="C85" s="28" t="s">
        <v>342</v>
      </c>
      <c r="D85" s="28" t="s">
        <v>343</v>
      </c>
      <c r="E85" s="26">
        <v>45246.0</v>
      </c>
      <c r="F85" s="28" t="s">
        <v>43</v>
      </c>
    </row>
    <row r="86" ht="22.5" customHeight="1">
      <c r="A86" s="25">
        <v>85.0</v>
      </c>
      <c r="B86" s="28" t="s">
        <v>344</v>
      </c>
      <c r="C86" s="28" t="s">
        <v>345</v>
      </c>
      <c r="D86" s="28" t="s">
        <v>346</v>
      </c>
      <c r="E86" s="26">
        <v>45018.0</v>
      </c>
      <c r="F86" s="28" t="s">
        <v>49</v>
      </c>
    </row>
    <row r="87" ht="22.5" customHeight="1">
      <c r="A87" s="25">
        <v>86.0</v>
      </c>
      <c r="B87" s="28" t="s">
        <v>347</v>
      </c>
      <c r="C87" s="28" t="s">
        <v>348</v>
      </c>
      <c r="D87" s="28" t="s">
        <v>349</v>
      </c>
      <c r="E87" s="26">
        <v>45020.0</v>
      </c>
      <c r="F87" s="28" t="s">
        <v>47</v>
      </c>
    </row>
    <row r="88" ht="22.5" customHeight="1">
      <c r="A88" s="25">
        <v>87.0</v>
      </c>
      <c r="B88" s="28" t="s">
        <v>350</v>
      </c>
      <c r="C88" s="28" t="s">
        <v>351</v>
      </c>
      <c r="D88" s="28" t="s">
        <v>352</v>
      </c>
      <c r="E88" s="26">
        <v>45160.0</v>
      </c>
      <c r="F88" s="28" t="s">
        <v>47</v>
      </c>
    </row>
    <row r="89" ht="22.5" customHeight="1">
      <c r="A89" s="25">
        <v>88.0</v>
      </c>
      <c r="B89" s="28" t="s">
        <v>353</v>
      </c>
      <c r="C89" s="28" t="s">
        <v>354</v>
      </c>
      <c r="D89" s="28" t="s">
        <v>355</v>
      </c>
      <c r="E89" s="26">
        <v>45266.0</v>
      </c>
      <c r="F89" s="28" t="s">
        <v>47</v>
      </c>
    </row>
    <row r="90" ht="22.5" customHeight="1">
      <c r="A90" s="25">
        <v>89.0</v>
      </c>
      <c r="B90" s="28" t="s">
        <v>356</v>
      </c>
      <c r="C90" s="28" t="s">
        <v>357</v>
      </c>
      <c r="D90" s="28" t="s">
        <v>358</v>
      </c>
      <c r="E90" s="26">
        <v>45019.0</v>
      </c>
      <c r="F90" s="28" t="s">
        <v>47</v>
      </c>
    </row>
    <row r="91" ht="22.5" customHeight="1">
      <c r="A91" s="25">
        <v>90.0</v>
      </c>
      <c r="B91" s="28" t="s">
        <v>359</v>
      </c>
      <c r="C91" s="28" t="s">
        <v>360</v>
      </c>
      <c r="D91" s="28" t="s">
        <v>361</v>
      </c>
      <c r="E91" s="26">
        <v>45147.0</v>
      </c>
      <c r="F91" s="28" t="s">
        <v>43</v>
      </c>
    </row>
    <row r="92" ht="22.5" customHeight="1">
      <c r="A92" s="25">
        <v>91.0</v>
      </c>
      <c r="B92" s="28" t="s">
        <v>362</v>
      </c>
      <c r="C92" s="28" t="s">
        <v>363</v>
      </c>
      <c r="D92" s="28" t="s">
        <v>364</v>
      </c>
      <c r="E92" s="26">
        <v>45062.0</v>
      </c>
      <c r="F92" s="28" t="s">
        <v>43</v>
      </c>
    </row>
    <row r="93" ht="22.5" customHeight="1">
      <c r="A93" s="25">
        <v>92.0</v>
      </c>
      <c r="B93" s="28" t="s">
        <v>365</v>
      </c>
      <c r="C93" s="28" t="s">
        <v>366</v>
      </c>
      <c r="D93" s="28" t="s">
        <v>367</v>
      </c>
      <c r="E93" s="26">
        <v>45204.0</v>
      </c>
      <c r="F93" s="28" t="s">
        <v>47</v>
      </c>
    </row>
    <row r="94" ht="22.5" customHeight="1">
      <c r="A94" s="25">
        <v>93.0</v>
      </c>
      <c r="B94" s="28" t="s">
        <v>368</v>
      </c>
      <c r="C94" s="28" t="s">
        <v>369</v>
      </c>
      <c r="D94" s="28" t="s">
        <v>370</v>
      </c>
      <c r="E94" s="26">
        <v>45079.0</v>
      </c>
      <c r="F94" s="28" t="s">
        <v>43</v>
      </c>
    </row>
    <row r="95" ht="22.5" customHeight="1">
      <c r="A95" s="25">
        <v>94.0</v>
      </c>
      <c r="B95" s="28" t="s">
        <v>371</v>
      </c>
      <c r="C95" s="28" t="s">
        <v>372</v>
      </c>
      <c r="D95" s="28" t="s">
        <v>373</v>
      </c>
      <c r="E95" s="26">
        <v>45197.0</v>
      </c>
      <c r="F95" s="28" t="s">
        <v>46</v>
      </c>
    </row>
    <row r="96" ht="22.5" customHeight="1">
      <c r="A96" s="25">
        <v>95.0</v>
      </c>
      <c r="B96" s="28" t="s">
        <v>374</v>
      </c>
      <c r="C96" s="28" t="s">
        <v>375</v>
      </c>
      <c r="D96" s="28" t="s">
        <v>376</v>
      </c>
      <c r="E96" s="26">
        <v>45072.0</v>
      </c>
      <c r="F96" s="28" t="s">
        <v>43</v>
      </c>
    </row>
    <row r="97" ht="22.5" customHeight="1">
      <c r="A97" s="25">
        <v>96.0</v>
      </c>
      <c r="B97" s="28" t="s">
        <v>377</v>
      </c>
      <c r="C97" s="28" t="s">
        <v>378</v>
      </c>
      <c r="D97" s="28" t="s">
        <v>379</v>
      </c>
      <c r="E97" s="26">
        <v>45146.0</v>
      </c>
      <c r="F97" s="28" t="s">
        <v>43</v>
      </c>
    </row>
    <row r="98" ht="22.5" customHeight="1">
      <c r="A98" s="25">
        <v>97.0</v>
      </c>
      <c r="B98" s="28" t="s">
        <v>380</v>
      </c>
      <c r="C98" s="28" t="s">
        <v>101</v>
      </c>
      <c r="D98" s="28" t="s">
        <v>381</v>
      </c>
      <c r="E98" s="26">
        <v>45020.0</v>
      </c>
      <c r="F98" s="28" t="s">
        <v>43</v>
      </c>
    </row>
    <row r="99" ht="22.5" customHeight="1">
      <c r="A99" s="25">
        <v>98.0</v>
      </c>
      <c r="B99" s="28" t="s">
        <v>382</v>
      </c>
      <c r="C99" s="28" t="s">
        <v>383</v>
      </c>
      <c r="D99" s="28" t="s">
        <v>384</v>
      </c>
      <c r="E99" s="26">
        <v>45250.0</v>
      </c>
      <c r="F99" s="28" t="s">
        <v>46</v>
      </c>
    </row>
    <row r="100" ht="22.5" customHeight="1">
      <c r="A100" s="25">
        <v>99.0</v>
      </c>
      <c r="B100" s="28" t="s">
        <v>385</v>
      </c>
      <c r="C100" s="28" t="s">
        <v>386</v>
      </c>
      <c r="D100" s="28" t="s">
        <v>387</v>
      </c>
      <c r="E100" s="26">
        <v>45147.0</v>
      </c>
      <c r="F100" s="28" t="s">
        <v>43</v>
      </c>
    </row>
    <row r="101" ht="22.5" customHeight="1">
      <c r="A101" s="25">
        <v>100.0</v>
      </c>
      <c r="B101" s="28" t="s">
        <v>388</v>
      </c>
      <c r="C101" s="28" t="s">
        <v>389</v>
      </c>
      <c r="D101" s="28" t="s">
        <v>390</v>
      </c>
      <c r="E101" s="26">
        <v>45131.0</v>
      </c>
      <c r="F101" s="28" t="s">
        <v>45</v>
      </c>
    </row>
    <row r="102" ht="22.5" customHeight="1">
      <c r="A102" s="25">
        <v>101.0</v>
      </c>
      <c r="B102" s="28" t="s">
        <v>391</v>
      </c>
      <c r="C102" s="28" t="s">
        <v>392</v>
      </c>
      <c r="D102" s="28" t="s">
        <v>393</v>
      </c>
      <c r="E102" s="26">
        <v>45221.0</v>
      </c>
      <c r="F102" s="28" t="s">
        <v>43</v>
      </c>
    </row>
    <row r="103" ht="22.5" customHeight="1">
      <c r="A103" s="25">
        <v>102.0</v>
      </c>
      <c r="B103" s="28" t="s">
        <v>394</v>
      </c>
      <c r="C103" s="28" t="s">
        <v>395</v>
      </c>
      <c r="D103" s="28" t="s">
        <v>396</v>
      </c>
      <c r="E103" s="26">
        <v>45060.0</v>
      </c>
      <c r="F103" s="28" t="s">
        <v>47</v>
      </c>
    </row>
    <row r="104" ht="22.5" customHeight="1">
      <c r="A104" s="25">
        <v>103.0</v>
      </c>
      <c r="B104" s="28" t="s">
        <v>397</v>
      </c>
      <c r="C104" s="28" t="s">
        <v>398</v>
      </c>
      <c r="D104" s="28" t="s">
        <v>399</v>
      </c>
      <c r="E104" s="26">
        <v>45185.0</v>
      </c>
      <c r="F104" s="28" t="s">
        <v>47</v>
      </c>
    </row>
    <row r="105" ht="22.5" customHeight="1">
      <c r="A105" s="25">
        <v>104.0</v>
      </c>
      <c r="B105" s="28" t="s">
        <v>400</v>
      </c>
      <c r="C105" s="28" t="s">
        <v>401</v>
      </c>
      <c r="D105" s="28" t="s">
        <v>402</v>
      </c>
      <c r="E105" s="26">
        <v>45056.0</v>
      </c>
      <c r="F105" s="28" t="s">
        <v>43</v>
      </c>
    </row>
    <row r="106" ht="22.5" customHeight="1">
      <c r="A106" s="25">
        <v>105.0</v>
      </c>
      <c r="B106" s="28" t="s">
        <v>403</v>
      </c>
      <c r="C106" s="28" t="s">
        <v>404</v>
      </c>
      <c r="D106" s="28" t="s">
        <v>405</v>
      </c>
      <c r="E106" s="26">
        <v>45081.0</v>
      </c>
      <c r="F106" s="28" t="s">
        <v>43</v>
      </c>
    </row>
    <row r="107" ht="22.5" customHeight="1">
      <c r="A107" s="25">
        <v>106.0</v>
      </c>
      <c r="B107" s="28" t="s">
        <v>406</v>
      </c>
      <c r="C107" s="28" t="s">
        <v>407</v>
      </c>
      <c r="D107" s="28" t="s">
        <v>408</v>
      </c>
      <c r="E107" s="26">
        <v>45100.0</v>
      </c>
      <c r="F107" s="28" t="s">
        <v>45</v>
      </c>
    </row>
    <row r="108" ht="22.5" customHeight="1">
      <c r="A108" s="25">
        <v>107.0</v>
      </c>
      <c r="B108" s="28" t="s">
        <v>409</v>
      </c>
      <c r="C108" s="28" t="s">
        <v>410</v>
      </c>
      <c r="D108" s="28" t="s">
        <v>411</v>
      </c>
      <c r="E108" s="26">
        <v>45118.0</v>
      </c>
      <c r="F108" s="28" t="s">
        <v>47</v>
      </c>
    </row>
    <row r="109" ht="22.5" customHeight="1">
      <c r="A109" s="25">
        <v>108.0</v>
      </c>
      <c r="B109" s="28" t="s">
        <v>412</v>
      </c>
      <c r="C109" s="28" t="s">
        <v>413</v>
      </c>
      <c r="D109" s="28" t="s">
        <v>414</v>
      </c>
      <c r="E109" s="26">
        <v>45081.0</v>
      </c>
      <c r="F109" s="28" t="s">
        <v>47</v>
      </c>
    </row>
    <row r="110" ht="22.5" customHeight="1">
      <c r="A110" s="25">
        <v>109.0</v>
      </c>
      <c r="B110" s="28" t="s">
        <v>415</v>
      </c>
      <c r="C110" s="28" t="s">
        <v>416</v>
      </c>
      <c r="D110" s="28" t="s">
        <v>417</v>
      </c>
      <c r="E110" s="26">
        <v>45166.0</v>
      </c>
      <c r="F110" s="28" t="s">
        <v>49</v>
      </c>
    </row>
    <row r="111" ht="22.5" customHeight="1">
      <c r="A111" s="25">
        <v>110.0</v>
      </c>
      <c r="B111" s="28" t="s">
        <v>418</v>
      </c>
      <c r="C111" s="28" t="s">
        <v>419</v>
      </c>
      <c r="D111" s="28" t="s">
        <v>420</v>
      </c>
      <c r="E111" s="26">
        <v>45091.0</v>
      </c>
      <c r="F111" s="28" t="s">
        <v>45</v>
      </c>
    </row>
    <row r="112" ht="22.5" customHeight="1">
      <c r="A112" s="25">
        <v>111.0</v>
      </c>
      <c r="B112" s="28" t="s">
        <v>421</v>
      </c>
      <c r="C112" s="28" t="s">
        <v>422</v>
      </c>
      <c r="D112" s="28" t="s">
        <v>423</v>
      </c>
      <c r="E112" s="26">
        <v>45006.0</v>
      </c>
      <c r="F112" s="28" t="s">
        <v>49</v>
      </c>
    </row>
    <row r="113" ht="22.5" customHeight="1">
      <c r="A113" s="25">
        <v>112.0</v>
      </c>
      <c r="B113" s="28" t="s">
        <v>424</v>
      </c>
      <c r="C113" s="28" t="s">
        <v>425</v>
      </c>
      <c r="D113" s="28" t="s">
        <v>426</v>
      </c>
      <c r="E113" s="26">
        <v>45279.0</v>
      </c>
      <c r="F113" s="28" t="s">
        <v>45</v>
      </c>
    </row>
    <row r="114" ht="22.5" customHeight="1">
      <c r="A114" s="25">
        <v>113.0</v>
      </c>
      <c r="B114" s="28" t="s">
        <v>427</v>
      </c>
      <c r="C114" s="28" t="s">
        <v>428</v>
      </c>
      <c r="D114" s="28" t="s">
        <v>429</v>
      </c>
      <c r="E114" s="26">
        <v>45135.0</v>
      </c>
      <c r="F114" s="28" t="s">
        <v>43</v>
      </c>
    </row>
    <row r="115" ht="22.5" customHeight="1">
      <c r="A115" s="25">
        <v>114.0</v>
      </c>
      <c r="B115" s="28" t="s">
        <v>430</v>
      </c>
      <c r="C115" s="28" t="s">
        <v>431</v>
      </c>
      <c r="D115" s="28" t="s">
        <v>432</v>
      </c>
      <c r="E115" s="26">
        <v>45027.0</v>
      </c>
      <c r="F115" s="28" t="s">
        <v>46</v>
      </c>
    </row>
    <row r="116" ht="22.5" customHeight="1">
      <c r="A116" s="25">
        <v>115.0</v>
      </c>
      <c r="B116" s="28" t="s">
        <v>433</v>
      </c>
      <c r="C116" s="28" t="s">
        <v>434</v>
      </c>
      <c r="D116" s="28" t="s">
        <v>435</v>
      </c>
      <c r="E116" s="26">
        <v>45244.0</v>
      </c>
      <c r="F116" s="28" t="s">
        <v>49</v>
      </c>
    </row>
    <row r="117" ht="22.5" customHeight="1">
      <c r="A117" s="25">
        <v>116.0</v>
      </c>
      <c r="B117" s="28" t="s">
        <v>436</v>
      </c>
      <c r="C117" s="28" t="s">
        <v>437</v>
      </c>
      <c r="D117" s="28" t="s">
        <v>438</v>
      </c>
      <c r="E117" s="26">
        <v>45121.0</v>
      </c>
      <c r="F117" s="28" t="s">
        <v>43</v>
      </c>
    </row>
    <row r="118" ht="22.5" customHeight="1">
      <c r="A118" s="25">
        <v>117.0</v>
      </c>
      <c r="B118" s="28" t="s">
        <v>439</v>
      </c>
      <c r="C118" s="28" t="s">
        <v>440</v>
      </c>
      <c r="D118" s="28" t="s">
        <v>441</v>
      </c>
      <c r="E118" s="26">
        <v>45222.0</v>
      </c>
      <c r="F118" s="28" t="s">
        <v>48</v>
      </c>
    </row>
    <row r="119" ht="22.5" customHeight="1">
      <c r="A119" s="25">
        <v>118.0</v>
      </c>
      <c r="B119" s="28" t="s">
        <v>442</v>
      </c>
      <c r="C119" s="28" t="s">
        <v>443</v>
      </c>
      <c r="D119" s="28" t="s">
        <v>444</v>
      </c>
      <c r="E119" s="26">
        <v>45137.0</v>
      </c>
      <c r="F119" s="28" t="s">
        <v>46</v>
      </c>
    </row>
    <row r="120" ht="22.5" customHeight="1">
      <c r="A120" s="25">
        <v>119.0</v>
      </c>
      <c r="B120" s="28" t="s">
        <v>445</v>
      </c>
      <c r="C120" s="28" t="s">
        <v>446</v>
      </c>
      <c r="D120" s="28" t="s">
        <v>447</v>
      </c>
      <c r="E120" s="26">
        <v>45254.0</v>
      </c>
      <c r="F120" s="28" t="s">
        <v>47</v>
      </c>
    </row>
    <row r="121" ht="22.5" customHeight="1">
      <c r="A121" s="25">
        <v>120.0</v>
      </c>
      <c r="B121" s="28" t="s">
        <v>448</v>
      </c>
      <c r="C121" s="28" t="s">
        <v>449</v>
      </c>
      <c r="D121" s="28" t="s">
        <v>450</v>
      </c>
      <c r="E121" s="26">
        <v>45184.0</v>
      </c>
      <c r="F121" s="28" t="s">
        <v>43</v>
      </c>
    </row>
    <row r="122" ht="22.5" customHeight="1">
      <c r="A122" s="25">
        <v>121.0</v>
      </c>
      <c r="B122" s="28" t="s">
        <v>451</v>
      </c>
      <c r="C122" s="28" t="s">
        <v>452</v>
      </c>
      <c r="D122" s="28" t="s">
        <v>453</v>
      </c>
      <c r="E122" s="26">
        <v>45187.0</v>
      </c>
      <c r="F122" s="28" t="s">
        <v>49</v>
      </c>
    </row>
    <row r="123" ht="22.5" customHeight="1">
      <c r="A123" s="25">
        <v>122.0</v>
      </c>
      <c r="B123" s="28" t="s">
        <v>454</v>
      </c>
      <c r="C123" s="28" t="s">
        <v>455</v>
      </c>
      <c r="D123" s="28" t="s">
        <v>456</v>
      </c>
      <c r="E123" s="26">
        <v>45074.0</v>
      </c>
      <c r="F123" s="28" t="s">
        <v>46</v>
      </c>
    </row>
    <row r="124" ht="22.5" customHeight="1">
      <c r="A124" s="25">
        <v>123.0</v>
      </c>
      <c r="B124" s="28" t="s">
        <v>457</v>
      </c>
      <c r="C124" s="28" t="s">
        <v>458</v>
      </c>
      <c r="D124" s="28" t="s">
        <v>459</v>
      </c>
      <c r="E124" s="26">
        <v>45223.0</v>
      </c>
      <c r="F124" s="28" t="s">
        <v>47</v>
      </c>
    </row>
    <row r="125" ht="22.5" customHeight="1">
      <c r="A125" s="25">
        <v>124.0</v>
      </c>
      <c r="B125" s="28" t="s">
        <v>460</v>
      </c>
      <c r="C125" s="28" t="s">
        <v>461</v>
      </c>
      <c r="D125" s="28" t="s">
        <v>462</v>
      </c>
      <c r="E125" s="26">
        <v>45172.0</v>
      </c>
      <c r="F125" s="28" t="s">
        <v>45</v>
      </c>
    </row>
    <row r="126" ht="22.5" customHeight="1">
      <c r="A126" s="25">
        <v>125.0</v>
      </c>
      <c r="B126" s="28" t="s">
        <v>463</v>
      </c>
      <c r="C126" s="28" t="s">
        <v>464</v>
      </c>
      <c r="D126" s="28" t="s">
        <v>465</v>
      </c>
      <c r="E126" s="26">
        <v>45249.0</v>
      </c>
      <c r="F126" s="28" t="s">
        <v>47</v>
      </c>
    </row>
    <row r="127" ht="22.5" customHeight="1">
      <c r="A127" s="25">
        <v>126.0</v>
      </c>
      <c r="B127" s="28" t="s">
        <v>466</v>
      </c>
      <c r="C127" s="28" t="s">
        <v>467</v>
      </c>
      <c r="D127" s="28" t="s">
        <v>468</v>
      </c>
      <c r="E127" s="26">
        <v>45127.0</v>
      </c>
      <c r="F127" s="28" t="s">
        <v>49</v>
      </c>
    </row>
    <row r="128" ht="22.5" customHeight="1">
      <c r="A128" s="25">
        <v>127.0</v>
      </c>
      <c r="B128" s="28" t="s">
        <v>469</v>
      </c>
      <c r="C128" s="28" t="s">
        <v>470</v>
      </c>
      <c r="D128" s="28" t="s">
        <v>471</v>
      </c>
      <c r="E128" s="26">
        <v>45212.0</v>
      </c>
      <c r="F128" s="28" t="s">
        <v>43</v>
      </c>
    </row>
    <row r="129" ht="22.5" customHeight="1">
      <c r="A129" s="25">
        <v>128.0</v>
      </c>
      <c r="B129" s="28" t="s">
        <v>472</v>
      </c>
      <c r="C129" s="28" t="s">
        <v>473</v>
      </c>
      <c r="D129" s="28" t="s">
        <v>474</v>
      </c>
      <c r="E129" s="26">
        <v>45262.0</v>
      </c>
      <c r="F129" s="28" t="s">
        <v>43</v>
      </c>
    </row>
    <row r="130" ht="22.5" customHeight="1">
      <c r="A130" s="25">
        <v>129.0</v>
      </c>
      <c r="B130" s="28" t="s">
        <v>475</v>
      </c>
      <c r="C130" s="28" t="s">
        <v>476</v>
      </c>
      <c r="D130" s="28" t="s">
        <v>477</v>
      </c>
      <c r="E130" s="26">
        <v>45004.0</v>
      </c>
      <c r="F130" s="28" t="s">
        <v>47</v>
      </c>
    </row>
    <row r="131" ht="22.5" customHeight="1">
      <c r="A131" s="25">
        <v>130.0</v>
      </c>
      <c r="B131" s="28" t="s">
        <v>478</v>
      </c>
      <c r="C131" s="28" t="s">
        <v>479</v>
      </c>
      <c r="D131" s="28" t="s">
        <v>480</v>
      </c>
      <c r="E131" s="26">
        <v>45177.0</v>
      </c>
      <c r="F131" s="28" t="s">
        <v>43</v>
      </c>
    </row>
    <row r="132" ht="22.5" customHeight="1">
      <c r="A132" s="25">
        <v>131.0</v>
      </c>
      <c r="B132" s="28" t="s">
        <v>481</v>
      </c>
      <c r="C132" s="28" t="s">
        <v>482</v>
      </c>
      <c r="D132" s="28" t="s">
        <v>483</v>
      </c>
      <c r="E132" s="26">
        <v>45115.0</v>
      </c>
      <c r="F132" s="28" t="s">
        <v>43</v>
      </c>
    </row>
    <row r="133" ht="22.5" customHeight="1">
      <c r="A133" s="25">
        <v>132.0</v>
      </c>
      <c r="B133" s="28" t="s">
        <v>484</v>
      </c>
      <c r="C133" s="28" t="s">
        <v>485</v>
      </c>
      <c r="D133" s="28" t="s">
        <v>486</v>
      </c>
      <c r="E133" s="26">
        <v>45274.0</v>
      </c>
      <c r="F133" s="28" t="s">
        <v>43</v>
      </c>
    </row>
    <row r="134" ht="22.5" customHeight="1">
      <c r="A134" s="25">
        <v>133.0</v>
      </c>
      <c r="B134" s="28" t="s">
        <v>487</v>
      </c>
      <c r="C134" s="28" t="s">
        <v>488</v>
      </c>
      <c r="D134" s="28" t="s">
        <v>489</v>
      </c>
      <c r="E134" s="26">
        <v>45123.0</v>
      </c>
      <c r="F134" s="28" t="s">
        <v>43</v>
      </c>
    </row>
    <row r="135" ht="22.5" customHeight="1">
      <c r="A135" s="25">
        <v>134.0</v>
      </c>
      <c r="B135" s="28" t="s">
        <v>490</v>
      </c>
      <c r="C135" s="28" t="s">
        <v>491</v>
      </c>
      <c r="D135" s="28" t="s">
        <v>492</v>
      </c>
      <c r="E135" s="26">
        <v>45141.0</v>
      </c>
      <c r="F135" s="28" t="s">
        <v>49</v>
      </c>
    </row>
    <row r="136" ht="22.5" customHeight="1">
      <c r="A136" s="25">
        <v>135.0</v>
      </c>
      <c r="B136" s="28" t="s">
        <v>493</v>
      </c>
      <c r="C136" s="28" t="s">
        <v>494</v>
      </c>
      <c r="D136" s="28" t="s">
        <v>495</v>
      </c>
      <c r="E136" s="26">
        <v>45245.0</v>
      </c>
      <c r="F136" s="28" t="s">
        <v>49</v>
      </c>
    </row>
    <row r="137" ht="22.5" customHeight="1">
      <c r="A137" s="25">
        <v>136.0</v>
      </c>
      <c r="B137" s="28" t="s">
        <v>496</v>
      </c>
      <c r="C137" s="28" t="s">
        <v>497</v>
      </c>
      <c r="D137" s="28" t="s">
        <v>498</v>
      </c>
      <c r="E137" s="26">
        <v>45016.0</v>
      </c>
      <c r="F137" s="28" t="s">
        <v>47</v>
      </c>
    </row>
    <row r="138" ht="22.5" customHeight="1">
      <c r="A138" s="25">
        <v>137.0</v>
      </c>
      <c r="B138" s="28" t="s">
        <v>499</v>
      </c>
      <c r="C138" s="28" t="s">
        <v>500</v>
      </c>
      <c r="D138" s="28" t="s">
        <v>501</v>
      </c>
      <c r="E138" s="26">
        <v>45200.0</v>
      </c>
      <c r="F138" s="28" t="s">
        <v>47</v>
      </c>
    </row>
    <row r="139" ht="22.5" customHeight="1">
      <c r="A139" s="25">
        <v>138.0</v>
      </c>
      <c r="B139" s="28" t="s">
        <v>502</v>
      </c>
      <c r="C139" s="28" t="s">
        <v>503</v>
      </c>
      <c r="D139" s="28" t="s">
        <v>504</v>
      </c>
      <c r="E139" s="26">
        <v>45025.0</v>
      </c>
      <c r="F139" s="28" t="s">
        <v>43</v>
      </c>
    </row>
    <row r="140" ht="22.5" customHeight="1">
      <c r="A140" s="25">
        <v>139.0</v>
      </c>
      <c r="B140" s="28" t="s">
        <v>505</v>
      </c>
      <c r="C140" s="28" t="s">
        <v>506</v>
      </c>
      <c r="D140" s="28" t="s">
        <v>507</v>
      </c>
      <c r="E140" s="26">
        <v>45055.0</v>
      </c>
      <c r="F140" s="28" t="s">
        <v>43</v>
      </c>
    </row>
    <row r="141" ht="22.5" customHeight="1">
      <c r="A141" s="25">
        <v>140.0</v>
      </c>
      <c r="B141" s="28" t="s">
        <v>508</v>
      </c>
      <c r="C141" s="28" t="s">
        <v>509</v>
      </c>
      <c r="D141" s="28" t="s">
        <v>510</v>
      </c>
      <c r="E141" s="26">
        <v>45209.0</v>
      </c>
      <c r="F141" s="28" t="s">
        <v>45</v>
      </c>
    </row>
    <row r="142" ht="22.5" customHeight="1">
      <c r="A142" s="25">
        <v>141.0</v>
      </c>
      <c r="B142" s="28" t="s">
        <v>511</v>
      </c>
      <c r="C142" s="28" t="s">
        <v>512</v>
      </c>
      <c r="D142" s="28" t="s">
        <v>513</v>
      </c>
      <c r="E142" s="26">
        <v>45007.0</v>
      </c>
      <c r="F142" s="28" t="s">
        <v>45</v>
      </c>
    </row>
    <row r="143" ht="22.5" customHeight="1">
      <c r="A143" s="25">
        <v>142.0</v>
      </c>
      <c r="B143" s="28" t="s">
        <v>514</v>
      </c>
      <c r="C143" s="28" t="s">
        <v>515</v>
      </c>
      <c r="D143" s="28" t="s">
        <v>516</v>
      </c>
      <c r="E143" s="26">
        <v>45054.0</v>
      </c>
      <c r="F143" s="28" t="s">
        <v>49</v>
      </c>
    </row>
    <row r="144" ht="22.5" customHeight="1">
      <c r="A144" s="25">
        <v>143.0</v>
      </c>
      <c r="B144" s="28" t="s">
        <v>517</v>
      </c>
      <c r="C144" s="28" t="s">
        <v>518</v>
      </c>
      <c r="D144" s="28" t="s">
        <v>519</v>
      </c>
      <c r="E144" s="26">
        <v>45244.0</v>
      </c>
      <c r="F144" s="28" t="s">
        <v>43</v>
      </c>
    </row>
    <row r="145" ht="22.5" customHeight="1">
      <c r="A145" s="25">
        <v>144.0</v>
      </c>
      <c r="B145" s="28" t="s">
        <v>520</v>
      </c>
      <c r="C145" s="28" t="s">
        <v>521</v>
      </c>
      <c r="D145" s="28" t="s">
        <v>522</v>
      </c>
      <c r="E145" s="26">
        <v>45093.0</v>
      </c>
      <c r="F145" s="28" t="s">
        <v>45</v>
      </c>
    </row>
    <row r="146" ht="22.5" customHeight="1">
      <c r="A146" s="25">
        <v>145.0</v>
      </c>
      <c r="B146" s="28" t="s">
        <v>523</v>
      </c>
      <c r="C146" s="28" t="s">
        <v>524</v>
      </c>
      <c r="D146" s="28" t="s">
        <v>525</v>
      </c>
      <c r="E146" s="26">
        <v>45024.0</v>
      </c>
      <c r="F146" s="28" t="s">
        <v>43</v>
      </c>
    </row>
    <row r="147" ht="22.5" customHeight="1">
      <c r="A147" s="25">
        <v>146.0</v>
      </c>
      <c r="B147" s="28" t="s">
        <v>526</v>
      </c>
      <c r="C147" s="28" t="s">
        <v>527</v>
      </c>
      <c r="D147" s="28" t="s">
        <v>528</v>
      </c>
      <c r="E147" s="26">
        <v>45234.0</v>
      </c>
      <c r="F147" s="28" t="s">
        <v>49</v>
      </c>
    </row>
    <row r="148" ht="22.5" customHeight="1">
      <c r="A148" s="25">
        <v>147.0</v>
      </c>
      <c r="B148" s="28" t="s">
        <v>529</v>
      </c>
      <c r="C148" s="28" t="s">
        <v>530</v>
      </c>
      <c r="D148" s="28" t="s">
        <v>531</v>
      </c>
      <c r="E148" s="26">
        <v>45244.0</v>
      </c>
      <c r="F148" s="28" t="s">
        <v>49</v>
      </c>
    </row>
    <row r="149" ht="22.5" customHeight="1">
      <c r="A149" s="25">
        <v>148.0</v>
      </c>
      <c r="B149" s="28" t="s">
        <v>532</v>
      </c>
      <c r="C149" s="28" t="s">
        <v>533</v>
      </c>
      <c r="D149" s="28" t="s">
        <v>534</v>
      </c>
      <c r="E149" s="26">
        <v>45004.0</v>
      </c>
      <c r="F149" s="28" t="s">
        <v>46</v>
      </c>
    </row>
    <row r="150" ht="22.5" customHeight="1">
      <c r="A150" s="25">
        <v>149.0</v>
      </c>
      <c r="B150" s="28" t="s">
        <v>535</v>
      </c>
      <c r="C150" s="28" t="s">
        <v>536</v>
      </c>
      <c r="D150" s="28" t="s">
        <v>537</v>
      </c>
      <c r="E150" s="26">
        <v>45246.0</v>
      </c>
      <c r="F150" s="28" t="s">
        <v>49</v>
      </c>
    </row>
    <row r="151" ht="22.5" customHeight="1">
      <c r="A151" s="25">
        <v>150.0</v>
      </c>
      <c r="B151" s="28" t="s">
        <v>538</v>
      </c>
      <c r="C151" s="28" t="s">
        <v>539</v>
      </c>
      <c r="D151" s="28" t="s">
        <v>540</v>
      </c>
      <c r="E151" s="26">
        <v>45080.0</v>
      </c>
      <c r="F151" s="28" t="s">
        <v>43</v>
      </c>
    </row>
    <row r="152" ht="22.5" customHeight="1">
      <c r="A152" s="25">
        <v>151.0</v>
      </c>
      <c r="B152" s="28" t="s">
        <v>541</v>
      </c>
      <c r="C152" s="28" t="s">
        <v>542</v>
      </c>
      <c r="D152" s="28" t="s">
        <v>543</v>
      </c>
      <c r="E152" s="26">
        <v>45163.0</v>
      </c>
      <c r="F152" s="28" t="s">
        <v>43</v>
      </c>
    </row>
    <row r="153" ht="22.5" customHeight="1">
      <c r="A153" s="25">
        <v>152.0</v>
      </c>
      <c r="B153" s="28" t="s">
        <v>544</v>
      </c>
      <c r="C153" s="28" t="s">
        <v>545</v>
      </c>
      <c r="D153" s="28" t="s">
        <v>546</v>
      </c>
      <c r="E153" s="26">
        <v>45165.0</v>
      </c>
      <c r="F153" s="28" t="s">
        <v>48</v>
      </c>
    </row>
    <row r="154" ht="22.5" customHeight="1">
      <c r="A154" s="25">
        <v>153.0</v>
      </c>
      <c r="B154" s="28" t="s">
        <v>547</v>
      </c>
      <c r="C154" s="28" t="s">
        <v>548</v>
      </c>
      <c r="D154" s="28" t="s">
        <v>549</v>
      </c>
      <c r="E154" s="26">
        <v>45198.0</v>
      </c>
      <c r="F154" s="28" t="s">
        <v>49</v>
      </c>
    </row>
    <row r="155" ht="22.5" customHeight="1">
      <c r="A155" s="25">
        <v>154.0</v>
      </c>
      <c r="B155" s="28" t="s">
        <v>550</v>
      </c>
      <c r="C155" s="28" t="s">
        <v>551</v>
      </c>
      <c r="D155" s="28" t="s">
        <v>552</v>
      </c>
      <c r="E155" s="26">
        <v>45203.0</v>
      </c>
      <c r="F155" s="28" t="s">
        <v>47</v>
      </c>
    </row>
    <row r="156" ht="22.5" customHeight="1">
      <c r="A156" s="25">
        <v>155.0</v>
      </c>
      <c r="B156" s="28" t="s">
        <v>553</v>
      </c>
      <c r="C156" s="28" t="s">
        <v>554</v>
      </c>
      <c r="D156" s="28" t="s">
        <v>555</v>
      </c>
      <c r="E156" s="26">
        <v>45278.0</v>
      </c>
      <c r="F156" s="28" t="s">
        <v>49</v>
      </c>
    </row>
    <row r="157" ht="22.5" customHeight="1">
      <c r="A157" s="25">
        <v>156.0</v>
      </c>
      <c r="B157" s="28" t="s">
        <v>556</v>
      </c>
      <c r="C157" s="28" t="s">
        <v>557</v>
      </c>
      <c r="D157" s="28" t="s">
        <v>558</v>
      </c>
      <c r="E157" s="26">
        <v>45225.0</v>
      </c>
      <c r="F157" s="28" t="s">
        <v>47</v>
      </c>
    </row>
    <row r="158" ht="22.5" customHeight="1">
      <c r="A158" s="25">
        <v>157.0</v>
      </c>
      <c r="B158" s="28" t="s">
        <v>559</v>
      </c>
      <c r="C158" s="28" t="s">
        <v>560</v>
      </c>
      <c r="D158" s="28" t="s">
        <v>561</v>
      </c>
      <c r="E158" s="26">
        <v>45068.0</v>
      </c>
      <c r="F158" s="28" t="s">
        <v>47</v>
      </c>
    </row>
    <row r="159" ht="22.5" customHeight="1">
      <c r="A159" s="25">
        <v>158.0</v>
      </c>
      <c r="B159" s="28" t="s">
        <v>562</v>
      </c>
      <c r="C159" s="28" t="s">
        <v>563</v>
      </c>
      <c r="D159" s="28" t="s">
        <v>564</v>
      </c>
      <c r="E159" s="26">
        <v>45048.0</v>
      </c>
      <c r="F159" s="28" t="s">
        <v>43</v>
      </c>
    </row>
    <row r="160" ht="22.5" customHeight="1">
      <c r="A160" s="25">
        <v>159.0</v>
      </c>
      <c r="B160" s="28" t="s">
        <v>565</v>
      </c>
      <c r="C160" s="28" t="s">
        <v>566</v>
      </c>
      <c r="D160" s="28" t="s">
        <v>567</v>
      </c>
      <c r="E160" s="26">
        <v>45027.0</v>
      </c>
      <c r="F160" s="28" t="s">
        <v>45</v>
      </c>
    </row>
    <row r="161" ht="22.5" customHeight="1">
      <c r="A161" s="25">
        <v>160.0</v>
      </c>
      <c r="B161" s="28" t="s">
        <v>568</v>
      </c>
      <c r="C161" s="28" t="s">
        <v>569</v>
      </c>
      <c r="D161" s="28" t="s">
        <v>570</v>
      </c>
      <c r="E161" s="26">
        <v>45266.0</v>
      </c>
      <c r="F161" s="28" t="s">
        <v>46</v>
      </c>
    </row>
    <row r="162" ht="22.5" customHeight="1">
      <c r="A162" s="25">
        <v>161.0</v>
      </c>
      <c r="B162" s="28" t="s">
        <v>571</v>
      </c>
      <c r="C162" s="28" t="s">
        <v>572</v>
      </c>
      <c r="D162" s="28" t="s">
        <v>573</v>
      </c>
      <c r="E162" s="26">
        <v>45240.0</v>
      </c>
      <c r="F162" s="28" t="s">
        <v>47</v>
      </c>
    </row>
    <row r="163" ht="22.5" customHeight="1">
      <c r="A163" s="25">
        <v>162.0</v>
      </c>
      <c r="B163" s="28" t="s">
        <v>574</v>
      </c>
      <c r="C163" s="28" t="s">
        <v>575</v>
      </c>
      <c r="D163" s="28" t="s">
        <v>576</v>
      </c>
      <c r="E163" s="26">
        <v>45222.0</v>
      </c>
      <c r="F163" s="28" t="s">
        <v>47</v>
      </c>
    </row>
    <row r="164" ht="22.5" customHeight="1">
      <c r="A164" s="25">
        <v>163.0</v>
      </c>
      <c r="B164" s="28" t="s">
        <v>577</v>
      </c>
      <c r="C164" s="28" t="s">
        <v>578</v>
      </c>
      <c r="D164" s="28" t="s">
        <v>579</v>
      </c>
      <c r="E164" s="26">
        <v>45108.0</v>
      </c>
      <c r="F164" s="28" t="s">
        <v>43</v>
      </c>
    </row>
    <row r="165" ht="22.5" customHeight="1">
      <c r="A165" s="25">
        <v>164.0</v>
      </c>
      <c r="B165" s="28" t="s">
        <v>580</v>
      </c>
      <c r="C165" s="28" t="s">
        <v>581</v>
      </c>
      <c r="D165" s="28" t="s">
        <v>582</v>
      </c>
      <c r="E165" s="26">
        <v>45271.0</v>
      </c>
      <c r="F165" s="28" t="s">
        <v>46</v>
      </c>
    </row>
    <row r="166" ht="22.5" customHeight="1">
      <c r="A166" s="25">
        <v>165.0</v>
      </c>
      <c r="B166" s="28" t="s">
        <v>583</v>
      </c>
      <c r="C166" s="28" t="s">
        <v>584</v>
      </c>
      <c r="D166" s="28" t="s">
        <v>585</v>
      </c>
      <c r="E166" s="26">
        <v>45067.0</v>
      </c>
      <c r="F166" s="28" t="s">
        <v>43</v>
      </c>
    </row>
    <row r="167" ht="22.5" customHeight="1">
      <c r="A167" s="25">
        <v>166.0</v>
      </c>
      <c r="B167" s="28" t="s">
        <v>586</v>
      </c>
      <c r="C167" s="28" t="s">
        <v>587</v>
      </c>
      <c r="D167" s="28" t="s">
        <v>588</v>
      </c>
      <c r="E167" s="26">
        <v>45165.0</v>
      </c>
      <c r="F167" s="28" t="s">
        <v>45</v>
      </c>
    </row>
    <row r="168" ht="22.5" customHeight="1">
      <c r="A168" s="25">
        <v>167.0</v>
      </c>
      <c r="B168" s="28" t="s">
        <v>589</v>
      </c>
      <c r="C168" s="28" t="s">
        <v>590</v>
      </c>
      <c r="D168" s="28" t="s">
        <v>591</v>
      </c>
      <c r="E168" s="26">
        <v>45224.0</v>
      </c>
      <c r="F168" s="28" t="s">
        <v>43</v>
      </c>
    </row>
    <row r="169" ht="22.5" customHeight="1">
      <c r="A169" s="25">
        <v>168.0</v>
      </c>
      <c r="B169" s="28" t="s">
        <v>592</v>
      </c>
      <c r="C169" s="28" t="s">
        <v>593</v>
      </c>
      <c r="D169" s="28" t="s">
        <v>594</v>
      </c>
      <c r="E169" s="26">
        <v>45133.0</v>
      </c>
      <c r="F169" s="28" t="s">
        <v>46</v>
      </c>
    </row>
    <row r="170" ht="22.5" customHeight="1">
      <c r="A170" s="25">
        <v>169.0</v>
      </c>
      <c r="B170" s="28" t="s">
        <v>595</v>
      </c>
      <c r="C170" s="28" t="s">
        <v>596</v>
      </c>
      <c r="D170" s="28" t="s">
        <v>597</v>
      </c>
      <c r="E170" s="26">
        <v>45004.0</v>
      </c>
      <c r="F170" s="28" t="s">
        <v>46</v>
      </c>
    </row>
    <row r="171" ht="22.5" customHeight="1">
      <c r="A171" s="25">
        <v>170.0</v>
      </c>
      <c r="B171" s="28" t="s">
        <v>598</v>
      </c>
      <c r="C171" s="28" t="s">
        <v>599</v>
      </c>
      <c r="D171" s="28" t="s">
        <v>600</v>
      </c>
      <c r="E171" s="26">
        <v>45193.0</v>
      </c>
      <c r="F171" s="28" t="s">
        <v>46</v>
      </c>
    </row>
    <row r="172" ht="22.5" customHeight="1">
      <c r="A172" s="25">
        <v>171.0</v>
      </c>
      <c r="B172" s="28" t="s">
        <v>601</v>
      </c>
      <c r="C172" s="28" t="s">
        <v>602</v>
      </c>
      <c r="D172" s="28" t="s">
        <v>603</v>
      </c>
      <c r="E172" s="26">
        <v>45019.0</v>
      </c>
      <c r="F172" s="28" t="s">
        <v>49</v>
      </c>
    </row>
    <row r="173" ht="22.5" customHeight="1">
      <c r="A173" s="25">
        <v>172.0</v>
      </c>
      <c r="B173" s="28" t="s">
        <v>604</v>
      </c>
      <c r="C173" s="28" t="s">
        <v>605</v>
      </c>
      <c r="D173" s="28" t="s">
        <v>606</v>
      </c>
      <c r="E173" s="26">
        <v>45004.0</v>
      </c>
      <c r="F173" s="28" t="s">
        <v>43</v>
      </c>
    </row>
    <row r="174" ht="22.5" customHeight="1">
      <c r="A174" s="25">
        <v>173.0</v>
      </c>
      <c r="B174" s="28" t="s">
        <v>607</v>
      </c>
      <c r="C174" s="28" t="s">
        <v>608</v>
      </c>
      <c r="D174" s="28" t="s">
        <v>609</v>
      </c>
      <c r="E174" s="26">
        <v>45053.0</v>
      </c>
      <c r="F174" s="28" t="s">
        <v>47</v>
      </c>
    </row>
    <row r="175" ht="22.5" customHeight="1">
      <c r="A175" s="25">
        <v>174.0</v>
      </c>
      <c r="B175" s="28" t="s">
        <v>610</v>
      </c>
      <c r="C175" s="28" t="s">
        <v>611</v>
      </c>
      <c r="D175" s="28" t="s">
        <v>612</v>
      </c>
      <c r="E175" s="26">
        <v>45169.0</v>
      </c>
      <c r="F175" s="28" t="s">
        <v>47</v>
      </c>
    </row>
    <row r="176" ht="22.5" customHeight="1">
      <c r="A176" s="25">
        <v>175.0</v>
      </c>
      <c r="B176" s="28" t="s">
        <v>613</v>
      </c>
      <c r="C176" s="28" t="s">
        <v>614</v>
      </c>
      <c r="D176" s="28" t="s">
        <v>615</v>
      </c>
      <c r="E176" s="26">
        <v>45183.0</v>
      </c>
      <c r="F176" s="28" t="s">
        <v>43</v>
      </c>
    </row>
    <row r="177" ht="22.5" customHeight="1">
      <c r="A177" s="25">
        <v>176.0</v>
      </c>
      <c r="B177" s="28" t="s">
        <v>616</v>
      </c>
      <c r="C177" s="28" t="s">
        <v>617</v>
      </c>
      <c r="D177" s="28" t="s">
        <v>618</v>
      </c>
      <c r="E177" s="26">
        <v>45193.0</v>
      </c>
      <c r="F177" s="28" t="s">
        <v>45</v>
      </c>
    </row>
    <row r="178" ht="22.5" customHeight="1">
      <c r="A178" s="25">
        <v>177.0</v>
      </c>
      <c r="B178" s="28" t="s">
        <v>619</v>
      </c>
      <c r="C178" s="28" t="s">
        <v>620</v>
      </c>
      <c r="D178" s="28" t="s">
        <v>621</v>
      </c>
      <c r="E178" s="26">
        <v>45163.0</v>
      </c>
      <c r="F178" s="28" t="s">
        <v>45</v>
      </c>
    </row>
    <row r="179" ht="22.5" customHeight="1">
      <c r="A179" s="25">
        <v>178.0</v>
      </c>
      <c r="B179" s="28" t="s">
        <v>622</v>
      </c>
      <c r="C179" s="28" t="s">
        <v>623</v>
      </c>
      <c r="D179" s="28" t="s">
        <v>624</v>
      </c>
      <c r="E179" s="26">
        <v>45186.0</v>
      </c>
      <c r="F179" s="28" t="s">
        <v>47</v>
      </c>
    </row>
    <row r="180" ht="22.5" customHeight="1">
      <c r="A180" s="25">
        <v>179.0</v>
      </c>
      <c r="B180" s="28" t="s">
        <v>625</v>
      </c>
      <c r="C180" s="28" t="s">
        <v>626</v>
      </c>
      <c r="D180" s="28" t="s">
        <v>627</v>
      </c>
      <c r="E180" s="26">
        <v>45132.0</v>
      </c>
      <c r="F180" s="28" t="s">
        <v>43</v>
      </c>
    </row>
    <row r="181" ht="22.5" customHeight="1">
      <c r="A181" s="25">
        <v>180.0</v>
      </c>
      <c r="B181" s="28" t="s">
        <v>628</v>
      </c>
      <c r="C181" s="28" t="s">
        <v>629</v>
      </c>
      <c r="D181" s="28" t="s">
        <v>630</v>
      </c>
      <c r="E181" s="26">
        <v>45049.0</v>
      </c>
      <c r="F181" s="28" t="s">
        <v>43</v>
      </c>
    </row>
    <row r="182" ht="22.5" customHeight="1">
      <c r="A182" s="25">
        <v>181.0</v>
      </c>
      <c r="B182" s="28" t="s">
        <v>631</v>
      </c>
      <c r="C182" s="28" t="s">
        <v>632</v>
      </c>
      <c r="D182" s="28" t="s">
        <v>633</v>
      </c>
      <c r="E182" s="26">
        <v>45154.0</v>
      </c>
      <c r="F182" s="28" t="s">
        <v>47</v>
      </c>
    </row>
    <row r="183" ht="22.5" customHeight="1">
      <c r="A183" s="25">
        <v>182.0</v>
      </c>
      <c r="B183" s="28" t="s">
        <v>634</v>
      </c>
      <c r="C183" s="28" t="s">
        <v>635</v>
      </c>
      <c r="D183" s="28" t="s">
        <v>636</v>
      </c>
      <c r="E183" s="26">
        <v>45170.0</v>
      </c>
      <c r="F183" s="28" t="s">
        <v>46</v>
      </c>
    </row>
    <row r="184" ht="22.5" customHeight="1">
      <c r="A184" s="25">
        <v>183.0</v>
      </c>
      <c r="B184" s="28" t="s">
        <v>637</v>
      </c>
      <c r="C184" s="28" t="s">
        <v>638</v>
      </c>
      <c r="D184" s="28" t="s">
        <v>639</v>
      </c>
      <c r="E184" s="26">
        <v>45071.0</v>
      </c>
      <c r="F184" s="28" t="s">
        <v>47</v>
      </c>
    </row>
    <row r="185" ht="22.5" customHeight="1">
      <c r="A185" s="25">
        <v>184.0</v>
      </c>
      <c r="B185" s="28" t="s">
        <v>640</v>
      </c>
      <c r="C185" s="28" t="s">
        <v>641</v>
      </c>
      <c r="D185" s="28" t="s">
        <v>642</v>
      </c>
      <c r="E185" s="26">
        <v>45253.0</v>
      </c>
      <c r="F185" s="28" t="s">
        <v>43</v>
      </c>
    </row>
    <row r="186" ht="22.5" customHeight="1">
      <c r="A186" s="25">
        <v>185.0</v>
      </c>
      <c r="B186" s="28" t="s">
        <v>643</v>
      </c>
      <c r="C186" s="28" t="s">
        <v>644</v>
      </c>
      <c r="D186" s="28" t="s">
        <v>645</v>
      </c>
      <c r="E186" s="26">
        <v>45139.0</v>
      </c>
      <c r="F186" s="28" t="s">
        <v>46</v>
      </c>
    </row>
    <row r="187" ht="22.5" customHeight="1">
      <c r="A187" s="25">
        <v>186.0</v>
      </c>
      <c r="B187" s="28" t="s">
        <v>646</v>
      </c>
      <c r="C187" s="28" t="s">
        <v>647</v>
      </c>
      <c r="D187" s="28" t="s">
        <v>648</v>
      </c>
      <c r="E187" s="26">
        <v>45265.0</v>
      </c>
      <c r="F187" s="28" t="s">
        <v>47</v>
      </c>
    </row>
    <row r="188" ht="22.5" customHeight="1">
      <c r="A188" s="25">
        <v>187.0</v>
      </c>
      <c r="B188" s="28" t="s">
        <v>368</v>
      </c>
      <c r="C188" s="28" t="s">
        <v>649</v>
      </c>
      <c r="D188" s="28" t="s">
        <v>650</v>
      </c>
      <c r="E188" s="26">
        <v>45257.0</v>
      </c>
      <c r="F188" s="28" t="s">
        <v>43</v>
      </c>
    </row>
    <row r="189" ht="22.5" customHeight="1">
      <c r="A189" s="25">
        <v>188.0</v>
      </c>
      <c r="B189" s="28" t="s">
        <v>651</v>
      </c>
      <c r="C189" s="28" t="s">
        <v>652</v>
      </c>
      <c r="D189" s="28" t="s">
        <v>653</v>
      </c>
      <c r="E189" s="26">
        <v>45025.0</v>
      </c>
      <c r="F189" s="28" t="s">
        <v>49</v>
      </c>
    </row>
    <row r="190" ht="22.5" customHeight="1">
      <c r="A190" s="25">
        <v>189.0</v>
      </c>
      <c r="B190" s="28" t="s">
        <v>654</v>
      </c>
      <c r="C190" s="28" t="s">
        <v>655</v>
      </c>
      <c r="D190" s="28" t="s">
        <v>656</v>
      </c>
      <c r="E190" s="26">
        <v>45125.0</v>
      </c>
      <c r="F190" s="28" t="s">
        <v>47</v>
      </c>
    </row>
    <row r="191" ht="22.5" customHeight="1">
      <c r="A191" s="25">
        <v>190.0</v>
      </c>
      <c r="B191" s="28" t="s">
        <v>657</v>
      </c>
      <c r="C191" s="28" t="s">
        <v>658</v>
      </c>
      <c r="D191" s="28" t="s">
        <v>659</v>
      </c>
      <c r="E191" s="26">
        <v>45006.0</v>
      </c>
      <c r="F191" s="28" t="s">
        <v>45</v>
      </c>
    </row>
    <row r="192" ht="22.5" customHeight="1">
      <c r="A192" s="25">
        <v>191.0</v>
      </c>
      <c r="B192" s="28" t="s">
        <v>660</v>
      </c>
      <c r="C192" s="28" t="s">
        <v>661</v>
      </c>
      <c r="D192" s="28" t="s">
        <v>662</v>
      </c>
      <c r="E192" s="26">
        <v>45274.0</v>
      </c>
      <c r="F192" s="28" t="s">
        <v>46</v>
      </c>
    </row>
    <row r="193" ht="22.5" customHeight="1">
      <c r="A193" s="25">
        <v>192.0</v>
      </c>
      <c r="B193" s="28" t="s">
        <v>663</v>
      </c>
      <c r="C193" s="28" t="s">
        <v>664</v>
      </c>
      <c r="D193" s="28" t="s">
        <v>665</v>
      </c>
      <c r="E193" s="26">
        <v>45006.0</v>
      </c>
      <c r="F193" s="28" t="s">
        <v>49</v>
      </c>
    </row>
    <row r="194" ht="22.5" customHeight="1">
      <c r="A194" s="25">
        <v>193.0</v>
      </c>
      <c r="B194" s="28" t="s">
        <v>666</v>
      </c>
      <c r="C194" s="28" t="s">
        <v>667</v>
      </c>
      <c r="D194" s="28" t="s">
        <v>668</v>
      </c>
      <c r="E194" s="26">
        <v>45246.0</v>
      </c>
      <c r="F194" s="28" t="s">
        <v>43</v>
      </c>
    </row>
    <row r="195" ht="22.5" customHeight="1">
      <c r="A195" s="25">
        <v>194.0</v>
      </c>
      <c r="B195" s="28" t="s">
        <v>669</v>
      </c>
      <c r="C195" s="28" t="s">
        <v>670</v>
      </c>
      <c r="D195" s="28" t="s">
        <v>671</v>
      </c>
      <c r="E195" s="26">
        <v>45219.0</v>
      </c>
      <c r="F195" s="28" t="s">
        <v>43</v>
      </c>
    </row>
    <row r="196" ht="22.5" customHeight="1">
      <c r="A196" s="25">
        <v>195.0</v>
      </c>
      <c r="B196" s="28" t="s">
        <v>672</v>
      </c>
      <c r="C196" s="28" t="s">
        <v>673</v>
      </c>
      <c r="D196" s="28" t="s">
        <v>674</v>
      </c>
      <c r="E196" s="26">
        <v>45217.0</v>
      </c>
      <c r="F196" s="28" t="s">
        <v>46</v>
      </c>
    </row>
    <row r="197" ht="22.5" customHeight="1">
      <c r="A197" s="25">
        <v>196.0</v>
      </c>
      <c r="B197" s="28" t="s">
        <v>675</v>
      </c>
      <c r="C197" s="28" t="s">
        <v>676</v>
      </c>
      <c r="D197" s="28" t="s">
        <v>677</v>
      </c>
      <c r="E197" s="26">
        <v>45079.0</v>
      </c>
      <c r="F197" s="28" t="s">
        <v>49</v>
      </c>
    </row>
    <row r="198" ht="22.5" customHeight="1">
      <c r="A198" s="25">
        <v>197.0</v>
      </c>
      <c r="B198" s="28" t="s">
        <v>678</v>
      </c>
      <c r="C198" s="28" t="s">
        <v>679</v>
      </c>
      <c r="D198" s="28" t="s">
        <v>680</v>
      </c>
      <c r="E198" s="26">
        <v>45245.0</v>
      </c>
      <c r="F198" s="28" t="s">
        <v>49</v>
      </c>
    </row>
    <row r="199" ht="22.5" customHeight="1">
      <c r="A199" s="25">
        <v>198.0</v>
      </c>
      <c r="B199" s="28" t="s">
        <v>681</v>
      </c>
      <c r="C199" s="28" t="s">
        <v>682</v>
      </c>
      <c r="D199" s="28" t="s">
        <v>683</v>
      </c>
      <c r="E199" s="26">
        <v>45176.0</v>
      </c>
      <c r="F199" s="28" t="s">
        <v>48</v>
      </c>
    </row>
    <row r="200" ht="22.5" customHeight="1">
      <c r="A200" s="25">
        <v>199.0</v>
      </c>
      <c r="B200" s="28" t="s">
        <v>684</v>
      </c>
      <c r="C200" s="28" t="s">
        <v>685</v>
      </c>
      <c r="D200" s="28" t="s">
        <v>686</v>
      </c>
      <c r="E200" s="26">
        <v>45243.0</v>
      </c>
      <c r="F200" s="28" t="s">
        <v>43</v>
      </c>
    </row>
    <row r="201" ht="22.5" customHeight="1">
      <c r="A201" s="25">
        <v>200.0</v>
      </c>
      <c r="B201" s="28" t="s">
        <v>687</v>
      </c>
      <c r="C201" s="28" t="s">
        <v>688</v>
      </c>
      <c r="D201" s="28" t="s">
        <v>689</v>
      </c>
      <c r="E201" s="26">
        <v>45177.0</v>
      </c>
      <c r="F201" s="28" t="s">
        <v>46</v>
      </c>
    </row>
    <row r="202" ht="22.5" customHeight="1">
      <c r="A202" s="25">
        <v>201.0</v>
      </c>
      <c r="B202" s="28" t="s">
        <v>690</v>
      </c>
      <c r="C202" s="28" t="s">
        <v>691</v>
      </c>
      <c r="D202" s="28" t="s">
        <v>692</v>
      </c>
      <c r="E202" s="26">
        <v>45264.0</v>
      </c>
      <c r="F202" s="28" t="s">
        <v>47</v>
      </c>
    </row>
    <row r="203" ht="22.5" customHeight="1">
      <c r="A203" s="25">
        <v>202.0</v>
      </c>
      <c r="B203" s="28" t="s">
        <v>693</v>
      </c>
      <c r="C203" s="28" t="s">
        <v>694</v>
      </c>
      <c r="D203" s="28" t="s">
        <v>695</v>
      </c>
      <c r="E203" s="26">
        <v>45240.0</v>
      </c>
      <c r="F203" s="28" t="s">
        <v>45</v>
      </c>
    </row>
    <row r="204" ht="22.5" customHeight="1">
      <c r="A204" s="25">
        <v>203.0</v>
      </c>
      <c r="B204" s="28" t="s">
        <v>696</v>
      </c>
      <c r="C204" s="28" t="s">
        <v>697</v>
      </c>
      <c r="D204" s="28" t="s">
        <v>698</v>
      </c>
      <c r="E204" s="26">
        <v>45201.0</v>
      </c>
      <c r="F204" s="28" t="s">
        <v>43</v>
      </c>
    </row>
    <row r="205" ht="22.5" customHeight="1">
      <c r="A205" s="25">
        <v>204.0</v>
      </c>
      <c r="B205" s="28" t="s">
        <v>699</v>
      </c>
      <c r="C205" s="28" t="s">
        <v>700</v>
      </c>
      <c r="D205" s="28" t="s">
        <v>701</v>
      </c>
      <c r="E205" s="26">
        <v>45083.0</v>
      </c>
      <c r="F205" s="28" t="s">
        <v>47</v>
      </c>
    </row>
    <row r="206" ht="22.5" customHeight="1">
      <c r="A206" s="25">
        <v>205.0</v>
      </c>
      <c r="B206" s="28" t="s">
        <v>218</v>
      </c>
      <c r="C206" s="28" t="s">
        <v>702</v>
      </c>
      <c r="D206" s="28" t="s">
        <v>703</v>
      </c>
      <c r="E206" s="26">
        <v>45045.0</v>
      </c>
      <c r="F206" s="28" t="s">
        <v>47</v>
      </c>
    </row>
    <row r="207" ht="22.5" customHeight="1">
      <c r="A207" s="25">
        <v>206.0</v>
      </c>
      <c r="B207" s="28" t="s">
        <v>704</v>
      </c>
      <c r="C207" s="28" t="s">
        <v>705</v>
      </c>
      <c r="D207" s="28" t="s">
        <v>706</v>
      </c>
      <c r="E207" s="26">
        <v>45056.0</v>
      </c>
      <c r="F207" s="28" t="s">
        <v>45</v>
      </c>
    </row>
    <row r="208" ht="22.5" customHeight="1">
      <c r="A208" s="25">
        <v>207.0</v>
      </c>
      <c r="B208" s="28" t="s">
        <v>707</v>
      </c>
      <c r="C208" s="28" t="s">
        <v>708</v>
      </c>
      <c r="D208" s="28" t="s">
        <v>709</v>
      </c>
      <c r="E208" s="26">
        <v>45094.0</v>
      </c>
      <c r="F208" s="28" t="s">
        <v>43</v>
      </c>
    </row>
    <row r="209" ht="22.5" customHeight="1">
      <c r="A209" s="25">
        <v>208.0</v>
      </c>
      <c r="B209" s="28" t="s">
        <v>710</v>
      </c>
      <c r="C209" s="28" t="s">
        <v>711</v>
      </c>
      <c r="D209" s="28" t="s">
        <v>712</v>
      </c>
      <c r="E209" s="26">
        <v>45037.0</v>
      </c>
      <c r="F209" s="28" t="s">
        <v>43</v>
      </c>
    </row>
    <row r="210" ht="22.5" customHeight="1">
      <c r="A210" s="25">
        <v>209.0</v>
      </c>
      <c r="B210" s="28" t="s">
        <v>713</v>
      </c>
      <c r="C210" s="28" t="s">
        <v>714</v>
      </c>
      <c r="D210" s="28" t="s">
        <v>715</v>
      </c>
      <c r="E210" s="26">
        <v>45224.0</v>
      </c>
      <c r="F210" s="28" t="s">
        <v>43</v>
      </c>
    </row>
    <row r="211" ht="22.5" customHeight="1">
      <c r="A211" s="25">
        <v>210.0</v>
      </c>
      <c r="B211" s="28" t="s">
        <v>716</v>
      </c>
      <c r="C211" s="28" t="s">
        <v>717</v>
      </c>
      <c r="D211" s="28" t="s">
        <v>718</v>
      </c>
      <c r="E211" s="26">
        <v>45276.0</v>
      </c>
      <c r="F211" s="28" t="s">
        <v>46</v>
      </c>
    </row>
    <row r="212" ht="22.5" customHeight="1">
      <c r="A212" s="25">
        <v>211.0</v>
      </c>
      <c r="B212" s="28" t="s">
        <v>719</v>
      </c>
      <c r="C212" s="28" t="s">
        <v>720</v>
      </c>
      <c r="D212" s="28" t="s">
        <v>721</v>
      </c>
      <c r="E212" s="26">
        <v>45177.0</v>
      </c>
      <c r="F212" s="28" t="s">
        <v>46</v>
      </c>
    </row>
    <row r="213" ht="22.5" customHeight="1">
      <c r="A213" s="25">
        <v>212.0</v>
      </c>
      <c r="B213" s="28" t="s">
        <v>722</v>
      </c>
      <c r="C213" s="28" t="s">
        <v>723</v>
      </c>
      <c r="D213" s="28" t="s">
        <v>724</v>
      </c>
      <c r="E213" s="26">
        <v>45212.0</v>
      </c>
      <c r="F213" s="28" t="s">
        <v>43</v>
      </c>
    </row>
    <row r="214" ht="22.5" customHeight="1">
      <c r="A214" s="25">
        <v>213.0</v>
      </c>
      <c r="B214" s="28" t="s">
        <v>725</v>
      </c>
      <c r="C214" s="28" t="s">
        <v>726</v>
      </c>
      <c r="D214" s="28" t="s">
        <v>727</v>
      </c>
      <c r="E214" s="26">
        <v>45258.0</v>
      </c>
      <c r="F214" s="28" t="s">
        <v>46</v>
      </c>
    </row>
    <row r="215" ht="22.5" customHeight="1">
      <c r="A215" s="25">
        <v>214.0</v>
      </c>
      <c r="B215" s="28" t="s">
        <v>728</v>
      </c>
      <c r="C215" s="28" t="s">
        <v>729</v>
      </c>
      <c r="D215" s="28" t="s">
        <v>730</v>
      </c>
      <c r="E215" s="26">
        <v>45050.0</v>
      </c>
      <c r="F215" s="28" t="s">
        <v>47</v>
      </c>
    </row>
    <row r="216" ht="22.5" customHeight="1">
      <c r="A216" s="25">
        <v>215.0</v>
      </c>
      <c r="B216" s="28" t="s">
        <v>731</v>
      </c>
      <c r="C216" s="28" t="s">
        <v>732</v>
      </c>
      <c r="D216" s="28" t="s">
        <v>733</v>
      </c>
      <c r="E216" s="26">
        <v>45148.0</v>
      </c>
      <c r="F216" s="28" t="s">
        <v>45</v>
      </c>
    </row>
    <row r="217" ht="22.5" customHeight="1">
      <c r="A217" s="25">
        <v>216.0</v>
      </c>
      <c r="B217" s="28" t="s">
        <v>734</v>
      </c>
      <c r="C217" s="28" t="s">
        <v>735</v>
      </c>
      <c r="D217" s="28" t="s">
        <v>736</v>
      </c>
      <c r="E217" s="26">
        <v>45241.0</v>
      </c>
      <c r="F217" s="28" t="s">
        <v>46</v>
      </c>
    </row>
    <row r="218" ht="22.5" customHeight="1">
      <c r="A218" s="25">
        <v>217.0</v>
      </c>
      <c r="B218" s="28" t="s">
        <v>737</v>
      </c>
      <c r="C218" s="28" t="s">
        <v>738</v>
      </c>
      <c r="D218" s="28" t="s">
        <v>739</v>
      </c>
      <c r="E218" s="26">
        <v>45177.0</v>
      </c>
      <c r="F218" s="28" t="s">
        <v>46</v>
      </c>
    </row>
    <row r="219" ht="22.5" customHeight="1">
      <c r="A219" s="25">
        <v>218.0</v>
      </c>
      <c r="B219" s="28" t="s">
        <v>740</v>
      </c>
      <c r="C219" s="28" t="s">
        <v>741</v>
      </c>
      <c r="D219" s="28" t="s">
        <v>742</v>
      </c>
      <c r="E219" s="26">
        <v>45222.0</v>
      </c>
      <c r="F219" s="28" t="s">
        <v>46</v>
      </c>
    </row>
    <row r="220" ht="22.5" customHeight="1">
      <c r="A220" s="25">
        <v>219.0</v>
      </c>
      <c r="B220" s="28" t="s">
        <v>743</v>
      </c>
      <c r="C220" s="28" t="s">
        <v>744</v>
      </c>
      <c r="D220" s="28" t="s">
        <v>745</v>
      </c>
      <c r="E220" s="26">
        <v>45043.0</v>
      </c>
      <c r="F220" s="28" t="s">
        <v>47</v>
      </c>
    </row>
    <row r="221" ht="22.5" customHeight="1">
      <c r="A221" s="25">
        <v>220.0</v>
      </c>
      <c r="B221" s="28" t="s">
        <v>746</v>
      </c>
      <c r="C221" s="28" t="s">
        <v>747</v>
      </c>
      <c r="D221" s="28" t="s">
        <v>748</v>
      </c>
      <c r="E221" s="26">
        <v>45075.0</v>
      </c>
      <c r="F221" s="28" t="s">
        <v>46</v>
      </c>
    </row>
    <row r="222" ht="22.5" customHeight="1">
      <c r="A222" s="25">
        <v>221.0</v>
      </c>
      <c r="B222" s="28" t="s">
        <v>749</v>
      </c>
      <c r="C222" s="28" t="s">
        <v>750</v>
      </c>
      <c r="D222" s="28" t="s">
        <v>751</v>
      </c>
      <c r="E222" s="26">
        <v>45086.0</v>
      </c>
      <c r="F222" s="28" t="s">
        <v>43</v>
      </c>
    </row>
    <row r="223" ht="22.5" customHeight="1">
      <c r="A223" s="25">
        <v>222.0</v>
      </c>
      <c r="B223" s="28" t="s">
        <v>752</v>
      </c>
      <c r="C223" s="28" t="s">
        <v>753</v>
      </c>
      <c r="D223" s="28" t="s">
        <v>754</v>
      </c>
      <c r="E223" s="26">
        <v>45178.0</v>
      </c>
      <c r="F223" s="28" t="s">
        <v>46</v>
      </c>
    </row>
    <row r="224" ht="22.5" customHeight="1">
      <c r="A224" s="25">
        <v>223.0</v>
      </c>
      <c r="B224" s="28" t="s">
        <v>95</v>
      </c>
      <c r="C224" s="28" t="s">
        <v>755</v>
      </c>
      <c r="D224" s="28" t="s">
        <v>756</v>
      </c>
      <c r="E224" s="26">
        <v>45148.0</v>
      </c>
      <c r="F224" s="28" t="s">
        <v>43</v>
      </c>
    </row>
    <row r="225" ht="22.5" customHeight="1">
      <c r="A225" s="25">
        <v>224.0</v>
      </c>
      <c r="B225" s="28" t="s">
        <v>757</v>
      </c>
      <c r="C225" s="28" t="s">
        <v>758</v>
      </c>
      <c r="D225" s="28" t="s">
        <v>759</v>
      </c>
      <c r="E225" s="26">
        <v>45194.0</v>
      </c>
      <c r="F225" s="28" t="s">
        <v>49</v>
      </c>
    </row>
    <row r="226" ht="22.5" customHeight="1">
      <c r="A226" s="25">
        <v>225.0</v>
      </c>
      <c r="B226" s="28" t="s">
        <v>760</v>
      </c>
      <c r="C226" s="28" t="s">
        <v>761</v>
      </c>
      <c r="D226" s="28" t="s">
        <v>762</v>
      </c>
      <c r="E226" s="26">
        <v>45243.0</v>
      </c>
      <c r="F226" s="28" t="s">
        <v>43</v>
      </c>
    </row>
    <row r="227" ht="22.5" customHeight="1">
      <c r="A227" s="25">
        <v>226.0</v>
      </c>
      <c r="B227" s="28" t="s">
        <v>763</v>
      </c>
      <c r="C227" s="28" t="s">
        <v>764</v>
      </c>
      <c r="D227" s="28" t="s">
        <v>765</v>
      </c>
      <c r="E227" s="26">
        <v>45256.0</v>
      </c>
      <c r="F227" s="28" t="s">
        <v>47</v>
      </c>
    </row>
    <row r="228" ht="22.5" customHeight="1">
      <c r="A228" s="25">
        <v>227.0</v>
      </c>
      <c r="B228" s="28" t="s">
        <v>766</v>
      </c>
      <c r="C228" s="28" t="s">
        <v>767</v>
      </c>
      <c r="D228" s="28" t="s">
        <v>768</v>
      </c>
      <c r="E228" s="26">
        <v>45077.0</v>
      </c>
      <c r="F228" s="28" t="s">
        <v>43</v>
      </c>
    </row>
    <row r="229" ht="22.5" customHeight="1">
      <c r="A229" s="25">
        <v>228.0</v>
      </c>
      <c r="B229" s="28" t="s">
        <v>769</v>
      </c>
      <c r="C229" s="28" t="s">
        <v>770</v>
      </c>
      <c r="D229" s="28" t="s">
        <v>771</v>
      </c>
      <c r="E229" s="26">
        <v>45288.0</v>
      </c>
      <c r="F229" s="28" t="s">
        <v>46</v>
      </c>
    </row>
    <row r="230" ht="22.5" customHeight="1">
      <c r="A230" s="25">
        <v>229.0</v>
      </c>
      <c r="B230" s="28" t="s">
        <v>772</v>
      </c>
      <c r="C230" s="28" t="s">
        <v>773</v>
      </c>
      <c r="D230" s="28" t="s">
        <v>774</v>
      </c>
      <c r="E230" s="26">
        <v>45242.0</v>
      </c>
      <c r="F230" s="28" t="s">
        <v>49</v>
      </c>
    </row>
    <row r="231" ht="22.5" customHeight="1">
      <c r="A231" s="25">
        <v>230.0</v>
      </c>
      <c r="B231" s="28" t="s">
        <v>775</v>
      </c>
      <c r="C231" s="28" t="s">
        <v>776</v>
      </c>
      <c r="D231" s="28" t="s">
        <v>777</v>
      </c>
      <c r="E231" s="26">
        <v>45288.0</v>
      </c>
      <c r="F231" s="28" t="s">
        <v>46</v>
      </c>
    </row>
    <row r="232" ht="22.5" customHeight="1">
      <c r="A232" s="25">
        <v>231.0</v>
      </c>
      <c r="B232" s="28" t="s">
        <v>778</v>
      </c>
      <c r="C232" s="28" t="s">
        <v>779</v>
      </c>
      <c r="D232" s="28" t="s">
        <v>780</v>
      </c>
      <c r="E232" s="26">
        <v>45273.0</v>
      </c>
      <c r="F232" s="28" t="s">
        <v>47</v>
      </c>
    </row>
    <row r="233" ht="22.5" customHeight="1">
      <c r="A233" s="25">
        <v>232.0</v>
      </c>
      <c r="B233" s="28" t="s">
        <v>781</v>
      </c>
      <c r="C233" s="28" t="s">
        <v>782</v>
      </c>
      <c r="D233" s="28" t="s">
        <v>783</v>
      </c>
      <c r="E233" s="26">
        <v>45097.0</v>
      </c>
      <c r="F233" s="28" t="s">
        <v>43</v>
      </c>
    </row>
    <row r="234" ht="22.5" customHeight="1">
      <c r="A234" s="25">
        <v>233.0</v>
      </c>
      <c r="B234" s="28" t="s">
        <v>784</v>
      </c>
      <c r="C234" s="28" t="s">
        <v>785</v>
      </c>
      <c r="D234" s="28" t="s">
        <v>786</v>
      </c>
      <c r="E234" s="26">
        <v>45248.0</v>
      </c>
      <c r="F234" s="28" t="s">
        <v>46</v>
      </c>
    </row>
    <row r="235" ht="22.5" customHeight="1">
      <c r="A235" s="25">
        <v>234.0</v>
      </c>
      <c r="B235" s="28" t="s">
        <v>787</v>
      </c>
      <c r="C235" s="28" t="s">
        <v>788</v>
      </c>
      <c r="D235" s="28" t="s">
        <v>789</v>
      </c>
      <c r="E235" s="26">
        <v>45199.0</v>
      </c>
      <c r="F235" s="28" t="s">
        <v>43</v>
      </c>
    </row>
    <row r="236" ht="22.5" customHeight="1">
      <c r="A236" s="25">
        <v>235.0</v>
      </c>
      <c r="B236" s="28" t="s">
        <v>790</v>
      </c>
      <c r="C236" s="28" t="s">
        <v>791</v>
      </c>
      <c r="D236" s="28" t="s">
        <v>792</v>
      </c>
      <c r="E236" s="26">
        <v>45271.0</v>
      </c>
      <c r="F236" s="28" t="s">
        <v>45</v>
      </c>
    </row>
    <row r="237" ht="22.5" customHeight="1">
      <c r="A237" s="25">
        <v>236.0</v>
      </c>
      <c r="B237" s="28" t="s">
        <v>793</v>
      </c>
      <c r="C237" s="28" t="s">
        <v>794</v>
      </c>
      <c r="D237" s="28" t="s">
        <v>795</v>
      </c>
      <c r="E237" s="26">
        <v>45190.0</v>
      </c>
      <c r="F237" s="28" t="s">
        <v>43</v>
      </c>
    </row>
    <row r="238" ht="22.5" customHeight="1">
      <c r="A238" s="25">
        <v>237.0</v>
      </c>
      <c r="B238" s="28" t="s">
        <v>796</v>
      </c>
      <c r="C238" s="28" t="s">
        <v>797</v>
      </c>
      <c r="D238" s="28" t="s">
        <v>798</v>
      </c>
      <c r="E238" s="26">
        <v>45056.0</v>
      </c>
      <c r="F238" s="28" t="s">
        <v>43</v>
      </c>
    </row>
    <row r="239" ht="22.5" customHeight="1">
      <c r="A239" s="25">
        <v>238.0</v>
      </c>
      <c r="B239" s="28" t="s">
        <v>799</v>
      </c>
      <c r="C239" s="28" t="s">
        <v>800</v>
      </c>
      <c r="D239" s="28" t="s">
        <v>801</v>
      </c>
      <c r="E239" s="26">
        <v>45195.0</v>
      </c>
      <c r="F239" s="28" t="s">
        <v>43</v>
      </c>
    </row>
    <row r="240" ht="22.5" customHeight="1">
      <c r="A240" s="25">
        <v>239.0</v>
      </c>
      <c r="B240" s="28" t="s">
        <v>802</v>
      </c>
      <c r="C240" s="28" t="s">
        <v>803</v>
      </c>
      <c r="D240" s="28" t="s">
        <v>804</v>
      </c>
      <c r="E240" s="26">
        <v>45017.0</v>
      </c>
      <c r="F240" s="28" t="s">
        <v>43</v>
      </c>
    </row>
    <row r="241" ht="22.5" customHeight="1">
      <c r="A241" s="25">
        <v>240.0</v>
      </c>
      <c r="B241" s="28" t="s">
        <v>805</v>
      </c>
      <c r="C241" s="28" t="s">
        <v>806</v>
      </c>
      <c r="D241" s="28" t="s">
        <v>807</v>
      </c>
      <c r="E241" s="26">
        <v>45234.0</v>
      </c>
      <c r="F241" s="28" t="s">
        <v>43</v>
      </c>
    </row>
    <row r="242" ht="22.5" customHeight="1">
      <c r="A242" s="25">
        <v>241.0</v>
      </c>
      <c r="B242" s="28" t="s">
        <v>808</v>
      </c>
      <c r="C242" s="28" t="s">
        <v>809</v>
      </c>
      <c r="D242" s="28" t="s">
        <v>810</v>
      </c>
      <c r="E242" s="26">
        <v>45088.0</v>
      </c>
      <c r="F242" s="28" t="s">
        <v>43</v>
      </c>
    </row>
    <row r="243" ht="22.5" customHeight="1">
      <c r="A243" s="25">
        <v>242.0</v>
      </c>
      <c r="B243" s="28" t="s">
        <v>538</v>
      </c>
      <c r="C243" s="28" t="s">
        <v>811</v>
      </c>
      <c r="D243" s="28" t="s">
        <v>812</v>
      </c>
      <c r="E243" s="26">
        <v>45181.0</v>
      </c>
      <c r="F243" s="28" t="s">
        <v>45</v>
      </c>
    </row>
    <row r="244" ht="22.5" customHeight="1">
      <c r="A244" s="25">
        <v>243.0</v>
      </c>
      <c r="B244" s="28" t="s">
        <v>813</v>
      </c>
      <c r="C244" s="28" t="s">
        <v>814</v>
      </c>
      <c r="D244" s="28" t="s">
        <v>815</v>
      </c>
      <c r="E244" s="26">
        <v>45061.0</v>
      </c>
      <c r="F244" s="28" t="s">
        <v>43</v>
      </c>
    </row>
    <row r="245" ht="22.5" customHeight="1">
      <c r="A245" s="25">
        <v>244.0</v>
      </c>
      <c r="B245" s="28" t="s">
        <v>816</v>
      </c>
      <c r="C245" s="28" t="s">
        <v>817</v>
      </c>
      <c r="D245" s="28" t="s">
        <v>818</v>
      </c>
      <c r="E245" s="26">
        <v>45208.0</v>
      </c>
      <c r="F245" s="28" t="s">
        <v>43</v>
      </c>
    </row>
    <row r="246" ht="22.5" customHeight="1">
      <c r="A246" s="25">
        <v>245.0</v>
      </c>
      <c r="B246" s="28" t="s">
        <v>819</v>
      </c>
      <c r="C246" s="28" t="s">
        <v>820</v>
      </c>
      <c r="D246" s="28" t="s">
        <v>821</v>
      </c>
      <c r="E246" s="26">
        <v>45111.0</v>
      </c>
      <c r="F246" s="28" t="s">
        <v>45</v>
      </c>
    </row>
    <row r="247" ht="22.5" customHeight="1">
      <c r="A247" s="25">
        <v>246.0</v>
      </c>
      <c r="B247" s="28" t="s">
        <v>822</v>
      </c>
      <c r="C247" s="28" t="s">
        <v>823</v>
      </c>
      <c r="D247" s="28" t="s">
        <v>824</v>
      </c>
      <c r="E247" s="26">
        <v>45197.0</v>
      </c>
      <c r="F247" s="28" t="s">
        <v>45</v>
      </c>
    </row>
    <row r="248" ht="22.5" customHeight="1">
      <c r="A248" s="25">
        <v>247.0</v>
      </c>
      <c r="B248" s="28" t="s">
        <v>825</v>
      </c>
      <c r="C248" s="28" t="s">
        <v>826</v>
      </c>
      <c r="D248" s="28" t="s">
        <v>827</v>
      </c>
      <c r="E248" s="26">
        <v>45126.0</v>
      </c>
      <c r="F248" s="28" t="s">
        <v>43</v>
      </c>
    </row>
    <row r="249" ht="22.5" customHeight="1">
      <c r="A249" s="25">
        <v>248.0</v>
      </c>
      <c r="B249" s="28" t="s">
        <v>828</v>
      </c>
      <c r="C249" s="28" t="s">
        <v>829</v>
      </c>
      <c r="D249" s="28" t="s">
        <v>830</v>
      </c>
      <c r="E249" s="26">
        <v>45110.0</v>
      </c>
      <c r="F249" s="28" t="s">
        <v>46</v>
      </c>
    </row>
    <row r="250" ht="22.5" customHeight="1">
      <c r="A250" s="25">
        <v>249.0</v>
      </c>
      <c r="B250" s="28" t="s">
        <v>831</v>
      </c>
      <c r="C250" s="28" t="s">
        <v>832</v>
      </c>
      <c r="D250" s="28" t="s">
        <v>833</v>
      </c>
      <c r="E250" s="26">
        <v>45140.0</v>
      </c>
      <c r="F250" s="28" t="s">
        <v>43</v>
      </c>
    </row>
    <row r="251" ht="22.5" customHeight="1">
      <c r="A251" s="25">
        <v>250.0</v>
      </c>
      <c r="B251" s="28" t="s">
        <v>834</v>
      </c>
      <c r="C251" s="28" t="s">
        <v>835</v>
      </c>
      <c r="D251" s="28" t="s">
        <v>836</v>
      </c>
      <c r="E251" s="26">
        <v>45160.0</v>
      </c>
      <c r="F251" s="28" t="s">
        <v>46</v>
      </c>
    </row>
    <row r="252" ht="22.5" customHeight="1">
      <c r="A252" s="25">
        <v>251.0</v>
      </c>
      <c r="B252" s="28" t="s">
        <v>837</v>
      </c>
      <c r="C252" s="28" t="s">
        <v>838</v>
      </c>
      <c r="D252" s="28" t="s">
        <v>839</v>
      </c>
      <c r="E252" s="26">
        <v>45044.0</v>
      </c>
      <c r="F252" s="28" t="s">
        <v>46</v>
      </c>
    </row>
    <row r="253" ht="22.5" customHeight="1">
      <c r="A253" s="25">
        <v>252.0</v>
      </c>
      <c r="B253" s="28" t="s">
        <v>840</v>
      </c>
      <c r="C253" s="28" t="s">
        <v>841</v>
      </c>
      <c r="D253" s="28" t="s">
        <v>842</v>
      </c>
      <c r="E253" s="26">
        <v>45231.0</v>
      </c>
      <c r="F253" s="28" t="s">
        <v>47</v>
      </c>
    </row>
    <row r="254" ht="22.5" customHeight="1">
      <c r="A254" s="25">
        <v>253.0</v>
      </c>
      <c r="B254" s="28" t="s">
        <v>843</v>
      </c>
      <c r="C254" s="28" t="s">
        <v>844</v>
      </c>
      <c r="D254" s="28" t="s">
        <v>845</v>
      </c>
      <c r="E254" s="26">
        <v>45047.0</v>
      </c>
      <c r="F254" s="28" t="s">
        <v>43</v>
      </c>
    </row>
    <row r="255" ht="22.5" customHeight="1">
      <c r="A255" s="25">
        <v>254.0</v>
      </c>
      <c r="B255" s="28" t="s">
        <v>846</v>
      </c>
      <c r="C255" s="28" t="s">
        <v>847</v>
      </c>
      <c r="D255" s="28" t="s">
        <v>848</v>
      </c>
      <c r="E255" s="26">
        <v>45240.0</v>
      </c>
      <c r="F255" s="28" t="s">
        <v>47</v>
      </c>
    </row>
    <row r="256" ht="22.5" customHeight="1">
      <c r="A256" s="25">
        <v>255.0</v>
      </c>
      <c r="B256" s="28" t="s">
        <v>849</v>
      </c>
      <c r="C256" s="28" t="s">
        <v>850</v>
      </c>
      <c r="D256" s="28" t="s">
        <v>851</v>
      </c>
      <c r="E256" s="26">
        <v>45272.0</v>
      </c>
      <c r="F256" s="28" t="s">
        <v>43</v>
      </c>
    </row>
    <row r="257" ht="22.5" customHeight="1">
      <c r="A257" s="25">
        <v>256.0</v>
      </c>
      <c r="B257" s="28" t="s">
        <v>852</v>
      </c>
      <c r="C257" s="28" t="s">
        <v>853</v>
      </c>
      <c r="D257" s="28" t="s">
        <v>854</v>
      </c>
      <c r="E257" s="26">
        <v>45277.0</v>
      </c>
      <c r="F257" s="28" t="s">
        <v>43</v>
      </c>
    </row>
    <row r="258" ht="22.5" customHeight="1">
      <c r="A258" s="25">
        <v>257.0</v>
      </c>
      <c r="B258" s="28" t="s">
        <v>855</v>
      </c>
      <c r="C258" s="28" t="s">
        <v>856</v>
      </c>
      <c r="D258" s="28" t="s">
        <v>857</v>
      </c>
      <c r="E258" s="26">
        <v>45214.0</v>
      </c>
      <c r="F258" s="28" t="s">
        <v>45</v>
      </c>
    </row>
    <row r="259" ht="22.5" customHeight="1">
      <c r="A259" s="25">
        <v>258.0</v>
      </c>
      <c r="B259" s="28" t="s">
        <v>858</v>
      </c>
      <c r="C259" s="28" t="s">
        <v>859</v>
      </c>
      <c r="D259" s="28" t="s">
        <v>860</v>
      </c>
      <c r="E259" s="26">
        <v>45074.0</v>
      </c>
      <c r="F259" s="28" t="s">
        <v>46</v>
      </c>
    </row>
    <row r="260" ht="22.5" customHeight="1">
      <c r="A260" s="25">
        <v>259.0</v>
      </c>
      <c r="B260" s="28" t="s">
        <v>861</v>
      </c>
      <c r="C260" s="28" t="s">
        <v>862</v>
      </c>
      <c r="D260" s="28" t="s">
        <v>863</v>
      </c>
      <c r="E260" s="26">
        <v>45214.0</v>
      </c>
      <c r="F260" s="28" t="s">
        <v>49</v>
      </c>
    </row>
    <row r="261" ht="22.5" customHeight="1">
      <c r="A261" s="25">
        <v>260.0</v>
      </c>
      <c r="B261" s="28" t="s">
        <v>864</v>
      </c>
      <c r="C261" s="28" t="s">
        <v>865</v>
      </c>
      <c r="D261" s="28" t="s">
        <v>866</v>
      </c>
      <c r="E261" s="26">
        <v>45133.0</v>
      </c>
      <c r="F261" s="28" t="s">
        <v>43</v>
      </c>
    </row>
    <row r="262" ht="22.5" customHeight="1">
      <c r="A262" s="25">
        <v>261.0</v>
      </c>
      <c r="B262" s="28" t="s">
        <v>867</v>
      </c>
      <c r="C262" s="28" t="s">
        <v>868</v>
      </c>
      <c r="D262" s="28" t="s">
        <v>869</v>
      </c>
      <c r="E262" s="26">
        <v>45284.0</v>
      </c>
      <c r="F262" s="28" t="s">
        <v>48</v>
      </c>
    </row>
    <row r="263" ht="22.5" customHeight="1">
      <c r="A263" s="25">
        <v>262.0</v>
      </c>
      <c r="B263" s="28" t="s">
        <v>870</v>
      </c>
      <c r="C263" s="28" t="s">
        <v>871</v>
      </c>
      <c r="D263" s="28" t="s">
        <v>872</v>
      </c>
      <c r="E263" s="26">
        <v>45037.0</v>
      </c>
      <c r="F263" s="28" t="s">
        <v>43</v>
      </c>
    </row>
    <row r="264" ht="22.5" customHeight="1">
      <c r="A264" s="25">
        <v>263.0</v>
      </c>
      <c r="B264" s="28" t="s">
        <v>873</v>
      </c>
      <c r="C264" s="28" t="s">
        <v>874</v>
      </c>
      <c r="D264" s="28" t="s">
        <v>875</v>
      </c>
      <c r="E264" s="26">
        <v>45014.0</v>
      </c>
      <c r="F264" s="28" t="s">
        <v>43</v>
      </c>
    </row>
    <row r="265" ht="22.5" customHeight="1">
      <c r="A265" s="25">
        <v>264.0</v>
      </c>
      <c r="B265" s="28" t="s">
        <v>876</v>
      </c>
      <c r="C265" s="28" t="s">
        <v>877</v>
      </c>
      <c r="D265" s="28" t="s">
        <v>878</v>
      </c>
      <c r="E265" s="26">
        <v>45035.0</v>
      </c>
      <c r="F265" s="28" t="s">
        <v>43</v>
      </c>
    </row>
    <row r="266" ht="22.5" customHeight="1">
      <c r="A266" s="25">
        <v>265.0</v>
      </c>
      <c r="B266" s="28" t="s">
        <v>879</v>
      </c>
      <c r="C266" s="28" t="s">
        <v>880</v>
      </c>
      <c r="D266" s="28" t="s">
        <v>881</v>
      </c>
      <c r="E266" s="26">
        <v>45089.0</v>
      </c>
      <c r="F266" s="28" t="s">
        <v>46</v>
      </c>
    </row>
    <row r="267" ht="22.5" customHeight="1">
      <c r="A267" s="25">
        <v>266.0</v>
      </c>
      <c r="B267" s="28" t="s">
        <v>882</v>
      </c>
      <c r="C267" s="28" t="s">
        <v>883</v>
      </c>
      <c r="D267" s="28" t="s">
        <v>884</v>
      </c>
      <c r="E267" s="26">
        <v>45227.0</v>
      </c>
      <c r="F267" s="28" t="s">
        <v>43</v>
      </c>
    </row>
    <row r="268" ht="22.5" customHeight="1">
      <c r="A268" s="25">
        <v>267.0</v>
      </c>
      <c r="B268" s="28" t="s">
        <v>885</v>
      </c>
      <c r="C268" s="28" t="s">
        <v>886</v>
      </c>
      <c r="D268" s="28" t="s">
        <v>887</v>
      </c>
      <c r="E268" s="26">
        <v>45235.0</v>
      </c>
      <c r="F268" s="28" t="s">
        <v>46</v>
      </c>
    </row>
    <row r="269" ht="22.5" customHeight="1">
      <c r="A269" s="25">
        <v>268.0</v>
      </c>
      <c r="B269" s="28" t="s">
        <v>888</v>
      </c>
      <c r="C269" s="28" t="s">
        <v>889</v>
      </c>
      <c r="D269" s="28" t="s">
        <v>890</v>
      </c>
      <c r="E269" s="26">
        <v>45053.0</v>
      </c>
      <c r="F269" s="28" t="s">
        <v>48</v>
      </c>
    </row>
    <row r="270" ht="22.5" customHeight="1">
      <c r="A270" s="25">
        <v>269.0</v>
      </c>
      <c r="B270" s="28" t="s">
        <v>891</v>
      </c>
      <c r="C270" s="28" t="s">
        <v>892</v>
      </c>
      <c r="D270" s="28" t="s">
        <v>893</v>
      </c>
      <c r="E270" s="26">
        <v>45184.0</v>
      </c>
      <c r="F270" s="28" t="s">
        <v>46</v>
      </c>
    </row>
    <row r="271" ht="22.5" customHeight="1">
      <c r="A271" s="25">
        <v>270.0</v>
      </c>
      <c r="B271" s="28" t="s">
        <v>894</v>
      </c>
      <c r="C271" s="28" t="s">
        <v>895</v>
      </c>
      <c r="D271" s="28" t="s">
        <v>896</v>
      </c>
      <c r="E271" s="26">
        <v>45242.0</v>
      </c>
      <c r="F271" s="28" t="s">
        <v>49</v>
      </c>
    </row>
    <row r="272" ht="22.5" customHeight="1">
      <c r="A272" s="25">
        <v>271.0</v>
      </c>
      <c r="B272" s="28" t="s">
        <v>897</v>
      </c>
      <c r="C272" s="28" t="s">
        <v>898</v>
      </c>
      <c r="D272" s="28" t="s">
        <v>899</v>
      </c>
      <c r="E272" s="26">
        <v>45216.0</v>
      </c>
      <c r="F272" s="28" t="s">
        <v>47</v>
      </c>
    </row>
    <row r="273" ht="22.5" customHeight="1">
      <c r="A273" s="25">
        <v>272.0</v>
      </c>
      <c r="B273" s="28" t="s">
        <v>796</v>
      </c>
      <c r="C273" s="28" t="s">
        <v>900</v>
      </c>
      <c r="D273" s="28" t="s">
        <v>901</v>
      </c>
      <c r="E273" s="26">
        <v>45240.0</v>
      </c>
      <c r="F273" s="28" t="s">
        <v>43</v>
      </c>
    </row>
    <row r="274" ht="22.5" customHeight="1">
      <c r="A274" s="25">
        <v>273.0</v>
      </c>
      <c r="B274" s="28" t="s">
        <v>902</v>
      </c>
      <c r="C274" s="28" t="s">
        <v>903</v>
      </c>
      <c r="D274" s="28" t="s">
        <v>904</v>
      </c>
      <c r="E274" s="26">
        <v>45123.0</v>
      </c>
      <c r="F274" s="28" t="s">
        <v>49</v>
      </c>
    </row>
    <row r="275" ht="22.5" customHeight="1">
      <c r="A275" s="25">
        <v>274.0</v>
      </c>
      <c r="B275" s="28" t="s">
        <v>905</v>
      </c>
      <c r="C275" s="28" t="s">
        <v>906</v>
      </c>
      <c r="D275" s="28" t="s">
        <v>907</v>
      </c>
      <c r="E275" s="26">
        <v>45115.0</v>
      </c>
      <c r="F275" s="28" t="s">
        <v>43</v>
      </c>
    </row>
    <row r="276" ht="22.5" customHeight="1">
      <c r="A276" s="25">
        <v>275.0</v>
      </c>
      <c r="B276" s="28" t="s">
        <v>908</v>
      </c>
      <c r="C276" s="28" t="s">
        <v>909</v>
      </c>
      <c r="D276" s="28" t="s">
        <v>910</v>
      </c>
      <c r="E276" s="26">
        <v>45030.0</v>
      </c>
      <c r="F276" s="28" t="s">
        <v>43</v>
      </c>
    </row>
    <row r="277" ht="22.5" customHeight="1">
      <c r="A277" s="25">
        <v>276.0</v>
      </c>
      <c r="B277" s="28" t="s">
        <v>634</v>
      </c>
      <c r="C277" s="28" t="s">
        <v>911</v>
      </c>
      <c r="D277" s="28" t="s">
        <v>912</v>
      </c>
      <c r="E277" s="26">
        <v>45015.0</v>
      </c>
      <c r="F277" s="28" t="s">
        <v>47</v>
      </c>
    </row>
    <row r="278" ht="22.5" customHeight="1">
      <c r="A278" s="25">
        <v>277.0</v>
      </c>
      <c r="B278" s="28" t="s">
        <v>728</v>
      </c>
      <c r="C278" s="28" t="s">
        <v>913</v>
      </c>
      <c r="D278" s="28" t="s">
        <v>914</v>
      </c>
      <c r="E278" s="26">
        <v>45125.0</v>
      </c>
      <c r="F278" s="28" t="s">
        <v>47</v>
      </c>
    </row>
    <row r="279" ht="22.5" customHeight="1">
      <c r="A279" s="25">
        <v>278.0</v>
      </c>
      <c r="B279" s="28" t="s">
        <v>915</v>
      </c>
      <c r="C279" s="28" t="s">
        <v>916</v>
      </c>
      <c r="D279" s="28" t="s">
        <v>917</v>
      </c>
      <c r="E279" s="26">
        <v>45159.0</v>
      </c>
      <c r="F279" s="28" t="s">
        <v>46</v>
      </c>
    </row>
    <row r="280" ht="22.5" customHeight="1">
      <c r="A280" s="25">
        <v>279.0</v>
      </c>
      <c r="B280" s="28" t="s">
        <v>828</v>
      </c>
      <c r="C280" s="28" t="s">
        <v>918</v>
      </c>
      <c r="D280" s="28" t="s">
        <v>919</v>
      </c>
      <c r="E280" s="26">
        <v>45259.0</v>
      </c>
      <c r="F280" s="28" t="s">
        <v>46</v>
      </c>
    </row>
    <row r="281" ht="22.5" customHeight="1">
      <c r="A281" s="25">
        <v>280.0</v>
      </c>
      <c r="B281" s="28" t="s">
        <v>920</v>
      </c>
      <c r="C281" s="28" t="s">
        <v>921</v>
      </c>
      <c r="D281" s="28" t="s">
        <v>922</v>
      </c>
      <c r="E281" s="26">
        <v>45271.0</v>
      </c>
      <c r="F281" s="28" t="s">
        <v>46</v>
      </c>
    </row>
    <row r="282" ht="22.5" customHeight="1">
      <c r="A282" s="25">
        <v>281.0</v>
      </c>
      <c r="B282" s="28" t="s">
        <v>923</v>
      </c>
      <c r="C282" s="28" t="s">
        <v>924</v>
      </c>
      <c r="D282" s="28" t="s">
        <v>925</v>
      </c>
      <c r="E282" s="26">
        <v>45018.0</v>
      </c>
      <c r="F282" s="28" t="s">
        <v>43</v>
      </c>
    </row>
    <row r="283" ht="22.5" customHeight="1">
      <c r="A283" s="25">
        <v>282.0</v>
      </c>
      <c r="B283" s="28" t="s">
        <v>926</v>
      </c>
      <c r="C283" s="28" t="s">
        <v>927</v>
      </c>
      <c r="D283" s="28" t="s">
        <v>928</v>
      </c>
      <c r="E283" s="26">
        <v>45087.0</v>
      </c>
      <c r="F283" s="28" t="s">
        <v>46</v>
      </c>
    </row>
    <row r="284" ht="22.5" customHeight="1">
      <c r="A284" s="25">
        <v>283.0</v>
      </c>
      <c r="B284" s="28" t="s">
        <v>929</v>
      </c>
      <c r="C284" s="28" t="s">
        <v>392</v>
      </c>
      <c r="D284" s="28" t="s">
        <v>930</v>
      </c>
      <c r="E284" s="26">
        <v>45049.0</v>
      </c>
      <c r="F284" s="28" t="s">
        <v>43</v>
      </c>
    </row>
    <row r="285" ht="22.5" customHeight="1">
      <c r="A285" s="25">
        <v>284.0</v>
      </c>
      <c r="B285" s="28" t="s">
        <v>931</v>
      </c>
      <c r="C285" s="28" t="s">
        <v>932</v>
      </c>
      <c r="D285" s="28" t="s">
        <v>933</v>
      </c>
      <c r="E285" s="26">
        <v>45122.0</v>
      </c>
      <c r="F285" s="28" t="s">
        <v>48</v>
      </c>
    </row>
    <row r="286" ht="22.5" customHeight="1">
      <c r="A286" s="25">
        <v>285.0</v>
      </c>
      <c r="B286" s="28" t="s">
        <v>934</v>
      </c>
      <c r="C286" s="28" t="s">
        <v>935</v>
      </c>
      <c r="D286" s="28" t="s">
        <v>936</v>
      </c>
      <c r="E286" s="26">
        <v>45150.0</v>
      </c>
      <c r="F286" s="28" t="s">
        <v>47</v>
      </c>
    </row>
    <row r="287" ht="22.5" customHeight="1">
      <c r="A287" s="25">
        <v>286.0</v>
      </c>
      <c r="B287" s="28" t="s">
        <v>937</v>
      </c>
      <c r="C287" s="28" t="s">
        <v>938</v>
      </c>
      <c r="D287" s="28" t="s">
        <v>939</v>
      </c>
      <c r="E287" s="26">
        <v>45206.0</v>
      </c>
      <c r="F287" s="28" t="s">
        <v>46</v>
      </c>
    </row>
    <row r="288" ht="22.5" customHeight="1">
      <c r="A288" s="25">
        <v>287.0</v>
      </c>
      <c r="B288" s="28" t="s">
        <v>940</v>
      </c>
      <c r="C288" s="28" t="s">
        <v>941</v>
      </c>
      <c r="D288" s="28" t="s">
        <v>942</v>
      </c>
      <c r="E288" s="26">
        <v>45243.0</v>
      </c>
      <c r="F288" s="28" t="s">
        <v>45</v>
      </c>
    </row>
    <row r="289" ht="22.5" customHeight="1">
      <c r="A289" s="25">
        <v>288.0</v>
      </c>
      <c r="B289" s="28" t="s">
        <v>943</v>
      </c>
      <c r="C289" s="28" t="s">
        <v>944</v>
      </c>
      <c r="D289" s="28" t="s">
        <v>945</v>
      </c>
      <c r="E289" s="26">
        <v>45225.0</v>
      </c>
      <c r="F289" s="28" t="s">
        <v>43</v>
      </c>
    </row>
    <row r="290" ht="22.5" customHeight="1">
      <c r="A290" s="25">
        <v>289.0</v>
      </c>
      <c r="B290" s="28" t="s">
        <v>946</v>
      </c>
      <c r="C290" s="28" t="s">
        <v>947</v>
      </c>
      <c r="D290" s="28" t="s">
        <v>948</v>
      </c>
      <c r="E290" s="26">
        <v>45258.0</v>
      </c>
      <c r="F290" s="28" t="s">
        <v>49</v>
      </c>
    </row>
    <row r="291" ht="22.5" customHeight="1">
      <c r="A291" s="25">
        <v>290.0</v>
      </c>
      <c r="B291" s="28" t="s">
        <v>949</v>
      </c>
      <c r="C291" s="28" t="s">
        <v>950</v>
      </c>
      <c r="D291" s="28" t="s">
        <v>951</v>
      </c>
      <c r="E291" s="26">
        <v>45189.0</v>
      </c>
      <c r="F291" s="28" t="s">
        <v>43</v>
      </c>
    </row>
    <row r="292" ht="22.5" customHeight="1">
      <c r="A292" s="25">
        <v>291.0</v>
      </c>
      <c r="B292" s="28" t="s">
        <v>952</v>
      </c>
      <c r="C292" s="28" t="s">
        <v>953</v>
      </c>
      <c r="D292" s="28" t="s">
        <v>954</v>
      </c>
      <c r="E292" s="26">
        <v>45235.0</v>
      </c>
      <c r="F292" s="28" t="s">
        <v>45</v>
      </c>
    </row>
    <row r="293" ht="22.5" customHeight="1">
      <c r="A293" s="25">
        <v>292.0</v>
      </c>
      <c r="B293" s="28" t="s">
        <v>955</v>
      </c>
      <c r="C293" s="28" t="s">
        <v>956</v>
      </c>
      <c r="D293" s="28" t="s">
        <v>957</v>
      </c>
      <c r="E293" s="26">
        <v>45072.0</v>
      </c>
      <c r="F293" s="28" t="s">
        <v>47</v>
      </c>
    </row>
    <row r="294" ht="22.5" customHeight="1">
      <c r="A294" s="25">
        <v>293.0</v>
      </c>
      <c r="B294" s="28" t="s">
        <v>958</v>
      </c>
      <c r="C294" s="28" t="s">
        <v>959</v>
      </c>
      <c r="D294" s="28" t="s">
        <v>960</v>
      </c>
      <c r="E294" s="26">
        <v>45116.0</v>
      </c>
      <c r="F294" s="28" t="s">
        <v>47</v>
      </c>
    </row>
    <row r="295" ht="22.5" customHeight="1">
      <c r="A295" s="25">
        <v>294.0</v>
      </c>
      <c r="B295" s="28" t="s">
        <v>961</v>
      </c>
      <c r="C295" s="28" t="s">
        <v>962</v>
      </c>
      <c r="D295" s="28" t="s">
        <v>963</v>
      </c>
      <c r="E295" s="26">
        <v>45287.0</v>
      </c>
      <c r="F295" s="28" t="s">
        <v>46</v>
      </c>
    </row>
    <row r="296" ht="22.5" customHeight="1">
      <c r="A296" s="25">
        <v>295.0</v>
      </c>
      <c r="B296" s="28" t="s">
        <v>964</v>
      </c>
      <c r="C296" s="28" t="s">
        <v>965</v>
      </c>
      <c r="D296" s="28" t="s">
        <v>966</v>
      </c>
      <c r="E296" s="26">
        <v>45201.0</v>
      </c>
      <c r="F296" s="28" t="s">
        <v>49</v>
      </c>
    </row>
    <row r="297" ht="22.5" customHeight="1">
      <c r="A297" s="25">
        <v>296.0</v>
      </c>
      <c r="B297" s="28" t="s">
        <v>967</v>
      </c>
      <c r="C297" s="28" t="s">
        <v>968</v>
      </c>
      <c r="D297" s="28" t="s">
        <v>969</v>
      </c>
      <c r="E297" s="26">
        <v>45135.0</v>
      </c>
      <c r="F297" s="28" t="s">
        <v>43</v>
      </c>
    </row>
    <row r="298" ht="22.5" customHeight="1">
      <c r="A298" s="25">
        <v>297.0</v>
      </c>
      <c r="B298" s="28" t="s">
        <v>970</v>
      </c>
      <c r="C298" s="28" t="s">
        <v>971</v>
      </c>
      <c r="D298" s="28" t="s">
        <v>972</v>
      </c>
      <c r="E298" s="26">
        <v>45189.0</v>
      </c>
      <c r="F298" s="28" t="s">
        <v>43</v>
      </c>
    </row>
    <row r="299" ht="22.5" customHeight="1">
      <c r="A299" s="25">
        <v>298.0</v>
      </c>
      <c r="B299" s="28" t="s">
        <v>973</v>
      </c>
      <c r="C299" s="28" t="s">
        <v>974</v>
      </c>
      <c r="D299" s="28" t="s">
        <v>975</v>
      </c>
      <c r="E299" s="26">
        <v>45131.0</v>
      </c>
      <c r="F299" s="28" t="s">
        <v>43</v>
      </c>
    </row>
    <row r="300" ht="22.5" customHeight="1">
      <c r="A300" s="25">
        <v>299.0</v>
      </c>
      <c r="B300" s="28" t="s">
        <v>976</v>
      </c>
      <c r="C300" s="28" t="s">
        <v>977</v>
      </c>
      <c r="D300" s="28" t="s">
        <v>978</v>
      </c>
      <c r="E300" s="26">
        <v>45230.0</v>
      </c>
      <c r="F300" s="28" t="s">
        <v>49</v>
      </c>
    </row>
    <row r="301" ht="22.5" customHeight="1">
      <c r="A301" s="25">
        <v>300.0</v>
      </c>
      <c r="B301" s="28" t="s">
        <v>979</v>
      </c>
      <c r="C301" s="28" t="s">
        <v>980</v>
      </c>
      <c r="D301" s="28" t="s">
        <v>981</v>
      </c>
      <c r="E301" s="26">
        <v>45163.0</v>
      </c>
      <c r="F301" s="28" t="s">
        <v>45</v>
      </c>
    </row>
    <row r="302" ht="22.5" customHeight="1">
      <c r="A302" s="25">
        <v>301.0</v>
      </c>
      <c r="B302" s="28" t="s">
        <v>982</v>
      </c>
      <c r="C302" s="28" t="s">
        <v>983</v>
      </c>
      <c r="D302" s="28" t="s">
        <v>984</v>
      </c>
      <c r="E302" s="26">
        <v>45230.0</v>
      </c>
      <c r="F302" s="28" t="s">
        <v>49</v>
      </c>
    </row>
    <row r="303" ht="22.5" customHeight="1">
      <c r="A303" s="25">
        <v>302.0</v>
      </c>
      <c r="B303" s="28" t="s">
        <v>985</v>
      </c>
      <c r="C303" s="28" t="s">
        <v>986</v>
      </c>
      <c r="D303" s="28" t="s">
        <v>987</v>
      </c>
      <c r="E303" s="26">
        <v>45131.0</v>
      </c>
      <c r="F303" s="28" t="s">
        <v>47</v>
      </c>
    </row>
    <row r="304" ht="22.5" customHeight="1">
      <c r="A304" s="25">
        <v>303.0</v>
      </c>
      <c r="B304" s="28" t="s">
        <v>988</v>
      </c>
      <c r="C304" s="28" t="s">
        <v>989</v>
      </c>
      <c r="D304" s="28" t="s">
        <v>990</v>
      </c>
      <c r="E304" s="26">
        <v>45054.0</v>
      </c>
      <c r="F304" s="28" t="s">
        <v>46</v>
      </c>
    </row>
    <row r="305" ht="22.5" customHeight="1">
      <c r="A305" s="25">
        <v>304.0</v>
      </c>
      <c r="B305" s="28" t="s">
        <v>991</v>
      </c>
      <c r="C305" s="28" t="s">
        <v>992</v>
      </c>
      <c r="D305" s="28" t="s">
        <v>993</v>
      </c>
      <c r="E305" s="26">
        <v>45046.0</v>
      </c>
      <c r="F305" s="28" t="s">
        <v>49</v>
      </c>
    </row>
    <row r="306" ht="22.5" customHeight="1">
      <c r="A306" s="25">
        <v>305.0</v>
      </c>
      <c r="B306" s="28" t="s">
        <v>994</v>
      </c>
      <c r="C306" s="28" t="s">
        <v>995</v>
      </c>
      <c r="D306" s="28" t="s">
        <v>996</v>
      </c>
      <c r="E306" s="26">
        <v>45050.0</v>
      </c>
      <c r="F306" s="28" t="s">
        <v>47</v>
      </c>
    </row>
    <row r="307" ht="22.5" customHeight="1">
      <c r="A307" s="25">
        <v>306.0</v>
      </c>
      <c r="B307" s="28" t="s">
        <v>997</v>
      </c>
      <c r="C307" s="28" t="s">
        <v>998</v>
      </c>
      <c r="D307" s="28" t="s">
        <v>999</v>
      </c>
      <c r="E307" s="26">
        <v>45088.0</v>
      </c>
      <c r="F307" s="28" t="s">
        <v>49</v>
      </c>
    </row>
    <row r="308" ht="22.5" customHeight="1">
      <c r="A308" s="25">
        <v>307.0</v>
      </c>
      <c r="B308" s="28" t="s">
        <v>1000</v>
      </c>
      <c r="C308" s="28" t="s">
        <v>1001</v>
      </c>
      <c r="D308" s="28" t="s">
        <v>1002</v>
      </c>
      <c r="E308" s="26">
        <v>45017.0</v>
      </c>
      <c r="F308" s="28" t="s">
        <v>49</v>
      </c>
    </row>
    <row r="309" ht="22.5" customHeight="1">
      <c r="A309" s="25">
        <v>308.0</v>
      </c>
      <c r="B309" s="28" t="s">
        <v>1003</v>
      </c>
      <c r="C309" s="28" t="s">
        <v>1004</v>
      </c>
      <c r="D309" s="28" t="s">
        <v>1005</v>
      </c>
      <c r="E309" s="26">
        <v>45236.0</v>
      </c>
      <c r="F309" s="28" t="s">
        <v>46</v>
      </c>
    </row>
    <row r="310" ht="22.5" customHeight="1">
      <c r="A310" s="25">
        <v>309.0</v>
      </c>
      <c r="B310" s="28" t="s">
        <v>1006</v>
      </c>
      <c r="C310" s="28" t="s">
        <v>1007</v>
      </c>
      <c r="D310" s="28" t="s">
        <v>1008</v>
      </c>
      <c r="E310" s="26">
        <v>45169.0</v>
      </c>
      <c r="F310" s="28" t="s">
        <v>46</v>
      </c>
    </row>
    <row r="311" ht="22.5" customHeight="1">
      <c r="A311" s="25">
        <v>310.0</v>
      </c>
      <c r="B311" s="28" t="s">
        <v>1009</v>
      </c>
      <c r="C311" s="28" t="s">
        <v>1010</v>
      </c>
      <c r="D311" s="28" t="s">
        <v>1011</v>
      </c>
      <c r="E311" s="26">
        <v>45239.0</v>
      </c>
      <c r="F311" s="28" t="s">
        <v>47</v>
      </c>
    </row>
    <row r="312" ht="22.5" customHeight="1">
      <c r="A312" s="25">
        <v>311.0</v>
      </c>
      <c r="B312" s="28" t="s">
        <v>1012</v>
      </c>
      <c r="C312" s="28" t="s">
        <v>1013</v>
      </c>
      <c r="D312" s="28" t="s">
        <v>1014</v>
      </c>
      <c r="E312" s="26">
        <v>45286.0</v>
      </c>
      <c r="F312" s="28" t="s">
        <v>43</v>
      </c>
    </row>
    <row r="313" ht="22.5" customHeight="1">
      <c r="A313" s="25">
        <v>312.0</v>
      </c>
      <c r="B313" s="28" t="s">
        <v>646</v>
      </c>
      <c r="C313" s="28" t="s">
        <v>1015</v>
      </c>
      <c r="D313" s="28" t="s">
        <v>1016</v>
      </c>
      <c r="E313" s="26">
        <v>45141.0</v>
      </c>
      <c r="F313" s="28" t="s">
        <v>49</v>
      </c>
    </row>
    <row r="314" ht="22.5" customHeight="1">
      <c r="A314" s="25">
        <v>313.0</v>
      </c>
      <c r="B314" s="28" t="s">
        <v>1017</v>
      </c>
      <c r="C314" s="28" t="s">
        <v>1018</v>
      </c>
      <c r="D314" s="28" t="s">
        <v>1019</v>
      </c>
      <c r="E314" s="26">
        <v>45121.0</v>
      </c>
      <c r="F314" s="28" t="s">
        <v>49</v>
      </c>
    </row>
    <row r="315" ht="22.5" customHeight="1">
      <c r="A315" s="25">
        <v>314.0</v>
      </c>
      <c r="B315" s="28" t="s">
        <v>1020</v>
      </c>
      <c r="C315" s="28" t="s">
        <v>1021</v>
      </c>
      <c r="D315" s="28" t="s">
        <v>1022</v>
      </c>
      <c r="E315" s="26">
        <v>45026.0</v>
      </c>
      <c r="F315" s="28" t="s">
        <v>47</v>
      </c>
    </row>
    <row r="316" ht="22.5" customHeight="1">
      <c r="A316" s="25">
        <v>315.0</v>
      </c>
      <c r="B316" s="28" t="s">
        <v>1023</v>
      </c>
      <c r="C316" s="28" t="s">
        <v>1024</v>
      </c>
      <c r="D316" s="28" t="s">
        <v>1025</v>
      </c>
      <c r="E316" s="26">
        <v>45095.0</v>
      </c>
      <c r="F316" s="28" t="s">
        <v>43</v>
      </c>
    </row>
    <row r="317" ht="22.5" customHeight="1">
      <c r="A317" s="25">
        <v>316.0</v>
      </c>
      <c r="B317" s="28" t="s">
        <v>1026</v>
      </c>
      <c r="C317" s="28" t="s">
        <v>1027</v>
      </c>
      <c r="D317" s="28" t="s">
        <v>1028</v>
      </c>
      <c r="E317" s="26">
        <v>45212.0</v>
      </c>
      <c r="F317" s="28" t="s">
        <v>46</v>
      </c>
    </row>
    <row r="318" ht="22.5" customHeight="1">
      <c r="A318" s="25">
        <v>317.0</v>
      </c>
      <c r="B318" s="28" t="s">
        <v>1029</v>
      </c>
      <c r="C318" s="28" t="s">
        <v>1030</v>
      </c>
      <c r="D318" s="28" t="s">
        <v>1031</v>
      </c>
      <c r="E318" s="26">
        <v>45078.0</v>
      </c>
      <c r="F318" s="28" t="s">
        <v>45</v>
      </c>
    </row>
    <row r="319" ht="22.5" customHeight="1">
      <c r="A319" s="25">
        <v>318.0</v>
      </c>
      <c r="B319" s="28" t="s">
        <v>1032</v>
      </c>
      <c r="C319" s="28" t="s">
        <v>1033</v>
      </c>
      <c r="D319" s="28" t="s">
        <v>1034</v>
      </c>
      <c r="E319" s="26">
        <v>45016.0</v>
      </c>
      <c r="F319" s="28" t="s">
        <v>43</v>
      </c>
    </row>
    <row r="320" ht="22.5" customHeight="1">
      <c r="A320" s="25">
        <v>319.0</v>
      </c>
      <c r="B320" s="28" t="s">
        <v>1035</v>
      </c>
      <c r="C320" s="28" t="s">
        <v>1036</v>
      </c>
      <c r="D320" s="28" t="s">
        <v>1037</v>
      </c>
      <c r="E320" s="26">
        <v>45056.0</v>
      </c>
      <c r="F320" s="28" t="s">
        <v>47</v>
      </c>
    </row>
    <row r="321" ht="22.5" customHeight="1">
      <c r="A321" s="25">
        <v>320.0</v>
      </c>
      <c r="B321" s="28" t="s">
        <v>1038</v>
      </c>
      <c r="C321" s="28" t="s">
        <v>1039</v>
      </c>
      <c r="D321" s="28" t="s">
        <v>1040</v>
      </c>
      <c r="E321" s="26">
        <v>45238.0</v>
      </c>
      <c r="F321" s="28" t="s">
        <v>46</v>
      </c>
    </row>
    <row r="322" ht="22.5" customHeight="1">
      <c r="A322" s="25">
        <v>321.0</v>
      </c>
      <c r="B322" s="28" t="s">
        <v>1041</v>
      </c>
      <c r="C322" s="28" t="s">
        <v>1042</v>
      </c>
      <c r="D322" s="28" t="s">
        <v>1043</v>
      </c>
      <c r="E322" s="26">
        <v>45226.0</v>
      </c>
      <c r="F322" s="28" t="s">
        <v>49</v>
      </c>
    </row>
    <row r="323" ht="22.5" customHeight="1">
      <c r="A323" s="25">
        <v>322.0</v>
      </c>
      <c r="B323" s="28" t="s">
        <v>176</v>
      </c>
      <c r="C323" s="28" t="s">
        <v>1044</v>
      </c>
      <c r="D323" s="28" t="s">
        <v>1045</v>
      </c>
      <c r="E323" s="26">
        <v>45249.0</v>
      </c>
      <c r="F323" s="28" t="s">
        <v>45</v>
      </c>
    </row>
    <row r="324" ht="22.5" customHeight="1">
      <c r="A324" s="25">
        <v>323.0</v>
      </c>
      <c r="B324" s="28" t="s">
        <v>1046</v>
      </c>
      <c r="C324" s="28" t="s">
        <v>1047</v>
      </c>
      <c r="D324" s="28" t="s">
        <v>1048</v>
      </c>
      <c r="E324" s="26">
        <v>45251.0</v>
      </c>
      <c r="F324" s="28" t="s">
        <v>46</v>
      </c>
    </row>
    <row r="325" ht="22.5" customHeight="1">
      <c r="A325" s="25">
        <v>324.0</v>
      </c>
      <c r="B325" s="28" t="s">
        <v>1049</v>
      </c>
      <c r="C325" s="28" t="s">
        <v>1050</v>
      </c>
      <c r="D325" s="28" t="s">
        <v>1051</v>
      </c>
      <c r="E325" s="26">
        <v>45170.0</v>
      </c>
      <c r="F325" s="28" t="s">
        <v>45</v>
      </c>
    </row>
    <row r="326" ht="22.5" customHeight="1">
      <c r="A326" s="25">
        <v>325.0</v>
      </c>
      <c r="B326" s="28" t="s">
        <v>1052</v>
      </c>
      <c r="C326" s="28" t="s">
        <v>1053</v>
      </c>
      <c r="D326" s="28" t="s">
        <v>1054</v>
      </c>
      <c r="E326" s="26">
        <v>45093.0</v>
      </c>
      <c r="F326" s="28" t="s">
        <v>45</v>
      </c>
    </row>
    <row r="327" ht="22.5" customHeight="1">
      <c r="A327" s="25">
        <v>326.0</v>
      </c>
      <c r="B327" s="28" t="s">
        <v>1055</v>
      </c>
      <c r="C327" s="28" t="s">
        <v>1056</v>
      </c>
      <c r="D327" s="28" t="s">
        <v>1057</v>
      </c>
      <c r="E327" s="26">
        <v>45098.0</v>
      </c>
      <c r="F327" s="28" t="s">
        <v>49</v>
      </c>
    </row>
  </sheetData>
  <dataValidations>
    <dataValidation type="custom" allowBlank="1" showDropDown="1" sqref="E2:E327">
      <formula1>OR(NOT(ISERROR(DATEVALUE(E2))), AND(ISNUMBER(E2), LEFT(CELL("format", E2))="D"))</formula1>
    </dataValidation>
    <dataValidation type="custom" allowBlank="1" showDropDown="1" sqref="A2:A327">
      <formula1>AND(ISNUMBER(A2),(NOT(OR(NOT(ISERROR(DATEVALUE(A2))), AND(ISNUMBER(A2), LEFT(CELL("format", A2))="D")))))</formula1>
    </dataValidation>
    <dataValidation allowBlank="1" showDropDown="1" sqref="B2:D327 F2:F327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2.25"/>
    <col customWidth="1" min="3" max="3" width="16.0"/>
    <col customWidth="1" min="4" max="4" width="20.0"/>
    <col customWidth="1" min="5" max="5" width="12.88"/>
  </cols>
  <sheetData>
    <row r="1" ht="22.5" customHeight="1">
      <c r="A1" s="8" t="s">
        <v>8</v>
      </c>
      <c r="B1" s="8" t="s">
        <v>12</v>
      </c>
      <c r="C1" s="8" t="s">
        <v>1058</v>
      </c>
      <c r="D1" s="8" t="s">
        <v>13</v>
      </c>
      <c r="E1" s="8" t="s">
        <v>1059</v>
      </c>
    </row>
    <row r="2" ht="22.5" customHeight="1">
      <c r="A2" s="25">
        <v>1.0</v>
      </c>
      <c r="B2" s="28" t="s">
        <v>61</v>
      </c>
      <c r="C2" s="28" t="s">
        <v>1060</v>
      </c>
      <c r="D2" s="29">
        <v>12.24</v>
      </c>
      <c r="E2" s="25">
        <v>3327.0</v>
      </c>
    </row>
    <row r="3" ht="22.5" customHeight="1">
      <c r="A3" s="25">
        <v>2.0</v>
      </c>
      <c r="B3" s="28" t="s">
        <v>80</v>
      </c>
      <c r="C3" s="28" t="s">
        <v>1060</v>
      </c>
      <c r="D3" s="29">
        <v>5.21</v>
      </c>
      <c r="E3" s="25">
        <v>3358.0</v>
      </c>
    </row>
    <row r="4" ht="22.5" customHeight="1">
      <c r="A4" s="25">
        <v>3.0</v>
      </c>
      <c r="B4" s="28" t="s">
        <v>54</v>
      </c>
      <c r="C4" s="28" t="s">
        <v>1060</v>
      </c>
      <c r="D4" s="29">
        <v>17.23</v>
      </c>
      <c r="E4" s="25">
        <v>3167.0</v>
      </c>
    </row>
    <row r="5" ht="22.5" customHeight="1">
      <c r="A5" s="25">
        <v>4.0</v>
      </c>
      <c r="B5" s="28" t="s">
        <v>53</v>
      </c>
      <c r="C5" s="28" t="s">
        <v>1060</v>
      </c>
      <c r="D5" s="29">
        <v>19.23</v>
      </c>
      <c r="E5" s="25">
        <v>2099.0</v>
      </c>
    </row>
    <row r="6" ht="22.5" customHeight="1">
      <c r="A6" s="25">
        <v>5.0</v>
      </c>
      <c r="B6" s="28" t="s">
        <v>75</v>
      </c>
      <c r="C6" s="28" t="s">
        <v>1060</v>
      </c>
      <c r="D6" s="29">
        <v>5.65</v>
      </c>
      <c r="E6" s="25">
        <v>4929.0</v>
      </c>
    </row>
    <row r="7" ht="22.5" customHeight="1">
      <c r="A7" s="25">
        <v>6.0</v>
      </c>
      <c r="B7" s="28" t="s">
        <v>50</v>
      </c>
      <c r="C7" s="28" t="s">
        <v>1061</v>
      </c>
      <c r="D7" s="29">
        <v>28.56</v>
      </c>
      <c r="E7" s="25">
        <v>5137.0</v>
      </c>
    </row>
    <row r="8" ht="22.5" customHeight="1">
      <c r="A8" s="25">
        <v>7.0</v>
      </c>
      <c r="B8" s="28" t="s">
        <v>63</v>
      </c>
      <c r="C8" s="28" t="s">
        <v>1061</v>
      </c>
      <c r="D8" s="29">
        <v>11.25</v>
      </c>
      <c r="E8" s="25">
        <v>4068.0</v>
      </c>
    </row>
    <row r="9" ht="22.5" customHeight="1">
      <c r="A9" s="25">
        <v>8.0</v>
      </c>
      <c r="B9" s="28" t="s">
        <v>51</v>
      </c>
      <c r="C9" s="28" t="s">
        <v>1061</v>
      </c>
      <c r="D9" s="29">
        <v>16.21</v>
      </c>
      <c r="E9" s="25">
        <v>3140.0</v>
      </c>
    </row>
    <row r="10" ht="22.5" customHeight="1">
      <c r="A10" s="25">
        <v>9.0</v>
      </c>
      <c r="B10" s="28" t="s">
        <v>55</v>
      </c>
      <c r="C10" s="28" t="s">
        <v>1061</v>
      </c>
      <c r="D10" s="29">
        <v>18.56</v>
      </c>
      <c r="E10" s="25">
        <v>4051.0</v>
      </c>
    </row>
    <row r="11" ht="22.5" customHeight="1">
      <c r="A11" s="25">
        <v>10.0</v>
      </c>
      <c r="B11" s="28" t="s">
        <v>59</v>
      </c>
      <c r="C11" s="28" t="s">
        <v>1061</v>
      </c>
      <c r="D11" s="29">
        <v>14.25</v>
      </c>
      <c r="E11" s="25">
        <v>2429.0</v>
      </c>
    </row>
    <row r="12" ht="22.5" customHeight="1">
      <c r="A12" s="25">
        <v>11.0</v>
      </c>
      <c r="B12" s="28" t="s">
        <v>65</v>
      </c>
      <c r="C12" s="28" t="s">
        <v>1061</v>
      </c>
      <c r="D12" s="29">
        <v>11.23</v>
      </c>
      <c r="E12" s="25">
        <v>1726.0</v>
      </c>
    </row>
    <row r="13" ht="22.5" customHeight="1">
      <c r="A13" s="25">
        <v>12.0</v>
      </c>
      <c r="B13" s="28" t="s">
        <v>68</v>
      </c>
      <c r="C13" s="28" t="s">
        <v>1062</v>
      </c>
      <c r="D13" s="29">
        <v>8.12</v>
      </c>
      <c r="E13" s="25">
        <v>1619.0</v>
      </c>
    </row>
    <row r="14" ht="22.5" customHeight="1">
      <c r="A14" s="25">
        <v>13.0</v>
      </c>
      <c r="B14" s="28" t="s">
        <v>64</v>
      </c>
      <c r="C14" s="28" t="s">
        <v>1062</v>
      </c>
      <c r="D14" s="29">
        <v>12.56</v>
      </c>
      <c r="E14" s="25">
        <v>2228.0</v>
      </c>
    </row>
    <row r="15" ht="22.5" customHeight="1">
      <c r="A15" s="25">
        <v>14.0</v>
      </c>
      <c r="B15" s="28" t="s">
        <v>66</v>
      </c>
      <c r="C15" s="28" t="s">
        <v>1062</v>
      </c>
      <c r="D15" s="29">
        <v>12.36</v>
      </c>
      <c r="E15" s="25">
        <v>3125.0</v>
      </c>
    </row>
    <row r="16" ht="22.5" customHeight="1">
      <c r="A16" s="25">
        <v>15.0</v>
      </c>
      <c r="B16" s="28" t="s">
        <v>85</v>
      </c>
      <c r="C16" s="28" t="s">
        <v>1062</v>
      </c>
      <c r="D16" s="29">
        <v>3.51</v>
      </c>
      <c r="E16" s="25">
        <v>4043.0</v>
      </c>
    </row>
    <row r="17" ht="22.5" customHeight="1">
      <c r="A17" s="25">
        <v>16.0</v>
      </c>
      <c r="B17" s="28" t="s">
        <v>60</v>
      </c>
      <c r="C17" s="28" t="s">
        <v>1062</v>
      </c>
      <c r="D17" s="29">
        <v>15.23</v>
      </c>
      <c r="E17" s="25">
        <v>3189.0</v>
      </c>
    </row>
    <row r="18" ht="22.5" customHeight="1">
      <c r="A18" s="25">
        <v>17.0</v>
      </c>
      <c r="B18" s="28" t="s">
        <v>74</v>
      </c>
      <c r="C18" s="28" t="s">
        <v>1063</v>
      </c>
      <c r="D18" s="29">
        <v>6.54</v>
      </c>
      <c r="E18" s="25">
        <v>3383.0</v>
      </c>
    </row>
    <row r="19" ht="22.5" customHeight="1">
      <c r="A19" s="25">
        <v>18.0</v>
      </c>
      <c r="B19" s="28" t="s">
        <v>78</v>
      </c>
      <c r="C19" s="28" t="s">
        <v>1063</v>
      </c>
      <c r="D19" s="29">
        <v>7.25</v>
      </c>
      <c r="E19" s="25">
        <v>4720.0</v>
      </c>
    </row>
    <row r="20" ht="22.5" customHeight="1">
      <c r="A20" s="25">
        <v>19.0</v>
      </c>
      <c r="B20" s="28" t="s">
        <v>76</v>
      </c>
      <c r="C20" s="28" t="s">
        <v>1063</v>
      </c>
      <c r="D20" s="29">
        <v>6.54</v>
      </c>
      <c r="E20" s="25">
        <v>4041.0</v>
      </c>
    </row>
    <row r="21" ht="22.5" customHeight="1">
      <c r="A21" s="25">
        <v>20.0</v>
      </c>
      <c r="B21" s="28" t="s">
        <v>82</v>
      </c>
      <c r="C21" s="28" t="s">
        <v>1063</v>
      </c>
      <c r="D21" s="29">
        <v>4.25</v>
      </c>
      <c r="E21" s="25">
        <v>1541.0</v>
      </c>
    </row>
    <row r="22" ht="22.5" customHeight="1">
      <c r="A22" s="25">
        <v>21.0</v>
      </c>
      <c r="B22" s="28" t="s">
        <v>86</v>
      </c>
      <c r="C22" s="28" t="s">
        <v>1063</v>
      </c>
      <c r="D22" s="29">
        <v>3.25</v>
      </c>
      <c r="E22" s="25">
        <v>2800.0</v>
      </c>
    </row>
    <row r="23" ht="22.5" customHeight="1">
      <c r="A23" s="25">
        <v>22.0</v>
      </c>
      <c r="B23" s="28" t="s">
        <v>83</v>
      </c>
      <c r="C23" s="28" t="s">
        <v>1063</v>
      </c>
      <c r="D23" s="29">
        <v>4.21</v>
      </c>
      <c r="E23" s="25">
        <v>3545.0</v>
      </c>
    </row>
    <row r="24" ht="22.5" customHeight="1">
      <c r="A24" s="25">
        <v>23.0</v>
      </c>
      <c r="B24" s="28" t="s">
        <v>67</v>
      </c>
      <c r="C24" s="28" t="s">
        <v>1064</v>
      </c>
      <c r="D24" s="29">
        <v>8.23</v>
      </c>
      <c r="E24" s="25">
        <v>3731.0</v>
      </c>
    </row>
    <row r="25" ht="22.5" customHeight="1">
      <c r="A25" s="25">
        <v>24.0</v>
      </c>
      <c r="B25" s="28" t="s">
        <v>57</v>
      </c>
      <c r="C25" s="28" t="s">
        <v>1064</v>
      </c>
      <c r="D25" s="29">
        <v>13.54</v>
      </c>
      <c r="E25" s="25">
        <v>2908.0</v>
      </c>
    </row>
    <row r="26" ht="22.5" customHeight="1">
      <c r="A26" s="25">
        <v>25.0</v>
      </c>
      <c r="B26" s="28" t="s">
        <v>52</v>
      </c>
      <c r="C26" s="28" t="s">
        <v>1064</v>
      </c>
      <c r="D26" s="29">
        <v>15.45</v>
      </c>
      <c r="E26" s="25">
        <v>1640.0</v>
      </c>
    </row>
    <row r="27" ht="22.5" customHeight="1">
      <c r="A27" s="25">
        <v>26.0</v>
      </c>
      <c r="B27" s="28" t="s">
        <v>58</v>
      </c>
      <c r="C27" s="28" t="s">
        <v>1064</v>
      </c>
      <c r="D27" s="29">
        <v>9.54</v>
      </c>
      <c r="E27" s="25">
        <v>1688.0</v>
      </c>
    </row>
    <row r="28" ht="22.5" customHeight="1">
      <c r="A28" s="25">
        <v>27.0</v>
      </c>
      <c r="B28" s="28" t="s">
        <v>69</v>
      </c>
      <c r="C28" s="28" t="s">
        <v>1065</v>
      </c>
      <c r="D28" s="29">
        <v>6.21</v>
      </c>
      <c r="E28" s="25">
        <v>4978.0</v>
      </c>
    </row>
    <row r="29" ht="22.5" customHeight="1">
      <c r="A29" s="25">
        <v>28.0</v>
      </c>
      <c r="B29" s="28" t="s">
        <v>70</v>
      </c>
      <c r="C29" s="28" t="s">
        <v>1065</v>
      </c>
      <c r="D29" s="29">
        <v>9.45</v>
      </c>
      <c r="E29" s="25">
        <v>3637.0</v>
      </c>
    </row>
    <row r="30" ht="22.5" customHeight="1">
      <c r="A30" s="25">
        <v>29.0</v>
      </c>
      <c r="B30" s="28" t="s">
        <v>56</v>
      </c>
      <c r="C30" s="28" t="s">
        <v>1065</v>
      </c>
      <c r="D30" s="29">
        <v>11.54</v>
      </c>
      <c r="E30" s="25">
        <v>2455.0</v>
      </c>
    </row>
    <row r="31" ht="22.5" customHeight="1">
      <c r="A31" s="25">
        <v>30.0</v>
      </c>
      <c r="B31" s="28" t="s">
        <v>62</v>
      </c>
      <c r="C31" s="28" t="s">
        <v>1065</v>
      </c>
      <c r="D31" s="29">
        <v>13.54</v>
      </c>
      <c r="E31" s="25">
        <v>1363.0</v>
      </c>
    </row>
    <row r="32" ht="22.5" customHeight="1">
      <c r="A32" s="25">
        <v>31.0</v>
      </c>
      <c r="B32" s="28" t="s">
        <v>77</v>
      </c>
      <c r="C32" s="28" t="s">
        <v>1066</v>
      </c>
      <c r="D32" s="29">
        <v>5.24</v>
      </c>
      <c r="E32" s="25">
        <v>2771.0</v>
      </c>
    </row>
    <row r="33" ht="22.5" customHeight="1">
      <c r="A33" s="25">
        <v>32.0</v>
      </c>
      <c r="B33" s="28" t="s">
        <v>71</v>
      </c>
      <c r="C33" s="28" t="s">
        <v>1066</v>
      </c>
      <c r="D33" s="29">
        <v>6.25</v>
      </c>
      <c r="E33" s="25">
        <v>5057.0</v>
      </c>
    </row>
    <row r="34" ht="22.5" customHeight="1">
      <c r="A34" s="25">
        <v>33.0</v>
      </c>
      <c r="B34" s="28" t="s">
        <v>72</v>
      </c>
      <c r="C34" s="28" t="s">
        <v>1066</v>
      </c>
      <c r="D34" s="29">
        <v>8.54</v>
      </c>
      <c r="E34" s="25">
        <v>2837.0</v>
      </c>
    </row>
    <row r="35" ht="22.5" customHeight="1">
      <c r="A35" s="25">
        <v>34.0</v>
      </c>
      <c r="B35" s="28" t="s">
        <v>79</v>
      </c>
      <c r="C35" s="28" t="s">
        <v>1066</v>
      </c>
      <c r="D35" s="29">
        <v>5.45</v>
      </c>
      <c r="E35" s="25">
        <v>4769.0</v>
      </c>
    </row>
    <row r="36" ht="22.5" customHeight="1">
      <c r="A36" s="25">
        <v>35.0</v>
      </c>
      <c r="B36" s="28" t="s">
        <v>81</v>
      </c>
      <c r="C36" s="28" t="s">
        <v>1067</v>
      </c>
      <c r="D36" s="29">
        <v>4.25</v>
      </c>
      <c r="E36" s="25">
        <v>1437.0</v>
      </c>
    </row>
    <row r="37" ht="22.5" customHeight="1">
      <c r="A37" s="25">
        <v>36.0</v>
      </c>
      <c r="B37" s="28" t="s">
        <v>87</v>
      </c>
      <c r="C37" s="28" t="s">
        <v>1067</v>
      </c>
      <c r="D37" s="29">
        <v>3.25</v>
      </c>
      <c r="E37" s="25">
        <v>4578.0</v>
      </c>
    </row>
    <row r="38" ht="22.5" customHeight="1">
      <c r="A38" s="25">
        <v>37.0</v>
      </c>
      <c r="B38" s="28" t="s">
        <v>84</v>
      </c>
      <c r="C38" s="28" t="s">
        <v>1067</v>
      </c>
      <c r="D38" s="29">
        <v>3.65</v>
      </c>
      <c r="E38" s="25">
        <v>1506.0</v>
      </c>
    </row>
    <row r="39" ht="22.5" customHeight="1">
      <c r="A39" s="25">
        <v>38.0</v>
      </c>
      <c r="B39" s="28" t="s">
        <v>73</v>
      </c>
      <c r="C39" s="28" t="s">
        <v>1067</v>
      </c>
      <c r="D39" s="29">
        <v>6.21</v>
      </c>
      <c r="E39" s="25">
        <v>2182.0</v>
      </c>
    </row>
  </sheetData>
  <dataValidations>
    <dataValidation type="custom" allowBlank="1" showDropDown="1" sqref="A2:A39 D2:E39">
      <formula1>AND(ISNUMBER(A2),(NOT(OR(NOT(ISERROR(DATEVALUE(A2))), AND(ISNUMBER(A2), LEFT(CELL("format", A2))="D")))))</formula1>
    </dataValidation>
    <dataValidation allowBlank="1" showDropDown="1" sqref="B2:C39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5.38"/>
    <col customWidth="1" min="3" max="3" width="78.5"/>
  </cols>
  <sheetData>
    <row r="1" ht="22.5" customHeight="1">
      <c r="A1" s="8" t="s">
        <v>1068</v>
      </c>
      <c r="B1" s="8" t="s">
        <v>1069</v>
      </c>
      <c r="C1" s="8" t="s">
        <v>1070</v>
      </c>
    </row>
    <row r="2" ht="22.5" customHeight="1">
      <c r="A2" s="28">
        <v>1.0</v>
      </c>
      <c r="B2" s="28" t="s">
        <v>1071</v>
      </c>
      <c r="C2" s="28" t="s">
        <v>1072</v>
      </c>
    </row>
    <row r="3" ht="22.5" customHeight="1">
      <c r="A3" s="28">
        <v>2.0</v>
      </c>
      <c r="B3" s="28" t="s">
        <v>1073</v>
      </c>
      <c r="C3" s="28" t="s">
        <v>1074</v>
      </c>
    </row>
    <row r="4" ht="22.5" customHeight="1">
      <c r="A4" s="28">
        <v>3.0</v>
      </c>
      <c r="B4" s="28" t="s">
        <v>1075</v>
      </c>
      <c r="C4" s="28" t="s">
        <v>1076</v>
      </c>
    </row>
    <row r="5" ht="22.5" customHeight="1">
      <c r="A5" s="28">
        <v>4.0</v>
      </c>
      <c r="B5" s="28" t="s">
        <v>1077</v>
      </c>
      <c r="C5" s="28" t="s">
        <v>1078</v>
      </c>
    </row>
    <row r="6" ht="22.5" customHeight="1">
      <c r="A6" s="28">
        <v>5.0</v>
      </c>
      <c r="B6" s="28" t="s">
        <v>1079</v>
      </c>
      <c r="C6" s="28" t="s">
        <v>1080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8.0"/>
    <col customWidth="1" min="3" max="3" width="69.88"/>
  </cols>
  <sheetData>
    <row r="1" ht="22.5" customHeight="1">
      <c r="A1" s="8" t="s">
        <v>1081</v>
      </c>
      <c r="B1" s="8" t="s">
        <v>1082</v>
      </c>
      <c r="C1" s="8" t="s">
        <v>1070</v>
      </c>
    </row>
    <row r="2" ht="22.5" customHeight="1">
      <c r="A2" s="28">
        <v>1.0</v>
      </c>
      <c r="B2" s="28" t="s">
        <v>1060</v>
      </c>
      <c r="C2" s="28" t="s">
        <v>1083</v>
      </c>
    </row>
    <row r="3" ht="22.5" customHeight="1">
      <c r="A3" s="28">
        <v>2.0</v>
      </c>
      <c r="B3" s="28" t="s">
        <v>1061</v>
      </c>
      <c r="C3" s="28" t="s">
        <v>1084</v>
      </c>
    </row>
    <row r="4" ht="22.5" customHeight="1">
      <c r="A4" s="28">
        <v>3.0</v>
      </c>
      <c r="B4" s="28" t="s">
        <v>1062</v>
      </c>
      <c r="C4" s="28" t="s">
        <v>1085</v>
      </c>
    </row>
    <row r="5" ht="22.5" customHeight="1">
      <c r="A5" s="28">
        <v>4.0</v>
      </c>
      <c r="B5" s="28" t="s">
        <v>1063</v>
      </c>
      <c r="C5" s="28" t="s">
        <v>1086</v>
      </c>
    </row>
    <row r="6" ht="22.5" customHeight="1">
      <c r="A6" s="28">
        <v>5.0</v>
      </c>
      <c r="B6" s="28" t="s">
        <v>1064</v>
      </c>
      <c r="C6" s="28" t="s">
        <v>1087</v>
      </c>
    </row>
    <row r="7" ht="22.5" customHeight="1">
      <c r="A7" s="28">
        <v>6.0</v>
      </c>
      <c r="B7" s="28" t="s">
        <v>1065</v>
      </c>
      <c r="C7" s="28" t="s">
        <v>1088</v>
      </c>
    </row>
    <row r="8" ht="22.5" customHeight="1">
      <c r="A8" s="28">
        <v>7.0</v>
      </c>
      <c r="B8" s="28" t="s">
        <v>1066</v>
      </c>
      <c r="C8" s="28" t="s">
        <v>1089</v>
      </c>
    </row>
    <row r="9" ht="22.5" customHeight="1">
      <c r="A9" s="28">
        <v>8.0</v>
      </c>
      <c r="B9" s="28" t="s">
        <v>1067</v>
      </c>
      <c r="C9" s="28" t="s">
        <v>1090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1091</v>
      </c>
      <c r="B1" s="30" t="s">
        <v>1092</v>
      </c>
      <c r="C1" s="30" t="s">
        <v>1093</v>
      </c>
      <c r="D1" s="30" t="s">
        <v>1094</v>
      </c>
      <c r="E1" s="30" t="s">
        <v>15</v>
      </c>
      <c r="F1" s="30" t="s">
        <v>1095</v>
      </c>
    </row>
    <row r="2">
      <c r="D2" s="30" t="s">
        <v>1096</v>
      </c>
      <c r="E2" s="30" t="s">
        <v>43</v>
      </c>
      <c r="F2" s="30" t="s">
        <v>1097</v>
      </c>
    </row>
  </sheetData>
  <drawing r:id="rId1"/>
</worksheet>
</file>